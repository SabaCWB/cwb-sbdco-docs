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noced\Documents\"/>
    </mc:Choice>
  </mc:AlternateContent>
  <xr:revisionPtr revIDLastSave="0" documentId="13_ncr:1_{C3AA38DF-0B49-4E6A-A070-1129839ECF2A}" xr6:coauthVersionLast="47" xr6:coauthVersionMax="47" xr10:uidLastSave="{00000000-0000-0000-0000-000000000000}"/>
  <bookViews>
    <workbookView xWindow="35886" yWindow="399" windowWidth="23040" windowHeight="18335" xr2:uid="{372904DD-1769-457F-AE06-9EE0A1AE070A}"/>
  </bookViews>
  <sheets>
    <sheet name="CWB.digital Readiness Pl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3" l="1"/>
  <c r="G22" i="3"/>
  <c r="G20" i="3"/>
  <c r="G19" i="3"/>
  <c r="G18" i="3"/>
  <c r="G16" i="3"/>
  <c r="G15" i="3"/>
  <c r="G11" i="3"/>
  <c r="G12" i="3" s="1"/>
  <c r="F13" i="3" s="1"/>
  <c r="G6" i="3"/>
  <c r="F8" i="3"/>
  <c r="G14" i="3" l="1"/>
  <c r="G9" i="3"/>
  <c r="F23" i="3"/>
  <c r="F29" i="3"/>
  <c r="G24" i="3"/>
  <c r="F17" i="3"/>
  <c r="G21" i="3"/>
  <c r="F3" i="3"/>
  <c r="G5" i="3"/>
  <c r="G7" i="3"/>
  <c r="G3" i="3" s="1"/>
  <c r="G4" i="3"/>
  <c r="F25" i="3" l="1"/>
  <c r="G25" i="3" s="1"/>
  <c r="F26" i="3" s="1"/>
  <c r="G13" i="3"/>
  <c r="E3" i="3"/>
  <c r="E8" i="3"/>
  <c r="G10" i="3"/>
  <c r="F27" i="3" l="1"/>
  <c r="G27" i="3" s="1"/>
  <c r="G26" i="3"/>
  <c r="E23" i="3"/>
  <c r="E17" i="3" l="1"/>
</calcChain>
</file>

<file path=xl/sharedStrings.xml><?xml version="1.0" encoding="utf-8"?>
<sst xmlns="http://schemas.openxmlformats.org/spreadsheetml/2006/main" count="95" uniqueCount="64">
  <si>
    <t>Task Name</t>
  </si>
  <si>
    <t>Start</t>
  </si>
  <si>
    <t>Finish</t>
  </si>
  <si>
    <t>Duration (Days)</t>
  </si>
  <si>
    <t>Dependency</t>
  </si>
  <si>
    <t>None</t>
  </si>
  <si>
    <t>Status</t>
  </si>
  <si>
    <t>DM Team</t>
  </si>
  <si>
    <t>CAS</t>
  </si>
  <si>
    <t>Task ID</t>
  </si>
  <si>
    <t>Task ID 1.00</t>
  </si>
  <si>
    <t>Task ID 2.02</t>
  </si>
  <si>
    <t>Task ID 2.00</t>
  </si>
  <si>
    <t>Task ID 3.04</t>
  </si>
  <si>
    <t>Completed</t>
  </si>
  <si>
    <t>Task ID 2.01</t>
  </si>
  <si>
    <t>Task ID 3.00</t>
  </si>
  <si>
    <t>Task ID 4.01</t>
  </si>
  <si>
    <t>Task ID 4.02</t>
  </si>
  <si>
    <t>Task ID 4.05</t>
  </si>
  <si>
    <t>Task ID 4.06</t>
  </si>
  <si>
    <t>Task ID 4.07</t>
  </si>
  <si>
    <t>Tranche 1</t>
  </si>
  <si>
    <t>Tranche 2</t>
  </si>
  <si>
    <t>Preliminary Work (pre requisites to readiness activities)</t>
  </si>
  <si>
    <t>Creation of CWB.digital readiness plan</t>
  </si>
  <si>
    <t>Task Owner</t>
  </si>
  <si>
    <t>Adam Skoreyko</t>
  </si>
  <si>
    <t>Approval and Sign-off of readiness plan</t>
  </si>
  <si>
    <t>Program Leadership</t>
  </si>
  <si>
    <t>Definition of minimum pass rates for defects, performance and pen/security testing</t>
  </si>
  <si>
    <t>Distribution and socialization of CWB.digital readiness plan to rest of program</t>
  </si>
  <si>
    <t>QA Team, CAS, DM Team, People1</t>
  </si>
  <si>
    <t>QA</t>
  </si>
  <si>
    <t>95% of E2E test scenarios passed, regression completed and critical/high defects resovled</t>
  </si>
  <si>
    <t>CWB.digital and CWB Backstage UAT environments are prepped and stood up with required integrations</t>
  </si>
  <si>
    <t>Production test accounts are migrated into the UAT environment</t>
  </si>
  <si>
    <t>Approval and Sign-off E2E exit criteria</t>
  </si>
  <si>
    <t>Task ID 2.03</t>
  </si>
  <si>
    <t>Shakedown of CWB.digital</t>
  </si>
  <si>
    <t>Task ID 2.04</t>
  </si>
  <si>
    <t>Shakedown of CWB Backstage</t>
  </si>
  <si>
    <t>R1 BAT/UAT Testing Readiness</t>
  </si>
  <si>
    <t>Shakedown report with pass/fail results and deficiencies identified is presented to program leadership</t>
  </si>
  <si>
    <t>Adam Skoreyko, Program Leadership</t>
  </si>
  <si>
    <t>Task ID 2.05 &amp; 2.06</t>
  </si>
  <si>
    <t>Task ID 2.07</t>
  </si>
  <si>
    <t>R1 BAT/UAT Testing</t>
  </si>
  <si>
    <t>BAT Testing</t>
  </si>
  <si>
    <t>Performance Testing</t>
  </si>
  <si>
    <t>Pentration Testing</t>
  </si>
  <si>
    <t>Testing status report with pass/fail results and deficiencies identified is presented to program leadership</t>
  </si>
  <si>
    <t>QA, Program Leadership</t>
  </si>
  <si>
    <t>Sign-off of BAT/UAT testing report with acceptance to move to production</t>
  </si>
  <si>
    <t>Production Readiness</t>
  </si>
  <si>
    <t xml:space="preserve">Task ID 3.01 </t>
  </si>
  <si>
    <t>Production Go-Live</t>
  </si>
  <si>
    <t>Task ID 4.03 &amp; 4.04</t>
  </si>
  <si>
    <t>All Program Members</t>
  </si>
  <si>
    <t>Sign-off of Shakedown report with approval to begin BAT/UAT testing</t>
  </si>
  <si>
    <t>Sign-off of Shakedown report with approval to begin Production migration</t>
  </si>
  <si>
    <t>Chix</t>
  </si>
  <si>
    <t>Production test accounts are migrated into the production environment (4 test accounts)</t>
  </si>
  <si>
    <t>DM of Tranche 1 - Program Team clients (~10) into production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</si>
</sst>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63636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center" vertical="top" wrapText="1"/>
    </xf>
    <xf numFmtId="0" fontId="4" fillId="3" borderId="0" xfId="0" applyNumberFormat="1" applyFont="1" applyFill="1" applyBorder="1" applyAlignment="1">
      <alignment vertical="top" wrapText="1"/>
    </xf>
    <xf numFmtId="0" fontId="3" fillId="5" borderId="0" xfId="0" applyFont="1" applyFill="1" applyBorder="1" applyAlignment="1">
      <alignment vertical="top" wrapText="1"/>
    </xf>
    <xf numFmtId="0" fontId="3" fillId="5" borderId="0" xfId="0" applyFont="1" applyFill="1" applyBorder="1" applyAlignment="1">
      <alignment horizontal="center" vertical="top" wrapText="1"/>
    </xf>
    <xf numFmtId="0" fontId="4" fillId="6" borderId="0" xfId="0" applyFont="1" applyFill="1" applyBorder="1" applyAlignment="1">
      <alignment vertical="top" wrapText="1"/>
    </xf>
    <xf numFmtId="0" fontId="4" fillId="6" borderId="0" xfId="0" applyFont="1" applyFill="1" applyBorder="1" applyAlignment="1">
      <alignment horizontal="center" vertical="top" wrapText="1"/>
    </xf>
    <xf numFmtId="0" fontId="5" fillId="6" borderId="0" xfId="0" applyNumberFormat="1" applyFont="1" applyFill="1" applyBorder="1" applyAlignment="1">
      <alignment vertical="top" wrapText="1"/>
    </xf>
    <xf numFmtId="14" fontId="4" fillId="6" borderId="0" xfId="0" applyNumberFormat="1" applyFont="1" applyFill="1" applyBorder="1" applyAlignment="1">
      <alignment horizontal="center" vertical="top" wrapText="1"/>
    </xf>
    <xf numFmtId="14" fontId="3" fillId="4" borderId="0" xfId="0" applyNumberFormat="1" applyFont="1" applyFill="1" applyBorder="1" applyAlignment="1">
      <alignment horizontal="center" vertical="top" wrapText="1"/>
    </xf>
    <xf numFmtId="14" fontId="4" fillId="3" borderId="0" xfId="0" applyNumberFormat="1" applyFont="1" applyFill="1" applyBorder="1" applyAlignment="1">
      <alignment horizontal="center" vertical="top" wrapText="1"/>
    </xf>
    <xf numFmtId="14" fontId="3" fillId="5" borderId="0" xfId="0" applyNumberFormat="1" applyFont="1" applyFill="1" applyBorder="1" applyAlignment="1">
      <alignment horizontal="center" vertical="top" wrapText="1"/>
    </xf>
    <xf numFmtId="0" fontId="3" fillId="7" borderId="0" xfId="0" applyFont="1" applyFill="1" applyBorder="1" applyAlignment="1">
      <alignment vertical="top" wrapText="1"/>
    </xf>
    <xf numFmtId="0" fontId="3" fillId="7" borderId="0" xfId="0" applyFont="1" applyFill="1" applyBorder="1" applyAlignment="1">
      <alignment horizontal="center" vertical="top" wrapText="1"/>
    </xf>
    <xf numFmtId="14" fontId="3" fillId="7" borderId="0" xfId="0" applyNumberFormat="1" applyFont="1" applyFill="1" applyBorder="1" applyAlignment="1">
      <alignment horizontal="center" vertical="top" wrapText="1"/>
    </xf>
    <xf numFmtId="0" fontId="3" fillId="7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0" fontId="2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vertical="top" wrapText="1"/>
    </xf>
    <xf numFmtId="2" fontId="4" fillId="6" borderId="4" xfId="0" applyNumberFormat="1" applyFont="1" applyFill="1" applyBorder="1" applyAlignment="1">
      <alignment horizontal="center" vertical="top" wrapText="1"/>
    </xf>
    <xf numFmtId="0" fontId="5" fillId="6" borderId="5" xfId="0" applyNumberFormat="1" applyFont="1" applyFill="1" applyBorder="1" applyAlignment="1">
      <alignment vertical="top" wrapText="1"/>
    </xf>
    <xf numFmtId="2" fontId="3" fillId="4" borderId="4" xfId="0" applyNumberFormat="1" applyFont="1" applyFill="1" applyBorder="1" applyAlignment="1">
      <alignment horizontal="center" vertical="top" wrapText="1"/>
    </xf>
    <xf numFmtId="2" fontId="4" fillId="3" borderId="4" xfId="0" applyNumberFormat="1" applyFont="1" applyFill="1" applyBorder="1" applyAlignment="1">
      <alignment horizontal="center" vertical="top" wrapText="1"/>
    </xf>
    <xf numFmtId="0" fontId="4" fillId="3" borderId="5" xfId="0" applyNumberFormat="1" applyFont="1" applyFill="1" applyBorder="1" applyAlignment="1">
      <alignment vertical="top" wrapText="1"/>
    </xf>
    <xf numFmtId="2" fontId="3" fillId="7" borderId="4" xfId="0" applyNumberFormat="1" applyFont="1" applyFill="1" applyBorder="1" applyAlignment="1">
      <alignment horizontal="center" vertical="top" wrapText="1"/>
    </xf>
    <xf numFmtId="0" fontId="3" fillId="7" borderId="5" xfId="0" applyNumberFormat="1" applyFont="1" applyFill="1" applyBorder="1" applyAlignment="1">
      <alignment vertical="top" wrapText="1"/>
    </xf>
    <xf numFmtId="2" fontId="3" fillId="5" borderId="4" xfId="0" applyNumberFormat="1" applyFont="1" applyFill="1" applyBorder="1" applyAlignment="1">
      <alignment horizontal="center" vertical="top" wrapText="1"/>
    </xf>
    <xf numFmtId="0" fontId="4" fillId="5" borderId="5" xfId="0" applyNumberFormat="1" applyFont="1" applyFill="1" applyBorder="1" applyAlignment="1">
      <alignment vertical="top" wrapText="1"/>
    </xf>
    <xf numFmtId="0" fontId="3" fillId="5" borderId="0" xfId="0" applyNumberFormat="1" applyFont="1" applyFill="1" applyBorder="1" applyAlignment="1">
      <alignment vertical="top" wrapText="1"/>
    </xf>
    <xf numFmtId="2" fontId="4" fillId="6" borderId="6" xfId="0" applyNumberFormat="1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7" xfId="0" applyFont="1" applyFill="1" applyBorder="1" applyAlignment="1">
      <alignment horizontal="center" vertical="top" wrapText="1"/>
    </xf>
    <xf numFmtId="14" fontId="4" fillId="3" borderId="7" xfId="0" applyNumberFormat="1" applyFont="1" applyFill="1" applyBorder="1" applyAlignment="1">
      <alignment horizontal="center" vertical="top" wrapText="1"/>
    </xf>
    <xf numFmtId="0" fontId="4" fillId="3" borderId="7" xfId="0" applyNumberFormat="1" applyFont="1" applyFill="1" applyBorder="1" applyAlignment="1">
      <alignment vertical="top" wrapText="1"/>
    </xf>
    <xf numFmtId="0" fontId="4" fillId="3" borderId="8" xfId="0" applyNumberFormat="1" applyFont="1" applyFill="1" applyBorder="1" applyAlignment="1">
      <alignment vertical="top" wrapText="1"/>
    </xf>
    <xf numFmtId="49" fontId="3" fillId="4" borderId="0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2" fontId="3" fillId="8" borderId="4" xfId="0" applyNumberFormat="1" applyFont="1" applyFill="1" applyBorder="1" applyAlignment="1">
      <alignment horizontal="center" vertical="top" wrapText="1"/>
    </xf>
    <xf numFmtId="0" fontId="3" fillId="8" borderId="0" xfId="0" applyFont="1" applyFill="1" applyBorder="1" applyAlignment="1">
      <alignment vertical="top" wrapText="1"/>
    </xf>
    <xf numFmtId="0" fontId="3" fillId="8" borderId="0" xfId="0" applyFont="1" applyFill="1" applyBorder="1" applyAlignment="1">
      <alignment horizontal="center" vertical="top" wrapText="1"/>
    </xf>
    <xf numFmtId="14" fontId="3" fillId="8" borderId="0" xfId="0" applyNumberFormat="1" applyFont="1" applyFill="1" applyBorder="1" applyAlignment="1">
      <alignment horizontal="center" vertical="top" wrapText="1"/>
    </xf>
    <xf numFmtId="0" fontId="3" fillId="8" borderId="0" xfId="0" applyNumberFormat="1" applyFont="1" applyFill="1" applyBorder="1" applyAlignment="1">
      <alignment vertical="top" wrapText="1"/>
    </xf>
    <xf numFmtId="0" fontId="4" fillId="8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WB Excel Theme">
  <a:themeElements>
    <a:clrScheme name="CWB Colours">
      <a:dk1>
        <a:srgbClr val="111111"/>
      </a:dk1>
      <a:lt1>
        <a:srgbClr val="FFFFFF"/>
      </a:lt1>
      <a:dk2>
        <a:srgbClr val="77777A"/>
      </a:dk2>
      <a:lt2>
        <a:srgbClr val="BAC5B9"/>
      </a:lt2>
      <a:accent1>
        <a:srgbClr val="0097A9"/>
      </a:accent1>
      <a:accent2>
        <a:srgbClr val="DAAA00"/>
      </a:accent2>
      <a:accent3>
        <a:srgbClr val="F3D03E"/>
      </a:accent3>
      <a:accent4>
        <a:srgbClr val="F68D2E"/>
      </a:accent4>
      <a:accent5>
        <a:srgbClr val="84754E"/>
      </a:accent5>
      <a:accent6>
        <a:srgbClr val="003B5C"/>
      </a:accent6>
      <a:hlink>
        <a:srgbClr val="0097A9"/>
      </a:hlink>
      <a:folHlink>
        <a:srgbClr val="3CCBD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B97F-487B-4992-B8C3-DD0ACF0389B3}">
  <dimension ref="B1:I33"/>
  <sheetViews>
    <sheetView tabSelected="1" workbookViewId="0">
      <selection activeCell="G30" sqref="G30"/>
    </sheetView>
  </sheetViews>
  <sheetFormatPr defaultRowHeight="14.3" x14ac:dyDescent="0.25"/>
  <cols>
    <col min="1" max="1" width="3.42578125" style="1" customWidth="1"/>
    <col min="2" max="2" width="7.140625" style="1" bestFit="1" customWidth="1"/>
    <col min="3" max="3" width="86.28515625" style="1" customWidth="1"/>
    <col min="4" max="4" width="30.5703125" style="1" customWidth="1"/>
    <col min="5" max="5" width="10" style="1" customWidth="1"/>
    <col min="6" max="6" width="14.5703125" style="2" bestFit="1" customWidth="1"/>
    <col min="7" max="7" width="10.7109375" style="2" bestFit="1" customWidth="1"/>
    <col min="8" max="8" width="16.7109375" style="3" customWidth="1"/>
    <col min="9" max="9" width="12.7109375" style="1" customWidth="1"/>
    <col min="10" max="16384" width="9.140625" style="1"/>
  </cols>
  <sheetData>
    <row r="1" spans="2:9" ht="15.7" thickBot="1" x14ac:dyDescent="0.3">
      <c r="C1" s="5"/>
      <c r="D1" s="5"/>
      <c r="E1" s="5"/>
      <c r="F1" s="6"/>
      <c r="G1" s="6"/>
      <c r="H1" s="7"/>
      <c r="I1" s="5"/>
    </row>
    <row r="2" spans="2:9" s="4" customFormat="1" ht="29.95" x14ac:dyDescent="0.25">
      <c r="B2" s="26" t="s">
        <v>9</v>
      </c>
      <c r="C2" s="27" t="s">
        <v>0</v>
      </c>
      <c r="D2" s="27" t="s">
        <v>26</v>
      </c>
      <c r="E2" s="28" t="s">
        <v>3</v>
      </c>
      <c r="F2" s="29" t="s">
        <v>1</v>
      </c>
      <c r="G2" s="29" t="s">
        <v>2</v>
      </c>
      <c r="H2" s="30" t="s">
        <v>4</v>
      </c>
      <c r="I2" s="31" t="s">
        <v>6</v>
      </c>
    </row>
    <row r="3" spans="2:9" ht="15" x14ac:dyDescent="0.25">
      <c r="B3" s="37">
        <v>1</v>
      </c>
      <c r="C3" s="22" t="s">
        <v>24</v>
      </c>
      <c r="D3" s="22"/>
      <c r="E3" s="23">
        <f>_xlfn.DAYS(G3, F3)</f>
        <v>40</v>
      </c>
      <c r="F3" s="24">
        <f>F4</f>
        <v>44393</v>
      </c>
      <c r="G3" s="24">
        <f>G7</f>
        <v>44433</v>
      </c>
      <c r="H3" s="25"/>
      <c r="I3" s="38"/>
    </row>
    <row r="4" spans="2:9" ht="15" x14ac:dyDescent="0.25">
      <c r="B4" s="32">
        <v>1.01</v>
      </c>
      <c r="C4" s="15" t="s">
        <v>25</v>
      </c>
      <c r="D4" s="15" t="s">
        <v>27</v>
      </c>
      <c r="E4" s="16">
        <v>10</v>
      </c>
      <c r="F4" s="18">
        <v>44393</v>
      </c>
      <c r="G4" s="18">
        <f t="shared" ref="G4:G7" si="0">WORKDAY(F4,E4)</f>
        <v>44407</v>
      </c>
      <c r="H4" s="17" t="s">
        <v>5</v>
      </c>
      <c r="I4" s="33" t="s">
        <v>14</v>
      </c>
    </row>
    <row r="5" spans="2:9" x14ac:dyDescent="0.25">
      <c r="B5" s="32">
        <v>1.02</v>
      </c>
      <c r="C5" s="15" t="s">
        <v>30</v>
      </c>
      <c r="D5" s="15" t="s">
        <v>29</v>
      </c>
      <c r="E5" s="16">
        <v>1</v>
      </c>
      <c r="F5" s="18">
        <v>44428</v>
      </c>
      <c r="G5" s="18">
        <f t="shared" si="0"/>
        <v>44431</v>
      </c>
      <c r="H5" s="17" t="s">
        <v>5</v>
      </c>
      <c r="I5" s="33"/>
    </row>
    <row r="6" spans="2:9" ht="15" x14ac:dyDescent="0.25">
      <c r="B6" s="32">
        <v>1.03</v>
      </c>
      <c r="C6" s="15" t="s">
        <v>28</v>
      </c>
      <c r="D6" s="15" t="s">
        <v>29</v>
      </c>
      <c r="E6" s="16">
        <v>1</v>
      </c>
      <c r="F6" s="18">
        <v>44410</v>
      </c>
      <c r="G6" s="18">
        <f t="shared" ref="G6" si="1">WORKDAY(F6,E6)</f>
        <v>44411</v>
      </c>
      <c r="H6" s="17" t="s">
        <v>5</v>
      </c>
      <c r="I6" s="33"/>
    </row>
    <row r="7" spans="2:9" x14ac:dyDescent="0.25">
      <c r="B7" s="32">
        <v>1.04</v>
      </c>
      <c r="C7" s="15" t="s">
        <v>31</v>
      </c>
      <c r="D7" s="15" t="s">
        <v>32</v>
      </c>
      <c r="E7" s="16">
        <v>1</v>
      </c>
      <c r="F7" s="18">
        <v>44432</v>
      </c>
      <c r="G7" s="18">
        <f t="shared" si="0"/>
        <v>44433</v>
      </c>
      <c r="H7" s="17" t="s">
        <v>5</v>
      </c>
      <c r="I7" s="33"/>
    </row>
    <row r="8" spans="2:9" x14ac:dyDescent="0.25">
      <c r="B8" s="34">
        <v>2</v>
      </c>
      <c r="C8" s="10" t="s">
        <v>42</v>
      </c>
      <c r="D8" s="10"/>
      <c r="E8" s="11">
        <f>_xlfn.DAYS(G8, F8)</f>
        <v>4</v>
      </c>
      <c r="F8" s="19">
        <f>F9</f>
        <v>44424</v>
      </c>
      <c r="G8" s="19">
        <v>44428</v>
      </c>
      <c r="H8" s="48" t="s">
        <v>10</v>
      </c>
      <c r="I8" s="49"/>
    </row>
    <row r="9" spans="2:9" x14ac:dyDescent="0.25">
      <c r="B9" s="32">
        <v>2.0099999999999998</v>
      </c>
      <c r="C9" s="15" t="s">
        <v>34</v>
      </c>
      <c r="D9" s="15" t="s">
        <v>33</v>
      </c>
      <c r="E9" s="16">
        <v>4</v>
      </c>
      <c r="F9" s="18">
        <v>44424</v>
      </c>
      <c r="G9" s="18">
        <f t="shared" ref="G9:G14" si="2">WORKDAY(F9,E9)</f>
        <v>44428</v>
      </c>
      <c r="H9" s="17" t="s">
        <v>5</v>
      </c>
      <c r="I9" s="33"/>
    </row>
    <row r="10" spans="2:9" x14ac:dyDescent="0.25">
      <c r="B10" s="32">
        <v>2.02</v>
      </c>
      <c r="C10" s="15" t="s">
        <v>37</v>
      </c>
      <c r="D10" s="15" t="s">
        <v>29</v>
      </c>
      <c r="E10" s="16">
        <v>0</v>
      </c>
      <c r="F10" s="18">
        <v>44428</v>
      </c>
      <c r="G10" s="18">
        <f t="shared" si="2"/>
        <v>44428</v>
      </c>
      <c r="H10" s="17" t="s">
        <v>15</v>
      </c>
      <c r="I10" s="33"/>
    </row>
    <row r="11" spans="2:9" ht="19.25" customHeight="1" x14ac:dyDescent="0.25">
      <c r="B11" s="32">
        <v>2.0299999999999998</v>
      </c>
      <c r="C11" s="15" t="s">
        <v>35</v>
      </c>
      <c r="D11" s="15" t="s">
        <v>8</v>
      </c>
      <c r="E11" s="16">
        <v>2</v>
      </c>
      <c r="F11" s="18">
        <v>44412</v>
      </c>
      <c r="G11" s="18">
        <f t="shared" ref="G11:G12" si="3">WORKDAY(F11,E11)</f>
        <v>44414</v>
      </c>
      <c r="H11" s="17" t="s">
        <v>11</v>
      </c>
      <c r="I11" s="33" t="s">
        <v>14</v>
      </c>
    </row>
    <row r="12" spans="2:9" x14ac:dyDescent="0.25">
      <c r="B12" s="32">
        <v>2.04</v>
      </c>
      <c r="C12" s="15" t="s">
        <v>36</v>
      </c>
      <c r="D12" s="15" t="s">
        <v>7</v>
      </c>
      <c r="E12" s="16">
        <v>1</v>
      </c>
      <c r="F12" s="18">
        <v>44425</v>
      </c>
      <c r="G12" s="18">
        <f t="shared" si="3"/>
        <v>44426</v>
      </c>
      <c r="H12" s="17" t="s">
        <v>38</v>
      </c>
      <c r="I12" s="33"/>
    </row>
    <row r="13" spans="2:9" x14ac:dyDescent="0.25">
      <c r="B13" s="32">
        <v>2.0499999999999998</v>
      </c>
      <c r="C13" s="15" t="s">
        <v>39</v>
      </c>
      <c r="D13" s="15" t="s">
        <v>61</v>
      </c>
      <c r="E13" s="16">
        <v>0.5</v>
      </c>
      <c r="F13" s="18">
        <f>G12</f>
        <v>44426</v>
      </c>
      <c r="G13" s="18">
        <f t="shared" si="2"/>
        <v>44426</v>
      </c>
      <c r="H13" s="17" t="s">
        <v>40</v>
      </c>
      <c r="I13" s="33"/>
    </row>
    <row r="14" spans="2:9" x14ac:dyDescent="0.25">
      <c r="B14" s="32">
        <v>2.06</v>
      </c>
      <c r="C14" s="15" t="s">
        <v>41</v>
      </c>
      <c r="D14" s="15" t="s">
        <v>61</v>
      </c>
      <c r="E14" s="16">
        <v>0.5</v>
      </c>
      <c r="F14" s="18">
        <v>44421</v>
      </c>
      <c r="G14" s="18">
        <f t="shared" si="2"/>
        <v>44421</v>
      </c>
      <c r="H14" s="17" t="s">
        <v>40</v>
      </c>
      <c r="I14" s="33" t="s">
        <v>14</v>
      </c>
    </row>
    <row r="15" spans="2:9" ht="18.55" customHeight="1" x14ac:dyDescent="0.25">
      <c r="B15" s="32">
        <v>2.0699999999999998</v>
      </c>
      <c r="C15" s="15" t="s">
        <v>43</v>
      </c>
      <c r="D15" s="15" t="s">
        <v>44</v>
      </c>
      <c r="E15" s="16">
        <v>0</v>
      </c>
      <c r="F15" s="18">
        <v>44428</v>
      </c>
      <c r="G15" s="18">
        <f t="shared" ref="G15:G16" si="4">WORKDAY(F15,E15)</f>
        <v>44428</v>
      </c>
      <c r="H15" s="17" t="s">
        <v>45</v>
      </c>
      <c r="I15" s="33"/>
    </row>
    <row r="16" spans="2:9" x14ac:dyDescent="0.25">
      <c r="B16" s="32">
        <v>2.08</v>
      </c>
      <c r="C16" s="15" t="s">
        <v>59</v>
      </c>
      <c r="D16" s="15" t="s">
        <v>29</v>
      </c>
      <c r="E16" s="16">
        <v>0</v>
      </c>
      <c r="F16" s="18">
        <v>44428</v>
      </c>
      <c r="G16" s="18">
        <f t="shared" si="4"/>
        <v>44428</v>
      </c>
      <c r="H16" s="17" t="s">
        <v>46</v>
      </c>
      <c r="I16" s="33"/>
    </row>
    <row r="17" spans="2:9" x14ac:dyDescent="0.25">
      <c r="B17" s="39">
        <v>3</v>
      </c>
      <c r="C17" s="13" t="s">
        <v>47</v>
      </c>
      <c r="D17" s="13" t="s">
        <v>22</v>
      </c>
      <c r="E17" s="14">
        <f>_xlfn.DAYS(G17, F17)</f>
        <v>8</v>
      </c>
      <c r="F17" s="21">
        <f>F18</f>
        <v>44425</v>
      </c>
      <c r="G17" s="21">
        <v>44433</v>
      </c>
      <c r="H17" s="41" t="s">
        <v>12</v>
      </c>
      <c r="I17" s="40"/>
    </row>
    <row r="18" spans="2:9" x14ac:dyDescent="0.25">
      <c r="B18" s="32">
        <v>3.01</v>
      </c>
      <c r="C18" s="15" t="s">
        <v>48</v>
      </c>
      <c r="D18" s="15" t="s">
        <v>33</v>
      </c>
      <c r="E18" s="16">
        <v>4</v>
      </c>
      <c r="F18" s="18">
        <v>44425</v>
      </c>
      <c r="G18" s="18">
        <f>WORKDAY(F18,E18)-3</f>
        <v>44428</v>
      </c>
      <c r="H18" s="17" t="s">
        <v>12</v>
      </c>
      <c r="I18" s="33"/>
    </row>
    <row r="19" spans="2:9" x14ac:dyDescent="0.25">
      <c r="B19" s="32">
        <v>3.02</v>
      </c>
      <c r="C19" s="15" t="s">
        <v>49</v>
      </c>
      <c r="D19" s="15" t="s">
        <v>33</v>
      </c>
      <c r="E19" s="16">
        <v>5</v>
      </c>
      <c r="F19" s="18">
        <v>44421</v>
      </c>
      <c r="G19" s="18">
        <f>WORKDAY(F19,E19)-3</f>
        <v>44425</v>
      </c>
      <c r="H19" s="17" t="s">
        <v>12</v>
      </c>
      <c r="I19" s="33"/>
    </row>
    <row r="20" spans="2:9" x14ac:dyDescent="0.25">
      <c r="B20" s="35">
        <v>3.03</v>
      </c>
      <c r="C20" s="8" t="s">
        <v>50</v>
      </c>
      <c r="D20" s="8" t="s">
        <v>33</v>
      </c>
      <c r="E20" s="9">
        <v>6</v>
      </c>
      <c r="F20" s="18">
        <v>44426</v>
      </c>
      <c r="G20" s="18">
        <f>WORKDAY(F20,E20)-3</f>
        <v>44431</v>
      </c>
      <c r="H20" s="17" t="s">
        <v>12</v>
      </c>
      <c r="I20" s="36"/>
    </row>
    <row r="21" spans="2:9" ht="18.55" customHeight="1" x14ac:dyDescent="0.25">
      <c r="B21" s="32">
        <v>3.04</v>
      </c>
      <c r="C21" s="8" t="s">
        <v>51</v>
      </c>
      <c r="D21" s="8" t="s">
        <v>52</v>
      </c>
      <c r="E21" s="9">
        <v>0.5</v>
      </c>
      <c r="F21" s="20">
        <v>44433</v>
      </c>
      <c r="G21" s="18">
        <f>WORKDAY(F21,E21)</f>
        <v>44433</v>
      </c>
      <c r="H21" s="12" t="s">
        <v>55</v>
      </c>
      <c r="I21" s="36"/>
    </row>
    <row r="22" spans="2:9" x14ac:dyDescent="0.25">
      <c r="B22" s="32">
        <v>3.05</v>
      </c>
      <c r="C22" s="8" t="s">
        <v>53</v>
      </c>
      <c r="D22" s="8" t="s">
        <v>29</v>
      </c>
      <c r="E22" s="9">
        <v>0.5</v>
      </c>
      <c r="F22" s="20">
        <v>44433</v>
      </c>
      <c r="G22" s="18">
        <f>WORKDAY(F22,E22)</f>
        <v>44433</v>
      </c>
      <c r="H22" s="12" t="s">
        <v>13</v>
      </c>
      <c r="I22" s="36"/>
    </row>
    <row r="23" spans="2:9" x14ac:dyDescent="0.25">
      <c r="B23" s="50">
        <v>4</v>
      </c>
      <c r="C23" s="51" t="s">
        <v>54</v>
      </c>
      <c r="D23" s="51" t="s">
        <v>23</v>
      </c>
      <c r="E23" s="52">
        <f>_xlfn.DAYS(G23, F23)</f>
        <v>19</v>
      </c>
      <c r="F23" s="53">
        <f>F24</f>
        <v>44432</v>
      </c>
      <c r="G23" s="53">
        <v>44451</v>
      </c>
      <c r="H23" s="54" t="s">
        <v>16</v>
      </c>
      <c r="I23" s="55"/>
    </row>
    <row r="24" spans="2:9" ht="17.850000000000001" customHeight="1" x14ac:dyDescent="0.25">
      <c r="B24" s="32">
        <v>4.01</v>
      </c>
      <c r="C24" s="15" t="s">
        <v>35</v>
      </c>
      <c r="D24" s="15" t="s">
        <v>8</v>
      </c>
      <c r="E24" s="16">
        <v>4</v>
      </c>
      <c r="F24" s="18">
        <v>44432</v>
      </c>
      <c r="G24" s="18">
        <f>WORKDAY(F24,E24)-1</f>
        <v>44437</v>
      </c>
      <c r="H24" s="17" t="s">
        <v>16</v>
      </c>
      <c r="I24" s="33"/>
    </row>
    <row r="25" spans="2:9" x14ac:dyDescent="0.25">
      <c r="B25" s="32">
        <v>4.0199999999999996</v>
      </c>
      <c r="C25" s="15" t="s">
        <v>62</v>
      </c>
      <c r="D25" s="15" t="s">
        <v>7</v>
      </c>
      <c r="E25" s="16">
        <v>1</v>
      </c>
      <c r="F25" s="18">
        <f>G24</f>
        <v>44437</v>
      </c>
      <c r="G25" s="18">
        <f>WORKDAY(F25,E25)-1</f>
        <v>44437</v>
      </c>
      <c r="H25" s="17" t="s">
        <v>17</v>
      </c>
      <c r="I25" s="33"/>
    </row>
    <row r="26" spans="2:9" ht="15" x14ac:dyDescent="0.25">
      <c r="B26" s="32">
        <v>4.03</v>
      </c>
      <c r="C26" s="15" t="s">
        <v>39</v>
      </c>
      <c r="D26" s="15" t="s">
        <v>27</v>
      </c>
      <c r="E26" s="16">
        <v>0.5</v>
      </c>
      <c r="F26" s="20">
        <f>G25</f>
        <v>44437</v>
      </c>
      <c r="G26" s="18">
        <f>WORKDAY(F26,E26)</f>
        <v>44437</v>
      </c>
      <c r="H26" s="12" t="s">
        <v>18</v>
      </c>
      <c r="I26" s="36"/>
    </row>
    <row r="27" spans="2:9" ht="15" x14ac:dyDescent="0.25">
      <c r="B27" s="32">
        <v>4.04</v>
      </c>
      <c r="C27" s="15" t="s">
        <v>41</v>
      </c>
      <c r="D27" s="15" t="s">
        <v>27</v>
      </c>
      <c r="E27" s="16">
        <v>0.5</v>
      </c>
      <c r="F27" s="20">
        <f>F26</f>
        <v>44437</v>
      </c>
      <c r="G27" s="18">
        <f>WORKDAY(F27,E27)</f>
        <v>44437</v>
      </c>
      <c r="H27" s="12" t="s">
        <v>18</v>
      </c>
      <c r="I27" s="36"/>
    </row>
    <row r="28" spans="2:9" ht="18.55" customHeight="1" x14ac:dyDescent="0.25">
      <c r="B28" s="32">
        <v>4.05</v>
      </c>
      <c r="C28" s="15" t="s">
        <v>43</v>
      </c>
      <c r="D28" s="15" t="s">
        <v>44</v>
      </c>
      <c r="E28" s="16">
        <v>0</v>
      </c>
      <c r="F28" s="18">
        <v>44437</v>
      </c>
      <c r="G28" s="18">
        <v>44437</v>
      </c>
      <c r="H28" s="12" t="s">
        <v>57</v>
      </c>
      <c r="I28" s="36"/>
    </row>
    <row r="29" spans="2:9" x14ac:dyDescent="0.25">
      <c r="B29" s="32">
        <v>4.0599999999999996</v>
      </c>
      <c r="C29" s="15" t="s">
        <v>60</v>
      </c>
      <c r="D29" s="15" t="s">
        <v>29</v>
      </c>
      <c r="E29" s="16">
        <v>0</v>
      </c>
      <c r="F29" s="20">
        <f>G28</f>
        <v>44437</v>
      </c>
      <c r="G29" s="18">
        <v>44426</v>
      </c>
      <c r="H29" s="12" t="s">
        <v>19</v>
      </c>
      <c r="I29" s="36"/>
    </row>
    <row r="30" spans="2:9" x14ac:dyDescent="0.25">
      <c r="B30" s="32">
        <v>4.07</v>
      </c>
      <c r="C30" s="15" t="s">
        <v>56</v>
      </c>
      <c r="D30" s="15" t="s">
        <v>58</v>
      </c>
      <c r="E30" s="16">
        <v>0</v>
      </c>
      <c r="F30" s="18">
        <v>44438</v>
      </c>
      <c r="G30" s="18">
        <v>44431</v>
      </c>
      <c r="H30" s="12" t="s">
        <v>20</v>
      </c>
      <c r="I30" s="36"/>
    </row>
    <row r="31" spans="2:9" x14ac:dyDescent="0.25">
      <c r="B31" s="32">
        <v>4.08</v>
      </c>
      <c r="C31" s="8" t="s">
        <v>63</v>
      </c>
      <c r="D31" s="8" t="s">
        <v>7</v>
      </c>
      <c r="E31" s="9">
        <v>1</v>
      </c>
      <c r="F31" s="20">
        <v>44451</v>
      </c>
      <c r="G31" s="18">
        <f>WORKDAY(F31,E31)-1</f>
        <v>44451</v>
      </c>
      <c r="H31" s="12" t="s">
        <v>21</v>
      </c>
      <c r="I31" s="36"/>
    </row>
    <row r="32" spans="2:9" ht="15" thickBot="1" x14ac:dyDescent="0.3">
      <c r="B32" s="42"/>
      <c r="C32" s="43"/>
      <c r="D32" s="43"/>
      <c r="E32" s="44"/>
      <c r="F32" s="45"/>
      <c r="G32" s="45"/>
      <c r="H32" s="46"/>
      <c r="I32" s="47"/>
    </row>
    <row r="33" spans="3:9" ht="15" x14ac:dyDescent="0.25">
      <c r="C33" s="5"/>
      <c r="D33" s="5"/>
      <c r="E33" s="5"/>
      <c r="F33" s="6"/>
      <c r="G33" s="6"/>
      <c r="H33" s="7"/>
      <c r="I33" s="5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28E72-AD36-4732-A682-736B3BF01D5F}"/>
</file>

<file path=customXml/itemProps2.xml><?xml version="1.0" encoding="utf-8"?>
<ds:datastoreItem xmlns:ds="http://schemas.openxmlformats.org/officeDocument/2006/customXml" ds:itemID="{62176B57-18F9-447E-98AF-332273BF864A}"/>
</file>

<file path=customXml/itemProps3.xml><?xml version="1.0" encoding="utf-8"?>
<ds:datastoreItem xmlns:ds="http://schemas.openxmlformats.org/officeDocument/2006/customXml" ds:itemID="{B242A3AA-7CA3-4856-BAC7-EEE1FA56C7C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CWB.digital Readiness Plan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Dapo Martins</dc:creator>
  <cp:lastModifiedBy>Dino Noce</cp:lastModifiedBy>
  <dcterms:created xsi:type="dcterms:W3CDTF">2021-06-09T18:11:11Z</dcterms:created>
  <dcterms:modified xsi:type="dcterms:W3CDTF">2021-08-18T00:25:24Z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  <property fmtid="{D5CDD505-2E9C-101B-9397-08002B2CF9AE}" pid="4" name="URL">
    <vt:lpwstr/>
  </property>
</Properties>
</file>