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2" Type="http://schemas.microsoft.com/office/2011/relationships/webextensiontaskpanes" Target="xl/webextensions/taskpanes.xml"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 Id="rId6"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https://sp.cwb.local/projects/pmo2/Digital Program/Digital Program SharePoint/3 Digital Online Banking/1 Small Business DOB/3 Build/"/>
    </mc:Choice>
  </mc:AlternateContent>
  <xr:revisionPtr revIDLastSave="0" documentId="13_ncr:1_{16094A53-1FF3-4D3D-A033-7B7249D907C5}" xr6:coauthVersionLast="46" xr6:coauthVersionMax="46" xr10:uidLastSave="{00000000-0000-0000-0000-000000000000}"/>
  <bookViews>
    <workbookView xWindow="40920" yWindow="-120" windowWidth="24240" windowHeight="13140" tabRatio="493" activeTab="1" xr2:uid="{00000000-000D-0000-FFFF-FFFF00000000}"/>
  </bookViews>
  <sheets>
    <sheet name="Sprint Status Dashboard" sheetId="14" r:id="rId1"/>
    <sheet name="DBX Sprint" sheetId="7" r:id="rId2"/>
    <sheet name="PM Dashboard" sheetId="8" state="hidden" r:id="rId3"/>
    <sheet name="Formatted" sheetId="4" state="hidden" r:id="rId4"/>
  </sheets>
  <definedNames>
    <definedName name="_xlnm._FilterDatabase" localSheetId="1" hidden="1">'DBX Sprint'!$A$1:$K$158</definedName>
    <definedName name="_xlnm._FilterDatabase" localSheetId="3" hidden="1">Formatted!$A$1:$AU$1</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8" i="8" l="1" a="1"/>
  <c r="I148" i="8" s="1"/>
  <c r="I147" i="8" a="1"/>
  <c r="I147" i="8" s="1"/>
  <c r="I146" i="8" a="1"/>
  <c r="I146" i="8" s="1"/>
  <c r="I145" i="8" a="1"/>
  <c r="I145" i="8" s="1"/>
  <c r="I144" i="8" a="1"/>
  <c r="I144" i="8" s="1"/>
  <c r="I143" i="8" a="1"/>
  <c r="I143" i="8" s="1"/>
  <c r="I142" i="8" a="1"/>
  <c r="I142" i="8" s="1"/>
  <c r="I141" i="8" a="1"/>
  <c r="I141" i="8" s="1"/>
  <c r="I140" i="8" a="1"/>
  <c r="I140" i="8" s="1"/>
  <c r="I139" i="8" a="1"/>
  <c r="I139" i="8" s="1"/>
  <c r="I138" i="8" a="1"/>
  <c r="I138" i="8" s="1"/>
  <c r="I137" i="8" a="1"/>
  <c r="I137" i="8" s="1"/>
  <c r="I136" i="8" a="1"/>
  <c r="I136" i="8" s="1"/>
  <c r="I135" i="8" a="1"/>
  <c r="I135" i="8" s="1"/>
  <c r="I134" i="8" a="1"/>
  <c r="I134" i="8" s="1"/>
  <c r="I133" i="8" a="1"/>
  <c r="I133" i="8" s="1"/>
  <c r="I132" i="8" a="1"/>
  <c r="I132" i="8" s="1"/>
  <c r="I131" i="8" a="1"/>
  <c r="I131" i="8" s="1"/>
  <c r="I130" i="8" a="1"/>
  <c r="I130" i="8" s="1"/>
  <c r="I129" i="8" a="1"/>
  <c r="I129" i="8" s="1"/>
  <c r="I128" i="8" a="1"/>
  <c r="I128" i="8" s="1"/>
  <c r="I127" i="8" a="1"/>
  <c r="I127" i="8" s="1"/>
  <c r="I126" i="8" a="1"/>
  <c r="I126" i="8" s="1"/>
  <c r="I125" i="8" a="1"/>
  <c r="I125" i="8" s="1"/>
  <c r="I124" i="8" a="1"/>
  <c r="I124" i="8" s="1"/>
  <c r="I123" i="8" a="1"/>
  <c r="I123" i="8" s="1"/>
  <c r="I122" i="8" a="1"/>
  <c r="I122" i="8" s="1"/>
  <c r="I121" i="8" a="1"/>
  <c r="I121" i="8" s="1"/>
  <c r="I120" i="8" a="1"/>
  <c r="I120" i="8" s="1"/>
  <c r="I119" i="8" a="1"/>
  <c r="I119" i="8" s="1"/>
  <c r="I118" i="8" a="1"/>
  <c r="I118" i="8" s="1"/>
  <c r="I117" i="8" a="1"/>
  <c r="I117" i="8" s="1"/>
  <c r="I116" i="8" a="1"/>
  <c r="I116" i="8" s="1"/>
  <c r="I115" i="8" a="1"/>
  <c r="I115" i="8" s="1"/>
  <c r="I114" i="8" a="1"/>
  <c r="I114" i="8" s="1"/>
  <c r="I113" i="8" a="1"/>
  <c r="I113" i="8" s="1"/>
  <c r="I112" i="8" a="1"/>
  <c r="I112" i="8" s="1"/>
  <c r="I111" i="8" a="1"/>
  <c r="I111" i="8" s="1"/>
  <c r="I110" i="8" a="1"/>
  <c r="I110" i="8" s="1"/>
  <c r="I109" i="8" a="1"/>
  <c r="I109" i="8" s="1"/>
  <c r="I108" i="8" a="1"/>
  <c r="I108" i="8" s="1"/>
  <c r="I107" i="8" a="1"/>
  <c r="I107" i="8" s="1"/>
  <c r="I106" i="8" a="1"/>
  <c r="I106" i="8" s="1"/>
  <c r="I105" i="8" a="1"/>
  <c r="I105" i="8" s="1"/>
  <c r="I104" i="8" a="1"/>
  <c r="I104" i="8" s="1"/>
  <c r="I103" i="8" a="1"/>
  <c r="I103" i="8" s="1"/>
  <c r="I102" i="8" a="1"/>
  <c r="I102" i="8" s="1"/>
  <c r="I101" i="8" a="1"/>
  <c r="I101" i="8" s="1"/>
  <c r="I100" i="8" a="1"/>
  <c r="I100" i="8" s="1"/>
  <c r="I99" i="8" a="1"/>
  <c r="I99" i="8" s="1"/>
  <c r="I98" i="8" a="1"/>
  <c r="I98" i="8" s="1"/>
  <c r="I97" i="8" a="1"/>
  <c r="I97" i="8" s="1"/>
  <c r="I96" i="8" a="1"/>
  <c r="I96" i="8" s="1"/>
  <c r="I95" i="8" a="1"/>
  <c r="I95" i="8" s="1"/>
  <c r="I94" i="8" a="1"/>
  <c r="I94" i="8" s="1"/>
  <c r="I93" i="8" a="1"/>
  <c r="I93" i="8" s="1"/>
  <c r="I92" i="8" a="1"/>
  <c r="I92" i="8" s="1"/>
  <c r="I91" i="8" a="1"/>
  <c r="I91" i="8" s="1"/>
  <c r="I90" i="8" a="1"/>
  <c r="I90" i="8" s="1"/>
  <c r="I89" i="8" a="1"/>
  <c r="I89" i="8" s="1"/>
  <c r="I88" i="8" a="1"/>
  <c r="I88" i="8" s="1"/>
  <c r="I87" i="8" a="1"/>
  <c r="I87" i="8" s="1"/>
  <c r="I86" i="8" a="1"/>
  <c r="I86" i="8" s="1"/>
  <c r="I85" i="8" a="1"/>
  <c r="I85" i="8" s="1"/>
  <c r="I84" i="8" a="1"/>
  <c r="I84" i="8" s="1"/>
  <c r="I83" i="8" a="1"/>
  <c r="I83" i="8" s="1"/>
  <c r="I82" i="8" a="1"/>
  <c r="I82" i="8" s="1"/>
  <c r="I81" i="8" a="1"/>
  <c r="I81" i="8" s="1"/>
  <c r="I80" i="8" a="1"/>
  <c r="I80" i="8" s="1"/>
  <c r="I79" i="8" a="1"/>
  <c r="I79" i="8" s="1"/>
  <c r="I78" i="8" a="1"/>
  <c r="I78" i="8" s="1"/>
  <c r="I77" i="8" a="1"/>
  <c r="I77" i="8" s="1"/>
  <c r="I76" i="8" a="1"/>
  <c r="I76" i="8" s="1"/>
  <c r="I75" i="8" a="1"/>
  <c r="I75" i="8" s="1"/>
  <c r="I74" i="8" a="1"/>
  <c r="I74" i="8" s="1"/>
  <c r="I73" i="8" a="1"/>
  <c r="I73" i="8" s="1"/>
  <c r="I72" i="8" a="1"/>
  <c r="I72" i="8" s="1"/>
  <c r="I71" i="8" a="1"/>
  <c r="I71" i="8" s="1"/>
  <c r="I70" i="8" a="1"/>
  <c r="I70" i="8" s="1"/>
  <c r="I69" i="8" a="1"/>
  <c r="I69" i="8" s="1"/>
  <c r="I68" i="8" a="1"/>
  <c r="I68" i="8" s="1"/>
  <c r="I67" i="8" a="1"/>
  <c r="I67" i="8" s="1"/>
  <c r="I66" i="8" a="1"/>
  <c r="I66" i="8" s="1"/>
  <c r="I65" i="8" a="1"/>
  <c r="I65" i="8" s="1"/>
  <c r="I64" i="8" a="1"/>
  <c r="I64" i="8" s="1"/>
  <c r="I63" i="8" a="1"/>
  <c r="I63" i="8" s="1"/>
  <c r="K148" i="8" a="1"/>
  <c r="K148" i="8" s="1"/>
  <c r="K147" i="8" a="1"/>
  <c r="K147" i="8" s="1"/>
  <c r="K146" i="8" a="1"/>
  <c r="K146" i="8" s="1"/>
  <c r="K145" i="8" a="1"/>
  <c r="K145" i="8" s="1"/>
  <c r="K144" i="8" a="1"/>
  <c r="K144" i="8" s="1"/>
  <c r="K143" i="8" a="1"/>
  <c r="K143" i="8" s="1"/>
  <c r="K142" i="8" a="1"/>
  <c r="K142" i="8" s="1"/>
  <c r="K141" i="8" a="1"/>
  <c r="K141" i="8" s="1"/>
  <c r="K140" i="8" a="1"/>
  <c r="K140" i="8" s="1"/>
  <c r="K139" i="8" a="1"/>
  <c r="K139" i="8" s="1"/>
  <c r="K138" i="8" a="1"/>
  <c r="K138" i="8" s="1"/>
  <c r="K137" i="8" a="1"/>
  <c r="K137" i="8" s="1"/>
  <c r="K136" i="8" a="1"/>
  <c r="K136" i="8" s="1"/>
  <c r="K135" i="8" a="1"/>
  <c r="K135" i="8" s="1"/>
  <c r="K134" i="8" a="1"/>
  <c r="K134" i="8" s="1"/>
  <c r="K133" i="8" a="1"/>
  <c r="K133" i="8" s="1"/>
  <c r="K132" i="8" a="1"/>
  <c r="K132" i="8" s="1"/>
  <c r="K131" i="8" a="1"/>
  <c r="K131" i="8" s="1"/>
  <c r="K130" i="8" a="1"/>
  <c r="K130" i="8" s="1"/>
  <c r="K129" i="8" a="1"/>
  <c r="K129" i="8" s="1"/>
  <c r="K128" i="8" a="1"/>
  <c r="K128" i="8" s="1"/>
  <c r="K127" i="8" a="1"/>
  <c r="K127" i="8" s="1"/>
  <c r="K126" i="8" a="1"/>
  <c r="K126" i="8" s="1"/>
  <c r="K125" i="8" a="1"/>
  <c r="K125" i="8" s="1"/>
  <c r="K124" i="8" a="1"/>
  <c r="K124" i="8" s="1"/>
  <c r="K123" i="8" a="1"/>
  <c r="K123" i="8" s="1"/>
  <c r="K122" i="8" a="1"/>
  <c r="K122" i="8" s="1"/>
  <c r="K121" i="8" a="1"/>
  <c r="K121" i="8" s="1"/>
  <c r="K120" i="8" a="1"/>
  <c r="K120" i="8" s="1"/>
  <c r="K119" i="8" a="1"/>
  <c r="K119" i="8" s="1"/>
  <c r="K118" i="8" a="1"/>
  <c r="K118" i="8" s="1"/>
  <c r="K117" i="8" a="1"/>
  <c r="K117" i="8" s="1"/>
  <c r="K116" i="8" a="1"/>
  <c r="K116" i="8" s="1"/>
  <c r="K115" i="8" a="1"/>
  <c r="K115" i="8" s="1"/>
  <c r="K114" i="8" a="1"/>
  <c r="K114" i="8" s="1"/>
  <c r="K113" i="8" a="1"/>
  <c r="K113" i="8" s="1"/>
  <c r="K112" i="8" a="1"/>
  <c r="K112" i="8" s="1"/>
  <c r="K111" i="8" a="1"/>
  <c r="K111" i="8" s="1"/>
  <c r="K110" i="8" a="1"/>
  <c r="K110" i="8" s="1"/>
  <c r="K109" i="8" a="1"/>
  <c r="K109" i="8" s="1"/>
  <c r="K108" i="8" a="1"/>
  <c r="K108" i="8" s="1"/>
  <c r="K107" i="8" a="1"/>
  <c r="K107" i="8" s="1"/>
  <c r="M148" i="8" a="1"/>
  <c r="M148" i="8" s="1"/>
  <c r="M147" i="8" a="1"/>
  <c r="M147" i="8" s="1"/>
  <c r="M146" i="8" a="1"/>
  <c r="M146" i="8" s="1"/>
  <c r="M145" i="8" a="1"/>
  <c r="M145" i="8" s="1"/>
  <c r="M144" i="8" a="1"/>
  <c r="M144" i="8" s="1"/>
  <c r="M143" i="8" a="1"/>
  <c r="M143" i="8" s="1"/>
  <c r="M142" i="8" a="1"/>
  <c r="M142" i="8" s="1"/>
  <c r="M141" i="8" a="1"/>
  <c r="M141" i="8" s="1"/>
  <c r="M140" i="8" a="1"/>
  <c r="M140" i="8" s="1"/>
  <c r="M139" i="8" a="1"/>
  <c r="M139" i="8" s="1"/>
  <c r="M138" i="8" a="1"/>
  <c r="M138" i="8" s="1"/>
  <c r="M137" i="8" a="1"/>
  <c r="M137" i="8" s="1"/>
  <c r="M136" i="8" a="1"/>
  <c r="M136" i="8" s="1"/>
  <c r="M135" i="8" a="1"/>
  <c r="M135" i="8" s="1"/>
  <c r="M134" i="8" a="1"/>
  <c r="M134" i="8" s="1"/>
  <c r="M133" i="8" a="1"/>
  <c r="M133" i="8" s="1"/>
  <c r="M132" i="8" a="1"/>
  <c r="M132" i="8" s="1"/>
  <c r="M131" i="8" a="1"/>
  <c r="M131" i="8" s="1"/>
  <c r="M130" i="8" a="1"/>
  <c r="M130" i="8" s="1"/>
  <c r="M129" i="8" a="1"/>
  <c r="M129" i="8" s="1"/>
  <c r="M128" i="8" a="1"/>
  <c r="M128" i="8" s="1"/>
  <c r="M127" i="8" a="1"/>
  <c r="M127" i="8" s="1"/>
  <c r="M126" i="8" a="1"/>
  <c r="M126" i="8" s="1"/>
  <c r="M125" i="8" a="1"/>
  <c r="M125" i="8" s="1"/>
  <c r="M124" i="8" a="1"/>
  <c r="M124" i="8" s="1"/>
  <c r="M123" i="8" a="1"/>
  <c r="M123" i="8" s="1"/>
  <c r="M122" i="8" a="1"/>
  <c r="M122" i="8" s="1"/>
  <c r="M121" i="8" a="1"/>
  <c r="M121" i="8" s="1"/>
  <c r="M120" i="8" a="1"/>
  <c r="M120" i="8" s="1"/>
  <c r="M119" i="8" a="1"/>
  <c r="M119" i="8" s="1"/>
  <c r="M118" i="8" a="1"/>
  <c r="M118" i="8" s="1"/>
  <c r="M117" i="8" a="1"/>
  <c r="M117" i="8" s="1"/>
  <c r="M116" i="8" a="1"/>
  <c r="M116" i="8" s="1"/>
  <c r="M115" i="8" a="1"/>
  <c r="M115" i="8" s="1"/>
  <c r="M114" i="8" a="1"/>
  <c r="M114" i="8" s="1"/>
  <c r="M113" i="8" a="1"/>
  <c r="M113" i="8" s="1"/>
  <c r="M112" i="8" a="1"/>
  <c r="M112" i="8" s="1"/>
  <c r="M111" i="8" a="1"/>
  <c r="M111" i="8" s="1"/>
  <c r="M110" i="8" a="1"/>
  <c r="M110" i="8" s="1"/>
  <c r="M109" i="8" a="1"/>
  <c r="M109" i="8" s="1"/>
  <c r="M108" i="8" a="1"/>
  <c r="M108" i="8" s="1"/>
  <c r="M107" i="8" a="1"/>
  <c r="M107" i="8" s="1"/>
  <c r="M106" i="8" a="1"/>
  <c r="M106" i="8" s="1"/>
  <c r="M105" i="8" a="1"/>
  <c r="M105" i="8" s="1"/>
  <c r="M104" i="8" a="1"/>
  <c r="M104" i="8" s="1"/>
  <c r="M103" i="8" a="1"/>
  <c r="M103" i="8" s="1"/>
  <c r="M102" i="8" a="1"/>
  <c r="M102" i="8" s="1"/>
  <c r="M101" i="8" a="1"/>
  <c r="M101" i="8" s="1"/>
  <c r="M100" i="8" a="1"/>
  <c r="M100" i="8" s="1"/>
  <c r="M99" i="8" a="1"/>
  <c r="M99" i="8" s="1"/>
  <c r="M98" i="8" a="1"/>
  <c r="M98" i="8" s="1"/>
  <c r="M97" i="8" a="1"/>
  <c r="M97" i="8" s="1"/>
  <c r="M96" i="8" a="1"/>
  <c r="M96" i="8" s="1"/>
  <c r="M95" i="8" a="1"/>
  <c r="M95" i="8" s="1"/>
  <c r="M94" i="8" a="1"/>
  <c r="M94" i="8" s="1"/>
  <c r="M93" i="8" a="1"/>
  <c r="M93" i="8" s="1"/>
  <c r="M92" i="8" a="1"/>
  <c r="M92" i="8" s="1"/>
  <c r="M91" i="8" a="1"/>
  <c r="M91" i="8" s="1"/>
  <c r="M90" i="8" a="1"/>
  <c r="M90" i="8" s="1"/>
  <c r="M89" i="8" a="1"/>
  <c r="M89" i="8" s="1"/>
  <c r="M88" i="8" a="1"/>
  <c r="M88" i="8" s="1"/>
  <c r="M87" i="8" a="1"/>
  <c r="M87" i="8" s="1"/>
  <c r="M86" i="8" a="1"/>
  <c r="M86" i="8" s="1"/>
  <c r="M85" i="8" a="1"/>
  <c r="M85" i="8" s="1"/>
  <c r="M84" i="8" a="1"/>
  <c r="M84" i="8" s="1"/>
  <c r="M83" i="8" a="1"/>
  <c r="M83" i="8" s="1"/>
  <c r="M82" i="8" a="1"/>
  <c r="M82" i="8" s="1"/>
  <c r="M81" i="8" a="1"/>
  <c r="M81" i="8" s="1"/>
  <c r="M80" i="8" a="1"/>
  <c r="M80" i="8" s="1"/>
  <c r="M79" i="8" a="1"/>
  <c r="M79" i="8" s="1"/>
  <c r="M78" i="8" a="1"/>
  <c r="M78" i="8" s="1"/>
  <c r="M77" i="8" a="1"/>
  <c r="M77" i="8" s="1"/>
  <c r="M76" i="8" a="1"/>
  <c r="M76" i="8" s="1"/>
  <c r="M75" i="8" a="1"/>
  <c r="M75" i="8" s="1"/>
  <c r="M74" i="8" a="1"/>
  <c r="M74" i="8" s="1"/>
  <c r="M73" i="8" a="1"/>
  <c r="M73" i="8" s="1"/>
  <c r="M72" i="8" a="1"/>
  <c r="M72" i="8" s="1"/>
  <c r="M71" i="8" a="1"/>
  <c r="M71" i="8" s="1"/>
  <c r="M70" i="8" a="1"/>
  <c r="M70" i="8" s="1"/>
  <c r="M69" i="8" a="1"/>
  <c r="M69" i="8" s="1"/>
  <c r="M68" i="8" a="1"/>
  <c r="M68" i="8" s="1"/>
  <c r="M67" i="8" a="1"/>
  <c r="M67" i="8" s="1"/>
  <c r="M66" i="8" a="1"/>
  <c r="M66" i="8" s="1"/>
  <c r="M65" i="8" a="1"/>
  <c r="M65" i="8" s="1"/>
  <c r="M64" i="8" a="1"/>
  <c r="M64" i="8" s="1"/>
  <c r="M63" i="8" a="1"/>
  <c r="M63" i="8" s="1"/>
  <c r="M62" i="8" a="1"/>
  <c r="M62" i="8" s="1"/>
  <c r="L148" i="8" a="1"/>
  <c r="L148" i="8" s="1"/>
  <c r="L147" i="8" a="1"/>
  <c r="L147" i="8" s="1"/>
  <c r="L146" i="8" a="1"/>
  <c r="L146" i="8" s="1"/>
  <c r="L145" i="8" a="1"/>
  <c r="L145" i="8" s="1"/>
  <c r="L144" i="8" a="1"/>
  <c r="L144" i="8" s="1"/>
  <c r="L143" i="8" a="1"/>
  <c r="L143" i="8" s="1"/>
  <c r="L142" i="8" a="1"/>
  <c r="L142" i="8" s="1"/>
  <c r="L141" i="8" a="1"/>
  <c r="L141" i="8" s="1"/>
  <c r="L140" i="8" a="1"/>
  <c r="L140" i="8" s="1"/>
  <c r="L139" i="8" a="1"/>
  <c r="L139" i="8" s="1"/>
  <c r="L138" i="8" a="1"/>
  <c r="L138" i="8" s="1"/>
  <c r="L137" i="8" a="1"/>
  <c r="L137" i="8" s="1"/>
  <c r="L136" i="8" a="1"/>
  <c r="L136" i="8" s="1"/>
  <c r="L135" i="8" a="1"/>
  <c r="L135" i="8" s="1"/>
  <c r="L134" i="8" a="1"/>
  <c r="L134" i="8" s="1"/>
  <c r="L133" i="8" a="1"/>
  <c r="L133" i="8" s="1"/>
  <c r="L132" i="8" a="1"/>
  <c r="L132" i="8" s="1"/>
  <c r="L131" i="8" a="1"/>
  <c r="L131" i="8" s="1"/>
  <c r="L130" i="8" a="1"/>
  <c r="L130" i="8" s="1"/>
  <c r="L129" i="8" a="1"/>
  <c r="L129" i="8" s="1"/>
  <c r="L128" i="8" a="1"/>
  <c r="L128" i="8" s="1"/>
  <c r="L127" i="8" a="1"/>
  <c r="L127" i="8" s="1"/>
  <c r="L126" i="8" a="1"/>
  <c r="L126" i="8" s="1"/>
  <c r="L125" i="8" a="1"/>
  <c r="L125" i="8" s="1"/>
  <c r="L124" i="8" a="1"/>
  <c r="L124" i="8" s="1"/>
  <c r="L123" i="8" a="1"/>
  <c r="L123" i="8" s="1"/>
  <c r="L122" i="8" a="1"/>
  <c r="L122" i="8" s="1"/>
  <c r="L121" i="8" a="1"/>
  <c r="L121" i="8" s="1"/>
  <c r="L120" i="8" a="1"/>
  <c r="L120" i="8" s="1"/>
  <c r="L119" i="8" a="1"/>
  <c r="L119" i="8" s="1"/>
  <c r="L118" i="8" a="1"/>
  <c r="L118" i="8" s="1"/>
  <c r="L117" i="8" a="1"/>
  <c r="L117" i="8" s="1"/>
  <c r="L116" i="8" a="1"/>
  <c r="L116" i="8" s="1"/>
  <c r="L115" i="8" a="1"/>
  <c r="L115" i="8" s="1"/>
  <c r="L114" i="8" a="1"/>
  <c r="L114" i="8" s="1"/>
  <c r="L113" i="8" a="1"/>
  <c r="L113" i="8" s="1"/>
  <c r="L112" i="8" a="1"/>
  <c r="L112" i="8" s="1"/>
  <c r="L111" i="8" a="1"/>
  <c r="L111" i="8" s="1"/>
  <c r="L110" i="8" a="1"/>
  <c r="L110" i="8" s="1"/>
  <c r="L109" i="8" a="1"/>
  <c r="L109" i="8" s="1"/>
  <c r="L108" i="8" a="1"/>
  <c r="L108" i="8" s="1"/>
  <c r="L107" i="8" a="1"/>
  <c r="L107" i="8" s="1"/>
  <c r="P148" i="8" a="1"/>
  <c r="P148" i="8" s="1"/>
  <c r="P147" i="8" a="1"/>
  <c r="P147" i="8" s="1"/>
  <c r="P146" i="8" a="1"/>
  <c r="P146" i="8" s="1"/>
  <c r="P145" i="8" a="1"/>
  <c r="P145" i="8" s="1"/>
  <c r="P144" i="8" a="1"/>
  <c r="P144" i="8" s="1"/>
  <c r="P143" i="8" a="1"/>
  <c r="P143" i="8" s="1"/>
  <c r="P142" i="8" a="1"/>
  <c r="P142" i="8" s="1"/>
  <c r="P141" i="8" a="1"/>
  <c r="P141" i="8" s="1"/>
  <c r="P140" i="8" a="1"/>
  <c r="P140" i="8" s="1"/>
  <c r="P139" i="8" a="1"/>
  <c r="P139" i="8" s="1"/>
  <c r="P138" i="8" a="1"/>
  <c r="P138" i="8" s="1"/>
  <c r="P137" i="8" a="1"/>
  <c r="P137" i="8" s="1"/>
  <c r="P136" i="8" a="1"/>
  <c r="P136" i="8" s="1"/>
  <c r="P135" i="8" a="1"/>
  <c r="P135" i="8" s="1"/>
  <c r="P134" i="8" a="1"/>
  <c r="P134" i="8" s="1"/>
  <c r="P133" i="8" a="1"/>
  <c r="P133" i="8" s="1"/>
  <c r="P132" i="8" a="1"/>
  <c r="P132" i="8" s="1"/>
  <c r="P131" i="8" a="1"/>
  <c r="P131" i="8" s="1"/>
  <c r="P130" i="8" a="1"/>
  <c r="P130" i="8" s="1"/>
  <c r="P129" i="8" a="1"/>
  <c r="P129" i="8" s="1"/>
  <c r="P128" i="8" a="1"/>
  <c r="P128" i="8" s="1"/>
  <c r="P127" i="8" a="1"/>
  <c r="P127" i="8" s="1"/>
  <c r="P126" i="8" a="1"/>
  <c r="P126" i="8" s="1"/>
  <c r="P125" i="8" a="1"/>
  <c r="P125" i="8" s="1"/>
  <c r="P124" i="8" a="1"/>
  <c r="P124" i="8" s="1"/>
  <c r="P123" i="8" a="1"/>
  <c r="P123" i="8" s="1"/>
  <c r="Q148" i="8" a="1"/>
  <c r="Q148" i="8" s="1"/>
  <c r="Q147" i="8" a="1"/>
  <c r="Q147" i="8" s="1"/>
  <c r="Q146" i="8" a="1"/>
  <c r="Q146" i="8" s="1"/>
  <c r="Q145" i="8" a="1"/>
  <c r="Q145" i="8" s="1"/>
  <c r="Q144" i="8" a="1"/>
  <c r="Q144" i="8" s="1"/>
  <c r="Q143" i="8" a="1"/>
  <c r="Q143" i="8" s="1"/>
  <c r="Q142" i="8" a="1"/>
  <c r="Q142" i="8" s="1"/>
  <c r="Q141" i="8" a="1"/>
  <c r="Q141" i="8" s="1"/>
  <c r="Q140" i="8" a="1"/>
  <c r="Q140" i="8" s="1"/>
  <c r="Q139" i="8" a="1"/>
  <c r="Q139" i="8" s="1"/>
  <c r="Q138" i="8" a="1"/>
  <c r="Q138" i="8" s="1"/>
  <c r="Q137" i="8" a="1"/>
  <c r="Q137" i="8" s="1"/>
  <c r="Q136" i="8" a="1"/>
  <c r="Q136" i="8" s="1"/>
  <c r="Q135" i="8" a="1"/>
  <c r="Q135" i="8" s="1"/>
  <c r="Q134" i="8" a="1"/>
  <c r="Q134" i="8" s="1"/>
  <c r="Q133" i="8" a="1"/>
  <c r="Q133" i="8" s="1"/>
  <c r="Q132" i="8" a="1"/>
  <c r="Q132" i="8" s="1"/>
  <c r="Q131" i="8" a="1"/>
  <c r="Q131" i="8" s="1"/>
  <c r="Q130" i="8" a="1"/>
  <c r="Q130" i="8" s="1"/>
  <c r="Q129" i="8" a="1"/>
  <c r="Q129" i="8" s="1"/>
  <c r="Q128" i="8" a="1"/>
  <c r="Q128" i="8" s="1"/>
  <c r="Q127" i="8" a="1"/>
  <c r="Q127" i="8" s="1"/>
  <c r="Q126" i="8" a="1"/>
  <c r="Q126" i="8" s="1"/>
  <c r="Q125" i="8" a="1"/>
  <c r="Q125" i="8" s="1"/>
  <c r="Q124" i="8" a="1"/>
  <c r="Q124" i="8" s="1"/>
  <c r="Q123" i="8" a="1"/>
  <c r="Q123" i="8" s="1"/>
  <c r="Q122" i="8" a="1"/>
  <c r="Q122" i="8" s="1"/>
  <c r="Q121" i="8" a="1"/>
  <c r="Q121" i="8" s="1"/>
  <c r="Q120" i="8" a="1"/>
  <c r="Q120" i="8" s="1"/>
  <c r="Q119" i="8" a="1"/>
  <c r="Q119" i="8" s="1"/>
  <c r="Q118" i="8" a="1"/>
  <c r="Q118" i="8" s="1"/>
  <c r="Q117" i="8" a="1"/>
  <c r="Q117" i="8" s="1"/>
  <c r="Q116" i="8" a="1"/>
  <c r="Q116" i="8" s="1"/>
  <c r="Q115" i="8" a="1"/>
  <c r="Q115" i="8" s="1"/>
  <c r="Q114" i="8" a="1"/>
  <c r="Q114" i="8" s="1"/>
  <c r="Q113" i="8" a="1"/>
  <c r="Q113" i="8" s="1"/>
  <c r="Q112" i="8" a="1"/>
  <c r="Q112" i="8" s="1"/>
  <c r="Q111" i="8" a="1"/>
  <c r="Q111" i="8" s="1"/>
  <c r="Q110" i="8" a="1"/>
  <c r="Q110" i="8" s="1"/>
  <c r="Q109" i="8" a="1"/>
  <c r="Q109" i="8" s="1"/>
  <c r="Q108" i="8" a="1"/>
  <c r="Q108" i="8" s="1"/>
  <c r="Q107" i="8" a="1"/>
  <c r="Q107" i="8" s="1"/>
  <c r="R148" i="8" a="1"/>
  <c r="R148" i="8" s="1"/>
  <c r="R147" i="8" a="1"/>
  <c r="R147" i="8" s="1"/>
  <c r="R146" i="8" a="1"/>
  <c r="R146" i="8" s="1"/>
  <c r="R145" i="8" a="1"/>
  <c r="R145" i="8" s="1"/>
  <c r="R144" i="8" a="1"/>
  <c r="R144" i="8" s="1"/>
  <c r="R143" i="8" a="1"/>
  <c r="R143" i="8" s="1"/>
  <c r="R142" i="8" a="1"/>
  <c r="R142" i="8" s="1"/>
  <c r="R141" i="8" a="1"/>
  <c r="R141" i="8" s="1"/>
  <c r="R140" i="8" a="1"/>
  <c r="R140" i="8" s="1"/>
  <c r="R139" i="8" a="1"/>
  <c r="R139" i="8" s="1"/>
  <c r="R138" i="8" a="1"/>
  <c r="R138" i="8" s="1"/>
  <c r="R137" i="8" a="1"/>
  <c r="R137" i="8" s="1"/>
  <c r="R136" i="8" a="1"/>
  <c r="R136" i="8" s="1"/>
  <c r="R135" i="8" a="1"/>
  <c r="R135" i="8" s="1"/>
  <c r="R134" i="8" a="1"/>
  <c r="R134" i="8" s="1"/>
  <c r="R133" i="8" a="1"/>
  <c r="R133" i="8" s="1"/>
  <c r="R132" i="8" a="1"/>
  <c r="R132" i="8" s="1"/>
  <c r="R131" i="8" a="1"/>
  <c r="R131" i="8" s="1"/>
  <c r="R130" i="8" a="1"/>
  <c r="R130" i="8" s="1"/>
  <c r="R129" i="8" a="1"/>
  <c r="R129" i="8" s="1"/>
  <c r="R128" i="8" a="1"/>
  <c r="R128" i="8" s="1"/>
  <c r="R127" i="8" a="1"/>
  <c r="R127" i="8" s="1"/>
  <c r="R126" i="8" a="1"/>
  <c r="R126" i="8" s="1"/>
  <c r="R125" i="8" a="1"/>
  <c r="R125" i="8" s="1"/>
  <c r="R124" i="8" a="1"/>
  <c r="R124" i="8" s="1"/>
  <c r="R123" i="8" a="1"/>
  <c r="R123" i="8" s="1"/>
  <c r="R122" i="8" a="1"/>
  <c r="R122" i="8" s="1"/>
  <c r="R121" i="8" a="1"/>
  <c r="R121" i="8" s="1"/>
  <c r="R120" i="8" a="1"/>
  <c r="R120" i="8" s="1"/>
  <c r="R119" i="8" a="1"/>
  <c r="R119" i="8" s="1"/>
  <c r="R118" i="8" a="1"/>
  <c r="R118" i="8" s="1"/>
  <c r="R117" i="8" a="1"/>
  <c r="R117" i="8" s="1"/>
  <c r="R116" i="8" a="1"/>
  <c r="R116" i="8" s="1"/>
  <c r="R115" i="8" a="1"/>
  <c r="R115" i="8" s="1"/>
  <c r="R114" i="8" a="1"/>
  <c r="R114" i="8" s="1"/>
  <c r="R113" i="8" a="1"/>
  <c r="R113" i="8" s="1"/>
  <c r="R112" i="8" a="1"/>
  <c r="R112" i="8" s="1"/>
  <c r="R111" i="8" a="1"/>
  <c r="R111" i="8" s="1"/>
  <c r="R110" i="8" a="1"/>
  <c r="R110" i="8" s="1"/>
  <c r="R109" i="8" a="1"/>
  <c r="R109" i="8" s="1"/>
  <c r="R108" i="8" a="1"/>
  <c r="R108" i="8" s="1"/>
  <c r="R107" i="8" a="1"/>
  <c r="R107" i="8" s="1"/>
  <c r="S148" i="8" a="1"/>
  <c r="S148" i="8" s="1"/>
  <c r="S147" i="8" a="1"/>
  <c r="S147" i="8" s="1"/>
  <c r="S146" i="8" a="1"/>
  <c r="S146" i="8" s="1"/>
  <c r="S145" i="8" a="1"/>
  <c r="S145" i="8" s="1"/>
  <c r="S144" i="8" a="1"/>
  <c r="S144" i="8" s="1"/>
  <c r="S143" i="8" a="1"/>
  <c r="S143" i="8" s="1"/>
  <c r="S142" i="8" a="1"/>
  <c r="S142" i="8" s="1"/>
  <c r="S141" i="8" a="1"/>
  <c r="S141" i="8" s="1"/>
  <c r="S140" i="8" a="1"/>
  <c r="S140" i="8" s="1"/>
  <c r="S139" i="8" a="1"/>
  <c r="S139" i="8" s="1"/>
  <c r="S138" i="8" a="1"/>
  <c r="S138" i="8" s="1"/>
  <c r="S137" i="8" a="1"/>
  <c r="S137" i="8" s="1"/>
  <c r="S136" i="8" a="1"/>
  <c r="S136" i="8" s="1"/>
  <c r="S135" i="8" a="1"/>
  <c r="S135" i="8" s="1"/>
  <c r="S134" i="8" a="1"/>
  <c r="S134" i="8" s="1"/>
  <c r="S133" i="8" a="1"/>
  <c r="S133" i="8" s="1"/>
  <c r="S132" i="8" a="1"/>
  <c r="S132" i="8" s="1"/>
  <c r="S131" i="8" a="1"/>
  <c r="S131" i="8" s="1"/>
  <c r="S130" i="8" a="1"/>
  <c r="S130" i="8" s="1"/>
  <c r="S129" i="8" a="1"/>
  <c r="S129" i="8" s="1"/>
  <c r="S128" i="8" a="1"/>
  <c r="S128" i="8" s="1"/>
  <c r="S127" i="8" a="1"/>
  <c r="S127" i="8" s="1"/>
  <c r="S126" i="8" a="1"/>
  <c r="S126" i="8" s="1"/>
  <c r="S125" i="8" a="1"/>
  <c r="S125" i="8" s="1"/>
  <c r="S124" i="8" a="1"/>
  <c r="S124" i="8" s="1"/>
  <c r="S123" i="8" a="1"/>
  <c r="S123" i="8" s="1"/>
  <c r="S122" i="8" a="1"/>
  <c r="S122" i="8" s="1"/>
  <c r="S121" i="8" a="1"/>
  <c r="S121" i="8" s="1"/>
  <c r="S120" i="8" a="1"/>
  <c r="S120" i="8" s="1"/>
  <c r="S119" i="8" a="1"/>
  <c r="S119" i="8" s="1"/>
  <c r="S118" i="8" a="1"/>
  <c r="S118" i="8" s="1"/>
  <c r="S117" i="8" a="1"/>
  <c r="S117" i="8" s="1"/>
  <c r="S116" i="8" a="1"/>
  <c r="S116" i="8" s="1"/>
  <c r="S115" i="8" a="1"/>
  <c r="S115" i="8" s="1"/>
  <c r="S114" i="8" a="1"/>
  <c r="S114" i="8" s="1"/>
  <c r="S113" i="8" a="1"/>
  <c r="S113" i="8" s="1"/>
  <c r="S112" i="8" a="1"/>
  <c r="S112" i="8" s="1"/>
  <c r="S111" i="8" a="1"/>
  <c r="S111" i="8" s="1"/>
  <c r="S110" i="8" a="1"/>
  <c r="S110" i="8" s="1"/>
  <c r="S109" i="8" a="1"/>
  <c r="S109" i="8" s="1"/>
  <c r="S108" i="8" a="1"/>
  <c r="S108" i="8" s="1"/>
  <c r="S107" i="8" a="1"/>
  <c r="S107" i="8" s="1"/>
  <c r="AA148" i="8" a="1"/>
  <c r="AA148" i="8" s="1"/>
  <c r="AB148" i="8" a="1"/>
  <c r="AB148" i="8" s="1"/>
  <c r="AC148" i="8" a="1"/>
  <c r="AC148" i="8" s="1"/>
  <c r="AD148" i="8" a="1"/>
  <c r="AD148" i="8" s="1"/>
  <c r="AE148" i="8" a="1"/>
  <c r="AE148" i="8" s="1"/>
  <c r="AE147" i="8" a="1"/>
  <c r="AE147" i="8" s="1"/>
  <c r="AE146" i="8" a="1"/>
  <c r="AE146" i="8" s="1"/>
  <c r="AE145" i="8" a="1"/>
  <c r="AE145" i="8" s="1"/>
  <c r="AE144" i="8" a="1"/>
  <c r="AE144" i="8" s="1"/>
  <c r="AE143" i="8" a="1"/>
  <c r="AE143" i="8" s="1"/>
  <c r="AE142" i="8" a="1"/>
  <c r="AE142" i="8" s="1"/>
  <c r="AE141" i="8" a="1"/>
  <c r="AE141" i="8" s="1"/>
  <c r="AE140" i="8" a="1"/>
  <c r="AE140" i="8" s="1"/>
  <c r="AE139" i="8" a="1"/>
  <c r="AE139" i="8" s="1"/>
  <c r="AE138" i="8" a="1"/>
  <c r="AE138" i="8" s="1"/>
  <c r="AE137" i="8" a="1"/>
  <c r="AE137" i="8" s="1"/>
  <c r="AE136" i="8" a="1"/>
  <c r="AE136" i="8" s="1"/>
  <c r="AE135" i="8" a="1"/>
  <c r="AE135" i="8" s="1"/>
  <c r="AE134" i="8" a="1"/>
  <c r="AE134" i="8" s="1"/>
  <c r="AE133" i="8" a="1"/>
  <c r="AE133" i="8" s="1"/>
  <c r="AE132" i="8" a="1"/>
  <c r="AE132" i="8" s="1"/>
  <c r="AE131" i="8" a="1"/>
  <c r="AE131" i="8" s="1"/>
  <c r="AE130" i="8" a="1"/>
  <c r="AE130" i="8" s="1"/>
  <c r="AE129" i="8" a="1"/>
  <c r="AE129" i="8" s="1"/>
  <c r="AE128" i="8" a="1"/>
  <c r="AE128" i="8" s="1"/>
  <c r="AE127" i="8" a="1"/>
  <c r="AE127" i="8" s="1"/>
  <c r="AE126" i="8" a="1"/>
  <c r="AE126" i="8" s="1"/>
  <c r="AE125" i="8" a="1"/>
  <c r="AE125" i="8" s="1"/>
  <c r="AE124" i="8" a="1"/>
  <c r="AE124" i="8" s="1"/>
  <c r="AD147" i="8" a="1"/>
  <c r="AD147" i="8" s="1"/>
  <c r="AD146" i="8" a="1"/>
  <c r="AD146" i="8" s="1"/>
  <c r="AD145" i="8" a="1"/>
  <c r="AD145" i="8" s="1"/>
  <c r="AD144" i="8" a="1"/>
  <c r="AD144" i="8" s="1"/>
  <c r="AD143" i="8" a="1"/>
  <c r="AD143" i="8" s="1"/>
  <c r="AD142" i="8" a="1"/>
  <c r="AD142" i="8" s="1"/>
  <c r="AD141" i="8" a="1"/>
  <c r="AD141" i="8" s="1"/>
  <c r="AD140" i="8" a="1"/>
  <c r="AD140" i="8" s="1"/>
  <c r="AD139" i="8" a="1"/>
  <c r="AD139" i="8" s="1"/>
  <c r="AD138" i="8" a="1"/>
  <c r="AD138" i="8" s="1"/>
  <c r="AD137" i="8" a="1"/>
  <c r="AD137" i="8" s="1"/>
  <c r="AD136" i="8" a="1"/>
  <c r="AD136" i="8" s="1"/>
  <c r="AD135" i="8" a="1"/>
  <c r="AD135" i="8" s="1"/>
  <c r="AD134" i="8" a="1"/>
  <c r="AD134" i="8" s="1"/>
  <c r="AD133" i="8" a="1"/>
  <c r="AD133" i="8" s="1"/>
  <c r="AD132" i="8" a="1"/>
  <c r="AD132" i="8" s="1"/>
  <c r="AD131" i="8" a="1"/>
  <c r="AD131" i="8" s="1"/>
  <c r="AD130" i="8" a="1"/>
  <c r="AD130" i="8" s="1"/>
  <c r="AD129" i="8" a="1"/>
  <c r="AD129" i="8" s="1"/>
  <c r="AD128" i="8" a="1"/>
  <c r="AD128" i="8" s="1"/>
  <c r="AD127" i="8" a="1"/>
  <c r="AD127" i="8" s="1"/>
  <c r="AD126" i="8" a="1"/>
  <c r="AD126" i="8" s="1"/>
  <c r="AD125" i="8" a="1"/>
  <c r="AD125" i="8" s="1"/>
  <c r="AD124" i="8" a="1"/>
  <c r="AD124" i="8" s="1"/>
  <c r="AC147" i="8" a="1"/>
  <c r="AC147" i="8" s="1"/>
  <c r="AC146" i="8" a="1"/>
  <c r="AC146" i="8" s="1"/>
  <c r="AC145" i="8" a="1"/>
  <c r="AC145" i="8" s="1"/>
  <c r="AC144" i="8" a="1"/>
  <c r="AC144" i="8" s="1"/>
  <c r="AC143" i="8" a="1"/>
  <c r="AC143" i="8" s="1"/>
  <c r="AC142" i="8" a="1"/>
  <c r="AC142" i="8" s="1"/>
  <c r="AC141" i="8" a="1"/>
  <c r="AC141" i="8" s="1"/>
  <c r="AC140" i="8" a="1"/>
  <c r="AC140" i="8" s="1"/>
  <c r="AC139" i="8" a="1"/>
  <c r="AC139" i="8" s="1"/>
  <c r="AC138" i="8" a="1"/>
  <c r="AC138" i="8" s="1"/>
  <c r="AC137" i="8" a="1"/>
  <c r="AC137" i="8" s="1"/>
  <c r="AC136" i="8" a="1"/>
  <c r="AC136" i="8" s="1"/>
  <c r="AC135" i="8" a="1"/>
  <c r="AC135" i="8" s="1"/>
  <c r="AC134" i="8" a="1"/>
  <c r="AC134" i="8" s="1"/>
  <c r="AC133" i="8" a="1"/>
  <c r="AC133" i="8" s="1"/>
  <c r="AC132" i="8" a="1"/>
  <c r="AC132" i="8" s="1"/>
  <c r="AC131" i="8" a="1"/>
  <c r="AC131" i="8" s="1"/>
  <c r="AC130" i="8" a="1"/>
  <c r="AC130" i="8" s="1"/>
  <c r="AC129" i="8" a="1"/>
  <c r="AC129" i="8" s="1"/>
  <c r="AC128" i="8" a="1"/>
  <c r="AC128" i="8" s="1"/>
  <c r="AC127" i="8" a="1"/>
  <c r="AC127" i="8" s="1"/>
  <c r="AC126" i="8" a="1"/>
  <c r="AC126" i="8" s="1"/>
  <c r="AC125" i="8" a="1"/>
  <c r="AC125" i="8" s="1"/>
  <c r="AC124" i="8" a="1"/>
  <c r="AC124" i="8" s="1"/>
  <c r="AB147" i="8" a="1"/>
  <c r="AB147" i="8" s="1"/>
  <c r="AB146" i="8" a="1"/>
  <c r="AB146" i="8" s="1"/>
  <c r="AB145" i="8" a="1"/>
  <c r="AB145" i="8" s="1"/>
  <c r="AB144" i="8" a="1"/>
  <c r="AB144" i="8" s="1"/>
  <c r="AB143" i="8" a="1"/>
  <c r="AB143" i="8" s="1"/>
  <c r="AB142" i="8" a="1"/>
  <c r="AB142" i="8" s="1"/>
  <c r="AB141" i="8" a="1"/>
  <c r="AB141" i="8" s="1"/>
  <c r="AB140" i="8" a="1"/>
  <c r="AB140" i="8" s="1"/>
  <c r="AB139" i="8" a="1"/>
  <c r="AB139" i="8" s="1"/>
  <c r="AB138" i="8" a="1"/>
  <c r="AB138" i="8" s="1"/>
  <c r="AB137" i="8" a="1"/>
  <c r="AB137" i="8" s="1"/>
  <c r="AB136" i="8" a="1"/>
  <c r="AB136" i="8" s="1"/>
  <c r="AB135" i="8" a="1"/>
  <c r="AB135" i="8" s="1"/>
  <c r="AB134" i="8" a="1"/>
  <c r="AB134" i="8" s="1"/>
  <c r="AB133" i="8" a="1"/>
  <c r="AB133" i="8" s="1"/>
  <c r="AB132" i="8" a="1"/>
  <c r="AB132" i="8" s="1"/>
  <c r="AB131" i="8" a="1"/>
  <c r="AB131" i="8" s="1"/>
  <c r="AB130" i="8" a="1"/>
  <c r="AB130" i="8" s="1"/>
  <c r="AB129" i="8" a="1"/>
  <c r="AB129" i="8" s="1"/>
  <c r="AB128" i="8" a="1"/>
  <c r="AB128" i="8" s="1"/>
  <c r="AB127" i="8" a="1"/>
  <c r="AB127" i="8" s="1"/>
  <c r="AB126" i="8" a="1"/>
  <c r="AB126" i="8" s="1"/>
  <c r="AB125" i="8" a="1"/>
  <c r="AB125" i="8" s="1"/>
  <c r="AB124" i="8" a="1"/>
  <c r="AB124" i="8" s="1"/>
  <c r="AA147" i="8" a="1"/>
  <c r="AA147" i="8" s="1"/>
  <c r="AA146" i="8" a="1"/>
  <c r="AA146" i="8" s="1"/>
  <c r="AA145" i="8" a="1"/>
  <c r="AA145" i="8" s="1"/>
  <c r="AA144" i="8" a="1"/>
  <c r="AA144" i="8" s="1"/>
  <c r="AA143" i="8" a="1"/>
  <c r="AA143" i="8" s="1"/>
  <c r="AA142" i="8" a="1"/>
  <c r="AA142" i="8" s="1"/>
  <c r="AA141" i="8" a="1"/>
  <c r="AA141" i="8" s="1"/>
  <c r="AA140" i="8" a="1"/>
  <c r="AA140" i="8" s="1"/>
  <c r="AA139" i="8" a="1"/>
  <c r="AA139" i="8" s="1"/>
  <c r="AA138" i="8" a="1"/>
  <c r="AA138" i="8" s="1"/>
  <c r="AA137" i="8" a="1"/>
  <c r="AA137" i="8" s="1"/>
  <c r="AA136" i="8" a="1"/>
  <c r="AA136" i="8" s="1"/>
  <c r="AA135" i="8" a="1"/>
  <c r="AA135" i="8" s="1"/>
  <c r="AA134" i="8" a="1"/>
  <c r="AA134" i="8" s="1"/>
  <c r="AA133" i="8" a="1"/>
  <c r="AA133" i="8" s="1"/>
  <c r="AA132" i="8" a="1"/>
  <c r="AA132" i="8" s="1"/>
  <c r="AA131" i="8" a="1"/>
  <c r="AA131" i="8" s="1"/>
  <c r="AA130" i="8" a="1"/>
  <c r="AA130" i="8" s="1"/>
  <c r="AA129" i="8" a="1"/>
  <c r="AA129" i="8" s="1"/>
  <c r="AA128" i="8" a="1"/>
  <c r="AA128" i="8" s="1"/>
  <c r="AA127" i="8" a="1"/>
  <c r="AA127" i="8" s="1"/>
  <c r="AA126" i="8" a="1"/>
  <c r="AA126" i="8" s="1"/>
  <c r="AA125" i="8" a="1"/>
  <c r="AA125" i="8" s="1"/>
  <c r="AA124" i="8" a="1"/>
  <c r="AA124" i="8" s="1"/>
  <c r="AQ148" i="8" a="1"/>
  <c r="AQ148" i="8" s="1"/>
  <c r="AQ147" i="8" a="1"/>
  <c r="AQ147" i="8" s="1"/>
  <c r="AQ146" i="8" a="1"/>
  <c r="AQ146" i="8" s="1"/>
  <c r="AQ145" i="8" a="1"/>
  <c r="AQ145" i="8" s="1"/>
  <c r="AQ144" i="8" a="1"/>
  <c r="AQ144" i="8" s="1"/>
  <c r="AQ143" i="8" a="1"/>
  <c r="AQ143" i="8" s="1"/>
  <c r="AQ142" i="8" a="1"/>
  <c r="AQ142" i="8" s="1"/>
  <c r="AQ141" i="8" a="1"/>
  <c r="AQ141" i="8" s="1"/>
  <c r="AQ140" i="8" a="1"/>
  <c r="AQ140" i="8" s="1"/>
  <c r="AQ139" i="8" a="1"/>
  <c r="AQ139" i="8" s="1"/>
  <c r="AQ138" i="8" a="1"/>
  <c r="AQ138" i="8" s="1"/>
  <c r="AQ137" i="8" a="1"/>
  <c r="AQ137" i="8" s="1"/>
  <c r="AQ136" i="8" a="1"/>
  <c r="AQ136" i="8" s="1"/>
  <c r="AQ135" i="8" a="1"/>
  <c r="AQ135" i="8" s="1"/>
  <c r="AQ134" i="8" a="1"/>
  <c r="AQ134" i="8" s="1"/>
  <c r="AQ133" i="8" a="1"/>
  <c r="AQ133" i="8" s="1"/>
  <c r="AQ132" i="8" a="1"/>
  <c r="AQ132" i="8" s="1"/>
  <c r="AQ131" i="8" a="1"/>
  <c r="AQ131" i="8" s="1"/>
  <c r="AQ130" i="8" a="1"/>
  <c r="AQ130" i="8" s="1"/>
  <c r="AQ129" i="8" a="1"/>
  <c r="AQ129" i="8" s="1"/>
  <c r="AQ128" i="8" a="1"/>
  <c r="AQ128" i="8" s="1"/>
  <c r="AQ127" i="8" a="1"/>
  <c r="AQ127" i="8" s="1"/>
  <c r="AQ126" i="8" a="1"/>
  <c r="AQ126" i="8" s="1"/>
  <c r="AQ125" i="8" a="1"/>
  <c r="AQ125" i="8" s="1"/>
  <c r="AQ124" i="8" a="1"/>
  <c r="AQ124" i="8" s="1"/>
  <c r="AQ123" i="8" a="1"/>
  <c r="AQ123" i="8" s="1"/>
  <c r="AQ122" i="8" a="1"/>
  <c r="AQ122" i="8" s="1"/>
  <c r="AQ121" i="8" a="1"/>
  <c r="AQ121" i="8" s="1"/>
  <c r="AQ120" i="8" a="1"/>
  <c r="AQ120" i="8" s="1"/>
  <c r="AQ119" i="8" a="1"/>
  <c r="AQ119" i="8" s="1"/>
  <c r="AQ118" i="8" a="1"/>
  <c r="AQ118" i="8" s="1"/>
  <c r="AQ117" i="8" a="1"/>
  <c r="AQ117" i="8" s="1"/>
  <c r="AQ116" i="8" a="1"/>
  <c r="AQ116" i="8" s="1"/>
  <c r="AQ115" i="8" a="1"/>
  <c r="AQ115" i="8" s="1"/>
  <c r="AQ114" i="8" a="1"/>
  <c r="AQ114" i="8" s="1"/>
  <c r="AQ113" i="8" a="1"/>
  <c r="AQ113" i="8" s="1"/>
  <c r="AQ112" i="8" a="1"/>
  <c r="AQ112" i="8" s="1"/>
  <c r="AQ111" i="8" a="1"/>
  <c r="AQ111" i="8" s="1"/>
  <c r="AQ110" i="8" a="1"/>
  <c r="AQ110" i="8" s="1"/>
  <c r="AQ109" i="8" a="1"/>
  <c r="AQ109" i="8" s="1"/>
  <c r="AQ108" i="8" a="1"/>
  <c r="AQ108" i="8" s="1"/>
  <c r="AQ107" i="8" a="1"/>
  <c r="AQ107" i="8" s="1"/>
  <c r="AQ106" i="8" a="1"/>
  <c r="AQ106" i="8" s="1"/>
  <c r="AQ105" i="8" a="1"/>
  <c r="AQ105" i="8" s="1"/>
  <c r="AQ104" i="8" a="1"/>
  <c r="AQ104" i="8" s="1"/>
  <c r="AQ103" i="8" a="1"/>
  <c r="AQ103" i="8" s="1"/>
  <c r="AQ102" i="8" a="1"/>
  <c r="AQ102" i="8" s="1"/>
  <c r="AQ101" i="8" a="1"/>
  <c r="AQ101" i="8" s="1"/>
  <c r="AQ100" i="8" a="1"/>
  <c r="AQ100" i="8" s="1"/>
  <c r="AQ99" i="8" a="1"/>
  <c r="AQ99" i="8" s="1"/>
  <c r="AQ98" i="8" a="1"/>
  <c r="AQ98" i="8" s="1"/>
  <c r="AQ97" i="8" a="1"/>
  <c r="AQ97" i="8" s="1"/>
  <c r="AQ96" i="8" a="1"/>
  <c r="AQ96" i="8" s="1"/>
  <c r="AQ95" i="8" a="1"/>
  <c r="AQ95" i="8" s="1"/>
  <c r="AQ94" i="8" a="1"/>
  <c r="AQ94" i="8" s="1"/>
  <c r="AQ93" i="8" a="1"/>
  <c r="AQ93" i="8" s="1"/>
  <c r="AQ92" i="8" a="1"/>
  <c r="AQ92" i="8" s="1"/>
  <c r="AQ91" i="8" a="1"/>
  <c r="AQ91" i="8" s="1"/>
  <c r="AQ90" i="8" a="1"/>
  <c r="AQ90" i="8" s="1"/>
  <c r="AQ89" i="8" a="1"/>
  <c r="AQ89" i="8" s="1"/>
  <c r="AQ88" i="8" a="1"/>
  <c r="AQ88" i="8" s="1"/>
  <c r="AQ87" i="8" a="1"/>
  <c r="AQ87" i="8" s="1"/>
  <c r="AQ86" i="8" a="1"/>
  <c r="AQ86" i="8" s="1"/>
  <c r="AQ85" i="8" a="1"/>
  <c r="AQ85" i="8" s="1"/>
  <c r="AQ84" i="8" a="1"/>
  <c r="AQ84" i="8" s="1"/>
  <c r="AQ83" i="8" a="1"/>
  <c r="AQ83" i="8" s="1"/>
  <c r="AQ82" i="8" a="1"/>
  <c r="AQ82" i="8" s="1"/>
  <c r="AQ81" i="8" a="1"/>
  <c r="AQ81" i="8" s="1"/>
  <c r="AQ80" i="8" a="1"/>
  <c r="AQ80" i="8" s="1"/>
  <c r="AQ79" i="8" a="1"/>
  <c r="AQ79" i="8" s="1"/>
  <c r="AQ78" i="8" a="1"/>
  <c r="AQ78" i="8" s="1"/>
  <c r="AQ77" i="8" a="1"/>
  <c r="AQ77" i="8" s="1"/>
  <c r="AQ76" i="8" a="1"/>
  <c r="AQ76" i="8" s="1"/>
  <c r="AQ75" i="8" a="1"/>
  <c r="AQ75" i="8" s="1"/>
  <c r="AQ74" i="8" a="1"/>
  <c r="AQ74" i="8" s="1"/>
  <c r="AQ73" i="8" a="1"/>
  <c r="AQ73" i="8" s="1"/>
  <c r="AQ72" i="8" a="1"/>
  <c r="AQ72" i="8" s="1"/>
  <c r="AQ71" i="8" a="1"/>
  <c r="AQ71" i="8" s="1"/>
  <c r="AQ70" i="8" a="1"/>
  <c r="AQ70" i="8" s="1"/>
  <c r="AQ69" i="8" a="1"/>
  <c r="AQ69" i="8" s="1"/>
  <c r="AQ68" i="8" a="1"/>
  <c r="AQ68" i="8" s="1"/>
  <c r="AQ67" i="8" a="1"/>
  <c r="AQ67" i="8" s="1"/>
  <c r="AQ66" i="8" a="1"/>
  <c r="AQ66" i="8" s="1"/>
  <c r="AQ65" i="8" a="1"/>
  <c r="AQ65" i="8" s="1"/>
  <c r="AQ64" i="8" a="1"/>
  <c r="AQ64" i="8" s="1"/>
  <c r="AQ63" i="8" a="1"/>
  <c r="AQ63" i="8" s="1"/>
  <c r="AQ62" i="8" a="1"/>
  <c r="AQ62" i="8" s="1"/>
  <c r="AQ61" i="8" a="1"/>
  <c r="AQ61" i="8" s="1"/>
  <c r="AQ60" i="8" a="1"/>
  <c r="AQ60" i="8" s="1"/>
  <c r="AQ59" i="8" a="1"/>
  <c r="AQ59" i="8" s="1"/>
  <c r="AQ58" i="8" a="1"/>
  <c r="AQ58" i="8" s="1"/>
  <c r="AQ57" i="8" a="1"/>
  <c r="AQ57" i="8" s="1"/>
  <c r="AQ56" i="8" a="1"/>
  <c r="AQ56" i="8" s="1"/>
  <c r="AQ55" i="8" a="1"/>
  <c r="AQ55" i="8" s="1"/>
  <c r="AQ54" i="8" a="1"/>
  <c r="AQ54" i="8" s="1"/>
  <c r="AQ53" i="8" a="1"/>
  <c r="AQ53" i="8" s="1"/>
  <c r="AQ52" i="8" a="1"/>
  <c r="AQ52" i="8" s="1"/>
  <c r="AQ51" i="8" a="1"/>
  <c r="AQ51" i="8" s="1"/>
  <c r="AQ50" i="8" a="1"/>
  <c r="AQ50" i="8" s="1"/>
  <c r="AQ49" i="8" a="1"/>
  <c r="AQ49" i="8" s="1"/>
  <c r="AQ48" i="8" a="1"/>
  <c r="AQ48" i="8" s="1"/>
  <c r="AQ47" i="8" a="1"/>
  <c r="AQ47" i="8" s="1"/>
  <c r="AQ46" i="8" a="1"/>
  <c r="AQ46" i="8" s="1"/>
  <c r="AQ45" i="8" a="1"/>
  <c r="AQ45" i="8" s="1"/>
  <c r="AQ44" i="8" a="1"/>
  <c r="AQ44" i="8" s="1"/>
  <c r="AQ43" i="8" a="1"/>
  <c r="AQ43" i="8" s="1"/>
  <c r="AQ42" i="8" a="1"/>
  <c r="AQ42" i="8" s="1"/>
  <c r="AQ41" i="8" a="1"/>
  <c r="AQ41" i="8" s="1"/>
  <c r="AQ40" i="8" a="1"/>
  <c r="AQ40" i="8" s="1"/>
  <c r="AQ39" i="8" a="1"/>
  <c r="AQ39" i="8" s="1"/>
  <c r="AQ38" i="8" a="1"/>
  <c r="AQ38" i="8" s="1"/>
  <c r="AQ37" i="8" a="1"/>
  <c r="AQ37" i="8" s="1"/>
  <c r="AQ36" i="8" a="1"/>
  <c r="AQ36" i="8" s="1"/>
  <c r="AQ35" i="8" a="1"/>
  <c r="AQ35" i="8" s="1"/>
  <c r="AQ34" i="8" a="1"/>
  <c r="AQ34" i="8" s="1"/>
  <c r="AP148" i="8" a="1"/>
  <c r="AP148" i="8" s="1"/>
  <c r="AP147" i="8" a="1"/>
  <c r="AP147" i="8" s="1"/>
  <c r="AP146" i="8" a="1"/>
  <c r="AP146" i="8" s="1"/>
  <c r="AP145" i="8" a="1"/>
  <c r="AP145" i="8" s="1"/>
  <c r="AP144" i="8" a="1"/>
  <c r="AP144" i="8" s="1"/>
  <c r="AP143" i="8" a="1"/>
  <c r="AP143" i="8" s="1"/>
  <c r="AP142" i="8" a="1"/>
  <c r="AP142" i="8" s="1"/>
  <c r="AP141" i="8" a="1"/>
  <c r="AP141" i="8" s="1"/>
  <c r="AP140" i="8" a="1"/>
  <c r="AP140" i="8" s="1"/>
  <c r="AP139" i="8" a="1"/>
  <c r="AP139" i="8" s="1"/>
  <c r="AP138" i="8" a="1"/>
  <c r="AP138" i="8" s="1"/>
  <c r="AP137" i="8" a="1"/>
  <c r="AP137" i="8" s="1"/>
  <c r="AP136" i="8" a="1"/>
  <c r="AP136" i="8" s="1"/>
  <c r="AP135" i="8" a="1"/>
  <c r="AP135" i="8" s="1"/>
  <c r="AP134" i="8" a="1"/>
  <c r="AP134" i="8" s="1"/>
  <c r="AP133" i="8" a="1"/>
  <c r="AP133" i="8" s="1"/>
  <c r="AP132" i="8" a="1"/>
  <c r="AP132" i="8" s="1"/>
  <c r="AP131" i="8" a="1"/>
  <c r="AP131" i="8" s="1"/>
  <c r="AP130" i="8" a="1"/>
  <c r="AP130" i="8" s="1"/>
  <c r="AP129" i="8" a="1"/>
  <c r="AP129" i="8" s="1"/>
  <c r="AP128" i="8" a="1"/>
  <c r="AP128" i="8" s="1"/>
  <c r="AP127" i="8" a="1"/>
  <c r="AP127" i="8" s="1"/>
  <c r="AP126" i="8" a="1"/>
  <c r="AP126" i="8" s="1"/>
  <c r="AP125" i="8" a="1"/>
  <c r="AP125" i="8" s="1"/>
  <c r="AP124" i="8" a="1"/>
  <c r="AP124" i="8" s="1"/>
  <c r="AP123" i="8" a="1"/>
  <c r="AP123" i="8" s="1"/>
  <c r="AP122" i="8" a="1"/>
  <c r="AP122" i="8" s="1"/>
  <c r="AP121" i="8" a="1"/>
  <c r="AP121" i="8" s="1"/>
  <c r="AP120" i="8" a="1"/>
  <c r="AP120" i="8" s="1"/>
  <c r="AP119" i="8" a="1"/>
  <c r="AP119" i="8" s="1"/>
  <c r="AP118" i="8" a="1"/>
  <c r="AP118" i="8" s="1"/>
  <c r="AP117" i="8" a="1"/>
  <c r="AP117" i="8" s="1"/>
  <c r="AP116" i="8" a="1"/>
  <c r="AP116" i="8" s="1"/>
  <c r="AP115" i="8" a="1"/>
  <c r="AP115" i="8" s="1"/>
  <c r="AP114" i="8" a="1"/>
  <c r="AP114" i="8" s="1"/>
  <c r="AP113" i="8" a="1"/>
  <c r="AP113" i="8" s="1"/>
  <c r="AP112" i="8" a="1"/>
  <c r="AP112" i="8" s="1"/>
  <c r="AP111" i="8" a="1"/>
  <c r="AP111" i="8" s="1"/>
  <c r="AP110" i="8" a="1"/>
  <c r="AP110" i="8" s="1"/>
  <c r="AP109" i="8" a="1"/>
  <c r="AP109" i="8" s="1"/>
  <c r="AP108" i="8" a="1"/>
  <c r="AP108" i="8" s="1"/>
  <c r="AP107" i="8" a="1"/>
  <c r="AP107" i="8" s="1"/>
  <c r="AP106" i="8" a="1"/>
  <c r="AP106" i="8" s="1"/>
  <c r="AP105" i="8" a="1"/>
  <c r="AP105" i="8" s="1"/>
  <c r="AP104" i="8" a="1"/>
  <c r="AP104" i="8" s="1"/>
  <c r="AP103" i="8" a="1"/>
  <c r="AP103" i="8" s="1"/>
  <c r="AP102" i="8" a="1"/>
  <c r="AP102" i="8" s="1"/>
  <c r="AP101" i="8" a="1"/>
  <c r="AP101" i="8" s="1"/>
  <c r="AP100" i="8" a="1"/>
  <c r="AP100" i="8" s="1"/>
  <c r="AP99" i="8" a="1"/>
  <c r="AP99" i="8" s="1"/>
  <c r="AP98" i="8" a="1"/>
  <c r="AP98" i="8" s="1"/>
  <c r="AP97" i="8" a="1"/>
  <c r="AP97" i="8" s="1"/>
  <c r="AP96" i="8" a="1"/>
  <c r="AP96" i="8" s="1"/>
  <c r="AP95" i="8" a="1"/>
  <c r="AP95" i="8" s="1"/>
  <c r="AP94" i="8" a="1"/>
  <c r="AP94" i="8" s="1"/>
  <c r="AP93" i="8" a="1"/>
  <c r="AP93" i="8" s="1"/>
  <c r="AP92" i="8" a="1"/>
  <c r="AP92" i="8" s="1"/>
  <c r="AP91" i="8" a="1"/>
  <c r="AP91" i="8" s="1"/>
  <c r="AP90" i="8" a="1"/>
  <c r="AP90" i="8" s="1"/>
  <c r="AP89" i="8" a="1"/>
  <c r="AP89" i="8" s="1"/>
  <c r="AP88" i="8" a="1"/>
  <c r="AP88" i="8" s="1"/>
  <c r="AP87" i="8" a="1"/>
  <c r="AP87" i="8" s="1"/>
  <c r="AP86" i="8" a="1"/>
  <c r="AP86" i="8" s="1"/>
  <c r="AP85" i="8" a="1"/>
  <c r="AP85" i="8" s="1"/>
  <c r="AP84" i="8" a="1"/>
  <c r="AP84" i="8" s="1"/>
  <c r="AP83" i="8" a="1"/>
  <c r="AP83" i="8" s="1"/>
  <c r="AP82" i="8" a="1"/>
  <c r="AP82" i="8" s="1"/>
  <c r="AP81" i="8" a="1"/>
  <c r="AP81" i="8" s="1"/>
  <c r="AP80" i="8" a="1"/>
  <c r="AP80" i="8" s="1"/>
  <c r="AP79" i="8" a="1"/>
  <c r="AP79" i="8" s="1"/>
  <c r="AP78" i="8" a="1"/>
  <c r="AP78" i="8" s="1"/>
  <c r="AP77" i="8" a="1"/>
  <c r="AP77" i="8" s="1"/>
  <c r="AP76" i="8" a="1"/>
  <c r="AP76" i="8" s="1"/>
  <c r="AP75" i="8" a="1"/>
  <c r="AP75" i="8" s="1"/>
  <c r="AP74" i="8" a="1"/>
  <c r="AP74" i="8" s="1"/>
  <c r="AP73" i="8" a="1"/>
  <c r="AP73" i="8" s="1"/>
  <c r="AP72" i="8" a="1"/>
  <c r="AP72" i="8" s="1"/>
  <c r="AP71" i="8" a="1"/>
  <c r="AP71" i="8" s="1"/>
  <c r="AP70" i="8" a="1"/>
  <c r="AP70" i="8" s="1"/>
  <c r="AP69" i="8" a="1"/>
  <c r="AP69" i="8" s="1"/>
  <c r="AP68" i="8" a="1"/>
  <c r="AP68" i="8" s="1"/>
  <c r="AP67" i="8" a="1"/>
  <c r="AP67" i="8" s="1"/>
  <c r="AP66" i="8" a="1"/>
  <c r="AP66" i="8" s="1"/>
  <c r="AP65" i="8" a="1"/>
  <c r="AP65" i="8" s="1"/>
  <c r="AP64" i="8" a="1"/>
  <c r="AP64" i="8" s="1"/>
  <c r="AP63" i="8" a="1"/>
  <c r="AP63" i="8" s="1"/>
  <c r="AP62" i="8" a="1"/>
  <c r="AP62" i="8" s="1"/>
  <c r="AP61" i="8" a="1"/>
  <c r="AP61" i="8" s="1"/>
  <c r="AP60" i="8" a="1"/>
  <c r="AP60" i="8" s="1"/>
  <c r="AP59" i="8" a="1"/>
  <c r="AP59" i="8" s="1"/>
  <c r="AP58" i="8" a="1"/>
  <c r="AP58" i="8" s="1"/>
  <c r="AP57" i="8" a="1"/>
  <c r="AP57" i="8" s="1"/>
  <c r="AP56" i="8" a="1"/>
  <c r="AP56" i="8" s="1"/>
  <c r="AP55" i="8" a="1"/>
  <c r="AP55" i="8" s="1"/>
  <c r="AP54" i="8" a="1"/>
  <c r="AP54" i="8" s="1"/>
  <c r="AP53" i="8" a="1"/>
  <c r="AP53" i="8" s="1"/>
  <c r="AP52" i="8" a="1"/>
  <c r="AP52" i="8" s="1"/>
  <c r="AP51" i="8" a="1"/>
  <c r="AP51" i="8" s="1"/>
  <c r="AP50" i="8" a="1"/>
  <c r="AP50" i="8" s="1"/>
  <c r="AP49" i="8" a="1"/>
  <c r="AP49" i="8" s="1"/>
  <c r="AP48" i="8" a="1"/>
  <c r="AP48" i="8" s="1"/>
  <c r="AP47" i="8" a="1"/>
  <c r="AP47" i="8" s="1"/>
  <c r="AP46" i="8" a="1"/>
  <c r="AP46" i="8" s="1"/>
  <c r="AP45" i="8" a="1"/>
  <c r="AP45" i="8" s="1"/>
  <c r="AP44" i="8" a="1"/>
  <c r="AP44" i="8" s="1"/>
  <c r="AP43" i="8" a="1"/>
  <c r="AP43" i="8" s="1"/>
  <c r="AP42" i="8" a="1"/>
  <c r="AP42" i="8" s="1"/>
  <c r="AP41" i="8" a="1"/>
  <c r="AP41" i="8" s="1"/>
  <c r="AP40" i="8" a="1"/>
  <c r="AP40" i="8" s="1"/>
  <c r="AP39" i="8" a="1"/>
  <c r="AP39" i="8" s="1"/>
  <c r="AP38" i="8" a="1"/>
  <c r="AP38" i="8" s="1"/>
  <c r="AP37" i="8" a="1"/>
  <c r="AP37" i="8" s="1"/>
  <c r="AP36" i="8" a="1"/>
  <c r="AP36" i="8" s="1"/>
  <c r="AP35" i="8" a="1"/>
  <c r="AP35" i="8" s="1"/>
  <c r="AP34" i="8" a="1"/>
  <c r="AP34" i="8" s="1"/>
  <c r="AO148" i="8" a="1"/>
  <c r="AO148" i="8" s="1"/>
  <c r="AO147" i="8" a="1"/>
  <c r="AO147" i="8" s="1"/>
  <c r="AO146" i="8" a="1"/>
  <c r="AO146" i="8" s="1"/>
  <c r="AO145" i="8" a="1"/>
  <c r="AO145" i="8" s="1"/>
  <c r="AO144" i="8" a="1"/>
  <c r="AO144" i="8" s="1"/>
  <c r="AO143" i="8" a="1"/>
  <c r="AO143" i="8" s="1"/>
  <c r="AO142" i="8" a="1"/>
  <c r="AO142" i="8" s="1"/>
  <c r="AO141" i="8" a="1"/>
  <c r="AO141" i="8" s="1"/>
  <c r="AO140" i="8" a="1"/>
  <c r="AO140" i="8" s="1"/>
  <c r="AO139" i="8" a="1"/>
  <c r="AO139" i="8" s="1"/>
  <c r="AO138" i="8" a="1"/>
  <c r="AO138" i="8" s="1"/>
  <c r="AO137" i="8" a="1"/>
  <c r="AO137" i="8" s="1"/>
  <c r="AO136" i="8" a="1"/>
  <c r="AO136" i="8" s="1"/>
  <c r="AO135" i="8" a="1"/>
  <c r="AO135" i="8" s="1"/>
  <c r="AO134" i="8" a="1"/>
  <c r="AO134" i="8" s="1"/>
  <c r="AO133" i="8" a="1"/>
  <c r="AO133" i="8" s="1"/>
  <c r="AO132" i="8" a="1"/>
  <c r="AO132" i="8" s="1"/>
  <c r="AO131" i="8" a="1"/>
  <c r="AO131" i="8" s="1"/>
  <c r="AO130" i="8" a="1"/>
  <c r="AO130" i="8" s="1"/>
  <c r="AO129" i="8" a="1"/>
  <c r="AO129" i="8" s="1"/>
  <c r="AO128" i="8" a="1"/>
  <c r="AO128" i="8" s="1"/>
  <c r="AO127" i="8" a="1"/>
  <c r="AO127" i="8" s="1"/>
  <c r="AO126" i="8" a="1"/>
  <c r="AO126" i="8" s="1"/>
  <c r="AO125" i="8" a="1"/>
  <c r="AO125" i="8" s="1"/>
  <c r="AO124" i="8" a="1"/>
  <c r="AO124" i="8" s="1"/>
  <c r="AO123" i="8" a="1"/>
  <c r="AO123" i="8" s="1"/>
  <c r="AO122" i="8" a="1"/>
  <c r="AO122" i="8" s="1"/>
  <c r="AO121" i="8" a="1"/>
  <c r="AO121" i="8" s="1"/>
  <c r="AO120" i="8" a="1"/>
  <c r="AO120" i="8" s="1"/>
  <c r="AO119" i="8" a="1"/>
  <c r="AO119" i="8" s="1"/>
  <c r="AO118" i="8" a="1"/>
  <c r="AO118" i="8" s="1"/>
  <c r="AO117" i="8" a="1"/>
  <c r="AO117" i="8" s="1"/>
  <c r="AO116" i="8" a="1"/>
  <c r="AO116" i="8" s="1"/>
  <c r="AO115" i="8" a="1"/>
  <c r="AO115" i="8" s="1"/>
  <c r="AO114" i="8" a="1"/>
  <c r="AO114" i="8" s="1"/>
  <c r="AO113" i="8" a="1"/>
  <c r="AO113" i="8" s="1"/>
  <c r="AO112" i="8" a="1"/>
  <c r="AO112" i="8" s="1"/>
  <c r="AO111" i="8" a="1"/>
  <c r="AO111" i="8" s="1"/>
  <c r="AO110" i="8" a="1"/>
  <c r="AO110" i="8" s="1"/>
  <c r="AO109" i="8" a="1"/>
  <c r="AO109" i="8" s="1"/>
  <c r="AO108" i="8" a="1"/>
  <c r="AO108" i="8" s="1"/>
  <c r="AO107" i="8" a="1"/>
  <c r="AO107" i="8" s="1"/>
  <c r="AO106" i="8" a="1"/>
  <c r="AO106" i="8" s="1"/>
  <c r="AO105" i="8" a="1"/>
  <c r="AO105" i="8" s="1"/>
  <c r="AO104" i="8" a="1"/>
  <c r="AO104" i="8" s="1"/>
  <c r="AO103" i="8" a="1"/>
  <c r="AO103" i="8" s="1"/>
  <c r="AO102" i="8" a="1"/>
  <c r="AO102" i="8" s="1"/>
  <c r="AO101" i="8" a="1"/>
  <c r="AO101" i="8" s="1"/>
  <c r="AO100" i="8" a="1"/>
  <c r="AO100" i="8" s="1"/>
  <c r="AO99" i="8" a="1"/>
  <c r="AO99" i="8" s="1"/>
  <c r="AO98" i="8" a="1"/>
  <c r="AO98" i="8" s="1"/>
  <c r="AO97" i="8" a="1"/>
  <c r="AO97" i="8" s="1"/>
  <c r="AO96" i="8" a="1"/>
  <c r="AO96" i="8" s="1"/>
  <c r="AO95" i="8" a="1"/>
  <c r="AO95" i="8" s="1"/>
  <c r="AO94" i="8" a="1"/>
  <c r="AO94" i="8" s="1"/>
  <c r="AO93" i="8" a="1"/>
  <c r="AO93" i="8" s="1"/>
  <c r="AO92" i="8" a="1"/>
  <c r="AO92" i="8" s="1"/>
  <c r="AO91" i="8" a="1"/>
  <c r="AO91" i="8" s="1"/>
  <c r="AO90" i="8" a="1"/>
  <c r="AO90" i="8" s="1"/>
  <c r="AO89" i="8" a="1"/>
  <c r="AO89" i="8" s="1"/>
  <c r="AO88" i="8" a="1"/>
  <c r="AO88" i="8" s="1"/>
  <c r="AO87" i="8" a="1"/>
  <c r="AO87" i="8" s="1"/>
  <c r="AO86" i="8" a="1"/>
  <c r="AO86" i="8" s="1"/>
  <c r="AO85" i="8" a="1"/>
  <c r="AO85" i="8" s="1"/>
  <c r="AO84" i="8" a="1"/>
  <c r="AO84" i="8" s="1"/>
  <c r="AO83" i="8" a="1"/>
  <c r="AO83" i="8" s="1"/>
  <c r="AO82" i="8" a="1"/>
  <c r="AO82" i="8" s="1"/>
  <c r="AO81" i="8" a="1"/>
  <c r="AO81" i="8" s="1"/>
  <c r="AO80" i="8" a="1"/>
  <c r="AO80" i="8" s="1"/>
  <c r="AO79" i="8" a="1"/>
  <c r="AO79" i="8" s="1"/>
  <c r="AO78" i="8" a="1"/>
  <c r="AO78" i="8" s="1"/>
  <c r="AO77" i="8" a="1"/>
  <c r="AO77" i="8" s="1"/>
  <c r="AO76" i="8" a="1"/>
  <c r="AO76" i="8" s="1"/>
  <c r="AO75" i="8" a="1"/>
  <c r="AO75" i="8" s="1"/>
  <c r="AO74" i="8" a="1"/>
  <c r="AO74" i="8" s="1"/>
  <c r="AO73" i="8" a="1"/>
  <c r="AO73" i="8" s="1"/>
  <c r="AO72" i="8" a="1"/>
  <c r="AO72" i="8" s="1"/>
  <c r="AO71" i="8" a="1"/>
  <c r="AO71" i="8" s="1"/>
  <c r="AO70" i="8" a="1"/>
  <c r="AO70" i="8" s="1"/>
  <c r="AO69" i="8" a="1"/>
  <c r="AO69" i="8" s="1"/>
  <c r="AO68" i="8" a="1"/>
  <c r="AO68" i="8" s="1"/>
  <c r="AO67" i="8" a="1"/>
  <c r="AO67" i="8" s="1"/>
  <c r="AO66" i="8" a="1"/>
  <c r="AO66" i="8" s="1"/>
  <c r="AO65" i="8" a="1"/>
  <c r="AO65" i="8" s="1"/>
  <c r="AO64" i="8" a="1"/>
  <c r="AO64" i="8" s="1"/>
  <c r="AO63" i="8" a="1"/>
  <c r="AO63" i="8" s="1"/>
  <c r="AO62" i="8" a="1"/>
  <c r="AO62" i="8" s="1"/>
  <c r="AO61" i="8" a="1"/>
  <c r="AO61" i="8" s="1"/>
  <c r="AO60" i="8" a="1"/>
  <c r="AO60" i="8" s="1"/>
  <c r="AO59" i="8" a="1"/>
  <c r="AO59" i="8" s="1"/>
  <c r="AO58" i="8" a="1"/>
  <c r="AO58" i="8" s="1"/>
  <c r="AO57" i="8" a="1"/>
  <c r="AO57" i="8" s="1"/>
  <c r="AO56" i="8" a="1"/>
  <c r="AO56" i="8" s="1"/>
  <c r="AO55" i="8" a="1"/>
  <c r="AO55" i="8" s="1"/>
  <c r="AO54" i="8" a="1"/>
  <c r="AO54" i="8" s="1"/>
  <c r="AO53" i="8" a="1"/>
  <c r="AO53" i="8" s="1"/>
  <c r="AO52" i="8" a="1"/>
  <c r="AO52" i="8" s="1"/>
  <c r="AO51" i="8" a="1"/>
  <c r="AO51" i="8" s="1"/>
  <c r="AO50" i="8" a="1"/>
  <c r="AO50" i="8" s="1"/>
  <c r="AO49" i="8" a="1"/>
  <c r="AO49" i="8" s="1"/>
  <c r="AO48" i="8" a="1"/>
  <c r="AO48" i="8" s="1"/>
  <c r="AO47" i="8" a="1"/>
  <c r="AO47" i="8" s="1"/>
  <c r="AO46" i="8" a="1"/>
  <c r="AO46" i="8" s="1"/>
  <c r="AO45" i="8" a="1"/>
  <c r="AO45" i="8" s="1"/>
  <c r="AO44" i="8" a="1"/>
  <c r="AO44" i="8" s="1"/>
  <c r="AO43" i="8" a="1"/>
  <c r="AO43" i="8" s="1"/>
  <c r="AO42" i="8" a="1"/>
  <c r="AO42" i="8" s="1"/>
  <c r="AO41" i="8" a="1"/>
  <c r="AO41" i="8" s="1"/>
  <c r="AO40" i="8" a="1"/>
  <c r="AO40" i="8" s="1"/>
  <c r="AO39" i="8" a="1"/>
  <c r="AO39" i="8" s="1"/>
  <c r="AO38" i="8" a="1"/>
  <c r="AO38" i="8" s="1"/>
  <c r="AO37" i="8" a="1"/>
  <c r="AO37" i="8" s="1"/>
  <c r="AO36" i="8" a="1"/>
  <c r="AO36" i="8" s="1"/>
  <c r="AO35" i="8" a="1"/>
  <c r="AO35" i="8" s="1"/>
  <c r="AO34" i="8" a="1"/>
  <c r="AO34" i="8" s="1"/>
  <c r="AN148" i="8" a="1"/>
  <c r="AN148" i="8" s="1"/>
  <c r="AN147" i="8" a="1"/>
  <c r="AN147" i="8" s="1"/>
  <c r="AN146" i="8" a="1"/>
  <c r="AN146" i="8" s="1"/>
  <c r="AN145" i="8" a="1"/>
  <c r="AN145" i="8" s="1"/>
  <c r="AN144" i="8" a="1"/>
  <c r="AN144" i="8" s="1"/>
  <c r="AN143" i="8" a="1"/>
  <c r="AN143" i="8" s="1"/>
  <c r="AN142" i="8" a="1"/>
  <c r="AN142" i="8" s="1"/>
  <c r="AN141" i="8" a="1"/>
  <c r="AN141" i="8" s="1"/>
  <c r="AN140" i="8" a="1"/>
  <c r="AN140" i="8" s="1"/>
  <c r="AN139" i="8" a="1"/>
  <c r="AN139" i="8" s="1"/>
  <c r="AN138" i="8" a="1"/>
  <c r="AN138" i="8" s="1"/>
  <c r="AN137" i="8" a="1"/>
  <c r="AN137" i="8" s="1"/>
  <c r="AN136" i="8" a="1"/>
  <c r="AN136" i="8" s="1"/>
  <c r="AN135" i="8" a="1"/>
  <c r="AN135" i="8" s="1"/>
  <c r="AN134" i="8" a="1"/>
  <c r="AN134" i="8" s="1"/>
  <c r="AN133" i="8" a="1"/>
  <c r="AN133" i="8" s="1"/>
  <c r="AN132" i="8" a="1"/>
  <c r="AN132" i="8" s="1"/>
  <c r="AN131" i="8" a="1"/>
  <c r="AN131" i="8" s="1"/>
  <c r="AN130" i="8" a="1"/>
  <c r="AN130" i="8" s="1"/>
  <c r="AN129" i="8" a="1"/>
  <c r="AN129" i="8" s="1"/>
  <c r="AN128" i="8" a="1"/>
  <c r="AN128" i="8" s="1"/>
  <c r="AN127" i="8" a="1"/>
  <c r="AN127" i="8" s="1"/>
  <c r="AN126" i="8" a="1"/>
  <c r="AN126" i="8" s="1"/>
  <c r="AN125" i="8" a="1"/>
  <c r="AN125" i="8" s="1"/>
  <c r="AN124" i="8" a="1"/>
  <c r="AN124" i="8" s="1"/>
  <c r="AN123" i="8" a="1"/>
  <c r="AN123" i="8" s="1"/>
  <c r="AN122" i="8" a="1"/>
  <c r="AN122" i="8" s="1"/>
  <c r="AN121" i="8" a="1"/>
  <c r="AN121" i="8" s="1"/>
  <c r="AN120" i="8" a="1"/>
  <c r="AN120" i="8" s="1"/>
  <c r="AN119" i="8" a="1"/>
  <c r="AN119" i="8" s="1"/>
  <c r="AN118" i="8" a="1"/>
  <c r="AN118" i="8" s="1"/>
  <c r="AN117" i="8" a="1"/>
  <c r="AN117" i="8" s="1"/>
  <c r="AN116" i="8" a="1"/>
  <c r="AN116" i="8" s="1"/>
  <c r="AN115" i="8" a="1"/>
  <c r="AN115" i="8" s="1"/>
  <c r="AN114" i="8" a="1"/>
  <c r="AN114" i="8" s="1"/>
  <c r="AN113" i="8" a="1"/>
  <c r="AN113" i="8" s="1"/>
  <c r="AN112" i="8" a="1"/>
  <c r="AN112" i="8" s="1"/>
  <c r="AN111" i="8" a="1"/>
  <c r="AN111" i="8" s="1"/>
  <c r="AN110" i="8" a="1"/>
  <c r="AN110" i="8" s="1"/>
  <c r="AN109" i="8" a="1"/>
  <c r="AN109" i="8" s="1"/>
  <c r="AN108" i="8" a="1"/>
  <c r="AN108" i="8" s="1"/>
  <c r="AN107" i="8" a="1"/>
  <c r="AN107" i="8" s="1"/>
  <c r="AN106" i="8" a="1"/>
  <c r="AN106" i="8" s="1"/>
  <c r="AN105" i="8" a="1"/>
  <c r="AN105" i="8" s="1"/>
  <c r="AN104" i="8" a="1"/>
  <c r="AN104" i="8" s="1"/>
  <c r="AN103" i="8" a="1"/>
  <c r="AN103" i="8" s="1"/>
  <c r="AN102" i="8" a="1"/>
  <c r="AN102" i="8" s="1"/>
  <c r="AN101" i="8" a="1"/>
  <c r="AN101" i="8" s="1"/>
  <c r="AN100" i="8" a="1"/>
  <c r="AN100" i="8" s="1"/>
  <c r="AN99" i="8" a="1"/>
  <c r="AN99" i="8" s="1"/>
  <c r="AN98" i="8" a="1"/>
  <c r="AN98" i="8" s="1"/>
  <c r="AN97" i="8" a="1"/>
  <c r="AN97" i="8" s="1"/>
  <c r="AN96" i="8" a="1"/>
  <c r="AN96" i="8" s="1"/>
  <c r="AN95" i="8" a="1"/>
  <c r="AN95" i="8" s="1"/>
  <c r="AN94" i="8" a="1"/>
  <c r="AN94" i="8" s="1"/>
  <c r="AN93" i="8" a="1"/>
  <c r="AN93" i="8" s="1"/>
  <c r="AN92" i="8" a="1"/>
  <c r="AN92" i="8" s="1"/>
  <c r="AN91" i="8" a="1"/>
  <c r="AN91" i="8" s="1"/>
  <c r="AN90" i="8" a="1"/>
  <c r="AN90" i="8" s="1"/>
  <c r="AN89" i="8" a="1"/>
  <c r="AN89" i="8" s="1"/>
  <c r="AN88" i="8" a="1"/>
  <c r="AN88" i="8" s="1"/>
  <c r="AN87" i="8" a="1"/>
  <c r="AN87" i="8" s="1"/>
  <c r="AN86" i="8" a="1"/>
  <c r="AN86" i="8" s="1"/>
  <c r="AN85" i="8" a="1"/>
  <c r="AN85" i="8" s="1"/>
  <c r="AN84" i="8" a="1"/>
  <c r="AN84" i="8" s="1"/>
  <c r="AN83" i="8" a="1"/>
  <c r="AN83" i="8" s="1"/>
  <c r="AN82" i="8" a="1"/>
  <c r="AN82" i="8" s="1"/>
  <c r="AN81" i="8" a="1"/>
  <c r="AN81" i="8" s="1"/>
  <c r="AN80" i="8" a="1"/>
  <c r="AN80" i="8" s="1"/>
  <c r="AN79" i="8" a="1"/>
  <c r="AN79" i="8" s="1"/>
  <c r="AN78" i="8" a="1"/>
  <c r="AN78" i="8" s="1"/>
  <c r="AN77" i="8" a="1"/>
  <c r="AN77" i="8" s="1"/>
  <c r="AN76" i="8" a="1"/>
  <c r="AN76" i="8" s="1"/>
  <c r="AN75" i="8" a="1"/>
  <c r="AN75" i="8" s="1"/>
  <c r="AN74" i="8" a="1"/>
  <c r="AN74" i="8" s="1"/>
  <c r="AN73" i="8" a="1"/>
  <c r="AN73" i="8" s="1"/>
  <c r="AN72" i="8" a="1"/>
  <c r="AN72" i="8" s="1"/>
  <c r="AN71" i="8" a="1"/>
  <c r="AN71" i="8" s="1"/>
  <c r="AN70" i="8" a="1"/>
  <c r="AN70" i="8" s="1"/>
  <c r="AN69" i="8" a="1"/>
  <c r="AN69" i="8" s="1"/>
  <c r="AN68" i="8" a="1"/>
  <c r="AN68" i="8" s="1"/>
  <c r="AN67" i="8" a="1"/>
  <c r="AN67" i="8" s="1"/>
  <c r="AN66" i="8" a="1"/>
  <c r="AN66" i="8" s="1"/>
  <c r="AN65" i="8" a="1"/>
  <c r="AN65" i="8" s="1"/>
  <c r="AN64" i="8" a="1"/>
  <c r="AN64" i="8" s="1"/>
  <c r="AN63" i="8" a="1"/>
  <c r="AN63" i="8" s="1"/>
  <c r="AN62" i="8" a="1"/>
  <c r="AN62" i="8" s="1"/>
  <c r="AN61" i="8" a="1"/>
  <c r="AN61" i="8" s="1"/>
  <c r="AN60" i="8" a="1"/>
  <c r="AN60" i="8" s="1"/>
  <c r="AN59" i="8" a="1"/>
  <c r="AN59" i="8" s="1"/>
  <c r="AN58" i="8" a="1"/>
  <c r="AN58" i="8" s="1"/>
  <c r="AN57" i="8" a="1"/>
  <c r="AN57" i="8" s="1"/>
  <c r="AN56" i="8" a="1"/>
  <c r="AN56" i="8" s="1"/>
  <c r="AN55" i="8" a="1"/>
  <c r="AN55" i="8" s="1"/>
  <c r="AN54" i="8" a="1"/>
  <c r="AN54" i="8" s="1"/>
  <c r="AN53" i="8" a="1"/>
  <c r="AN53" i="8" s="1"/>
  <c r="AN52" i="8" a="1"/>
  <c r="AN52" i="8" s="1"/>
  <c r="AN51" i="8" a="1"/>
  <c r="AN51" i="8" s="1"/>
  <c r="AN50" i="8" a="1"/>
  <c r="AN50" i="8" s="1"/>
  <c r="AN49" i="8" a="1"/>
  <c r="AN49" i="8" s="1"/>
  <c r="AN48" i="8" a="1"/>
  <c r="AN48" i="8" s="1"/>
  <c r="AN47" i="8" a="1"/>
  <c r="AN47" i="8" s="1"/>
  <c r="AN46" i="8" a="1"/>
  <c r="AN46" i="8" s="1"/>
  <c r="AN45" i="8" a="1"/>
  <c r="AN45" i="8" s="1"/>
  <c r="AN44" i="8" a="1"/>
  <c r="AN44" i="8" s="1"/>
  <c r="AN43" i="8" a="1"/>
  <c r="AN43" i="8" s="1"/>
  <c r="AN42" i="8" a="1"/>
  <c r="AN42" i="8" s="1"/>
  <c r="AN41" i="8" a="1"/>
  <c r="AN41" i="8" s="1"/>
  <c r="AN40" i="8" a="1"/>
  <c r="AN40" i="8" s="1"/>
  <c r="AN39" i="8" a="1"/>
  <c r="AN39" i="8" s="1"/>
  <c r="AN38" i="8" a="1"/>
  <c r="AN38" i="8" s="1"/>
  <c r="AN37" i="8" a="1"/>
  <c r="AN37" i="8" s="1"/>
  <c r="AN36" i="8" a="1"/>
  <c r="AN36" i="8" s="1"/>
  <c r="AN35" i="8" a="1"/>
  <c r="AN35" i="8" s="1"/>
  <c r="AN34" i="8" a="1"/>
  <c r="AN34" i="8" s="1"/>
  <c r="AM148" i="8" a="1"/>
  <c r="AM148" i="8" s="1"/>
  <c r="AM147" i="8" a="1"/>
  <c r="AM147" i="8" s="1"/>
  <c r="AM146" i="8" a="1"/>
  <c r="AM146" i="8" s="1"/>
  <c r="AM145" i="8" a="1"/>
  <c r="AM145" i="8" s="1"/>
  <c r="AM144" i="8" a="1"/>
  <c r="AM144" i="8" s="1"/>
  <c r="AM143" i="8" a="1"/>
  <c r="AM143" i="8" s="1"/>
  <c r="AM142" i="8" a="1"/>
  <c r="AM142" i="8" s="1"/>
  <c r="AM141" i="8" a="1"/>
  <c r="AM141" i="8" s="1"/>
  <c r="AM140" i="8" a="1"/>
  <c r="AM140" i="8" s="1"/>
  <c r="AM139" i="8" a="1"/>
  <c r="AM139" i="8" s="1"/>
  <c r="AM138" i="8" a="1"/>
  <c r="AM138" i="8" s="1"/>
  <c r="AM137" i="8" a="1"/>
  <c r="AM137" i="8" s="1"/>
  <c r="AM136" i="8" a="1"/>
  <c r="AM136" i="8" s="1"/>
  <c r="AM135" i="8" a="1"/>
  <c r="AM135" i="8" s="1"/>
  <c r="AM134" i="8" a="1"/>
  <c r="AM134" i="8" s="1"/>
  <c r="AM133" i="8" a="1"/>
  <c r="AM133" i="8" s="1"/>
  <c r="AM132" i="8" a="1"/>
  <c r="AM132" i="8" s="1"/>
  <c r="AM131" i="8" a="1"/>
  <c r="AM131" i="8" s="1"/>
  <c r="AM130" i="8" a="1"/>
  <c r="AM130" i="8" s="1"/>
  <c r="AM129" i="8" a="1"/>
  <c r="AM129" i="8" s="1"/>
  <c r="AM128" i="8" a="1"/>
  <c r="AM128" i="8" s="1"/>
  <c r="AM127" i="8" a="1"/>
  <c r="AM127" i="8" s="1"/>
  <c r="AM126" i="8" a="1"/>
  <c r="AM126" i="8" s="1"/>
  <c r="AM125" i="8" a="1"/>
  <c r="AM125" i="8" s="1"/>
  <c r="AM124" i="8" a="1"/>
  <c r="AM124" i="8" s="1"/>
  <c r="AM123" i="8" a="1"/>
  <c r="AM123" i="8" s="1"/>
  <c r="AM122" i="8" a="1"/>
  <c r="AM122" i="8" s="1"/>
  <c r="AM121" i="8" a="1"/>
  <c r="AM121" i="8" s="1"/>
  <c r="AM120" i="8" a="1"/>
  <c r="AM120" i="8" s="1"/>
  <c r="AM119" i="8" a="1"/>
  <c r="AM119" i="8" s="1"/>
  <c r="AM118" i="8" a="1"/>
  <c r="AM118" i="8" s="1"/>
  <c r="AM117" i="8" a="1"/>
  <c r="AM117" i="8" s="1"/>
  <c r="AM116" i="8" a="1"/>
  <c r="AM116" i="8" s="1"/>
  <c r="AM115" i="8" a="1"/>
  <c r="AM115" i="8" s="1"/>
  <c r="AM114" i="8" a="1"/>
  <c r="AM114" i="8" s="1"/>
  <c r="AM113" i="8" a="1"/>
  <c r="AM113" i="8" s="1"/>
  <c r="AM112" i="8" a="1"/>
  <c r="AM112" i="8" s="1"/>
  <c r="AM111" i="8" a="1"/>
  <c r="AM111" i="8" s="1"/>
  <c r="AM110" i="8" a="1"/>
  <c r="AM110" i="8" s="1"/>
  <c r="AM109" i="8" a="1"/>
  <c r="AM109" i="8" s="1"/>
  <c r="AM108" i="8" a="1"/>
  <c r="AM108" i="8" s="1"/>
  <c r="AM107" i="8" a="1"/>
  <c r="AM107" i="8" s="1"/>
  <c r="AM106" i="8" a="1"/>
  <c r="AM106" i="8" s="1"/>
  <c r="AM105" i="8" a="1"/>
  <c r="AM105" i="8" s="1"/>
  <c r="AM104" i="8" a="1"/>
  <c r="AM104" i="8" s="1"/>
  <c r="AM103" i="8" a="1"/>
  <c r="AM103" i="8" s="1"/>
  <c r="AM102" i="8" a="1"/>
  <c r="AM102" i="8" s="1"/>
  <c r="AM101" i="8" a="1"/>
  <c r="AM101" i="8" s="1"/>
  <c r="AM100" i="8" a="1"/>
  <c r="AM100" i="8" s="1"/>
  <c r="AM99" i="8" a="1"/>
  <c r="AM99" i="8" s="1"/>
  <c r="AM98" i="8" a="1"/>
  <c r="AM98" i="8" s="1"/>
  <c r="AM97" i="8" a="1"/>
  <c r="AM97" i="8" s="1"/>
  <c r="AM96" i="8" a="1"/>
  <c r="AM96" i="8" s="1"/>
  <c r="AM95" i="8" a="1"/>
  <c r="AM95" i="8" s="1"/>
  <c r="AM94" i="8" a="1"/>
  <c r="AM94" i="8" s="1"/>
  <c r="AM93" i="8" a="1"/>
  <c r="AM93" i="8" s="1"/>
  <c r="AM92" i="8" a="1"/>
  <c r="AM92" i="8" s="1"/>
  <c r="AM91" i="8" a="1"/>
  <c r="AM91" i="8" s="1"/>
  <c r="AM90" i="8" a="1"/>
  <c r="AM90" i="8" s="1"/>
  <c r="AM89" i="8" a="1"/>
  <c r="AM89" i="8" s="1"/>
  <c r="AM88" i="8" a="1"/>
  <c r="AM88" i="8" s="1"/>
  <c r="AM87" i="8" a="1"/>
  <c r="AM87" i="8" s="1"/>
  <c r="AM86" i="8" a="1"/>
  <c r="AM86" i="8" s="1"/>
  <c r="AM85" i="8" a="1"/>
  <c r="AM85" i="8" s="1"/>
  <c r="AM84" i="8" a="1"/>
  <c r="AM84" i="8" s="1"/>
  <c r="AM83" i="8" a="1"/>
  <c r="AM83" i="8" s="1"/>
  <c r="AM82" i="8" a="1"/>
  <c r="AM82" i="8" s="1"/>
  <c r="AM81" i="8" a="1"/>
  <c r="AM81" i="8" s="1"/>
  <c r="AM80" i="8" a="1"/>
  <c r="AM80" i="8" s="1"/>
  <c r="AM79" i="8" a="1"/>
  <c r="AM79" i="8" s="1"/>
  <c r="AM78" i="8" a="1"/>
  <c r="AM78" i="8" s="1"/>
  <c r="AM77" i="8" a="1"/>
  <c r="AM77" i="8" s="1"/>
  <c r="AM76" i="8" a="1"/>
  <c r="AM76" i="8" s="1"/>
  <c r="AM75" i="8" a="1"/>
  <c r="AM75" i="8" s="1"/>
  <c r="AM74" i="8" a="1"/>
  <c r="AM74" i="8" s="1"/>
  <c r="AM73" i="8" a="1"/>
  <c r="AM73" i="8" s="1"/>
  <c r="AM72" i="8" a="1"/>
  <c r="AM72" i="8" s="1"/>
  <c r="AM71" i="8" a="1"/>
  <c r="AM71" i="8" s="1"/>
  <c r="AM70" i="8" a="1"/>
  <c r="AM70" i="8" s="1"/>
  <c r="AM69" i="8" a="1"/>
  <c r="AM69" i="8" s="1"/>
  <c r="AM68" i="8" a="1"/>
  <c r="AM68" i="8" s="1"/>
  <c r="AM67" i="8" a="1"/>
  <c r="AM67" i="8" s="1"/>
  <c r="AM66" i="8" a="1"/>
  <c r="AM66" i="8" s="1"/>
  <c r="AM65" i="8" a="1"/>
  <c r="AM65" i="8" s="1"/>
  <c r="AM64" i="8" a="1"/>
  <c r="AM64" i="8" s="1"/>
  <c r="AM63" i="8" a="1"/>
  <c r="AM63" i="8" s="1"/>
  <c r="AM62" i="8" a="1"/>
  <c r="AM62" i="8" s="1"/>
  <c r="AM61" i="8" a="1"/>
  <c r="AM61" i="8" s="1"/>
  <c r="AM60" i="8" a="1"/>
  <c r="AM60" i="8" s="1"/>
  <c r="AM59" i="8" a="1"/>
  <c r="AM59" i="8" s="1"/>
  <c r="AM58" i="8" a="1"/>
  <c r="AM58" i="8" s="1"/>
  <c r="AM57" i="8" a="1"/>
  <c r="AM57" i="8" s="1"/>
  <c r="AM56" i="8" a="1"/>
  <c r="AM56" i="8" s="1"/>
  <c r="AM55" i="8" a="1"/>
  <c r="AM55" i="8" s="1"/>
  <c r="AM54" i="8" a="1"/>
  <c r="AM54" i="8" s="1"/>
  <c r="AM53" i="8" a="1"/>
  <c r="AM53" i="8" s="1"/>
  <c r="AM52" i="8" a="1"/>
  <c r="AM52" i="8" s="1"/>
  <c r="AM51" i="8" a="1"/>
  <c r="AM51" i="8" s="1"/>
  <c r="AM50" i="8" a="1"/>
  <c r="AM50" i="8" s="1"/>
  <c r="AM49" i="8" a="1"/>
  <c r="AM49" i="8" s="1"/>
  <c r="AM48" i="8" a="1"/>
  <c r="AM48" i="8" s="1"/>
  <c r="AM47" i="8" a="1"/>
  <c r="AM47" i="8" s="1"/>
  <c r="AM46" i="8" a="1"/>
  <c r="AM46" i="8" s="1"/>
  <c r="AM45" i="8" a="1"/>
  <c r="AM45" i="8" s="1"/>
  <c r="AM44" i="8" a="1"/>
  <c r="AM44" i="8" s="1"/>
  <c r="AM43" i="8" a="1"/>
  <c r="AM43" i="8" s="1"/>
  <c r="AM42" i="8" a="1"/>
  <c r="AM42" i="8" s="1"/>
  <c r="AM41" i="8" a="1"/>
  <c r="AM41" i="8" s="1"/>
  <c r="AM40" i="8" a="1"/>
  <c r="AM40" i="8" s="1"/>
  <c r="AM39" i="8" a="1"/>
  <c r="AM39" i="8" s="1"/>
  <c r="AM38" i="8" a="1"/>
  <c r="AM38" i="8" s="1"/>
  <c r="AM37" i="8" a="1"/>
  <c r="AM37" i="8" s="1"/>
  <c r="AM36" i="8" a="1"/>
  <c r="AM36" i="8" s="1"/>
  <c r="AM35" i="8" a="1"/>
  <c r="AM35" i="8" s="1"/>
  <c r="AM34" i="8" a="1"/>
  <c r="AM34" i="8" s="1"/>
  <c r="AK148" i="8" a="1"/>
  <c r="AK148" i="8" s="1"/>
  <c r="AK147" i="8" a="1"/>
  <c r="AK147" i="8" s="1"/>
  <c r="AK146" i="8" a="1"/>
  <c r="AK146" i="8" s="1"/>
  <c r="AK145" i="8" a="1"/>
  <c r="AK145" i="8" s="1"/>
  <c r="AK144" i="8" a="1"/>
  <c r="AK144" i="8" s="1"/>
  <c r="AK143" i="8" a="1"/>
  <c r="AK143" i="8" s="1"/>
  <c r="AK142" i="8" a="1"/>
  <c r="AK142" i="8" s="1"/>
  <c r="AK141" i="8" a="1"/>
  <c r="AK141" i="8" s="1"/>
  <c r="AK140" i="8" a="1"/>
  <c r="AK140" i="8" s="1"/>
  <c r="AK139" i="8" a="1"/>
  <c r="AK139" i="8" s="1"/>
  <c r="AK138" i="8" a="1"/>
  <c r="AK138" i="8" s="1"/>
  <c r="AK137" i="8" a="1"/>
  <c r="AK137" i="8" s="1"/>
  <c r="AK136" i="8" a="1"/>
  <c r="AK136" i="8" s="1"/>
  <c r="AK135" i="8" a="1"/>
  <c r="AK135" i="8" s="1"/>
  <c r="AK134" i="8" a="1"/>
  <c r="AK134" i="8" s="1"/>
  <c r="AK133" i="8" a="1"/>
  <c r="AK133" i="8" s="1"/>
  <c r="AK132" i="8" a="1"/>
  <c r="AK132" i="8" s="1"/>
  <c r="AK131" i="8" a="1"/>
  <c r="AK131" i="8" s="1"/>
  <c r="AK130" i="8" a="1"/>
  <c r="AK130" i="8" s="1"/>
  <c r="AK129" i="8" a="1"/>
  <c r="AK129" i="8" s="1"/>
  <c r="AK128" i="8" a="1"/>
  <c r="AK128" i="8" s="1"/>
  <c r="AK127" i="8" a="1"/>
  <c r="AK127" i="8" s="1"/>
  <c r="AK126" i="8" a="1"/>
  <c r="AK126" i="8" s="1"/>
  <c r="AK125" i="8" a="1"/>
  <c r="AK125" i="8" s="1"/>
  <c r="AK124" i="8" a="1"/>
  <c r="AK124" i="8" s="1"/>
  <c r="AK123" i="8" a="1"/>
  <c r="AK123" i="8" s="1"/>
  <c r="AK122" i="8" a="1"/>
  <c r="AK122" i="8" s="1"/>
  <c r="AK121" i="8" a="1"/>
  <c r="AK121" i="8" s="1"/>
  <c r="AK120" i="8" a="1"/>
  <c r="AK120" i="8" s="1"/>
  <c r="AK119" i="8" a="1"/>
  <c r="AK119" i="8" s="1"/>
  <c r="AK118" i="8" a="1"/>
  <c r="AK118" i="8" s="1"/>
  <c r="AK117" i="8" a="1"/>
  <c r="AK117" i="8" s="1"/>
  <c r="AK116" i="8" a="1"/>
  <c r="AK116" i="8" s="1"/>
  <c r="AK115" i="8" a="1"/>
  <c r="AK115" i="8" s="1"/>
  <c r="AK114" i="8" a="1"/>
  <c r="AK114" i="8" s="1"/>
  <c r="AK113" i="8" a="1"/>
  <c r="AK113" i="8" s="1"/>
  <c r="AK112" i="8" a="1"/>
  <c r="AK112" i="8" s="1"/>
  <c r="AK111" i="8" a="1"/>
  <c r="AK111" i="8" s="1"/>
  <c r="AK110" i="8" a="1"/>
  <c r="AK110" i="8" s="1"/>
  <c r="AK109" i="8" a="1"/>
  <c r="AK109" i="8" s="1"/>
  <c r="AK108" i="8" a="1"/>
  <c r="AK108" i="8" s="1"/>
  <c r="AK107" i="8" a="1"/>
  <c r="AK107" i="8" s="1"/>
  <c r="AK106" i="8" a="1"/>
  <c r="AK106" i="8" s="1"/>
  <c r="AK105" i="8" a="1"/>
  <c r="AK105" i="8" s="1"/>
  <c r="AK104" i="8" a="1"/>
  <c r="AK104" i="8" s="1"/>
  <c r="AK103" i="8" a="1"/>
  <c r="AK103" i="8" s="1"/>
  <c r="AK102" i="8" a="1"/>
  <c r="AK102" i="8" s="1"/>
  <c r="AK101" i="8" a="1"/>
  <c r="AK101" i="8" s="1"/>
  <c r="AK100" i="8" a="1"/>
  <c r="AK100" i="8" s="1"/>
  <c r="AK99" i="8" a="1"/>
  <c r="AK99" i="8" s="1"/>
  <c r="AK98" i="8" a="1"/>
  <c r="AK98" i="8" s="1"/>
  <c r="AK97" i="8" a="1"/>
  <c r="AK97" i="8" s="1"/>
  <c r="AK96" i="8" a="1"/>
  <c r="AK96" i="8" s="1"/>
  <c r="AK95" i="8" a="1"/>
  <c r="AK95" i="8" s="1"/>
  <c r="AK94" i="8" a="1"/>
  <c r="AK94" i="8" s="1"/>
  <c r="AK93" i="8" a="1"/>
  <c r="AK93" i="8" s="1"/>
  <c r="AK92" i="8" a="1"/>
  <c r="AK92" i="8" s="1"/>
  <c r="AK91" i="8" a="1"/>
  <c r="AK91" i="8" s="1"/>
  <c r="AK90" i="8" a="1"/>
  <c r="AK90" i="8" s="1"/>
  <c r="AK89" i="8" a="1"/>
  <c r="AK89" i="8" s="1"/>
  <c r="AK88" i="8" a="1"/>
  <c r="AK88" i="8" s="1"/>
  <c r="AK87" i="8" a="1"/>
  <c r="AK87" i="8" s="1"/>
  <c r="AK86" i="8" a="1"/>
  <c r="AK86" i="8" s="1"/>
  <c r="AK85" i="8" a="1"/>
  <c r="AK85" i="8" s="1"/>
  <c r="AK84" i="8" a="1"/>
  <c r="AK84" i="8" s="1"/>
  <c r="AK83" i="8" a="1"/>
  <c r="AK83" i="8" s="1"/>
  <c r="AK82" i="8" a="1"/>
  <c r="AK82" i="8" s="1"/>
  <c r="AK81" i="8" a="1"/>
  <c r="AK81" i="8" s="1"/>
  <c r="AK80" i="8" a="1"/>
  <c r="AK80" i="8" s="1"/>
  <c r="AK79" i="8" a="1"/>
  <c r="AK79" i="8" s="1"/>
  <c r="AK78" i="8" a="1"/>
  <c r="AK78" i="8" s="1"/>
  <c r="AK77" i="8" a="1"/>
  <c r="AK77" i="8" s="1"/>
  <c r="AK76" i="8" a="1"/>
  <c r="AK76" i="8" s="1"/>
  <c r="AK75" i="8" a="1"/>
  <c r="AK75" i="8" s="1"/>
  <c r="AK74" i="8" a="1"/>
  <c r="AK74" i="8" s="1"/>
  <c r="AK73" i="8" a="1"/>
  <c r="AK73" i="8" s="1"/>
  <c r="AK72" i="8" a="1"/>
  <c r="AK72" i="8" s="1"/>
  <c r="AK71" i="8" a="1"/>
  <c r="AK71" i="8" s="1"/>
  <c r="AK70" i="8" a="1"/>
  <c r="AK70" i="8" s="1"/>
  <c r="AK69" i="8" a="1"/>
  <c r="AK69" i="8" s="1"/>
  <c r="AK68" i="8" a="1"/>
  <c r="AK68" i="8" s="1"/>
  <c r="AK67" i="8" a="1"/>
  <c r="AK67" i="8" s="1"/>
  <c r="AK66" i="8" a="1"/>
  <c r="AK66" i="8" s="1"/>
  <c r="AK65" i="8" a="1"/>
  <c r="AK65" i="8" s="1"/>
  <c r="AK64" i="8" a="1"/>
  <c r="AK64" i="8" s="1"/>
  <c r="AK63" i="8" a="1"/>
  <c r="AK63" i="8" s="1"/>
  <c r="AK62" i="8" a="1"/>
  <c r="AK62" i="8" s="1"/>
  <c r="AK61" i="8" a="1"/>
  <c r="AK61" i="8" s="1"/>
  <c r="AK60" i="8" a="1"/>
  <c r="AK60" i="8" s="1"/>
  <c r="AK59" i="8" a="1"/>
  <c r="AK59" i="8" s="1"/>
  <c r="AK58" i="8" a="1"/>
  <c r="AK58" i="8" s="1"/>
  <c r="AK57" i="8" a="1"/>
  <c r="AK57" i="8" s="1"/>
  <c r="AK56" i="8" a="1"/>
  <c r="AK56" i="8" s="1"/>
  <c r="AK55" i="8" a="1"/>
  <c r="AK55" i="8" s="1"/>
  <c r="AK54" i="8" a="1"/>
  <c r="AK54" i="8" s="1"/>
  <c r="AK53" i="8" a="1"/>
  <c r="AK53" i="8" s="1"/>
  <c r="AK52" i="8" a="1"/>
  <c r="AK52" i="8" s="1"/>
  <c r="AK51" i="8" a="1"/>
  <c r="AK51" i="8" s="1"/>
  <c r="AK50" i="8" a="1"/>
  <c r="AK50" i="8" s="1"/>
  <c r="AK49" i="8" a="1"/>
  <c r="AK49" i="8" s="1"/>
  <c r="AK48" i="8" a="1"/>
  <c r="AK48" i="8" s="1"/>
  <c r="AK47" i="8" a="1"/>
  <c r="AK47" i="8" s="1"/>
  <c r="AK46" i="8" a="1"/>
  <c r="AK46" i="8" s="1"/>
  <c r="AK45" i="8" a="1"/>
  <c r="AK45" i="8" s="1"/>
  <c r="AK44" i="8" a="1"/>
  <c r="AK44" i="8" s="1"/>
  <c r="AK43" i="8" a="1"/>
  <c r="AK43" i="8" s="1"/>
  <c r="AK42" i="8" a="1"/>
  <c r="AK42" i="8" s="1"/>
  <c r="AK41" i="8" a="1"/>
  <c r="AK41" i="8" s="1"/>
  <c r="AK40" i="8" a="1"/>
  <c r="AK40" i="8" s="1"/>
  <c r="AK39" i="8" a="1"/>
  <c r="AK39" i="8" s="1"/>
  <c r="AK38" i="8" a="1"/>
  <c r="AK38" i="8" s="1"/>
  <c r="AK37" i="8" a="1"/>
  <c r="AK37" i="8" s="1"/>
  <c r="AK36" i="8" a="1"/>
  <c r="AK36" i="8" s="1"/>
  <c r="AK35" i="8" a="1"/>
  <c r="AK35" i="8" s="1"/>
  <c r="AK34" i="8" a="1"/>
  <c r="AK34" i="8" s="1"/>
  <c r="AJ148" i="8" a="1"/>
  <c r="AJ148" i="8" s="1"/>
  <c r="AJ147" i="8" a="1"/>
  <c r="AJ147" i="8" s="1"/>
  <c r="AJ146" i="8" a="1"/>
  <c r="AJ146" i="8" s="1"/>
  <c r="AJ145" i="8" a="1"/>
  <c r="AJ145" i="8" s="1"/>
  <c r="AJ144" i="8" a="1"/>
  <c r="AJ144" i="8" s="1"/>
  <c r="AJ143" i="8" a="1"/>
  <c r="AJ143" i="8" s="1"/>
  <c r="AJ142" i="8" a="1"/>
  <c r="AJ142" i="8" s="1"/>
  <c r="AJ141" i="8" a="1"/>
  <c r="AJ141" i="8" s="1"/>
  <c r="AJ140" i="8" a="1"/>
  <c r="AJ140" i="8" s="1"/>
  <c r="AJ139" i="8" a="1"/>
  <c r="AJ139" i="8" s="1"/>
  <c r="AJ138" i="8" a="1"/>
  <c r="AJ138" i="8" s="1"/>
  <c r="AJ137" i="8" a="1"/>
  <c r="AJ137" i="8" s="1"/>
  <c r="AJ136" i="8" a="1"/>
  <c r="AJ136" i="8" s="1"/>
  <c r="AJ135" i="8" a="1"/>
  <c r="AJ135" i="8" s="1"/>
  <c r="AJ134" i="8" a="1"/>
  <c r="AJ134" i="8" s="1"/>
  <c r="AJ133" i="8" a="1"/>
  <c r="AJ133" i="8" s="1"/>
  <c r="AJ132" i="8" a="1"/>
  <c r="AJ132" i="8" s="1"/>
  <c r="AJ131" i="8" a="1"/>
  <c r="AJ131" i="8" s="1"/>
  <c r="AJ130" i="8" a="1"/>
  <c r="AJ130" i="8" s="1"/>
  <c r="AJ129" i="8" a="1"/>
  <c r="AJ129" i="8" s="1"/>
  <c r="AJ128" i="8" a="1"/>
  <c r="AJ128" i="8" s="1"/>
  <c r="AJ127" i="8" a="1"/>
  <c r="AJ127" i="8" s="1"/>
  <c r="AJ126" i="8" a="1"/>
  <c r="AJ126" i="8" s="1"/>
  <c r="AJ125" i="8" a="1"/>
  <c r="AJ125" i="8" s="1"/>
  <c r="AJ124" i="8" a="1"/>
  <c r="AJ124" i="8" s="1"/>
  <c r="AJ123" i="8" a="1"/>
  <c r="AJ123" i="8" s="1"/>
  <c r="AJ122" i="8" a="1"/>
  <c r="AJ122" i="8" s="1"/>
  <c r="AJ121" i="8" a="1"/>
  <c r="AJ121" i="8" s="1"/>
  <c r="AJ120" i="8" a="1"/>
  <c r="AJ120" i="8" s="1"/>
  <c r="AJ119" i="8" a="1"/>
  <c r="AJ119" i="8" s="1"/>
  <c r="AJ118" i="8" a="1"/>
  <c r="AJ118" i="8" s="1"/>
  <c r="AJ117" i="8" a="1"/>
  <c r="AJ117" i="8" s="1"/>
  <c r="AJ116" i="8" a="1"/>
  <c r="AJ116" i="8" s="1"/>
  <c r="AJ115" i="8" a="1"/>
  <c r="AJ115" i="8" s="1"/>
  <c r="AJ114" i="8" a="1"/>
  <c r="AJ114" i="8" s="1"/>
  <c r="AJ113" i="8" a="1"/>
  <c r="AJ113" i="8" s="1"/>
  <c r="AJ112" i="8" a="1"/>
  <c r="AJ112" i="8" s="1"/>
  <c r="AJ111" i="8" a="1"/>
  <c r="AJ111" i="8" s="1"/>
  <c r="AJ110" i="8" a="1"/>
  <c r="AJ110" i="8" s="1"/>
  <c r="AJ109" i="8" a="1"/>
  <c r="AJ109" i="8" s="1"/>
  <c r="AJ108" i="8" a="1"/>
  <c r="AJ108" i="8" s="1"/>
  <c r="AJ107" i="8" a="1"/>
  <c r="AJ107" i="8" s="1"/>
  <c r="AJ106" i="8" a="1"/>
  <c r="AJ106" i="8" s="1"/>
  <c r="AJ105" i="8" a="1"/>
  <c r="AJ105" i="8" s="1"/>
  <c r="AJ104" i="8" a="1"/>
  <c r="AJ104" i="8" s="1"/>
  <c r="AJ103" i="8" a="1"/>
  <c r="AJ103" i="8" s="1"/>
  <c r="AJ102" i="8" a="1"/>
  <c r="AJ102" i="8" s="1"/>
  <c r="AJ101" i="8" a="1"/>
  <c r="AJ101" i="8" s="1"/>
  <c r="AJ100" i="8" a="1"/>
  <c r="AJ100" i="8" s="1"/>
  <c r="AJ99" i="8" a="1"/>
  <c r="AJ99" i="8" s="1"/>
  <c r="AJ98" i="8" a="1"/>
  <c r="AJ98" i="8" s="1"/>
  <c r="AJ97" i="8" a="1"/>
  <c r="AJ97" i="8" s="1"/>
  <c r="AJ96" i="8" a="1"/>
  <c r="AJ96" i="8" s="1"/>
  <c r="AJ95" i="8" a="1"/>
  <c r="AJ95" i="8" s="1"/>
  <c r="AJ94" i="8" a="1"/>
  <c r="AJ94" i="8" s="1"/>
  <c r="AJ93" i="8" a="1"/>
  <c r="AJ93" i="8" s="1"/>
  <c r="AJ92" i="8" a="1"/>
  <c r="AJ92" i="8" s="1"/>
  <c r="AJ91" i="8" a="1"/>
  <c r="AJ91" i="8" s="1"/>
  <c r="AJ90" i="8" a="1"/>
  <c r="AJ90" i="8" s="1"/>
  <c r="AJ89" i="8" a="1"/>
  <c r="AJ89" i="8" s="1"/>
  <c r="AJ88" i="8" a="1"/>
  <c r="AJ88" i="8" s="1"/>
  <c r="AJ87" i="8" a="1"/>
  <c r="AJ87" i="8" s="1"/>
  <c r="AJ86" i="8" a="1"/>
  <c r="AJ86" i="8" s="1"/>
  <c r="AJ85" i="8" a="1"/>
  <c r="AJ85" i="8" s="1"/>
  <c r="AJ84" i="8" a="1"/>
  <c r="AJ84" i="8" s="1"/>
  <c r="AJ83" i="8" a="1"/>
  <c r="AJ83" i="8" s="1"/>
  <c r="AJ82" i="8" a="1"/>
  <c r="AJ82" i="8" s="1"/>
  <c r="AJ81" i="8" a="1"/>
  <c r="AJ81" i="8" s="1"/>
  <c r="AJ80" i="8" a="1"/>
  <c r="AJ80" i="8" s="1"/>
  <c r="AJ79" i="8" a="1"/>
  <c r="AJ79" i="8" s="1"/>
  <c r="AJ78" i="8" a="1"/>
  <c r="AJ78" i="8" s="1"/>
  <c r="AJ77" i="8" a="1"/>
  <c r="AJ77" i="8" s="1"/>
  <c r="AJ76" i="8" a="1"/>
  <c r="AJ76" i="8" s="1"/>
  <c r="AJ75" i="8" a="1"/>
  <c r="AJ75" i="8" s="1"/>
  <c r="AJ74" i="8" a="1"/>
  <c r="AJ74" i="8" s="1"/>
  <c r="AJ73" i="8" a="1"/>
  <c r="AJ73" i="8" s="1"/>
  <c r="AJ72" i="8" a="1"/>
  <c r="AJ72" i="8" s="1"/>
  <c r="AJ71" i="8" a="1"/>
  <c r="AJ71" i="8" s="1"/>
  <c r="AJ70" i="8" a="1"/>
  <c r="AJ70" i="8" s="1"/>
  <c r="AJ69" i="8" a="1"/>
  <c r="AJ69" i="8" s="1"/>
  <c r="AJ68" i="8" a="1"/>
  <c r="AJ68" i="8" s="1"/>
  <c r="AJ67" i="8" a="1"/>
  <c r="AJ67" i="8" s="1"/>
  <c r="AJ66" i="8" a="1"/>
  <c r="AJ66" i="8" s="1"/>
  <c r="AJ65" i="8" a="1"/>
  <c r="AJ65" i="8" s="1"/>
  <c r="AJ64" i="8" a="1"/>
  <c r="AJ64" i="8" s="1"/>
  <c r="AJ63" i="8" a="1"/>
  <c r="AJ63" i="8" s="1"/>
  <c r="AJ62" i="8" a="1"/>
  <c r="AJ62" i="8" s="1"/>
  <c r="AJ61" i="8" a="1"/>
  <c r="AJ61" i="8" s="1"/>
  <c r="AJ60" i="8" a="1"/>
  <c r="AJ60" i="8" s="1"/>
  <c r="AJ59" i="8" a="1"/>
  <c r="AJ59" i="8" s="1"/>
  <c r="AJ58" i="8" a="1"/>
  <c r="AJ58" i="8" s="1"/>
  <c r="AJ57" i="8" a="1"/>
  <c r="AJ57" i="8" s="1"/>
  <c r="AJ56" i="8" a="1"/>
  <c r="AJ56" i="8" s="1"/>
  <c r="AJ55" i="8" a="1"/>
  <c r="AJ55" i="8" s="1"/>
  <c r="AJ54" i="8" a="1"/>
  <c r="AJ54" i="8" s="1"/>
  <c r="AJ53" i="8" a="1"/>
  <c r="AJ53" i="8" s="1"/>
  <c r="AJ52" i="8" a="1"/>
  <c r="AJ52" i="8" s="1"/>
  <c r="AJ51" i="8" a="1"/>
  <c r="AJ51" i="8" s="1"/>
  <c r="AJ50" i="8" a="1"/>
  <c r="AJ50" i="8" s="1"/>
  <c r="AJ49" i="8" a="1"/>
  <c r="AJ49" i="8" s="1"/>
  <c r="AJ48" i="8" a="1"/>
  <c r="AJ48" i="8" s="1"/>
  <c r="AJ47" i="8" a="1"/>
  <c r="AJ47" i="8" s="1"/>
  <c r="AJ46" i="8" a="1"/>
  <c r="AJ46" i="8" s="1"/>
  <c r="AJ45" i="8" a="1"/>
  <c r="AJ45" i="8" s="1"/>
  <c r="AJ44" i="8" a="1"/>
  <c r="AJ44" i="8" s="1"/>
  <c r="AJ43" i="8" a="1"/>
  <c r="AJ43" i="8" s="1"/>
  <c r="AJ42" i="8" a="1"/>
  <c r="AJ42" i="8" s="1"/>
  <c r="AJ41" i="8" a="1"/>
  <c r="AJ41" i="8" s="1"/>
  <c r="AJ40" i="8" a="1"/>
  <c r="AJ40" i="8" s="1"/>
  <c r="AJ39" i="8" a="1"/>
  <c r="AJ39" i="8" s="1"/>
  <c r="AJ38" i="8" a="1"/>
  <c r="AJ38" i="8" s="1"/>
  <c r="AJ37" i="8" a="1"/>
  <c r="AJ37" i="8" s="1"/>
  <c r="AJ36" i="8" a="1"/>
  <c r="AJ36" i="8" s="1"/>
  <c r="AJ35" i="8" a="1"/>
  <c r="AJ35" i="8" s="1"/>
  <c r="AJ34" i="8" a="1"/>
  <c r="AJ34" i="8" s="1"/>
  <c r="AI148" i="8" a="1"/>
  <c r="AI148" i="8" s="1"/>
  <c r="AI147" i="8" a="1"/>
  <c r="AI147" i="8" s="1"/>
  <c r="AI146" i="8" a="1"/>
  <c r="AI146" i="8" s="1"/>
  <c r="AI145" i="8" a="1"/>
  <c r="AI145" i="8" s="1"/>
  <c r="AI144" i="8" a="1"/>
  <c r="AI144" i="8" s="1"/>
  <c r="AI143" i="8" a="1"/>
  <c r="AI143" i="8" s="1"/>
  <c r="AI142" i="8" a="1"/>
  <c r="AI142" i="8" s="1"/>
  <c r="AI141" i="8" a="1"/>
  <c r="AI141" i="8" s="1"/>
  <c r="AI140" i="8" a="1"/>
  <c r="AI140" i="8" s="1"/>
  <c r="AI139" i="8" a="1"/>
  <c r="AI139" i="8" s="1"/>
  <c r="AI138" i="8" a="1"/>
  <c r="AI138" i="8" s="1"/>
  <c r="AI137" i="8" a="1"/>
  <c r="AI137" i="8" s="1"/>
  <c r="AI136" i="8" a="1"/>
  <c r="AI136" i="8" s="1"/>
  <c r="AI135" i="8" a="1"/>
  <c r="AI135" i="8" s="1"/>
  <c r="AI134" i="8" a="1"/>
  <c r="AI134" i="8" s="1"/>
  <c r="AI133" i="8" a="1"/>
  <c r="AI133" i="8" s="1"/>
  <c r="AI132" i="8" a="1"/>
  <c r="AI132" i="8" s="1"/>
  <c r="AI131" i="8" a="1"/>
  <c r="AI131" i="8" s="1"/>
  <c r="AI130" i="8" a="1"/>
  <c r="AI130" i="8" s="1"/>
  <c r="AI129" i="8" a="1"/>
  <c r="AI129" i="8" s="1"/>
  <c r="AI128" i="8" a="1"/>
  <c r="AI128" i="8" s="1"/>
  <c r="AI127" i="8" a="1"/>
  <c r="AI127" i="8" s="1"/>
  <c r="AI126" i="8" a="1"/>
  <c r="AI126" i="8" s="1"/>
  <c r="AI125" i="8" a="1"/>
  <c r="AI125" i="8" s="1"/>
  <c r="AI124" i="8" a="1"/>
  <c r="AI124" i="8" s="1"/>
  <c r="AI123" i="8" a="1"/>
  <c r="AI123" i="8" s="1"/>
  <c r="AI122" i="8" a="1"/>
  <c r="AI122" i="8" s="1"/>
  <c r="AI121" i="8" a="1"/>
  <c r="AI121" i="8" s="1"/>
  <c r="AI120" i="8" a="1"/>
  <c r="AI120" i="8" s="1"/>
  <c r="AI119" i="8" a="1"/>
  <c r="AI119" i="8" s="1"/>
  <c r="AI118" i="8" a="1"/>
  <c r="AI118" i="8" s="1"/>
  <c r="AI117" i="8" a="1"/>
  <c r="AI117" i="8" s="1"/>
  <c r="AI116" i="8" a="1"/>
  <c r="AI116" i="8" s="1"/>
  <c r="AI115" i="8" a="1"/>
  <c r="AI115" i="8" s="1"/>
  <c r="AI114" i="8" a="1"/>
  <c r="AI114" i="8" s="1"/>
  <c r="AI113" i="8" a="1"/>
  <c r="AI113" i="8" s="1"/>
  <c r="AI112" i="8" a="1"/>
  <c r="AI112" i="8" s="1"/>
  <c r="AI111" i="8" a="1"/>
  <c r="AI111" i="8" s="1"/>
  <c r="AI110" i="8" a="1"/>
  <c r="AI110" i="8" s="1"/>
  <c r="AI109" i="8" a="1"/>
  <c r="AI109" i="8" s="1"/>
  <c r="AI108" i="8" a="1"/>
  <c r="AI108" i="8" s="1"/>
  <c r="AI107" i="8" a="1"/>
  <c r="AI107" i="8" s="1"/>
  <c r="AI106" i="8" a="1"/>
  <c r="AI106" i="8" s="1"/>
  <c r="AI105" i="8" a="1"/>
  <c r="AI105" i="8" s="1"/>
  <c r="AI104" i="8" a="1"/>
  <c r="AI104" i="8" s="1"/>
  <c r="AI103" i="8" a="1"/>
  <c r="AI103" i="8" s="1"/>
  <c r="AI102" i="8" a="1"/>
  <c r="AI102" i="8" s="1"/>
  <c r="AI101" i="8" a="1"/>
  <c r="AI101" i="8" s="1"/>
  <c r="AI100" i="8" a="1"/>
  <c r="AI100" i="8" s="1"/>
  <c r="AI99" i="8" a="1"/>
  <c r="AI99" i="8" s="1"/>
  <c r="AI98" i="8" a="1"/>
  <c r="AI98" i="8" s="1"/>
  <c r="AI97" i="8" a="1"/>
  <c r="AI97" i="8" s="1"/>
  <c r="AI96" i="8" a="1"/>
  <c r="AI96" i="8" s="1"/>
  <c r="AI95" i="8" a="1"/>
  <c r="AI95" i="8" s="1"/>
  <c r="AI94" i="8" a="1"/>
  <c r="AI94" i="8" s="1"/>
  <c r="AI93" i="8" a="1"/>
  <c r="AI93" i="8" s="1"/>
  <c r="AI92" i="8" a="1"/>
  <c r="AI92" i="8" s="1"/>
  <c r="AI91" i="8" a="1"/>
  <c r="AI91" i="8" s="1"/>
  <c r="AI90" i="8" a="1"/>
  <c r="AI90" i="8" s="1"/>
  <c r="AI89" i="8" a="1"/>
  <c r="AI89" i="8" s="1"/>
  <c r="AI88" i="8" a="1"/>
  <c r="AI88" i="8" s="1"/>
  <c r="AI87" i="8" a="1"/>
  <c r="AI87" i="8" s="1"/>
  <c r="AI86" i="8" a="1"/>
  <c r="AI86" i="8" s="1"/>
  <c r="AI85" i="8" a="1"/>
  <c r="AI85" i="8" s="1"/>
  <c r="AI84" i="8" a="1"/>
  <c r="AI84" i="8" s="1"/>
  <c r="AI83" i="8" a="1"/>
  <c r="AI83" i="8" s="1"/>
  <c r="AI82" i="8" a="1"/>
  <c r="AI82" i="8" s="1"/>
  <c r="AI81" i="8" a="1"/>
  <c r="AI81" i="8" s="1"/>
  <c r="AI80" i="8" a="1"/>
  <c r="AI80" i="8" s="1"/>
  <c r="AI79" i="8" a="1"/>
  <c r="AI79" i="8" s="1"/>
  <c r="AI78" i="8" a="1"/>
  <c r="AI78" i="8" s="1"/>
  <c r="AI77" i="8" a="1"/>
  <c r="AI77" i="8" s="1"/>
  <c r="AI76" i="8" a="1"/>
  <c r="AI76" i="8" s="1"/>
  <c r="AI75" i="8" a="1"/>
  <c r="AI75" i="8" s="1"/>
  <c r="AI74" i="8" a="1"/>
  <c r="AI74" i="8" s="1"/>
  <c r="AI73" i="8" a="1"/>
  <c r="AI73" i="8" s="1"/>
  <c r="AI72" i="8" a="1"/>
  <c r="AI72" i="8" s="1"/>
  <c r="AI71" i="8" a="1"/>
  <c r="AI71" i="8" s="1"/>
  <c r="AI70" i="8" a="1"/>
  <c r="AI70" i="8" s="1"/>
  <c r="AI69" i="8" a="1"/>
  <c r="AI69" i="8" s="1"/>
  <c r="AI68" i="8" a="1"/>
  <c r="AI68" i="8" s="1"/>
  <c r="AI67" i="8" a="1"/>
  <c r="AI67" i="8" s="1"/>
  <c r="AI66" i="8" a="1"/>
  <c r="AI66" i="8" s="1"/>
  <c r="AI65" i="8" a="1"/>
  <c r="AI65" i="8" s="1"/>
  <c r="AI64" i="8" a="1"/>
  <c r="AI64" i="8" s="1"/>
  <c r="AI63" i="8" a="1"/>
  <c r="AI63" i="8" s="1"/>
  <c r="AI62" i="8" a="1"/>
  <c r="AI62" i="8" s="1"/>
  <c r="AI61" i="8" a="1"/>
  <c r="AI61" i="8" s="1"/>
  <c r="AI60" i="8" a="1"/>
  <c r="AI60" i="8" s="1"/>
  <c r="AI59" i="8" a="1"/>
  <c r="AI59" i="8" s="1"/>
  <c r="AI58" i="8" a="1"/>
  <c r="AI58" i="8" s="1"/>
  <c r="AI57" i="8" a="1"/>
  <c r="AI57" i="8" s="1"/>
  <c r="AI56" i="8" a="1"/>
  <c r="AI56" i="8" s="1"/>
  <c r="AI55" i="8" a="1"/>
  <c r="AI55" i="8" s="1"/>
  <c r="AI54" i="8" a="1"/>
  <c r="AI54" i="8" s="1"/>
  <c r="AI53" i="8" a="1"/>
  <c r="AI53" i="8" s="1"/>
  <c r="AI52" i="8" a="1"/>
  <c r="AI52" i="8" s="1"/>
  <c r="AI51" i="8" a="1"/>
  <c r="AI51" i="8" s="1"/>
  <c r="AI50" i="8" a="1"/>
  <c r="AI50" i="8" s="1"/>
  <c r="AI49" i="8" a="1"/>
  <c r="AI49" i="8" s="1"/>
  <c r="AI48" i="8" a="1"/>
  <c r="AI48" i="8" s="1"/>
  <c r="AI47" i="8" a="1"/>
  <c r="AI47" i="8" s="1"/>
  <c r="AI46" i="8" a="1"/>
  <c r="AI46" i="8" s="1"/>
  <c r="AI45" i="8" a="1"/>
  <c r="AI45" i="8" s="1"/>
  <c r="AI44" i="8" a="1"/>
  <c r="AI44" i="8" s="1"/>
  <c r="AI43" i="8" a="1"/>
  <c r="AI43" i="8" s="1"/>
  <c r="AI42" i="8" a="1"/>
  <c r="AI42" i="8" s="1"/>
  <c r="AI41" i="8" a="1"/>
  <c r="AI41" i="8" s="1"/>
  <c r="AI40" i="8" a="1"/>
  <c r="AI40" i="8" s="1"/>
  <c r="AI39" i="8" a="1"/>
  <c r="AI39" i="8" s="1"/>
  <c r="AI38" i="8" a="1"/>
  <c r="AI38" i="8" s="1"/>
  <c r="AI37" i="8" a="1"/>
  <c r="AI37" i="8" s="1"/>
  <c r="AI36" i="8" a="1"/>
  <c r="AI36" i="8" s="1"/>
  <c r="AI35" i="8" a="1"/>
  <c r="AI35" i="8" s="1"/>
  <c r="AI34" i="8" a="1"/>
  <c r="AI34" i="8" s="1"/>
  <c r="AH148" i="8" a="1"/>
  <c r="AH148" i="8" s="1"/>
  <c r="AH147" i="8" a="1"/>
  <c r="AH147" i="8" s="1"/>
  <c r="AH146" i="8" a="1"/>
  <c r="AH146" i="8" s="1"/>
  <c r="AH145" i="8" a="1"/>
  <c r="AH145" i="8" s="1"/>
  <c r="AH144" i="8" a="1"/>
  <c r="AH144" i="8" s="1"/>
  <c r="AH143" i="8" a="1"/>
  <c r="AH143" i="8" s="1"/>
  <c r="AH142" i="8" a="1"/>
  <c r="AH142" i="8" s="1"/>
  <c r="AH141" i="8" a="1"/>
  <c r="AH141" i="8" s="1"/>
  <c r="AH140" i="8" a="1"/>
  <c r="AH140" i="8" s="1"/>
  <c r="AH139" i="8" a="1"/>
  <c r="AH139" i="8" s="1"/>
  <c r="AH138" i="8" a="1"/>
  <c r="AH138" i="8" s="1"/>
  <c r="AH137" i="8" a="1"/>
  <c r="AH137" i="8" s="1"/>
  <c r="AH136" i="8" a="1"/>
  <c r="AH136" i="8" s="1"/>
  <c r="AH135" i="8" a="1"/>
  <c r="AH135" i="8" s="1"/>
  <c r="AH134" i="8" a="1"/>
  <c r="AH134" i="8" s="1"/>
  <c r="AH133" i="8" a="1"/>
  <c r="AH133" i="8" s="1"/>
  <c r="AH132" i="8" a="1"/>
  <c r="AH132" i="8" s="1"/>
  <c r="AH131" i="8" a="1"/>
  <c r="AH131" i="8" s="1"/>
  <c r="AH130" i="8" a="1"/>
  <c r="AH130" i="8" s="1"/>
  <c r="AH129" i="8" a="1"/>
  <c r="AH129" i="8" s="1"/>
  <c r="AH128" i="8" a="1"/>
  <c r="AH128" i="8" s="1"/>
  <c r="AH127" i="8" a="1"/>
  <c r="AH127" i="8" s="1"/>
  <c r="AH126" i="8" a="1"/>
  <c r="AH126" i="8" s="1"/>
  <c r="AH125" i="8" a="1"/>
  <c r="AH125" i="8" s="1"/>
  <c r="AH124" i="8" a="1"/>
  <c r="AH124" i="8" s="1"/>
  <c r="AH123" i="8" a="1"/>
  <c r="AH123" i="8" s="1"/>
  <c r="AH122" i="8" a="1"/>
  <c r="AH122" i="8" s="1"/>
  <c r="AH121" i="8" a="1"/>
  <c r="AH121" i="8" s="1"/>
  <c r="AH120" i="8" a="1"/>
  <c r="AH120" i="8" s="1"/>
  <c r="AH119" i="8" a="1"/>
  <c r="AH119" i="8" s="1"/>
  <c r="AH118" i="8" a="1"/>
  <c r="AH118" i="8" s="1"/>
  <c r="AH117" i="8" a="1"/>
  <c r="AH117" i="8" s="1"/>
  <c r="AH116" i="8" a="1"/>
  <c r="AH116" i="8" s="1"/>
  <c r="AH115" i="8" a="1"/>
  <c r="AH115" i="8" s="1"/>
  <c r="AH114" i="8" a="1"/>
  <c r="AH114" i="8" s="1"/>
  <c r="AH113" i="8" a="1"/>
  <c r="AH113" i="8" s="1"/>
  <c r="AH112" i="8" a="1"/>
  <c r="AH112" i="8" s="1"/>
  <c r="AH111" i="8" a="1"/>
  <c r="AH111" i="8" s="1"/>
  <c r="AH110" i="8" a="1"/>
  <c r="AH110" i="8" s="1"/>
  <c r="AH109" i="8" a="1"/>
  <c r="AH109" i="8" s="1"/>
  <c r="AH108" i="8" a="1"/>
  <c r="AH108" i="8" s="1"/>
  <c r="AH107" i="8" a="1"/>
  <c r="AH107" i="8" s="1"/>
  <c r="AH106" i="8" a="1"/>
  <c r="AH106" i="8" s="1"/>
  <c r="AH105" i="8" a="1"/>
  <c r="AH105" i="8" s="1"/>
  <c r="AH104" i="8" a="1"/>
  <c r="AH104" i="8" s="1"/>
  <c r="AH103" i="8" a="1"/>
  <c r="AH103" i="8" s="1"/>
  <c r="AH102" i="8" a="1"/>
  <c r="AH102" i="8" s="1"/>
  <c r="AH101" i="8" a="1"/>
  <c r="AH101" i="8" s="1"/>
  <c r="AH100" i="8" a="1"/>
  <c r="AH100" i="8" s="1"/>
  <c r="AH99" i="8" a="1"/>
  <c r="AH99" i="8" s="1"/>
  <c r="AH98" i="8" a="1"/>
  <c r="AH98" i="8" s="1"/>
  <c r="AH97" i="8" a="1"/>
  <c r="AH97" i="8" s="1"/>
  <c r="AH96" i="8" a="1"/>
  <c r="AH96" i="8" s="1"/>
  <c r="AH95" i="8" a="1"/>
  <c r="AH95" i="8" s="1"/>
  <c r="AH94" i="8" a="1"/>
  <c r="AH94" i="8" s="1"/>
  <c r="AH93" i="8" a="1"/>
  <c r="AH93" i="8" s="1"/>
  <c r="AH92" i="8" a="1"/>
  <c r="AH92" i="8" s="1"/>
  <c r="AH91" i="8" a="1"/>
  <c r="AH91" i="8" s="1"/>
  <c r="AH90" i="8" a="1"/>
  <c r="AH90" i="8" s="1"/>
  <c r="AH89" i="8" a="1"/>
  <c r="AH89" i="8" s="1"/>
  <c r="AH88" i="8" a="1"/>
  <c r="AH88" i="8" s="1"/>
  <c r="AH87" i="8" a="1"/>
  <c r="AH87" i="8" s="1"/>
  <c r="AH86" i="8" a="1"/>
  <c r="AH86" i="8" s="1"/>
  <c r="AH85" i="8" a="1"/>
  <c r="AH85" i="8" s="1"/>
  <c r="AH84" i="8" a="1"/>
  <c r="AH84" i="8" s="1"/>
  <c r="AH83" i="8" a="1"/>
  <c r="AH83" i="8" s="1"/>
  <c r="AH82" i="8" a="1"/>
  <c r="AH82" i="8" s="1"/>
  <c r="AH81" i="8" a="1"/>
  <c r="AH81" i="8" s="1"/>
  <c r="AH80" i="8" a="1"/>
  <c r="AH80" i="8" s="1"/>
  <c r="AH79" i="8" a="1"/>
  <c r="AH79" i="8" s="1"/>
  <c r="AH78" i="8" a="1"/>
  <c r="AH78" i="8" s="1"/>
  <c r="AH77" i="8" a="1"/>
  <c r="AH77" i="8" s="1"/>
  <c r="AH76" i="8" a="1"/>
  <c r="AH76" i="8" s="1"/>
  <c r="AH75" i="8" a="1"/>
  <c r="AH75" i="8" s="1"/>
  <c r="AH74" i="8" a="1"/>
  <c r="AH74" i="8" s="1"/>
  <c r="AH73" i="8" a="1"/>
  <c r="AH73" i="8" s="1"/>
  <c r="AH72" i="8" a="1"/>
  <c r="AH72" i="8" s="1"/>
  <c r="AH71" i="8" a="1"/>
  <c r="AH71" i="8" s="1"/>
  <c r="AH70" i="8" a="1"/>
  <c r="AH70" i="8" s="1"/>
  <c r="AH69" i="8" a="1"/>
  <c r="AH69" i="8" s="1"/>
  <c r="AH68" i="8" a="1"/>
  <c r="AH68" i="8" s="1"/>
  <c r="AH67" i="8" a="1"/>
  <c r="AH67" i="8" s="1"/>
  <c r="AH66" i="8" a="1"/>
  <c r="AH66" i="8" s="1"/>
  <c r="AH65" i="8" a="1"/>
  <c r="AH65" i="8" s="1"/>
  <c r="AH64" i="8" a="1"/>
  <c r="AH64" i="8" s="1"/>
  <c r="AH63" i="8" a="1"/>
  <c r="AH63" i="8" s="1"/>
  <c r="AH62" i="8" a="1"/>
  <c r="AH62" i="8" s="1"/>
  <c r="AH61" i="8" a="1"/>
  <c r="AH61" i="8" s="1"/>
  <c r="AH60" i="8" a="1"/>
  <c r="AH60" i="8" s="1"/>
  <c r="AH59" i="8" a="1"/>
  <c r="AH59" i="8" s="1"/>
  <c r="AH58" i="8" a="1"/>
  <c r="AH58" i="8" s="1"/>
  <c r="AH57" i="8" a="1"/>
  <c r="AH57" i="8" s="1"/>
  <c r="AH56" i="8" a="1"/>
  <c r="AH56" i="8" s="1"/>
  <c r="AH55" i="8" a="1"/>
  <c r="AH55" i="8" s="1"/>
  <c r="AH54" i="8" a="1"/>
  <c r="AH54" i="8" s="1"/>
  <c r="AH53" i="8" a="1"/>
  <c r="AH53" i="8" s="1"/>
  <c r="AH52" i="8" a="1"/>
  <c r="AH52" i="8" s="1"/>
  <c r="AH51" i="8" a="1"/>
  <c r="AH51" i="8" s="1"/>
  <c r="AH50" i="8" a="1"/>
  <c r="AH50" i="8" s="1"/>
  <c r="AH49" i="8" a="1"/>
  <c r="AH49" i="8" s="1"/>
  <c r="AH48" i="8" a="1"/>
  <c r="AH48" i="8" s="1"/>
  <c r="AH47" i="8" a="1"/>
  <c r="AH47" i="8" s="1"/>
  <c r="AH46" i="8" a="1"/>
  <c r="AH46" i="8" s="1"/>
  <c r="AH45" i="8" a="1"/>
  <c r="AH45" i="8" s="1"/>
  <c r="AH44" i="8" a="1"/>
  <c r="AH44" i="8" s="1"/>
  <c r="AH43" i="8" a="1"/>
  <c r="AH43" i="8" s="1"/>
  <c r="AH42" i="8" a="1"/>
  <c r="AH42" i="8" s="1"/>
  <c r="AH41" i="8" a="1"/>
  <c r="AH41" i="8" s="1"/>
  <c r="AH40" i="8" a="1"/>
  <c r="AH40" i="8" s="1"/>
  <c r="AH39" i="8" a="1"/>
  <c r="AH39" i="8" s="1"/>
  <c r="AH38" i="8" a="1"/>
  <c r="AH38" i="8" s="1"/>
  <c r="AH37" i="8" a="1"/>
  <c r="AH37" i="8" s="1"/>
  <c r="AH36" i="8" a="1"/>
  <c r="AH36" i="8" s="1"/>
  <c r="AH35" i="8" a="1"/>
  <c r="AH35" i="8" s="1"/>
  <c r="AH34" i="8" a="1"/>
  <c r="AH34" i="8" s="1"/>
  <c r="AG148" i="8" a="1"/>
  <c r="AG148" i="8" s="1"/>
  <c r="AG147" i="8" a="1"/>
  <c r="AG147" i="8" s="1"/>
  <c r="AG146" i="8" a="1"/>
  <c r="AG146" i="8" s="1"/>
  <c r="AG145" i="8" a="1"/>
  <c r="AG145" i="8" s="1"/>
  <c r="AG144" i="8" a="1"/>
  <c r="AG144" i="8" s="1"/>
  <c r="AG143" i="8" a="1"/>
  <c r="AG143" i="8" s="1"/>
  <c r="AG142" i="8" a="1"/>
  <c r="AG142" i="8" s="1"/>
  <c r="AG141" i="8" a="1"/>
  <c r="AG141" i="8" s="1"/>
  <c r="AG140" i="8" a="1"/>
  <c r="AG140" i="8" s="1"/>
  <c r="AG139" i="8" a="1"/>
  <c r="AG139" i="8" s="1"/>
  <c r="AG138" i="8" a="1"/>
  <c r="AG138" i="8" s="1"/>
  <c r="AG137" i="8" a="1"/>
  <c r="AG137" i="8" s="1"/>
  <c r="AG136" i="8" a="1"/>
  <c r="AG136" i="8" s="1"/>
  <c r="AG135" i="8" a="1"/>
  <c r="AG135" i="8" s="1"/>
  <c r="AG134" i="8" a="1"/>
  <c r="AG134" i="8" s="1"/>
  <c r="AG133" i="8" a="1"/>
  <c r="AG133" i="8" s="1"/>
  <c r="AG132" i="8" a="1"/>
  <c r="AG132" i="8" s="1"/>
  <c r="AG131" i="8" a="1"/>
  <c r="AG131" i="8" s="1"/>
  <c r="AG130" i="8" a="1"/>
  <c r="AG130" i="8" s="1"/>
  <c r="AG129" i="8" a="1"/>
  <c r="AG129" i="8" s="1"/>
  <c r="AG128" i="8" a="1"/>
  <c r="AG128" i="8" s="1"/>
  <c r="AG127" i="8" a="1"/>
  <c r="AG127" i="8" s="1"/>
  <c r="AG126" i="8" a="1"/>
  <c r="AG126" i="8" s="1"/>
  <c r="AG125" i="8" a="1"/>
  <c r="AG125" i="8" s="1"/>
  <c r="AG124" i="8" a="1"/>
  <c r="AG124" i="8" s="1"/>
  <c r="AG73" i="8" a="1"/>
  <c r="AG73" i="8" s="1"/>
  <c r="AG72" i="8" a="1"/>
  <c r="AG72" i="8" s="1"/>
  <c r="AG71" i="8" a="1"/>
  <c r="AG71" i="8" s="1"/>
  <c r="AG70" i="8" a="1"/>
  <c r="AG70" i="8" s="1"/>
  <c r="AG69" i="8" a="1"/>
  <c r="AG69" i="8" s="1"/>
  <c r="AG68" i="8" a="1"/>
  <c r="AG68" i="8" s="1"/>
  <c r="AG67" i="8" a="1"/>
  <c r="AG67" i="8" s="1"/>
  <c r="AG66" i="8" a="1"/>
  <c r="AG66" i="8" s="1"/>
  <c r="AG65" i="8" a="1"/>
  <c r="AG65" i="8" s="1"/>
  <c r="AG64" i="8" a="1"/>
  <c r="AG64" i="8" s="1"/>
  <c r="AG63" i="8" a="1"/>
  <c r="AG63" i="8" s="1"/>
  <c r="AG62" i="8" a="1"/>
  <c r="AG62" i="8" s="1"/>
  <c r="AG61" i="8" a="1"/>
  <c r="AG61" i="8" s="1"/>
  <c r="AG60" i="8" a="1"/>
  <c r="AG60" i="8" s="1"/>
  <c r="AG59" i="8" a="1"/>
  <c r="AG59" i="8" s="1"/>
  <c r="AG58" i="8" a="1"/>
  <c r="AG58" i="8" s="1"/>
  <c r="AG123" i="8" a="1"/>
  <c r="AG123" i="8" s="1"/>
  <c r="AG122" i="8" a="1"/>
  <c r="AG122" i="8" s="1"/>
  <c r="AG121" i="8" a="1"/>
  <c r="AG121" i="8" s="1"/>
  <c r="AG120" i="8" a="1"/>
  <c r="AG120" i="8" s="1"/>
  <c r="AG119" i="8" a="1"/>
  <c r="AG119" i="8" s="1"/>
  <c r="AG118" i="8" a="1"/>
  <c r="AG118" i="8" s="1"/>
  <c r="AG117" i="8" a="1"/>
  <c r="AG117" i="8" s="1"/>
  <c r="AG116" i="8" a="1"/>
  <c r="AG116" i="8" s="1"/>
  <c r="AG115" i="8" a="1"/>
  <c r="AG115" i="8" s="1"/>
  <c r="AG114" i="8" a="1"/>
  <c r="AG114" i="8" s="1"/>
  <c r="AG113" i="8" a="1"/>
  <c r="AG113" i="8" s="1"/>
  <c r="AG112" i="8" a="1"/>
  <c r="AG112" i="8" s="1"/>
  <c r="AG111" i="8" a="1"/>
  <c r="AG111" i="8" s="1"/>
  <c r="AG110" i="8" a="1"/>
  <c r="AG110" i="8" s="1"/>
  <c r="AG109" i="8" a="1"/>
  <c r="AG109" i="8" s="1"/>
  <c r="AG108" i="8" a="1"/>
  <c r="AG108" i="8" s="1"/>
  <c r="AG107" i="8" a="1"/>
  <c r="AG107" i="8" s="1"/>
  <c r="AG106" i="8" a="1"/>
  <c r="AG106" i="8" s="1"/>
  <c r="AG105" i="8" a="1"/>
  <c r="AG105" i="8" s="1"/>
  <c r="AG104" i="8" a="1"/>
  <c r="AG104" i="8" s="1"/>
  <c r="AG103" i="8" a="1"/>
  <c r="AG103" i="8" s="1"/>
  <c r="AG102" i="8" a="1"/>
  <c r="AG102" i="8" s="1"/>
  <c r="AG101" i="8" a="1"/>
  <c r="AG101" i="8" s="1"/>
  <c r="AG100" i="8" a="1"/>
  <c r="AG100" i="8" s="1"/>
  <c r="AG99" i="8" a="1"/>
  <c r="AG99" i="8" s="1"/>
  <c r="AG98" i="8" a="1"/>
  <c r="AG98" i="8" s="1"/>
  <c r="AG97" i="8" a="1"/>
  <c r="AG97" i="8" s="1"/>
  <c r="AG96" i="8" a="1"/>
  <c r="AG96" i="8" s="1"/>
  <c r="AG95" i="8" a="1"/>
  <c r="AG95" i="8" s="1"/>
  <c r="AG94" i="8" a="1"/>
  <c r="AG94" i="8" s="1"/>
  <c r="AG93" i="8" a="1"/>
  <c r="AG93" i="8" s="1"/>
  <c r="AG92" i="8" a="1"/>
  <c r="AG92" i="8" s="1"/>
  <c r="AG91" i="8" a="1"/>
  <c r="AG91" i="8" s="1"/>
  <c r="AG90" i="8" a="1"/>
  <c r="AG90" i="8" s="1"/>
  <c r="AG89" i="8" a="1"/>
  <c r="AG89" i="8" s="1"/>
  <c r="AG88" i="8" a="1"/>
  <c r="AG88" i="8" s="1"/>
  <c r="AG87" i="8" a="1"/>
  <c r="AG87" i="8" s="1"/>
  <c r="AG86" i="8" a="1"/>
  <c r="AG86" i="8" s="1"/>
  <c r="AG85" i="8" a="1"/>
  <c r="AG85" i="8" s="1"/>
  <c r="AG84" i="8" a="1"/>
  <c r="AG84" i="8" s="1"/>
  <c r="AG83" i="8" a="1"/>
  <c r="AG83" i="8" s="1"/>
  <c r="AG82" i="8" a="1"/>
  <c r="AG82" i="8" s="1"/>
  <c r="AG81" i="8" a="1"/>
  <c r="AG81" i="8" s="1"/>
  <c r="AG80" i="8" a="1"/>
  <c r="AG80" i="8" s="1"/>
  <c r="AG79" i="8" a="1"/>
  <c r="AG79" i="8" s="1"/>
  <c r="AG78" i="8" a="1"/>
  <c r="AG78" i="8" s="1"/>
  <c r="AG77" i="8" a="1"/>
  <c r="AG77" i="8" s="1"/>
  <c r="AG76" i="8" a="1"/>
  <c r="AG76" i="8" s="1"/>
  <c r="AG75" i="8" a="1"/>
  <c r="AG75" i="8" s="1"/>
  <c r="AG74" i="8" a="1"/>
  <c r="AG74" i="8" s="1"/>
  <c r="AG57" i="8" a="1"/>
  <c r="AG57" i="8" s="1"/>
  <c r="AG56" i="8" a="1"/>
  <c r="AG56" i="8" s="1"/>
  <c r="AG55" i="8" a="1"/>
  <c r="AG55" i="8" s="1"/>
  <c r="AG54" i="8" a="1"/>
  <c r="AG54" i="8" s="1"/>
  <c r="AG53" i="8" a="1"/>
  <c r="AG53" i="8" s="1"/>
  <c r="AG52" i="8" a="1"/>
  <c r="AG52" i="8" s="1"/>
  <c r="AG51" i="8" a="1"/>
  <c r="AG51" i="8" s="1"/>
  <c r="AG50" i="8" a="1"/>
  <c r="AG50" i="8" s="1"/>
  <c r="AG49" i="8" a="1"/>
  <c r="AG49" i="8" s="1"/>
  <c r="AG48" i="8" a="1"/>
  <c r="AG48" i="8" s="1"/>
  <c r="AG47" i="8" a="1"/>
  <c r="AG47" i="8" s="1"/>
  <c r="AG46" i="8" a="1"/>
  <c r="AG46" i="8" s="1"/>
  <c r="AG45" i="8" a="1"/>
  <c r="AG45" i="8" s="1"/>
  <c r="AG44" i="8" a="1"/>
  <c r="AG44" i="8" s="1"/>
  <c r="AG43" i="8" a="1"/>
  <c r="AG43" i="8" s="1"/>
  <c r="AG42" i="8" a="1"/>
  <c r="AG42" i="8" s="1"/>
  <c r="AG41" i="8" a="1"/>
  <c r="AG41" i="8" s="1"/>
  <c r="AG40" i="8" a="1"/>
  <c r="AG40" i="8" s="1"/>
  <c r="AG39" i="8" a="1"/>
  <c r="AG39" i="8" s="1"/>
  <c r="AG38" i="8" a="1"/>
  <c r="AG38" i="8" s="1"/>
  <c r="AG37" i="8" a="1"/>
  <c r="AG37" i="8" s="1"/>
  <c r="AG36" i="8" a="1"/>
  <c r="AG36" i="8" s="1"/>
  <c r="AG35" i="8" a="1"/>
  <c r="AG35" i="8" s="1"/>
  <c r="AG34" i="8" a="1"/>
  <c r="AG34" i="8" s="1"/>
  <c r="AE123" i="8" a="1"/>
  <c r="AE123" i="8" s="1"/>
  <c r="AE122" i="8" a="1"/>
  <c r="AE122" i="8" s="1"/>
  <c r="AE121" i="8" a="1"/>
  <c r="AE121" i="8" s="1"/>
  <c r="AE120" i="8" a="1"/>
  <c r="AE120" i="8" s="1"/>
  <c r="AE119" i="8" a="1"/>
  <c r="AE119" i="8" s="1"/>
  <c r="AE118" i="8" a="1"/>
  <c r="AE118" i="8" s="1"/>
  <c r="AE117" i="8" a="1"/>
  <c r="AE117" i="8" s="1"/>
  <c r="AE116" i="8" a="1"/>
  <c r="AE116" i="8" s="1"/>
  <c r="AE115" i="8" a="1"/>
  <c r="AE115" i="8" s="1"/>
  <c r="AE114" i="8" a="1"/>
  <c r="AE114" i="8" s="1"/>
  <c r="AE113" i="8" a="1"/>
  <c r="AE113" i="8" s="1"/>
  <c r="AE112" i="8" a="1"/>
  <c r="AE112" i="8" s="1"/>
  <c r="AE111" i="8" a="1"/>
  <c r="AE111" i="8" s="1"/>
  <c r="AE110" i="8" a="1"/>
  <c r="AE110" i="8" s="1"/>
  <c r="AE109" i="8" a="1"/>
  <c r="AE109" i="8" s="1"/>
  <c r="AE108" i="8" a="1"/>
  <c r="AE108" i="8" s="1"/>
  <c r="AE107" i="8" a="1"/>
  <c r="AE107" i="8" s="1"/>
  <c r="AE106" i="8" a="1"/>
  <c r="AE106" i="8" s="1"/>
  <c r="AE105" i="8" a="1"/>
  <c r="AE105" i="8" s="1"/>
  <c r="AE104" i="8" a="1"/>
  <c r="AE104" i="8" s="1"/>
  <c r="AE103" i="8" a="1"/>
  <c r="AE103" i="8" s="1"/>
  <c r="AE102" i="8" a="1"/>
  <c r="AE102" i="8" s="1"/>
  <c r="AE101" i="8" a="1"/>
  <c r="AE101" i="8" s="1"/>
  <c r="AE100" i="8" a="1"/>
  <c r="AE100" i="8" s="1"/>
  <c r="AE99" i="8" a="1"/>
  <c r="AE99" i="8" s="1"/>
  <c r="AE98" i="8" a="1"/>
  <c r="AE98" i="8" s="1"/>
  <c r="AE97" i="8" a="1"/>
  <c r="AE97" i="8" s="1"/>
  <c r="AE96" i="8" a="1"/>
  <c r="AE96" i="8" s="1"/>
  <c r="AE95" i="8" a="1"/>
  <c r="AE95" i="8" s="1"/>
  <c r="AE94" i="8" a="1"/>
  <c r="AE94" i="8" s="1"/>
  <c r="AE93" i="8" a="1"/>
  <c r="AE93" i="8" s="1"/>
  <c r="AE92" i="8" a="1"/>
  <c r="AE92" i="8" s="1"/>
  <c r="AE91" i="8" a="1"/>
  <c r="AE91" i="8" s="1"/>
  <c r="AE90" i="8" a="1"/>
  <c r="AE90" i="8" s="1"/>
  <c r="AE89" i="8" a="1"/>
  <c r="AE89" i="8" s="1"/>
  <c r="AE88" i="8" a="1"/>
  <c r="AE88" i="8" s="1"/>
  <c r="AE87" i="8" a="1"/>
  <c r="AE87" i="8" s="1"/>
  <c r="AE86" i="8" a="1"/>
  <c r="AE86" i="8" s="1"/>
  <c r="AE85" i="8" a="1"/>
  <c r="AE85" i="8" s="1"/>
  <c r="AE84" i="8" a="1"/>
  <c r="AE84" i="8" s="1"/>
  <c r="AE83" i="8" a="1"/>
  <c r="AE83" i="8" s="1"/>
  <c r="AE82" i="8" a="1"/>
  <c r="AE82" i="8" s="1"/>
  <c r="AE81" i="8" a="1"/>
  <c r="AE81" i="8" s="1"/>
  <c r="AE80" i="8" a="1"/>
  <c r="AE80" i="8" s="1"/>
  <c r="AE79" i="8" a="1"/>
  <c r="AE79" i="8" s="1"/>
  <c r="AE78" i="8" a="1"/>
  <c r="AE78" i="8" s="1"/>
  <c r="AE77" i="8" a="1"/>
  <c r="AE77" i="8" s="1"/>
  <c r="AE76" i="8" a="1"/>
  <c r="AE76" i="8" s="1"/>
  <c r="AE75" i="8" a="1"/>
  <c r="AE75" i="8" s="1"/>
  <c r="AE74" i="8" a="1"/>
  <c r="AE74" i="8" s="1"/>
  <c r="AE73" i="8" a="1"/>
  <c r="AE73" i="8" s="1"/>
  <c r="AE72" i="8" a="1"/>
  <c r="AE72" i="8" s="1"/>
  <c r="AE71" i="8" a="1"/>
  <c r="AE71" i="8" s="1"/>
  <c r="AE70" i="8" a="1"/>
  <c r="AE70" i="8" s="1"/>
  <c r="AE69" i="8" a="1"/>
  <c r="AE69" i="8" s="1"/>
  <c r="AE68" i="8" a="1"/>
  <c r="AE68" i="8" s="1"/>
  <c r="AE67" i="8" a="1"/>
  <c r="AE67" i="8" s="1"/>
  <c r="AE66" i="8" a="1"/>
  <c r="AE66" i="8" s="1"/>
  <c r="AE65" i="8" a="1"/>
  <c r="AE65" i="8" s="1"/>
  <c r="AE64" i="8" a="1"/>
  <c r="AE64" i="8" s="1"/>
  <c r="AE63" i="8" a="1"/>
  <c r="AE63" i="8" s="1"/>
  <c r="AE62" i="8" a="1"/>
  <c r="AE62" i="8" s="1"/>
  <c r="AE61" i="8" a="1"/>
  <c r="AE61" i="8" s="1"/>
  <c r="AE60" i="8" a="1"/>
  <c r="AE60" i="8" s="1"/>
  <c r="AE59" i="8" a="1"/>
  <c r="AE59" i="8" s="1"/>
  <c r="AE58" i="8" a="1"/>
  <c r="AE58" i="8" s="1"/>
  <c r="AE57" i="8" a="1"/>
  <c r="AE57" i="8" s="1"/>
  <c r="AE56" i="8" a="1"/>
  <c r="AE56" i="8" s="1"/>
  <c r="AE55" i="8" a="1"/>
  <c r="AE55" i="8" s="1"/>
  <c r="AE54" i="8" a="1"/>
  <c r="AE54" i="8" s="1"/>
  <c r="AE53" i="8" a="1"/>
  <c r="AE53" i="8" s="1"/>
  <c r="AE52" i="8" a="1"/>
  <c r="AE52" i="8" s="1"/>
  <c r="AE51" i="8" a="1"/>
  <c r="AE51" i="8" s="1"/>
  <c r="AE50" i="8" a="1"/>
  <c r="AE50" i="8" s="1"/>
  <c r="AE49" i="8" a="1"/>
  <c r="AE49" i="8" s="1"/>
  <c r="AE48" i="8" a="1"/>
  <c r="AE48" i="8" s="1"/>
  <c r="AE47" i="8" a="1"/>
  <c r="AE47" i="8" s="1"/>
  <c r="AE46" i="8" a="1"/>
  <c r="AE46" i="8" s="1"/>
  <c r="AE45" i="8" a="1"/>
  <c r="AE45" i="8" s="1"/>
  <c r="AE44" i="8" a="1"/>
  <c r="AE44" i="8" s="1"/>
  <c r="AE43" i="8" a="1"/>
  <c r="AE43" i="8" s="1"/>
  <c r="AE42" i="8" a="1"/>
  <c r="AE42" i="8" s="1"/>
  <c r="AE41" i="8" a="1"/>
  <c r="AE41" i="8" s="1"/>
  <c r="AE40" i="8" a="1"/>
  <c r="AE40" i="8" s="1"/>
  <c r="AE39" i="8" a="1"/>
  <c r="AE39" i="8" s="1"/>
  <c r="AE38" i="8" a="1"/>
  <c r="AE38" i="8" s="1"/>
  <c r="AE37" i="8" a="1"/>
  <c r="AE37" i="8" s="1"/>
  <c r="AE36" i="8" a="1"/>
  <c r="AE36" i="8" s="1"/>
  <c r="AE35" i="8" a="1"/>
  <c r="AE35" i="8" s="1"/>
  <c r="AE34" i="8" a="1"/>
  <c r="AE34" i="8" s="1"/>
  <c r="AD123" i="8" a="1"/>
  <c r="AD123" i="8" s="1"/>
  <c r="AD122" i="8" a="1"/>
  <c r="AD122" i="8" s="1"/>
  <c r="AD121" i="8" a="1"/>
  <c r="AD121" i="8" s="1"/>
  <c r="AD120" i="8" a="1"/>
  <c r="AD120" i="8" s="1"/>
  <c r="AD119" i="8" a="1"/>
  <c r="AD119" i="8" s="1"/>
  <c r="AD118" i="8" a="1"/>
  <c r="AD118" i="8" s="1"/>
  <c r="AD117" i="8" a="1"/>
  <c r="AD117" i="8" s="1"/>
  <c r="AD116" i="8" a="1"/>
  <c r="AD116" i="8" s="1"/>
  <c r="AD115" i="8" a="1"/>
  <c r="AD115" i="8" s="1"/>
  <c r="AD114" i="8" a="1"/>
  <c r="AD114" i="8" s="1"/>
  <c r="AD113" i="8" a="1"/>
  <c r="AD113" i="8" s="1"/>
  <c r="AD112" i="8" a="1"/>
  <c r="AD112" i="8" s="1"/>
  <c r="AD111" i="8" a="1"/>
  <c r="AD111" i="8" s="1"/>
  <c r="AD110" i="8" a="1"/>
  <c r="AD110" i="8" s="1"/>
  <c r="AD109" i="8" a="1"/>
  <c r="AD109" i="8" s="1"/>
  <c r="AD108" i="8" a="1"/>
  <c r="AD108" i="8" s="1"/>
  <c r="AD107" i="8" a="1"/>
  <c r="AD107" i="8" s="1"/>
  <c r="AD106" i="8" a="1"/>
  <c r="AD106" i="8" s="1"/>
  <c r="AD105" i="8" a="1"/>
  <c r="AD105" i="8" s="1"/>
  <c r="AD104" i="8" a="1"/>
  <c r="AD104" i="8" s="1"/>
  <c r="AD103" i="8" a="1"/>
  <c r="AD103" i="8" s="1"/>
  <c r="AD102" i="8" a="1"/>
  <c r="AD102" i="8" s="1"/>
  <c r="AD101" i="8" a="1"/>
  <c r="AD101" i="8" s="1"/>
  <c r="AD100" i="8" a="1"/>
  <c r="AD100" i="8" s="1"/>
  <c r="AD99" i="8" a="1"/>
  <c r="AD99" i="8" s="1"/>
  <c r="AD98" i="8" a="1"/>
  <c r="AD98" i="8" s="1"/>
  <c r="AD97" i="8" a="1"/>
  <c r="AD97" i="8" s="1"/>
  <c r="AD96" i="8" a="1"/>
  <c r="AD96" i="8" s="1"/>
  <c r="AD95" i="8" a="1"/>
  <c r="AD95" i="8" s="1"/>
  <c r="AD94" i="8" a="1"/>
  <c r="AD94" i="8" s="1"/>
  <c r="AD93" i="8" a="1"/>
  <c r="AD93" i="8" s="1"/>
  <c r="AD92" i="8" a="1"/>
  <c r="AD92" i="8" s="1"/>
  <c r="AD91" i="8" a="1"/>
  <c r="AD91" i="8" s="1"/>
  <c r="AD90" i="8" a="1"/>
  <c r="AD90" i="8" s="1"/>
  <c r="AD89" i="8" a="1"/>
  <c r="AD89" i="8" s="1"/>
  <c r="AD88" i="8" a="1"/>
  <c r="AD88" i="8" s="1"/>
  <c r="AD87" i="8" a="1"/>
  <c r="AD87" i="8" s="1"/>
  <c r="AD86" i="8" a="1"/>
  <c r="AD86" i="8" s="1"/>
  <c r="AD85" i="8" a="1"/>
  <c r="AD85" i="8" s="1"/>
  <c r="AD84" i="8" a="1"/>
  <c r="AD84" i="8" s="1"/>
  <c r="AD83" i="8" a="1"/>
  <c r="AD83" i="8" s="1"/>
  <c r="AD82" i="8" a="1"/>
  <c r="AD82" i="8" s="1"/>
  <c r="AD81" i="8" a="1"/>
  <c r="AD81" i="8" s="1"/>
  <c r="AD80" i="8" a="1"/>
  <c r="AD80" i="8" s="1"/>
  <c r="AD79" i="8" a="1"/>
  <c r="AD79" i="8" s="1"/>
  <c r="AD78" i="8" a="1"/>
  <c r="AD78" i="8" s="1"/>
  <c r="AD77" i="8" a="1"/>
  <c r="AD77" i="8" s="1"/>
  <c r="AD76" i="8" a="1"/>
  <c r="AD76" i="8" s="1"/>
  <c r="AD75" i="8" a="1"/>
  <c r="AD75" i="8" s="1"/>
  <c r="AD74" i="8" a="1"/>
  <c r="AD74" i="8" s="1"/>
  <c r="AD73" i="8" a="1"/>
  <c r="AD73" i="8" s="1"/>
  <c r="AD72" i="8" a="1"/>
  <c r="AD72" i="8" s="1"/>
  <c r="AD71" i="8" a="1"/>
  <c r="AD71" i="8" s="1"/>
  <c r="AD70" i="8" a="1"/>
  <c r="AD70" i="8" s="1"/>
  <c r="AD69" i="8" a="1"/>
  <c r="AD69" i="8" s="1"/>
  <c r="AD68" i="8" a="1"/>
  <c r="AD68" i="8" s="1"/>
  <c r="AD67" i="8" a="1"/>
  <c r="AD67" i="8" s="1"/>
  <c r="AD66" i="8" a="1"/>
  <c r="AD66" i="8" s="1"/>
  <c r="AD65" i="8" a="1"/>
  <c r="AD65" i="8" s="1"/>
  <c r="AD64" i="8" a="1"/>
  <c r="AD64" i="8" s="1"/>
  <c r="AD63" i="8" a="1"/>
  <c r="AD63" i="8" s="1"/>
  <c r="AD62" i="8" a="1"/>
  <c r="AD62" i="8" s="1"/>
  <c r="AD61" i="8" a="1"/>
  <c r="AD61" i="8" s="1"/>
  <c r="AD60" i="8" a="1"/>
  <c r="AD60" i="8" s="1"/>
  <c r="AD59" i="8" a="1"/>
  <c r="AD59" i="8" s="1"/>
  <c r="AD58" i="8" a="1"/>
  <c r="AD58" i="8" s="1"/>
  <c r="AD57" i="8" a="1"/>
  <c r="AD57" i="8" s="1"/>
  <c r="AD56" i="8" a="1"/>
  <c r="AD56" i="8" s="1"/>
  <c r="AD55" i="8" a="1"/>
  <c r="AD55" i="8" s="1"/>
  <c r="AD54" i="8" a="1"/>
  <c r="AD54" i="8" s="1"/>
  <c r="AD53" i="8" a="1"/>
  <c r="AD53" i="8" s="1"/>
  <c r="AD52" i="8" a="1"/>
  <c r="AD52" i="8" s="1"/>
  <c r="AD51" i="8" a="1"/>
  <c r="AD51" i="8" s="1"/>
  <c r="AD50" i="8" a="1"/>
  <c r="AD50" i="8" s="1"/>
  <c r="AD49" i="8" a="1"/>
  <c r="AD49" i="8" s="1"/>
  <c r="AD48" i="8" a="1"/>
  <c r="AD48" i="8" s="1"/>
  <c r="AD47" i="8" a="1"/>
  <c r="AD47" i="8" s="1"/>
  <c r="AD46" i="8" a="1"/>
  <c r="AD46" i="8" s="1"/>
  <c r="AD45" i="8" a="1"/>
  <c r="AD45" i="8" s="1"/>
  <c r="AD44" i="8" a="1"/>
  <c r="AD44" i="8" s="1"/>
  <c r="AD43" i="8" a="1"/>
  <c r="AD43" i="8" s="1"/>
  <c r="AD42" i="8" a="1"/>
  <c r="AD42" i="8" s="1"/>
  <c r="AD41" i="8" a="1"/>
  <c r="AD41" i="8" s="1"/>
  <c r="AD40" i="8" a="1"/>
  <c r="AD40" i="8" s="1"/>
  <c r="AD39" i="8" a="1"/>
  <c r="AD39" i="8" s="1"/>
  <c r="AD38" i="8" a="1"/>
  <c r="AD38" i="8" s="1"/>
  <c r="AD37" i="8" a="1"/>
  <c r="AD37" i="8" s="1"/>
  <c r="AD36" i="8" a="1"/>
  <c r="AD36" i="8" s="1"/>
  <c r="AD35" i="8" a="1"/>
  <c r="AD35" i="8" s="1"/>
  <c r="AD34" i="8" a="1"/>
  <c r="AD34" i="8" s="1"/>
  <c r="AC123" i="8" a="1"/>
  <c r="AC123" i="8" s="1"/>
  <c r="AC122" i="8" a="1"/>
  <c r="AC122" i="8" s="1"/>
  <c r="AC121" i="8" a="1"/>
  <c r="AC121" i="8" s="1"/>
  <c r="AC120" i="8" a="1"/>
  <c r="AC120" i="8" s="1"/>
  <c r="AC119" i="8" a="1"/>
  <c r="AC119" i="8" s="1"/>
  <c r="AC118" i="8" a="1"/>
  <c r="AC118" i="8" s="1"/>
  <c r="AC117" i="8" a="1"/>
  <c r="AC117" i="8" s="1"/>
  <c r="AC116" i="8" a="1"/>
  <c r="AC116" i="8" s="1"/>
  <c r="AC115" i="8" a="1"/>
  <c r="AC115" i="8" s="1"/>
  <c r="AC114" i="8" a="1"/>
  <c r="AC114" i="8" s="1"/>
  <c r="AC113" i="8" a="1"/>
  <c r="AC113" i="8" s="1"/>
  <c r="AC112" i="8" a="1"/>
  <c r="AC112" i="8" s="1"/>
  <c r="AC111" i="8" a="1"/>
  <c r="AC111" i="8" s="1"/>
  <c r="AC110" i="8" a="1"/>
  <c r="AC110" i="8" s="1"/>
  <c r="AC109" i="8" a="1"/>
  <c r="AC109" i="8" s="1"/>
  <c r="AC108" i="8" a="1"/>
  <c r="AC108" i="8" s="1"/>
  <c r="AC107" i="8" a="1"/>
  <c r="AC107" i="8" s="1"/>
  <c r="AC106" i="8" a="1"/>
  <c r="AC106" i="8" s="1"/>
  <c r="AC105" i="8" a="1"/>
  <c r="AC105" i="8" s="1"/>
  <c r="AC104" i="8" a="1"/>
  <c r="AC104" i="8" s="1"/>
  <c r="AC103" i="8" a="1"/>
  <c r="AC103" i="8" s="1"/>
  <c r="AC102" i="8" a="1"/>
  <c r="AC102" i="8" s="1"/>
  <c r="AC101" i="8" a="1"/>
  <c r="AC101" i="8" s="1"/>
  <c r="AC100" i="8" a="1"/>
  <c r="AC100" i="8" s="1"/>
  <c r="AC99" i="8" a="1"/>
  <c r="AC99" i="8" s="1"/>
  <c r="AC98" i="8" a="1"/>
  <c r="AC98" i="8" s="1"/>
  <c r="AC97" i="8" a="1"/>
  <c r="AC97" i="8" s="1"/>
  <c r="AC96" i="8" a="1"/>
  <c r="AC96" i="8" s="1"/>
  <c r="AC95" i="8" a="1"/>
  <c r="AC95" i="8" s="1"/>
  <c r="AC94" i="8" a="1"/>
  <c r="AC94" i="8" s="1"/>
  <c r="AC93" i="8" a="1"/>
  <c r="AC93" i="8" s="1"/>
  <c r="AC92" i="8" a="1"/>
  <c r="AC92" i="8" s="1"/>
  <c r="AC91" i="8" a="1"/>
  <c r="AC91" i="8" s="1"/>
  <c r="AC90" i="8" a="1"/>
  <c r="AC90" i="8" s="1"/>
  <c r="AC89" i="8" a="1"/>
  <c r="AC89" i="8" s="1"/>
  <c r="AC88" i="8" a="1"/>
  <c r="AC88" i="8" s="1"/>
  <c r="AC87" i="8" a="1"/>
  <c r="AC87" i="8" s="1"/>
  <c r="AC86" i="8" a="1"/>
  <c r="AC86" i="8" s="1"/>
  <c r="AC85" i="8" a="1"/>
  <c r="AC85" i="8" s="1"/>
  <c r="AC84" i="8" a="1"/>
  <c r="AC84" i="8" s="1"/>
  <c r="AC83" i="8" a="1"/>
  <c r="AC83" i="8" s="1"/>
  <c r="AC82" i="8" a="1"/>
  <c r="AC82" i="8" s="1"/>
  <c r="AC81" i="8" a="1"/>
  <c r="AC81" i="8" s="1"/>
  <c r="AC80" i="8" a="1"/>
  <c r="AC80" i="8" s="1"/>
  <c r="AC79" i="8" a="1"/>
  <c r="AC79" i="8" s="1"/>
  <c r="AC78" i="8" a="1"/>
  <c r="AC78" i="8" s="1"/>
  <c r="AC77" i="8" a="1"/>
  <c r="AC77" i="8" s="1"/>
  <c r="AC76" i="8" a="1"/>
  <c r="AC76" i="8" s="1"/>
  <c r="AC75" i="8" a="1"/>
  <c r="AC75" i="8" s="1"/>
  <c r="AC74" i="8" a="1"/>
  <c r="AC74" i="8" s="1"/>
  <c r="AC73" i="8" a="1"/>
  <c r="AC73" i="8" s="1"/>
  <c r="AC72" i="8" a="1"/>
  <c r="AC72" i="8" s="1"/>
  <c r="AC71" i="8" a="1"/>
  <c r="AC71" i="8" s="1"/>
  <c r="AC70" i="8" a="1"/>
  <c r="AC70" i="8" s="1"/>
  <c r="AC69" i="8" a="1"/>
  <c r="AC69" i="8" s="1"/>
  <c r="AC68" i="8" a="1"/>
  <c r="AC68" i="8" s="1"/>
  <c r="AC67" i="8" a="1"/>
  <c r="AC67" i="8" s="1"/>
  <c r="AC66" i="8" a="1"/>
  <c r="AC66" i="8" s="1"/>
  <c r="AC65" i="8" a="1"/>
  <c r="AC65" i="8" s="1"/>
  <c r="AC64" i="8" a="1"/>
  <c r="AC64" i="8" s="1"/>
  <c r="AC63" i="8" a="1"/>
  <c r="AC63" i="8" s="1"/>
  <c r="AC62" i="8" a="1"/>
  <c r="AC62" i="8" s="1"/>
  <c r="AC61" i="8" a="1"/>
  <c r="AC61" i="8" s="1"/>
  <c r="AC60" i="8" a="1"/>
  <c r="AC60" i="8" s="1"/>
  <c r="AC59" i="8" a="1"/>
  <c r="AC59" i="8" s="1"/>
  <c r="AC58" i="8" a="1"/>
  <c r="AC58" i="8" s="1"/>
  <c r="AC57" i="8" a="1"/>
  <c r="AC57" i="8" s="1"/>
  <c r="AC56" i="8" a="1"/>
  <c r="AC56" i="8" s="1"/>
  <c r="AC55" i="8" a="1"/>
  <c r="AC55" i="8" s="1"/>
  <c r="AC54" i="8" a="1"/>
  <c r="AC54" i="8" s="1"/>
  <c r="AC53" i="8" a="1"/>
  <c r="AC53" i="8" s="1"/>
  <c r="AC52" i="8" a="1"/>
  <c r="AC52" i="8" s="1"/>
  <c r="AC51" i="8" a="1"/>
  <c r="AC51" i="8" s="1"/>
  <c r="AC50" i="8" a="1"/>
  <c r="AC50" i="8" s="1"/>
  <c r="AC49" i="8" a="1"/>
  <c r="AC49" i="8" s="1"/>
  <c r="AC48" i="8" a="1"/>
  <c r="AC48" i="8" s="1"/>
  <c r="AC47" i="8" a="1"/>
  <c r="AC47" i="8" s="1"/>
  <c r="AC46" i="8" a="1"/>
  <c r="AC46" i="8" s="1"/>
  <c r="AC45" i="8" a="1"/>
  <c r="AC45" i="8" s="1"/>
  <c r="AC44" i="8" a="1"/>
  <c r="AC44" i="8" s="1"/>
  <c r="AC43" i="8" a="1"/>
  <c r="AC43" i="8" s="1"/>
  <c r="AC42" i="8" a="1"/>
  <c r="AC42" i="8" s="1"/>
  <c r="AC41" i="8" a="1"/>
  <c r="AC41" i="8" s="1"/>
  <c r="AC40" i="8" a="1"/>
  <c r="AC40" i="8" s="1"/>
  <c r="AC39" i="8" a="1"/>
  <c r="AC39" i="8" s="1"/>
  <c r="AC38" i="8" a="1"/>
  <c r="AC38" i="8" s="1"/>
  <c r="AC37" i="8" a="1"/>
  <c r="AC37" i="8" s="1"/>
  <c r="AC36" i="8" a="1"/>
  <c r="AC36" i="8" s="1"/>
  <c r="AC35" i="8" a="1"/>
  <c r="AC35" i="8" s="1"/>
  <c r="AC34" i="8" a="1"/>
  <c r="AC34" i="8" s="1"/>
  <c r="AB123" i="8" a="1"/>
  <c r="AB123" i="8" s="1"/>
  <c r="AB122" i="8" a="1"/>
  <c r="AB122" i="8" s="1"/>
  <c r="AB121" i="8" a="1"/>
  <c r="AB121" i="8" s="1"/>
  <c r="AB120" i="8" a="1"/>
  <c r="AB120" i="8" s="1"/>
  <c r="AB119" i="8" a="1"/>
  <c r="AB119" i="8" s="1"/>
  <c r="AB118" i="8" a="1"/>
  <c r="AB118" i="8" s="1"/>
  <c r="AB117" i="8" a="1"/>
  <c r="AB117" i="8" s="1"/>
  <c r="AB116" i="8" a="1"/>
  <c r="AB116" i="8" s="1"/>
  <c r="AB115" i="8" a="1"/>
  <c r="AB115" i="8" s="1"/>
  <c r="AB114" i="8" a="1"/>
  <c r="AB114" i="8" s="1"/>
  <c r="AB113" i="8" a="1"/>
  <c r="AB113" i="8" s="1"/>
  <c r="AB112" i="8" a="1"/>
  <c r="AB112" i="8" s="1"/>
  <c r="AB111" i="8" a="1"/>
  <c r="AB111" i="8" s="1"/>
  <c r="AB110" i="8" a="1"/>
  <c r="AB110" i="8" s="1"/>
  <c r="AB109" i="8" a="1"/>
  <c r="AB109" i="8" s="1"/>
  <c r="AB108" i="8" a="1"/>
  <c r="AB108" i="8" s="1"/>
  <c r="AB107" i="8" a="1"/>
  <c r="AB107" i="8" s="1"/>
  <c r="AB106" i="8" a="1"/>
  <c r="AB106" i="8" s="1"/>
  <c r="AB105" i="8" a="1"/>
  <c r="AB105" i="8" s="1"/>
  <c r="AB104" i="8" a="1"/>
  <c r="AB104" i="8" s="1"/>
  <c r="AB103" i="8" a="1"/>
  <c r="AB103" i="8" s="1"/>
  <c r="AB102" i="8" a="1"/>
  <c r="AB102" i="8" s="1"/>
  <c r="AB101" i="8" a="1"/>
  <c r="AB101" i="8" s="1"/>
  <c r="AB100" i="8" a="1"/>
  <c r="AB100" i="8" s="1"/>
  <c r="AB99" i="8" a="1"/>
  <c r="AB99" i="8" s="1"/>
  <c r="AB98" i="8" a="1"/>
  <c r="AB98" i="8" s="1"/>
  <c r="AB97" i="8" a="1"/>
  <c r="AB97" i="8" s="1"/>
  <c r="AB96" i="8" a="1"/>
  <c r="AB96" i="8" s="1"/>
  <c r="AB95" i="8" a="1"/>
  <c r="AB95" i="8" s="1"/>
  <c r="AB94" i="8" a="1"/>
  <c r="AB94" i="8" s="1"/>
  <c r="AB93" i="8" a="1"/>
  <c r="AB93" i="8" s="1"/>
  <c r="AB92" i="8" a="1"/>
  <c r="AB92" i="8" s="1"/>
  <c r="AB91" i="8" a="1"/>
  <c r="AB91" i="8" s="1"/>
  <c r="AB90" i="8" a="1"/>
  <c r="AB90" i="8" s="1"/>
  <c r="AB89" i="8" a="1"/>
  <c r="AB89" i="8" s="1"/>
  <c r="AB88" i="8" a="1"/>
  <c r="AB88" i="8" s="1"/>
  <c r="AB87" i="8" a="1"/>
  <c r="AB87" i="8" s="1"/>
  <c r="AB86" i="8" a="1"/>
  <c r="AB86" i="8" s="1"/>
  <c r="AB85" i="8" a="1"/>
  <c r="AB85" i="8" s="1"/>
  <c r="AB84" i="8" a="1"/>
  <c r="AB84" i="8" s="1"/>
  <c r="AB83" i="8" a="1"/>
  <c r="AB83" i="8" s="1"/>
  <c r="AB82" i="8" a="1"/>
  <c r="AB82" i="8" s="1"/>
  <c r="AB81" i="8" a="1"/>
  <c r="AB81" i="8" s="1"/>
  <c r="AB80" i="8" a="1"/>
  <c r="AB80" i="8" s="1"/>
  <c r="AB79" i="8" a="1"/>
  <c r="AB79" i="8" s="1"/>
  <c r="AB78" i="8" a="1"/>
  <c r="AB78" i="8" s="1"/>
  <c r="AB77" i="8" a="1"/>
  <c r="AB77" i="8" s="1"/>
  <c r="AB76" i="8" a="1"/>
  <c r="AB76" i="8" s="1"/>
  <c r="AB75" i="8" a="1"/>
  <c r="AB75" i="8" s="1"/>
  <c r="AB74" i="8" a="1"/>
  <c r="AB74" i="8" s="1"/>
  <c r="AB73" i="8" a="1"/>
  <c r="AB73" i="8" s="1"/>
  <c r="AB72" i="8" a="1"/>
  <c r="AB72" i="8" s="1"/>
  <c r="AB71" i="8" a="1"/>
  <c r="AB71" i="8" s="1"/>
  <c r="AB70" i="8" a="1"/>
  <c r="AB70" i="8" s="1"/>
  <c r="AB69" i="8" a="1"/>
  <c r="AB69" i="8" s="1"/>
  <c r="AB68" i="8" a="1"/>
  <c r="AB68" i="8" s="1"/>
  <c r="AB67" i="8" a="1"/>
  <c r="AB67" i="8" s="1"/>
  <c r="AB66" i="8" a="1"/>
  <c r="AB66" i="8" s="1"/>
  <c r="AB65" i="8" a="1"/>
  <c r="AB65" i="8" s="1"/>
  <c r="AB64" i="8" a="1"/>
  <c r="AB64" i="8" s="1"/>
  <c r="AB63" i="8" a="1"/>
  <c r="AB63" i="8" s="1"/>
  <c r="AB62" i="8" a="1"/>
  <c r="AB62" i="8" s="1"/>
  <c r="AB61" i="8" a="1"/>
  <c r="AB61" i="8" s="1"/>
  <c r="AB60" i="8" a="1"/>
  <c r="AB60" i="8" s="1"/>
  <c r="AB59" i="8" a="1"/>
  <c r="AB59" i="8" s="1"/>
  <c r="AB58" i="8" a="1"/>
  <c r="AB58" i="8" s="1"/>
  <c r="AB57" i="8" a="1"/>
  <c r="AB57" i="8" s="1"/>
  <c r="AB56" i="8" a="1"/>
  <c r="AB56" i="8" s="1"/>
  <c r="AB55" i="8" a="1"/>
  <c r="AB55" i="8" s="1"/>
  <c r="AB54" i="8" a="1"/>
  <c r="AB54" i="8" s="1"/>
  <c r="AB53" i="8" a="1"/>
  <c r="AB53" i="8" s="1"/>
  <c r="AB52" i="8" a="1"/>
  <c r="AB52" i="8" s="1"/>
  <c r="AB51" i="8" a="1"/>
  <c r="AB51" i="8" s="1"/>
  <c r="AB50" i="8" a="1"/>
  <c r="AB50" i="8" s="1"/>
  <c r="AB49" i="8" a="1"/>
  <c r="AB49" i="8" s="1"/>
  <c r="AB48" i="8" a="1"/>
  <c r="AB48" i="8" s="1"/>
  <c r="AB47" i="8" a="1"/>
  <c r="AB47" i="8" s="1"/>
  <c r="AB46" i="8" a="1"/>
  <c r="AB46" i="8" s="1"/>
  <c r="AB45" i="8" a="1"/>
  <c r="AB45" i="8" s="1"/>
  <c r="AB44" i="8" a="1"/>
  <c r="AB44" i="8" s="1"/>
  <c r="AB43" i="8" a="1"/>
  <c r="AB43" i="8" s="1"/>
  <c r="AB42" i="8" a="1"/>
  <c r="AB42" i="8" s="1"/>
  <c r="AB41" i="8" a="1"/>
  <c r="AB41" i="8" s="1"/>
  <c r="AB40" i="8" a="1"/>
  <c r="AB40" i="8" s="1"/>
  <c r="AB39" i="8" a="1"/>
  <c r="AB39" i="8" s="1"/>
  <c r="AB38" i="8" a="1"/>
  <c r="AB38" i="8" s="1"/>
  <c r="AB37" i="8" a="1"/>
  <c r="AB37" i="8" s="1"/>
  <c r="AB36" i="8" a="1"/>
  <c r="AB36" i="8" s="1"/>
  <c r="AB35" i="8" a="1"/>
  <c r="AB35" i="8" s="1"/>
  <c r="AB34" i="8" a="1"/>
  <c r="AB34" i="8" s="1"/>
  <c r="AA123" i="8" a="1"/>
  <c r="AA123" i="8" s="1"/>
  <c r="AA122" i="8" a="1"/>
  <c r="AA122" i="8" s="1"/>
  <c r="AA121" i="8" a="1"/>
  <c r="AA121" i="8" s="1"/>
  <c r="AA120" i="8" a="1"/>
  <c r="AA120" i="8" s="1"/>
  <c r="AA119" i="8" a="1"/>
  <c r="AA119" i="8" s="1"/>
  <c r="AA118" i="8" a="1"/>
  <c r="AA118" i="8" s="1"/>
  <c r="AA117" i="8" a="1"/>
  <c r="AA117" i="8" s="1"/>
  <c r="AA116" i="8" a="1"/>
  <c r="AA116" i="8" s="1"/>
  <c r="AA115" i="8" a="1"/>
  <c r="AA115" i="8" s="1"/>
  <c r="AA114" i="8" a="1"/>
  <c r="AA114" i="8" s="1"/>
  <c r="AA113" i="8" a="1"/>
  <c r="AA113" i="8" s="1"/>
  <c r="AA112" i="8" a="1"/>
  <c r="AA112" i="8" s="1"/>
  <c r="AA111" i="8" a="1"/>
  <c r="AA111" i="8" s="1"/>
  <c r="AA110" i="8" a="1"/>
  <c r="AA110" i="8" s="1"/>
  <c r="AA109" i="8" a="1"/>
  <c r="AA109" i="8" s="1"/>
  <c r="AA108" i="8" a="1"/>
  <c r="AA108" i="8" s="1"/>
  <c r="AA107" i="8" a="1"/>
  <c r="AA107" i="8" s="1"/>
  <c r="AA106" i="8" a="1"/>
  <c r="AA106" i="8" s="1"/>
  <c r="AA105" i="8" a="1"/>
  <c r="AA105" i="8" s="1"/>
  <c r="AA104" i="8" a="1"/>
  <c r="AA104" i="8" s="1"/>
  <c r="AA103" i="8" a="1"/>
  <c r="AA103" i="8" s="1"/>
  <c r="AA102" i="8" a="1"/>
  <c r="AA102" i="8" s="1"/>
  <c r="AA101" i="8" a="1"/>
  <c r="AA101" i="8" s="1"/>
  <c r="AA100" i="8" a="1"/>
  <c r="AA100" i="8" s="1"/>
  <c r="AA99" i="8" a="1"/>
  <c r="AA99" i="8" s="1"/>
  <c r="AA98" i="8" a="1"/>
  <c r="AA98" i="8" s="1"/>
  <c r="AA97" i="8" a="1"/>
  <c r="AA97" i="8" s="1"/>
  <c r="AA96" i="8" a="1"/>
  <c r="AA96" i="8" s="1"/>
  <c r="AA95" i="8" a="1"/>
  <c r="AA95" i="8" s="1"/>
  <c r="AA94" i="8" a="1"/>
  <c r="AA94" i="8" s="1"/>
  <c r="AA93" i="8" a="1"/>
  <c r="AA93" i="8" s="1"/>
  <c r="AA92" i="8" a="1"/>
  <c r="AA92" i="8" s="1"/>
  <c r="AA91" i="8" a="1"/>
  <c r="AA91" i="8" s="1"/>
  <c r="AA90" i="8" a="1"/>
  <c r="AA90" i="8" s="1"/>
  <c r="AA89" i="8" a="1"/>
  <c r="AA89" i="8" s="1"/>
  <c r="AA88" i="8" a="1"/>
  <c r="AA88" i="8" s="1"/>
  <c r="AA87" i="8" a="1"/>
  <c r="AA87" i="8" s="1"/>
  <c r="AA86" i="8" a="1"/>
  <c r="AA86" i="8" s="1"/>
  <c r="AA85" i="8" a="1"/>
  <c r="AA85" i="8" s="1"/>
  <c r="AA84" i="8" a="1"/>
  <c r="AA84" i="8" s="1"/>
  <c r="AA83" i="8" a="1"/>
  <c r="AA83" i="8" s="1"/>
  <c r="AA82" i="8" a="1"/>
  <c r="AA82" i="8" s="1"/>
  <c r="AA81" i="8" a="1"/>
  <c r="AA81" i="8" s="1"/>
  <c r="AA80" i="8" a="1"/>
  <c r="AA80" i="8" s="1"/>
  <c r="AA79" i="8" a="1"/>
  <c r="AA79" i="8" s="1"/>
  <c r="AA78" i="8" a="1"/>
  <c r="AA78" i="8" s="1"/>
  <c r="AA77" i="8" a="1"/>
  <c r="AA77" i="8" s="1"/>
  <c r="AA76" i="8" a="1"/>
  <c r="AA76" i="8" s="1"/>
  <c r="AA75" i="8" a="1"/>
  <c r="AA75" i="8" s="1"/>
  <c r="AA74" i="8" a="1"/>
  <c r="AA74" i="8" s="1"/>
  <c r="AA73" i="8" a="1"/>
  <c r="AA73" i="8" s="1"/>
  <c r="AA72" i="8" a="1"/>
  <c r="AA72" i="8" s="1"/>
  <c r="AA71" i="8" a="1"/>
  <c r="AA71" i="8" s="1"/>
  <c r="AA70" i="8" a="1"/>
  <c r="AA70" i="8" s="1"/>
  <c r="AA69" i="8" a="1"/>
  <c r="AA69" i="8" s="1"/>
  <c r="AA68" i="8" a="1"/>
  <c r="AA68" i="8" s="1"/>
  <c r="AA67" i="8" a="1"/>
  <c r="AA67" i="8" s="1"/>
  <c r="AA66" i="8" a="1"/>
  <c r="AA66" i="8" s="1"/>
  <c r="AA65" i="8" a="1"/>
  <c r="AA65" i="8" s="1"/>
  <c r="AA64" i="8" a="1"/>
  <c r="AA64" i="8" s="1"/>
  <c r="AA63" i="8" a="1"/>
  <c r="AA63" i="8" s="1"/>
  <c r="AA62" i="8" a="1"/>
  <c r="AA62" i="8" s="1"/>
  <c r="AA61" i="8" a="1"/>
  <c r="AA61" i="8" s="1"/>
  <c r="AA60" i="8" a="1"/>
  <c r="AA60" i="8" s="1"/>
  <c r="AA59" i="8" a="1"/>
  <c r="AA59" i="8" s="1"/>
  <c r="AA58" i="8" a="1"/>
  <c r="AA58" i="8" s="1"/>
  <c r="AA57" i="8" a="1"/>
  <c r="AA57" i="8" s="1"/>
  <c r="AA56" i="8" a="1"/>
  <c r="AA56" i="8" s="1"/>
  <c r="AA55" i="8" a="1"/>
  <c r="AA55" i="8" s="1"/>
  <c r="AA54" i="8" a="1"/>
  <c r="AA54" i="8" s="1"/>
  <c r="AA53" i="8" a="1"/>
  <c r="AA53" i="8" s="1"/>
  <c r="AA52" i="8" a="1"/>
  <c r="AA52" i="8" s="1"/>
  <c r="AA51" i="8" a="1"/>
  <c r="AA51" i="8" s="1"/>
  <c r="AA50" i="8" a="1"/>
  <c r="AA50" i="8" s="1"/>
  <c r="AA49" i="8" a="1"/>
  <c r="AA49" i="8" s="1"/>
  <c r="AA48" i="8" a="1"/>
  <c r="AA48" i="8" s="1"/>
  <c r="AA47" i="8" a="1"/>
  <c r="AA47" i="8" s="1"/>
  <c r="AA46" i="8" a="1"/>
  <c r="AA46" i="8" s="1"/>
  <c r="AA45" i="8" a="1"/>
  <c r="AA45" i="8" s="1"/>
  <c r="AA44" i="8" a="1"/>
  <c r="AA44" i="8" s="1"/>
  <c r="AA43" i="8" a="1"/>
  <c r="AA43" i="8" s="1"/>
  <c r="AA42" i="8" a="1"/>
  <c r="AA42" i="8" s="1"/>
  <c r="AA41" i="8" a="1"/>
  <c r="AA41" i="8" s="1"/>
  <c r="AA40" i="8" a="1"/>
  <c r="AA40" i="8" s="1"/>
  <c r="AA39" i="8" a="1"/>
  <c r="AA39" i="8" s="1"/>
  <c r="AA38" i="8" a="1"/>
  <c r="AA38" i="8" s="1"/>
  <c r="AA37" i="8" a="1"/>
  <c r="AA37" i="8" s="1"/>
  <c r="AA36" i="8" a="1"/>
  <c r="AA36" i="8" s="1"/>
  <c r="AA35" i="8" a="1"/>
  <c r="AA35" i="8" s="1"/>
  <c r="AA34" i="8" a="1"/>
  <c r="AA34" i="8" s="1"/>
  <c r="S106" i="8" a="1"/>
  <c r="S106" i="8" s="1"/>
  <c r="S105" i="8" a="1"/>
  <c r="S105" i="8" s="1"/>
  <c r="S104" i="8" a="1"/>
  <c r="S104" i="8" s="1"/>
  <c r="S103" i="8" a="1"/>
  <c r="S103" i="8" s="1"/>
  <c r="S102" i="8" a="1"/>
  <c r="S102" i="8" s="1"/>
  <c r="S101" i="8" a="1"/>
  <c r="S101" i="8" s="1"/>
  <c r="S100" i="8" a="1"/>
  <c r="S100" i="8" s="1"/>
  <c r="S99" i="8" a="1"/>
  <c r="S99" i="8" s="1"/>
  <c r="S98" i="8" a="1"/>
  <c r="S98" i="8" s="1"/>
  <c r="S97" i="8" a="1"/>
  <c r="S97" i="8" s="1"/>
  <c r="S96" i="8" a="1"/>
  <c r="S96" i="8" s="1"/>
  <c r="S95" i="8" a="1"/>
  <c r="S95" i="8" s="1"/>
  <c r="S94" i="8" a="1"/>
  <c r="S94" i="8" s="1"/>
  <c r="S93" i="8" a="1"/>
  <c r="S93" i="8" s="1"/>
  <c r="S92" i="8" a="1"/>
  <c r="S92" i="8" s="1"/>
  <c r="S91" i="8" a="1"/>
  <c r="S91" i="8" s="1"/>
  <c r="S90" i="8" a="1"/>
  <c r="S90" i="8" s="1"/>
  <c r="S89" i="8" a="1"/>
  <c r="S89" i="8" s="1"/>
  <c r="S88" i="8" a="1"/>
  <c r="S88" i="8" s="1"/>
  <c r="S87" i="8" a="1"/>
  <c r="S87" i="8" s="1"/>
  <c r="S86" i="8" a="1"/>
  <c r="S86" i="8" s="1"/>
  <c r="S85" i="8" a="1"/>
  <c r="S85" i="8" s="1"/>
  <c r="S84" i="8" a="1"/>
  <c r="S84" i="8" s="1"/>
  <c r="S83" i="8" a="1"/>
  <c r="S83" i="8" s="1"/>
  <c r="S82" i="8" a="1"/>
  <c r="S82" i="8" s="1"/>
  <c r="S81" i="8" a="1"/>
  <c r="S81" i="8" s="1"/>
  <c r="S80" i="8" a="1"/>
  <c r="S80" i="8" s="1"/>
  <c r="S79" i="8" a="1"/>
  <c r="S79" i="8" s="1"/>
  <c r="S78" i="8" a="1"/>
  <c r="S78" i="8" s="1"/>
  <c r="S77" i="8" a="1"/>
  <c r="S77" i="8" s="1"/>
  <c r="S76" i="8" a="1"/>
  <c r="S76" i="8" s="1"/>
  <c r="S75" i="8" a="1"/>
  <c r="S75" i="8" s="1"/>
  <c r="S74" i="8" a="1"/>
  <c r="S74" i="8" s="1"/>
  <c r="S73" i="8" a="1"/>
  <c r="S73" i="8" s="1"/>
  <c r="S72" i="8" a="1"/>
  <c r="S72" i="8" s="1"/>
  <c r="S71" i="8" a="1"/>
  <c r="S71" i="8" s="1"/>
  <c r="S70" i="8" a="1"/>
  <c r="S70" i="8" s="1"/>
  <c r="S69" i="8" a="1"/>
  <c r="S69" i="8" s="1"/>
  <c r="S68" i="8" a="1"/>
  <c r="S68" i="8" s="1"/>
  <c r="S67" i="8" a="1"/>
  <c r="S67" i="8" s="1"/>
  <c r="S66" i="8" a="1"/>
  <c r="S66" i="8" s="1"/>
  <c r="S65" i="8" a="1"/>
  <c r="S65" i="8" s="1"/>
  <c r="S64" i="8" a="1"/>
  <c r="S64" i="8" s="1"/>
  <c r="S63" i="8" a="1"/>
  <c r="S63" i="8" s="1"/>
  <c r="S62" i="8" a="1"/>
  <c r="S62" i="8" s="1"/>
  <c r="S61" i="8" a="1"/>
  <c r="S61" i="8" s="1"/>
  <c r="S60" i="8" a="1"/>
  <c r="S60" i="8" s="1"/>
  <c r="S59" i="8" a="1"/>
  <c r="S59" i="8" s="1"/>
  <c r="S58" i="8" a="1"/>
  <c r="S58" i="8" s="1"/>
  <c r="S57" i="8" a="1"/>
  <c r="S57" i="8" s="1"/>
  <c r="S56" i="8" a="1"/>
  <c r="S56" i="8" s="1"/>
  <c r="S55" i="8" a="1"/>
  <c r="S55" i="8" s="1"/>
  <c r="S54" i="8" a="1"/>
  <c r="S54" i="8" s="1"/>
  <c r="S53" i="8" a="1"/>
  <c r="S53" i="8" s="1"/>
  <c r="S52" i="8" a="1"/>
  <c r="S52" i="8" s="1"/>
  <c r="S51" i="8" a="1"/>
  <c r="S51" i="8" s="1"/>
  <c r="S50" i="8" a="1"/>
  <c r="S50" i="8" s="1"/>
  <c r="S49" i="8" a="1"/>
  <c r="S49" i="8" s="1"/>
  <c r="S48" i="8" a="1"/>
  <c r="S48" i="8" s="1"/>
  <c r="S47" i="8" a="1"/>
  <c r="S47" i="8" s="1"/>
  <c r="S46" i="8" a="1"/>
  <c r="S46" i="8" s="1"/>
  <c r="S45" i="8" a="1"/>
  <c r="S45" i="8" s="1"/>
  <c r="S44" i="8" a="1"/>
  <c r="S44" i="8" s="1"/>
  <c r="S43" i="8" a="1"/>
  <c r="S43" i="8" s="1"/>
  <c r="S42" i="8" a="1"/>
  <c r="S42" i="8" s="1"/>
  <c r="S41" i="8" a="1"/>
  <c r="S41" i="8" s="1"/>
  <c r="S40" i="8" a="1"/>
  <c r="S40" i="8" s="1"/>
  <c r="S39" i="8" a="1"/>
  <c r="S39" i="8" s="1"/>
  <c r="S38" i="8" a="1"/>
  <c r="S38" i="8" s="1"/>
  <c r="S37" i="8" a="1"/>
  <c r="S37" i="8" s="1"/>
  <c r="S36" i="8" a="1"/>
  <c r="S36" i="8" s="1"/>
  <c r="S35" i="8" a="1"/>
  <c r="S35" i="8" s="1"/>
  <c r="S34" i="8" a="1"/>
  <c r="S34" i="8" s="1"/>
  <c r="R106" i="8" a="1"/>
  <c r="R106" i="8" s="1"/>
  <c r="R105" i="8" a="1"/>
  <c r="R105" i="8" s="1"/>
  <c r="R104" i="8" a="1"/>
  <c r="R104" i="8" s="1"/>
  <c r="R103" i="8" a="1"/>
  <c r="R103" i="8" s="1"/>
  <c r="R102" i="8" a="1"/>
  <c r="R102" i="8" s="1"/>
  <c r="R101" i="8" a="1"/>
  <c r="R101" i="8" s="1"/>
  <c r="R100" i="8" a="1"/>
  <c r="R100" i="8" s="1"/>
  <c r="R99" i="8" a="1"/>
  <c r="R99" i="8" s="1"/>
  <c r="R98" i="8" a="1"/>
  <c r="R98" i="8" s="1"/>
  <c r="R97" i="8" a="1"/>
  <c r="R97" i="8" s="1"/>
  <c r="R96" i="8" a="1"/>
  <c r="R96" i="8" s="1"/>
  <c r="R95" i="8" a="1"/>
  <c r="R95" i="8" s="1"/>
  <c r="R94" i="8" a="1"/>
  <c r="R94" i="8" s="1"/>
  <c r="R93" i="8" a="1"/>
  <c r="R93" i="8" s="1"/>
  <c r="R92" i="8" a="1"/>
  <c r="R92" i="8" s="1"/>
  <c r="R91" i="8" a="1"/>
  <c r="R91" i="8" s="1"/>
  <c r="R90" i="8" a="1"/>
  <c r="R90" i="8" s="1"/>
  <c r="R89" i="8" a="1"/>
  <c r="R89" i="8" s="1"/>
  <c r="R88" i="8" a="1"/>
  <c r="R88" i="8" s="1"/>
  <c r="R87" i="8" a="1"/>
  <c r="R87" i="8" s="1"/>
  <c r="R86" i="8" a="1"/>
  <c r="R86" i="8" s="1"/>
  <c r="R85" i="8" a="1"/>
  <c r="R85" i="8" s="1"/>
  <c r="R84" i="8" a="1"/>
  <c r="R84" i="8" s="1"/>
  <c r="R83" i="8" a="1"/>
  <c r="R83" i="8" s="1"/>
  <c r="R82" i="8" a="1"/>
  <c r="R82" i="8" s="1"/>
  <c r="R81" i="8" a="1"/>
  <c r="R81" i="8" s="1"/>
  <c r="R80" i="8" a="1"/>
  <c r="R80" i="8" s="1"/>
  <c r="R79" i="8" a="1"/>
  <c r="R79" i="8" s="1"/>
  <c r="R78" i="8" a="1"/>
  <c r="R78" i="8" s="1"/>
  <c r="R77" i="8" a="1"/>
  <c r="R77" i="8" s="1"/>
  <c r="R76" i="8" a="1"/>
  <c r="R76" i="8" s="1"/>
  <c r="R75" i="8" a="1"/>
  <c r="R75" i="8" s="1"/>
  <c r="R74" i="8" a="1"/>
  <c r="R74" i="8" s="1"/>
  <c r="R73" i="8" a="1"/>
  <c r="R73" i="8" s="1"/>
  <c r="R72" i="8" a="1"/>
  <c r="R72" i="8" s="1"/>
  <c r="R71" i="8" a="1"/>
  <c r="R71" i="8" s="1"/>
  <c r="R70" i="8" a="1"/>
  <c r="R70" i="8" s="1"/>
  <c r="R69" i="8" a="1"/>
  <c r="R69" i="8" s="1"/>
  <c r="R68" i="8" a="1"/>
  <c r="R68" i="8" s="1"/>
  <c r="R67" i="8" a="1"/>
  <c r="R67" i="8" s="1"/>
  <c r="R66" i="8" a="1"/>
  <c r="R66" i="8" s="1"/>
  <c r="R65" i="8" a="1"/>
  <c r="R65" i="8" s="1"/>
  <c r="R64" i="8" a="1"/>
  <c r="R64" i="8" s="1"/>
  <c r="R63" i="8" a="1"/>
  <c r="R63" i="8" s="1"/>
  <c r="R62" i="8" a="1"/>
  <c r="R62" i="8" s="1"/>
  <c r="R61" i="8" a="1"/>
  <c r="R61" i="8" s="1"/>
  <c r="R60" i="8" a="1"/>
  <c r="R60" i="8" s="1"/>
  <c r="R59" i="8" a="1"/>
  <c r="R59" i="8" s="1"/>
  <c r="R58" i="8" a="1"/>
  <c r="R58" i="8" s="1"/>
  <c r="R57" i="8" a="1"/>
  <c r="R57" i="8" s="1"/>
  <c r="R56" i="8" a="1"/>
  <c r="R56" i="8" s="1"/>
  <c r="R55" i="8" a="1"/>
  <c r="R55" i="8" s="1"/>
  <c r="R54" i="8" a="1"/>
  <c r="R54" i="8" s="1"/>
  <c r="R53" i="8" a="1"/>
  <c r="R53" i="8" s="1"/>
  <c r="R52" i="8" a="1"/>
  <c r="R52" i="8" s="1"/>
  <c r="R51" i="8" a="1"/>
  <c r="R51" i="8" s="1"/>
  <c r="R50" i="8" a="1"/>
  <c r="R50" i="8" s="1"/>
  <c r="R49" i="8" a="1"/>
  <c r="R49" i="8" s="1"/>
  <c r="R48" i="8" a="1"/>
  <c r="R48" i="8" s="1"/>
  <c r="R47" i="8" a="1"/>
  <c r="R47" i="8" s="1"/>
  <c r="R46" i="8" a="1"/>
  <c r="R46" i="8" s="1"/>
  <c r="R45" i="8" a="1"/>
  <c r="R45" i="8" s="1"/>
  <c r="R44" i="8" a="1"/>
  <c r="R44" i="8" s="1"/>
  <c r="R43" i="8" a="1"/>
  <c r="R43" i="8" s="1"/>
  <c r="R42" i="8" a="1"/>
  <c r="R42" i="8" s="1"/>
  <c r="R41" i="8" a="1"/>
  <c r="R41" i="8" s="1"/>
  <c r="R40" i="8" a="1"/>
  <c r="R40" i="8" s="1"/>
  <c r="R39" i="8" a="1"/>
  <c r="R39" i="8" s="1"/>
  <c r="R38" i="8" a="1"/>
  <c r="R38" i="8" s="1"/>
  <c r="R37" i="8" a="1"/>
  <c r="R37" i="8" s="1"/>
  <c r="R36" i="8" a="1"/>
  <c r="R36" i="8" s="1"/>
  <c r="R35" i="8" a="1"/>
  <c r="R35" i="8" s="1"/>
  <c r="R34" i="8" a="1"/>
  <c r="R34" i="8" s="1"/>
  <c r="Q106" i="8" a="1"/>
  <c r="Q106" i="8" s="1"/>
  <c r="Q105" i="8" a="1"/>
  <c r="Q105" i="8" s="1"/>
  <c r="Q104" i="8" a="1"/>
  <c r="Q104" i="8" s="1"/>
  <c r="Q103" i="8" a="1"/>
  <c r="Q103" i="8" s="1"/>
  <c r="Q102" i="8" a="1"/>
  <c r="Q102" i="8" s="1"/>
  <c r="Q101" i="8" a="1"/>
  <c r="Q101" i="8" s="1"/>
  <c r="Q100" i="8" a="1"/>
  <c r="Q100" i="8" s="1"/>
  <c r="Q99" i="8" a="1"/>
  <c r="Q99" i="8" s="1"/>
  <c r="Q98" i="8" a="1"/>
  <c r="Q98" i="8" s="1"/>
  <c r="Q97" i="8" a="1"/>
  <c r="Q97" i="8" s="1"/>
  <c r="Q96" i="8" a="1"/>
  <c r="Q96" i="8" s="1"/>
  <c r="Q95" i="8" a="1"/>
  <c r="Q95" i="8" s="1"/>
  <c r="Q94" i="8" a="1"/>
  <c r="Q94" i="8" s="1"/>
  <c r="Q93" i="8" a="1"/>
  <c r="Q93" i="8" s="1"/>
  <c r="Q92" i="8" a="1"/>
  <c r="Q92" i="8" s="1"/>
  <c r="Q91" i="8" a="1"/>
  <c r="Q91" i="8" s="1"/>
  <c r="Q90" i="8" a="1"/>
  <c r="Q90" i="8" s="1"/>
  <c r="Q89" i="8" a="1"/>
  <c r="Q89" i="8" s="1"/>
  <c r="Q88" i="8" a="1"/>
  <c r="Q88" i="8" s="1"/>
  <c r="Q87" i="8" a="1"/>
  <c r="Q87" i="8" s="1"/>
  <c r="Q86" i="8" a="1"/>
  <c r="Q86" i="8" s="1"/>
  <c r="Q85" i="8" a="1"/>
  <c r="Q85" i="8" s="1"/>
  <c r="Q84" i="8" a="1"/>
  <c r="Q84" i="8" s="1"/>
  <c r="Q83" i="8" a="1"/>
  <c r="Q83" i="8" s="1"/>
  <c r="Q82" i="8" a="1"/>
  <c r="Q82" i="8" s="1"/>
  <c r="Q81" i="8" a="1"/>
  <c r="Q81" i="8" s="1"/>
  <c r="Q80" i="8" a="1"/>
  <c r="Q80" i="8" s="1"/>
  <c r="Q79" i="8" a="1"/>
  <c r="Q79" i="8" s="1"/>
  <c r="Q78" i="8" a="1"/>
  <c r="Q78" i="8" s="1"/>
  <c r="Q77" i="8" a="1"/>
  <c r="Q77" i="8" s="1"/>
  <c r="Q76" i="8" a="1"/>
  <c r="Q76" i="8" s="1"/>
  <c r="Q75" i="8" a="1"/>
  <c r="Q75" i="8" s="1"/>
  <c r="Q74" i="8" a="1"/>
  <c r="Q74" i="8" s="1"/>
  <c r="Q73" i="8" a="1"/>
  <c r="Q73" i="8" s="1"/>
  <c r="Q72" i="8" a="1"/>
  <c r="Q72" i="8" s="1"/>
  <c r="Q71" i="8" a="1"/>
  <c r="Q71" i="8" s="1"/>
  <c r="Q70" i="8" a="1"/>
  <c r="Q70" i="8" s="1"/>
  <c r="Q69" i="8" a="1"/>
  <c r="Q69" i="8" s="1"/>
  <c r="Q68" i="8" a="1"/>
  <c r="Q68" i="8" s="1"/>
  <c r="Q67" i="8" a="1"/>
  <c r="Q67" i="8" s="1"/>
  <c r="Q66" i="8" a="1"/>
  <c r="Q66" i="8" s="1"/>
  <c r="Q65" i="8" a="1"/>
  <c r="Q65" i="8" s="1"/>
  <c r="Q64" i="8" a="1"/>
  <c r="Q64" i="8" s="1"/>
  <c r="Q63" i="8" a="1"/>
  <c r="Q63" i="8" s="1"/>
  <c r="Q62" i="8" a="1"/>
  <c r="Q62" i="8" s="1"/>
  <c r="Q61" i="8" a="1"/>
  <c r="Q61" i="8" s="1"/>
  <c r="Q60" i="8" a="1"/>
  <c r="Q60" i="8" s="1"/>
  <c r="Q59" i="8" a="1"/>
  <c r="Q59" i="8" s="1"/>
  <c r="Q58" i="8" a="1"/>
  <c r="Q58" i="8" s="1"/>
  <c r="Q57" i="8" a="1"/>
  <c r="Q57" i="8" s="1"/>
  <c r="Q56" i="8" a="1"/>
  <c r="Q56" i="8" s="1"/>
  <c r="Q55" i="8" a="1"/>
  <c r="Q55" i="8" s="1"/>
  <c r="Q54" i="8" a="1"/>
  <c r="Q54" i="8" s="1"/>
  <c r="Q53" i="8" a="1"/>
  <c r="Q53" i="8" s="1"/>
  <c r="Q52" i="8" a="1"/>
  <c r="Q52" i="8" s="1"/>
  <c r="Q51" i="8" a="1"/>
  <c r="Q51" i="8" s="1"/>
  <c r="Q50" i="8" a="1"/>
  <c r="Q50" i="8" s="1"/>
  <c r="Q49" i="8" a="1"/>
  <c r="Q49" i="8" s="1"/>
  <c r="Q48" i="8" a="1"/>
  <c r="Q48" i="8" s="1"/>
  <c r="Q47" i="8" a="1"/>
  <c r="Q47" i="8" s="1"/>
  <c r="Q46" i="8" a="1"/>
  <c r="Q46" i="8" s="1"/>
  <c r="Q45" i="8" a="1"/>
  <c r="Q45" i="8" s="1"/>
  <c r="Q44" i="8" a="1"/>
  <c r="Q44" i="8" s="1"/>
  <c r="Q43" i="8" a="1"/>
  <c r="Q43" i="8" s="1"/>
  <c r="Q42" i="8" a="1"/>
  <c r="Q42" i="8" s="1"/>
  <c r="Q41" i="8" a="1"/>
  <c r="Q41" i="8" s="1"/>
  <c r="Q40" i="8" a="1"/>
  <c r="Q40" i="8" s="1"/>
  <c r="Q39" i="8" a="1"/>
  <c r="Q39" i="8" s="1"/>
  <c r="Q38" i="8" a="1"/>
  <c r="Q38" i="8" s="1"/>
  <c r="Q37" i="8" a="1"/>
  <c r="Q37" i="8" s="1"/>
  <c r="Q36" i="8" a="1"/>
  <c r="Q36" i="8" s="1"/>
  <c r="Q35" i="8" a="1"/>
  <c r="Q35" i="8" s="1"/>
  <c r="Q34" i="8" a="1"/>
  <c r="Q34" i="8" s="1"/>
  <c r="P122" i="8" a="1"/>
  <c r="P122" i="8" s="1"/>
  <c r="P121" i="8" a="1"/>
  <c r="P121" i="8" s="1"/>
  <c r="P120" i="8" a="1"/>
  <c r="P120" i="8" s="1"/>
  <c r="P119" i="8" a="1"/>
  <c r="P119" i="8" s="1"/>
  <c r="P118" i="8" a="1"/>
  <c r="P118" i="8" s="1"/>
  <c r="P117" i="8" a="1"/>
  <c r="P117" i="8" s="1"/>
  <c r="P116" i="8" a="1"/>
  <c r="P116" i="8" s="1"/>
  <c r="P115" i="8" a="1"/>
  <c r="P115" i="8" s="1"/>
  <c r="P114" i="8" a="1"/>
  <c r="P114" i="8" s="1"/>
  <c r="P113" i="8" a="1"/>
  <c r="P113" i="8" s="1"/>
  <c r="P112" i="8" a="1"/>
  <c r="P112" i="8" s="1"/>
  <c r="P111" i="8" a="1"/>
  <c r="P111" i="8" s="1"/>
  <c r="P110" i="8" a="1"/>
  <c r="P110" i="8" s="1"/>
  <c r="P109" i="8" a="1"/>
  <c r="P109" i="8" s="1"/>
  <c r="P108" i="8" a="1"/>
  <c r="P108" i="8" s="1"/>
  <c r="P107" i="8" a="1"/>
  <c r="P107" i="8" s="1"/>
  <c r="P106" i="8" a="1"/>
  <c r="P106" i="8" s="1"/>
  <c r="P105" i="8" a="1"/>
  <c r="P105" i="8" s="1"/>
  <c r="P104" i="8" a="1"/>
  <c r="P104" i="8" s="1"/>
  <c r="P103" i="8" a="1"/>
  <c r="P103" i="8" s="1"/>
  <c r="P102" i="8" a="1"/>
  <c r="P102" i="8" s="1"/>
  <c r="P101" i="8" a="1"/>
  <c r="P101" i="8" s="1"/>
  <c r="P100" i="8" a="1"/>
  <c r="P100" i="8" s="1"/>
  <c r="P99" i="8" a="1"/>
  <c r="P99" i="8" s="1"/>
  <c r="P98" i="8" a="1"/>
  <c r="P98" i="8" s="1"/>
  <c r="P97" i="8" a="1"/>
  <c r="P97" i="8" s="1"/>
  <c r="P96" i="8" a="1"/>
  <c r="P96" i="8" s="1"/>
  <c r="P95" i="8" a="1"/>
  <c r="P95" i="8" s="1"/>
  <c r="P94" i="8" a="1"/>
  <c r="P94" i="8" s="1"/>
  <c r="P93" i="8" a="1"/>
  <c r="P93" i="8" s="1"/>
  <c r="P92" i="8" a="1"/>
  <c r="P92" i="8" s="1"/>
  <c r="P91" i="8" a="1"/>
  <c r="P91" i="8" s="1"/>
  <c r="P90" i="8" a="1"/>
  <c r="P90" i="8" s="1"/>
  <c r="P89" i="8" a="1"/>
  <c r="P89" i="8" s="1"/>
  <c r="P88" i="8" a="1"/>
  <c r="P88" i="8" s="1"/>
  <c r="P87" i="8" a="1"/>
  <c r="P87" i="8" s="1"/>
  <c r="P86" i="8" a="1"/>
  <c r="P86" i="8" s="1"/>
  <c r="P85" i="8" a="1"/>
  <c r="P85" i="8" s="1"/>
  <c r="P84" i="8" a="1"/>
  <c r="P84" i="8" s="1"/>
  <c r="P83" i="8" a="1"/>
  <c r="P83" i="8" s="1"/>
  <c r="P82" i="8" a="1"/>
  <c r="P82" i="8" s="1"/>
  <c r="P81" i="8" a="1"/>
  <c r="P81" i="8" s="1"/>
  <c r="P80" i="8" a="1"/>
  <c r="P80" i="8" s="1"/>
  <c r="P79" i="8" a="1"/>
  <c r="P79" i="8" s="1"/>
  <c r="P78" i="8" a="1"/>
  <c r="P78" i="8" s="1"/>
  <c r="P77" i="8" a="1"/>
  <c r="P77" i="8" s="1"/>
  <c r="P76" i="8" a="1"/>
  <c r="P76" i="8" s="1"/>
  <c r="P75" i="8" a="1"/>
  <c r="P75" i="8" s="1"/>
  <c r="P74" i="8" a="1"/>
  <c r="P74" i="8" s="1"/>
  <c r="P73" i="8" a="1"/>
  <c r="P73" i="8" s="1"/>
  <c r="P72" i="8" a="1"/>
  <c r="P72" i="8" s="1"/>
  <c r="P71" i="8" a="1"/>
  <c r="P71" i="8" s="1"/>
  <c r="P70" i="8" a="1"/>
  <c r="P70" i="8" s="1"/>
  <c r="P69" i="8" a="1"/>
  <c r="P69" i="8" s="1"/>
  <c r="P68" i="8" a="1"/>
  <c r="P68" i="8" s="1"/>
  <c r="P67" i="8" a="1"/>
  <c r="P67" i="8" s="1"/>
  <c r="P66" i="8" a="1"/>
  <c r="P66" i="8" s="1"/>
  <c r="P65" i="8" a="1"/>
  <c r="P65" i="8" s="1"/>
  <c r="P64" i="8" a="1"/>
  <c r="P64" i="8" s="1"/>
  <c r="P63" i="8" a="1"/>
  <c r="P63" i="8" s="1"/>
  <c r="P62" i="8" a="1"/>
  <c r="P62" i="8" s="1"/>
  <c r="P61" i="8" a="1"/>
  <c r="P61" i="8" s="1"/>
  <c r="P60" i="8" a="1"/>
  <c r="P60" i="8" s="1"/>
  <c r="P59" i="8" a="1"/>
  <c r="P59" i="8" s="1"/>
  <c r="P58" i="8" a="1"/>
  <c r="P58" i="8" s="1"/>
  <c r="P57" i="8" a="1"/>
  <c r="P57" i="8" s="1"/>
  <c r="P56" i="8" a="1"/>
  <c r="P56" i="8" s="1"/>
  <c r="P55" i="8" a="1"/>
  <c r="P55" i="8" s="1"/>
  <c r="P54" i="8" a="1"/>
  <c r="P54" i="8" s="1"/>
  <c r="P53" i="8" a="1"/>
  <c r="P53" i="8" s="1"/>
  <c r="P52" i="8" a="1"/>
  <c r="P52" i="8" s="1"/>
  <c r="P51" i="8" a="1"/>
  <c r="P51" i="8" s="1"/>
  <c r="P50" i="8" a="1"/>
  <c r="P50" i="8" s="1"/>
  <c r="P49" i="8" a="1"/>
  <c r="P49" i="8" s="1"/>
  <c r="P48" i="8" a="1"/>
  <c r="P48" i="8" s="1"/>
  <c r="P47" i="8" a="1"/>
  <c r="P47" i="8" s="1"/>
  <c r="P46" i="8" a="1"/>
  <c r="P46" i="8" s="1"/>
  <c r="P45" i="8" a="1"/>
  <c r="P45" i="8" s="1"/>
  <c r="P44" i="8" a="1"/>
  <c r="P44" i="8" s="1"/>
  <c r="P43" i="8" a="1"/>
  <c r="P43" i="8" s="1"/>
  <c r="P42" i="8" a="1"/>
  <c r="P42" i="8" s="1"/>
  <c r="P41" i="8" a="1"/>
  <c r="P41" i="8" s="1"/>
  <c r="P40" i="8" a="1"/>
  <c r="P40" i="8" s="1"/>
  <c r="P39" i="8" a="1"/>
  <c r="P39" i="8" s="1"/>
  <c r="P38" i="8" a="1"/>
  <c r="P38" i="8" s="1"/>
  <c r="P37" i="8" a="1"/>
  <c r="P37" i="8" s="1"/>
  <c r="P36" i="8" a="1"/>
  <c r="P36" i="8" s="1"/>
  <c r="P35" i="8" a="1"/>
  <c r="P35" i="8" s="1"/>
  <c r="P34" i="8" a="1"/>
  <c r="P34" i="8" s="1"/>
  <c r="M61" i="8" a="1"/>
  <c r="M61" i="8" s="1"/>
  <c r="M60" i="8" a="1"/>
  <c r="M60" i="8" s="1"/>
  <c r="M59" i="8" a="1"/>
  <c r="M59" i="8" s="1"/>
  <c r="M58" i="8" a="1"/>
  <c r="M58" i="8" s="1"/>
  <c r="M57" i="8" a="1"/>
  <c r="M57" i="8" s="1"/>
  <c r="M56" i="8" a="1"/>
  <c r="M56" i="8" s="1"/>
  <c r="M55" i="8" a="1"/>
  <c r="M55" i="8" s="1"/>
  <c r="M54" i="8" a="1"/>
  <c r="M54" i="8" s="1"/>
  <c r="M53" i="8" a="1"/>
  <c r="M53" i="8" s="1"/>
  <c r="M52" i="8" a="1"/>
  <c r="M52" i="8" s="1"/>
  <c r="M51" i="8" a="1"/>
  <c r="M51" i="8" s="1"/>
  <c r="M50" i="8" a="1"/>
  <c r="M50" i="8" s="1"/>
  <c r="M49" i="8" a="1"/>
  <c r="M49" i="8" s="1"/>
  <c r="M48" i="8" a="1"/>
  <c r="M48" i="8" s="1"/>
  <c r="M47" i="8" a="1"/>
  <c r="M47" i="8" s="1"/>
  <c r="M46" i="8" a="1"/>
  <c r="M46" i="8" s="1"/>
  <c r="M45" i="8" a="1"/>
  <c r="M45" i="8" s="1"/>
  <c r="M44" i="8" a="1"/>
  <c r="M44" i="8" s="1"/>
  <c r="M43" i="8" a="1"/>
  <c r="M43" i="8" s="1"/>
  <c r="M42" i="8" a="1"/>
  <c r="M42" i="8" s="1"/>
  <c r="M41" i="8" a="1"/>
  <c r="M41" i="8" s="1"/>
  <c r="M40" i="8" a="1"/>
  <c r="M40" i="8" s="1"/>
  <c r="M39" i="8" a="1"/>
  <c r="M39" i="8" s="1"/>
  <c r="M38" i="8" a="1"/>
  <c r="M38" i="8" s="1"/>
  <c r="M37" i="8" a="1"/>
  <c r="M37" i="8" s="1"/>
  <c r="M36" i="8" a="1"/>
  <c r="M36" i="8" s="1"/>
  <c r="M35" i="8" a="1"/>
  <c r="M35" i="8" s="1"/>
  <c r="M34" i="8" a="1"/>
  <c r="M34" i="8" s="1"/>
  <c r="O65" i="8" a="1"/>
  <c r="O65" i="8" s="1"/>
  <c r="O64" i="8" a="1"/>
  <c r="O64" i="8" s="1"/>
  <c r="O63" i="8" a="1"/>
  <c r="O63" i="8" s="1"/>
  <c r="O62" i="8" a="1"/>
  <c r="O62" i="8" s="1"/>
  <c r="O61" i="8" a="1"/>
  <c r="O61" i="8" s="1"/>
  <c r="O60" i="8" a="1"/>
  <c r="O60" i="8" s="1"/>
  <c r="O59" i="8" a="1"/>
  <c r="O59" i="8" s="1"/>
  <c r="O58" i="8" a="1"/>
  <c r="O58" i="8" s="1"/>
  <c r="O57" i="8" a="1"/>
  <c r="O57" i="8" s="1"/>
  <c r="O56" i="8" a="1"/>
  <c r="O56" i="8" s="1"/>
  <c r="O55" i="8" a="1"/>
  <c r="O55" i="8" s="1"/>
  <c r="O54" i="8" a="1"/>
  <c r="O54" i="8" s="1"/>
  <c r="O53" i="8" a="1"/>
  <c r="O53" i="8" s="1"/>
  <c r="O52" i="8" a="1"/>
  <c r="O52" i="8" s="1"/>
  <c r="O51" i="8" a="1"/>
  <c r="O51" i="8" s="1"/>
  <c r="O50" i="8" a="1"/>
  <c r="O50" i="8" s="1"/>
  <c r="O49" i="8" a="1"/>
  <c r="O49" i="8" s="1"/>
  <c r="O48" i="8" a="1"/>
  <c r="O48" i="8" s="1"/>
  <c r="O47" i="8" a="1"/>
  <c r="O47" i="8" s="1"/>
  <c r="O46" i="8" a="1"/>
  <c r="O46" i="8" s="1"/>
  <c r="O45" i="8" a="1"/>
  <c r="O45" i="8" s="1"/>
  <c r="O44" i="8" a="1"/>
  <c r="O44" i="8" s="1"/>
  <c r="O43" i="8" a="1"/>
  <c r="O43" i="8" s="1"/>
  <c r="O42" i="8" a="1"/>
  <c r="O42" i="8" s="1"/>
  <c r="O41" i="8" a="1"/>
  <c r="O41" i="8" s="1"/>
  <c r="O40" i="8" a="1"/>
  <c r="O40" i="8" s="1"/>
  <c r="O39" i="8" a="1"/>
  <c r="O39" i="8" s="1"/>
  <c r="O38" i="8" a="1"/>
  <c r="O38" i="8" s="1"/>
  <c r="O37" i="8" a="1"/>
  <c r="O37" i="8" s="1"/>
  <c r="O36" i="8" a="1"/>
  <c r="O36" i="8" s="1"/>
  <c r="O35" i="8" a="1"/>
  <c r="O35" i="8" s="1"/>
  <c r="O34" i="8" a="1"/>
  <c r="O34" i="8" s="1"/>
  <c r="I46" i="8" a="1"/>
  <c r="I46" i="8" s="1"/>
  <c r="I45" i="8" a="1"/>
  <c r="I45" i="8" s="1"/>
  <c r="I44" i="8" a="1"/>
  <c r="I44" i="8" s="1"/>
  <c r="I43" i="8" a="1"/>
  <c r="I43" i="8" s="1"/>
  <c r="J123" i="8" a="1"/>
  <c r="J123" i="8" s="1"/>
  <c r="J122" i="8" a="1"/>
  <c r="J122" i="8" s="1"/>
  <c r="J121" i="8" a="1"/>
  <c r="J121" i="8" s="1"/>
  <c r="J120" i="8" a="1"/>
  <c r="J120" i="8" s="1"/>
  <c r="J119" i="8" a="1"/>
  <c r="J119" i="8" s="1"/>
  <c r="J118" i="8" a="1"/>
  <c r="J118" i="8" s="1"/>
  <c r="J117" i="8" a="1"/>
  <c r="J117" i="8" s="1"/>
  <c r="J116" i="8" a="1"/>
  <c r="J116" i="8" s="1"/>
  <c r="J115" i="8" a="1"/>
  <c r="J115" i="8" s="1"/>
  <c r="J114" i="8" a="1"/>
  <c r="J114" i="8" s="1"/>
  <c r="J113" i="8" a="1"/>
  <c r="J113" i="8" s="1"/>
  <c r="J112" i="8" a="1"/>
  <c r="J112" i="8" s="1"/>
  <c r="J111" i="8" a="1"/>
  <c r="J111" i="8" s="1"/>
  <c r="J110" i="8" a="1"/>
  <c r="J110" i="8" s="1"/>
  <c r="J109" i="8" a="1"/>
  <c r="J109" i="8" s="1"/>
  <c r="J108" i="8" a="1"/>
  <c r="J108" i="8" s="1"/>
  <c r="J107" i="8" a="1"/>
  <c r="J107" i="8" s="1"/>
  <c r="J106" i="8" a="1"/>
  <c r="J106" i="8" s="1"/>
  <c r="J105" i="8" a="1"/>
  <c r="J105" i="8" s="1"/>
  <c r="J104" i="8" a="1"/>
  <c r="J104" i="8" s="1"/>
  <c r="J103" i="8" a="1"/>
  <c r="J103" i="8" s="1"/>
  <c r="J102" i="8" a="1"/>
  <c r="J102" i="8" s="1"/>
  <c r="J101" i="8" a="1"/>
  <c r="J101" i="8" s="1"/>
  <c r="J100" i="8" a="1"/>
  <c r="J100" i="8" s="1"/>
  <c r="J99" i="8" a="1"/>
  <c r="J99" i="8" s="1"/>
  <c r="J98" i="8" a="1"/>
  <c r="J98" i="8" s="1"/>
  <c r="J97" i="8" a="1"/>
  <c r="J97" i="8" s="1"/>
  <c r="J96" i="8" a="1"/>
  <c r="J96" i="8" s="1"/>
  <c r="J95" i="8" a="1"/>
  <c r="J95" i="8" s="1"/>
  <c r="J94" i="8" a="1"/>
  <c r="J94" i="8" s="1"/>
  <c r="J93" i="8" a="1"/>
  <c r="J93" i="8" s="1"/>
  <c r="J92" i="8" a="1"/>
  <c r="J92" i="8" s="1"/>
  <c r="J91" i="8" a="1"/>
  <c r="J91" i="8" s="1"/>
  <c r="J90" i="8" a="1"/>
  <c r="J90" i="8" s="1"/>
  <c r="J89" i="8" a="1"/>
  <c r="J89" i="8" s="1"/>
  <c r="J88" i="8" a="1"/>
  <c r="J88" i="8" s="1"/>
  <c r="J87" i="8" a="1"/>
  <c r="J87" i="8" s="1"/>
  <c r="J86" i="8" a="1"/>
  <c r="J86" i="8" s="1"/>
  <c r="J85" i="8" a="1"/>
  <c r="J85" i="8" s="1"/>
  <c r="J84" i="8" a="1"/>
  <c r="J84" i="8" s="1"/>
  <c r="J83" i="8" a="1"/>
  <c r="J83" i="8" s="1"/>
  <c r="J82" i="8" a="1"/>
  <c r="J82" i="8" s="1"/>
  <c r="J81" i="8" a="1"/>
  <c r="J81" i="8" s="1"/>
  <c r="J80" i="8" a="1"/>
  <c r="J80" i="8" s="1"/>
  <c r="J79" i="8" a="1"/>
  <c r="J79" i="8" s="1"/>
  <c r="J78" i="8" a="1"/>
  <c r="J78" i="8" s="1"/>
  <c r="J77" i="8" a="1"/>
  <c r="J77" i="8" s="1"/>
  <c r="J76" i="8" a="1"/>
  <c r="J76" i="8" s="1"/>
  <c r="J75" i="8" a="1"/>
  <c r="J75" i="8" s="1"/>
  <c r="J74" i="8" a="1"/>
  <c r="J74" i="8" s="1"/>
  <c r="J73" i="8" a="1"/>
  <c r="J73" i="8" s="1"/>
  <c r="J72" i="8" a="1"/>
  <c r="J72" i="8" s="1"/>
  <c r="J71" i="8" a="1"/>
  <c r="J71" i="8" s="1"/>
  <c r="J70" i="8" a="1"/>
  <c r="J70" i="8" s="1"/>
  <c r="J69" i="8" a="1"/>
  <c r="J69" i="8" s="1"/>
  <c r="J68" i="8" a="1"/>
  <c r="J68" i="8" s="1"/>
  <c r="J67" i="8" a="1"/>
  <c r="J67" i="8" s="1"/>
  <c r="J66" i="8" a="1"/>
  <c r="J66" i="8" s="1"/>
  <c r="J65" i="8" a="1"/>
  <c r="J65" i="8" s="1"/>
  <c r="J64" i="8" a="1"/>
  <c r="J64" i="8" s="1"/>
  <c r="J63" i="8" a="1"/>
  <c r="J63" i="8" s="1"/>
  <c r="J62" i="8" a="1"/>
  <c r="J62" i="8" s="1"/>
  <c r="J61" i="8" a="1"/>
  <c r="J61" i="8" s="1"/>
  <c r="J60" i="8" a="1"/>
  <c r="J60" i="8" s="1"/>
  <c r="J59" i="8" a="1"/>
  <c r="J59" i="8" s="1"/>
  <c r="J58" i="8" a="1"/>
  <c r="J58" i="8" s="1"/>
  <c r="J57" i="8" a="1"/>
  <c r="J57" i="8" s="1"/>
  <c r="J56" i="8" a="1"/>
  <c r="J56" i="8" s="1"/>
  <c r="J55" i="8" a="1"/>
  <c r="J55" i="8" s="1"/>
  <c r="J54" i="8" a="1"/>
  <c r="J54" i="8" s="1"/>
  <c r="J53" i="8" a="1"/>
  <c r="J53" i="8" s="1"/>
  <c r="J52" i="8" a="1"/>
  <c r="J52" i="8" s="1"/>
  <c r="J51" i="8" a="1"/>
  <c r="J51" i="8" s="1"/>
  <c r="J50" i="8" a="1"/>
  <c r="J50" i="8" s="1"/>
  <c r="J49" i="8" a="1"/>
  <c r="J49" i="8" s="1"/>
  <c r="J48" i="8" a="1"/>
  <c r="J48" i="8" s="1"/>
  <c r="J47" i="8" a="1"/>
  <c r="J47" i="8" s="1"/>
  <c r="J46" i="8" a="1"/>
  <c r="J46" i="8" s="1"/>
  <c r="J45" i="8" a="1"/>
  <c r="J45" i="8" s="1"/>
  <c r="J44" i="8" a="1"/>
  <c r="J44" i="8" s="1"/>
  <c r="J43" i="8" a="1"/>
  <c r="J43" i="8" s="1"/>
  <c r="J42" i="8" a="1"/>
  <c r="J42" i="8" s="1"/>
  <c r="J41" i="8" a="1"/>
  <c r="J41" i="8" s="1"/>
  <c r="J40" i="8" a="1"/>
  <c r="J40" i="8" s="1"/>
  <c r="J39" i="8" a="1"/>
  <c r="J39" i="8" s="1"/>
  <c r="J38" i="8" a="1"/>
  <c r="J38" i="8" s="1"/>
  <c r="J37" i="8" a="1"/>
  <c r="J37" i="8" s="1"/>
  <c r="J36" i="8" a="1"/>
  <c r="J36" i="8" s="1"/>
  <c r="J35" i="8" a="1"/>
  <c r="J35" i="8" s="1"/>
  <c r="J34" i="8" a="1"/>
  <c r="J34" i="8" s="1"/>
  <c r="J148" i="8" a="1"/>
  <c r="J148" i="8" s="1"/>
  <c r="J147" i="8" a="1"/>
  <c r="J147" i="8" s="1"/>
  <c r="J146" i="8" a="1"/>
  <c r="J146" i="8" s="1"/>
  <c r="J145" i="8" a="1"/>
  <c r="J145" i="8" s="1"/>
  <c r="J144" i="8" a="1"/>
  <c r="J144" i="8" s="1"/>
  <c r="J143" i="8" a="1"/>
  <c r="J143" i="8" s="1"/>
  <c r="J142" i="8" a="1"/>
  <c r="J142" i="8" s="1"/>
  <c r="J141" i="8" a="1"/>
  <c r="J141" i="8" s="1"/>
  <c r="J140" i="8" a="1"/>
  <c r="J140" i="8" s="1"/>
  <c r="J139" i="8" a="1"/>
  <c r="J139" i="8" s="1"/>
  <c r="J138" i="8" a="1"/>
  <c r="J138" i="8" s="1"/>
  <c r="J137" i="8" a="1"/>
  <c r="J137" i="8" s="1"/>
  <c r="J136" i="8" a="1"/>
  <c r="J136" i="8" s="1"/>
  <c r="J135" i="8" a="1"/>
  <c r="J135" i="8" s="1"/>
  <c r="J134" i="8" a="1"/>
  <c r="J134" i="8" s="1"/>
  <c r="J133" i="8" a="1"/>
  <c r="J133" i="8" s="1"/>
  <c r="J132" i="8" a="1"/>
  <c r="J132" i="8" s="1"/>
  <c r="J131" i="8" a="1"/>
  <c r="J131" i="8" s="1"/>
  <c r="J130" i="8" a="1"/>
  <c r="J130" i="8" s="1"/>
  <c r="J129" i="8" a="1"/>
  <c r="J129" i="8" s="1"/>
  <c r="J128" i="8" a="1"/>
  <c r="J128" i="8" s="1"/>
  <c r="J127" i="8" a="1"/>
  <c r="J127" i="8" s="1"/>
  <c r="J126" i="8" a="1"/>
  <c r="J126" i="8" s="1"/>
  <c r="J125" i="8" a="1"/>
  <c r="J125" i="8" s="1"/>
  <c r="J124" i="8" a="1"/>
  <c r="J124" i="8" s="1"/>
  <c r="I62" i="8" a="1"/>
  <c r="I62" i="8" s="1"/>
  <c r="I61" i="8" a="1"/>
  <c r="I61" i="8" s="1"/>
  <c r="I60" i="8" a="1"/>
  <c r="I60" i="8" s="1"/>
  <c r="I59" i="8" a="1"/>
  <c r="I59" i="8" s="1"/>
  <c r="I58" i="8" a="1"/>
  <c r="I58" i="8" s="1"/>
  <c r="I57" i="8" a="1"/>
  <c r="I57" i="8" s="1"/>
  <c r="I56" i="8" a="1"/>
  <c r="I56" i="8" s="1"/>
  <c r="I55" i="8" a="1"/>
  <c r="I55" i="8" s="1"/>
  <c r="I54" i="8" a="1"/>
  <c r="I54" i="8" s="1"/>
  <c r="I53" i="8" a="1"/>
  <c r="I53" i="8" s="1"/>
  <c r="I52" i="8" a="1"/>
  <c r="I52" i="8" s="1"/>
  <c r="I51" i="8" a="1"/>
  <c r="I51" i="8" s="1"/>
  <c r="I50" i="8" a="1"/>
  <c r="I50" i="8" s="1"/>
  <c r="I49" i="8" a="1"/>
  <c r="I49" i="8" s="1"/>
  <c r="I48" i="8" a="1"/>
  <c r="I48" i="8" s="1"/>
  <c r="I47" i="8" a="1"/>
  <c r="I47" i="8" s="1"/>
  <c r="I42" i="8" a="1"/>
  <c r="I42" i="8" s="1"/>
  <c r="I41" i="8" a="1"/>
  <c r="I41" i="8" s="1"/>
  <c r="I40" i="8" a="1"/>
  <c r="I40" i="8" s="1"/>
  <c r="I39" i="8" a="1"/>
  <c r="I39" i="8" s="1"/>
  <c r="I38" i="8" a="1"/>
  <c r="I38" i="8" s="1"/>
  <c r="I37" i="8" a="1"/>
  <c r="I37" i="8" s="1"/>
  <c r="I36" i="8" a="1"/>
  <c r="I36" i="8" s="1"/>
  <c r="I35" i="8" a="1"/>
  <c r="I35" i="8" s="1"/>
  <c r="L106" i="8" a="1"/>
  <c r="L106" i="8" s="1"/>
  <c r="K106" i="8" a="1"/>
  <c r="K106" i="8" s="1"/>
  <c r="L105" i="8" a="1"/>
  <c r="L105" i="8" s="1"/>
  <c r="K105" i="8" a="1"/>
  <c r="K105" i="8" s="1"/>
  <c r="L104" i="8" a="1"/>
  <c r="L104" i="8" s="1"/>
  <c r="K104" i="8" a="1"/>
  <c r="K104" i="8" s="1"/>
  <c r="L103" i="8" a="1"/>
  <c r="L103" i="8" s="1"/>
  <c r="K103" i="8" a="1"/>
  <c r="K103" i="8" s="1"/>
  <c r="L102" i="8" a="1"/>
  <c r="L102" i="8" s="1"/>
  <c r="K102" i="8" a="1"/>
  <c r="K102" i="8" s="1"/>
  <c r="L101" i="8" a="1"/>
  <c r="L101" i="8" s="1"/>
  <c r="K101" i="8" a="1"/>
  <c r="K101" i="8" s="1"/>
  <c r="L100" i="8" a="1"/>
  <c r="L100" i="8" s="1"/>
  <c r="K100" i="8" a="1"/>
  <c r="K100" i="8" s="1"/>
  <c r="L99" i="8" a="1"/>
  <c r="L99" i="8" s="1"/>
  <c r="K99" i="8" a="1"/>
  <c r="K99" i="8" s="1"/>
  <c r="L98" i="8" a="1"/>
  <c r="L98" i="8" s="1"/>
  <c r="K98" i="8" a="1"/>
  <c r="K98" i="8" s="1"/>
  <c r="L97" i="8" a="1"/>
  <c r="L97" i="8" s="1"/>
  <c r="K97" i="8" a="1"/>
  <c r="K97" i="8" s="1"/>
  <c r="L96" i="8" a="1"/>
  <c r="L96" i="8" s="1"/>
  <c r="K96" i="8" a="1"/>
  <c r="K96" i="8" s="1"/>
  <c r="L95" i="8" a="1"/>
  <c r="L95" i="8" s="1"/>
  <c r="K95" i="8" a="1"/>
  <c r="K95" i="8" s="1"/>
  <c r="L94" i="8" a="1"/>
  <c r="L94" i="8" s="1"/>
  <c r="K94" i="8" a="1"/>
  <c r="K94" i="8" s="1"/>
  <c r="L93" i="8" a="1"/>
  <c r="L93" i="8" s="1"/>
  <c r="K93" i="8" a="1"/>
  <c r="K93" i="8" s="1"/>
  <c r="L92" i="8" a="1"/>
  <c r="L92" i="8" s="1"/>
  <c r="K92" i="8" a="1"/>
  <c r="K92" i="8" s="1"/>
  <c r="L91" i="8" a="1"/>
  <c r="L91" i="8" s="1"/>
  <c r="K91" i="8" a="1"/>
  <c r="K91" i="8" s="1"/>
  <c r="L90" i="8" a="1"/>
  <c r="L90" i="8" s="1"/>
  <c r="K90" i="8" a="1"/>
  <c r="K90" i="8" s="1"/>
  <c r="L89" i="8" a="1"/>
  <c r="L89" i="8" s="1"/>
  <c r="K89" i="8" a="1"/>
  <c r="K89" i="8" s="1"/>
  <c r="L88" i="8" a="1"/>
  <c r="L88" i="8" s="1"/>
  <c r="K88" i="8" a="1"/>
  <c r="K88" i="8" s="1"/>
  <c r="L87" i="8" a="1"/>
  <c r="L87" i="8" s="1"/>
  <c r="K87" i="8" a="1"/>
  <c r="K87" i="8" s="1"/>
  <c r="L86" i="8" a="1"/>
  <c r="L86" i="8" s="1"/>
  <c r="K86" i="8" a="1"/>
  <c r="K86" i="8" s="1"/>
  <c r="L85" i="8" a="1"/>
  <c r="L85" i="8" s="1"/>
  <c r="K85" i="8" a="1"/>
  <c r="K85" i="8" s="1"/>
  <c r="L84" i="8" a="1"/>
  <c r="L84" i="8" s="1"/>
  <c r="K84" i="8" a="1"/>
  <c r="K84" i="8" s="1"/>
  <c r="L83" i="8" a="1"/>
  <c r="L83" i="8" s="1"/>
  <c r="K83" i="8" a="1"/>
  <c r="K83" i="8" s="1"/>
  <c r="L82" i="8" a="1"/>
  <c r="L82" i="8" s="1"/>
  <c r="K82" i="8" a="1"/>
  <c r="K82" i="8" s="1"/>
  <c r="L81" i="8" a="1"/>
  <c r="L81" i="8" s="1"/>
  <c r="K81" i="8" a="1"/>
  <c r="K81" i="8" s="1"/>
  <c r="L80" i="8" a="1"/>
  <c r="L80" i="8" s="1"/>
  <c r="K80" i="8" a="1"/>
  <c r="K80" i="8" s="1"/>
  <c r="L79" i="8" a="1"/>
  <c r="L79" i="8" s="1"/>
  <c r="K79" i="8" a="1"/>
  <c r="K79" i="8" s="1"/>
  <c r="L78" i="8" a="1"/>
  <c r="L78" i="8" s="1"/>
  <c r="K78" i="8" a="1"/>
  <c r="K78" i="8" s="1"/>
  <c r="L77" i="8" a="1"/>
  <c r="L77" i="8" s="1"/>
  <c r="K77" i="8" a="1"/>
  <c r="K77" i="8" s="1"/>
  <c r="L76" i="8" a="1"/>
  <c r="L76" i="8" s="1"/>
  <c r="K76" i="8" a="1"/>
  <c r="K76" i="8" s="1"/>
  <c r="L75" i="8" a="1"/>
  <c r="L75" i="8" s="1"/>
  <c r="K75" i="8" a="1"/>
  <c r="K75" i="8" s="1"/>
  <c r="L74" i="8" a="1"/>
  <c r="L74" i="8" s="1"/>
  <c r="K74" i="8" a="1"/>
  <c r="K74" i="8" s="1"/>
  <c r="L73" i="8" a="1"/>
  <c r="L73" i="8" s="1"/>
  <c r="K73" i="8" a="1"/>
  <c r="K73" i="8" s="1"/>
  <c r="L72" i="8" a="1"/>
  <c r="L72" i="8" s="1"/>
  <c r="K72" i="8" a="1"/>
  <c r="K72" i="8" s="1"/>
  <c r="L71" i="8" a="1"/>
  <c r="L71" i="8" s="1"/>
  <c r="K71" i="8" a="1"/>
  <c r="K71" i="8" s="1"/>
  <c r="L70" i="8" a="1"/>
  <c r="L70" i="8" s="1"/>
  <c r="K70" i="8" a="1"/>
  <c r="K70" i="8" s="1"/>
  <c r="L69" i="8" a="1"/>
  <c r="L69" i="8" s="1"/>
  <c r="K69" i="8" a="1"/>
  <c r="K69" i="8" s="1"/>
  <c r="L68" i="8" a="1"/>
  <c r="L68" i="8" s="1"/>
  <c r="K68" i="8" a="1"/>
  <c r="K68" i="8" s="1"/>
  <c r="L67" i="8" a="1"/>
  <c r="L67" i="8" s="1"/>
  <c r="K67" i="8" a="1"/>
  <c r="K67" i="8" s="1"/>
  <c r="L66" i="8" a="1"/>
  <c r="L66" i="8" s="1"/>
  <c r="K66" i="8" a="1"/>
  <c r="K66" i="8" s="1"/>
  <c r="L65" i="8" a="1"/>
  <c r="L65" i="8" s="1"/>
  <c r="K65" i="8" a="1"/>
  <c r="K65" i="8" s="1"/>
  <c r="L64" i="8" a="1"/>
  <c r="L64" i="8" s="1"/>
  <c r="K64" i="8" a="1"/>
  <c r="K64" i="8" s="1"/>
  <c r="L63" i="8" a="1"/>
  <c r="L63" i="8" s="1"/>
  <c r="K63" i="8" a="1"/>
  <c r="K63" i="8" s="1"/>
  <c r="L62" i="8" a="1"/>
  <c r="L62" i="8" s="1"/>
  <c r="K62" i="8" a="1"/>
  <c r="K62" i="8" s="1"/>
  <c r="L61" i="8" a="1"/>
  <c r="L61" i="8" s="1"/>
  <c r="K61" i="8" a="1"/>
  <c r="K61" i="8" s="1"/>
  <c r="L60" i="8" a="1"/>
  <c r="L60" i="8" s="1"/>
  <c r="K60" i="8" a="1"/>
  <c r="K60" i="8" s="1"/>
  <c r="L59" i="8" a="1"/>
  <c r="L59" i="8" s="1"/>
  <c r="K59" i="8" a="1"/>
  <c r="K59" i="8" s="1"/>
  <c r="L58" i="8" a="1"/>
  <c r="L58" i="8" s="1"/>
  <c r="K58" i="8" a="1"/>
  <c r="K58" i="8" s="1"/>
  <c r="L57" i="8" a="1"/>
  <c r="L57" i="8" s="1"/>
  <c r="K57" i="8" a="1"/>
  <c r="K57" i="8" s="1"/>
  <c r="L56" i="8" a="1"/>
  <c r="L56" i="8" s="1"/>
  <c r="K56" i="8" a="1"/>
  <c r="K56" i="8" s="1"/>
  <c r="L55" i="8" a="1"/>
  <c r="L55" i="8" s="1"/>
  <c r="K55" i="8" a="1"/>
  <c r="K55" i="8" s="1"/>
  <c r="L54" i="8" a="1"/>
  <c r="L54" i="8" s="1"/>
  <c r="K54" i="8" a="1"/>
  <c r="K54" i="8" s="1"/>
  <c r="L53" i="8" a="1"/>
  <c r="L53" i="8" s="1"/>
  <c r="K53" i="8" a="1"/>
  <c r="K53" i="8" s="1"/>
  <c r="L52" i="8" a="1"/>
  <c r="L52" i="8" s="1"/>
  <c r="K52" i="8" a="1"/>
  <c r="K52" i="8" s="1"/>
  <c r="L51" i="8" a="1"/>
  <c r="L51" i="8" s="1"/>
  <c r="K51" i="8" a="1"/>
  <c r="K51" i="8" s="1"/>
  <c r="L50" i="8" a="1"/>
  <c r="L50" i="8" s="1"/>
  <c r="K50" i="8" a="1"/>
  <c r="K50" i="8" s="1"/>
  <c r="L49" i="8" a="1"/>
  <c r="L49" i="8" s="1"/>
  <c r="K49" i="8" a="1"/>
  <c r="K49" i="8" s="1"/>
  <c r="L48" i="8" a="1"/>
  <c r="L48" i="8" s="1"/>
  <c r="K48" i="8" a="1"/>
  <c r="K48" i="8" s="1"/>
  <c r="L47" i="8" a="1"/>
  <c r="L47" i="8" s="1"/>
  <c r="K47" i="8" a="1"/>
  <c r="K47" i="8" s="1"/>
  <c r="L46" i="8" a="1"/>
  <c r="L46" i="8" s="1"/>
  <c r="K46" i="8" a="1"/>
  <c r="K46" i="8" s="1"/>
  <c r="L45" i="8" a="1"/>
  <c r="L45" i="8" s="1"/>
  <c r="K45" i="8" a="1"/>
  <c r="K45" i="8" s="1"/>
  <c r="L44" i="8" a="1"/>
  <c r="L44" i="8" s="1"/>
  <c r="K44" i="8" a="1"/>
  <c r="K44" i="8" s="1"/>
  <c r="L43" i="8" a="1"/>
  <c r="L43" i="8" s="1"/>
  <c r="K43" i="8" a="1"/>
  <c r="K43" i="8" s="1"/>
  <c r="L42" i="8" a="1"/>
  <c r="L42" i="8" s="1"/>
  <c r="K42" i="8" a="1"/>
  <c r="K42" i="8" s="1"/>
  <c r="L41" i="8" a="1"/>
  <c r="L41" i="8" s="1"/>
  <c r="K41" i="8" a="1"/>
  <c r="K41" i="8" s="1"/>
  <c r="L40" i="8" a="1"/>
  <c r="L40" i="8" s="1"/>
  <c r="K40" i="8" a="1"/>
  <c r="K40" i="8" s="1"/>
  <c r="L39" i="8" a="1"/>
  <c r="L39" i="8" s="1"/>
  <c r="K39" i="8" a="1"/>
  <c r="K39" i="8" s="1"/>
  <c r="L38" i="8" a="1"/>
  <c r="L38" i="8" s="1"/>
  <c r="K38" i="8" a="1"/>
  <c r="K38" i="8" s="1"/>
  <c r="L37" i="8" a="1"/>
  <c r="L37" i="8" s="1"/>
  <c r="K37" i="8" a="1"/>
  <c r="K37" i="8" s="1"/>
  <c r="L36" i="8" a="1"/>
  <c r="L36" i="8" s="1"/>
  <c r="K36" i="8" a="1"/>
  <c r="K36" i="8" s="1"/>
  <c r="L35" i="8" a="1"/>
  <c r="L35" i="8" s="1"/>
  <c r="K35" i="8" a="1"/>
  <c r="K35" i="8" s="1"/>
  <c r="L34" i="8" a="1"/>
  <c r="L34" i="8" s="1"/>
  <c r="K34" i="8" a="1"/>
  <c r="K34" i="8" s="1"/>
  <c r="I34" i="8" a="1"/>
  <c r="I34" i="8" s="1"/>
  <c r="F27" i="8"/>
  <c r="E27" i="8"/>
  <c r="D27" i="8"/>
  <c r="F26" i="8"/>
  <c r="E26" i="8"/>
  <c r="D26" i="8"/>
  <c r="F25" i="8"/>
  <c r="E25" i="8"/>
  <c r="D25" i="8"/>
  <c r="F24" i="8"/>
  <c r="E24" i="8"/>
  <c r="D24" i="8"/>
  <c r="F23" i="8"/>
  <c r="E23" i="8"/>
  <c r="D23" i="8"/>
  <c r="F22" i="8"/>
  <c r="E22" i="8"/>
  <c r="D22" i="8"/>
  <c r="F21" i="8"/>
  <c r="E21" i="8"/>
  <c r="D21" i="8"/>
  <c r="F20" i="8"/>
  <c r="E20" i="8"/>
  <c r="D20" i="8"/>
  <c r="G11" i="8"/>
  <c r="G10" i="8"/>
  <c r="G9" i="8"/>
  <c r="G8" i="8"/>
  <c r="G7" i="8"/>
  <c r="G6" i="8"/>
  <c r="G5" i="8"/>
  <c r="D5" i="8"/>
  <c r="G4" i="8"/>
  <c r="D4" i="8"/>
  <c r="D3" i="8"/>
  <c r="D6" i="8" l="1"/>
  <c r="D7" i="8" s="1"/>
  <c r="G27" i="8"/>
  <c r="G12" i="8"/>
  <c r="G24" i="8"/>
  <c r="G22" i="8"/>
  <c r="G23" i="8"/>
  <c r="G25" i="8"/>
  <c r="G26" i="8"/>
  <c r="E28" i="8"/>
  <c r="F28" i="8"/>
  <c r="G21" i="8"/>
  <c r="D28" i="8"/>
  <c r="G20" i="8"/>
  <c r="U141" i="8" l="1" a="1"/>
  <c r="U141" i="8" s="1"/>
  <c r="U133" i="8" a="1"/>
  <c r="U133" i="8" s="1"/>
  <c r="U125" i="8" a="1"/>
  <c r="U125" i="8" s="1"/>
  <c r="V142" i="8" a="1"/>
  <c r="V142" i="8" s="1"/>
  <c r="V134" i="8" a="1"/>
  <c r="V134" i="8" s="1"/>
  <c r="V126" i="8" a="1"/>
  <c r="V126" i="8" s="1"/>
  <c r="W143" i="8" a="1"/>
  <c r="W143" i="8" s="1"/>
  <c r="W135" i="8" a="1"/>
  <c r="W135" i="8" s="1"/>
  <c r="W127" i="8" a="1"/>
  <c r="W127" i="8" s="1"/>
  <c r="X144" i="8" a="1"/>
  <c r="X144" i="8" s="1"/>
  <c r="X136" i="8" a="1"/>
  <c r="X136" i="8" s="1"/>
  <c r="X128" i="8" a="1"/>
  <c r="X128" i="8" s="1"/>
  <c r="Y145" i="8" a="1"/>
  <c r="Y145" i="8" s="1"/>
  <c r="Y137" i="8" a="1"/>
  <c r="Y137" i="8" s="1"/>
  <c r="Y129" i="8" a="1"/>
  <c r="Y129" i="8" s="1"/>
  <c r="Y118" i="8" a="1"/>
  <c r="Y118" i="8" s="1"/>
  <c r="Y110" i="8" a="1"/>
  <c r="Y110" i="8" s="1"/>
  <c r="Y102" i="8" a="1"/>
  <c r="Y102" i="8" s="1"/>
  <c r="Y94" i="8" a="1"/>
  <c r="Y94" i="8" s="1"/>
  <c r="Y86" i="8" a="1"/>
  <c r="Y86" i="8" s="1"/>
  <c r="Y78" i="8" a="1"/>
  <c r="Y78" i="8" s="1"/>
  <c r="Y70" i="8" a="1"/>
  <c r="Y70" i="8" s="1"/>
  <c r="Y62" i="8" a="1"/>
  <c r="Y62" i="8" s="1"/>
  <c r="Y54" i="8" a="1"/>
  <c r="Y54" i="8" s="1"/>
  <c r="Y46" i="8" a="1"/>
  <c r="Y46" i="8" s="1"/>
  <c r="Y38" i="8" a="1"/>
  <c r="Y38" i="8" s="1"/>
  <c r="X120" i="8" a="1"/>
  <c r="X120" i="8" s="1"/>
  <c r="X112" i="8" a="1"/>
  <c r="X112" i="8" s="1"/>
  <c r="X104" i="8" a="1"/>
  <c r="X104" i="8" s="1"/>
  <c r="X96" i="8" a="1"/>
  <c r="X96" i="8" s="1"/>
  <c r="X88" i="8" a="1"/>
  <c r="X88" i="8" s="1"/>
  <c r="X80" i="8" a="1"/>
  <c r="X80" i="8" s="1"/>
  <c r="X72" i="8" a="1"/>
  <c r="X72" i="8" s="1"/>
  <c r="X64" i="8" a="1"/>
  <c r="X64" i="8" s="1"/>
  <c r="X56" i="8" a="1"/>
  <c r="X56" i="8" s="1"/>
  <c r="X48" i="8" a="1"/>
  <c r="X48" i="8" s="1"/>
  <c r="X40" i="8" a="1"/>
  <c r="X40" i="8" s="1"/>
  <c r="W122" i="8" a="1"/>
  <c r="W122" i="8" s="1"/>
  <c r="W114" i="8" a="1"/>
  <c r="W114" i="8" s="1"/>
  <c r="W106" i="8" a="1"/>
  <c r="W106" i="8" s="1"/>
  <c r="W98" i="8" a="1"/>
  <c r="W98" i="8" s="1"/>
  <c r="W90" i="8" a="1"/>
  <c r="W90" i="8" s="1"/>
  <c r="W82" i="8" a="1"/>
  <c r="W82" i="8" s="1"/>
  <c r="W74" i="8" a="1"/>
  <c r="W74" i="8" s="1"/>
  <c r="W66" i="8" a="1"/>
  <c r="W66" i="8" s="1"/>
  <c r="W58" i="8" a="1"/>
  <c r="W58" i="8" s="1"/>
  <c r="W50" i="8" a="1"/>
  <c r="W50" i="8" s="1"/>
  <c r="W42" i="8" a="1"/>
  <c r="W42" i="8" s="1"/>
  <c r="W34" i="8" a="1"/>
  <c r="W34" i="8" s="1"/>
  <c r="V116" i="8" a="1"/>
  <c r="V116" i="8" s="1"/>
  <c r="V108" i="8" a="1"/>
  <c r="V108" i="8" s="1"/>
  <c r="V100" i="8" a="1"/>
  <c r="V100" i="8" s="1"/>
  <c r="V92" i="8" a="1"/>
  <c r="V92" i="8" s="1"/>
  <c r="V84" i="8" a="1"/>
  <c r="V84" i="8" s="1"/>
  <c r="V76" i="8" a="1"/>
  <c r="V76" i="8" s="1"/>
  <c r="V68" i="8" a="1"/>
  <c r="V68" i="8" s="1"/>
  <c r="V60" i="8" a="1"/>
  <c r="V60" i="8" s="1"/>
  <c r="V52" i="8" a="1"/>
  <c r="V52" i="8" s="1"/>
  <c r="V44" i="8" a="1"/>
  <c r="V44" i="8" s="1"/>
  <c r="V36" i="8" a="1"/>
  <c r="V36" i="8" s="1"/>
  <c r="U118" i="8" a="1"/>
  <c r="U118" i="8" s="1"/>
  <c r="U110" i="8" a="1"/>
  <c r="U110" i="8" s="1"/>
  <c r="U102" i="8" a="1"/>
  <c r="U102" i="8" s="1"/>
  <c r="U94" i="8" a="1"/>
  <c r="U94" i="8" s="1"/>
  <c r="U86" i="8" a="1"/>
  <c r="U86" i="8" s="1"/>
  <c r="U78" i="8" a="1"/>
  <c r="U78" i="8" s="1"/>
  <c r="U70" i="8" a="1"/>
  <c r="U70" i="8" s="1"/>
  <c r="U62" i="8" a="1"/>
  <c r="U62" i="8" s="1"/>
  <c r="U54" i="8" a="1"/>
  <c r="U54" i="8" s="1"/>
  <c r="U46" i="8" a="1"/>
  <c r="U46" i="8" s="1"/>
  <c r="U38" i="8" a="1"/>
  <c r="U38" i="8" s="1"/>
  <c r="U148" i="8" a="1"/>
  <c r="U148" i="8" s="1"/>
  <c r="U140" i="8" a="1"/>
  <c r="U140" i="8" s="1"/>
  <c r="U132" i="8" a="1"/>
  <c r="U132" i="8" s="1"/>
  <c r="U124" i="8" a="1"/>
  <c r="U124" i="8" s="1"/>
  <c r="V141" i="8" a="1"/>
  <c r="V141" i="8" s="1"/>
  <c r="V133" i="8" a="1"/>
  <c r="V133" i="8" s="1"/>
  <c r="V125" i="8" a="1"/>
  <c r="V125" i="8" s="1"/>
  <c r="W142" i="8" a="1"/>
  <c r="W142" i="8" s="1"/>
  <c r="W134" i="8" a="1"/>
  <c r="W134" i="8" s="1"/>
  <c r="W126" i="8" a="1"/>
  <c r="W126" i="8" s="1"/>
  <c r="X143" i="8" a="1"/>
  <c r="X143" i="8" s="1"/>
  <c r="X135" i="8" a="1"/>
  <c r="X135" i="8" s="1"/>
  <c r="X127" i="8" a="1"/>
  <c r="X127" i="8" s="1"/>
  <c r="Y144" i="8" a="1"/>
  <c r="Y144" i="8" s="1"/>
  <c r="Y136" i="8" a="1"/>
  <c r="Y136" i="8" s="1"/>
  <c r="Y128" i="8" a="1"/>
  <c r="Y128" i="8" s="1"/>
  <c r="Y117" i="8" a="1"/>
  <c r="Y117" i="8" s="1"/>
  <c r="Y109" i="8" a="1"/>
  <c r="Y109" i="8" s="1"/>
  <c r="Y101" i="8" a="1"/>
  <c r="Y101" i="8" s="1"/>
  <c r="Y93" i="8" a="1"/>
  <c r="Y93" i="8" s="1"/>
  <c r="Y85" i="8" a="1"/>
  <c r="Y85" i="8" s="1"/>
  <c r="Y77" i="8" a="1"/>
  <c r="Y77" i="8" s="1"/>
  <c r="Y69" i="8" a="1"/>
  <c r="Y69" i="8" s="1"/>
  <c r="Y61" i="8" a="1"/>
  <c r="Y61" i="8" s="1"/>
  <c r="Y53" i="8" a="1"/>
  <c r="Y53" i="8" s="1"/>
  <c r="Y45" i="8" a="1"/>
  <c r="Y45" i="8" s="1"/>
  <c r="Y37" i="8" a="1"/>
  <c r="Y37" i="8" s="1"/>
  <c r="X119" i="8" a="1"/>
  <c r="X119" i="8" s="1"/>
  <c r="X111" i="8" a="1"/>
  <c r="X111" i="8" s="1"/>
  <c r="X103" i="8" a="1"/>
  <c r="X103" i="8" s="1"/>
  <c r="X95" i="8" a="1"/>
  <c r="X95" i="8" s="1"/>
  <c r="X87" i="8" a="1"/>
  <c r="X87" i="8" s="1"/>
  <c r="X79" i="8" a="1"/>
  <c r="X79" i="8" s="1"/>
  <c r="X71" i="8" a="1"/>
  <c r="X71" i="8" s="1"/>
  <c r="X63" i="8" a="1"/>
  <c r="X63" i="8" s="1"/>
  <c r="X55" i="8" a="1"/>
  <c r="X55" i="8" s="1"/>
  <c r="X47" i="8" a="1"/>
  <c r="X47" i="8" s="1"/>
  <c r="X39" i="8" a="1"/>
  <c r="X39" i="8" s="1"/>
  <c r="W121" i="8" a="1"/>
  <c r="W121" i="8" s="1"/>
  <c r="W113" i="8" a="1"/>
  <c r="W113" i="8" s="1"/>
  <c r="W105" i="8" a="1"/>
  <c r="W105" i="8" s="1"/>
  <c r="W97" i="8" a="1"/>
  <c r="W97" i="8" s="1"/>
  <c r="W89" i="8" a="1"/>
  <c r="W89" i="8" s="1"/>
  <c r="W81" i="8" a="1"/>
  <c r="W81" i="8" s="1"/>
  <c r="W73" i="8" a="1"/>
  <c r="W73" i="8" s="1"/>
  <c r="W65" i="8" a="1"/>
  <c r="W65" i="8" s="1"/>
  <c r="W57" i="8" a="1"/>
  <c r="W57" i="8" s="1"/>
  <c r="W49" i="8" a="1"/>
  <c r="W49" i="8" s="1"/>
  <c r="W41" i="8" a="1"/>
  <c r="W41" i="8" s="1"/>
  <c r="V123" i="8" a="1"/>
  <c r="V123" i="8" s="1"/>
  <c r="V115" i="8" a="1"/>
  <c r="V115" i="8" s="1"/>
  <c r="V107" i="8" a="1"/>
  <c r="V107" i="8" s="1"/>
  <c r="V99" i="8" a="1"/>
  <c r="V99" i="8" s="1"/>
  <c r="V91" i="8" a="1"/>
  <c r="V91" i="8" s="1"/>
  <c r="V83" i="8" a="1"/>
  <c r="V83" i="8" s="1"/>
  <c r="V75" i="8" a="1"/>
  <c r="V75" i="8" s="1"/>
  <c r="V67" i="8" a="1"/>
  <c r="V67" i="8" s="1"/>
  <c r="V59" i="8" a="1"/>
  <c r="V59" i="8" s="1"/>
  <c r="V51" i="8" a="1"/>
  <c r="V51" i="8" s="1"/>
  <c r="V43" i="8" a="1"/>
  <c r="V43" i="8" s="1"/>
  <c r="V35" i="8" a="1"/>
  <c r="V35" i="8" s="1"/>
  <c r="U117" i="8" a="1"/>
  <c r="U117" i="8" s="1"/>
  <c r="U109" i="8" a="1"/>
  <c r="U109" i="8" s="1"/>
  <c r="U101" i="8" a="1"/>
  <c r="U101" i="8" s="1"/>
  <c r="U93" i="8" a="1"/>
  <c r="U93" i="8" s="1"/>
  <c r="U85" i="8" a="1"/>
  <c r="U85" i="8" s="1"/>
  <c r="U77" i="8" a="1"/>
  <c r="U77" i="8" s="1"/>
  <c r="U69" i="8" a="1"/>
  <c r="U69" i="8" s="1"/>
  <c r="U61" i="8" a="1"/>
  <c r="U61" i="8" s="1"/>
  <c r="U53" i="8" a="1"/>
  <c r="U53" i="8" s="1"/>
  <c r="U45" i="8" a="1"/>
  <c r="U45" i="8" s="1"/>
  <c r="U37" i="8" a="1"/>
  <c r="U37" i="8" s="1"/>
  <c r="U147" i="8" a="1"/>
  <c r="U147" i="8" s="1"/>
  <c r="U139" i="8" a="1"/>
  <c r="U139" i="8" s="1"/>
  <c r="U131" i="8" a="1"/>
  <c r="U131" i="8" s="1"/>
  <c r="V148" i="8" a="1"/>
  <c r="V148" i="8" s="1"/>
  <c r="V140" i="8" a="1"/>
  <c r="V140" i="8" s="1"/>
  <c r="V132" i="8" a="1"/>
  <c r="V132" i="8" s="1"/>
  <c r="V124" i="8" a="1"/>
  <c r="V124" i="8" s="1"/>
  <c r="W141" i="8" a="1"/>
  <c r="W141" i="8" s="1"/>
  <c r="W133" i="8" a="1"/>
  <c r="W133" i="8" s="1"/>
  <c r="W125" i="8" a="1"/>
  <c r="W125" i="8" s="1"/>
  <c r="X142" i="8" a="1"/>
  <c r="X142" i="8" s="1"/>
  <c r="X134" i="8" a="1"/>
  <c r="X134" i="8" s="1"/>
  <c r="X126" i="8" a="1"/>
  <c r="X126" i="8" s="1"/>
  <c r="Y143" i="8" a="1"/>
  <c r="Y143" i="8" s="1"/>
  <c r="Y135" i="8" a="1"/>
  <c r="Y135" i="8" s="1"/>
  <c r="Y127" i="8" a="1"/>
  <c r="Y127" i="8" s="1"/>
  <c r="Y116" i="8" a="1"/>
  <c r="Y116" i="8" s="1"/>
  <c r="Y108" i="8" a="1"/>
  <c r="Y108" i="8" s="1"/>
  <c r="Y100" i="8" a="1"/>
  <c r="Y100" i="8" s="1"/>
  <c r="Y92" i="8" a="1"/>
  <c r="Y92" i="8" s="1"/>
  <c r="Y84" i="8" a="1"/>
  <c r="Y84" i="8" s="1"/>
  <c r="Y76" i="8" a="1"/>
  <c r="Y76" i="8" s="1"/>
  <c r="Y68" i="8" a="1"/>
  <c r="Y68" i="8" s="1"/>
  <c r="Y60" i="8" a="1"/>
  <c r="Y60" i="8" s="1"/>
  <c r="Y52" i="8" a="1"/>
  <c r="Y52" i="8" s="1"/>
  <c r="Y44" i="8" a="1"/>
  <c r="Y44" i="8" s="1"/>
  <c r="Y36" i="8" a="1"/>
  <c r="Y36" i="8" s="1"/>
  <c r="X118" i="8" a="1"/>
  <c r="X118" i="8" s="1"/>
  <c r="X110" i="8" a="1"/>
  <c r="X110" i="8" s="1"/>
  <c r="X102" i="8" a="1"/>
  <c r="X102" i="8" s="1"/>
  <c r="X94" i="8" a="1"/>
  <c r="X94" i="8" s="1"/>
  <c r="X86" i="8" a="1"/>
  <c r="X86" i="8" s="1"/>
  <c r="X78" i="8" a="1"/>
  <c r="X78" i="8" s="1"/>
  <c r="X70" i="8" a="1"/>
  <c r="X70" i="8" s="1"/>
  <c r="X62" i="8" a="1"/>
  <c r="X62" i="8" s="1"/>
  <c r="X54" i="8" a="1"/>
  <c r="X54" i="8" s="1"/>
  <c r="X46" i="8" a="1"/>
  <c r="X46" i="8" s="1"/>
  <c r="X38" i="8" a="1"/>
  <c r="X38" i="8" s="1"/>
  <c r="W120" i="8" a="1"/>
  <c r="W120" i="8" s="1"/>
  <c r="W112" i="8" a="1"/>
  <c r="W112" i="8" s="1"/>
  <c r="W104" i="8" a="1"/>
  <c r="W104" i="8" s="1"/>
  <c r="W96" i="8" a="1"/>
  <c r="W96" i="8" s="1"/>
  <c r="W88" i="8" a="1"/>
  <c r="W88" i="8" s="1"/>
  <c r="W80" i="8" a="1"/>
  <c r="W80" i="8" s="1"/>
  <c r="W72" i="8" a="1"/>
  <c r="W72" i="8" s="1"/>
  <c r="W64" i="8" a="1"/>
  <c r="W64" i="8" s="1"/>
  <c r="W56" i="8" a="1"/>
  <c r="W56" i="8" s="1"/>
  <c r="W48" i="8" a="1"/>
  <c r="W48" i="8" s="1"/>
  <c r="W40" i="8" a="1"/>
  <c r="W40" i="8" s="1"/>
  <c r="V122" i="8" a="1"/>
  <c r="V122" i="8" s="1"/>
  <c r="V114" i="8" a="1"/>
  <c r="V114" i="8" s="1"/>
  <c r="V106" i="8" a="1"/>
  <c r="V106" i="8" s="1"/>
  <c r="V98" i="8" a="1"/>
  <c r="V98" i="8" s="1"/>
  <c r="V90" i="8" a="1"/>
  <c r="V90" i="8" s="1"/>
  <c r="V82" i="8" a="1"/>
  <c r="V82" i="8" s="1"/>
  <c r="V74" i="8" a="1"/>
  <c r="V74" i="8" s="1"/>
  <c r="V66" i="8" a="1"/>
  <c r="V66" i="8" s="1"/>
  <c r="V58" i="8" a="1"/>
  <c r="V58" i="8" s="1"/>
  <c r="V50" i="8" a="1"/>
  <c r="V50" i="8" s="1"/>
  <c r="V42" i="8" a="1"/>
  <c r="V42" i="8" s="1"/>
  <c r="V34" i="8" a="1"/>
  <c r="V34" i="8" s="1"/>
  <c r="U116" i="8" a="1"/>
  <c r="U116" i="8" s="1"/>
  <c r="U108" i="8" a="1"/>
  <c r="U108" i="8" s="1"/>
  <c r="U100" i="8" a="1"/>
  <c r="U100" i="8" s="1"/>
  <c r="U92" i="8" a="1"/>
  <c r="U92" i="8" s="1"/>
  <c r="U84" i="8" a="1"/>
  <c r="U84" i="8" s="1"/>
  <c r="U76" i="8" a="1"/>
  <c r="U76" i="8" s="1"/>
  <c r="U68" i="8" a="1"/>
  <c r="U68" i="8" s="1"/>
  <c r="U60" i="8" a="1"/>
  <c r="U60" i="8" s="1"/>
  <c r="U52" i="8" a="1"/>
  <c r="U52" i="8" s="1"/>
  <c r="U44" i="8" a="1"/>
  <c r="U44" i="8" s="1"/>
  <c r="U36" i="8" a="1"/>
  <c r="U36" i="8" s="1"/>
  <c r="X45" i="8" a="1"/>
  <c r="X45" i="8" s="1"/>
  <c r="W103" i="8" a="1"/>
  <c r="W103" i="8" s="1"/>
  <c r="W87" i="8" a="1"/>
  <c r="W87" i="8" s="1"/>
  <c r="W79" i="8" a="1"/>
  <c r="W79" i="8" s="1"/>
  <c r="W63" i="8" a="1"/>
  <c r="W63" i="8" s="1"/>
  <c r="W39" i="8" a="1"/>
  <c r="W39" i="8" s="1"/>
  <c r="V121" i="8" a="1"/>
  <c r="V121" i="8" s="1"/>
  <c r="V105" i="8" a="1"/>
  <c r="V105" i="8" s="1"/>
  <c r="V81" i="8" a="1"/>
  <c r="V81" i="8" s="1"/>
  <c r="V65" i="8" a="1"/>
  <c r="V65" i="8" s="1"/>
  <c r="V49" i="8" a="1"/>
  <c r="V49" i="8" s="1"/>
  <c r="V41" i="8" a="1"/>
  <c r="V41" i="8" s="1"/>
  <c r="U115" i="8" a="1"/>
  <c r="U115" i="8" s="1"/>
  <c r="U146" i="8" a="1"/>
  <c r="U146" i="8" s="1"/>
  <c r="U138" i="8" a="1"/>
  <c r="U138" i="8" s="1"/>
  <c r="U130" i="8" a="1"/>
  <c r="U130" i="8" s="1"/>
  <c r="V147" i="8" a="1"/>
  <c r="V147" i="8" s="1"/>
  <c r="V139" i="8" a="1"/>
  <c r="V139" i="8" s="1"/>
  <c r="V131" i="8" a="1"/>
  <c r="V131" i="8" s="1"/>
  <c r="W148" i="8" a="1"/>
  <c r="W148" i="8" s="1"/>
  <c r="W140" i="8" a="1"/>
  <c r="W140" i="8" s="1"/>
  <c r="W132" i="8" a="1"/>
  <c r="W132" i="8" s="1"/>
  <c r="W124" i="8" a="1"/>
  <c r="W124" i="8" s="1"/>
  <c r="X141" i="8" a="1"/>
  <c r="X141" i="8" s="1"/>
  <c r="X133" i="8" a="1"/>
  <c r="X133" i="8" s="1"/>
  <c r="X125" i="8" a="1"/>
  <c r="X125" i="8" s="1"/>
  <c r="Y142" i="8" a="1"/>
  <c r="Y142" i="8" s="1"/>
  <c r="Y134" i="8" a="1"/>
  <c r="Y134" i="8" s="1"/>
  <c r="Y126" i="8" a="1"/>
  <c r="Y126" i="8" s="1"/>
  <c r="Y123" i="8" a="1"/>
  <c r="Y123" i="8" s="1"/>
  <c r="Y115" i="8" a="1"/>
  <c r="Y115" i="8" s="1"/>
  <c r="Y107" i="8" a="1"/>
  <c r="Y107" i="8" s="1"/>
  <c r="Y99" i="8" a="1"/>
  <c r="Y99" i="8" s="1"/>
  <c r="Y91" i="8" a="1"/>
  <c r="Y91" i="8" s="1"/>
  <c r="Y83" i="8" a="1"/>
  <c r="Y83" i="8" s="1"/>
  <c r="Y75" i="8" a="1"/>
  <c r="Y75" i="8" s="1"/>
  <c r="Y67" i="8" a="1"/>
  <c r="Y67" i="8" s="1"/>
  <c r="Y59" i="8" a="1"/>
  <c r="Y59" i="8" s="1"/>
  <c r="Y51" i="8" a="1"/>
  <c r="Y51" i="8" s="1"/>
  <c r="Y43" i="8" a="1"/>
  <c r="Y43" i="8" s="1"/>
  <c r="Y35" i="8" a="1"/>
  <c r="Y35" i="8" s="1"/>
  <c r="X117" i="8" a="1"/>
  <c r="X117" i="8" s="1"/>
  <c r="X109" i="8" a="1"/>
  <c r="X109" i="8" s="1"/>
  <c r="X101" i="8" a="1"/>
  <c r="X101" i="8" s="1"/>
  <c r="X93" i="8" a="1"/>
  <c r="X93" i="8" s="1"/>
  <c r="X85" i="8" a="1"/>
  <c r="X85" i="8" s="1"/>
  <c r="X77" i="8" a="1"/>
  <c r="X77" i="8" s="1"/>
  <c r="X69" i="8" a="1"/>
  <c r="X69" i="8" s="1"/>
  <c r="X61" i="8" a="1"/>
  <c r="X61" i="8" s="1"/>
  <c r="X53" i="8" a="1"/>
  <c r="X53" i="8" s="1"/>
  <c r="X37" i="8" a="1"/>
  <c r="X37" i="8" s="1"/>
  <c r="W119" i="8" a="1"/>
  <c r="W119" i="8" s="1"/>
  <c r="W111" i="8" a="1"/>
  <c r="W111" i="8" s="1"/>
  <c r="W95" i="8" a="1"/>
  <c r="W95" i="8" s="1"/>
  <c r="W71" i="8" a="1"/>
  <c r="W71" i="8" s="1"/>
  <c r="W55" i="8" a="1"/>
  <c r="W55" i="8" s="1"/>
  <c r="W47" i="8" a="1"/>
  <c r="W47" i="8" s="1"/>
  <c r="V113" i="8" a="1"/>
  <c r="V113" i="8" s="1"/>
  <c r="V97" i="8" a="1"/>
  <c r="V97" i="8" s="1"/>
  <c r="V89" i="8" a="1"/>
  <c r="V89" i="8" s="1"/>
  <c r="V73" i="8" a="1"/>
  <c r="V73" i="8" s="1"/>
  <c r="V57" i="8" a="1"/>
  <c r="V57" i="8" s="1"/>
  <c r="U123" i="8" a="1"/>
  <c r="U123" i="8" s="1"/>
  <c r="U107" i="8" a="1"/>
  <c r="U107" i="8" s="1"/>
  <c r="U145" i="8" a="1"/>
  <c r="U145" i="8" s="1"/>
  <c r="U137" i="8" a="1"/>
  <c r="U137" i="8" s="1"/>
  <c r="U129" i="8" a="1"/>
  <c r="U129" i="8" s="1"/>
  <c r="V146" i="8" a="1"/>
  <c r="V146" i="8" s="1"/>
  <c r="V138" i="8" a="1"/>
  <c r="V138" i="8" s="1"/>
  <c r="V130" i="8" a="1"/>
  <c r="V130" i="8" s="1"/>
  <c r="W147" i="8" a="1"/>
  <c r="W147" i="8" s="1"/>
  <c r="W139" i="8" a="1"/>
  <c r="W139" i="8" s="1"/>
  <c r="W131" i="8" a="1"/>
  <c r="W131" i="8" s="1"/>
  <c r="X148" i="8" a="1"/>
  <c r="X148" i="8" s="1"/>
  <c r="X140" i="8" a="1"/>
  <c r="X140" i="8" s="1"/>
  <c r="X132" i="8" a="1"/>
  <c r="X132" i="8" s="1"/>
  <c r="X124" i="8" a="1"/>
  <c r="X124" i="8" s="1"/>
  <c r="Y141" i="8" a="1"/>
  <c r="Y141" i="8" s="1"/>
  <c r="Y133" i="8" a="1"/>
  <c r="Y133" i="8" s="1"/>
  <c r="Y125" i="8" a="1"/>
  <c r="Y125" i="8" s="1"/>
  <c r="Y122" i="8" a="1"/>
  <c r="Y122" i="8" s="1"/>
  <c r="Y114" i="8" a="1"/>
  <c r="Y114" i="8" s="1"/>
  <c r="Y106" i="8" a="1"/>
  <c r="Y106" i="8" s="1"/>
  <c r="Y98" i="8" a="1"/>
  <c r="Y98" i="8" s="1"/>
  <c r="Y90" i="8" a="1"/>
  <c r="Y90" i="8" s="1"/>
  <c r="Y82" i="8" a="1"/>
  <c r="Y82" i="8" s="1"/>
  <c r="Y74" i="8" a="1"/>
  <c r="Y74" i="8" s="1"/>
  <c r="Y66" i="8" a="1"/>
  <c r="Y66" i="8" s="1"/>
  <c r="Y58" i="8" a="1"/>
  <c r="Y58" i="8" s="1"/>
  <c r="Y50" i="8" a="1"/>
  <c r="Y50" i="8" s="1"/>
  <c r="Y42" i="8" a="1"/>
  <c r="Y42" i="8" s="1"/>
  <c r="Y34" i="8" a="1"/>
  <c r="Y34" i="8" s="1"/>
  <c r="X116" i="8" a="1"/>
  <c r="X116" i="8" s="1"/>
  <c r="X108" i="8" a="1"/>
  <c r="X108" i="8" s="1"/>
  <c r="X100" i="8" a="1"/>
  <c r="X100" i="8" s="1"/>
  <c r="X92" i="8" a="1"/>
  <c r="X92" i="8" s="1"/>
  <c r="X84" i="8" a="1"/>
  <c r="X84" i="8" s="1"/>
  <c r="X76" i="8" a="1"/>
  <c r="X76" i="8" s="1"/>
  <c r="X68" i="8" a="1"/>
  <c r="X68" i="8" s="1"/>
  <c r="X60" i="8" a="1"/>
  <c r="X60" i="8" s="1"/>
  <c r="X52" i="8" a="1"/>
  <c r="X52" i="8" s="1"/>
  <c r="X44" i="8" a="1"/>
  <c r="X44" i="8" s="1"/>
  <c r="X36" i="8" a="1"/>
  <c r="X36" i="8" s="1"/>
  <c r="W118" i="8" a="1"/>
  <c r="W118" i="8" s="1"/>
  <c r="W110" i="8" a="1"/>
  <c r="W110" i="8" s="1"/>
  <c r="W102" i="8" a="1"/>
  <c r="W102" i="8" s="1"/>
  <c r="W94" i="8" a="1"/>
  <c r="W94" i="8" s="1"/>
  <c r="W86" i="8" a="1"/>
  <c r="W86" i="8" s="1"/>
  <c r="W78" i="8" a="1"/>
  <c r="W78" i="8" s="1"/>
  <c r="W70" i="8" a="1"/>
  <c r="W70" i="8" s="1"/>
  <c r="W62" i="8" a="1"/>
  <c r="W62" i="8" s="1"/>
  <c r="W54" i="8" a="1"/>
  <c r="W54" i="8" s="1"/>
  <c r="W46" i="8" a="1"/>
  <c r="W46" i="8" s="1"/>
  <c r="W38" i="8" a="1"/>
  <c r="W38" i="8" s="1"/>
  <c r="V120" i="8" a="1"/>
  <c r="V120" i="8" s="1"/>
  <c r="V112" i="8" a="1"/>
  <c r="V112" i="8" s="1"/>
  <c r="V104" i="8" a="1"/>
  <c r="V104" i="8" s="1"/>
  <c r="V96" i="8" a="1"/>
  <c r="V96" i="8" s="1"/>
  <c r="V88" i="8" a="1"/>
  <c r="V88" i="8" s="1"/>
  <c r="V80" i="8" a="1"/>
  <c r="V80" i="8" s="1"/>
  <c r="V72" i="8" a="1"/>
  <c r="V72" i="8" s="1"/>
  <c r="V64" i="8" a="1"/>
  <c r="V64" i="8" s="1"/>
  <c r="V56" i="8" a="1"/>
  <c r="V56" i="8" s="1"/>
  <c r="V48" i="8" a="1"/>
  <c r="V48" i="8" s="1"/>
  <c r="V40" i="8" a="1"/>
  <c r="V40" i="8" s="1"/>
  <c r="U122" i="8" a="1"/>
  <c r="U122" i="8" s="1"/>
  <c r="U114" i="8" a="1"/>
  <c r="U114" i="8" s="1"/>
  <c r="U106" i="8" a="1"/>
  <c r="U106" i="8" s="1"/>
  <c r="U98" i="8" a="1"/>
  <c r="U98" i="8" s="1"/>
  <c r="U90" i="8" a="1"/>
  <c r="U90" i="8" s="1"/>
  <c r="U82" i="8" a="1"/>
  <c r="U82" i="8" s="1"/>
  <c r="U74" i="8" a="1"/>
  <c r="U74" i="8" s="1"/>
  <c r="U66" i="8" a="1"/>
  <c r="U66" i="8" s="1"/>
  <c r="U58" i="8" a="1"/>
  <c r="U58" i="8" s="1"/>
  <c r="U50" i="8" a="1"/>
  <c r="U50" i="8" s="1"/>
  <c r="U42" i="8" a="1"/>
  <c r="U42" i="8" s="1"/>
  <c r="U34" i="8" a="1"/>
  <c r="U34" i="8" s="1"/>
  <c r="U144" i="8" a="1"/>
  <c r="U144" i="8" s="1"/>
  <c r="U136" i="8" a="1"/>
  <c r="U136" i="8" s="1"/>
  <c r="U128" i="8" a="1"/>
  <c r="U128" i="8" s="1"/>
  <c r="V145" i="8" a="1"/>
  <c r="V145" i="8" s="1"/>
  <c r="V137" i="8" a="1"/>
  <c r="V137" i="8" s="1"/>
  <c r="V129" i="8" a="1"/>
  <c r="V129" i="8" s="1"/>
  <c r="W146" i="8" a="1"/>
  <c r="W146" i="8" s="1"/>
  <c r="W138" i="8" a="1"/>
  <c r="W138" i="8" s="1"/>
  <c r="W130" i="8" a="1"/>
  <c r="W130" i="8" s="1"/>
  <c r="X147" i="8" a="1"/>
  <c r="X147" i="8" s="1"/>
  <c r="X139" i="8" a="1"/>
  <c r="X139" i="8" s="1"/>
  <c r="X131" i="8" a="1"/>
  <c r="X131" i="8" s="1"/>
  <c r="Y148" i="8" a="1"/>
  <c r="Y148" i="8" s="1"/>
  <c r="Y140" i="8" a="1"/>
  <c r="Y140" i="8" s="1"/>
  <c r="Y132" i="8" a="1"/>
  <c r="Y132" i="8" s="1"/>
  <c r="Y124" i="8" a="1"/>
  <c r="Y124" i="8" s="1"/>
  <c r="Y121" i="8" a="1"/>
  <c r="Y121" i="8" s="1"/>
  <c r="Y113" i="8" a="1"/>
  <c r="Y113" i="8" s="1"/>
  <c r="Y105" i="8" a="1"/>
  <c r="Y105" i="8" s="1"/>
  <c r="Y97" i="8" a="1"/>
  <c r="Y97" i="8" s="1"/>
  <c r="Y89" i="8" a="1"/>
  <c r="Y89" i="8" s="1"/>
  <c r="Y81" i="8" a="1"/>
  <c r="Y81" i="8" s="1"/>
  <c r="Y73" i="8" a="1"/>
  <c r="Y73" i="8" s="1"/>
  <c r="Y65" i="8" a="1"/>
  <c r="Y65" i="8" s="1"/>
  <c r="Y57" i="8" a="1"/>
  <c r="Y57" i="8" s="1"/>
  <c r="Y49" i="8" a="1"/>
  <c r="Y49" i="8" s="1"/>
  <c r="Y41" i="8" a="1"/>
  <c r="Y41" i="8" s="1"/>
  <c r="X123" i="8" a="1"/>
  <c r="X123" i="8" s="1"/>
  <c r="X115" i="8" a="1"/>
  <c r="X115" i="8" s="1"/>
  <c r="X107" i="8" a="1"/>
  <c r="X107" i="8" s="1"/>
  <c r="X99" i="8" a="1"/>
  <c r="X99" i="8" s="1"/>
  <c r="X91" i="8" a="1"/>
  <c r="X91" i="8" s="1"/>
  <c r="X83" i="8" a="1"/>
  <c r="X83" i="8" s="1"/>
  <c r="X75" i="8" a="1"/>
  <c r="X75" i="8" s="1"/>
  <c r="X67" i="8" a="1"/>
  <c r="X67" i="8" s="1"/>
  <c r="X59" i="8" a="1"/>
  <c r="X59" i="8" s="1"/>
  <c r="X51" i="8" a="1"/>
  <c r="X51" i="8" s="1"/>
  <c r="X43" i="8" a="1"/>
  <c r="X43" i="8" s="1"/>
  <c r="X35" i="8" a="1"/>
  <c r="X35" i="8" s="1"/>
  <c r="W117" i="8" a="1"/>
  <c r="W117" i="8" s="1"/>
  <c r="W109" i="8" a="1"/>
  <c r="W109" i="8" s="1"/>
  <c r="W101" i="8" a="1"/>
  <c r="W101" i="8" s="1"/>
  <c r="W93" i="8" a="1"/>
  <c r="W93" i="8" s="1"/>
  <c r="W85" i="8" a="1"/>
  <c r="W85" i="8" s="1"/>
  <c r="W77" i="8" a="1"/>
  <c r="W77" i="8" s="1"/>
  <c r="W69" i="8" a="1"/>
  <c r="W69" i="8" s="1"/>
  <c r="W61" i="8" a="1"/>
  <c r="W61" i="8" s="1"/>
  <c r="W53" i="8" a="1"/>
  <c r="W53" i="8" s="1"/>
  <c r="W45" i="8" a="1"/>
  <c r="W45" i="8" s="1"/>
  <c r="W37" i="8" a="1"/>
  <c r="W37" i="8" s="1"/>
  <c r="V119" i="8" a="1"/>
  <c r="V119" i="8" s="1"/>
  <c r="V111" i="8" a="1"/>
  <c r="V111" i="8" s="1"/>
  <c r="V103" i="8" a="1"/>
  <c r="V103" i="8" s="1"/>
  <c r="V95" i="8" a="1"/>
  <c r="V95" i="8" s="1"/>
  <c r="V87" i="8" a="1"/>
  <c r="V87" i="8" s="1"/>
  <c r="V79" i="8" a="1"/>
  <c r="V79" i="8" s="1"/>
  <c r="V71" i="8" a="1"/>
  <c r="V71" i="8" s="1"/>
  <c r="V63" i="8" a="1"/>
  <c r="V63" i="8" s="1"/>
  <c r="V55" i="8" a="1"/>
  <c r="V55" i="8" s="1"/>
  <c r="V47" i="8" a="1"/>
  <c r="V47" i="8" s="1"/>
  <c r="V39" i="8" a="1"/>
  <c r="V39" i="8" s="1"/>
  <c r="U121" i="8" a="1"/>
  <c r="U121" i="8" s="1"/>
  <c r="U113" i="8" a="1"/>
  <c r="U113" i="8" s="1"/>
  <c r="U105" i="8" a="1"/>
  <c r="U105" i="8" s="1"/>
  <c r="U97" i="8" a="1"/>
  <c r="U97" i="8" s="1"/>
  <c r="U89" i="8" a="1"/>
  <c r="U89" i="8" s="1"/>
  <c r="U81" i="8" a="1"/>
  <c r="U81" i="8" s="1"/>
  <c r="U73" i="8" a="1"/>
  <c r="U73" i="8" s="1"/>
  <c r="U65" i="8" a="1"/>
  <c r="U65" i="8" s="1"/>
  <c r="U57" i="8" a="1"/>
  <c r="U57" i="8" s="1"/>
  <c r="U49" i="8" a="1"/>
  <c r="U49" i="8" s="1"/>
  <c r="U41" i="8" a="1"/>
  <c r="U41" i="8" s="1"/>
  <c r="W60" i="8" a="1"/>
  <c r="W60" i="8" s="1"/>
  <c r="V86" i="8" a="1"/>
  <c r="V86" i="8" s="1"/>
  <c r="V70" i="8" a="1"/>
  <c r="V70" i="8" s="1"/>
  <c r="V54" i="8" a="1"/>
  <c r="V54" i="8" s="1"/>
  <c r="V38" i="8" a="1"/>
  <c r="V38" i="8" s="1"/>
  <c r="U112" i="8" a="1"/>
  <c r="U112" i="8" s="1"/>
  <c r="U96" i="8" a="1"/>
  <c r="U96" i="8" s="1"/>
  <c r="U80" i="8" a="1"/>
  <c r="U80" i="8" s="1"/>
  <c r="U64" i="8" a="1"/>
  <c r="U64" i="8" s="1"/>
  <c r="U48" i="8" a="1"/>
  <c r="U48" i="8" s="1"/>
  <c r="U143" i="8" a="1"/>
  <c r="U143" i="8" s="1"/>
  <c r="U135" i="8" a="1"/>
  <c r="U135" i="8" s="1"/>
  <c r="U127" i="8" a="1"/>
  <c r="U127" i="8" s="1"/>
  <c r="V144" i="8" a="1"/>
  <c r="V144" i="8" s="1"/>
  <c r="V136" i="8" a="1"/>
  <c r="V136" i="8" s="1"/>
  <c r="V128" i="8" a="1"/>
  <c r="V128" i="8" s="1"/>
  <c r="W145" i="8" a="1"/>
  <c r="W145" i="8" s="1"/>
  <c r="W137" i="8" a="1"/>
  <c r="W137" i="8" s="1"/>
  <c r="W129" i="8" a="1"/>
  <c r="W129" i="8" s="1"/>
  <c r="X146" i="8" a="1"/>
  <c r="X146" i="8" s="1"/>
  <c r="X138" i="8" a="1"/>
  <c r="X138" i="8" s="1"/>
  <c r="X130" i="8" a="1"/>
  <c r="X130" i="8" s="1"/>
  <c r="Y147" i="8" a="1"/>
  <c r="Y147" i="8" s="1"/>
  <c r="Y139" i="8" a="1"/>
  <c r="Y139" i="8" s="1"/>
  <c r="Y131" i="8" a="1"/>
  <c r="Y131" i="8" s="1"/>
  <c r="Y120" i="8" a="1"/>
  <c r="Y120" i="8" s="1"/>
  <c r="Y112" i="8" a="1"/>
  <c r="Y112" i="8" s="1"/>
  <c r="Y104" i="8" a="1"/>
  <c r="Y104" i="8" s="1"/>
  <c r="Y96" i="8" a="1"/>
  <c r="Y96" i="8" s="1"/>
  <c r="Y88" i="8" a="1"/>
  <c r="Y88" i="8" s="1"/>
  <c r="Y80" i="8" a="1"/>
  <c r="Y80" i="8" s="1"/>
  <c r="Y72" i="8" a="1"/>
  <c r="Y72" i="8" s="1"/>
  <c r="Y64" i="8" a="1"/>
  <c r="Y64" i="8" s="1"/>
  <c r="Y56" i="8" a="1"/>
  <c r="Y56" i="8" s="1"/>
  <c r="Y48" i="8" a="1"/>
  <c r="Y48" i="8" s="1"/>
  <c r="Y40" i="8" a="1"/>
  <c r="Y40" i="8" s="1"/>
  <c r="X122" i="8" a="1"/>
  <c r="X122" i="8" s="1"/>
  <c r="X114" i="8" a="1"/>
  <c r="X114" i="8" s="1"/>
  <c r="X106" i="8" a="1"/>
  <c r="X106" i="8" s="1"/>
  <c r="X98" i="8" a="1"/>
  <c r="X98" i="8" s="1"/>
  <c r="X90" i="8" a="1"/>
  <c r="X90" i="8" s="1"/>
  <c r="X82" i="8" a="1"/>
  <c r="X82" i="8" s="1"/>
  <c r="X74" i="8" a="1"/>
  <c r="X74" i="8" s="1"/>
  <c r="X66" i="8" a="1"/>
  <c r="X66" i="8" s="1"/>
  <c r="X58" i="8" a="1"/>
  <c r="X58" i="8" s="1"/>
  <c r="X50" i="8" a="1"/>
  <c r="X50" i="8" s="1"/>
  <c r="X42" i="8" a="1"/>
  <c r="X42" i="8" s="1"/>
  <c r="X34" i="8" a="1"/>
  <c r="X34" i="8" s="1"/>
  <c r="W116" i="8" a="1"/>
  <c r="W116" i="8" s="1"/>
  <c r="W108" i="8" a="1"/>
  <c r="W108" i="8" s="1"/>
  <c r="W100" i="8" a="1"/>
  <c r="W100" i="8" s="1"/>
  <c r="W92" i="8" a="1"/>
  <c r="W92" i="8" s="1"/>
  <c r="W84" i="8" a="1"/>
  <c r="W84" i="8" s="1"/>
  <c r="W76" i="8" a="1"/>
  <c r="W76" i="8" s="1"/>
  <c r="W68" i="8" a="1"/>
  <c r="W68" i="8" s="1"/>
  <c r="W52" i="8" a="1"/>
  <c r="W52" i="8" s="1"/>
  <c r="W44" i="8" a="1"/>
  <c r="W44" i="8" s="1"/>
  <c r="W36" i="8" a="1"/>
  <c r="W36" i="8" s="1"/>
  <c r="V118" i="8" a="1"/>
  <c r="V118" i="8" s="1"/>
  <c r="V110" i="8" a="1"/>
  <c r="V110" i="8" s="1"/>
  <c r="V102" i="8" a="1"/>
  <c r="V102" i="8" s="1"/>
  <c r="V94" i="8" a="1"/>
  <c r="V94" i="8" s="1"/>
  <c r="V78" i="8" a="1"/>
  <c r="V78" i="8" s="1"/>
  <c r="V62" i="8" a="1"/>
  <c r="V62" i="8" s="1"/>
  <c r="V46" i="8" a="1"/>
  <c r="V46" i="8" s="1"/>
  <c r="U120" i="8" a="1"/>
  <c r="U120" i="8" s="1"/>
  <c r="U104" i="8" a="1"/>
  <c r="U104" i="8" s="1"/>
  <c r="U88" i="8" a="1"/>
  <c r="U88" i="8" s="1"/>
  <c r="U72" i="8" a="1"/>
  <c r="U72" i="8" s="1"/>
  <c r="U56" i="8" a="1"/>
  <c r="U56" i="8" s="1"/>
  <c r="U142" i="8" a="1"/>
  <c r="U142" i="8" s="1"/>
  <c r="U134" i="8" a="1"/>
  <c r="U134" i="8" s="1"/>
  <c r="U126" i="8" a="1"/>
  <c r="U126" i="8" s="1"/>
  <c r="V143" i="8" a="1"/>
  <c r="V143" i="8" s="1"/>
  <c r="V135" i="8" a="1"/>
  <c r="V135" i="8" s="1"/>
  <c r="V127" i="8" a="1"/>
  <c r="V127" i="8" s="1"/>
  <c r="W144" i="8" a="1"/>
  <c r="W144" i="8" s="1"/>
  <c r="W136" i="8" a="1"/>
  <c r="W136" i="8" s="1"/>
  <c r="W128" i="8" a="1"/>
  <c r="W128" i="8" s="1"/>
  <c r="X145" i="8" a="1"/>
  <c r="X145" i="8" s="1"/>
  <c r="X137" i="8" a="1"/>
  <c r="X137" i="8" s="1"/>
  <c r="X129" i="8" a="1"/>
  <c r="X129" i="8" s="1"/>
  <c r="Y146" i="8" a="1"/>
  <c r="Y146" i="8" s="1"/>
  <c r="Y138" i="8" a="1"/>
  <c r="Y138" i="8" s="1"/>
  <c r="Y130" i="8" a="1"/>
  <c r="Y130" i="8" s="1"/>
  <c r="Y119" i="8" a="1"/>
  <c r="Y119" i="8" s="1"/>
  <c r="Y111" i="8" a="1"/>
  <c r="Y111" i="8" s="1"/>
  <c r="Y103" i="8" a="1"/>
  <c r="Y103" i="8" s="1"/>
  <c r="Y95" i="8" a="1"/>
  <c r="Y95" i="8" s="1"/>
  <c r="Y87" i="8" a="1"/>
  <c r="Y87" i="8" s="1"/>
  <c r="Y79" i="8" a="1"/>
  <c r="Y79" i="8" s="1"/>
  <c r="Y71" i="8" a="1"/>
  <c r="Y71" i="8" s="1"/>
  <c r="Y63" i="8" a="1"/>
  <c r="Y63" i="8" s="1"/>
  <c r="Y55" i="8" a="1"/>
  <c r="Y55" i="8" s="1"/>
  <c r="Y47" i="8" a="1"/>
  <c r="Y47" i="8" s="1"/>
  <c r="Y39" i="8" a="1"/>
  <c r="Y39" i="8" s="1"/>
  <c r="X121" i="8" a="1"/>
  <c r="X121" i="8" s="1"/>
  <c r="X113" i="8" a="1"/>
  <c r="X113" i="8" s="1"/>
  <c r="X105" i="8" a="1"/>
  <c r="X105" i="8" s="1"/>
  <c r="X97" i="8" a="1"/>
  <c r="X97" i="8" s="1"/>
  <c r="X89" i="8" a="1"/>
  <c r="X89" i="8" s="1"/>
  <c r="X81" i="8" a="1"/>
  <c r="X81" i="8" s="1"/>
  <c r="X73" i="8" a="1"/>
  <c r="X73" i="8" s="1"/>
  <c r="X65" i="8" a="1"/>
  <c r="X65" i="8" s="1"/>
  <c r="X57" i="8" a="1"/>
  <c r="X57" i="8" s="1"/>
  <c r="X49" i="8" a="1"/>
  <c r="X49" i="8" s="1"/>
  <c r="X41" i="8" a="1"/>
  <c r="X41" i="8" s="1"/>
  <c r="W123" i="8" a="1"/>
  <c r="W123" i="8" s="1"/>
  <c r="W115" i="8" a="1"/>
  <c r="W115" i="8" s="1"/>
  <c r="W107" i="8" a="1"/>
  <c r="W107" i="8" s="1"/>
  <c r="W99" i="8" a="1"/>
  <c r="W99" i="8" s="1"/>
  <c r="W91" i="8" a="1"/>
  <c r="W91" i="8" s="1"/>
  <c r="W83" i="8" a="1"/>
  <c r="W83" i="8" s="1"/>
  <c r="W75" i="8" a="1"/>
  <c r="W75" i="8" s="1"/>
  <c r="W67" i="8" a="1"/>
  <c r="W67" i="8" s="1"/>
  <c r="W59" i="8" a="1"/>
  <c r="W59" i="8" s="1"/>
  <c r="W51" i="8" a="1"/>
  <c r="W51" i="8" s="1"/>
  <c r="W43" i="8" a="1"/>
  <c r="W43" i="8" s="1"/>
  <c r="W35" i="8" a="1"/>
  <c r="W35" i="8" s="1"/>
  <c r="V117" i="8" a="1"/>
  <c r="V117" i="8" s="1"/>
  <c r="V109" i="8" a="1"/>
  <c r="V109" i="8" s="1"/>
  <c r="V101" i="8" a="1"/>
  <c r="V101" i="8" s="1"/>
  <c r="V93" i="8" a="1"/>
  <c r="V93" i="8" s="1"/>
  <c r="V85" i="8" a="1"/>
  <c r="V85" i="8" s="1"/>
  <c r="V77" i="8" a="1"/>
  <c r="V77" i="8" s="1"/>
  <c r="V69" i="8" a="1"/>
  <c r="V69" i="8" s="1"/>
  <c r="V61" i="8" a="1"/>
  <c r="V61" i="8" s="1"/>
  <c r="V53" i="8" a="1"/>
  <c r="V53" i="8" s="1"/>
  <c r="V45" i="8" a="1"/>
  <c r="V45" i="8" s="1"/>
  <c r="V37" i="8" a="1"/>
  <c r="V37" i="8" s="1"/>
  <c r="U119" i="8" a="1"/>
  <c r="U119" i="8" s="1"/>
  <c r="U111" i="8" a="1"/>
  <c r="U111" i="8" s="1"/>
  <c r="U103" i="8" a="1"/>
  <c r="U103" i="8" s="1"/>
  <c r="U95" i="8" a="1"/>
  <c r="U95" i="8" s="1"/>
  <c r="U87" i="8" a="1"/>
  <c r="U87" i="8" s="1"/>
  <c r="U79" i="8" a="1"/>
  <c r="U79" i="8" s="1"/>
  <c r="U71" i="8" a="1"/>
  <c r="U71" i="8" s="1"/>
  <c r="U63" i="8" a="1"/>
  <c r="U63" i="8" s="1"/>
  <c r="U55" i="8" a="1"/>
  <c r="U55" i="8" s="1"/>
  <c r="U47" i="8" a="1"/>
  <c r="U47" i="8" s="1"/>
  <c r="U39" i="8" a="1"/>
  <c r="U39" i="8" s="1"/>
  <c r="U83" i="8" a="1"/>
  <c r="U83" i="8" s="1"/>
  <c r="U75" i="8" a="1"/>
  <c r="U75" i="8" s="1"/>
  <c r="U67" i="8" a="1"/>
  <c r="U67" i="8" s="1"/>
  <c r="U59" i="8" a="1"/>
  <c r="U59" i="8" s="1"/>
  <c r="U51" i="8" a="1"/>
  <c r="U51" i="8" s="1"/>
  <c r="U43" i="8" a="1"/>
  <c r="U43" i="8" s="1"/>
  <c r="U99" i="8" a="1"/>
  <c r="U99" i="8" s="1"/>
  <c r="U40" i="8" a="1"/>
  <c r="U40" i="8" s="1"/>
  <c r="U91" i="8" a="1"/>
  <c r="U91" i="8" s="1"/>
  <c r="U35" i="8" a="1"/>
  <c r="U35" i="8" s="1"/>
  <c r="E148" i="8" a="1"/>
  <c r="E148" i="8" s="1"/>
  <c r="E144" i="8" a="1"/>
  <c r="E144" i="8" s="1"/>
  <c r="E137" i="8" a="1"/>
  <c r="E137" i="8" s="1"/>
  <c r="E133" i="8" a="1"/>
  <c r="E133" i="8" s="1"/>
  <c r="E130" i="8" a="1"/>
  <c r="E130" i="8" s="1"/>
  <c r="E126" i="8" a="1"/>
  <c r="E126" i="8" s="1"/>
  <c r="E123" i="8" a="1"/>
  <c r="E123" i="8" s="1"/>
  <c r="E119" i="8" a="1"/>
  <c r="E119" i="8" s="1"/>
  <c r="E116" i="8" a="1"/>
  <c r="E116" i="8" s="1"/>
  <c r="E112" i="8" a="1"/>
  <c r="E112" i="8" s="1"/>
  <c r="E105" i="8" a="1"/>
  <c r="E105" i="8" s="1"/>
  <c r="E101" i="8" a="1"/>
  <c r="E101" i="8" s="1"/>
  <c r="E98" i="8" a="1"/>
  <c r="E98" i="8" s="1"/>
  <c r="E94" i="8" a="1"/>
  <c r="E94" i="8" s="1"/>
  <c r="E91" i="8" a="1"/>
  <c r="E91" i="8" s="1"/>
  <c r="E87" i="8" a="1"/>
  <c r="E87" i="8" s="1"/>
  <c r="E84" i="8" a="1"/>
  <c r="E84" i="8" s="1"/>
  <c r="E80" i="8" a="1"/>
  <c r="E80" i="8" s="1"/>
  <c r="E73" i="8" a="1"/>
  <c r="E73" i="8" s="1"/>
  <c r="E69" i="8" a="1"/>
  <c r="E69" i="8" s="1"/>
  <c r="E66" i="8" a="1"/>
  <c r="E66" i="8" s="1"/>
  <c r="E62" i="8" a="1"/>
  <c r="E62" i="8" s="1"/>
  <c r="E59" i="8" a="1"/>
  <c r="E59" i="8" s="1"/>
  <c r="E55" i="8" a="1"/>
  <c r="E55" i="8" s="1"/>
  <c r="E52" i="8" a="1"/>
  <c r="E52" i="8" s="1"/>
  <c r="F146" i="8" a="1"/>
  <c r="F146" i="8" s="1"/>
  <c r="F139" i="8" a="1"/>
  <c r="F139" i="8" s="1"/>
  <c r="F135" i="8" a="1"/>
  <c r="F135" i="8" s="1"/>
  <c r="F132" i="8" a="1"/>
  <c r="F132" i="8" s="1"/>
  <c r="F128" i="8" a="1"/>
  <c r="F128" i="8" s="1"/>
  <c r="F125" i="8" a="1"/>
  <c r="F125" i="8" s="1"/>
  <c r="F121" i="8" a="1"/>
  <c r="F121" i="8" s="1"/>
  <c r="F118" i="8" a="1"/>
  <c r="F118" i="8" s="1"/>
  <c r="F114" i="8" a="1"/>
  <c r="F114" i="8" s="1"/>
  <c r="F107" i="8" a="1"/>
  <c r="F107" i="8" s="1"/>
  <c r="F103" i="8" a="1"/>
  <c r="F103" i="8" s="1"/>
  <c r="F100" i="8" a="1"/>
  <c r="F100" i="8" s="1"/>
  <c r="F96" i="8" a="1"/>
  <c r="F96" i="8" s="1"/>
  <c r="F93" i="8" a="1"/>
  <c r="F93" i="8" s="1"/>
  <c r="F89" i="8" a="1"/>
  <c r="F89" i="8" s="1"/>
  <c r="F83" i="8" a="1"/>
  <c r="F83" i="8" s="1"/>
  <c r="F80" i="8" a="1"/>
  <c r="F80" i="8" s="1"/>
  <c r="F77" i="8" a="1"/>
  <c r="F77" i="8" s="1"/>
  <c r="F73" i="8" a="1"/>
  <c r="F73" i="8" s="1"/>
  <c r="F70" i="8" a="1"/>
  <c r="F70" i="8" s="1"/>
  <c r="F66" i="8" a="1"/>
  <c r="F66" i="8" s="1"/>
  <c r="F63" i="8" a="1"/>
  <c r="F63" i="8" s="1"/>
  <c r="F59" i="8" a="1"/>
  <c r="F59" i="8" s="1"/>
  <c r="F56" i="8" a="1"/>
  <c r="F56" i="8" s="1"/>
  <c r="F52" i="8" a="1"/>
  <c r="F52" i="8" s="1"/>
  <c r="G147" i="8" a="1"/>
  <c r="G147" i="8" s="1"/>
  <c r="G140" i="8" a="1"/>
  <c r="G140" i="8" s="1"/>
  <c r="G137" i="8" a="1"/>
  <c r="G137" i="8" s="1"/>
  <c r="G134" i="8" a="1"/>
  <c r="G134" i="8" s="1"/>
  <c r="G131" i="8" a="1"/>
  <c r="G131" i="8" s="1"/>
  <c r="G124" i="8" a="1"/>
  <c r="G124" i="8" s="1"/>
  <c r="G121" i="8" a="1"/>
  <c r="G121" i="8" s="1"/>
  <c r="G118" i="8" a="1"/>
  <c r="G118" i="8" s="1"/>
  <c r="G115" i="8" a="1"/>
  <c r="G115" i="8" s="1"/>
  <c r="G108" i="8" a="1"/>
  <c r="G108" i="8" s="1"/>
  <c r="G105" i="8" a="1"/>
  <c r="G105" i="8" s="1"/>
  <c r="G102" i="8" a="1"/>
  <c r="G102" i="8" s="1"/>
  <c r="G99" i="8" a="1"/>
  <c r="G99" i="8" s="1"/>
  <c r="G92" i="8" a="1"/>
  <c r="G92" i="8" s="1"/>
  <c r="G89" i="8" a="1"/>
  <c r="G89" i="8" s="1"/>
  <c r="G86" i="8" a="1"/>
  <c r="G86" i="8" s="1"/>
  <c r="G83" i="8" a="1"/>
  <c r="G83" i="8" s="1"/>
  <c r="G76" i="8" a="1"/>
  <c r="G76" i="8" s="1"/>
  <c r="G73" i="8" a="1"/>
  <c r="G73" i="8" s="1"/>
  <c r="G70" i="8" a="1"/>
  <c r="G70" i="8" s="1"/>
  <c r="G67" i="8" a="1"/>
  <c r="G67" i="8" s="1"/>
  <c r="G63" i="8" a="1"/>
  <c r="G63" i="8" s="1"/>
  <c r="G60" i="8" a="1"/>
  <c r="G60" i="8" s="1"/>
  <c r="G57" i="8" a="1"/>
  <c r="G57" i="8" s="1"/>
  <c r="E147" i="8" a="1"/>
  <c r="E147" i="8" s="1"/>
  <c r="E143" i="8" a="1"/>
  <c r="E143" i="8" s="1"/>
  <c r="E140" i="8" a="1"/>
  <c r="E140" i="8" s="1"/>
  <c r="E136" i="8" a="1"/>
  <c r="E136" i="8" s="1"/>
  <c r="E129" i="8" a="1"/>
  <c r="E129" i="8" s="1"/>
  <c r="E125" i="8" a="1"/>
  <c r="E125" i="8" s="1"/>
  <c r="E122" i="8" a="1"/>
  <c r="E122" i="8" s="1"/>
  <c r="E118" i="8" a="1"/>
  <c r="E118" i="8" s="1"/>
  <c r="E115" i="8" a="1"/>
  <c r="E115" i="8" s="1"/>
  <c r="E111" i="8" a="1"/>
  <c r="E111" i="8" s="1"/>
  <c r="E108" i="8" a="1"/>
  <c r="E108" i="8" s="1"/>
  <c r="E104" i="8" a="1"/>
  <c r="E104" i="8" s="1"/>
  <c r="E97" i="8" a="1"/>
  <c r="E97" i="8" s="1"/>
  <c r="E93" i="8" a="1"/>
  <c r="E93" i="8" s="1"/>
  <c r="E90" i="8" a="1"/>
  <c r="E90" i="8" s="1"/>
  <c r="E86" i="8" a="1"/>
  <c r="E86" i="8" s="1"/>
  <c r="E83" i="8" a="1"/>
  <c r="E83" i="8" s="1"/>
  <c r="E79" i="8" a="1"/>
  <c r="E79" i="8" s="1"/>
  <c r="E76" i="8" a="1"/>
  <c r="E76" i="8" s="1"/>
  <c r="E72" i="8" a="1"/>
  <c r="E72" i="8" s="1"/>
  <c r="E65" i="8" a="1"/>
  <c r="E65" i="8" s="1"/>
  <c r="E61" i="8" a="1"/>
  <c r="E61" i="8" s="1"/>
  <c r="E58" i="8" a="1"/>
  <c r="E58" i="8" s="1"/>
  <c r="E54" i="8" a="1"/>
  <c r="E54" i="8" s="1"/>
  <c r="E51" i="8" a="1"/>
  <c r="E51" i="8" s="1"/>
  <c r="F145" i="8" a="1"/>
  <c r="F145" i="8" s="1"/>
  <c r="F142" i="8" a="1"/>
  <c r="F142" i="8" s="1"/>
  <c r="F138" i="8" a="1"/>
  <c r="F138" i="8" s="1"/>
  <c r="F131" i="8" a="1"/>
  <c r="F131" i="8" s="1"/>
  <c r="F127" i="8" a="1"/>
  <c r="F127" i="8" s="1"/>
  <c r="F124" i="8" a="1"/>
  <c r="F124" i="8" s="1"/>
  <c r="F120" i="8" a="1"/>
  <c r="F120" i="8" s="1"/>
  <c r="F117" i="8" a="1"/>
  <c r="F117" i="8" s="1"/>
  <c r="F113" i="8" a="1"/>
  <c r="F113" i="8" s="1"/>
  <c r="F110" i="8" a="1"/>
  <c r="F110" i="8" s="1"/>
  <c r="F106" i="8" a="1"/>
  <c r="F106" i="8" s="1"/>
  <c r="F99" i="8" a="1"/>
  <c r="F99" i="8" s="1"/>
  <c r="F95" i="8" a="1"/>
  <c r="F95" i="8" s="1"/>
  <c r="F92" i="8" a="1"/>
  <c r="F92" i="8" s="1"/>
  <c r="F86" i="8" a="1"/>
  <c r="F86" i="8" s="1"/>
  <c r="F79" i="8" a="1"/>
  <c r="F79" i="8" s="1"/>
  <c r="F76" i="8" a="1"/>
  <c r="F76" i="8" s="1"/>
  <c r="F72" i="8" a="1"/>
  <c r="F72" i="8" s="1"/>
  <c r="F69" i="8" a="1"/>
  <c r="F69" i="8" s="1"/>
  <c r="F65" i="8" a="1"/>
  <c r="F65" i="8" s="1"/>
  <c r="F62" i="8" a="1"/>
  <c r="F62" i="8" s="1"/>
  <c r="F58" i="8" a="1"/>
  <c r="F58" i="8" s="1"/>
  <c r="F55" i="8" a="1"/>
  <c r="F55" i="8" s="1"/>
  <c r="F51" i="8" a="1"/>
  <c r="F51" i="8" s="1"/>
  <c r="G146" i="8" a="1"/>
  <c r="G146" i="8" s="1"/>
  <c r="G143" i="8" a="1"/>
  <c r="G143" i="8" s="1"/>
  <c r="G136" i="8" a="1"/>
  <c r="G136" i="8" s="1"/>
  <c r="G133" i="8" a="1"/>
  <c r="G133" i="8" s="1"/>
  <c r="E146" i="8" a="1"/>
  <c r="E146" i="8" s="1"/>
  <c r="E142" i="8" a="1"/>
  <c r="E142" i="8" s="1"/>
  <c r="E139" i="8" a="1"/>
  <c r="E139" i="8" s="1"/>
  <c r="E135" i="8" a="1"/>
  <c r="E135" i="8" s="1"/>
  <c r="E132" i="8" a="1"/>
  <c r="E132" i="8" s="1"/>
  <c r="E128" i="8" a="1"/>
  <c r="E128" i="8" s="1"/>
  <c r="E121" i="8" a="1"/>
  <c r="E121" i="8" s="1"/>
  <c r="E117" i="8" a="1"/>
  <c r="E117" i="8" s="1"/>
  <c r="E114" i="8" a="1"/>
  <c r="E114" i="8" s="1"/>
  <c r="E110" i="8" a="1"/>
  <c r="E110" i="8" s="1"/>
  <c r="E107" i="8" a="1"/>
  <c r="E107" i="8" s="1"/>
  <c r="E103" i="8" a="1"/>
  <c r="E103" i="8" s="1"/>
  <c r="E100" i="8" a="1"/>
  <c r="E100" i="8" s="1"/>
  <c r="E96" i="8" a="1"/>
  <c r="E96" i="8" s="1"/>
  <c r="E89" i="8" a="1"/>
  <c r="E89" i="8" s="1"/>
  <c r="E85" i="8" a="1"/>
  <c r="E85" i="8" s="1"/>
  <c r="E82" i="8" a="1"/>
  <c r="E82" i="8" s="1"/>
  <c r="E78" i="8" a="1"/>
  <c r="E78" i="8" s="1"/>
  <c r="E75" i="8" a="1"/>
  <c r="E75" i="8" s="1"/>
  <c r="E71" i="8" a="1"/>
  <c r="E71" i="8" s="1"/>
  <c r="E68" i="8" a="1"/>
  <c r="E68" i="8" s="1"/>
  <c r="E64" i="8" a="1"/>
  <c r="E64" i="8" s="1"/>
  <c r="E57" i="8" a="1"/>
  <c r="E57" i="8" s="1"/>
  <c r="E53" i="8" a="1"/>
  <c r="E53" i="8" s="1"/>
  <c r="F148" i="8" a="1"/>
  <c r="F148" i="8" s="1"/>
  <c r="F144" i="8" a="1"/>
  <c r="F144" i="8" s="1"/>
  <c r="F141" i="8" a="1"/>
  <c r="F141" i="8" s="1"/>
  <c r="F137" i="8" a="1"/>
  <c r="F137" i="8" s="1"/>
  <c r="F134" i="8" a="1"/>
  <c r="F134" i="8" s="1"/>
  <c r="F130" i="8" a="1"/>
  <c r="F130" i="8" s="1"/>
  <c r="F123" i="8" a="1"/>
  <c r="F123" i="8" s="1"/>
  <c r="F119" i="8" a="1"/>
  <c r="F119" i="8" s="1"/>
  <c r="F116" i="8" a="1"/>
  <c r="F116" i="8" s="1"/>
  <c r="F112" i="8" a="1"/>
  <c r="F112" i="8" s="1"/>
  <c r="F109" i="8" a="1"/>
  <c r="F109" i="8" s="1"/>
  <c r="F105" i="8" a="1"/>
  <c r="F105" i="8" s="1"/>
  <c r="F102" i="8" a="1"/>
  <c r="F102" i="8" s="1"/>
  <c r="F98" i="8" a="1"/>
  <c r="F98" i="8" s="1"/>
  <c r="F91" i="8" a="1"/>
  <c r="F91" i="8" s="1"/>
  <c r="F88" i="8" a="1"/>
  <c r="F88" i="8" s="1"/>
  <c r="F85" i="8" a="1"/>
  <c r="F85" i="8" s="1"/>
  <c r="F82" i="8" a="1"/>
  <c r="F82" i="8" s="1"/>
  <c r="F75" i="8" a="1"/>
  <c r="F75" i="8" s="1"/>
  <c r="F68" i="8" a="1"/>
  <c r="F68" i="8" s="1"/>
  <c r="F64" i="8" a="1"/>
  <c r="F64" i="8" s="1"/>
  <c r="F61" i="8" a="1"/>
  <c r="F61" i="8" s="1"/>
  <c r="F54" i="8" a="1"/>
  <c r="F54" i="8" s="1"/>
  <c r="G148" i="8" a="1"/>
  <c r="G148" i="8" s="1"/>
  <c r="G145" i="8" a="1"/>
  <c r="G145" i="8" s="1"/>
  <c r="G142" i="8" a="1"/>
  <c r="G142" i="8" s="1"/>
  <c r="G139" i="8" a="1"/>
  <c r="G139" i="8" s="1"/>
  <c r="G132" i="8" a="1"/>
  <c r="G132" i="8" s="1"/>
  <c r="G129" i="8" a="1"/>
  <c r="G129" i="8" s="1"/>
  <c r="G126" i="8" a="1"/>
  <c r="G126" i="8" s="1"/>
  <c r="G123" i="8" a="1"/>
  <c r="G123" i="8" s="1"/>
  <c r="G116" i="8" a="1"/>
  <c r="G116" i="8" s="1"/>
  <c r="G113" i="8" a="1"/>
  <c r="G113" i="8" s="1"/>
  <c r="G110" i="8" a="1"/>
  <c r="G110" i="8" s="1"/>
  <c r="G107" i="8" a="1"/>
  <c r="G107" i="8" s="1"/>
  <c r="G100" i="8" a="1"/>
  <c r="G100" i="8" s="1"/>
  <c r="G97" i="8" a="1"/>
  <c r="G97" i="8" s="1"/>
  <c r="G94" i="8" a="1"/>
  <c r="G94" i="8" s="1"/>
  <c r="G91" i="8" a="1"/>
  <c r="G91" i="8" s="1"/>
  <c r="E145" i="8" a="1"/>
  <c r="E145" i="8" s="1"/>
  <c r="E141" i="8" a="1"/>
  <c r="E141" i="8" s="1"/>
  <c r="E138" i="8" a="1"/>
  <c r="E138" i="8" s="1"/>
  <c r="E134" i="8" a="1"/>
  <c r="E134" i="8" s="1"/>
  <c r="E131" i="8" a="1"/>
  <c r="E131" i="8" s="1"/>
  <c r="E127" i="8" a="1"/>
  <c r="E127" i="8" s="1"/>
  <c r="E124" i="8" a="1"/>
  <c r="E124" i="8" s="1"/>
  <c r="E120" i="8" a="1"/>
  <c r="E120" i="8" s="1"/>
  <c r="E113" i="8" a="1"/>
  <c r="E113" i="8" s="1"/>
  <c r="E109" i="8" a="1"/>
  <c r="E109" i="8" s="1"/>
  <c r="E106" i="8" a="1"/>
  <c r="E106" i="8" s="1"/>
  <c r="E102" i="8" a="1"/>
  <c r="E102" i="8" s="1"/>
  <c r="E99" i="8" a="1"/>
  <c r="E99" i="8" s="1"/>
  <c r="E95" i="8" a="1"/>
  <c r="E95" i="8" s="1"/>
  <c r="E92" i="8" a="1"/>
  <c r="E92" i="8" s="1"/>
  <c r="E88" i="8" a="1"/>
  <c r="E88" i="8" s="1"/>
  <c r="E81" i="8" a="1"/>
  <c r="E81" i="8" s="1"/>
  <c r="E77" i="8" a="1"/>
  <c r="E77" i="8" s="1"/>
  <c r="E74" i="8" a="1"/>
  <c r="E74" i="8" s="1"/>
  <c r="E70" i="8" a="1"/>
  <c r="E70" i="8" s="1"/>
  <c r="E67" i="8" a="1"/>
  <c r="E67" i="8" s="1"/>
  <c r="E63" i="8" a="1"/>
  <c r="E63" i="8" s="1"/>
  <c r="E60" i="8" a="1"/>
  <c r="E60" i="8" s="1"/>
  <c r="E56" i="8" a="1"/>
  <c r="E56" i="8" s="1"/>
  <c r="F147" i="8" a="1"/>
  <c r="F147" i="8" s="1"/>
  <c r="F143" i="8" a="1"/>
  <c r="F143" i="8" s="1"/>
  <c r="F140" i="8" a="1"/>
  <c r="F140" i="8" s="1"/>
  <c r="F136" i="8" a="1"/>
  <c r="F136" i="8" s="1"/>
  <c r="F133" i="8" a="1"/>
  <c r="F133" i="8" s="1"/>
  <c r="F129" i="8" a="1"/>
  <c r="F129" i="8" s="1"/>
  <c r="F126" i="8" a="1"/>
  <c r="F126" i="8" s="1"/>
  <c r="F122" i="8" a="1"/>
  <c r="F122" i="8" s="1"/>
  <c r="F115" i="8" a="1"/>
  <c r="F115" i="8" s="1"/>
  <c r="F111" i="8" a="1"/>
  <c r="F111" i="8" s="1"/>
  <c r="F108" i="8" a="1"/>
  <c r="F108" i="8" s="1"/>
  <c r="F104" i="8" a="1"/>
  <c r="F104" i="8" s="1"/>
  <c r="F101" i="8" a="1"/>
  <c r="F101" i="8" s="1"/>
  <c r="F97" i="8" a="1"/>
  <c r="F97" i="8" s="1"/>
  <c r="F94" i="8" a="1"/>
  <c r="F94" i="8" s="1"/>
  <c r="F90" i="8" a="1"/>
  <c r="F90" i="8" s="1"/>
  <c r="F87" i="8" a="1"/>
  <c r="F87" i="8" s="1"/>
  <c r="F84" i="8" a="1"/>
  <c r="F84" i="8" s="1"/>
  <c r="F81" i="8" a="1"/>
  <c r="F81" i="8" s="1"/>
  <c r="F78" i="8" a="1"/>
  <c r="F78" i="8" s="1"/>
  <c r="F74" i="8" a="1"/>
  <c r="F74" i="8" s="1"/>
  <c r="F71" i="8" a="1"/>
  <c r="F71" i="8" s="1"/>
  <c r="F67" i="8" a="1"/>
  <c r="F67" i="8" s="1"/>
  <c r="F60" i="8" a="1"/>
  <c r="F60" i="8" s="1"/>
  <c r="F57" i="8" a="1"/>
  <c r="F57" i="8" s="1"/>
  <c r="F53" i="8" a="1"/>
  <c r="F53" i="8" s="1"/>
  <c r="G144" i="8" a="1"/>
  <c r="G144" i="8" s="1"/>
  <c r="G141" i="8" a="1"/>
  <c r="G141" i="8" s="1"/>
  <c r="G138" i="8" a="1"/>
  <c r="G138" i="8" s="1"/>
  <c r="G135" i="8" a="1"/>
  <c r="G135" i="8" s="1"/>
  <c r="G128" i="8" a="1"/>
  <c r="G128" i="8" s="1"/>
  <c r="G125" i="8" a="1"/>
  <c r="G125" i="8" s="1"/>
  <c r="G122" i="8" a="1"/>
  <c r="G122" i="8" s="1"/>
  <c r="G119" i="8" a="1"/>
  <c r="G119" i="8" s="1"/>
  <c r="G112" i="8" a="1"/>
  <c r="G112" i="8" s="1"/>
  <c r="G109" i="8" a="1"/>
  <c r="G109" i="8" s="1"/>
  <c r="G106" i="8" a="1"/>
  <c r="G106" i="8" s="1"/>
  <c r="G103" i="8" a="1"/>
  <c r="G103" i="8" s="1"/>
  <c r="G96" i="8" a="1"/>
  <c r="G96" i="8" s="1"/>
  <c r="G93" i="8" a="1"/>
  <c r="G93" i="8" s="1"/>
  <c r="G90" i="8" a="1"/>
  <c r="G90" i="8" s="1"/>
  <c r="G87" i="8" a="1"/>
  <c r="G87" i="8" s="1"/>
  <c r="G80" i="8" a="1"/>
  <c r="G80" i="8" s="1"/>
  <c r="G77" i="8" a="1"/>
  <c r="G77" i="8" s="1"/>
  <c r="G74" i="8" a="1"/>
  <c r="G74" i="8" s="1"/>
  <c r="G71" i="8" a="1"/>
  <c r="G71" i="8" s="1"/>
  <c r="G64" i="8" a="1"/>
  <c r="G64" i="8" s="1"/>
  <c r="G130" i="8" a="1"/>
  <c r="G130" i="8" s="1"/>
  <c r="G117" i="8" a="1"/>
  <c r="G117" i="8" s="1"/>
  <c r="G104" i="8" a="1"/>
  <c r="G104" i="8" s="1"/>
  <c r="G84" i="8" a="1"/>
  <c r="G84" i="8" s="1"/>
  <c r="G78" i="8" a="1"/>
  <c r="G78" i="8" s="1"/>
  <c r="G65" i="8" a="1"/>
  <c r="G65" i="8" s="1"/>
  <c r="G55" i="8" a="1"/>
  <c r="G55" i="8" s="1"/>
  <c r="G52" i="8" a="1"/>
  <c r="G52" i="8" s="1"/>
  <c r="G127" i="8" a="1"/>
  <c r="G127" i="8" s="1"/>
  <c r="G114" i="8" a="1"/>
  <c r="G114" i="8" s="1"/>
  <c r="G101" i="8" a="1"/>
  <c r="G101" i="8" s="1"/>
  <c r="G88" i="8" a="1"/>
  <c r="G88" i="8" s="1"/>
  <c r="G82" i="8" a="1"/>
  <c r="G82" i="8" s="1"/>
  <c r="G69" i="8" a="1"/>
  <c r="G69" i="8" s="1"/>
  <c r="G62" i="8" a="1"/>
  <c r="G62" i="8" s="1"/>
  <c r="G59" i="8" a="1"/>
  <c r="G59" i="8" s="1"/>
  <c r="G54" i="8" a="1"/>
  <c r="G54" i="8" s="1"/>
  <c r="G111" i="8" a="1"/>
  <c r="G111" i="8" s="1"/>
  <c r="G98" i="8" a="1"/>
  <c r="G98" i="8" s="1"/>
  <c r="G81" i="8" a="1"/>
  <c r="G81" i="8" s="1"/>
  <c r="G75" i="8" a="1"/>
  <c r="G75" i="8" s="1"/>
  <c r="G68" i="8" a="1"/>
  <c r="G68" i="8" s="1"/>
  <c r="G58" i="8" a="1"/>
  <c r="G58" i="8" s="1"/>
  <c r="G51" i="8" a="1"/>
  <c r="G51" i="8" s="1"/>
  <c r="G120" i="8" a="1"/>
  <c r="G120" i="8" s="1"/>
  <c r="G95" i="8" a="1"/>
  <c r="G95" i="8" s="1"/>
  <c r="G85" i="8" a="1"/>
  <c r="G85" i="8" s="1"/>
  <c r="G79" i="8" a="1"/>
  <c r="G79" i="8" s="1"/>
  <c r="G72" i="8" a="1"/>
  <c r="G72" i="8" s="1"/>
  <c r="G66" i="8" a="1"/>
  <c r="G66" i="8" s="1"/>
  <c r="G61" i="8" a="1"/>
  <c r="G61" i="8" s="1"/>
  <c r="G56" i="8" a="1"/>
  <c r="G56" i="8" s="1"/>
  <c r="G53" i="8" a="1"/>
  <c r="G53" i="8" s="1"/>
  <c r="E38" i="8" a="1"/>
  <c r="E38" i="8" s="1"/>
  <c r="D58" i="8" a="1"/>
  <c r="D58" i="8" s="1"/>
  <c r="D148" i="8" a="1"/>
  <c r="D148" i="8" s="1"/>
  <c r="D144" i="8" a="1"/>
  <c r="D144" i="8" s="1"/>
  <c r="D140" i="8" a="1"/>
  <c r="D140" i="8" s="1"/>
  <c r="D136" i="8" a="1"/>
  <c r="D136" i="8" s="1"/>
  <c r="D132" i="8" a="1"/>
  <c r="D132" i="8" s="1"/>
  <c r="D128" i="8" a="1"/>
  <c r="D128" i="8" s="1"/>
  <c r="D124" i="8" a="1"/>
  <c r="D124" i="8" s="1"/>
  <c r="D120" i="8" a="1"/>
  <c r="D120" i="8" s="1"/>
  <c r="D116" i="8" a="1"/>
  <c r="D116" i="8" s="1"/>
  <c r="D112" i="8" a="1"/>
  <c r="D112" i="8" s="1"/>
  <c r="D108" i="8" a="1"/>
  <c r="D108" i="8" s="1"/>
  <c r="D104" i="8" a="1"/>
  <c r="D104" i="8" s="1"/>
  <c r="D100" i="8" a="1"/>
  <c r="D100" i="8" s="1"/>
  <c r="D96" i="8" a="1"/>
  <c r="D96" i="8" s="1"/>
  <c r="D92" i="8" a="1"/>
  <c r="D92" i="8" s="1"/>
  <c r="D88" i="8" a="1"/>
  <c r="D88" i="8" s="1"/>
  <c r="D84" i="8" a="1"/>
  <c r="D84" i="8" s="1"/>
  <c r="D80" i="8" a="1"/>
  <c r="D80" i="8" s="1"/>
  <c r="D76" i="8" a="1"/>
  <c r="D76" i="8" s="1"/>
  <c r="D72" i="8" a="1"/>
  <c r="D72" i="8" s="1"/>
  <c r="D68" i="8" a="1"/>
  <c r="D68" i="8" s="1"/>
  <c r="D64" i="8" a="1"/>
  <c r="D64" i="8" s="1"/>
  <c r="D60" i="8" a="1"/>
  <c r="D60" i="8" s="1"/>
  <c r="D52" i="8" a="1"/>
  <c r="D52" i="8" s="1"/>
  <c r="D48" i="8" a="1"/>
  <c r="D48" i="8" s="1"/>
  <c r="D44" i="8" a="1"/>
  <c r="D44" i="8" s="1"/>
  <c r="D40" i="8" a="1"/>
  <c r="D40" i="8" s="1"/>
  <c r="D36" i="8" a="1"/>
  <c r="D36" i="8" s="1"/>
  <c r="C48" i="8" a="1"/>
  <c r="C48" i="8" s="1"/>
  <c r="C44" i="8" a="1"/>
  <c r="C44" i="8" s="1"/>
  <c r="C40" i="8" a="1"/>
  <c r="C40" i="8" s="1"/>
  <c r="C36" i="8" a="1"/>
  <c r="C36" i="8" s="1"/>
  <c r="C146" i="8" a="1"/>
  <c r="C146" i="8" s="1"/>
  <c r="C142" i="8" a="1"/>
  <c r="C142" i="8" s="1"/>
  <c r="C138" i="8" a="1"/>
  <c r="C138" i="8" s="1"/>
  <c r="C134" i="8" a="1"/>
  <c r="C134" i="8" s="1"/>
  <c r="C130" i="8" a="1"/>
  <c r="C130" i="8" s="1"/>
  <c r="C126" i="8" a="1"/>
  <c r="C126" i="8" s="1"/>
  <c r="C122" i="8" a="1"/>
  <c r="C122" i="8" s="1"/>
  <c r="C118" i="8" a="1"/>
  <c r="C118" i="8" s="1"/>
  <c r="C114" i="8" a="1"/>
  <c r="C114" i="8" s="1"/>
  <c r="C110" i="8" a="1"/>
  <c r="C110" i="8" s="1"/>
  <c r="C104" i="8" a="1"/>
  <c r="C104" i="8" s="1"/>
  <c r="C100" i="8" a="1"/>
  <c r="C100" i="8" s="1"/>
  <c r="C96" i="8" a="1"/>
  <c r="C96" i="8" s="1"/>
  <c r="C92" i="8" a="1"/>
  <c r="C92" i="8" s="1"/>
  <c r="C88" i="8" a="1"/>
  <c r="C88" i="8" s="1"/>
  <c r="C84" i="8" a="1"/>
  <c r="C84" i="8" s="1"/>
  <c r="C80" i="8" a="1"/>
  <c r="C80" i="8" s="1"/>
  <c r="C76" i="8" a="1"/>
  <c r="C76" i="8" s="1"/>
  <c r="C72" i="8" a="1"/>
  <c r="C72" i="8" s="1"/>
  <c r="C68" i="8" a="1"/>
  <c r="C68" i="8" s="1"/>
  <c r="C64" i="8" a="1"/>
  <c r="C64" i="8" s="1"/>
  <c r="C60" i="8" a="1"/>
  <c r="C60" i="8" s="1"/>
  <c r="C56" i="8" a="1"/>
  <c r="C56" i="8" s="1"/>
  <c r="C52" i="8" a="1"/>
  <c r="C52" i="8" s="1"/>
  <c r="E50" i="8" a="1"/>
  <c r="E50" i="8" s="1"/>
  <c r="G49" i="8" a="1"/>
  <c r="G49" i="8" s="1"/>
  <c r="E47" i="8" a="1"/>
  <c r="E47" i="8" s="1"/>
  <c r="F46" i="8" a="1"/>
  <c r="F46" i="8" s="1"/>
  <c r="G45" i="8" a="1"/>
  <c r="G45" i="8" s="1"/>
  <c r="E43" i="8" a="1"/>
  <c r="E43" i="8" s="1"/>
  <c r="F42" i="8" a="1"/>
  <c r="F42" i="8" s="1"/>
  <c r="G41" i="8" a="1"/>
  <c r="G41" i="8" s="1"/>
  <c r="E40" i="8" a="1"/>
  <c r="E40" i="8" s="1"/>
  <c r="E36" i="8" a="1"/>
  <c r="E36" i="8" s="1"/>
  <c r="D56" i="8" a="1"/>
  <c r="D56" i="8" s="1"/>
  <c r="D146" i="8" a="1"/>
  <c r="D146" i="8" s="1"/>
  <c r="D142" i="8" a="1"/>
  <c r="D142" i="8" s="1"/>
  <c r="D138" i="8" a="1"/>
  <c r="D138" i="8" s="1"/>
  <c r="D134" i="8" a="1"/>
  <c r="D134" i="8" s="1"/>
  <c r="D130" i="8" a="1"/>
  <c r="D130" i="8" s="1"/>
  <c r="D126" i="8" a="1"/>
  <c r="D126" i="8" s="1"/>
  <c r="D122" i="8" a="1"/>
  <c r="D122" i="8" s="1"/>
  <c r="D118" i="8" a="1"/>
  <c r="D118" i="8" s="1"/>
  <c r="D114" i="8" a="1"/>
  <c r="D114" i="8" s="1"/>
  <c r="D110" i="8" a="1"/>
  <c r="D110" i="8" s="1"/>
  <c r="D106" i="8" a="1"/>
  <c r="D106" i="8" s="1"/>
  <c r="D102" i="8" a="1"/>
  <c r="D102" i="8" s="1"/>
  <c r="D98" i="8" a="1"/>
  <c r="D98" i="8" s="1"/>
  <c r="D94" i="8" a="1"/>
  <c r="D94" i="8" s="1"/>
  <c r="D90" i="8" a="1"/>
  <c r="D90" i="8" s="1"/>
  <c r="D86" i="8" a="1"/>
  <c r="D86" i="8" s="1"/>
  <c r="D82" i="8" a="1"/>
  <c r="D82" i="8" s="1"/>
  <c r="D78" i="8" a="1"/>
  <c r="D78" i="8" s="1"/>
  <c r="D74" i="8" a="1"/>
  <c r="D74" i="8" s="1"/>
  <c r="D70" i="8" a="1"/>
  <c r="D70" i="8" s="1"/>
  <c r="D66" i="8" a="1"/>
  <c r="D66" i="8" s="1"/>
  <c r="D62" i="8" a="1"/>
  <c r="D62" i="8" s="1"/>
  <c r="D54" i="8" a="1"/>
  <c r="D54" i="8" s="1"/>
  <c r="D50" i="8" a="1"/>
  <c r="D50" i="8" s="1"/>
  <c r="D46" i="8" a="1"/>
  <c r="D46" i="8" s="1"/>
  <c r="D42" i="8" a="1"/>
  <c r="D42" i="8" s="1"/>
  <c r="D38" i="8" a="1"/>
  <c r="D38" i="8" s="1"/>
  <c r="D34" i="8" a="1"/>
  <c r="D34" i="8" s="1"/>
  <c r="C46" i="8" a="1"/>
  <c r="C46" i="8" s="1"/>
  <c r="C42" i="8" a="1"/>
  <c r="C42" i="8" s="1"/>
  <c r="C38" i="8" a="1"/>
  <c r="C38" i="8" s="1"/>
  <c r="C148" i="8" a="1"/>
  <c r="C148" i="8" s="1"/>
  <c r="C144" i="8" a="1"/>
  <c r="C144" i="8" s="1"/>
  <c r="C140" i="8" a="1"/>
  <c r="C140" i="8" s="1"/>
  <c r="C136" i="8" a="1"/>
  <c r="C136" i="8" s="1"/>
  <c r="C132" i="8" a="1"/>
  <c r="C132" i="8" s="1"/>
  <c r="C128" i="8" a="1"/>
  <c r="C128" i="8" s="1"/>
  <c r="C124" i="8" a="1"/>
  <c r="C124" i="8" s="1"/>
  <c r="C120" i="8" a="1"/>
  <c r="C120" i="8" s="1"/>
  <c r="C116" i="8" a="1"/>
  <c r="C116" i="8" s="1"/>
  <c r="C112" i="8" a="1"/>
  <c r="C112" i="8" s="1"/>
  <c r="C108" i="8" a="1"/>
  <c r="C108" i="8" s="1"/>
  <c r="C106" i="8" a="1"/>
  <c r="C106" i="8" s="1"/>
  <c r="C102" i="8" a="1"/>
  <c r="C102" i="8" s="1"/>
  <c r="C98" i="8" a="1"/>
  <c r="C98" i="8" s="1"/>
  <c r="C94" i="8" a="1"/>
  <c r="C94" i="8" s="1"/>
  <c r="C90" i="8" a="1"/>
  <c r="C90" i="8" s="1"/>
  <c r="C86" i="8" a="1"/>
  <c r="C86" i="8" s="1"/>
  <c r="C82" i="8" a="1"/>
  <c r="C82" i="8" s="1"/>
  <c r="C78" i="8" a="1"/>
  <c r="C78" i="8" s="1"/>
  <c r="C74" i="8" a="1"/>
  <c r="C74" i="8" s="1"/>
  <c r="C70" i="8" a="1"/>
  <c r="C70" i="8" s="1"/>
  <c r="C66" i="8" a="1"/>
  <c r="C66" i="8" s="1"/>
  <c r="C62" i="8" a="1"/>
  <c r="C62" i="8" s="1"/>
  <c r="C58" i="8" a="1"/>
  <c r="C58" i="8" s="1"/>
  <c r="D57" i="8" a="1"/>
  <c r="D57" i="8" s="1"/>
  <c r="D143" i="8" a="1"/>
  <c r="D143" i="8" s="1"/>
  <c r="D135" i="8" a="1"/>
  <c r="D135" i="8" s="1"/>
  <c r="D127" i="8" a="1"/>
  <c r="D127" i="8" s="1"/>
  <c r="D119" i="8" a="1"/>
  <c r="D119" i="8" s="1"/>
  <c r="D111" i="8" a="1"/>
  <c r="D111" i="8" s="1"/>
  <c r="D103" i="8" a="1"/>
  <c r="D103" i="8" s="1"/>
  <c r="D95" i="8" a="1"/>
  <c r="D95" i="8" s="1"/>
  <c r="D87" i="8" a="1"/>
  <c r="D87" i="8" s="1"/>
  <c r="D79" i="8" a="1"/>
  <c r="D79" i="8" s="1"/>
  <c r="D71" i="8" a="1"/>
  <c r="D71" i="8" s="1"/>
  <c r="D63" i="8" a="1"/>
  <c r="D63" i="8" s="1"/>
  <c r="D51" i="8" a="1"/>
  <c r="D51" i="8" s="1"/>
  <c r="D43" i="8" a="1"/>
  <c r="D43" i="8" s="1"/>
  <c r="D35" i="8" a="1"/>
  <c r="D35" i="8" s="1"/>
  <c r="C43" i="8" a="1"/>
  <c r="C43" i="8" s="1"/>
  <c r="C35" i="8" a="1"/>
  <c r="C35" i="8" s="1"/>
  <c r="C141" i="8" a="1"/>
  <c r="C141" i="8" s="1"/>
  <c r="C133" i="8" a="1"/>
  <c r="C133" i="8" s="1"/>
  <c r="C125" i="8" a="1"/>
  <c r="C125" i="8" s="1"/>
  <c r="C117" i="8" a="1"/>
  <c r="C117" i="8" s="1"/>
  <c r="C109" i="8" a="1"/>
  <c r="C109" i="8" s="1"/>
  <c r="C101" i="8" a="1"/>
  <c r="C101" i="8" s="1"/>
  <c r="C93" i="8" a="1"/>
  <c r="C93" i="8" s="1"/>
  <c r="C85" i="8" a="1"/>
  <c r="C85" i="8" s="1"/>
  <c r="C77" i="8" a="1"/>
  <c r="C77" i="8" s="1"/>
  <c r="C69" i="8" a="1"/>
  <c r="C69" i="8" s="1"/>
  <c r="C61" i="8" a="1"/>
  <c r="C61" i="8" s="1"/>
  <c r="E48" i="8" a="1"/>
  <c r="E48" i="8" s="1"/>
  <c r="F47" i="8" a="1"/>
  <c r="F47" i="8" s="1"/>
  <c r="E46" i="8" a="1"/>
  <c r="E46" i="8" s="1"/>
  <c r="E45" i="8" a="1"/>
  <c r="E45" i="8" s="1"/>
  <c r="F44" i="8" a="1"/>
  <c r="F44" i="8" s="1"/>
  <c r="G43" i="8" a="1"/>
  <c r="G43" i="8" s="1"/>
  <c r="G42" i="8" a="1"/>
  <c r="G42" i="8" s="1"/>
  <c r="F41" i="8" a="1"/>
  <c r="F41" i="8" s="1"/>
  <c r="G40" i="8" a="1"/>
  <c r="G40" i="8" s="1"/>
  <c r="G39" i="8" a="1"/>
  <c r="G39" i="8" s="1"/>
  <c r="G38" i="8" a="1"/>
  <c r="G38" i="8" s="1"/>
  <c r="G37" i="8" a="1"/>
  <c r="G37" i="8" s="1"/>
  <c r="G36" i="8" a="1"/>
  <c r="G36" i="8" s="1"/>
  <c r="G35" i="8" a="1"/>
  <c r="G35" i="8" s="1"/>
  <c r="C34" i="8" a="1"/>
  <c r="C34" i="8" s="1"/>
  <c r="E39" i="8" a="1"/>
  <c r="E39" i="8" s="1"/>
  <c r="D55" i="8" a="1"/>
  <c r="D55" i="8" s="1"/>
  <c r="D141" i="8" a="1"/>
  <c r="D141" i="8" s="1"/>
  <c r="D133" i="8" a="1"/>
  <c r="D133" i="8" s="1"/>
  <c r="D125" i="8" a="1"/>
  <c r="D125" i="8" s="1"/>
  <c r="D117" i="8" a="1"/>
  <c r="D117" i="8" s="1"/>
  <c r="D109" i="8" a="1"/>
  <c r="D109" i="8" s="1"/>
  <c r="D101" i="8" a="1"/>
  <c r="D101" i="8" s="1"/>
  <c r="D93" i="8" a="1"/>
  <c r="D93" i="8" s="1"/>
  <c r="D85" i="8" a="1"/>
  <c r="D85" i="8" s="1"/>
  <c r="D77" i="8" a="1"/>
  <c r="D77" i="8" s="1"/>
  <c r="D69" i="8" a="1"/>
  <c r="D69" i="8" s="1"/>
  <c r="D61" i="8" a="1"/>
  <c r="D61" i="8" s="1"/>
  <c r="D49" i="8" a="1"/>
  <c r="D49" i="8" s="1"/>
  <c r="D41" i="8" a="1"/>
  <c r="D41" i="8" s="1"/>
  <c r="C49" i="8" a="1"/>
  <c r="C49" i="8" s="1"/>
  <c r="C41" i="8" a="1"/>
  <c r="C41" i="8" s="1"/>
  <c r="C147" i="8" a="1"/>
  <c r="C147" i="8" s="1"/>
  <c r="C139" i="8" a="1"/>
  <c r="C139" i="8" s="1"/>
  <c r="C131" i="8" a="1"/>
  <c r="C131" i="8" s="1"/>
  <c r="C123" i="8" a="1"/>
  <c r="C123" i="8" s="1"/>
  <c r="C115" i="8" a="1"/>
  <c r="C115" i="8" s="1"/>
  <c r="C107" i="8" a="1"/>
  <c r="C107" i="8" s="1"/>
  <c r="C99" i="8" a="1"/>
  <c r="C99" i="8" s="1"/>
  <c r="C91" i="8" a="1"/>
  <c r="C91" i="8" s="1"/>
  <c r="C83" i="8" a="1"/>
  <c r="C83" i="8" s="1"/>
  <c r="C75" i="8" a="1"/>
  <c r="C75" i="8" s="1"/>
  <c r="C67" i="8" a="1"/>
  <c r="C67" i="8" s="1"/>
  <c r="C59" i="8" a="1"/>
  <c r="C59" i="8" s="1"/>
  <c r="C53" i="8" a="1"/>
  <c r="C53" i="8" s="1"/>
  <c r="G50" i="8" a="1"/>
  <c r="G50" i="8" s="1"/>
  <c r="E44" i="8" a="1"/>
  <c r="E44" i="8" s="1"/>
  <c r="F43" i="8" a="1"/>
  <c r="F43" i="8" s="1"/>
  <c r="E42" i="8" a="1"/>
  <c r="E42" i="8" s="1"/>
  <c r="E41" i="8" a="1"/>
  <c r="E41" i="8" s="1"/>
  <c r="F40" i="8" a="1"/>
  <c r="F40" i="8" s="1"/>
  <c r="F39" i="8" a="1"/>
  <c r="F39" i="8" s="1"/>
  <c r="F38" i="8" a="1"/>
  <c r="F38" i="8" s="1"/>
  <c r="F37" i="8" a="1"/>
  <c r="F37" i="8" s="1"/>
  <c r="F36" i="8" a="1"/>
  <c r="F36" i="8" s="1"/>
  <c r="F35" i="8" a="1"/>
  <c r="F35" i="8" s="1"/>
  <c r="G34" i="8" a="1"/>
  <c r="G34" i="8" s="1"/>
  <c r="F34" i="8" a="1"/>
  <c r="F34" i="8" s="1"/>
  <c r="E37" i="8" a="1"/>
  <c r="E37" i="8" s="1"/>
  <c r="D147" i="8" a="1"/>
  <c r="D147" i="8" s="1"/>
  <c r="D139" i="8" a="1"/>
  <c r="D139" i="8" s="1"/>
  <c r="D131" i="8" a="1"/>
  <c r="D131" i="8" s="1"/>
  <c r="D123" i="8" a="1"/>
  <c r="D123" i="8" s="1"/>
  <c r="D115" i="8" a="1"/>
  <c r="D115" i="8" s="1"/>
  <c r="D107" i="8" a="1"/>
  <c r="D107" i="8" s="1"/>
  <c r="D99" i="8" a="1"/>
  <c r="D99" i="8" s="1"/>
  <c r="D91" i="8" a="1"/>
  <c r="D91" i="8" s="1"/>
  <c r="D83" i="8" a="1"/>
  <c r="D83" i="8" s="1"/>
  <c r="D75" i="8" a="1"/>
  <c r="D75" i="8" s="1"/>
  <c r="D67" i="8" a="1"/>
  <c r="D67" i="8" s="1"/>
  <c r="D59" i="8" a="1"/>
  <c r="D59" i="8" s="1"/>
  <c r="D47" i="8" a="1"/>
  <c r="D47" i="8" s="1"/>
  <c r="D39" i="8" a="1"/>
  <c r="D39" i="8" s="1"/>
  <c r="C47" i="8" a="1"/>
  <c r="C47" i="8" s="1"/>
  <c r="C39" i="8" a="1"/>
  <c r="C39" i="8" s="1"/>
  <c r="C145" i="8" a="1"/>
  <c r="C145" i="8" s="1"/>
  <c r="C137" i="8" a="1"/>
  <c r="C137" i="8" s="1"/>
  <c r="C129" i="8" a="1"/>
  <c r="C129" i="8" s="1"/>
  <c r="C121" i="8" a="1"/>
  <c r="C121" i="8" s="1"/>
  <c r="C113" i="8" a="1"/>
  <c r="C113" i="8" s="1"/>
  <c r="C105" i="8" a="1"/>
  <c r="C105" i="8" s="1"/>
  <c r="C97" i="8" a="1"/>
  <c r="C97" i="8" s="1"/>
  <c r="C89" i="8" a="1"/>
  <c r="C89" i="8" s="1"/>
  <c r="C81" i="8" a="1"/>
  <c r="C81" i="8" s="1"/>
  <c r="C73" i="8" a="1"/>
  <c r="C73" i="8" s="1"/>
  <c r="C65" i="8" a="1"/>
  <c r="C65" i="8" s="1"/>
  <c r="C57" i="8" a="1"/>
  <c r="C57" i="8" s="1"/>
  <c r="C54" i="8" a="1"/>
  <c r="C54" i="8" s="1"/>
  <c r="C51" i="8" a="1"/>
  <c r="C51" i="8" s="1"/>
  <c r="F50" i="8" a="1"/>
  <c r="F50" i="8" s="1"/>
  <c r="F49" i="8" a="1"/>
  <c r="F49" i="8" s="1"/>
  <c r="G48" i="8" a="1"/>
  <c r="G48" i="8" s="1"/>
  <c r="E35" i="8" a="1"/>
  <c r="E35" i="8" s="1"/>
  <c r="D145" i="8" a="1"/>
  <c r="D145" i="8" s="1"/>
  <c r="D137" i="8" a="1"/>
  <c r="D137" i="8" s="1"/>
  <c r="D129" i="8" a="1"/>
  <c r="D129" i="8" s="1"/>
  <c r="D121" i="8" a="1"/>
  <c r="D121" i="8" s="1"/>
  <c r="D113" i="8" a="1"/>
  <c r="D113" i="8" s="1"/>
  <c r="D105" i="8" a="1"/>
  <c r="D105" i="8" s="1"/>
  <c r="D97" i="8" a="1"/>
  <c r="D97" i="8" s="1"/>
  <c r="D89" i="8" a="1"/>
  <c r="D89" i="8" s="1"/>
  <c r="D81" i="8" a="1"/>
  <c r="D81" i="8" s="1"/>
  <c r="D73" i="8" a="1"/>
  <c r="D73" i="8" s="1"/>
  <c r="D65" i="8" a="1"/>
  <c r="D65" i="8" s="1"/>
  <c r="D53" i="8" a="1"/>
  <c r="D53" i="8" s="1"/>
  <c r="D45" i="8" a="1"/>
  <c r="D45" i="8" s="1"/>
  <c r="D37" i="8" a="1"/>
  <c r="D37" i="8" s="1"/>
  <c r="C45" i="8" a="1"/>
  <c r="C45" i="8" s="1"/>
  <c r="C37" i="8" a="1"/>
  <c r="C37" i="8" s="1"/>
  <c r="C143" i="8" a="1"/>
  <c r="C143" i="8" s="1"/>
  <c r="C135" i="8" a="1"/>
  <c r="C135" i="8" s="1"/>
  <c r="C127" i="8" a="1"/>
  <c r="C127" i="8" s="1"/>
  <c r="C119" i="8" a="1"/>
  <c r="C119" i="8" s="1"/>
  <c r="C111" i="8" a="1"/>
  <c r="C111" i="8" s="1"/>
  <c r="C103" i="8" a="1"/>
  <c r="C103" i="8" s="1"/>
  <c r="C95" i="8" a="1"/>
  <c r="C95" i="8" s="1"/>
  <c r="C87" i="8" a="1"/>
  <c r="C87" i="8" s="1"/>
  <c r="C79" i="8" a="1"/>
  <c r="C79" i="8" s="1"/>
  <c r="C71" i="8" a="1"/>
  <c r="C71" i="8" s="1"/>
  <c r="C63" i="8" a="1"/>
  <c r="C63" i="8" s="1"/>
  <c r="C55" i="8" a="1"/>
  <c r="C55" i="8" s="1"/>
  <c r="C50" i="8" a="1"/>
  <c r="C50" i="8" s="1"/>
  <c r="E49" i="8" a="1"/>
  <c r="E49" i="8" s="1"/>
  <c r="F48" i="8" a="1"/>
  <c r="F48" i="8" s="1"/>
  <c r="G47" i="8" a="1"/>
  <c r="G47" i="8" s="1"/>
  <c r="G46" i="8" a="1"/>
  <c r="G46" i="8" s="1"/>
  <c r="F45" i="8" a="1"/>
  <c r="F45" i="8" s="1"/>
  <c r="G44" i="8" a="1"/>
  <c r="G44" i="8" s="1"/>
  <c r="E34" i="8" a="1"/>
  <c r="E34" i="8" s="1"/>
  <c r="G28" i="8"/>
  <c r="AO173" i="4" l="1"/>
  <c r="AO172" i="4"/>
  <c r="AO171" i="4"/>
  <c r="AO170" i="4"/>
  <c r="AO169" i="4"/>
  <c r="AO168" i="4"/>
  <c r="AO167" i="4"/>
  <c r="AO166" i="4"/>
  <c r="AN173" i="4"/>
  <c r="AN172" i="4"/>
  <c r="AN171" i="4"/>
  <c r="AN170" i="4"/>
  <c r="AN169" i="4"/>
  <c r="AN168" i="4"/>
  <c r="AN167" i="4"/>
  <c r="AN166" i="4"/>
  <c r="AO165" i="4"/>
  <c r="AN165" i="4"/>
  <c r="AO164" i="4"/>
  <c r="AO163" i="4"/>
  <c r="AO162" i="4"/>
  <c r="AO161" i="4"/>
  <c r="AO160" i="4"/>
  <c r="AO159" i="4"/>
  <c r="AO158" i="4"/>
  <c r="AO157" i="4"/>
  <c r="AO156" i="4"/>
  <c r="AO155" i="4"/>
  <c r="AO154" i="4"/>
  <c r="AO153" i="4"/>
  <c r="AO152" i="4"/>
  <c r="AO151" i="4"/>
  <c r="AO150" i="4"/>
  <c r="AO149" i="4"/>
  <c r="AO148" i="4"/>
  <c r="AO147" i="4"/>
  <c r="AO146" i="4"/>
  <c r="AO145" i="4"/>
  <c r="AO144" i="4"/>
  <c r="AO143" i="4"/>
  <c r="AO142" i="4"/>
  <c r="AO141" i="4"/>
  <c r="AN164" i="4"/>
  <c r="AN163" i="4"/>
  <c r="AN162" i="4"/>
  <c r="AN161" i="4"/>
  <c r="AN160" i="4"/>
  <c r="AN159" i="4"/>
  <c r="AN158" i="4"/>
  <c r="AN157" i="4"/>
  <c r="AN156" i="4"/>
  <c r="AN155" i="4"/>
  <c r="AN154" i="4"/>
  <c r="AN153" i="4"/>
  <c r="AN152" i="4"/>
  <c r="AN151" i="4"/>
  <c r="AN150" i="4"/>
  <c r="AN149" i="4"/>
  <c r="AN148" i="4"/>
  <c r="AN147" i="4"/>
  <c r="AN146" i="4"/>
  <c r="AN145" i="4"/>
  <c r="AN144" i="4"/>
  <c r="AN143" i="4"/>
  <c r="AN142" i="4"/>
  <c r="AN141" i="4"/>
  <c r="AO140" i="4"/>
  <c r="AN140" i="4"/>
  <c r="AO139" i="4"/>
  <c r="AO138" i="4"/>
  <c r="AO137" i="4"/>
  <c r="AO136" i="4"/>
  <c r="AO135" i="4"/>
  <c r="AO134" i="4"/>
  <c r="AO133" i="4"/>
  <c r="AO132" i="4"/>
  <c r="AO131" i="4"/>
  <c r="AO130" i="4"/>
  <c r="AO129" i="4"/>
  <c r="AO128" i="4"/>
  <c r="AO127" i="4"/>
  <c r="AO126" i="4"/>
  <c r="AO125" i="4"/>
  <c r="AO124" i="4"/>
  <c r="AO123" i="4"/>
  <c r="AO122" i="4"/>
  <c r="AO121" i="4"/>
  <c r="AO120" i="4"/>
  <c r="AO119" i="4"/>
  <c r="AO118" i="4"/>
  <c r="AO117" i="4"/>
  <c r="AO116" i="4"/>
  <c r="AO115" i="4"/>
  <c r="AO114" i="4"/>
  <c r="AN139" i="4"/>
  <c r="AN138" i="4"/>
  <c r="AN137" i="4"/>
  <c r="AN136" i="4"/>
  <c r="AN135" i="4"/>
  <c r="AN134" i="4"/>
  <c r="AN133" i="4"/>
  <c r="AN132" i="4"/>
  <c r="AN131" i="4"/>
  <c r="AN130" i="4"/>
  <c r="AN129" i="4"/>
  <c r="AN128" i="4"/>
  <c r="AN127" i="4"/>
  <c r="AN126" i="4"/>
  <c r="AN125" i="4"/>
  <c r="AN124" i="4"/>
  <c r="AN123" i="4"/>
  <c r="AN122" i="4"/>
  <c r="AN121" i="4"/>
  <c r="AN120" i="4"/>
  <c r="AN119" i="4"/>
  <c r="AN118" i="4"/>
  <c r="AN117" i="4"/>
  <c r="AN116" i="4"/>
  <c r="AN115" i="4"/>
  <c r="AN114" i="4"/>
  <c r="AO113" i="4"/>
  <c r="AN113" i="4"/>
  <c r="AO112" i="4"/>
  <c r="AO111" i="4"/>
  <c r="AO110" i="4"/>
  <c r="AO109" i="4"/>
  <c r="AO108" i="4"/>
  <c r="AO107" i="4"/>
  <c r="AO106" i="4"/>
  <c r="AO105" i="4"/>
  <c r="AO104" i="4"/>
  <c r="AO103" i="4"/>
  <c r="AO102" i="4"/>
  <c r="AO101" i="4"/>
  <c r="AO100" i="4"/>
  <c r="AO99" i="4"/>
  <c r="AO98" i="4"/>
  <c r="AO97" i="4"/>
  <c r="AO96" i="4"/>
  <c r="AO95" i="4"/>
  <c r="AO94" i="4"/>
  <c r="AO93" i="4"/>
  <c r="AO92" i="4"/>
  <c r="AO91" i="4"/>
  <c r="AO90" i="4"/>
  <c r="AO89" i="4"/>
  <c r="AO88" i="4"/>
  <c r="AO87" i="4"/>
  <c r="AN112" i="4"/>
  <c r="AN111" i="4"/>
  <c r="AN110" i="4"/>
  <c r="AN109" i="4"/>
  <c r="AN108" i="4"/>
  <c r="AN107" i="4"/>
  <c r="AN106" i="4"/>
  <c r="AN105" i="4"/>
  <c r="AN104" i="4"/>
  <c r="AN103" i="4"/>
  <c r="AN102" i="4"/>
  <c r="AN101" i="4"/>
  <c r="AN100" i="4"/>
  <c r="AN99" i="4"/>
  <c r="AN98" i="4"/>
  <c r="AN97" i="4"/>
  <c r="AN96" i="4"/>
  <c r="AN95" i="4"/>
  <c r="AN94" i="4"/>
  <c r="AN93" i="4"/>
  <c r="AN92" i="4"/>
  <c r="AN91" i="4"/>
  <c r="AN90" i="4"/>
  <c r="AN89" i="4"/>
  <c r="AN88" i="4"/>
  <c r="AN87" i="4"/>
  <c r="AO86" i="4"/>
  <c r="AN86" i="4"/>
  <c r="AO85" i="4"/>
  <c r="AO84" i="4"/>
  <c r="AO83" i="4"/>
  <c r="AO82" i="4"/>
  <c r="AO81" i="4"/>
  <c r="AO80" i="4"/>
  <c r="AO79" i="4"/>
  <c r="AO78" i="4"/>
  <c r="AO77" i="4"/>
  <c r="AO76" i="4"/>
  <c r="AO75" i="4"/>
  <c r="AO74" i="4"/>
  <c r="AO73" i="4"/>
  <c r="AO72" i="4"/>
  <c r="AO71" i="4"/>
  <c r="AO70" i="4"/>
  <c r="AO69" i="4"/>
  <c r="AO68" i="4"/>
  <c r="AO67" i="4"/>
  <c r="AO66" i="4"/>
  <c r="AO65" i="4"/>
  <c r="AN85" i="4"/>
  <c r="AN84" i="4"/>
  <c r="AN83" i="4"/>
  <c r="AN82" i="4"/>
  <c r="AN81" i="4"/>
  <c r="AN80" i="4"/>
  <c r="AN79" i="4"/>
  <c r="AN78" i="4"/>
  <c r="AN77" i="4"/>
  <c r="AN76" i="4"/>
  <c r="AN75" i="4"/>
  <c r="AN74" i="4"/>
  <c r="AN73" i="4"/>
  <c r="AN72" i="4"/>
  <c r="AN71" i="4"/>
  <c r="AN70" i="4"/>
  <c r="AN69" i="4"/>
  <c r="AN68" i="4"/>
  <c r="AN67" i="4"/>
  <c r="AN66" i="4"/>
  <c r="AN65" i="4"/>
  <c r="AO64" i="4"/>
  <c r="AO63" i="4"/>
  <c r="AO62" i="4"/>
  <c r="AO61" i="4"/>
  <c r="AO60" i="4"/>
  <c r="AO59" i="4"/>
  <c r="AO58" i="4"/>
  <c r="AO57" i="4"/>
  <c r="AO56" i="4"/>
  <c r="AO55" i="4"/>
  <c r="AO54" i="4"/>
  <c r="AO53" i="4"/>
  <c r="AO52" i="4"/>
  <c r="AO51" i="4"/>
  <c r="AO50" i="4"/>
  <c r="AO49" i="4"/>
  <c r="AO48" i="4"/>
  <c r="AO47" i="4"/>
  <c r="AO46" i="4"/>
  <c r="AO45" i="4"/>
  <c r="AO44" i="4"/>
  <c r="AN64" i="4"/>
  <c r="AN63" i="4"/>
  <c r="AN62" i="4"/>
  <c r="AN61" i="4"/>
  <c r="AN60" i="4"/>
  <c r="AN59" i="4"/>
  <c r="AN58" i="4"/>
  <c r="AN57" i="4"/>
  <c r="AN56" i="4"/>
  <c r="AN55" i="4"/>
  <c r="AN54" i="4"/>
  <c r="AN53" i="4"/>
  <c r="AN52" i="4"/>
  <c r="AN51" i="4"/>
  <c r="AN50" i="4"/>
  <c r="AN49" i="4"/>
  <c r="AN48" i="4"/>
  <c r="AN47" i="4"/>
  <c r="AN46" i="4"/>
  <c r="AN45" i="4"/>
  <c r="AN44" i="4"/>
  <c r="AO43" i="4"/>
  <c r="AO42" i="4"/>
  <c r="AO41" i="4"/>
  <c r="AO40" i="4"/>
  <c r="AO39" i="4"/>
  <c r="AO38" i="4"/>
  <c r="AO37" i="4"/>
  <c r="AO36" i="4"/>
  <c r="AO35" i="4"/>
  <c r="AO34" i="4"/>
  <c r="AO33" i="4"/>
  <c r="AO32" i="4"/>
  <c r="AO31" i="4"/>
  <c r="AO30" i="4"/>
  <c r="AO29" i="4"/>
  <c r="AO28" i="4"/>
  <c r="AO27" i="4"/>
  <c r="AO26" i="4"/>
  <c r="AO25" i="4"/>
  <c r="AO24" i="4"/>
  <c r="AO23" i="4"/>
  <c r="AO22" i="4"/>
  <c r="AO21" i="4"/>
  <c r="AN43" i="4"/>
  <c r="AN42" i="4"/>
  <c r="AN41" i="4"/>
  <c r="AN40" i="4"/>
  <c r="AN39" i="4"/>
  <c r="AN38" i="4"/>
  <c r="AN37" i="4"/>
  <c r="AN36" i="4"/>
  <c r="AN35" i="4"/>
  <c r="AN34" i="4"/>
  <c r="AN33" i="4"/>
  <c r="AN32" i="4"/>
  <c r="AN31" i="4"/>
  <c r="AN30" i="4"/>
  <c r="AN29" i="4"/>
  <c r="AN28" i="4"/>
  <c r="AN27" i="4"/>
  <c r="AN26" i="4"/>
  <c r="AN25" i="4"/>
  <c r="AN24" i="4"/>
  <c r="AN23" i="4"/>
  <c r="AN22" i="4"/>
  <c r="AN21" i="4"/>
  <c r="AO20" i="4"/>
  <c r="AO19" i="4"/>
  <c r="AO18" i="4"/>
  <c r="AO17" i="4"/>
  <c r="AO16" i="4"/>
  <c r="AO15" i="4"/>
  <c r="AO14" i="4"/>
  <c r="AO13" i="4"/>
  <c r="AO12" i="4"/>
  <c r="AO11" i="4"/>
  <c r="AO10" i="4"/>
  <c r="AO9" i="4"/>
  <c r="AO8" i="4"/>
  <c r="AO7" i="4"/>
  <c r="AO6" i="4"/>
  <c r="AO5" i="4"/>
  <c r="AO4" i="4"/>
  <c r="AO3" i="4"/>
  <c r="AO2" i="4"/>
  <c r="AN20" i="4"/>
  <c r="AN19" i="4"/>
  <c r="AN18" i="4"/>
  <c r="AN17" i="4"/>
  <c r="AN16" i="4"/>
  <c r="AN15" i="4"/>
  <c r="AN14" i="4"/>
  <c r="AN13" i="4"/>
  <c r="AN12" i="4"/>
  <c r="AN11" i="4"/>
  <c r="AN10" i="4"/>
  <c r="AN9" i="4"/>
  <c r="AN8" i="4"/>
  <c r="AN7" i="4"/>
  <c r="AN6" i="4"/>
  <c r="AN5" i="4"/>
  <c r="AN4" i="4"/>
  <c r="AN3" i="4"/>
  <c r="AN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tc={70DEAB54-0AB2-43E2-997D-2B456CC9357D}</author>
    <author>tc={A3B85EBC-D6B6-4479-8DC8-89F0740C605E}</author>
    <author>tc={B986CEF9-9396-483D-884C-AAC4B9A0BCC4}</author>
  </authors>
  <commentList>
    <comment ref="I116"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Update will function as a cancel and reset with new parameters</t>
      </text>
    </comment>
    <comment ref="I133"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PDF format</t>
      </text>
    </comment>
    <comment ref="I155"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Come back to this feature for Commercial Banking Release.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<sst xmlns="http://schemas.openxmlformats.org/spreadsheetml/2006/main" count="7032" uniqueCount="1064">
  <si>
    <t>CWB Comments</t>
  </si>
  <si>
    <t>Team 1</t>
  </si>
  <si>
    <t>Team 2</t>
  </si>
  <si>
    <t xml:space="preserve">Team 3 </t>
  </si>
  <si>
    <t xml:space="preserve">Team 4 </t>
  </si>
  <si>
    <t>Grand Total</t>
  </si>
  <si>
    <t>New Feature</t>
  </si>
  <si>
    <t>Sprint 09</t>
  </si>
  <si>
    <t>Sprint 10</t>
  </si>
  <si>
    <t>Sprint 11</t>
  </si>
  <si>
    <t>OOTB</t>
  </si>
  <si>
    <t>Sprint 12</t>
  </si>
  <si>
    <t>Sprint 13</t>
  </si>
  <si>
    <t>Sprint 14</t>
  </si>
  <si>
    <t>Sprint 15</t>
  </si>
  <si>
    <t>Total</t>
  </si>
  <si>
    <t>Sprint 08</t>
  </si>
  <si>
    <t>Completed</t>
  </si>
  <si>
    <t>OOTB-R2</t>
  </si>
  <si>
    <t>Post R1</t>
  </si>
  <si>
    <t>SOW#</t>
  </si>
  <si>
    <t>JIRA EPIC IDs</t>
  </si>
  <si>
    <t>Jira EPIC ID Owner</t>
  </si>
  <si>
    <t xml:space="preserve">Questions </t>
  </si>
  <si>
    <t xml:space="preserve">Module </t>
  </si>
  <si>
    <t xml:space="preserve">Feature </t>
  </si>
  <si>
    <t xml:space="preserve">Functionality </t>
  </si>
  <si>
    <t xml:space="preserve">Description </t>
  </si>
  <si>
    <t>3rd Party Dependency Due Date</t>
  </si>
  <si>
    <t>T24 Data mapping Due Date</t>
  </si>
  <si>
    <t>T24 Data mapping Owner</t>
  </si>
  <si>
    <t>T24 Data mapping status</t>
  </si>
  <si>
    <t>Technical Design Due Date</t>
  </si>
  <si>
    <t>Technical Design Owner</t>
  </si>
  <si>
    <t>Technical Design Status</t>
  </si>
  <si>
    <t>Services Definition Status</t>
  </si>
  <si>
    <t>UI/UX Due Date</t>
  </si>
  <si>
    <t>UI/UX Owner</t>
  </si>
  <si>
    <t>UI/UX Screens Readines Status</t>
  </si>
  <si>
    <t>User Story Due Date</t>
  </si>
  <si>
    <t>User Story Owner</t>
  </si>
  <si>
    <t>User Story  Readiness Status</t>
  </si>
  <si>
    <t>CWB Story Approver</t>
  </si>
  <si>
    <t>CWB Story Readiness Meeting Approval Date</t>
  </si>
  <si>
    <t>Dev Status</t>
  </si>
  <si>
    <t>Transact WS Due Date</t>
  </si>
  <si>
    <t>Service Details (refer services sheet for details)</t>
  </si>
  <si>
    <t>Dev Layer</t>
  </si>
  <si>
    <t>Prioritization_1119</t>
  </si>
  <si>
    <t>Original Sprint</t>
  </si>
  <si>
    <t>Sprint as of Aug</t>
  </si>
  <si>
    <t>Target Sprint#</t>
  </si>
  <si>
    <t>Sprint Start Date</t>
  </si>
  <si>
    <t>Sprint End Date</t>
  </si>
  <si>
    <t>CWB Bus Acceptance of Dev Delivery Date</t>
  </si>
  <si>
    <t>Dev Type</t>
  </si>
  <si>
    <t>Scrum Teams</t>
  </si>
  <si>
    <t>Efforts</t>
  </si>
  <si>
    <t>Comments from L3 Transact Team</t>
  </si>
  <si>
    <t>Sprint Readiness Analysis/Comments</t>
  </si>
  <si>
    <t>SOW0</t>
  </si>
  <si>
    <t>97, 101, 102, 105</t>
  </si>
  <si>
    <t>Sagar</t>
  </si>
  <si>
    <t>GTG</t>
  </si>
  <si>
    <t>Okta Dependency</t>
  </si>
  <si>
    <t>Authentication</t>
  </si>
  <si>
    <t>Login</t>
  </si>
  <si>
    <t>Login using Username and Password</t>
  </si>
  <si>
    <t>Securely sign in with username and password, with an option to securely store and remember the username.</t>
  </si>
  <si>
    <t>OKTA</t>
  </si>
  <si>
    <t>Completed 11/21/2020</t>
  </si>
  <si>
    <t>NA</t>
  </si>
  <si>
    <t>Jack V</t>
  </si>
  <si>
    <t>In progress</t>
  </si>
  <si>
    <t>Bhavesh</t>
  </si>
  <si>
    <t>Complete</t>
  </si>
  <si>
    <t>Christa</t>
  </si>
  <si>
    <t>Azfar &amp; Jeff</t>
  </si>
  <si>
    <t>To Do</t>
  </si>
  <si>
    <t>L3</t>
  </si>
  <si>
    <t>OOTB without Customization</t>
  </si>
  <si>
    <t>Sprint 01</t>
  </si>
  <si>
    <t>Sprint 03</t>
  </si>
  <si>
    <t>Need clarity on requirement / acceptance criteria from Okta/Bhavesh</t>
  </si>
  <si>
    <t>Approved 11/21</t>
  </si>
  <si>
    <t>SOW1</t>
  </si>
  <si>
    <t>Login using Fingerprint</t>
  </si>
  <si>
    <t>Biometric authentication for iOS and Android devices by using the native fingerprint authentication capability. OKTA integration required as the device tokens need to be stored at OKTA.</t>
  </si>
  <si>
    <t>Sprint 04</t>
  </si>
  <si>
    <t>SOW10</t>
  </si>
  <si>
    <t>Login using Facial recognition</t>
  </si>
  <si>
    <t>OKTA integration required as the device tokens need to be stored at OKTA.</t>
  </si>
  <si>
    <t>SOW108</t>
  </si>
  <si>
    <t>98, 103</t>
  </si>
  <si>
    <t>Forgot Password</t>
  </si>
  <si>
    <t>Completed 11/23/2020</t>
  </si>
  <si>
    <t>SOW109</t>
  </si>
  <si>
    <t>Enter security Code</t>
  </si>
  <si>
    <t>SOW110</t>
  </si>
  <si>
    <t>Send OTP for second factor authentication</t>
  </si>
  <si>
    <t>SOW111</t>
  </si>
  <si>
    <t>Create a new password by entering new password, retype password</t>
  </si>
  <si>
    <t>SOW112</t>
  </si>
  <si>
    <t>101, 105</t>
  </si>
  <si>
    <t>Load permissions-&gt;Dynamic Permissions and Entitlements</t>
  </si>
  <si>
    <t>Fetch the list of permissions and entitlements for the logged-in customer. These permissions define the behavior and availability of features for a specific customer.
AI3 - Entitlements to control data sharing access permissions and viewing of data results on a per client and user level
CF5 - Access will be entitlement driven at the client and user level</t>
  </si>
  <si>
    <t>Drafted</t>
  </si>
  <si>
    <t>In Progress</t>
  </si>
  <si>
    <t>BIG</t>
  </si>
  <si>
    <t>Approved 11/22</t>
  </si>
  <si>
    <t>SOW101</t>
  </si>
  <si>
    <t>Forgot Username</t>
  </si>
  <si>
    <t xml:space="preserve">User to enter the Date of birth </t>
  </si>
  <si>
    <t>SOW102</t>
  </si>
  <si>
    <t>User will be shown with the options to choose from login with user name / reset the password</t>
  </si>
  <si>
    <t>SOW103</t>
  </si>
  <si>
    <t>User will be asked to enter Security code to be registered.</t>
  </si>
  <si>
    <t>SOW104</t>
  </si>
  <si>
    <t>Enter Security code screen</t>
  </si>
  <si>
    <t>SOW106</t>
  </si>
  <si>
    <t>SOW216</t>
  </si>
  <si>
    <t>Notifications</t>
  </si>
  <si>
    <t>Alert Settings</t>
  </si>
  <si>
    <t>Manage payment and transfer alerts</t>
  </si>
  <si>
    <t>To include Push, SMS, Secure Message Center and Email Alerts
AP5 - Users can select preferred channels for Insight delivery via profile preferences. Insight content will be generated based on the channel (secure v. non secure)</t>
  </si>
  <si>
    <t>Week of 12/14/2020</t>
  </si>
  <si>
    <t>TBD</t>
  </si>
  <si>
    <t>SOW257</t>
  </si>
  <si>
    <t>Not Required</t>
  </si>
  <si>
    <t>Administration</t>
  </si>
  <si>
    <t>Application Content Management</t>
  </si>
  <si>
    <t>View Credentials Policies</t>
  </si>
  <si>
    <t>View the credential policy definitions</t>
  </si>
  <si>
    <t>Post R0</t>
  </si>
  <si>
    <t>Christina &amp; Jason</t>
  </si>
  <si>
    <t>SOW258</t>
  </si>
  <si>
    <t>Manage Terms and Conditions content</t>
  </si>
  <si>
    <t>Create and manage the terms and conditions content that gets displayed to the customers</t>
  </si>
  <si>
    <t>Dev Completed</t>
  </si>
  <si>
    <t>Sprint 02</t>
  </si>
  <si>
    <t>SOW259</t>
  </si>
  <si>
    <t>Manage Service Outage Messages</t>
  </si>
  <si>
    <t>Manage service outage messages that get displayed to the customers - this would be the outage message that the bank sets in Spotlight and outage messages for when different MS API's fail</t>
  </si>
  <si>
    <t>SOW260</t>
  </si>
  <si>
    <t>GTG - Prelogin</t>
  </si>
  <si>
    <t>Post login needs to have Business and Retail specific Customer Care info displayed based on Customer Profile</t>
  </si>
  <si>
    <t>Manage Customer Care Information</t>
  </si>
  <si>
    <t>Manage Customer Care Information (phone numbers and email ids) - Generic and service level</t>
  </si>
  <si>
    <t>Sprint 06</t>
  </si>
  <si>
    <t>SOW261</t>
  </si>
  <si>
    <t>Transaction and Audit Logs</t>
  </si>
  <si>
    <t>View the logs of all the transactions initiated with the OLB and mobile app channels and filter the results
CF5 - Access will be entitlement driven at the client and user level</t>
  </si>
  <si>
    <t>Jack</t>
  </si>
  <si>
    <t>SOW262</t>
  </si>
  <si>
    <t>Admin console Audit Logs</t>
  </si>
  <si>
    <t>View the logs of all the actions performed by employees within the Administration console</t>
  </si>
  <si>
    <t>SOW263</t>
  </si>
  <si>
    <t>Customer Activity Logs</t>
  </si>
  <si>
    <t>View the activities of a customer/member on the OLB and mobile app channels, along with the changes made by employees to a customer's profile</t>
  </si>
  <si>
    <t>SOW265</t>
  </si>
  <si>
    <t>Need further development</t>
  </si>
  <si>
    <t>Master Data Management</t>
  </si>
  <si>
    <t>Manage Alert Configuration</t>
  </si>
  <si>
    <t xml:space="preserve">Activate / deactivate alerts (account alerts, security, promotional alerts, etc), as well as define the alert message content within Spotlight </t>
  </si>
  <si>
    <t>SOW268</t>
  </si>
  <si>
    <t>Business Entitlements</t>
  </si>
  <si>
    <t>User Management</t>
  </si>
  <si>
    <t>Manage User</t>
  </si>
  <si>
    <t>Allows Administrators manage Users</t>
  </si>
  <si>
    <t>SOW269</t>
  </si>
  <si>
    <t>View All Users</t>
  </si>
  <si>
    <t xml:space="preserve">Allows Administrators to view list of Users </t>
  </si>
  <si>
    <t>SOW27</t>
  </si>
  <si>
    <t xml:space="preserve">User Management - Activate / Deactivate </t>
  </si>
  <si>
    <t>Confirmation screen on activating/deactivating a User</t>
  </si>
  <si>
    <t>SOW271</t>
  </si>
  <si>
    <t xml:space="preserve">Bill Pay Transaction Approval </t>
  </si>
  <si>
    <t>Invoking integration service after approval process of Bill Pay Transactions</t>
  </si>
  <si>
    <t>Naj</t>
  </si>
  <si>
    <t>SOW272</t>
  </si>
  <si>
    <t>Transfer transactions Approval</t>
  </si>
  <si>
    <t>Invoking integration service after approval process of Transfer Transactions</t>
  </si>
  <si>
    <t>SOW65</t>
  </si>
  <si>
    <t>Temenos to present User stories</t>
  </si>
  <si>
    <t>Transfers</t>
  </si>
  <si>
    <t>e-Transfer</t>
  </si>
  <si>
    <t xml:space="preserve">Transfer via interac </t>
  </si>
  <si>
    <t>Ability to perform interac transfers  - send (part of base), receive (new), request (new), auto deposit (new), view history (part of base), search (base)</t>
  </si>
  <si>
    <t>Adam</t>
  </si>
  <si>
    <t>Grant</t>
  </si>
  <si>
    <t>L2</t>
  </si>
  <si>
    <t>SOW84</t>
  </si>
  <si>
    <t>Audit Trail</t>
  </si>
  <si>
    <t xml:space="preserve">Audit Trail of Business User Activity </t>
  </si>
  <si>
    <t>Displays list of all events initiated by a business users, event type, time etc.
CF6 - Enable user activity tracking and analysis for all cash flow features and provide automate data extracts to enable billing
AP7 - Enable user activity tracking and analysis for Insights and provide automated data extracts to facilitate biling (as needd)</t>
  </si>
  <si>
    <t>SOW289</t>
  </si>
  <si>
    <t>System Logs</t>
  </si>
  <si>
    <t xml:space="preserve">System Login </t>
  </si>
  <si>
    <t>Captures the system log in, log out and related information at the bank admin level</t>
  </si>
  <si>
    <t>SOW298</t>
  </si>
  <si>
    <t>Future Release: Linked to Wires and EFT</t>
  </si>
  <si>
    <t xml:space="preserve">Multi-factor Authentication </t>
  </si>
  <si>
    <t>Multi-factor Authentication - Post Login Scenarios</t>
  </si>
  <si>
    <t>OOTB with Customization</t>
  </si>
  <si>
    <t>SOW308</t>
  </si>
  <si>
    <t>Profile Management</t>
  </si>
  <si>
    <t>Contact Address</t>
  </si>
  <si>
    <t xml:space="preserve">Displays the registered contact address </t>
  </si>
  <si>
    <t>Rodrigo Ferreira</t>
  </si>
  <si>
    <t>SOW309</t>
  </si>
  <si>
    <t>Need further discussion</t>
  </si>
  <si>
    <t>with Product</t>
  </si>
  <si>
    <t xml:space="preserve">Business Banking Dashboard </t>
  </si>
  <si>
    <t xml:space="preserve">Email </t>
  </si>
  <si>
    <t xml:space="preserve">Displays the registered email </t>
  </si>
  <si>
    <t>Week of 12/7/2020</t>
  </si>
  <si>
    <t>SOW31</t>
  </si>
  <si>
    <t xml:space="preserve">Registered phone number </t>
  </si>
  <si>
    <t xml:space="preserve">Displays the registered phone number </t>
  </si>
  <si>
    <t>SOW61</t>
  </si>
  <si>
    <t>Payments &amp; Withdrawals</t>
  </si>
  <si>
    <t xml:space="preserve">Transaction receipts </t>
  </si>
  <si>
    <t>Tax Payments Transactions - Receipts and History</t>
  </si>
  <si>
    <t xml:space="preserve">Ability to view list of tax payments, with the option to manage each transaction  ( i.e.  print and download each receipt). The list can contain the beneficiary name, transaction description, type, from account, transaction ID, date, status, amount </t>
  </si>
  <si>
    <t>T24</t>
  </si>
  <si>
    <t>SOW66</t>
  </si>
  <si>
    <t>Interac Funds Transfer</t>
  </si>
  <si>
    <t xml:space="preserve">Validate interac transfer </t>
  </si>
  <si>
    <t xml:space="preserve">Ability to validate the beneficiary details for interac (base doesn't validate, enter only). </t>
  </si>
  <si>
    <t>L2 Story Review Already Scheduled</t>
  </si>
  <si>
    <t>SOW315</t>
  </si>
  <si>
    <t>Accounts</t>
  </si>
  <si>
    <t xml:space="preserve">Transactions </t>
  </si>
  <si>
    <t>SOW266</t>
  </si>
  <si>
    <t>Create User</t>
  </si>
  <si>
    <t>Allows Administration to create a Business Banking User in DBX System</t>
  </si>
  <si>
    <t>SOW267</t>
  </si>
  <si>
    <t>Customize Email Template for User Creation</t>
  </si>
  <si>
    <t>Brand &amp; Content update for user creation email that is sent to users when they are created by the account signer</t>
  </si>
  <si>
    <t>SOW78</t>
  </si>
  <si>
    <t>User Interface</t>
  </si>
  <si>
    <t>Date format</t>
  </si>
  <si>
    <t>Set date formats</t>
  </si>
  <si>
    <t>Set Date Format to below
Time Stamp Date Format should be MMM DD, YYYY
The MMM should be alpha characters and display the abbreviation for the month, and there should be a comma after the two-digit numerical date
The year should be the numerical 4 year format
Time zone should be MDT</t>
  </si>
  <si>
    <t>SOW88</t>
  </si>
  <si>
    <t>Pay Business Taxes</t>
  </si>
  <si>
    <t xml:space="preserve">CRA "Vendor" list for Small Business Banking </t>
  </si>
  <si>
    <t>SOW89</t>
  </si>
  <si>
    <t xml:space="preserve">CRA Fund Transfer </t>
  </si>
  <si>
    <t>CRA Direct Deposit</t>
  </si>
  <si>
    <t>The ability to set up direct deposit to recieve funds from CRA. This applies to Personal and SBB</t>
  </si>
  <si>
    <t>Sprint 013</t>
  </si>
  <si>
    <t>SOW9</t>
  </si>
  <si>
    <t>Manage User Permissions</t>
  </si>
  <si>
    <t xml:space="preserve">Micro-Feature Level Entitlement in DBX
Within features there are several micro-features (or functions) that are available.
For example, in Bill Pay a user who has access to that module can:
Add Payee
Delete Payee
Create Transaction
Edit &amp; Cancel Transaction
View History (all)
Etc.
CWB is looking for an entitlement that allows the client to assign a feature and then sub/micro features as they may want a user to be able to transact a bill payment but not modify the payees list or see the entire history.
AI3 - Entitlements to control data sharing access permissions and viewing of data results on a per client and user level
CF5 - Access will be entitlement driven at the client and user level
</t>
  </si>
  <si>
    <t>SOW91</t>
  </si>
  <si>
    <t>Feature Level Entitlements in DBX
CWB needs the ability to allow clients to set feature level permissions.
In the SBB demo app it appears the top level is the Role, then the admin can select the accounts and limits for transaction types.
If the account has the entitlements to Bill Pay and Wires, the delegate user (if they have the Create Role) can create transactions for both features.
The gap is that the client needs to be able to select ‘For this account, the user can make Bill Pay transactions but not Wire transactions’
AI3 - Entitlements to control data sharing access permissions and viewing of data results on a per client and user level
CF5 - Access will be entitlement driven at the client and user level</t>
  </si>
  <si>
    <t>SOW93</t>
  </si>
  <si>
    <t>Templatizing user roles in DBX
CWB currently has the ability for Commercial clients to templatize user roles
For example, they can set up a user role as Create, with X account access and X transaction limits. Then they can ‘Save as Template’ and assign the template to future users
CWB will have to have this for Commercial and the expectation is that it can be rolled back to the SBB platform once implemented.</t>
  </si>
  <si>
    <t>Sprint 07</t>
  </si>
  <si>
    <t>SOW193</t>
  </si>
  <si>
    <t>Customer Service</t>
  </si>
  <si>
    <t>Secure Messaging</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</si>
  <si>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</si>
  <si>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</si>
  <si>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 </t>
  </si>
  <si>
    <t>SOW194</t>
  </si>
  <si>
    <t>Reply to a message</t>
  </si>
  <si>
    <t>Reply to messages to and from the bank/CU, as a secure channel of communication with the bank. Messages sent to and received from the Bank/CU will support text, images, URLs and allow capability for sending and receiving files as attachments securely.</t>
  </si>
  <si>
    <t>SOW195</t>
  </si>
  <si>
    <t>View list of inbound and sent messages</t>
  </si>
  <si>
    <t>View list of messages sent and received group by subject as threads.</t>
  </si>
  <si>
    <t>SOW196</t>
  </si>
  <si>
    <t>View list of deleted messages</t>
  </si>
  <si>
    <t>View list of deleted messages.</t>
  </si>
  <si>
    <t>SOW197</t>
  </si>
  <si>
    <t>Temenos to present User stories and workflows</t>
  </si>
  <si>
    <t xml:space="preserve">Requirement for Combined User </t>
  </si>
  <si>
    <t>Contact Us</t>
  </si>
  <si>
    <t>View customer care contact information</t>
  </si>
  <si>
    <t xml:space="preserve">View contact numbers and email ids for customer care. </t>
  </si>
  <si>
    <t>SOW198</t>
  </si>
  <si>
    <t>Click to call or text-message</t>
  </si>
  <si>
    <t xml:space="preserve">Ability to call, email the bank. </t>
  </si>
  <si>
    <t>SOW199</t>
  </si>
  <si>
    <t>Self Help</t>
  </si>
  <si>
    <t>FAQ</t>
  </si>
  <si>
    <t>Contextual Frequently Asked Questions - this will be a linkout to a CWB web browser page</t>
  </si>
  <si>
    <t>SOW2</t>
  </si>
  <si>
    <t>Help</t>
  </si>
  <si>
    <t>This will be a linkout to a CWB web browser page</t>
  </si>
  <si>
    <t>SOW224</t>
  </si>
  <si>
    <t>Terms &amp; Conditions</t>
  </si>
  <si>
    <t>Terms and Conditions</t>
  </si>
  <si>
    <t>This includes the ability to view terms and conditions to use the banking application, view privacy policy of the bank.</t>
  </si>
  <si>
    <t>SOW235</t>
  </si>
  <si>
    <t>Need further discussion on Group ID , Company mapping</t>
  </si>
  <si>
    <t>Employee Management</t>
  </si>
  <si>
    <t>Create a Company</t>
  </si>
  <si>
    <t>Fetching Accounts while adding a Company</t>
  </si>
  <si>
    <t>SOW129</t>
  </si>
  <si>
    <t>Accounts List</t>
  </si>
  <si>
    <t>SOW121</t>
  </si>
  <si>
    <t>Device Registration</t>
  </si>
  <si>
    <t>After successful first-time login, if a user’s device is not registered, enter a one-time-password and register the device in the bank ’s server. Applies only to the native phone and tablet applications. 4.1 will support Web.</t>
  </si>
  <si>
    <t>SOW122</t>
  </si>
  <si>
    <t>Device Registration Message</t>
  </si>
  <si>
    <t>SOW123</t>
  </si>
  <si>
    <t>SOW124</t>
  </si>
  <si>
    <t>Choose Default Login Method</t>
  </si>
  <si>
    <t>Choose Default Login Method (user name/Pwd, Touch ID, Pin &amp; face ID) - part of the device registration flow at login</t>
  </si>
  <si>
    <t>SOW125</t>
  </si>
  <si>
    <t>Touch ID Image</t>
  </si>
  <si>
    <t>SOW126</t>
  </si>
  <si>
    <t>Default Sign In</t>
  </si>
  <si>
    <t>Touch ID</t>
  </si>
  <si>
    <t>Touch ID Setting / Success Pop up</t>
  </si>
  <si>
    <t>SOW127</t>
  </si>
  <si>
    <t>Face ID</t>
  </si>
  <si>
    <t>SOW128</t>
  </si>
  <si>
    <t>Face ID Settings</t>
  </si>
  <si>
    <t>SOW132</t>
  </si>
  <si>
    <t xml:space="preserve">Need Services discussion </t>
  </si>
  <si>
    <t>Quick Balance - Show a quick snapshot of  account balances to a user even without logging into the application. Information displayed on this screen is encrypted and displays real-time balance of user accounts. This service can be enabled by customers who require it .</t>
  </si>
  <si>
    <t>SOW136</t>
  </si>
  <si>
    <t>New Account Opening - Current Customer</t>
  </si>
  <si>
    <t xml:space="preserve">New deposit account opening application - Pre-Login was de-scoped, post login will be an authenticated redirect to the DCO application or re-use the services that have been built for DCO. 
</t>
  </si>
  <si>
    <t>API Delivered</t>
  </si>
  <si>
    <t>addProduct</t>
  </si>
  <si>
    <t xml:space="preserve">Delviered as part DCO on boarding Digital program </t>
  </si>
  <si>
    <t>SOW311</t>
  </si>
  <si>
    <t xml:space="preserve">Needs further  discussion on 3rd party </t>
  </si>
  <si>
    <t>Remote Deposit Capture</t>
  </si>
  <si>
    <t>Sprint 05</t>
  </si>
  <si>
    <t>SOW190</t>
  </si>
  <si>
    <t>Stop PAP (Pre-Authorized Payment) is Custom development as part of newly created SOW 999</t>
  </si>
  <si>
    <t>createStopPayment
deleteStopPayment
getStopCheckPaymentRequestTransactions</t>
  </si>
  <si>
    <t xml:space="preserve">Currently under clarificaion from CWB under offshore development with L3 transact teams </t>
  </si>
  <si>
    <t>Most of the development is completed for this feature. Pending Services development for Active and Completed Status fields from Lisa and RingFence</t>
  </si>
  <si>
    <t>SOW200</t>
  </si>
  <si>
    <t>Customer Feedback</t>
  </si>
  <si>
    <t>Provide feedback (Ratings, Comments, Feature Requests)</t>
  </si>
  <si>
    <t xml:space="preserve">Request for a feature/service from the bank as a part of the feedback.: FEEDBACK LINK IN-APP; Feedback link post logout is not required </t>
  </si>
  <si>
    <t>SOW206</t>
  </si>
  <si>
    <t>Personalization</t>
  </si>
  <si>
    <t>Turn on or off Touch ID</t>
  </si>
  <si>
    <t>Ability for a user to turn on/off the Touch ID feature (for security purposes). Applies only to native phone applications.</t>
  </si>
  <si>
    <t>SOW207</t>
  </si>
  <si>
    <t>User Preferences</t>
  </si>
  <si>
    <t>Set default accounts</t>
  </si>
  <si>
    <t>GetAccountDetails</t>
  </si>
  <si>
    <t xml:space="preserve">Infinity service required. Not with Transact. 
Clarification raised with CAMB team for exisiting service availability. </t>
  </si>
  <si>
    <t>Ready for development, no acceptance criteria required.  OOTB implementation</t>
  </si>
  <si>
    <t>SOW208</t>
  </si>
  <si>
    <t>Set default login method</t>
  </si>
  <si>
    <t>Define the default login method - fingerprint, facial identification etc. in SETTINGS</t>
  </si>
  <si>
    <t>SOW21</t>
  </si>
  <si>
    <t>Security settings</t>
  </si>
  <si>
    <t>Week of 12/28/2020</t>
  </si>
  <si>
    <t>SOW210</t>
  </si>
  <si>
    <t>Similar to SOW 132</t>
  </si>
  <si>
    <t>Turn on or off Quick Balance</t>
  </si>
  <si>
    <t>Settings for Quick Balance - Show a quick snapshot of  account balances to a user even without logging into the application. Information displayed on this screen is encrypted and displays real-time balance of user accounts. This service can be enabled by customers who require it .</t>
  </si>
  <si>
    <t>SOW212</t>
  </si>
  <si>
    <t>Reorder accounts</t>
  </si>
  <si>
    <t>Not a Tranasact Requirement. To be addressed in Infinity service</t>
  </si>
  <si>
    <t>SOW213</t>
  </si>
  <si>
    <t>Turn on or off Facial recognition</t>
  </si>
  <si>
    <t>SOW236</t>
  </si>
  <si>
    <t>Manage employee roles</t>
  </si>
  <si>
    <t>Define various roles for internal users in Administration Console. Each employee can be assigned to one role. </t>
  </si>
  <si>
    <t>SOW237</t>
  </si>
  <si>
    <t>Manage employee permissions</t>
  </si>
  <si>
    <t>Multiple permissions can be assigned to a role. All permissions assigned to a role apply to users in that role, but additional permissions can be assigned to a specific user.</t>
  </si>
  <si>
    <t>SOW24</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</si>
  <si>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</si>
  <si>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</si>
  <si>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</si>
  <si>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SOW240</t>
  </si>
  <si>
    <t>Linked to SOW 250</t>
  </si>
  <si>
    <t>Search and view customer details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</si>
  <si>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</si>
  <si>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SOW34</t>
  </si>
  <si>
    <t>Temenos to present User stories and workflows (Need to be reviewed)</t>
  </si>
  <si>
    <t xml:space="preserve">Foreign Exchange </t>
  </si>
  <si>
    <t xml:space="preserve">Rate Display </t>
  </si>
  <si>
    <t>FX Rate Display</t>
  </si>
  <si>
    <t>Display info on buying or selling US cash, cheques or traveler's cheques exchange rates.
(C1 Returns the exchange rates from the institution)</t>
  </si>
  <si>
    <t>L2 Story Review Already Scheduled Week of 11/30/2020</t>
  </si>
  <si>
    <t>Santiago</t>
  </si>
  <si>
    <t>In Progress
CWB to reply to Santiago's email - Sunil and Charlotte</t>
  </si>
  <si>
    <t>SOW35</t>
  </si>
  <si>
    <t>Calculator</t>
  </si>
  <si>
    <t>FX Calculator</t>
  </si>
  <si>
    <t>FX calculator to assist users while converting foreign currencies to CAD or vice versa - User inputs a value, currency to and from and can generate a quote for the exhange rage.</t>
  </si>
  <si>
    <t>SOW60</t>
  </si>
  <si>
    <t>Bill Payment</t>
  </si>
  <si>
    <t>Bill Pay</t>
  </si>
  <si>
    <t>Transaction / Payment Receipts</t>
  </si>
  <si>
    <t xml:space="preserve">Ability to view list of bill payments, with the option to manage each transaction  ( i.e.  print and download each receipt). The list can contain the beneficiary name, transaction description, type, from account, transaction ID, date, status, amount </t>
  </si>
  <si>
    <t>SOW188</t>
  </si>
  <si>
    <t>View pending and recent deposits</t>
  </si>
  <si>
    <t>SOW189</t>
  </si>
  <si>
    <t>SOW323</t>
  </si>
  <si>
    <t>CWB: Dependent on the identified Vendor by Dec 4th</t>
  </si>
  <si>
    <t>Gerry W - 12/4/2020
Kofax</t>
  </si>
  <si>
    <t>SOW204</t>
  </si>
  <si>
    <t>Login Credentials</t>
  </si>
  <si>
    <t>Update password</t>
  </si>
  <si>
    <t>Modify the username or password by providing the 6-digit secure code sent to the registered mobile number / email.</t>
  </si>
  <si>
    <t>SOW205</t>
  </si>
  <si>
    <t>Update username</t>
  </si>
  <si>
    <t>SOW238</t>
  </si>
  <si>
    <t>Manage employees’ user accounts</t>
  </si>
  <si>
    <t>SOW239</t>
  </si>
  <si>
    <t>Available OOTB</t>
  </si>
  <si>
    <t>Employee login</t>
  </si>
  <si>
    <t>Employees can sign in by entering a username and password combination. The application also helps the employees to reset their password pre- and post-login. Will require an integration to OKTA</t>
  </si>
  <si>
    <t>SOW241</t>
  </si>
  <si>
    <t>Update customer details and preferences</t>
  </si>
  <si>
    <t>Details of customers/members can be viewed and, in some cases, updated</t>
  </si>
  <si>
    <t>UpdateCustomerDetails</t>
  </si>
  <si>
    <t>Partial  Development can be done for updating DBX DB but we need Okta Service API to update details in Okta if required. Do we need to update User Name as well?</t>
  </si>
  <si>
    <t>SOW242</t>
  </si>
  <si>
    <t>profile information such as name, home branch, risk/fraud status, mobile/online banking enrollment status, etc.</t>
  </si>
  <si>
    <t>OKTA?</t>
  </si>
  <si>
    <t>Shrikanth</t>
  </si>
  <si>
    <t>SOW243</t>
  </si>
  <si>
    <t>SOW244</t>
  </si>
  <si>
    <t>Product/Accounts owned</t>
  </si>
  <si>
    <t>SOW245</t>
  </si>
  <si>
    <t>Activity History</t>
  </si>
  <si>
    <t>SOW246</t>
  </si>
  <si>
    <t>Requests/Messages</t>
  </si>
  <si>
    <t>SOW247</t>
  </si>
  <si>
    <t>Update customer details and preferences for alerts</t>
  </si>
  <si>
    <t>Notifications/Offers available; Alert settings within Spotlight
AP5 - Users can select preferred channels for Insight delivery via profile preferences. Insight content will be generated based on the channel (secure v. non secure)</t>
  </si>
  <si>
    <t>SOW248</t>
  </si>
  <si>
    <t>Groups and Entitlements</t>
  </si>
  <si>
    <t>SOW7</t>
  </si>
  <si>
    <t>Ability to perform multiple transfers  to and from different accounts at the same time (similar to bulk transfer -  paying one tax payment from multiple accounts or multiple tax payments at the same time).</t>
  </si>
  <si>
    <t>SOW162</t>
  </si>
  <si>
    <t>Manage billers (add, update, delete)</t>
  </si>
  <si>
    <t>View a list of registered bill payees, view history of bills paid to a company, update the payee details or delete the payee account. Search for a previously added bill payee from a list of all bill payees for easy access</t>
  </si>
  <si>
    <t>SOW142</t>
  </si>
  <si>
    <t xml:space="preserve">Bill Payment </t>
  </si>
  <si>
    <t>Bill Pay Enrollment</t>
  </si>
  <si>
    <t>Activate Bill Payment for a user</t>
  </si>
  <si>
    <t>Option for user to accept the T&amp;C and activate Bill Pay service for his profile.</t>
  </si>
  <si>
    <t>SOW143</t>
  </si>
  <si>
    <t>Pay a registered biller</t>
  </si>
  <si>
    <t>Initiate a new bill payment to a payee added to the profile by providing the From account, payee nickname, amount, transfer date, and optional recurrence details and notes.</t>
  </si>
  <si>
    <t>SOW144</t>
  </si>
  <si>
    <t xml:space="preserve">Search A biller -  Biller details page will be appeared in the same screen. Browse for payees by browsing from pre-defined payee type categories such as Insurance, Property, Schools and Utilities. </t>
  </si>
  <si>
    <t>SOW145</t>
  </si>
  <si>
    <t>Biller details Page</t>
  </si>
  <si>
    <t>SOW146</t>
  </si>
  <si>
    <t>Payment Amount</t>
  </si>
  <si>
    <t>SOW147</t>
  </si>
  <si>
    <t>Frequency Selection page</t>
  </si>
  <si>
    <t>SOW148</t>
  </si>
  <si>
    <t>Duration selection</t>
  </si>
  <si>
    <t>SOW149</t>
  </si>
  <si>
    <t>Start Date</t>
  </si>
  <si>
    <t>SOW15</t>
  </si>
  <si>
    <t>End Date</t>
  </si>
  <si>
    <t>SOW150</t>
  </si>
  <si>
    <t>Send Date</t>
  </si>
  <si>
    <t>SOW151</t>
  </si>
  <si>
    <t>Recurrence # page</t>
  </si>
  <si>
    <t>SOW152</t>
  </si>
  <si>
    <t>Confirmation of Payment details</t>
  </si>
  <si>
    <t>SOW153</t>
  </si>
  <si>
    <t>SOW154</t>
  </si>
  <si>
    <t>Relation Number capture screen</t>
  </si>
  <si>
    <t>SOW155</t>
  </si>
  <si>
    <t>Policy Number capture screen for Insurance Payments</t>
  </si>
  <si>
    <t>SOW158</t>
  </si>
  <si>
    <t>Pay multiple bills together</t>
  </si>
  <si>
    <t>SOW16</t>
  </si>
  <si>
    <t>Schedule a bill pay</t>
  </si>
  <si>
    <t>Assign a future date for bill payment instead of paying immediately. Possible to set up recurring payments as well</t>
  </si>
  <si>
    <t>SOW160</t>
  </si>
  <si>
    <t>Update or Cancel scheduled bill payments</t>
  </si>
  <si>
    <t>In case of a scheduled future-dated bill payment, ability to modify the details or cancel the payment.</t>
  </si>
  <si>
    <t>SOW169</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</si>
  <si>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</si>
  <si>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</si>
  <si>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</si>
  <si>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SOW17</t>
  </si>
  <si>
    <t>Set up a transfer to own account</t>
  </si>
  <si>
    <t>Transfer funds between accounts within the same bank, by providing the From and To accounts, amount, transfer date, and optional and notes.</t>
  </si>
  <si>
    <t>CreateInternalTransfer
UpdateInternalTransfer
DeleteInternalTransfer
GetInternalTransfers</t>
  </si>
  <si>
    <t>Have Approved Stories.  Development is in progress on Sprint 0</t>
  </si>
  <si>
    <t>SOW170</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</si>
  <si>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</si>
  <si>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</si>
  <si>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 xml:space="preserve">CreateExternalTransfer
UpdateExternalTransfer
DeleteExternalTransfer
GetExternalTransfers
</t>
  </si>
  <si>
    <t>This is referreing to Me2ME transfer</t>
  </si>
  <si>
    <t>SOW171</t>
  </si>
  <si>
    <t>Transfer to another person's account in same financial institution</t>
  </si>
  <si>
    <t>SOW172</t>
  </si>
  <si>
    <t>Transfer to another person's account in other financial institution</t>
  </si>
  <si>
    <t>SOW201</t>
  </si>
  <si>
    <t>Communication Details</t>
  </si>
  <si>
    <t>Manage address, phone, email details</t>
  </si>
  <si>
    <t xml:space="preserve">Ability for users to view/update their profile – includes contact information (email ID, phone number, address). </t>
  </si>
  <si>
    <t>SOW283</t>
  </si>
  <si>
    <t>Remit Tax</t>
  </si>
  <si>
    <t>Ability to remit Provincial Business Tax (separate forms from CRA)</t>
  </si>
  <si>
    <t>SOW299</t>
  </si>
  <si>
    <t xml:space="preserve">Add CRA Business Account Number </t>
  </si>
  <si>
    <t>Ability to add CRA Business Account Number registered to file taxes</t>
  </si>
  <si>
    <t>SOW3</t>
  </si>
  <si>
    <t xml:space="preserve">Ability to remit CRA Business Tax (sepearate forms from Provincial Business Tax) </t>
  </si>
  <si>
    <t>SOW301</t>
  </si>
  <si>
    <t xml:space="preserve">Delete CRA Business Account Number </t>
  </si>
  <si>
    <t xml:space="preserve">Ability to delete  CRA Business Account Number registered to file </t>
  </si>
  <si>
    <t>SOW302</t>
  </si>
  <si>
    <t>Remove this line item as only Business taxes are considered. Personal taxes are part of OOTB Bill Pay</t>
  </si>
  <si>
    <t>Pay Personal Taxes</t>
  </si>
  <si>
    <t>Remit Tax via Bill Pay Module for Personal Taxes</t>
  </si>
  <si>
    <t xml:space="preserve">Ability to remit Provincial personal taxes (separate biller in the list for bill payments - 3-4 payees/vendors for Personal).  CRA "Vendor" list for Personal Tax Payments (included in payee list for personal tax payments). This will not be a different flow than the Bill Pay feature - will be part of the payee list that is returned. Form data is the same </t>
  </si>
  <si>
    <t>SOW69</t>
  </si>
  <si>
    <t>Ability to file or remit, initiate immediate transfer, scheduled, recurring, transfers, delete scheduled transfers and view/modify</t>
  </si>
  <si>
    <t>SOW70</t>
  </si>
  <si>
    <t xml:space="preserve">View CRA Payment History </t>
  </si>
  <si>
    <t>Ability to view payment history</t>
  </si>
  <si>
    <t>SOW161</t>
  </si>
  <si>
    <t>View history of bill payments</t>
  </si>
  <si>
    <t>View and search from a list of the recent bill payment and scheduled payments, sorted by date (most recent on top).</t>
  </si>
  <si>
    <t>SOW163</t>
  </si>
  <si>
    <t>Activate / Register for e-Transfer</t>
  </si>
  <si>
    <t>Activate e-Transfer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</si>
  <si>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SOW164</t>
  </si>
  <si>
    <t>Send money</t>
  </si>
  <si>
    <t>Send money via e-Transfer transfers to a person the user may or may not have added as a recipient. The user should be able to set up a recurring e-Transfer transfer for any of the previously added recipients.</t>
  </si>
  <si>
    <t>SOW165</t>
  </si>
  <si>
    <t>Schedule P2P transfer for future date</t>
  </si>
  <si>
    <t>Assign a future date for e-Transfer payment instead of paying immediately. Possible to set up recurring payments as well.</t>
  </si>
  <si>
    <t>SOW166</t>
  </si>
  <si>
    <t>Update or cancel scheduled e-Transfers</t>
  </si>
  <si>
    <t>In case of a scheduled future-dated e-Transfer transfer, ability to modify the details or cancel the e-Transfer transfer.</t>
  </si>
  <si>
    <t>SOW167</t>
  </si>
  <si>
    <t>View history of e-transfers</t>
  </si>
  <si>
    <t>View and search from a list of recent e-Transfer transfers and scheduled transfers, sorted by date (most recent on top).</t>
  </si>
  <si>
    <t>SOW173</t>
  </si>
  <si>
    <t>Schedule a one-time transfer</t>
  </si>
  <si>
    <t>Ability to transfer to a own account or beneficiary account one - time that has been added as a recipient / external account.</t>
  </si>
  <si>
    <t>SOW174</t>
  </si>
  <si>
    <t>Setup recurring transfers</t>
  </si>
  <si>
    <t>Ability to optionally set up a recurring transfer (daily, weekly, or monthly) within a date range or specify the number of times.</t>
  </si>
  <si>
    <t>SOW176</t>
  </si>
  <si>
    <t>Update or cancel scheduled transfers</t>
  </si>
  <si>
    <t>In case of a scheduled future-dated transfer, ability to modify the details, or cancel the transfer.</t>
  </si>
  <si>
    <t xml:space="preserve">Exisiting APIs to be reused from the previous SPRINTS Transfer STANDING.ORDER </t>
  </si>
  <si>
    <t>SOW215</t>
  </si>
  <si>
    <t>Manage account specific alerts</t>
  </si>
  <si>
    <t>SOW249</t>
  </si>
  <si>
    <t>Messages and requests</t>
  </si>
  <si>
    <t>Member care employees can view all messages sent by the end user using the secure messaging feature of the mobile/online banking application and respond to these messages, initiate new messages, view, search, filter as well as route messages to specific employees</t>
  </si>
  <si>
    <t>SOW25</t>
  </si>
  <si>
    <t>Message templates</t>
  </si>
  <si>
    <t>Create and update message templates that can be used while communicating with customers via messages</t>
  </si>
  <si>
    <t>SOW250</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</si>
  <si>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</si>
  <si>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</si>
  <si>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SOW254</t>
  </si>
  <si>
    <t>Reports</t>
  </si>
  <si>
    <t>Secure message reports</t>
  </si>
  <si>
    <t>Standard reports around messaging will be available out of the box, with the option to generate custom reports in real time</t>
  </si>
  <si>
    <t>SOW274</t>
  </si>
  <si>
    <t>GTG - Tiered approvals are available</t>
  </si>
  <si>
    <t>Approvals &amp; Requests</t>
  </si>
  <si>
    <t>Approve General Transaction</t>
  </si>
  <si>
    <t>Administrator or Authorizer approves a Transfer</t>
  </si>
  <si>
    <t>To find existiing or new API to be developed</t>
  </si>
  <si>
    <t>SOW282</t>
  </si>
  <si>
    <t>External Accounts</t>
  </si>
  <si>
    <t>Manage External Bank accounts</t>
  </si>
  <si>
    <t>SOW284</t>
  </si>
  <si>
    <t>Need to check the Transact/Infinity mapping</t>
  </si>
  <si>
    <t>Consolidate Accounts: user</t>
  </si>
  <si>
    <t>Ability to consolidate multiple accounts - this is to show all of the accounts the user has with CWB on one dashboard and is driven by the Core system. Infinity to display list of accounts as received by T24; this is part of base and the API's will have to be developed to go through Mulesoft to obtain the list of accounts related to the users CIF.</t>
  </si>
  <si>
    <t>SOW30</t>
  </si>
  <si>
    <t>View Payment</t>
  </si>
  <si>
    <t>Ability to view payment</t>
  </si>
  <si>
    <t>SOW300</t>
  </si>
  <si>
    <t xml:space="preserve">File Taxes and Filing History </t>
  </si>
  <si>
    <t xml:space="preserve">Ability to view filing history and File business taxes </t>
  </si>
  <si>
    <t>SOW168</t>
  </si>
  <si>
    <t>Manage e-Transfer recipient</t>
  </si>
  <si>
    <t>View a list of registered e-Transfer recipients, create a new e-Transfer recipient either manually or by importing from the device contacts list, modify/delete a recipient's details if desired, send/request money to/from a selected recipient, and view the e-Transfer transfer history associated with a selected recipient. </t>
  </si>
  <si>
    <t>SOW278</t>
  </si>
  <si>
    <t>Reject transactions</t>
  </si>
  <si>
    <t>Reject different transaction types</t>
  </si>
  <si>
    <t>SOW279</t>
  </si>
  <si>
    <t>Requests</t>
  </si>
  <si>
    <t>Displays list of transactions initiated by User. Transaction Types are General Transactions</t>
  </si>
  <si>
    <t>SOW281</t>
  </si>
  <si>
    <t>Rodrigo</t>
  </si>
  <si>
    <t>Add Accounts from External Banks</t>
  </si>
  <si>
    <t xml:space="preserve">Add accounts  from external financial institutions for external transfers only </t>
  </si>
  <si>
    <t>T24
Flinks</t>
  </si>
  <si>
    <t>GetExternalAccounts
CreateExternalTransfer</t>
  </si>
  <si>
    <t>SOW286</t>
  </si>
  <si>
    <t>Manage Delegate Access to Consolidated Accounts</t>
  </si>
  <si>
    <t xml:space="preserve">Ability to grant access to delegates to access consolidated accounts,  define permissions  for each account </t>
  </si>
  <si>
    <t>SOW290</t>
  </si>
  <si>
    <t>Recall is for pending approvals; not required for Post approvals</t>
  </si>
  <si>
    <t xml:space="preserve">Approvals and Request </t>
  </si>
  <si>
    <t xml:space="preserve">Recall Transactions </t>
  </si>
  <si>
    <t>Week of 12/21/2020</t>
  </si>
  <si>
    <t>SOW296</t>
  </si>
  <si>
    <t>Load permissions</t>
  </si>
  <si>
    <t>Fetch the list of permissions and entitlements for the logged-in customer. These permissions define the behavior and availability of features for a specific customer</t>
  </si>
  <si>
    <t>SOW36</t>
  </si>
  <si>
    <t>Marketing</t>
  </si>
  <si>
    <t>Advertisements</t>
  </si>
  <si>
    <t>Pre-login Advertisements</t>
  </si>
  <si>
    <t>Pre-login banner advertisements or offers on the login screen</t>
  </si>
  <si>
    <t>SOW37</t>
  </si>
  <si>
    <t>Post-login Full-screen Advertisements</t>
  </si>
  <si>
    <t>Full screen advertisements immediately after login</t>
  </si>
  <si>
    <t>SOW38</t>
  </si>
  <si>
    <t>Accounts list Advertisements</t>
  </si>
  <si>
    <t>In-feed banner advertisements on the Accounts List screen</t>
  </si>
  <si>
    <t>SOW287</t>
  </si>
  <si>
    <t xml:space="preserve">Remove Consolidated Accounts </t>
  </si>
  <si>
    <t>Ability to edit/remove consolidated accounts - this is hide / show accounts (favoriting)</t>
  </si>
  <si>
    <t>Need more clarity on requirement</t>
  </si>
  <si>
    <t>SOW83</t>
  </si>
  <si>
    <t>Pagination</t>
  </si>
  <si>
    <t xml:space="preserve">Increase pagination beyond 10 transactions at a time. The requirement is to allow User to see 50 per page.
Parameter of the pagination has to be passed to MS, need a cursor value back for next and previous transaction pages. </t>
  </si>
  <si>
    <t>SOW285</t>
  </si>
  <si>
    <t>Consolidate Accounts: account signer</t>
  </si>
  <si>
    <t xml:space="preserve">Ability to allow account signer to consolidate personal and Business accounts - this is part of the flexible dashboard and is done in Spotlight to consolidate </t>
  </si>
  <si>
    <t xml:space="preserve">Dependent on Sprint 01 getAccountList </t>
  </si>
  <si>
    <t>SOW191</t>
  </si>
  <si>
    <t>Notification Center</t>
  </si>
  <si>
    <t>View a list of all the notifications the bank has sent; the user can also delete notifications that has already been read.</t>
  </si>
  <si>
    <t>SOW192</t>
  </si>
  <si>
    <t>Push Notifications</t>
  </si>
  <si>
    <t>Receive push notifications</t>
  </si>
  <si>
    <t>Receive push notifications, powered by the underlying Kony Digital Banking platform</t>
  </si>
  <si>
    <t>SOW217</t>
  </si>
  <si>
    <t>Manage security alerts</t>
  </si>
  <si>
    <t>SOW218</t>
  </si>
  <si>
    <t>Locations</t>
  </si>
  <si>
    <t>Find the nearest ATM or branch</t>
  </si>
  <si>
    <t xml:space="preserve">Find the nearest ATM/branch based on your device current location or search by using postal code, city, or state details. - this will be a linkout to Sitecore UI and display in an iFrame </t>
  </si>
  <si>
    <t>SOW252</t>
  </si>
  <si>
    <t>User login reports</t>
  </si>
  <si>
    <t>Standard reports around customer log in attempts will be available out of the box, with the option to generate custom reports in real time</t>
  </si>
  <si>
    <t>SOW253</t>
  </si>
  <si>
    <t>Transaction reports</t>
  </si>
  <si>
    <t>Standard reports around banking transactions will be available out of the box, with the option to generate custom reports in real time</t>
  </si>
  <si>
    <t>SOW251</t>
  </si>
  <si>
    <t>Requirements with Temenos</t>
  </si>
  <si>
    <t>Account Dashboard</t>
  </si>
  <si>
    <t>Dashboard</t>
  </si>
  <si>
    <t>The default landing screen for the application; shows accounts list, a summary of messages and notifications received. Applies to Retail, SBB and Combined Dashboard. This does not include the CODAT integration</t>
  </si>
  <si>
    <t>SOW291</t>
  </si>
  <si>
    <t>Expired Transactions</t>
  </si>
  <si>
    <t xml:space="preserve">Small Business Pre approved User Transactions. List of transaction that have expired 
For scheduled payments, if the date of the first payment / cutoff times is surpassed the payment moves into the expired listing. 
Requirement is to have one place for the client to manage all of their payments for SBB; should be able to one aggregated payment listing with all payment statuses and payment types. Would include EFT (ACH), eTransfers, Bill Pay, Transfers, Wires in one list. Be able to filter the list, expand the list details, download the list (filtered / not filtered). Will be critical for Corporate. 
At minimum for release 1, having a listing of all the payments in one listing with all payment statuses with filtering ability. EFT is OK for post release 1, but def needed for Corporate. 
Note - 9/18 - EFT is no longer in scope for Release 1 and is in the backlog
</t>
  </si>
  <si>
    <t>SOW292</t>
  </si>
  <si>
    <t>List of Approved, Rejected, Pending approval by Business user</t>
  </si>
  <si>
    <t>A list  of approved, Rejected, Pending approval  by Business user.
Requirement is to have one place for the client to manage all of their payments for SBB; should be able to one aggregated payment listing with all payment statuses and payment types. Would include EFT (ACH), eTransfers, Bill Pay, Transfers, Wires in one list. Be able to filter the list, expand the list details, download the list (filtered / not filtered). Will be critical for Corporate. 
At minimum for release 1, having a listing of all the payments in one listing with all payment statuses with filtering ability. EFT is OK for post release 1, but def needed for Corporate. Note - 9/18 - EFT is no longer in scope for Release 1 and is in the backlog</t>
  </si>
  <si>
    <t>SOW130</t>
  </si>
  <si>
    <t>Account Details</t>
  </si>
  <si>
    <t xml:space="preserve">Additional information on all account types - users can select an account from the dashboard and view details of the accounts including quick links. User can toggle between accounts on this page. </t>
  </si>
  <si>
    <t>GetAccounts</t>
  </si>
  <si>
    <t>Have Approved Stories. Some are blocked due to Combined Banking</t>
  </si>
  <si>
    <t>SOW131</t>
  </si>
  <si>
    <t xml:space="preserve">Account Details - Settings </t>
  </si>
  <si>
    <t xml:space="preserve">Account Nicknames - support of account nicknaming - which occurs on the </t>
  </si>
  <si>
    <t>UpdateAccountDetails</t>
  </si>
  <si>
    <t>Service required but need to do dev with Stubs</t>
  </si>
  <si>
    <t>SOW68</t>
  </si>
  <si>
    <t xml:space="preserve">Cross Currency Transfer </t>
  </si>
  <si>
    <t>Ability to make cross-currency transfers between Canadian and U.S. dollar accounts</t>
  </si>
  <si>
    <t>SOW62</t>
  </si>
  <si>
    <t>Not required</t>
  </si>
  <si>
    <t>Pending Transactions</t>
  </si>
  <si>
    <t>Remove pending transactions. They will not be displayed on the transactions dashboard.</t>
  </si>
  <si>
    <t>SOW137</t>
  </si>
  <si>
    <t>Transactions</t>
  </si>
  <si>
    <t>GetAccountTransactions</t>
  </si>
  <si>
    <t>SOW138</t>
  </si>
  <si>
    <t>Transaction Search</t>
  </si>
  <si>
    <t>SOW14</t>
  </si>
  <si>
    <t>Print Transactions</t>
  </si>
  <si>
    <t>Print transactions</t>
  </si>
  <si>
    <t>SOW140</t>
  </si>
  <si>
    <t>Statements - Settings</t>
  </si>
  <si>
    <t>SOW141</t>
  </si>
  <si>
    <t>Statements</t>
  </si>
  <si>
    <t>View and Download Statements</t>
  </si>
  <si>
    <t>SOW264</t>
  </si>
  <si>
    <t>Manage Services and Limits</t>
  </si>
  <si>
    <t>Control various aspects of services e.g. transaction limits, fees/charges, availability schedule. Limits may be applicable for all customers/members or only to a certain group; administrators can view and update these limits. Back-end only</t>
  </si>
  <si>
    <t>SOW44</t>
  </si>
  <si>
    <t>Search for a CRA Biller</t>
  </si>
  <si>
    <t>Ability for client to search for a biller that is not a saved bill payee - specific to CRA Vendor</t>
  </si>
  <si>
    <t>SOW97</t>
  </si>
  <si>
    <t>Temenos to present User Stories and workflows</t>
  </si>
  <si>
    <t xml:space="preserve">Menu </t>
  </si>
  <si>
    <t>Navigation and Configuration</t>
  </si>
  <si>
    <t>Deliver a configurable menu in Release 1 (not a customization that would impact future upgrades). They require two sections for money movement at the top hierarchy of the menu structure:
	Transfers – includes only internal A2A and external A2A transfers) 
	Payments – includes all other payment type 
CRA (Tax Payments)
Bill Pay
EFT / ACH
eTransfers (P2P)
– This mean splitting the transfers module into two and adding restrictions 
Wires (Domestic and International)
CWB requests Product team take this item
Note - 9/18 - EFT is no longer in scope for Release 1 and is in the backlog</t>
  </si>
  <si>
    <t>SOW325</t>
  </si>
  <si>
    <t>Include Expired and Recalled into the list  of Approved, Rejected, and  Pending approval by Business user</t>
  </si>
  <si>
    <t>SPLIT FROM SOW292 
Small Business Users: Adding listing A list  of approved, Rejected, Recalled, Pending approval or Expired  by Business user.
Requirement is to have one place for the client to manage all of their payments for SBB; should be able to one aggregated payment listing with all payment statuses and payment types. Would include EFT (ACH), eTransfers, Bill Pay, Transfers, Wires in one list. Be able to filter the list, expand the list details, download the list (filtered / not filtered). Will be critical for Corporate. 
At minimum for release 1, having a listing of all the payments in one listing with all payment statuses with filtering ability. EFT is OK for post release 1, but def needed for Corporate. Note - 9/18 - EFT is no longer in scope for Release 1 and is in the backlog</t>
  </si>
  <si>
    <t>SOW326</t>
  </si>
  <si>
    <t>CRA and Provincial Tax Form UI</t>
  </si>
  <si>
    <t>Develop UI for all CRA and Provincial Tax Forms</t>
  </si>
  <si>
    <t>OOTB without customization</t>
  </si>
  <si>
    <t>Functionality items per sprint</t>
  </si>
  <si>
    <t>OOTB with customization</t>
  </si>
  <si>
    <t>Sprint 8</t>
  </si>
  <si>
    <t>Sprint 9</t>
  </si>
  <si>
    <t>Other</t>
  </si>
  <si>
    <t>TOTAL</t>
  </si>
  <si>
    <t>OOTB 
without customization</t>
  </si>
  <si>
    <t>OOTB 
with customization</t>
  </si>
  <si>
    <t>T24 Data mapping</t>
  </si>
  <si>
    <t>Technical Design</t>
  </si>
  <si>
    <t>Services/RAML Definition</t>
  </si>
  <si>
    <t>UI/UX</t>
  </si>
  <si>
    <t>User Story</t>
  </si>
  <si>
    <t>CWB Story Approval</t>
  </si>
  <si>
    <t>Mulesoft and third-party</t>
  </si>
  <si>
    <t>Overdue</t>
  </si>
  <si>
    <t>Due Tomorrow</t>
  </si>
  <si>
    <t>Due 2-5 days from today</t>
  </si>
  <si>
    <t>Due 6-10 days from today</t>
  </si>
  <si>
    <t>Requirements Workshop Date</t>
  </si>
  <si>
    <t>Services Definition Due Date</t>
  </si>
  <si>
    <t>Services DefinitionOwner</t>
  </si>
  <si>
    <t>Mule Delivery Due Date</t>
  </si>
  <si>
    <t>Mule Delivery Owner</t>
  </si>
  <si>
    <t>Mule Readiness Status</t>
  </si>
  <si>
    <t>User can choose Security code</t>
  </si>
  <si>
    <t xml:space="preserve"> f</t>
  </si>
  <si>
    <t>Check Management</t>
  </si>
  <si>
    <t>Stop Check Payment</t>
  </si>
  <si>
    <t>Stop check payment</t>
  </si>
  <si>
    <r>
      <t xml:space="preserve">Stop Check Payment, View list of requests, and </t>
    </r>
    <r>
      <rPr>
        <sz val="11"/>
        <color rgb="FFFF0000"/>
        <rFont val="Calibri"/>
        <family val="2"/>
        <scheme val="minor"/>
      </rPr>
      <t xml:space="preserve">delete stop check payment request </t>
    </r>
  </si>
  <si>
    <t>Ability for a user to set a default account for various transactions such as Bill Pay and Remote Check Deposits (for ease of use).</t>
  </si>
  <si>
    <t>Jude</t>
  </si>
  <si>
    <t>Contact information and preferences</t>
  </si>
  <si>
    <t>Transactional Logs</t>
  </si>
  <si>
    <t>More clarity needed</t>
  </si>
  <si>
    <t>Add other members of the same bank as recipients by providing their Account Number, Account Type (Checking/Savings), Account Holder's Name/Beneficiaries Name, and Nickname details.</t>
  </si>
  <si>
    <t xml:space="preserve">To double check if the same set of API are used for Domestic as well </t>
  </si>
  <si>
    <t>Add members of other banks as recipients by providing their Account Number, Bank Name, Account Type (Checking/Savings), Account Holder's Name /Beneficiary's Name, and Nickname details.</t>
  </si>
  <si>
    <t xml:space="preserve">Update nickname and remove external accounts added for transfers </t>
  </si>
  <si>
    <t>Transaction Search
Current Search Capabilities are documented in the linked documents. Here is a summary:
Show most recent transactions in the following increments 5,10, 15, 50, or 100 in the last 15 days (50 is default)
User needs to see 50 transactions per page. 
By Date Range: From Date, to Date (calendar Selector) (five years is max)
By Month for the last 12 months.  (Drop Down Menu)
Advanced Search Options:
All Statement Items (default)
Deposits only
Withdrawals
Cheques
Bill Payments
Search by Descriptor
Search by Cheque Number
Search by Amount
Search by Confirmation Number
The User can select the display format . These include: 
On Screen with details (Date, Description, Credits, Debits, Balance)* this is the default
On Screen without details  (Date,  Limited Description, Credits, Debits, Balance)</t>
  </si>
  <si>
    <t>To be clarified with CWB. To organise a session</t>
  </si>
  <si>
    <t>Week of 12/14</t>
  </si>
  <si>
    <t>Activate Paperless Statements</t>
  </si>
  <si>
    <t>This will be looked on case by case basis with the current alerts Setup</t>
  </si>
  <si>
    <t xml:space="preserve">To chcked transact dependency </t>
  </si>
  <si>
    <t>Specific users (e.g. administrators) can create, update, delete, suspend (temporary), deactivate (permanent) employee accounts for admin console. An email is sent to the new user when his/her profile is created.</t>
  </si>
  <si>
    <t xml:space="preserve">To be checked with Sudha on the current integration </t>
  </si>
  <si>
    <t>SOW TBD</t>
  </si>
  <si>
    <t>Stop Check Payment for Pre-Authorized Payment</t>
  </si>
  <si>
    <t>View Check Images</t>
  </si>
  <si>
    <t>View the back/front check images of specific transactions 
On-us cheques only</t>
  </si>
  <si>
    <t>Gerry W - 12/4/2020</t>
  </si>
  <si>
    <t>Enhance vendor list or create new Vendor list in Spotlight to allow input of Canadian Revenue Agency (CRA) payees. This is specific to Canada. 
Today, the vendor list that exists in Spotlight is used to  Bill Pay vendors, e.g. AT&amp;T, Netflix, PayPal, etc. Similarly, there are CRA vendors for paying  country-wide and provincial payees. This would function like a bill pay vendor list, but needs a focus for CRA vendors.
Requirements include everything from the existing vendor list.
This is required if we are to move away from storing these in Central 1.</t>
  </si>
  <si>
    <t>Reset the list of security questions, as well as the secure access code delivery option</t>
  </si>
  <si>
    <t>View a list of recent check deposits, sorted by date (most recent on top). Pending will not be displayed; only past</t>
  </si>
  <si>
    <t>View check images</t>
  </si>
  <si>
    <t>For specific transactions, view the back / front check images. Only on-us checks will display and will come from DOXIM; is dependent upon integration with MS and Doxim.</t>
  </si>
  <si>
    <t>Gerry W - 12/4/2020
DOXIM</t>
  </si>
  <si>
    <t>Week of 11/30/2020</t>
  </si>
  <si>
    <t>Recent and Pending Transactions in base - only posted transactions are supported via the CWB core - not pending transactions will be displayed</t>
  </si>
  <si>
    <t>Deposit a check</t>
  </si>
  <si>
    <t xml:space="preserve">Choose an account into which you deposit a check, specify the amount, add a note, take pictures of the check (front and back images), and initiate a remote deposit.  </t>
  </si>
  <si>
    <t xml:space="preserve">Check capture &amp; compression /resizing of check and validations using third parties </t>
  </si>
  <si>
    <t>Mobile Number Capture screen for Phone recharge</t>
  </si>
  <si>
    <r>
      <t xml:space="preserve">Small Business Pre approved User Transactions: Able to recall transaction that have been rejected by the initiating signer or for which the requester wants to discontinue processing </t>
    </r>
    <r>
      <rPr>
        <sz val="11"/>
        <color rgb="FFFF0000"/>
        <rFont val="Calibri"/>
        <family val="2"/>
        <scheme val="minor"/>
      </rPr>
      <t>(post approval)</t>
    </r>
  </si>
  <si>
    <t>SPRINT 99 - DONE</t>
  </si>
  <si>
    <t>NA?</t>
  </si>
  <si>
    <t>Sprint 99 - Post R1</t>
  </si>
  <si>
    <t>Multi-factor authentication and step-up authentication; for example, by using OTP ( phone or email), Facial Authentication, challenge questions, and more</t>
  </si>
  <si>
    <t>Status</t>
  </si>
  <si>
    <t>User Story #</t>
  </si>
  <si>
    <t>In Review</t>
  </si>
  <si>
    <t>Decision Updated</t>
  </si>
  <si>
    <t>Decision Details if the Status is "Decision Updated"</t>
  </si>
  <si>
    <t>Decision Date if the Status is "Decision Updated"</t>
  </si>
  <si>
    <t>Sprint#</t>
  </si>
  <si>
    <t>Count of User Story #</t>
  </si>
  <si>
    <t>Decision Made by if the Status is "Decision Updated"</t>
  </si>
  <si>
    <t>User Story Approval Due Date</t>
  </si>
  <si>
    <t>Transfer to own account in other financial institutions (Me2Me)</t>
  </si>
  <si>
    <t>Christina Mullin</t>
  </si>
  <si>
    <t>Additonal
Notes</t>
  </si>
  <si>
    <t xml:space="preserve">The Infinity Stop Cheque and Stop Payment function includes a field for the Date of Request Field.  The intent  of this field is to display the date the stop request was made.  This date is captured and sent to T24.  However when a user is review the request history, the Date Requested field is not returned from T24. CWB does require this field (should) and a decision is required on how to solution this field. The four options discussed are as follows: 
• Change the API to return the Date of Request
• Suppress the field
• Display the date based on what Infinity captures when (needs to be validated if this is technically possible).  This would be  a temporary solution. 
• Leave it blank
</t>
  </si>
  <si>
    <t>Cheque Management</t>
  </si>
  <si>
    <t>Stop Cheque Payment</t>
  </si>
  <si>
    <t>Stop Cheque payment</t>
  </si>
  <si>
    <t>12/18/2020 CM: Defer Me2Me from R1 to a post R1 release.  This needs to be there with Motive as it is a retail function.
Temenos and CWB agreed both recommended deferring M2M, and collectively indicated it would put R1 at risk in the workshop this morning.</t>
  </si>
  <si>
    <t>This needs to be there with Motive as it is a retail function.</t>
  </si>
  <si>
    <t>The request create date is required.
Suppresssing and leaving it blank are not options as date is on the screen and part of the user story.
Next step is to ask Temenos what would suffice as a solution.</t>
  </si>
  <si>
    <t>11.1.1</t>
  </si>
  <si>
    <t>Approved</t>
  </si>
  <si>
    <t>11.1.2</t>
  </si>
  <si>
    <t>11.1.3</t>
  </si>
  <si>
    <t>11.1.4</t>
  </si>
  <si>
    <t>11.1.5</t>
  </si>
  <si>
    <t>11.1.6</t>
  </si>
  <si>
    <t>11.2.1</t>
  </si>
  <si>
    <t>11.2.2</t>
  </si>
  <si>
    <t>11.2.3</t>
  </si>
  <si>
    <t>11.2.4</t>
  </si>
  <si>
    <t>11.2.5</t>
  </si>
  <si>
    <t>11.2.6</t>
  </si>
  <si>
    <t>SOW71</t>
  </si>
  <si>
    <t>SOW72</t>
  </si>
  <si>
    <t>SOW73</t>
  </si>
  <si>
    <t>11.3.1</t>
  </si>
  <si>
    <t xml:space="preserve">Remove external accounts added for transfers </t>
  </si>
  <si>
    <t>Draft</t>
  </si>
  <si>
    <t>12.1.1</t>
  </si>
  <si>
    <t>SOW1000</t>
  </si>
  <si>
    <t>Stop Payment</t>
  </si>
  <si>
    <t>Stop payment</t>
  </si>
  <si>
    <t>Stop Payment for Pre-Authorized Payment</t>
  </si>
  <si>
    <t>12.3.1</t>
  </si>
  <si>
    <t>12.3.2</t>
  </si>
  <si>
    <t>12.3.3</t>
  </si>
  <si>
    <t>12.3.4</t>
  </si>
  <si>
    <t>12.3.5</t>
  </si>
  <si>
    <t>12.3.6</t>
  </si>
  <si>
    <t>12.3.7</t>
  </si>
  <si>
    <t>12.3.8</t>
  </si>
  <si>
    <t>12.3.9</t>
  </si>
  <si>
    <t>12.3.10</t>
  </si>
  <si>
    <t>12.3.11</t>
  </si>
  <si>
    <t>12.3.12</t>
  </si>
  <si>
    <t>12.3.13</t>
  </si>
  <si>
    <t>12.3.14</t>
  </si>
  <si>
    <t>12.3.15</t>
  </si>
  <si>
    <t>12.3.16</t>
  </si>
  <si>
    <t>12.3.17</t>
  </si>
  <si>
    <t>12.3.18</t>
  </si>
  <si>
    <t>Revoke PAP will not be in R1</t>
  </si>
  <si>
    <t>13.2.1</t>
  </si>
  <si>
    <t>13.2.2</t>
  </si>
  <si>
    <t>SOW34, SOW35</t>
  </si>
  <si>
    <t>13.4.1</t>
  </si>
  <si>
    <t>13.4.2</t>
  </si>
  <si>
    <t>13.4.3</t>
  </si>
  <si>
    <t>13.4.4</t>
  </si>
  <si>
    <t>Display info on buying or selling US cash, cheques or traveler's cheques exchange rates.
(C1 Returns the exchange rates from the institution)
FX calculator to assist users while converting foreign currencies to CAD or vice versa - User inputs a value, currency to and from and can generate a quote for the exhange rate.</t>
  </si>
  <si>
    <t>12.1.2</t>
  </si>
  <si>
    <t>15.1.2</t>
  </si>
  <si>
    <t>SOW290, SOW291, SOW292, SOW325</t>
  </si>
  <si>
    <t>15.1.3</t>
  </si>
  <si>
    <t>Recall Transactions
Expired Transactions
List of Approved, Rejected, Pending approval by Business user
Include Expired and Recalled into the list  of Approved, Rejected, and  Pending approval by Business user</t>
  </si>
  <si>
    <t>See Delivery Plan</t>
  </si>
  <si>
    <t>13.6.1</t>
  </si>
  <si>
    <t>13.6.2</t>
  </si>
  <si>
    <t>13.6.3</t>
  </si>
  <si>
    <t xml:space="preserve">Include in Scope to manage multiple statuses for PAP. </t>
  </si>
  <si>
    <t>11.6.1</t>
  </si>
  <si>
    <t>11.6.3</t>
  </si>
  <si>
    <t>UI Pending</t>
  </si>
  <si>
    <t>SOW 138</t>
  </si>
  <si>
    <t>Transaction Search
Current Search Capabilities are documented in the linked documents. Here is a summary:
Show most recent 50 transactions (50 is default)
User needs to see 50 transactions per page. 
By Date Range: From Date, to Date (calendar Selector) (five years is max)
By Month for the last 12 months.  (Drop Down Menu)
Advanced Search Options:
All Statement Items (default)
Deposits only
Withdrawals
Cheques
Bill Payments
Search by Descriptor
Search by Cheque Number
Search by Amount
Search by Confirmation Number
The User can select the display format . These include: 
On Screen with details (Date, Description, Credits, Debits, Balance)* this is the default
On Screen without details  (Date,  Limited Description, Credits, Debits, Balance)</t>
  </si>
  <si>
    <t>11.4.1</t>
  </si>
  <si>
    <t>11.4.2</t>
  </si>
  <si>
    <t>11.4.3</t>
  </si>
  <si>
    <t>11.6.2</t>
  </si>
  <si>
    <t>11.4.4</t>
  </si>
  <si>
    <t>14.1.5</t>
  </si>
  <si>
    <t>14.1.1</t>
  </si>
  <si>
    <t>14.1.2</t>
  </si>
  <si>
    <t>14.1.3</t>
  </si>
  <si>
    <t>14.1.4</t>
  </si>
  <si>
    <t>14.1.6</t>
  </si>
  <si>
    <t>14.1.7</t>
  </si>
  <si>
    <t>14.1.8</t>
  </si>
  <si>
    <t>15.1.4</t>
  </si>
  <si>
    <t>15.1.5</t>
  </si>
  <si>
    <t>15.1.6</t>
  </si>
  <si>
    <t>Neil (1/15/20) set email to Grant to request solution scope)</t>
  </si>
  <si>
    <t xml:space="preserve">removed b/c Stop Cheque is not in r1
1/14/21- Notified Temenos, stories moved to In Draft Status in Confluence </t>
  </si>
  <si>
    <t>Neil 1/15/21) Pending UI Approval</t>
  </si>
  <si>
    <t>2.2.7</t>
  </si>
  <si>
    <t>2.2.8</t>
  </si>
  <si>
    <t>13.1.1</t>
  </si>
  <si>
    <t>13.1.2</t>
  </si>
  <si>
    <t>13.1.3</t>
  </si>
  <si>
    <t>13.1.4</t>
  </si>
  <si>
    <t>CRA Fund Transfer</t>
  </si>
  <si>
    <t>Ability to perform multiple transfers to and from different accounts at the same time (similar to bulk transfer - paying one tax payment from multiple accounts or multiple tax payments at the same time).</t>
  </si>
  <si>
    <t xml:space="preserve"> This is not standard functionality today (for both CWB and Infinity), so it would go against the direction of the project in taking out of the box where applicable. 
  There is limited perceived value from the client perspective given the overall complexity of each tax form making it difficult from a UX viewpoint to offer a bill payment interaction that could encompass multiple tax forms within one experience.
  Potential reconciliation issues were raised for the back office staff if a single payment was made from multiple accounts given the nature of how T24 process and records these transactions. 
  T24 transact can only process a single payment at one time, which would then require a mechanism by which Infinity/Mule would store the multiple payments in sequential order to be processed by T24 transact. This level of functionality would require development and would introduce additional risk into the payment process. 
Given the above points and the overall sensitive nature of the CRA payments overall, we are recommending to exclude SOW7 from delivery for the R1 release and potentially entirely from the development schedule.</t>
  </si>
  <si>
    <t>Remove this from scope from R1. Let's keep on the list for post R1 and revisit priority later.</t>
  </si>
  <si>
    <t>13.1.5</t>
  </si>
  <si>
    <t>15.1.1</t>
  </si>
  <si>
    <t>15.1.7</t>
  </si>
  <si>
    <t>15.1.8</t>
  </si>
  <si>
    <t>15.1.9</t>
  </si>
  <si>
    <t>15.1.10</t>
  </si>
  <si>
    <t>15.1.11</t>
  </si>
  <si>
    <t>SOW142,
SOW155,
SOW15</t>
  </si>
  <si>
    <t>E-Bills</t>
  </si>
  <si>
    <t xml:space="preserve">E-Bill functionality not available for CWB. </t>
  </si>
  <si>
    <t>12.3.19</t>
  </si>
  <si>
    <t>12.3.20</t>
  </si>
  <si>
    <t>Jan 18-22</t>
  </si>
  <si>
    <t xml:space="preserve">Story Approval  Date </t>
  </si>
  <si>
    <t xml:space="preserve">        </t>
  </si>
  <si>
    <t>14.1.9</t>
  </si>
  <si>
    <t>14.1.10</t>
  </si>
  <si>
    <t>14.1.11</t>
  </si>
  <si>
    <t>14.1.12</t>
  </si>
  <si>
    <t>14.1.13</t>
  </si>
  <si>
    <t>14.1.14</t>
  </si>
  <si>
    <t>14.1.15</t>
  </si>
  <si>
    <t>14.1.16</t>
  </si>
  <si>
    <t>14.1.17</t>
  </si>
  <si>
    <t>14.1.18</t>
  </si>
  <si>
    <t>14.1.19</t>
  </si>
  <si>
    <t>14.1.20</t>
  </si>
  <si>
    <t>14.1.21</t>
  </si>
  <si>
    <t>SOW4</t>
  </si>
  <si>
    <t>SOW5</t>
  </si>
  <si>
    <t>SOW6</t>
  </si>
  <si>
    <t>SOW8</t>
  </si>
  <si>
    <t>SOW11</t>
  </si>
  <si>
    <t>SOW12</t>
  </si>
  <si>
    <t>SOW13</t>
  </si>
  <si>
    <t xml:space="preserve"> SOW Description </t>
  </si>
  <si>
    <t>13.5.1</t>
  </si>
  <si>
    <t>Enhance vendor list or create new Vendor list in Spotlight to allow input of Canadian Revenue Agency (CRA) payees. This is specific to Canada. 
Today, the vendor list that exists in Spotlight is used to  Bill Pay vendors, e.g. Gov. of Alberta, etc. Similarly, there are CRA vendors for paying  country-wide and provincial payees. This would function like a bill pay vendor list, but needs a focus for CRA vendors.
Requirements include everything from the existing vendor list.
This is required if we are to move away from storing these in Central 1.</t>
  </si>
  <si>
    <t>11.1.7</t>
  </si>
  <si>
    <t>14.3.1</t>
  </si>
  <si>
    <t>14.3.2</t>
  </si>
  <si>
    <t>14.3.3</t>
  </si>
  <si>
    <t>14.3.4</t>
  </si>
  <si>
    <t>14.3.5</t>
  </si>
  <si>
    <t>14.3.6</t>
  </si>
  <si>
    <t>14.3.7</t>
  </si>
  <si>
    <t>SOW158
SOW146</t>
  </si>
  <si>
    <t>Pay multiple bills together
Pay a registered biller</t>
  </si>
  <si>
    <t>Bill Payment
Payments &amp; Withdrawals</t>
  </si>
  <si>
    <t xml:space="preserve">Payment Amount </t>
  </si>
  <si>
    <t>SOW162
SOW144</t>
  </si>
  <si>
    <t xml:space="preserve">Payments &amp; Withdrawals
Bill Payment 
</t>
  </si>
  <si>
    <t xml:space="preserve">View a list of registered bill payees, view history of bills paid to a company, update the payee details or delete the payee account. Search for a previously added bill payee from a list of all bill payees for easy access
Search A biller -  Biller details page will be appeared in the same screen. Browse for payees by browsing from pre-defined payee type categories such as Insurance, Property, Schools and Utilities. </t>
  </si>
  <si>
    <t>E-Transfer Security Question</t>
  </si>
  <si>
    <t>Currently our system only allows for Option 1, the foregoing thought that only Option 2 was needed in the new platform, but the decision is now both Options 1 and 2 for Infinity.</t>
  </si>
  <si>
    <t>As Per Email from Gerry W dated Feb 03, 2021</t>
  </si>
  <si>
    <t xml:space="preserve">
1. The ability to set up and store the security question and answer per recipient (still editable but via edit recipient details api); and
2. The ability to change the security question and answer ad hoc (i.e. whenever a new payment is made). Depending on the how the Interec API works, it may or may not overwrite the Security question and answer already in place for that recipient.
</t>
  </si>
  <si>
    <t>SOW309
SOW31</t>
  </si>
  <si>
    <t xml:space="preserve">Email 
Registered phone number </t>
  </si>
  <si>
    <t xml:space="preserve">Displays the registered email 
Displays the registered phone number </t>
  </si>
  <si>
    <t>10.0.5</t>
  </si>
  <si>
    <t>Pre-Approved story required further clarification regarding phone number format and validation rules</t>
  </si>
  <si>
    <t>14.3.8</t>
  </si>
  <si>
    <t>14.3.9</t>
  </si>
  <si>
    <t>14.3.10</t>
  </si>
  <si>
    <t>14.3.11</t>
  </si>
  <si>
    <t>SOW15
SOW16
SOW143
SOW146
SOW147
SOW148
SOW149
SOW150
SOW151</t>
  </si>
  <si>
    <t>14.3.12</t>
  </si>
  <si>
    <t>14.3.13</t>
  </si>
  <si>
    <t>14.3.14</t>
  </si>
  <si>
    <t>14.3.15</t>
  </si>
  <si>
    <t>14.3.16</t>
  </si>
  <si>
    <t>SOW160
SOW16</t>
  </si>
  <si>
    <t>Pay a bill immediatley, or schedule a payment</t>
  </si>
  <si>
    <t xml:space="preserve"> Acknowledgement of my completed bill payment or recurring payment</t>
  </si>
  <si>
    <t xml:space="preserve">Schedule a bill pay
Update or Cancel scheduled bill payments
</t>
  </si>
  <si>
    <t>Assign a future date for bill payment instead of paying immediately. Possible to set up recurring payments as well
In case of a scheduled future-dated bill payment, ability to modify the details or cancel the payment.</t>
  </si>
  <si>
    <t>Last Payment field removed for R1 Must be added back post R1.</t>
  </si>
  <si>
    <t>Story Approved with AC of Last Payment field removed</t>
  </si>
  <si>
    <t>14.3.17</t>
  </si>
  <si>
    <t>14.3.18</t>
  </si>
  <si>
    <t>SOW15
SOW16
SOW143 
SOW146
SOW147
SOW148
SOW149
SOW150
SOW151</t>
  </si>
  <si>
    <t>Mobile Banking:
SOW 15-End Date
SOW16-Schedule a Bill Pay 
SOW143-Initiate a new bill payment with option to select recurring payment 
SOW146-Payment Amount 
SOW147-Frequency selection 
SOW148-Duration selection
SOW149-Start Date 
SOW150-Send Date
SOW151-Recurrence number</t>
  </si>
  <si>
    <t>SOW160
SOW161</t>
  </si>
  <si>
    <t>Update or Cancel scheduled bill payments
View history of bill payments</t>
  </si>
  <si>
    <t>14.3.19</t>
  </si>
  <si>
    <t xml:space="preserve">
Mobile: In case of a scheduled future-dated bill payment, ability to modify the details or cancel the payment.
View and search from a list of the recent bill payment and scheduled payments, sorted by date (most recent on top).</t>
  </si>
  <si>
    <t>SOW142
SOW162
SOW143
SOW158
SOW16</t>
  </si>
  <si>
    <t xml:space="preserve">Virtual Company Functionality  </t>
  </si>
  <si>
    <t>Add Payee, make a payment, delete payee, schedule a payment</t>
  </si>
  <si>
    <t>At R1 Infinity will support funcitonality for a combined profile of one retail and one busienss CIF. The  virtual company functionality to support CWB's multi-CIF business customers is not avilable ib the 2020.07 release</t>
  </si>
  <si>
    <t>14.5.1</t>
  </si>
  <si>
    <t>14.5.2</t>
  </si>
  <si>
    <t>14.3.x</t>
  </si>
  <si>
    <t>03-052021</t>
  </si>
  <si>
    <t>14.3.20</t>
  </si>
  <si>
    <t>14.3.21</t>
  </si>
  <si>
    <t>14.3.22</t>
  </si>
  <si>
    <t>View and search from a list of the recent bill payment and scheduled payments, sorted by date (most recent on top)</t>
  </si>
  <si>
    <t>Multiple</t>
  </si>
  <si>
    <t>Multiple SOWs</t>
  </si>
  <si>
    <t>n/a</t>
  </si>
  <si>
    <t>We need this ASAP, as it informs our R1 development priorities.</t>
  </si>
  <si>
    <t>N/A</t>
  </si>
  <si>
    <t>Download statement chnages required in Infinty to align with Doxim.  Doxim statements are consolidated at CIF level. Infinity functionlity is at account level. Re-design of Infinity view statement screen, add View Statements link to hamburger menu under "Accounts"</t>
  </si>
  <si>
    <t>Not in OOTB, Backlog for post R1.
Email 03/11/2021 from Lauren: I reviewed this requirement with Christina and Stacy yesterday and they confirmed this is not required for R1. This decision is also documented as #3 in yesterday’s daily leadership update (Sprint 15A - SOW168 – Christina and Stacy confirmed mobile contact import to populate Bill Pay and e-transfer recipients not needed for R1. Item backlogged for future release prioritization).</t>
  </si>
  <si>
    <t>Ability to add interac e-transfer recipient by importing existing mobile contact through mobile banking app</t>
  </si>
  <si>
    <t>Christina and Jason to review and approve IAM Use Case scope decisions.  Traceability matrix sent on Mar 9, 2021.  
(Decision requested by: Steve K.)</t>
  </si>
  <si>
    <t>15.1.12</t>
  </si>
  <si>
    <t>15.1.13</t>
  </si>
  <si>
    <t>15.1.14</t>
  </si>
  <si>
    <t>15.1.15</t>
  </si>
  <si>
    <t>SOW290
SOW292</t>
  </si>
  <si>
    <t>15.1.16</t>
  </si>
  <si>
    <t>15.1.17</t>
  </si>
  <si>
    <t>15.1.18</t>
  </si>
  <si>
    <t>SOW290
SOW291
SOW292</t>
  </si>
  <si>
    <t>15.1.19</t>
  </si>
  <si>
    <t>SOW291
SOW292</t>
  </si>
  <si>
    <t>15.1.20</t>
  </si>
  <si>
    <t>15.1.21</t>
  </si>
  <si>
    <t>15.1.22</t>
  </si>
  <si>
    <t>15.1.23</t>
  </si>
  <si>
    <t>SOW292
SOW325</t>
  </si>
  <si>
    <t>15.1.24</t>
  </si>
  <si>
    <t>15.1.25</t>
  </si>
  <si>
    <t>SOW291,</t>
  </si>
  <si>
    <t>SOW291
SOW290
SOW325</t>
  </si>
  <si>
    <t>15.1.26</t>
  </si>
  <si>
    <t>SOW290
SOW325</t>
  </si>
  <si>
    <t>15.1.27</t>
  </si>
  <si>
    <t>15.1.28</t>
  </si>
  <si>
    <t>15.1.29</t>
  </si>
  <si>
    <t>15.1.30</t>
  </si>
  <si>
    <t>15.1.31</t>
  </si>
  <si>
    <t>Gerry Weber</t>
  </si>
  <si>
    <t>Suppress feature for R1 - View a list of recent Cheque deposits, sorted by date (most recent on top). Pending will not be displayed; only past</t>
  </si>
  <si>
    <t>View Cheque images</t>
  </si>
  <si>
    <t>Suppress feature for R1 - For specific transactions, view the back / front Cheque images. Only on-us Cheques will display and will come from DOXIM; is dependent upon integration with MS and Doxim.</t>
  </si>
  <si>
    <t>16.9.1</t>
  </si>
  <si>
    <t>The view pending and recent cheque deposit funcitonality will be suppressed from RDC. The C1 doesn’t have APIs to provide the history of remote deposit requests.</t>
  </si>
  <si>
    <t>List of Approved, Rejected, Pending approval by Business user
Include Expired and Recalled into the list  of Approved, Rejected, and  Pending approval by Business user</t>
  </si>
  <si>
    <t>16.9.4</t>
  </si>
  <si>
    <t>Request to Spit SoW- Move the purge and and archive funtctionlaity to a different SoW.</t>
  </si>
  <si>
    <t xml:space="preserve">This story identities the rules for how long these items should remain visible in the Transaction Manager “Requested” list.   These items are to be purge from this viewed after 35 days and archived information for 7 years. </t>
  </si>
  <si>
    <t>SOW 235</t>
  </si>
  <si>
    <t>Business Administration</t>
  </si>
  <si>
    <t>15.2.17</t>
  </si>
  <si>
    <t>Request to Spit SoW - Temenos needs to figure out how to represent a "no limit" value in Spotlight.   The current state would show a max limit of $999,999,999.00. How ever customer would see this limit in the user admin tool in Infinity. This is not a desired UX.</t>
  </si>
  <si>
    <t>We have a decision from Christina on the Combined profile to go with the OOTB functionality i.e. the default should be the combined view with the business "ad" then clients seeing the retail ad when they switch. The issue we raised on displaying both retail and business ads on the Combined profile dashboard can be tracked and fixed post R1.1.</t>
  </si>
  <si>
    <t>19.3.1 - 19.3.3</t>
  </si>
  <si>
    <t>[Monday 7:58 p.m.] Efosa Okonkwo ( initial business request for decision from Christina) 
Hi Christina Mullin, 
 We went through the AD campaigns user stories today on in-feed banner ads on the dashboards( SOW38). The banners that will be displayed to different clients type depends on whether it is a retail or business client and the ad created in Spotlight. A Retail or Business client will see targeted ads for retail or business respectively. A client with linked retail and business profiles will be able to switch the dashboard view between Retail, Business or Combined based on preference, with the Combined view being the default view. 
For the combined profile, we have learnt that in the Retail view, the client will see only retail accounts and the ads for retail, in Business view see only the business accounts and ads for business but when in the Combined view only able to see the business ads. This is the OOTB behavior and Temenos has mentioned that Infinity is not able to display retail and business ads for a Combined view. 
Our concern is that clients who are always on the Combined view will not see the retail opportunities that may be available to them through ads. We have asked the Temenos team on the call to check with their Dev team on what can be done to display the ad banners for retail and business in a Combined view. 
Here are the options we discussed for a Combined profile:
Option 1: Default the client to the Retail View upon log in so that they can see any retail campaigns before switching to the Combined  view. This does not provide the best user experience 
Option 2: Default the client to the Combined view where they are only able to see the business ads except they make a switch to Retail view. This is the OOTB behavior.
Option 3: Default the client to the Combined view and allow the campaigns for retail and business to be displayed. This option provides a better experience for the client. This will require that in Spotlight, ads are created with the combined retail and business profile as the target audience.  During the review we observed there  are 3 categories for Customer type in Spotlight for ad campaign – Retail, Business and Retail &amp; Business and we would want to see how this is relayed in Infinity front end.  The Temenos team on the call did not know the impact of selecting the Retail &amp; Business category  and so we are  expecting them to dig further into this. This option may require a CR depending on what they come back with. 
Although we await feedback from Temenos on how  to improve the client experience with combined view in relation to the ad banners or what the limitations are to achieving it, we would want to know if you are okay with going with the OOTB behavior for R1 ( Option 2) if they do not come back with an affirmative response. We can then add a request for enhancement to our backlog for enhancement.
(1 liked)</t>
  </si>
  <si>
    <t>Menu - Header and Hamburger</t>
  </si>
  <si>
    <t>Navigation</t>
  </si>
  <si>
    <t>CWB is requesting that we deliver a configurable menu in Release 1 (not a customization that would impact future upgrades) 
CWB is communicating this request as a ‘Canadianization’ item. 
They do not want this to be a standard services customization request due to the impacts in future upgrades. They want this as part of base product. 
Their main concern pertains to how the payments and transfers options are nested / organized. They will need to change the structure. 
They require two sections for money movement at the top hierarchy of the menu structure:
	Transfers – includes only internal A2A and external A2A transfers) 
	Payments – includes all other payment type 
CRA (Tax Payments)
Bill Pay
EFT / ACH
eTransfers (P2P)
– This mean splitting the transfers module into two and adding restrictions 
Wires (Domestic and International)</t>
  </si>
  <si>
    <t xml:space="preserve">19.2.2-19.2.6
</t>
  </si>
  <si>
    <t xml:space="preserve">[9:39 a.m.] Nolan Smits
    Hi Christina &amp; Sandra, Temenos is providing an estimate of "8 man days" or "64 hours" of work to update the mobile menu to include titles for the sections. I would like to note that the estimate based on my experience is unreasonably high, I asked the reason for the high estimate of effort but the response was not satisfactory.
Would you like to move ahead with this change?
​[10:39 a.m.] Christina Mullin
    Hi Nolan - thanks for bring this forward.  It's good we have the estimate and I agree it's high, but believe it does include testing and related work.  As we are hitting some short timelines to get R1 out the door ;et
​[10:41 a.m.] Christina Mullin
    *con't - I think we need to defer to the next release.  When communicating back, please advise that this is needed for our 1.2 release as we will have more menu items and the list will grow.  Thanks! 
(1 liked)​[11:12 a.m.] Nolan Smits
    Christina, sounds good (yes)  I'll forward the request.
​[11:12 a.m.] Nolan Smits
    They confirmed that the thicker/darker separation lines will be included between the sections.
(1 liked)​[11:13 a.m.] Christina Mullin
    Thanks Nolan Smits that's better than what it is now!  (smile) </t>
  </si>
  <si>
    <t>Decisions from Christina  - I think we need to defer to the next release. When communicating back, please advise that this is needed for our 1.2 release as we will have more menu items and the list will grow. Thanks!</t>
  </si>
  <si>
    <t>Creates a Business Banking User in DBX System</t>
  </si>
  <si>
    <t>16.21.1</t>
  </si>
  <si>
    <t>Infinity limitation regarding one business signer and multiple companies.
If one Business Signer is related to two or more companies, the Business Signer can only be associated with one Virtual Company in Spotlight.</t>
  </si>
  <si>
    <t xml:space="preserve">
[stacey] To confirm, this is/will be addressed in a newer version correct?
[Bhavesh] Yes, Infinity R21.04 which is based on the Contract based model doesn’t have this limitation.
[Stacey] My understanding is that we agreed to defer this (link to multiple companies) to R1.2. Can you confirm that is your understanding as well so we’re aligned? 
[Bhavesh] Yes
</t>
  </si>
  <si>
    <t>Stacy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</si>
</sst>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m/d;@"/>
    <numFmt numFmtId="166" formatCode="[$-1009]d\-mmm\-yy;@"/>
  </numFmts>
  <fonts count="35">
    <font>
      <sz val="11"/>
      <color theme="1"/>
      <name val="Calibri"/>
      <family val="2"/>
      <scheme val="minor"/>
    </font>
    <font>
      <b/>
      <sz val="11"/>
      <color theme="1"/>
      <name val="Calibri"/>
      <family val="2"/>
      <scheme val="minor"/>
    </font>
    <font>
      <sz val="11"/>
      <color rgb="FFFF0000"/>
      <name val="Calibri"/>
      <family val="2"/>
      <scheme val="minor"/>
    </font>
    <font>
      <sz val="11"/>
      <color rgb="FF000000"/>
      <name val="Calibri"/>
      <family val="2"/>
    </font>
    <font>
      <b/>
      <sz val="11"/>
      <color rgb="FF000000"/>
      <name val="Calibri"/>
      <family val="2"/>
    </font>
    <font>
      <sz val="11"/>
      <color rgb="FFFF0000"/>
      <name val="Calibri"/>
      <family val="2"/>
    </font>
    <font>
      <sz val="12"/>
      <color rgb="FF000000"/>
      <name val="Calibri"/>
      <family val="2"/>
    </font>
    <font>
      <sz val="9"/>
      <color theme="1"/>
      <name val="Verdana Pro"/>
      <family val="2"/>
    </font>
    <font>
      <b/>
      <sz val="9"/>
      <color theme="1"/>
      <name val="Verdana Pro"/>
      <family val="2"/>
    </font>
    <font>
      <sz val="9"/>
      <color rgb="FF000000"/>
      <name val="Arial"/>
      <family val="2"/>
    </font>
    <font>
      <sz val="9"/>
      <color theme="1"/>
      <name val="Calibri"/>
      <family val="2"/>
      <scheme val="minor"/>
    </font>
    <font>
      <sz val="9"/>
      <color rgb="FF000000"/>
      <name val="Arial"/>
      <family val="2"/>
    </font>
    <font>
      <sz val="9"/>
      <color theme="1"/>
      <name val="Verdana Pro"/>
    </font>
    <font>
      <sz val="20"/>
      <color theme="0"/>
      <name val="Verdana Pro"/>
      <family val="2"/>
    </font>
    <font>
      <sz val="20"/>
      <color theme="1"/>
      <name val="Verdana Pro"/>
      <family val="2"/>
    </font>
    <font>
      <sz val="20"/>
      <color theme="0"/>
      <name val="Verdana Pro"/>
    </font>
    <font>
      <sz val="11"/>
      <color theme="5" tint="-0.249977111117893"/>
      <name val="Verdana Pro"/>
      <family val="2"/>
    </font>
    <font>
      <sz val="11"/>
      <name val="Arial"/>
      <family val="2"/>
    </font>
    <font>
      <sz val="11"/>
      <color rgb="FF0070C0"/>
      <name val="Arial"/>
      <family val="2"/>
    </font>
    <font>
      <sz val="11"/>
      <color theme="1"/>
      <name val="Arial"/>
      <family val="2"/>
    </font>
    <font>
      <sz val="12"/>
      <name val="Arial"/>
      <family val="2"/>
    </font>
    <font>
      <b/>
      <sz val="14"/>
      <color theme="1"/>
      <name val="Arial"/>
      <family val="2"/>
    </font>
    <font>
      <sz val="12"/>
      <color theme="1"/>
      <name val="Arial"/>
      <family val="2"/>
    </font>
    <font>
      <b/>
      <sz val="12"/>
      <name val="Arial"/>
      <family val="2"/>
    </font>
    <font>
      <sz val="12"/>
      <color rgb="FF0070C0"/>
      <name val="Arial"/>
      <family val="2"/>
    </font>
    <font>
      <sz val="11"/>
      <name val="Calibri"/>
      <family val="2"/>
      <scheme val="minor"/>
    </font>
    <font>
      <b/>
      <sz val="11"/>
      <color theme="1"/>
      <name val="Arial"/>
      <family val="2"/>
    </font>
    <font>
      <sz val="11"/>
      <color theme="1"/>
      <name val="Calibri"/>
      <family val="2"/>
      <scheme val="minor"/>
    </font>
    <font>
      <sz val="11"/>
      <color theme="1"/>
      <name val="Arial"/>
    </font>
    <font>
      <b/>
      <sz val="11"/>
      <color theme="1"/>
      <name val="Arial"/>
    </font>
    <font>
      <sz val="12"/>
      <color theme="1"/>
      <name val="Calibri"/>
      <family val="2"/>
      <scheme val="minor"/>
    </font>
    <font>
      <sz val="11"/>
      <color rgb="FF172B4D"/>
      <name val="Calibri"/>
      <family val="2"/>
      <scheme val="minor"/>
    </font>
    <font>
      <sz val="12"/>
      <name val="Calibri"/>
      <family val="2"/>
      <scheme val="minor"/>
    </font>
    <font>
      <sz val="12"/>
      <color theme="1"/>
      <name val="Avenir Book"/>
      <family val="2"/>
    </font>
    <font>
      <sz val="14"/>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DDEBF7"/>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28BEA1"/>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5B9BD5"/>
      </left>
      <right style="thin">
        <color rgb="FF5B9BD5"/>
      </right>
      <top style="thin">
        <color rgb="FF5B9BD5"/>
      </top>
      <bottom style="thin">
        <color rgb="FF5B9BD5"/>
      </bottom>
      <diagonal/>
    </border>
    <border>
      <left style="thin">
        <color theme="8"/>
      </left>
      <right style="thin">
        <color theme="8"/>
      </right>
      <top style="thin">
        <color theme="8"/>
      </top>
      <bottom style="thin">
        <color theme="8"/>
      </bottom>
      <diagonal/>
    </border>
    <border>
      <left/>
      <right/>
      <top/>
      <bottom style="thin">
        <color theme="2"/>
      </bottom>
      <diagonal/>
    </border>
    <border>
      <left style="thin">
        <color theme="8"/>
      </left>
      <right/>
      <top style="thin">
        <color theme="8"/>
      </top>
      <bottom style="thin">
        <color theme="8"/>
      </bottom>
      <diagonal/>
    </border>
    <border>
      <left/>
      <right style="thin">
        <color theme="8"/>
      </right>
      <top style="thin">
        <color theme="8"/>
      </top>
      <bottom style="thin">
        <color theme="8"/>
      </bottom>
      <diagonal/>
    </border>
    <border>
      <left style="thick">
        <color rgb="FFB7D6B7"/>
      </left>
      <right/>
      <top/>
      <bottom/>
      <diagonal/>
    </border>
    <border>
      <left style="hair">
        <color rgb="FF7030A0"/>
      </left>
      <right style="hair">
        <color rgb="FF7030A0"/>
      </right>
      <top style="hair">
        <color rgb="FF7030A0"/>
      </top>
      <bottom style="hair">
        <color rgb="FF7030A0"/>
      </bottom>
      <diagonal/>
    </border>
  </borders>
  <cellStyleXfs count="3">
    <xf numFmtId="166" fontId="0" fillId="0" borderId="0"/>
    <xf numFmtId="166" fontId="27" fillId="0" borderId="0"/>
    <xf numFmtId="166" fontId="27" fillId="0" borderId="0"/>
  </cellStyleXfs>
  <cellXfs count="166">
    <xf numFmtId="166" fontId="0" fillId="0" borderId="0" xfId="0"/>
    <xf numFmtId="166" fontId="0" fillId="3" borderId="0" xfId="0" applyFill="1" applyBorder="1" applyAlignment="1">
      <alignment horizontal="left" vertical="top"/>
    </xf>
    <xf numFmtId="166" fontId="3" fillId="3" borderId="0" xfId="0" applyFont="1" applyFill="1" applyBorder="1" applyAlignment="1">
      <alignment horizontal="left" vertical="top"/>
    </xf>
    <xf numFmtId="166" fontId="3" fillId="3" borderId="0" xfId="0" applyFont="1" applyFill="1" applyBorder="1" applyAlignment="1">
      <alignment horizontal="left" vertical="top" wrapText="1"/>
    </xf>
    <xf numFmtId="14" fontId="3" fillId="3" borderId="0" xfId="0" applyNumberFormat="1" applyFont="1" applyFill="1" applyBorder="1" applyAlignment="1">
      <alignment horizontal="left" vertical="top"/>
    </xf>
    <xf numFmtId="166" fontId="5" fillId="3" borderId="0" xfId="0" applyFont="1" applyFill="1" applyBorder="1" applyAlignment="1">
      <alignment horizontal="left" vertical="top" wrapText="1"/>
    </xf>
    <xf numFmtId="166" fontId="0" fillId="3" borderId="0" xfId="0" applyFill="1" applyBorder="1" applyAlignment="1">
      <alignment horizontal="left" vertical="top" wrapText="1"/>
    </xf>
    <xf numFmtId="14" fontId="0" fillId="3" borderId="0" xfId="0" applyNumberFormat="1" applyFill="1" applyBorder="1" applyAlignment="1">
      <alignment horizontal="left" vertical="top"/>
    </xf>
    <xf numFmtId="166" fontId="1" fillId="3" borderId="0" xfId="0" applyFont="1" applyFill="1" applyBorder="1" applyAlignment="1">
      <alignment horizontal="center" vertical="center" wrapText="1"/>
    </xf>
    <xf numFmtId="166" fontId="3" fillId="3" borderId="2" xfId="0" applyFont="1" applyFill="1" applyBorder="1" applyAlignment="1">
      <alignment horizontal="left" vertical="top"/>
    </xf>
    <xf numFmtId="166" fontId="3" fillId="3" borderId="2" xfId="0" applyFont="1" applyFill="1" applyBorder="1" applyAlignment="1">
      <alignment horizontal="left" vertical="top" wrapText="1"/>
    </xf>
    <xf numFmtId="14" fontId="3" fillId="3" borderId="2" xfId="0" applyNumberFormat="1" applyFont="1" applyFill="1" applyBorder="1" applyAlignment="1">
      <alignment horizontal="left" vertical="top" wrapText="1"/>
    </xf>
    <xf numFmtId="14" fontId="3" fillId="3" borderId="2" xfId="0" applyNumberFormat="1" applyFont="1" applyFill="1" applyBorder="1" applyAlignment="1">
      <alignment horizontal="left" vertical="top"/>
    </xf>
    <xf numFmtId="14" fontId="0" fillId="3" borderId="2" xfId="0" applyNumberFormat="1" applyFill="1" applyBorder="1" applyAlignment="1">
      <alignment horizontal="left" vertical="top"/>
    </xf>
    <xf numFmtId="166" fontId="0" fillId="3" borderId="2" xfId="0" applyFill="1" applyBorder="1" applyAlignment="1">
      <alignment horizontal="left" vertical="top"/>
    </xf>
    <xf numFmtId="166" fontId="0" fillId="3" borderId="2" xfId="0" applyFill="1" applyBorder="1" applyAlignment="1">
      <alignment horizontal="left" vertical="top" wrapText="1"/>
    </xf>
    <xf numFmtId="166" fontId="5" fillId="3" borderId="2" xfId="0" applyFont="1" applyFill="1" applyBorder="1" applyAlignment="1">
      <alignment horizontal="left" vertical="top" wrapText="1"/>
    </xf>
    <xf numFmtId="166" fontId="6" fillId="3" borderId="2" xfId="0" applyFont="1" applyFill="1" applyBorder="1" applyAlignment="1">
      <alignment horizontal="left" vertical="top"/>
    </xf>
    <xf numFmtId="14" fontId="4" fillId="3" borderId="2" xfId="0" applyNumberFormat="1" applyFont="1" applyFill="1" applyBorder="1" applyAlignment="1">
      <alignment horizontal="left" vertical="top"/>
    </xf>
    <xf numFmtId="166" fontId="4" fillId="4" borderId="2" xfId="0" applyFont="1" applyFill="1" applyBorder="1" applyAlignment="1">
      <alignment horizontal="center" vertical="center" wrapText="1"/>
    </xf>
    <xf numFmtId="14" fontId="4" fillId="4" borderId="2"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66" fontId="1" fillId="4" borderId="2" xfId="0" applyFont="1" applyFill="1" applyBorder="1" applyAlignment="1">
      <alignment horizontal="center" vertical="center" wrapText="1"/>
    </xf>
    <xf numFmtId="166" fontId="7" fillId="5" borderId="4" xfId="0" applyFont="1" applyFill="1" applyBorder="1"/>
    <xf numFmtId="166" fontId="8" fillId="5" borderId="3" xfId="0" applyFont="1" applyFill="1" applyBorder="1" applyAlignment="1">
      <alignment horizontal="left" wrapText="1"/>
    </xf>
    <xf numFmtId="166" fontId="7" fillId="5" borderId="3" xfId="0" applyFont="1" applyFill="1" applyBorder="1" applyAlignment="1">
      <alignment horizontal="center"/>
    </xf>
    <xf numFmtId="166" fontId="8" fillId="5" borderId="5" xfId="0" applyFont="1" applyFill="1" applyBorder="1" applyAlignment="1">
      <alignment vertical="center"/>
    </xf>
    <xf numFmtId="166" fontId="8" fillId="5" borderId="6" xfId="0" applyFont="1" applyFill="1" applyBorder="1" applyAlignment="1">
      <alignment vertical="center"/>
    </xf>
    <xf numFmtId="166" fontId="7" fillId="5" borderId="0" xfId="0" applyFont="1" applyFill="1"/>
    <xf numFmtId="166" fontId="7" fillId="5" borderId="3" xfId="0" applyFont="1" applyFill="1" applyBorder="1"/>
    <xf numFmtId="166" fontId="8" fillId="5" borderId="3" xfId="0" applyFont="1" applyFill="1" applyBorder="1" applyAlignment="1">
      <alignment horizontal="right" wrapText="1"/>
    </xf>
    <xf numFmtId="166" fontId="7" fillId="5" borderId="0" xfId="0" applyFont="1" applyFill="1" applyAlignment="1">
      <alignment wrapText="1"/>
    </xf>
    <xf numFmtId="166" fontId="8" fillId="5" borderId="3" xfId="0" applyFont="1" applyFill="1" applyBorder="1" applyAlignment="1">
      <alignment horizontal="right"/>
    </xf>
    <xf numFmtId="166" fontId="8" fillId="5" borderId="3" xfId="0" applyFont="1" applyFill="1" applyBorder="1" applyAlignment="1">
      <alignment horizontal="center"/>
    </xf>
    <xf numFmtId="166" fontId="8" fillId="5" borderId="3" xfId="0" applyFont="1" applyFill="1" applyBorder="1" applyAlignment="1">
      <alignment vertical="center" wrapText="1"/>
    </xf>
    <xf numFmtId="166" fontId="8" fillId="5" borderId="3" xfId="0" applyFont="1" applyFill="1" applyBorder="1" applyAlignment="1">
      <alignment horizontal="center" vertical="center" wrapText="1"/>
    </xf>
    <xf numFmtId="166" fontId="7" fillId="5" borderId="3" xfId="0" applyFont="1" applyFill="1" applyBorder="1" applyAlignment="1">
      <alignment wrapText="1"/>
    </xf>
    <xf numFmtId="166" fontId="9" fillId="0" borderId="7" xfId="0" applyFont="1" applyBorder="1" applyAlignment="1">
      <alignment horizontal="left" vertical="center" wrapText="1"/>
    </xf>
    <xf numFmtId="166" fontId="9" fillId="0" borderId="7" xfId="0" applyFont="1" applyBorder="1" applyAlignment="1">
      <alignment horizontal="left" vertical="center" wrapText="1" indent="1"/>
    </xf>
    <xf numFmtId="166" fontId="10" fillId="0" borderId="0" xfId="0" applyFont="1" applyAlignment="1">
      <alignment wrapText="1"/>
    </xf>
    <xf numFmtId="166" fontId="10" fillId="0" borderId="0" xfId="0" applyFont="1"/>
    <xf numFmtId="166" fontId="11" fillId="0" borderId="7" xfId="0" applyFont="1" applyBorder="1" applyAlignment="1">
      <alignment horizontal="left" vertical="center" wrapText="1"/>
    </xf>
    <xf numFmtId="166" fontId="12" fillId="5" borderId="0" xfId="0" applyFont="1" applyFill="1" applyAlignment="1">
      <alignment wrapText="1"/>
    </xf>
    <xf numFmtId="166" fontId="11" fillId="0" borderId="7" xfId="0" applyFont="1" applyBorder="1" applyAlignment="1">
      <alignment horizontal="left" vertical="center" wrapText="1" indent="1"/>
    </xf>
    <xf numFmtId="166" fontId="12" fillId="5" borderId="0" xfId="0" applyFont="1" applyFill="1"/>
    <xf numFmtId="166" fontId="13" fillId="6" borderId="0" xfId="0" applyFont="1" applyFill="1" applyAlignment="1">
      <alignment vertical="center"/>
    </xf>
    <xf numFmtId="166" fontId="14" fillId="5" borderId="0" xfId="0" applyFont="1" applyFill="1" applyAlignment="1">
      <alignment vertical="center"/>
    </xf>
    <xf numFmtId="166" fontId="14" fillId="6" borderId="0" xfId="0" applyFont="1" applyFill="1" applyAlignment="1">
      <alignment vertical="center"/>
    </xf>
    <xf numFmtId="166" fontId="15" fillId="6" borderId="0" xfId="0" applyFont="1" applyFill="1" applyAlignment="1">
      <alignment vertical="center"/>
    </xf>
    <xf numFmtId="166" fontId="16" fillId="5" borderId="0" xfId="0" applyFont="1" applyFill="1" applyAlignment="1">
      <alignment horizontal="center" vertical="center" wrapText="1"/>
    </xf>
    <xf numFmtId="166" fontId="16" fillId="5" borderId="0" xfId="0" applyFont="1" applyFill="1" applyAlignment="1">
      <alignment horizontal="center" vertical="center"/>
    </xf>
    <xf numFmtId="166" fontId="17" fillId="2" borderId="0" xfId="0" applyFont="1" applyFill="1" applyAlignment="1"/>
    <xf numFmtId="166" fontId="17" fillId="2" borderId="0" xfId="0" applyFont="1" applyFill="1"/>
    <xf numFmtId="164" fontId="18" fillId="2" borderId="0" xfId="0" applyNumberFormat="1" applyFont="1" applyFill="1" applyAlignment="1">
      <alignment horizontal="center"/>
    </xf>
    <xf numFmtId="166" fontId="19" fillId="0" borderId="0" xfId="0" applyFont="1"/>
    <xf numFmtId="164" fontId="20" fillId="2" borderId="1" xfId="0" applyNumberFormat="1" applyFont="1" applyFill="1" applyBorder="1"/>
    <xf numFmtId="166" fontId="20" fillId="2" borderId="0" xfId="0" applyFont="1" applyFill="1"/>
    <xf numFmtId="166" fontId="20" fillId="2" borderId="0" xfId="0" applyFont="1" applyFill="1" applyAlignment="1"/>
    <xf numFmtId="164" fontId="18" fillId="2" borderId="1" xfId="0" applyNumberFormat="1" applyFont="1" applyFill="1" applyBorder="1" applyAlignment="1">
      <alignment horizontal="center"/>
    </xf>
    <xf numFmtId="164" fontId="21" fillId="7" borderId="1" xfId="0" applyNumberFormat="1" applyFont="1" applyFill="1" applyBorder="1" applyAlignment="1">
      <alignment horizontal="center" vertical="center" wrapText="1"/>
    </xf>
    <xf numFmtId="164" fontId="19" fillId="2" borderId="1" xfId="0" applyNumberFormat="1" applyFont="1" applyFill="1" applyBorder="1" applyAlignment="1"/>
    <xf numFmtId="164" fontId="22" fillId="2" borderId="1" xfId="0" applyNumberFormat="1" applyFont="1" applyFill="1" applyBorder="1" applyAlignment="1">
      <alignment wrapText="1"/>
    </xf>
    <xf numFmtId="166" fontId="22" fillId="2" borderId="1" xfId="0" applyNumberFormat="1" applyFont="1" applyFill="1" applyBorder="1" applyAlignment="1">
      <alignment horizontal="center"/>
    </xf>
    <xf numFmtId="14" fontId="22" fillId="2" borderId="1" xfId="0" applyNumberFormat="1" applyFont="1" applyFill="1" applyBorder="1" applyAlignment="1">
      <alignment horizontal="center"/>
    </xf>
    <xf numFmtId="166" fontId="22" fillId="2" borderId="1" xfId="0" applyFont="1" applyFill="1" applyBorder="1" applyAlignment="1">
      <alignment wrapText="1"/>
    </xf>
    <xf numFmtId="166" fontId="22" fillId="2" borderId="1" xfId="0" applyFont="1" applyFill="1" applyBorder="1" applyAlignment="1"/>
    <xf numFmtId="166" fontId="19" fillId="2" borderId="1" xfId="0" applyFont="1" applyFill="1" applyBorder="1" applyAlignment="1">
      <alignment horizontal="center"/>
    </xf>
    <xf numFmtId="166" fontId="19" fillId="2" borderId="1" xfId="0" applyNumberFormat="1" applyFont="1" applyFill="1" applyBorder="1" applyAlignment="1"/>
    <xf numFmtId="164" fontId="19" fillId="2" borderId="1" xfId="0" applyNumberFormat="1" applyFont="1" applyFill="1" applyBorder="1" applyAlignment="1">
      <alignment horizontal="center"/>
    </xf>
    <xf numFmtId="166" fontId="19" fillId="2" borderId="1" xfId="0" applyNumberFormat="1" applyFont="1" applyFill="1" applyBorder="1" applyAlignment="1">
      <alignment horizontal="center"/>
    </xf>
    <xf numFmtId="166" fontId="19" fillId="2" borderId="1" xfId="0" applyFont="1" applyFill="1" applyBorder="1" applyAlignment="1"/>
    <xf numFmtId="164" fontId="19" fillId="2" borderId="1" xfId="0" applyNumberFormat="1" applyFont="1" applyFill="1" applyBorder="1" applyAlignment="1">
      <alignment wrapText="1"/>
    </xf>
    <xf numFmtId="14" fontId="19" fillId="2" borderId="1" xfId="0" applyNumberFormat="1" applyFont="1" applyFill="1" applyBorder="1" applyAlignment="1">
      <alignment horizontal="center"/>
    </xf>
    <xf numFmtId="166" fontId="19" fillId="2" borderId="1" xfId="0" applyNumberFormat="1" applyFont="1" applyFill="1" applyBorder="1" applyAlignment="1">
      <alignment wrapText="1"/>
    </xf>
    <xf numFmtId="164" fontId="19" fillId="0" borderId="1" xfId="0" applyNumberFormat="1" applyFont="1" applyFill="1" applyBorder="1" applyAlignment="1">
      <alignment wrapText="1"/>
    </xf>
    <xf numFmtId="164" fontId="19" fillId="2" borderId="1" xfId="0" applyNumberFormat="1" applyFont="1" applyFill="1" applyBorder="1"/>
    <xf numFmtId="166" fontId="19" fillId="2" borderId="1" xfId="0" applyFont="1" applyFill="1" applyBorder="1" applyAlignment="1">
      <alignment wrapText="1"/>
    </xf>
    <xf numFmtId="166" fontId="19" fillId="2" borderId="1" xfId="0" applyFont="1" applyFill="1" applyBorder="1"/>
    <xf numFmtId="166" fontId="19" fillId="0" borderId="1" xfId="0" applyNumberFormat="1" applyFont="1" applyFill="1" applyBorder="1" applyAlignment="1">
      <alignment horizontal="center" wrapText="1"/>
    </xf>
    <xf numFmtId="166" fontId="23" fillId="2" borderId="0" xfId="0" applyFont="1" applyFill="1" applyAlignment="1">
      <alignment wrapText="1"/>
    </xf>
    <xf numFmtId="164" fontId="22" fillId="2" borderId="1" xfId="0" applyNumberFormat="1" applyFont="1" applyFill="1" applyBorder="1" applyAlignment="1"/>
    <xf numFmtId="166" fontId="22" fillId="2" borderId="1" xfId="0" applyNumberFormat="1" applyFont="1" applyFill="1" applyBorder="1" applyAlignment="1"/>
    <xf numFmtId="164" fontId="20" fillId="2" borderId="1" xfId="0" applyNumberFormat="1" applyFont="1" applyFill="1" applyBorder="1" applyAlignment="1"/>
    <xf numFmtId="164" fontId="20" fillId="2" borderId="0" xfId="0" applyNumberFormat="1" applyFont="1" applyFill="1" applyAlignment="1"/>
    <xf numFmtId="164" fontId="20" fillId="2" borderId="1" xfId="0" applyNumberFormat="1" applyFont="1" applyFill="1" applyBorder="1" applyAlignment="1">
      <alignment wrapText="1"/>
    </xf>
    <xf numFmtId="166" fontId="20" fillId="2" borderId="1" xfId="0" applyNumberFormat="1" applyFont="1" applyFill="1" applyBorder="1" applyAlignment="1">
      <alignment horizontal="center"/>
    </xf>
    <xf numFmtId="166" fontId="20" fillId="2" borderId="1" xfId="0" applyFont="1" applyFill="1" applyBorder="1" applyAlignment="1">
      <alignment horizontal="center"/>
    </xf>
    <xf numFmtId="166" fontId="20" fillId="2" borderId="1" xfId="0" applyFont="1" applyFill="1" applyBorder="1" applyAlignment="1"/>
    <xf numFmtId="164" fontId="20" fillId="2" borderId="0" xfId="0" applyNumberFormat="1" applyFont="1" applyFill="1" applyAlignment="1">
      <alignment wrapText="1"/>
    </xf>
    <xf numFmtId="166" fontId="20" fillId="2" borderId="0" xfId="0" applyFont="1" applyFill="1" applyAlignment="1">
      <alignment horizontal="center"/>
    </xf>
    <xf numFmtId="166" fontId="22" fillId="2" borderId="1" xfId="0" applyFont="1" applyFill="1" applyBorder="1" applyAlignment="1">
      <alignment horizontal="center" wrapText="1"/>
    </xf>
    <xf numFmtId="164" fontId="25" fillId="8" borderId="1" xfId="0" applyNumberFormat="1" applyFont="1" applyFill="1" applyBorder="1" applyAlignment="1"/>
    <xf numFmtId="164" fontId="25" fillId="0" borderId="1" xfId="0" applyNumberFormat="1" applyFont="1" applyFill="1" applyBorder="1" applyAlignment="1">
      <alignment wrapText="1"/>
    </xf>
    <xf numFmtId="166" fontId="20" fillId="2" borderId="1" xfId="0" applyFont="1" applyFill="1" applyBorder="1" applyAlignment="1">
      <alignment wrapText="1"/>
    </xf>
    <xf numFmtId="166" fontId="20" fillId="2" borderId="0" xfId="0" applyFont="1" applyFill="1" applyAlignment="1">
      <alignment wrapText="1"/>
    </xf>
    <xf numFmtId="14" fontId="20" fillId="2" borderId="1" xfId="0" applyNumberFormat="1" applyFont="1" applyFill="1" applyBorder="1" applyAlignment="1">
      <alignment wrapText="1"/>
    </xf>
    <xf numFmtId="166" fontId="19" fillId="2" borderId="1" xfId="0" applyNumberFormat="1" applyFont="1" applyFill="1" applyBorder="1" applyAlignment="1">
      <alignment horizontal="center" vertical="center"/>
    </xf>
    <xf numFmtId="164" fontId="19" fillId="0" borderId="1" xfId="0" applyNumberFormat="1" applyFont="1" applyFill="1" applyBorder="1" applyAlignment="1">
      <alignment vertical="center" wrapText="1"/>
    </xf>
    <xf numFmtId="166" fontId="19" fillId="2" borderId="1" xfId="0" applyNumberFormat="1" applyFont="1" applyFill="1" applyBorder="1" applyAlignment="1">
      <alignment vertical="center"/>
    </xf>
    <xf numFmtId="16" fontId="22" fillId="2" borderId="1" xfId="0" applyNumberFormat="1" applyFont="1" applyFill="1" applyBorder="1" applyAlignment="1">
      <alignment wrapText="1"/>
    </xf>
    <xf numFmtId="14" fontId="22" fillId="2" borderId="1" xfId="0" applyNumberFormat="1" applyFont="1" applyFill="1" applyBorder="1" applyAlignment="1">
      <alignment wrapText="1"/>
    </xf>
    <xf numFmtId="164" fontId="19" fillId="2" borderId="1" xfId="0" applyNumberFormat="1" applyFont="1" applyFill="1" applyBorder="1" applyAlignment="1">
      <alignment horizontal="left" vertical="center" wrapText="1"/>
    </xf>
    <xf numFmtId="164" fontId="19" fillId="0" borderId="1" xfId="0" applyNumberFormat="1" applyFont="1" applyFill="1" applyBorder="1" applyAlignment="1">
      <alignment horizontal="left" vertical="center" wrapText="1"/>
    </xf>
    <xf numFmtId="166" fontId="20" fillId="2" borderId="1" xfId="0" applyFont="1" applyFill="1" applyBorder="1" applyAlignment="1">
      <alignment horizontal="left" vertical="center" wrapText="1"/>
    </xf>
    <xf numFmtId="166" fontId="19" fillId="2" borderId="1" xfId="0" applyNumberFormat="1" applyFont="1" applyFill="1" applyBorder="1" applyAlignment="1">
      <alignment horizontal="left" vertical="center" wrapText="1"/>
    </xf>
    <xf numFmtId="164" fontId="20" fillId="2" borderId="1" xfId="0" applyNumberFormat="1" applyFont="1" applyFill="1" applyBorder="1" applyAlignment="1">
      <alignment horizontal="left" vertical="center" wrapText="1"/>
    </xf>
    <xf numFmtId="164" fontId="20" fillId="2" borderId="0" xfId="0" applyNumberFormat="1" applyFont="1" applyFill="1" applyAlignment="1">
      <alignment horizontal="left" vertical="center" wrapText="1"/>
    </xf>
    <xf numFmtId="164" fontId="19" fillId="0" borderId="1" xfId="0" applyNumberFormat="1" applyFont="1" applyFill="1" applyBorder="1" applyAlignment="1">
      <alignment horizontal="center" wrapText="1"/>
    </xf>
    <xf numFmtId="164" fontId="19" fillId="0" borderId="1" xfId="0" applyNumberFormat="1" applyFont="1" applyFill="1" applyBorder="1" applyAlignment="1">
      <alignment horizontal="center" vertical="center" wrapText="1"/>
    </xf>
    <xf numFmtId="164" fontId="25" fillId="0" borderId="1" xfId="0" applyNumberFormat="1" applyFont="1" applyFill="1" applyBorder="1" applyAlignment="1">
      <alignment vertical="top" wrapText="1"/>
    </xf>
    <xf numFmtId="166" fontId="19" fillId="2" borderId="1" xfId="0" applyNumberFormat="1" applyFont="1" applyFill="1" applyBorder="1" applyAlignment="1">
      <alignment horizontal="left" vertical="top"/>
    </xf>
    <xf numFmtId="166" fontId="22" fillId="2" borderId="1" xfId="0" applyNumberFormat="1" applyFont="1" applyFill="1" applyBorder="1" applyAlignment="1">
      <alignment wrapText="1"/>
    </xf>
    <xf numFmtId="166" fontId="20" fillId="2" borderId="0" xfId="0" applyNumberFormat="1" applyFont="1" applyFill="1" applyAlignment="1"/>
    <xf numFmtId="166" fontId="19" fillId="2" borderId="1" xfId="0" applyNumberFormat="1" applyFont="1" applyFill="1" applyBorder="1" applyAlignment="1">
      <alignment horizontal="left" wrapText="1"/>
    </xf>
    <xf numFmtId="166" fontId="19" fillId="2" borderId="1" xfId="0" applyNumberFormat="1" applyFont="1" applyFill="1" applyBorder="1" applyAlignment="1">
      <alignment horizontal="left" vertical="center"/>
    </xf>
    <xf numFmtId="164" fontId="19" fillId="0" borderId="1" xfId="0" applyNumberFormat="1" applyFont="1" applyFill="1" applyBorder="1" applyAlignment="1">
      <alignment wrapText="1"/>
    </xf>
    <xf numFmtId="0" fontId="22" fillId="2" borderId="1" xfId="0" applyNumberFormat="1" applyFont="1" applyFill="1" applyBorder="1" applyAlignment="1">
      <alignment horizontal="center"/>
    </xf>
    <xf numFmtId="0" fontId="19" fillId="0" borderId="1" xfId="0" applyNumberFormat="1" applyFont="1" applyFill="1" applyBorder="1" applyAlignment="1">
      <alignment horizontal="center" wrapText="1"/>
    </xf>
    <xf numFmtId="0" fontId="19" fillId="2" borderId="1" xfId="0" applyNumberFormat="1" applyFont="1" applyFill="1" applyBorder="1" applyAlignment="1">
      <alignment horizontal="center"/>
    </xf>
    <xf numFmtId="0" fontId="24" fillId="2" borderId="1" xfId="0" applyNumberFormat="1" applyFont="1" applyFill="1" applyBorder="1" applyAlignment="1">
      <alignment horizontal="center"/>
    </xf>
    <xf numFmtId="0" fontId="24" fillId="2" borderId="0" xfId="0" applyNumberFormat="1" applyFont="1" applyFill="1" applyAlignment="1">
      <alignment horizontal="center"/>
    </xf>
    <xf numFmtId="0" fontId="25" fillId="0" borderId="1" xfId="0" applyNumberFormat="1" applyFont="1" applyFill="1" applyBorder="1" applyAlignment="1">
      <alignment horizontal="center" wrapText="1"/>
    </xf>
    <xf numFmtId="164" fontId="26" fillId="7" borderId="1" xfId="0" applyNumberFormat="1" applyFont="1" applyFill="1" applyBorder="1" applyAlignment="1">
      <alignment horizontal="center" vertical="center" wrapText="1"/>
    </xf>
    <xf numFmtId="164" fontId="26" fillId="7" borderId="1" xfId="0" applyNumberFormat="1" applyFont="1" applyFill="1" applyBorder="1" applyAlignment="1">
      <alignment horizontal="left" vertical="center" wrapText="1"/>
    </xf>
    <xf numFmtId="166" fontId="26" fillId="7" borderId="1" xfId="0" applyNumberFormat="1" applyFont="1" applyFill="1" applyBorder="1" applyAlignment="1">
      <alignment horizontal="center" vertical="center" wrapText="1"/>
    </xf>
    <xf numFmtId="164" fontId="17" fillId="2" borderId="1" xfId="0" applyNumberFormat="1" applyFont="1" applyFill="1" applyBorder="1"/>
    <xf numFmtId="164" fontId="19" fillId="2" borderId="1" xfId="0" applyNumberFormat="1" applyFont="1" applyFill="1" applyBorder="1" applyAlignment="1">
      <alignment vertical="center" wrapText="1"/>
    </xf>
    <xf numFmtId="166" fontId="19" fillId="2" borderId="1" xfId="0" applyFont="1" applyFill="1" applyBorder="1" applyAlignment="1">
      <alignment horizontal="left" wrapText="1"/>
    </xf>
    <xf numFmtId="14" fontId="17" fillId="2" borderId="1" xfId="0" applyNumberFormat="1" applyFont="1" applyFill="1" applyBorder="1" applyAlignment="1">
      <alignment horizontal="center"/>
    </xf>
    <xf numFmtId="166" fontId="17" fillId="2" borderId="1" xfId="0" applyFont="1" applyFill="1" applyBorder="1" applyAlignment="1">
      <alignment wrapText="1"/>
    </xf>
    <xf numFmtId="166" fontId="17" fillId="2" borderId="1" xfId="0" applyFont="1" applyFill="1" applyBorder="1" applyAlignment="1">
      <alignment vertical="top" wrapText="1"/>
    </xf>
    <xf numFmtId="166" fontId="17" fillId="2" borderId="1" xfId="0" applyFont="1" applyFill="1" applyBorder="1" applyAlignment="1">
      <alignment horizontal="center"/>
    </xf>
    <xf numFmtId="166" fontId="26" fillId="7" borderId="1" xfId="0" applyNumberFormat="1" applyFont="1" applyFill="1" applyBorder="1" applyAlignment="1">
      <alignment horizontal="left" vertical="center" wrapText="1"/>
    </xf>
    <xf numFmtId="166" fontId="19" fillId="2" borderId="1" xfId="0" applyNumberFormat="1" applyFont="1" applyFill="1" applyBorder="1" applyAlignment="1">
      <alignment horizontal="left"/>
    </xf>
    <xf numFmtId="164" fontId="19" fillId="0" borderId="1" xfId="0" applyNumberFormat="1" applyFont="1" applyFill="1" applyBorder="1" applyAlignment="1">
      <alignment horizontal="left" wrapText="1"/>
    </xf>
    <xf numFmtId="165" fontId="19" fillId="0" borderId="1" xfId="0" applyNumberFormat="1" applyFont="1" applyFill="1" applyBorder="1" applyAlignment="1">
      <alignment horizontal="left" vertical="center" wrapText="1"/>
    </xf>
    <xf numFmtId="166" fontId="20" fillId="2" borderId="1" xfId="0" applyNumberFormat="1" applyFont="1" applyFill="1" applyBorder="1" applyAlignment="1">
      <alignment horizontal="left" vertical="center"/>
    </xf>
    <xf numFmtId="166" fontId="20" fillId="2" borderId="0" xfId="0" applyNumberFormat="1" applyFont="1" applyFill="1" applyAlignment="1">
      <alignment horizontal="left" vertical="center"/>
    </xf>
    <xf numFmtId="0" fontId="19" fillId="2" borderId="1" xfId="0" applyNumberFormat="1" applyFont="1" applyFill="1" applyBorder="1" applyAlignment="1">
      <alignment horizontal="center" vertical="center"/>
    </xf>
    <xf numFmtId="166" fontId="19" fillId="2" borderId="1" xfId="0" applyNumberFormat="1" applyFont="1" applyFill="1" applyBorder="1" applyAlignment="1">
      <alignment vertical="center" wrapText="1"/>
    </xf>
    <xf numFmtId="166" fontId="20" fillId="2" borderId="1" xfId="0" applyFont="1" applyFill="1" applyBorder="1" applyAlignment="1">
      <alignment horizontal="center" vertical="center"/>
    </xf>
    <xf numFmtId="166" fontId="20" fillId="2" borderId="1" xfId="0" applyFont="1" applyFill="1" applyBorder="1" applyAlignment="1">
      <alignment vertical="center" wrapText="1"/>
    </xf>
    <xf numFmtId="166" fontId="22" fillId="2" borderId="1" xfId="0" applyNumberFormat="1" applyFont="1" applyFill="1" applyBorder="1" applyAlignment="1">
      <alignment vertical="center" wrapText="1"/>
    </xf>
    <xf numFmtId="166" fontId="20" fillId="2" borderId="0" xfId="0" applyFont="1" applyFill="1" applyAlignment="1">
      <alignment vertical="center"/>
    </xf>
    <xf numFmtId="166" fontId="28" fillId="0" borderId="0" xfId="0" pivotButton="1" applyFont="1"/>
    <xf numFmtId="166" fontId="28" fillId="0" borderId="0" xfId="0" applyNumberFormat="1" applyFont="1" applyAlignment="1">
      <alignment horizontal="left"/>
    </xf>
    <xf numFmtId="166" fontId="28" fillId="0" borderId="0" xfId="0" applyFont="1"/>
    <xf numFmtId="166" fontId="28" fillId="0" borderId="0" xfId="0" applyNumberFormat="1" applyFont="1"/>
    <xf numFmtId="166" fontId="29" fillId="0" borderId="0" xfId="0" pivotButton="1" applyFont="1"/>
    <xf numFmtId="166" fontId="0" fillId="2" borderId="1" xfId="0" applyNumberFormat="1" applyFont="1" applyFill="1" applyBorder="1" applyAlignment="1"/>
    <xf numFmtId="0" fontId="0" fillId="2" borderId="1" xfId="0" applyNumberFormat="1" applyFont="1" applyFill="1" applyBorder="1" applyAlignment="1">
      <alignment horizontal="center"/>
    </xf>
    <xf numFmtId="49" fontId="30" fillId="0" borderId="8" xfId="0" applyNumberFormat="1" applyFont="1" applyBorder="1" applyAlignment="1">
      <alignment vertical="center" wrapText="1"/>
    </xf>
    <xf numFmtId="166" fontId="31" fillId="0" borderId="0" xfId="0" applyFont="1"/>
    <xf numFmtId="164" fontId="0" fillId="0" borderId="1" xfId="0" applyNumberFormat="1" applyFont="1" applyFill="1" applyBorder="1" applyAlignment="1">
      <alignment wrapText="1"/>
    </xf>
    <xf numFmtId="166" fontId="32" fillId="2" borderId="1" xfId="0" applyFont="1" applyFill="1" applyBorder="1" applyAlignment="1">
      <alignment horizontal="center"/>
    </xf>
    <xf numFmtId="166" fontId="32" fillId="2" borderId="1" xfId="0" applyFont="1" applyFill="1" applyBorder="1" applyAlignment="1">
      <alignment wrapText="1"/>
    </xf>
    <xf numFmtId="166" fontId="25" fillId="2" borderId="1" xfId="0" applyFont="1" applyFill="1" applyBorder="1" applyAlignment="1">
      <alignment horizontal="center"/>
    </xf>
    <xf numFmtId="166" fontId="30" fillId="2" borderId="1" xfId="0" applyNumberFormat="1" applyFont="1" applyFill="1" applyBorder="1" applyAlignment="1">
      <alignment wrapText="1"/>
    </xf>
    <xf numFmtId="166" fontId="32" fillId="2" borderId="0" xfId="0" applyFont="1" applyFill="1" applyAlignment="1"/>
    <xf numFmtId="166" fontId="32" fillId="2" borderId="1" xfId="0" applyFont="1" applyFill="1" applyBorder="1" applyAlignment="1">
      <alignment horizontal="left" vertical="top" wrapText="1"/>
    </xf>
    <xf numFmtId="49" fontId="33" fillId="0" borderId="8" xfId="0" applyNumberFormat="1" applyFont="1" applyBorder="1" applyAlignment="1">
      <alignment vertical="center" wrapText="1"/>
    </xf>
    <xf numFmtId="166" fontId="20" fillId="2" borderId="1" xfId="0" applyFont="1" applyFill="1" applyBorder="1" applyAlignment="1">
      <alignment horizontal="left" vertical="top" wrapText="1"/>
    </xf>
    <xf numFmtId="166" fontId="34" fillId="0" borderId="0" xfId="0" applyFont="1" applyAlignment="1">
      <alignment vertical="center" wrapText="1"/>
    </xf>
    <xf numFmtId="164" fontId="17" fillId="2" borderId="1" xfId="0" applyNumberFormat="1" applyFont="1" applyFill="1" applyBorder="1" applyAlignment="1">
      <alignment wrapText="1"/>
    </xf>
    <xf numFmtId="0" fontId="18" fillId="2" borderId="1" xfId="0" applyNumberFormat="1" applyFont="1" applyFill="1" applyBorder="1" applyAlignment="1">
      <alignment horizontal="center"/>
    </xf>
    <xf numFmtId="166" fontId="17" fillId="2" borderId="1" xfId="0" applyNumberFormat="1" applyFont="1" applyFill="1" applyBorder="1" applyAlignment="1">
      <alignment horizontal="left" vertical="center"/>
    </xf>
  </cellXfs>
  <cellStyles count="3">
    <cellStyle name="Normal" xfId="0" builtinId="0"/>
    <cellStyle name="Normal 2" xfId="1" xr:uid="{00000000-0005-0000-0000-000001000000}"/>
    <cellStyle name="Normal 3" xfId="2" xr:uid="{00000000-0005-0000-0000-000002000000}"/>
  </cellStyles>
  <dxfs count="8">
    <dxf>
      <font>
        <b/>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colors>
    <mruColors>
      <color rgb="FF28BEA1"/>
      <color rgb="FF166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Banking Sprint Log.xlsx]Sprint Status 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CWB</a:t>
            </a:r>
            <a:r>
              <a:rPr lang="en-US" baseline="0"/>
              <a:t> Digital Banking Sprint Status Dashboard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rgbClr val="FFFFFF"/>
            </a:solidFill>
            <a:ln>
              <a:solidFill>
                <a:srgbClr val="2C2C2C">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dLbl>
          <c:idx val="0"/>
          <c:spPr>
            <a:solidFill>
              <a:srgbClr val="FFFFFF"/>
            </a:solidFill>
            <a:ln>
              <a:solidFill>
                <a:srgbClr val="2C2C2C">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'Sprint Status Dashboard'!$B$3:$B$4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49-488B-B328-56B6CD5629D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249-488B-B328-56B6CD5629D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249-488B-B328-56B6CD5629DA}"/>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D249-488B-B328-56B6CD5629DA}"/>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B11A-49D5-9824-CC6DD5BD227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'Sprint Status Dashboard'!$A$5:$A$9</c:f>
              <c:strCache>
                <c:ptCount val="4"/>
                <c:pt idx="0">
                  <c:v>Decision Updated</c:v>
                </c:pt>
                <c:pt idx="1">
                  <c:v>In Review</c:v>
                </c:pt>
                <c:pt idx="2">
                  <c:v>Approved</c:v>
                </c:pt>
                <c:pt idx="3">
                  <c:v>UI Pending</c:v>
                </c:pt>
              </c:strCache>
            </c:strRef>
          </c:cat>
          <c:val>
            <c:numRef>
              <c:f>'Sprint Status Dashboard'!$B$5:$B$9</c:f>
              <c:numCache>
                <c:formatCode>[$-1009]d\-mmm\-yy;@</c:formatCode>
                <c:ptCount val="4"/>
                <c:pt idx="0">
                  <c:v>3</c:v>
                </c:pt>
                <c:pt idx="1">
                  <c:v>3</c:v>
                </c:pt>
                <c:pt idx="2">
                  <c:v>26</c:v>
                </c:pt>
                <c:pt idx="3">
                  <c:v>2</c:v>
                </c:pt>
              </c:numCache>
            </c:numRef>
          </c:val>
          <c:extLst>
            <c:ext xmlns:c16="http://schemas.microsoft.com/office/drawing/2014/chart" uri="{C3380CC4-5D6E-409C-BE32-E72D297353CC}">
              <c16:uniqueId val="{00000000-E85E-4564-A015-B95C44285D0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3F1-4DE2-A7C8-82FC2668316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3F1-4DE2-A7C8-82FC2668316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3F1-4DE2-A7C8-82FC2668316E}"/>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F37D-45B9-9C11-4595501A55EB}"/>
              </c:ext>
            </c:extLst>
          </c:dPt>
          <c:cat>
            <c:strRef>
              <c:f>'PM Dashboard'!$C$3:$C$6</c:f>
              <c:strCache>
                <c:ptCount val="4"/>
                <c:pt idx="0">
                  <c:v>OOTB without customization</c:v>
                </c:pt>
                <c:pt idx="1">
                  <c:v>OOTB with customization</c:v>
                </c:pt>
                <c:pt idx="2">
                  <c:v>New Feature</c:v>
                </c:pt>
                <c:pt idx="3">
                  <c:v>Other</c:v>
                </c:pt>
              </c:strCache>
            </c:strRef>
          </c:cat>
          <c:val>
            <c:numRef>
              <c:f>'PM Dashboard'!$D$3:$D$6</c:f>
              <c:numCache>
                <c:formatCode>[$-1009]d\-mmm\-yy;@</c:formatCode>
                <c:ptCount val="4"/>
                <c:pt idx="0">
                  <c:v>0</c:v>
                </c:pt>
                <c:pt idx="1">
                  <c:v>0</c:v>
                </c:pt>
                <c:pt idx="2">
                  <c:v>0</c:v>
                </c:pt>
                <c:pt idx="3">
                  <c:v>0</c:v>
                </c:pt>
              </c:numCache>
            </c:numRef>
          </c:val>
          <c:extLst>
            <c:ext xmlns:c16="http://schemas.microsoft.com/office/drawing/2014/chart" uri="{C3380CC4-5D6E-409C-BE32-E72D297353CC}">
              <c16:uniqueId val="{00000006-63F1-4DE2-A7C8-82FC2668316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63346913556831"/>
          <c:y val="3.5341365461847386E-2"/>
          <c:w val="0.8371408756878681"/>
          <c:h val="0.92931726907630519"/>
        </c:manualLayout>
      </c:layout>
      <c:barChart>
        <c:barDir val="bar"/>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'PM Dashboard'!$F$4:$F$11</c:f>
              <c:strCache>
                <c:ptCount val="8"/>
                <c:pt idx="0">
                  <c:v>Sprint 8</c:v>
                </c:pt>
                <c:pt idx="1">
                  <c:v>Sprint 9</c:v>
                </c:pt>
                <c:pt idx="2">
                  <c:v>Sprint 10</c:v>
                </c:pt>
                <c:pt idx="3">
                  <c:v>Sprint 11</c:v>
                </c:pt>
                <c:pt idx="4">
                  <c:v>Sprint 12</c:v>
                </c:pt>
                <c:pt idx="5">
                  <c:v>Sprint 13</c:v>
                </c:pt>
                <c:pt idx="6">
                  <c:v>Sprint 14</c:v>
                </c:pt>
                <c:pt idx="7">
                  <c:v>Sprint 15</c:v>
                </c:pt>
              </c:strCache>
            </c:strRef>
          </c:cat>
          <c:val>
            <c:numRef>
              <c:f>'PM Dashboard'!$G$4:$G$11</c:f>
              <c:numCache>
                <c:formatCode>[$-1009]d\-mmm\-yy;@</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B765-442C-8233-046D007176E0}"/>
            </c:ext>
          </c:extLst>
        </c:ser>
        <c:dLbls>
          <c:dLblPos val="inEnd"/>
          <c:showLegendKey val="0"/>
          <c:showVal val="1"/>
          <c:showCatName val="0"/>
          <c:showSerName val="0"/>
          <c:showPercent val="0"/>
          <c:showBubbleSize val="0"/>
        </c:dLbls>
        <c:gapWidth val="41"/>
        <c:axId val="1907876191"/>
        <c:axId val="1995253423"/>
      </c:barChart>
      <c:catAx>
        <c:axId val="190787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95253423"/>
        <c:crosses val="autoZero"/>
        <c:auto val="1"/>
        <c:lblAlgn val="ctr"/>
        <c:lblOffset val="100"/>
        <c:noMultiLvlLbl val="0"/>
      </c:catAx>
      <c:valAx>
        <c:axId val="1995253423"/>
        <c:scaling>
          <c:orientation val="minMax"/>
        </c:scaling>
        <c:delete val="1"/>
        <c:axPos val="b"/>
        <c:numFmt formatCode="[$-1009]d\-mmm\-yy;@" sourceLinked="1"/>
        <c:majorTickMark val="none"/>
        <c:minorTickMark val="none"/>
        <c:tickLblPos val="nextTo"/>
        <c:crossAx val="190787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'PM Dashboard'!$D$19</c:f>
              <c:strCache>
                <c:ptCount val="1"/>
                <c:pt idx="0">
                  <c:v>OOTB 
without customization</c:v>
                </c:pt>
              </c:strCache>
            </c:strRef>
          </c:tx>
          <c:spPr>
            <a:solidFill>
              <a:schemeClr val="accent1"/>
            </a:solidFill>
            <a:ln>
              <a:noFill/>
            </a:ln>
            <a:effectLst/>
          </c:spPr>
          <c:invertIfNegative val="0"/>
          <c:cat>
            <c:strRef>
              <c:extLst>
                <c:ext xmlns:c15="http://schemas.microsoft.com/office/drawing/2012/chart" uri="{02D57815-91ED-43cb-92C2-25804820EDAC}">
                  <c15:fullRef>
                    <c15:sqref>'PM Dashboard'!$C$20:$C$28</c15:sqref>
                  </c15:fullRef>
                </c:ext>
              </c:extLst>
              <c:f>'PM Dashboard'!$C$20:$C$27</c:f>
              <c:strCache>
                <c:ptCount val="8"/>
                <c:pt idx="0">
                  <c:v>Sprint 8</c:v>
                </c:pt>
                <c:pt idx="1">
                  <c:v>Sprint 9</c:v>
                </c:pt>
                <c:pt idx="2">
                  <c:v>Sprint 10</c:v>
                </c:pt>
                <c:pt idx="3">
                  <c:v>Sprint 11</c:v>
                </c:pt>
                <c:pt idx="4">
                  <c:v>Sprint 12</c:v>
                </c:pt>
                <c:pt idx="5">
                  <c:v>Sprint 13</c:v>
                </c:pt>
                <c:pt idx="6">
                  <c:v>Sprint 14</c:v>
                </c:pt>
                <c:pt idx="7">
                  <c:v>Sprint 15</c:v>
                </c:pt>
              </c:strCache>
            </c:strRef>
          </c:cat>
          <c:val>
            <c:numRef>
              <c:extLst>
                <c:ext xmlns:c15="http://schemas.microsoft.com/office/drawing/2012/chart" uri="{02D57815-91ED-43cb-92C2-25804820EDAC}">
                  <c15:fullRef>
                    <c15:sqref>'PM Dashboard'!$D$20:$D$28</c15:sqref>
                  </c15:fullRef>
                </c:ext>
              </c:extLst>
              <c:f>'PM Dashboard'!$D$20:$D$27</c:f>
              <c:numCache>
                <c:formatCode>[$-1009]d\-mmm\-yy;@</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D872-4924-B254-A0F437D09D09}"/>
            </c:ext>
          </c:extLst>
        </c:ser>
        <c:ser>
          <c:idx val="1"/>
          <c:order val="1"/>
          <c:tx>
            <c:strRef>
              <c:f>'PM Dashboard'!$E$19</c:f>
              <c:strCache>
                <c:ptCount val="1"/>
                <c:pt idx="0">
                  <c:v>OOTB 
with customization</c:v>
                </c:pt>
              </c:strCache>
            </c:strRef>
          </c:tx>
          <c:spPr>
            <a:solidFill>
              <a:schemeClr val="accent2"/>
            </a:solidFill>
            <a:ln>
              <a:noFill/>
            </a:ln>
            <a:effectLst/>
          </c:spPr>
          <c:invertIfNegative val="0"/>
          <c:cat>
            <c:strRef>
              <c:extLst>
                <c:ext xmlns:c15="http://schemas.microsoft.com/office/drawing/2012/chart" uri="{02D57815-91ED-43cb-92C2-25804820EDAC}">
                  <c15:fullRef>
                    <c15:sqref>'PM Dashboard'!$C$20:$C$28</c15:sqref>
                  </c15:fullRef>
                </c:ext>
              </c:extLst>
              <c:f>'PM Dashboard'!$C$20:$C$27</c:f>
              <c:strCache>
                <c:ptCount val="8"/>
                <c:pt idx="0">
                  <c:v>Sprint 8</c:v>
                </c:pt>
                <c:pt idx="1">
                  <c:v>Sprint 9</c:v>
                </c:pt>
                <c:pt idx="2">
                  <c:v>Sprint 10</c:v>
                </c:pt>
                <c:pt idx="3">
                  <c:v>Sprint 11</c:v>
                </c:pt>
                <c:pt idx="4">
                  <c:v>Sprint 12</c:v>
                </c:pt>
                <c:pt idx="5">
                  <c:v>Sprint 13</c:v>
                </c:pt>
                <c:pt idx="6">
                  <c:v>Sprint 14</c:v>
                </c:pt>
                <c:pt idx="7">
                  <c:v>Sprint 15</c:v>
                </c:pt>
              </c:strCache>
            </c:strRef>
          </c:cat>
          <c:val>
            <c:numRef>
              <c:extLst>
                <c:ext xmlns:c15="http://schemas.microsoft.com/office/drawing/2012/chart" uri="{02D57815-91ED-43cb-92C2-25804820EDAC}">
                  <c15:fullRef>
                    <c15:sqref>'PM Dashboard'!$E$20:$E$28</c15:sqref>
                  </c15:fullRef>
                </c:ext>
              </c:extLst>
              <c:f>'PM Dashboard'!$E$20:$E$27</c:f>
              <c:numCache>
                <c:formatCode>[$-1009]d\-mmm\-yy;@</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D872-4924-B254-A0F437D09D09}"/>
            </c:ext>
          </c:extLst>
        </c:ser>
        <c:ser>
          <c:idx val="2"/>
          <c:order val="2"/>
          <c:tx>
            <c:strRef>
              <c:f>'PM Dashboard'!$F$19</c:f>
              <c:strCache>
                <c:ptCount val="1"/>
                <c:pt idx="0">
                  <c:v>New Feature</c:v>
                </c:pt>
              </c:strCache>
            </c:strRef>
          </c:tx>
          <c:spPr>
            <a:solidFill>
              <a:schemeClr val="accent3"/>
            </a:solidFill>
            <a:ln>
              <a:noFill/>
            </a:ln>
            <a:effectLst/>
          </c:spPr>
          <c:invertIfNegative val="0"/>
          <c:cat>
            <c:strRef>
              <c:extLst>
                <c:ext xmlns:c15="http://schemas.microsoft.com/office/drawing/2012/chart" uri="{02D57815-91ED-43cb-92C2-25804820EDAC}">
                  <c15:fullRef>
                    <c15:sqref>'PM Dashboard'!$C$20:$C$28</c15:sqref>
                  </c15:fullRef>
                </c:ext>
              </c:extLst>
              <c:f>'PM Dashboard'!$C$20:$C$27</c:f>
              <c:strCache>
                <c:ptCount val="8"/>
                <c:pt idx="0">
                  <c:v>Sprint 8</c:v>
                </c:pt>
                <c:pt idx="1">
                  <c:v>Sprint 9</c:v>
                </c:pt>
                <c:pt idx="2">
                  <c:v>Sprint 10</c:v>
                </c:pt>
                <c:pt idx="3">
                  <c:v>Sprint 11</c:v>
                </c:pt>
                <c:pt idx="4">
                  <c:v>Sprint 12</c:v>
                </c:pt>
                <c:pt idx="5">
                  <c:v>Sprint 13</c:v>
                </c:pt>
                <c:pt idx="6">
                  <c:v>Sprint 14</c:v>
                </c:pt>
                <c:pt idx="7">
                  <c:v>Sprint 15</c:v>
                </c:pt>
              </c:strCache>
            </c:strRef>
          </c:cat>
          <c:val>
            <c:numRef>
              <c:extLst>
                <c:ext xmlns:c15="http://schemas.microsoft.com/office/drawing/2012/chart" uri="{02D57815-91ED-43cb-92C2-25804820EDAC}">
                  <c15:fullRef>
                    <c15:sqref>'PM Dashboard'!$F$20:$F$28</c15:sqref>
                  </c15:fullRef>
                </c:ext>
              </c:extLst>
              <c:f>'PM Dashboard'!$F$20:$F$27</c:f>
              <c:numCache>
                <c:formatCode>[$-1009]d\-mmm\-yy;@</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D872-4924-B254-A0F437D09D09}"/>
            </c:ext>
          </c:extLst>
        </c:ser>
        <c:dLbls>
          <c:showLegendKey val="0"/>
          <c:showVal val="0"/>
          <c:showCatName val="0"/>
          <c:showSerName val="0"/>
          <c:showPercent val="0"/>
          <c:showBubbleSize val="0"/>
        </c:dLbls>
        <c:gapWidth val="182"/>
        <c:axId val="1914274783"/>
        <c:axId val="1278280495"/>
      </c:barChart>
      <c:catAx>
        <c:axId val="191427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280495"/>
        <c:crosses val="autoZero"/>
        <c:auto val="1"/>
        <c:lblAlgn val="ctr"/>
        <c:lblOffset val="100"/>
        <c:noMultiLvlLbl val="0"/>
      </c:catAx>
      <c:valAx>
        <c:axId val="1278280495"/>
        <c:scaling>
          <c:orientation val="minMax"/>
        </c:scaling>
        <c:delete val="0"/>
        <c:axPos val="b"/>
        <c:majorGridlines>
          <c:spPr>
            <a:ln w="9525" cap="flat" cmpd="sng" algn="ctr">
              <a:solidFill>
                <a:schemeClr val="tx1">
                  <a:lumMod val="15000"/>
                  <a:lumOff val="85000"/>
                </a:schemeClr>
              </a:solidFill>
              <a:round/>
            </a:ln>
            <a:effectLst/>
          </c:spPr>
        </c:majorGridlines>
        <c:numFmt formatCode="[$-1009]d\-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274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307974</xdr:colOff>
      <xdr:row>1</xdr:row>
      <xdr:rowOff>3174</xdr:rowOff>
    </xdr:from>
    <xdr:to>
      <xdr:col>21</xdr:col>
      <xdr:colOff>273050</xdr:colOff>
      <xdr:row>32</xdr:row>
      <xdr:rowOff>31750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1242482</xdr:colOff>
      <xdr:row>30</xdr:row>
      <xdr:rowOff>166157</xdr:rowOff>
    </xdr:from>
    <xdr:to>
      <xdr:col>7</xdr:col>
      <xdr:colOff>158750</xdr:colOff>
      <xdr:row>149</xdr:row>
      <xdr:rowOff>63500</xdr:rowOff>
    </xdr:to>
    <xdr:sp macro="" textlink="">
      <xdr:nvSpPr>
        <xdr:cNvPr id="85" name="Rectangle: Rounded Corners 2">
          <a:extLst>
            <a:ext uri="{FF2B5EF4-FFF2-40B4-BE49-F238E27FC236}">
              <a16:creationId xmlns:a16="http://schemas.microsoft.com/office/drawing/2014/main" id="{DA014A36-0561-4D61-B103-B1647F1653C5}"/>
            </a:ext>
          </a:extLst>
        </xdr:cNvPr>
        <xdr:cNvSpPr/>
      </xdr:nvSpPr>
      <xdr:spPr>
        <a:xfrm>
          <a:off x="1242482" y="11649074"/>
          <a:ext cx="7615768" cy="24281343"/>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801159</xdr:colOff>
      <xdr:row>1</xdr:row>
      <xdr:rowOff>158750</xdr:rowOff>
    </xdr:from>
    <xdr:to>
      <xdr:col>12</xdr:col>
      <xdr:colOff>412750</xdr:colOff>
      <xdr:row>15</xdr:row>
      <xdr:rowOff>243417</xdr:rowOff>
    </xdr:to>
    <xdr:sp macro="" textlink="">
      <xdr:nvSpPr>
        <xdr:cNvPr id="75" name="Rectangle: Rounded Corners 1">
          <a:extLst>
            <a:ext uri="{FF2B5EF4-FFF2-40B4-BE49-F238E27FC236}">
              <a16:creationId xmlns:a16="http://schemas.microsoft.com/office/drawing/2014/main" id="{4A4105C9-CB5B-462E-803D-0DC2846D0BF6}"/>
            </a:ext>
          </a:extLst>
        </xdr:cNvPr>
        <xdr:cNvSpPr/>
      </xdr:nvSpPr>
      <xdr:spPr>
        <a:xfrm>
          <a:off x="5150909" y="539750"/>
          <a:ext cx="11210924" cy="5418667"/>
        </a:xfrm>
        <a:prstGeom prst="roundRect">
          <a:avLst>
            <a:gd name="adj" fmla="val 1130"/>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77260</xdr:colOff>
      <xdr:row>7</xdr:row>
      <xdr:rowOff>87840</xdr:rowOff>
    </xdr:from>
    <xdr:to>
      <xdr:col>3</xdr:col>
      <xdr:colOff>1259417</xdr:colOff>
      <xdr:row>15</xdr:row>
      <xdr:rowOff>259290</xdr:rowOff>
    </xdr:to>
    <xdr:graphicFrame macro="">
      <xdr:nvGraphicFramePr>
        <xdr:cNvPr id="5" name="Chart 4">
          <a:extLst>
            <a:ext uri="{FF2B5EF4-FFF2-40B4-BE49-F238E27FC236}">
              <a16:creationId xmlns:a16="http://schemas.microsoft.com/office/drawing/2014/main" id="{88C0A0EF-E6FE-46C3-BE2C-65468518B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294217</xdr:colOff>
      <xdr:row>2</xdr:row>
      <xdr:rowOff>182561</xdr:rowOff>
    </xdr:from>
    <xdr:to>
      <xdr:col>12</xdr:col>
      <xdr:colOff>118534</xdr:colOff>
      <xdr:row>11</xdr:row>
      <xdr:rowOff>349248</xdr:rowOff>
    </xdr:to>
    <xdr:graphicFrame macro="">
      <xdr:nvGraphicFramePr>
        <xdr:cNvPr id="6" name="Chart 5">
          <a:extLst>
            <a:ext uri="{FF2B5EF4-FFF2-40B4-BE49-F238E27FC236}">
              <a16:creationId xmlns:a16="http://schemas.microsoft.com/office/drawing/2014/main" id="{D0496B76-EA6D-4D77-AC38-F313BB745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186265</xdr:colOff>
      <xdr:row>19</xdr:row>
      <xdr:rowOff>31749</xdr:rowOff>
    </xdr:from>
    <xdr:to>
      <xdr:col>14</xdr:col>
      <xdr:colOff>586579</xdr:colOff>
      <xdr:row>27</xdr:row>
      <xdr:rowOff>348191</xdr:rowOff>
    </xdr:to>
    <xdr:graphicFrame macro="">
      <xdr:nvGraphicFramePr>
        <xdr:cNvPr id="7" name="Chart 6">
          <a:extLst>
            <a:ext uri="{FF2B5EF4-FFF2-40B4-BE49-F238E27FC236}">
              <a16:creationId xmlns:a16="http://schemas.microsoft.com/office/drawing/2014/main" id="{9AFD9662-0C86-4D8C-888C-38F0F2816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1291168</xdr:colOff>
      <xdr:row>1</xdr:row>
      <xdr:rowOff>174624</xdr:rowOff>
    </xdr:from>
    <xdr:to>
      <xdr:col>4</xdr:col>
      <xdr:colOff>148168</xdr:colOff>
      <xdr:row>15</xdr:row>
      <xdr:rowOff>259291</xdr:rowOff>
    </xdr:to>
    <xdr:sp macro="" textlink="">
      <xdr:nvSpPr>
        <xdr:cNvPr id="71" name="Rectangle: Rounded Corners 7">
          <a:extLst>
            <a:ext uri="{FF2B5EF4-FFF2-40B4-BE49-F238E27FC236}">
              <a16:creationId xmlns:a16="http://schemas.microsoft.com/office/drawing/2014/main" id="{F83BE60A-5496-476C-8FF9-460F7E91CFF1}"/>
            </a:ext>
          </a:extLst>
        </xdr:cNvPr>
        <xdr:cNvSpPr/>
      </xdr:nvSpPr>
      <xdr:spPr>
        <a:xfrm>
          <a:off x="1291168" y="555624"/>
          <a:ext cx="3206750" cy="5418667"/>
        </a:xfrm>
        <a:prstGeom prst="roundRect">
          <a:avLst>
            <a:gd name="adj" fmla="val 1190"/>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1259417</xdr:colOff>
      <xdr:row>17</xdr:row>
      <xdr:rowOff>84668</xdr:rowOff>
    </xdr:from>
    <xdr:to>
      <xdr:col>15</xdr:col>
      <xdr:colOff>95250</xdr:colOff>
      <xdr:row>29</xdr:row>
      <xdr:rowOff>137584</xdr:rowOff>
    </xdr:to>
    <xdr:sp macro="" textlink="">
      <xdr:nvSpPr>
        <xdr:cNvPr id="78" name="Rectangle: Rounded Corners 8">
          <a:extLst>
            <a:ext uri="{FF2B5EF4-FFF2-40B4-BE49-F238E27FC236}">
              <a16:creationId xmlns:a16="http://schemas.microsoft.com/office/drawing/2014/main" id="{9E07CC62-3FA2-4A17-84E6-7ACC7D142AE7}"/>
            </a:ext>
          </a:extLst>
        </xdr:cNvPr>
        <xdr:cNvSpPr/>
      </xdr:nvSpPr>
      <xdr:spPr>
        <a:xfrm>
          <a:off x="1259417" y="6561668"/>
          <a:ext cx="19134666" cy="4677833"/>
        </a:xfrm>
        <a:prstGeom prst="roundRect">
          <a:avLst>
            <a:gd name="adj" fmla="val 818"/>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1227667</xdr:colOff>
      <xdr:row>30</xdr:row>
      <xdr:rowOff>158750</xdr:rowOff>
    </xdr:from>
    <xdr:to>
      <xdr:col>13</xdr:col>
      <xdr:colOff>143935</xdr:colOff>
      <xdr:row>149</xdr:row>
      <xdr:rowOff>56093</xdr:rowOff>
    </xdr:to>
    <xdr:sp macro="" textlink="">
      <xdr:nvSpPr>
        <xdr:cNvPr id="87" name="Rectangle: Rounded Corners 10">
          <a:extLst>
            <a:ext uri="{FF2B5EF4-FFF2-40B4-BE49-F238E27FC236}">
              <a16:creationId xmlns:a16="http://schemas.microsoft.com/office/drawing/2014/main" id="{3A9DA545-8E26-4EEA-8DA1-2D230D82BE26}"/>
            </a:ext>
          </a:extLst>
        </xdr:cNvPr>
        <xdr:cNvSpPr/>
      </xdr:nvSpPr>
      <xdr:spPr>
        <a:xfrm>
          <a:off x="9927167" y="11641667"/>
          <a:ext cx="7615768" cy="45003509"/>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1238250</xdr:colOff>
      <xdr:row>30</xdr:row>
      <xdr:rowOff>148167</xdr:rowOff>
    </xdr:from>
    <xdr:to>
      <xdr:col>19</xdr:col>
      <xdr:colOff>154518</xdr:colOff>
      <xdr:row>149</xdr:row>
      <xdr:rowOff>45510</xdr:rowOff>
    </xdr:to>
    <xdr:sp macro="" textlink="">
      <xdr:nvSpPr>
        <xdr:cNvPr id="89" name="Rectangle: Rounded Corners 11">
          <a:extLst>
            <a:ext uri="{FF2B5EF4-FFF2-40B4-BE49-F238E27FC236}">
              <a16:creationId xmlns:a16="http://schemas.microsoft.com/office/drawing/2014/main" id="{4A0505DD-D225-481A-A441-54ACB6405139}"/>
            </a:ext>
          </a:extLst>
        </xdr:cNvPr>
        <xdr:cNvSpPr/>
      </xdr:nvSpPr>
      <xdr:spPr>
        <a:xfrm>
          <a:off x="18637250" y="11631084"/>
          <a:ext cx="7615768" cy="45003509"/>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1238250</xdr:colOff>
      <xdr:row>30</xdr:row>
      <xdr:rowOff>148167</xdr:rowOff>
    </xdr:from>
    <xdr:to>
      <xdr:col>25</xdr:col>
      <xdr:colOff>154518</xdr:colOff>
      <xdr:row>149</xdr:row>
      <xdr:rowOff>45510</xdr:rowOff>
    </xdr:to>
    <xdr:sp macro="" textlink="">
      <xdr:nvSpPr>
        <xdr:cNvPr id="91" name="Rectangle: Rounded Corners 12">
          <a:extLst>
            <a:ext uri="{FF2B5EF4-FFF2-40B4-BE49-F238E27FC236}">
              <a16:creationId xmlns:a16="http://schemas.microsoft.com/office/drawing/2014/main" id="{C57B192F-3D25-4E53-8F23-53210A6DF3E8}"/>
            </a:ext>
          </a:extLst>
        </xdr:cNvPr>
        <xdr:cNvSpPr/>
      </xdr:nvSpPr>
      <xdr:spPr>
        <a:xfrm>
          <a:off x="27336750" y="11631084"/>
          <a:ext cx="7615768" cy="45003509"/>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1248833</xdr:colOff>
      <xdr:row>30</xdr:row>
      <xdr:rowOff>148167</xdr:rowOff>
    </xdr:from>
    <xdr:to>
      <xdr:col>31</xdr:col>
      <xdr:colOff>165101</xdr:colOff>
      <xdr:row>149</xdr:row>
      <xdr:rowOff>45510</xdr:rowOff>
    </xdr:to>
    <xdr:sp macro="" textlink="">
      <xdr:nvSpPr>
        <xdr:cNvPr id="93" name="Rectangle: Rounded Corners 13">
          <a:extLst>
            <a:ext uri="{FF2B5EF4-FFF2-40B4-BE49-F238E27FC236}">
              <a16:creationId xmlns:a16="http://schemas.microsoft.com/office/drawing/2014/main" id="{878E51FF-2FB2-4B25-A606-59A3BAF65C46}"/>
            </a:ext>
          </a:extLst>
        </xdr:cNvPr>
        <xdr:cNvSpPr/>
      </xdr:nvSpPr>
      <xdr:spPr>
        <a:xfrm>
          <a:off x="36046833" y="11631084"/>
          <a:ext cx="7615768" cy="45003509"/>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1259417</xdr:colOff>
      <xdr:row>30</xdr:row>
      <xdr:rowOff>148167</xdr:rowOff>
    </xdr:from>
    <xdr:to>
      <xdr:col>37</xdr:col>
      <xdr:colOff>175685</xdr:colOff>
      <xdr:row>149</xdr:row>
      <xdr:rowOff>45510</xdr:rowOff>
    </xdr:to>
    <xdr:sp macro="" textlink="">
      <xdr:nvSpPr>
        <xdr:cNvPr id="95" name="Rectangle: Rounded Corners 14">
          <a:extLst>
            <a:ext uri="{FF2B5EF4-FFF2-40B4-BE49-F238E27FC236}">
              <a16:creationId xmlns:a16="http://schemas.microsoft.com/office/drawing/2014/main" id="{E2BA2C02-3C77-463A-A2B4-90DF213B9B16}"/>
            </a:ext>
          </a:extLst>
        </xdr:cNvPr>
        <xdr:cNvSpPr/>
      </xdr:nvSpPr>
      <xdr:spPr>
        <a:xfrm>
          <a:off x="44756917" y="11631084"/>
          <a:ext cx="7615768" cy="45003509"/>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1259416</xdr:colOff>
      <xdr:row>30</xdr:row>
      <xdr:rowOff>127000</xdr:rowOff>
    </xdr:from>
    <xdr:to>
      <xdr:col>43</xdr:col>
      <xdr:colOff>175684</xdr:colOff>
      <xdr:row>149</xdr:row>
      <xdr:rowOff>24343</xdr:rowOff>
    </xdr:to>
    <xdr:sp macro="" textlink="">
      <xdr:nvSpPr>
        <xdr:cNvPr id="97" name="Rectangle: Rounded Corners 15">
          <a:extLst>
            <a:ext uri="{FF2B5EF4-FFF2-40B4-BE49-F238E27FC236}">
              <a16:creationId xmlns:a16="http://schemas.microsoft.com/office/drawing/2014/main" id="{BC5634FE-1B15-4498-9515-7DEE27E92092}"/>
            </a:ext>
          </a:extLst>
        </xdr:cNvPr>
        <xdr:cNvSpPr/>
      </xdr:nvSpPr>
      <xdr:spPr>
        <a:xfrm>
          <a:off x="53456416" y="11609917"/>
          <a:ext cx="7615768" cy="45003509"/>
        </a:xfrm>
        <a:prstGeom prst="roundRect">
          <a:avLst>
            <a:gd name="adj" fmla="val 2669"/>
          </a:avLst>
        </a:prstGeom>
        <a:solidFill>
          <a:schemeClr val="bg1">
            <a:alpha val="4000"/>
          </a:schemeClr>
        </a:solid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542925</xdr:colOff>
      <xdr:row>0</xdr:row>
      <xdr:rowOff>0</xdr:rowOff>
    </xdr:from>
    <xdr:to>
      <xdr:col>16</xdr:col>
      <xdr:colOff>352425</xdr:colOff>
      <xdr:row>13</xdr:row>
      <xdr:rowOff>247650</xdr:rowOff>
    </xdr:to>
    <xdr:sp macro="" textlink="">
      <xdr:nvSpPr>
        <xdr:cNvPr id="6" name="Multiply 1">
          <a:extLst>
            <a:ext uri="{FF2B5EF4-FFF2-40B4-BE49-F238E27FC236}">
              <a16:creationId xmlns:a16="http://schemas.microsoft.com/office/drawing/2014/main" id="{AA51BF2E-DF82-4EBC-82A7-D336C252F444}"/>
            </a:ext>
          </a:extLst>
        </xdr:cNvPr>
        <xdr:cNvSpPr/>
      </xdr:nvSpPr>
      <xdr:spPr>
        <a:xfrm>
          <a:off x="2400300" y="0"/>
          <a:ext cx="9210675" cy="6629400"/>
        </a:xfrm>
        <a:prstGeom prst="mathMultiply">
          <a:avLst/>
        </a:prstGeom>
        <a:solidFill>
          <a:srgbClr val="FF0000"/>
        </a:solidFill>
        <a:ln w="12700">
          <a:noFill/>
          <a:prstDash val="solid"/>
        </a:ln>
        <a:effectLst>
          <a:outerShdw blurRad="57150" dist="19050" dir="5400000" algn="ctr" rotWithShape="0">
            <a:srgbClr val="000000">
              <a:alpha val="63000"/>
            </a:srgbClr>
          </a:outerShdw>
        </a:effectLst>
      </xdr:spPr>
      <xdr:style>
        <a:lnRef idx="2">
          <a:schemeClr val="accent1">
            <a:shade val="50000"/>
          </a:schemeClr>
        </a:lnRef>
        <a:fillRef idx="1">
          <a:schemeClr val="accent1"/>
        </a:fillRef>
        <a:effectRef idx="0">
          <a:schemeClr val="accent1"/>
        </a:effectRef>
        <a:fontRef idx="minor">
          <a:srgbClr val="FFFFFF"/>
        </a:fontRef>
      </xdr:style>
      <xdr:txBody>
        <a:bodyPr vertOverflow="clip" horzOverflow="clip" rtlCol="0" anchor="t"/>
        <a:lstStyle/>
        <a:p>
          <a:pPr algn="l"/>
          <a:endParaRPr lang="en-US"/>
        </a:p>
      </xdr:txBody>
    </xdr:sp>
    <xdr:clientData/>
  </xdr:twoCellAnchor>
</xdr:wsDr>
</file>

<file path=xl/persons/person.xml><?xml version="1.0" encoding="utf-8"?>
<personList xmlns="http://schemas.microsoft.com/office/spreadsheetml/2018/threadedcomments" xmlns:x="http://schemas.openxmlformats.org/spreadsheetml/2006/main">
  <person displayName="Lauren Wilson" id="{DFE107B7-67AD-4004-8647-930BD6C3DD9E}" userId="S::lwilson@temenos.com::5aadcbfb-c18d-41e2-8d42-07f88a6baff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il Cory" refreshedDate="44270.580478703705" createdVersion="6" refreshedVersion="6" minRefreshableVersion="3" recordCount="170" xr:uid="{00000000-000A-0000-FFFF-FFFF09000000}">
  <cacheSource type="worksheet">
    <worksheetSource ref="A1:O274" sheet="DBX Sprint"/>
  </cacheSource>
  <cacheFields count="15">
    <cacheField name="SOW291," numFmtId="0">
      <sharedItems containsBlank="1"/>
    </cacheField>
    <cacheField name="Sprint#" numFmtId="0">
      <sharedItems containsDate="1" containsBlank="1" containsMixedTypes="1" minDate="1899-12-31T04:01:03" maxDate="1899-12-31T04:01:03" count="24">
        <s v="TBD"/>
        <n v="11"/>
        <n v="12"/>
        <n v="13"/>
        <n v="15"/>
        <n v="10"/>
        <n v="14"/>
        <n v="16"/>
        <n v="17"/>
        <n v="18"/>
        <n v="19"/>
        <n v="20"/>
        <n v="21"/>
        <n v="22"/>
        <n v="23"/>
        <n v="24"/>
        <n v="25"/>
        <n v="26"/>
        <n v="27"/>
        <n v="2"/>
        <m/>
        <n v="44209"/>
        <d v="1900-01-10T00:00:00" u="1"/>
        <n v="1" u="1"/>
      </sharedItems>
    </cacheField>
    <cacheField name="Sprint Start Date" numFmtId="0">
      <sharedItems containsBlank="1"/>
    </cacheField>
    <cacheField name="Sprint End Date" numFmtId="0">
      <sharedItems containsBlank="1"/>
    </cacheField>
    <cacheField name="User Story Approval Due Date" numFmtId="0">
      <sharedItems containsBlank="1"/>
    </cacheField>
    <cacheField name="Module " numFmtId="0">
      <sharedItems containsBlank="1"/>
    </cacheField>
    <cacheField name="Feature " numFmtId="0">
      <sharedItems containsBlank="1"/>
    </cacheField>
    <cacheField name="Functionality " numFmtId="0">
      <sharedItems containsBlank="1"/>
    </cacheField>
    <cacheField name=" SOW Description " numFmtId="0">
      <sharedItems containsBlank="1" longText="1"/>
    </cacheField>
    <cacheField name="User Story #" numFmtId="0">
      <sharedItems containsDate="1" containsBlank="1" containsMixedTypes="1" minDate="1899-12-31T00:00:00" maxDate="1900-01-09T01:26:24"/>
    </cacheField>
    <cacheField name="Status" numFmtId="164">
      <sharedItems containsBlank="1" count="6">
        <s v="Decision Updated"/>
        <s v="Approved"/>
        <s v="In Review"/>
        <s v="Draft"/>
        <s v="UI Pending"/>
        <m/>
      </sharedItems>
    </cacheField>
    <cacheField name="Decision Date if the Status is &quot;Decision Updated&quot;" numFmtId="0">
      <sharedItems containsNonDate="0" containsDate="1" containsString="0" containsBlank="1" minDate="2020-12-18T00:00:00" maxDate="2021-03-13T00:00:00"/>
    </cacheField>
    <cacheField name="Decision Details if the Status is &quot;Decision Updated&quot;" numFmtId="166">
      <sharedItems containsBlank="1" longText="1"/>
    </cacheField>
    <cacheField name="Decision Made by if the Status is &quot;Decision Updated&quot;" numFmtId="0">
      <sharedItems containsBlank="1"/>
    </cacheField>
    <cacheField name="Additonal_x000a_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0">
  <r>
    <s v="SOW170"/>
    <x v="0"/>
    <m/>
    <m/>
    <m/>
    <s v="Transfers"/>
    <s v="Fund Transfers"/>
    <s v="Transfer to own account in other financial institutions (Me2Me)"/>
    <s v="Add a new account in another domestic bank/CU as an external account (recipient) to the profile, by providing account information. Users can transfer funds to the external account once it has been verified and activated."/>
    <m/>
    <x v="0"/>
    <d v="2020-12-18T00:00:00"/>
    <s v="12/18/2020 CM: Defer Me2Me from R1 to a post R1 release.  This needs to be there with Motive as it is a retail function._x000a_Temenos and CWB agreed both recommended deferring M2M, and collectively indicated it would put R1 at risk in the workshop this morning."/>
    <s v="Christina Mullin"/>
    <s v="This needs to be there with Motive as it is a retail function."/>
  </r>
  <r>
    <s v="SOW190"/>
    <x v="0"/>
    <m/>
    <m/>
    <m/>
    <s v="Cheque Management"/>
    <s v="Stop Cheque Payment"/>
    <s v="Stop Cheque payment"/>
    <s v="The Infinity Stop Cheque and Stop Payment function includes a field for the Date of Request Field.  The intent  of this field is to display the date the stop request was made.  This date is captured and sent to T24.  However when a user is review the request history, the Date Requested field is not returned from T24. CWB does require this field (should) and a decision is required on how to solution this field. The four options discussed are as follows: _x000a_• Change the API to return the Date of Request_x000a_• Suppress the field_x000a_• Display the date based on what Infinity captures when (needs to be validated if this is technically possible).  This would be  a temporary solution. _x000a_• Leave it blank_x000a_"/>
    <m/>
    <x v="0"/>
    <m/>
    <s v="The request create date is required._x000a_Suppresssing and leaving it blank are not options as date is on the screen and part of the user story._x000a_Next step is to ask Temenos what would suffice as a solution."/>
    <m/>
    <s v="Neil (1/15/20) set email to Grant to request solution scope)"/>
  </r>
  <r>
    <s v="SOW283"/>
    <x v="1"/>
    <m/>
    <m/>
    <m/>
    <s v="Payments &amp; Withdrawals"/>
    <s v="Pay Business Taxes"/>
    <s v="Remit Tax"/>
    <s v="Ability to remit Provincial Business Tax (separate forms from CRA)"/>
    <s v="11.1.1"/>
    <x v="1"/>
    <m/>
    <m/>
    <m/>
    <m/>
  </r>
  <r>
    <s v="SOW283"/>
    <x v="1"/>
    <m/>
    <m/>
    <m/>
    <s v="Payments &amp; Withdrawals"/>
    <s v="Pay Business Taxes"/>
    <s v="Remit Tax"/>
    <s v="Ability to remit Provincial Business Tax (separate forms from CRA)"/>
    <s v="11.1.2"/>
    <x v="1"/>
    <m/>
    <m/>
    <m/>
    <m/>
  </r>
  <r>
    <s v="SOW283"/>
    <x v="1"/>
    <m/>
    <m/>
    <m/>
    <s v="Payments &amp; Withdrawals"/>
    <s v="Pay Business Taxes"/>
    <s v="Remit Tax"/>
    <s v="Ability to remit Provincial Business Tax (separate forms from CRA)"/>
    <s v="11.1.3"/>
    <x v="1"/>
    <m/>
    <m/>
    <m/>
    <m/>
  </r>
  <r>
    <s v="SOW283"/>
    <x v="1"/>
    <m/>
    <m/>
    <m/>
    <s v="Payments &amp; Withdrawals"/>
    <s v="Pay Business Taxes"/>
    <s v="Remit Tax"/>
    <s v="Ability to remit Provincial Business Tax (separate forms from CRA)"/>
    <s v="11.1.4"/>
    <x v="1"/>
    <m/>
    <m/>
    <m/>
    <m/>
  </r>
  <r>
    <s v="SOW283"/>
    <x v="1"/>
    <m/>
    <m/>
    <m/>
    <s v="Payments &amp; Withdrawals"/>
    <s v="Pay Business Taxes"/>
    <s v="Remit Tax"/>
    <s v="Ability to remit Provincial Business Tax (separate forms from CRA)"/>
    <s v="11.1.5"/>
    <x v="1"/>
    <m/>
    <m/>
    <m/>
    <m/>
  </r>
  <r>
    <s v="SOW283"/>
    <x v="1"/>
    <m/>
    <m/>
    <m/>
    <s v="Payments &amp; Withdrawals"/>
    <s v="Pay Business Taxes"/>
    <s v="Remit Tax"/>
    <s v="Ability to remit Provincial Business Tax (separate forms from CRA)"/>
    <s v="11.1.6"/>
    <x v="1"/>
    <m/>
    <m/>
    <m/>
    <m/>
  </r>
  <r>
    <s v="SOW70"/>
    <x v="1"/>
    <m/>
    <m/>
    <m/>
    <s v="Payments &amp; Withdrawals"/>
    <s v="CRA Fund Transfer "/>
    <s v="View CRA Payment History "/>
    <s v="Ability to view payment history"/>
    <s v="11.2.1"/>
    <x v="1"/>
    <m/>
    <m/>
    <m/>
    <m/>
  </r>
  <r>
    <s v="SOW70"/>
    <x v="1"/>
    <m/>
    <m/>
    <m/>
    <s v="Payments &amp; Withdrawals"/>
    <s v="CRA Fund Transfer "/>
    <s v="View CRA Payment History "/>
    <s v="Ability to view payment history"/>
    <s v="11.2.2"/>
    <x v="1"/>
    <m/>
    <m/>
    <m/>
    <m/>
  </r>
  <r>
    <s v="SOW70"/>
    <x v="1"/>
    <m/>
    <m/>
    <m/>
    <s v="Payments &amp; Withdrawals"/>
    <s v="CRA Fund Transfer "/>
    <s v="View CRA Payment History "/>
    <s v="Ability to view payment history"/>
    <s v="11.2.3"/>
    <x v="1"/>
    <m/>
    <m/>
    <m/>
    <m/>
  </r>
  <r>
    <s v="SOW71"/>
    <x v="1"/>
    <m/>
    <m/>
    <m/>
    <s v="Payments &amp; Withdrawals"/>
    <s v="CRA Fund Transfer "/>
    <s v="View CRA Payment History "/>
    <s v="Ability to view payment history"/>
    <s v="11.2.4"/>
    <x v="1"/>
    <m/>
    <m/>
    <m/>
    <m/>
  </r>
  <r>
    <s v="SOW72"/>
    <x v="1"/>
    <m/>
    <m/>
    <m/>
    <s v="Payments &amp; Withdrawals"/>
    <s v="CRA Fund Transfer "/>
    <s v="View CRA Payment History "/>
    <s v="Ability to view payment history"/>
    <s v="11.2.5"/>
    <x v="1"/>
    <m/>
    <m/>
    <m/>
    <m/>
  </r>
  <r>
    <s v="SOW73"/>
    <x v="1"/>
    <m/>
    <m/>
    <m/>
    <s v="Payments &amp; Withdrawals"/>
    <s v="CRA Fund Transfer "/>
    <s v="View CRA Payment History "/>
    <s v="Ability to view payment history"/>
    <s v="11.2.6"/>
    <x v="1"/>
    <m/>
    <m/>
    <m/>
    <m/>
  </r>
  <r>
    <s v="SOW83"/>
    <x v="1"/>
    <m/>
    <m/>
    <m/>
    <s v="Accounts"/>
    <s v="Transactions "/>
    <s v="Pagination"/>
    <s v="Increase pagination beyond 10 transactions at a time. The requirement is to allow User to see 50 per page._x000a_Parameter of the pagination has to be passed to MS, need a cursor value back for next and previous transaction pages. "/>
    <s v="11.3.1"/>
    <x v="2"/>
    <m/>
    <m/>
    <m/>
    <m/>
  </r>
  <r>
    <s v="SOW282"/>
    <x v="1"/>
    <m/>
    <m/>
    <m/>
    <s v="Transfers"/>
    <s v="External Accounts"/>
    <s v="Manage External Bank accounts"/>
    <s v="Remove external accounts added for transfers "/>
    <d v="1899-12-31T00:00:00"/>
    <x v="2"/>
    <m/>
    <m/>
    <m/>
    <m/>
  </r>
  <r>
    <s v="SOW282"/>
    <x v="1"/>
    <m/>
    <m/>
    <m/>
    <s v="Transfers"/>
    <s v="External Accounts"/>
    <s v="Manage External Bank accounts"/>
    <s v="Remove external accounts added for transfers "/>
    <d v="1900-01-01T00:00:00"/>
    <x v="3"/>
    <m/>
    <m/>
    <m/>
    <m/>
  </r>
  <r>
    <s v="SOW60"/>
    <x v="2"/>
    <m/>
    <m/>
    <m/>
    <s v="Bill Payment"/>
    <s v="Bill Pay"/>
    <s v="Transaction / Payment Receipts"/>
    <s v="Ability to view list of bill payments, with the option to manage each transaction  ( i.e.  print and download each receipt). The list can contain the beneficiary name, transaction description, type, from account, transaction ID, date, status, amount "/>
    <s v="12.1.1"/>
    <x v="2"/>
    <m/>
    <m/>
    <m/>
    <m/>
  </r>
  <r>
    <s v="SOW60"/>
    <x v="2"/>
    <m/>
    <m/>
    <m/>
    <s v="Bill Payment"/>
    <s v="Bill Pay"/>
    <s v="Transaction / Payment Receipts"/>
    <s v="Ability to view list of bill payments, with the option to manage each transaction  ( i.e.  print and download each receipt). The list can contain the beneficiary name, transaction description, type, from account, transaction ID, date, status, amount "/>
    <s v="12.1.2"/>
    <x v="1"/>
    <m/>
    <m/>
    <m/>
    <m/>
  </r>
  <r>
    <s v="SOW1000"/>
    <x v="2"/>
    <m/>
    <m/>
    <m/>
    <s v="Cheque Management"/>
    <s v="Stop Payment"/>
    <s v="Stop payment"/>
    <s v="Stop Payment for Pre-Authorized Payment"/>
    <s v="12.3.1"/>
    <x v="1"/>
    <m/>
    <m/>
    <m/>
    <m/>
  </r>
  <r>
    <s v="SOW1000"/>
    <x v="2"/>
    <m/>
    <m/>
    <m/>
    <s v="Cheque Management"/>
    <s v="Stop Payment"/>
    <s v="Stop payment"/>
    <s v="Stop Payment for Pre-Authorized Payment"/>
    <s v="12.3.2"/>
    <x v="1"/>
    <m/>
    <m/>
    <m/>
    <m/>
  </r>
  <r>
    <s v="SOW1000"/>
    <x v="2"/>
    <m/>
    <m/>
    <m/>
    <s v="Cheque Management"/>
    <s v="Stop Payment"/>
    <s v="Stop payment"/>
    <s v="Stop Payment for Pre-Authorized Payment"/>
    <s v="12.3.3"/>
    <x v="1"/>
    <m/>
    <m/>
    <m/>
    <m/>
  </r>
  <r>
    <s v="SOW1000"/>
    <x v="2"/>
    <m/>
    <m/>
    <m/>
    <s v="Cheque Management"/>
    <s v="Stop Payment"/>
    <s v="Stop payment"/>
    <s v="Stop Payment for Pre-Authorized Payment"/>
    <s v="12.3.4"/>
    <x v="1"/>
    <m/>
    <m/>
    <m/>
    <m/>
  </r>
  <r>
    <s v="SOW1000"/>
    <x v="2"/>
    <m/>
    <m/>
    <m/>
    <s v="Cheque Management"/>
    <s v="Stop Payment"/>
    <s v="Stop payment"/>
    <s v="Stop Payment for Pre-Authorized Payment"/>
    <s v="12.3.5"/>
    <x v="1"/>
    <m/>
    <m/>
    <m/>
    <m/>
  </r>
  <r>
    <s v="SOW1000"/>
    <x v="2"/>
    <m/>
    <m/>
    <m/>
    <s v="Cheque Management"/>
    <s v="Stop Payment"/>
    <s v="Stop payment"/>
    <s v="Stop Payment for Pre-Authorized Payment"/>
    <s v="12.3.6"/>
    <x v="1"/>
    <m/>
    <m/>
    <m/>
    <m/>
  </r>
  <r>
    <s v="SOW1000"/>
    <x v="2"/>
    <m/>
    <m/>
    <m/>
    <s v="Cheque Management"/>
    <s v="Stop Payment"/>
    <s v="Stop payment"/>
    <s v="Stop Payment for Pre-Authorized Payment"/>
    <s v="12.3.7"/>
    <x v="4"/>
    <m/>
    <m/>
    <m/>
    <m/>
  </r>
  <r>
    <s v="SOW1000"/>
    <x v="2"/>
    <m/>
    <m/>
    <m/>
    <s v="Cheque Management"/>
    <s v="Stop Payment"/>
    <s v="Stop payment"/>
    <s v="Stop Payment for Pre-Authorized Payment"/>
    <s v="12.3.8"/>
    <x v="1"/>
    <m/>
    <m/>
    <m/>
    <m/>
  </r>
  <r>
    <s v="SOW1000"/>
    <x v="2"/>
    <m/>
    <m/>
    <m/>
    <s v="Cheque Management"/>
    <s v="Stop Payment"/>
    <s v="Stop payment"/>
    <s v="Stop Payment for Pre-Authorized Payment"/>
    <s v="12.3.9"/>
    <x v="1"/>
    <m/>
    <m/>
    <m/>
    <m/>
  </r>
  <r>
    <s v="SOW1000"/>
    <x v="2"/>
    <m/>
    <m/>
    <m/>
    <s v="Cheque Management"/>
    <s v="Stop Payment"/>
    <s v="Stop payment"/>
    <s v="Stop Payment for Pre-Authorized Payment"/>
    <s v="12.3.10"/>
    <x v="1"/>
    <m/>
    <m/>
    <m/>
    <m/>
  </r>
  <r>
    <s v="SOW1000"/>
    <x v="2"/>
    <m/>
    <m/>
    <m/>
    <s v="Cheque Management"/>
    <s v="Stop Payment"/>
    <s v="Stop payment"/>
    <s v="Stop Payment for Pre-Authorized Payment"/>
    <s v="12.3.11"/>
    <x v="1"/>
    <m/>
    <m/>
    <m/>
    <m/>
  </r>
  <r>
    <s v="SOW1000"/>
    <x v="2"/>
    <m/>
    <m/>
    <m/>
    <s v="Cheque Management"/>
    <s v="Stop Payment"/>
    <s v="Stop payment"/>
    <s v="Stop Payment for Pre-Authorized Payment"/>
    <s v="12.3.12"/>
    <x v="3"/>
    <d v="2020-12-22T00:00:00"/>
    <s v="Revoke PAP will not be in R1"/>
    <s v="Include in Scope to manage multiple statuses for PAP. "/>
    <s v="removed b/c Stop Cheque is not in r1_x000a_1/14/21- Notified Temenos, stories moved to In Draft Status in Confluence "/>
  </r>
  <r>
    <s v="SOW1000"/>
    <x v="2"/>
    <m/>
    <m/>
    <m/>
    <s v="Cheque Management"/>
    <s v="Stop Payment"/>
    <s v="Stop payment"/>
    <s v="Stop Payment for Pre-Authorized Payment"/>
    <s v="12.3.13"/>
    <x v="1"/>
    <d v="2020-12-22T00:00:00"/>
    <s v="Revoke PAP will not be in R1"/>
    <s v="Include in Scope to manage multiple statuses for PAP. "/>
    <s v="removed b/c Stop Cheque is not in r1_x000a_1/14/21- Notified Temenos, stories moved to In Draft Status in Confluence "/>
  </r>
  <r>
    <s v="SOW1000"/>
    <x v="2"/>
    <m/>
    <m/>
    <m/>
    <s v="Cheque Management"/>
    <s v="Stop Payment"/>
    <s v="Stop payment"/>
    <s v="Stop Payment for Pre-Authorized Payment"/>
    <s v="12.3.14"/>
    <x v="1"/>
    <m/>
    <m/>
    <m/>
    <m/>
  </r>
  <r>
    <s v="SOW1000"/>
    <x v="2"/>
    <m/>
    <m/>
    <m/>
    <s v="Cheque Management"/>
    <s v="Stop Payment"/>
    <s v="Stop payment"/>
    <s v="Stop Payment for Pre-Authorized Payment"/>
    <s v="12.3.15"/>
    <x v="1"/>
    <m/>
    <m/>
    <m/>
    <m/>
  </r>
  <r>
    <s v="SOW1000"/>
    <x v="2"/>
    <m/>
    <m/>
    <m/>
    <s v="Cheque Management"/>
    <s v="Stop Payment"/>
    <s v="Stop payment"/>
    <s v="Stop Payment for Pre-Authorized Payment"/>
    <s v="12.3.16"/>
    <x v="1"/>
    <m/>
    <m/>
    <m/>
    <m/>
  </r>
  <r>
    <s v="SOW1000"/>
    <x v="2"/>
    <m/>
    <m/>
    <m/>
    <s v="Cheque Management"/>
    <s v="Stop Payment"/>
    <s v="Stop payment"/>
    <s v="Stop Payment for Pre-Authorized Payment"/>
    <s v="12.3.17"/>
    <x v="1"/>
    <m/>
    <m/>
    <m/>
    <m/>
  </r>
  <r>
    <s v="SOW1000"/>
    <x v="2"/>
    <m/>
    <m/>
    <m/>
    <s v="Cheque Management"/>
    <s v="Stop Payment"/>
    <s v="Stop payment"/>
    <s v="Stop Payment for Pre-Authorized Payment"/>
    <s v="12.3.18"/>
    <x v="1"/>
    <m/>
    <m/>
    <m/>
    <m/>
  </r>
  <r>
    <s v="SOW97"/>
    <x v="3"/>
    <m/>
    <m/>
    <m/>
    <s v="User Interface"/>
    <s v="Menu "/>
    <s v="Navigation and Configuration"/>
    <s v="Deliver a configurable menu in Release 1 (not a customization that would impact future upgrades). They require two sections for money movement at the top hierarchy of the menu structure:_x000a__x0009_Transfers – includes only internal A2A and external A2A transfers) _x000a__x0009_Payments – includes all other payment type _x000a_CRA (Tax Payments)_x000a_Bill Pay_x000a_EFT / ACH_x000a_eTransfers (P2P)_x000a_– This mean splitting the transfers module into two and adding restrictions _x000a_Wires (Domestic and International)_x000a_CWB requests Product team take this item_x000a__x000a_Note - 9/18 - EFT is no longer in scope for Release 1 and is in the backlog"/>
    <s v="13.2.1"/>
    <x v="2"/>
    <m/>
    <m/>
    <m/>
    <m/>
  </r>
  <r>
    <s v="SOW97"/>
    <x v="3"/>
    <m/>
    <m/>
    <m/>
    <s v="User Interface"/>
    <s v="Menu "/>
    <s v="Navigation and Configuration"/>
    <s v="Deliver a configurable menu in Release 1 (not a customization that would impact future upgrades). They require two sections for money movement at the top hierarchy of the menu structure:_x000a__x0009_Transfers – includes only internal A2A and external A2A transfers) _x000a__x0009_Payments – includes all other payment type _x000a_CRA (Tax Payments)_x000a_Bill Pay_x000a_EFT / ACH_x000a_eTransfers (P2P)_x000a_– This mean splitting the transfers module into two and adding restrictions _x000a_Wires (Domestic and International)_x000a_CWB requests Product team take this item_x000a__x000a_Note - 9/18 - EFT is no longer in scope for Release 1 and is in the backlog"/>
    <s v="13.2.2"/>
    <x v="1"/>
    <m/>
    <m/>
    <m/>
    <m/>
  </r>
  <r>
    <s v="SOW34, SOW35"/>
    <x v="3"/>
    <m/>
    <m/>
    <m/>
    <s v="Foreign Exchange "/>
    <s v="Rate Display "/>
    <s v="FX Rate Display"/>
    <s v="Display info on buying or selling US cash, cheques or traveler's cheques exchange rates._x000a_(C1 Returns the exchange rates from the institution)_x000a_FX calculator to assist users while converting foreign currencies to CAD or vice versa - User inputs a value, currency to and from and can generate a quote for the exhange rate."/>
    <s v="13.4.1"/>
    <x v="1"/>
    <m/>
    <m/>
    <m/>
    <m/>
  </r>
  <r>
    <s v="SOW34, SOW35"/>
    <x v="3"/>
    <m/>
    <m/>
    <m/>
    <s v="Foreign Exchange "/>
    <s v="Rate Display "/>
    <s v="FX Rate Display"/>
    <s v="Display info on buying or selling US cash, cheques or traveler's cheques exchange rates._x000a_(C1 Returns the exchange rates from the institution)_x000a_FX calculator to assist users while converting foreign currencies to CAD or vice versa - User inputs a value, currency to and from and can generate a quote for the exhange rate."/>
    <s v="13.4.2"/>
    <x v="1"/>
    <m/>
    <m/>
    <m/>
    <m/>
  </r>
  <r>
    <s v="SOW34, SOW35"/>
    <x v="3"/>
    <m/>
    <m/>
    <m/>
    <s v="Foreign Exchange "/>
    <s v="Rate Display "/>
    <s v="FX Rate Display"/>
    <s v="Display info on buying or selling US cash, cheques or traveler's cheques exchange rates._x000a_(C1 Returns the exchange rates from the institution)_x000a_FX calculator to assist users while converting foreign currencies to CAD or vice versa - User inputs a value, currency to and from and can generate a quote for the exhange rate."/>
    <s v="13.4.3"/>
    <x v="1"/>
    <m/>
    <m/>
    <m/>
    <m/>
  </r>
  <r>
    <s v="SOW34, SOW35"/>
    <x v="3"/>
    <m/>
    <m/>
    <m/>
    <s v="Foreign Exchange "/>
    <s v="Rate Display "/>
    <s v="FX Rate Display"/>
    <s v="Display info on buying or selling US cash, cheques or traveler's cheques exchange rates._x000a_(C1 Returns the exchange rates from the institution)_x000a_FX calculator to assist users while converting foreign currencies to CAD or vice versa - User inputs a value, currency to and from and can generate a quote for the exhange rate."/>
    <s v="13.4.4"/>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1"/>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2"/>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3"/>
    <x v="1"/>
    <m/>
    <m/>
    <m/>
    <m/>
  </r>
  <r>
    <s v="SOW301"/>
    <x v="3"/>
    <m/>
    <m/>
    <m/>
    <s v="Payments &amp; Withdrawals"/>
    <s v="Pay Business Taxes"/>
    <s v="Delete CRA Business Account Number "/>
    <s v="Ability to delete  CRA Business Account Number registered to file "/>
    <s v="13.6.1"/>
    <x v="1"/>
    <m/>
    <m/>
    <m/>
    <m/>
  </r>
  <r>
    <s v="SOW301"/>
    <x v="3"/>
    <m/>
    <m/>
    <m/>
    <s v="Payments &amp; Withdrawals"/>
    <s v="Pay Business Taxes"/>
    <s v="Delete CRA Business Account Number "/>
    <s v="Ability to delete  CRA Business Account Number registered to file "/>
    <s v="13.6.2"/>
    <x v="1"/>
    <m/>
    <m/>
    <m/>
    <m/>
  </r>
  <r>
    <s v="SOW301"/>
    <x v="3"/>
    <m/>
    <m/>
    <m/>
    <s v="Payments &amp; Withdrawals"/>
    <s v="Pay Business Taxes"/>
    <s v="Delete CRA Business Account Number "/>
    <s v="Ability to delete  CRA Business Account Number registered to file "/>
    <s v="13.6.3"/>
    <x v="1"/>
    <m/>
    <m/>
    <m/>
    <m/>
  </r>
  <r>
    <s v="SOW169"/>
    <x v="1"/>
    <m/>
    <m/>
    <m/>
    <s v="Transfers"/>
    <s v="Fund Transfers"/>
    <s v="Beneficiary management"/>
    <s v="View the recipients added to the profile so that the user can initiate transfers to a recipient, edit a recipient’s details, or delete the recipient the user no longer wishes to transfer money to and view the transfer history for a recipient."/>
    <s v="11.6.1"/>
    <x v="4"/>
    <m/>
    <m/>
    <m/>
    <s v="Neil 1/15/21) Pending UI Approval"/>
  </r>
  <r>
    <s v="SOW169"/>
    <x v="1"/>
    <m/>
    <m/>
    <m/>
    <s v="Transfers"/>
    <s v="Fund Transfers"/>
    <s v="Beneficiary management"/>
    <s v="View the recipients added to the profile so that the user can initiate transfers to a recipient, edit a recipient’s details, or delete the recipient the user no longer wishes to transfer money to and view the transfer history for a recipient."/>
    <s v="11.6.2"/>
    <x v="1"/>
    <m/>
    <m/>
    <m/>
    <m/>
  </r>
  <r>
    <s v="SOW169"/>
    <x v="1"/>
    <m/>
    <m/>
    <m/>
    <s v="Transfers"/>
    <s v="Fund Transfers"/>
    <s v="Beneficiary management"/>
    <s v="View the recipients added to the profile so that the user can initiate transfers to a recipient, edit a recipient’s details, or delete the recipient the user no longer wishes to transfer money to and view the transfer history for a recipient."/>
    <s v="11.6.3"/>
    <x v="4"/>
    <m/>
    <m/>
    <m/>
    <m/>
  </r>
  <r>
    <s v="SOW 138"/>
    <x v="5"/>
    <m/>
    <m/>
    <m/>
    <s v="Accounts"/>
    <s v="Transactions "/>
    <s v="Transaction Search"/>
    <s v="Transaction Search_x000a__x000a_Current Search Capabilities are documented in the linked documents. Here is a summary:_x000a_Show most recent 50 transactions (50 is default)_x000a_User needs to see 50 transactions per page. _x000a_By Date Range: From Date, to Date (calendar Selector) (five years is max)_x000a_By Month for the last 12 months.  (Drop Down Menu)_x000a_Advanced Search Options:_x000a_All Statement Items (default)_x000a_Deposits only_x000a_Withdrawals_x000a_Cheques_x000a_Bill Payments_x000a_Search by Descriptor_x000a_Search by Cheque Number_x000a_Search by Amount_x000a_Search by Confirmation Number_x000a_The User can select the display format . These include: _x000a_On Screen with details (Date, Description, Credits, Debits, Balance)* this is the default_x000a_On Screen without details  (Date,  Limited Description, Credits, Debits, Balance)"/>
    <s v="11.4.1"/>
    <x v="1"/>
    <m/>
    <m/>
    <m/>
    <m/>
  </r>
  <r>
    <s v="SOW 138"/>
    <x v="5"/>
    <m/>
    <m/>
    <m/>
    <s v="Accounts"/>
    <s v="Transactions "/>
    <s v="Transaction Search"/>
    <s v="Transaction Search_x000a__x000a_Current Search Capabilities are documented in the linked documents. Here is a summary:_x000a_Show most recent 50 transactions (50 is default)_x000a_User needs to see 50 transactions per page. _x000a_By Date Range: From Date, to Date (calendar Selector) (five years is max)_x000a_By Month for the last 12 months.  (Drop Down Menu)_x000a_Advanced Search Options:_x000a_All Statement Items (default)_x000a_Deposits only_x000a_Withdrawals_x000a_Cheques_x000a_Bill Payments_x000a_Search by Descriptor_x000a_Search by Cheque Number_x000a_Search by Amount_x000a_Search by Confirmation Number_x000a_The User can select the display format . These include: _x000a_On Screen with details (Date, Description, Credits, Debits, Balance)* this is the default_x000a_On Screen without details  (Date,  Limited Description, Credits, Debits, Balance)"/>
    <s v="11.4.2"/>
    <x v="1"/>
    <m/>
    <m/>
    <m/>
    <m/>
  </r>
  <r>
    <s v="SOW 138"/>
    <x v="1"/>
    <m/>
    <m/>
    <m/>
    <s v="Accounts"/>
    <s v="Transactions "/>
    <s v="Transaction Search"/>
    <s v="Transaction Search_x000a__x000a_Current Search Capabilities are documented in the linked documents. Here is a summary:_x000a_Show most recent 50 transactions (50 is default)_x000a_User needs to see 50 transactions per page. _x000a_By Date Range: From Date, to Date (calendar Selector) (five years is max)_x000a_By Month for the last 12 months.  (Drop Down Menu)_x000a_Advanced Search Options:_x000a_All Statement Items (default)_x000a_Deposits only_x000a_Withdrawals_x000a_Cheques_x000a_Bill Payments_x000a_Search by Descriptor_x000a_Search by Cheque Number_x000a_Search by Amount_x000a_Search by Confirmation Number_x000a_The User can select the display format . These include: _x000a_On Screen with details (Date, Description, Credits, Debits, Balance)* this is the default_x000a_On Screen without details  (Date,  Limited Description, Credits, Debits, Balance)"/>
    <s v="11.4.3"/>
    <x v="1"/>
    <m/>
    <m/>
    <m/>
    <m/>
  </r>
  <r>
    <s v="SOW 138"/>
    <x v="1"/>
    <m/>
    <m/>
    <m/>
    <s v="Accounts"/>
    <s v="Transactions "/>
    <s v="Transaction Search"/>
    <s v="Transaction Search_x000a__x000a_Current Search Capabilities are documented in the linked documents. Here is a summary:_x000a_Show most recent 50 transactions (50 is default)_x000a_User needs to see 50 transactions per page. _x000a_By Date Range: From Date, to Date (calendar Selector) (five years is max)_x000a_By Month for the last 12 months.  (Drop Down Menu)_x000a_Advanced Search Options:_x000a_All Statement Items (default)_x000a_Deposits only_x000a_Withdrawals_x000a_Cheques_x000a_Bill Payments_x000a_Search by Descriptor_x000a_Search by Cheque Number_x000a_Search by Amount_x000a_Search by Confirmation Number_x000a_The User can select the display format . These include: _x000a_On Screen with details (Date, Description, Credits, Debits, Balance)* this is the default_x000a_On Screen without details  (Date,  Limited Description, Credits, Debits, Balance)"/>
    <s v="11.4.4"/>
    <x v="4"/>
    <m/>
    <m/>
    <m/>
    <m/>
  </r>
  <r>
    <s v="SOW3"/>
    <x v="6"/>
    <m/>
    <m/>
    <m/>
    <s v="Payments &amp; Withdrawals"/>
    <s v="Pay Business Taxes"/>
    <s v="Remit Tax"/>
    <s v="Ability to remit CRA Business Tax (sepearate forms from Provincial Business Tax) "/>
    <s v="14.1.1"/>
    <x v="1"/>
    <m/>
    <m/>
    <m/>
    <m/>
  </r>
  <r>
    <s v="SOW3"/>
    <x v="6"/>
    <m/>
    <m/>
    <m/>
    <s v="Payments &amp; Withdrawals"/>
    <s v="Pay Business Taxes"/>
    <s v="Remit Tax"/>
    <s v="Ability to remit CRA Business Tax (sepearate forms from Provincial Business Tax) "/>
    <s v="14.1.2"/>
    <x v="1"/>
    <m/>
    <m/>
    <m/>
    <m/>
  </r>
  <r>
    <s v="SOW3"/>
    <x v="6"/>
    <m/>
    <m/>
    <m/>
    <s v="Payments &amp; Withdrawals"/>
    <s v="Pay Business Taxes"/>
    <s v="Remit Tax"/>
    <s v="Ability to remit CRA Business Tax (sepearate forms from Provincial Business Tax) "/>
    <s v="14.1.3"/>
    <x v="4"/>
    <m/>
    <m/>
    <m/>
    <m/>
  </r>
  <r>
    <s v="SOW3"/>
    <x v="6"/>
    <m/>
    <m/>
    <m/>
    <s v="Payments &amp; Withdrawals"/>
    <s v="Pay Business Taxes"/>
    <s v="Remit Tax"/>
    <s v="Ability to remit CRA Business Tax (sepearate forms from Provincial Business Tax) "/>
    <s v="14.1.4"/>
    <x v="4"/>
    <m/>
    <m/>
    <m/>
    <m/>
  </r>
  <r>
    <s v="SOW3"/>
    <x v="6"/>
    <m/>
    <m/>
    <m/>
    <s v="Payments &amp; Withdrawals"/>
    <s v="Pay Business Taxes"/>
    <s v="Remit Tax"/>
    <s v="Ability to remit CRA Business Tax (sepearate forms from Provincial Business Tax) "/>
    <s v="14.1.5"/>
    <x v="1"/>
    <m/>
    <m/>
    <m/>
    <m/>
  </r>
  <r>
    <s v="SOW3"/>
    <x v="6"/>
    <m/>
    <m/>
    <m/>
    <s v="Payments &amp; Withdrawals"/>
    <s v="Pay Business Taxes"/>
    <s v="Remit Tax"/>
    <s v="Ability to remit CRA Business Tax (sepearate forms from Provincial Business Tax) "/>
    <s v="14.1.6"/>
    <x v="1"/>
    <m/>
    <m/>
    <m/>
    <m/>
  </r>
  <r>
    <s v="SOW3"/>
    <x v="6"/>
    <m/>
    <m/>
    <m/>
    <s v="Payments &amp; Withdrawals"/>
    <s v="Pay Business Taxes"/>
    <s v="Remit Tax"/>
    <s v="Ability to remit CRA Business Tax (sepearate forms from Provincial Business Tax) "/>
    <s v="14.1.7"/>
    <x v="2"/>
    <m/>
    <m/>
    <m/>
    <m/>
  </r>
  <r>
    <s v="SOW3"/>
    <x v="6"/>
    <m/>
    <m/>
    <m/>
    <s v="Payments &amp; Withdrawals"/>
    <s v="Pay Business Taxes"/>
    <s v="Remit Tax"/>
    <s v="Ability to remit CRA Business Tax (sepearate forms from Provincial Business Tax) "/>
    <s v="14.1.8"/>
    <x v="1"/>
    <m/>
    <m/>
    <m/>
    <m/>
  </r>
  <r>
    <s v="SOW4"/>
    <x v="4"/>
    <m/>
    <m/>
    <m/>
    <s v="Payments &amp; Withdrawals"/>
    <s v="Pay Business Taxes"/>
    <s v="Remit Tax"/>
    <s v="Ability to remit CRA Business Tax (sepearate forms from Provincial Business Tax) "/>
    <s v="14.1.9"/>
    <x v="1"/>
    <m/>
    <m/>
    <m/>
    <m/>
  </r>
  <r>
    <s v="SOW5"/>
    <x v="7"/>
    <m/>
    <m/>
    <m/>
    <s v="Payments &amp; Withdrawals"/>
    <s v="Pay Business Taxes"/>
    <s v="Remit Tax"/>
    <s v="Ability to remit CRA Business Tax (sepearate forms from Provincial Business Tax) "/>
    <s v="14.1.10"/>
    <x v="2"/>
    <m/>
    <m/>
    <m/>
    <m/>
  </r>
  <r>
    <s v="SOW6"/>
    <x v="8"/>
    <m/>
    <m/>
    <m/>
    <s v="Payments &amp; Withdrawals"/>
    <s v="Pay Business Taxes"/>
    <s v="Remit Tax"/>
    <s v="Ability to remit CRA Business Tax (sepearate forms from Provincial Business Tax) "/>
    <s v="14.1.11"/>
    <x v="2"/>
    <m/>
    <m/>
    <m/>
    <m/>
  </r>
  <r>
    <s v="SOW7"/>
    <x v="9"/>
    <m/>
    <m/>
    <m/>
    <s v="Payments &amp; Withdrawals"/>
    <s v="Pay Business Taxes"/>
    <s v="Remit Tax"/>
    <s v="Ability to remit CRA Business Tax (sepearate forms from Provincial Business Tax) "/>
    <s v="14.1.12"/>
    <x v="2"/>
    <m/>
    <m/>
    <m/>
    <m/>
  </r>
  <r>
    <s v="SOW8"/>
    <x v="10"/>
    <m/>
    <m/>
    <m/>
    <s v="Payments &amp; Withdrawals"/>
    <s v="Pay Business Taxes"/>
    <s v="Remit Tax"/>
    <s v="Ability to remit CRA Business Tax (sepearate forms from Provincial Business Tax) "/>
    <s v="14.1.13"/>
    <x v="2"/>
    <m/>
    <m/>
    <m/>
    <m/>
  </r>
  <r>
    <s v="SOW9"/>
    <x v="11"/>
    <m/>
    <m/>
    <m/>
    <s v="Payments &amp; Withdrawals"/>
    <s v="Pay Business Taxes"/>
    <s v="Remit Tax"/>
    <s v="Ability to remit CRA Business Tax (sepearate forms from Provincial Business Tax) "/>
    <s v="14.1.14"/>
    <x v="1"/>
    <m/>
    <m/>
    <m/>
    <m/>
  </r>
  <r>
    <s v="SOW10"/>
    <x v="12"/>
    <m/>
    <m/>
    <m/>
    <s v="Payments &amp; Withdrawals"/>
    <s v="Pay Business Taxes"/>
    <s v="Remit Tax"/>
    <s v="Ability to remit CRA Business Tax (sepearate forms from Provincial Business Tax) "/>
    <s v="14.1.15"/>
    <x v="1"/>
    <m/>
    <m/>
    <m/>
    <m/>
  </r>
  <r>
    <s v="SOW11"/>
    <x v="13"/>
    <m/>
    <m/>
    <m/>
    <s v="Payments &amp; Withdrawals"/>
    <s v="Pay Business Taxes"/>
    <s v="Remit Tax"/>
    <s v="Ability to remit CRA Business Tax (sepearate forms from Provincial Business Tax) "/>
    <s v="14.1.16"/>
    <x v="1"/>
    <m/>
    <m/>
    <m/>
    <m/>
  </r>
  <r>
    <s v="SOW12"/>
    <x v="14"/>
    <m/>
    <m/>
    <m/>
    <s v="Payments &amp; Withdrawals"/>
    <s v="Pay Business Taxes"/>
    <s v="Remit Tax"/>
    <s v="Ability to remit CRA Business Tax (sepearate forms from Provincial Business Tax) "/>
    <s v="14.1.17"/>
    <x v="2"/>
    <m/>
    <m/>
    <m/>
    <m/>
  </r>
  <r>
    <s v="SOW13"/>
    <x v="15"/>
    <m/>
    <m/>
    <m/>
    <s v="Payments &amp; Withdrawals"/>
    <s v="Pay Business Taxes"/>
    <s v="Remit Tax"/>
    <s v="Ability to remit CRA Business Tax (sepearate forms from Provincial Business Tax) "/>
    <s v="14.1.18"/>
    <x v="2"/>
    <m/>
    <m/>
    <m/>
    <m/>
  </r>
  <r>
    <s v="SOW14"/>
    <x v="16"/>
    <m/>
    <m/>
    <m/>
    <s v="Payments &amp; Withdrawals"/>
    <s v="Pay Business Taxes"/>
    <s v="Remit Tax"/>
    <s v="Ability to remit CRA Business Tax (sepearate forms from Provincial Business Tax) "/>
    <s v="14.1.19"/>
    <x v="2"/>
    <m/>
    <m/>
    <m/>
    <m/>
  </r>
  <r>
    <s v="SOW15"/>
    <x v="17"/>
    <m/>
    <m/>
    <m/>
    <s v="Payments &amp; Withdrawals"/>
    <s v="Pay Business Taxes"/>
    <s v="Remit Tax"/>
    <s v="Ability to remit CRA Business Tax (sepearate forms from Provincial Business Tax) "/>
    <s v="14.1.20"/>
    <x v="2"/>
    <m/>
    <m/>
    <m/>
    <m/>
  </r>
  <r>
    <s v="SOW16"/>
    <x v="18"/>
    <m/>
    <m/>
    <m/>
    <s v="Payments &amp; Withdrawals"/>
    <s v="Pay Business Taxes"/>
    <s v="Remit Tax"/>
    <s v="Ability to remit CRA Business Tax (sepearate forms from Provincial Business Tax) "/>
    <s v="14.1.21"/>
    <x v="3"/>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4"/>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5"/>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6"/>
    <x v="1"/>
    <m/>
    <m/>
    <m/>
    <m/>
  </r>
  <r>
    <s v="SOW 138"/>
    <x v="5"/>
    <m/>
    <m/>
    <m/>
    <s v="Accounts"/>
    <s v="Transactions "/>
    <s v="Transaction Search"/>
    <s v="Transaction Search_x000a__x000a_Current Search Capabilities are documented in the linked documents. Here is a summary:_x000a_Show most recent 50 transactions (50 is default)_x000a_User needs to see 50 transactions per page. _x000a_By Date Range: From Date, to Date (calendar Selector) (five years is max)_x000a_By Month for the last 12 months.  (Drop Down Menu)_x000a_Advanced Search Options:_x000a_All Statement Items (default)_x000a_Deposits only_x000a_Withdrawals_x000a_Cheques_x000a_Bill Payments_x000a_Search by Descriptor_x000a_Search by Cheque Number_x000a_Search by Amount_x000a_Search by Confirmation Number_x000a_The User can select the display format . These include: _x000a_On Screen with details (Date, Description, Credits, Debits, Balance)* this is the default_x000a_On Screen without details  (Date,  Limited Description, Credits, Debits, Balance)"/>
    <s v="11.4.3"/>
    <x v="5"/>
    <m/>
    <m/>
    <m/>
    <m/>
  </r>
  <r>
    <s v="SOW198"/>
    <x v="19"/>
    <m/>
    <m/>
    <m/>
    <s v="Customer Service"/>
    <s v="Contact Us"/>
    <s v="Click to call or text-message"/>
    <s v="Ability to call, email the bank. "/>
    <s v="2.2.7"/>
    <x v="1"/>
    <m/>
    <m/>
    <m/>
    <m/>
  </r>
  <r>
    <s v="SOW198"/>
    <x v="19"/>
    <m/>
    <m/>
    <m/>
    <s v="Customer Service"/>
    <s v="Contact Us"/>
    <s v="Click to call or text-message"/>
    <s v="Ability to call, email the bank. "/>
    <s v="2.2.8"/>
    <x v="1"/>
    <m/>
    <m/>
    <m/>
    <m/>
  </r>
  <r>
    <s v="SOW68"/>
    <x v="3"/>
    <m/>
    <m/>
    <m/>
    <s v="Transfers"/>
    <s v="Fund Transfers"/>
    <s v="Cross Currency Transfer "/>
    <s v="Ability to make cross-currency transfers between Canadian and U.S. dollar accounts"/>
    <s v="13.1.1"/>
    <x v="1"/>
    <m/>
    <m/>
    <m/>
    <m/>
  </r>
  <r>
    <s v="SOW68"/>
    <x v="3"/>
    <m/>
    <m/>
    <m/>
    <s v="Transfers"/>
    <s v="Fund Transfers"/>
    <s v="Cross Currency Transfer "/>
    <s v="Ability to make cross-currency transfers between Canadian and U.S. dollar accounts"/>
    <s v="13.1.2"/>
    <x v="1"/>
    <m/>
    <m/>
    <m/>
    <m/>
  </r>
  <r>
    <s v="SOW68"/>
    <x v="3"/>
    <m/>
    <m/>
    <m/>
    <s v="Transfers"/>
    <s v="Fund Transfers"/>
    <s v="Cross Currency Transfer "/>
    <s v="Ability to make cross-currency transfers between Canadian and U.S. dollar accounts"/>
    <s v="13.1.3"/>
    <x v="1"/>
    <m/>
    <m/>
    <m/>
    <m/>
  </r>
  <r>
    <s v="SOW68"/>
    <x v="3"/>
    <m/>
    <m/>
    <m/>
    <s v="Transfers"/>
    <s v="Fund Transfers"/>
    <s v="Cross Currency Transfer "/>
    <s v="Ability to make cross-currency transfers between Canadian and U.S. dollar accounts"/>
    <s v="13.1.4"/>
    <x v="1"/>
    <m/>
    <m/>
    <m/>
    <m/>
  </r>
  <r>
    <s v="SOW7"/>
    <x v="0"/>
    <m/>
    <m/>
    <m/>
    <s v="Payments &amp; Withdrawals"/>
    <s v="CRA Fund Transfer "/>
    <s v="CRA Fund Transfer"/>
    <s v="Ability to perform multiple transfers to and from different accounts at the same time (similar to bulk transfer - paying one tax payment from multiple accounts or multiple tax payments at the same time)."/>
    <s v="TBD"/>
    <x v="0"/>
    <d v="2021-01-18T00:00:00"/>
    <s v="Remove this from scope from R1. Let's keep on the list for post R1 and revisit priority later."/>
    <s v="Christina Mullin"/>
    <s v=" This is not standard functionality today (for both CWB and Infinity), so it would go against the direction of the project in taking out of the box where applicable. _x000a_  There is limited perceived value from the client perspective given the overall complexity of each tax form making it difficult from a UX viewpoint to offer a bill payment interaction that could encompass multiple tax forms within one experience._x000a_  Potential reconciliation issues were raised for the back office staff if a single payment was made from multiple accounts given the nature of how T24 process and records these transactions. _x000a_  T24 transact can only process a single payment at one time, which would then require a mechanism by which Infinity/Mule would store the multiple payments in sequential order to be processed by T24 transact. This level of functionality would require development and would introduce additional risk into the payment process. _x000a__x000a__x000a_Given the above points and the overall sensitive nature of the CRA payments overall, we are recommending to exclude SOW7 from delivery for the R1 release and potentially entirely from the development schedule."/>
  </r>
  <r>
    <s v="SOW68"/>
    <x v="3"/>
    <m/>
    <m/>
    <m/>
    <s v="Transfers"/>
    <s v="Fund Transfers"/>
    <s v="Cross Currency Transfer "/>
    <s v="Ability to make cross-currency transfers between Canadian and U.S. dollar accounts"/>
    <s v="13.1.5"/>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7"/>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8"/>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9"/>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10"/>
    <x v="1"/>
    <m/>
    <m/>
    <m/>
    <m/>
  </r>
  <r>
    <s v="SOW290, SOW291, SOW292, 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s v="See Delivery Plan"/>
    <s v="15.1.11"/>
    <x v="1"/>
    <m/>
    <m/>
    <m/>
    <m/>
  </r>
  <r>
    <s v="SOW142,_x000a_SOW155,_x000a_SOW15"/>
    <x v="6"/>
    <m/>
    <m/>
    <m/>
    <s v="Bill Payment"/>
    <s v="Bill Pay Enrollment"/>
    <s v="Activate Bill Payment for a user"/>
    <s v="E-Bills"/>
    <s v="TBD"/>
    <x v="0"/>
    <d v="2021-01-21T00:00:00"/>
    <s v="E-Bill functionality not available for CWB. "/>
    <s v="Christina Mullin"/>
    <m/>
  </r>
  <r>
    <s v="SOW1000"/>
    <x v="2"/>
    <m/>
    <m/>
    <m/>
    <s v="Cheque Management"/>
    <s v="Stop Payment"/>
    <s v="Stop payment"/>
    <s v="Stop Payment for Pre-Authorized Payment"/>
    <s v="12.3.19"/>
    <x v="1"/>
    <m/>
    <m/>
    <m/>
    <m/>
  </r>
  <r>
    <s v="SOW1000"/>
    <x v="2"/>
    <m/>
    <m/>
    <m/>
    <s v="Cheque Management"/>
    <s v="Stop Payment"/>
    <s v="Stop payment"/>
    <s v="Stop Payment for Pre-Authorized Payment"/>
    <s v="12.3.20"/>
    <x v="1"/>
    <m/>
    <m/>
    <m/>
    <m/>
  </r>
  <r>
    <s v="SOW88"/>
    <x v="3"/>
    <m/>
    <m/>
    <m/>
    <s v="Payments &amp; Withdrawals"/>
    <s v="Pay Business Taxes"/>
    <s v="CRA &quot;Vendor&quot; list for Small Business Banking "/>
    <s v="Enhance vendor list or create new Vendor list in Spotlight to allow input of Canadian Revenue Agency (CRA) payees. This is specific to Canada. _x000a__x000a_Today, the vendor list that exists in Spotlight is used to  Bill Pay vendors, e.g. Gov. of Alberta, etc. Similarly, there are CRA vendors for paying  country-wide and provincial payees. This would function like a bill pay vendor list, but needs a focus for CRA vendors._x000a__x000a_Requirements include everything from the existing vendor list._x000a__x000a_This is required if we are to move away from storing these in Central 1."/>
    <s v="13.5.1"/>
    <x v="1"/>
    <m/>
    <m/>
    <m/>
    <m/>
  </r>
  <r>
    <s v="SOW283"/>
    <x v="1"/>
    <m/>
    <m/>
    <m/>
    <s v="Payments &amp; Withdrawals"/>
    <s v="Pay Business Taxes"/>
    <s v="Remit Tax"/>
    <s v="Ability to remit Provincial Business Tax (separate forms from CRA)"/>
    <s v="11.1.7"/>
    <x v="1"/>
    <m/>
    <m/>
    <m/>
    <m/>
  </r>
  <r>
    <s v="SOW158_x000a_SOW146"/>
    <x v="6"/>
    <m/>
    <m/>
    <m/>
    <s v="Bill Payment_x000a_Payments &amp; Withdrawals"/>
    <s v="Bill Pay"/>
    <s v="Pay multiple bills together_x000a_Pay a registered biller"/>
    <s v="Payment Amount "/>
    <s v="14.3.1"/>
    <x v="0"/>
    <d v="2021-02-09T00:00:00"/>
    <s v="Last Payment field removed for R1 Must be added back post R1."/>
    <s v="Christina Mullin"/>
    <s v="Story Approved with AC of Last Payment field removed"/>
  </r>
  <r>
    <s v="SOW158"/>
    <x v="6"/>
    <m/>
    <m/>
    <m/>
    <s v="Payments &amp; Withdrawals"/>
    <s v="Bill Pay"/>
    <s v="Pay multiple bills together"/>
    <m/>
    <s v="14.3.2"/>
    <x v="1"/>
    <m/>
    <m/>
    <m/>
    <m/>
  </r>
  <r>
    <s v="SOW152"/>
    <x v="6"/>
    <m/>
    <m/>
    <m/>
    <s v="Payments &amp; Withdrawals"/>
    <s v="Bill Pay"/>
    <s v="Pay a registered biller"/>
    <s v="Confirmation of Payment details"/>
    <s v="14.3.3"/>
    <x v="1"/>
    <m/>
    <m/>
    <m/>
    <m/>
  </r>
  <r>
    <s v="SOW152"/>
    <x v="6"/>
    <m/>
    <m/>
    <m/>
    <s v="Payments &amp; Withdrawals"/>
    <s v="Bill Pay"/>
    <s v="Pay a registered biller"/>
    <s v="Confirmation of Payment details"/>
    <s v="14.3.4"/>
    <x v="1"/>
    <m/>
    <m/>
    <m/>
    <m/>
  </r>
  <r>
    <s v="SOW162_x000a_SOW144"/>
    <x v="6"/>
    <m/>
    <m/>
    <m/>
    <s v="Payments &amp; Withdrawals_x000a_Bill Payment _x000a_"/>
    <s v="Bill Pay"/>
    <s v="Manage billers (add, update, delete)"/>
    <s v="View a list of registered bill payees, view history of bills paid to a company, update the payee details or delete the payee account. Search for a previously added bill payee from a list of all bill payees for easy access_x000a_Search A biller -  Biller details page will be appeared in the same screen. Browse for payees by browsing from pre-defined payee type categories such as Insurance, Property, Schools and Utilities. "/>
    <s v="14.3.5"/>
    <x v="2"/>
    <m/>
    <m/>
    <m/>
    <m/>
  </r>
  <r>
    <s v="SOW162"/>
    <x v="6"/>
    <m/>
    <m/>
    <m/>
    <s v="Payments &amp; Withdrawals"/>
    <s v="Bill Pay"/>
    <s v="Manage billers (add, update, delete)"/>
    <s v="View a list of registered bill payees, view history of bills paid to a company, update the payee details or delete the payee account. Search for a previously added bill payee from a list of all bill payees for easy access"/>
    <s v="14.3.6"/>
    <x v="2"/>
    <m/>
    <m/>
    <m/>
    <m/>
  </r>
  <r>
    <s v="SOW162"/>
    <x v="6"/>
    <m/>
    <m/>
    <m/>
    <s v="Payments &amp; Withdrawals"/>
    <s v="Bill Pay"/>
    <s v="Manage billers (add, update, delete)"/>
    <s v="View a list of registered bill payees, view history of bills paid to a company, update the payee details or delete the payee account. Search for a previously added bill payee from a list of all bill payees for easy access"/>
    <s v="14.3.7"/>
    <x v="1"/>
    <m/>
    <m/>
    <m/>
    <m/>
  </r>
  <r>
    <s v="SOW65"/>
    <x v="20"/>
    <m/>
    <m/>
    <m/>
    <s v="Transfers"/>
    <s v="e-Transfer"/>
    <s v="E-Transfer Security Question"/>
    <s v="_x000a_1. The ability to set up and store the security question and answer per recipient (still editable but via edit recipient details api); and_x000a_2. The ability to change the security question and answer ad hoc (i.e. whenever a new payment is made). Depending on the how the Interec API works, it may or may not overwrite the Security question and answer already in place for that recipient._x000a_"/>
    <s v="TBD"/>
    <x v="0"/>
    <d v="2021-02-03T00:00:00"/>
    <s v="Currently our system only allows for Option 1, the foregoing thought that only Option 2 was needed in the new platform, but the decision is now both Options 1 and 2 for Infinity."/>
    <s v="Christina Mullin"/>
    <s v="As Per Email from Gerry W dated Feb 03, 2021"/>
  </r>
  <r>
    <s v="SOW309_x000a_SOW31"/>
    <x v="5"/>
    <m/>
    <m/>
    <m/>
    <s v="Business Banking Dashboard "/>
    <s v="Email _x000a_Registered phone number "/>
    <s v="Email _x000a_Registered phone number "/>
    <s v="Displays the registered email _x000a_Displays the registered phone number "/>
    <s v="10.0.5"/>
    <x v="1"/>
    <m/>
    <m/>
    <m/>
    <s v="Pre-Approved story required further clarification regarding phone number format and validation rules"/>
  </r>
  <r>
    <s v="SOW309_x000a_SOW31"/>
    <x v="5"/>
    <m/>
    <m/>
    <m/>
    <s v="Business Banking Dashboard "/>
    <s v="Email _x000a_Registered phone number "/>
    <s v="Email _x000a_Registered phone number "/>
    <s v="Displays the registered email _x000a_Displays the registered phone number "/>
    <d v="1900-01-09T01:26:24"/>
    <x v="1"/>
    <m/>
    <m/>
    <m/>
    <s v="Pre-Approved story required further clarification regarding phone number format and validation rules"/>
  </r>
  <r>
    <s v="SOW162"/>
    <x v="6"/>
    <m/>
    <m/>
    <m/>
    <s v="Payments &amp; Withdrawals"/>
    <s v="Bill Pay"/>
    <m/>
    <m/>
    <s v="14.3.8"/>
    <x v="1"/>
    <m/>
    <m/>
    <m/>
    <m/>
  </r>
  <r>
    <s v="SOW15_x000a_SOW16_x000a_SOW143_x000a_SOW146_x000a_SOW147_x000a_SOW148_x000a_SOW149_x000a_SOW150_x000a_SOW151"/>
    <x v="6"/>
    <m/>
    <m/>
    <m/>
    <s v="Payments &amp; Withdrawals"/>
    <s v="Bill Pay"/>
    <s v="Pay a registered biller"/>
    <s v="Pay a bill immediatley, or schedule a payment"/>
    <s v="14.3.9"/>
    <x v="1"/>
    <m/>
    <m/>
    <m/>
    <m/>
  </r>
  <r>
    <s v="SOW152"/>
    <x v="6"/>
    <m/>
    <m/>
    <m/>
    <s v="Payments &amp; Withdrawals"/>
    <s v="Bill Pay"/>
    <s v="Pay a registered biller"/>
    <s v="Confirmation of Payment details"/>
    <s v="14.3.10"/>
    <x v="1"/>
    <m/>
    <m/>
    <m/>
    <m/>
  </r>
  <r>
    <s v="SOW152"/>
    <x v="6"/>
    <m/>
    <m/>
    <m/>
    <s v="Payments &amp; Withdrawals"/>
    <s v="Bill Pay"/>
    <s v="Pay a registered biller"/>
    <s v=" Acknowledgement of my completed bill payment or recurring payment"/>
    <s v="14.3.11"/>
    <x v="1"/>
    <m/>
    <m/>
    <m/>
    <m/>
  </r>
  <r>
    <s v="SOW160_x000a_SOW16"/>
    <x v="6"/>
    <m/>
    <m/>
    <m/>
    <s v="Payments &amp; Withdrawals"/>
    <s v="Bill Pay"/>
    <s v="Schedule a bill pay_x000a_Update or Cancel scheduled bill payments_x000a_"/>
    <s v="Assign a future date for bill payment instead of paying immediately. Possible to set up recurring payments as well_x000a_In case of a scheduled future-dated bill payment, ability to modify the details or cancel the payment."/>
    <s v="14.3.12"/>
    <x v="1"/>
    <m/>
    <m/>
    <m/>
    <m/>
  </r>
  <r>
    <s v="SOW160"/>
    <x v="6"/>
    <m/>
    <m/>
    <m/>
    <s v="Payments &amp; Withdrawals"/>
    <s v="Bill Pay"/>
    <s v="Update or Cancel scheduled bill payments"/>
    <s v="In case of a scheduled future-dated bill payment, ability to modify the details or cancel the payment."/>
    <s v="14.3.13"/>
    <x v="1"/>
    <m/>
    <m/>
    <m/>
    <m/>
  </r>
  <r>
    <s v="SOW161"/>
    <x v="6"/>
    <m/>
    <m/>
    <m/>
    <s v="Payments &amp; Withdrawals"/>
    <s v="Bill Pay"/>
    <s v="View history of bill payments"/>
    <s v="View and search from a list of the recent bill payment and scheduled payments, sorted by date (most recent on top)."/>
    <s v="14.3.14"/>
    <x v="1"/>
    <m/>
    <m/>
    <m/>
    <m/>
  </r>
  <r>
    <s v="SOW160_x000a_SOW161"/>
    <x v="6"/>
    <m/>
    <m/>
    <m/>
    <s v="Payments &amp; Withdrawals"/>
    <s v="Bill Pay"/>
    <s v="Pay a registered biller"/>
    <s v="_x000a_Mobile: In case of a scheduled future-dated bill payment, ability to modify the details or cancel the payment._x000a_View and search from a list of the recent bill payment and scheduled payments, sorted by date (most recent on top)."/>
    <s v="14.3.15"/>
    <x v="1"/>
    <m/>
    <m/>
    <m/>
    <m/>
  </r>
  <r>
    <s v="SOW160_x000a_SOW161"/>
    <x v="6"/>
    <m/>
    <m/>
    <m/>
    <s v="Payments &amp; Withdrawals"/>
    <s v="Bill Pay"/>
    <s v="Pay a registered biller"/>
    <s v="_x000a_Mobile: In case of a scheduled future-dated bill payment, ability to modify the details or cancel the payment._x000a_View and search from a list of the recent bill payment and scheduled payments, sorted by date (most recent on top)."/>
    <s v="14.3.16"/>
    <x v="1"/>
    <m/>
    <m/>
    <m/>
    <m/>
  </r>
  <r>
    <s v="SOW160_x000a_SOW161"/>
    <x v="6"/>
    <m/>
    <m/>
    <m/>
    <s v="Payments &amp; Withdrawals"/>
    <s v="Bill Pay"/>
    <s v="Pay a registered biller"/>
    <s v="_x000a_Mobile: In case of a scheduled future-dated bill payment, ability to modify the details or cancel the payment._x000a_View and search from a list of the recent bill payment and scheduled payments, sorted by date (most recent on top)."/>
    <s v="14.3.17"/>
    <x v="1"/>
    <m/>
    <m/>
    <m/>
    <m/>
  </r>
  <r>
    <s v="SOW15_x000a_SOW16_x000a_SOW143 _x000a_SOW146_x000a_SOW147_x000a_SOW148_x000a_SOW149_x000a_SOW150_x000a_SOW151"/>
    <x v="6"/>
    <m/>
    <m/>
    <m/>
    <s v="Payments &amp; Withdrawals"/>
    <s v="Bill Pay"/>
    <s v="Update or Cancel scheduled bill payments_x000a_View history of bill payments"/>
    <s v="Mobile Banking:_x000a_SOW 15-End Date_x000a_SOW16-Schedule a Bill Pay _x000a_SOW143-Initiate a new bill payment with option to select recurring payment _x000a_SOW146-Payment Amount _x000a_SOW147-Frequency selection _x000a_SOW148-Duration selection_x000a_SOW149-Start Date _x000a_SOW150-Send Date_x000a_SOW151-Recurrence number"/>
    <s v="14.3.18"/>
    <x v="1"/>
    <m/>
    <m/>
    <m/>
    <m/>
  </r>
  <r>
    <s v="SOW15_x000a_SOW16_x000a_SOW143 _x000a_SOW146_x000a_SOW147_x000a_SOW148_x000a_SOW149_x000a_SOW150_x000a_SOW151"/>
    <x v="6"/>
    <m/>
    <m/>
    <m/>
    <s v="Payments &amp; Withdrawals"/>
    <s v="Bill Pay"/>
    <s v="Update or Cancel scheduled bill payments_x000a_View history of bill payments"/>
    <s v="Mobile Banking:_x000a_SOW 15-End Date_x000a_SOW16-Schedule a Bill Pay _x000a_SOW143-Initiate a new bill payment with option to select recurring payment _x000a_SOW146-Payment Amount _x000a_SOW147-Frequency selection _x000a_SOW148-Duration selection_x000a_SOW149-Start Date _x000a_SOW150-Send Date_x000a_SOW151-Recurrence number"/>
    <s v="14.3.19"/>
    <x v="1"/>
    <m/>
    <m/>
    <m/>
    <m/>
  </r>
  <r>
    <s v="SOW162"/>
    <x v="6"/>
    <m/>
    <m/>
    <m/>
    <s v="Payments &amp; Withdrawals"/>
    <s v="Bill Pay"/>
    <s v="Manage billers (add, update, delete)"/>
    <s v="View a list of registered bill payees, view history of bills paid to a company, update the payee details or delete the payee account. Search for a previously added bill payee from a list of all bill payees for easy access"/>
    <s v="14.3.20"/>
    <x v="1"/>
    <m/>
    <m/>
    <m/>
    <m/>
  </r>
  <r>
    <s v="SOW162"/>
    <x v="6"/>
    <m/>
    <m/>
    <m/>
    <s v="Payments &amp; Withdrawals"/>
    <s v="Bill Pay"/>
    <s v="Manage billers (add, update, delete)"/>
    <s v="View a list of registered bill payees, view history of bills paid to a company, update the payee details or delete the payee account. Search for a previously added bill payee from a list of all bill payees for easy access"/>
    <s v="14.3.21"/>
    <x v="1"/>
    <m/>
    <m/>
    <m/>
    <m/>
  </r>
  <r>
    <s v="SOW161"/>
    <x v="6"/>
    <m/>
    <m/>
    <m/>
    <s v="Payments &amp; Withdrawals"/>
    <s v="Bill Pay"/>
    <s v="Pay a registered biller"/>
    <s v="View and search from a list of the recent bill payment and scheduled payments, sorted by date (most recent on top)"/>
    <s v="14.3.22"/>
    <x v="1"/>
    <m/>
    <m/>
    <m/>
    <m/>
  </r>
  <r>
    <s v="SOW142_x000a_SOW162_x000a_SOW143_x000a_SOW158_x000a_SOW16"/>
    <x v="6"/>
    <m/>
    <m/>
    <m/>
    <s v="Payments &amp; Withdrawals"/>
    <s v="Bill Pay"/>
    <s v="Virtual Company Functionality  "/>
    <s v="Add Payee, make a payment, delete payee, schedule a payment"/>
    <s v="14.3.x"/>
    <x v="0"/>
    <d v="2021-02-26T00:00:00"/>
    <s v="At R1 Infinity will support funcitonality for a combined profile of one retail and one busienss CIF. The  virtual company functionality to support CWB's multi-CIF business customers is not avilable ib the 2020.07 release"/>
    <s v="Christina Mullin"/>
    <m/>
  </r>
  <r>
    <s v="SOW204"/>
    <x v="6"/>
    <m/>
    <m/>
    <m/>
    <s v="Profile Management"/>
    <s v="Login Credentials"/>
    <s v="Update password"/>
    <s v="Modify the username or password by providing the 6-digit secure code sent to the registered mobile number / email."/>
    <s v="14.5.1"/>
    <x v="1"/>
    <m/>
    <m/>
    <m/>
    <m/>
  </r>
  <r>
    <s v="SOW204"/>
    <x v="6"/>
    <m/>
    <m/>
    <m/>
    <s v="Profile Management"/>
    <s v="Login Credentials"/>
    <s v="Update password"/>
    <s v="Modify the username or password by providing the 6-digit secure code sent to the registered mobile number / email."/>
    <s v="14.5.2"/>
    <x v="1"/>
    <m/>
    <m/>
    <m/>
    <m/>
  </r>
  <r>
    <s v="SOW260"/>
    <x v="3"/>
    <m/>
    <m/>
    <m/>
    <s v="Administration"/>
    <s v="Application Content Management"/>
    <s v="Manage Customer Care Information"/>
    <s v="Manage Customer Care Information (phone numbers and email ids) - Generic and service level"/>
    <s v="13.6.1"/>
    <x v="1"/>
    <m/>
    <m/>
    <m/>
    <m/>
  </r>
  <r>
    <m/>
    <x v="20"/>
    <m/>
    <m/>
    <m/>
    <m/>
    <m/>
    <m/>
    <m/>
    <s v="13.6.2"/>
    <x v="1"/>
    <m/>
    <m/>
    <m/>
    <m/>
  </r>
  <r>
    <s v="SOW260"/>
    <x v="21"/>
    <m/>
    <m/>
    <m/>
    <s v="Administration"/>
    <s v="Application Content Management"/>
    <s v="Manage Customer Care Information"/>
    <s v="Manage Customer Care Information (phone numbers and email ids) - Generic and service level"/>
    <s v="13.6.2"/>
    <x v="1"/>
    <m/>
    <m/>
    <m/>
    <m/>
  </r>
  <r>
    <s v="Multiple"/>
    <x v="0"/>
    <m/>
    <m/>
    <m/>
    <s v="Multiple"/>
    <s v="Multiple"/>
    <s v="Multiple"/>
    <s v="Multiple SOWs"/>
    <s v="TBD"/>
    <x v="2"/>
    <m/>
    <s v="Christina and Jason to review and approve IAM Use Case scope decisions.  Traceability matrix sent on Mar 9, 2021.  _x000a_(Decision requested by: Steve K.)"/>
    <m/>
    <s v="We need this ASAP, as it informs our R1 development priorities."/>
  </r>
  <r>
    <s v="SOW141"/>
    <x v="1"/>
    <m/>
    <m/>
    <m/>
    <s v="Accounts"/>
    <s v="Accounts"/>
    <s v="Statements"/>
    <s v="View and Download Statements"/>
    <s v="N/A"/>
    <x v="0"/>
    <d v="2021-03-12T00:00:00"/>
    <s v="Download statement chnages required in Infinty to align with Doxim.  Doxim statements are consolidated at CIF level. Infinity functionlity is at account level. Re-design of Infinity view statement screen, add View Statements link to hamburger menu under &quot;Accounts&quot;"/>
    <m/>
    <m/>
  </r>
  <r>
    <s v="SOW168"/>
    <x v="4"/>
    <s v="Transfers"/>
    <s v="e-Transfer"/>
    <m/>
    <s v="Transfers"/>
    <s v="e-Transfer"/>
    <s v="Ability to add interac e-transfer recipient by importing existing mobile contact through mobile banking app"/>
    <m/>
    <s v="N/A"/>
    <x v="0"/>
    <d v="2021-03-10T00:00:00"/>
    <s v="Not in OOTB, Backlog for post R1._x000a__x000a_Email 03/11/2021 from Lauren: I reviewed this requirement with Christina and Stacy yesterday and they confirmed this is not required for R1. This decision is also documented as #3 in yesterday’s daily leadership update (Sprint 15A - SOW168 – Christina and Stacy confirmed mobile contact import to populate Bill Pay and e-transfer recipients not needed for R1. Item backlogged for future release prioritization)."/>
    <s v="Christina Mullin"/>
    <m/>
  </r>
  <r>
    <s v="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2"/>
    <x v="1"/>
    <m/>
    <m/>
    <m/>
    <m/>
  </r>
  <r>
    <s v="SOW291"/>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3"/>
    <x v="1"/>
    <m/>
    <m/>
    <m/>
    <m/>
  </r>
  <r>
    <s v="SOW290"/>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4"/>
    <x v="1"/>
    <m/>
    <m/>
    <m/>
    <m/>
  </r>
  <r>
    <s v="SOW290_x000a_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5"/>
    <x v="1"/>
    <m/>
    <m/>
    <m/>
    <m/>
  </r>
  <r>
    <s v="SOW290_x000a_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6"/>
    <x v="1"/>
    <m/>
    <m/>
    <m/>
    <m/>
  </r>
  <r>
    <s v="SOW291"/>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7"/>
    <x v="1"/>
    <m/>
    <m/>
    <m/>
    <m/>
  </r>
  <r>
    <s v="SOW290_x000a_SOW291_x000a_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8"/>
    <x v="1"/>
    <m/>
    <m/>
    <m/>
    <m/>
  </r>
  <r>
    <s v="SOW291_x000a_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19"/>
    <x v="2"/>
    <m/>
    <m/>
    <m/>
    <m/>
  </r>
  <r>
    <s v="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0"/>
    <x v="2"/>
    <m/>
    <m/>
    <m/>
    <m/>
  </r>
  <r>
    <s v="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1"/>
    <x v="1"/>
    <m/>
    <m/>
    <m/>
    <m/>
  </r>
  <r>
    <s v="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2"/>
    <x v="2"/>
    <m/>
    <m/>
    <m/>
    <m/>
  </r>
  <r>
    <s v="SOW292_x000a_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3"/>
    <x v="2"/>
    <m/>
    <m/>
    <m/>
    <m/>
  </r>
  <r>
    <s v="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4"/>
    <x v="2"/>
    <m/>
    <m/>
    <m/>
    <m/>
  </r>
  <r>
    <s v="SOW291_x000a_SOW290_x000a_SOW325"/>
    <x v="4"/>
    <s v="Approvals and Request "/>
    <s v="Transactions "/>
    <s v="Recall Transactions_x000a_Expired Transactions_x000a_List of Approved, Rejected, Pending approval by Business user_x000a_Include Expired and Recalled into the list  of Approved, Rejected, and  Pending approval by Business user"/>
    <s v="Approvals and Request "/>
    <s v="Transactions "/>
    <s v="Recall Transactions_x000a_Expired Transactions_x000a_List of Approved, Rejected, Pending approval by Business user_x000a_Include Expired and Recalled into the list  of Approved, Rejected, and  Pending approval by Business user"/>
    <m/>
    <s v="15.1.25"/>
    <x v="2"/>
    <m/>
    <m/>
    <m/>
    <m/>
  </r>
  <r>
    <s v="SOW290_x000a_SOW325"/>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6"/>
    <x v="1"/>
    <m/>
    <m/>
    <m/>
    <m/>
  </r>
  <r>
    <s v="SOW290"/>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7"/>
    <x v="2"/>
    <m/>
    <m/>
    <m/>
    <m/>
  </r>
  <r>
    <s v="SOW291"/>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8"/>
    <x v="2"/>
    <m/>
    <m/>
    <m/>
    <m/>
  </r>
  <r>
    <s v="SOW290_x000a_SOW291_x000a_SOW292"/>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29"/>
    <x v="2"/>
    <m/>
    <m/>
    <m/>
    <m/>
  </r>
  <r>
    <s v="SOW290"/>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30"/>
    <x v="1"/>
    <m/>
    <m/>
    <m/>
    <m/>
  </r>
  <r>
    <s v="SOW290"/>
    <x v="4"/>
    <m/>
    <m/>
    <m/>
    <s v="Approvals and Request "/>
    <s v="Transactions "/>
    <s v="Recall Transactions_x000a_Expired Transactions_x000a_List of Approved, Rejected, Pending approval by Business user_x000a_Include Expired and Recalled into the list  of Approved, Rejected, and  Pending approval by Business user"/>
    <m/>
    <s v="15.1.31"/>
    <x v="2"/>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r>
    <m/>
    <x v="20"/>
    <m/>
    <m/>
    <m/>
    <m/>
    <m/>
    <m/>
    <m/>
    <m/>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1">
  <location ref="A3:B9" firstHeaderRow="2" firstDataRow="2" firstDataCol="1" rowPageCount="1" colPageCount="1"/>
  <pivotFields count="15">
    <pivotField compact="0" outline="0" showAll="0" defaultSubtotal="0"/>
    <pivotField axis="axisPage" compact="0" numFmtId="166" outline="0" showAll="0">
      <items count="25">
        <item x="20"/>
        <item x="0"/>
        <item m="1" x="23"/>
        <item x="1"/>
        <item x="2"/>
        <item x="3"/>
        <item x="4"/>
        <item m="1" x="22"/>
        <item x="6"/>
        <item x="5"/>
        <item x="19"/>
        <item x="7"/>
        <item x="8"/>
        <item x="9"/>
        <item x="10"/>
        <item x="11"/>
        <item x="12"/>
        <item x="13"/>
        <item x="14"/>
        <item x="15"/>
        <item x="16"/>
        <item x="17"/>
        <item x="18"/>
        <item x="21"/>
        <item t="default"/>
      </items>
    </pivotField>
    <pivotField compact="0" numFmtId="166" outline="0" showAll="0"/>
    <pivotField compact="0" numFmtId="166" outline="0" showAll="0"/>
    <pivotField compact="0" numFmtId="166" outline="0" showAll="0" defaultSubtotal="0"/>
    <pivotField compact="0" numFmtId="166" outline="0" showAll="0"/>
    <pivotField compact="0" numFmtId="166" outline="0" showAll="0"/>
    <pivotField compact="0" numFmtId="166" outline="0" showAll="0"/>
    <pivotField compact="0" numFmtId="166" outline="0" showAll="0" defaultSubtotal="0"/>
    <pivotField dataField="1" compact="0" numFmtId="166" outline="0" showAll="0"/>
    <pivotField axis="axisRow" compact="0" numFmtId="166" outline="0" showAll="0" includeNewItemsInFilter="1" countASubtotal="1">
      <items count="7">
        <item x="0"/>
        <item x="2"/>
        <item x="5"/>
        <item x="1"/>
        <item x="3"/>
        <item x="4"/>
        <item t="countA"/>
      </items>
    </pivotField>
    <pivotField compact="0" numFmtId="166" outline="0" showAll="0"/>
    <pivotField compact="0" numFmtId="166" outline="0" showAll="0"/>
    <pivotField compact="0" numFmtId="166" outline="0" showAll="0" defaultSubtotal="0"/>
    <pivotField compact="0" numFmtId="166" outline="0" showAll="0" defaultSubtotal="0"/>
  </pivotFields>
  <rowFields count="1">
    <field x="10"/>
  </rowFields>
  <rowItems count="5">
    <i>
      <x/>
    </i>
    <i>
      <x v="1"/>
    </i>
    <i>
      <x v="3"/>
    </i>
    <i>
      <x v="5"/>
    </i>
    <i t="grand">
      <x/>
    </i>
  </rowItems>
  <colItems count="1">
    <i/>
  </colItems>
  <pageFields count="1">
    <pageField fld="1" item="8" hier="-1"/>
  </pageFields>
  <dataFields count="1">
    <dataField name="Count of User Story #" fld="9" subtotal="count" baseField="0" baseItem="0" numFmtId="166"/>
  </dataFields>
  <formats count="8">
    <format dxfId="7">
      <pivotArea type="all" dataOnly="0" outline="0" fieldPosition="0"/>
    </format>
    <format dxfId="6">
      <pivotArea outline="0" collapsedLevelsAreSubtotals="1" fieldPosition="0"/>
    </format>
    <format dxfId="5">
      <pivotArea field="10" type="button" dataOnly="0" labelOnly="1" outline="0" axis="axisRow" fieldPosition="0"/>
    </format>
    <format dxfId="4">
      <pivotArea dataOnly="0" labelOnly="1" outline="0" axis="axisValues" fieldPosition="0"/>
    </format>
    <format dxfId="3">
      <pivotArea dataOnly="0" labelOnly="1" fieldPosition="0">
        <references count="1">
          <reference field="10" count="2">
            <x v="0"/>
            <x v="1"/>
          </reference>
        </references>
      </pivotArea>
    </format>
    <format dxfId="2">
      <pivotArea dataOnly="0" labelOnly="1" grandRow="1" outline="0" fieldPosition="0"/>
    </format>
    <format dxfId="1">
      <pivotArea dataOnly="0" labelOnly="1" outline="0" axis="axisValues" fieldPosition="0"/>
    </format>
    <format dxfId="0">
      <pivotArea field="1" type="button" dataOnly="0" labelOnly="1" outline="0" axis="axisPage" fieldPosition="0"/>
    </format>
  </formats>
  <chartFormats count="6">
    <chartFormat chart="0" format="15" series="1">
      <pivotArea type="data" outline="0" fieldPosition="0">
        <references count="1">
          <reference field="4294967294" count="1" selected="0">
            <x v="0"/>
          </reference>
        </references>
      </pivotArea>
    </chartFormat>
    <chartFormat chart="0" format="17">
      <pivotArea type="data" outline="0" fieldPosition="0">
        <references count="2">
          <reference field="4294967294" count="1" selected="0">
            <x v="0"/>
          </reference>
          <reference field="10" count="1" selected="0">
            <x v="0"/>
          </reference>
        </references>
      </pivotArea>
    </chartFormat>
    <chartFormat chart="0" format="19">
      <pivotArea type="data" outline="0" fieldPosition="0">
        <references count="2">
          <reference field="4294967294" count="1" selected="0">
            <x v="0"/>
          </reference>
          <reference field="10" count="1" selected="0">
            <x v="1"/>
          </reference>
        </references>
      </pivotArea>
    </chartFormat>
    <chartFormat chart="0" format="20">
      <pivotArea type="data" outline="0" fieldPosition="0">
        <references count="2">
          <reference field="4294967294" count="1" selected="0">
            <x v="0"/>
          </reference>
          <reference field="10" count="1" selected="0">
            <x v="3"/>
          </reference>
        </references>
      </pivotArea>
    </chartFormat>
    <chartFormat chart="0" format="21">
      <pivotArea type="data" outline="0" fieldPosition="0">
        <references count="2">
          <reference field="4294967294" count="1" selected="0">
            <x v="0"/>
          </reference>
          <reference field="10" count="1" selected="0">
            <x v="4"/>
          </reference>
        </references>
      </pivotArea>
    </chartFormat>
    <chartFormat chart="0" format="22">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16" dT="2020-12-04T22:12:12.75" personId="{DFE107B7-67AD-4004-8647-930BD6C3DD9E}" id="{70DEAB54-0AB2-43E2-997D-2B456CC9357D}">
    <text>Update will function as a cancel and reset with new parameters</text>
  </threadedComment>
  <threadedComment ref="I133" dT="2020-12-04T16:09:18.84" personId="{DFE107B7-67AD-4004-8647-930BD6C3DD9E}" id="{A3B85EBC-D6B6-4479-8DC8-89F0740C605E}">
    <text>PDF format</text>
  </threadedComment>
  <threadedComment ref="I155" dT="2020-12-04T21:40:46.60" personId="{DFE107B7-67AD-4004-8647-930BD6C3DD9E}" id="{B986CEF9-9396-483D-884C-AAC4B9A0BCC4}">
    <text>Come back to this feature for Commercial Banking Release.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850008-4478-1848-8ECE-F1E3BB033797}">
  <we:reference id="wa200000556" version="1.1.0.0" store="en-us" storeType="OMEX"/>
  <we:alternateReferences>
    <we:reference id="wa200000556" version="1.1.0.0" store="" storeType="OMEX"/>
  </we:alternateReferences>
  <we:properties>
    <we:property name="documentId" value="&quot;fde7958d-6416-4580-9d08-0b0b4cf004b0&quot;"/>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workbookViewId="0">
      <selection activeCell="C22" sqref="C22"/>
    </sheetView>
  </sheetViews>
  <sheetFormatPr defaultColWidth="8.73046875" defaultRowHeight="13.5"/>
  <cols>
    <col min="1" max="1" width="23.1328125" style="54" customWidth="1"/>
    <col min="2" max="2" width="12.59765625" style="54" customWidth="1"/>
    <col min="3" max="4" width="17.3984375" style="54" customWidth="1"/>
    <col min="5" max="5" width="11.86328125" style="54" customWidth="1"/>
    <col min="6" max="6" width="4.86328125" style="54" customWidth="1"/>
    <col min="7" max="7" width="5" style="54" customWidth="1"/>
    <col min="8" max="8" width="4.86328125" style="54" customWidth="1"/>
    <col min="9" max="9" width="5" style="54" customWidth="1"/>
    <col min="10" max="10" width="4.86328125" style="54" customWidth="1"/>
    <col min="11" max="12" width="5" style="54" customWidth="1"/>
    <col min="13" max="13" width="11.1328125" style="54" customWidth="1"/>
    <col min="14" max="16384" width="8.73046875" style="54"/>
  </cols>
  <sheetData>
    <row r="1" spans="1:5" ht="13.9">
      <c r="A1" s="148" t="s">
        <v>792</v>
      </c>
      <c r="B1" s="145">
        <v>14</v>
      </c>
    </row>
    <row r="3" spans="1:5" ht="14.25">
      <c r="A3" s="144" t="s">
        <v>793</v>
      </c>
      <c r="B3" s="146"/>
      <c r="C3"/>
      <c r="D3"/>
      <c r="E3"/>
    </row>
    <row r="4" spans="1:5" ht="14.25">
      <c r="A4" s="144" t="s">
        <v>786</v>
      </c>
      <c r="B4" s="146" t="s">
        <v>15</v>
      </c>
      <c r="C4"/>
      <c r="D4"/>
      <c r="E4"/>
    </row>
    <row r="5" spans="1:5" ht="14.25">
      <c r="A5" s="147" t="s">
        <v>789</v>
      </c>
      <c r="B5" s="147">
        <v>3</v>
      </c>
      <c r="C5"/>
      <c r="D5"/>
      <c r="E5"/>
    </row>
    <row r="6" spans="1:5" ht="14.25">
      <c r="A6" s="147" t="s">
        <v>788</v>
      </c>
      <c r="B6" s="147">
        <v>3</v>
      </c>
      <c r="C6"/>
      <c r="D6"/>
    </row>
    <row r="7" spans="1:5" ht="14.25">
      <c r="A7" s="147" t="s">
        <v>807</v>
      </c>
      <c r="B7" s="147">
        <v>26</v>
      </c>
      <c r="C7"/>
      <c r="D7"/>
    </row>
    <row r="8" spans="1:5" ht="14.25">
      <c r="A8" s="147" t="s">
        <v>869</v>
      </c>
      <c r="B8" s="147">
        <v>2</v>
      </c>
      <c r="C8"/>
      <c r="D8"/>
    </row>
    <row r="9" spans="1:5">
      <c r="A9" s="147" t="s">
        <v>5</v>
      </c>
      <c r="B9" s="147">
        <v>34</v>
      </c>
    </row>
    <row r="10" spans="1:5" ht="14.25">
      <c r="A10"/>
      <c r="B10"/>
    </row>
    <row r="22" spans="3:3">
      <c r="C22" s="54" t="s">
        <v>915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U170"/>
  <sheetViews>
    <sheetView tabSelected="1" zoomScale="70" zoomScaleNormal="70" workbookViewId="0">
      <pane xSplit="8" ySplit="1" topLeftCell="N160" activePane="bottomRight" state="frozen"/>
      <selection pane="topRight"/>
      <selection pane="bottomLeft"/>
      <selection pane="bottomRight" activeCell="N161" sqref="N161"/>
    </sheetView>
  </sheetViews>
  <sheetFormatPr defaultColWidth="9.1328125" defaultRowHeight="15"/>
  <cols>
    <col min="1" max="1" width="16.73046875" style="83" customWidth="1"/>
    <col min="2" max="2" width="16.86328125" style="120" customWidth="1"/>
    <col min="3" max="3" width="16.3984375" style="53" hidden="1" customWidth="1"/>
    <col min="4" max="5" width="19.3984375" style="53" hidden="1" customWidth="1"/>
    <col min="6" max="6" width="23.73046875" style="83" bestFit="1" customWidth="1"/>
    <col min="7" max="7" width="23.3984375" style="83" customWidth="1"/>
    <col min="8" max="8" width="36" style="106" customWidth="1"/>
    <col min="9" max="9" width="60.1328125" style="88" customWidth="1"/>
    <col min="10" max="10" width="19.86328125" style="137" customWidth="1"/>
    <col min="11" max="11" width="23.265625" style="83" customWidth="1"/>
    <col min="12" max="12" width="22.59765625" style="89" customWidth="1"/>
    <col min="13" max="13" width="46.3984375" style="94" customWidth="1"/>
    <col min="14" max="14" width="31.3984375" style="89" customWidth="1"/>
    <col min="15" max="15" width="102" style="94" customWidth="1"/>
    <col min="16" max="16" width="18" style="112" customWidth="1"/>
    <col min="17" max="16384" width="9.1328125" style="57"/>
  </cols>
  <sheetData>
    <row r="1" spans="1:21" s="79" customFormat="1" ht="52.9">
      <c r="A1" s="122" t="s">
        <v>1027</v>
      </c>
      <c r="B1" s="122" t="s">
        <v>792</v>
      </c>
      <c r="C1" s="59" t="s">
        <v>52</v>
      </c>
      <c r="D1" s="59" t="s">
        <v>53</v>
      </c>
      <c r="E1" s="59" t="s">
        <v>795</v>
      </c>
      <c r="F1" s="122" t="s">
        <v>24</v>
      </c>
      <c r="G1" s="122" t="s">
        <v>25</v>
      </c>
      <c r="H1" s="123" t="s">
        <v>26</v>
      </c>
      <c r="I1" s="122" t="s">
        <v>936</v>
      </c>
      <c r="J1" s="132" t="s">
        <v>787</v>
      </c>
      <c r="K1" s="122" t="s">
        <v>786</v>
      </c>
      <c r="L1" s="122" t="s">
        <v>791</v>
      </c>
      <c r="M1" s="122" t="s">
        <v>790</v>
      </c>
      <c r="N1" s="122" t="s">
        <v>794</v>
      </c>
      <c r="O1" s="122" t="s">
        <v>798</v>
      </c>
      <c r="P1" s="124" t="s">
        <v>914</v>
      </c>
    </row>
    <row r="2" spans="1:21" s="56" customFormat="1" ht="166.5" customHeight="1">
      <c r="A2" s="75" t="s">
        <v>494</v>
      </c>
      <c r="B2" s="118" t="s">
        <v>126</v>
      </c>
      <c r="C2" s="68"/>
      <c r="D2" s="68"/>
      <c r="E2" s="68"/>
      <c r="F2" s="60" t="s">
        <v>184</v>
      </c>
      <c r="G2" s="60" t="s">
        <v>486</v>
      </c>
      <c r="H2" s="71" t="s">
        <v>796</v>
      </c>
      <c r="I2" s="71" t="s">
        <v>496</v>
      </c>
      <c r="J2" s="133"/>
      <c r="K2" s="125" t="s">
        <v>789</v>
      </c>
      <c r="L2" s="72">
        <v>44183</v>
      </c>
      <c r="M2" s="76" t="s">
        <v>803</v>
      </c>
      <c r="N2" s="66" t="s">
        <v>797</v>
      </c>
      <c r="O2" s="76" t="s">
        <v>804</v>
      </c>
      <c r="P2" s="76"/>
    </row>
    <row r="3" spans="1:21" ht="345" customHeight="1">
      <c r="A3" s="75" t="s">
        <v>334</v>
      </c>
      <c r="B3" s="118" t="s">
        <v>126</v>
      </c>
      <c r="C3" s="68"/>
      <c r="D3" s="68"/>
      <c r="E3" s="68"/>
      <c r="F3" s="60" t="s">
        <v>800</v>
      </c>
      <c r="G3" s="60" t="s">
        <v>801</v>
      </c>
      <c r="H3" s="60" t="s">
        <v>802</v>
      </c>
      <c r="I3" s="126" t="s">
        <v>799</v>
      </c>
      <c r="J3" s="133"/>
      <c r="K3" s="125" t="s">
        <v>789</v>
      </c>
      <c r="L3" s="72"/>
      <c r="M3" s="127" t="s">
        <v>805</v>
      </c>
      <c r="N3" s="72"/>
      <c r="O3" s="76" t="s">
        <v>888</v>
      </c>
      <c r="P3" s="76"/>
    </row>
    <row r="4" spans="1:21" s="51" customFormat="1" ht="63.4" hidden="1" customHeight="1">
      <c r="A4" s="74" t="s">
        <v>507</v>
      </c>
      <c r="B4" s="117">
        <v>11</v>
      </c>
      <c r="C4" s="74"/>
      <c r="D4" s="74"/>
      <c r="E4" s="74"/>
      <c r="F4" s="60" t="s">
        <v>220</v>
      </c>
      <c r="G4" s="60" t="s">
        <v>245</v>
      </c>
      <c r="H4" s="60" t="s">
        <v>508</v>
      </c>
      <c r="I4" s="74" t="s">
        <v>509</v>
      </c>
      <c r="J4" s="69" t="s">
        <v>806</v>
      </c>
      <c r="K4" s="55" t="s">
        <v>807</v>
      </c>
      <c r="L4" s="66"/>
      <c r="M4" s="70"/>
      <c r="N4" s="66"/>
      <c r="O4" s="70"/>
      <c r="P4" s="64"/>
      <c r="Q4" s="57"/>
      <c r="R4" s="57"/>
      <c r="S4" s="57"/>
      <c r="T4" s="57"/>
      <c r="U4" s="57"/>
    </row>
    <row r="5" spans="1:21" s="51" customFormat="1" ht="63.4" hidden="1" customHeight="1">
      <c r="A5" s="74" t="s">
        <v>507</v>
      </c>
      <c r="B5" s="117">
        <v>11</v>
      </c>
      <c r="C5" s="74"/>
      <c r="D5" s="74"/>
      <c r="E5" s="74"/>
      <c r="F5" s="60" t="s">
        <v>220</v>
      </c>
      <c r="G5" s="60" t="s">
        <v>245</v>
      </c>
      <c r="H5" s="60" t="s">
        <v>508</v>
      </c>
      <c r="I5" s="74" t="s">
        <v>509</v>
      </c>
      <c r="J5" s="69" t="s">
        <v>808</v>
      </c>
      <c r="K5" s="55" t="s">
        <v>807</v>
      </c>
      <c r="L5" s="66"/>
      <c r="M5" s="70"/>
      <c r="N5" s="66"/>
      <c r="O5" s="70"/>
      <c r="P5" s="64" t="s">
        <v>913</v>
      </c>
      <c r="Q5" s="57"/>
      <c r="R5" s="57"/>
      <c r="S5" s="57"/>
      <c r="T5" s="57"/>
      <c r="U5" s="57"/>
    </row>
    <row r="6" spans="1:21" s="51" customFormat="1" ht="63.4" hidden="1" customHeight="1">
      <c r="A6" s="74" t="s">
        <v>507</v>
      </c>
      <c r="B6" s="117">
        <v>11</v>
      </c>
      <c r="C6" s="74"/>
      <c r="D6" s="74"/>
      <c r="E6" s="74"/>
      <c r="F6" s="60" t="s">
        <v>220</v>
      </c>
      <c r="G6" s="60" t="s">
        <v>245</v>
      </c>
      <c r="H6" s="60" t="s">
        <v>508</v>
      </c>
      <c r="I6" s="74" t="s">
        <v>509</v>
      </c>
      <c r="J6" s="69" t="s">
        <v>809</v>
      </c>
      <c r="K6" s="55" t="s">
        <v>807</v>
      </c>
      <c r="L6" s="66"/>
      <c r="M6" s="70"/>
      <c r="N6" s="66"/>
      <c r="O6" s="70"/>
      <c r="P6" s="64"/>
      <c r="Q6" s="57"/>
      <c r="R6" s="57"/>
      <c r="S6" s="57"/>
      <c r="T6" s="57"/>
      <c r="U6" s="57"/>
    </row>
    <row r="7" spans="1:21" s="52" customFormat="1" ht="28.5" hidden="1" customHeight="1">
      <c r="A7" s="74" t="s">
        <v>507</v>
      </c>
      <c r="B7" s="117">
        <v>11</v>
      </c>
      <c r="C7" s="74"/>
      <c r="D7" s="74"/>
      <c r="E7" s="74"/>
      <c r="F7" s="60" t="s">
        <v>220</v>
      </c>
      <c r="G7" s="60" t="s">
        <v>245</v>
      </c>
      <c r="H7" s="60" t="s">
        <v>508</v>
      </c>
      <c r="I7" s="74" t="s">
        <v>509</v>
      </c>
      <c r="J7" s="69" t="s">
        <v>810</v>
      </c>
      <c r="K7" s="55" t="s">
        <v>807</v>
      </c>
      <c r="L7" s="72"/>
      <c r="M7" s="76"/>
      <c r="N7" s="72"/>
      <c r="O7" s="77"/>
      <c r="P7" s="64"/>
      <c r="Q7" s="56"/>
      <c r="R7" s="56"/>
      <c r="S7" s="56"/>
      <c r="T7" s="56"/>
      <c r="U7" s="56"/>
    </row>
    <row r="8" spans="1:21" s="52" customFormat="1" ht="28.5" hidden="1" customHeight="1">
      <c r="A8" s="74" t="s">
        <v>507</v>
      </c>
      <c r="B8" s="117">
        <v>11</v>
      </c>
      <c r="C8" s="74"/>
      <c r="D8" s="74"/>
      <c r="E8" s="74"/>
      <c r="F8" s="60" t="s">
        <v>220</v>
      </c>
      <c r="G8" s="60" t="s">
        <v>245</v>
      </c>
      <c r="H8" s="60" t="s">
        <v>508</v>
      </c>
      <c r="I8" s="74" t="s">
        <v>509</v>
      </c>
      <c r="J8" s="69" t="s">
        <v>811</v>
      </c>
      <c r="K8" s="55" t="s">
        <v>807</v>
      </c>
      <c r="L8" s="66"/>
      <c r="M8" s="77"/>
      <c r="N8" s="66"/>
      <c r="O8" s="77"/>
      <c r="P8" s="99">
        <v>44222</v>
      </c>
      <c r="Q8" s="56"/>
      <c r="R8" s="56"/>
      <c r="S8" s="56"/>
      <c r="T8" s="56"/>
      <c r="U8" s="56"/>
    </row>
    <row r="9" spans="1:21" s="52" customFormat="1" ht="28.5" hidden="1" customHeight="1">
      <c r="A9" s="74" t="s">
        <v>507</v>
      </c>
      <c r="B9" s="117">
        <v>11</v>
      </c>
      <c r="C9" s="74"/>
      <c r="D9" s="74"/>
      <c r="E9" s="74"/>
      <c r="F9" s="60" t="s">
        <v>220</v>
      </c>
      <c r="G9" s="60" t="s">
        <v>245</v>
      </c>
      <c r="H9" s="60" t="s">
        <v>508</v>
      </c>
      <c r="I9" s="74" t="s">
        <v>509</v>
      </c>
      <c r="J9" s="69" t="s">
        <v>812</v>
      </c>
      <c r="K9" s="55" t="s">
        <v>807</v>
      </c>
      <c r="L9" s="66"/>
      <c r="M9" s="77"/>
      <c r="N9" s="66"/>
      <c r="O9" s="77"/>
      <c r="P9" s="99">
        <v>44222</v>
      </c>
      <c r="Q9" s="56"/>
      <c r="R9" s="56"/>
      <c r="S9" s="56"/>
      <c r="T9" s="56"/>
      <c r="U9" s="56"/>
    </row>
    <row r="10" spans="1:21" s="52" customFormat="1" ht="15" hidden="1" customHeight="1">
      <c r="A10" s="75" t="s">
        <v>525</v>
      </c>
      <c r="B10" s="118">
        <v>11</v>
      </c>
      <c r="C10" s="68"/>
      <c r="D10" s="68"/>
      <c r="E10" s="68"/>
      <c r="F10" s="60" t="s">
        <v>220</v>
      </c>
      <c r="G10" s="60" t="s">
        <v>248</v>
      </c>
      <c r="H10" s="60" t="s">
        <v>526</v>
      </c>
      <c r="I10" s="74" t="s">
        <v>527</v>
      </c>
      <c r="J10" s="69" t="s">
        <v>813</v>
      </c>
      <c r="K10" s="55" t="s">
        <v>807</v>
      </c>
      <c r="L10" s="66"/>
      <c r="M10" s="77"/>
      <c r="N10" s="66"/>
      <c r="O10" s="77"/>
      <c r="P10" s="64"/>
      <c r="Q10" s="56"/>
      <c r="R10" s="56"/>
      <c r="S10" s="56"/>
      <c r="T10" s="56"/>
      <c r="U10" s="56"/>
    </row>
    <row r="11" spans="1:21" s="52" customFormat="1" ht="15" hidden="1" customHeight="1">
      <c r="A11" s="75" t="s">
        <v>525</v>
      </c>
      <c r="B11" s="118">
        <v>11</v>
      </c>
      <c r="C11" s="68"/>
      <c r="D11" s="68"/>
      <c r="E11" s="68"/>
      <c r="F11" s="60" t="s">
        <v>220</v>
      </c>
      <c r="G11" s="60" t="s">
        <v>248</v>
      </c>
      <c r="H11" s="60" t="s">
        <v>526</v>
      </c>
      <c r="I11" s="74" t="s">
        <v>527</v>
      </c>
      <c r="J11" s="69" t="s">
        <v>814</v>
      </c>
      <c r="K11" s="55" t="s">
        <v>807</v>
      </c>
      <c r="L11" s="66"/>
      <c r="M11" s="77"/>
      <c r="N11" s="66"/>
      <c r="O11" s="77"/>
      <c r="P11" s="64"/>
      <c r="Q11" s="56"/>
      <c r="R11" s="56"/>
      <c r="S11" s="56"/>
      <c r="T11" s="56"/>
      <c r="U11" s="56"/>
    </row>
    <row r="12" spans="1:21" s="52" customFormat="1" ht="15" hidden="1" customHeight="1">
      <c r="A12" s="75" t="s">
        <v>525</v>
      </c>
      <c r="B12" s="118">
        <v>11</v>
      </c>
      <c r="C12" s="68"/>
      <c r="D12" s="68"/>
      <c r="E12" s="68"/>
      <c r="F12" s="60" t="s">
        <v>220</v>
      </c>
      <c r="G12" s="60" t="s">
        <v>248</v>
      </c>
      <c r="H12" s="60" t="s">
        <v>526</v>
      </c>
      <c r="I12" s="71" t="s">
        <v>527</v>
      </c>
      <c r="J12" s="69" t="s">
        <v>815</v>
      </c>
      <c r="K12" s="55" t="s">
        <v>807</v>
      </c>
      <c r="L12" s="66"/>
      <c r="M12" s="77"/>
      <c r="N12" s="66"/>
      <c r="O12" s="77"/>
      <c r="P12" s="64"/>
      <c r="Q12" s="56"/>
      <c r="R12" s="56"/>
      <c r="S12" s="56"/>
      <c r="T12" s="56"/>
      <c r="U12" s="56"/>
    </row>
    <row r="13" spans="1:21" s="51" customFormat="1" ht="78.599999999999994" hidden="1" customHeight="1">
      <c r="A13" s="75" t="s">
        <v>819</v>
      </c>
      <c r="B13" s="118">
        <v>11</v>
      </c>
      <c r="C13" s="68"/>
      <c r="D13" s="68"/>
      <c r="E13" s="68"/>
      <c r="F13" s="60" t="s">
        <v>220</v>
      </c>
      <c r="G13" s="60" t="s">
        <v>248</v>
      </c>
      <c r="H13" s="60" t="s">
        <v>526</v>
      </c>
      <c r="I13" s="71" t="s">
        <v>527</v>
      </c>
      <c r="J13" s="69" t="s">
        <v>816</v>
      </c>
      <c r="K13" s="55" t="s">
        <v>807</v>
      </c>
      <c r="L13" s="66"/>
      <c r="M13" s="70"/>
      <c r="N13" s="66"/>
      <c r="O13" s="70"/>
      <c r="P13" s="64"/>
      <c r="Q13" s="57"/>
      <c r="R13" s="57"/>
      <c r="S13" s="57"/>
      <c r="T13" s="57"/>
      <c r="U13" s="57"/>
    </row>
    <row r="14" spans="1:21" s="51" customFormat="1" ht="15" hidden="1" customHeight="1">
      <c r="A14" s="75" t="s">
        <v>820</v>
      </c>
      <c r="B14" s="118">
        <v>11</v>
      </c>
      <c r="C14" s="68"/>
      <c r="D14" s="68"/>
      <c r="E14" s="68"/>
      <c r="F14" s="60" t="s">
        <v>220</v>
      </c>
      <c r="G14" s="60" t="s">
        <v>248</v>
      </c>
      <c r="H14" s="60" t="s">
        <v>526</v>
      </c>
      <c r="I14" s="71" t="s">
        <v>527</v>
      </c>
      <c r="J14" s="69" t="s">
        <v>817</v>
      </c>
      <c r="K14" s="55" t="s">
        <v>807</v>
      </c>
      <c r="L14" s="66"/>
      <c r="M14" s="70"/>
      <c r="N14" s="66"/>
      <c r="O14" s="70"/>
      <c r="P14" s="64"/>
      <c r="Q14" s="57"/>
      <c r="R14" s="57"/>
      <c r="S14" s="57"/>
      <c r="T14" s="57"/>
      <c r="U14" s="57"/>
    </row>
    <row r="15" spans="1:21" s="51" customFormat="1" ht="15" hidden="1" customHeight="1">
      <c r="A15" s="75" t="s">
        <v>821</v>
      </c>
      <c r="B15" s="118">
        <v>11</v>
      </c>
      <c r="C15" s="68"/>
      <c r="D15" s="68"/>
      <c r="E15" s="68"/>
      <c r="F15" s="60" t="s">
        <v>220</v>
      </c>
      <c r="G15" s="60" t="s">
        <v>248</v>
      </c>
      <c r="H15" s="60" t="s">
        <v>526</v>
      </c>
      <c r="I15" s="71" t="s">
        <v>527</v>
      </c>
      <c r="J15" s="69" t="s">
        <v>818</v>
      </c>
      <c r="K15" s="55" t="s">
        <v>807</v>
      </c>
      <c r="L15" s="66"/>
      <c r="M15" s="66"/>
      <c r="N15" s="66"/>
      <c r="O15" s="66"/>
      <c r="P15" s="64"/>
      <c r="Q15" s="57"/>
      <c r="R15" s="57"/>
      <c r="S15" s="57"/>
      <c r="T15" s="57"/>
      <c r="U15" s="57"/>
    </row>
    <row r="16" spans="1:21" s="51" customFormat="1" ht="57" hidden="1" customHeight="1">
      <c r="A16" s="67" t="s">
        <v>631</v>
      </c>
      <c r="B16" s="118">
        <v>11</v>
      </c>
      <c r="C16" s="68"/>
      <c r="D16" s="68"/>
      <c r="E16" s="68"/>
      <c r="F16" s="60" t="s">
        <v>231</v>
      </c>
      <c r="G16" s="60" t="s">
        <v>232</v>
      </c>
      <c r="H16" s="60" t="s">
        <v>632</v>
      </c>
      <c r="I16" s="74" t="s">
        <v>633</v>
      </c>
      <c r="J16" s="69" t="s">
        <v>822</v>
      </c>
      <c r="K16" s="55" t="s">
        <v>788</v>
      </c>
      <c r="L16" s="66"/>
      <c r="M16" s="70"/>
      <c r="N16" s="66"/>
      <c r="O16" s="70"/>
      <c r="P16" s="64"/>
    </row>
    <row r="17" spans="1:16" s="51" customFormat="1" ht="15" hidden="1" customHeight="1">
      <c r="A17" s="67" t="s">
        <v>577</v>
      </c>
      <c r="B17" s="118">
        <v>11</v>
      </c>
      <c r="C17" s="68"/>
      <c r="D17" s="68"/>
      <c r="E17" s="68"/>
      <c r="F17" s="60" t="s">
        <v>184</v>
      </c>
      <c r="G17" s="60" t="s">
        <v>578</v>
      </c>
      <c r="H17" s="60" t="s">
        <v>579</v>
      </c>
      <c r="I17" s="71" t="s">
        <v>823</v>
      </c>
      <c r="J17" s="69">
        <v>1</v>
      </c>
      <c r="K17" s="55" t="s">
        <v>788</v>
      </c>
      <c r="L17" s="66"/>
      <c r="M17" s="70"/>
      <c r="N17" s="66"/>
      <c r="O17" s="70"/>
      <c r="P17" s="64"/>
    </row>
    <row r="18" spans="1:16" s="51" customFormat="1" ht="15" hidden="1" customHeight="1">
      <c r="A18" s="67" t="s">
        <v>577</v>
      </c>
      <c r="B18" s="118">
        <v>11</v>
      </c>
      <c r="C18" s="68"/>
      <c r="D18" s="68"/>
      <c r="E18" s="68"/>
      <c r="F18" s="60" t="s">
        <v>184</v>
      </c>
      <c r="G18" s="60" t="s">
        <v>578</v>
      </c>
      <c r="H18" s="60" t="s">
        <v>579</v>
      </c>
      <c r="I18" s="71" t="s">
        <v>823</v>
      </c>
      <c r="J18" s="69">
        <v>2</v>
      </c>
      <c r="K18" s="55" t="s">
        <v>824</v>
      </c>
      <c r="L18" s="66"/>
      <c r="M18" s="70"/>
      <c r="N18" s="66"/>
      <c r="O18" s="70"/>
      <c r="P18" s="64"/>
    </row>
    <row r="19" spans="1:16" s="51" customFormat="1" ht="57" hidden="1" customHeight="1">
      <c r="A19" s="67" t="s">
        <v>395</v>
      </c>
      <c r="B19" s="118">
        <v>12</v>
      </c>
      <c r="C19" s="68"/>
      <c r="D19" s="68"/>
      <c r="E19" s="68"/>
      <c r="F19" s="60" t="s">
        <v>396</v>
      </c>
      <c r="G19" s="60" t="s">
        <v>397</v>
      </c>
      <c r="H19" s="60" t="s">
        <v>398</v>
      </c>
      <c r="I19" s="74" t="s">
        <v>399</v>
      </c>
      <c r="J19" s="69" t="s">
        <v>825</v>
      </c>
      <c r="K19" s="55" t="s">
        <v>788</v>
      </c>
      <c r="L19" s="66"/>
      <c r="M19" s="70"/>
      <c r="N19" s="66"/>
      <c r="O19" s="70"/>
      <c r="P19" s="64"/>
    </row>
    <row r="20" spans="1:16" s="51" customFormat="1" ht="24.95" hidden="1" customHeight="1">
      <c r="A20" s="67" t="s">
        <v>395</v>
      </c>
      <c r="B20" s="118">
        <v>12</v>
      </c>
      <c r="C20" s="68"/>
      <c r="D20" s="68"/>
      <c r="E20" s="68"/>
      <c r="F20" s="60" t="s">
        <v>396</v>
      </c>
      <c r="G20" s="60" t="s">
        <v>397</v>
      </c>
      <c r="H20" s="60" t="s">
        <v>398</v>
      </c>
      <c r="I20" s="74" t="s">
        <v>399</v>
      </c>
      <c r="J20" s="69" t="s">
        <v>857</v>
      </c>
      <c r="K20" s="55" t="s">
        <v>807</v>
      </c>
      <c r="L20" s="66"/>
      <c r="M20" s="70"/>
      <c r="N20" s="66"/>
      <c r="O20" s="70"/>
      <c r="P20" s="64"/>
    </row>
    <row r="21" spans="1:16" s="51" customFormat="1" ht="24.95" hidden="1" customHeight="1">
      <c r="A21" s="67" t="s">
        <v>826</v>
      </c>
      <c r="B21" s="118">
        <v>12</v>
      </c>
      <c r="C21" s="68"/>
      <c r="D21" s="68"/>
      <c r="E21" s="68"/>
      <c r="F21" s="60" t="s">
        <v>800</v>
      </c>
      <c r="G21" s="60" t="s">
        <v>827</v>
      </c>
      <c r="H21" s="60" t="s">
        <v>828</v>
      </c>
      <c r="I21" s="71" t="s">
        <v>829</v>
      </c>
      <c r="J21" s="69" t="s">
        <v>830</v>
      </c>
      <c r="K21" s="55" t="s">
        <v>807</v>
      </c>
      <c r="L21" s="66"/>
      <c r="M21" s="70"/>
      <c r="N21" s="66"/>
      <c r="O21" s="70"/>
      <c r="P21" s="64"/>
    </row>
    <row r="22" spans="1:16" s="51" customFormat="1" ht="24.95" hidden="1" customHeight="1">
      <c r="A22" s="67" t="s">
        <v>826</v>
      </c>
      <c r="B22" s="118">
        <v>12</v>
      </c>
      <c r="C22" s="68"/>
      <c r="D22" s="68"/>
      <c r="E22" s="68"/>
      <c r="F22" s="60" t="s">
        <v>800</v>
      </c>
      <c r="G22" s="60" t="s">
        <v>827</v>
      </c>
      <c r="H22" s="71" t="s">
        <v>828</v>
      </c>
      <c r="I22" s="71" t="s">
        <v>829</v>
      </c>
      <c r="J22" s="69" t="s">
        <v>831</v>
      </c>
      <c r="K22" s="55" t="s">
        <v>807</v>
      </c>
      <c r="L22" s="66"/>
      <c r="M22" s="70"/>
      <c r="N22" s="66"/>
      <c r="O22" s="70"/>
      <c r="P22" s="64"/>
    </row>
    <row r="23" spans="1:16" s="51" customFormat="1" ht="24.95" hidden="1" customHeight="1">
      <c r="A23" s="67" t="s">
        <v>826</v>
      </c>
      <c r="B23" s="118">
        <v>12</v>
      </c>
      <c r="C23" s="68"/>
      <c r="D23" s="68"/>
      <c r="E23" s="68"/>
      <c r="F23" s="60" t="s">
        <v>800</v>
      </c>
      <c r="G23" s="60" t="s">
        <v>827</v>
      </c>
      <c r="H23" s="71" t="s">
        <v>828</v>
      </c>
      <c r="I23" s="71" t="s">
        <v>829</v>
      </c>
      <c r="J23" s="69" t="s">
        <v>832</v>
      </c>
      <c r="K23" s="55" t="s">
        <v>807</v>
      </c>
      <c r="L23" s="66"/>
      <c r="M23" s="70"/>
      <c r="N23" s="66"/>
      <c r="O23" s="70"/>
      <c r="P23" s="64"/>
    </row>
    <row r="24" spans="1:16" s="51" customFormat="1" ht="24.95" hidden="1" customHeight="1">
      <c r="A24" s="67" t="s">
        <v>826</v>
      </c>
      <c r="B24" s="118">
        <v>12</v>
      </c>
      <c r="C24" s="68"/>
      <c r="D24" s="68"/>
      <c r="E24" s="68"/>
      <c r="F24" s="60" t="s">
        <v>800</v>
      </c>
      <c r="G24" s="60" t="s">
        <v>827</v>
      </c>
      <c r="H24" s="71" t="s">
        <v>828</v>
      </c>
      <c r="I24" s="71" t="s">
        <v>829</v>
      </c>
      <c r="J24" s="69" t="s">
        <v>833</v>
      </c>
      <c r="K24" s="55" t="s">
        <v>807</v>
      </c>
      <c r="L24" s="66"/>
      <c r="M24" s="70"/>
      <c r="N24" s="66"/>
      <c r="O24" s="70"/>
      <c r="P24" s="64"/>
    </row>
    <row r="25" spans="1:16" s="51" customFormat="1" ht="24.95" hidden="1" customHeight="1">
      <c r="A25" s="67" t="s">
        <v>826</v>
      </c>
      <c r="B25" s="118">
        <v>12</v>
      </c>
      <c r="C25" s="68"/>
      <c r="D25" s="68"/>
      <c r="E25" s="68"/>
      <c r="F25" s="60" t="s">
        <v>800</v>
      </c>
      <c r="G25" s="60" t="s">
        <v>827</v>
      </c>
      <c r="H25" s="71" t="s">
        <v>828</v>
      </c>
      <c r="I25" s="71" t="s">
        <v>829</v>
      </c>
      <c r="J25" s="69" t="s">
        <v>834</v>
      </c>
      <c r="K25" s="55" t="s">
        <v>807</v>
      </c>
      <c r="L25" s="66"/>
      <c r="M25" s="70"/>
      <c r="N25" s="66"/>
      <c r="O25" s="70"/>
      <c r="P25" s="64"/>
    </row>
    <row r="26" spans="1:16" s="51" customFormat="1" ht="24.95" hidden="1" customHeight="1">
      <c r="A26" s="67" t="s">
        <v>826</v>
      </c>
      <c r="B26" s="118">
        <v>12</v>
      </c>
      <c r="C26" s="68"/>
      <c r="D26" s="68"/>
      <c r="E26" s="68"/>
      <c r="F26" s="60" t="s">
        <v>800</v>
      </c>
      <c r="G26" s="60" t="s">
        <v>827</v>
      </c>
      <c r="H26" s="71" t="s">
        <v>828</v>
      </c>
      <c r="I26" s="71" t="s">
        <v>829</v>
      </c>
      <c r="J26" s="69" t="s">
        <v>835</v>
      </c>
      <c r="K26" s="55" t="s">
        <v>807</v>
      </c>
      <c r="L26" s="66"/>
      <c r="M26" s="70"/>
      <c r="N26" s="66"/>
      <c r="O26" s="70"/>
      <c r="P26" s="64"/>
    </row>
    <row r="27" spans="1:16" s="51" customFormat="1" ht="24.95" hidden="1" customHeight="1">
      <c r="A27" s="67" t="s">
        <v>826</v>
      </c>
      <c r="B27" s="118">
        <v>12</v>
      </c>
      <c r="C27" s="68"/>
      <c r="D27" s="68"/>
      <c r="E27" s="68"/>
      <c r="F27" s="60" t="s">
        <v>800</v>
      </c>
      <c r="G27" s="60" t="s">
        <v>827</v>
      </c>
      <c r="H27" s="71" t="s">
        <v>828</v>
      </c>
      <c r="I27" s="71" t="s">
        <v>829</v>
      </c>
      <c r="J27" s="69" t="s">
        <v>836</v>
      </c>
      <c r="K27" s="55" t="s">
        <v>869</v>
      </c>
      <c r="L27" s="66"/>
      <c r="M27" s="70"/>
      <c r="N27" s="66"/>
      <c r="O27" s="70"/>
      <c r="P27" s="64"/>
    </row>
    <row r="28" spans="1:16" s="51" customFormat="1" ht="24.95" hidden="1" customHeight="1">
      <c r="A28" s="67" t="s">
        <v>826</v>
      </c>
      <c r="B28" s="118">
        <v>12</v>
      </c>
      <c r="C28" s="68"/>
      <c r="D28" s="68"/>
      <c r="E28" s="68"/>
      <c r="F28" s="60" t="s">
        <v>800</v>
      </c>
      <c r="G28" s="60" t="s">
        <v>827</v>
      </c>
      <c r="H28" s="71" t="s">
        <v>828</v>
      </c>
      <c r="I28" s="71" t="s">
        <v>829</v>
      </c>
      <c r="J28" s="69" t="s">
        <v>837</v>
      </c>
      <c r="K28" s="55" t="s">
        <v>807</v>
      </c>
      <c r="L28" s="66"/>
      <c r="M28" s="70"/>
      <c r="N28" s="66"/>
      <c r="O28" s="70"/>
      <c r="P28" s="64"/>
    </row>
    <row r="29" spans="1:16" s="51" customFormat="1" ht="24.95" hidden="1" customHeight="1">
      <c r="A29" s="67" t="s">
        <v>826</v>
      </c>
      <c r="B29" s="118">
        <v>12</v>
      </c>
      <c r="C29" s="68"/>
      <c r="D29" s="68"/>
      <c r="E29" s="68"/>
      <c r="F29" s="60" t="s">
        <v>800</v>
      </c>
      <c r="G29" s="60" t="s">
        <v>827</v>
      </c>
      <c r="H29" s="71" t="s">
        <v>828</v>
      </c>
      <c r="I29" s="71" t="s">
        <v>829</v>
      </c>
      <c r="J29" s="69" t="s">
        <v>838</v>
      </c>
      <c r="K29" s="55" t="s">
        <v>807</v>
      </c>
      <c r="L29" s="66"/>
      <c r="M29" s="70"/>
      <c r="N29" s="66"/>
      <c r="O29" s="70"/>
      <c r="P29" s="64"/>
    </row>
    <row r="30" spans="1:16" s="51" customFormat="1" ht="24.95" hidden="1" customHeight="1">
      <c r="A30" s="67" t="s">
        <v>826</v>
      </c>
      <c r="B30" s="118">
        <v>12</v>
      </c>
      <c r="C30" s="68"/>
      <c r="D30" s="68"/>
      <c r="E30" s="68"/>
      <c r="F30" s="60" t="s">
        <v>800</v>
      </c>
      <c r="G30" s="60" t="s">
        <v>827</v>
      </c>
      <c r="H30" s="71" t="s">
        <v>828</v>
      </c>
      <c r="I30" s="71" t="s">
        <v>829</v>
      </c>
      <c r="J30" s="69" t="s">
        <v>839</v>
      </c>
      <c r="K30" s="55" t="s">
        <v>807</v>
      </c>
      <c r="L30" s="66"/>
      <c r="M30" s="70"/>
      <c r="N30" s="66"/>
      <c r="O30" s="70"/>
      <c r="P30" s="64"/>
    </row>
    <row r="31" spans="1:16" s="51" customFormat="1" ht="24.95" hidden="1" customHeight="1">
      <c r="A31" s="67" t="s">
        <v>826</v>
      </c>
      <c r="B31" s="118">
        <v>12</v>
      </c>
      <c r="C31" s="68"/>
      <c r="D31" s="68"/>
      <c r="E31" s="68"/>
      <c r="F31" s="60" t="s">
        <v>800</v>
      </c>
      <c r="G31" s="60" t="s">
        <v>827</v>
      </c>
      <c r="H31" s="71" t="s">
        <v>828</v>
      </c>
      <c r="I31" s="71" t="s">
        <v>829</v>
      </c>
      <c r="J31" s="69" t="s">
        <v>840</v>
      </c>
      <c r="K31" s="55" t="s">
        <v>807</v>
      </c>
      <c r="L31" s="66"/>
      <c r="M31" s="70"/>
      <c r="N31" s="66"/>
      <c r="O31" s="70"/>
      <c r="P31" s="64"/>
    </row>
    <row r="32" spans="1:16" ht="44.25" hidden="1" customHeight="1">
      <c r="A32" s="81" t="s">
        <v>826</v>
      </c>
      <c r="B32" s="116">
        <v>12</v>
      </c>
      <c r="C32" s="68"/>
      <c r="D32" s="68"/>
      <c r="E32" s="68"/>
      <c r="F32" s="80" t="s">
        <v>800</v>
      </c>
      <c r="G32" s="80" t="s">
        <v>827</v>
      </c>
      <c r="H32" s="61" t="s">
        <v>828</v>
      </c>
      <c r="I32" s="61" t="s">
        <v>829</v>
      </c>
      <c r="J32" s="62" t="s">
        <v>841</v>
      </c>
      <c r="K32" s="55" t="s">
        <v>824</v>
      </c>
      <c r="L32" s="63">
        <v>44187</v>
      </c>
      <c r="M32" s="65" t="s">
        <v>848</v>
      </c>
      <c r="N32" s="90" t="s">
        <v>866</v>
      </c>
      <c r="O32" s="64" t="s">
        <v>889</v>
      </c>
      <c r="P32" s="64"/>
    </row>
    <row r="33" spans="1:16" ht="54" hidden="1" customHeight="1">
      <c r="A33" s="81" t="s">
        <v>826</v>
      </c>
      <c r="B33" s="116">
        <v>12</v>
      </c>
      <c r="C33" s="68"/>
      <c r="D33" s="68"/>
      <c r="E33" s="68"/>
      <c r="F33" s="80" t="s">
        <v>800</v>
      </c>
      <c r="G33" s="80" t="s">
        <v>827</v>
      </c>
      <c r="H33" s="61" t="s">
        <v>828</v>
      </c>
      <c r="I33" s="61" t="s">
        <v>829</v>
      </c>
      <c r="J33" s="62" t="s">
        <v>842</v>
      </c>
      <c r="K33" s="55" t="s">
        <v>807</v>
      </c>
      <c r="L33" s="63">
        <v>44187</v>
      </c>
      <c r="M33" s="65" t="s">
        <v>848</v>
      </c>
      <c r="N33" s="90" t="s">
        <v>866</v>
      </c>
      <c r="O33" s="64" t="s">
        <v>889</v>
      </c>
      <c r="P33" s="99">
        <v>44221</v>
      </c>
    </row>
    <row r="34" spans="1:16" s="51" customFormat="1" ht="24.95" hidden="1" customHeight="1">
      <c r="A34" s="67" t="s">
        <v>826</v>
      </c>
      <c r="B34" s="118">
        <v>12</v>
      </c>
      <c r="C34" s="68"/>
      <c r="D34" s="68"/>
      <c r="E34" s="68"/>
      <c r="F34" s="60" t="s">
        <v>800</v>
      </c>
      <c r="G34" s="60" t="s">
        <v>827</v>
      </c>
      <c r="H34" s="71" t="s">
        <v>828</v>
      </c>
      <c r="I34" s="71" t="s">
        <v>829</v>
      </c>
      <c r="J34" s="69" t="s">
        <v>843</v>
      </c>
      <c r="K34" s="55" t="s">
        <v>807</v>
      </c>
      <c r="L34" s="66"/>
      <c r="M34" s="70"/>
      <c r="N34" s="66"/>
      <c r="O34" s="70"/>
      <c r="P34" s="64"/>
    </row>
    <row r="35" spans="1:16" s="51" customFormat="1" ht="24.95" hidden="1" customHeight="1">
      <c r="A35" s="67" t="s">
        <v>826</v>
      </c>
      <c r="B35" s="118">
        <v>12</v>
      </c>
      <c r="C35" s="68"/>
      <c r="D35" s="68"/>
      <c r="E35" s="68"/>
      <c r="F35" s="60" t="s">
        <v>800</v>
      </c>
      <c r="G35" s="60" t="s">
        <v>827</v>
      </c>
      <c r="H35" s="71" t="s">
        <v>828</v>
      </c>
      <c r="I35" s="71" t="s">
        <v>829</v>
      </c>
      <c r="J35" s="69" t="s">
        <v>844</v>
      </c>
      <c r="K35" s="55" t="s">
        <v>807</v>
      </c>
      <c r="L35" s="66"/>
      <c r="M35" s="70"/>
      <c r="N35" s="66"/>
      <c r="O35" s="70"/>
      <c r="P35" s="64"/>
    </row>
    <row r="36" spans="1:16" s="51" customFormat="1" ht="24.95" hidden="1" customHeight="1">
      <c r="A36" s="67" t="s">
        <v>826</v>
      </c>
      <c r="B36" s="118">
        <v>12</v>
      </c>
      <c r="C36" s="68"/>
      <c r="D36" s="68"/>
      <c r="E36" s="68"/>
      <c r="F36" s="60" t="s">
        <v>800</v>
      </c>
      <c r="G36" s="60" t="s">
        <v>827</v>
      </c>
      <c r="H36" s="71" t="s">
        <v>828</v>
      </c>
      <c r="I36" s="71" t="s">
        <v>829</v>
      </c>
      <c r="J36" s="69" t="s">
        <v>845</v>
      </c>
      <c r="K36" s="55" t="s">
        <v>807</v>
      </c>
      <c r="L36" s="66"/>
      <c r="M36" s="70"/>
      <c r="N36" s="66"/>
      <c r="O36" s="70"/>
      <c r="P36" s="64"/>
    </row>
    <row r="37" spans="1:16" s="51" customFormat="1" ht="24.95" hidden="1" customHeight="1">
      <c r="A37" s="67" t="s">
        <v>826</v>
      </c>
      <c r="B37" s="118">
        <v>12</v>
      </c>
      <c r="C37" s="68"/>
      <c r="D37" s="68"/>
      <c r="E37" s="68"/>
      <c r="F37" s="60" t="s">
        <v>800</v>
      </c>
      <c r="G37" s="60" t="s">
        <v>827</v>
      </c>
      <c r="H37" s="71" t="s">
        <v>828</v>
      </c>
      <c r="I37" s="71" t="s">
        <v>829</v>
      </c>
      <c r="J37" s="69" t="s">
        <v>846</v>
      </c>
      <c r="K37" s="55" t="s">
        <v>807</v>
      </c>
      <c r="L37" s="66"/>
      <c r="M37" s="70"/>
      <c r="N37" s="66"/>
      <c r="O37" s="70"/>
      <c r="P37" s="64"/>
    </row>
    <row r="38" spans="1:16" s="51" customFormat="1" ht="36.75" hidden="1" customHeight="1">
      <c r="A38" s="67" t="s">
        <v>826</v>
      </c>
      <c r="B38" s="118">
        <v>12</v>
      </c>
      <c r="C38" s="68"/>
      <c r="D38" s="68"/>
      <c r="E38" s="68"/>
      <c r="F38" s="60" t="s">
        <v>800</v>
      </c>
      <c r="G38" s="60" t="s">
        <v>827</v>
      </c>
      <c r="H38" s="71" t="s">
        <v>828</v>
      </c>
      <c r="I38" s="71" t="s">
        <v>829</v>
      </c>
      <c r="J38" s="69" t="s">
        <v>847</v>
      </c>
      <c r="K38" s="55" t="s">
        <v>807</v>
      </c>
      <c r="L38" s="66"/>
      <c r="M38" s="70"/>
      <c r="N38" s="66"/>
      <c r="O38" s="70"/>
      <c r="P38" s="99">
        <v>44221</v>
      </c>
    </row>
    <row r="39" spans="1:16" s="51" customFormat="1" ht="300.60000000000002" hidden="1" customHeight="1">
      <c r="A39" s="67" t="s">
        <v>704</v>
      </c>
      <c r="B39" s="118">
        <v>13</v>
      </c>
      <c r="C39" s="68"/>
      <c r="D39" s="68"/>
      <c r="E39" s="68"/>
      <c r="F39" s="60" t="s">
        <v>240</v>
      </c>
      <c r="G39" s="60" t="s">
        <v>706</v>
      </c>
      <c r="H39" s="101" t="s">
        <v>707</v>
      </c>
      <c r="I39" s="71" t="s">
        <v>708</v>
      </c>
      <c r="J39" s="69" t="s">
        <v>849</v>
      </c>
      <c r="K39" s="55" t="s">
        <v>788</v>
      </c>
      <c r="L39" s="66"/>
      <c r="M39" s="70"/>
      <c r="N39" s="66"/>
      <c r="O39" s="70"/>
      <c r="P39" s="64"/>
    </row>
    <row r="40" spans="1:16" s="51" customFormat="1" ht="256.5" hidden="1" customHeight="1">
      <c r="A40" s="67" t="s">
        <v>704</v>
      </c>
      <c r="B40" s="118">
        <v>13</v>
      </c>
      <c r="C40" s="68"/>
      <c r="D40" s="68"/>
      <c r="E40" s="68"/>
      <c r="F40" s="60" t="s">
        <v>240</v>
      </c>
      <c r="G40" s="60" t="s">
        <v>706</v>
      </c>
      <c r="H40" s="101" t="s">
        <v>707</v>
      </c>
      <c r="I40" s="71" t="s">
        <v>708</v>
      </c>
      <c r="J40" s="69" t="s">
        <v>850</v>
      </c>
      <c r="K40" s="55" t="s">
        <v>807</v>
      </c>
      <c r="L40" s="66"/>
      <c r="M40" s="70"/>
      <c r="N40" s="66"/>
      <c r="O40" s="70"/>
      <c r="P40" s="64"/>
    </row>
    <row r="41" spans="1:16" s="51" customFormat="1" ht="99.75" hidden="1" customHeight="1">
      <c r="A41" s="73" t="s">
        <v>851</v>
      </c>
      <c r="B41" s="118">
        <v>13</v>
      </c>
      <c r="C41" s="68"/>
      <c r="D41" s="68"/>
      <c r="E41" s="68"/>
      <c r="F41" s="60" t="s">
        <v>384</v>
      </c>
      <c r="G41" s="60" t="s">
        <v>385</v>
      </c>
      <c r="H41" s="101" t="s">
        <v>386</v>
      </c>
      <c r="I41" s="71" t="s">
        <v>856</v>
      </c>
      <c r="J41" s="69" t="s">
        <v>852</v>
      </c>
      <c r="K41" s="55" t="s">
        <v>807</v>
      </c>
      <c r="L41" s="66"/>
      <c r="M41" s="70"/>
      <c r="N41" s="66"/>
      <c r="O41" s="70"/>
      <c r="P41" s="64"/>
    </row>
    <row r="42" spans="1:16" s="51" customFormat="1" ht="99.75" hidden="1" customHeight="1">
      <c r="A42" s="73" t="s">
        <v>851</v>
      </c>
      <c r="B42" s="118">
        <v>13</v>
      </c>
      <c r="C42" s="68"/>
      <c r="D42" s="68"/>
      <c r="E42" s="68"/>
      <c r="F42" s="60" t="s">
        <v>384</v>
      </c>
      <c r="G42" s="60" t="s">
        <v>385</v>
      </c>
      <c r="H42" s="101" t="s">
        <v>386</v>
      </c>
      <c r="I42" s="71" t="s">
        <v>856</v>
      </c>
      <c r="J42" s="69" t="s">
        <v>853</v>
      </c>
      <c r="K42" s="55" t="s">
        <v>807</v>
      </c>
      <c r="L42" s="66"/>
      <c r="M42" s="70"/>
      <c r="N42" s="66"/>
      <c r="O42" s="70"/>
      <c r="P42" s="64"/>
    </row>
    <row r="43" spans="1:16" s="51" customFormat="1" ht="99.75" hidden="1" customHeight="1">
      <c r="A43" s="73" t="s">
        <v>851</v>
      </c>
      <c r="B43" s="118">
        <v>13</v>
      </c>
      <c r="C43" s="68"/>
      <c r="D43" s="68"/>
      <c r="E43" s="68"/>
      <c r="F43" s="60" t="s">
        <v>384</v>
      </c>
      <c r="G43" s="60" t="s">
        <v>385</v>
      </c>
      <c r="H43" s="101" t="s">
        <v>386</v>
      </c>
      <c r="I43" s="71" t="s">
        <v>856</v>
      </c>
      <c r="J43" s="69" t="s">
        <v>854</v>
      </c>
      <c r="K43" s="55" t="s">
        <v>807</v>
      </c>
      <c r="L43" s="66"/>
      <c r="M43" s="70"/>
      <c r="N43" s="66"/>
      <c r="O43" s="70"/>
      <c r="P43" s="64"/>
    </row>
    <row r="44" spans="1:16" s="51" customFormat="1" ht="99.75" hidden="1" customHeight="1">
      <c r="A44" s="73" t="s">
        <v>851</v>
      </c>
      <c r="B44" s="118">
        <v>13</v>
      </c>
      <c r="C44" s="68"/>
      <c r="D44" s="68"/>
      <c r="E44" s="68"/>
      <c r="F44" s="60" t="s">
        <v>384</v>
      </c>
      <c r="G44" s="60" t="s">
        <v>385</v>
      </c>
      <c r="H44" s="101" t="s">
        <v>386</v>
      </c>
      <c r="I44" s="71" t="s">
        <v>856</v>
      </c>
      <c r="J44" s="69" t="s">
        <v>855</v>
      </c>
      <c r="K44" s="55" t="s">
        <v>807</v>
      </c>
      <c r="L44" s="66"/>
      <c r="M44" s="70"/>
      <c r="N44" s="66"/>
      <c r="O44" s="70"/>
      <c r="P44" s="64"/>
    </row>
    <row r="45" spans="1:16" s="51" customFormat="1" ht="99.75" hidden="1" customHeight="1">
      <c r="A45" s="73" t="s">
        <v>859</v>
      </c>
      <c r="B45" s="118">
        <v>15</v>
      </c>
      <c r="C45" s="68"/>
      <c r="D45" s="68"/>
      <c r="E45" s="68"/>
      <c r="F45" s="60" t="s">
        <v>610</v>
      </c>
      <c r="G45" s="60" t="s">
        <v>232</v>
      </c>
      <c r="H45" s="71" t="s">
        <v>861</v>
      </c>
      <c r="I45" s="71" t="s">
        <v>862</v>
      </c>
      <c r="J45" s="96" t="s">
        <v>902</v>
      </c>
      <c r="K45" s="55" t="s">
        <v>807</v>
      </c>
      <c r="L45" s="66"/>
      <c r="M45" s="70"/>
      <c r="N45" s="66"/>
      <c r="O45" s="70"/>
      <c r="P45" s="64"/>
    </row>
    <row r="46" spans="1:16" s="51" customFormat="1" ht="99.75" hidden="1" customHeight="1">
      <c r="A46" s="73" t="s">
        <v>859</v>
      </c>
      <c r="B46" s="118">
        <v>15</v>
      </c>
      <c r="C46" s="68"/>
      <c r="D46" s="68"/>
      <c r="E46" s="68"/>
      <c r="F46" s="60" t="s">
        <v>610</v>
      </c>
      <c r="G46" s="60" t="s">
        <v>232</v>
      </c>
      <c r="H46" s="71" t="s">
        <v>861</v>
      </c>
      <c r="I46" s="71" t="s">
        <v>862</v>
      </c>
      <c r="J46" s="96" t="s">
        <v>858</v>
      </c>
      <c r="K46" s="55" t="s">
        <v>807</v>
      </c>
      <c r="L46" s="66"/>
      <c r="M46" s="70"/>
      <c r="N46" s="66"/>
      <c r="O46" s="70"/>
      <c r="P46" s="64"/>
    </row>
    <row r="47" spans="1:16" s="51" customFormat="1" ht="99.75" hidden="1" customHeight="1">
      <c r="A47" s="73" t="s">
        <v>859</v>
      </c>
      <c r="B47" s="118">
        <v>15</v>
      </c>
      <c r="C47" s="68"/>
      <c r="D47" s="68"/>
      <c r="E47" s="68"/>
      <c r="F47" s="60" t="s">
        <v>610</v>
      </c>
      <c r="G47" s="60" t="s">
        <v>232</v>
      </c>
      <c r="H47" s="71" t="s">
        <v>861</v>
      </c>
      <c r="I47" s="71" t="s">
        <v>862</v>
      </c>
      <c r="J47" s="96" t="s">
        <v>860</v>
      </c>
      <c r="K47" s="55" t="s">
        <v>807</v>
      </c>
      <c r="L47" s="66"/>
      <c r="M47" s="70"/>
      <c r="N47" s="66"/>
      <c r="O47" s="70"/>
      <c r="P47" s="64"/>
    </row>
    <row r="48" spans="1:16" s="51" customFormat="1" ht="28.5" hidden="1" customHeight="1">
      <c r="A48" s="67" t="s">
        <v>515</v>
      </c>
      <c r="B48" s="118">
        <v>13</v>
      </c>
      <c r="C48" s="68"/>
      <c r="D48" s="68"/>
      <c r="E48" s="68"/>
      <c r="F48" s="71" t="s">
        <v>220</v>
      </c>
      <c r="G48" s="71" t="s">
        <v>245</v>
      </c>
      <c r="H48" s="101" t="s">
        <v>516</v>
      </c>
      <c r="I48" s="71" t="s">
        <v>517</v>
      </c>
      <c r="J48" s="69" t="s">
        <v>863</v>
      </c>
      <c r="K48" s="55" t="s">
        <v>807</v>
      </c>
      <c r="L48" s="66"/>
      <c r="M48" s="70"/>
      <c r="N48" s="66"/>
      <c r="O48" s="70"/>
      <c r="P48" s="64"/>
    </row>
    <row r="49" spans="1:16" s="51" customFormat="1" ht="39" hidden="1" customHeight="1">
      <c r="A49" s="67" t="s">
        <v>515</v>
      </c>
      <c r="B49" s="118">
        <v>13</v>
      </c>
      <c r="C49" s="68"/>
      <c r="D49" s="68"/>
      <c r="E49" s="68"/>
      <c r="F49" s="71" t="s">
        <v>220</v>
      </c>
      <c r="G49" s="71" t="s">
        <v>245</v>
      </c>
      <c r="H49" s="101" t="s">
        <v>516</v>
      </c>
      <c r="I49" s="71" t="s">
        <v>517</v>
      </c>
      <c r="J49" s="69" t="s">
        <v>864</v>
      </c>
      <c r="K49" s="55" t="s">
        <v>807</v>
      </c>
      <c r="L49" s="66"/>
      <c r="M49" s="70"/>
      <c r="N49" s="66"/>
      <c r="O49" s="70"/>
      <c r="P49" s="64"/>
    </row>
    <row r="50" spans="1:16" s="51" customFormat="1" ht="39" hidden="1" customHeight="1">
      <c r="A50" s="67" t="s">
        <v>515</v>
      </c>
      <c r="B50" s="118">
        <v>13</v>
      </c>
      <c r="C50" s="68"/>
      <c r="D50" s="68"/>
      <c r="E50" s="68"/>
      <c r="F50" s="71" t="s">
        <v>220</v>
      </c>
      <c r="G50" s="71" t="s">
        <v>245</v>
      </c>
      <c r="H50" s="101" t="s">
        <v>516</v>
      </c>
      <c r="I50" s="71" t="s">
        <v>517</v>
      </c>
      <c r="J50" s="69" t="s">
        <v>865</v>
      </c>
      <c r="K50" s="55" t="s">
        <v>807</v>
      </c>
      <c r="L50" s="66"/>
      <c r="M50" s="70"/>
      <c r="N50" s="66"/>
      <c r="O50" s="70"/>
      <c r="P50" s="64"/>
    </row>
    <row r="51" spans="1:16" ht="54.75" hidden="1">
      <c r="A51" s="67" t="s">
        <v>485</v>
      </c>
      <c r="B51" s="118">
        <v>11</v>
      </c>
      <c r="C51" s="58"/>
      <c r="D51" s="58"/>
      <c r="E51" s="58"/>
      <c r="F51" s="91" t="s">
        <v>184</v>
      </c>
      <c r="G51" s="91" t="s">
        <v>486</v>
      </c>
      <c r="H51" s="91" t="s">
        <v>487</v>
      </c>
      <c r="I51" s="71" t="s">
        <v>488</v>
      </c>
      <c r="J51" s="85" t="s">
        <v>867</v>
      </c>
      <c r="K51" s="55" t="s">
        <v>869</v>
      </c>
      <c r="L51" s="86"/>
      <c r="M51" s="87"/>
      <c r="N51" s="86"/>
      <c r="O51" s="87" t="s">
        <v>890</v>
      </c>
      <c r="P51" s="64"/>
    </row>
    <row r="52" spans="1:16" ht="54.75" hidden="1">
      <c r="A52" s="67" t="s">
        <v>485</v>
      </c>
      <c r="B52" s="118">
        <v>11</v>
      </c>
      <c r="C52" s="58"/>
      <c r="D52" s="58"/>
      <c r="E52" s="58"/>
      <c r="F52" s="91" t="s">
        <v>184</v>
      </c>
      <c r="G52" s="91" t="s">
        <v>486</v>
      </c>
      <c r="H52" s="91" t="s">
        <v>487</v>
      </c>
      <c r="I52" s="71" t="s">
        <v>488</v>
      </c>
      <c r="J52" s="85" t="s">
        <v>875</v>
      </c>
      <c r="K52" s="55" t="s">
        <v>807</v>
      </c>
      <c r="L52" s="86"/>
      <c r="M52" s="87"/>
      <c r="N52" s="86"/>
      <c r="O52" s="87"/>
      <c r="P52" s="64"/>
    </row>
    <row r="53" spans="1:16" ht="57.75" hidden="1" customHeight="1">
      <c r="A53" s="67" t="s">
        <v>485</v>
      </c>
      <c r="B53" s="118">
        <v>11</v>
      </c>
      <c r="C53" s="58"/>
      <c r="D53" s="58"/>
      <c r="E53" s="58"/>
      <c r="F53" s="60" t="s">
        <v>184</v>
      </c>
      <c r="G53" s="60" t="s">
        <v>486</v>
      </c>
      <c r="H53" s="60" t="s">
        <v>487</v>
      </c>
      <c r="I53" s="71" t="s">
        <v>488</v>
      </c>
      <c r="J53" s="85" t="s">
        <v>868</v>
      </c>
      <c r="K53" s="55" t="s">
        <v>869</v>
      </c>
      <c r="L53" s="86"/>
      <c r="M53" s="87"/>
      <c r="N53" s="86"/>
      <c r="O53" s="87"/>
      <c r="P53" s="64"/>
    </row>
    <row r="54" spans="1:16" ht="387.2" hidden="1" customHeight="1">
      <c r="A54" s="92" t="s">
        <v>870</v>
      </c>
      <c r="B54" s="121">
        <v>10</v>
      </c>
      <c r="C54" s="92"/>
      <c r="D54" s="92"/>
      <c r="E54" s="92"/>
      <c r="F54" s="92" t="s">
        <v>231</v>
      </c>
      <c r="G54" s="92" t="s">
        <v>232</v>
      </c>
      <c r="H54" s="92" t="s">
        <v>689</v>
      </c>
      <c r="I54" s="71" t="s">
        <v>871</v>
      </c>
      <c r="J54" s="85" t="s">
        <v>872</v>
      </c>
      <c r="K54" s="55" t="s">
        <v>807</v>
      </c>
      <c r="L54" s="86"/>
      <c r="M54" s="87"/>
      <c r="N54" s="86"/>
      <c r="O54" s="87"/>
      <c r="P54" s="64"/>
    </row>
    <row r="55" spans="1:16" ht="360" hidden="1" customHeight="1">
      <c r="A55" s="92" t="s">
        <v>870</v>
      </c>
      <c r="B55" s="121">
        <v>10</v>
      </c>
      <c r="C55" s="92"/>
      <c r="D55" s="92"/>
      <c r="E55" s="92"/>
      <c r="F55" s="92" t="s">
        <v>231</v>
      </c>
      <c r="G55" s="92" t="s">
        <v>232</v>
      </c>
      <c r="H55" s="92" t="s">
        <v>689</v>
      </c>
      <c r="I55" s="71" t="s">
        <v>871</v>
      </c>
      <c r="J55" s="85" t="s">
        <v>873</v>
      </c>
      <c r="K55" s="55" t="s">
        <v>807</v>
      </c>
      <c r="L55" s="86"/>
      <c r="M55" s="87"/>
      <c r="N55" s="86"/>
      <c r="O55" s="87"/>
      <c r="P55" s="64"/>
    </row>
    <row r="56" spans="1:16" ht="342" hidden="1" customHeight="1">
      <c r="A56" s="74" t="s">
        <v>870</v>
      </c>
      <c r="B56" s="117">
        <v>11</v>
      </c>
      <c r="C56" s="74"/>
      <c r="D56" s="74"/>
      <c r="E56" s="74"/>
      <c r="F56" s="74" t="s">
        <v>231</v>
      </c>
      <c r="G56" s="74" t="s">
        <v>232</v>
      </c>
      <c r="H56" s="74" t="s">
        <v>689</v>
      </c>
      <c r="I56" s="71" t="s">
        <v>871</v>
      </c>
      <c r="J56" s="74" t="s">
        <v>874</v>
      </c>
      <c r="K56" s="74" t="s">
        <v>807</v>
      </c>
      <c r="L56" s="86"/>
      <c r="M56" s="87"/>
      <c r="N56" s="86"/>
      <c r="O56" s="87"/>
      <c r="P56" s="64"/>
    </row>
    <row r="57" spans="1:16" ht="342" hidden="1" customHeight="1">
      <c r="A57" s="74" t="s">
        <v>870</v>
      </c>
      <c r="B57" s="117">
        <v>11</v>
      </c>
      <c r="C57" s="74"/>
      <c r="D57" s="74"/>
      <c r="E57" s="74"/>
      <c r="F57" s="74" t="s">
        <v>231</v>
      </c>
      <c r="G57" s="74" t="s">
        <v>232</v>
      </c>
      <c r="H57" s="74" t="s">
        <v>689</v>
      </c>
      <c r="I57" s="71" t="s">
        <v>871</v>
      </c>
      <c r="J57" s="74" t="s">
        <v>876</v>
      </c>
      <c r="K57" s="74" t="s">
        <v>869</v>
      </c>
      <c r="L57" s="86"/>
      <c r="M57" s="87"/>
      <c r="N57" s="86"/>
      <c r="O57" s="87"/>
      <c r="P57" s="64"/>
    </row>
    <row r="58" spans="1:16" ht="28.5" hidden="1" customHeight="1">
      <c r="A58" s="74" t="s">
        <v>513</v>
      </c>
      <c r="B58" s="117">
        <v>14</v>
      </c>
      <c r="C58" s="74"/>
      <c r="D58" s="74"/>
      <c r="E58" s="74"/>
      <c r="F58" s="74" t="s">
        <v>220</v>
      </c>
      <c r="G58" s="74" t="s">
        <v>245</v>
      </c>
      <c r="H58" s="74" t="s">
        <v>508</v>
      </c>
      <c r="I58" s="71" t="s">
        <v>514</v>
      </c>
      <c r="J58" s="74" t="s">
        <v>878</v>
      </c>
      <c r="K58" s="74" t="s">
        <v>807</v>
      </c>
      <c r="L58" s="86"/>
      <c r="M58" s="87"/>
      <c r="N58" s="86"/>
      <c r="O58" s="87"/>
      <c r="P58" s="111">
        <v>44221</v>
      </c>
    </row>
    <row r="59" spans="1:16" ht="28.5" hidden="1" customHeight="1">
      <c r="A59" s="74" t="s">
        <v>513</v>
      </c>
      <c r="B59" s="117">
        <v>14</v>
      </c>
      <c r="C59" s="74"/>
      <c r="D59" s="74"/>
      <c r="E59" s="74"/>
      <c r="F59" s="74" t="s">
        <v>220</v>
      </c>
      <c r="G59" s="74" t="s">
        <v>245</v>
      </c>
      <c r="H59" s="74" t="s">
        <v>508</v>
      </c>
      <c r="I59" s="71" t="s">
        <v>514</v>
      </c>
      <c r="J59" s="74" t="s">
        <v>879</v>
      </c>
      <c r="K59" s="74" t="s">
        <v>807</v>
      </c>
      <c r="L59" s="86"/>
      <c r="M59" s="87"/>
      <c r="N59" s="86"/>
      <c r="O59" s="87"/>
      <c r="P59" s="111">
        <v>44222</v>
      </c>
    </row>
    <row r="60" spans="1:16" ht="28.5" hidden="1" customHeight="1">
      <c r="A60" s="74" t="s">
        <v>513</v>
      </c>
      <c r="B60" s="117">
        <v>14</v>
      </c>
      <c r="C60" s="74"/>
      <c r="D60" s="74"/>
      <c r="E60" s="74"/>
      <c r="F60" s="74" t="s">
        <v>220</v>
      </c>
      <c r="G60" s="74" t="s">
        <v>245</v>
      </c>
      <c r="H60" s="74" t="s">
        <v>508</v>
      </c>
      <c r="I60" s="71" t="s">
        <v>514</v>
      </c>
      <c r="J60" s="74" t="s">
        <v>880</v>
      </c>
      <c r="K60" s="74" t="s">
        <v>869</v>
      </c>
      <c r="L60" s="86"/>
      <c r="M60" s="87"/>
      <c r="N60" s="86"/>
      <c r="O60" s="87"/>
      <c r="P60" s="111"/>
    </row>
    <row r="61" spans="1:16" ht="28.5" hidden="1" customHeight="1">
      <c r="A61" s="74" t="s">
        <v>513</v>
      </c>
      <c r="B61" s="117">
        <v>14</v>
      </c>
      <c r="C61" s="74"/>
      <c r="D61" s="74"/>
      <c r="E61" s="74"/>
      <c r="F61" s="74" t="s">
        <v>220</v>
      </c>
      <c r="G61" s="74" t="s">
        <v>245</v>
      </c>
      <c r="H61" s="74" t="s">
        <v>508</v>
      </c>
      <c r="I61" s="71" t="s">
        <v>514</v>
      </c>
      <c r="J61" s="74" t="s">
        <v>881</v>
      </c>
      <c r="K61" s="74" t="s">
        <v>869</v>
      </c>
      <c r="L61" s="86"/>
      <c r="M61" s="87"/>
      <c r="N61" s="86"/>
      <c r="O61" s="87"/>
      <c r="P61" s="111"/>
    </row>
    <row r="62" spans="1:16" ht="28.5" hidden="1" customHeight="1">
      <c r="A62" s="74" t="s">
        <v>513</v>
      </c>
      <c r="B62" s="117">
        <v>14</v>
      </c>
      <c r="C62" s="74"/>
      <c r="D62" s="74"/>
      <c r="E62" s="74"/>
      <c r="F62" s="74" t="s">
        <v>220</v>
      </c>
      <c r="G62" s="74" t="s">
        <v>245</v>
      </c>
      <c r="H62" s="74" t="s">
        <v>508</v>
      </c>
      <c r="I62" s="71" t="s">
        <v>514</v>
      </c>
      <c r="J62" s="74" t="s">
        <v>877</v>
      </c>
      <c r="K62" s="74" t="s">
        <v>807</v>
      </c>
      <c r="L62" s="86"/>
      <c r="M62" s="87"/>
      <c r="N62" s="86"/>
      <c r="O62" s="87"/>
      <c r="P62" s="111">
        <v>44223</v>
      </c>
    </row>
    <row r="63" spans="1:16" ht="28.5" hidden="1" customHeight="1">
      <c r="A63" s="74" t="s">
        <v>513</v>
      </c>
      <c r="B63" s="117">
        <v>14</v>
      </c>
      <c r="C63" s="74"/>
      <c r="D63" s="74"/>
      <c r="E63" s="74"/>
      <c r="F63" s="74" t="s">
        <v>220</v>
      </c>
      <c r="G63" s="74" t="s">
        <v>245</v>
      </c>
      <c r="H63" s="74" t="s">
        <v>508</v>
      </c>
      <c r="I63" s="71" t="s">
        <v>514</v>
      </c>
      <c r="J63" s="74" t="s">
        <v>882</v>
      </c>
      <c r="K63" s="74" t="s">
        <v>807</v>
      </c>
      <c r="L63" s="86"/>
      <c r="M63" s="87"/>
      <c r="N63" s="86"/>
      <c r="O63" s="87"/>
      <c r="P63" s="111">
        <v>44222</v>
      </c>
    </row>
    <row r="64" spans="1:16" ht="28.5" hidden="1" customHeight="1">
      <c r="A64" s="74" t="s">
        <v>513</v>
      </c>
      <c r="B64" s="117">
        <v>14</v>
      </c>
      <c r="C64" s="74"/>
      <c r="D64" s="74"/>
      <c r="E64" s="74"/>
      <c r="F64" s="74" t="s">
        <v>220</v>
      </c>
      <c r="G64" s="74" t="s">
        <v>245</v>
      </c>
      <c r="H64" s="74" t="s">
        <v>508</v>
      </c>
      <c r="I64" s="71" t="s">
        <v>514</v>
      </c>
      <c r="J64" s="74" t="s">
        <v>883</v>
      </c>
      <c r="K64" s="74" t="s">
        <v>788</v>
      </c>
      <c r="L64" s="86"/>
      <c r="M64" s="87"/>
      <c r="N64" s="86"/>
      <c r="O64" s="87"/>
      <c r="P64" s="111">
        <v>44223</v>
      </c>
    </row>
    <row r="65" spans="1:16" ht="28.5" hidden="1" customHeight="1">
      <c r="A65" s="74" t="s">
        <v>513</v>
      </c>
      <c r="B65" s="117">
        <v>14</v>
      </c>
      <c r="C65" s="74"/>
      <c r="D65" s="74"/>
      <c r="E65" s="74"/>
      <c r="F65" s="74" t="s">
        <v>220</v>
      </c>
      <c r="G65" s="74" t="s">
        <v>245</v>
      </c>
      <c r="H65" s="74" t="s">
        <v>508</v>
      </c>
      <c r="I65" s="71" t="s">
        <v>514</v>
      </c>
      <c r="J65" s="74" t="s">
        <v>884</v>
      </c>
      <c r="K65" s="74" t="s">
        <v>807</v>
      </c>
      <c r="L65" s="86"/>
      <c r="M65" s="87"/>
      <c r="N65" s="86"/>
      <c r="O65" s="87"/>
      <c r="P65" s="111">
        <v>44223</v>
      </c>
    </row>
    <row r="66" spans="1:16" ht="28.5" hidden="1" customHeight="1">
      <c r="A66" s="74" t="s">
        <v>929</v>
      </c>
      <c r="B66" s="117">
        <v>15</v>
      </c>
      <c r="C66" s="74"/>
      <c r="D66" s="74"/>
      <c r="E66" s="74"/>
      <c r="F66" s="74" t="s">
        <v>220</v>
      </c>
      <c r="G66" s="74" t="s">
        <v>245</v>
      </c>
      <c r="H66" s="74" t="s">
        <v>508</v>
      </c>
      <c r="I66" s="71" t="s">
        <v>514</v>
      </c>
      <c r="J66" s="74" t="s">
        <v>916</v>
      </c>
      <c r="K66" s="74" t="s">
        <v>807</v>
      </c>
      <c r="L66" s="86"/>
      <c r="M66" s="87"/>
      <c r="N66" s="86"/>
      <c r="O66" s="87"/>
      <c r="P66" s="99">
        <v>44223</v>
      </c>
    </row>
    <row r="67" spans="1:16" ht="28.5" hidden="1" customHeight="1">
      <c r="A67" s="74" t="s">
        <v>930</v>
      </c>
      <c r="B67" s="117">
        <v>16</v>
      </c>
      <c r="C67" s="74"/>
      <c r="D67" s="74"/>
      <c r="E67" s="74"/>
      <c r="F67" s="74" t="s">
        <v>220</v>
      </c>
      <c r="G67" s="74" t="s">
        <v>245</v>
      </c>
      <c r="H67" s="74" t="s">
        <v>508</v>
      </c>
      <c r="I67" s="71" t="s">
        <v>514</v>
      </c>
      <c r="J67" s="74" t="s">
        <v>917</v>
      </c>
      <c r="K67" s="74" t="s">
        <v>788</v>
      </c>
      <c r="L67" s="86"/>
      <c r="M67" s="87"/>
      <c r="N67" s="86"/>
      <c r="O67" s="87"/>
      <c r="P67" s="64"/>
    </row>
    <row r="68" spans="1:16" ht="28.5" hidden="1" customHeight="1">
      <c r="A68" s="74" t="s">
        <v>931</v>
      </c>
      <c r="B68" s="117">
        <v>17</v>
      </c>
      <c r="C68" s="74"/>
      <c r="D68" s="74"/>
      <c r="E68" s="74"/>
      <c r="F68" s="74" t="s">
        <v>220</v>
      </c>
      <c r="G68" s="74" t="s">
        <v>245</v>
      </c>
      <c r="H68" s="74" t="s">
        <v>508</v>
      </c>
      <c r="I68" s="71" t="s">
        <v>514</v>
      </c>
      <c r="J68" s="74" t="s">
        <v>918</v>
      </c>
      <c r="K68" s="74" t="s">
        <v>788</v>
      </c>
      <c r="L68" s="86"/>
      <c r="M68" s="87"/>
      <c r="N68" s="86"/>
      <c r="O68" s="87"/>
      <c r="P68" s="64"/>
    </row>
    <row r="69" spans="1:16" ht="28.5" hidden="1" customHeight="1">
      <c r="A69" s="74" t="s">
        <v>439</v>
      </c>
      <c r="B69" s="117">
        <v>18</v>
      </c>
      <c r="C69" s="74"/>
      <c r="D69" s="74"/>
      <c r="E69" s="74"/>
      <c r="F69" s="74" t="s">
        <v>220</v>
      </c>
      <c r="G69" s="74" t="s">
        <v>245</v>
      </c>
      <c r="H69" s="74" t="s">
        <v>508</v>
      </c>
      <c r="I69" s="71" t="s">
        <v>514</v>
      </c>
      <c r="J69" s="74" t="s">
        <v>919</v>
      </c>
      <c r="K69" s="74" t="s">
        <v>788</v>
      </c>
      <c r="L69" s="86"/>
      <c r="M69" s="87"/>
      <c r="N69" s="86"/>
      <c r="O69" s="87"/>
      <c r="P69" s="64"/>
    </row>
    <row r="70" spans="1:16" ht="28.5" hidden="1" customHeight="1">
      <c r="A70" s="74" t="s">
        <v>932</v>
      </c>
      <c r="B70" s="117">
        <v>19</v>
      </c>
      <c r="C70" s="74"/>
      <c r="D70" s="74"/>
      <c r="E70" s="74"/>
      <c r="F70" s="74" t="s">
        <v>220</v>
      </c>
      <c r="G70" s="74" t="s">
        <v>245</v>
      </c>
      <c r="H70" s="74" t="s">
        <v>508</v>
      </c>
      <c r="I70" s="71" t="s">
        <v>514</v>
      </c>
      <c r="J70" s="74" t="s">
        <v>920</v>
      </c>
      <c r="K70" s="74" t="s">
        <v>788</v>
      </c>
      <c r="L70" s="86"/>
      <c r="M70" s="87"/>
      <c r="N70" s="86"/>
      <c r="O70" s="87"/>
      <c r="P70" s="64"/>
    </row>
    <row r="71" spans="1:16" ht="28.5" hidden="1" customHeight="1">
      <c r="A71" s="74" t="s">
        <v>252</v>
      </c>
      <c r="B71" s="117">
        <v>20</v>
      </c>
      <c r="C71" s="74"/>
      <c r="D71" s="74"/>
      <c r="E71" s="74"/>
      <c r="F71" s="74" t="s">
        <v>220</v>
      </c>
      <c r="G71" s="74" t="s">
        <v>245</v>
      </c>
      <c r="H71" s="74" t="s">
        <v>508</v>
      </c>
      <c r="I71" s="71" t="s">
        <v>514</v>
      </c>
      <c r="J71" s="74" t="s">
        <v>921</v>
      </c>
      <c r="K71" s="74" t="s">
        <v>807</v>
      </c>
      <c r="L71" s="86"/>
      <c r="M71" s="87"/>
      <c r="N71" s="86"/>
      <c r="O71" s="87"/>
      <c r="P71" s="99">
        <v>44223</v>
      </c>
    </row>
    <row r="72" spans="1:16" ht="28.5" hidden="1" customHeight="1">
      <c r="A72" s="74" t="s">
        <v>89</v>
      </c>
      <c r="B72" s="117">
        <v>21</v>
      </c>
      <c r="C72" s="74"/>
      <c r="D72" s="74"/>
      <c r="E72" s="74"/>
      <c r="F72" s="74" t="s">
        <v>220</v>
      </c>
      <c r="G72" s="74" t="s">
        <v>245</v>
      </c>
      <c r="H72" s="74" t="s">
        <v>508</v>
      </c>
      <c r="I72" s="71" t="s">
        <v>514</v>
      </c>
      <c r="J72" s="74" t="s">
        <v>922</v>
      </c>
      <c r="K72" s="74" t="s">
        <v>807</v>
      </c>
      <c r="L72" s="86"/>
      <c r="M72" s="87"/>
      <c r="N72" s="86"/>
      <c r="O72" s="87"/>
      <c r="P72" s="99">
        <v>44223</v>
      </c>
    </row>
    <row r="73" spans="1:16" ht="28.5" hidden="1" customHeight="1">
      <c r="A73" s="74" t="s">
        <v>933</v>
      </c>
      <c r="B73" s="117">
        <v>22</v>
      </c>
      <c r="C73" s="74"/>
      <c r="D73" s="74"/>
      <c r="E73" s="74"/>
      <c r="F73" s="74" t="s">
        <v>220</v>
      </c>
      <c r="G73" s="74" t="s">
        <v>245</v>
      </c>
      <c r="H73" s="74" t="s">
        <v>508</v>
      </c>
      <c r="I73" s="71" t="s">
        <v>514</v>
      </c>
      <c r="J73" s="74" t="s">
        <v>923</v>
      </c>
      <c r="K73" s="74" t="s">
        <v>807</v>
      </c>
      <c r="L73" s="86"/>
      <c r="M73" s="87"/>
      <c r="N73" s="86"/>
      <c r="O73" s="87"/>
      <c r="P73" s="99">
        <v>44223</v>
      </c>
    </row>
    <row r="74" spans="1:16" ht="28.5" hidden="1" customHeight="1">
      <c r="A74" s="74" t="s">
        <v>934</v>
      </c>
      <c r="B74" s="117">
        <v>23</v>
      </c>
      <c r="C74" s="74"/>
      <c r="D74" s="74"/>
      <c r="E74" s="74"/>
      <c r="F74" s="74" t="s">
        <v>220</v>
      </c>
      <c r="G74" s="74" t="s">
        <v>245</v>
      </c>
      <c r="H74" s="74" t="s">
        <v>508</v>
      </c>
      <c r="I74" s="71" t="s">
        <v>514</v>
      </c>
      <c r="J74" s="74" t="s">
        <v>924</v>
      </c>
      <c r="K74" s="74" t="s">
        <v>788</v>
      </c>
      <c r="L74" s="86"/>
      <c r="M74" s="87"/>
      <c r="N74" s="86"/>
      <c r="O74" s="87"/>
      <c r="P74" s="64"/>
    </row>
    <row r="75" spans="1:16" ht="28.5" hidden="1" customHeight="1">
      <c r="A75" s="74" t="s">
        <v>935</v>
      </c>
      <c r="B75" s="117">
        <v>24</v>
      </c>
      <c r="C75" s="74"/>
      <c r="D75" s="74"/>
      <c r="E75" s="74"/>
      <c r="F75" s="74" t="s">
        <v>220</v>
      </c>
      <c r="G75" s="74" t="s">
        <v>245</v>
      </c>
      <c r="H75" s="74" t="s">
        <v>508</v>
      </c>
      <c r="I75" s="71" t="s">
        <v>514</v>
      </c>
      <c r="J75" s="74" t="s">
        <v>925</v>
      </c>
      <c r="K75" s="74" t="s">
        <v>788</v>
      </c>
      <c r="L75" s="86"/>
      <c r="M75" s="87"/>
      <c r="N75" s="86"/>
      <c r="O75" s="87"/>
      <c r="P75" s="64"/>
    </row>
    <row r="76" spans="1:16" ht="28.5" hidden="1" customHeight="1">
      <c r="A76" s="74" t="s">
        <v>690</v>
      </c>
      <c r="B76" s="117">
        <v>25</v>
      </c>
      <c r="C76" s="74"/>
      <c r="D76" s="74"/>
      <c r="E76" s="74"/>
      <c r="F76" s="74" t="s">
        <v>220</v>
      </c>
      <c r="G76" s="74" t="s">
        <v>245</v>
      </c>
      <c r="H76" s="74" t="s">
        <v>508</v>
      </c>
      <c r="I76" s="71" t="s">
        <v>514</v>
      </c>
      <c r="J76" s="74" t="s">
        <v>926</v>
      </c>
      <c r="K76" s="74" t="s">
        <v>788</v>
      </c>
      <c r="L76" s="86"/>
      <c r="M76" s="87"/>
      <c r="N76" s="86"/>
      <c r="O76" s="87"/>
      <c r="P76" s="64"/>
    </row>
    <row r="77" spans="1:16" ht="28.5" hidden="1" customHeight="1">
      <c r="A77" s="74" t="s">
        <v>464</v>
      </c>
      <c r="B77" s="117">
        <v>26</v>
      </c>
      <c r="C77" s="74"/>
      <c r="D77" s="74"/>
      <c r="E77" s="74"/>
      <c r="F77" s="74" t="s">
        <v>220</v>
      </c>
      <c r="G77" s="74" t="s">
        <v>245</v>
      </c>
      <c r="H77" s="74" t="s">
        <v>508</v>
      </c>
      <c r="I77" s="71" t="s">
        <v>514</v>
      </c>
      <c r="J77" s="74" t="s">
        <v>927</v>
      </c>
      <c r="K77" s="74" t="s">
        <v>788</v>
      </c>
      <c r="L77" s="86"/>
      <c r="M77" s="87"/>
      <c r="N77" s="86"/>
      <c r="O77" s="87"/>
      <c r="P77" s="64"/>
    </row>
    <row r="78" spans="1:16" ht="28.5" hidden="1" customHeight="1">
      <c r="A78" s="74" t="s">
        <v>479</v>
      </c>
      <c r="B78" s="117">
        <v>27</v>
      </c>
      <c r="C78" s="74"/>
      <c r="D78" s="74"/>
      <c r="E78" s="74"/>
      <c r="F78" s="74" t="s">
        <v>220</v>
      </c>
      <c r="G78" s="74" t="s">
        <v>245</v>
      </c>
      <c r="H78" s="74" t="s">
        <v>508</v>
      </c>
      <c r="I78" s="71" t="s">
        <v>514</v>
      </c>
      <c r="J78" s="74" t="s">
        <v>928</v>
      </c>
      <c r="K78" s="74" t="s">
        <v>824</v>
      </c>
      <c r="L78" s="86"/>
      <c r="M78" s="87"/>
      <c r="N78" s="86"/>
      <c r="O78" s="87"/>
      <c r="P78" s="64"/>
    </row>
    <row r="79" spans="1:16" ht="99.75" hidden="1" customHeight="1">
      <c r="A79" s="74" t="s">
        <v>859</v>
      </c>
      <c r="B79" s="117">
        <v>15</v>
      </c>
      <c r="C79" s="74"/>
      <c r="D79" s="74"/>
      <c r="E79" s="74"/>
      <c r="F79" s="74" t="s">
        <v>610</v>
      </c>
      <c r="G79" s="74" t="s">
        <v>232</v>
      </c>
      <c r="H79" s="74" t="s">
        <v>861</v>
      </c>
      <c r="I79" s="71" t="s">
        <v>862</v>
      </c>
      <c r="J79" s="78" t="s">
        <v>885</v>
      </c>
      <c r="K79" s="74" t="s">
        <v>807</v>
      </c>
      <c r="L79" s="86"/>
      <c r="M79" s="87"/>
      <c r="N79" s="86"/>
      <c r="O79" s="87"/>
      <c r="P79" s="64"/>
    </row>
    <row r="80" spans="1:16" ht="99.75" hidden="1" customHeight="1">
      <c r="A80" s="74" t="s">
        <v>859</v>
      </c>
      <c r="B80" s="117">
        <v>15</v>
      </c>
      <c r="C80" s="74"/>
      <c r="D80" s="74"/>
      <c r="E80" s="74"/>
      <c r="F80" s="74" t="s">
        <v>610</v>
      </c>
      <c r="G80" s="74" t="s">
        <v>232</v>
      </c>
      <c r="H80" s="74" t="s">
        <v>861</v>
      </c>
      <c r="I80" s="71" t="s">
        <v>862</v>
      </c>
      <c r="J80" s="78" t="s">
        <v>886</v>
      </c>
      <c r="K80" s="74" t="s">
        <v>807</v>
      </c>
      <c r="L80" s="86"/>
      <c r="M80" s="87"/>
      <c r="N80" s="86"/>
      <c r="O80" s="87"/>
      <c r="P80" s="64"/>
    </row>
    <row r="81" spans="1:16" ht="99.75" hidden="1" customHeight="1">
      <c r="A81" s="74" t="s">
        <v>859</v>
      </c>
      <c r="B81" s="117">
        <v>15</v>
      </c>
      <c r="C81" s="74"/>
      <c r="D81" s="74"/>
      <c r="E81" s="74"/>
      <c r="F81" s="74" t="s">
        <v>610</v>
      </c>
      <c r="G81" s="74" t="s">
        <v>232</v>
      </c>
      <c r="H81" s="74" t="s">
        <v>861</v>
      </c>
      <c r="I81" s="71" t="s">
        <v>862</v>
      </c>
      <c r="J81" s="78" t="s">
        <v>887</v>
      </c>
      <c r="K81" s="74" t="s">
        <v>807</v>
      </c>
      <c r="L81" s="86"/>
      <c r="M81" s="87"/>
      <c r="N81" s="86"/>
      <c r="O81" s="87"/>
      <c r="P81" s="64"/>
    </row>
    <row r="82" spans="1:16" ht="360" hidden="1" customHeight="1">
      <c r="A82" s="92" t="s">
        <v>870</v>
      </c>
      <c r="B82" s="121">
        <v>10</v>
      </c>
      <c r="C82" s="74"/>
      <c r="D82" s="74"/>
      <c r="E82" s="74"/>
      <c r="F82" s="92" t="s">
        <v>231</v>
      </c>
      <c r="G82" s="92" t="s">
        <v>232</v>
      </c>
      <c r="H82" s="92" t="s">
        <v>689</v>
      </c>
      <c r="I82" s="71" t="s">
        <v>871</v>
      </c>
      <c r="J82" s="85" t="s">
        <v>874</v>
      </c>
      <c r="K82" s="74"/>
      <c r="L82" s="86"/>
      <c r="M82" s="87"/>
      <c r="N82" s="86"/>
      <c r="O82" s="93"/>
      <c r="P82" s="64"/>
    </row>
    <row r="83" spans="1:16" ht="15.75" hidden="1" customHeight="1">
      <c r="A83" s="74" t="s">
        <v>281</v>
      </c>
      <c r="B83" s="117">
        <v>2</v>
      </c>
      <c r="C83" s="74"/>
      <c r="D83" s="74"/>
      <c r="E83" s="74"/>
      <c r="F83" s="74" t="s">
        <v>261</v>
      </c>
      <c r="G83" s="74" t="s">
        <v>278</v>
      </c>
      <c r="H83" s="74" t="s">
        <v>282</v>
      </c>
      <c r="I83" s="71" t="s">
        <v>283</v>
      </c>
      <c r="J83" s="74" t="s">
        <v>891</v>
      </c>
      <c r="K83" s="74" t="s">
        <v>807</v>
      </c>
      <c r="L83" s="86"/>
      <c r="M83" s="87"/>
      <c r="N83" s="86"/>
      <c r="O83" s="93"/>
      <c r="P83" s="64"/>
    </row>
    <row r="84" spans="1:16" ht="15.75" hidden="1" customHeight="1">
      <c r="A84" s="74" t="s">
        <v>281</v>
      </c>
      <c r="B84" s="117">
        <v>2</v>
      </c>
      <c r="C84" s="74"/>
      <c r="D84" s="74"/>
      <c r="E84" s="74"/>
      <c r="F84" s="74" t="s">
        <v>261</v>
      </c>
      <c r="G84" s="74" t="s">
        <v>278</v>
      </c>
      <c r="H84" s="74" t="s">
        <v>282</v>
      </c>
      <c r="I84" s="71" t="s">
        <v>283</v>
      </c>
      <c r="J84" s="74" t="s">
        <v>892</v>
      </c>
      <c r="K84" s="74" t="s">
        <v>807</v>
      </c>
      <c r="L84" s="86"/>
      <c r="M84" s="87"/>
      <c r="N84" s="86"/>
      <c r="O84" s="93"/>
      <c r="P84" s="64"/>
    </row>
    <row r="85" spans="1:16" ht="27.4" hidden="1">
      <c r="A85" s="74" t="s">
        <v>678</v>
      </c>
      <c r="B85" s="117">
        <v>13</v>
      </c>
      <c r="C85" s="74"/>
      <c r="D85" s="74"/>
      <c r="E85" s="74"/>
      <c r="F85" s="74" t="s">
        <v>184</v>
      </c>
      <c r="G85" s="74" t="s">
        <v>486</v>
      </c>
      <c r="H85" s="102" t="s">
        <v>679</v>
      </c>
      <c r="I85" s="71" t="s">
        <v>680</v>
      </c>
      <c r="J85" s="107" t="s">
        <v>893</v>
      </c>
      <c r="K85" s="74" t="s">
        <v>807</v>
      </c>
      <c r="L85" s="86"/>
      <c r="M85" s="87"/>
      <c r="N85" s="86"/>
      <c r="O85" s="95"/>
      <c r="P85" s="99">
        <v>44218</v>
      </c>
    </row>
    <row r="86" spans="1:16" ht="27.4" hidden="1">
      <c r="A86" s="74" t="s">
        <v>678</v>
      </c>
      <c r="B86" s="117">
        <v>13</v>
      </c>
      <c r="C86" s="74"/>
      <c r="D86" s="74"/>
      <c r="E86" s="74"/>
      <c r="F86" s="74" t="s">
        <v>184</v>
      </c>
      <c r="G86" s="74" t="s">
        <v>486</v>
      </c>
      <c r="H86" s="102" t="s">
        <v>679</v>
      </c>
      <c r="I86" s="71" t="s">
        <v>680</v>
      </c>
      <c r="J86" s="107" t="s">
        <v>894</v>
      </c>
      <c r="K86" s="74" t="s">
        <v>807</v>
      </c>
      <c r="L86" s="86"/>
      <c r="M86" s="87"/>
      <c r="N86" s="86"/>
      <c r="O86" s="95"/>
      <c r="P86" s="99">
        <v>44218</v>
      </c>
    </row>
    <row r="87" spans="1:16" ht="27.4" hidden="1">
      <c r="A87" s="74" t="s">
        <v>678</v>
      </c>
      <c r="B87" s="117">
        <v>13</v>
      </c>
      <c r="C87" s="74"/>
      <c r="D87" s="74"/>
      <c r="E87" s="74"/>
      <c r="F87" s="74" t="s">
        <v>184</v>
      </c>
      <c r="G87" s="74" t="s">
        <v>486</v>
      </c>
      <c r="H87" s="102" t="s">
        <v>679</v>
      </c>
      <c r="I87" s="71" t="s">
        <v>680</v>
      </c>
      <c r="J87" s="107" t="s">
        <v>895</v>
      </c>
      <c r="K87" s="74" t="s">
        <v>807</v>
      </c>
      <c r="L87" s="86"/>
      <c r="M87" s="87"/>
      <c r="N87" s="86"/>
      <c r="O87" s="95"/>
      <c r="P87" s="99">
        <v>44218</v>
      </c>
    </row>
    <row r="88" spans="1:16" ht="27.4" hidden="1">
      <c r="A88" s="74" t="s">
        <v>678</v>
      </c>
      <c r="B88" s="117">
        <v>13</v>
      </c>
      <c r="C88" s="74"/>
      <c r="D88" s="74"/>
      <c r="E88" s="74"/>
      <c r="F88" s="74" t="s">
        <v>184</v>
      </c>
      <c r="G88" s="74" t="s">
        <v>486</v>
      </c>
      <c r="H88" s="102" t="s">
        <v>679</v>
      </c>
      <c r="I88" s="71" t="s">
        <v>680</v>
      </c>
      <c r="J88" s="107" t="s">
        <v>896</v>
      </c>
      <c r="K88" s="74" t="s">
        <v>807</v>
      </c>
      <c r="L88" s="86"/>
      <c r="M88" s="87"/>
      <c r="N88" s="86"/>
      <c r="O88" s="95"/>
      <c r="P88" s="99">
        <v>44221</v>
      </c>
    </row>
    <row r="89" spans="1:16" ht="189">
      <c r="A89" s="115" t="s">
        <v>439</v>
      </c>
      <c r="B89" s="117" t="s">
        <v>126</v>
      </c>
      <c r="C89" s="74"/>
      <c r="D89" s="74"/>
      <c r="E89" s="74"/>
      <c r="F89" s="60" t="s">
        <v>220</v>
      </c>
      <c r="G89" s="60" t="s">
        <v>248</v>
      </c>
      <c r="H89" s="115" t="s">
        <v>897</v>
      </c>
      <c r="I89" s="71" t="s">
        <v>898</v>
      </c>
      <c r="J89" s="134" t="s">
        <v>126</v>
      </c>
      <c r="K89" s="115" t="s">
        <v>789</v>
      </c>
      <c r="L89" s="128">
        <v>44214</v>
      </c>
      <c r="M89" s="129" t="s">
        <v>900</v>
      </c>
      <c r="N89" s="66" t="s">
        <v>797</v>
      </c>
      <c r="O89" s="130" t="s">
        <v>899</v>
      </c>
      <c r="P89" s="76"/>
    </row>
    <row r="90" spans="1:16" ht="56.1" hidden="1" customHeight="1">
      <c r="A90" s="74" t="s">
        <v>678</v>
      </c>
      <c r="B90" s="117">
        <v>13</v>
      </c>
      <c r="C90" s="74"/>
      <c r="D90" s="74"/>
      <c r="E90" s="74"/>
      <c r="F90" s="74" t="s">
        <v>184</v>
      </c>
      <c r="G90" s="74" t="s">
        <v>486</v>
      </c>
      <c r="H90" s="102" t="s">
        <v>679</v>
      </c>
      <c r="I90" s="71" t="s">
        <v>680</v>
      </c>
      <c r="J90" s="107" t="s">
        <v>901</v>
      </c>
      <c r="K90" s="74" t="s">
        <v>807</v>
      </c>
      <c r="L90" s="86"/>
      <c r="M90" s="87"/>
      <c r="N90" s="86"/>
      <c r="O90" s="93"/>
      <c r="P90" s="100">
        <v>44228</v>
      </c>
    </row>
    <row r="91" spans="1:16" ht="94.9" hidden="1">
      <c r="A91" s="74" t="s">
        <v>859</v>
      </c>
      <c r="B91" s="117">
        <v>15</v>
      </c>
      <c r="C91" s="74"/>
      <c r="D91" s="74"/>
      <c r="E91" s="74"/>
      <c r="F91" s="74" t="s">
        <v>610</v>
      </c>
      <c r="G91" s="74" t="s">
        <v>232</v>
      </c>
      <c r="H91" s="74" t="s">
        <v>861</v>
      </c>
      <c r="I91" s="71" t="s">
        <v>862</v>
      </c>
      <c r="J91" s="78" t="s">
        <v>903</v>
      </c>
      <c r="K91" s="74" t="s">
        <v>807</v>
      </c>
      <c r="L91" s="86"/>
      <c r="M91" s="87"/>
      <c r="N91" s="86"/>
      <c r="O91" s="93"/>
      <c r="P91" s="64"/>
    </row>
    <row r="92" spans="1:16" ht="94.9" hidden="1">
      <c r="A92" s="74" t="s">
        <v>859</v>
      </c>
      <c r="B92" s="117">
        <v>15</v>
      </c>
      <c r="C92" s="74"/>
      <c r="D92" s="74"/>
      <c r="E92" s="74"/>
      <c r="F92" s="74" t="s">
        <v>610</v>
      </c>
      <c r="G92" s="74" t="s">
        <v>232</v>
      </c>
      <c r="H92" s="74" t="s">
        <v>861</v>
      </c>
      <c r="I92" s="71" t="s">
        <v>862</v>
      </c>
      <c r="J92" s="78" t="s">
        <v>904</v>
      </c>
      <c r="K92" s="74" t="s">
        <v>807</v>
      </c>
      <c r="L92" s="86"/>
      <c r="M92" s="87"/>
      <c r="N92" s="86"/>
      <c r="O92" s="93"/>
      <c r="P92" s="64"/>
    </row>
    <row r="93" spans="1:16" ht="94.9" hidden="1">
      <c r="A93" s="74" t="s">
        <v>859</v>
      </c>
      <c r="B93" s="117">
        <v>15</v>
      </c>
      <c r="C93" s="74"/>
      <c r="D93" s="74"/>
      <c r="E93" s="74"/>
      <c r="F93" s="74" t="s">
        <v>610</v>
      </c>
      <c r="G93" s="74" t="s">
        <v>232</v>
      </c>
      <c r="H93" s="74" t="s">
        <v>861</v>
      </c>
      <c r="I93" s="71" t="s">
        <v>862</v>
      </c>
      <c r="J93" s="78" t="s">
        <v>905</v>
      </c>
      <c r="K93" s="74" t="s">
        <v>807</v>
      </c>
      <c r="L93" s="86"/>
      <c r="M93" s="87"/>
      <c r="N93" s="86"/>
      <c r="O93" s="93"/>
      <c r="P93" s="64"/>
    </row>
    <row r="94" spans="1:16" ht="94.9" hidden="1">
      <c r="A94" s="74" t="s">
        <v>859</v>
      </c>
      <c r="B94" s="117">
        <v>15</v>
      </c>
      <c r="C94" s="74"/>
      <c r="D94" s="74"/>
      <c r="E94" s="74"/>
      <c r="F94" s="74" t="s">
        <v>610</v>
      </c>
      <c r="G94" s="74" t="s">
        <v>232</v>
      </c>
      <c r="H94" s="74" t="s">
        <v>861</v>
      </c>
      <c r="I94" s="71" t="s">
        <v>862</v>
      </c>
      <c r="J94" s="78" t="s">
        <v>906</v>
      </c>
      <c r="K94" s="74" t="s">
        <v>807</v>
      </c>
      <c r="L94" s="86"/>
      <c r="M94" s="87"/>
      <c r="N94" s="86"/>
      <c r="O94" s="93"/>
      <c r="P94" s="64"/>
    </row>
    <row r="95" spans="1:16" ht="94.9" hidden="1">
      <c r="A95" s="74" t="s">
        <v>859</v>
      </c>
      <c r="B95" s="117">
        <v>15</v>
      </c>
      <c r="C95" s="74"/>
      <c r="D95" s="74"/>
      <c r="E95" s="74"/>
      <c r="F95" s="74" t="s">
        <v>610</v>
      </c>
      <c r="G95" s="74" t="s">
        <v>232</v>
      </c>
      <c r="H95" s="74" t="s">
        <v>861</v>
      </c>
      <c r="I95" s="71" t="s">
        <v>862</v>
      </c>
      <c r="J95" s="78" t="s">
        <v>907</v>
      </c>
      <c r="K95" s="74" t="s">
        <v>807</v>
      </c>
      <c r="L95" s="86"/>
      <c r="M95" s="87"/>
      <c r="N95" s="86"/>
      <c r="O95" s="93"/>
      <c r="P95" s="64"/>
    </row>
    <row r="96" spans="1:16" ht="40.9">
      <c r="A96" s="115" t="s">
        <v>908</v>
      </c>
      <c r="B96" s="117">
        <v>14</v>
      </c>
      <c r="C96" s="74"/>
      <c r="D96" s="74"/>
      <c r="E96" s="74"/>
      <c r="F96" s="115" t="s">
        <v>396</v>
      </c>
      <c r="G96" s="115" t="s">
        <v>446</v>
      </c>
      <c r="H96" s="115" t="s">
        <v>447</v>
      </c>
      <c r="I96" s="71" t="s">
        <v>909</v>
      </c>
      <c r="J96" s="134" t="s">
        <v>126</v>
      </c>
      <c r="K96" s="115" t="s">
        <v>789</v>
      </c>
      <c r="L96" s="128">
        <v>44217</v>
      </c>
      <c r="M96" s="129" t="s">
        <v>910</v>
      </c>
      <c r="N96" s="131" t="s">
        <v>797</v>
      </c>
      <c r="O96" s="129"/>
      <c r="P96" s="73"/>
    </row>
    <row r="97" spans="1:16" hidden="1">
      <c r="A97" s="67" t="s">
        <v>826</v>
      </c>
      <c r="B97" s="118">
        <v>12</v>
      </c>
      <c r="C97" s="74"/>
      <c r="D97" s="74"/>
      <c r="E97" s="74"/>
      <c r="F97" s="60" t="s">
        <v>800</v>
      </c>
      <c r="G97" s="60" t="s">
        <v>827</v>
      </c>
      <c r="H97" s="71" t="s">
        <v>828</v>
      </c>
      <c r="I97" s="71" t="s">
        <v>829</v>
      </c>
      <c r="J97" s="69" t="s">
        <v>911</v>
      </c>
      <c r="K97" s="74" t="s">
        <v>807</v>
      </c>
      <c r="L97" s="86"/>
      <c r="M97" s="87"/>
      <c r="N97" s="86"/>
      <c r="O97" s="93"/>
      <c r="P97" s="99">
        <v>44221</v>
      </c>
    </row>
    <row r="98" spans="1:16" hidden="1">
      <c r="A98" s="67" t="s">
        <v>826</v>
      </c>
      <c r="B98" s="118">
        <v>12</v>
      </c>
      <c r="C98" s="74"/>
      <c r="D98" s="74"/>
      <c r="E98" s="74"/>
      <c r="F98" s="60" t="s">
        <v>800</v>
      </c>
      <c r="G98" s="60" t="s">
        <v>827</v>
      </c>
      <c r="H98" s="71" t="s">
        <v>828</v>
      </c>
      <c r="I98" s="71" t="s">
        <v>829</v>
      </c>
      <c r="J98" s="69" t="s">
        <v>912</v>
      </c>
      <c r="K98" s="55" t="s">
        <v>807</v>
      </c>
      <c r="L98" s="86"/>
      <c r="M98" s="87"/>
      <c r="N98" s="86"/>
      <c r="O98" s="93"/>
      <c r="P98" s="64"/>
    </row>
    <row r="99" spans="1:16" ht="175.9" hidden="1">
      <c r="A99" s="74" t="s">
        <v>244</v>
      </c>
      <c r="B99" s="117">
        <v>13</v>
      </c>
      <c r="C99" s="74"/>
      <c r="D99" s="74"/>
      <c r="E99" s="74"/>
      <c r="F99" s="86" t="s">
        <v>220</v>
      </c>
      <c r="G99" s="86" t="s">
        <v>245</v>
      </c>
      <c r="H99" s="103" t="s">
        <v>246</v>
      </c>
      <c r="I99" s="71" t="s">
        <v>938</v>
      </c>
      <c r="J99" s="108" t="s">
        <v>937</v>
      </c>
      <c r="K99" s="74" t="s">
        <v>807</v>
      </c>
      <c r="L99" s="86"/>
      <c r="M99" s="87"/>
      <c r="N99" s="86"/>
      <c r="O99" s="93"/>
      <c r="P99" s="99">
        <v>44221</v>
      </c>
    </row>
    <row r="100" spans="1:16" hidden="1">
      <c r="A100" s="74" t="s">
        <v>507</v>
      </c>
      <c r="B100" s="117">
        <v>11</v>
      </c>
      <c r="C100" s="74"/>
      <c r="D100" s="74"/>
      <c r="E100" s="74"/>
      <c r="F100" s="60" t="s">
        <v>220</v>
      </c>
      <c r="G100" s="60" t="s">
        <v>245</v>
      </c>
      <c r="H100" s="60" t="s">
        <v>508</v>
      </c>
      <c r="I100" s="74" t="s">
        <v>509</v>
      </c>
      <c r="J100" s="69" t="s">
        <v>939</v>
      </c>
      <c r="K100" s="74" t="s">
        <v>807</v>
      </c>
      <c r="L100" s="86"/>
      <c r="M100" s="87"/>
      <c r="N100" s="86"/>
      <c r="O100" s="93"/>
      <c r="P100" s="99">
        <v>44222</v>
      </c>
    </row>
    <row r="101" spans="1:16" ht="27.4">
      <c r="A101" s="115" t="s">
        <v>947</v>
      </c>
      <c r="B101" s="117">
        <v>14</v>
      </c>
      <c r="C101" s="74"/>
      <c r="D101" s="74"/>
      <c r="E101" s="74"/>
      <c r="F101" s="115" t="s">
        <v>949</v>
      </c>
      <c r="G101" s="115" t="s">
        <v>397</v>
      </c>
      <c r="H101" s="115" t="s">
        <v>948</v>
      </c>
      <c r="I101" s="115" t="s">
        <v>950</v>
      </c>
      <c r="J101" s="135" t="s">
        <v>940</v>
      </c>
      <c r="K101" s="115" t="s">
        <v>789</v>
      </c>
      <c r="L101" s="128">
        <v>44236</v>
      </c>
      <c r="M101" s="129" t="s">
        <v>978</v>
      </c>
      <c r="N101" s="131" t="s">
        <v>797</v>
      </c>
      <c r="O101" s="129" t="s">
        <v>979</v>
      </c>
      <c r="P101" s="73">
        <v>44238</v>
      </c>
    </row>
    <row r="102" spans="1:16" hidden="1">
      <c r="A102" s="74" t="s">
        <v>477</v>
      </c>
      <c r="B102" s="117">
        <v>14</v>
      </c>
      <c r="C102" s="74"/>
      <c r="D102" s="74"/>
      <c r="E102" s="74"/>
      <c r="F102" s="67" t="s">
        <v>220</v>
      </c>
      <c r="G102" s="67" t="s">
        <v>397</v>
      </c>
      <c r="H102" s="67" t="s">
        <v>478</v>
      </c>
      <c r="I102" s="74"/>
      <c r="J102" s="97" t="s">
        <v>941</v>
      </c>
      <c r="K102" s="74" t="s">
        <v>807</v>
      </c>
      <c r="L102" s="86"/>
      <c r="M102" s="93"/>
      <c r="N102" s="86"/>
      <c r="O102" s="93"/>
      <c r="P102" s="111">
        <v>44235</v>
      </c>
    </row>
    <row r="103" spans="1:16" ht="15.4" hidden="1">
      <c r="A103" s="67" t="s">
        <v>470</v>
      </c>
      <c r="B103" s="117">
        <v>14</v>
      </c>
      <c r="C103" s="67"/>
      <c r="D103" s="67"/>
      <c r="E103" s="67"/>
      <c r="F103" s="67" t="s">
        <v>220</v>
      </c>
      <c r="G103" s="67" t="s">
        <v>397</v>
      </c>
      <c r="H103" s="67" t="s">
        <v>450</v>
      </c>
      <c r="I103" s="92" t="s">
        <v>471</v>
      </c>
      <c r="J103" s="98" t="s">
        <v>942</v>
      </c>
      <c r="K103" s="74" t="s">
        <v>807</v>
      </c>
      <c r="L103" s="86"/>
      <c r="M103" s="93"/>
      <c r="N103" s="86"/>
      <c r="O103" s="93"/>
      <c r="P103" s="111">
        <v>44235</v>
      </c>
    </row>
    <row r="104" spans="1:16" ht="15.4" hidden="1">
      <c r="A104" s="67" t="s">
        <v>470</v>
      </c>
      <c r="B104" s="117">
        <v>14</v>
      </c>
      <c r="C104" s="67"/>
      <c r="D104" s="67"/>
      <c r="E104" s="67"/>
      <c r="F104" s="67" t="s">
        <v>220</v>
      </c>
      <c r="G104" s="67" t="s">
        <v>397</v>
      </c>
      <c r="H104" s="67" t="s">
        <v>450</v>
      </c>
      <c r="I104" s="92" t="s">
        <v>471</v>
      </c>
      <c r="J104" s="98" t="s">
        <v>943</v>
      </c>
      <c r="K104" s="74" t="s">
        <v>807</v>
      </c>
      <c r="L104" s="86"/>
      <c r="M104" s="93"/>
      <c r="N104" s="86"/>
      <c r="O104" s="93"/>
      <c r="P104" s="111">
        <v>44262</v>
      </c>
    </row>
    <row r="105" spans="1:16" ht="94.9" hidden="1">
      <c r="A105" s="73" t="s">
        <v>951</v>
      </c>
      <c r="B105" s="117">
        <v>14</v>
      </c>
      <c r="C105" s="67"/>
      <c r="D105" s="67"/>
      <c r="E105" s="67"/>
      <c r="F105" s="73" t="s">
        <v>952</v>
      </c>
      <c r="G105" s="67" t="s">
        <v>397</v>
      </c>
      <c r="H105" s="67" t="s">
        <v>442</v>
      </c>
      <c r="I105" s="73" t="s">
        <v>953</v>
      </c>
      <c r="J105" s="98" t="s">
        <v>944</v>
      </c>
      <c r="K105" s="74" t="s">
        <v>788</v>
      </c>
      <c r="L105" s="86"/>
      <c r="M105" s="93"/>
      <c r="N105" s="86"/>
      <c r="O105" s="93"/>
      <c r="P105" s="111"/>
    </row>
    <row r="106" spans="1:16" hidden="1">
      <c r="A106" s="67" t="s">
        <v>441</v>
      </c>
      <c r="B106" s="117">
        <v>14</v>
      </c>
      <c r="C106" s="67"/>
      <c r="D106" s="67"/>
      <c r="E106" s="67"/>
      <c r="F106" s="83" t="s">
        <v>220</v>
      </c>
      <c r="G106" s="67" t="s">
        <v>397</v>
      </c>
      <c r="H106" s="67" t="s">
        <v>442</v>
      </c>
      <c r="I106" s="67" t="s">
        <v>443</v>
      </c>
      <c r="J106" s="98" t="s">
        <v>945</v>
      </c>
      <c r="K106" s="74" t="s">
        <v>788</v>
      </c>
      <c r="L106" s="86"/>
      <c r="M106" s="93"/>
      <c r="N106" s="86"/>
      <c r="O106" s="93"/>
      <c r="P106" s="111"/>
    </row>
    <row r="107" spans="1:16" ht="54.4" hidden="1">
      <c r="A107" s="67" t="s">
        <v>441</v>
      </c>
      <c r="B107" s="117">
        <v>14</v>
      </c>
      <c r="C107" s="67"/>
      <c r="D107" s="67"/>
      <c r="E107" s="67"/>
      <c r="F107" s="67" t="s">
        <v>220</v>
      </c>
      <c r="G107" s="67" t="s">
        <v>397</v>
      </c>
      <c r="H107" s="67" t="s">
        <v>442</v>
      </c>
      <c r="I107" s="73" t="s">
        <v>443</v>
      </c>
      <c r="J107" s="98" t="s">
        <v>946</v>
      </c>
      <c r="K107" s="74" t="s">
        <v>807</v>
      </c>
      <c r="L107" s="86"/>
      <c r="M107" s="93"/>
      <c r="N107" s="86"/>
      <c r="O107" s="93"/>
      <c r="P107" s="111">
        <v>44262</v>
      </c>
    </row>
    <row r="108" spans="1:16" ht="108.4">
      <c r="A108" s="67" t="s">
        <v>182</v>
      </c>
      <c r="B108" s="118"/>
      <c r="C108" s="67"/>
      <c r="D108" s="67"/>
      <c r="E108" s="67"/>
      <c r="F108" s="67" t="s">
        <v>184</v>
      </c>
      <c r="G108" s="67" t="s">
        <v>185</v>
      </c>
      <c r="H108" s="115" t="s">
        <v>954</v>
      </c>
      <c r="I108" s="115" t="s">
        <v>957</v>
      </c>
      <c r="J108" s="114" t="s">
        <v>126</v>
      </c>
      <c r="K108" s="115" t="s">
        <v>789</v>
      </c>
      <c r="L108" s="128">
        <v>44230</v>
      </c>
      <c r="M108" s="129" t="s">
        <v>955</v>
      </c>
      <c r="N108" s="131" t="s">
        <v>797</v>
      </c>
      <c r="O108" s="129" t="s">
        <v>956</v>
      </c>
      <c r="P108" s="76"/>
    </row>
    <row r="109" spans="1:16" ht="28.5" hidden="1">
      <c r="A109" s="73" t="s">
        <v>958</v>
      </c>
      <c r="B109" s="118">
        <v>10</v>
      </c>
      <c r="C109" s="67"/>
      <c r="D109" s="67"/>
      <c r="E109" s="67"/>
      <c r="F109" s="104" t="s">
        <v>212</v>
      </c>
      <c r="G109" s="104" t="s">
        <v>959</v>
      </c>
      <c r="H109" s="104" t="s">
        <v>959</v>
      </c>
      <c r="I109" s="109" t="s">
        <v>960</v>
      </c>
      <c r="J109" s="96" t="s">
        <v>961</v>
      </c>
      <c r="K109" s="74" t="s">
        <v>807</v>
      </c>
      <c r="L109" s="86"/>
      <c r="M109" s="87"/>
      <c r="N109" s="86"/>
      <c r="O109" s="93" t="s">
        <v>962</v>
      </c>
      <c r="P109" s="100">
        <v>44232</v>
      </c>
    </row>
    <row r="110" spans="1:16" ht="28.5" hidden="1">
      <c r="A110" s="73" t="s">
        <v>958</v>
      </c>
      <c r="B110" s="118">
        <v>10</v>
      </c>
      <c r="C110" s="67"/>
      <c r="D110" s="67"/>
      <c r="E110" s="67"/>
      <c r="F110" s="104" t="s">
        <v>212</v>
      </c>
      <c r="G110" s="104" t="s">
        <v>959</v>
      </c>
      <c r="H110" s="104" t="s">
        <v>959</v>
      </c>
      <c r="I110" s="109" t="s">
        <v>960</v>
      </c>
      <c r="J110" s="96">
        <v>10.06</v>
      </c>
      <c r="K110" s="74" t="s">
        <v>807</v>
      </c>
      <c r="L110" s="86"/>
      <c r="M110" s="87"/>
      <c r="N110" s="86"/>
      <c r="O110" s="93" t="s">
        <v>962</v>
      </c>
      <c r="P110" s="100">
        <v>44232</v>
      </c>
    </row>
    <row r="111" spans="1:16" hidden="1">
      <c r="A111" s="67" t="s">
        <v>441</v>
      </c>
      <c r="B111" s="118">
        <v>14</v>
      </c>
      <c r="C111" s="67"/>
      <c r="D111" s="67"/>
      <c r="E111" s="67"/>
      <c r="F111" s="67" t="s">
        <v>220</v>
      </c>
      <c r="G111" s="67" t="s">
        <v>397</v>
      </c>
      <c r="H111" s="104"/>
      <c r="I111" s="73"/>
      <c r="J111" s="98" t="s">
        <v>963</v>
      </c>
      <c r="K111" s="74" t="s">
        <v>807</v>
      </c>
      <c r="L111" s="86"/>
      <c r="M111" s="93"/>
      <c r="N111" s="86"/>
      <c r="O111" s="93"/>
      <c r="P111" s="111">
        <v>44245</v>
      </c>
    </row>
    <row r="112" spans="1:16" ht="121.9" hidden="1">
      <c r="A112" s="73" t="s">
        <v>967</v>
      </c>
      <c r="B112" s="118">
        <v>14</v>
      </c>
      <c r="C112" s="67"/>
      <c r="D112" s="67"/>
      <c r="E112" s="67"/>
      <c r="F112" s="67" t="s">
        <v>220</v>
      </c>
      <c r="G112" s="67" t="s">
        <v>397</v>
      </c>
      <c r="H112" s="113" t="s">
        <v>450</v>
      </c>
      <c r="I112" s="73" t="s">
        <v>974</v>
      </c>
      <c r="J112" s="98" t="s">
        <v>964</v>
      </c>
      <c r="K112" s="74" t="s">
        <v>807</v>
      </c>
      <c r="L112" s="86"/>
      <c r="M112" s="93"/>
      <c r="N112" s="86"/>
      <c r="O112" s="93"/>
      <c r="P112" s="111"/>
    </row>
    <row r="113" spans="1:16" ht="15.4" hidden="1">
      <c r="A113" s="67" t="s">
        <v>470</v>
      </c>
      <c r="B113" s="118">
        <v>14</v>
      </c>
      <c r="C113" s="67"/>
      <c r="D113" s="67"/>
      <c r="E113" s="67"/>
      <c r="F113" s="67" t="s">
        <v>220</v>
      </c>
      <c r="G113" s="67" t="s">
        <v>397</v>
      </c>
      <c r="H113" s="113" t="s">
        <v>450</v>
      </c>
      <c r="I113" s="92" t="s">
        <v>471</v>
      </c>
      <c r="J113" s="98" t="s">
        <v>965</v>
      </c>
      <c r="K113" s="74" t="s">
        <v>807</v>
      </c>
      <c r="L113" s="86"/>
      <c r="M113" s="93"/>
      <c r="N113" s="86"/>
      <c r="O113" s="93"/>
      <c r="P113" s="111"/>
    </row>
    <row r="114" spans="1:16" ht="27.4" hidden="1">
      <c r="A114" s="67" t="s">
        <v>470</v>
      </c>
      <c r="B114" s="118">
        <v>14</v>
      </c>
      <c r="C114" s="67"/>
      <c r="D114" s="67"/>
      <c r="E114" s="67"/>
      <c r="F114" s="67" t="s">
        <v>220</v>
      </c>
      <c r="G114" s="67" t="s">
        <v>397</v>
      </c>
      <c r="H114" s="113" t="s">
        <v>450</v>
      </c>
      <c r="I114" s="73" t="s">
        <v>975</v>
      </c>
      <c r="J114" s="98" t="s">
        <v>966</v>
      </c>
      <c r="K114" s="74" t="s">
        <v>807</v>
      </c>
      <c r="L114" s="86"/>
      <c r="M114" s="93"/>
      <c r="N114" s="86"/>
      <c r="O114" s="93"/>
      <c r="P114" s="111">
        <v>44263</v>
      </c>
    </row>
    <row r="115" spans="1:16" ht="54.4" hidden="1">
      <c r="A115" s="73" t="s">
        <v>973</v>
      </c>
      <c r="B115" s="118">
        <v>14</v>
      </c>
      <c r="C115" s="67"/>
      <c r="D115" s="67"/>
      <c r="E115" s="67"/>
      <c r="F115" s="67" t="s">
        <v>220</v>
      </c>
      <c r="G115" s="67" t="s">
        <v>397</v>
      </c>
      <c r="H115" s="113" t="s">
        <v>976</v>
      </c>
      <c r="I115" s="73" t="s">
        <v>977</v>
      </c>
      <c r="J115" s="98" t="s">
        <v>968</v>
      </c>
      <c r="K115" s="74" t="s">
        <v>807</v>
      </c>
      <c r="L115" s="86"/>
      <c r="M115" s="93"/>
      <c r="N115" s="86"/>
      <c r="O115" s="93"/>
      <c r="P115" s="111">
        <v>44263</v>
      </c>
    </row>
    <row r="116" spans="1:16" ht="27.4" hidden="1">
      <c r="A116" s="67" t="s">
        <v>482</v>
      </c>
      <c r="B116" s="118">
        <v>14</v>
      </c>
      <c r="C116" s="67"/>
      <c r="D116" s="67"/>
      <c r="E116" s="67"/>
      <c r="F116" s="67" t="s">
        <v>220</v>
      </c>
      <c r="G116" s="67" t="s">
        <v>397</v>
      </c>
      <c r="H116" s="113" t="s">
        <v>483</v>
      </c>
      <c r="I116" s="73" t="s">
        <v>484</v>
      </c>
      <c r="J116" s="98" t="s">
        <v>969</v>
      </c>
      <c r="K116" s="74" t="s">
        <v>807</v>
      </c>
      <c r="L116" s="86"/>
      <c r="M116" s="93"/>
      <c r="N116" s="86"/>
      <c r="O116" s="93"/>
      <c r="P116" s="111">
        <v>44262</v>
      </c>
    </row>
    <row r="117" spans="1:16" ht="27.4" hidden="1">
      <c r="A117" s="67" t="s">
        <v>528</v>
      </c>
      <c r="B117" s="118">
        <v>14</v>
      </c>
      <c r="C117" s="67"/>
      <c r="D117" s="67"/>
      <c r="E117" s="67"/>
      <c r="F117" s="67" t="s">
        <v>220</v>
      </c>
      <c r="G117" s="67" t="s">
        <v>397</v>
      </c>
      <c r="H117" s="113" t="s">
        <v>529</v>
      </c>
      <c r="I117" s="73" t="s">
        <v>530</v>
      </c>
      <c r="J117" s="98" t="s">
        <v>970</v>
      </c>
      <c r="K117" s="74" t="s">
        <v>807</v>
      </c>
      <c r="L117" s="86"/>
      <c r="M117" s="93"/>
      <c r="N117" s="86"/>
      <c r="O117" s="93"/>
      <c r="P117" s="111">
        <v>44246</v>
      </c>
    </row>
    <row r="118" spans="1:16" ht="67.900000000000006" hidden="1">
      <c r="A118" s="73" t="s">
        <v>984</v>
      </c>
      <c r="B118" s="118">
        <v>14</v>
      </c>
      <c r="C118" s="67"/>
      <c r="D118" s="67"/>
      <c r="E118" s="67"/>
      <c r="F118" s="67" t="s">
        <v>220</v>
      </c>
      <c r="G118" s="67" t="s">
        <v>397</v>
      </c>
      <c r="H118" s="113" t="s">
        <v>450</v>
      </c>
      <c r="I118" s="73" t="s">
        <v>987</v>
      </c>
      <c r="J118" s="110" t="s">
        <v>971</v>
      </c>
      <c r="K118" s="74" t="s">
        <v>807</v>
      </c>
      <c r="L118" s="86"/>
      <c r="M118" s="93"/>
      <c r="N118" s="86"/>
      <c r="O118" s="93"/>
      <c r="P118" s="111">
        <v>44238</v>
      </c>
    </row>
    <row r="119" spans="1:16" ht="67.900000000000006" hidden="1">
      <c r="A119" s="73" t="s">
        <v>984</v>
      </c>
      <c r="B119" s="118">
        <v>14</v>
      </c>
      <c r="C119" s="67"/>
      <c r="D119" s="67"/>
      <c r="E119" s="67"/>
      <c r="F119" s="67" t="s">
        <v>220</v>
      </c>
      <c r="G119" s="67" t="s">
        <v>397</v>
      </c>
      <c r="H119" s="113" t="s">
        <v>450</v>
      </c>
      <c r="I119" s="73" t="s">
        <v>987</v>
      </c>
      <c r="J119" s="110" t="s">
        <v>972</v>
      </c>
      <c r="K119" s="74" t="s">
        <v>807</v>
      </c>
      <c r="L119" s="86"/>
      <c r="M119" s="93"/>
      <c r="N119" s="86"/>
      <c r="O119" s="93"/>
      <c r="P119" s="111" t="s">
        <v>995</v>
      </c>
    </row>
    <row r="120" spans="1:16" ht="67.900000000000006" hidden="1">
      <c r="A120" s="73" t="s">
        <v>984</v>
      </c>
      <c r="B120" s="118">
        <v>14</v>
      </c>
      <c r="C120" s="67"/>
      <c r="D120" s="67"/>
      <c r="E120" s="67"/>
      <c r="F120" s="67" t="s">
        <v>220</v>
      </c>
      <c r="G120" s="67" t="s">
        <v>397</v>
      </c>
      <c r="H120" s="113" t="s">
        <v>450</v>
      </c>
      <c r="I120" s="73" t="s">
        <v>987</v>
      </c>
      <c r="J120" s="110" t="s">
        <v>980</v>
      </c>
      <c r="K120" s="74" t="s">
        <v>807</v>
      </c>
      <c r="L120" s="86"/>
      <c r="M120" s="93"/>
      <c r="N120" s="86"/>
      <c r="O120" s="93"/>
      <c r="P120" s="111">
        <v>44260</v>
      </c>
    </row>
    <row r="121" spans="1:16" ht="148.9" hidden="1">
      <c r="A121" s="73" t="s">
        <v>982</v>
      </c>
      <c r="B121" s="118">
        <v>14</v>
      </c>
      <c r="C121" s="67"/>
      <c r="D121" s="67"/>
      <c r="E121" s="67"/>
      <c r="F121" s="67" t="s">
        <v>220</v>
      </c>
      <c r="G121" s="67" t="s">
        <v>397</v>
      </c>
      <c r="H121" s="113" t="s">
        <v>985</v>
      </c>
      <c r="I121" s="73" t="s">
        <v>983</v>
      </c>
      <c r="J121" s="110" t="s">
        <v>981</v>
      </c>
      <c r="K121" s="74" t="s">
        <v>807</v>
      </c>
      <c r="L121" s="86"/>
      <c r="M121" s="93"/>
      <c r="N121" s="86"/>
      <c r="O121" s="93"/>
      <c r="P121" s="111">
        <v>44259</v>
      </c>
    </row>
    <row r="122" spans="1:16" ht="148.9" hidden="1">
      <c r="A122" s="73" t="s">
        <v>982</v>
      </c>
      <c r="B122" s="118">
        <v>14</v>
      </c>
      <c r="C122" s="67"/>
      <c r="D122" s="67"/>
      <c r="E122" s="67"/>
      <c r="F122" s="67" t="s">
        <v>220</v>
      </c>
      <c r="G122" s="67" t="s">
        <v>397</v>
      </c>
      <c r="H122" s="113" t="s">
        <v>985</v>
      </c>
      <c r="I122" s="73" t="s">
        <v>983</v>
      </c>
      <c r="J122" s="110" t="s">
        <v>986</v>
      </c>
      <c r="K122" s="74" t="s">
        <v>807</v>
      </c>
      <c r="L122" s="86"/>
      <c r="M122" s="93"/>
      <c r="N122" s="86"/>
      <c r="O122" s="93"/>
      <c r="P122" s="111">
        <v>44259</v>
      </c>
    </row>
    <row r="123" spans="1:16" ht="54.4" hidden="1">
      <c r="A123" s="73" t="s">
        <v>441</v>
      </c>
      <c r="B123" s="118">
        <v>14</v>
      </c>
      <c r="C123" s="67"/>
      <c r="D123" s="67"/>
      <c r="E123" s="67"/>
      <c r="F123" s="67" t="s">
        <v>220</v>
      </c>
      <c r="G123" s="67" t="s">
        <v>397</v>
      </c>
      <c r="H123" s="113" t="s">
        <v>442</v>
      </c>
      <c r="I123" s="73" t="s">
        <v>443</v>
      </c>
      <c r="J123" s="110" t="s">
        <v>996</v>
      </c>
      <c r="K123" s="74" t="s">
        <v>807</v>
      </c>
      <c r="L123" s="86"/>
      <c r="M123" s="93"/>
      <c r="N123" s="86"/>
      <c r="O123" s="93"/>
      <c r="P123" s="111">
        <v>44260</v>
      </c>
    </row>
    <row r="124" spans="1:16" ht="54.4" hidden="1">
      <c r="A124" s="73" t="s">
        <v>441</v>
      </c>
      <c r="B124" s="118">
        <v>14</v>
      </c>
      <c r="C124" s="67"/>
      <c r="D124" s="67"/>
      <c r="E124" s="67"/>
      <c r="F124" s="67" t="s">
        <v>220</v>
      </c>
      <c r="G124" s="67" t="s">
        <v>397</v>
      </c>
      <c r="H124" s="113" t="s">
        <v>442</v>
      </c>
      <c r="I124" s="73" t="s">
        <v>443</v>
      </c>
      <c r="J124" s="110" t="s">
        <v>997</v>
      </c>
      <c r="K124" s="74" t="s">
        <v>807</v>
      </c>
      <c r="L124" s="86"/>
      <c r="M124" s="93"/>
      <c r="N124" s="86"/>
      <c r="O124" s="93"/>
      <c r="P124" s="111">
        <v>44260</v>
      </c>
    </row>
    <row r="125" spans="1:16" ht="27.4" hidden="1">
      <c r="A125" s="73" t="s">
        <v>528</v>
      </c>
      <c r="B125" s="118">
        <v>14</v>
      </c>
      <c r="C125" s="67"/>
      <c r="D125" s="67"/>
      <c r="E125" s="67"/>
      <c r="F125" s="67" t="s">
        <v>220</v>
      </c>
      <c r="G125" s="67" t="s">
        <v>397</v>
      </c>
      <c r="H125" s="113" t="s">
        <v>450</v>
      </c>
      <c r="I125" s="73" t="s">
        <v>999</v>
      </c>
      <c r="J125" s="110" t="s">
        <v>998</v>
      </c>
      <c r="K125" s="74" t="s">
        <v>807</v>
      </c>
      <c r="L125" s="86"/>
      <c r="M125" s="93"/>
      <c r="N125" s="86"/>
      <c r="O125" s="93"/>
      <c r="P125" s="111"/>
    </row>
    <row r="126" spans="1:16" ht="67.900000000000006">
      <c r="A126" s="73" t="s">
        <v>988</v>
      </c>
      <c r="B126" s="118">
        <v>14</v>
      </c>
      <c r="C126" s="67"/>
      <c r="D126" s="67"/>
      <c r="E126" s="67"/>
      <c r="F126" s="67" t="s">
        <v>220</v>
      </c>
      <c r="G126" s="67" t="s">
        <v>397</v>
      </c>
      <c r="H126" s="113" t="s">
        <v>989</v>
      </c>
      <c r="I126" s="73" t="s">
        <v>990</v>
      </c>
      <c r="J126" s="114" t="s">
        <v>994</v>
      </c>
      <c r="K126" s="115" t="s">
        <v>789</v>
      </c>
      <c r="L126" s="128">
        <v>44253</v>
      </c>
      <c r="M126" s="129" t="s">
        <v>991</v>
      </c>
      <c r="N126" s="131" t="s">
        <v>797</v>
      </c>
      <c r="O126" s="129"/>
      <c r="P126" s="73"/>
    </row>
    <row r="127" spans="1:16" ht="28.5" hidden="1">
      <c r="A127" s="67" t="s">
        <v>406</v>
      </c>
      <c r="B127" s="118">
        <v>14</v>
      </c>
      <c r="C127" s="67"/>
      <c r="D127" s="67"/>
      <c r="E127" s="67"/>
      <c r="F127" s="67" t="s">
        <v>205</v>
      </c>
      <c r="G127" s="67" t="s">
        <v>407</v>
      </c>
      <c r="H127" s="67" t="s">
        <v>408</v>
      </c>
      <c r="I127" s="92" t="s">
        <v>409</v>
      </c>
      <c r="J127" s="96" t="s">
        <v>992</v>
      </c>
      <c r="K127" s="115" t="s">
        <v>807</v>
      </c>
      <c r="L127" s="86"/>
      <c r="M127" s="93"/>
      <c r="N127" s="86"/>
      <c r="O127" s="93"/>
      <c r="P127" s="111">
        <v>44253</v>
      </c>
    </row>
    <row r="128" spans="1:16" ht="28.5" hidden="1">
      <c r="A128" s="67" t="s">
        <v>406</v>
      </c>
      <c r="B128" s="118">
        <v>14</v>
      </c>
      <c r="C128" s="67"/>
      <c r="D128" s="67"/>
      <c r="E128" s="67"/>
      <c r="F128" s="67" t="s">
        <v>205</v>
      </c>
      <c r="G128" s="67" t="s">
        <v>407</v>
      </c>
      <c r="H128" s="67" t="s">
        <v>408</v>
      </c>
      <c r="I128" s="92" t="s">
        <v>409</v>
      </c>
      <c r="J128" s="96" t="s">
        <v>993</v>
      </c>
      <c r="K128" s="115" t="s">
        <v>807</v>
      </c>
      <c r="L128" s="86"/>
      <c r="M128" s="93"/>
      <c r="N128" s="86"/>
      <c r="O128" s="93"/>
      <c r="P128" s="111">
        <v>44253</v>
      </c>
    </row>
    <row r="129" spans="1:16" ht="28.5" hidden="1">
      <c r="A129" s="67" t="s">
        <v>143</v>
      </c>
      <c r="B129" s="118">
        <v>13</v>
      </c>
      <c r="C129" s="67"/>
      <c r="D129" s="67"/>
      <c r="E129" s="67"/>
      <c r="F129" s="67" t="s">
        <v>129</v>
      </c>
      <c r="G129" s="67" t="s">
        <v>130</v>
      </c>
      <c r="H129" s="67" t="s">
        <v>146</v>
      </c>
      <c r="I129" s="92" t="s">
        <v>147</v>
      </c>
      <c r="J129" s="96" t="s">
        <v>863</v>
      </c>
      <c r="K129" s="115" t="s">
        <v>807</v>
      </c>
      <c r="L129" s="86"/>
      <c r="M129" s="93"/>
      <c r="N129" s="86"/>
      <c r="O129" s="93"/>
      <c r="P129" s="111">
        <v>44249</v>
      </c>
    </row>
    <row r="130" spans="1:16" hidden="1">
      <c r="A130" s="67"/>
      <c r="B130" s="118"/>
      <c r="C130" s="67"/>
      <c r="D130" s="67"/>
      <c r="E130" s="67"/>
      <c r="F130" s="67"/>
      <c r="G130" s="67"/>
      <c r="H130" s="67"/>
      <c r="I130" s="73"/>
      <c r="J130" s="96" t="s">
        <v>864</v>
      </c>
      <c r="K130" s="115" t="s">
        <v>807</v>
      </c>
      <c r="L130" s="86"/>
      <c r="M130" s="93"/>
      <c r="N130" s="86"/>
      <c r="O130" s="93"/>
      <c r="P130" s="111"/>
    </row>
    <row r="131" spans="1:16" ht="28.5" hidden="1">
      <c r="A131" s="67" t="s">
        <v>143</v>
      </c>
      <c r="B131" s="118">
        <v>44209</v>
      </c>
      <c r="C131" s="67"/>
      <c r="D131" s="67"/>
      <c r="E131" s="67"/>
      <c r="F131" s="67" t="s">
        <v>129</v>
      </c>
      <c r="G131" s="67" t="s">
        <v>130</v>
      </c>
      <c r="H131" s="67" t="s">
        <v>146</v>
      </c>
      <c r="I131" s="92" t="s">
        <v>147</v>
      </c>
      <c r="J131" s="96" t="s">
        <v>864</v>
      </c>
      <c r="K131" s="115" t="s">
        <v>807</v>
      </c>
      <c r="L131" s="86"/>
      <c r="M131" s="93"/>
      <c r="N131" s="86"/>
      <c r="O131" s="93"/>
      <c r="P131" s="111">
        <v>44249</v>
      </c>
    </row>
    <row r="132" spans="1:16" s="143" customFormat="1" ht="74.25" hidden="1" customHeight="1">
      <c r="A132" s="98" t="s">
        <v>1000</v>
      </c>
      <c r="B132" s="138" t="s">
        <v>126</v>
      </c>
      <c r="C132" s="98"/>
      <c r="D132" s="98"/>
      <c r="E132" s="98"/>
      <c r="F132" s="98" t="s">
        <v>1000</v>
      </c>
      <c r="G132" s="98" t="s">
        <v>1000</v>
      </c>
      <c r="H132" s="98" t="s">
        <v>1000</v>
      </c>
      <c r="I132" s="139" t="s">
        <v>1001</v>
      </c>
      <c r="J132" s="96" t="s">
        <v>126</v>
      </c>
      <c r="K132" s="97" t="s">
        <v>788</v>
      </c>
      <c r="L132" s="140"/>
      <c r="M132" s="141" t="s">
        <v>1008</v>
      </c>
      <c r="N132" s="140"/>
      <c r="O132" s="141" t="s">
        <v>1003</v>
      </c>
      <c r="P132" s="142" t="s">
        <v>1002</v>
      </c>
    </row>
    <row r="133" spans="1:16" ht="81.400000000000006">
      <c r="A133" s="67" t="s">
        <v>695</v>
      </c>
      <c r="B133" s="118">
        <v>11</v>
      </c>
      <c r="C133" s="67"/>
      <c r="D133" s="67"/>
      <c r="E133" s="67"/>
      <c r="F133" s="67" t="s">
        <v>231</v>
      </c>
      <c r="G133" s="67" t="s">
        <v>231</v>
      </c>
      <c r="H133" s="67" t="s">
        <v>696</v>
      </c>
      <c r="I133" s="73" t="s">
        <v>697</v>
      </c>
      <c r="J133" s="114" t="s">
        <v>1004</v>
      </c>
      <c r="K133" s="115" t="s">
        <v>789</v>
      </c>
      <c r="L133" s="128">
        <v>44267</v>
      </c>
      <c r="M133" s="129" t="s">
        <v>1005</v>
      </c>
      <c r="N133" s="131" t="s">
        <v>1036</v>
      </c>
      <c r="O133" s="129"/>
      <c r="P133" s="73"/>
    </row>
    <row r="134" spans="1:16" ht="148.9">
      <c r="A134" s="67" t="s">
        <v>590</v>
      </c>
      <c r="B134" s="118">
        <v>15</v>
      </c>
      <c r="C134" s="67" t="s">
        <v>184</v>
      </c>
      <c r="D134" s="67" t="s">
        <v>185</v>
      </c>
      <c r="E134" s="67"/>
      <c r="F134" s="67" t="s">
        <v>184</v>
      </c>
      <c r="G134" s="67" t="s">
        <v>185</v>
      </c>
      <c r="H134" s="73" t="s">
        <v>1007</v>
      </c>
      <c r="I134" s="73"/>
      <c r="J134" s="114" t="s">
        <v>1004</v>
      </c>
      <c r="K134" s="115" t="s">
        <v>789</v>
      </c>
      <c r="L134" s="128">
        <v>44265</v>
      </c>
      <c r="M134" s="129" t="s">
        <v>1006</v>
      </c>
      <c r="N134" s="131" t="s">
        <v>797</v>
      </c>
      <c r="O134" s="129"/>
      <c r="P134" s="73"/>
    </row>
    <row r="135" spans="1:16" ht="94.9" hidden="1">
      <c r="A135" s="67" t="s">
        <v>709</v>
      </c>
      <c r="B135" s="118">
        <v>15</v>
      </c>
      <c r="C135" s="67"/>
      <c r="D135" s="67"/>
      <c r="E135" s="67"/>
      <c r="F135" s="115" t="s">
        <v>610</v>
      </c>
      <c r="G135" s="115" t="s">
        <v>232</v>
      </c>
      <c r="H135" s="115" t="s">
        <v>861</v>
      </c>
      <c r="I135" s="73"/>
      <c r="J135" s="114" t="s">
        <v>1009</v>
      </c>
      <c r="K135" s="115" t="s">
        <v>807</v>
      </c>
      <c r="L135" s="86"/>
      <c r="M135" s="93"/>
      <c r="N135" s="86"/>
      <c r="O135" s="93"/>
      <c r="P135" s="111">
        <v>44266</v>
      </c>
    </row>
    <row r="136" spans="1:16" ht="94.9" hidden="1">
      <c r="A136" s="67" t="s">
        <v>662</v>
      </c>
      <c r="B136" s="118">
        <v>15</v>
      </c>
      <c r="C136" s="67"/>
      <c r="D136" s="67"/>
      <c r="E136" s="67"/>
      <c r="F136" s="115" t="s">
        <v>610</v>
      </c>
      <c r="G136" s="115" t="s">
        <v>232</v>
      </c>
      <c r="H136" s="115" t="s">
        <v>861</v>
      </c>
      <c r="I136" s="73"/>
      <c r="J136" s="114" t="s">
        <v>1010</v>
      </c>
      <c r="K136" s="115" t="s">
        <v>807</v>
      </c>
      <c r="L136" s="86"/>
      <c r="M136" s="93"/>
      <c r="N136" s="86"/>
      <c r="O136" s="93"/>
      <c r="P136" s="111">
        <v>44266</v>
      </c>
    </row>
    <row r="137" spans="1:16" ht="94.9" hidden="1">
      <c r="A137" s="67" t="s">
        <v>608</v>
      </c>
      <c r="B137" s="118">
        <v>15</v>
      </c>
      <c r="C137" s="67"/>
      <c r="D137" s="67"/>
      <c r="E137" s="67"/>
      <c r="F137" s="115" t="s">
        <v>610</v>
      </c>
      <c r="G137" s="115" t="s">
        <v>232</v>
      </c>
      <c r="H137" s="115" t="s">
        <v>861</v>
      </c>
      <c r="I137" s="73"/>
      <c r="J137" s="114" t="s">
        <v>1011</v>
      </c>
      <c r="K137" s="115" t="s">
        <v>807</v>
      </c>
      <c r="L137" s="86"/>
      <c r="M137" s="93"/>
      <c r="N137" s="86"/>
      <c r="O137" s="93"/>
      <c r="P137" s="111">
        <v>44266</v>
      </c>
    </row>
    <row r="138" spans="1:16" ht="94.9" hidden="1">
      <c r="A138" s="73" t="s">
        <v>1013</v>
      </c>
      <c r="B138" s="118">
        <v>15</v>
      </c>
      <c r="C138" s="67"/>
      <c r="D138" s="67"/>
      <c r="E138" s="67"/>
      <c r="F138" s="115" t="s">
        <v>610</v>
      </c>
      <c r="G138" s="115" t="s">
        <v>232</v>
      </c>
      <c r="H138" s="115" t="s">
        <v>861</v>
      </c>
      <c r="I138" s="73"/>
      <c r="J138" s="114" t="s">
        <v>1012</v>
      </c>
      <c r="K138" s="115" t="s">
        <v>807</v>
      </c>
      <c r="L138" s="86"/>
      <c r="M138" s="93"/>
      <c r="N138" s="86"/>
      <c r="O138" s="93"/>
      <c r="P138" s="111">
        <v>44266</v>
      </c>
    </row>
    <row r="139" spans="1:16" ht="94.9" hidden="1">
      <c r="A139" s="73" t="s">
        <v>1013</v>
      </c>
      <c r="B139" s="118">
        <v>15</v>
      </c>
      <c r="C139" s="67"/>
      <c r="D139" s="67"/>
      <c r="E139" s="67"/>
      <c r="F139" s="115" t="s">
        <v>610</v>
      </c>
      <c r="G139" s="115" t="s">
        <v>232</v>
      </c>
      <c r="H139" s="115" t="s">
        <v>861</v>
      </c>
      <c r="I139" s="73"/>
      <c r="J139" s="114" t="s">
        <v>1014</v>
      </c>
      <c r="K139" s="115" t="s">
        <v>807</v>
      </c>
      <c r="L139" s="86"/>
      <c r="M139" s="93"/>
      <c r="N139" s="86"/>
      <c r="O139" s="93"/>
      <c r="P139" s="111">
        <v>44266</v>
      </c>
    </row>
    <row r="140" spans="1:16" ht="94.9" hidden="1">
      <c r="A140" s="67" t="s">
        <v>662</v>
      </c>
      <c r="B140" s="118">
        <v>15</v>
      </c>
      <c r="C140" s="67"/>
      <c r="D140" s="67"/>
      <c r="E140" s="67"/>
      <c r="F140" s="115" t="s">
        <v>610</v>
      </c>
      <c r="G140" s="115" t="s">
        <v>232</v>
      </c>
      <c r="H140" s="115" t="s">
        <v>861</v>
      </c>
      <c r="I140" s="73"/>
      <c r="J140" s="114" t="s">
        <v>1015</v>
      </c>
      <c r="K140" s="115" t="s">
        <v>807</v>
      </c>
      <c r="L140" s="86"/>
      <c r="M140" s="93"/>
      <c r="N140" s="86"/>
      <c r="O140" s="93"/>
      <c r="P140" s="111">
        <v>44266</v>
      </c>
    </row>
    <row r="141" spans="1:16" ht="94.9" hidden="1">
      <c r="A141" s="73" t="s">
        <v>1017</v>
      </c>
      <c r="B141" s="118">
        <v>15</v>
      </c>
      <c r="C141" s="67"/>
      <c r="D141" s="67"/>
      <c r="E141" s="67"/>
      <c r="F141" s="115" t="s">
        <v>610</v>
      </c>
      <c r="G141" s="115" t="s">
        <v>232</v>
      </c>
      <c r="H141" s="115" t="s">
        <v>861</v>
      </c>
      <c r="I141" s="73"/>
      <c r="J141" s="114" t="s">
        <v>1016</v>
      </c>
      <c r="K141" s="115" t="s">
        <v>807</v>
      </c>
      <c r="L141" s="86"/>
      <c r="M141" s="93"/>
      <c r="N141" s="86"/>
      <c r="O141" s="93"/>
      <c r="P141" s="111">
        <v>44266</v>
      </c>
    </row>
    <row r="142" spans="1:16" ht="94.9" hidden="1">
      <c r="A142" s="73" t="s">
        <v>1019</v>
      </c>
      <c r="B142" s="118">
        <v>15</v>
      </c>
      <c r="C142" s="67"/>
      <c r="D142" s="67"/>
      <c r="E142" s="67"/>
      <c r="F142" s="115" t="s">
        <v>610</v>
      </c>
      <c r="G142" s="115" t="s">
        <v>232</v>
      </c>
      <c r="H142" s="115" t="s">
        <v>861</v>
      </c>
      <c r="I142" s="73"/>
      <c r="J142" s="114" t="s">
        <v>1018</v>
      </c>
      <c r="K142" s="115" t="s">
        <v>788</v>
      </c>
      <c r="L142" s="86"/>
      <c r="M142" s="93"/>
      <c r="N142" s="86"/>
      <c r="O142" s="93"/>
      <c r="P142" s="111"/>
    </row>
    <row r="143" spans="1:16" ht="94.9" hidden="1">
      <c r="A143" s="67" t="s">
        <v>665</v>
      </c>
      <c r="B143" s="118">
        <v>15</v>
      </c>
      <c r="C143" s="67"/>
      <c r="D143" s="67"/>
      <c r="E143" s="67"/>
      <c r="F143" s="115" t="s">
        <v>610</v>
      </c>
      <c r="G143" s="115" t="s">
        <v>232</v>
      </c>
      <c r="H143" s="115" t="s">
        <v>861</v>
      </c>
      <c r="I143" s="73"/>
      <c r="J143" s="114" t="s">
        <v>1020</v>
      </c>
      <c r="K143" s="115" t="s">
        <v>788</v>
      </c>
      <c r="L143" s="86"/>
      <c r="M143" s="93"/>
      <c r="N143" s="86"/>
      <c r="O143" s="93"/>
      <c r="P143" s="111"/>
    </row>
    <row r="144" spans="1:16" ht="94.9" hidden="1">
      <c r="A144" s="67" t="s">
        <v>665</v>
      </c>
      <c r="B144" s="118">
        <v>15</v>
      </c>
      <c r="C144" s="67"/>
      <c r="D144" s="67"/>
      <c r="E144" s="67"/>
      <c r="F144" s="115" t="s">
        <v>610</v>
      </c>
      <c r="G144" s="115" t="s">
        <v>232</v>
      </c>
      <c r="H144" s="115" t="s">
        <v>861</v>
      </c>
      <c r="I144" s="73"/>
      <c r="J144" s="114" t="s">
        <v>1021</v>
      </c>
      <c r="K144" s="115" t="s">
        <v>807</v>
      </c>
      <c r="L144" s="86"/>
      <c r="M144" s="93"/>
      <c r="N144" s="86"/>
      <c r="O144" s="93"/>
      <c r="P144" s="111">
        <v>44266</v>
      </c>
    </row>
    <row r="145" spans="1:16" ht="94.9" hidden="1">
      <c r="A145" s="67" t="s">
        <v>665</v>
      </c>
      <c r="B145" s="118">
        <v>15</v>
      </c>
      <c r="C145" s="67"/>
      <c r="D145" s="67"/>
      <c r="E145" s="67"/>
      <c r="F145" s="115" t="s">
        <v>610</v>
      </c>
      <c r="G145" s="115" t="s">
        <v>232</v>
      </c>
      <c r="H145" s="115" t="s">
        <v>861</v>
      </c>
      <c r="I145" s="73"/>
      <c r="J145" s="114" t="s">
        <v>1022</v>
      </c>
      <c r="K145" s="115" t="s">
        <v>788</v>
      </c>
      <c r="L145" s="86"/>
      <c r="M145" s="93"/>
      <c r="N145" s="86"/>
      <c r="O145" s="93"/>
      <c r="P145" s="111"/>
    </row>
    <row r="146" spans="1:16" ht="94.9" hidden="1">
      <c r="A146" s="73" t="s">
        <v>1024</v>
      </c>
      <c r="B146" s="118">
        <v>15</v>
      </c>
      <c r="C146" s="67"/>
      <c r="D146" s="67"/>
      <c r="E146" s="67"/>
      <c r="F146" s="115" t="s">
        <v>610</v>
      </c>
      <c r="G146" s="115" t="s">
        <v>232</v>
      </c>
      <c r="H146" s="115" t="s">
        <v>861</v>
      </c>
      <c r="I146" s="73"/>
      <c r="J146" s="114" t="s">
        <v>1023</v>
      </c>
      <c r="K146" s="115" t="s">
        <v>788</v>
      </c>
      <c r="L146" s="86"/>
      <c r="M146" s="93"/>
      <c r="N146" s="86"/>
      <c r="O146" s="93"/>
      <c r="P146" s="111"/>
    </row>
    <row r="147" spans="1:16" ht="94.9" hidden="1">
      <c r="A147" s="67" t="s">
        <v>709</v>
      </c>
      <c r="B147" s="118">
        <v>15</v>
      </c>
      <c r="C147" s="67"/>
      <c r="D147" s="67"/>
      <c r="E147" s="67"/>
      <c r="F147" s="115" t="s">
        <v>610</v>
      </c>
      <c r="G147" s="115" t="s">
        <v>232</v>
      </c>
      <c r="H147" s="115" t="s">
        <v>861</v>
      </c>
      <c r="I147" s="73"/>
      <c r="J147" s="114" t="s">
        <v>1025</v>
      </c>
      <c r="K147" s="115" t="s">
        <v>788</v>
      </c>
      <c r="L147" s="86"/>
      <c r="M147" s="93"/>
      <c r="N147" s="86"/>
      <c r="O147" s="93"/>
      <c r="P147" s="111"/>
    </row>
    <row r="148" spans="1:16" ht="162.4" hidden="1">
      <c r="A148" s="73" t="s">
        <v>1028</v>
      </c>
      <c r="B148" s="118">
        <v>15</v>
      </c>
      <c r="C148" s="115" t="s">
        <v>610</v>
      </c>
      <c r="D148" s="115" t="s">
        <v>232</v>
      </c>
      <c r="E148" s="115" t="s">
        <v>861</v>
      </c>
      <c r="F148" s="115" t="s">
        <v>610</v>
      </c>
      <c r="G148" s="115" t="s">
        <v>232</v>
      </c>
      <c r="H148" s="115" t="s">
        <v>861</v>
      </c>
      <c r="I148" s="73"/>
      <c r="J148" s="114" t="s">
        <v>1026</v>
      </c>
      <c r="K148" s="115" t="s">
        <v>788</v>
      </c>
      <c r="L148" s="86"/>
      <c r="M148" s="93"/>
      <c r="N148" s="86"/>
      <c r="O148" s="93"/>
      <c r="P148" s="111"/>
    </row>
    <row r="149" spans="1:16" ht="94.9" hidden="1">
      <c r="A149" s="73" t="s">
        <v>1030</v>
      </c>
      <c r="B149" s="118">
        <v>15</v>
      </c>
      <c r="C149" s="67"/>
      <c r="D149" s="67"/>
      <c r="E149" s="67"/>
      <c r="F149" s="115" t="s">
        <v>610</v>
      </c>
      <c r="G149" s="115" t="s">
        <v>232</v>
      </c>
      <c r="H149" s="115" t="s">
        <v>861</v>
      </c>
      <c r="I149" s="73"/>
      <c r="J149" s="114" t="s">
        <v>1029</v>
      </c>
      <c r="K149" s="115" t="s">
        <v>807</v>
      </c>
      <c r="L149" s="86"/>
      <c r="M149" s="93"/>
      <c r="N149" s="86"/>
      <c r="O149" s="93"/>
      <c r="P149" s="111">
        <v>44267</v>
      </c>
    </row>
    <row r="150" spans="1:16" ht="94.9" hidden="1">
      <c r="A150" s="67" t="s">
        <v>608</v>
      </c>
      <c r="B150" s="118">
        <v>15</v>
      </c>
      <c r="C150" s="67"/>
      <c r="D150" s="67"/>
      <c r="E150" s="67"/>
      <c r="F150" s="115" t="s">
        <v>610</v>
      </c>
      <c r="G150" s="115" t="s">
        <v>232</v>
      </c>
      <c r="H150" s="115" t="s">
        <v>861</v>
      </c>
      <c r="I150" s="73"/>
      <c r="J150" s="114" t="s">
        <v>1031</v>
      </c>
      <c r="K150" s="115" t="s">
        <v>788</v>
      </c>
      <c r="L150" s="86"/>
      <c r="M150" s="93"/>
      <c r="N150" s="86"/>
      <c r="O150" s="93"/>
      <c r="P150" s="111"/>
    </row>
    <row r="151" spans="1:16" ht="94.9" hidden="1">
      <c r="A151" s="67" t="s">
        <v>662</v>
      </c>
      <c r="B151" s="118">
        <v>15</v>
      </c>
      <c r="C151" s="67"/>
      <c r="D151" s="67"/>
      <c r="E151" s="67"/>
      <c r="F151" s="115" t="s">
        <v>610</v>
      </c>
      <c r="G151" s="115" t="s">
        <v>232</v>
      </c>
      <c r="H151" s="115" t="s">
        <v>861</v>
      </c>
      <c r="I151" s="73"/>
      <c r="J151" s="114" t="s">
        <v>1032</v>
      </c>
      <c r="K151" s="115" t="s">
        <v>788</v>
      </c>
      <c r="L151" s="86"/>
      <c r="M151" s="93"/>
      <c r="N151" s="86"/>
      <c r="O151" s="93"/>
      <c r="P151" s="111"/>
    </row>
    <row r="152" spans="1:16" ht="94.9" hidden="1">
      <c r="A152" s="73" t="s">
        <v>1017</v>
      </c>
      <c r="B152" s="118">
        <v>15</v>
      </c>
      <c r="C152" s="67"/>
      <c r="D152" s="67"/>
      <c r="E152" s="67"/>
      <c r="F152" s="115" t="s">
        <v>610</v>
      </c>
      <c r="G152" s="115" t="s">
        <v>232</v>
      </c>
      <c r="H152" s="115" t="s">
        <v>861</v>
      </c>
      <c r="I152" s="73"/>
      <c r="J152" s="114" t="s">
        <v>1033</v>
      </c>
      <c r="K152" s="115" t="s">
        <v>788</v>
      </c>
      <c r="L152" s="86"/>
      <c r="M152" s="93"/>
      <c r="N152" s="86"/>
      <c r="O152" s="93"/>
      <c r="P152" s="111"/>
    </row>
    <row r="153" spans="1:16" ht="94.9" hidden="1">
      <c r="A153" s="67" t="s">
        <v>608</v>
      </c>
      <c r="B153" s="118">
        <v>15</v>
      </c>
      <c r="C153" s="67"/>
      <c r="D153" s="67"/>
      <c r="E153" s="67"/>
      <c r="F153" s="115" t="s">
        <v>610</v>
      </c>
      <c r="G153" s="115" t="s">
        <v>232</v>
      </c>
      <c r="H153" s="115" t="s">
        <v>861</v>
      </c>
      <c r="I153" s="73"/>
      <c r="J153" s="114" t="s">
        <v>1034</v>
      </c>
      <c r="K153" s="115" t="s">
        <v>807</v>
      </c>
      <c r="L153" s="86"/>
      <c r="M153" s="93"/>
      <c r="N153" s="86"/>
      <c r="O153" s="93"/>
      <c r="P153" s="111">
        <v>44270</v>
      </c>
    </row>
    <row r="154" spans="1:16" ht="94.9" hidden="1">
      <c r="A154" s="67" t="s">
        <v>608</v>
      </c>
      <c r="B154" s="118">
        <v>15</v>
      </c>
      <c r="C154" s="67"/>
      <c r="D154" s="67"/>
      <c r="E154" s="67"/>
      <c r="F154" s="115" t="s">
        <v>610</v>
      </c>
      <c r="G154" s="115" t="s">
        <v>232</v>
      </c>
      <c r="H154" s="115" t="s">
        <v>861</v>
      </c>
      <c r="I154" s="73"/>
      <c r="J154" s="114" t="s">
        <v>1035</v>
      </c>
      <c r="K154" s="115" t="s">
        <v>788</v>
      </c>
      <c r="L154" s="86"/>
      <c r="M154" s="93"/>
      <c r="N154" s="86"/>
      <c r="O154" s="93"/>
      <c r="P154" s="111"/>
    </row>
    <row r="155" spans="1:16" ht="60">
      <c r="A155" s="67" t="s">
        <v>400</v>
      </c>
      <c r="B155" s="118">
        <v>16</v>
      </c>
      <c r="C155" s="67"/>
      <c r="D155" s="67"/>
      <c r="E155" s="67"/>
      <c r="F155" s="118" t="s">
        <v>800</v>
      </c>
      <c r="G155" s="118" t="s">
        <v>332</v>
      </c>
      <c r="H155" s="118" t="s">
        <v>401</v>
      </c>
      <c r="I155" s="109" t="s">
        <v>1037</v>
      </c>
      <c r="J155" s="114" t="s">
        <v>1040</v>
      </c>
      <c r="K155" s="115" t="s">
        <v>789</v>
      </c>
      <c r="L155" s="86">
        <v>44281</v>
      </c>
      <c r="M155" s="93" t="s">
        <v>1041</v>
      </c>
      <c r="N155" s="86"/>
      <c r="O155" s="93"/>
      <c r="P155" s="111"/>
    </row>
    <row r="156" spans="1:16" ht="60">
      <c r="A156" s="67" t="s">
        <v>402</v>
      </c>
      <c r="B156" s="118">
        <v>16</v>
      </c>
      <c r="C156" s="67"/>
      <c r="D156" s="67"/>
      <c r="E156" s="67"/>
      <c r="F156" s="67" t="s">
        <v>800</v>
      </c>
      <c r="G156" s="67" t="s">
        <v>332</v>
      </c>
      <c r="H156" s="104" t="s">
        <v>1038</v>
      </c>
      <c r="I156" s="73" t="s">
        <v>1039</v>
      </c>
      <c r="J156" s="114" t="s">
        <v>1040</v>
      </c>
      <c r="K156" s="115" t="s">
        <v>789</v>
      </c>
      <c r="L156" s="86">
        <v>44282</v>
      </c>
      <c r="M156" s="93" t="s">
        <v>1041</v>
      </c>
      <c r="N156" s="86"/>
      <c r="O156" s="93"/>
      <c r="P156" s="111"/>
    </row>
    <row r="157" spans="1:16" ht="67.5">
      <c r="A157" s="67" t="s">
        <v>662</v>
      </c>
      <c r="B157" s="118">
        <v>15</v>
      </c>
      <c r="C157" s="67"/>
      <c r="D157" s="67"/>
      <c r="E157" s="67"/>
      <c r="F157" s="115" t="s">
        <v>610</v>
      </c>
      <c r="G157" s="115" t="s">
        <v>232</v>
      </c>
      <c r="H157" s="104" t="s">
        <v>1042</v>
      </c>
      <c r="I157" s="73" t="s">
        <v>1045</v>
      </c>
      <c r="J157" s="137" t="s">
        <v>1048</v>
      </c>
      <c r="K157" s="115" t="s">
        <v>789</v>
      </c>
      <c r="L157" s="86">
        <v>44298</v>
      </c>
      <c r="M157" s="93" t="s">
        <v>1044</v>
      </c>
      <c r="N157" s="86">
        <v>44298</v>
      </c>
      <c r="O157" s="93"/>
      <c r="P157" s="111">
        <v>44270</v>
      </c>
    </row>
    <row r="158" spans="1:16" ht="90.4">
      <c r="A158" s="67" t="s">
        <v>1046</v>
      </c>
      <c r="B158" s="118">
        <v>16</v>
      </c>
      <c r="C158" s="67"/>
      <c r="D158" s="67"/>
      <c r="E158" s="67"/>
      <c r="F158" s="91" t="s">
        <v>1047</v>
      </c>
      <c r="G158" s="91" t="s">
        <v>297</v>
      </c>
      <c r="H158" s="91" t="s">
        <v>298</v>
      </c>
      <c r="I158" s="92" t="s">
        <v>299</v>
      </c>
      <c r="J158" s="114" t="s">
        <v>1043</v>
      </c>
      <c r="K158" s="115" t="s">
        <v>789</v>
      </c>
      <c r="L158" s="86">
        <v>44298</v>
      </c>
      <c r="M158" s="93" t="s">
        <v>1049</v>
      </c>
      <c r="N158" s="86">
        <v>44298</v>
      </c>
      <c r="O158" s="93"/>
      <c r="P158" s="111"/>
    </row>
    <row r="159" spans="1:16" s="158" customFormat="1" ht="409.5">
      <c r="A159" s="149" t="s">
        <v>624</v>
      </c>
      <c r="B159" s="150">
        <v>19</v>
      </c>
      <c r="C159" s="67"/>
      <c r="D159" s="67"/>
      <c r="E159" s="67"/>
      <c r="F159" s="151" t="s">
        <v>617</v>
      </c>
      <c r="G159" s="151" t="s">
        <v>618</v>
      </c>
      <c r="H159" s="151" t="s">
        <v>625</v>
      </c>
      <c r="I159" s="151" t="s">
        <v>626</v>
      </c>
      <c r="J159" s="152" t="s">
        <v>1051</v>
      </c>
      <c r="K159" s="153" t="s">
        <v>789</v>
      </c>
      <c r="L159" s="154">
        <v>44328</v>
      </c>
      <c r="M159" s="155" t="s">
        <v>1050</v>
      </c>
      <c r="N159" s="156" t="s">
        <v>797</v>
      </c>
      <c r="O159" s="159" t="s">
        <v>1052</v>
      </c>
      <c r="P159" s="157"/>
    </row>
    <row r="160" spans="1:16" ht="345">
      <c r="A160" s="67" t="s">
        <v>704</v>
      </c>
      <c r="B160" s="118">
        <v>19</v>
      </c>
      <c r="C160" s="67"/>
      <c r="D160" s="67"/>
      <c r="E160" s="67"/>
      <c r="F160" s="160" t="s">
        <v>240</v>
      </c>
      <c r="G160" s="160" t="s">
        <v>1053</v>
      </c>
      <c r="H160" s="160" t="s">
        <v>1054</v>
      </c>
      <c r="I160" s="160" t="s">
        <v>1055</v>
      </c>
      <c r="J160" s="104" t="s">
        <v>1056</v>
      </c>
      <c r="K160" s="153" t="s">
        <v>789</v>
      </c>
      <c r="L160" s="86">
        <v>44328</v>
      </c>
      <c r="M160" s="162" t="s">
        <v>1058</v>
      </c>
      <c r="N160" s="86" t="s">
        <v>797</v>
      </c>
      <c r="O160" s="161" t="s">
        <v>1057</v>
      </c>
      <c r="P160" s="111"/>
    </row>
    <row r="161" spans="1:16" ht="150">
      <c r="A161" s="163" t="s">
        <v>233</v>
      </c>
      <c r="B161" s="164">
        <v>19</v>
      </c>
      <c r="C161" s="58"/>
      <c r="D161" s="58"/>
      <c r="E161" s="58"/>
      <c r="F161" s="160" t="s">
        <v>165</v>
      </c>
      <c r="G161" s="160" t="s">
        <v>166</v>
      </c>
      <c r="H161" s="160" t="s">
        <v>234</v>
      </c>
      <c r="I161" s="160" t="s">
        <v>1059</v>
      </c>
      <c r="J161" s="165" t="s">
        <v>1060</v>
      </c>
      <c r="K161" s="115" t="s">
        <v>789</v>
      </c>
      <c r="L161" s="86">
        <v>44329</v>
      </c>
      <c r="M161" s="93" t="s">
        <v>1061</v>
      </c>
      <c r="N161" s="86" t="s">
        <v>1063</v>
      </c>
      <c r="O161" s="93" t="s">
        <v>1062</v>
      </c>
      <c r="P161" s="111"/>
    </row>
    <row r="162" spans="1:16">
      <c r="A162" s="82"/>
      <c r="B162" s="119"/>
      <c r="C162" s="58"/>
      <c r="D162" s="58"/>
      <c r="E162" s="58"/>
      <c r="F162" s="82"/>
      <c r="G162" s="82"/>
      <c r="H162" s="105"/>
      <c r="I162" s="84"/>
      <c r="J162" s="136"/>
      <c r="K162" s="115"/>
      <c r="L162" s="86"/>
      <c r="M162" s="93"/>
      <c r="N162" s="86"/>
      <c r="O162" s="93"/>
      <c r="P162" s="111"/>
    </row>
    <row r="163" spans="1:16">
      <c r="A163" s="82"/>
      <c r="B163" s="119"/>
      <c r="C163" s="58"/>
      <c r="D163" s="58"/>
      <c r="E163" s="58"/>
      <c r="F163" s="82"/>
      <c r="G163" s="82"/>
      <c r="H163" s="105"/>
      <c r="I163" s="84"/>
      <c r="J163" s="136"/>
      <c r="K163" s="115"/>
      <c r="L163" s="86"/>
      <c r="M163" s="93"/>
      <c r="N163" s="86"/>
      <c r="O163" s="93"/>
      <c r="P163" s="111"/>
    </row>
    <row r="164" spans="1:16">
      <c r="A164" s="82"/>
      <c r="B164" s="119"/>
      <c r="C164" s="58"/>
      <c r="D164" s="58"/>
      <c r="E164" s="58"/>
      <c r="F164" s="82"/>
      <c r="G164" s="82"/>
      <c r="H164" s="105"/>
      <c r="I164" s="84"/>
      <c r="J164" s="136"/>
      <c r="K164" s="115"/>
      <c r="L164" s="86"/>
      <c r="M164" s="93"/>
      <c r="N164" s="86"/>
      <c r="O164" s="93"/>
      <c r="P164" s="111"/>
    </row>
    <row r="165" spans="1:16">
      <c r="A165" s="82"/>
      <c r="B165" s="119"/>
      <c r="C165" s="58"/>
      <c r="D165" s="58"/>
      <c r="E165" s="58"/>
      <c r="F165" s="82"/>
      <c r="G165" s="82"/>
      <c r="H165" s="105"/>
      <c r="I165" s="84"/>
      <c r="J165" s="136"/>
      <c r="K165" s="115"/>
      <c r="L165" s="86"/>
      <c r="M165" s="93"/>
      <c r="N165" s="86"/>
      <c r="O165" s="93"/>
      <c r="P165" s="111"/>
    </row>
    <row r="166" spans="1:16">
      <c r="A166" s="82"/>
      <c r="B166" s="119"/>
      <c r="C166" s="58"/>
      <c r="D166" s="58"/>
      <c r="E166" s="58"/>
      <c r="F166" s="82"/>
      <c r="G166" s="82"/>
      <c r="H166" s="105"/>
      <c r="I166" s="84"/>
      <c r="J166" s="136"/>
      <c r="K166" s="115"/>
      <c r="L166" s="86"/>
      <c r="M166" s="93"/>
      <c r="N166" s="86"/>
      <c r="O166" s="93"/>
      <c r="P166" s="111"/>
    </row>
    <row r="167" spans="1:16">
      <c r="A167" s="82"/>
      <c r="B167" s="119"/>
      <c r="C167" s="58"/>
      <c r="D167" s="58"/>
      <c r="E167" s="58"/>
      <c r="F167" s="82"/>
      <c r="G167" s="82"/>
      <c r="H167" s="105"/>
      <c r="I167" s="84"/>
      <c r="J167" s="136"/>
      <c r="K167" s="115"/>
      <c r="L167" s="86"/>
      <c r="M167" s="93"/>
      <c r="N167" s="86"/>
      <c r="O167" s="93"/>
      <c r="P167" s="111"/>
    </row>
    <row r="168" spans="1:16">
      <c r="A168" s="82"/>
      <c r="B168" s="119"/>
      <c r="C168" s="58"/>
      <c r="D168" s="58"/>
      <c r="E168" s="58"/>
      <c r="F168" s="82"/>
      <c r="G168" s="82"/>
      <c r="H168" s="105"/>
      <c r="I168" s="84"/>
      <c r="J168" s="136"/>
      <c r="K168" s="115"/>
      <c r="L168" s="86"/>
      <c r="M168" s="93"/>
      <c r="N168" s="86"/>
      <c r="O168" s="93"/>
      <c r="P168" s="111"/>
    </row>
    <row r="169" spans="1:16">
      <c r="A169" s="82"/>
      <c r="B169" s="119"/>
      <c r="C169" s="58"/>
      <c r="D169" s="58"/>
      <c r="E169" s="58"/>
      <c r="F169" s="82"/>
      <c r="G169" s="82"/>
      <c r="H169" s="105"/>
      <c r="I169" s="84"/>
      <c r="J169" s="136"/>
      <c r="K169" s="115"/>
      <c r="L169" s="86"/>
      <c r="M169" s="93"/>
      <c r="N169" s="86"/>
      <c r="O169" s="93"/>
      <c r="P169" s="111"/>
    </row>
    <row r="170" spans="1:16">
      <c r="A170" s="82"/>
      <c r="B170" s="119"/>
      <c r="C170" s="58"/>
      <c r="D170" s="58"/>
      <c r="E170" s="58"/>
      <c r="F170" s="82"/>
      <c r="G170" s="82"/>
      <c r="H170" s="105"/>
      <c r="I170" s="84"/>
      <c r="J170" s="136"/>
      <c r="K170" s="115"/>
      <c r="L170" s="86"/>
      <c r="M170" s="93"/>
      <c r="N170" s="86"/>
      <c r="O170" s="93"/>
      <c r="P170" s="111"/>
    </row>
  </sheetData>
  <autoFilter ref="A1:K158" xr:uid="{00000000-0009-0000-0000-000001000000}">
    <filterColumn colId="10">
      <filters>
        <filter val="Decision Updated"/>
      </filters>
    </filterColumn>
  </autoFilter>
  <dataConsolidate/>
  <dataValidations count="2">
    <dataValidation type="list" allowBlank="1" showInputMessage="1" showErrorMessage="1" sqref="K85:K97 K99:K170" xr:uid="{00000000-0002-0000-0100-000000000000}">
      <formula1>"Draft, In Review, Approved, Decision Updated"</formula1>
    </dataValidation>
    <dataValidation type="list" allowBlank="1" showInputMessage="1" showErrorMessage="1" sqref="K98 K2:K84" xr:uid="{00000000-0002-0000-0100-000001000000}">
      <formula1>"Draft, In Review, Approved, Decision Updated, UI Pending"</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Q433"/>
  <sheetViews>
    <sheetView topLeftCell="B1" zoomScale="90" zoomScaleNormal="90" workbookViewId="0">
      <selection activeCell="D34" sqref="D34"/>
    </sheetView>
  </sheetViews>
  <sheetFormatPr defaultColWidth="9.1328125" defaultRowHeight="30" customHeight="1"/>
  <cols>
    <col min="1" max="1" width="21.73046875" style="28" hidden="1" customWidth="1"/>
    <col min="2" max="2" width="21.73046875" style="28" customWidth="1"/>
    <col min="3" max="3" width="21.73046875" style="31" customWidth="1"/>
    <col min="4" max="44" width="21.73046875" style="28" customWidth="1"/>
    <col min="45" max="56" width="23.59765625" style="28" customWidth="1"/>
    <col min="57" max="16384" width="9.1328125" style="28"/>
  </cols>
  <sheetData>
    <row r="3" spans="2:7" ht="30" customHeight="1">
      <c r="B3" s="23"/>
      <c r="C3" s="24" t="s">
        <v>715</v>
      </c>
      <c r="D3" s="25" t="e">
        <f>COUNTIF('DBX Sprint'!#REF!,"OOTB without Customization")</f>
        <v>#REF!</v>
      </c>
      <c r="E3" s="23"/>
      <c r="F3" s="26" t="s">
        <v>716</v>
      </c>
      <c r="G3" s="27"/>
    </row>
    <row r="4" spans="2:7" ht="30" customHeight="1">
      <c r="B4" s="23"/>
      <c r="C4" s="24" t="s">
        <v>717</v>
      </c>
      <c r="D4" s="25" t="e">
        <f>COUNTIF('DBX Sprint'!#REF!,"OOTB with Customization")</f>
        <v>#REF!</v>
      </c>
      <c r="E4" s="23"/>
      <c r="F4" s="29" t="s">
        <v>718</v>
      </c>
      <c r="G4" s="25">
        <f>COUNTIF('DBX Sprint'!$B$1:$B$62,"Sprint 08")</f>
        <v>0</v>
      </c>
    </row>
    <row r="5" spans="2:7" ht="30" customHeight="1">
      <c r="B5" s="23"/>
      <c r="C5" s="24" t="s">
        <v>6</v>
      </c>
      <c r="D5" s="25" t="e">
        <f>COUNTIF('DBX Sprint'!#REF!,"New Feature")</f>
        <v>#REF!</v>
      </c>
      <c r="E5" s="23"/>
      <c r="F5" s="29" t="s">
        <v>719</v>
      </c>
      <c r="G5" s="25">
        <f>COUNTIF('DBX Sprint'!$B$1:$B$62,"Sprint 09")</f>
        <v>0</v>
      </c>
    </row>
    <row r="6" spans="2:7" ht="30" customHeight="1">
      <c r="B6" s="23"/>
      <c r="C6" s="24" t="s">
        <v>720</v>
      </c>
      <c r="D6" s="25" t="e">
        <f>(COUNTA('DBX Sprint'!#REF!))-SUM(D3:D5)</f>
        <v>#REF!</v>
      </c>
      <c r="E6" s="23"/>
      <c r="F6" s="29" t="s">
        <v>8</v>
      </c>
      <c r="G6" s="25">
        <f>COUNTIF('DBX Sprint'!$B$1:$B$62,"Sprint 10")</f>
        <v>0</v>
      </c>
    </row>
    <row r="7" spans="2:7" ht="30" customHeight="1">
      <c r="B7" s="23"/>
      <c r="C7" s="30" t="s">
        <v>721</v>
      </c>
      <c r="D7" s="25" t="e">
        <f>SUM(D3:D6)</f>
        <v>#REF!</v>
      </c>
      <c r="E7" s="23"/>
      <c r="F7" s="29" t="s">
        <v>9</v>
      </c>
      <c r="G7" s="25">
        <f>COUNTIF('DBX Sprint'!$B$1:$B$62,"Sprint 11")</f>
        <v>0</v>
      </c>
    </row>
    <row r="8" spans="2:7" ht="30" customHeight="1">
      <c r="F8" s="29" t="s">
        <v>11</v>
      </c>
      <c r="G8" s="25">
        <f>COUNTIF('DBX Sprint'!$B$1:$B$62,"Sprint 12")</f>
        <v>0</v>
      </c>
    </row>
    <row r="9" spans="2:7" ht="30" customHeight="1">
      <c r="F9" s="29" t="s">
        <v>12</v>
      </c>
      <c r="G9" s="25">
        <f>COUNTIF('DBX Sprint'!$B$1:$B$62,"Sprint 13")</f>
        <v>0</v>
      </c>
    </row>
    <row r="10" spans="2:7" ht="30" customHeight="1">
      <c r="F10" s="29" t="s">
        <v>13</v>
      </c>
      <c r="G10" s="25">
        <f>COUNTIF('DBX Sprint'!$B$1:$B$62,"Sprint 14")</f>
        <v>0</v>
      </c>
    </row>
    <row r="11" spans="2:7" ht="30" customHeight="1">
      <c r="F11" s="29" t="s">
        <v>14</v>
      </c>
      <c r="G11" s="25">
        <f>COUNTIF('DBX Sprint'!$B$1:$B$62,"Sprint 15")</f>
        <v>0</v>
      </c>
    </row>
    <row r="12" spans="2:7" ht="30" customHeight="1">
      <c r="F12" s="32" t="s">
        <v>721</v>
      </c>
      <c r="G12" s="33">
        <f>SUM(G4:G11)</f>
        <v>0</v>
      </c>
    </row>
    <row r="19" spans="3:43" ht="22.5">
      <c r="C19" s="34"/>
      <c r="D19" s="35" t="s">
        <v>722</v>
      </c>
      <c r="E19" s="35" t="s">
        <v>723</v>
      </c>
      <c r="F19" s="35" t="s">
        <v>6</v>
      </c>
      <c r="G19" s="35" t="s">
        <v>721</v>
      </c>
    </row>
    <row r="20" spans="3:43" ht="30" customHeight="1">
      <c r="C20" s="36" t="s">
        <v>718</v>
      </c>
      <c r="D20" s="25" t="e">
        <f>COUNTIFS('DBX Sprint'!$B$1:$B$62,"Sprint 08",'DBX Sprint'!#REF!,"OOTB without Customization")</f>
        <v>#REF!</v>
      </c>
      <c r="E20" s="25" t="e">
        <f>COUNTIFS('DBX Sprint'!$B$1:$B$62,"Sprint 08",'DBX Sprint'!#REF!,"OOTB with Customization")</f>
        <v>#REF!</v>
      </c>
      <c r="F20" s="25" t="e">
        <f>COUNTIFS('DBX Sprint'!$B$1:$B$62,"Sprint 08",'DBX Sprint'!#REF!,"New Feature")</f>
        <v>#REF!</v>
      </c>
      <c r="G20" s="25" t="e">
        <f>SUM(D20:F20)</f>
        <v>#REF!</v>
      </c>
    </row>
    <row r="21" spans="3:43" ht="30" customHeight="1">
      <c r="C21" s="36" t="s">
        <v>719</v>
      </c>
      <c r="D21" s="25" t="e">
        <f>COUNTIFS('DBX Sprint'!$B$1:$B$62,"Sprint 09",'DBX Sprint'!#REF!,"OOTB without Customization")</f>
        <v>#REF!</v>
      </c>
      <c r="E21" s="25" t="e">
        <f>COUNTIFS('DBX Sprint'!$B$1:$B$62,"Sprint 09",'DBX Sprint'!#REF!,"OOTB with Customization")</f>
        <v>#REF!</v>
      </c>
      <c r="F21" s="25" t="e">
        <f>COUNTIFS('DBX Sprint'!$B$1:$B$62,"Sprint 09",'DBX Sprint'!#REF!,"New Feature")</f>
        <v>#REF!</v>
      </c>
      <c r="G21" s="25" t="e">
        <f t="shared" ref="G21:G27" si="0">SUM(D21:F21)</f>
        <v>#REF!</v>
      </c>
    </row>
    <row r="22" spans="3:43" ht="30" customHeight="1">
      <c r="C22" s="36" t="s">
        <v>8</v>
      </c>
      <c r="D22" s="25" t="e">
        <f>COUNTIFS('DBX Sprint'!$B$1:$B$62,"Sprint 10",'DBX Sprint'!#REF!,"OOTB without Customization")</f>
        <v>#REF!</v>
      </c>
      <c r="E22" s="25" t="e">
        <f>COUNTIFS('DBX Sprint'!$B$1:$B$62,"Sprint 10",'DBX Sprint'!#REF!,"OOTB with Customization")</f>
        <v>#REF!</v>
      </c>
      <c r="F22" s="25" t="e">
        <f>COUNTIFS('DBX Sprint'!$B$1:$B$62,"Sprint 10",'DBX Sprint'!#REF!,"New Feature")</f>
        <v>#REF!</v>
      </c>
      <c r="G22" s="25" t="e">
        <f t="shared" si="0"/>
        <v>#REF!</v>
      </c>
    </row>
    <row r="23" spans="3:43" ht="30" customHeight="1">
      <c r="C23" s="36" t="s">
        <v>9</v>
      </c>
      <c r="D23" s="25" t="e">
        <f>COUNTIFS('DBX Sprint'!$B$1:$B$62,"Sprint 11",'DBX Sprint'!#REF!,"OOTB without Customization")</f>
        <v>#REF!</v>
      </c>
      <c r="E23" s="25" t="e">
        <f>COUNTIFS('DBX Sprint'!$B$1:$B$62,"Sprint 11",'DBX Sprint'!#REF!,"OOTB with Customization")</f>
        <v>#REF!</v>
      </c>
      <c r="F23" s="25" t="e">
        <f>COUNTIFS('DBX Sprint'!$B$1:$B$62,"Sprint 11",'DBX Sprint'!#REF!,"New Feature")</f>
        <v>#REF!</v>
      </c>
      <c r="G23" s="25" t="e">
        <f t="shared" si="0"/>
        <v>#REF!</v>
      </c>
    </row>
    <row r="24" spans="3:43" ht="30" customHeight="1">
      <c r="C24" s="36" t="s">
        <v>11</v>
      </c>
      <c r="D24" s="25" t="e">
        <f>COUNTIFS('DBX Sprint'!$B$1:$B$62,"Sprint 12",'DBX Sprint'!#REF!,"OOTB without Customization")</f>
        <v>#REF!</v>
      </c>
      <c r="E24" s="25" t="e">
        <f>COUNTIFS('DBX Sprint'!$B$1:$B$62,"Sprint 12",'DBX Sprint'!#REF!,"OOTB with Customization")</f>
        <v>#REF!</v>
      </c>
      <c r="F24" s="25" t="e">
        <f>COUNTIFS('DBX Sprint'!$B$1:$B$62,"Sprint 12",'DBX Sprint'!#REF!,"New Feature")</f>
        <v>#REF!</v>
      </c>
      <c r="G24" s="25" t="e">
        <f t="shared" si="0"/>
        <v>#REF!</v>
      </c>
    </row>
    <row r="25" spans="3:43" ht="30" customHeight="1">
      <c r="C25" s="36" t="s">
        <v>12</v>
      </c>
      <c r="D25" s="25" t="e">
        <f>COUNTIFS('DBX Sprint'!$B$1:$B$62,"Sprint 13",'DBX Sprint'!#REF!,"OOTB without Customization")</f>
        <v>#REF!</v>
      </c>
      <c r="E25" s="25" t="e">
        <f>COUNTIFS('DBX Sprint'!$B$1:$B$62,"Sprint 13",'DBX Sprint'!#REF!,"OOTB with Customization")</f>
        <v>#REF!</v>
      </c>
      <c r="F25" s="25" t="e">
        <f>COUNTIFS('DBX Sprint'!$B$1:$B$62,"Sprint 13",'DBX Sprint'!#REF!,"New Feature")</f>
        <v>#REF!</v>
      </c>
      <c r="G25" s="25" t="e">
        <f t="shared" si="0"/>
        <v>#REF!</v>
      </c>
    </row>
    <row r="26" spans="3:43" ht="30" customHeight="1">
      <c r="C26" s="36" t="s">
        <v>13</v>
      </c>
      <c r="D26" s="25" t="e">
        <f>COUNTIFS('DBX Sprint'!$B$1:$B$62,"Sprint 14",'DBX Sprint'!#REF!,"OOTB without Customization")</f>
        <v>#REF!</v>
      </c>
      <c r="E26" s="25" t="e">
        <f>COUNTIFS('DBX Sprint'!$B$1:$B$62,"Sprint 14",'DBX Sprint'!#REF!,"OOTB with Customization")</f>
        <v>#REF!</v>
      </c>
      <c r="F26" s="25" t="e">
        <f>COUNTIFS('DBX Sprint'!$B$1:$B$62,"Sprint 14",'DBX Sprint'!#REF!,"New Feature")</f>
        <v>#REF!</v>
      </c>
      <c r="G26" s="25" t="e">
        <f t="shared" si="0"/>
        <v>#REF!</v>
      </c>
    </row>
    <row r="27" spans="3:43" ht="30" customHeight="1">
      <c r="C27" s="36" t="s">
        <v>14</v>
      </c>
      <c r="D27" s="25" t="e">
        <f>COUNTIFS('DBX Sprint'!$B$1:$B$62,"Sprint 15",'DBX Sprint'!#REF!,"OOTB without Customization")</f>
        <v>#REF!</v>
      </c>
      <c r="E27" s="25" t="e">
        <f>COUNTIFS('DBX Sprint'!$B$1:$B$62,"Sprint 15",'DBX Sprint'!#REF!,"OOTB with Customization")</f>
        <v>#REF!</v>
      </c>
      <c r="F27" s="25" t="e">
        <f>COUNTIFS('DBX Sprint'!$B$1:$B$62,"Sprint 15",'DBX Sprint'!#REF!,"New Feature")</f>
        <v>#REF!</v>
      </c>
      <c r="G27" s="25" t="e">
        <f t="shared" si="0"/>
        <v>#REF!</v>
      </c>
    </row>
    <row r="28" spans="3:43" ht="30" customHeight="1">
      <c r="C28" s="30" t="s">
        <v>721</v>
      </c>
      <c r="D28" s="33" t="e">
        <f>SUM(D20:D27)</f>
        <v>#REF!</v>
      </c>
      <c r="E28" s="33" t="e">
        <f>SUM(E20:E27)</f>
        <v>#REF!</v>
      </c>
      <c r="F28" s="33" t="e">
        <f>SUM(F20:F27)</f>
        <v>#REF!</v>
      </c>
      <c r="G28" s="33" t="e">
        <f>SUM(G20:G27)</f>
        <v>#REF!</v>
      </c>
    </row>
    <row r="32" spans="3:43" s="46" customFormat="1" ht="30" customHeight="1">
      <c r="C32" s="45" t="s">
        <v>724</v>
      </c>
      <c r="D32" s="45"/>
      <c r="E32" s="45"/>
      <c r="F32" s="45"/>
      <c r="G32" s="45"/>
      <c r="I32" s="45" t="s">
        <v>725</v>
      </c>
      <c r="J32" s="47"/>
      <c r="K32" s="47"/>
      <c r="L32" s="47"/>
      <c r="M32" s="47"/>
      <c r="O32" s="45" t="s">
        <v>726</v>
      </c>
      <c r="P32" s="45"/>
      <c r="Q32" s="45"/>
      <c r="R32" s="45"/>
      <c r="S32" s="45"/>
      <c r="U32" s="45" t="s">
        <v>727</v>
      </c>
      <c r="V32" s="45"/>
      <c r="W32" s="45"/>
      <c r="X32" s="45"/>
      <c r="Y32" s="45"/>
      <c r="AA32" s="45" t="s">
        <v>728</v>
      </c>
      <c r="AB32" s="45"/>
      <c r="AC32" s="45"/>
      <c r="AD32" s="45"/>
      <c r="AE32" s="45"/>
      <c r="AG32" s="48" t="s">
        <v>729</v>
      </c>
      <c r="AH32" s="48"/>
      <c r="AI32" s="48"/>
      <c r="AJ32" s="48"/>
      <c r="AK32" s="48"/>
      <c r="AM32" s="48" t="s">
        <v>730</v>
      </c>
      <c r="AN32" s="48"/>
      <c r="AO32" s="48"/>
      <c r="AP32" s="48"/>
      <c r="AQ32" s="48"/>
    </row>
    <row r="33" spans="3:43" s="50" customFormat="1" ht="30" customHeight="1">
      <c r="C33" s="49" t="s">
        <v>17</v>
      </c>
      <c r="D33" s="50" t="s">
        <v>731</v>
      </c>
      <c r="E33" s="49" t="s">
        <v>732</v>
      </c>
      <c r="F33" s="49" t="s">
        <v>733</v>
      </c>
      <c r="G33" s="49" t="s">
        <v>734</v>
      </c>
      <c r="I33" s="50" t="s">
        <v>17</v>
      </c>
      <c r="J33" s="50" t="s">
        <v>731</v>
      </c>
      <c r="K33" s="49" t="s">
        <v>732</v>
      </c>
      <c r="L33" s="49" t="s">
        <v>733</v>
      </c>
      <c r="M33" s="49" t="s">
        <v>734</v>
      </c>
      <c r="O33" s="50" t="s">
        <v>17</v>
      </c>
      <c r="P33" s="50" t="s">
        <v>731</v>
      </c>
      <c r="Q33" s="49" t="s">
        <v>732</v>
      </c>
      <c r="R33" s="49" t="s">
        <v>733</v>
      </c>
      <c r="S33" s="49" t="s">
        <v>734</v>
      </c>
      <c r="U33" s="50" t="s">
        <v>17</v>
      </c>
      <c r="V33" s="50" t="s">
        <v>731</v>
      </c>
      <c r="W33" s="49" t="s">
        <v>732</v>
      </c>
      <c r="X33" s="49" t="s">
        <v>733</v>
      </c>
      <c r="Y33" s="49" t="s">
        <v>734</v>
      </c>
      <c r="AA33" s="50" t="s">
        <v>17</v>
      </c>
      <c r="AB33" s="50" t="s">
        <v>731</v>
      </c>
      <c r="AC33" s="49" t="s">
        <v>732</v>
      </c>
      <c r="AD33" s="49" t="s">
        <v>733</v>
      </c>
      <c r="AE33" s="49" t="s">
        <v>734</v>
      </c>
      <c r="AG33" s="50" t="s">
        <v>17</v>
      </c>
      <c r="AH33" s="50" t="s">
        <v>731</v>
      </c>
      <c r="AI33" s="49" t="s">
        <v>732</v>
      </c>
      <c r="AJ33" s="49" t="s">
        <v>733</v>
      </c>
      <c r="AK33" s="49" t="s">
        <v>734</v>
      </c>
      <c r="AM33" s="50" t="s">
        <v>17</v>
      </c>
      <c r="AN33" s="50" t="s">
        <v>731</v>
      </c>
      <c r="AO33" s="49" t="s">
        <v>732</v>
      </c>
      <c r="AP33" s="49" t="s">
        <v>733</v>
      </c>
      <c r="AQ33" s="49" t="s">
        <v>734</v>
      </c>
    </row>
    <row r="34" spans="3:43" ht="30" customHeight="1">
      <c r="C34" s="41" t="str" cm="1">
        <f t="array" ref="C34">IFERROR(INDEX('DBX Sprint'!$A$7:$K$62, SMALL(IF((INDEX('DBX Sprint'!$A$7:$K$62, ,13)=("Complete"))*(INDEX('DBX Sprint'!$A$7:$K$62, ,13)="Complete"),MATCH(ROW('DBX Sprint'!$A$7:$K$62),ROW('DBX Sprint'!$A$7:$K$62)),""),ROWS(C$34:$C34)),COLUMNS('DBX Sprint'!$A$1:A1)),"")</f>
        <v/>
      </c>
      <c r="D34" s="41" t="str" cm="1">
        <f t="array" aca="1" ref="D34" ca="1">IFERROR(INDEX('DBX Sprint'!$A$7:$K$62, SMALL(IF((INDEX('DBX Sprint'!$A$7:$K$62, ,13)&lt;(TODAY()))*(INDEX('DBX Sprint'!$A$7:$K$62, ,13)&lt;&gt;"Complete"),MATCH(ROW('DBX Sprint'!$A$7:$K$62),ROW('DBX Sprint'!$A$7:$K$62)),""),ROWS(D$34:$D34)),COLUMNS('DBX Sprint'!$A$1:A1)),"")</f>
        <v/>
      </c>
      <c r="E34" s="37" t="str" cm="1">
        <f t="array" aca="1" ref="E34" ca="1">IFERROR(INDEX('DBX Sprint'!$A$7:$K$62, SMALL(IF((INDEX('DBX Sprint'!$A$7:$K$62, ,13)&lt;=(TODAY()+1))*(INDEX('DBX Sprint'!$A$7:$K$62, ,13)&gt;=TODAY()),MATCH(ROW('DBX Sprint'!$A$7:$K$62),ROW('DBX Sprint'!$A$7:$K$62)),""),ROWS(E$34:$E34)),COLUMNS('DBX Sprint'!$A$1:A1)),"")</f>
        <v/>
      </c>
      <c r="F34" s="38" t="str" cm="1">
        <f t="array" aca="1" ref="F34" ca="1">IFERROR(INDEX('DBX Sprint'!$A$7:$K$62, SMALL(IF((INDEX('DBX Sprint'!$A$7:$K$62, ,13)&lt;=(TODAY()+5))*(INDEX('DBX Sprint'!$A$7:$K$62, ,13)&gt;(TODAY()+1)),MATCH(ROW('DBX Sprint'!$A$7:$K$62),ROW('DBX Sprint'!$A$7:$K$62)),""),ROWS($F$34:F34)),COLUMNS('DBX Sprint'!$A$1:A1)),"")</f>
        <v/>
      </c>
      <c r="G34" s="38" t="str" cm="1">
        <f t="array" aca="1" ref="G34" ca="1">IFERROR(INDEX('DBX Sprint'!$A$7:$K$62, SMALL(IF((INDEX('DBX Sprint'!$A$7:$K$62, ,13)&lt;=(TODAY()+10))*(INDEX('DBX Sprint'!$A$7:$K$62, ,13)&gt;(TODAY()+5)),MATCH(ROW('DBX Sprint'!$A$7:$K$62),ROW('DBX Sprint'!$A$7:$K$62)),""),ROWS($G$34:G34)),COLUMNS('DBX Sprint'!$A$1:A1)),"")</f>
        <v/>
      </c>
      <c r="I34" s="41" t="str" cm="1">
        <f t="array" ref="I34">IFERROR(INDEX('DBX Sprint'!$A$7:$K$62, SMALL(IF((INDEX('DBX Sprint'!$A$7:$K$62, ,16)=("Complete"))*(INDEX('DBX Sprint'!$A$7:$K$62, ,16)="Complete"),MATCH(ROW('DBX Sprint'!$A$7:$K$62),ROW('DBX Sprint'!$A$7:$K$62)),""),ROWS($I$34:I34)),COLUMNS('DBX Sprint'!$A$1:A1)),"")</f>
        <v/>
      </c>
      <c r="J34" s="41" t="str" cm="1">
        <f t="array" aca="1" ref="J34" ca="1">IFERROR(INDEX('DBX Sprint'!$A$7:$K$62, SMALL(IF((INDEX('DBX Sprint'!$A$7:$K$62, ,16)&lt;(TODAY()))*(INDEX('DBX Sprint'!$A$7:$K$62, ,16)&lt;&gt;"Complete"),MATCH(ROW('DBX Sprint'!$A$7:$K$62),ROW('DBX Sprint'!$A$7:$K$62)),""),ROWS($J$34:J34)),COLUMNS('DBX Sprint'!$A$1:A1)),"")</f>
        <v/>
      </c>
      <c r="K34" s="37" t="str" cm="1">
        <f t="array" aca="1" ref="K34" ca="1">IFERROR(INDEX('DBX Sprint'!$A$7:$K$62, SMALL(IF((INDEX('DBX Sprint'!$A$7:$K$62, ,16)&lt;=(TODAY()+1))*(INDEX('DBX Sprint'!$A$7:$K$62, ,16)&gt;=TODAY()),MATCH(ROW('DBX Sprint'!$A$7:$K$62),ROW('DBX Sprint'!$A$7:$K$62)),""),ROWS($K$34:K34)),COLUMNS('DBX Sprint'!$A$1:A1)),"")</f>
        <v/>
      </c>
      <c r="L34" s="38" t="str" cm="1">
        <f t="array" aca="1" ref="L34" ca="1">IFERROR(INDEX('DBX Sprint'!$A$7:$K$62, SMALL(IF((INDEX('DBX Sprint'!$A$7:$K$62, ,16)&lt;=(TODAY()+5))*(INDEX('DBX Sprint'!$A$7:$K$62, ,16)&gt;(TODAY()+1)),MATCH(ROW('DBX Sprint'!$A$7:$K$62),ROW('DBX Sprint'!$A$7:$K$62)),""),ROWS($L$34:L34)),COLUMNS('DBX Sprint'!$A$1:A1)),"")</f>
        <v/>
      </c>
      <c r="M34" s="38" t="str" cm="1">
        <f t="array" aca="1" ref="M34" ca="1">IFERROR(INDEX('DBX Sprint'!$A$7:$K$62, SMALL(IF((INDEX('DBX Sprint'!$A$7:$K$62, ,16)&lt;=(TODAY()+10))*(INDEX('DBX Sprint'!$A$7:$K$62, ,16)&gt;(TODAY()+5)),MATCH(ROW('DBX Sprint'!$A$7:$K$62),ROW('DBX Sprint'!$A$7:$K$62)),""),ROWS($M$34:M34)),COLUMNS('DBX Sprint'!$A$1:A1)),"")</f>
        <v/>
      </c>
      <c r="O34" s="41" t="str" cm="1">
        <f t="array" ref="O34">IFERROR(INDEX('DBX Sprint'!$A$7:$K$62, SMALL(IF((INDEX('DBX Sprint'!$A$7:$K$62, ,19)=("Complete"))*(INDEX('DBX Sprint'!$A$7:$K$62, ,19)="Complete"),MATCH(ROW('DBX Sprint'!$A$7:$K$62),ROW('DBX Sprint'!$A$7:$K$62)),""),ROWS($O$34:O34)),COLUMNS('DBX Sprint'!$A$1:A1)),"")</f>
        <v/>
      </c>
      <c r="P34" s="41" t="str" cm="1">
        <f t="array" aca="1" ref="P34" ca="1">IFERROR(INDEX('DBX Sprint'!$A$7:$K$62, SMALL(IF((INDEX('DBX Sprint'!$A$7:$K$62, ,19)&lt;(TODAY()))*(INDEX('DBX Sprint'!$A$7:$K$62, ,19)&lt;&gt;"Complete"),MATCH(ROW('DBX Sprint'!$A$7:$K$62),ROW('DBX Sprint'!$A$7:$K$62)),""),ROWS($P$34:P34)),COLUMNS('DBX Sprint'!$A$1:A1)),"")</f>
        <v/>
      </c>
      <c r="Q34" s="41" t="str" cm="1">
        <f t="array" aca="1" ref="Q34" ca="1">IFERROR(INDEX('DBX Sprint'!$A$7:$K$62, SMALL(IF((INDEX('DBX Sprint'!$A$7:$K$62, ,19)&lt;=(TODAY()+1))*(INDEX('DBX Sprint'!$A$7:$K$62, ,19)&gt;=TODAY()),MATCH(ROW('DBX Sprint'!$A$7:$K$62),ROW('DBX Sprint'!$A$7:$K$62)),""),ROWS($Q$34:Q34)),COLUMNS('DBX Sprint'!$A$1:A1)),"")</f>
        <v/>
      </c>
      <c r="R34" s="43" t="str" cm="1">
        <f t="array" aca="1" ref="R34" ca="1">IFERROR(INDEX('DBX Sprint'!$A$7:$K$62, SMALL(IF((INDEX('DBX Sprint'!$A$7:$K$62, ,19)&lt;=(TODAY()+5))*(INDEX('DBX Sprint'!$A$7:$K$62, ,19)&gt;(TODAY()+1)),MATCH(ROW('DBX Sprint'!$A$7:$K$62),ROW('DBX Sprint'!$A$7:$K$62)),""),ROWS($R$34:R34)),COLUMNS('DBX Sprint'!$A$1:A1)),"")</f>
        <v/>
      </c>
      <c r="S34" s="43" t="str" cm="1">
        <f t="array" aca="1" ref="S34" ca="1">IFERROR(INDEX('DBX Sprint'!$A$7:$K$62, SMALL(IF((INDEX('DBX Sprint'!$A$7:$K$62, ,19)&lt;=(TODAY()+10))*(INDEX('DBX Sprint'!$A$7:$K$62, ,19)&gt;(TODAY()+5)),MATCH(ROW('DBX Sprint'!$A$7:$K$62),ROW('DBX Sprint'!$A$7:$K$62)),""),ROWS($S$34:S34)),COLUMNS('DBX Sprint'!$A$1:A1)),"")</f>
        <v/>
      </c>
      <c r="U34" s="41" t="str" cm="1">
        <f t="array" ref="U34">IFERROR(INDEX('DBX Sprint'!$A$7:$K$62, SMALL(IF((INDEX('DBX Sprint'!$A$7:$K$62, ,22)=("Complete"))*(INDEX('DBX Sprint'!$A$7:$K$62, ,22)="Complete"),MATCH(ROW('DBX Sprint'!$A$7:$K$62),ROW('DBX Sprint'!$A$7:$K$62)),""),ROWS($U$34:U34)),COLUMNS('DBX Sprint'!$A$1:A1)),"")</f>
        <v/>
      </c>
      <c r="V34" s="41" t="str" cm="1">
        <f t="array" aca="1" ref="V34" ca="1">IFERROR(INDEX('DBX Sprint'!$A$7:$K$62, SMALL(IF((INDEX('DBX Sprint'!$A$7:$K$62, ,22)&lt;(TODAY()))*(INDEX('DBX Sprint'!$A$7:$K$62, ,22)&lt;&gt;"Complete"),MATCH(ROW('DBX Sprint'!$A$7:$K$62),ROW('DBX Sprint'!$A$7:$K$62)),""),ROWS($V$34:V34)),COLUMNS('DBX Sprint'!$A$1:A1)),"")</f>
        <v/>
      </c>
      <c r="W34" s="41" t="str" cm="1">
        <f t="array" aca="1" ref="W34" ca="1">IFERROR(INDEX('DBX Sprint'!$A$7:$K$62, SMALL(IF((INDEX('DBX Sprint'!$A$7:$K$62, ,22)&lt;=(TODAY()+1))*(INDEX('DBX Sprint'!$A$7:$K$62, ,22)&gt;=TODAY()),MATCH(ROW('DBX Sprint'!$A$7:$K$62),ROW('DBX Sprint'!$A$7:$K$62)),""),ROWS($W$34:W34)),COLUMNS('DBX Sprint'!$A$1:A1)),"")</f>
        <v/>
      </c>
      <c r="X34" s="43" t="str" cm="1">
        <f t="array" aca="1" ref="X34" ca="1">IFERROR(INDEX('DBX Sprint'!$A$7:$K$62, SMALL(IF((INDEX('DBX Sprint'!$A$7:$K$62, ,22)&lt;=(TODAY()+5))*(INDEX('DBX Sprint'!$A$7:$K$62, ,22)&gt;(TODAY()+1)),MATCH(ROW('DBX Sprint'!$A$7:$K$62),ROW('DBX Sprint'!$A$7:$K$62)),""),ROWS($X$34:X34)),COLUMNS('DBX Sprint'!$A$1:A1)),"")</f>
        <v/>
      </c>
      <c r="Y34" s="43" t="str" cm="1">
        <f t="array" aca="1" ref="Y34" ca="1">IFERROR(INDEX('DBX Sprint'!$A$7:$K$62, SMALL(IF((INDEX('DBX Sprint'!$A$7:$K$62, ,22)&lt;=(TODAY()+10))*(INDEX('DBX Sprint'!$A$7:$K$62, ,22)&gt;(TODAY()+5)),MATCH(ROW('DBX Sprint'!$A$7:$K$62),ROW('DBX Sprint'!$A$7:$K$62)),""),ROWS($Y$34:Y34)),COLUMNS('DBX Sprint'!$A$1:A1)),"")</f>
        <v/>
      </c>
      <c r="AA34" s="41" t="str" cm="1">
        <f t="array" ref="AA34">IFERROR(INDEX('DBX Sprint'!$A$7:$K$62, SMALL(IF((INDEX('DBX Sprint'!$A$7:$K$62, ,25)=("Complete"))*(INDEX('DBX Sprint'!$A$7:$K$62, ,25)="Complete"),MATCH(ROW('DBX Sprint'!$A$7:$K$62),ROW('DBX Sprint'!$A$7:$K$62)),""),ROWS($AA$34:AA34)),COLUMNS('DBX Sprint'!$A$1:A1)),"")</f>
        <v/>
      </c>
      <c r="AB34" s="41" t="str" cm="1">
        <f t="array" aca="1" ref="AB34" ca="1">IFERROR(INDEX('DBX Sprint'!$A$7:$K$62, SMALL(IF((INDEX('DBX Sprint'!$A$7:$K$62, ,25)&lt;(TODAY()))*(INDEX('DBX Sprint'!$A$7:$K$62, ,25)&lt;&gt;"Complete"),MATCH(ROW('DBX Sprint'!$A$7:$K$62),ROW('DBX Sprint'!$A$7:$K$62)),""),ROWS($AB$34:AB34)),COLUMNS('DBX Sprint'!$A$1:A1)),"")</f>
        <v/>
      </c>
      <c r="AC34" s="41" t="str" cm="1">
        <f t="array" aca="1" ref="AC34" ca="1">IFERROR(INDEX('DBX Sprint'!$A$7:$K$62, SMALL(IF((INDEX('DBX Sprint'!$A$7:$K$62, ,25)&lt;=(TODAY()+1))*(INDEX('DBX Sprint'!$A$7:$K$62, ,25)&gt;=TODAY()),MATCH(ROW('DBX Sprint'!$A$7:$K$62),ROW('DBX Sprint'!$A$7:$K$62)),""),ROWS($AC$34:AC34)),COLUMNS('DBX Sprint'!$A$1:A1)),"")</f>
        <v/>
      </c>
      <c r="AD34" s="43" t="str" cm="1">
        <f t="array" aca="1" ref="AD34" ca="1">IFERROR(INDEX('DBX Sprint'!$A$7:$K$62, SMALL(IF((INDEX('DBX Sprint'!$A$7:$K$62, ,25)&lt;=(TODAY()+5))*(INDEX('DBX Sprint'!$A$7:$K$62, ,25)&gt;(TODAY()+1)),MATCH(ROW('DBX Sprint'!$A$7:$K$62),ROW('DBX Sprint'!$A$7:$K$62)),""),ROWS($AD$34:AD34)),COLUMNS('DBX Sprint'!$A$1:A1)),"")</f>
        <v/>
      </c>
      <c r="AE34" s="43" t="str" cm="1">
        <f t="array" aca="1" ref="AE34" ca="1">IFERROR(INDEX('DBX Sprint'!$A$7:$K$62, SMALL(IF((INDEX('DBX Sprint'!$A$7:$K$62, ,25)&lt;=(TODAY()+10))*(INDEX('DBX Sprint'!$A$7:$K$62, ,25)&gt;(TODAY()+5)),MATCH(ROW('DBX Sprint'!$A$7:$K$62),ROW('DBX Sprint'!$A$7:$K$62)),""),ROWS($AE$34:AE34)),COLUMNS('DBX Sprint'!$A$1:A1)),"")</f>
        <v/>
      </c>
      <c r="AG34" s="41" t="str" cm="1">
        <f t="array" ref="AG34">IFERROR(INDEX('DBX Sprint'!$A$7:$K$62, SMALL(IF((INDEX('DBX Sprint'!$A$7:$K$62, ,29)=("Complete"))*(INDEX('DBX Sprint'!$A$7:$K$62, ,29)="Complete"),MATCH(ROW('DBX Sprint'!$A$7:$K$62),ROW('DBX Sprint'!$A$7:$K$62)),""),ROWS($AG$34:AG34)),COLUMNS('DBX Sprint'!$A$1:A1)),"")</f>
        <v/>
      </c>
      <c r="AH34" s="41" t="str" cm="1">
        <f t="array" aca="1" ref="AH34" ca="1">IFERROR(INDEX('DBX Sprint'!$A$7:$K$62, SMALL(IF((INDEX('DBX Sprint'!$A$7:$K$62, ,29)&lt;(TODAY()))*(INDEX('DBX Sprint'!$A$7:$K$62, ,29)&lt;&gt;"Complete"),MATCH(ROW('DBX Sprint'!$A$7:$K$62),ROW('DBX Sprint'!$A$7:$K$62)),""),ROWS($AH$34:AH34)),COLUMNS('DBX Sprint'!$A$1:A1)),"")</f>
        <v/>
      </c>
      <c r="AI34" s="41" t="str" cm="1">
        <f t="array" aca="1" ref="AI34" ca="1">IFERROR(INDEX('DBX Sprint'!$A$7:$K$62, SMALL(IF((INDEX('DBX Sprint'!$A$7:$K$62, ,29)&lt;=(TODAY()+1))*(INDEX('DBX Sprint'!$A$7:$K$62, ,29)&gt;=TODAY()),MATCH(ROW('DBX Sprint'!$A$7:$K$62),ROW('DBX Sprint'!$A$7:$K$62)),""),ROWS($AI$34:AI34)),COLUMNS('DBX Sprint'!$A$1:A1)),"")</f>
        <v/>
      </c>
      <c r="AJ34" s="43" t="str" cm="1">
        <f t="array" aca="1" ref="AJ34" ca="1">IFERROR(INDEX('DBX Sprint'!$A$7:$K$62, SMALL(IF((INDEX('DBX Sprint'!$A$7:$K$62, ,29)&lt;=(TODAY()+5))*(INDEX('DBX Sprint'!$A$7:$K$62, ,29)&gt;(TODAY()+1)),MATCH(ROW('DBX Sprint'!$A$7:$K$62),ROW('DBX Sprint'!$A$7:$K$62)),""),ROWS($AJ$34:AJ34)),COLUMNS('DBX Sprint'!$A$1:A1)),"")</f>
        <v/>
      </c>
      <c r="AK34" s="43" t="str" cm="1">
        <f t="array" aca="1" ref="AK34" ca="1">IFERROR(INDEX('DBX Sprint'!$A$7:$K$62, SMALL(IF((INDEX('DBX Sprint'!$A$7:$K$62, ,29)&lt;=(TODAY()+10))*(INDEX('DBX Sprint'!$A$7:$K$62, ,29)&gt;(TODAY()+5)),MATCH(ROW('DBX Sprint'!$A$7:$K$62),ROW('DBX Sprint'!$A$7:$K$62)),""),ROWS($AK$34:AK34)),COLUMNS('DBX Sprint'!$A$1:A1)),"")</f>
        <v/>
      </c>
      <c r="AM34" s="41" t="str" cm="1">
        <f t="array" ref="AM34">IFERROR(INDEX('DBX Sprint'!$A$7:$K$62, SMALL(IF((INDEX('DBX Sprint'!$A$7:$K$62, ,32)=("Complete"))*(INDEX('DBX Sprint'!$A$7:$K$62, ,32)="Complete"),MATCH(ROW('DBX Sprint'!$A$7:$K$62),ROW('DBX Sprint'!$A$7:$K$62)),""),ROWS($AM$34:AM34)),COLUMNS('DBX Sprint'!$A$1:A1)),"")</f>
        <v/>
      </c>
      <c r="AN34" s="41" t="str" cm="1">
        <f t="array" aca="1" ref="AN34" ca="1">IFERROR(INDEX('DBX Sprint'!$A$7:$K$62, SMALL(IF((INDEX('DBX Sprint'!$A$7:$K$62, ,32)&lt;(TODAY()))*(INDEX('DBX Sprint'!$A$7:$K$62, ,32)&lt;&gt;"Complete"),MATCH(ROW('DBX Sprint'!$A$7:$K$62),ROW('DBX Sprint'!$A$7:$K$62)),""),ROWS($AN$34:AN34)),COLUMNS('DBX Sprint'!$A$1:A1)),"")</f>
        <v/>
      </c>
      <c r="AO34" s="41" t="str" cm="1">
        <f t="array" aca="1" ref="AO34" ca="1">IFERROR(INDEX('DBX Sprint'!$A$7:$K$62, SMALL(IF((INDEX('DBX Sprint'!$A$7:$K$62, ,32)&lt;=(TODAY()+1))*(INDEX('DBX Sprint'!$A$7:$K$62, ,32)&gt;=TODAY()),MATCH(ROW('DBX Sprint'!$A$7:$K$62),ROW('DBX Sprint'!$A$7:$K$62)),""),ROWS($AO$34:AO34)),COLUMNS('DBX Sprint'!$A$1:A1)),"")</f>
        <v/>
      </c>
      <c r="AP34" s="43" t="str" cm="1">
        <f t="array" aca="1" ref="AP34" ca="1">IFERROR(INDEX('DBX Sprint'!$A$7:$K$62, SMALL(IF((INDEX('DBX Sprint'!$A$7:$K$62, ,32)&lt;=(TODAY()+5))*(INDEX('DBX Sprint'!$A$7:$K$62, ,32)&gt;(TODAY()+1)),MATCH(ROW('DBX Sprint'!$A$7:$K$62),ROW('DBX Sprint'!$A$7:$K$62)),""),ROWS($AP$34:AP34)),COLUMNS('DBX Sprint'!$A$1:A1)),"")</f>
        <v/>
      </c>
      <c r="AQ34" s="43" t="str" cm="1">
        <f t="array" aca="1" ref="AQ34" ca="1">IFERROR(INDEX('DBX Sprint'!$A$7:$K$62, SMALL(IF((INDEX('DBX Sprint'!$A$7:$K$62, ,32)&lt;=(TODAY()+10))*(INDEX('DBX Sprint'!$A$7:$K$62, ,32)&gt;(TODAY()+5)),MATCH(ROW('DBX Sprint'!$A$7:$K$62),ROW('DBX Sprint'!$A$7:$K$62)),""),ROWS($AQ$34:AQ34)),COLUMNS('DBX Sprint'!$A$1:A1)),"")</f>
        <v/>
      </c>
    </row>
    <row r="35" spans="3:43" ht="30" customHeight="1">
      <c r="C35" s="41" t="str" cm="1">
        <f t="array" ref="C35">IFERROR(INDEX('DBX Sprint'!$A$7:$K$62, SMALL(IF((INDEX('DBX Sprint'!$A$7:$K$62, ,13)=("Complete"))*(INDEX('DBX Sprint'!$A$7:$K$62, ,13)="Complete"),MATCH(ROW('DBX Sprint'!$A$7:$K$62),ROW('DBX Sprint'!$A$7:$K$62)),""),ROWS(C$34:$C35)),COLUMNS('DBX Sprint'!$A$1:A7)),"")</f>
        <v/>
      </c>
      <c r="D35" s="41" t="str" cm="1">
        <f t="array" aca="1" ref="D35" ca="1">IFERROR(INDEX('DBX Sprint'!$A$7:$K$62, SMALL(IF((INDEX('DBX Sprint'!$A$7:$K$62, ,13)&lt;(TODAY()))*(INDEX('DBX Sprint'!$A$7:$K$62, ,13)&lt;&gt;"Complete"),MATCH(ROW('DBX Sprint'!$A$7:$K$62),ROW('DBX Sprint'!$A$7:$K$62)),""),ROWS(D$34:$D35)),COLUMNS('DBX Sprint'!$A$1:A7)),"")</f>
        <v/>
      </c>
      <c r="E35" s="37" t="str" cm="1">
        <f t="array" aca="1" ref="E35" ca="1">IFERROR(INDEX('DBX Sprint'!$A$7:$K$62, SMALL(IF((INDEX('DBX Sprint'!$A$7:$K$62, ,13)&lt;=(TODAY()+1))*(INDEX('DBX Sprint'!$A$7:$K$62, ,13)&gt;=TODAY()),MATCH(ROW('DBX Sprint'!$A$7:$K$62),ROW('DBX Sprint'!$A$7:$K$62)),""),ROWS(E$34:$E35)),COLUMNS('DBX Sprint'!$A$1:A7)),"")</f>
        <v/>
      </c>
      <c r="F35" s="38" t="str" cm="1">
        <f t="array" aca="1" ref="F35" ca="1">IFERROR(INDEX('DBX Sprint'!$A$7:$K$62, SMALL(IF((INDEX('DBX Sprint'!$A$7:$K$62, ,13)&lt;=(TODAY()+5))*(INDEX('DBX Sprint'!$A$7:$K$62, ,13)&gt;(TODAY()+1)),MATCH(ROW('DBX Sprint'!$A$7:$K$62),ROW('DBX Sprint'!$A$7:$K$62)),""),ROWS($F$34:F35)),COLUMNS('DBX Sprint'!$A$1:A7)),"")</f>
        <v/>
      </c>
      <c r="G35" s="38" t="str" cm="1">
        <f t="array" aca="1" ref="G35" ca="1">IFERROR(INDEX('DBX Sprint'!$A$7:$K$62, SMALL(IF((INDEX('DBX Sprint'!$A$7:$K$62, ,13)&lt;=(TODAY()+10))*(INDEX('DBX Sprint'!$A$7:$K$62, ,13)&gt;(TODAY()+5)),MATCH(ROW('DBX Sprint'!$A$7:$K$62),ROW('DBX Sprint'!$A$7:$K$62)),""),ROWS($G$34:G35)),COLUMNS('DBX Sprint'!$A$1:A7)),"")</f>
        <v/>
      </c>
      <c r="I35" s="41" t="str" cm="1">
        <f t="array" ref="I35">IFERROR(INDEX('DBX Sprint'!$A$7:$K$62, SMALL(IF((INDEX('DBX Sprint'!$A$7:$K$62, ,16)=("Complete"))*(INDEX('DBX Sprint'!$A$7:$K$62, ,16)="Complete"),MATCH(ROW('DBX Sprint'!$A$7:$K$62),ROW('DBX Sprint'!$A$7:$K$62)),""),ROWS($I$34:I35)),COLUMNS('DBX Sprint'!$A$1:A7)),"")</f>
        <v/>
      </c>
      <c r="J35" s="41" t="str" cm="1">
        <f t="array" aca="1" ref="J35" ca="1">IFERROR(INDEX('DBX Sprint'!$A$7:$K$62, SMALL(IF((INDEX('DBX Sprint'!$A$7:$K$62, ,16)&lt;(TODAY()))*(INDEX('DBX Sprint'!$A$7:$K$62, ,16)&lt;&gt;"Complete"),MATCH(ROW('DBX Sprint'!$A$7:$K$62),ROW('DBX Sprint'!$A$7:$K$62)),""),ROWS($J$34:J35)),COLUMNS('DBX Sprint'!$A$1:A7)),"")</f>
        <v/>
      </c>
      <c r="K35" s="37" t="str" cm="1">
        <f t="array" aca="1" ref="K35" ca="1">IFERROR(INDEX('DBX Sprint'!$A$7:$K$62, SMALL(IF((INDEX('DBX Sprint'!$A$7:$K$62, ,16)&lt;=(TODAY()+1))*(INDEX('DBX Sprint'!$A$7:$K$62, ,16)&gt;=TODAY()),MATCH(ROW('DBX Sprint'!$A$7:$K$62),ROW('DBX Sprint'!$A$7:$K$62)),""),ROWS($K$34:K35)),COLUMNS('DBX Sprint'!$A$1:A7)),"")</f>
        <v/>
      </c>
      <c r="L35" s="38" t="str" cm="1">
        <f t="array" aca="1" ref="L35" ca="1">IFERROR(INDEX('DBX Sprint'!$A$7:$K$62, SMALL(IF((INDEX('DBX Sprint'!$A$7:$K$62, ,16)&lt;=(TODAY()+5))*(INDEX('DBX Sprint'!$A$7:$K$62, ,16)&gt;(TODAY()+1)),MATCH(ROW('DBX Sprint'!$A$7:$K$62),ROW('DBX Sprint'!$A$7:$K$62)),""),ROWS($L$34:L35)),COLUMNS('DBX Sprint'!$A$1:A7)),"")</f>
        <v/>
      </c>
      <c r="M35" s="38" t="str" cm="1">
        <f t="array" aca="1" ref="M35" ca="1">IFERROR(INDEX('DBX Sprint'!$A$7:$K$62, SMALL(IF((INDEX('DBX Sprint'!$A$7:$K$62, ,16)&lt;=(TODAY()+10))*(INDEX('DBX Sprint'!$A$7:$K$62, ,16)&gt;(TODAY()+5)),MATCH(ROW('DBX Sprint'!$A$7:$K$62),ROW('DBX Sprint'!$A$7:$K$62)),""),ROWS($M$34:M35)),COLUMNS('DBX Sprint'!$A$1:A7)),"")</f>
        <v/>
      </c>
      <c r="O35" s="41" t="str" cm="1">
        <f t="array" ref="O35">IFERROR(INDEX('DBX Sprint'!$A$7:$K$62, SMALL(IF((INDEX('DBX Sprint'!$A$7:$K$62, ,19)=("Complete"))*(INDEX('DBX Sprint'!$A$7:$K$62, ,19)="Complete"),MATCH(ROW('DBX Sprint'!$A$7:$K$62),ROW('DBX Sprint'!$A$7:$K$62)),""),ROWS($O$34:O35)),COLUMNS('DBX Sprint'!$A$1:A7)),"")</f>
        <v/>
      </c>
      <c r="P35" s="41" t="str" cm="1">
        <f t="array" aca="1" ref="P35" ca="1">IFERROR(INDEX('DBX Sprint'!$A$7:$K$62, SMALL(IF((INDEX('DBX Sprint'!$A$7:$K$62, ,19)&lt;(TODAY()))*(INDEX('DBX Sprint'!$A$7:$K$62, ,19)&lt;&gt;"Complete"),MATCH(ROW('DBX Sprint'!$A$7:$K$62),ROW('DBX Sprint'!$A$7:$K$62)),""),ROWS($P$34:P35)),COLUMNS('DBX Sprint'!$A$1:A7)),"")</f>
        <v/>
      </c>
      <c r="Q35" s="41" t="str" cm="1">
        <f t="array" aca="1" ref="Q35" ca="1">IFERROR(INDEX('DBX Sprint'!$A$7:$K$62, SMALL(IF((INDEX('DBX Sprint'!$A$7:$K$62, ,19)&lt;=(TODAY()+1))*(INDEX('DBX Sprint'!$A$7:$K$62, ,19)&gt;=TODAY()),MATCH(ROW('DBX Sprint'!$A$7:$K$62),ROW('DBX Sprint'!$A$7:$K$62)),""),ROWS($Q$34:Q35)),COLUMNS('DBX Sprint'!$A$1:A7)),"")</f>
        <v/>
      </c>
      <c r="R35" s="43" t="str" cm="1">
        <f t="array" aca="1" ref="R35" ca="1">IFERROR(INDEX('DBX Sprint'!$A$7:$K$62, SMALL(IF((INDEX('DBX Sprint'!$A$7:$K$62, ,19)&lt;=(TODAY()+5))*(INDEX('DBX Sprint'!$A$7:$K$62, ,19)&gt;(TODAY()+1)),MATCH(ROW('DBX Sprint'!$A$7:$K$62),ROW('DBX Sprint'!$A$7:$K$62)),""),ROWS($R$34:R35)),COLUMNS('DBX Sprint'!$A$1:A7)),"")</f>
        <v/>
      </c>
      <c r="S35" s="43" t="str" cm="1">
        <f t="array" aca="1" ref="S35" ca="1">IFERROR(INDEX('DBX Sprint'!$A$7:$K$62, SMALL(IF((INDEX('DBX Sprint'!$A$7:$K$62, ,19)&lt;=(TODAY()+10))*(INDEX('DBX Sprint'!$A$7:$K$62, ,19)&gt;(TODAY()+5)),MATCH(ROW('DBX Sprint'!$A$7:$K$62),ROW('DBX Sprint'!$A$7:$K$62)),""),ROWS($S$34:S35)),COLUMNS('DBX Sprint'!$A$1:A7)),"")</f>
        <v/>
      </c>
      <c r="U35" s="41" t="str" cm="1">
        <f t="array" ref="U35">IFERROR(INDEX('DBX Sprint'!$A$7:$K$62, SMALL(IF((INDEX('DBX Sprint'!$A$7:$K$62, ,22)=("Complete"))*(INDEX('DBX Sprint'!$A$7:$K$62, ,22)="Complete"),MATCH(ROW('DBX Sprint'!$A$7:$K$62),ROW('DBX Sprint'!$A$7:$K$62)),""),ROWS($U$34:U35)),COLUMNS('DBX Sprint'!$A$1:A7)),"")</f>
        <v/>
      </c>
      <c r="V35" s="41" t="str" cm="1">
        <f t="array" aca="1" ref="V35" ca="1">IFERROR(INDEX('DBX Sprint'!$A$7:$K$62, SMALL(IF((INDEX('DBX Sprint'!$A$7:$K$62, ,22)&lt;(TODAY()))*(INDEX('DBX Sprint'!$A$7:$K$62, ,22)&lt;&gt;"Complete"),MATCH(ROW('DBX Sprint'!$A$7:$K$62),ROW('DBX Sprint'!$A$7:$K$62)),""),ROWS($V$34:V35)),COLUMNS('DBX Sprint'!$A$1:A7)),"")</f>
        <v/>
      </c>
      <c r="W35" s="41" t="str" cm="1">
        <f t="array" aca="1" ref="W35" ca="1">IFERROR(INDEX('DBX Sprint'!$A$7:$K$62, SMALL(IF((INDEX('DBX Sprint'!$A$7:$K$62, ,22)&lt;=(TODAY()+1))*(INDEX('DBX Sprint'!$A$7:$K$62, ,22)&gt;=TODAY()),MATCH(ROW('DBX Sprint'!$A$7:$K$62),ROW('DBX Sprint'!$A$7:$K$62)),""),ROWS($W$34:W35)),COLUMNS('DBX Sprint'!$A$1:A7)),"")</f>
        <v/>
      </c>
      <c r="X35" s="43" t="str" cm="1">
        <f t="array" aca="1" ref="X35" ca="1">IFERROR(INDEX('DBX Sprint'!$A$7:$K$62, SMALL(IF((INDEX('DBX Sprint'!$A$7:$K$62, ,22)&lt;=(TODAY()+5))*(INDEX('DBX Sprint'!$A$7:$K$62, ,22)&gt;(TODAY()+1)),MATCH(ROW('DBX Sprint'!$A$7:$K$62),ROW('DBX Sprint'!$A$7:$K$62)),""),ROWS($X$34:X35)),COLUMNS('DBX Sprint'!$A$1:A7)),"")</f>
        <v/>
      </c>
      <c r="Y35" s="43" t="str" cm="1">
        <f t="array" aca="1" ref="Y35" ca="1">IFERROR(INDEX('DBX Sprint'!$A$7:$K$62, SMALL(IF((INDEX('DBX Sprint'!$A$7:$K$62, ,22)&lt;=(TODAY()+10))*(INDEX('DBX Sprint'!$A$7:$K$62, ,22)&gt;(TODAY()+5)),MATCH(ROW('DBX Sprint'!$A$7:$K$62),ROW('DBX Sprint'!$A$7:$K$62)),""),ROWS($Y$34:Y35)),COLUMNS('DBX Sprint'!$A$1:A7)),"")</f>
        <v/>
      </c>
      <c r="AA35" s="41" t="str" cm="1">
        <f t="array" ref="AA35">IFERROR(INDEX('DBX Sprint'!$A$7:$K$62, SMALL(IF((INDEX('DBX Sprint'!$A$7:$K$62, ,25)=("Complete"))*(INDEX('DBX Sprint'!$A$7:$K$62, ,25)="Complete"),MATCH(ROW('DBX Sprint'!$A$7:$K$62),ROW('DBX Sprint'!$A$7:$K$62)),""),ROWS($AA$34:AA35)),COLUMNS('DBX Sprint'!$A$1:A7)),"")</f>
        <v/>
      </c>
      <c r="AB35" s="41" t="str" cm="1">
        <f t="array" aca="1" ref="AB35" ca="1">IFERROR(INDEX('DBX Sprint'!$A$7:$K$62, SMALL(IF((INDEX('DBX Sprint'!$A$7:$K$62, ,25)&lt;(TODAY()))*(INDEX('DBX Sprint'!$A$7:$K$62, ,25)&lt;&gt;"Complete"),MATCH(ROW('DBX Sprint'!$A$7:$K$62),ROW('DBX Sprint'!$A$7:$K$62)),""),ROWS($AB$34:AB35)),COLUMNS('DBX Sprint'!$A$1:A7)),"")</f>
        <v/>
      </c>
      <c r="AC35" s="41" t="str" cm="1">
        <f t="array" aca="1" ref="AC35" ca="1">IFERROR(INDEX('DBX Sprint'!$A$7:$K$62, SMALL(IF((INDEX('DBX Sprint'!$A$7:$K$62, ,25)&lt;=(TODAY()+1))*(INDEX('DBX Sprint'!$A$7:$K$62, ,25)&gt;=TODAY()),MATCH(ROW('DBX Sprint'!$A$7:$K$62),ROW('DBX Sprint'!$A$7:$K$62)),""),ROWS($AC$34:AC35)),COLUMNS('DBX Sprint'!$A$1:A7)),"")</f>
        <v/>
      </c>
      <c r="AD35" s="43" t="str" cm="1">
        <f t="array" aca="1" ref="AD35" ca="1">IFERROR(INDEX('DBX Sprint'!$A$7:$K$62, SMALL(IF((INDEX('DBX Sprint'!$A$7:$K$62, ,25)&lt;=(TODAY()+5))*(INDEX('DBX Sprint'!$A$7:$K$62, ,25)&gt;(TODAY()+1)),MATCH(ROW('DBX Sprint'!$A$7:$K$62),ROW('DBX Sprint'!$A$7:$K$62)),""),ROWS($AD$34:AD35)),COLUMNS('DBX Sprint'!$A$1:A7)),"")</f>
        <v/>
      </c>
      <c r="AE35" s="43" t="str" cm="1">
        <f t="array" aca="1" ref="AE35" ca="1">IFERROR(INDEX('DBX Sprint'!$A$7:$K$62, SMALL(IF((INDEX('DBX Sprint'!$A$7:$K$62, ,25)&lt;=(TODAY()+10))*(INDEX('DBX Sprint'!$A$7:$K$62, ,25)&gt;(TODAY()+5)),MATCH(ROW('DBX Sprint'!$A$7:$K$62),ROW('DBX Sprint'!$A$7:$K$62)),""),ROWS($AE$34:AE35)),COLUMNS('DBX Sprint'!$A$1:A7)),"")</f>
        <v/>
      </c>
      <c r="AG35" s="41" t="str" cm="1">
        <f t="array" ref="AG35">IFERROR(INDEX('DBX Sprint'!$A$7:$K$62, SMALL(IF((INDEX('DBX Sprint'!$A$7:$K$62, ,29)=("Complete"))*(INDEX('DBX Sprint'!$A$7:$K$62, ,29)="Complete"),MATCH(ROW('DBX Sprint'!$A$7:$K$62),ROW('DBX Sprint'!$A$7:$K$62)),""),ROWS($AG$34:AG35)),COLUMNS('DBX Sprint'!$A$1:A7)),"")</f>
        <v/>
      </c>
      <c r="AH35" s="41" t="str" cm="1">
        <f t="array" aca="1" ref="AH35" ca="1">IFERROR(INDEX('DBX Sprint'!$A$7:$K$62, SMALL(IF((INDEX('DBX Sprint'!$A$7:$K$62, ,29)&lt;(TODAY()))*(INDEX('DBX Sprint'!$A$7:$K$62, ,29)&lt;&gt;"Complete"),MATCH(ROW('DBX Sprint'!$A$7:$K$62),ROW('DBX Sprint'!$A$7:$K$62)),""),ROWS($AH$34:AH35)),COLUMNS('DBX Sprint'!$A$1:A7)),"")</f>
        <v/>
      </c>
      <c r="AI35" s="41" t="str" cm="1">
        <f t="array" aca="1" ref="AI35" ca="1">IFERROR(INDEX('DBX Sprint'!$A$7:$K$62, SMALL(IF((INDEX('DBX Sprint'!$A$7:$K$62, ,29)&lt;=(TODAY()+1))*(INDEX('DBX Sprint'!$A$7:$K$62, ,29)&gt;=TODAY()),MATCH(ROW('DBX Sprint'!$A$7:$K$62),ROW('DBX Sprint'!$A$7:$K$62)),""),ROWS($AI$34:AI35)),COLUMNS('DBX Sprint'!$A$1:A7)),"")</f>
        <v/>
      </c>
      <c r="AJ35" s="43" t="str" cm="1">
        <f t="array" aca="1" ref="AJ35" ca="1">IFERROR(INDEX('DBX Sprint'!$A$7:$K$62, SMALL(IF((INDEX('DBX Sprint'!$A$7:$K$62, ,29)&lt;=(TODAY()+5))*(INDEX('DBX Sprint'!$A$7:$K$62, ,29)&gt;(TODAY()+1)),MATCH(ROW('DBX Sprint'!$A$7:$K$62),ROW('DBX Sprint'!$A$7:$K$62)),""),ROWS($AJ$34:AJ35)),COLUMNS('DBX Sprint'!$A$1:A7)),"")</f>
        <v/>
      </c>
      <c r="AK35" s="43" t="str" cm="1">
        <f t="array" aca="1" ref="AK35" ca="1">IFERROR(INDEX('DBX Sprint'!$A$7:$K$62, SMALL(IF((INDEX('DBX Sprint'!$A$7:$K$62, ,29)&lt;=(TODAY()+10))*(INDEX('DBX Sprint'!$A$7:$K$62, ,29)&gt;(TODAY()+5)),MATCH(ROW('DBX Sprint'!$A$7:$K$62),ROW('DBX Sprint'!$A$7:$K$62)),""),ROWS($AK$34:AK35)),COLUMNS('DBX Sprint'!$A$1:A7)),"")</f>
        <v/>
      </c>
      <c r="AM35" s="41" t="str" cm="1">
        <f t="array" ref="AM35">IFERROR(INDEX('DBX Sprint'!$A$7:$K$62, SMALL(IF((INDEX('DBX Sprint'!$A$7:$K$62, ,32)=("Complete"))*(INDEX('DBX Sprint'!$A$7:$K$62, ,32)="Complete"),MATCH(ROW('DBX Sprint'!$A$7:$K$62),ROW('DBX Sprint'!$A$7:$K$62)),""),ROWS($AM$34:AM35)),COLUMNS('DBX Sprint'!$A$1:A7)),"")</f>
        <v/>
      </c>
      <c r="AN35" s="41" t="str" cm="1">
        <f t="array" aca="1" ref="AN35" ca="1">IFERROR(INDEX('DBX Sprint'!$A$7:$K$62, SMALL(IF((INDEX('DBX Sprint'!$A$7:$K$62, ,32)&lt;(TODAY()))*(INDEX('DBX Sprint'!$A$7:$K$62, ,32)&lt;&gt;"Complete"),MATCH(ROW('DBX Sprint'!$A$7:$K$62),ROW('DBX Sprint'!$A$7:$K$62)),""),ROWS($AN$34:AN35)),COLUMNS('DBX Sprint'!$A$1:A7)),"")</f>
        <v/>
      </c>
      <c r="AO35" s="41" t="str" cm="1">
        <f t="array" aca="1" ref="AO35" ca="1">IFERROR(INDEX('DBX Sprint'!$A$7:$K$62, SMALL(IF((INDEX('DBX Sprint'!$A$7:$K$62, ,32)&lt;=(TODAY()+1))*(INDEX('DBX Sprint'!$A$7:$K$62, ,32)&gt;=TODAY()),MATCH(ROW('DBX Sprint'!$A$7:$K$62),ROW('DBX Sprint'!$A$7:$K$62)),""),ROWS($AO$34:AO35)),COLUMNS('DBX Sprint'!$A$1:A7)),"")</f>
        <v/>
      </c>
      <c r="AP35" s="43" t="str" cm="1">
        <f t="array" aca="1" ref="AP35" ca="1">IFERROR(INDEX('DBX Sprint'!$A$7:$K$62, SMALL(IF((INDEX('DBX Sprint'!$A$7:$K$62, ,32)&lt;=(TODAY()+5))*(INDEX('DBX Sprint'!$A$7:$K$62, ,32)&gt;(TODAY()+1)),MATCH(ROW('DBX Sprint'!$A$7:$K$62),ROW('DBX Sprint'!$A$7:$K$62)),""),ROWS($AP$34:AP35)),COLUMNS('DBX Sprint'!$A$1:A7)),"")</f>
        <v/>
      </c>
      <c r="AQ35" s="43" t="str" cm="1">
        <f t="array" aca="1" ref="AQ35" ca="1">IFERROR(INDEX('DBX Sprint'!$A$7:$K$62, SMALL(IF((INDEX('DBX Sprint'!$A$7:$K$62, ,32)&lt;=(TODAY()+10))*(INDEX('DBX Sprint'!$A$7:$K$62, ,32)&gt;(TODAY()+5)),MATCH(ROW('DBX Sprint'!$A$7:$K$62),ROW('DBX Sprint'!$A$7:$K$62)),""),ROWS($AQ$34:AQ35)),COLUMNS('DBX Sprint'!$A$1:A7)),"")</f>
        <v/>
      </c>
    </row>
    <row r="36" spans="3:43" ht="30" customHeight="1">
      <c r="C36" s="41" t="str" cm="1">
        <f t="array" ref="C36">IFERROR(INDEX('DBX Sprint'!$A$7:$K$62, SMALL(IF((INDEX('DBX Sprint'!$A$7:$K$62, ,13)=("Complete"))*(INDEX('DBX Sprint'!$A$7:$K$62, ,13)="Complete"),MATCH(ROW('DBX Sprint'!$A$7:$K$62),ROW('DBX Sprint'!$A$7:$K$62)),""),ROWS(C$34:$C36)),COLUMNS('DBX Sprint'!$A$1:A8)),"")</f>
        <v/>
      </c>
      <c r="D36" s="41" t="str" cm="1">
        <f t="array" aca="1" ref="D36" ca="1">IFERROR(INDEX('DBX Sprint'!$A$7:$K$62, SMALL(IF((INDEX('DBX Sprint'!$A$7:$K$62, ,13)&lt;(TODAY()))*(INDEX('DBX Sprint'!$A$7:$K$62, ,13)&lt;&gt;"Complete"),MATCH(ROW('DBX Sprint'!$A$7:$K$62),ROW('DBX Sprint'!$A$7:$K$62)),""),ROWS(D$34:$D36)),COLUMNS('DBX Sprint'!$A$1:A8)),"")</f>
        <v/>
      </c>
      <c r="E36" s="37" t="str" cm="1">
        <f t="array" aca="1" ref="E36" ca="1">IFERROR(INDEX('DBX Sprint'!$A$7:$K$62, SMALL(IF((INDEX('DBX Sprint'!$A$7:$K$62, ,13)&lt;=(TODAY()+1))*(INDEX('DBX Sprint'!$A$7:$K$62, ,13)&gt;=TODAY()),MATCH(ROW('DBX Sprint'!$A$7:$K$62),ROW('DBX Sprint'!$A$7:$K$62)),""),ROWS(E$34:$E36)),COLUMNS('DBX Sprint'!$A$1:A8)),"")</f>
        <v/>
      </c>
      <c r="F36" s="38" t="str" cm="1">
        <f t="array" aca="1" ref="F36" ca="1">IFERROR(INDEX('DBX Sprint'!$A$7:$K$62, SMALL(IF((INDEX('DBX Sprint'!$A$7:$K$62, ,13)&lt;=(TODAY()+5))*(INDEX('DBX Sprint'!$A$7:$K$62, ,13)&gt;(TODAY()+1)),MATCH(ROW('DBX Sprint'!$A$7:$K$62),ROW('DBX Sprint'!$A$7:$K$62)),""),ROWS($F$34:F36)),COLUMNS('DBX Sprint'!$A$1:A8)),"")</f>
        <v/>
      </c>
      <c r="G36" s="38" t="str" cm="1">
        <f t="array" aca="1" ref="G36" ca="1">IFERROR(INDEX('DBX Sprint'!$A$7:$K$62, SMALL(IF((INDEX('DBX Sprint'!$A$7:$K$62, ,13)&lt;=(TODAY()+10))*(INDEX('DBX Sprint'!$A$7:$K$62, ,13)&gt;(TODAY()+5)),MATCH(ROW('DBX Sprint'!$A$7:$K$62),ROW('DBX Sprint'!$A$7:$K$62)),""),ROWS($G$34:G36)),COLUMNS('DBX Sprint'!$A$1:A8)),"")</f>
        <v/>
      </c>
      <c r="I36" s="41" t="str" cm="1">
        <f t="array" ref="I36">IFERROR(INDEX('DBX Sprint'!$A$7:$K$62, SMALL(IF((INDEX('DBX Sprint'!$A$7:$K$62, ,16)=("Complete"))*(INDEX('DBX Sprint'!$A$7:$K$62, ,16)="Complete"),MATCH(ROW('DBX Sprint'!$A$7:$K$62),ROW('DBX Sprint'!$A$7:$K$62)),""),ROWS($I$34:I36)),COLUMNS('DBX Sprint'!$A$1:A8)),"")</f>
        <v/>
      </c>
      <c r="J36" s="41" t="str" cm="1">
        <f t="array" aca="1" ref="J36" ca="1">IFERROR(INDEX('DBX Sprint'!$A$7:$K$62, SMALL(IF((INDEX('DBX Sprint'!$A$7:$K$62, ,16)&lt;(TODAY()))*(INDEX('DBX Sprint'!$A$7:$K$62, ,16)&lt;&gt;"Complete"),MATCH(ROW('DBX Sprint'!$A$7:$K$62),ROW('DBX Sprint'!$A$7:$K$62)),""),ROWS($J$34:J36)),COLUMNS('DBX Sprint'!$A$1:A8)),"")</f>
        <v/>
      </c>
      <c r="K36" s="37" t="str" cm="1">
        <f t="array" aca="1" ref="K36" ca="1">IFERROR(INDEX('DBX Sprint'!$A$7:$K$62, SMALL(IF((INDEX('DBX Sprint'!$A$7:$K$62, ,16)&lt;=(TODAY()+1))*(INDEX('DBX Sprint'!$A$7:$K$62, ,16)&gt;=TODAY()),MATCH(ROW('DBX Sprint'!$A$7:$K$62),ROW('DBX Sprint'!$A$7:$K$62)),""),ROWS($K$34:K36)),COLUMNS('DBX Sprint'!$A$1:A8)),"")</f>
        <v/>
      </c>
      <c r="L36" s="38" t="str" cm="1">
        <f t="array" aca="1" ref="L36" ca="1">IFERROR(INDEX('DBX Sprint'!$A$7:$K$62, SMALL(IF((INDEX('DBX Sprint'!$A$7:$K$62, ,16)&lt;=(TODAY()+5))*(INDEX('DBX Sprint'!$A$7:$K$62, ,16)&gt;(TODAY()+1)),MATCH(ROW('DBX Sprint'!$A$7:$K$62),ROW('DBX Sprint'!$A$7:$K$62)),""),ROWS($L$34:L36)),COLUMNS('DBX Sprint'!$A$1:A8)),"")</f>
        <v/>
      </c>
      <c r="M36" s="38" t="str" cm="1">
        <f t="array" aca="1" ref="M36" ca="1">IFERROR(INDEX('DBX Sprint'!$A$7:$K$62, SMALL(IF((INDEX('DBX Sprint'!$A$7:$K$62, ,16)&lt;=(TODAY()+10))*(INDEX('DBX Sprint'!$A$7:$K$62, ,16)&gt;(TODAY()+5)),MATCH(ROW('DBX Sprint'!$A$7:$K$62),ROW('DBX Sprint'!$A$7:$K$62)),""),ROWS($M$34:M36)),COLUMNS('DBX Sprint'!$A$1:A8)),"")</f>
        <v/>
      </c>
      <c r="O36" s="41" t="str" cm="1">
        <f t="array" ref="O36">IFERROR(INDEX('DBX Sprint'!$A$7:$K$62, SMALL(IF((INDEX('DBX Sprint'!$A$7:$K$62, ,19)=("Complete"))*(INDEX('DBX Sprint'!$A$7:$K$62, ,19)="Complete"),MATCH(ROW('DBX Sprint'!$A$7:$K$62),ROW('DBX Sprint'!$A$7:$K$62)),""),ROWS($O$34:O36)),COLUMNS('DBX Sprint'!$A$1:A8)),"")</f>
        <v/>
      </c>
      <c r="P36" s="41" t="str" cm="1">
        <f t="array" aca="1" ref="P36" ca="1">IFERROR(INDEX('DBX Sprint'!$A$7:$K$62, SMALL(IF((INDEX('DBX Sprint'!$A$7:$K$62, ,19)&lt;(TODAY()))*(INDEX('DBX Sprint'!$A$7:$K$62, ,19)&lt;&gt;"Complete"),MATCH(ROW('DBX Sprint'!$A$7:$K$62),ROW('DBX Sprint'!$A$7:$K$62)),""),ROWS($P$34:P36)),COLUMNS('DBX Sprint'!$A$1:A8)),"")</f>
        <v/>
      </c>
      <c r="Q36" s="41" t="str" cm="1">
        <f t="array" aca="1" ref="Q36" ca="1">IFERROR(INDEX('DBX Sprint'!$A$7:$K$62, SMALL(IF((INDEX('DBX Sprint'!$A$7:$K$62, ,19)&lt;=(TODAY()+1))*(INDEX('DBX Sprint'!$A$7:$K$62, ,19)&gt;=TODAY()),MATCH(ROW('DBX Sprint'!$A$7:$K$62),ROW('DBX Sprint'!$A$7:$K$62)),""),ROWS($Q$34:Q36)),COLUMNS('DBX Sprint'!$A$1:A8)),"")</f>
        <v/>
      </c>
      <c r="R36" s="43" t="str" cm="1">
        <f t="array" aca="1" ref="R36" ca="1">IFERROR(INDEX('DBX Sprint'!$A$7:$K$62, SMALL(IF((INDEX('DBX Sprint'!$A$7:$K$62, ,19)&lt;=(TODAY()+5))*(INDEX('DBX Sprint'!$A$7:$K$62, ,19)&gt;(TODAY()+1)),MATCH(ROW('DBX Sprint'!$A$7:$K$62),ROW('DBX Sprint'!$A$7:$K$62)),""),ROWS($R$34:R36)),COLUMNS('DBX Sprint'!$A$1:A8)),"")</f>
        <v/>
      </c>
      <c r="S36" s="43" t="str" cm="1">
        <f t="array" aca="1" ref="S36" ca="1">IFERROR(INDEX('DBX Sprint'!$A$7:$K$62, SMALL(IF((INDEX('DBX Sprint'!$A$7:$K$62, ,19)&lt;=(TODAY()+10))*(INDEX('DBX Sprint'!$A$7:$K$62, ,19)&gt;(TODAY()+5)),MATCH(ROW('DBX Sprint'!$A$7:$K$62),ROW('DBX Sprint'!$A$7:$K$62)),""),ROWS($S$34:S36)),COLUMNS('DBX Sprint'!$A$1:A8)),"")</f>
        <v/>
      </c>
      <c r="U36" s="41" t="str" cm="1">
        <f t="array" ref="U36">IFERROR(INDEX('DBX Sprint'!$A$7:$K$62, SMALL(IF((INDEX('DBX Sprint'!$A$7:$K$62, ,22)=("Complete"))*(INDEX('DBX Sprint'!$A$7:$K$62, ,22)="Complete"),MATCH(ROW('DBX Sprint'!$A$7:$K$62),ROW('DBX Sprint'!$A$7:$K$62)),""),ROWS($U$34:U36)),COLUMNS('DBX Sprint'!$A$1:A8)),"")</f>
        <v/>
      </c>
      <c r="V36" s="41" t="str" cm="1">
        <f t="array" aca="1" ref="V36" ca="1">IFERROR(INDEX('DBX Sprint'!$A$7:$K$62, SMALL(IF((INDEX('DBX Sprint'!$A$7:$K$62, ,22)&lt;(TODAY()))*(INDEX('DBX Sprint'!$A$7:$K$62, ,22)&lt;&gt;"Complete"),MATCH(ROW('DBX Sprint'!$A$7:$K$62),ROW('DBX Sprint'!$A$7:$K$62)),""),ROWS($V$34:V36)),COLUMNS('DBX Sprint'!$A$1:A8)),"")</f>
        <v/>
      </c>
      <c r="W36" s="41" t="str" cm="1">
        <f t="array" aca="1" ref="W36" ca="1">IFERROR(INDEX('DBX Sprint'!$A$7:$K$62, SMALL(IF((INDEX('DBX Sprint'!$A$7:$K$62, ,22)&lt;=(TODAY()+1))*(INDEX('DBX Sprint'!$A$7:$K$62, ,22)&gt;=TODAY()),MATCH(ROW('DBX Sprint'!$A$7:$K$62),ROW('DBX Sprint'!$A$7:$K$62)),""),ROWS($W$34:W36)),COLUMNS('DBX Sprint'!$A$1:A8)),"")</f>
        <v/>
      </c>
      <c r="X36" s="43" t="str" cm="1">
        <f t="array" aca="1" ref="X36" ca="1">IFERROR(INDEX('DBX Sprint'!$A$7:$K$62, SMALL(IF((INDEX('DBX Sprint'!$A$7:$K$62, ,22)&lt;=(TODAY()+5))*(INDEX('DBX Sprint'!$A$7:$K$62, ,22)&gt;(TODAY()+1)),MATCH(ROW('DBX Sprint'!$A$7:$K$62),ROW('DBX Sprint'!$A$7:$K$62)),""),ROWS($X$34:X36)),COLUMNS('DBX Sprint'!$A$1:A8)),"")</f>
        <v/>
      </c>
      <c r="Y36" s="43" t="str" cm="1">
        <f t="array" aca="1" ref="Y36" ca="1">IFERROR(INDEX('DBX Sprint'!$A$7:$K$62, SMALL(IF((INDEX('DBX Sprint'!$A$7:$K$62, ,22)&lt;=(TODAY()+10))*(INDEX('DBX Sprint'!$A$7:$K$62, ,22)&gt;(TODAY()+5)),MATCH(ROW('DBX Sprint'!$A$7:$K$62),ROW('DBX Sprint'!$A$7:$K$62)),""),ROWS($Y$34:Y36)),COLUMNS('DBX Sprint'!$A$1:A8)),"")</f>
        <v/>
      </c>
      <c r="AA36" s="41" t="str" cm="1">
        <f t="array" ref="AA36">IFERROR(INDEX('DBX Sprint'!$A$7:$K$62, SMALL(IF((INDEX('DBX Sprint'!$A$7:$K$62, ,25)=("Complete"))*(INDEX('DBX Sprint'!$A$7:$K$62, ,25)="Complete"),MATCH(ROW('DBX Sprint'!$A$7:$K$62),ROW('DBX Sprint'!$A$7:$K$62)),""),ROWS($AA$34:AA36)),COLUMNS('DBX Sprint'!$A$1:A8)),"")</f>
        <v/>
      </c>
      <c r="AB36" s="41" t="str" cm="1">
        <f t="array" aca="1" ref="AB36" ca="1">IFERROR(INDEX('DBX Sprint'!$A$7:$K$62, SMALL(IF((INDEX('DBX Sprint'!$A$7:$K$62, ,25)&lt;(TODAY()))*(INDEX('DBX Sprint'!$A$7:$K$62, ,25)&lt;&gt;"Complete"),MATCH(ROW('DBX Sprint'!$A$7:$K$62),ROW('DBX Sprint'!$A$7:$K$62)),""),ROWS($AB$34:AB36)),COLUMNS('DBX Sprint'!$A$1:A8)),"")</f>
        <v/>
      </c>
      <c r="AC36" s="41" t="str" cm="1">
        <f t="array" aca="1" ref="AC36" ca="1">IFERROR(INDEX('DBX Sprint'!$A$7:$K$62, SMALL(IF((INDEX('DBX Sprint'!$A$7:$K$62, ,25)&lt;=(TODAY()+1))*(INDEX('DBX Sprint'!$A$7:$K$62, ,25)&gt;=TODAY()),MATCH(ROW('DBX Sprint'!$A$7:$K$62),ROW('DBX Sprint'!$A$7:$K$62)),""),ROWS($AC$34:AC36)),COLUMNS('DBX Sprint'!$A$1:A8)),"")</f>
        <v/>
      </c>
      <c r="AD36" s="43" t="str" cm="1">
        <f t="array" aca="1" ref="AD36" ca="1">IFERROR(INDEX('DBX Sprint'!$A$7:$K$62, SMALL(IF((INDEX('DBX Sprint'!$A$7:$K$62, ,25)&lt;=(TODAY()+5))*(INDEX('DBX Sprint'!$A$7:$K$62, ,25)&gt;(TODAY()+1)),MATCH(ROW('DBX Sprint'!$A$7:$K$62),ROW('DBX Sprint'!$A$7:$K$62)),""),ROWS($AD$34:AD36)),COLUMNS('DBX Sprint'!$A$1:A8)),"")</f>
        <v/>
      </c>
      <c r="AE36" s="43" t="str" cm="1">
        <f t="array" aca="1" ref="AE36" ca="1">IFERROR(INDEX('DBX Sprint'!$A$7:$K$62, SMALL(IF((INDEX('DBX Sprint'!$A$7:$K$62, ,25)&lt;=(TODAY()+10))*(INDEX('DBX Sprint'!$A$7:$K$62, ,25)&gt;(TODAY()+5)),MATCH(ROW('DBX Sprint'!$A$7:$K$62),ROW('DBX Sprint'!$A$7:$K$62)),""),ROWS($AE$34:AE36)),COLUMNS('DBX Sprint'!$A$1:A8)),"")</f>
        <v/>
      </c>
      <c r="AG36" s="41" t="str" cm="1">
        <f t="array" ref="AG36">IFERROR(INDEX('DBX Sprint'!$A$7:$K$62, SMALL(IF((INDEX('DBX Sprint'!$A$7:$K$62, ,29)=("Complete"))*(INDEX('DBX Sprint'!$A$7:$K$62, ,29)="Complete"),MATCH(ROW('DBX Sprint'!$A$7:$K$62),ROW('DBX Sprint'!$A$7:$K$62)),""),ROWS($AG$34:AG36)),COLUMNS('DBX Sprint'!$A$1:A8)),"")</f>
        <v/>
      </c>
      <c r="AH36" s="41" t="str" cm="1">
        <f t="array" aca="1" ref="AH36" ca="1">IFERROR(INDEX('DBX Sprint'!$A$7:$K$62, SMALL(IF((INDEX('DBX Sprint'!$A$7:$K$62, ,29)&lt;(TODAY()))*(INDEX('DBX Sprint'!$A$7:$K$62, ,29)&lt;&gt;"Complete"),MATCH(ROW('DBX Sprint'!$A$7:$K$62),ROW('DBX Sprint'!$A$7:$K$62)),""),ROWS($AH$34:AH36)),COLUMNS('DBX Sprint'!$A$1:A8)),"")</f>
        <v/>
      </c>
      <c r="AI36" s="41" t="str" cm="1">
        <f t="array" aca="1" ref="AI36" ca="1">IFERROR(INDEX('DBX Sprint'!$A$7:$K$62, SMALL(IF((INDEX('DBX Sprint'!$A$7:$K$62, ,29)&lt;=(TODAY()+1))*(INDEX('DBX Sprint'!$A$7:$K$62, ,29)&gt;=TODAY()),MATCH(ROW('DBX Sprint'!$A$7:$K$62),ROW('DBX Sprint'!$A$7:$K$62)),""),ROWS($AI$34:AI36)),COLUMNS('DBX Sprint'!$A$1:A8)),"")</f>
        <v/>
      </c>
      <c r="AJ36" s="43" t="str" cm="1">
        <f t="array" aca="1" ref="AJ36" ca="1">IFERROR(INDEX('DBX Sprint'!$A$7:$K$62, SMALL(IF((INDEX('DBX Sprint'!$A$7:$K$62, ,29)&lt;=(TODAY()+5))*(INDEX('DBX Sprint'!$A$7:$K$62, ,29)&gt;(TODAY()+1)),MATCH(ROW('DBX Sprint'!$A$7:$K$62),ROW('DBX Sprint'!$A$7:$K$62)),""),ROWS($AJ$34:AJ36)),COLUMNS('DBX Sprint'!$A$1:A8)),"")</f>
        <v/>
      </c>
      <c r="AK36" s="43" t="str" cm="1">
        <f t="array" aca="1" ref="AK36" ca="1">IFERROR(INDEX('DBX Sprint'!$A$7:$K$62, SMALL(IF((INDEX('DBX Sprint'!$A$7:$K$62, ,29)&lt;=(TODAY()+10))*(INDEX('DBX Sprint'!$A$7:$K$62, ,29)&gt;(TODAY()+5)),MATCH(ROW('DBX Sprint'!$A$7:$K$62),ROW('DBX Sprint'!$A$7:$K$62)),""),ROWS($AK$34:AK36)),COLUMNS('DBX Sprint'!$A$1:A8)),"")</f>
        <v/>
      </c>
      <c r="AM36" s="41" t="str" cm="1">
        <f t="array" ref="AM36">IFERROR(INDEX('DBX Sprint'!$A$7:$K$62, SMALL(IF((INDEX('DBX Sprint'!$A$7:$K$62, ,32)=("Complete"))*(INDEX('DBX Sprint'!$A$7:$K$62, ,32)="Complete"),MATCH(ROW('DBX Sprint'!$A$7:$K$62),ROW('DBX Sprint'!$A$7:$K$62)),""),ROWS($AM$34:AM36)),COLUMNS('DBX Sprint'!$A$1:A8)),"")</f>
        <v/>
      </c>
      <c r="AN36" s="41" t="str" cm="1">
        <f t="array" aca="1" ref="AN36" ca="1">IFERROR(INDEX('DBX Sprint'!$A$7:$K$62, SMALL(IF((INDEX('DBX Sprint'!$A$7:$K$62, ,32)&lt;(TODAY()))*(INDEX('DBX Sprint'!$A$7:$K$62, ,32)&lt;&gt;"Complete"),MATCH(ROW('DBX Sprint'!$A$7:$K$62),ROW('DBX Sprint'!$A$7:$K$62)),""),ROWS($AN$34:AN36)),COLUMNS('DBX Sprint'!$A$1:A8)),"")</f>
        <v/>
      </c>
      <c r="AO36" s="41" t="str" cm="1">
        <f t="array" aca="1" ref="AO36" ca="1">IFERROR(INDEX('DBX Sprint'!$A$7:$K$62, SMALL(IF((INDEX('DBX Sprint'!$A$7:$K$62, ,32)&lt;=(TODAY()+1))*(INDEX('DBX Sprint'!$A$7:$K$62, ,32)&gt;=TODAY()),MATCH(ROW('DBX Sprint'!$A$7:$K$62),ROW('DBX Sprint'!$A$7:$K$62)),""),ROWS($AO$34:AO36)),COLUMNS('DBX Sprint'!$A$1:A8)),"")</f>
        <v/>
      </c>
      <c r="AP36" s="43" t="str" cm="1">
        <f t="array" aca="1" ref="AP36" ca="1">IFERROR(INDEX('DBX Sprint'!$A$7:$K$62, SMALL(IF((INDEX('DBX Sprint'!$A$7:$K$62, ,32)&lt;=(TODAY()+5))*(INDEX('DBX Sprint'!$A$7:$K$62, ,32)&gt;(TODAY()+1)),MATCH(ROW('DBX Sprint'!$A$7:$K$62),ROW('DBX Sprint'!$A$7:$K$62)),""),ROWS($AP$34:AP36)),COLUMNS('DBX Sprint'!$A$1:A8)),"")</f>
        <v/>
      </c>
      <c r="AQ36" s="43" t="str" cm="1">
        <f t="array" aca="1" ref="AQ36" ca="1">IFERROR(INDEX('DBX Sprint'!$A$7:$K$62, SMALL(IF((INDEX('DBX Sprint'!$A$7:$K$62, ,32)&lt;=(TODAY()+10))*(INDEX('DBX Sprint'!$A$7:$K$62, ,32)&gt;(TODAY()+5)),MATCH(ROW('DBX Sprint'!$A$7:$K$62),ROW('DBX Sprint'!$A$7:$K$62)),""),ROWS($AQ$34:AQ36)),COLUMNS('DBX Sprint'!$A$1:A8)),"")</f>
        <v/>
      </c>
    </row>
    <row r="37" spans="3:43" ht="30" customHeight="1">
      <c r="C37" s="41" t="str" cm="1">
        <f t="array" ref="C37">IFERROR(INDEX('DBX Sprint'!$A$7:$K$62, SMALL(IF((INDEX('DBX Sprint'!$A$7:$K$62, ,13)=("Complete"))*(INDEX('DBX Sprint'!$A$7:$K$62, ,13)="Complete"),MATCH(ROW('DBX Sprint'!$A$7:$K$62),ROW('DBX Sprint'!$A$7:$K$62)),""),ROWS(C$34:$C37)),COLUMNS('DBX Sprint'!$A$1:A9)),"")</f>
        <v/>
      </c>
      <c r="D37" s="41" t="str" cm="1">
        <f t="array" aca="1" ref="D37" ca="1">IFERROR(INDEX('DBX Sprint'!$A$7:$K$62, SMALL(IF((INDEX('DBX Sprint'!$A$7:$K$62, ,13)&lt;(TODAY()))*(INDEX('DBX Sprint'!$A$7:$K$62, ,13)&lt;&gt;"Complete"),MATCH(ROW('DBX Sprint'!$A$7:$K$62),ROW('DBX Sprint'!$A$7:$K$62)),""),ROWS(D$34:$D37)),COLUMNS('DBX Sprint'!$A$1:A9)),"")</f>
        <v/>
      </c>
      <c r="E37" s="37" t="str" cm="1">
        <f t="array" aca="1" ref="E37" ca="1">IFERROR(INDEX('DBX Sprint'!$A$7:$K$62, SMALL(IF((INDEX('DBX Sprint'!$A$7:$K$62, ,13)&lt;=(TODAY()+1))*(INDEX('DBX Sprint'!$A$7:$K$62, ,13)&gt;=TODAY()),MATCH(ROW('DBX Sprint'!$A$7:$K$62),ROW('DBX Sprint'!$A$7:$K$62)),""),ROWS(E$34:$E37)),COLUMNS('DBX Sprint'!$A$1:A9)),"")</f>
        <v/>
      </c>
      <c r="F37" s="38" t="str" cm="1">
        <f t="array" aca="1" ref="F37" ca="1">IFERROR(INDEX('DBX Sprint'!$A$7:$K$62, SMALL(IF((INDEX('DBX Sprint'!$A$7:$K$62, ,13)&lt;=(TODAY()+5))*(INDEX('DBX Sprint'!$A$7:$K$62, ,13)&gt;(TODAY()+1)),MATCH(ROW('DBX Sprint'!$A$7:$K$62),ROW('DBX Sprint'!$A$7:$K$62)),""),ROWS($F$34:F37)),COLUMNS('DBX Sprint'!$A$1:A9)),"")</f>
        <v/>
      </c>
      <c r="G37" s="38" t="str" cm="1">
        <f t="array" aca="1" ref="G37" ca="1">IFERROR(INDEX('DBX Sprint'!$A$7:$K$62, SMALL(IF((INDEX('DBX Sprint'!$A$7:$K$62, ,13)&lt;=(TODAY()+10))*(INDEX('DBX Sprint'!$A$7:$K$62, ,13)&gt;(TODAY()+5)),MATCH(ROW('DBX Sprint'!$A$7:$K$62),ROW('DBX Sprint'!$A$7:$K$62)),""),ROWS($G$34:G37)),COLUMNS('DBX Sprint'!$A$1:A9)),"")</f>
        <v/>
      </c>
      <c r="I37" s="41" t="str" cm="1">
        <f t="array" ref="I37">IFERROR(INDEX('DBX Sprint'!$A$7:$K$62, SMALL(IF((INDEX('DBX Sprint'!$A$7:$K$62, ,16)=("Complete"))*(INDEX('DBX Sprint'!$A$7:$K$62, ,16)="Complete"),MATCH(ROW('DBX Sprint'!$A$7:$K$62),ROW('DBX Sprint'!$A$7:$K$62)),""),ROWS($I$34:I37)),COLUMNS('DBX Sprint'!$A$1:A9)),"")</f>
        <v/>
      </c>
      <c r="J37" s="41" t="str" cm="1">
        <f t="array" aca="1" ref="J37" ca="1">IFERROR(INDEX('DBX Sprint'!$A$7:$K$62, SMALL(IF((INDEX('DBX Sprint'!$A$7:$K$62, ,16)&lt;(TODAY()))*(INDEX('DBX Sprint'!$A$7:$K$62, ,16)&lt;&gt;"Complete"),MATCH(ROW('DBX Sprint'!$A$7:$K$62),ROW('DBX Sprint'!$A$7:$K$62)),""),ROWS($J$34:J37)),COLUMNS('DBX Sprint'!$A$1:A9)),"")</f>
        <v/>
      </c>
      <c r="K37" s="37" t="str" cm="1">
        <f t="array" aca="1" ref="K37" ca="1">IFERROR(INDEX('DBX Sprint'!$A$7:$K$62, SMALL(IF((INDEX('DBX Sprint'!$A$7:$K$62, ,16)&lt;=(TODAY()+1))*(INDEX('DBX Sprint'!$A$7:$K$62, ,16)&gt;=TODAY()),MATCH(ROW('DBX Sprint'!$A$7:$K$62),ROW('DBX Sprint'!$A$7:$K$62)),""),ROWS($K$34:K37)),COLUMNS('DBX Sprint'!$A$1:A9)),"")</f>
        <v/>
      </c>
      <c r="L37" s="38" t="str" cm="1">
        <f t="array" aca="1" ref="L37" ca="1">IFERROR(INDEX('DBX Sprint'!$A$7:$K$62, SMALL(IF((INDEX('DBX Sprint'!$A$7:$K$62, ,16)&lt;=(TODAY()+5))*(INDEX('DBX Sprint'!$A$7:$K$62, ,16)&gt;(TODAY()+1)),MATCH(ROW('DBX Sprint'!$A$7:$K$62),ROW('DBX Sprint'!$A$7:$K$62)),""),ROWS($L$34:L37)),COLUMNS('DBX Sprint'!$A$1:A9)),"")</f>
        <v/>
      </c>
      <c r="M37" s="38" t="str" cm="1">
        <f t="array" aca="1" ref="M37" ca="1">IFERROR(INDEX('DBX Sprint'!$A$7:$K$62, SMALL(IF((INDEX('DBX Sprint'!$A$7:$K$62, ,16)&lt;=(TODAY()+10))*(INDEX('DBX Sprint'!$A$7:$K$62, ,16)&gt;(TODAY()+5)),MATCH(ROW('DBX Sprint'!$A$7:$K$62),ROW('DBX Sprint'!$A$7:$K$62)),""),ROWS($M$34:M37)),COLUMNS('DBX Sprint'!$A$1:A9)),"")</f>
        <v/>
      </c>
      <c r="O37" s="41" t="str" cm="1">
        <f t="array" ref="O37">IFERROR(INDEX('DBX Sprint'!$A$7:$K$62, SMALL(IF((INDEX('DBX Sprint'!$A$7:$K$62, ,19)=("Complete"))*(INDEX('DBX Sprint'!$A$7:$K$62, ,19)="Complete"),MATCH(ROW('DBX Sprint'!$A$7:$K$62),ROW('DBX Sprint'!$A$7:$K$62)),""),ROWS($O$34:O37)),COLUMNS('DBX Sprint'!$A$1:A9)),"")</f>
        <v/>
      </c>
      <c r="P37" s="41" t="str" cm="1">
        <f t="array" aca="1" ref="P37" ca="1">IFERROR(INDEX('DBX Sprint'!$A$7:$K$62, SMALL(IF((INDEX('DBX Sprint'!$A$7:$K$62, ,19)&lt;(TODAY()))*(INDEX('DBX Sprint'!$A$7:$K$62, ,19)&lt;&gt;"Complete"),MATCH(ROW('DBX Sprint'!$A$7:$K$62),ROW('DBX Sprint'!$A$7:$K$62)),""),ROWS($P$34:P37)),COLUMNS('DBX Sprint'!$A$1:A9)),"")</f>
        <v/>
      </c>
      <c r="Q37" s="41" t="str" cm="1">
        <f t="array" aca="1" ref="Q37" ca="1">IFERROR(INDEX('DBX Sprint'!$A$7:$K$62, SMALL(IF((INDEX('DBX Sprint'!$A$7:$K$62, ,19)&lt;=(TODAY()+1))*(INDEX('DBX Sprint'!$A$7:$K$62, ,19)&gt;=TODAY()),MATCH(ROW('DBX Sprint'!$A$7:$K$62),ROW('DBX Sprint'!$A$7:$K$62)),""),ROWS($Q$34:Q37)),COLUMNS('DBX Sprint'!$A$1:A9)),"")</f>
        <v/>
      </c>
      <c r="R37" s="43" t="str" cm="1">
        <f t="array" aca="1" ref="R37" ca="1">IFERROR(INDEX('DBX Sprint'!$A$7:$K$62, SMALL(IF((INDEX('DBX Sprint'!$A$7:$K$62, ,19)&lt;=(TODAY()+5))*(INDEX('DBX Sprint'!$A$7:$K$62, ,19)&gt;(TODAY()+1)),MATCH(ROW('DBX Sprint'!$A$7:$K$62),ROW('DBX Sprint'!$A$7:$K$62)),""),ROWS($R$34:R37)),COLUMNS('DBX Sprint'!$A$1:A9)),"")</f>
        <v/>
      </c>
      <c r="S37" s="43" t="str" cm="1">
        <f t="array" aca="1" ref="S37" ca="1">IFERROR(INDEX('DBX Sprint'!$A$7:$K$62, SMALL(IF((INDEX('DBX Sprint'!$A$7:$K$62, ,19)&lt;=(TODAY()+10))*(INDEX('DBX Sprint'!$A$7:$K$62, ,19)&gt;(TODAY()+5)),MATCH(ROW('DBX Sprint'!$A$7:$K$62),ROW('DBX Sprint'!$A$7:$K$62)),""),ROWS($S$34:S37)),COLUMNS('DBX Sprint'!$A$1:A9)),"")</f>
        <v/>
      </c>
      <c r="U37" s="41" t="str" cm="1">
        <f t="array" ref="U37">IFERROR(INDEX('DBX Sprint'!$A$7:$K$62, SMALL(IF((INDEX('DBX Sprint'!$A$7:$K$62, ,22)=("Complete"))*(INDEX('DBX Sprint'!$A$7:$K$62, ,22)="Complete"),MATCH(ROW('DBX Sprint'!$A$7:$K$62),ROW('DBX Sprint'!$A$7:$K$62)),""),ROWS($U$34:U37)),COLUMNS('DBX Sprint'!$A$1:A9)),"")</f>
        <v/>
      </c>
      <c r="V37" s="41" t="str" cm="1">
        <f t="array" aca="1" ref="V37" ca="1">IFERROR(INDEX('DBX Sprint'!$A$7:$K$62, SMALL(IF((INDEX('DBX Sprint'!$A$7:$K$62, ,22)&lt;(TODAY()))*(INDEX('DBX Sprint'!$A$7:$K$62, ,22)&lt;&gt;"Complete"),MATCH(ROW('DBX Sprint'!$A$7:$K$62),ROW('DBX Sprint'!$A$7:$K$62)),""),ROWS($V$34:V37)),COLUMNS('DBX Sprint'!$A$1:A9)),"")</f>
        <v/>
      </c>
      <c r="W37" s="41" t="str" cm="1">
        <f t="array" aca="1" ref="W37" ca="1">IFERROR(INDEX('DBX Sprint'!$A$7:$K$62, SMALL(IF((INDEX('DBX Sprint'!$A$7:$K$62, ,22)&lt;=(TODAY()+1))*(INDEX('DBX Sprint'!$A$7:$K$62, ,22)&gt;=TODAY()),MATCH(ROW('DBX Sprint'!$A$7:$K$62),ROW('DBX Sprint'!$A$7:$K$62)),""),ROWS($W$34:W37)),COLUMNS('DBX Sprint'!$A$1:A9)),"")</f>
        <v/>
      </c>
      <c r="X37" s="43" t="str" cm="1">
        <f t="array" aca="1" ref="X37" ca="1">IFERROR(INDEX('DBX Sprint'!$A$7:$K$62, SMALL(IF((INDEX('DBX Sprint'!$A$7:$K$62, ,22)&lt;=(TODAY()+5))*(INDEX('DBX Sprint'!$A$7:$K$62, ,22)&gt;(TODAY()+1)),MATCH(ROW('DBX Sprint'!$A$7:$K$62),ROW('DBX Sprint'!$A$7:$K$62)),""),ROWS($X$34:X37)),COLUMNS('DBX Sprint'!$A$1:A9)),"")</f>
        <v/>
      </c>
      <c r="Y37" s="43" t="str" cm="1">
        <f t="array" aca="1" ref="Y37" ca="1">IFERROR(INDEX('DBX Sprint'!$A$7:$K$62, SMALL(IF((INDEX('DBX Sprint'!$A$7:$K$62, ,22)&lt;=(TODAY()+10))*(INDEX('DBX Sprint'!$A$7:$K$62, ,22)&gt;(TODAY()+5)),MATCH(ROW('DBX Sprint'!$A$7:$K$62),ROW('DBX Sprint'!$A$7:$K$62)),""),ROWS($Y$34:Y37)),COLUMNS('DBX Sprint'!$A$1:A9)),"")</f>
        <v/>
      </c>
      <c r="AA37" s="41" t="str" cm="1">
        <f t="array" ref="AA37">IFERROR(INDEX('DBX Sprint'!$A$7:$K$62, SMALL(IF((INDEX('DBX Sprint'!$A$7:$K$62, ,25)=("Complete"))*(INDEX('DBX Sprint'!$A$7:$K$62, ,25)="Complete"),MATCH(ROW('DBX Sprint'!$A$7:$K$62),ROW('DBX Sprint'!$A$7:$K$62)),""),ROWS($AA$34:AA37)),COLUMNS('DBX Sprint'!$A$1:A9)),"")</f>
        <v/>
      </c>
      <c r="AB37" s="41" t="str" cm="1">
        <f t="array" aca="1" ref="AB37" ca="1">IFERROR(INDEX('DBX Sprint'!$A$7:$K$62, SMALL(IF((INDEX('DBX Sprint'!$A$7:$K$62, ,25)&lt;(TODAY()))*(INDEX('DBX Sprint'!$A$7:$K$62, ,25)&lt;&gt;"Complete"),MATCH(ROW('DBX Sprint'!$A$7:$K$62),ROW('DBX Sprint'!$A$7:$K$62)),""),ROWS($AB$34:AB37)),COLUMNS('DBX Sprint'!$A$1:A9)),"")</f>
        <v/>
      </c>
      <c r="AC37" s="41" t="str" cm="1">
        <f t="array" aca="1" ref="AC37" ca="1">IFERROR(INDEX('DBX Sprint'!$A$7:$K$62, SMALL(IF((INDEX('DBX Sprint'!$A$7:$K$62, ,25)&lt;=(TODAY()+1))*(INDEX('DBX Sprint'!$A$7:$K$62, ,25)&gt;=TODAY()),MATCH(ROW('DBX Sprint'!$A$7:$K$62),ROW('DBX Sprint'!$A$7:$K$62)),""),ROWS($AC$34:AC37)),COLUMNS('DBX Sprint'!$A$1:A9)),"")</f>
        <v/>
      </c>
      <c r="AD37" s="43" t="str" cm="1">
        <f t="array" aca="1" ref="AD37" ca="1">IFERROR(INDEX('DBX Sprint'!$A$7:$K$62, SMALL(IF((INDEX('DBX Sprint'!$A$7:$K$62, ,25)&lt;=(TODAY()+5))*(INDEX('DBX Sprint'!$A$7:$K$62, ,25)&gt;(TODAY()+1)),MATCH(ROW('DBX Sprint'!$A$7:$K$62),ROW('DBX Sprint'!$A$7:$K$62)),""),ROWS($AD$34:AD37)),COLUMNS('DBX Sprint'!$A$1:A9)),"")</f>
        <v/>
      </c>
      <c r="AE37" s="43" t="str" cm="1">
        <f t="array" aca="1" ref="AE37" ca="1">IFERROR(INDEX('DBX Sprint'!$A$7:$K$62, SMALL(IF((INDEX('DBX Sprint'!$A$7:$K$62, ,25)&lt;=(TODAY()+10))*(INDEX('DBX Sprint'!$A$7:$K$62, ,25)&gt;(TODAY()+5)),MATCH(ROW('DBX Sprint'!$A$7:$K$62),ROW('DBX Sprint'!$A$7:$K$62)),""),ROWS($AE$34:AE37)),COLUMNS('DBX Sprint'!$A$1:A9)),"")</f>
        <v/>
      </c>
      <c r="AG37" s="41" t="str" cm="1">
        <f t="array" ref="AG37">IFERROR(INDEX('DBX Sprint'!$A$7:$K$62, SMALL(IF((INDEX('DBX Sprint'!$A$7:$K$62, ,29)=("Complete"))*(INDEX('DBX Sprint'!$A$7:$K$62, ,29)="Complete"),MATCH(ROW('DBX Sprint'!$A$7:$K$62),ROW('DBX Sprint'!$A$7:$K$62)),""),ROWS($AG$34:AG37)),COLUMNS('DBX Sprint'!$A$1:A9)),"")</f>
        <v/>
      </c>
      <c r="AH37" s="41" t="str" cm="1">
        <f t="array" aca="1" ref="AH37" ca="1">IFERROR(INDEX('DBX Sprint'!$A$7:$K$62, SMALL(IF((INDEX('DBX Sprint'!$A$7:$K$62, ,29)&lt;(TODAY()))*(INDEX('DBX Sprint'!$A$7:$K$62, ,29)&lt;&gt;"Complete"),MATCH(ROW('DBX Sprint'!$A$7:$K$62),ROW('DBX Sprint'!$A$7:$K$62)),""),ROWS($AH$34:AH37)),COLUMNS('DBX Sprint'!$A$1:A9)),"")</f>
        <v/>
      </c>
      <c r="AI37" s="41" t="str" cm="1">
        <f t="array" aca="1" ref="AI37" ca="1">IFERROR(INDEX('DBX Sprint'!$A$7:$K$62, SMALL(IF((INDEX('DBX Sprint'!$A$7:$K$62, ,29)&lt;=(TODAY()+1))*(INDEX('DBX Sprint'!$A$7:$K$62, ,29)&gt;=TODAY()),MATCH(ROW('DBX Sprint'!$A$7:$K$62),ROW('DBX Sprint'!$A$7:$K$62)),""),ROWS($AI$34:AI37)),COLUMNS('DBX Sprint'!$A$1:A9)),"")</f>
        <v/>
      </c>
      <c r="AJ37" s="43" t="str" cm="1">
        <f t="array" aca="1" ref="AJ37" ca="1">IFERROR(INDEX('DBX Sprint'!$A$7:$K$62, SMALL(IF((INDEX('DBX Sprint'!$A$7:$K$62, ,29)&lt;=(TODAY()+5))*(INDEX('DBX Sprint'!$A$7:$K$62, ,29)&gt;(TODAY()+1)),MATCH(ROW('DBX Sprint'!$A$7:$K$62),ROW('DBX Sprint'!$A$7:$K$62)),""),ROWS($AJ$34:AJ37)),COLUMNS('DBX Sprint'!$A$1:A9)),"")</f>
        <v/>
      </c>
      <c r="AK37" s="43" t="str" cm="1">
        <f t="array" aca="1" ref="AK37" ca="1">IFERROR(INDEX('DBX Sprint'!$A$7:$K$62, SMALL(IF((INDEX('DBX Sprint'!$A$7:$K$62, ,29)&lt;=(TODAY()+10))*(INDEX('DBX Sprint'!$A$7:$K$62, ,29)&gt;(TODAY()+5)),MATCH(ROW('DBX Sprint'!$A$7:$K$62),ROW('DBX Sprint'!$A$7:$K$62)),""),ROWS($AK$34:AK37)),COLUMNS('DBX Sprint'!$A$1:A9)),"")</f>
        <v/>
      </c>
      <c r="AM37" s="41" t="str" cm="1">
        <f t="array" ref="AM37">IFERROR(INDEX('DBX Sprint'!$A$7:$K$62, SMALL(IF((INDEX('DBX Sprint'!$A$7:$K$62, ,32)=("Complete"))*(INDEX('DBX Sprint'!$A$7:$K$62, ,32)="Complete"),MATCH(ROW('DBX Sprint'!$A$7:$K$62),ROW('DBX Sprint'!$A$7:$K$62)),""),ROWS($AM$34:AM37)),COLUMNS('DBX Sprint'!$A$1:A9)),"")</f>
        <v/>
      </c>
      <c r="AN37" s="41" t="str" cm="1">
        <f t="array" aca="1" ref="AN37" ca="1">IFERROR(INDEX('DBX Sprint'!$A$7:$K$62, SMALL(IF((INDEX('DBX Sprint'!$A$7:$K$62, ,32)&lt;(TODAY()))*(INDEX('DBX Sprint'!$A$7:$K$62, ,32)&lt;&gt;"Complete"),MATCH(ROW('DBX Sprint'!$A$7:$K$62),ROW('DBX Sprint'!$A$7:$K$62)),""),ROWS($AN$34:AN37)),COLUMNS('DBX Sprint'!$A$1:A9)),"")</f>
        <v/>
      </c>
      <c r="AO37" s="41" t="str" cm="1">
        <f t="array" aca="1" ref="AO37" ca="1">IFERROR(INDEX('DBX Sprint'!$A$7:$K$62, SMALL(IF((INDEX('DBX Sprint'!$A$7:$K$62, ,32)&lt;=(TODAY()+1))*(INDEX('DBX Sprint'!$A$7:$K$62, ,32)&gt;=TODAY()),MATCH(ROW('DBX Sprint'!$A$7:$K$62),ROW('DBX Sprint'!$A$7:$K$62)),""),ROWS($AO$34:AO37)),COLUMNS('DBX Sprint'!$A$1:A9)),"")</f>
        <v/>
      </c>
      <c r="AP37" s="43" t="str" cm="1">
        <f t="array" aca="1" ref="AP37" ca="1">IFERROR(INDEX('DBX Sprint'!$A$7:$K$62, SMALL(IF((INDEX('DBX Sprint'!$A$7:$K$62, ,32)&lt;=(TODAY()+5))*(INDEX('DBX Sprint'!$A$7:$K$62, ,32)&gt;(TODAY()+1)),MATCH(ROW('DBX Sprint'!$A$7:$K$62),ROW('DBX Sprint'!$A$7:$K$62)),""),ROWS($AP$34:AP37)),COLUMNS('DBX Sprint'!$A$1:A9)),"")</f>
        <v/>
      </c>
      <c r="AQ37" s="43" t="str" cm="1">
        <f t="array" aca="1" ref="AQ37" ca="1">IFERROR(INDEX('DBX Sprint'!$A$7:$K$62, SMALL(IF((INDEX('DBX Sprint'!$A$7:$K$62, ,32)&lt;=(TODAY()+10))*(INDEX('DBX Sprint'!$A$7:$K$62, ,32)&gt;(TODAY()+5)),MATCH(ROW('DBX Sprint'!$A$7:$K$62),ROW('DBX Sprint'!$A$7:$K$62)),""),ROWS($AQ$34:AQ37)),COLUMNS('DBX Sprint'!$A$1:A9)),"")</f>
        <v/>
      </c>
    </row>
    <row r="38" spans="3:43" ht="30" customHeight="1">
      <c r="C38" s="41" t="str" cm="1">
        <f t="array" ref="C38">IFERROR(INDEX('DBX Sprint'!$A$7:$K$62, SMALL(IF((INDEX('DBX Sprint'!$A$7:$K$62, ,13)=("Complete"))*(INDEX('DBX Sprint'!$A$7:$K$62, ,13)="Complete"),MATCH(ROW('DBX Sprint'!$A$7:$K$62),ROW('DBX Sprint'!$A$7:$K$62)),""),ROWS(C$34:$C38)),COLUMNS('DBX Sprint'!$A$1:A10)),"")</f>
        <v/>
      </c>
      <c r="D38" s="41" t="str" cm="1">
        <f t="array" aca="1" ref="D38" ca="1">IFERROR(INDEX('DBX Sprint'!$A$7:$K$62, SMALL(IF((INDEX('DBX Sprint'!$A$7:$K$62, ,13)&lt;(TODAY()))*(INDEX('DBX Sprint'!$A$7:$K$62, ,13)&lt;&gt;"Complete"),MATCH(ROW('DBX Sprint'!$A$7:$K$62),ROW('DBX Sprint'!$A$7:$K$62)),""),ROWS(D$34:$D38)),COLUMNS('DBX Sprint'!$A$1:A10)),"")</f>
        <v/>
      </c>
      <c r="E38" s="37" t="str" cm="1">
        <f t="array" aca="1" ref="E38" ca="1">IFERROR(INDEX('DBX Sprint'!$A$7:$K$62, SMALL(IF((INDEX('DBX Sprint'!$A$7:$K$62, ,13)&lt;=(TODAY()+1))*(INDEX('DBX Sprint'!$A$7:$K$62, ,13)&gt;=TODAY()),MATCH(ROW('DBX Sprint'!$A$7:$K$62),ROW('DBX Sprint'!$A$7:$K$62)),""),ROWS(E$34:$E38)),COLUMNS('DBX Sprint'!$A$1:A10)),"")</f>
        <v/>
      </c>
      <c r="F38" s="38" t="str" cm="1">
        <f t="array" aca="1" ref="F38" ca="1">IFERROR(INDEX('DBX Sprint'!$A$7:$K$62, SMALL(IF((INDEX('DBX Sprint'!$A$7:$K$62, ,13)&lt;=(TODAY()+5))*(INDEX('DBX Sprint'!$A$7:$K$62, ,13)&gt;(TODAY()+1)),MATCH(ROW('DBX Sprint'!$A$7:$K$62),ROW('DBX Sprint'!$A$7:$K$62)),""),ROWS($F$34:F38)),COLUMNS('DBX Sprint'!$A$1:A10)),"")</f>
        <v/>
      </c>
      <c r="G38" s="38" t="str" cm="1">
        <f t="array" aca="1" ref="G38" ca="1">IFERROR(INDEX('DBX Sprint'!$A$7:$K$62, SMALL(IF((INDEX('DBX Sprint'!$A$7:$K$62, ,13)&lt;=(TODAY()+10))*(INDEX('DBX Sprint'!$A$7:$K$62, ,13)&gt;(TODAY()+5)),MATCH(ROW('DBX Sprint'!$A$7:$K$62),ROW('DBX Sprint'!$A$7:$K$62)),""),ROWS($G$34:G38)),COLUMNS('DBX Sprint'!$A$1:A10)),"")</f>
        <v/>
      </c>
      <c r="I38" s="41" t="str" cm="1">
        <f t="array" ref="I38">IFERROR(INDEX('DBX Sprint'!$A$7:$K$62, SMALL(IF((INDEX('DBX Sprint'!$A$7:$K$62, ,16)=("Complete"))*(INDEX('DBX Sprint'!$A$7:$K$62, ,16)="Complete"),MATCH(ROW('DBX Sprint'!$A$7:$K$62),ROW('DBX Sprint'!$A$7:$K$62)),""),ROWS($I$34:I38)),COLUMNS('DBX Sprint'!$A$1:A10)),"")</f>
        <v/>
      </c>
      <c r="J38" s="41" t="str" cm="1">
        <f t="array" aca="1" ref="J38" ca="1">IFERROR(INDEX('DBX Sprint'!$A$7:$K$62, SMALL(IF((INDEX('DBX Sprint'!$A$7:$K$62, ,16)&lt;(TODAY()))*(INDEX('DBX Sprint'!$A$7:$K$62, ,16)&lt;&gt;"Complete"),MATCH(ROW('DBX Sprint'!$A$7:$K$62),ROW('DBX Sprint'!$A$7:$K$62)),""),ROWS($J$34:J38)),COLUMNS('DBX Sprint'!$A$1:A10)),"")</f>
        <v/>
      </c>
      <c r="K38" s="37" t="str" cm="1">
        <f t="array" aca="1" ref="K38" ca="1">IFERROR(INDEX('DBX Sprint'!$A$7:$K$62, SMALL(IF((INDEX('DBX Sprint'!$A$7:$K$62, ,16)&lt;=(TODAY()+1))*(INDEX('DBX Sprint'!$A$7:$K$62, ,16)&gt;=TODAY()),MATCH(ROW('DBX Sprint'!$A$7:$K$62),ROW('DBX Sprint'!$A$7:$K$62)),""),ROWS($K$34:K38)),COLUMNS('DBX Sprint'!$A$1:A10)),"")</f>
        <v/>
      </c>
      <c r="L38" s="38" t="str" cm="1">
        <f t="array" aca="1" ref="L38" ca="1">IFERROR(INDEX('DBX Sprint'!$A$7:$K$62, SMALL(IF((INDEX('DBX Sprint'!$A$7:$K$62, ,16)&lt;=(TODAY()+5))*(INDEX('DBX Sprint'!$A$7:$K$62, ,16)&gt;(TODAY()+1)),MATCH(ROW('DBX Sprint'!$A$7:$K$62),ROW('DBX Sprint'!$A$7:$K$62)),""),ROWS($L$34:L38)),COLUMNS('DBX Sprint'!$A$1:A10)),"")</f>
        <v/>
      </c>
      <c r="M38" s="38" t="str" cm="1">
        <f t="array" aca="1" ref="M38" ca="1">IFERROR(INDEX('DBX Sprint'!$A$7:$K$62, SMALL(IF((INDEX('DBX Sprint'!$A$7:$K$62, ,16)&lt;=(TODAY()+10))*(INDEX('DBX Sprint'!$A$7:$K$62, ,16)&gt;(TODAY()+5)),MATCH(ROW('DBX Sprint'!$A$7:$K$62),ROW('DBX Sprint'!$A$7:$K$62)),""),ROWS($M$34:M38)),COLUMNS('DBX Sprint'!$A$1:A10)),"")</f>
        <v/>
      </c>
      <c r="O38" s="41" t="str" cm="1">
        <f t="array" ref="O38">IFERROR(INDEX('DBX Sprint'!$A$7:$K$62, SMALL(IF((INDEX('DBX Sprint'!$A$7:$K$62, ,19)=("Complete"))*(INDEX('DBX Sprint'!$A$7:$K$62, ,19)="Complete"),MATCH(ROW('DBX Sprint'!$A$7:$K$62),ROW('DBX Sprint'!$A$7:$K$62)),""),ROWS($O$34:O38)),COLUMNS('DBX Sprint'!$A$1:A10)),"")</f>
        <v/>
      </c>
      <c r="P38" s="41" t="str" cm="1">
        <f t="array" aca="1" ref="P38" ca="1">IFERROR(INDEX('DBX Sprint'!$A$7:$K$62, SMALL(IF((INDEX('DBX Sprint'!$A$7:$K$62, ,19)&lt;(TODAY()))*(INDEX('DBX Sprint'!$A$7:$K$62, ,19)&lt;&gt;"Complete"),MATCH(ROW('DBX Sprint'!$A$7:$K$62),ROW('DBX Sprint'!$A$7:$K$62)),""),ROWS($P$34:P38)),COLUMNS('DBX Sprint'!$A$1:A10)),"")</f>
        <v/>
      </c>
      <c r="Q38" s="41" t="str" cm="1">
        <f t="array" aca="1" ref="Q38" ca="1">IFERROR(INDEX('DBX Sprint'!$A$7:$K$62, SMALL(IF((INDEX('DBX Sprint'!$A$7:$K$62, ,19)&lt;=(TODAY()+1))*(INDEX('DBX Sprint'!$A$7:$K$62, ,19)&gt;=TODAY()),MATCH(ROW('DBX Sprint'!$A$7:$K$62),ROW('DBX Sprint'!$A$7:$K$62)),""),ROWS($Q$34:Q38)),COLUMNS('DBX Sprint'!$A$1:A10)),"")</f>
        <v/>
      </c>
      <c r="R38" s="43" t="str" cm="1">
        <f t="array" aca="1" ref="R38" ca="1">IFERROR(INDEX('DBX Sprint'!$A$7:$K$62, SMALL(IF((INDEX('DBX Sprint'!$A$7:$K$62, ,19)&lt;=(TODAY()+5))*(INDEX('DBX Sprint'!$A$7:$K$62, ,19)&gt;(TODAY()+1)),MATCH(ROW('DBX Sprint'!$A$7:$K$62),ROW('DBX Sprint'!$A$7:$K$62)),""),ROWS($R$34:R38)),COLUMNS('DBX Sprint'!$A$1:A10)),"")</f>
        <v/>
      </c>
      <c r="S38" s="43" t="str" cm="1">
        <f t="array" aca="1" ref="S38" ca="1">IFERROR(INDEX('DBX Sprint'!$A$7:$K$62, SMALL(IF((INDEX('DBX Sprint'!$A$7:$K$62, ,19)&lt;=(TODAY()+10))*(INDEX('DBX Sprint'!$A$7:$K$62, ,19)&gt;(TODAY()+5)),MATCH(ROW('DBX Sprint'!$A$7:$K$62),ROW('DBX Sprint'!$A$7:$K$62)),""),ROWS($S$34:S38)),COLUMNS('DBX Sprint'!$A$1:A10)),"")</f>
        <v/>
      </c>
      <c r="U38" s="41" t="str" cm="1">
        <f t="array" ref="U38">IFERROR(INDEX('DBX Sprint'!$A$7:$K$62, SMALL(IF((INDEX('DBX Sprint'!$A$7:$K$62, ,22)=("Complete"))*(INDEX('DBX Sprint'!$A$7:$K$62, ,22)="Complete"),MATCH(ROW('DBX Sprint'!$A$7:$K$62),ROW('DBX Sprint'!$A$7:$K$62)),""),ROWS($U$34:U38)),COLUMNS('DBX Sprint'!$A$1:A10)),"")</f>
        <v/>
      </c>
      <c r="V38" s="41" t="str" cm="1">
        <f t="array" aca="1" ref="V38" ca="1">IFERROR(INDEX('DBX Sprint'!$A$7:$K$62, SMALL(IF((INDEX('DBX Sprint'!$A$7:$K$62, ,22)&lt;(TODAY()))*(INDEX('DBX Sprint'!$A$7:$K$62, ,22)&lt;&gt;"Complete"),MATCH(ROW('DBX Sprint'!$A$7:$K$62),ROW('DBX Sprint'!$A$7:$K$62)),""),ROWS($V$34:V38)),COLUMNS('DBX Sprint'!$A$1:A10)),"")</f>
        <v/>
      </c>
      <c r="W38" s="41" t="str" cm="1">
        <f t="array" aca="1" ref="W38" ca="1">IFERROR(INDEX('DBX Sprint'!$A$7:$K$62, SMALL(IF((INDEX('DBX Sprint'!$A$7:$K$62, ,22)&lt;=(TODAY()+1))*(INDEX('DBX Sprint'!$A$7:$K$62, ,22)&gt;=TODAY()),MATCH(ROW('DBX Sprint'!$A$7:$K$62),ROW('DBX Sprint'!$A$7:$K$62)),""),ROWS($W$34:W38)),COLUMNS('DBX Sprint'!$A$1:A10)),"")</f>
        <v/>
      </c>
      <c r="X38" s="43" t="str" cm="1">
        <f t="array" aca="1" ref="X38" ca="1">IFERROR(INDEX('DBX Sprint'!$A$7:$K$62, SMALL(IF((INDEX('DBX Sprint'!$A$7:$K$62, ,22)&lt;=(TODAY()+5))*(INDEX('DBX Sprint'!$A$7:$K$62, ,22)&gt;(TODAY()+1)),MATCH(ROW('DBX Sprint'!$A$7:$K$62),ROW('DBX Sprint'!$A$7:$K$62)),""),ROWS($X$34:X38)),COLUMNS('DBX Sprint'!$A$1:A10)),"")</f>
        <v/>
      </c>
      <c r="Y38" s="43" t="str" cm="1">
        <f t="array" aca="1" ref="Y38" ca="1">IFERROR(INDEX('DBX Sprint'!$A$7:$K$62, SMALL(IF((INDEX('DBX Sprint'!$A$7:$K$62, ,22)&lt;=(TODAY()+10))*(INDEX('DBX Sprint'!$A$7:$K$62, ,22)&gt;(TODAY()+5)),MATCH(ROW('DBX Sprint'!$A$7:$K$62),ROW('DBX Sprint'!$A$7:$K$62)),""),ROWS($Y$34:Y38)),COLUMNS('DBX Sprint'!$A$1:A10)),"")</f>
        <v/>
      </c>
      <c r="AA38" s="41" t="str" cm="1">
        <f t="array" ref="AA38">IFERROR(INDEX('DBX Sprint'!$A$7:$K$62, SMALL(IF((INDEX('DBX Sprint'!$A$7:$K$62, ,25)=("Complete"))*(INDEX('DBX Sprint'!$A$7:$K$62, ,25)="Complete"),MATCH(ROW('DBX Sprint'!$A$7:$K$62),ROW('DBX Sprint'!$A$7:$K$62)),""),ROWS($AA$34:AA38)),COLUMNS('DBX Sprint'!$A$1:A10)),"")</f>
        <v/>
      </c>
      <c r="AB38" s="41" t="str" cm="1">
        <f t="array" aca="1" ref="AB38" ca="1">IFERROR(INDEX('DBX Sprint'!$A$7:$K$62, SMALL(IF((INDEX('DBX Sprint'!$A$7:$K$62, ,25)&lt;(TODAY()))*(INDEX('DBX Sprint'!$A$7:$K$62, ,25)&lt;&gt;"Complete"),MATCH(ROW('DBX Sprint'!$A$7:$K$62),ROW('DBX Sprint'!$A$7:$K$62)),""),ROWS($AB$34:AB38)),COLUMNS('DBX Sprint'!$A$1:A10)),"")</f>
        <v/>
      </c>
      <c r="AC38" s="41" t="str" cm="1">
        <f t="array" aca="1" ref="AC38" ca="1">IFERROR(INDEX('DBX Sprint'!$A$7:$K$62, SMALL(IF((INDEX('DBX Sprint'!$A$7:$K$62, ,25)&lt;=(TODAY()+1))*(INDEX('DBX Sprint'!$A$7:$K$62, ,25)&gt;=TODAY()),MATCH(ROW('DBX Sprint'!$A$7:$K$62),ROW('DBX Sprint'!$A$7:$K$62)),""),ROWS($AC$34:AC38)),COLUMNS('DBX Sprint'!$A$1:A10)),"")</f>
        <v/>
      </c>
      <c r="AD38" s="43" t="str" cm="1">
        <f t="array" aca="1" ref="AD38" ca="1">IFERROR(INDEX('DBX Sprint'!$A$7:$K$62, SMALL(IF((INDEX('DBX Sprint'!$A$7:$K$62, ,25)&lt;=(TODAY()+5))*(INDEX('DBX Sprint'!$A$7:$K$62, ,25)&gt;(TODAY()+1)),MATCH(ROW('DBX Sprint'!$A$7:$K$62),ROW('DBX Sprint'!$A$7:$K$62)),""),ROWS($AD$34:AD38)),COLUMNS('DBX Sprint'!$A$1:A10)),"")</f>
        <v/>
      </c>
      <c r="AE38" s="43" t="str" cm="1">
        <f t="array" aca="1" ref="AE38" ca="1">IFERROR(INDEX('DBX Sprint'!$A$7:$K$62, SMALL(IF((INDEX('DBX Sprint'!$A$7:$K$62, ,25)&lt;=(TODAY()+10))*(INDEX('DBX Sprint'!$A$7:$K$62, ,25)&gt;(TODAY()+5)),MATCH(ROW('DBX Sprint'!$A$7:$K$62),ROW('DBX Sprint'!$A$7:$K$62)),""),ROWS($AE$34:AE38)),COLUMNS('DBX Sprint'!$A$1:A10)),"")</f>
        <v/>
      </c>
      <c r="AG38" s="41" t="str" cm="1">
        <f t="array" ref="AG38">IFERROR(INDEX('DBX Sprint'!$A$7:$K$62, SMALL(IF((INDEX('DBX Sprint'!$A$7:$K$62, ,29)=("Complete"))*(INDEX('DBX Sprint'!$A$7:$K$62, ,29)="Complete"),MATCH(ROW('DBX Sprint'!$A$7:$K$62),ROW('DBX Sprint'!$A$7:$K$62)),""),ROWS($AG$34:AG38)),COLUMNS('DBX Sprint'!$A$1:A10)),"")</f>
        <v/>
      </c>
      <c r="AH38" s="41" t="str" cm="1">
        <f t="array" aca="1" ref="AH38" ca="1">IFERROR(INDEX('DBX Sprint'!$A$7:$K$62, SMALL(IF((INDEX('DBX Sprint'!$A$7:$K$62, ,29)&lt;(TODAY()))*(INDEX('DBX Sprint'!$A$7:$K$62, ,29)&lt;&gt;"Complete"),MATCH(ROW('DBX Sprint'!$A$7:$K$62),ROW('DBX Sprint'!$A$7:$K$62)),""),ROWS($AH$34:AH38)),COLUMNS('DBX Sprint'!$A$1:A10)),"")</f>
        <v/>
      </c>
      <c r="AI38" s="41" t="str" cm="1">
        <f t="array" aca="1" ref="AI38" ca="1">IFERROR(INDEX('DBX Sprint'!$A$7:$K$62, SMALL(IF((INDEX('DBX Sprint'!$A$7:$K$62, ,29)&lt;=(TODAY()+1))*(INDEX('DBX Sprint'!$A$7:$K$62, ,29)&gt;=TODAY()),MATCH(ROW('DBX Sprint'!$A$7:$K$62),ROW('DBX Sprint'!$A$7:$K$62)),""),ROWS($AI$34:AI38)),COLUMNS('DBX Sprint'!$A$1:A10)),"")</f>
        <v/>
      </c>
      <c r="AJ38" s="43" t="str" cm="1">
        <f t="array" aca="1" ref="AJ38" ca="1">IFERROR(INDEX('DBX Sprint'!$A$7:$K$62, SMALL(IF((INDEX('DBX Sprint'!$A$7:$K$62, ,29)&lt;=(TODAY()+5))*(INDEX('DBX Sprint'!$A$7:$K$62, ,29)&gt;(TODAY()+1)),MATCH(ROW('DBX Sprint'!$A$7:$K$62),ROW('DBX Sprint'!$A$7:$K$62)),""),ROWS($AJ$34:AJ38)),COLUMNS('DBX Sprint'!$A$1:A10)),"")</f>
        <v/>
      </c>
      <c r="AK38" s="43" t="str" cm="1">
        <f t="array" aca="1" ref="AK38" ca="1">IFERROR(INDEX('DBX Sprint'!$A$7:$K$62, SMALL(IF((INDEX('DBX Sprint'!$A$7:$K$62, ,29)&lt;=(TODAY()+10))*(INDEX('DBX Sprint'!$A$7:$K$62, ,29)&gt;(TODAY()+5)),MATCH(ROW('DBX Sprint'!$A$7:$K$62),ROW('DBX Sprint'!$A$7:$K$62)),""),ROWS($AK$34:AK38)),COLUMNS('DBX Sprint'!$A$1:A10)),"")</f>
        <v/>
      </c>
      <c r="AM38" s="41" t="str" cm="1">
        <f t="array" ref="AM38">IFERROR(INDEX('DBX Sprint'!$A$7:$K$62, SMALL(IF((INDEX('DBX Sprint'!$A$7:$K$62, ,32)=("Complete"))*(INDEX('DBX Sprint'!$A$7:$K$62, ,32)="Complete"),MATCH(ROW('DBX Sprint'!$A$7:$K$62),ROW('DBX Sprint'!$A$7:$K$62)),""),ROWS($AM$34:AM38)),COLUMNS('DBX Sprint'!$A$1:A10)),"")</f>
        <v/>
      </c>
      <c r="AN38" s="41" t="str" cm="1">
        <f t="array" aca="1" ref="AN38" ca="1">IFERROR(INDEX('DBX Sprint'!$A$7:$K$62, SMALL(IF((INDEX('DBX Sprint'!$A$7:$K$62, ,32)&lt;(TODAY()))*(INDEX('DBX Sprint'!$A$7:$K$62, ,32)&lt;&gt;"Complete"),MATCH(ROW('DBX Sprint'!$A$7:$K$62),ROW('DBX Sprint'!$A$7:$K$62)),""),ROWS($AN$34:AN38)),COLUMNS('DBX Sprint'!$A$1:A10)),"")</f>
        <v/>
      </c>
      <c r="AO38" s="41" t="str" cm="1">
        <f t="array" aca="1" ref="AO38" ca="1">IFERROR(INDEX('DBX Sprint'!$A$7:$K$62, SMALL(IF((INDEX('DBX Sprint'!$A$7:$K$62, ,32)&lt;=(TODAY()+1))*(INDEX('DBX Sprint'!$A$7:$K$62, ,32)&gt;=TODAY()),MATCH(ROW('DBX Sprint'!$A$7:$K$62),ROW('DBX Sprint'!$A$7:$K$62)),""),ROWS($AO$34:AO38)),COLUMNS('DBX Sprint'!$A$1:A10)),"")</f>
        <v/>
      </c>
      <c r="AP38" s="43" t="str" cm="1">
        <f t="array" aca="1" ref="AP38" ca="1">IFERROR(INDEX('DBX Sprint'!$A$7:$K$62, SMALL(IF((INDEX('DBX Sprint'!$A$7:$K$62, ,32)&lt;=(TODAY()+5))*(INDEX('DBX Sprint'!$A$7:$K$62, ,32)&gt;(TODAY()+1)),MATCH(ROW('DBX Sprint'!$A$7:$K$62),ROW('DBX Sprint'!$A$7:$K$62)),""),ROWS($AP$34:AP38)),COLUMNS('DBX Sprint'!$A$1:A10)),"")</f>
        <v/>
      </c>
      <c r="AQ38" s="43" t="str" cm="1">
        <f t="array" aca="1" ref="AQ38" ca="1">IFERROR(INDEX('DBX Sprint'!$A$7:$K$62, SMALL(IF((INDEX('DBX Sprint'!$A$7:$K$62, ,32)&lt;=(TODAY()+10))*(INDEX('DBX Sprint'!$A$7:$K$62, ,32)&gt;(TODAY()+5)),MATCH(ROW('DBX Sprint'!$A$7:$K$62),ROW('DBX Sprint'!$A$7:$K$62)),""),ROWS($AQ$34:AQ38)),COLUMNS('DBX Sprint'!$A$1:A10)),"")</f>
        <v/>
      </c>
    </row>
    <row r="39" spans="3:43" ht="30" customHeight="1">
      <c r="C39" s="41" t="str" cm="1">
        <f t="array" ref="C39">IFERROR(INDEX('DBX Sprint'!$A$7:$K$62, SMALL(IF((INDEX('DBX Sprint'!$A$7:$K$62, ,13)=("Complete"))*(INDEX('DBX Sprint'!$A$7:$K$62, ,13)="Complete"),MATCH(ROW('DBX Sprint'!$A$7:$K$62),ROW('DBX Sprint'!$A$7:$K$62)),""),ROWS(C$34:$C39)),COLUMNS('DBX Sprint'!$A$1:A11)),"")</f>
        <v/>
      </c>
      <c r="D39" s="41" t="str" cm="1">
        <f t="array" aca="1" ref="D39" ca="1">IFERROR(INDEX('DBX Sprint'!$A$7:$K$62, SMALL(IF((INDEX('DBX Sprint'!$A$7:$K$62, ,13)&lt;(TODAY()))*(INDEX('DBX Sprint'!$A$7:$K$62, ,13)&lt;&gt;"Complete"),MATCH(ROW('DBX Sprint'!$A$7:$K$62),ROW('DBX Sprint'!$A$7:$K$62)),""),ROWS(D$34:$D39)),COLUMNS('DBX Sprint'!$A$1:A11)),"")</f>
        <v/>
      </c>
      <c r="E39" s="37" t="str" cm="1">
        <f t="array" aca="1" ref="E39" ca="1">IFERROR(INDEX('DBX Sprint'!$A$7:$K$62, SMALL(IF((INDEX('DBX Sprint'!$A$7:$K$62, ,13)&lt;=(TODAY()+1))*(INDEX('DBX Sprint'!$A$7:$K$62, ,13)&gt;=TODAY()),MATCH(ROW('DBX Sprint'!$A$7:$K$62),ROW('DBX Sprint'!$A$7:$K$62)),""),ROWS(E$34:$E39)),COLUMNS('DBX Sprint'!$A$1:A11)),"")</f>
        <v/>
      </c>
      <c r="F39" s="38" t="str" cm="1">
        <f t="array" aca="1" ref="F39" ca="1">IFERROR(INDEX('DBX Sprint'!$A$7:$K$62, SMALL(IF((INDEX('DBX Sprint'!$A$7:$K$62, ,13)&lt;=(TODAY()+5))*(INDEX('DBX Sprint'!$A$7:$K$62, ,13)&gt;(TODAY()+1)),MATCH(ROW('DBX Sprint'!$A$7:$K$62),ROW('DBX Sprint'!$A$7:$K$62)),""),ROWS($F$34:F39)),COLUMNS('DBX Sprint'!$A$1:A11)),"")</f>
        <v/>
      </c>
      <c r="G39" s="38" t="str" cm="1">
        <f t="array" aca="1" ref="G39" ca="1">IFERROR(INDEX('DBX Sprint'!$A$7:$K$62, SMALL(IF((INDEX('DBX Sprint'!$A$7:$K$62, ,13)&lt;=(TODAY()+10))*(INDEX('DBX Sprint'!$A$7:$K$62, ,13)&gt;(TODAY()+5)),MATCH(ROW('DBX Sprint'!$A$7:$K$62),ROW('DBX Sprint'!$A$7:$K$62)),""),ROWS($G$34:G39)),COLUMNS('DBX Sprint'!$A$1:A11)),"")</f>
        <v/>
      </c>
      <c r="I39" s="41" t="str" cm="1">
        <f t="array" ref="I39">IFERROR(INDEX('DBX Sprint'!$A$7:$K$62, SMALL(IF((INDEX('DBX Sprint'!$A$7:$K$62, ,16)=("Complete"))*(INDEX('DBX Sprint'!$A$7:$K$62, ,16)="Complete"),MATCH(ROW('DBX Sprint'!$A$7:$K$62),ROW('DBX Sprint'!$A$7:$K$62)),""),ROWS($I$34:I39)),COLUMNS('DBX Sprint'!$A$1:A11)),"")</f>
        <v/>
      </c>
      <c r="J39" s="41" t="str" cm="1">
        <f t="array" aca="1" ref="J39" ca="1">IFERROR(INDEX('DBX Sprint'!$A$7:$K$62, SMALL(IF((INDEX('DBX Sprint'!$A$7:$K$62, ,16)&lt;(TODAY()))*(INDEX('DBX Sprint'!$A$7:$K$62, ,16)&lt;&gt;"Complete"),MATCH(ROW('DBX Sprint'!$A$7:$K$62),ROW('DBX Sprint'!$A$7:$K$62)),""),ROWS($J$34:J39)),COLUMNS('DBX Sprint'!$A$1:A11)),"")</f>
        <v/>
      </c>
      <c r="K39" s="37" t="str" cm="1">
        <f t="array" aca="1" ref="K39" ca="1">IFERROR(INDEX('DBX Sprint'!$A$7:$K$62, SMALL(IF((INDEX('DBX Sprint'!$A$7:$K$62, ,16)&lt;=(TODAY()+1))*(INDEX('DBX Sprint'!$A$7:$K$62, ,16)&gt;=TODAY()),MATCH(ROW('DBX Sprint'!$A$7:$K$62),ROW('DBX Sprint'!$A$7:$K$62)),""),ROWS($K$34:K39)),COLUMNS('DBX Sprint'!$A$1:A11)),"")</f>
        <v/>
      </c>
      <c r="L39" s="38" t="str" cm="1">
        <f t="array" aca="1" ref="L39" ca="1">IFERROR(INDEX('DBX Sprint'!$A$7:$K$62, SMALL(IF((INDEX('DBX Sprint'!$A$7:$K$62, ,16)&lt;=(TODAY()+5))*(INDEX('DBX Sprint'!$A$7:$K$62, ,16)&gt;(TODAY()+1)),MATCH(ROW('DBX Sprint'!$A$7:$K$62),ROW('DBX Sprint'!$A$7:$K$62)),""),ROWS($L$34:L39)),COLUMNS('DBX Sprint'!$A$1:A11)),"")</f>
        <v/>
      </c>
      <c r="M39" s="38" t="str" cm="1">
        <f t="array" aca="1" ref="M39" ca="1">IFERROR(INDEX('DBX Sprint'!$A$7:$K$62, SMALL(IF((INDEX('DBX Sprint'!$A$7:$K$62, ,16)&lt;=(TODAY()+10))*(INDEX('DBX Sprint'!$A$7:$K$62, ,16)&gt;(TODAY()+5)),MATCH(ROW('DBX Sprint'!$A$7:$K$62),ROW('DBX Sprint'!$A$7:$K$62)),""),ROWS($M$34:M39)),COLUMNS('DBX Sprint'!$A$1:A11)),"")</f>
        <v/>
      </c>
      <c r="O39" s="41" t="str" cm="1">
        <f t="array" ref="O39">IFERROR(INDEX('DBX Sprint'!$A$7:$K$62, SMALL(IF((INDEX('DBX Sprint'!$A$7:$K$62, ,19)=("Complete"))*(INDEX('DBX Sprint'!$A$7:$K$62, ,19)="Complete"),MATCH(ROW('DBX Sprint'!$A$7:$K$62),ROW('DBX Sprint'!$A$7:$K$62)),""),ROWS($O$34:O39)),COLUMNS('DBX Sprint'!$A$1:A11)),"")</f>
        <v/>
      </c>
      <c r="P39" s="41" t="str" cm="1">
        <f t="array" aca="1" ref="P39" ca="1">IFERROR(INDEX('DBX Sprint'!$A$7:$K$62, SMALL(IF((INDEX('DBX Sprint'!$A$7:$K$62, ,19)&lt;(TODAY()))*(INDEX('DBX Sprint'!$A$7:$K$62, ,19)&lt;&gt;"Complete"),MATCH(ROW('DBX Sprint'!$A$7:$K$62),ROW('DBX Sprint'!$A$7:$K$62)),""),ROWS($P$34:P39)),COLUMNS('DBX Sprint'!$A$1:A11)),"")</f>
        <v/>
      </c>
      <c r="Q39" s="41" t="str" cm="1">
        <f t="array" aca="1" ref="Q39" ca="1">IFERROR(INDEX('DBX Sprint'!$A$7:$K$62, SMALL(IF((INDEX('DBX Sprint'!$A$7:$K$62, ,19)&lt;=(TODAY()+1))*(INDEX('DBX Sprint'!$A$7:$K$62, ,19)&gt;=TODAY()),MATCH(ROW('DBX Sprint'!$A$7:$K$62),ROW('DBX Sprint'!$A$7:$K$62)),""),ROWS($Q$34:Q39)),COLUMNS('DBX Sprint'!$A$1:A11)),"")</f>
        <v/>
      </c>
      <c r="R39" s="43" t="str" cm="1">
        <f t="array" aca="1" ref="R39" ca="1">IFERROR(INDEX('DBX Sprint'!$A$7:$K$62, SMALL(IF((INDEX('DBX Sprint'!$A$7:$K$62, ,19)&lt;=(TODAY()+5))*(INDEX('DBX Sprint'!$A$7:$K$62, ,19)&gt;(TODAY()+1)),MATCH(ROW('DBX Sprint'!$A$7:$K$62),ROW('DBX Sprint'!$A$7:$K$62)),""),ROWS($R$34:R39)),COLUMNS('DBX Sprint'!$A$1:A11)),"")</f>
        <v/>
      </c>
      <c r="S39" s="43" t="str" cm="1">
        <f t="array" aca="1" ref="S39" ca="1">IFERROR(INDEX('DBX Sprint'!$A$7:$K$62, SMALL(IF((INDEX('DBX Sprint'!$A$7:$K$62, ,19)&lt;=(TODAY()+10))*(INDEX('DBX Sprint'!$A$7:$K$62, ,19)&gt;(TODAY()+5)),MATCH(ROW('DBX Sprint'!$A$7:$K$62),ROW('DBX Sprint'!$A$7:$K$62)),""),ROWS($S$34:S39)),COLUMNS('DBX Sprint'!$A$1:A11)),"")</f>
        <v/>
      </c>
      <c r="U39" s="41" t="str" cm="1">
        <f t="array" ref="U39">IFERROR(INDEX('DBX Sprint'!$A$7:$K$62, SMALL(IF((INDEX('DBX Sprint'!$A$7:$K$62, ,22)=("Complete"))*(INDEX('DBX Sprint'!$A$7:$K$62, ,22)="Complete"),MATCH(ROW('DBX Sprint'!$A$7:$K$62),ROW('DBX Sprint'!$A$7:$K$62)),""),ROWS($U$34:U39)),COLUMNS('DBX Sprint'!$A$1:A11)),"")</f>
        <v/>
      </c>
      <c r="V39" s="41" t="str" cm="1">
        <f t="array" aca="1" ref="V39" ca="1">IFERROR(INDEX('DBX Sprint'!$A$7:$K$62, SMALL(IF((INDEX('DBX Sprint'!$A$7:$K$62, ,22)&lt;(TODAY()))*(INDEX('DBX Sprint'!$A$7:$K$62, ,22)&lt;&gt;"Complete"),MATCH(ROW('DBX Sprint'!$A$7:$K$62),ROW('DBX Sprint'!$A$7:$K$62)),""),ROWS($V$34:V39)),COLUMNS('DBX Sprint'!$A$1:A11)),"")</f>
        <v/>
      </c>
      <c r="W39" s="41" t="str" cm="1">
        <f t="array" aca="1" ref="W39" ca="1">IFERROR(INDEX('DBX Sprint'!$A$7:$K$62, SMALL(IF((INDEX('DBX Sprint'!$A$7:$K$62, ,22)&lt;=(TODAY()+1))*(INDEX('DBX Sprint'!$A$7:$K$62, ,22)&gt;=TODAY()),MATCH(ROW('DBX Sprint'!$A$7:$K$62),ROW('DBX Sprint'!$A$7:$K$62)),""),ROWS($W$34:W39)),COLUMNS('DBX Sprint'!$A$1:A11)),"")</f>
        <v/>
      </c>
      <c r="X39" s="43" t="str" cm="1">
        <f t="array" aca="1" ref="X39" ca="1">IFERROR(INDEX('DBX Sprint'!$A$7:$K$62, SMALL(IF((INDEX('DBX Sprint'!$A$7:$K$62, ,22)&lt;=(TODAY()+5))*(INDEX('DBX Sprint'!$A$7:$K$62, ,22)&gt;(TODAY()+1)),MATCH(ROW('DBX Sprint'!$A$7:$K$62),ROW('DBX Sprint'!$A$7:$K$62)),""),ROWS($X$34:X39)),COLUMNS('DBX Sprint'!$A$1:A11)),"")</f>
        <v/>
      </c>
      <c r="Y39" s="43" t="str" cm="1">
        <f t="array" aca="1" ref="Y39" ca="1">IFERROR(INDEX('DBX Sprint'!$A$7:$K$62, SMALL(IF((INDEX('DBX Sprint'!$A$7:$K$62, ,22)&lt;=(TODAY()+10))*(INDEX('DBX Sprint'!$A$7:$K$62, ,22)&gt;(TODAY()+5)),MATCH(ROW('DBX Sprint'!$A$7:$K$62),ROW('DBX Sprint'!$A$7:$K$62)),""),ROWS($Y$34:Y39)),COLUMNS('DBX Sprint'!$A$1:A11)),"")</f>
        <v/>
      </c>
      <c r="AA39" s="41" t="str" cm="1">
        <f t="array" ref="AA39">IFERROR(INDEX('DBX Sprint'!$A$7:$K$62, SMALL(IF((INDEX('DBX Sprint'!$A$7:$K$62, ,25)=("Complete"))*(INDEX('DBX Sprint'!$A$7:$K$62, ,25)="Complete"),MATCH(ROW('DBX Sprint'!$A$7:$K$62),ROW('DBX Sprint'!$A$7:$K$62)),""),ROWS($AA$34:AA39)),COLUMNS('DBX Sprint'!$A$1:A11)),"")</f>
        <v/>
      </c>
      <c r="AB39" s="41" t="str" cm="1">
        <f t="array" aca="1" ref="AB39" ca="1">IFERROR(INDEX('DBX Sprint'!$A$7:$K$62, SMALL(IF((INDEX('DBX Sprint'!$A$7:$K$62, ,25)&lt;(TODAY()))*(INDEX('DBX Sprint'!$A$7:$K$62, ,25)&lt;&gt;"Complete"),MATCH(ROW('DBX Sprint'!$A$7:$K$62),ROW('DBX Sprint'!$A$7:$K$62)),""),ROWS($AB$34:AB39)),COLUMNS('DBX Sprint'!$A$1:A11)),"")</f>
        <v/>
      </c>
      <c r="AC39" s="41" t="str" cm="1">
        <f t="array" aca="1" ref="AC39" ca="1">IFERROR(INDEX('DBX Sprint'!$A$7:$K$62, SMALL(IF((INDEX('DBX Sprint'!$A$7:$K$62, ,25)&lt;=(TODAY()+1))*(INDEX('DBX Sprint'!$A$7:$K$62, ,25)&gt;=TODAY()),MATCH(ROW('DBX Sprint'!$A$7:$K$62),ROW('DBX Sprint'!$A$7:$K$62)),""),ROWS($AC$34:AC39)),COLUMNS('DBX Sprint'!$A$1:A11)),"")</f>
        <v/>
      </c>
      <c r="AD39" s="43" t="str" cm="1">
        <f t="array" aca="1" ref="AD39" ca="1">IFERROR(INDEX('DBX Sprint'!$A$7:$K$62, SMALL(IF((INDEX('DBX Sprint'!$A$7:$K$62, ,25)&lt;=(TODAY()+5))*(INDEX('DBX Sprint'!$A$7:$K$62, ,25)&gt;(TODAY()+1)),MATCH(ROW('DBX Sprint'!$A$7:$K$62),ROW('DBX Sprint'!$A$7:$K$62)),""),ROWS($AD$34:AD39)),COLUMNS('DBX Sprint'!$A$1:A11)),"")</f>
        <v/>
      </c>
      <c r="AE39" s="43" t="str" cm="1">
        <f t="array" aca="1" ref="AE39" ca="1">IFERROR(INDEX('DBX Sprint'!$A$7:$K$62, SMALL(IF((INDEX('DBX Sprint'!$A$7:$K$62, ,25)&lt;=(TODAY()+10))*(INDEX('DBX Sprint'!$A$7:$K$62, ,25)&gt;(TODAY()+5)),MATCH(ROW('DBX Sprint'!$A$7:$K$62),ROW('DBX Sprint'!$A$7:$K$62)),""),ROWS($AE$34:AE39)),COLUMNS('DBX Sprint'!$A$1:A11)),"")</f>
        <v/>
      </c>
      <c r="AG39" s="41" t="str" cm="1">
        <f t="array" ref="AG39">IFERROR(INDEX('DBX Sprint'!$A$7:$K$62, SMALL(IF((INDEX('DBX Sprint'!$A$7:$K$62, ,29)=("Complete"))*(INDEX('DBX Sprint'!$A$7:$K$62, ,29)="Complete"),MATCH(ROW('DBX Sprint'!$A$7:$K$62),ROW('DBX Sprint'!$A$7:$K$62)),""),ROWS($AG$34:AG39)),COLUMNS('DBX Sprint'!$A$1:A11)),"")</f>
        <v/>
      </c>
      <c r="AH39" s="41" t="str" cm="1">
        <f t="array" aca="1" ref="AH39" ca="1">IFERROR(INDEX('DBX Sprint'!$A$7:$K$62, SMALL(IF((INDEX('DBX Sprint'!$A$7:$K$62, ,29)&lt;(TODAY()))*(INDEX('DBX Sprint'!$A$7:$K$62, ,29)&lt;&gt;"Complete"),MATCH(ROW('DBX Sprint'!$A$7:$K$62),ROW('DBX Sprint'!$A$7:$K$62)),""),ROWS($AH$34:AH39)),COLUMNS('DBX Sprint'!$A$1:A11)),"")</f>
        <v/>
      </c>
      <c r="AI39" s="41" t="str" cm="1">
        <f t="array" aca="1" ref="AI39" ca="1">IFERROR(INDEX('DBX Sprint'!$A$7:$K$62, SMALL(IF((INDEX('DBX Sprint'!$A$7:$K$62, ,29)&lt;=(TODAY()+1))*(INDEX('DBX Sprint'!$A$7:$K$62, ,29)&gt;=TODAY()),MATCH(ROW('DBX Sprint'!$A$7:$K$62),ROW('DBX Sprint'!$A$7:$K$62)),""),ROWS($AI$34:AI39)),COLUMNS('DBX Sprint'!$A$1:A11)),"")</f>
        <v/>
      </c>
      <c r="AJ39" s="43" t="str" cm="1">
        <f t="array" aca="1" ref="AJ39" ca="1">IFERROR(INDEX('DBX Sprint'!$A$7:$K$62, SMALL(IF((INDEX('DBX Sprint'!$A$7:$K$62, ,29)&lt;=(TODAY()+5))*(INDEX('DBX Sprint'!$A$7:$K$62, ,29)&gt;(TODAY()+1)),MATCH(ROW('DBX Sprint'!$A$7:$K$62),ROW('DBX Sprint'!$A$7:$K$62)),""),ROWS($AJ$34:AJ39)),COLUMNS('DBX Sprint'!$A$1:A11)),"")</f>
        <v/>
      </c>
      <c r="AK39" s="43" t="str" cm="1">
        <f t="array" aca="1" ref="AK39" ca="1">IFERROR(INDEX('DBX Sprint'!$A$7:$K$62, SMALL(IF((INDEX('DBX Sprint'!$A$7:$K$62, ,29)&lt;=(TODAY()+10))*(INDEX('DBX Sprint'!$A$7:$K$62, ,29)&gt;(TODAY()+5)),MATCH(ROW('DBX Sprint'!$A$7:$K$62),ROW('DBX Sprint'!$A$7:$K$62)),""),ROWS($AK$34:AK39)),COLUMNS('DBX Sprint'!$A$1:A11)),"")</f>
        <v/>
      </c>
      <c r="AM39" s="41" t="str" cm="1">
        <f t="array" ref="AM39">IFERROR(INDEX('DBX Sprint'!$A$7:$K$62, SMALL(IF((INDEX('DBX Sprint'!$A$7:$K$62, ,32)=("Complete"))*(INDEX('DBX Sprint'!$A$7:$K$62, ,32)="Complete"),MATCH(ROW('DBX Sprint'!$A$7:$K$62),ROW('DBX Sprint'!$A$7:$K$62)),""),ROWS($AM$34:AM39)),COLUMNS('DBX Sprint'!$A$1:A11)),"")</f>
        <v/>
      </c>
      <c r="AN39" s="41" t="str" cm="1">
        <f t="array" aca="1" ref="AN39" ca="1">IFERROR(INDEX('DBX Sprint'!$A$7:$K$62, SMALL(IF((INDEX('DBX Sprint'!$A$7:$K$62, ,32)&lt;(TODAY()))*(INDEX('DBX Sprint'!$A$7:$K$62, ,32)&lt;&gt;"Complete"),MATCH(ROW('DBX Sprint'!$A$7:$K$62),ROW('DBX Sprint'!$A$7:$K$62)),""),ROWS($AN$34:AN39)),COLUMNS('DBX Sprint'!$A$1:A11)),"")</f>
        <v/>
      </c>
      <c r="AO39" s="41" t="str" cm="1">
        <f t="array" aca="1" ref="AO39" ca="1">IFERROR(INDEX('DBX Sprint'!$A$7:$K$62, SMALL(IF((INDEX('DBX Sprint'!$A$7:$K$62, ,32)&lt;=(TODAY()+1))*(INDEX('DBX Sprint'!$A$7:$K$62, ,32)&gt;=TODAY()),MATCH(ROW('DBX Sprint'!$A$7:$K$62),ROW('DBX Sprint'!$A$7:$K$62)),""),ROWS($AO$34:AO39)),COLUMNS('DBX Sprint'!$A$1:A11)),"")</f>
        <v/>
      </c>
      <c r="AP39" s="43" t="str" cm="1">
        <f t="array" aca="1" ref="AP39" ca="1">IFERROR(INDEX('DBX Sprint'!$A$7:$K$62, SMALL(IF((INDEX('DBX Sprint'!$A$7:$K$62, ,32)&lt;=(TODAY()+5))*(INDEX('DBX Sprint'!$A$7:$K$62, ,32)&gt;(TODAY()+1)),MATCH(ROW('DBX Sprint'!$A$7:$K$62),ROW('DBX Sprint'!$A$7:$K$62)),""),ROWS($AP$34:AP39)),COLUMNS('DBX Sprint'!$A$1:A11)),"")</f>
        <v/>
      </c>
      <c r="AQ39" s="43" t="str" cm="1">
        <f t="array" aca="1" ref="AQ39" ca="1">IFERROR(INDEX('DBX Sprint'!$A$7:$K$62, SMALL(IF((INDEX('DBX Sprint'!$A$7:$K$62, ,32)&lt;=(TODAY()+10))*(INDEX('DBX Sprint'!$A$7:$K$62, ,32)&gt;(TODAY()+5)),MATCH(ROW('DBX Sprint'!$A$7:$K$62),ROW('DBX Sprint'!$A$7:$K$62)),""),ROWS($AQ$34:AQ39)),COLUMNS('DBX Sprint'!$A$1:A11)),"")</f>
        <v/>
      </c>
    </row>
    <row r="40" spans="3:43" ht="30" customHeight="1">
      <c r="C40" s="41" t="str" cm="1">
        <f t="array" ref="C40">IFERROR(INDEX('DBX Sprint'!$A$7:$K$62, SMALL(IF((INDEX('DBX Sprint'!$A$7:$K$62, ,13)=("Complete"))*(INDEX('DBX Sprint'!$A$7:$K$62, ,13)="Complete"),MATCH(ROW('DBX Sprint'!$A$7:$K$62),ROW('DBX Sprint'!$A$7:$K$62)),""),ROWS(C$34:$C40)),COLUMNS('DBX Sprint'!$A$1:A12)),"")</f>
        <v/>
      </c>
      <c r="D40" s="41" t="str" cm="1">
        <f t="array" aca="1" ref="D40" ca="1">IFERROR(INDEX('DBX Sprint'!$A$7:$K$62, SMALL(IF((INDEX('DBX Sprint'!$A$7:$K$62, ,13)&lt;(TODAY()))*(INDEX('DBX Sprint'!$A$7:$K$62, ,13)&lt;&gt;"Complete"),MATCH(ROW('DBX Sprint'!$A$7:$K$62),ROW('DBX Sprint'!$A$7:$K$62)),""),ROWS(D$34:$D40)),COLUMNS('DBX Sprint'!$A$1:A12)),"")</f>
        <v/>
      </c>
      <c r="E40" s="37" t="str" cm="1">
        <f t="array" aca="1" ref="E40" ca="1">IFERROR(INDEX('DBX Sprint'!$A$7:$K$62, SMALL(IF((INDEX('DBX Sprint'!$A$7:$K$62, ,13)&lt;=(TODAY()+1))*(INDEX('DBX Sprint'!$A$7:$K$62, ,13)&gt;=TODAY()),MATCH(ROW('DBX Sprint'!$A$7:$K$62),ROW('DBX Sprint'!$A$7:$K$62)),""),ROWS(E$34:$E40)),COLUMNS('DBX Sprint'!$A$1:A12)),"")</f>
        <v/>
      </c>
      <c r="F40" s="38" t="str" cm="1">
        <f t="array" aca="1" ref="F40" ca="1">IFERROR(INDEX('DBX Sprint'!$A$7:$K$62, SMALL(IF((INDEX('DBX Sprint'!$A$7:$K$62, ,13)&lt;=(TODAY()+5))*(INDEX('DBX Sprint'!$A$7:$K$62, ,13)&gt;(TODAY()+1)),MATCH(ROW('DBX Sprint'!$A$7:$K$62),ROW('DBX Sprint'!$A$7:$K$62)),""),ROWS($F$34:F40)),COLUMNS('DBX Sprint'!$A$1:A12)),"")</f>
        <v/>
      </c>
      <c r="G40" s="38" t="str" cm="1">
        <f t="array" aca="1" ref="G40" ca="1">IFERROR(INDEX('DBX Sprint'!$A$7:$K$62, SMALL(IF((INDEX('DBX Sprint'!$A$7:$K$62, ,13)&lt;=(TODAY()+10))*(INDEX('DBX Sprint'!$A$7:$K$62, ,13)&gt;(TODAY()+5)),MATCH(ROW('DBX Sprint'!$A$7:$K$62),ROW('DBX Sprint'!$A$7:$K$62)),""),ROWS($G$34:G40)),COLUMNS('DBX Sprint'!$A$1:A12)),"")</f>
        <v/>
      </c>
      <c r="I40" s="41" t="str" cm="1">
        <f t="array" ref="I40">IFERROR(INDEX('DBX Sprint'!$A$7:$K$62, SMALL(IF((INDEX('DBX Sprint'!$A$7:$K$62, ,16)=("Complete"))*(INDEX('DBX Sprint'!$A$7:$K$62, ,16)="Complete"),MATCH(ROW('DBX Sprint'!$A$7:$K$62),ROW('DBX Sprint'!$A$7:$K$62)),""),ROWS($I$34:I40)),COLUMNS('DBX Sprint'!$A$1:A12)),"")</f>
        <v/>
      </c>
      <c r="J40" s="41" t="str" cm="1">
        <f t="array" aca="1" ref="J40" ca="1">IFERROR(INDEX('DBX Sprint'!$A$7:$K$62, SMALL(IF((INDEX('DBX Sprint'!$A$7:$K$62, ,16)&lt;(TODAY()))*(INDEX('DBX Sprint'!$A$7:$K$62, ,16)&lt;&gt;"Complete"),MATCH(ROW('DBX Sprint'!$A$7:$K$62),ROW('DBX Sprint'!$A$7:$K$62)),""),ROWS($J$34:J40)),COLUMNS('DBX Sprint'!$A$1:A12)),"")</f>
        <v/>
      </c>
      <c r="K40" s="37" t="str" cm="1">
        <f t="array" aca="1" ref="K40" ca="1">IFERROR(INDEX('DBX Sprint'!$A$7:$K$62, SMALL(IF((INDEX('DBX Sprint'!$A$7:$K$62, ,16)&lt;=(TODAY()+1))*(INDEX('DBX Sprint'!$A$7:$K$62, ,16)&gt;=TODAY()),MATCH(ROW('DBX Sprint'!$A$7:$K$62),ROW('DBX Sprint'!$A$7:$K$62)),""),ROWS($K$34:K40)),COLUMNS('DBX Sprint'!$A$1:A12)),"")</f>
        <v/>
      </c>
      <c r="L40" s="38" t="str" cm="1">
        <f t="array" aca="1" ref="L40" ca="1">IFERROR(INDEX('DBX Sprint'!$A$7:$K$62, SMALL(IF((INDEX('DBX Sprint'!$A$7:$K$62, ,16)&lt;=(TODAY()+5))*(INDEX('DBX Sprint'!$A$7:$K$62, ,16)&gt;(TODAY()+1)),MATCH(ROW('DBX Sprint'!$A$7:$K$62),ROW('DBX Sprint'!$A$7:$K$62)),""),ROWS($L$34:L40)),COLUMNS('DBX Sprint'!$A$1:A12)),"")</f>
        <v/>
      </c>
      <c r="M40" s="38" t="str" cm="1">
        <f t="array" aca="1" ref="M40" ca="1">IFERROR(INDEX('DBX Sprint'!$A$7:$K$62, SMALL(IF((INDEX('DBX Sprint'!$A$7:$K$62, ,16)&lt;=(TODAY()+10))*(INDEX('DBX Sprint'!$A$7:$K$62, ,16)&gt;(TODAY()+5)),MATCH(ROW('DBX Sprint'!$A$7:$K$62),ROW('DBX Sprint'!$A$7:$K$62)),""),ROWS($M$34:M40)),COLUMNS('DBX Sprint'!$A$1:A12)),"")</f>
        <v/>
      </c>
      <c r="O40" s="41" t="str" cm="1">
        <f t="array" ref="O40">IFERROR(INDEX('DBX Sprint'!$A$7:$K$62, SMALL(IF((INDEX('DBX Sprint'!$A$7:$K$62, ,19)=("Complete"))*(INDEX('DBX Sprint'!$A$7:$K$62, ,19)="Complete"),MATCH(ROW('DBX Sprint'!$A$7:$K$62),ROW('DBX Sprint'!$A$7:$K$62)),""),ROWS($O$34:O40)),COLUMNS('DBX Sprint'!$A$1:A12)),"")</f>
        <v/>
      </c>
      <c r="P40" s="41" t="str" cm="1">
        <f t="array" aca="1" ref="P40" ca="1">IFERROR(INDEX('DBX Sprint'!$A$7:$K$62, SMALL(IF((INDEX('DBX Sprint'!$A$7:$K$62, ,19)&lt;(TODAY()))*(INDEX('DBX Sprint'!$A$7:$K$62, ,19)&lt;&gt;"Complete"),MATCH(ROW('DBX Sprint'!$A$7:$K$62),ROW('DBX Sprint'!$A$7:$K$62)),""),ROWS($P$34:P40)),COLUMNS('DBX Sprint'!$A$1:A12)),"")</f>
        <v/>
      </c>
      <c r="Q40" s="41" t="str" cm="1">
        <f t="array" aca="1" ref="Q40" ca="1">IFERROR(INDEX('DBX Sprint'!$A$7:$K$62, SMALL(IF((INDEX('DBX Sprint'!$A$7:$K$62, ,19)&lt;=(TODAY()+1))*(INDEX('DBX Sprint'!$A$7:$K$62, ,19)&gt;=TODAY()),MATCH(ROW('DBX Sprint'!$A$7:$K$62),ROW('DBX Sprint'!$A$7:$K$62)),""),ROWS($Q$34:Q40)),COLUMNS('DBX Sprint'!$A$1:A12)),"")</f>
        <v/>
      </c>
      <c r="R40" s="43" t="str" cm="1">
        <f t="array" aca="1" ref="R40" ca="1">IFERROR(INDEX('DBX Sprint'!$A$7:$K$62, SMALL(IF((INDEX('DBX Sprint'!$A$7:$K$62, ,19)&lt;=(TODAY()+5))*(INDEX('DBX Sprint'!$A$7:$K$62, ,19)&gt;(TODAY()+1)),MATCH(ROW('DBX Sprint'!$A$7:$K$62),ROW('DBX Sprint'!$A$7:$K$62)),""),ROWS($R$34:R40)),COLUMNS('DBX Sprint'!$A$1:A12)),"")</f>
        <v/>
      </c>
      <c r="S40" s="43" t="str" cm="1">
        <f t="array" aca="1" ref="S40" ca="1">IFERROR(INDEX('DBX Sprint'!$A$7:$K$62, SMALL(IF((INDEX('DBX Sprint'!$A$7:$K$62, ,19)&lt;=(TODAY()+10))*(INDEX('DBX Sprint'!$A$7:$K$62, ,19)&gt;(TODAY()+5)),MATCH(ROW('DBX Sprint'!$A$7:$K$62),ROW('DBX Sprint'!$A$7:$K$62)),""),ROWS($S$34:S40)),COLUMNS('DBX Sprint'!$A$1:A12)),"")</f>
        <v/>
      </c>
      <c r="U40" s="41" t="str" cm="1">
        <f t="array" ref="U40">IFERROR(INDEX('DBX Sprint'!$A$7:$K$62, SMALL(IF((INDEX('DBX Sprint'!$A$7:$K$62, ,22)=("Complete"))*(INDEX('DBX Sprint'!$A$7:$K$62, ,22)="Complete"),MATCH(ROW('DBX Sprint'!$A$7:$K$62),ROW('DBX Sprint'!$A$7:$K$62)),""),ROWS($U$34:U40)),COLUMNS('DBX Sprint'!$A$1:A12)),"")</f>
        <v/>
      </c>
      <c r="V40" s="41" t="str" cm="1">
        <f t="array" aca="1" ref="V40" ca="1">IFERROR(INDEX('DBX Sprint'!$A$7:$K$62, SMALL(IF((INDEX('DBX Sprint'!$A$7:$K$62, ,22)&lt;(TODAY()))*(INDEX('DBX Sprint'!$A$7:$K$62, ,22)&lt;&gt;"Complete"),MATCH(ROW('DBX Sprint'!$A$7:$K$62),ROW('DBX Sprint'!$A$7:$K$62)),""),ROWS($V$34:V40)),COLUMNS('DBX Sprint'!$A$1:A12)),"")</f>
        <v/>
      </c>
      <c r="W40" s="41" t="str" cm="1">
        <f t="array" aca="1" ref="W40" ca="1">IFERROR(INDEX('DBX Sprint'!$A$7:$K$62, SMALL(IF((INDEX('DBX Sprint'!$A$7:$K$62, ,22)&lt;=(TODAY()+1))*(INDEX('DBX Sprint'!$A$7:$K$62, ,22)&gt;=TODAY()),MATCH(ROW('DBX Sprint'!$A$7:$K$62),ROW('DBX Sprint'!$A$7:$K$62)),""),ROWS($W$34:W40)),COLUMNS('DBX Sprint'!$A$1:A12)),"")</f>
        <v/>
      </c>
      <c r="X40" s="43" t="str" cm="1">
        <f t="array" aca="1" ref="X40" ca="1">IFERROR(INDEX('DBX Sprint'!$A$7:$K$62, SMALL(IF((INDEX('DBX Sprint'!$A$7:$K$62, ,22)&lt;=(TODAY()+5))*(INDEX('DBX Sprint'!$A$7:$K$62, ,22)&gt;(TODAY()+1)),MATCH(ROW('DBX Sprint'!$A$7:$K$62),ROW('DBX Sprint'!$A$7:$K$62)),""),ROWS($X$34:X40)),COLUMNS('DBX Sprint'!$A$1:A12)),"")</f>
        <v/>
      </c>
      <c r="Y40" s="43" t="str" cm="1">
        <f t="array" aca="1" ref="Y40" ca="1">IFERROR(INDEX('DBX Sprint'!$A$7:$K$62, SMALL(IF((INDEX('DBX Sprint'!$A$7:$K$62, ,22)&lt;=(TODAY()+10))*(INDEX('DBX Sprint'!$A$7:$K$62, ,22)&gt;(TODAY()+5)),MATCH(ROW('DBX Sprint'!$A$7:$K$62),ROW('DBX Sprint'!$A$7:$K$62)),""),ROWS($Y$34:Y40)),COLUMNS('DBX Sprint'!$A$1:A12)),"")</f>
        <v/>
      </c>
      <c r="AA40" s="41" t="str" cm="1">
        <f t="array" ref="AA40">IFERROR(INDEX('DBX Sprint'!$A$7:$K$62, SMALL(IF((INDEX('DBX Sprint'!$A$7:$K$62, ,25)=("Complete"))*(INDEX('DBX Sprint'!$A$7:$K$62, ,25)="Complete"),MATCH(ROW('DBX Sprint'!$A$7:$K$62),ROW('DBX Sprint'!$A$7:$K$62)),""),ROWS($AA$34:AA40)),COLUMNS('DBX Sprint'!$A$1:A12)),"")</f>
        <v/>
      </c>
      <c r="AB40" s="41" t="str" cm="1">
        <f t="array" aca="1" ref="AB40" ca="1">IFERROR(INDEX('DBX Sprint'!$A$7:$K$62, SMALL(IF((INDEX('DBX Sprint'!$A$7:$K$62, ,25)&lt;(TODAY()))*(INDEX('DBX Sprint'!$A$7:$K$62, ,25)&lt;&gt;"Complete"),MATCH(ROW('DBX Sprint'!$A$7:$K$62),ROW('DBX Sprint'!$A$7:$K$62)),""),ROWS($AB$34:AB40)),COLUMNS('DBX Sprint'!$A$1:A12)),"")</f>
        <v/>
      </c>
      <c r="AC40" s="41" t="str" cm="1">
        <f t="array" aca="1" ref="AC40" ca="1">IFERROR(INDEX('DBX Sprint'!$A$7:$K$62, SMALL(IF((INDEX('DBX Sprint'!$A$7:$K$62, ,25)&lt;=(TODAY()+1))*(INDEX('DBX Sprint'!$A$7:$K$62, ,25)&gt;=TODAY()),MATCH(ROW('DBX Sprint'!$A$7:$K$62),ROW('DBX Sprint'!$A$7:$K$62)),""),ROWS($AC$34:AC40)),COLUMNS('DBX Sprint'!$A$1:A12)),"")</f>
        <v/>
      </c>
      <c r="AD40" s="43" t="str" cm="1">
        <f t="array" aca="1" ref="AD40" ca="1">IFERROR(INDEX('DBX Sprint'!$A$7:$K$62, SMALL(IF((INDEX('DBX Sprint'!$A$7:$K$62, ,25)&lt;=(TODAY()+5))*(INDEX('DBX Sprint'!$A$7:$K$62, ,25)&gt;(TODAY()+1)),MATCH(ROW('DBX Sprint'!$A$7:$K$62),ROW('DBX Sprint'!$A$7:$K$62)),""),ROWS($AD$34:AD40)),COLUMNS('DBX Sprint'!$A$1:A12)),"")</f>
        <v/>
      </c>
      <c r="AE40" s="43" t="str" cm="1">
        <f t="array" aca="1" ref="AE40" ca="1">IFERROR(INDEX('DBX Sprint'!$A$7:$K$62, SMALL(IF((INDEX('DBX Sprint'!$A$7:$K$62, ,25)&lt;=(TODAY()+10))*(INDEX('DBX Sprint'!$A$7:$K$62, ,25)&gt;(TODAY()+5)),MATCH(ROW('DBX Sprint'!$A$7:$K$62),ROW('DBX Sprint'!$A$7:$K$62)),""),ROWS($AE$34:AE40)),COLUMNS('DBX Sprint'!$A$1:A12)),"")</f>
        <v/>
      </c>
      <c r="AG40" s="41" t="str" cm="1">
        <f t="array" ref="AG40">IFERROR(INDEX('DBX Sprint'!$A$7:$K$62, SMALL(IF((INDEX('DBX Sprint'!$A$7:$K$62, ,29)=("Complete"))*(INDEX('DBX Sprint'!$A$7:$K$62, ,29)="Complete"),MATCH(ROW('DBX Sprint'!$A$7:$K$62),ROW('DBX Sprint'!$A$7:$K$62)),""),ROWS($AG$34:AG40)),COLUMNS('DBX Sprint'!$A$1:A12)),"")</f>
        <v/>
      </c>
      <c r="AH40" s="41" t="str" cm="1">
        <f t="array" aca="1" ref="AH40" ca="1">IFERROR(INDEX('DBX Sprint'!$A$7:$K$62, SMALL(IF((INDEX('DBX Sprint'!$A$7:$K$62, ,29)&lt;(TODAY()))*(INDEX('DBX Sprint'!$A$7:$K$62, ,29)&lt;&gt;"Complete"),MATCH(ROW('DBX Sprint'!$A$7:$K$62),ROW('DBX Sprint'!$A$7:$K$62)),""),ROWS($AH$34:AH40)),COLUMNS('DBX Sprint'!$A$1:A12)),"")</f>
        <v/>
      </c>
      <c r="AI40" s="41" t="str" cm="1">
        <f t="array" aca="1" ref="AI40" ca="1">IFERROR(INDEX('DBX Sprint'!$A$7:$K$62, SMALL(IF((INDEX('DBX Sprint'!$A$7:$K$62, ,29)&lt;=(TODAY()+1))*(INDEX('DBX Sprint'!$A$7:$K$62, ,29)&gt;=TODAY()),MATCH(ROW('DBX Sprint'!$A$7:$K$62),ROW('DBX Sprint'!$A$7:$K$62)),""),ROWS($AI$34:AI40)),COLUMNS('DBX Sprint'!$A$1:A12)),"")</f>
        <v/>
      </c>
      <c r="AJ40" s="43" t="str" cm="1">
        <f t="array" aca="1" ref="AJ40" ca="1">IFERROR(INDEX('DBX Sprint'!$A$7:$K$62, SMALL(IF((INDEX('DBX Sprint'!$A$7:$K$62, ,29)&lt;=(TODAY()+5))*(INDEX('DBX Sprint'!$A$7:$K$62, ,29)&gt;(TODAY()+1)),MATCH(ROW('DBX Sprint'!$A$7:$K$62),ROW('DBX Sprint'!$A$7:$K$62)),""),ROWS($AJ$34:AJ40)),COLUMNS('DBX Sprint'!$A$1:A12)),"")</f>
        <v/>
      </c>
      <c r="AK40" s="43" t="str" cm="1">
        <f t="array" aca="1" ref="AK40" ca="1">IFERROR(INDEX('DBX Sprint'!$A$7:$K$62, SMALL(IF((INDEX('DBX Sprint'!$A$7:$K$62, ,29)&lt;=(TODAY()+10))*(INDEX('DBX Sprint'!$A$7:$K$62, ,29)&gt;(TODAY()+5)),MATCH(ROW('DBX Sprint'!$A$7:$K$62),ROW('DBX Sprint'!$A$7:$K$62)),""),ROWS($AK$34:AK40)),COLUMNS('DBX Sprint'!$A$1:A12)),"")</f>
        <v/>
      </c>
      <c r="AM40" s="41" t="str" cm="1">
        <f t="array" ref="AM40">IFERROR(INDEX('DBX Sprint'!$A$7:$K$62, SMALL(IF((INDEX('DBX Sprint'!$A$7:$K$62, ,32)=("Complete"))*(INDEX('DBX Sprint'!$A$7:$K$62, ,32)="Complete"),MATCH(ROW('DBX Sprint'!$A$7:$K$62),ROW('DBX Sprint'!$A$7:$K$62)),""),ROWS($AM$34:AM40)),COLUMNS('DBX Sprint'!$A$1:A12)),"")</f>
        <v/>
      </c>
      <c r="AN40" s="41" t="str" cm="1">
        <f t="array" aca="1" ref="AN40" ca="1">IFERROR(INDEX('DBX Sprint'!$A$7:$K$62, SMALL(IF((INDEX('DBX Sprint'!$A$7:$K$62, ,32)&lt;(TODAY()))*(INDEX('DBX Sprint'!$A$7:$K$62, ,32)&lt;&gt;"Complete"),MATCH(ROW('DBX Sprint'!$A$7:$K$62),ROW('DBX Sprint'!$A$7:$K$62)),""),ROWS($AN$34:AN40)),COLUMNS('DBX Sprint'!$A$1:A12)),"")</f>
        <v/>
      </c>
      <c r="AO40" s="41" t="str" cm="1">
        <f t="array" aca="1" ref="AO40" ca="1">IFERROR(INDEX('DBX Sprint'!$A$7:$K$62, SMALL(IF((INDEX('DBX Sprint'!$A$7:$K$62, ,32)&lt;=(TODAY()+1))*(INDEX('DBX Sprint'!$A$7:$K$62, ,32)&gt;=TODAY()),MATCH(ROW('DBX Sprint'!$A$7:$K$62),ROW('DBX Sprint'!$A$7:$K$62)),""),ROWS($AO$34:AO40)),COLUMNS('DBX Sprint'!$A$1:A12)),"")</f>
        <v/>
      </c>
      <c r="AP40" s="43" t="str" cm="1">
        <f t="array" aca="1" ref="AP40" ca="1">IFERROR(INDEX('DBX Sprint'!$A$7:$K$62, SMALL(IF((INDEX('DBX Sprint'!$A$7:$K$62, ,32)&lt;=(TODAY()+5))*(INDEX('DBX Sprint'!$A$7:$K$62, ,32)&gt;(TODAY()+1)),MATCH(ROW('DBX Sprint'!$A$7:$K$62),ROW('DBX Sprint'!$A$7:$K$62)),""),ROWS($AP$34:AP40)),COLUMNS('DBX Sprint'!$A$1:A12)),"")</f>
        <v/>
      </c>
      <c r="AQ40" s="43" t="str" cm="1">
        <f t="array" aca="1" ref="AQ40" ca="1">IFERROR(INDEX('DBX Sprint'!$A$7:$K$62, SMALL(IF((INDEX('DBX Sprint'!$A$7:$K$62, ,32)&lt;=(TODAY()+10))*(INDEX('DBX Sprint'!$A$7:$K$62, ,32)&gt;(TODAY()+5)),MATCH(ROW('DBX Sprint'!$A$7:$K$62),ROW('DBX Sprint'!$A$7:$K$62)),""),ROWS($AQ$34:AQ40)),COLUMNS('DBX Sprint'!$A$1:A12)),"")</f>
        <v/>
      </c>
    </row>
    <row r="41" spans="3:43" ht="30" customHeight="1">
      <c r="C41" s="41" t="str" cm="1">
        <f t="array" ref="C41">IFERROR(INDEX('DBX Sprint'!$A$7:$K$62, SMALL(IF((INDEX('DBX Sprint'!$A$7:$K$62, ,13)=("Complete"))*(INDEX('DBX Sprint'!$A$7:$K$62, ,13)="Complete"),MATCH(ROW('DBX Sprint'!$A$7:$K$62),ROW('DBX Sprint'!$A$7:$K$62)),""),ROWS(C$34:$C41)),COLUMNS('DBX Sprint'!$A$1:A12)),"")</f>
        <v/>
      </c>
      <c r="D41" s="41" t="str" cm="1">
        <f t="array" aca="1" ref="D41" ca="1">IFERROR(INDEX('DBX Sprint'!$A$7:$K$62, SMALL(IF((INDEX('DBX Sprint'!$A$7:$K$62, ,13)&lt;(TODAY()))*(INDEX('DBX Sprint'!$A$7:$K$62, ,13)&lt;&gt;"Complete"),MATCH(ROW('DBX Sprint'!$A$7:$K$62),ROW('DBX Sprint'!$A$7:$K$62)),""),ROWS(D$34:$D41)),COLUMNS('DBX Sprint'!$A$1:A12)),"")</f>
        <v/>
      </c>
      <c r="E41" s="37" t="str" cm="1">
        <f t="array" aca="1" ref="E41" ca="1">IFERROR(INDEX('DBX Sprint'!$A$7:$K$62, SMALL(IF((INDEX('DBX Sprint'!$A$7:$K$62, ,13)&lt;=(TODAY()+1))*(INDEX('DBX Sprint'!$A$7:$K$62, ,13)&gt;=TODAY()),MATCH(ROW('DBX Sprint'!$A$7:$K$62),ROW('DBX Sprint'!$A$7:$K$62)),""),ROWS(E$34:$E41)),COLUMNS('DBX Sprint'!$A$1:A12)),"")</f>
        <v/>
      </c>
      <c r="F41" s="38" t="str" cm="1">
        <f t="array" aca="1" ref="F41" ca="1">IFERROR(INDEX('DBX Sprint'!$A$7:$K$62, SMALL(IF((INDEX('DBX Sprint'!$A$7:$K$62, ,13)&lt;=(TODAY()+5))*(INDEX('DBX Sprint'!$A$7:$K$62, ,13)&gt;(TODAY()+1)),MATCH(ROW('DBX Sprint'!$A$7:$K$62),ROW('DBX Sprint'!$A$7:$K$62)),""),ROWS($F$34:F41)),COLUMNS('DBX Sprint'!$A$1:A12)),"")</f>
        <v/>
      </c>
      <c r="G41" s="38" t="str" cm="1">
        <f t="array" aca="1" ref="G41" ca="1">IFERROR(INDEX('DBX Sprint'!$A$7:$K$62, SMALL(IF((INDEX('DBX Sprint'!$A$7:$K$62, ,13)&lt;=(TODAY()+10))*(INDEX('DBX Sprint'!$A$7:$K$62, ,13)&gt;(TODAY()+5)),MATCH(ROW('DBX Sprint'!$A$7:$K$62),ROW('DBX Sprint'!$A$7:$K$62)),""),ROWS($G$34:G41)),COLUMNS('DBX Sprint'!$A$1:A12)),"")</f>
        <v/>
      </c>
      <c r="I41" s="41" t="str" cm="1">
        <f t="array" ref="I41">IFERROR(INDEX('DBX Sprint'!$A$7:$K$62, SMALL(IF((INDEX('DBX Sprint'!$A$7:$K$62, ,16)=("Complete"))*(INDEX('DBX Sprint'!$A$7:$K$62, ,16)="Complete"),MATCH(ROW('DBX Sprint'!$A$7:$K$62),ROW('DBX Sprint'!$A$7:$K$62)),""),ROWS($I$34:I41)),COLUMNS('DBX Sprint'!$A$1:A12)),"")</f>
        <v/>
      </c>
      <c r="J41" s="41" t="str" cm="1">
        <f t="array" aca="1" ref="J41" ca="1">IFERROR(INDEX('DBX Sprint'!$A$7:$K$62, SMALL(IF((INDEX('DBX Sprint'!$A$7:$K$62, ,16)&lt;(TODAY()))*(INDEX('DBX Sprint'!$A$7:$K$62, ,16)&lt;&gt;"Complete"),MATCH(ROW('DBX Sprint'!$A$7:$K$62),ROW('DBX Sprint'!$A$7:$K$62)),""),ROWS($J$34:J41)),COLUMNS('DBX Sprint'!$A$1:A12)),"")</f>
        <v/>
      </c>
      <c r="K41" s="37" t="str" cm="1">
        <f t="array" aca="1" ref="K41" ca="1">IFERROR(INDEX('DBX Sprint'!$A$7:$K$62, SMALL(IF((INDEX('DBX Sprint'!$A$7:$K$62, ,16)&lt;=(TODAY()+1))*(INDEX('DBX Sprint'!$A$7:$K$62, ,16)&gt;=TODAY()),MATCH(ROW('DBX Sprint'!$A$7:$K$62),ROW('DBX Sprint'!$A$7:$K$62)),""),ROWS($K$34:K41)),COLUMNS('DBX Sprint'!$A$1:A12)),"")</f>
        <v/>
      </c>
      <c r="L41" s="38" t="str" cm="1">
        <f t="array" aca="1" ref="L41" ca="1">IFERROR(INDEX('DBX Sprint'!$A$7:$K$62, SMALL(IF((INDEX('DBX Sprint'!$A$7:$K$62, ,16)&lt;=(TODAY()+5))*(INDEX('DBX Sprint'!$A$7:$K$62, ,16)&gt;(TODAY()+1)),MATCH(ROW('DBX Sprint'!$A$7:$K$62),ROW('DBX Sprint'!$A$7:$K$62)),""),ROWS($L$34:L41)),COLUMNS('DBX Sprint'!$A$1:A12)),"")</f>
        <v/>
      </c>
      <c r="M41" s="38" t="str" cm="1">
        <f t="array" aca="1" ref="M41" ca="1">IFERROR(INDEX('DBX Sprint'!$A$7:$K$62, SMALL(IF((INDEX('DBX Sprint'!$A$7:$K$62, ,16)&lt;=(TODAY()+10))*(INDEX('DBX Sprint'!$A$7:$K$62, ,16)&gt;(TODAY()+5)),MATCH(ROW('DBX Sprint'!$A$7:$K$62),ROW('DBX Sprint'!$A$7:$K$62)),""),ROWS($M$34:M41)),COLUMNS('DBX Sprint'!$A$1:A12)),"")</f>
        <v/>
      </c>
      <c r="O41" s="41" t="str" cm="1">
        <f t="array" ref="O41">IFERROR(INDEX('DBX Sprint'!$A$7:$K$62, SMALL(IF((INDEX('DBX Sprint'!$A$7:$K$62, ,19)=("Complete"))*(INDEX('DBX Sprint'!$A$7:$K$62, ,19)="Complete"),MATCH(ROW('DBX Sprint'!$A$7:$K$62),ROW('DBX Sprint'!$A$7:$K$62)),""),ROWS($O$34:O41)),COLUMNS('DBX Sprint'!$A$1:A12)),"")</f>
        <v/>
      </c>
      <c r="P41" s="41" t="str" cm="1">
        <f t="array" aca="1" ref="P41" ca="1">IFERROR(INDEX('DBX Sprint'!$A$7:$K$62, SMALL(IF((INDEX('DBX Sprint'!$A$7:$K$62, ,19)&lt;(TODAY()))*(INDEX('DBX Sprint'!$A$7:$K$62, ,19)&lt;&gt;"Complete"),MATCH(ROW('DBX Sprint'!$A$7:$K$62),ROW('DBX Sprint'!$A$7:$K$62)),""),ROWS($P$34:P41)),COLUMNS('DBX Sprint'!$A$1:A12)),"")</f>
        <v/>
      </c>
      <c r="Q41" s="41" t="str" cm="1">
        <f t="array" aca="1" ref="Q41" ca="1">IFERROR(INDEX('DBX Sprint'!$A$7:$K$62, SMALL(IF((INDEX('DBX Sprint'!$A$7:$K$62, ,19)&lt;=(TODAY()+1))*(INDEX('DBX Sprint'!$A$7:$K$62, ,19)&gt;=TODAY()),MATCH(ROW('DBX Sprint'!$A$7:$K$62),ROW('DBX Sprint'!$A$7:$K$62)),""),ROWS($Q$34:Q41)),COLUMNS('DBX Sprint'!$A$1:A12)),"")</f>
        <v/>
      </c>
      <c r="R41" s="43" t="str" cm="1">
        <f t="array" aca="1" ref="R41" ca="1">IFERROR(INDEX('DBX Sprint'!$A$7:$K$62, SMALL(IF((INDEX('DBX Sprint'!$A$7:$K$62, ,19)&lt;=(TODAY()+5))*(INDEX('DBX Sprint'!$A$7:$K$62, ,19)&gt;(TODAY()+1)),MATCH(ROW('DBX Sprint'!$A$7:$K$62),ROW('DBX Sprint'!$A$7:$K$62)),""),ROWS($R$34:R41)),COLUMNS('DBX Sprint'!$A$1:A12)),"")</f>
        <v/>
      </c>
      <c r="S41" s="43" t="str" cm="1">
        <f t="array" aca="1" ref="S41" ca="1">IFERROR(INDEX('DBX Sprint'!$A$7:$K$62, SMALL(IF((INDEX('DBX Sprint'!$A$7:$K$62, ,19)&lt;=(TODAY()+10))*(INDEX('DBX Sprint'!$A$7:$K$62, ,19)&gt;(TODAY()+5)),MATCH(ROW('DBX Sprint'!$A$7:$K$62),ROW('DBX Sprint'!$A$7:$K$62)),""),ROWS($S$34:S41)),COLUMNS('DBX Sprint'!$A$1:A12)),"")</f>
        <v/>
      </c>
      <c r="U41" s="41" t="str" cm="1">
        <f t="array" ref="U41">IFERROR(INDEX('DBX Sprint'!$A$7:$K$62, SMALL(IF((INDEX('DBX Sprint'!$A$7:$K$62, ,22)=("Complete"))*(INDEX('DBX Sprint'!$A$7:$K$62, ,22)="Complete"),MATCH(ROW('DBX Sprint'!$A$7:$K$62),ROW('DBX Sprint'!$A$7:$K$62)),""),ROWS($U$34:U41)),COLUMNS('DBX Sprint'!$A$1:A12)),"")</f>
        <v/>
      </c>
      <c r="V41" s="41" t="str" cm="1">
        <f t="array" aca="1" ref="V41" ca="1">IFERROR(INDEX('DBX Sprint'!$A$7:$K$62, SMALL(IF((INDEX('DBX Sprint'!$A$7:$K$62, ,22)&lt;(TODAY()))*(INDEX('DBX Sprint'!$A$7:$K$62, ,22)&lt;&gt;"Complete"),MATCH(ROW('DBX Sprint'!$A$7:$K$62),ROW('DBX Sprint'!$A$7:$K$62)),""),ROWS($V$34:V41)),COLUMNS('DBX Sprint'!$A$1:A12)),"")</f>
        <v/>
      </c>
      <c r="W41" s="41" t="str" cm="1">
        <f t="array" aca="1" ref="W41" ca="1">IFERROR(INDEX('DBX Sprint'!$A$7:$K$62, SMALL(IF((INDEX('DBX Sprint'!$A$7:$K$62, ,22)&lt;=(TODAY()+1))*(INDEX('DBX Sprint'!$A$7:$K$62, ,22)&gt;=TODAY()),MATCH(ROW('DBX Sprint'!$A$7:$K$62),ROW('DBX Sprint'!$A$7:$K$62)),""),ROWS($W$34:W41)),COLUMNS('DBX Sprint'!$A$1:A12)),"")</f>
        <v/>
      </c>
      <c r="X41" s="43" t="str" cm="1">
        <f t="array" aca="1" ref="X41" ca="1">IFERROR(INDEX('DBX Sprint'!$A$7:$K$62, SMALL(IF((INDEX('DBX Sprint'!$A$7:$K$62, ,22)&lt;=(TODAY()+5))*(INDEX('DBX Sprint'!$A$7:$K$62, ,22)&gt;(TODAY()+1)),MATCH(ROW('DBX Sprint'!$A$7:$K$62),ROW('DBX Sprint'!$A$7:$K$62)),""),ROWS($X$34:X41)),COLUMNS('DBX Sprint'!$A$1:A12)),"")</f>
        <v/>
      </c>
      <c r="Y41" s="43" t="str" cm="1">
        <f t="array" aca="1" ref="Y41" ca="1">IFERROR(INDEX('DBX Sprint'!$A$7:$K$62, SMALL(IF((INDEX('DBX Sprint'!$A$7:$K$62, ,22)&lt;=(TODAY()+10))*(INDEX('DBX Sprint'!$A$7:$K$62, ,22)&gt;(TODAY()+5)),MATCH(ROW('DBX Sprint'!$A$7:$K$62),ROW('DBX Sprint'!$A$7:$K$62)),""),ROWS($Y$34:Y41)),COLUMNS('DBX Sprint'!$A$1:A12)),"")</f>
        <v/>
      </c>
      <c r="AA41" s="41" t="str" cm="1">
        <f t="array" ref="AA41">IFERROR(INDEX('DBX Sprint'!$A$7:$K$62, SMALL(IF((INDEX('DBX Sprint'!$A$7:$K$62, ,25)=("Complete"))*(INDEX('DBX Sprint'!$A$7:$K$62, ,25)="Complete"),MATCH(ROW('DBX Sprint'!$A$7:$K$62),ROW('DBX Sprint'!$A$7:$K$62)),""),ROWS($AA$34:AA41)),COLUMNS('DBX Sprint'!$A$1:A12)),"")</f>
        <v/>
      </c>
      <c r="AB41" s="41" t="str" cm="1">
        <f t="array" aca="1" ref="AB41" ca="1">IFERROR(INDEX('DBX Sprint'!$A$7:$K$62, SMALL(IF((INDEX('DBX Sprint'!$A$7:$K$62, ,25)&lt;(TODAY()))*(INDEX('DBX Sprint'!$A$7:$K$62, ,25)&lt;&gt;"Complete"),MATCH(ROW('DBX Sprint'!$A$7:$K$62),ROW('DBX Sprint'!$A$7:$K$62)),""),ROWS($AB$34:AB41)),COLUMNS('DBX Sprint'!$A$1:A12)),"")</f>
        <v/>
      </c>
      <c r="AC41" s="41" t="str" cm="1">
        <f t="array" aca="1" ref="AC41" ca="1">IFERROR(INDEX('DBX Sprint'!$A$7:$K$62, SMALL(IF((INDEX('DBX Sprint'!$A$7:$K$62, ,25)&lt;=(TODAY()+1))*(INDEX('DBX Sprint'!$A$7:$K$62, ,25)&gt;=TODAY()),MATCH(ROW('DBX Sprint'!$A$7:$K$62),ROW('DBX Sprint'!$A$7:$K$62)),""),ROWS($AC$34:AC41)),COLUMNS('DBX Sprint'!$A$1:A12)),"")</f>
        <v/>
      </c>
      <c r="AD41" s="43" t="str" cm="1">
        <f t="array" aca="1" ref="AD41" ca="1">IFERROR(INDEX('DBX Sprint'!$A$7:$K$62, SMALL(IF((INDEX('DBX Sprint'!$A$7:$K$62, ,25)&lt;=(TODAY()+5))*(INDEX('DBX Sprint'!$A$7:$K$62, ,25)&gt;(TODAY()+1)),MATCH(ROW('DBX Sprint'!$A$7:$K$62),ROW('DBX Sprint'!$A$7:$K$62)),""),ROWS($AD$34:AD41)),COLUMNS('DBX Sprint'!$A$1:A12)),"")</f>
        <v/>
      </c>
      <c r="AE41" s="43" t="str" cm="1">
        <f t="array" aca="1" ref="AE41" ca="1">IFERROR(INDEX('DBX Sprint'!$A$7:$K$62, SMALL(IF((INDEX('DBX Sprint'!$A$7:$K$62, ,25)&lt;=(TODAY()+10))*(INDEX('DBX Sprint'!$A$7:$K$62, ,25)&gt;(TODAY()+5)),MATCH(ROW('DBX Sprint'!$A$7:$K$62),ROW('DBX Sprint'!$A$7:$K$62)),""),ROWS($AE$34:AE41)),COLUMNS('DBX Sprint'!$A$1:A12)),"")</f>
        <v/>
      </c>
      <c r="AG41" s="41" t="str" cm="1">
        <f t="array" ref="AG41">IFERROR(INDEX('DBX Sprint'!$A$7:$K$62, SMALL(IF((INDEX('DBX Sprint'!$A$7:$K$62, ,29)=("Complete"))*(INDEX('DBX Sprint'!$A$7:$K$62, ,29)="Complete"),MATCH(ROW('DBX Sprint'!$A$7:$K$62),ROW('DBX Sprint'!$A$7:$K$62)),""),ROWS($AG$34:AG41)),COLUMNS('DBX Sprint'!$A$1:A12)),"")</f>
        <v/>
      </c>
      <c r="AH41" s="41" t="str" cm="1">
        <f t="array" aca="1" ref="AH41" ca="1">IFERROR(INDEX('DBX Sprint'!$A$7:$K$62, SMALL(IF((INDEX('DBX Sprint'!$A$7:$K$62, ,29)&lt;(TODAY()))*(INDEX('DBX Sprint'!$A$7:$K$62, ,29)&lt;&gt;"Complete"),MATCH(ROW('DBX Sprint'!$A$7:$K$62),ROW('DBX Sprint'!$A$7:$K$62)),""),ROWS($AH$34:AH41)),COLUMNS('DBX Sprint'!$A$1:A12)),"")</f>
        <v/>
      </c>
      <c r="AI41" s="41" t="str" cm="1">
        <f t="array" aca="1" ref="AI41" ca="1">IFERROR(INDEX('DBX Sprint'!$A$7:$K$62, SMALL(IF((INDEX('DBX Sprint'!$A$7:$K$62, ,29)&lt;=(TODAY()+1))*(INDEX('DBX Sprint'!$A$7:$K$62, ,29)&gt;=TODAY()),MATCH(ROW('DBX Sprint'!$A$7:$K$62),ROW('DBX Sprint'!$A$7:$K$62)),""),ROWS($AI$34:AI41)),COLUMNS('DBX Sprint'!$A$1:A12)),"")</f>
        <v/>
      </c>
      <c r="AJ41" s="43" t="str" cm="1">
        <f t="array" aca="1" ref="AJ41" ca="1">IFERROR(INDEX('DBX Sprint'!$A$7:$K$62, SMALL(IF((INDEX('DBX Sprint'!$A$7:$K$62, ,29)&lt;=(TODAY()+5))*(INDEX('DBX Sprint'!$A$7:$K$62, ,29)&gt;(TODAY()+1)),MATCH(ROW('DBX Sprint'!$A$7:$K$62),ROW('DBX Sprint'!$A$7:$K$62)),""),ROWS($AJ$34:AJ41)),COLUMNS('DBX Sprint'!$A$1:A12)),"")</f>
        <v/>
      </c>
      <c r="AK41" s="43" t="str" cm="1">
        <f t="array" aca="1" ref="AK41" ca="1">IFERROR(INDEX('DBX Sprint'!$A$7:$K$62, SMALL(IF((INDEX('DBX Sprint'!$A$7:$K$62, ,29)&lt;=(TODAY()+10))*(INDEX('DBX Sprint'!$A$7:$K$62, ,29)&gt;(TODAY()+5)),MATCH(ROW('DBX Sprint'!$A$7:$K$62),ROW('DBX Sprint'!$A$7:$K$62)),""),ROWS($AK$34:AK41)),COLUMNS('DBX Sprint'!$A$1:A12)),"")</f>
        <v/>
      </c>
      <c r="AM41" s="41" t="str" cm="1">
        <f t="array" ref="AM41">IFERROR(INDEX('DBX Sprint'!$A$7:$K$62, SMALL(IF((INDEX('DBX Sprint'!$A$7:$K$62, ,32)=("Complete"))*(INDEX('DBX Sprint'!$A$7:$K$62, ,32)="Complete"),MATCH(ROW('DBX Sprint'!$A$7:$K$62),ROW('DBX Sprint'!$A$7:$K$62)),""),ROWS($AM$34:AM41)),COLUMNS('DBX Sprint'!$A$1:A12)),"")</f>
        <v/>
      </c>
      <c r="AN41" s="41" t="str" cm="1">
        <f t="array" aca="1" ref="AN41" ca="1">IFERROR(INDEX('DBX Sprint'!$A$7:$K$62, SMALL(IF((INDEX('DBX Sprint'!$A$7:$K$62, ,32)&lt;(TODAY()))*(INDEX('DBX Sprint'!$A$7:$K$62, ,32)&lt;&gt;"Complete"),MATCH(ROW('DBX Sprint'!$A$7:$K$62),ROW('DBX Sprint'!$A$7:$K$62)),""),ROWS($AN$34:AN41)),COLUMNS('DBX Sprint'!$A$1:A12)),"")</f>
        <v/>
      </c>
      <c r="AO41" s="41" t="str" cm="1">
        <f t="array" aca="1" ref="AO41" ca="1">IFERROR(INDEX('DBX Sprint'!$A$7:$K$62, SMALL(IF((INDEX('DBX Sprint'!$A$7:$K$62, ,32)&lt;=(TODAY()+1))*(INDEX('DBX Sprint'!$A$7:$K$62, ,32)&gt;=TODAY()),MATCH(ROW('DBX Sprint'!$A$7:$K$62),ROW('DBX Sprint'!$A$7:$K$62)),""),ROWS($AO$34:AO41)),COLUMNS('DBX Sprint'!$A$1:A12)),"")</f>
        <v/>
      </c>
      <c r="AP41" s="43" t="str" cm="1">
        <f t="array" aca="1" ref="AP41" ca="1">IFERROR(INDEX('DBX Sprint'!$A$7:$K$62, SMALL(IF((INDEX('DBX Sprint'!$A$7:$K$62, ,32)&lt;=(TODAY()+5))*(INDEX('DBX Sprint'!$A$7:$K$62, ,32)&gt;(TODAY()+1)),MATCH(ROW('DBX Sprint'!$A$7:$K$62),ROW('DBX Sprint'!$A$7:$K$62)),""),ROWS($AP$34:AP41)),COLUMNS('DBX Sprint'!$A$1:A12)),"")</f>
        <v/>
      </c>
      <c r="AQ41" s="43" t="str" cm="1">
        <f t="array" aca="1" ref="AQ41" ca="1">IFERROR(INDEX('DBX Sprint'!$A$7:$K$62, SMALL(IF((INDEX('DBX Sprint'!$A$7:$K$62, ,32)&lt;=(TODAY()+10))*(INDEX('DBX Sprint'!$A$7:$K$62, ,32)&gt;(TODAY()+5)),MATCH(ROW('DBX Sprint'!$A$7:$K$62),ROW('DBX Sprint'!$A$7:$K$62)),""),ROWS($AQ$34:AQ41)),COLUMNS('DBX Sprint'!$A$1:A12)),"")</f>
        <v/>
      </c>
    </row>
    <row r="42" spans="3:43" ht="30" customHeight="1">
      <c r="C42" s="41" t="str" cm="1">
        <f t="array" ref="C42">IFERROR(INDEX('DBX Sprint'!$A$7:$K$62, SMALL(IF((INDEX('DBX Sprint'!$A$7:$K$62, ,13)=("Complete"))*(INDEX('DBX Sprint'!$A$7:$K$62, ,13)="Complete"),MATCH(ROW('DBX Sprint'!$A$7:$K$62),ROW('DBX Sprint'!$A$7:$K$62)),""),ROWS(C$34:$C42)),COLUMNS('DBX Sprint'!$A$1:A12)),"")</f>
        <v/>
      </c>
      <c r="D42" s="41" t="str" cm="1">
        <f t="array" aca="1" ref="D42" ca="1">IFERROR(INDEX('DBX Sprint'!$A$7:$K$62, SMALL(IF((INDEX('DBX Sprint'!$A$7:$K$62, ,13)&lt;(TODAY()))*(INDEX('DBX Sprint'!$A$7:$K$62, ,13)&lt;&gt;"Complete"),MATCH(ROW('DBX Sprint'!$A$7:$K$62),ROW('DBX Sprint'!$A$7:$K$62)),""),ROWS(D$34:$D42)),COLUMNS('DBX Sprint'!$A$1:A12)),"")</f>
        <v/>
      </c>
      <c r="E42" s="37" t="str" cm="1">
        <f t="array" aca="1" ref="E42" ca="1">IFERROR(INDEX('DBX Sprint'!$A$7:$K$62, SMALL(IF((INDEX('DBX Sprint'!$A$7:$K$62, ,13)&lt;=(TODAY()+1))*(INDEX('DBX Sprint'!$A$7:$K$62, ,13)&gt;=TODAY()),MATCH(ROW('DBX Sprint'!$A$7:$K$62),ROW('DBX Sprint'!$A$7:$K$62)),""),ROWS(E$34:$E42)),COLUMNS('DBX Sprint'!$A$1:A12)),"")</f>
        <v/>
      </c>
      <c r="F42" s="38" t="str" cm="1">
        <f t="array" aca="1" ref="F42" ca="1">IFERROR(INDEX('DBX Sprint'!$A$7:$K$62, SMALL(IF((INDEX('DBX Sprint'!$A$7:$K$62, ,13)&lt;=(TODAY()+5))*(INDEX('DBX Sprint'!$A$7:$K$62, ,13)&gt;(TODAY()+1)),MATCH(ROW('DBX Sprint'!$A$7:$K$62),ROW('DBX Sprint'!$A$7:$K$62)),""),ROWS($F$34:F42)),COLUMNS('DBX Sprint'!$A$1:A12)),"")</f>
        <v/>
      </c>
      <c r="G42" s="38" t="str" cm="1">
        <f t="array" aca="1" ref="G42" ca="1">IFERROR(INDEX('DBX Sprint'!$A$7:$K$62, SMALL(IF((INDEX('DBX Sprint'!$A$7:$K$62, ,13)&lt;=(TODAY()+10))*(INDEX('DBX Sprint'!$A$7:$K$62, ,13)&gt;(TODAY()+5)),MATCH(ROW('DBX Sprint'!$A$7:$K$62),ROW('DBX Sprint'!$A$7:$K$62)),""),ROWS($G$34:G42)),COLUMNS('DBX Sprint'!$A$1:A12)),"")</f>
        <v/>
      </c>
      <c r="I42" s="41" t="str" cm="1">
        <f t="array" ref="I42">IFERROR(INDEX('DBX Sprint'!$A$7:$K$62, SMALL(IF((INDEX('DBX Sprint'!$A$7:$K$62, ,16)=("Complete"))*(INDEX('DBX Sprint'!$A$7:$K$62, ,16)="Complete"),MATCH(ROW('DBX Sprint'!$A$7:$K$62),ROW('DBX Sprint'!$A$7:$K$62)),""),ROWS($I$34:I42)),COLUMNS('DBX Sprint'!$A$1:A12)),"")</f>
        <v/>
      </c>
      <c r="J42" s="41" t="str" cm="1">
        <f t="array" aca="1" ref="J42" ca="1">IFERROR(INDEX('DBX Sprint'!$A$7:$K$62, SMALL(IF((INDEX('DBX Sprint'!$A$7:$K$62, ,16)&lt;(TODAY()))*(INDEX('DBX Sprint'!$A$7:$K$62, ,16)&lt;&gt;"Complete"),MATCH(ROW('DBX Sprint'!$A$7:$K$62),ROW('DBX Sprint'!$A$7:$K$62)),""),ROWS($J$34:J42)),COLUMNS('DBX Sprint'!$A$1:A12)),"")</f>
        <v/>
      </c>
      <c r="K42" s="37" t="str" cm="1">
        <f t="array" aca="1" ref="K42" ca="1">IFERROR(INDEX('DBX Sprint'!$A$7:$K$62, SMALL(IF((INDEX('DBX Sprint'!$A$7:$K$62, ,16)&lt;=(TODAY()+1))*(INDEX('DBX Sprint'!$A$7:$K$62, ,16)&gt;=TODAY()),MATCH(ROW('DBX Sprint'!$A$7:$K$62),ROW('DBX Sprint'!$A$7:$K$62)),""),ROWS($K$34:K42)),COLUMNS('DBX Sprint'!$A$1:A12)),"")</f>
        <v/>
      </c>
      <c r="L42" s="38" t="str" cm="1">
        <f t="array" aca="1" ref="L42" ca="1">IFERROR(INDEX('DBX Sprint'!$A$7:$K$62, SMALL(IF((INDEX('DBX Sprint'!$A$7:$K$62, ,16)&lt;=(TODAY()+5))*(INDEX('DBX Sprint'!$A$7:$K$62, ,16)&gt;(TODAY()+1)),MATCH(ROW('DBX Sprint'!$A$7:$K$62),ROW('DBX Sprint'!$A$7:$K$62)),""),ROWS($L$34:L42)),COLUMNS('DBX Sprint'!$A$1:A12)),"")</f>
        <v/>
      </c>
      <c r="M42" s="38" t="str" cm="1">
        <f t="array" aca="1" ref="M42" ca="1">IFERROR(INDEX('DBX Sprint'!$A$7:$K$62, SMALL(IF((INDEX('DBX Sprint'!$A$7:$K$62, ,16)&lt;=(TODAY()+10))*(INDEX('DBX Sprint'!$A$7:$K$62, ,16)&gt;(TODAY()+5)),MATCH(ROW('DBX Sprint'!$A$7:$K$62),ROW('DBX Sprint'!$A$7:$K$62)),""),ROWS($M$34:M42)),COLUMNS('DBX Sprint'!$A$1:A12)),"")</f>
        <v/>
      </c>
      <c r="O42" s="41" t="str" cm="1">
        <f t="array" ref="O42">IFERROR(INDEX('DBX Sprint'!$A$7:$K$62, SMALL(IF((INDEX('DBX Sprint'!$A$7:$K$62, ,19)=("Complete"))*(INDEX('DBX Sprint'!$A$7:$K$62, ,19)="Complete"),MATCH(ROW('DBX Sprint'!$A$7:$K$62),ROW('DBX Sprint'!$A$7:$K$62)),""),ROWS($O$34:O42)),COLUMNS('DBX Sprint'!$A$1:A12)),"")</f>
        <v/>
      </c>
      <c r="P42" s="41" t="str" cm="1">
        <f t="array" aca="1" ref="P42" ca="1">IFERROR(INDEX('DBX Sprint'!$A$7:$K$62, SMALL(IF((INDEX('DBX Sprint'!$A$7:$K$62, ,19)&lt;(TODAY()))*(INDEX('DBX Sprint'!$A$7:$K$62, ,19)&lt;&gt;"Complete"),MATCH(ROW('DBX Sprint'!$A$7:$K$62),ROW('DBX Sprint'!$A$7:$K$62)),""),ROWS($P$34:P42)),COLUMNS('DBX Sprint'!$A$1:A12)),"")</f>
        <v/>
      </c>
      <c r="Q42" s="41" t="str" cm="1">
        <f t="array" aca="1" ref="Q42" ca="1">IFERROR(INDEX('DBX Sprint'!$A$7:$K$62, SMALL(IF((INDEX('DBX Sprint'!$A$7:$K$62, ,19)&lt;=(TODAY()+1))*(INDEX('DBX Sprint'!$A$7:$K$62, ,19)&gt;=TODAY()),MATCH(ROW('DBX Sprint'!$A$7:$K$62),ROW('DBX Sprint'!$A$7:$K$62)),""),ROWS($Q$34:Q42)),COLUMNS('DBX Sprint'!$A$1:A12)),"")</f>
        <v/>
      </c>
      <c r="R42" s="43" t="str" cm="1">
        <f t="array" aca="1" ref="R42" ca="1">IFERROR(INDEX('DBX Sprint'!$A$7:$K$62, SMALL(IF((INDEX('DBX Sprint'!$A$7:$K$62, ,19)&lt;=(TODAY()+5))*(INDEX('DBX Sprint'!$A$7:$K$62, ,19)&gt;(TODAY()+1)),MATCH(ROW('DBX Sprint'!$A$7:$K$62),ROW('DBX Sprint'!$A$7:$K$62)),""),ROWS($R$34:R42)),COLUMNS('DBX Sprint'!$A$1:A12)),"")</f>
        <v/>
      </c>
      <c r="S42" s="43" t="str" cm="1">
        <f t="array" aca="1" ref="S42" ca="1">IFERROR(INDEX('DBX Sprint'!$A$7:$K$62, SMALL(IF((INDEX('DBX Sprint'!$A$7:$K$62, ,19)&lt;=(TODAY()+10))*(INDEX('DBX Sprint'!$A$7:$K$62, ,19)&gt;(TODAY()+5)),MATCH(ROW('DBX Sprint'!$A$7:$K$62),ROW('DBX Sprint'!$A$7:$K$62)),""),ROWS($S$34:S42)),COLUMNS('DBX Sprint'!$A$1:A12)),"")</f>
        <v/>
      </c>
      <c r="U42" s="41" t="str" cm="1">
        <f t="array" ref="U42">IFERROR(INDEX('DBX Sprint'!$A$7:$K$62, SMALL(IF((INDEX('DBX Sprint'!$A$7:$K$62, ,22)=("Complete"))*(INDEX('DBX Sprint'!$A$7:$K$62, ,22)="Complete"),MATCH(ROW('DBX Sprint'!$A$7:$K$62),ROW('DBX Sprint'!$A$7:$K$62)),""),ROWS($U$34:U42)),COLUMNS('DBX Sprint'!$A$1:A12)),"")</f>
        <v/>
      </c>
      <c r="V42" s="41" t="str" cm="1">
        <f t="array" aca="1" ref="V42" ca="1">IFERROR(INDEX('DBX Sprint'!$A$7:$K$62, SMALL(IF((INDEX('DBX Sprint'!$A$7:$K$62, ,22)&lt;(TODAY()))*(INDEX('DBX Sprint'!$A$7:$K$62, ,22)&lt;&gt;"Complete"),MATCH(ROW('DBX Sprint'!$A$7:$K$62),ROW('DBX Sprint'!$A$7:$K$62)),""),ROWS($V$34:V42)),COLUMNS('DBX Sprint'!$A$1:A12)),"")</f>
        <v/>
      </c>
      <c r="W42" s="41" t="str" cm="1">
        <f t="array" aca="1" ref="W42" ca="1">IFERROR(INDEX('DBX Sprint'!$A$7:$K$62, SMALL(IF((INDEX('DBX Sprint'!$A$7:$K$62, ,22)&lt;=(TODAY()+1))*(INDEX('DBX Sprint'!$A$7:$K$62, ,22)&gt;=TODAY()),MATCH(ROW('DBX Sprint'!$A$7:$K$62),ROW('DBX Sprint'!$A$7:$K$62)),""),ROWS($W$34:W42)),COLUMNS('DBX Sprint'!$A$1:A12)),"")</f>
        <v/>
      </c>
      <c r="X42" s="43" t="str" cm="1">
        <f t="array" aca="1" ref="X42" ca="1">IFERROR(INDEX('DBX Sprint'!$A$7:$K$62, SMALL(IF((INDEX('DBX Sprint'!$A$7:$K$62, ,22)&lt;=(TODAY()+5))*(INDEX('DBX Sprint'!$A$7:$K$62, ,22)&gt;(TODAY()+1)),MATCH(ROW('DBX Sprint'!$A$7:$K$62),ROW('DBX Sprint'!$A$7:$K$62)),""),ROWS($X$34:X42)),COLUMNS('DBX Sprint'!$A$1:A12)),"")</f>
        <v/>
      </c>
      <c r="Y42" s="43" t="str" cm="1">
        <f t="array" aca="1" ref="Y42" ca="1">IFERROR(INDEX('DBX Sprint'!$A$7:$K$62, SMALL(IF((INDEX('DBX Sprint'!$A$7:$K$62, ,22)&lt;=(TODAY()+10))*(INDEX('DBX Sprint'!$A$7:$K$62, ,22)&gt;(TODAY()+5)),MATCH(ROW('DBX Sprint'!$A$7:$K$62),ROW('DBX Sprint'!$A$7:$K$62)),""),ROWS($Y$34:Y42)),COLUMNS('DBX Sprint'!$A$1:A12)),"")</f>
        <v/>
      </c>
      <c r="AA42" s="41" t="str" cm="1">
        <f t="array" ref="AA42">IFERROR(INDEX('DBX Sprint'!$A$7:$K$62, SMALL(IF((INDEX('DBX Sprint'!$A$7:$K$62, ,25)=("Complete"))*(INDEX('DBX Sprint'!$A$7:$K$62, ,25)="Complete"),MATCH(ROW('DBX Sprint'!$A$7:$K$62),ROW('DBX Sprint'!$A$7:$K$62)),""),ROWS($AA$34:AA42)),COLUMNS('DBX Sprint'!$A$1:A12)),"")</f>
        <v/>
      </c>
      <c r="AB42" s="41" t="str" cm="1">
        <f t="array" aca="1" ref="AB42" ca="1">IFERROR(INDEX('DBX Sprint'!$A$7:$K$62, SMALL(IF((INDEX('DBX Sprint'!$A$7:$K$62, ,25)&lt;(TODAY()))*(INDEX('DBX Sprint'!$A$7:$K$62, ,25)&lt;&gt;"Complete"),MATCH(ROW('DBX Sprint'!$A$7:$K$62),ROW('DBX Sprint'!$A$7:$K$62)),""),ROWS($AB$34:AB42)),COLUMNS('DBX Sprint'!$A$1:A12)),"")</f>
        <v/>
      </c>
      <c r="AC42" s="41" t="str" cm="1">
        <f t="array" aca="1" ref="AC42" ca="1">IFERROR(INDEX('DBX Sprint'!$A$7:$K$62, SMALL(IF((INDEX('DBX Sprint'!$A$7:$K$62, ,25)&lt;=(TODAY()+1))*(INDEX('DBX Sprint'!$A$7:$K$62, ,25)&gt;=TODAY()),MATCH(ROW('DBX Sprint'!$A$7:$K$62),ROW('DBX Sprint'!$A$7:$K$62)),""),ROWS($AC$34:AC42)),COLUMNS('DBX Sprint'!$A$1:A12)),"")</f>
        <v/>
      </c>
      <c r="AD42" s="43" t="str" cm="1">
        <f t="array" aca="1" ref="AD42" ca="1">IFERROR(INDEX('DBX Sprint'!$A$7:$K$62, SMALL(IF((INDEX('DBX Sprint'!$A$7:$K$62, ,25)&lt;=(TODAY()+5))*(INDEX('DBX Sprint'!$A$7:$K$62, ,25)&gt;(TODAY()+1)),MATCH(ROW('DBX Sprint'!$A$7:$K$62),ROW('DBX Sprint'!$A$7:$K$62)),""),ROWS($AD$34:AD42)),COLUMNS('DBX Sprint'!$A$1:A12)),"")</f>
        <v/>
      </c>
      <c r="AE42" s="43" t="str" cm="1">
        <f t="array" aca="1" ref="AE42" ca="1">IFERROR(INDEX('DBX Sprint'!$A$7:$K$62, SMALL(IF((INDEX('DBX Sprint'!$A$7:$K$62, ,25)&lt;=(TODAY()+10))*(INDEX('DBX Sprint'!$A$7:$K$62, ,25)&gt;(TODAY()+5)),MATCH(ROW('DBX Sprint'!$A$7:$K$62),ROW('DBX Sprint'!$A$7:$K$62)),""),ROWS($AE$34:AE42)),COLUMNS('DBX Sprint'!$A$1:A12)),"")</f>
        <v/>
      </c>
      <c r="AG42" s="41" t="str" cm="1">
        <f t="array" ref="AG42">IFERROR(INDEX('DBX Sprint'!$A$7:$K$62, SMALL(IF((INDEX('DBX Sprint'!$A$7:$K$62, ,29)=("Complete"))*(INDEX('DBX Sprint'!$A$7:$K$62, ,29)="Complete"),MATCH(ROW('DBX Sprint'!$A$7:$K$62),ROW('DBX Sprint'!$A$7:$K$62)),""),ROWS($AG$34:AG42)),COLUMNS('DBX Sprint'!$A$1:A12)),"")</f>
        <v/>
      </c>
      <c r="AH42" s="41" t="str" cm="1">
        <f t="array" aca="1" ref="AH42" ca="1">IFERROR(INDEX('DBX Sprint'!$A$7:$K$62, SMALL(IF((INDEX('DBX Sprint'!$A$7:$K$62, ,29)&lt;(TODAY()))*(INDEX('DBX Sprint'!$A$7:$K$62, ,29)&lt;&gt;"Complete"),MATCH(ROW('DBX Sprint'!$A$7:$K$62),ROW('DBX Sprint'!$A$7:$K$62)),""),ROWS($AH$34:AH42)),COLUMNS('DBX Sprint'!$A$1:A12)),"")</f>
        <v/>
      </c>
      <c r="AI42" s="41" t="str" cm="1">
        <f t="array" aca="1" ref="AI42" ca="1">IFERROR(INDEX('DBX Sprint'!$A$7:$K$62, SMALL(IF((INDEX('DBX Sprint'!$A$7:$K$62, ,29)&lt;=(TODAY()+1))*(INDEX('DBX Sprint'!$A$7:$K$62, ,29)&gt;=TODAY()),MATCH(ROW('DBX Sprint'!$A$7:$K$62),ROW('DBX Sprint'!$A$7:$K$62)),""),ROWS($AI$34:AI42)),COLUMNS('DBX Sprint'!$A$1:A12)),"")</f>
        <v/>
      </c>
      <c r="AJ42" s="43" t="str" cm="1">
        <f t="array" aca="1" ref="AJ42" ca="1">IFERROR(INDEX('DBX Sprint'!$A$7:$K$62, SMALL(IF((INDEX('DBX Sprint'!$A$7:$K$62, ,29)&lt;=(TODAY()+5))*(INDEX('DBX Sprint'!$A$7:$K$62, ,29)&gt;(TODAY()+1)),MATCH(ROW('DBX Sprint'!$A$7:$K$62),ROW('DBX Sprint'!$A$7:$K$62)),""),ROWS($AJ$34:AJ42)),COLUMNS('DBX Sprint'!$A$1:A12)),"")</f>
        <v/>
      </c>
      <c r="AK42" s="43" t="str" cm="1">
        <f t="array" aca="1" ref="AK42" ca="1">IFERROR(INDEX('DBX Sprint'!$A$7:$K$62, SMALL(IF((INDEX('DBX Sprint'!$A$7:$K$62, ,29)&lt;=(TODAY()+10))*(INDEX('DBX Sprint'!$A$7:$K$62, ,29)&gt;(TODAY()+5)),MATCH(ROW('DBX Sprint'!$A$7:$K$62),ROW('DBX Sprint'!$A$7:$K$62)),""),ROWS($AK$34:AK42)),COLUMNS('DBX Sprint'!$A$1:A12)),"")</f>
        <v/>
      </c>
      <c r="AM42" s="41" t="str" cm="1">
        <f t="array" ref="AM42">IFERROR(INDEX('DBX Sprint'!$A$7:$K$62, SMALL(IF((INDEX('DBX Sprint'!$A$7:$K$62, ,32)=("Complete"))*(INDEX('DBX Sprint'!$A$7:$K$62, ,32)="Complete"),MATCH(ROW('DBX Sprint'!$A$7:$K$62),ROW('DBX Sprint'!$A$7:$K$62)),""),ROWS($AM$34:AM42)),COLUMNS('DBX Sprint'!$A$1:A12)),"")</f>
        <v/>
      </c>
      <c r="AN42" s="41" t="str" cm="1">
        <f t="array" aca="1" ref="AN42" ca="1">IFERROR(INDEX('DBX Sprint'!$A$7:$K$62, SMALL(IF((INDEX('DBX Sprint'!$A$7:$K$62, ,32)&lt;(TODAY()))*(INDEX('DBX Sprint'!$A$7:$K$62, ,32)&lt;&gt;"Complete"),MATCH(ROW('DBX Sprint'!$A$7:$K$62),ROW('DBX Sprint'!$A$7:$K$62)),""),ROWS($AN$34:AN42)),COLUMNS('DBX Sprint'!$A$1:A12)),"")</f>
        <v/>
      </c>
      <c r="AO42" s="41" t="str" cm="1">
        <f t="array" aca="1" ref="AO42" ca="1">IFERROR(INDEX('DBX Sprint'!$A$7:$K$62, SMALL(IF((INDEX('DBX Sprint'!$A$7:$K$62, ,32)&lt;=(TODAY()+1))*(INDEX('DBX Sprint'!$A$7:$K$62, ,32)&gt;=TODAY()),MATCH(ROW('DBX Sprint'!$A$7:$K$62),ROW('DBX Sprint'!$A$7:$K$62)),""),ROWS($AO$34:AO42)),COLUMNS('DBX Sprint'!$A$1:A12)),"")</f>
        <v/>
      </c>
      <c r="AP42" s="43" t="str" cm="1">
        <f t="array" aca="1" ref="AP42" ca="1">IFERROR(INDEX('DBX Sprint'!$A$7:$K$62, SMALL(IF((INDEX('DBX Sprint'!$A$7:$K$62, ,32)&lt;=(TODAY()+5))*(INDEX('DBX Sprint'!$A$7:$K$62, ,32)&gt;(TODAY()+1)),MATCH(ROW('DBX Sprint'!$A$7:$K$62),ROW('DBX Sprint'!$A$7:$K$62)),""),ROWS($AP$34:AP42)),COLUMNS('DBX Sprint'!$A$1:A12)),"")</f>
        <v/>
      </c>
      <c r="AQ42" s="43" t="str" cm="1">
        <f t="array" aca="1" ref="AQ42" ca="1">IFERROR(INDEX('DBX Sprint'!$A$7:$K$62, SMALL(IF((INDEX('DBX Sprint'!$A$7:$K$62, ,32)&lt;=(TODAY()+10))*(INDEX('DBX Sprint'!$A$7:$K$62, ,32)&gt;(TODAY()+5)),MATCH(ROW('DBX Sprint'!$A$7:$K$62),ROW('DBX Sprint'!$A$7:$K$62)),""),ROWS($AQ$34:AQ42)),COLUMNS('DBX Sprint'!$A$1:A12)),"")</f>
        <v/>
      </c>
    </row>
    <row r="43" spans="3:43" ht="30" customHeight="1">
      <c r="C43" s="41" t="str" cm="1">
        <f t="array" ref="C43">IFERROR(INDEX('DBX Sprint'!$A$7:$K$62, SMALL(IF((INDEX('DBX Sprint'!$A$7:$K$62, ,13)=("Complete"))*(INDEX('DBX Sprint'!$A$7:$K$62, ,13)="Complete"),MATCH(ROW('DBX Sprint'!$A$7:$K$62),ROW('DBX Sprint'!$A$7:$K$62)),""),ROWS(C$34:$C43)),COLUMNS('DBX Sprint'!$A$1:A12)),"")</f>
        <v/>
      </c>
      <c r="D43" s="41" t="str" cm="1">
        <f t="array" aca="1" ref="D43" ca="1">IFERROR(INDEX('DBX Sprint'!$A$7:$K$62, SMALL(IF((INDEX('DBX Sprint'!$A$7:$K$62, ,13)&lt;(TODAY()))*(INDEX('DBX Sprint'!$A$7:$K$62, ,13)&lt;&gt;"Complete"),MATCH(ROW('DBX Sprint'!$A$7:$K$62),ROW('DBX Sprint'!$A$7:$K$62)),""),ROWS(D$34:$D43)),COLUMNS('DBX Sprint'!$A$1:A12)),"")</f>
        <v/>
      </c>
      <c r="E43" s="37" t="str" cm="1">
        <f t="array" aca="1" ref="E43" ca="1">IFERROR(INDEX('DBX Sprint'!$A$7:$K$62, SMALL(IF((INDEX('DBX Sprint'!$A$7:$K$62, ,13)&lt;=(TODAY()+1))*(INDEX('DBX Sprint'!$A$7:$K$62, ,13)&gt;=TODAY()),MATCH(ROW('DBX Sprint'!$A$7:$K$62),ROW('DBX Sprint'!$A$7:$K$62)),""),ROWS(E$34:$E43)),COLUMNS('DBX Sprint'!$A$1:A12)),"")</f>
        <v/>
      </c>
      <c r="F43" s="38" t="str" cm="1">
        <f t="array" aca="1" ref="F43" ca="1">IFERROR(INDEX('DBX Sprint'!$A$7:$K$62, SMALL(IF((INDEX('DBX Sprint'!$A$7:$K$62, ,13)&lt;=(TODAY()+5))*(INDEX('DBX Sprint'!$A$7:$K$62, ,13)&gt;(TODAY()+1)),MATCH(ROW('DBX Sprint'!$A$7:$K$62),ROW('DBX Sprint'!$A$7:$K$62)),""),ROWS($F$34:F43)),COLUMNS('DBX Sprint'!$A$1:A12)),"")</f>
        <v/>
      </c>
      <c r="G43" s="38" t="str" cm="1">
        <f t="array" aca="1" ref="G43" ca="1">IFERROR(INDEX('DBX Sprint'!$A$7:$K$62, SMALL(IF((INDEX('DBX Sprint'!$A$7:$K$62, ,13)&lt;=(TODAY()+10))*(INDEX('DBX Sprint'!$A$7:$K$62, ,13)&gt;(TODAY()+5)),MATCH(ROW('DBX Sprint'!$A$7:$K$62),ROW('DBX Sprint'!$A$7:$K$62)),""),ROWS($G$34:G43)),COLUMNS('DBX Sprint'!$A$1:A12)),"")</f>
        <v/>
      </c>
      <c r="I43" s="41" t="str" cm="1">
        <f t="array" ref="I43">IFERROR(INDEX('DBX Sprint'!$A$7:$K$62, SMALL(IF((INDEX('DBX Sprint'!$A$7:$K$62, ,16)=("Complete"))*(INDEX('DBX Sprint'!$A$7:$K$62, ,16)="Complete"),MATCH(ROW('DBX Sprint'!$A$7:$K$62),ROW('DBX Sprint'!$A$7:$K$62)),""),ROWS($I$34:I43)),COLUMNS('DBX Sprint'!$A$1:A12)),"")</f>
        <v/>
      </c>
      <c r="J43" s="41" t="str" cm="1">
        <f t="array" aca="1" ref="J43" ca="1">IFERROR(INDEX('DBX Sprint'!$A$7:$K$62, SMALL(IF((INDEX('DBX Sprint'!$A$7:$K$62, ,16)&lt;(TODAY()))*(INDEX('DBX Sprint'!$A$7:$K$62, ,16)&lt;&gt;"Complete"),MATCH(ROW('DBX Sprint'!$A$7:$K$62),ROW('DBX Sprint'!$A$7:$K$62)),""),ROWS($J$34:J43)),COLUMNS('DBX Sprint'!$A$1:A12)),"")</f>
        <v/>
      </c>
      <c r="K43" s="37" t="str" cm="1">
        <f t="array" aca="1" ref="K43" ca="1">IFERROR(INDEX('DBX Sprint'!$A$7:$K$62, SMALL(IF((INDEX('DBX Sprint'!$A$7:$K$62, ,16)&lt;=(TODAY()+1))*(INDEX('DBX Sprint'!$A$7:$K$62, ,16)&gt;=TODAY()),MATCH(ROW('DBX Sprint'!$A$7:$K$62),ROW('DBX Sprint'!$A$7:$K$62)),""),ROWS($K$34:K43)),COLUMNS('DBX Sprint'!$A$1:A12)),"")</f>
        <v/>
      </c>
      <c r="L43" s="38" t="str" cm="1">
        <f t="array" aca="1" ref="L43" ca="1">IFERROR(INDEX('DBX Sprint'!$A$7:$K$62, SMALL(IF((INDEX('DBX Sprint'!$A$7:$K$62, ,16)&lt;=(TODAY()+5))*(INDEX('DBX Sprint'!$A$7:$K$62, ,16)&gt;(TODAY()+1)),MATCH(ROW('DBX Sprint'!$A$7:$K$62),ROW('DBX Sprint'!$A$7:$K$62)),""),ROWS($L$34:L43)),COLUMNS('DBX Sprint'!$A$1:A12)),"")</f>
        <v/>
      </c>
      <c r="M43" s="38" t="str" cm="1">
        <f t="array" aca="1" ref="M43" ca="1">IFERROR(INDEX('DBX Sprint'!$A$7:$K$62, SMALL(IF((INDEX('DBX Sprint'!$A$7:$K$62, ,16)&lt;=(TODAY()+10))*(INDEX('DBX Sprint'!$A$7:$K$62, ,16)&gt;(TODAY()+5)),MATCH(ROW('DBX Sprint'!$A$7:$K$62),ROW('DBX Sprint'!$A$7:$K$62)),""),ROWS($M$34:M43)),COLUMNS('DBX Sprint'!$A$1:A12)),"")</f>
        <v/>
      </c>
      <c r="O43" s="41" t="str" cm="1">
        <f t="array" ref="O43">IFERROR(INDEX('DBX Sprint'!$A$7:$K$62, SMALL(IF((INDEX('DBX Sprint'!$A$7:$K$62, ,19)=("Complete"))*(INDEX('DBX Sprint'!$A$7:$K$62, ,19)="Complete"),MATCH(ROW('DBX Sprint'!$A$7:$K$62),ROW('DBX Sprint'!$A$7:$K$62)),""),ROWS($O$34:O43)),COLUMNS('DBX Sprint'!$A$1:A12)),"")</f>
        <v/>
      </c>
      <c r="P43" s="41" t="str" cm="1">
        <f t="array" aca="1" ref="P43" ca="1">IFERROR(INDEX('DBX Sprint'!$A$7:$K$62, SMALL(IF((INDEX('DBX Sprint'!$A$7:$K$62, ,19)&lt;(TODAY()))*(INDEX('DBX Sprint'!$A$7:$K$62, ,19)&lt;&gt;"Complete"),MATCH(ROW('DBX Sprint'!$A$7:$K$62),ROW('DBX Sprint'!$A$7:$K$62)),""),ROWS($P$34:P43)),COLUMNS('DBX Sprint'!$A$1:A12)),"")</f>
        <v/>
      </c>
      <c r="Q43" s="41" t="str" cm="1">
        <f t="array" aca="1" ref="Q43" ca="1">IFERROR(INDEX('DBX Sprint'!$A$7:$K$62, SMALL(IF((INDEX('DBX Sprint'!$A$7:$K$62, ,19)&lt;=(TODAY()+1))*(INDEX('DBX Sprint'!$A$7:$K$62, ,19)&gt;=TODAY()),MATCH(ROW('DBX Sprint'!$A$7:$K$62),ROW('DBX Sprint'!$A$7:$K$62)),""),ROWS($Q$34:Q43)),COLUMNS('DBX Sprint'!$A$1:A12)),"")</f>
        <v/>
      </c>
      <c r="R43" s="43" t="str" cm="1">
        <f t="array" aca="1" ref="R43" ca="1">IFERROR(INDEX('DBX Sprint'!$A$7:$K$62, SMALL(IF((INDEX('DBX Sprint'!$A$7:$K$62, ,19)&lt;=(TODAY()+5))*(INDEX('DBX Sprint'!$A$7:$K$62, ,19)&gt;(TODAY()+1)),MATCH(ROW('DBX Sprint'!$A$7:$K$62),ROW('DBX Sprint'!$A$7:$K$62)),""),ROWS($R$34:R43)),COLUMNS('DBX Sprint'!$A$1:A12)),"")</f>
        <v/>
      </c>
      <c r="S43" s="43" t="str" cm="1">
        <f t="array" aca="1" ref="S43" ca="1">IFERROR(INDEX('DBX Sprint'!$A$7:$K$62, SMALL(IF((INDEX('DBX Sprint'!$A$7:$K$62, ,19)&lt;=(TODAY()+10))*(INDEX('DBX Sprint'!$A$7:$K$62, ,19)&gt;(TODAY()+5)),MATCH(ROW('DBX Sprint'!$A$7:$K$62),ROW('DBX Sprint'!$A$7:$K$62)),""),ROWS($S$34:S43)),COLUMNS('DBX Sprint'!$A$1:A12)),"")</f>
        <v/>
      </c>
      <c r="U43" s="41" t="str" cm="1">
        <f t="array" ref="U43">IFERROR(INDEX('DBX Sprint'!$A$7:$K$62, SMALL(IF((INDEX('DBX Sprint'!$A$7:$K$62, ,22)=("Complete"))*(INDEX('DBX Sprint'!$A$7:$K$62, ,22)="Complete"),MATCH(ROW('DBX Sprint'!$A$7:$K$62),ROW('DBX Sprint'!$A$7:$K$62)),""),ROWS($U$34:U43)),COLUMNS('DBX Sprint'!$A$1:A12)),"")</f>
        <v/>
      </c>
      <c r="V43" s="41" t="str" cm="1">
        <f t="array" aca="1" ref="V43" ca="1">IFERROR(INDEX('DBX Sprint'!$A$7:$K$62, SMALL(IF((INDEX('DBX Sprint'!$A$7:$K$62, ,22)&lt;(TODAY()))*(INDEX('DBX Sprint'!$A$7:$K$62, ,22)&lt;&gt;"Complete"),MATCH(ROW('DBX Sprint'!$A$7:$K$62),ROW('DBX Sprint'!$A$7:$K$62)),""),ROWS($V$34:V43)),COLUMNS('DBX Sprint'!$A$1:A12)),"")</f>
        <v/>
      </c>
      <c r="W43" s="41" t="str" cm="1">
        <f t="array" aca="1" ref="W43" ca="1">IFERROR(INDEX('DBX Sprint'!$A$7:$K$62, SMALL(IF((INDEX('DBX Sprint'!$A$7:$K$62, ,22)&lt;=(TODAY()+1))*(INDEX('DBX Sprint'!$A$7:$K$62, ,22)&gt;=TODAY()),MATCH(ROW('DBX Sprint'!$A$7:$K$62),ROW('DBX Sprint'!$A$7:$K$62)),""),ROWS($W$34:W43)),COLUMNS('DBX Sprint'!$A$1:A12)),"")</f>
        <v/>
      </c>
      <c r="X43" s="43" t="str" cm="1">
        <f t="array" aca="1" ref="X43" ca="1">IFERROR(INDEX('DBX Sprint'!$A$7:$K$62, SMALL(IF((INDEX('DBX Sprint'!$A$7:$K$62, ,22)&lt;=(TODAY()+5))*(INDEX('DBX Sprint'!$A$7:$K$62, ,22)&gt;(TODAY()+1)),MATCH(ROW('DBX Sprint'!$A$7:$K$62),ROW('DBX Sprint'!$A$7:$K$62)),""),ROWS($X$34:X43)),COLUMNS('DBX Sprint'!$A$1:A12)),"")</f>
        <v/>
      </c>
      <c r="Y43" s="43" t="str" cm="1">
        <f t="array" aca="1" ref="Y43" ca="1">IFERROR(INDEX('DBX Sprint'!$A$7:$K$62, SMALL(IF((INDEX('DBX Sprint'!$A$7:$K$62, ,22)&lt;=(TODAY()+10))*(INDEX('DBX Sprint'!$A$7:$K$62, ,22)&gt;(TODAY()+5)),MATCH(ROW('DBX Sprint'!$A$7:$K$62),ROW('DBX Sprint'!$A$7:$K$62)),""),ROWS($Y$34:Y43)),COLUMNS('DBX Sprint'!$A$1:A12)),"")</f>
        <v/>
      </c>
      <c r="AA43" s="41" t="str" cm="1">
        <f t="array" ref="AA43">IFERROR(INDEX('DBX Sprint'!$A$7:$K$62, SMALL(IF((INDEX('DBX Sprint'!$A$7:$K$62, ,25)=("Complete"))*(INDEX('DBX Sprint'!$A$7:$K$62, ,25)="Complete"),MATCH(ROW('DBX Sprint'!$A$7:$K$62),ROW('DBX Sprint'!$A$7:$K$62)),""),ROWS($AA$34:AA43)),COLUMNS('DBX Sprint'!$A$1:A12)),"")</f>
        <v/>
      </c>
      <c r="AB43" s="41" t="str" cm="1">
        <f t="array" aca="1" ref="AB43" ca="1">IFERROR(INDEX('DBX Sprint'!$A$7:$K$62, SMALL(IF((INDEX('DBX Sprint'!$A$7:$K$62, ,25)&lt;(TODAY()))*(INDEX('DBX Sprint'!$A$7:$K$62, ,25)&lt;&gt;"Complete"),MATCH(ROW('DBX Sprint'!$A$7:$K$62),ROW('DBX Sprint'!$A$7:$K$62)),""),ROWS($AB$34:AB43)),COLUMNS('DBX Sprint'!$A$1:A12)),"")</f>
        <v/>
      </c>
      <c r="AC43" s="41" t="str" cm="1">
        <f t="array" aca="1" ref="AC43" ca="1">IFERROR(INDEX('DBX Sprint'!$A$7:$K$62, SMALL(IF((INDEX('DBX Sprint'!$A$7:$K$62, ,25)&lt;=(TODAY()+1))*(INDEX('DBX Sprint'!$A$7:$K$62, ,25)&gt;=TODAY()),MATCH(ROW('DBX Sprint'!$A$7:$K$62),ROW('DBX Sprint'!$A$7:$K$62)),""),ROWS($AC$34:AC43)),COLUMNS('DBX Sprint'!$A$1:A12)),"")</f>
        <v/>
      </c>
      <c r="AD43" s="43" t="str" cm="1">
        <f t="array" aca="1" ref="AD43" ca="1">IFERROR(INDEX('DBX Sprint'!$A$7:$K$62, SMALL(IF((INDEX('DBX Sprint'!$A$7:$K$62, ,25)&lt;=(TODAY()+5))*(INDEX('DBX Sprint'!$A$7:$K$62, ,25)&gt;(TODAY()+1)),MATCH(ROW('DBX Sprint'!$A$7:$K$62),ROW('DBX Sprint'!$A$7:$K$62)),""),ROWS($AD$34:AD43)),COLUMNS('DBX Sprint'!$A$1:A12)),"")</f>
        <v/>
      </c>
      <c r="AE43" s="43" t="str" cm="1">
        <f t="array" aca="1" ref="AE43" ca="1">IFERROR(INDEX('DBX Sprint'!$A$7:$K$62, SMALL(IF((INDEX('DBX Sprint'!$A$7:$K$62, ,25)&lt;=(TODAY()+10))*(INDEX('DBX Sprint'!$A$7:$K$62, ,25)&gt;(TODAY()+5)),MATCH(ROW('DBX Sprint'!$A$7:$K$62),ROW('DBX Sprint'!$A$7:$K$62)),""),ROWS($AE$34:AE43)),COLUMNS('DBX Sprint'!$A$1:A12)),"")</f>
        <v/>
      </c>
      <c r="AG43" s="41" t="str" cm="1">
        <f t="array" ref="AG43">IFERROR(INDEX('DBX Sprint'!$A$7:$K$62, SMALL(IF((INDEX('DBX Sprint'!$A$7:$K$62, ,29)=("Complete"))*(INDEX('DBX Sprint'!$A$7:$K$62, ,29)="Complete"),MATCH(ROW('DBX Sprint'!$A$7:$K$62),ROW('DBX Sprint'!$A$7:$K$62)),""),ROWS($AG$34:AG43)),COLUMNS('DBX Sprint'!$A$1:A12)),"")</f>
        <v/>
      </c>
      <c r="AH43" s="41" t="str" cm="1">
        <f t="array" aca="1" ref="AH43" ca="1">IFERROR(INDEX('DBX Sprint'!$A$7:$K$62, SMALL(IF((INDEX('DBX Sprint'!$A$7:$K$62, ,29)&lt;(TODAY()))*(INDEX('DBX Sprint'!$A$7:$K$62, ,29)&lt;&gt;"Complete"),MATCH(ROW('DBX Sprint'!$A$7:$K$62),ROW('DBX Sprint'!$A$7:$K$62)),""),ROWS($AH$34:AH43)),COLUMNS('DBX Sprint'!$A$1:A12)),"")</f>
        <v/>
      </c>
      <c r="AI43" s="41" t="str" cm="1">
        <f t="array" aca="1" ref="AI43" ca="1">IFERROR(INDEX('DBX Sprint'!$A$7:$K$62, SMALL(IF((INDEX('DBX Sprint'!$A$7:$K$62, ,29)&lt;=(TODAY()+1))*(INDEX('DBX Sprint'!$A$7:$K$62, ,29)&gt;=TODAY()),MATCH(ROW('DBX Sprint'!$A$7:$K$62),ROW('DBX Sprint'!$A$7:$K$62)),""),ROWS($AI$34:AI43)),COLUMNS('DBX Sprint'!$A$1:A12)),"")</f>
        <v/>
      </c>
      <c r="AJ43" s="43" t="str" cm="1">
        <f t="array" aca="1" ref="AJ43" ca="1">IFERROR(INDEX('DBX Sprint'!$A$7:$K$62, SMALL(IF((INDEX('DBX Sprint'!$A$7:$K$62, ,29)&lt;=(TODAY()+5))*(INDEX('DBX Sprint'!$A$7:$K$62, ,29)&gt;(TODAY()+1)),MATCH(ROW('DBX Sprint'!$A$7:$K$62),ROW('DBX Sprint'!$A$7:$K$62)),""),ROWS($AJ$34:AJ43)),COLUMNS('DBX Sprint'!$A$1:A12)),"")</f>
        <v/>
      </c>
      <c r="AK43" s="43" t="str" cm="1">
        <f t="array" aca="1" ref="AK43" ca="1">IFERROR(INDEX('DBX Sprint'!$A$7:$K$62, SMALL(IF((INDEX('DBX Sprint'!$A$7:$K$62, ,29)&lt;=(TODAY()+10))*(INDEX('DBX Sprint'!$A$7:$K$62, ,29)&gt;(TODAY()+5)),MATCH(ROW('DBX Sprint'!$A$7:$K$62),ROW('DBX Sprint'!$A$7:$K$62)),""),ROWS($AK$34:AK43)),COLUMNS('DBX Sprint'!$A$1:A12)),"")</f>
        <v/>
      </c>
      <c r="AM43" s="41" t="str" cm="1">
        <f t="array" ref="AM43">IFERROR(INDEX('DBX Sprint'!$A$7:$K$62, SMALL(IF((INDEX('DBX Sprint'!$A$7:$K$62, ,32)=("Complete"))*(INDEX('DBX Sprint'!$A$7:$K$62, ,32)="Complete"),MATCH(ROW('DBX Sprint'!$A$7:$K$62),ROW('DBX Sprint'!$A$7:$K$62)),""),ROWS($AM$34:AM43)),COLUMNS('DBX Sprint'!$A$1:A12)),"")</f>
        <v/>
      </c>
      <c r="AN43" s="41" t="str" cm="1">
        <f t="array" aca="1" ref="AN43" ca="1">IFERROR(INDEX('DBX Sprint'!$A$7:$K$62, SMALL(IF((INDEX('DBX Sprint'!$A$7:$K$62, ,32)&lt;(TODAY()))*(INDEX('DBX Sprint'!$A$7:$K$62, ,32)&lt;&gt;"Complete"),MATCH(ROW('DBX Sprint'!$A$7:$K$62),ROW('DBX Sprint'!$A$7:$K$62)),""),ROWS($AN$34:AN43)),COLUMNS('DBX Sprint'!$A$1:A12)),"")</f>
        <v/>
      </c>
      <c r="AO43" s="41" t="str" cm="1">
        <f t="array" aca="1" ref="AO43" ca="1">IFERROR(INDEX('DBX Sprint'!$A$7:$K$62, SMALL(IF((INDEX('DBX Sprint'!$A$7:$K$62, ,32)&lt;=(TODAY()+1))*(INDEX('DBX Sprint'!$A$7:$K$62, ,32)&gt;=TODAY()),MATCH(ROW('DBX Sprint'!$A$7:$K$62),ROW('DBX Sprint'!$A$7:$K$62)),""),ROWS($AO$34:AO43)),COLUMNS('DBX Sprint'!$A$1:A12)),"")</f>
        <v/>
      </c>
      <c r="AP43" s="43" t="str" cm="1">
        <f t="array" aca="1" ref="AP43" ca="1">IFERROR(INDEX('DBX Sprint'!$A$7:$K$62, SMALL(IF((INDEX('DBX Sprint'!$A$7:$K$62, ,32)&lt;=(TODAY()+5))*(INDEX('DBX Sprint'!$A$7:$K$62, ,32)&gt;(TODAY()+1)),MATCH(ROW('DBX Sprint'!$A$7:$K$62),ROW('DBX Sprint'!$A$7:$K$62)),""),ROWS($AP$34:AP43)),COLUMNS('DBX Sprint'!$A$1:A12)),"")</f>
        <v/>
      </c>
      <c r="AQ43" s="43" t="str" cm="1">
        <f t="array" aca="1" ref="AQ43" ca="1">IFERROR(INDEX('DBX Sprint'!$A$7:$K$62, SMALL(IF((INDEX('DBX Sprint'!$A$7:$K$62, ,32)&lt;=(TODAY()+10))*(INDEX('DBX Sprint'!$A$7:$K$62, ,32)&gt;(TODAY()+5)),MATCH(ROW('DBX Sprint'!$A$7:$K$62),ROW('DBX Sprint'!$A$7:$K$62)),""),ROWS($AQ$34:AQ43)),COLUMNS('DBX Sprint'!$A$1:A12)),"")</f>
        <v/>
      </c>
    </row>
    <row r="44" spans="3:43" ht="30" customHeight="1">
      <c r="C44" s="41" t="str" cm="1">
        <f t="array" ref="C44">IFERROR(INDEX('DBX Sprint'!$A$7:$K$62, SMALL(IF((INDEX('DBX Sprint'!$A$7:$K$62, ,13)=("Complete"))*(INDEX('DBX Sprint'!$A$7:$K$62, ,13)="Complete"),MATCH(ROW('DBX Sprint'!$A$7:$K$62),ROW('DBX Sprint'!$A$7:$K$62)),""),ROWS(C$34:$C44)),COLUMNS('DBX Sprint'!$A$1:A12)),"")</f>
        <v/>
      </c>
      <c r="D44" s="41" t="str" cm="1">
        <f t="array" aca="1" ref="D44" ca="1">IFERROR(INDEX('DBX Sprint'!$A$7:$K$62, SMALL(IF((INDEX('DBX Sprint'!$A$7:$K$62, ,13)&lt;(TODAY()))*(INDEX('DBX Sprint'!$A$7:$K$62, ,13)&lt;&gt;"Complete"),MATCH(ROW('DBX Sprint'!$A$7:$K$62),ROW('DBX Sprint'!$A$7:$K$62)),""),ROWS(D$34:$D44)),COLUMNS('DBX Sprint'!$A$1:A12)),"")</f>
        <v/>
      </c>
      <c r="E44" s="37" t="str" cm="1">
        <f t="array" aca="1" ref="E44" ca="1">IFERROR(INDEX('DBX Sprint'!$A$7:$K$62, SMALL(IF((INDEX('DBX Sprint'!$A$7:$K$62, ,13)&lt;=(TODAY()+1))*(INDEX('DBX Sprint'!$A$7:$K$62, ,13)&gt;=TODAY()),MATCH(ROW('DBX Sprint'!$A$7:$K$62),ROW('DBX Sprint'!$A$7:$K$62)),""),ROWS(E$34:$E44)),COLUMNS('DBX Sprint'!$A$1:A12)),"")</f>
        <v/>
      </c>
      <c r="F44" s="38" t="str" cm="1">
        <f t="array" aca="1" ref="F44" ca="1">IFERROR(INDEX('DBX Sprint'!$A$7:$K$62, SMALL(IF((INDEX('DBX Sprint'!$A$7:$K$62, ,13)&lt;=(TODAY()+5))*(INDEX('DBX Sprint'!$A$7:$K$62, ,13)&gt;(TODAY()+1)),MATCH(ROW('DBX Sprint'!$A$7:$K$62),ROW('DBX Sprint'!$A$7:$K$62)),""),ROWS($F$34:F44)),COLUMNS('DBX Sprint'!$A$1:A12)),"")</f>
        <v/>
      </c>
      <c r="G44" s="38" t="str" cm="1">
        <f t="array" aca="1" ref="G44" ca="1">IFERROR(INDEX('DBX Sprint'!$A$7:$K$62, SMALL(IF((INDEX('DBX Sprint'!$A$7:$K$62, ,13)&lt;=(TODAY()+10))*(INDEX('DBX Sprint'!$A$7:$K$62, ,13)&gt;(TODAY()+5)),MATCH(ROW('DBX Sprint'!$A$7:$K$62),ROW('DBX Sprint'!$A$7:$K$62)),""),ROWS($G$34:G44)),COLUMNS('DBX Sprint'!$A$1:A12)),"")</f>
        <v/>
      </c>
      <c r="I44" s="41" t="str" cm="1">
        <f t="array" ref="I44">IFERROR(INDEX('DBX Sprint'!$A$7:$K$62, SMALL(IF((INDEX('DBX Sprint'!$A$7:$K$62, ,16)=("Complete"))*(INDEX('DBX Sprint'!$A$7:$K$62, ,16)="Complete"),MATCH(ROW('DBX Sprint'!$A$7:$K$62),ROW('DBX Sprint'!$A$7:$K$62)),""),ROWS($I$34:I44)),COLUMNS('DBX Sprint'!$A$1:A12)),"")</f>
        <v/>
      </c>
      <c r="J44" s="41" t="str" cm="1">
        <f t="array" aca="1" ref="J44" ca="1">IFERROR(INDEX('DBX Sprint'!$A$7:$K$62, SMALL(IF((INDEX('DBX Sprint'!$A$7:$K$62, ,16)&lt;(TODAY()))*(INDEX('DBX Sprint'!$A$7:$K$62, ,16)&lt;&gt;"Complete"),MATCH(ROW('DBX Sprint'!$A$7:$K$62),ROW('DBX Sprint'!$A$7:$K$62)),""),ROWS($J$34:J44)),COLUMNS('DBX Sprint'!$A$1:A12)),"")</f>
        <v/>
      </c>
      <c r="K44" s="37" t="str" cm="1">
        <f t="array" aca="1" ref="K44" ca="1">IFERROR(INDEX('DBX Sprint'!$A$7:$K$62, SMALL(IF((INDEX('DBX Sprint'!$A$7:$K$62, ,16)&lt;=(TODAY()+1))*(INDEX('DBX Sprint'!$A$7:$K$62, ,16)&gt;=TODAY()),MATCH(ROW('DBX Sprint'!$A$7:$K$62),ROW('DBX Sprint'!$A$7:$K$62)),""),ROWS($K$34:K44)),COLUMNS('DBX Sprint'!$A$1:A12)),"")</f>
        <v/>
      </c>
      <c r="L44" s="38" t="str" cm="1">
        <f t="array" aca="1" ref="L44" ca="1">IFERROR(INDEX('DBX Sprint'!$A$7:$K$62, SMALL(IF((INDEX('DBX Sprint'!$A$7:$K$62, ,16)&lt;=(TODAY()+5))*(INDEX('DBX Sprint'!$A$7:$K$62, ,16)&gt;(TODAY()+1)),MATCH(ROW('DBX Sprint'!$A$7:$K$62),ROW('DBX Sprint'!$A$7:$K$62)),""),ROWS($L$34:L44)),COLUMNS('DBX Sprint'!$A$1:A12)),"")</f>
        <v/>
      </c>
      <c r="M44" s="38" t="str" cm="1">
        <f t="array" aca="1" ref="M44" ca="1">IFERROR(INDEX('DBX Sprint'!$A$7:$K$62, SMALL(IF((INDEX('DBX Sprint'!$A$7:$K$62, ,16)&lt;=(TODAY()+10))*(INDEX('DBX Sprint'!$A$7:$K$62, ,16)&gt;(TODAY()+5)),MATCH(ROW('DBX Sprint'!$A$7:$K$62),ROW('DBX Sprint'!$A$7:$K$62)),""),ROWS($M$34:M44)),COLUMNS('DBX Sprint'!$A$1:A12)),"")</f>
        <v/>
      </c>
      <c r="O44" s="41" t="str" cm="1">
        <f t="array" ref="O44">IFERROR(INDEX('DBX Sprint'!$A$7:$K$62, SMALL(IF((INDEX('DBX Sprint'!$A$7:$K$62, ,19)=("Complete"))*(INDEX('DBX Sprint'!$A$7:$K$62, ,19)="Complete"),MATCH(ROW('DBX Sprint'!$A$7:$K$62),ROW('DBX Sprint'!$A$7:$K$62)),""),ROWS($O$34:O44)),COLUMNS('DBX Sprint'!$A$1:A12)),"")</f>
        <v/>
      </c>
      <c r="P44" s="41" t="str" cm="1">
        <f t="array" aca="1" ref="P44" ca="1">IFERROR(INDEX('DBX Sprint'!$A$7:$K$62, SMALL(IF((INDEX('DBX Sprint'!$A$7:$K$62, ,19)&lt;(TODAY()))*(INDEX('DBX Sprint'!$A$7:$K$62, ,19)&lt;&gt;"Complete"),MATCH(ROW('DBX Sprint'!$A$7:$K$62),ROW('DBX Sprint'!$A$7:$K$62)),""),ROWS($P$34:P44)),COLUMNS('DBX Sprint'!$A$1:A12)),"")</f>
        <v/>
      </c>
      <c r="Q44" s="41" t="str" cm="1">
        <f t="array" aca="1" ref="Q44" ca="1">IFERROR(INDEX('DBX Sprint'!$A$7:$K$62, SMALL(IF((INDEX('DBX Sprint'!$A$7:$K$62, ,19)&lt;=(TODAY()+1))*(INDEX('DBX Sprint'!$A$7:$K$62, ,19)&gt;=TODAY()),MATCH(ROW('DBX Sprint'!$A$7:$K$62),ROW('DBX Sprint'!$A$7:$K$62)),""),ROWS($Q$34:Q44)),COLUMNS('DBX Sprint'!$A$1:A12)),"")</f>
        <v/>
      </c>
      <c r="R44" s="43" t="str" cm="1">
        <f t="array" aca="1" ref="R44" ca="1">IFERROR(INDEX('DBX Sprint'!$A$7:$K$62, SMALL(IF((INDEX('DBX Sprint'!$A$7:$K$62, ,19)&lt;=(TODAY()+5))*(INDEX('DBX Sprint'!$A$7:$K$62, ,19)&gt;(TODAY()+1)),MATCH(ROW('DBX Sprint'!$A$7:$K$62),ROW('DBX Sprint'!$A$7:$K$62)),""),ROWS($R$34:R44)),COLUMNS('DBX Sprint'!$A$1:A12)),"")</f>
        <v/>
      </c>
      <c r="S44" s="43" t="str" cm="1">
        <f t="array" aca="1" ref="S44" ca="1">IFERROR(INDEX('DBX Sprint'!$A$7:$K$62, SMALL(IF((INDEX('DBX Sprint'!$A$7:$K$62, ,19)&lt;=(TODAY()+10))*(INDEX('DBX Sprint'!$A$7:$K$62, ,19)&gt;(TODAY()+5)),MATCH(ROW('DBX Sprint'!$A$7:$K$62),ROW('DBX Sprint'!$A$7:$K$62)),""),ROWS($S$34:S44)),COLUMNS('DBX Sprint'!$A$1:A12)),"")</f>
        <v/>
      </c>
      <c r="U44" s="41" t="str" cm="1">
        <f t="array" ref="U44">IFERROR(INDEX('DBX Sprint'!$A$7:$K$62, SMALL(IF((INDEX('DBX Sprint'!$A$7:$K$62, ,22)=("Complete"))*(INDEX('DBX Sprint'!$A$7:$K$62, ,22)="Complete"),MATCH(ROW('DBX Sprint'!$A$7:$K$62),ROW('DBX Sprint'!$A$7:$K$62)),""),ROWS($U$34:U44)),COLUMNS('DBX Sprint'!$A$1:A12)),"")</f>
        <v/>
      </c>
      <c r="V44" s="41" t="str" cm="1">
        <f t="array" aca="1" ref="V44" ca="1">IFERROR(INDEX('DBX Sprint'!$A$7:$K$62, SMALL(IF((INDEX('DBX Sprint'!$A$7:$K$62, ,22)&lt;(TODAY()))*(INDEX('DBX Sprint'!$A$7:$K$62, ,22)&lt;&gt;"Complete"),MATCH(ROW('DBX Sprint'!$A$7:$K$62),ROW('DBX Sprint'!$A$7:$K$62)),""),ROWS($V$34:V44)),COLUMNS('DBX Sprint'!$A$1:A12)),"")</f>
        <v/>
      </c>
      <c r="W44" s="41" t="str" cm="1">
        <f t="array" aca="1" ref="W44" ca="1">IFERROR(INDEX('DBX Sprint'!$A$7:$K$62, SMALL(IF((INDEX('DBX Sprint'!$A$7:$K$62, ,22)&lt;=(TODAY()+1))*(INDEX('DBX Sprint'!$A$7:$K$62, ,22)&gt;=TODAY()),MATCH(ROW('DBX Sprint'!$A$7:$K$62),ROW('DBX Sprint'!$A$7:$K$62)),""),ROWS($W$34:W44)),COLUMNS('DBX Sprint'!$A$1:A12)),"")</f>
        <v/>
      </c>
      <c r="X44" s="43" t="str" cm="1">
        <f t="array" aca="1" ref="X44" ca="1">IFERROR(INDEX('DBX Sprint'!$A$7:$K$62, SMALL(IF((INDEX('DBX Sprint'!$A$7:$K$62, ,22)&lt;=(TODAY()+5))*(INDEX('DBX Sprint'!$A$7:$K$62, ,22)&gt;(TODAY()+1)),MATCH(ROW('DBX Sprint'!$A$7:$K$62),ROW('DBX Sprint'!$A$7:$K$62)),""),ROWS($X$34:X44)),COLUMNS('DBX Sprint'!$A$1:A12)),"")</f>
        <v/>
      </c>
      <c r="Y44" s="43" t="str" cm="1">
        <f t="array" aca="1" ref="Y44" ca="1">IFERROR(INDEX('DBX Sprint'!$A$7:$K$62, SMALL(IF((INDEX('DBX Sprint'!$A$7:$K$62, ,22)&lt;=(TODAY()+10))*(INDEX('DBX Sprint'!$A$7:$K$62, ,22)&gt;(TODAY()+5)),MATCH(ROW('DBX Sprint'!$A$7:$K$62),ROW('DBX Sprint'!$A$7:$K$62)),""),ROWS($Y$34:Y44)),COLUMNS('DBX Sprint'!$A$1:A12)),"")</f>
        <v/>
      </c>
      <c r="AA44" s="41" t="str" cm="1">
        <f t="array" ref="AA44">IFERROR(INDEX('DBX Sprint'!$A$7:$K$62, SMALL(IF((INDEX('DBX Sprint'!$A$7:$K$62, ,25)=("Complete"))*(INDEX('DBX Sprint'!$A$7:$K$62, ,25)="Complete"),MATCH(ROW('DBX Sprint'!$A$7:$K$62),ROW('DBX Sprint'!$A$7:$K$62)),""),ROWS($AA$34:AA44)),COLUMNS('DBX Sprint'!$A$1:A12)),"")</f>
        <v/>
      </c>
      <c r="AB44" s="41" t="str" cm="1">
        <f t="array" aca="1" ref="AB44" ca="1">IFERROR(INDEX('DBX Sprint'!$A$7:$K$62, SMALL(IF((INDEX('DBX Sprint'!$A$7:$K$62, ,25)&lt;(TODAY()))*(INDEX('DBX Sprint'!$A$7:$K$62, ,25)&lt;&gt;"Complete"),MATCH(ROW('DBX Sprint'!$A$7:$K$62),ROW('DBX Sprint'!$A$7:$K$62)),""),ROWS($AB$34:AB44)),COLUMNS('DBX Sprint'!$A$1:A12)),"")</f>
        <v/>
      </c>
      <c r="AC44" s="41" t="str" cm="1">
        <f t="array" aca="1" ref="AC44" ca="1">IFERROR(INDEX('DBX Sprint'!$A$7:$K$62, SMALL(IF((INDEX('DBX Sprint'!$A$7:$K$62, ,25)&lt;=(TODAY()+1))*(INDEX('DBX Sprint'!$A$7:$K$62, ,25)&gt;=TODAY()),MATCH(ROW('DBX Sprint'!$A$7:$K$62),ROW('DBX Sprint'!$A$7:$K$62)),""),ROWS($AC$34:AC44)),COLUMNS('DBX Sprint'!$A$1:A12)),"")</f>
        <v/>
      </c>
      <c r="AD44" s="43" t="str" cm="1">
        <f t="array" aca="1" ref="AD44" ca="1">IFERROR(INDEX('DBX Sprint'!$A$7:$K$62, SMALL(IF((INDEX('DBX Sprint'!$A$7:$K$62, ,25)&lt;=(TODAY()+5))*(INDEX('DBX Sprint'!$A$7:$K$62, ,25)&gt;(TODAY()+1)),MATCH(ROW('DBX Sprint'!$A$7:$K$62),ROW('DBX Sprint'!$A$7:$K$62)),""),ROWS($AD$34:AD44)),COLUMNS('DBX Sprint'!$A$1:A12)),"")</f>
        <v/>
      </c>
      <c r="AE44" s="43" t="str" cm="1">
        <f t="array" aca="1" ref="AE44" ca="1">IFERROR(INDEX('DBX Sprint'!$A$7:$K$62, SMALL(IF((INDEX('DBX Sprint'!$A$7:$K$62, ,25)&lt;=(TODAY()+10))*(INDEX('DBX Sprint'!$A$7:$K$62, ,25)&gt;(TODAY()+5)),MATCH(ROW('DBX Sprint'!$A$7:$K$62),ROW('DBX Sprint'!$A$7:$K$62)),""),ROWS($AE$34:AE44)),COLUMNS('DBX Sprint'!$A$1:A12)),"")</f>
        <v/>
      </c>
      <c r="AG44" s="41" t="str" cm="1">
        <f t="array" ref="AG44">IFERROR(INDEX('DBX Sprint'!$A$7:$K$62, SMALL(IF((INDEX('DBX Sprint'!$A$7:$K$62, ,29)=("Complete"))*(INDEX('DBX Sprint'!$A$7:$K$62, ,29)="Complete"),MATCH(ROW('DBX Sprint'!$A$7:$K$62),ROW('DBX Sprint'!$A$7:$K$62)),""),ROWS($AG$34:AG44)),COLUMNS('DBX Sprint'!$A$1:A12)),"")</f>
        <v/>
      </c>
      <c r="AH44" s="41" t="str" cm="1">
        <f t="array" aca="1" ref="AH44" ca="1">IFERROR(INDEX('DBX Sprint'!$A$7:$K$62, SMALL(IF((INDEX('DBX Sprint'!$A$7:$K$62, ,29)&lt;(TODAY()))*(INDEX('DBX Sprint'!$A$7:$K$62, ,29)&lt;&gt;"Complete"),MATCH(ROW('DBX Sprint'!$A$7:$K$62),ROW('DBX Sprint'!$A$7:$K$62)),""),ROWS($AH$34:AH44)),COLUMNS('DBX Sprint'!$A$1:A12)),"")</f>
        <v/>
      </c>
      <c r="AI44" s="41" t="str" cm="1">
        <f t="array" aca="1" ref="AI44" ca="1">IFERROR(INDEX('DBX Sprint'!$A$7:$K$62, SMALL(IF((INDEX('DBX Sprint'!$A$7:$K$62, ,29)&lt;=(TODAY()+1))*(INDEX('DBX Sprint'!$A$7:$K$62, ,29)&gt;=TODAY()),MATCH(ROW('DBX Sprint'!$A$7:$K$62),ROW('DBX Sprint'!$A$7:$K$62)),""),ROWS($AI$34:AI44)),COLUMNS('DBX Sprint'!$A$1:A12)),"")</f>
        <v/>
      </c>
      <c r="AJ44" s="43" t="str" cm="1">
        <f t="array" aca="1" ref="AJ44" ca="1">IFERROR(INDEX('DBX Sprint'!$A$7:$K$62, SMALL(IF((INDEX('DBX Sprint'!$A$7:$K$62, ,29)&lt;=(TODAY()+5))*(INDEX('DBX Sprint'!$A$7:$K$62, ,29)&gt;(TODAY()+1)),MATCH(ROW('DBX Sprint'!$A$7:$K$62),ROW('DBX Sprint'!$A$7:$K$62)),""),ROWS($AJ$34:AJ44)),COLUMNS('DBX Sprint'!$A$1:A12)),"")</f>
        <v/>
      </c>
      <c r="AK44" s="43" t="str" cm="1">
        <f t="array" aca="1" ref="AK44" ca="1">IFERROR(INDEX('DBX Sprint'!$A$7:$K$62, SMALL(IF((INDEX('DBX Sprint'!$A$7:$K$62, ,29)&lt;=(TODAY()+10))*(INDEX('DBX Sprint'!$A$7:$K$62, ,29)&gt;(TODAY()+5)),MATCH(ROW('DBX Sprint'!$A$7:$K$62),ROW('DBX Sprint'!$A$7:$K$62)),""),ROWS($AK$34:AK44)),COLUMNS('DBX Sprint'!$A$1:A12)),"")</f>
        <v/>
      </c>
      <c r="AM44" s="41" t="str" cm="1">
        <f t="array" ref="AM44">IFERROR(INDEX('DBX Sprint'!$A$7:$K$62, SMALL(IF((INDEX('DBX Sprint'!$A$7:$K$62, ,32)=("Complete"))*(INDEX('DBX Sprint'!$A$7:$K$62, ,32)="Complete"),MATCH(ROW('DBX Sprint'!$A$7:$K$62),ROW('DBX Sprint'!$A$7:$K$62)),""),ROWS($AM$34:AM44)),COLUMNS('DBX Sprint'!$A$1:A12)),"")</f>
        <v/>
      </c>
      <c r="AN44" s="41" t="str" cm="1">
        <f t="array" aca="1" ref="AN44" ca="1">IFERROR(INDEX('DBX Sprint'!$A$7:$K$62, SMALL(IF((INDEX('DBX Sprint'!$A$7:$K$62, ,32)&lt;(TODAY()))*(INDEX('DBX Sprint'!$A$7:$K$62, ,32)&lt;&gt;"Complete"),MATCH(ROW('DBX Sprint'!$A$7:$K$62),ROW('DBX Sprint'!$A$7:$K$62)),""),ROWS($AN$34:AN44)),COLUMNS('DBX Sprint'!$A$1:A12)),"")</f>
        <v/>
      </c>
      <c r="AO44" s="41" t="str" cm="1">
        <f t="array" aca="1" ref="AO44" ca="1">IFERROR(INDEX('DBX Sprint'!$A$7:$K$62, SMALL(IF((INDEX('DBX Sprint'!$A$7:$K$62, ,32)&lt;=(TODAY()+1))*(INDEX('DBX Sprint'!$A$7:$K$62, ,32)&gt;=TODAY()),MATCH(ROW('DBX Sprint'!$A$7:$K$62),ROW('DBX Sprint'!$A$7:$K$62)),""),ROWS($AO$34:AO44)),COLUMNS('DBX Sprint'!$A$1:A12)),"")</f>
        <v/>
      </c>
      <c r="AP44" s="43" t="str" cm="1">
        <f t="array" aca="1" ref="AP44" ca="1">IFERROR(INDEX('DBX Sprint'!$A$7:$K$62, SMALL(IF((INDEX('DBX Sprint'!$A$7:$K$62, ,32)&lt;=(TODAY()+5))*(INDEX('DBX Sprint'!$A$7:$K$62, ,32)&gt;(TODAY()+1)),MATCH(ROW('DBX Sprint'!$A$7:$K$62),ROW('DBX Sprint'!$A$7:$K$62)),""),ROWS($AP$34:AP44)),COLUMNS('DBX Sprint'!$A$1:A12)),"")</f>
        <v/>
      </c>
      <c r="AQ44" s="43" t="str" cm="1">
        <f t="array" aca="1" ref="AQ44" ca="1">IFERROR(INDEX('DBX Sprint'!$A$7:$K$62, SMALL(IF((INDEX('DBX Sprint'!$A$7:$K$62, ,32)&lt;=(TODAY()+10))*(INDEX('DBX Sprint'!$A$7:$K$62, ,32)&gt;(TODAY()+5)),MATCH(ROW('DBX Sprint'!$A$7:$K$62),ROW('DBX Sprint'!$A$7:$K$62)),""),ROWS($AQ$34:AQ44)),COLUMNS('DBX Sprint'!$A$1:A12)),"")</f>
        <v/>
      </c>
    </row>
    <row r="45" spans="3:43" ht="30" customHeight="1">
      <c r="C45" s="41" t="str" cm="1">
        <f t="array" ref="C45">IFERROR(INDEX('DBX Sprint'!$A$7:$K$62, SMALL(IF((INDEX('DBX Sprint'!$A$7:$K$62, ,13)=("Complete"))*(INDEX('DBX Sprint'!$A$7:$K$62, ,13)="Complete"),MATCH(ROW('DBX Sprint'!$A$7:$K$62),ROW('DBX Sprint'!$A$7:$K$62)),""),ROWS(C$34:$C45)),COLUMNS('DBX Sprint'!$A$1:A12)),"")</f>
        <v/>
      </c>
      <c r="D45" s="41" t="str" cm="1">
        <f t="array" aca="1" ref="D45" ca="1">IFERROR(INDEX('DBX Sprint'!$A$7:$K$62, SMALL(IF((INDEX('DBX Sprint'!$A$7:$K$62, ,13)&lt;(TODAY()))*(INDEX('DBX Sprint'!$A$7:$K$62, ,13)&lt;&gt;"Complete"),MATCH(ROW('DBX Sprint'!$A$7:$K$62),ROW('DBX Sprint'!$A$7:$K$62)),""),ROWS(D$34:$D45)),COLUMNS('DBX Sprint'!$A$1:A12)),"")</f>
        <v/>
      </c>
      <c r="E45" s="37" t="str" cm="1">
        <f t="array" aca="1" ref="E45" ca="1">IFERROR(INDEX('DBX Sprint'!$A$7:$K$62, SMALL(IF((INDEX('DBX Sprint'!$A$7:$K$62, ,13)&lt;=(TODAY()+1))*(INDEX('DBX Sprint'!$A$7:$K$62, ,13)&gt;=TODAY()),MATCH(ROW('DBX Sprint'!$A$7:$K$62),ROW('DBX Sprint'!$A$7:$K$62)),""),ROWS(E$34:$E45)),COLUMNS('DBX Sprint'!$A$1:A12)),"")</f>
        <v/>
      </c>
      <c r="F45" s="38" t="str" cm="1">
        <f t="array" aca="1" ref="F45" ca="1">IFERROR(INDEX('DBX Sprint'!$A$7:$K$62, SMALL(IF((INDEX('DBX Sprint'!$A$7:$K$62, ,13)&lt;=(TODAY()+5))*(INDEX('DBX Sprint'!$A$7:$K$62, ,13)&gt;(TODAY()+1)),MATCH(ROW('DBX Sprint'!$A$7:$K$62),ROW('DBX Sprint'!$A$7:$K$62)),""),ROWS($F$34:F45)),COLUMNS('DBX Sprint'!$A$1:A12)),"")</f>
        <v/>
      </c>
      <c r="G45" s="38" t="str" cm="1">
        <f t="array" aca="1" ref="G45" ca="1">IFERROR(INDEX('DBX Sprint'!$A$7:$K$62, SMALL(IF((INDEX('DBX Sprint'!$A$7:$K$62, ,13)&lt;=(TODAY()+10))*(INDEX('DBX Sprint'!$A$7:$K$62, ,13)&gt;(TODAY()+5)),MATCH(ROW('DBX Sprint'!$A$7:$K$62),ROW('DBX Sprint'!$A$7:$K$62)),""),ROWS($G$34:G45)),COLUMNS('DBX Sprint'!$A$1:A12)),"")</f>
        <v/>
      </c>
      <c r="I45" s="41" t="str" cm="1">
        <f t="array" ref="I45">IFERROR(INDEX('DBX Sprint'!$A$7:$K$62, SMALL(IF((INDEX('DBX Sprint'!$A$7:$K$62, ,16)=("Complete"))*(INDEX('DBX Sprint'!$A$7:$K$62, ,16)="Complete"),MATCH(ROW('DBX Sprint'!$A$7:$K$62),ROW('DBX Sprint'!$A$7:$K$62)),""),ROWS($I$34:I45)),COLUMNS('DBX Sprint'!$A$1:A12)),"")</f>
        <v/>
      </c>
      <c r="J45" s="41" t="str" cm="1">
        <f t="array" aca="1" ref="J45" ca="1">IFERROR(INDEX('DBX Sprint'!$A$7:$K$62, SMALL(IF((INDEX('DBX Sprint'!$A$7:$K$62, ,16)&lt;(TODAY()))*(INDEX('DBX Sprint'!$A$7:$K$62, ,16)&lt;&gt;"Complete"),MATCH(ROW('DBX Sprint'!$A$7:$K$62),ROW('DBX Sprint'!$A$7:$K$62)),""),ROWS($J$34:J45)),COLUMNS('DBX Sprint'!$A$1:A12)),"")</f>
        <v/>
      </c>
      <c r="K45" s="37" t="str" cm="1">
        <f t="array" aca="1" ref="K45" ca="1">IFERROR(INDEX('DBX Sprint'!$A$7:$K$62, SMALL(IF((INDEX('DBX Sprint'!$A$7:$K$62, ,16)&lt;=(TODAY()+1))*(INDEX('DBX Sprint'!$A$7:$K$62, ,16)&gt;=TODAY()),MATCH(ROW('DBX Sprint'!$A$7:$K$62),ROW('DBX Sprint'!$A$7:$K$62)),""),ROWS($K$34:K45)),COLUMNS('DBX Sprint'!$A$1:A12)),"")</f>
        <v/>
      </c>
      <c r="L45" s="38" t="str" cm="1">
        <f t="array" aca="1" ref="L45" ca="1">IFERROR(INDEX('DBX Sprint'!$A$7:$K$62, SMALL(IF((INDEX('DBX Sprint'!$A$7:$K$62, ,16)&lt;=(TODAY()+5))*(INDEX('DBX Sprint'!$A$7:$K$62, ,16)&gt;(TODAY()+1)),MATCH(ROW('DBX Sprint'!$A$7:$K$62),ROW('DBX Sprint'!$A$7:$K$62)),""),ROWS($L$34:L45)),COLUMNS('DBX Sprint'!$A$1:A12)),"")</f>
        <v/>
      </c>
      <c r="M45" s="38" t="str" cm="1">
        <f t="array" aca="1" ref="M45" ca="1">IFERROR(INDEX('DBX Sprint'!$A$7:$K$62, SMALL(IF((INDEX('DBX Sprint'!$A$7:$K$62, ,16)&lt;=(TODAY()+10))*(INDEX('DBX Sprint'!$A$7:$K$62, ,16)&gt;(TODAY()+5)),MATCH(ROW('DBX Sprint'!$A$7:$K$62),ROW('DBX Sprint'!$A$7:$K$62)),""),ROWS($M$34:M45)),COLUMNS('DBX Sprint'!$A$1:A12)),"")</f>
        <v/>
      </c>
      <c r="O45" s="41" t="str" cm="1">
        <f t="array" ref="O45">IFERROR(INDEX('DBX Sprint'!$A$7:$K$62, SMALL(IF((INDEX('DBX Sprint'!$A$7:$K$62, ,19)=("Complete"))*(INDEX('DBX Sprint'!$A$7:$K$62, ,19)="Complete"),MATCH(ROW('DBX Sprint'!$A$7:$K$62),ROW('DBX Sprint'!$A$7:$K$62)),""),ROWS($O$34:O45)),COLUMNS('DBX Sprint'!$A$1:A12)),"")</f>
        <v/>
      </c>
      <c r="P45" s="41" t="str" cm="1">
        <f t="array" aca="1" ref="P45" ca="1">IFERROR(INDEX('DBX Sprint'!$A$7:$K$62, SMALL(IF((INDEX('DBX Sprint'!$A$7:$K$62, ,19)&lt;(TODAY()))*(INDEX('DBX Sprint'!$A$7:$K$62, ,19)&lt;&gt;"Complete"),MATCH(ROW('DBX Sprint'!$A$7:$K$62),ROW('DBX Sprint'!$A$7:$K$62)),""),ROWS($P$34:P45)),COLUMNS('DBX Sprint'!$A$1:A12)),"")</f>
        <v/>
      </c>
      <c r="Q45" s="41" t="str" cm="1">
        <f t="array" aca="1" ref="Q45" ca="1">IFERROR(INDEX('DBX Sprint'!$A$7:$K$62, SMALL(IF((INDEX('DBX Sprint'!$A$7:$K$62, ,19)&lt;=(TODAY()+1))*(INDEX('DBX Sprint'!$A$7:$K$62, ,19)&gt;=TODAY()),MATCH(ROW('DBX Sprint'!$A$7:$K$62),ROW('DBX Sprint'!$A$7:$K$62)),""),ROWS($Q$34:Q45)),COLUMNS('DBX Sprint'!$A$1:A12)),"")</f>
        <v/>
      </c>
      <c r="R45" s="43" t="str" cm="1">
        <f t="array" aca="1" ref="R45" ca="1">IFERROR(INDEX('DBX Sprint'!$A$7:$K$62, SMALL(IF((INDEX('DBX Sprint'!$A$7:$K$62, ,19)&lt;=(TODAY()+5))*(INDEX('DBX Sprint'!$A$7:$K$62, ,19)&gt;(TODAY()+1)),MATCH(ROW('DBX Sprint'!$A$7:$K$62),ROW('DBX Sprint'!$A$7:$K$62)),""),ROWS($R$34:R45)),COLUMNS('DBX Sprint'!$A$1:A12)),"")</f>
        <v/>
      </c>
      <c r="S45" s="43" t="str" cm="1">
        <f t="array" aca="1" ref="S45" ca="1">IFERROR(INDEX('DBX Sprint'!$A$7:$K$62, SMALL(IF((INDEX('DBX Sprint'!$A$7:$K$62, ,19)&lt;=(TODAY()+10))*(INDEX('DBX Sprint'!$A$7:$K$62, ,19)&gt;(TODAY()+5)),MATCH(ROW('DBX Sprint'!$A$7:$K$62),ROW('DBX Sprint'!$A$7:$K$62)),""),ROWS($S$34:S45)),COLUMNS('DBX Sprint'!$A$1:A12)),"")</f>
        <v/>
      </c>
      <c r="U45" s="41" t="str" cm="1">
        <f t="array" ref="U45">IFERROR(INDEX('DBX Sprint'!$A$7:$K$62, SMALL(IF((INDEX('DBX Sprint'!$A$7:$K$62, ,22)=("Complete"))*(INDEX('DBX Sprint'!$A$7:$K$62, ,22)="Complete"),MATCH(ROW('DBX Sprint'!$A$7:$K$62),ROW('DBX Sprint'!$A$7:$K$62)),""),ROWS($U$34:U45)),COLUMNS('DBX Sprint'!$A$1:A12)),"")</f>
        <v/>
      </c>
      <c r="V45" s="41" t="str" cm="1">
        <f t="array" aca="1" ref="V45" ca="1">IFERROR(INDEX('DBX Sprint'!$A$7:$K$62, SMALL(IF((INDEX('DBX Sprint'!$A$7:$K$62, ,22)&lt;(TODAY()))*(INDEX('DBX Sprint'!$A$7:$K$62, ,22)&lt;&gt;"Complete"),MATCH(ROW('DBX Sprint'!$A$7:$K$62),ROW('DBX Sprint'!$A$7:$K$62)),""),ROWS($V$34:V45)),COLUMNS('DBX Sprint'!$A$1:A12)),"")</f>
        <v/>
      </c>
      <c r="W45" s="41" t="str" cm="1">
        <f t="array" aca="1" ref="W45" ca="1">IFERROR(INDEX('DBX Sprint'!$A$7:$K$62, SMALL(IF((INDEX('DBX Sprint'!$A$7:$K$62, ,22)&lt;=(TODAY()+1))*(INDEX('DBX Sprint'!$A$7:$K$62, ,22)&gt;=TODAY()),MATCH(ROW('DBX Sprint'!$A$7:$K$62),ROW('DBX Sprint'!$A$7:$K$62)),""),ROWS($W$34:W45)),COLUMNS('DBX Sprint'!$A$1:A12)),"")</f>
        <v/>
      </c>
      <c r="X45" s="43" t="str" cm="1">
        <f t="array" aca="1" ref="X45" ca="1">IFERROR(INDEX('DBX Sprint'!$A$7:$K$62, SMALL(IF((INDEX('DBX Sprint'!$A$7:$K$62, ,22)&lt;=(TODAY()+5))*(INDEX('DBX Sprint'!$A$7:$K$62, ,22)&gt;(TODAY()+1)),MATCH(ROW('DBX Sprint'!$A$7:$K$62),ROW('DBX Sprint'!$A$7:$K$62)),""),ROWS($X$34:X45)),COLUMNS('DBX Sprint'!$A$1:A12)),"")</f>
        <v/>
      </c>
      <c r="Y45" s="43" t="str" cm="1">
        <f t="array" aca="1" ref="Y45" ca="1">IFERROR(INDEX('DBX Sprint'!$A$7:$K$62, SMALL(IF((INDEX('DBX Sprint'!$A$7:$K$62, ,22)&lt;=(TODAY()+10))*(INDEX('DBX Sprint'!$A$7:$K$62, ,22)&gt;(TODAY()+5)),MATCH(ROW('DBX Sprint'!$A$7:$K$62),ROW('DBX Sprint'!$A$7:$K$62)),""),ROWS($Y$34:Y45)),COLUMNS('DBX Sprint'!$A$1:A12)),"")</f>
        <v/>
      </c>
      <c r="AA45" s="41" t="str" cm="1">
        <f t="array" ref="AA45">IFERROR(INDEX('DBX Sprint'!$A$7:$K$62, SMALL(IF((INDEX('DBX Sprint'!$A$7:$K$62, ,25)=("Complete"))*(INDEX('DBX Sprint'!$A$7:$K$62, ,25)="Complete"),MATCH(ROW('DBX Sprint'!$A$7:$K$62),ROW('DBX Sprint'!$A$7:$K$62)),""),ROWS($AA$34:AA45)),COLUMNS('DBX Sprint'!$A$1:A12)),"")</f>
        <v/>
      </c>
      <c r="AB45" s="41" t="str" cm="1">
        <f t="array" aca="1" ref="AB45" ca="1">IFERROR(INDEX('DBX Sprint'!$A$7:$K$62, SMALL(IF((INDEX('DBX Sprint'!$A$7:$K$62, ,25)&lt;(TODAY()))*(INDEX('DBX Sprint'!$A$7:$K$62, ,25)&lt;&gt;"Complete"),MATCH(ROW('DBX Sprint'!$A$7:$K$62),ROW('DBX Sprint'!$A$7:$K$62)),""),ROWS($AB$34:AB45)),COLUMNS('DBX Sprint'!$A$1:A12)),"")</f>
        <v/>
      </c>
      <c r="AC45" s="41" t="str" cm="1">
        <f t="array" aca="1" ref="AC45" ca="1">IFERROR(INDEX('DBX Sprint'!$A$7:$K$62, SMALL(IF((INDEX('DBX Sprint'!$A$7:$K$62, ,25)&lt;=(TODAY()+1))*(INDEX('DBX Sprint'!$A$7:$K$62, ,25)&gt;=TODAY()),MATCH(ROW('DBX Sprint'!$A$7:$K$62),ROW('DBX Sprint'!$A$7:$K$62)),""),ROWS($AC$34:AC45)),COLUMNS('DBX Sprint'!$A$1:A12)),"")</f>
        <v/>
      </c>
      <c r="AD45" s="43" t="str" cm="1">
        <f t="array" aca="1" ref="AD45" ca="1">IFERROR(INDEX('DBX Sprint'!$A$7:$K$62, SMALL(IF((INDEX('DBX Sprint'!$A$7:$K$62, ,25)&lt;=(TODAY()+5))*(INDEX('DBX Sprint'!$A$7:$K$62, ,25)&gt;(TODAY()+1)),MATCH(ROW('DBX Sprint'!$A$7:$K$62),ROW('DBX Sprint'!$A$7:$K$62)),""),ROWS($AD$34:AD45)),COLUMNS('DBX Sprint'!$A$1:A12)),"")</f>
        <v/>
      </c>
      <c r="AE45" s="43" t="str" cm="1">
        <f t="array" aca="1" ref="AE45" ca="1">IFERROR(INDEX('DBX Sprint'!$A$7:$K$62, SMALL(IF((INDEX('DBX Sprint'!$A$7:$K$62, ,25)&lt;=(TODAY()+10))*(INDEX('DBX Sprint'!$A$7:$K$62, ,25)&gt;(TODAY()+5)),MATCH(ROW('DBX Sprint'!$A$7:$K$62),ROW('DBX Sprint'!$A$7:$K$62)),""),ROWS($AE$34:AE45)),COLUMNS('DBX Sprint'!$A$1:A12)),"")</f>
        <v/>
      </c>
      <c r="AG45" s="41" t="str" cm="1">
        <f t="array" ref="AG45">IFERROR(INDEX('DBX Sprint'!$A$7:$K$62, SMALL(IF((INDEX('DBX Sprint'!$A$7:$K$62, ,29)=("Complete"))*(INDEX('DBX Sprint'!$A$7:$K$62, ,29)="Complete"),MATCH(ROW('DBX Sprint'!$A$7:$K$62),ROW('DBX Sprint'!$A$7:$K$62)),""),ROWS($AG$34:AG45)),COLUMNS('DBX Sprint'!$A$1:A12)),"")</f>
        <v/>
      </c>
      <c r="AH45" s="41" t="str" cm="1">
        <f t="array" aca="1" ref="AH45" ca="1">IFERROR(INDEX('DBX Sprint'!$A$7:$K$62, SMALL(IF((INDEX('DBX Sprint'!$A$7:$K$62, ,29)&lt;(TODAY()))*(INDEX('DBX Sprint'!$A$7:$K$62, ,29)&lt;&gt;"Complete"),MATCH(ROW('DBX Sprint'!$A$7:$K$62),ROW('DBX Sprint'!$A$7:$K$62)),""),ROWS($AH$34:AH45)),COLUMNS('DBX Sprint'!$A$1:A12)),"")</f>
        <v/>
      </c>
      <c r="AI45" s="41" t="str" cm="1">
        <f t="array" aca="1" ref="AI45" ca="1">IFERROR(INDEX('DBX Sprint'!$A$7:$K$62, SMALL(IF((INDEX('DBX Sprint'!$A$7:$K$62, ,29)&lt;=(TODAY()+1))*(INDEX('DBX Sprint'!$A$7:$K$62, ,29)&gt;=TODAY()),MATCH(ROW('DBX Sprint'!$A$7:$K$62),ROW('DBX Sprint'!$A$7:$K$62)),""),ROWS($AI$34:AI45)),COLUMNS('DBX Sprint'!$A$1:A12)),"")</f>
        <v/>
      </c>
      <c r="AJ45" s="43" t="str" cm="1">
        <f t="array" aca="1" ref="AJ45" ca="1">IFERROR(INDEX('DBX Sprint'!$A$7:$K$62, SMALL(IF((INDEX('DBX Sprint'!$A$7:$K$62, ,29)&lt;=(TODAY()+5))*(INDEX('DBX Sprint'!$A$7:$K$62, ,29)&gt;(TODAY()+1)),MATCH(ROW('DBX Sprint'!$A$7:$K$62),ROW('DBX Sprint'!$A$7:$K$62)),""),ROWS($AJ$34:AJ45)),COLUMNS('DBX Sprint'!$A$1:A12)),"")</f>
        <v/>
      </c>
      <c r="AK45" s="43" t="str" cm="1">
        <f t="array" aca="1" ref="AK45" ca="1">IFERROR(INDEX('DBX Sprint'!$A$7:$K$62, SMALL(IF((INDEX('DBX Sprint'!$A$7:$K$62, ,29)&lt;=(TODAY()+10))*(INDEX('DBX Sprint'!$A$7:$K$62, ,29)&gt;(TODAY()+5)),MATCH(ROW('DBX Sprint'!$A$7:$K$62),ROW('DBX Sprint'!$A$7:$K$62)),""),ROWS($AK$34:AK45)),COLUMNS('DBX Sprint'!$A$1:A12)),"")</f>
        <v/>
      </c>
      <c r="AM45" s="41" t="str" cm="1">
        <f t="array" ref="AM45">IFERROR(INDEX('DBX Sprint'!$A$7:$K$62, SMALL(IF((INDEX('DBX Sprint'!$A$7:$K$62, ,32)=("Complete"))*(INDEX('DBX Sprint'!$A$7:$K$62, ,32)="Complete"),MATCH(ROW('DBX Sprint'!$A$7:$K$62),ROW('DBX Sprint'!$A$7:$K$62)),""),ROWS($AM$34:AM45)),COLUMNS('DBX Sprint'!$A$1:A12)),"")</f>
        <v/>
      </c>
      <c r="AN45" s="41" t="str" cm="1">
        <f t="array" aca="1" ref="AN45" ca="1">IFERROR(INDEX('DBX Sprint'!$A$7:$K$62, SMALL(IF((INDEX('DBX Sprint'!$A$7:$K$62, ,32)&lt;(TODAY()))*(INDEX('DBX Sprint'!$A$7:$K$62, ,32)&lt;&gt;"Complete"),MATCH(ROW('DBX Sprint'!$A$7:$K$62),ROW('DBX Sprint'!$A$7:$K$62)),""),ROWS($AN$34:AN45)),COLUMNS('DBX Sprint'!$A$1:A12)),"")</f>
        <v/>
      </c>
      <c r="AO45" s="41" t="str" cm="1">
        <f t="array" aca="1" ref="AO45" ca="1">IFERROR(INDEX('DBX Sprint'!$A$7:$K$62, SMALL(IF((INDEX('DBX Sprint'!$A$7:$K$62, ,32)&lt;=(TODAY()+1))*(INDEX('DBX Sprint'!$A$7:$K$62, ,32)&gt;=TODAY()),MATCH(ROW('DBX Sprint'!$A$7:$K$62),ROW('DBX Sprint'!$A$7:$K$62)),""),ROWS($AO$34:AO45)),COLUMNS('DBX Sprint'!$A$1:A12)),"")</f>
        <v/>
      </c>
      <c r="AP45" s="43" t="str" cm="1">
        <f t="array" aca="1" ref="AP45" ca="1">IFERROR(INDEX('DBX Sprint'!$A$7:$K$62, SMALL(IF((INDEX('DBX Sprint'!$A$7:$K$62, ,32)&lt;=(TODAY()+5))*(INDEX('DBX Sprint'!$A$7:$K$62, ,32)&gt;(TODAY()+1)),MATCH(ROW('DBX Sprint'!$A$7:$K$62),ROW('DBX Sprint'!$A$7:$K$62)),""),ROWS($AP$34:AP45)),COLUMNS('DBX Sprint'!$A$1:A12)),"")</f>
        <v/>
      </c>
      <c r="AQ45" s="43" t="str" cm="1">
        <f t="array" aca="1" ref="AQ45" ca="1">IFERROR(INDEX('DBX Sprint'!$A$7:$K$62, SMALL(IF((INDEX('DBX Sprint'!$A$7:$K$62, ,32)&lt;=(TODAY()+10))*(INDEX('DBX Sprint'!$A$7:$K$62, ,32)&gt;(TODAY()+5)),MATCH(ROW('DBX Sprint'!$A$7:$K$62),ROW('DBX Sprint'!$A$7:$K$62)),""),ROWS($AQ$34:AQ45)),COLUMNS('DBX Sprint'!$A$1:A12)),"")</f>
        <v/>
      </c>
    </row>
    <row r="46" spans="3:43" ht="30" customHeight="1">
      <c r="C46" s="41" t="str" cm="1">
        <f t="array" ref="C46">IFERROR(INDEX('DBX Sprint'!$A$7:$K$62, SMALL(IF((INDEX('DBX Sprint'!$A$7:$K$62, ,13)=("Complete"))*(INDEX('DBX Sprint'!$A$7:$K$62, ,13)="Complete"),MATCH(ROW('DBX Sprint'!$A$7:$K$62),ROW('DBX Sprint'!$A$7:$K$62)),""),ROWS(C$34:$C46)),COLUMNS('DBX Sprint'!$A$1:A12)),"")</f>
        <v/>
      </c>
      <c r="D46" s="41" t="str" cm="1">
        <f t="array" aca="1" ref="D46" ca="1">IFERROR(INDEX('DBX Sprint'!$A$7:$K$62, SMALL(IF((INDEX('DBX Sprint'!$A$7:$K$62, ,13)&lt;(TODAY()))*(INDEX('DBX Sprint'!$A$7:$K$62, ,13)&lt;&gt;"Complete"),MATCH(ROW('DBX Sprint'!$A$7:$K$62),ROW('DBX Sprint'!$A$7:$K$62)),""),ROWS(D$34:$D46)),COLUMNS('DBX Sprint'!$A$1:A12)),"")</f>
        <v/>
      </c>
      <c r="E46" s="37" t="str" cm="1">
        <f t="array" aca="1" ref="E46" ca="1">IFERROR(INDEX('DBX Sprint'!$A$7:$K$62, SMALL(IF((INDEX('DBX Sprint'!$A$7:$K$62, ,13)&lt;=(TODAY()+1))*(INDEX('DBX Sprint'!$A$7:$K$62, ,13)&gt;=TODAY()),MATCH(ROW('DBX Sprint'!$A$7:$K$62),ROW('DBX Sprint'!$A$7:$K$62)),""),ROWS(E$34:$E46)),COLUMNS('DBX Sprint'!$A$1:A12)),"")</f>
        <v/>
      </c>
      <c r="F46" s="38" t="str" cm="1">
        <f t="array" aca="1" ref="F46" ca="1">IFERROR(INDEX('DBX Sprint'!$A$7:$K$62, SMALL(IF((INDEX('DBX Sprint'!$A$7:$K$62, ,13)&lt;=(TODAY()+5))*(INDEX('DBX Sprint'!$A$7:$K$62, ,13)&gt;(TODAY()+1)),MATCH(ROW('DBX Sprint'!$A$7:$K$62),ROW('DBX Sprint'!$A$7:$K$62)),""),ROWS($F$34:F46)),COLUMNS('DBX Sprint'!$A$1:A12)),"")</f>
        <v/>
      </c>
      <c r="G46" s="38" t="str" cm="1">
        <f t="array" aca="1" ref="G46" ca="1">IFERROR(INDEX('DBX Sprint'!$A$7:$K$62, SMALL(IF((INDEX('DBX Sprint'!$A$7:$K$62, ,13)&lt;=(TODAY()+10))*(INDEX('DBX Sprint'!$A$7:$K$62, ,13)&gt;(TODAY()+5)),MATCH(ROW('DBX Sprint'!$A$7:$K$62),ROW('DBX Sprint'!$A$7:$K$62)),""),ROWS($G$34:G46)),COLUMNS('DBX Sprint'!$A$1:A12)),"")</f>
        <v/>
      </c>
      <c r="I46" s="41" t="str" cm="1">
        <f t="array" ref="I46">IFERROR(INDEX('DBX Sprint'!$A$7:$K$62, SMALL(IF((INDEX('DBX Sprint'!$A$7:$K$62, ,16)=("Complete"))*(INDEX('DBX Sprint'!$A$7:$K$62, ,16)="Complete"),MATCH(ROW('DBX Sprint'!$A$7:$K$62),ROW('DBX Sprint'!$A$7:$K$62)),""),ROWS($I$34:I46)),COLUMNS('DBX Sprint'!$A$1:A12)),"")</f>
        <v/>
      </c>
      <c r="J46" s="41" t="str" cm="1">
        <f t="array" aca="1" ref="J46" ca="1">IFERROR(INDEX('DBX Sprint'!$A$7:$K$62, SMALL(IF((INDEX('DBX Sprint'!$A$7:$K$62, ,16)&lt;(TODAY()))*(INDEX('DBX Sprint'!$A$7:$K$62, ,16)&lt;&gt;"Complete"),MATCH(ROW('DBX Sprint'!$A$7:$K$62),ROW('DBX Sprint'!$A$7:$K$62)),""),ROWS($J$34:J46)),COLUMNS('DBX Sprint'!$A$1:A12)),"")</f>
        <v/>
      </c>
      <c r="K46" s="37" t="str" cm="1">
        <f t="array" aca="1" ref="K46" ca="1">IFERROR(INDEX('DBX Sprint'!$A$7:$K$62, SMALL(IF((INDEX('DBX Sprint'!$A$7:$K$62, ,16)&lt;=(TODAY()+1))*(INDEX('DBX Sprint'!$A$7:$K$62, ,16)&gt;=TODAY()),MATCH(ROW('DBX Sprint'!$A$7:$K$62),ROW('DBX Sprint'!$A$7:$K$62)),""),ROWS($K$34:K46)),COLUMNS('DBX Sprint'!$A$1:A12)),"")</f>
        <v/>
      </c>
      <c r="L46" s="38" t="str" cm="1">
        <f t="array" aca="1" ref="L46" ca="1">IFERROR(INDEX('DBX Sprint'!$A$7:$K$62, SMALL(IF((INDEX('DBX Sprint'!$A$7:$K$62, ,16)&lt;=(TODAY()+5))*(INDEX('DBX Sprint'!$A$7:$K$62, ,16)&gt;(TODAY()+1)),MATCH(ROW('DBX Sprint'!$A$7:$K$62),ROW('DBX Sprint'!$A$7:$K$62)),""),ROWS($L$34:L46)),COLUMNS('DBX Sprint'!$A$1:A12)),"")</f>
        <v/>
      </c>
      <c r="M46" s="38" t="str" cm="1">
        <f t="array" aca="1" ref="M46" ca="1">IFERROR(INDEX('DBX Sprint'!$A$7:$K$62, SMALL(IF((INDEX('DBX Sprint'!$A$7:$K$62, ,16)&lt;=(TODAY()+10))*(INDEX('DBX Sprint'!$A$7:$K$62, ,16)&gt;(TODAY()+5)),MATCH(ROW('DBX Sprint'!$A$7:$K$62),ROW('DBX Sprint'!$A$7:$K$62)),""),ROWS($M$34:M46)),COLUMNS('DBX Sprint'!$A$1:A12)),"")</f>
        <v/>
      </c>
      <c r="O46" s="41" t="str" cm="1">
        <f t="array" ref="O46">IFERROR(INDEX('DBX Sprint'!$A$7:$K$62, SMALL(IF((INDEX('DBX Sprint'!$A$7:$K$62, ,19)=("Complete"))*(INDEX('DBX Sprint'!$A$7:$K$62, ,19)="Complete"),MATCH(ROW('DBX Sprint'!$A$7:$K$62),ROW('DBX Sprint'!$A$7:$K$62)),""),ROWS($O$34:O46)),COLUMNS('DBX Sprint'!$A$1:A12)),"")</f>
        <v/>
      </c>
      <c r="P46" s="41" t="str" cm="1">
        <f t="array" aca="1" ref="P46" ca="1">IFERROR(INDEX('DBX Sprint'!$A$7:$K$62, SMALL(IF((INDEX('DBX Sprint'!$A$7:$K$62, ,19)&lt;(TODAY()))*(INDEX('DBX Sprint'!$A$7:$K$62, ,19)&lt;&gt;"Complete"),MATCH(ROW('DBX Sprint'!$A$7:$K$62),ROW('DBX Sprint'!$A$7:$K$62)),""),ROWS($P$34:P46)),COLUMNS('DBX Sprint'!$A$1:A12)),"")</f>
        <v/>
      </c>
      <c r="Q46" s="41" t="str" cm="1">
        <f t="array" aca="1" ref="Q46" ca="1">IFERROR(INDEX('DBX Sprint'!$A$7:$K$62, SMALL(IF((INDEX('DBX Sprint'!$A$7:$K$62, ,19)&lt;=(TODAY()+1))*(INDEX('DBX Sprint'!$A$7:$K$62, ,19)&gt;=TODAY()),MATCH(ROW('DBX Sprint'!$A$7:$K$62),ROW('DBX Sprint'!$A$7:$K$62)),""),ROWS($Q$34:Q46)),COLUMNS('DBX Sprint'!$A$1:A12)),"")</f>
        <v/>
      </c>
      <c r="R46" s="43" t="str" cm="1">
        <f t="array" aca="1" ref="R46" ca="1">IFERROR(INDEX('DBX Sprint'!$A$7:$K$62, SMALL(IF((INDEX('DBX Sprint'!$A$7:$K$62, ,19)&lt;=(TODAY()+5))*(INDEX('DBX Sprint'!$A$7:$K$62, ,19)&gt;(TODAY()+1)),MATCH(ROW('DBX Sprint'!$A$7:$K$62),ROW('DBX Sprint'!$A$7:$K$62)),""),ROWS($R$34:R46)),COLUMNS('DBX Sprint'!$A$1:A12)),"")</f>
        <v/>
      </c>
      <c r="S46" s="43" t="str" cm="1">
        <f t="array" aca="1" ref="S46" ca="1">IFERROR(INDEX('DBX Sprint'!$A$7:$K$62, SMALL(IF((INDEX('DBX Sprint'!$A$7:$K$62, ,19)&lt;=(TODAY()+10))*(INDEX('DBX Sprint'!$A$7:$K$62, ,19)&gt;(TODAY()+5)),MATCH(ROW('DBX Sprint'!$A$7:$K$62),ROW('DBX Sprint'!$A$7:$K$62)),""),ROWS($S$34:S46)),COLUMNS('DBX Sprint'!$A$1:A12)),"")</f>
        <v/>
      </c>
      <c r="U46" s="41" t="str" cm="1">
        <f t="array" ref="U46">IFERROR(INDEX('DBX Sprint'!$A$7:$K$62, SMALL(IF((INDEX('DBX Sprint'!$A$7:$K$62, ,22)=("Complete"))*(INDEX('DBX Sprint'!$A$7:$K$62, ,22)="Complete"),MATCH(ROW('DBX Sprint'!$A$7:$K$62),ROW('DBX Sprint'!$A$7:$K$62)),""),ROWS($U$34:U46)),COLUMNS('DBX Sprint'!$A$1:A12)),"")</f>
        <v/>
      </c>
      <c r="V46" s="41" t="str" cm="1">
        <f t="array" aca="1" ref="V46" ca="1">IFERROR(INDEX('DBX Sprint'!$A$7:$K$62, SMALL(IF((INDEX('DBX Sprint'!$A$7:$K$62, ,22)&lt;(TODAY()))*(INDEX('DBX Sprint'!$A$7:$K$62, ,22)&lt;&gt;"Complete"),MATCH(ROW('DBX Sprint'!$A$7:$K$62),ROW('DBX Sprint'!$A$7:$K$62)),""),ROWS($V$34:V46)),COLUMNS('DBX Sprint'!$A$1:A12)),"")</f>
        <v/>
      </c>
      <c r="W46" s="41" t="str" cm="1">
        <f t="array" aca="1" ref="W46" ca="1">IFERROR(INDEX('DBX Sprint'!$A$7:$K$62, SMALL(IF((INDEX('DBX Sprint'!$A$7:$K$62, ,22)&lt;=(TODAY()+1))*(INDEX('DBX Sprint'!$A$7:$K$62, ,22)&gt;=TODAY()),MATCH(ROW('DBX Sprint'!$A$7:$K$62),ROW('DBX Sprint'!$A$7:$K$62)),""),ROWS($W$34:W46)),COLUMNS('DBX Sprint'!$A$1:A12)),"")</f>
        <v/>
      </c>
      <c r="X46" s="43" t="str" cm="1">
        <f t="array" aca="1" ref="X46" ca="1">IFERROR(INDEX('DBX Sprint'!$A$7:$K$62, SMALL(IF((INDEX('DBX Sprint'!$A$7:$K$62, ,22)&lt;=(TODAY()+5))*(INDEX('DBX Sprint'!$A$7:$K$62, ,22)&gt;(TODAY()+1)),MATCH(ROW('DBX Sprint'!$A$7:$K$62),ROW('DBX Sprint'!$A$7:$K$62)),""),ROWS($X$34:X46)),COLUMNS('DBX Sprint'!$A$1:A12)),"")</f>
        <v/>
      </c>
      <c r="Y46" s="43" t="str" cm="1">
        <f t="array" aca="1" ref="Y46" ca="1">IFERROR(INDEX('DBX Sprint'!$A$7:$K$62, SMALL(IF((INDEX('DBX Sprint'!$A$7:$K$62, ,22)&lt;=(TODAY()+10))*(INDEX('DBX Sprint'!$A$7:$K$62, ,22)&gt;(TODAY()+5)),MATCH(ROW('DBX Sprint'!$A$7:$K$62),ROW('DBX Sprint'!$A$7:$K$62)),""),ROWS($Y$34:Y46)),COLUMNS('DBX Sprint'!$A$1:A12)),"")</f>
        <v/>
      </c>
      <c r="AA46" s="41" t="str" cm="1">
        <f t="array" ref="AA46">IFERROR(INDEX('DBX Sprint'!$A$7:$K$62, SMALL(IF((INDEX('DBX Sprint'!$A$7:$K$62, ,25)=("Complete"))*(INDEX('DBX Sprint'!$A$7:$K$62, ,25)="Complete"),MATCH(ROW('DBX Sprint'!$A$7:$K$62),ROW('DBX Sprint'!$A$7:$K$62)),""),ROWS($AA$34:AA46)),COLUMNS('DBX Sprint'!$A$1:A12)),"")</f>
        <v/>
      </c>
      <c r="AB46" s="41" t="str" cm="1">
        <f t="array" aca="1" ref="AB46" ca="1">IFERROR(INDEX('DBX Sprint'!$A$7:$K$62, SMALL(IF((INDEX('DBX Sprint'!$A$7:$K$62, ,25)&lt;(TODAY()))*(INDEX('DBX Sprint'!$A$7:$K$62, ,25)&lt;&gt;"Complete"),MATCH(ROW('DBX Sprint'!$A$7:$K$62),ROW('DBX Sprint'!$A$7:$K$62)),""),ROWS($AB$34:AB46)),COLUMNS('DBX Sprint'!$A$1:A12)),"")</f>
        <v/>
      </c>
      <c r="AC46" s="41" t="str" cm="1">
        <f t="array" aca="1" ref="AC46" ca="1">IFERROR(INDEX('DBX Sprint'!$A$7:$K$62, SMALL(IF((INDEX('DBX Sprint'!$A$7:$K$62, ,25)&lt;=(TODAY()+1))*(INDEX('DBX Sprint'!$A$7:$K$62, ,25)&gt;=TODAY()),MATCH(ROW('DBX Sprint'!$A$7:$K$62),ROW('DBX Sprint'!$A$7:$K$62)),""),ROWS($AC$34:AC46)),COLUMNS('DBX Sprint'!$A$1:A12)),"")</f>
        <v/>
      </c>
      <c r="AD46" s="43" t="str" cm="1">
        <f t="array" aca="1" ref="AD46" ca="1">IFERROR(INDEX('DBX Sprint'!$A$7:$K$62, SMALL(IF((INDEX('DBX Sprint'!$A$7:$K$62, ,25)&lt;=(TODAY()+5))*(INDEX('DBX Sprint'!$A$7:$K$62, ,25)&gt;(TODAY()+1)),MATCH(ROW('DBX Sprint'!$A$7:$K$62),ROW('DBX Sprint'!$A$7:$K$62)),""),ROWS($AD$34:AD46)),COLUMNS('DBX Sprint'!$A$1:A12)),"")</f>
        <v/>
      </c>
      <c r="AE46" s="43" t="str" cm="1">
        <f t="array" aca="1" ref="AE46" ca="1">IFERROR(INDEX('DBX Sprint'!$A$7:$K$62, SMALL(IF((INDEX('DBX Sprint'!$A$7:$K$62, ,25)&lt;=(TODAY()+10))*(INDEX('DBX Sprint'!$A$7:$K$62, ,25)&gt;(TODAY()+5)),MATCH(ROW('DBX Sprint'!$A$7:$K$62),ROW('DBX Sprint'!$A$7:$K$62)),""),ROWS($AE$34:AE46)),COLUMNS('DBX Sprint'!$A$1:A12)),"")</f>
        <v/>
      </c>
      <c r="AG46" s="41" t="str" cm="1">
        <f t="array" ref="AG46">IFERROR(INDEX('DBX Sprint'!$A$7:$K$62, SMALL(IF((INDEX('DBX Sprint'!$A$7:$K$62, ,29)=("Complete"))*(INDEX('DBX Sprint'!$A$7:$K$62, ,29)="Complete"),MATCH(ROW('DBX Sprint'!$A$7:$K$62),ROW('DBX Sprint'!$A$7:$K$62)),""),ROWS($AG$34:AG46)),COLUMNS('DBX Sprint'!$A$1:A12)),"")</f>
        <v/>
      </c>
      <c r="AH46" s="41" t="str" cm="1">
        <f t="array" aca="1" ref="AH46" ca="1">IFERROR(INDEX('DBX Sprint'!$A$7:$K$62, SMALL(IF((INDEX('DBX Sprint'!$A$7:$K$62, ,29)&lt;(TODAY()))*(INDEX('DBX Sprint'!$A$7:$K$62, ,29)&lt;&gt;"Complete"),MATCH(ROW('DBX Sprint'!$A$7:$K$62),ROW('DBX Sprint'!$A$7:$K$62)),""),ROWS($AH$34:AH46)),COLUMNS('DBX Sprint'!$A$1:A12)),"")</f>
        <v/>
      </c>
      <c r="AI46" s="41" t="str" cm="1">
        <f t="array" aca="1" ref="AI46" ca="1">IFERROR(INDEX('DBX Sprint'!$A$7:$K$62, SMALL(IF((INDEX('DBX Sprint'!$A$7:$K$62, ,29)&lt;=(TODAY()+1))*(INDEX('DBX Sprint'!$A$7:$K$62, ,29)&gt;=TODAY()),MATCH(ROW('DBX Sprint'!$A$7:$K$62),ROW('DBX Sprint'!$A$7:$K$62)),""),ROWS($AI$34:AI46)),COLUMNS('DBX Sprint'!$A$1:A12)),"")</f>
        <v/>
      </c>
      <c r="AJ46" s="43" t="str" cm="1">
        <f t="array" aca="1" ref="AJ46" ca="1">IFERROR(INDEX('DBX Sprint'!$A$7:$K$62, SMALL(IF((INDEX('DBX Sprint'!$A$7:$K$62, ,29)&lt;=(TODAY()+5))*(INDEX('DBX Sprint'!$A$7:$K$62, ,29)&gt;(TODAY()+1)),MATCH(ROW('DBX Sprint'!$A$7:$K$62),ROW('DBX Sprint'!$A$7:$K$62)),""),ROWS($AJ$34:AJ46)),COLUMNS('DBX Sprint'!$A$1:A12)),"")</f>
        <v/>
      </c>
      <c r="AK46" s="43" t="str" cm="1">
        <f t="array" aca="1" ref="AK46" ca="1">IFERROR(INDEX('DBX Sprint'!$A$7:$K$62, SMALL(IF((INDEX('DBX Sprint'!$A$7:$K$62, ,29)&lt;=(TODAY()+10))*(INDEX('DBX Sprint'!$A$7:$K$62, ,29)&gt;(TODAY()+5)),MATCH(ROW('DBX Sprint'!$A$7:$K$62),ROW('DBX Sprint'!$A$7:$K$62)),""),ROWS($AK$34:AK46)),COLUMNS('DBX Sprint'!$A$1:A12)),"")</f>
        <v/>
      </c>
      <c r="AM46" s="41" t="str" cm="1">
        <f t="array" ref="AM46">IFERROR(INDEX('DBX Sprint'!$A$7:$K$62, SMALL(IF((INDEX('DBX Sprint'!$A$7:$K$62, ,32)=("Complete"))*(INDEX('DBX Sprint'!$A$7:$K$62, ,32)="Complete"),MATCH(ROW('DBX Sprint'!$A$7:$K$62),ROW('DBX Sprint'!$A$7:$K$62)),""),ROWS($AM$34:AM46)),COLUMNS('DBX Sprint'!$A$1:A12)),"")</f>
        <v/>
      </c>
      <c r="AN46" s="41" t="str" cm="1">
        <f t="array" aca="1" ref="AN46" ca="1">IFERROR(INDEX('DBX Sprint'!$A$7:$K$62, SMALL(IF((INDEX('DBX Sprint'!$A$7:$K$62, ,32)&lt;(TODAY()))*(INDEX('DBX Sprint'!$A$7:$K$62, ,32)&lt;&gt;"Complete"),MATCH(ROW('DBX Sprint'!$A$7:$K$62),ROW('DBX Sprint'!$A$7:$K$62)),""),ROWS($AN$34:AN46)),COLUMNS('DBX Sprint'!$A$1:A12)),"")</f>
        <v/>
      </c>
      <c r="AO46" s="41" t="str" cm="1">
        <f t="array" aca="1" ref="AO46" ca="1">IFERROR(INDEX('DBX Sprint'!$A$7:$K$62, SMALL(IF((INDEX('DBX Sprint'!$A$7:$K$62, ,32)&lt;=(TODAY()+1))*(INDEX('DBX Sprint'!$A$7:$K$62, ,32)&gt;=TODAY()),MATCH(ROW('DBX Sprint'!$A$7:$K$62),ROW('DBX Sprint'!$A$7:$K$62)),""),ROWS($AO$34:AO46)),COLUMNS('DBX Sprint'!$A$1:A12)),"")</f>
        <v/>
      </c>
      <c r="AP46" s="43" t="str" cm="1">
        <f t="array" aca="1" ref="AP46" ca="1">IFERROR(INDEX('DBX Sprint'!$A$7:$K$62, SMALL(IF((INDEX('DBX Sprint'!$A$7:$K$62, ,32)&lt;=(TODAY()+5))*(INDEX('DBX Sprint'!$A$7:$K$62, ,32)&gt;(TODAY()+1)),MATCH(ROW('DBX Sprint'!$A$7:$K$62),ROW('DBX Sprint'!$A$7:$K$62)),""),ROWS($AP$34:AP46)),COLUMNS('DBX Sprint'!$A$1:A12)),"")</f>
        <v/>
      </c>
      <c r="AQ46" s="43" t="str" cm="1">
        <f t="array" aca="1" ref="AQ46" ca="1">IFERROR(INDEX('DBX Sprint'!$A$7:$K$62, SMALL(IF((INDEX('DBX Sprint'!$A$7:$K$62, ,32)&lt;=(TODAY()+10))*(INDEX('DBX Sprint'!$A$7:$K$62, ,32)&gt;(TODAY()+5)),MATCH(ROW('DBX Sprint'!$A$7:$K$62),ROW('DBX Sprint'!$A$7:$K$62)),""),ROWS($AQ$34:AQ46)),COLUMNS('DBX Sprint'!$A$1:A12)),"")</f>
        <v/>
      </c>
    </row>
    <row r="47" spans="3:43" ht="30" customHeight="1">
      <c r="C47" s="41" t="str" cm="1">
        <f t="array" ref="C47">IFERROR(INDEX('DBX Sprint'!$A$7:$K$62, SMALL(IF((INDEX('DBX Sprint'!$A$7:$K$62, ,13)=("Complete"))*(INDEX('DBX Sprint'!$A$7:$K$62, ,13)="Complete"),MATCH(ROW('DBX Sprint'!$A$7:$K$62),ROW('DBX Sprint'!$A$7:$K$62)),""),ROWS(C$34:$C47)),COLUMNS('DBX Sprint'!$A$1:A12)),"")</f>
        <v/>
      </c>
      <c r="D47" s="41" t="str" cm="1">
        <f t="array" aca="1" ref="D47" ca="1">IFERROR(INDEX('DBX Sprint'!$A$7:$K$62, SMALL(IF((INDEX('DBX Sprint'!$A$7:$K$62, ,13)&lt;(TODAY()))*(INDEX('DBX Sprint'!$A$7:$K$62, ,13)&lt;&gt;"Complete"),MATCH(ROW('DBX Sprint'!$A$7:$K$62),ROW('DBX Sprint'!$A$7:$K$62)),""),ROWS(D$34:$D47)),COLUMNS('DBX Sprint'!$A$1:A12)),"")</f>
        <v/>
      </c>
      <c r="E47" s="37" t="str" cm="1">
        <f t="array" aca="1" ref="E47" ca="1">IFERROR(INDEX('DBX Sprint'!$A$7:$K$62, SMALL(IF((INDEX('DBX Sprint'!$A$7:$K$62, ,13)&lt;=(TODAY()+1))*(INDEX('DBX Sprint'!$A$7:$K$62, ,13)&gt;=TODAY()),MATCH(ROW('DBX Sprint'!$A$7:$K$62),ROW('DBX Sprint'!$A$7:$K$62)),""),ROWS(E$34:$E47)),COLUMNS('DBX Sprint'!$A$1:A12)),"")</f>
        <v/>
      </c>
      <c r="F47" s="38" t="str" cm="1">
        <f t="array" aca="1" ref="F47" ca="1">IFERROR(INDEX('DBX Sprint'!$A$7:$K$62, SMALL(IF((INDEX('DBX Sprint'!$A$7:$K$62, ,13)&lt;=(TODAY()+5))*(INDEX('DBX Sprint'!$A$7:$K$62, ,13)&gt;(TODAY()+1)),MATCH(ROW('DBX Sprint'!$A$7:$K$62),ROW('DBX Sprint'!$A$7:$K$62)),""),ROWS($F$34:F47)),COLUMNS('DBX Sprint'!$A$1:A12)),"")</f>
        <v/>
      </c>
      <c r="G47" s="38" t="str" cm="1">
        <f t="array" aca="1" ref="G47" ca="1">IFERROR(INDEX('DBX Sprint'!$A$7:$K$62, SMALL(IF((INDEX('DBX Sprint'!$A$7:$K$62, ,13)&lt;=(TODAY()+10))*(INDEX('DBX Sprint'!$A$7:$K$62, ,13)&gt;(TODAY()+5)),MATCH(ROW('DBX Sprint'!$A$7:$K$62),ROW('DBX Sprint'!$A$7:$K$62)),""),ROWS($G$34:G47)),COLUMNS('DBX Sprint'!$A$1:A12)),"")</f>
        <v/>
      </c>
      <c r="I47" s="41" t="str" cm="1">
        <f t="array" ref="I47">IFERROR(INDEX('DBX Sprint'!$A$7:$K$62, SMALL(IF((INDEX('DBX Sprint'!$A$7:$K$62, ,16)=("Complete"))*(INDEX('DBX Sprint'!$A$7:$K$62, ,16)="Complete"),MATCH(ROW('DBX Sprint'!$A$7:$K$62),ROW('DBX Sprint'!$A$7:$K$62)),""),ROWS($I$34:I47)),COLUMNS('DBX Sprint'!$A$1:A12)),"")</f>
        <v/>
      </c>
      <c r="J47" s="41" t="str" cm="1">
        <f t="array" aca="1" ref="J47" ca="1">IFERROR(INDEX('DBX Sprint'!$A$7:$K$62, SMALL(IF((INDEX('DBX Sprint'!$A$7:$K$62, ,16)&lt;(TODAY()))*(INDEX('DBX Sprint'!$A$7:$K$62, ,16)&lt;&gt;"Complete"),MATCH(ROW('DBX Sprint'!$A$7:$K$62),ROW('DBX Sprint'!$A$7:$K$62)),""),ROWS($J$34:J47)),COLUMNS('DBX Sprint'!$A$1:A12)),"")</f>
        <v/>
      </c>
      <c r="K47" s="37" t="str" cm="1">
        <f t="array" aca="1" ref="K47" ca="1">IFERROR(INDEX('DBX Sprint'!$A$7:$K$62, SMALL(IF((INDEX('DBX Sprint'!$A$7:$K$62, ,16)&lt;=(TODAY()+1))*(INDEX('DBX Sprint'!$A$7:$K$62, ,16)&gt;=TODAY()),MATCH(ROW('DBX Sprint'!$A$7:$K$62),ROW('DBX Sprint'!$A$7:$K$62)),""),ROWS($K$34:K47)),COLUMNS('DBX Sprint'!$A$1:A12)),"")</f>
        <v/>
      </c>
      <c r="L47" s="38" t="str" cm="1">
        <f t="array" aca="1" ref="L47" ca="1">IFERROR(INDEX('DBX Sprint'!$A$7:$K$62, SMALL(IF((INDEX('DBX Sprint'!$A$7:$K$62, ,16)&lt;=(TODAY()+5))*(INDEX('DBX Sprint'!$A$7:$K$62, ,16)&gt;(TODAY()+1)),MATCH(ROW('DBX Sprint'!$A$7:$K$62),ROW('DBX Sprint'!$A$7:$K$62)),""),ROWS($L$34:L47)),COLUMNS('DBX Sprint'!$A$1:A12)),"")</f>
        <v/>
      </c>
      <c r="M47" s="38" t="str" cm="1">
        <f t="array" aca="1" ref="M47" ca="1">IFERROR(INDEX('DBX Sprint'!$A$7:$K$62, SMALL(IF((INDEX('DBX Sprint'!$A$7:$K$62, ,16)&lt;=(TODAY()+10))*(INDEX('DBX Sprint'!$A$7:$K$62, ,16)&gt;(TODAY()+5)),MATCH(ROW('DBX Sprint'!$A$7:$K$62),ROW('DBX Sprint'!$A$7:$K$62)),""),ROWS($M$34:M47)),COLUMNS('DBX Sprint'!$A$1:A12)),"")</f>
        <v/>
      </c>
      <c r="O47" s="41" t="str" cm="1">
        <f t="array" ref="O47">IFERROR(INDEX('DBX Sprint'!$A$7:$K$62, SMALL(IF((INDEX('DBX Sprint'!$A$7:$K$62, ,19)=("Complete"))*(INDEX('DBX Sprint'!$A$7:$K$62, ,19)="Complete"),MATCH(ROW('DBX Sprint'!$A$7:$K$62),ROW('DBX Sprint'!$A$7:$K$62)),""),ROWS($O$34:O47)),COLUMNS('DBX Sprint'!$A$1:A12)),"")</f>
        <v/>
      </c>
      <c r="P47" s="41" t="str" cm="1">
        <f t="array" aca="1" ref="P47" ca="1">IFERROR(INDEX('DBX Sprint'!$A$7:$K$62, SMALL(IF((INDEX('DBX Sprint'!$A$7:$K$62, ,19)&lt;(TODAY()))*(INDEX('DBX Sprint'!$A$7:$K$62, ,19)&lt;&gt;"Complete"),MATCH(ROW('DBX Sprint'!$A$7:$K$62),ROW('DBX Sprint'!$A$7:$K$62)),""),ROWS($P$34:P47)),COLUMNS('DBX Sprint'!$A$1:A12)),"")</f>
        <v/>
      </c>
      <c r="Q47" s="41" t="str" cm="1">
        <f t="array" aca="1" ref="Q47" ca="1">IFERROR(INDEX('DBX Sprint'!$A$7:$K$62, SMALL(IF((INDEX('DBX Sprint'!$A$7:$K$62, ,19)&lt;=(TODAY()+1))*(INDEX('DBX Sprint'!$A$7:$K$62, ,19)&gt;=TODAY()),MATCH(ROW('DBX Sprint'!$A$7:$K$62),ROW('DBX Sprint'!$A$7:$K$62)),""),ROWS($Q$34:Q47)),COLUMNS('DBX Sprint'!$A$1:A12)),"")</f>
        <v/>
      </c>
      <c r="R47" s="43" t="str" cm="1">
        <f t="array" aca="1" ref="R47" ca="1">IFERROR(INDEX('DBX Sprint'!$A$7:$K$62, SMALL(IF((INDEX('DBX Sprint'!$A$7:$K$62, ,19)&lt;=(TODAY()+5))*(INDEX('DBX Sprint'!$A$7:$K$62, ,19)&gt;(TODAY()+1)),MATCH(ROW('DBX Sprint'!$A$7:$K$62),ROW('DBX Sprint'!$A$7:$K$62)),""),ROWS($R$34:R47)),COLUMNS('DBX Sprint'!$A$1:A12)),"")</f>
        <v/>
      </c>
      <c r="S47" s="43" t="str" cm="1">
        <f t="array" aca="1" ref="S47" ca="1">IFERROR(INDEX('DBX Sprint'!$A$7:$K$62, SMALL(IF((INDEX('DBX Sprint'!$A$7:$K$62, ,19)&lt;=(TODAY()+10))*(INDEX('DBX Sprint'!$A$7:$K$62, ,19)&gt;(TODAY()+5)),MATCH(ROW('DBX Sprint'!$A$7:$K$62),ROW('DBX Sprint'!$A$7:$K$62)),""),ROWS($S$34:S47)),COLUMNS('DBX Sprint'!$A$1:A12)),"")</f>
        <v/>
      </c>
      <c r="U47" s="41" t="str" cm="1">
        <f t="array" ref="U47">IFERROR(INDEX('DBX Sprint'!$A$7:$K$62, SMALL(IF((INDEX('DBX Sprint'!$A$7:$K$62, ,22)=("Complete"))*(INDEX('DBX Sprint'!$A$7:$K$62, ,22)="Complete"),MATCH(ROW('DBX Sprint'!$A$7:$K$62),ROW('DBX Sprint'!$A$7:$K$62)),""),ROWS($U$34:U47)),COLUMNS('DBX Sprint'!$A$1:A12)),"")</f>
        <v/>
      </c>
      <c r="V47" s="41" t="str" cm="1">
        <f t="array" aca="1" ref="V47" ca="1">IFERROR(INDEX('DBX Sprint'!$A$7:$K$62, SMALL(IF((INDEX('DBX Sprint'!$A$7:$K$62, ,22)&lt;(TODAY()))*(INDEX('DBX Sprint'!$A$7:$K$62, ,22)&lt;&gt;"Complete"),MATCH(ROW('DBX Sprint'!$A$7:$K$62),ROW('DBX Sprint'!$A$7:$K$62)),""),ROWS($V$34:V47)),COLUMNS('DBX Sprint'!$A$1:A12)),"")</f>
        <v/>
      </c>
      <c r="W47" s="41" t="str" cm="1">
        <f t="array" aca="1" ref="W47" ca="1">IFERROR(INDEX('DBX Sprint'!$A$7:$K$62, SMALL(IF((INDEX('DBX Sprint'!$A$7:$K$62, ,22)&lt;=(TODAY()+1))*(INDEX('DBX Sprint'!$A$7:$K$62, ,22)&gt;=TODAY()),MATCH(ROW('DBX Sprint'!$A$7:$K$62),ROW('DBX Sprint'!$A$7:$K$62)),""),ROWS($W$34:W47)),COLUMNS('DBX Sprint'!$A$1:A12)),"")</f>
        <v/>
      </c>
      <c r="X47" s="43" t="str" cm="1">
        <f t="array" aca="1" ref="X47" ca="1">IFERROR(INDEX('DBX Sprint'!$A$7:$K$62, SMALL(IF((INDEX('DBX Sprint'!$A$7:$K$62, ,22)&lt;=(TODAY()+5))*(INDEX('DBX Sprint'!$A$7:$K$62, ,22)&gt;(TODAY()+1)),MATCH(ROW('DBX Sprint'!$A$7:$K$62),ROW('DBX Sprint'!$A$7:$K$62)),""),ROWS($X$34:X47)),COLUMNS('DBX Sprint'!$A$1:A12)),"")</f>
        <v/>
      </c>
      <c r="Y47" s="43" t="str" cm="1">
        <f t="array" aca="1" ref="Y47" ca="1">IFERROR(INDEX('DBX Sprint'!$A$7:$K$62, SMALL(IF((INDEX('DBX Sprint'!$A$7:$K$62, ,22)&lt;=(TODAY()+10))*(INDEX('DBX Sprint'!$A$7:$K$62, ,22)&gt;(TODAY()+5)),MATCH(ROW('DBX Sprint'!$A$7:$K$62),ROW('DBX Sprint'!$A$7:$K$62)),""),ROWS($Y$34:Y47)),COLUMNS('DBX Sprint'!$A$1:A12)),"")</f>
        <v/>
      </c>
      <c r="AA47" s="41" t="str" cm="1">
        <f t="array" ref="AA47">IFERROR(INDEX('DBX Sprint'!$A$7:$K$62, SMALL(IF((INDEX('DBX Sprint'!$A$7:$K$62, ,25)=("Complete"))*(INDEX('DBX Sprint'!$A$7:$K$62, ,25)="Complete"),MATCH(ROW('DBX Sprint'!$A$7:$K$62),ROW('DBX Sprint'!$A$7:$K$62)),""),ROWS($AA$34:AA47)),COLUMNS('DBX Sprint'!$A$1:A12)),"")</f>
        <v/>
      </c>
      <c r="AB47" s="41" t="str" cm="1">
        <f t="array" aca="1" ref="AB47" ca="1">IFERROR(INDEX('DBX Sprint'!$A$7:$K$62, SMALL(IF((INDEX('DBX Sprint'!$A$7:$K$62, ,25)&lt;(TODAY()))*(INDEX('DBX Sprint'!$A$7:$K$62, ,25)&lt;&gt;"Complete"),MATCH(ROW('DBX Sprint'!$A$7:$K$62),ROW('DBX Sprint'!$A$7:$K$62)),""),ROWS($AB$34:AB47)),COLUMNS('DBX Sprint'!$A$1:A12)),"")</f>
        <v/>
      </c>
      <c r="AC47" s="41" t="str" cm="1">
        <f t="array" aca="1" ref="AC47" ca="1">IFERROR(INDEX('DBX Sprint'!$A$7:$K$62, SMALL(IF((INDEX('DBX Sprint'!$A$7:$K$62, ,25)&lt;=(TODAY()+1))*(INDEX('DBX Sprint'!$A$7:$K$62, ,25)&gt;=TODAY()),MATCH(ROW('DBX Sprint'!$A$7:$K$62),ROW('DBX Sprint'!$A$7:$K$62)),""),ROWS($AC$34:AC47)),COLUMNS('DBX Sprint'!$A$1:A12)),"")</f>
        <v/>
      </c>
      <c r="AD47" s="43" t="str" cm="1">
        <f t="array" aca="1" ref="AD47" ca="1">IFERROR(INDEX('DBX Sprint'!$A$7:$K$62, SMALL(IF((INDEX('DBX Sprint'!$A$7:$K$62, ,25)&lt;=(TODAY()+5))*(INDEX('DBX Sprint'!$A$7:$K$62, ,25)&gt;(TODAY()+1)),MATCH(ROW('DBX Sprint'!$A$7:$K$62),ROW('DBX Sprint'!$A$7:$K$62)),""),ROWS($AD$34:AD47)),COLUMNS('DBX Sprint'!$A$1:A12)),"")</f>
        <v/>
      </c>
      <c r="AE47" s="43" t="str" cm="1">
        <f t="array" aca="1" ref="AE47" ca="1">IFERROR(INDEX('DBX Sprint'!$A$7:$K$62, SMALL(IF((INDEX('DBX Sprint'!$A$7:$K$62, ,25)&lt;=(TODAY()+10))*(INDEX('DBX Sprint'!$A$7:$K$62, ,25)&gt;(TODAY()+5)),MATCH(ROW('DBX Sprint'!$A$7:$K$62),ROW('DBX Sprint'!$A$7:$K$62)),""),ROWS($AE$34:AE47)),COLUMNS('DBX Sprint'!$A$1:A12)),"")</f>
        <v/>
      </c>
      <c r="AG47" s="41" t="str" cm="1">
        <f t="array" ref="AG47">IFERROR(INDEX('DBX Sprint'!$A$7:$K$62, SMALL(IF((INDEX('DBX Sprint'!$A$7:$K$62, ,29)=("Complete"))*(INDEX('DBX Sprint'!$A$7:$K$62, ,29)="Complete"),MATCH(ROW('DBX Sprint'!$A$7:$K$62),ROW('DBX Sprint'!$A$7:$K$62)),""),ROWS($AG$34:AG47)),COLUMNS('DBX Sprint'!$A$1:A12)),"")</f>
        <v/>
      </c>
      <c r="AH47" s="41" t="str" cm="1">
        <f t="array" aca="1" ref="AH47" ca="1">IFERROR(INDEX('DBX Sprint'!$A$7:$K$62, SMALL(IF((INDEX('DBX Sprint'!$A$7:$K$62, ,29)&lt;(TODAY()))*(INDEX('DBX Sprint'!$A$7:$K$62, ,29)&lt;&gt;"Complete"),MATCH(ROW('DBX Sprint'!$A$7:$K$62),ROW('DBX Sprint'!$A$7:$K$62)),""),ROWS($AH$34:AH47)),COLUMNS('DBX Sprint'!$A$1:A12)),"")</f>
        <v/>
      </c>
      <c r="AI47" s="41" t="str" cm="1">
        <f t="array" aca="1" ref="AI47" ca="1">IFERROR(INDEX('DBX Sprint'!$A$7:$K$62, SMALL(IF((INDEX('DBX Sprint'!$A$7:$K$62, ,29)&lt;=(TODAY()+1))*(INDEX('DBX Sprint'!$A$7:$K$62, ,29)&gt;=TODAY()),MATCH(ROW('DBX Sprint'!$A$7:$K$62),ROW('DBX Sprint'!$A$7:$K$62)),""),ROWS($AI$34:AI47)),COLUMNS('DBX Sprint'!$A$1:A12)),"")</f>
        <v/>
      </c>
      <c r="AJ47" s="43" t="str" cm="1">
        <f t="array" aca="1" ref="AJ47" ca="1">IFERROR(INDEX('DBX Sprint'!$A$7:$K$62, SMALL(IF((INDEX('DBX Sprint'!$A$7:$K$62, ,29)&lt;=(TODAY()+5))*(INDEX('DBX Sprint'!$A$7:$K$62, ,29)&gt;(TODAY()+1)),MATCH(ROW('DBX Sprint'!$A$7:$K$62),ROW('DBX Sprint'!$A$7:$K$62)),""),ROWS($AJ$34:AJ47)),COLUMNS('DBX Sprint'!$A$1:A12)),"")</f>
        <v/>
      </c>
      <c r="AK47" s="43" t="str" cm="1">
        <f t="array" aca="1" ref="AK47" ca="1">IFERROR(INDEX('DBX Sprint'!$A$7:$K$62, SMALL(IF((INDEX('DBX Sprint'!$A$7:$K$62, ,29)&lt;=(TODAY()+10))*(INDEX('DBX Sprint'!$A$7:$K$62, ,29)&gt;(TODAY()+5)),MATCH(ROW('DBX Sprint'!$A$7:$K$62),ROW('DBX Sprint'!$A$7:$K$62)),""),ROWS($AK$34:AK47)),COLUMNS('DBX Sprint'!$A$1:A12)),"")</f>
        <v/>
      </c>
      <c r="AM47" s="41" t="str" cm="1">
        <f t="array" ref="AM47">IFERROR(INDEX('DBX Sprint'!$A$7:$K$62, SMALL(IF((INDEX('DBX Sprint'!$A$7:$K$62, ,32)=("Complete"))*(INDEX('DBX Sprint'!$A$7:$K$62, ,32)="Complete"),MATCH(ROW('DBX Sprint'!$A$7:$K$62),ROW('DBX Sprint'!$A$7:$K$62)),""),ROWS($AM$34:AM47)),COLUMNS('DBX Sprint'!$A$1:A12)),"")</f>
        <v/>
      </c>
      <c r="AN47" s="41" t="str" cm="1">
        <f t="array" aca="1" ref="AN47" ca="1">IFERROR(INDEX('DBX Sprint'!$A$7:$K$62, SMALL(IF((INDEX('DBX Sprint'!$A$7:$K$62, ,32)&lt;(TODAY()))*(INDEX('DBX Sprint'!$A$7:$K$62, ,32)&lt;&gt;"Complete"),MATCH(ROW('DBX Sprint'!$A$7:$K$62),ROW('DBX Sprint'!$A$7:$K$62)),""),ROWS($AN$34:AN47)),COLUMNS('DBX Sprint'!$A$1:A12)),"")</f>
        <v/>
      </c>
      <c r="AO47" s="41" t="str" cm="1">
        <f t="array" aca="1" ref="AO47" ca="1">IFERROR(INDEX('DBX Sprint'!$A$7:$K$62, SMALL(IF((INDEX('DBX Sprint'!$A$7:$K$62, ,32)&lt;=(TODAY()+1))*(INDEX('DBX Sprint'!$A$7:$K$62, ,32)&gt;=TODAY()),MATCH(ROW('DBX Sprint'!$A$7:$K$62),ROW('DBX Sprint'!$A$7:$K$62)),""),ROWS($AO$34:AO47)),COLUMNS('DBX Sprint'!$A$1:A12)),"")</f>
        <v/>
      </c>
      <c r="AP47" s="43" t="str" cm="1">
        <f t="array" aca="1" ref="AP47" ca="1">IFERROR(INDEX('DBX Sprint'!$A$7:$K$62, SMALL(IF((INDEX('DBX Sprint'!$A$7:$K$62, ,32)&lt;=(TODAY()+5))*(INDEX('DBX Sprint'!$A$7:$K$62, ,32)&gt;(TODAY()+1)),MATCH(ROW('DBX Sprint'!$A$7:$K$62),ROW('DBX Sprint'!$A$7:$K$62)),""),ROWS($AP$34:AP47)),COLUMNS('DBX Sprint'!$A$1:A12)),"")</f>
        <v/>
      </c>
      <c r="AQ47" s="43" t="str" cm="1">
        <f t="array" aca="1" ref="AQ47" ca="1">IFERROR(INDEX('DBX Sprint'!$A$7:$K$62, SMALL(IF((INDEX('DBX Sprint'!$A$7:$K$62, ,32)&lt;=(TODAY()+10))*(INDEX('DBX Sprint'!$A$7:$K$62, ,32)&gt;(TODAY()+5)),MATCH(ROW('DBX Sprint'!$A$7:$K$62),ROW('DBX Sprint'!$A$7:$K$62)),""),ROWS($AQ$34:AQ47)),COLUMNS('DBX Sprint'!$A$1:A12)),"")</f>
        <v/>
      </c>
    </row>
    <row r="48" spans="3:43" ht="30" customHeight="1">
      <c r="C48" s="41" t="str" cm="1">
        <f t="array" ref="C48">IFERROR(INDEX('DBX Sprint'!$A$7:$K$62, SMALL(IF((INDEX('DBX Sprint'!$A$7:$K$62, ,13)=("Complete"))*(INDEX('DBX Sprint'!$A$7:$K$62, ,13)="Complete"),MATCH(ROW('DBX Sprint'!$A$7:$K$62),ROW('DBX Sprint'!$A$7:$K$62)),""),ROWS(C$34:$C48)),COLUMNS('DBX Sprint'!$A$1:A12)),"")</f>
        <v/>
      </c>
      <c r="D48" s="41" t="str" cm="1">
        <f t="array" aca="1" ref="D48" ca="1">IFERROR(INDEX('DBX Sprint'!$A$7:$K$62, SMALL(IF((INDEX('DBX Sprint'!$A$7:$K$62, ,13)&lt;(TODAY()))*(INDEX('DBX Sprint'!$A$7:$K$62, ,13)&lt;&gt;"Complete"),MATCH(ROW('DBX Sprint'!$A$7:$K$62),ROW('DBX Sprint'!$A$7:$K$62)),""),ROWS(D$34:$D48)),COLUMNS('DBX Sprint'!$A$1:A12)),"")</f>
        <v/>
      </c>
      <c r="E48" s="37" t="str" cm="1">
        <f t="array" aca="1" ref="E48" ca="1">IFERROR(INDEX('DBX Sprint'!$A$7:$K$62, SMALL(IF((INDEX('DBX Sprint'!$A$7:$K$62, ,13)&lt;=(TODAY()+1))*(INDEX('DBX Sprint'!$A$7:$K$62, ,13)&gt;=TODAY()),MATCH(ROW('DBX Sprint'!$A$7:$K$62),ROW('DBX Sprint'!$A$7:$K$62)),""),ROWS(E$34:$E48)),COLUMNS('DBX Sprint'!$A$1:A12)),"")</f>
        <v/>
      </c>
      <c r="F48" s="38" t="str" cm="1">
        <f t="array" aca="1" ref="F48" ca="1">IFERROR(INDEX('DBX Sprint'!$A$7:$K$62, SMALL(IF((INDEX('DBX Sprint'!$A$7:$K$62, ,13)&lt;=(TODAY()+5))*(INDEX('DBX Sprint'!$A$7:$K$62, ,13)&gt;(TODAY()+1)),MATCH(ROW('DBX Sprint'!$A$7:$K$62),ROW('DBX Sprint'!$A$7:$K$62)),""),ROWS($F$34:F48)),COLUMNS('DBX Sprint'!$A$1:A12)),"")</f>
        <v/>
      </c>
      <c r="G48" s="38" t="str" cm="1">
        <f t="array" aca="1" ref="G48" ca="1">IFERROR(INDEX('DBX Sprint'!$A$7:$K$62, SMALL(IF((INDEX('DBX Sprint'!$A$7:$K$62, ,13)&lt;=(TODAY()+10))*(INDEX('DBX Sprint'!$A$7:$K$62, ,13)&gt;(TODAY()+5)),MATCH(ROW('DBX Sprint'!$A$7:$K$62),ROW('DBX Sprint'!$A$7:$K$62)),""),ROWS($G$34:G48)),COLUMNS('DBX Sprint'!$A$1:A12)),"")</f>
        <v/>
      </c>
      <c r="I48" s="41" t="str" cm="1">
        <f t="array" ref="I48">IFERROR(INDEX('DBX Sprint'!$A$7:$K$62, SMALL(IF((INDEX('DBX Sprint'!$A$7:$K$62, ,16)=("Complete"))*(INDEX('DBX Sprint'!$A$7:$K$62, ,16)="Complete"),MATCH(ROW('DBX Sprint'!$A$7:$K$62),ROW('DBX Sprint'!$A$7:$K$62)),""),ROWS($I$34:I48)),COLUMNS('DBX Sprint'!$A$1:A12)),"")</f>
        <v/>
      </c>
      <c r="J48" s="41" t="str" cm="1">
        <f t="array" aca="1" ref="J48" ca="1">IFERROR(INDEX('DBX Sprint'!$A$7:$K$62, SMALL(IF((INDEX('DBX Sprint'!$A$7:$K$62, ,16)&lt;(TODAY()))*(INDEX('DBX Sprint'!$A$7:$K$62, ,16)&lt;&gt;"Complete"),MATCH(ROW('DBX Sprint'!$A$7:$K$62),ROW('DBX Sprint'!$A$7:$K$62)),""),ROWS($J$34:J48)),COLUMNS('DBX Sprint'!$A$1:A12)),"")</f>
        <v/>
      </c>
      <c r="K48" s="37" t="str" cm="1">
        <f t="array" aca="1" ref="K48" ca="1">IFERROR(INDEX('DBX Sprint'!$A$7:$K$62, SMALL(IF((INDEX('DBX Sprint'!$A$7:$K$62, ,16)&lt;=(TODAY()+1))*(INDEX('DBX Sprint'!$A$7:$K$62, ,16)&gt;=TODAY()),MATCH(ROW('DBX Sprint'!$A$7:$K$62),ROW('DBX Sprint'!$A$7:$K$62)),""),ROWS($K$34:K48)),COLUMNS('DBX Sprint'!$A$1:A12)),"")</f>
        <v/>
      </c>
      <c r="L48" s="38" t="str" cm="1">
        <f t="array" aca="1" ref="L48" ca="1">IFERROR(INDEX('DBX Sprint'!$A$7:$K$62, SMALL(IF((INDEX('DBX Sprint'!$A$7:$K$62, ,16)&lt;=(TODAY()+5))*(INDEX('DBX Sprint'!$A$7:$K$62, ,16)&gt;(TODAY()+1)),MATCH(ROW('DBX Sprint'!$A$7:$K$62),ROW('DBX Sprint'!$A$7:$K$62)),""),ROWS($L$34:L48)),COLUMNS('DBX Sprint'!$A$1:A12)),"")</f>
        <v/>
      </c>
      <c r="M48" s="38" t="str" cm="1">
        <f t="array" aca="1" ref="M48" ca="1">IFERROR(INDEX('DBX Sprint'!$A$7:$K$62, SMALL(IF((INDEX('DBX Sprint'!$A$7:$K$62, ,16)&lt;=(TODAY()+10))*(INDEX('DBX Sprint'!$A$7:$K$62, ,16)&gt;(TODAY()+5)),MATCH(ROW('DBX Sprint'!$A$7:$K$62),ROW('DBX Sprint'!$A$7:$K$62)),""),ROWS($M$34:M48)),COLUMNS('DBX Sprint'!$A$1:A12)),"")</f>
        <v/>
      </c>
      <c r="O48" s="41" t="str" cm="1">
        <f t="array" ref="O48">IFERROR(INDEX('DBX Sprint'!$A$7:$K$62, SMALL(IF((INDEX('DBX Sprint'!$A$7:$K$62, ,19)=("Complete"))*(INDEX('DBX Sprint'!$A$7:$K$62, ,19)="Complete"),MATCH(ROW('DBX Sprint'!$A$7:$K$62),ROW('DBX Sprint'!$A$7:$K$62)),""),ROWS($O$34:O48)),COLUMNS('DBX Sprint'!$A$1:A12)),"")</f>
        <v/>
      </c>
      <c r="P48" s="41" t="str" cm="1">
        <f t="array" aca="1" ref="P48" ca="1">IFERROR(INDEX('DBX Sprint'!$A$7:$K$62, SMALL(IF((INDEX('DBX Sprint'!$A$7:$K$62, ,19)&lt;(TODAY()))*(INDEX('DBX Sprint'!$A$7:$K$62, ,19)&lt;&gt;"Complete"),MATCH(ROW('DBX Sprint'!$A$7:$K$62),ROW('DBX Sprint'!$A$7:$K$62)),""),ROWS($P$34:P48)),COLUMNS('DBX Sprint'!$A$1:A12)),"")</f>
        <v/>
      </c>
      <c r="Q48" s="41" t="str" cm="1">
        <f t="array" aca="1" ref="Q48" ca="1">IFERROR(INDEX('DBX Sprint'!$A$7:$K$62, SMALL(IF((INDEX('DBX Sprint'!$A$7:$K$62, ,19)&lt;=(TODAY()+1))*(INDEX('DBX Sprint'!$A$7:$K$62, ,19)&gt;=TODAY()),MATCH(ROW('DBX Sprint'!$A$7:$K$62),ROW('DBX Sprint'!$A$7:$K$62)),""),ROWS($Q$34:Q48)),COLUMNS('DBX Sprint'!$A$1:A12)),"")</f>
        <v/>
      </c>
      <c r="R48" s="43" t="str" cm="1">
        <f t="array" aca="1" ref="R48" ca="1">IFERROR(INDEX('DBX Sprint'!$A$7:$K$62, SMALL(IF((INDEX('DBX Sprint'!$A$7:$K$62, ,19)&lt;=(TODAY()+5))*(INDEX('DBX Sprint'!$A$7:$K$62, ,19)&gt;(TODAY()+1)),MATCH(ROW('DBX Sprint'!$A$7:$K$62),ROW('DBX Sprint'!$A$7:$K$62)),""),ROWS($R$34:R48)),COLUMNS('DBX Sprint'!$A$1:A12)),"")</f>
        <v/>
      </c>
      <c r="S48" s="43" t="str" cm="1">
        <f t="array" aca="1" ref="S48" ca="1">IFERROR(INDEX('DBX Sprint'!$A$7:$K$62, SMALL(IF((INDEX('DBX Sprint'!$A$7:$K$62, ,19)&lt;=(TODAY()+10))*(INDEX('DBX Sprint'!$A$7:$K$62, ,19)&gt;(TODAY()+5)),MATCH(ROW('DBX Sprint'!$A$7:$K$62),ROW('DBX Sprint'!$A$7:$K$62)),""),ROWS($S$34:S48)),COLUMNS('DBX Sprint'!$A$1:A12)),"")</f>
        <v/>
      </c>
      <c r="U48" s="41" t="str" cm="1">
        <f t="array" ref="U48">IFERROR(INDEX('DBX Sprint'!$A$7:$K$62, SMALL(IF((INDEX('DBX Sprint'!$A$7:$K$62, ,22)=("Complete"))*(INDEX('DBX Sprint'!$A$7:$K$62, ,22)="Complete"),MATCH(ROW('DBX Sprint'!$A$7:$K$62),ROW('DBX Sprint'!$A$7:$K$62)),""),ROWS($U$34:U48)),COLUMNS('DBX Sprint'!$A$1:A12)),"")</f>
        <v/>
      </c>
      <c r="V48" s="41" t="str" cm="1">
        <f t="array" aca="1" ref="V48" ca="1">IFERROR(INDEX('DBX Sprint'!$A$7:$K$62, SMALL(IF((INDEX('DBX Sprint'!$A$7:$K$62, ,22)&lt;(TODAY()))*(INDEX('DBX Sprint'!$A$7:$K$62, ,22)&lt;&gt;"Complete"),MATCH(ROW('DBX Sprint'!$A$7:$K$62),ROW('DBX Sprint'!$A$7:$K$62)),""),ROWS($V$34:V48)),COLUMNS('DBX Sprint'!$A$1:A12)),"")</f>
        <v/>
      </c>
      <c r="W48" s="41" t="str" cm="1">
        <f t="array" aca="1" ref="W48" ca="1">IFERROR(INDEX('DBX Sprint'!$A$7:$K$62, SMALL(IF((INDEX('DBX Sprint'!$A$7:$K$62, ,22)&lt;=(TODAY()+1))*(INDEX('DBX Sprint'!$A$7:$K$62, ,22)&gt;=TODAY()),MATCH(ROW('DBX Sprint'!$A$7:$K$62),ROW('DBX Sprint'!$A$7:$K$62)),""),ROWS($W$34:W48)),COLUMNS('DBX Sprint'!$A$1:A12)),"")</f>
        <v/>
      </c>
      <c r="X48" s="43" t="str" cm="1">
        <f t="array" aca="1" ref="X48" ca="1">IFERROR(INDEX('DBX Sprint'!$A$7:$K$62, SMALL(IF((INDEX('DBX Sprint'!$A$7:$K$62, ,22)&lt;=(TODAY()+5))*(INDEX('DBX Sprint'!$A$7:$K$62, ,22)&gt;(TODAY()+1)),MATCH(ROW('DBX Sprint'!$A$7:$K$62),ROW('DBX Sprint'!$A$7:$K$62)),""),ROWS($X$34:X48)),COLUMNS('DBX Sprint'!$A$1:A12)),"")</f>
        <v/>
      </c>
      <c r="Y48" s="43" t="str" cm="1">
        <f t="array" aca="1" ref="Y48" ca="1">IFERROR(INDEX('DBX Sprint'!$A$7:$K$62, SMALL(IF((INDEX('DBX Sprint'!$A$7:$K$62, ,22)&lt;=(TODAY()+10))*(INDEX('DBX Sprint'!$A$7:$K$62, ,22)&gt;(TODAY()+5)),MATCH(ROW('DBX Sprint'!$A$7:$K$62),ROW('DBX Sprint'!$A$7:$K$62)),""),ROWS($Y$34:Y48)),COLUMNS('DBX Sprint'!$A$1:A12)),"")</f>
        <v/>
      </c>
      <c r="AA48" s="41" t="str" cm="1">
        <f t="array" ref="AA48">IFERROR(INDEX('DBX Sprint'!$A$7:$K$62, SMALL(IF((INDEX('DBX Sprint'!$A$7:$K$62, ,25)=("Complete"))*(INDEX('DBX Sprint'!$A$7:$K$62, ,25)="Complete"),MATCH(ROW('DBX Sprint'!$A$7:$K$62),ROW('DBX Sprint'!$A$7:$K$62)),""),ROWS($AA$34:AA48)),COLUMNS('DBX Sprint'!$A$1:A12)),"")</f>
        <v/>
      </c>
      <c r="AB48" s="41" t="str" cm="1">
        <f t="array" aca="1" ref="AB48" ca="1">IFERROR(INDEX('DBX Sprint'!$A$7:$K$62, SMALL(IF((INDEX('DBX Sprint'!$A$7:$K$62, ,25)&lt;(TODAY()))*(INDEX('DBX Sprint'!$A$7:$K$62, ,25)&lt;&gt;"Complete"),MATCH(ROW('DBX Sprint'!$A$7:$K$62),ROW('DBX Sprint'!$A$7:$K$62)),""),ROWS($AB$34:AB48)),COLUMNS('DBX Sprint'!$A$1:A12)),"")</f>
        <v/>
      </c>
      <c r="AC48" s="41" t="str" cm="1">
        <f t="array" aca="1" ref="AC48" ca="1">IFERROR(INDEX('DBX Sprint'!$A$7:$K$62, SMALL(IF((INDEX('DBX Sprint'!$A$7:$K$62, ,25)&lt;=(TODAY()+1))*(INDEX('DBX Sprint'!$A$7:$K$62, ,25)&gt;=TODAY()),MATCH(ROW('DBX Sprint'!$A$7:$K$62),ROW('DBX Sprint'!$A$7:$K$62)),""),ROWS($AC$34:AC48)),COLUMNS('DBX Sprint'!$A$1:A12)),"")</f>
        <v/>
      </c>
      <c r="AD48" s="43" t="str" cm="1">
        <f t="array" aca="1" ref="AD48" ca="1">IFERROR(INDEX('DBX Sprint'!$A$7:$K$62, SMALL(IF((INDEX('DBX Sprint'!$A$7:$K$62, ,25)&lt;=(TODAY()+5))*(INDEX('DBX Sprint'!$A$7:$K$62, ,25)&gt;(TODAY()+1)),MATCH(ROW('DBX Sprint'!$A$7:$K$62),ROW('DBX Sprint'!$A$7:$K$62)),""),ROWS($AD$34:AD48)),COLUMNS('DBX Sprint'!$A$1:A12)),"")</f>
        <v/>
      </c>
      <c r="AE48" s="43" t="str" cm="1">
        <f t="array" aca="1" ref="AE48" ca="1">IFERROR(INDEX('DBX Sprint'!$A$7:$K$62, SMALL(IF((INDEX('DBX Sprint'!$A$7:$K$62, ,25)&lt;=(TODAY()+10))*(INDEX('DBX Sprint'!$A$7:$K$62, ,25)&gt;(TODAY()+5)),MATCH(ROW('DBX Sprint'!$A$7:$K$62),ROW('DBX Sprint'!$A$7:$K$62)),""),ROWS($AE$34:AE48)),COLUMNS('DBX Sprint'!$A$1:A12)),"")</f>
        <v/>
      </c>
      <c r="AG48" s="41" t="str" cm="1">
        <f t="array" ref="AG48">IFERROR(INDEX('DBX Sprint'!$A$7:$K$62, SMALL(IF((INDEX('DBX Sprint'!$A$7:$K$62, ,29)=("Complete"))*(INDEX('DBX Sprint'!$A$7:$K$62, ,29)="Complete"),MATCH(ROW('DBX Sprint'!$A$7:$K$62),ROW('DBX Sprint'!$A$7:$K$62)),""),ROWS($AG$34:AG48)),COLUMNS('DBX Sprint'!$A$1:A12)),"")</f>
        <v/>
      </c>
      <c r="AH48" s="41" t="str" cm="1">
        <f t="array" aca="1" ref="AH48" ca="1">IFERROR(INDEX('DBX Sprint'!$A$7:$K$62, SMALL(IF((INDEX('DBX Sprint'!$A$7:$K$62, ,29)&lt;(TODAY()))*(INDEX('DBX Sprint'!$A$7:$K$62, ,29)&lt;&gt;"Complete"),MATCH(ROW('DBX Sprint'!$A$7:$K$62),ROW('DBX Sprint'!$A$7:$K$62)),""),ROWS($AH$34:AH48)),COLUMNS('DBX Sprint'!$A$1:A12)),"")</f>
        <v/>
      </c>
      <c r="AI48" s="41" t="str" cm="1">
        <f t="array" aca="1" ref="AI48" ca="1">IFERROR(INDEX('DBX Sprint'!$A$7:$K$62, SMALL(IF((INDEX('DBX Sprint'!$A$7:$K$62, ,29)&lt;=(TODAY()+1))*(INDEX('DBX Sprint'!$A$7:$K$62, ,29)&gt;=TODAY()),MATCH(ROW('DBX Sprint'!$A$7:$K$62),ROW('DBX Sprint'!$A$7:$K$62)),""),ROWS($AI$34:AI48)),COLUMNS('DBX Sprint'!$A$1:A12)),"")</f>
        <v/>
      </c>
      <c r="AJ48" s="43" t="str" cm="1">
        <f t="array" aca="1" ref="AJ48" ca="1">IFERROR(INDEX('DBX Sprint'!$A$7:$K$62, SMALL(IF((INDEX('DBX Sprint'!$A$7:$K$62, ,29)&lt;=(TODAY()+5))*(INDEX('DBX Sprint'!$A$7:$K$62, ,29)&gt;(TODAY()+1)),MATCH(ROW('DBX Sprint'!$A$7:$K$62),ROW('DBX Sprint'!$A$7:$K$62)),""),ROWS($AJ$34:AJ48)),COLUMNS('DBX Sprint'!$A$1:A12)),"")</f>
        <v/>
      </c>
      <c r="AK48" s="43" t="str" cm="1">
        <f t="array" aca="1" ref="AK48" ca="1">IFERROR(INDEX('DBX Sprint'!$A$7:$K$62, SMALL(IF((INDEX('DBX Sprint'!$A$7:$K$62, ,29)&lt;=(TODAY()+10))*(INDEX('DBX Sprint'!$A$7:$K$62, ,29)&gt;(TODAY()+5)),MATCH(ROW('DBX Sprint'!$A$7:$K$62),ROW('DBX Sprint'!$A$7:$K$62)),""),ROWS($AK$34:AK48)),COLUMNS('DBX Sprint'!$A$1:A12)),"")</f>
        <v/>
      </c>
      <c r="AM48" s="41" t="str" cm="1">
        <f t="array" ref="AM48">IFERROR(INDEX('DBX Sprint'!$A$7:$K$62, SMALL(IF((INDEX('DBX Sprint'!$A$7:$K$62, ,32)=("Complete"))*(INDEX('DBX Sprint'!$A$7:$K$62, ,32)="Complete"),MATCH(ROW('DBX Sprint'!$A$7:$K$62),ROW('DBX Sprint'!$A$7:$K$62)),""),ROWS($AM$34:AM48)),COLUMNS('DBX Sprint'!$A$1:A12)),"")</f>
        <v/>
      </c>
      <c r="AN48" s="41" t="str" cm="1">
        <f t="array" aca="1" ref="AN48" ca="1">IFERROR(INDEX('DBX Sprint'!$A$7:$K$62, SMALL(IF((INDEX('DBX Sprint'!$A$7:$K$62, ,32)&lt;(TODAY()))*(INDEX('DBX Sprint'!$A$7:$K$62, ,32)&lt;&gt;"Complete"),MATCH(ROW('DBX Sprint'!$A$7:$K$62),ROW('DBX Sprint'!$A$7:$K$62)),""),ROWS($AN$34:AN48)),COLUMNS('DBX Sprint'!$A$1:A12)),"")</f>
        <v/>
      </c>
      <c r="AO48" s="41" t="str" cm="1">
        <f t="array" aca="1" ref="AO48" ca="1">IFERROR(INDEX('DBX Sprint'!$A$7:$K$62, SMALL(IF((INDEX('DBX Sprint'!$A$7:$K$62, ,32)&lt;=(TODAY()+1))*(INDEX('DBX Sprint'!$A$7:$K$62, ,32)&gt;=TODAY()),MATCH(ROW('DBX Sprint'!$A$7:$K$62),ROW('DBX Sprint'!$A$7:$K$62)),""),ROWS($AO$34:AO48)),COLUMNS('DBX Sprint'!$A$1:A12)),"")</f>
        <v/>
      </c>
      <c r="AP48" s="43" t="str" cm="1">
        <f t="array" aca="1" ref="AP48" ca="1">IFERROR(INDEX('DBX Sprint'!$A$7:$K$62, SMALL(IF((INDEX('DBX Sprint'!$A$7:$K$62, ,32)&lt;=(TODAY()+5))*(INDEX('DBX Sprint'!$A$7:$K$62, ,32)&gt;(TODAY()+1)),MATCH(ROW('DBX Sprint'!$A$7:$K$62),ROW('DBX Sprint'!$A$7:$K$62)),""),ROWS($AP$34:AP48)),COLUMNS('DBX Sprint'!$A$1:A12)),"")</f>
        <v/>
      </c>
      <c r="AQ48" s="43" t="str" cm="1">
        <f t="array" aca="1" ref="AQ48" ca="1">IFERROR(INDEX('DBX Sprint'!$A$7:$K$62, SMALL(IF((INDEX('DBX Sprint'!$A$7:$K$62, ,32)&lt;=(TODAY()+10))*(INDEX('DBX Sprint'!$A$7:$K$62, ,32)&gt;(TODAY()+5)),MATCH(ROW('DBX Sprint'!$A$7:$K$62),ROW('DBX Sprint'!$A$7:$K$62)),""),ROWS($AQ$34:AQ48)),COLUMNS('DBX Sprint'!$A$1:A12)),"")</f>
        <v/>
      </c>
    </row>
    <row r="49" spans="3:43" ht="30" customHeight="1">
      <c r="C49" s="41" t="str" cm="1">
        <f t="array" ref="C49">IFERROR(INDEX('DBX Sprint'!$A$7:$K$62, SMALL(IF((INDEX('DBX Sprint'!$A$7:$K$62, ,13)=("Complete"))*(INDEX('DBX Sprint'!$A$7:$K$62, ,13)="Complete"),MATCH(ROW('DBX Sprint'!$A$7:$K$62),ROW('DBX Sprint'!$A$7:$K$62)),""),ROWS(C$34:$C49)),COLUMNS('DBX Sprint'!$A$1:A12)),"")</f>
        <v/>
      </c>
      <c r="D49" s="41" t="str" cm="1">
        <f t="array" aca="1" ref="D49" ca="1">IFERROR(INDEX('DBX Sprint'!$A$7:$K$62, SMALL(IF((INDEX('DBX Sprint'!$A$7:$K$62, ,13)&lt;(TODAY()))*(INDEX('DBX Sprint'!$A$7:$K$62, ,13)&lt;&gt;"Complete"),MATCH(ROW('DBX Sprint'!$A$7:$K$62),ROW('DBX Sprint'!$A$7:$K$62)),""),ROWS(D$34:$D49)),COLUMNS('DBX Sprint'!$A$1:A12)),"")</f>
        <v/>
      </c>
      <c r="E49" s="37" t="str" cm="1">
        <f t="array" aca="1" ref="E49" ca="1">IFERROR(INDEX('DBX Sprint'!$A$7:$K$62, SMALL(IF((INDEX('DBX Sprint'!$A$7:$K$62, ,13)&lt;=(TODAY()+1))*(INDEX('DBX Sprint'!$A$7:$K$62, ,13)&gt;=TODAY()),MATCH(ROW('DBX Sprint'!$A$7:$K$62),ROW('DBX Sprint'!$A$7:$K$62)),""),ROWS(E$34:$E49)),COLUMNS('DBX Sprint'!$A$1:A12)),"")</f>
        <v/>
      </c>
      <c r="F49" s="38" t="str" cm="1">
        <f t="array" aca="1" ref="F49" ca="1">IFERROR(INDEX('DBX Sprint'!$A$7:$K$62, SMALL(IF((INDEX('DBX Sprint'!$A$7:$K$62, ,13)&lt;=(TODAY()+5))*(INDEX('DBX Sprint'!$A$7:$K$62, ,13)&gt;(TODAY()+1)),MATCH(ROW('DBX Sprint'!$A$7:$K$62),ROW('DBX Sprint'!$A$7:$K$62)),""),ROWS($F$34:F49)),COLUMNS('DBX Sprint'!$A$1:A12)),"")</f>
        <v/>
      </c>
      <c r="G49" s="38" t="str" cm="1">
        <f t="array" aca="1" ref="G49" ca="1">IFERROR(INDEX('DBX Sprint'!$A$7:$K$62, SMALL(IF((INDEX('DBX Sprint'!$A$7:$K$62, ,13)&lt;=(TODAY()+10))*(INDEX('DBX Sprint'!$A$7:$K$62, ,13)&gt;(TODAY()+5)),MATCH(ROW('DBX Sprint'!$A$7:$K$62),ROW('DBX Sprint'!$A$7:$K$62)),""),ROWS($G$34:G49)),COLUMNS('DBX Sprint'!$A$1:A12)),"")</f>
        <v/>
      </c>
      <c r="I49" s="41" t="str" cm="1">
        <f t="array" ref="I49">IFERROR(INDEX('DBX Sprint'!$A$7:$K$62, SMALL(IF((INDEX('DBX Sprint'!$A$7:$K$62, ,16)=("Complete"))*(INDEX('DBX Sprint'!$A$7:$K$62, ,16)="Complete"),MATCH(ROW('DBX Sprint'!$A$7:$K$62),ROW('DBX Sprint'!$A$7:$K$62)),""),ROWS($I$34:I49)),COLUMNS('DBX Sprint'!$A$1:A12)),"")</f>
        <v/>
      </c>
      <c r="J49" s="41" t="str" cm="1">
        <f t="array" aca="1" ref="J49" ca="1">IFERROR(INDEX('DBX Sprint'!$A$7:$K$62, SMALL(IF((INDEX('DBX Sprint'!$A$7:$K$62, ,16)&lt;(TODAY()))*(INDEX('DBX Sprint'!$A$7:$K$62, ,16)&lt;&gt;"Complete"),MATCH(ROW('DBX Sprint'!$A$7:$K$62),ROW('DBX Sprint'!$A$7:$K$62)),""),ROWS($J$34:J49)),COLUMNS('DBX Sprint'!$A$1:A12)),"")</f>
        <v/>
      </c>
      <c r="K49" s="37" t="str" cm="1">
        <f t="array" aca="1" ref="K49" ca="1">IFERROR(INDEX('DBX Sprint'!$A$7:$K$62, SMALL(IF((INDEX('DBX Sprint'!$A$7:$K$62, ,16)&lt;=(TODAY()+1))*(INDEX('DBX Sprint'!$A$7:$K$62, ,16)&gt;=TODAY()),MATCH(ROW('DBX Sprint'!$A$7:$K$62),ROW('DBX Sprint'!$A$7:$K$62)),""),ROWS($K$34:K49)),COLUMNS('DBX Sprint'!$A$1:A12)),"")</f>
        <v/>
      </c>
      <c r="L49" s="38" t="str" cm="1">
        <f t="array" aca="1" ref="L49" ca="1">IFERROR(INDEX('DBX Sprint'!$A$7:$K$62, SMALL(IF((INDEX('DBX Sprint'!$A$7:$K$62, ,16)&lt;=(TODAY()+5))*(INDEX('DBX Sprint'!$A$7:$K$62, ,16)&gt;(TODAY()+1)),MATCH(ROW('DBX Sprint'!$A$7:$K$62),ROW('DBX Sprint'!$A$7:$K$62)),""),ROWS($L$34:L49)),COLUMNS('DBX Sprint'!$A$1:A12)),"")</f>
        <v/>
      </c>
      <c r="M49" s="38" t="str" cm="1">
        <f t="array" aca="1" ref="M49" ca="1">IFERROR(INDEX('DBX Sprint'!$A$7:$K$62, SMALL(IF((INDEX('DBX Sprint'!$A$7:$K$62, ,16)&lt;=(TODAY()+10))*(INDEX('DBX Sprint'!$A$7:$K$62, ,16)&gt;(TODAY()+5)),MATCH(ROW('DBX Sprint'!$A$7:$K$62),ROW('DBX Sprint'!$A$7:$K$62)),""),ROWS($M$34:M49)),COLUMNS('DBX Sprint'!$A$1:A12)),"")</f>
        <v/>
      </c>
      <c r="O49" s="41" t="str" cm="1">
        <f t="array" ref="O49">IFERROR(INDEX('DBX Sprint'!$A$7:$K$62, SMALL(IF((INDEX('DBX Sprint'!$A$7:$K$62, ,19)=("Complete"))*(INDEX('DBX Sprint'!$A$7:$K$62, ,19)="Complete"),MATCH(ROW('DBX Sprint'!$A$7:$K$62),ROW('DBX Sprint'!$A$7:$K$62)),""),ROWS($O$34:O49)),COLUMNS('DBX Sprint'!$A$1:A12)),"")</f>
        <v/>
      </c>
      <c r="P49" s="41" t="str" cm="1">
        <f t="array" aca="1" ref="P49" ca="1">IFERROR(INDEX('DBX Sprint'!$A$7:$K$62, SMALL(IF((INDEX('DBX Sprint'!$A$7:$K$62, ,19)&lt;(TODAY()))*(INDEX('DBX Sprint'!$A$7:$K$62, ,19)&lt;&gt;"Complete"),MATCH(ROW('DBX Sprint'!$A$7:$K$62),ROW('DBX Sprint'!$A$7:$K$62)),""),ROWS($P$34:P49)),COLUMNS('DBX Sprint'!$A$1:A12)),"")</f>
        <v/>
      </c>
      <c r="Q49" s="41" t="str" cm="1">
        <f t="array" aca="1" ref="Q49" ca="1">IFERROR(INDEX('DBX Sprint'!$A$7:$K$62, SMALL(IF((INDEX('DBX Sprint'!$A$7:$K$62, ,19)&lt;=(TODAY()+1))*(INDEX('DBX Sprint'!$A$7:$K$62, ,19)&gt;=TODAY()),MATCH(ROW('DBX Sprint'!$A$7:$K$62),ROW('DBX Sprint'!$A$7:$K$62)),""),ROWS($Q$34:Q49)),COLUMNS('DBX Sprint'!$A$1:A12)),"")</f>
        <v/>
      </c>
      <c r="R49" s="43" t="str" cm="1">
        <f t="array" aca="1" ref="R49" ca="1">IFERROR(INDEX('DBX Sprint'!$A$7:$K$62, SMALL(IF((INDEX('DBX Sprint'!$A$7:$K$62, ,19)&lt;=(TODAY()+5))*(INDEX('DBX Sprint'!$A$7:$K$62, ,19)&gt;(TODAY()+1)),MATCH(ROW('DBX Sprint'!$A$7:$K$62),ROW('DBX Sprint'!$A$7:$K$62)),""),ROWS($R$34:R49)),COLUMNS('DBX Sprint'!$A$1:A12)),"")</f>
        <v/>
      </c>
      <c r="S49" s="43" t="str" cm="1">
        <f t="array" aca="1" ref="S49" ca="1">IFERROR(INDEX('DBX Sprint'!$A$7:$K$62, SMALL(IF((INDEX('DBX Sprint'!$A$7:$K$62, ,19)&lt;=(TODAY()+10))*(INDEX('DBX Sprint'!$A$7:$K$62, ,19)&gt;(TODAY()+5)),MATCH(ROW('DBX Sprint'!$A$7:$K$62),ROW('DBX Sprint'!$A$7:$K$62)),""),ROWS($S$34:S49)),COLUMNS('DBX Sprint'!$A$1:A12)),"")</f>
        <v/>
      </c>
      <c r="U49" s="41" t="str" cm="1">
        <f t="array" ref="U49">IFERROR(INDEX('DBX Sprint'!$A$7:$K$62, SMALL(IF((INDEX('DBX Sprint'!$A$7:$K$62, ,22)=("Complete"))*(INDEX('DBX Sprint'!$A$7:$K$62, ,22)="Complete"),MATCH(ROW('DBX Sprint'!$A$7:$K$62),ROW('DBX Sprint'!$A$7:$K$62)),""),ROWS($U$34:U49)),COLUMNS('DBX Sprint'!$A$1:A12)),"")</f>
        <v/>
      </c>
      <c r="V49" s="41" t="str" cm="1">
        <f t="array" aca="1" ref="V49" ca="1">IFERROR(INDEX('DBX Sprint'!$A$7:$K$62, SMALL(IF((INDEX('DBX Sprint'!$A$7:$K$62, ,22)&lt;(TODAY()))*(INDEX('DBX Sprint'!$A$7:$K$62, ,22)&lt;&gt;"Complete"),MATCH(ROW('DBX Sprint'!$A$7:$K$62),ROW('DBX Sprint'!$A$7:$K$62)),""),ROWS($V$34:V49)),COLUMNS('DBX Sprint'!$A$1:A12)),"")</f>
        <v/>
      </c>
      <c r="W49" s="41" t="str" cm="1">
        <f t="array" aca="1" ref="W49" ca="1">IFERROR(INDEX('DBX Sprint'!$A$7:$K$62, SMALL(IF((INDEX('DBX Sprint'!$A$7:$K$62, ,22)&lt;=(TODAY()+1))*(INDEX('DBX Sprint'!$A$7:$K$62, ,22)&gt;=TODAY()),MATCH(ROW('DBX Sprint'!$A$7:$K$62),ROW('DBX Sprint'!$A$7:$K$62)),""),ROWS($W$34:W49)),COLUMNS('DBX Sprint'!$A$1:A12)),"")</f>
        <v/>
      </c>
      <c r="X49" s="43" t="str" cm="1">
        <f t="array" aca="1" ref="X49" ca="1">IFERROR(INDEX('DBX Sprint'!$A$7:$K$62, SMALL(IF((INDEX('DBX Sprint'!$A$7:$K$62, ,22)&lt;=(TODAY()+5))*(INDEX('DBX Sprint'!$A$7:$K$62, ,22)&gt;(TODAY()+1)),MATCH(ROW('DBX Sprint'!$A$7:$K$62),ROW('DBX Sprint'!$A$7:$K$62)),""),ROWS($X$34:X49)),COLUMNS('DBX Sprint'!$A$1:A12)),"")</f>
        <v/>
      </c>
      <c r="Y49" s="43" t="str" cm="1">
        <f t="array" aca="1" ref="Y49" ca="1">IFERROR(INDEX('DBX Sprint'!$A$7:$K$62, SMALL(IF((INDEX('DBX Sprint'!$A$7:$K$62, ,22)&lt;=(TODAY()+10))*(INDEX('DBX Sprint'!$A$7:$K$62, ,22)&gt;(TODAY()+5)),MATCH(ROW('DBX Sprint'!$A$7:$K$62),ROW('DBX Sprint'!$A$7:$K$62)),""),ROWS($Y$34:Y49)),COLUMNS('DBX Sprint'!$A$1:A12)),"")</f>
        <v/>
      </c>
      <c r="AA49" s="41" t="str" cm="1">
        <f t="array" ref="AA49">IFERROR(INDEX('DBX Sprint'!$A$7:$K$62, SMALL(IF((INDEX('DBX Sprint'!$A$7:$K$62, ,25)=("Complete"))*(INDEX('DBX Sprint'!$A$7:$K$62, ,25)="Complete"),MATCH(ROW('DBX Sprint'!$A$7:$K$62),ROW('DBX Sprint'!$A$7:$K$62)),""),ROWS($AA$34:AA49)),COLUMNS('DBX Sprint'!$A$1:A12)),"")</f>
        <v/>
      </c>
      <c r="AB49" s="41" t="str" cm="1">
        <f t="array" aca="1" ref="AB49" ca="1">IFERROR(INDEX('DBX Sprint'!$A$7:$K$62, SMALL(IF((INDEX('DBX Sprint'!$A$7:$K$62, ,25)&lt;(TODAY()))*(INDEX('DBX Sprint'!$A$7:$K$62, ,25)&lt;&gt;"Complete"),MATCH(ROW('DBX Sprint'!$A$7:$K$62),ROW('DBX Sprint'!$A$7:$K$62)),""),ROWS($AB$34:AB49)),COLUMNS('DBX Sprint'!$A$1:A12)),"")</f>
        <v/>
      </c>
      <c r="AC49" s="41" t="str" cm="1">
        <f t="array" aca="1" ref="AC49" ca="1">IFERROR(INDEX('DBX Sprint'!$A$7:$K$62, SMALL(IF((INDEX('DBX Sprint'!$A$7:$K$62, ,25)&lt;=(TODAY()+1))*(INDEX('DBX Sprint'!$A$7:$K$62, ,25)&gt;=TODAY()),MATCH(ROW('DBX Sprint'!$A$7:$K$62),ROW('DBX Sprint'!$A$7:$K$62)),""),ROWS($AC$34:AC49)),COLUMNS('DBX Sprint'!$A$1:A12)),"")</f>
        <v/>
      </c>
      <c r="AD49" s="43" t="str" cm="1">
        <f t="array" aca="1" ref="AD49" ca="1">IFERROR(INDEX('DBX Sprint'!$A$7:$K$62, SMALL(IF((INDEX('DBX Sprint'!$A$7:$K$62, ,25)&lt;=(TODAY()+5))*(INDEX('DBX Sprint'!$A$7:$K$62, ,25)&gt;(TODAY()+1)),MATCH(ROW('DBX Sprint'!$A$7:$K$62),ROW('DBX Sprint'!$A$7:$K$62)),""),ROWS($AD$34:AD49)),COLUMNS('DBX Sprint'!$A$1:A12)),"")</f>
        <v/>
      </c>
      <c r="AE49" s="43" t="str" cm="1">
        <f t="array" aca="1" ref="AE49" ca="1">IFERROR(INDEX('DBX Sprint'!$A$7:$K$62, SMALL(IF((INDEX('DBX Sprint'!$A$7:$K$62, ,25)&lt;=(TODAY()+10))*(INDEX('DBX Sprint'!$A$7:$K$62, ,25)&gt;(TODAY()+5)),MATCH(ROW('DBX Sprint'!$A$7:$K$62),ROW('DBX Sprint'!$A$7:$K$62)),""),ROWS($AE$34:AE49)),COLUMNS('DBX Sprint'!$A$1:A12)),"")</f>
        <v/>
      </c>
      <c r="AG49" s="41" t="str" cm="1">
        <f t="array" ref="AG49">IFERROR(INDEX('DBX Sprint'!$A$7:$K$62, SMALL(IF((INDEX('DBX Sprint'!$A$7:$K$62, ,29)=("Complete"))*(INDEX('DBX Sprint'!$A$7:$K$62, ,29)="Complete"),MATCH(ROW('DBX Sprint'!$A$7:$K$62),ROW('DBX Sprint'!$A$7:$K$62)),""),ROWS($AG$34:AG49)),COLUMNS('DBX Sprint'!$A$1:A12)),"")</f>
        <v/>
      </c>
      <c r="AH49" s="41" t="str" cm="1">
        <f t="array" aca="1" ref="AH49" ca="1">IFERROR(INDEX('DBX Sprint'!$A$7:$K$62, SMALL(IF((INDEX('DBX Sprint'!$A$7:$K$62, ,29)&lt;(TODAY()))*(INDEX('DBX Sprint'!$A$7:$K$62, ,29)&lt;&gt;"Complete"),MATCH(ROW('DBX Sprint'!$A$7:$K$62),ROW('DBX Sprint'!$A$7:$K$62)),""),ROWS($AH$34:AH49)),COLUMNS('DBX Sprint'!$A$1:A12)),"")</f>
        <v/>
      </c>
      <c r="AI49" s="41" t="str" cm="1">
        <f t="array" aca="1" ref="AI49" ca="1">IFERROR(INDEX('DBX Sprint'!$A$7:$K$62, SMALL(IF((INDEX('DBX Sprint'!$A$7:$K$62, ,29)&lt;=(TODAY()+1))*(INDEX('DBX Sprint'!$A$7:$K$62, ,29)&gt;=TODAY()),MATCH(ROW('DBX Sprint'!$A$7:$K$62),ROW('DBX Sprint'!$A$7:$K$62)),""),ROWS($AI$34:AI49)),COLUMNS('DBX Sprint'!$A$1:A12)),"")</f>
        <v/>
      </c>
      <c r="AJ49" s="43" t="str" cm="1">
        <f t="array" aca="1" ref="AJ49" ca="1">IFERROR(INDEX('DBX Sprint'!$A$7:$K$62, SMALL(IF((INDEX('DBX Sprint'!$A$7:$K$62, ,29)&lt;=(TODAY()+5))*(INDEX('DBX Sprint'!$A$7:$K$62, ,29)&gt;(TODAY()+1)),MATCH(ROW('DBX Sprint'!$A$7:$K$62),ROW('DBX Sprint'!$A$7:$K$62)),""),ROWS($AJ$34:AJ49)),COLUMNS('DBX Sprint'!$A$1:A12)),"")</f>
        <v/>
      </c>
      <c r="AK49" s="43" t="str" cm="1">
        <f t="array" aca="1" ref="AK49" ca="1">IFERROR(INDEX('DBX Sprint'!$A$7:$K$62, SMALL(IF((INDEX('DBX Sprint'!$A$7:$K$62, ,29)&lt;=(TODAY()+10))*(INDEX('DBX Sprint'!$A$7:$K$62, ,29)&gt;(TODAY()+5)),MATCH(ROW('DBX Sprint'!$A$7:$K$62),ROW('DBX Sprint'!$A$7:$K$62)),""),ROWS($AK$34:AK49)),COLUMNS('DBX Sprint'!$A$1:A12)),"")</f>
        <v/>
      </c>
      <c r="AM49" s="41" t="str" cm="1">
        <f t="array" ref="AM49">IFERROR(INDEX('DBX Sprint'!$A$7:$K$62, SMALL(IF((INDEX('DBX Sprint'!$A$7:$K$62, ,32)=("Complete"))*(INDEX('DBX Sprint'!$A$7:$K$62, ,32)="Complete"),MATCH(ROW('DBX Sprint'!$A$7:$K$62),ROW('DBX Sprint'!$A$7:$K$62)),""),ROWS($AM$34:AM49)),COLUMNS('DBX Sprint'!$A$1:A12)),"")</f>
        <v/>
      </c>
      <c r="AN49" s="41" t="str" cm="1">
        <f t="array" aca="1" ref="AN49" ca="1">IFERROR(INDEX('DBX Sprint'!$A$7:$K$62, SMALL(IF((INDEX('DBX Sprint'!$A$7:$K$62, ,32)&lt;(TODAY()))*(INDEX('DBX Sprint'!$A$7:$K$62, ,32)&lt;&gt;"Complete"),MATCH(ROW('DBX Sprint'!$A$7:$K$62),ROW('DBX Sprint'!$A$7:$K$62)),""),ROWS($AN$34:AN49)),COLUMNS('DBX Sprint'!$A$1:A12)),"")</f>
        <v/>
      </c>
      <c r="AO49" s="41" t="str" cm="1">
        <f t="array" aca="1" ref="AO49" ca="1">IFERROR(INDEX('DBX Sprint'!$A$7:$K$62, SMALL(IF((INDEX('DBX Sprint'!$A$7:$K$62, ,32)&lt;=(TODAY()+1))*(INDEX('DBX Sprint'!$A$7:$K$62, ,32)&gt;=TODAY()),MATCH(ROW('DBX Sprint'!$A$7:$K$62),ROW('DBX Sprint'!$A$7:$K$62)),""),ROWS($AO$34:AO49)),COLUMNS('DBX Sprint'!$A$1:A12)),"")</f>
        <v/>
      </c>
      <c r="AP49" s="43" t="str" cm="1">
        <f t="array" aca="1" ref="AP49" ca="1">IFERROR(INDEX('DBX Sprint'!$A$7:$K$62, SMALL(IF((INDEX('DBX Sprint'!$A$7:$K$62, ,32)&lt;=(TODAY()+5))*(INDEX('DBX Sprint'!$A$7:$K$62, ,32)&gt;(TODAY()+1)),MATCH(ROW('DBX Sprint'!$A$7:$K$62),ROW('DBX Sprint'!$A$7:$K$62)),""),ROWS($AP$34:AP49)),COLUMNS('DBX Sprint'!$A$1:A12)),"")</f>
        <v/>
      </c>
      <c r="AQ49" s="43" t="str" cm="1">
        <f t="array" aca="1" ref="AQ49" ca="1">IFERROR(INDEX('DBX Sprint'!$A$7:$K$62, SMALL(IF((INDEX('DBX Sprint'!$A$7:$K$62, ,32)&lt;=(TODAY()+10))*(INDEX('DBX Sprint'!$A$7:$K$62, ,32)&gt;(TODAY()+5)),MATCH(ROW('DBX Sprint'!$A$7:$K$62),ROW('DBX Sprint'!$A$7:$K$62)),""),ROWS($AQ$34:AQ49)),COLUMNS('DBX Sprint'!$A$1:A12)),"")</f>
        <v/>
      </c>
    </row>
    <row r="50" spans="3:43" ht="30" customHeight="1">
      <c r="C50" s="41" t="str" cm="1">
        <f t="array" ref="C50">IFERROR(INDEX('DBX Sprint'!$A$7:$K$62, SMALL(IF((INDEX('DBX Sprint'!$A$7:$K$62, ,13)=("Complete"))*(INDEX('DBX Sprint'!$A$7:$K$62, ,13)="Complete"),MATCH(ROW('DBX Sprint'!$A$7:$K$62),ROW('DBX Sprint'!$A$7:$K$62)),""),ROWS(C$34:$C50)),COLUMNS('DBX Sprint'!$A$1:A12)),"")</f>
        <v/>
      </c>
      <c r="D50" s="41" t="str" cm="1">
        <f t="array" aca="1" ref="D50" ca="1">IFERROR(INDEX('DBX Sprint'!$A$7:$K$62, SMALL(IF((INDEX('DBX Sprint'!$A$7:$K$62, ,13)&lt;(TODAY()))*(INDEX('DBX Sprint'!$A$7:$K$62, ,13)&lt;&gt;"Complete"),MATCH(ROW('DBX Sprint'!$A$7:$K$62),ROW('DBX Sprint'!$A$7:$K$62)),""),ROWS(D$34:$D50)),COLUMNS('DBX Sprint'!$A$1:A12)),"")</f>
        <v/>
      </c>
      <c r="E50" s="37" t="str" cm="1">
        <f t="array" aca="1" ref="E50" ca="1">IFERROR(INDEX('DBX Sprint'!$A$7:$K$62, SMALL(IF((INDEX('DBX Sprint'!$A$7:$K$62, ,13)&lt;=(TODAY()+1))*(INDEX('DBX Sprint'!$A$7:$K$62, ,13)&gt;=TODAY()),MATCH(ROW('DBX Sprint'!$A$7:$K$62),ROW('DBX Sprint'!$A$7:$K$62)),""),ROWS(E$34:$E50)),COLUMNS('DBX Sprint'!$A$1:A12)),"")</f>
        <v/>
      </c>
      <c r="F50" s="38" t="str" cm="1">
        <f t="array" aca="1" ref="F50" ca="1">IFERROR(INDEX('DBX Sprint'!$A$7:$K$62, SMALL(IF((INDEX('DBX Sprint'!$A$7:$K$62, ,13)&lt;=(TODAY()+5))*(INDEX('DBX Sprint'!$A$7:$K$62, ,13)&gt;(TODAY()+1)),MATCH(ROW('DBX Sprint'!$A$7:$K$62),ROW('DBX Sprint'!$A$7:$K$62)),""),ROWS($F$34:F50)),COLUMNS('DBX Sprint'!$A$1:A12)),"")</f>
        <v/>
      </c>
      <c r="G50" s="38" t="str" cm="1">
        <f t="array" aca="1" ref="G50" ca="1">IFERROR(INDEX('DBX Sprint'!$A$7:$K$62, SMALL(IF((INDEX('DBX Sprint'!$A$7:$K$62, ,13)&lt;=(TODAY()+10))*(INDEX('DBX Sprint'!$A$7:$K$62, ,13)&gt;(TODAY()+5)),MATCH(ROW('DBX Sprint'!$A$7:$K$62),ROW('DBX Sprint'!$A$7:$K$62)),""),ROWS($G$34:G50)),COLUMNS('DBX Sprint'!$A$1:A12)),"")</f>
        <v/>
      </c>
      <c r="I50" s="41" t="str" cm="1">
        <f t="array" ref="I50">IFERROR(INDEX('DBX Sprint'!$A$7:$K$62, SMALL(IF((INDEX('DBX Sprint'!$A$7:$K$62, ,16)=("Complete"))*(INDEX('DBX Sprint'!$A$7:$K$62, ,16)="Complete"),MATCH(ROW('DBX Sprint'!$A$7:$K$62),ROW('DBX Sprint'!$A$7:$K$62)),""),ROWS($I$34:I50)),COLUMNS('DBX Sprint'!$A$1:A12)),"")</f>
        <v/>
      </c>
      <c r="J50" s="41" t="str" cm="1">
        <f t="array" aca="1" ref="J50" ca="1">IFERROR(INDEX('DBX Sprint'!$A$7:$K$62, SMALL(IF((INDEX('DBX Sprint'!$A$7:$K$62, ,16)&lt;(TODAY()))*(INDEX('DBX Sprint'!$A$7:$K$62, ,16)&lt;&gt;"Complete"),MATCH(ROW('DBX Sprint'!$A$7:$K$62),ROW('DBX Sprint'!$A$7:$K$62)),""),ROWS($J$34:J50)),COLUMNS('DBX Sprint'!$A$1:A12)),"")</f>
        <v/>
      </c>
      <c r="K50" s="37" t="str" cm="1">
        <f t="array" aca="1" ref="K50" ca="1">IFERROR(INDEX('DBX Sprint'!$A$7:$K$62, SMALL(IF((INDEX('DBX Sprint'!$A$7:$K$62, ,16)&lt;=(TODAY()+1))*(INDEX('DBX Sprint'!$A$7:$K$62, ,16)&gt;=TODAY()),MATCH(ROW('DBX Sprint'!$A$7:$K$62),ROW('DBX Sprint'!$A$7:$K$62)),""),ROWS($K$34:K50)),COLUMNS('DBX Sprint'!$A$1:A12)),"")</f>
        <v/>
      </c>
      <c r="L50" s="38" t="str" cm="1">
        <f t="array" aca="1" ref="L50" ca="1">IFERROR(INDEX('DBX Sprint'!$A$7:$K$62, SMALL(IF((INDEX('DBX Sprint'!$A$7:$K$62, ,16)&lt;=(TODAY()+5))*(INDEX('DBX Sprint'!$A$7:$K$62, ,16)&gt;(TODAY()+1)),MATCH(ROW('DBX Sprint'!$A$7:$K$62),ROW('DBX Sprint'!$A$7:$K$62)),""),ROWS($L$34:L50)),COLUMNS('DBX Sprint'!$A$1:A12)),"")</f>
        <v/>
      </c>
      <c r="M50" s="38" t="str" cm="1">
        <f t="array" aca="1" ref="M50" ca="1">IFERROR(INDEX('DBX Sprint'!$A$7:$K$62, SMALL(IF((INDEX('DBX Sprint'!$A$7:$K$62, ,16)&lt;=(TODAY()+10))*(INDEX('DBX Sprint'!$A$7:$K$62, ,16)&gt;(TODAY()+5)),MATCH(ROW('DBX Sprint'!$A$7:$K$62),ROW('DBX Sprint'!$A$7:$K$62)),""),ROWS($M$34:M50)),COLUMNS('DBX Sprint'!$A$1:A12)),"")</f>
        <v/>
      </c>
      <c r="O50" s="41" t="str" cm="1">
        <f t="array" ref="O50">IFERROR(INDEX('DBX Sprint'!$A$7:$K$62, SMALL(IF((INDEX('DBX Sprint'!$A$7:$K$62, ,19)=("Complete"))*(INDEX('DBX Sprint'!$A$7:$K$62, ,19)="Complete"),MATCH(ROW('DBX Sprint'!$A$7:$K$62),ROW('DBX Sprint'!$A$7:$K$62)),""),ROWS($O$34:O50)),COLUMNS('DBX Sprint'!$A$1:A12)),"")</f>
        <v/>
      </c>
      <c r="P50" s="41" t="str" cm="1">
        <f t="array" aca="1" ref="P50" ca="1">IFERROR(INDEX('DBX Sprint'!$A$7:$K$62, SMALL(IF((INDEX('DBX Sprint'!$A$7:$K$62, ,19)&lt;(TODAY()))*(INDEX('DBX Sprint'!$A$7:$K$62, ,19)&lt;&gt;"Complete"),MATCH(ROW('DBX Sprint'!$A$7:$K$62),ROW('DBX Sprint'!$A$7:$K$62)),""),ROWS($P$34:P50)),COLUMNS('DBX Sprint'!$A$1:A12)),"")</f>
        <v/>
      </c>
      <c r="Q50" s="41" t="str" cm="1">
        <f t="array" aca="1" ref="Q50" ca="1">IFERROR(INDEX('DBX Sprint'!$A$7:$K$62, SMALL(IF((INDEX('DBX Sprint'!$A$7:$K$62, ,19)&lt;=(TODAY()+1))*(INDEX('DBX Sprint'!$A$7:$K$62, ,19)&gt;=TODAY()),MATCH(ROW('DBX Sprint'!$A$7:$K$62),ROW('DBX Sprint'!$A$7:$K$62)),""),ROWS($Q$34:Q50)),COLUMNS('DBX Sprint'!$A$1:A12)),"")</f>
        <v/>
      </c>
      <c r="R50" s="43" t="str" cm="1">
        <f t="array" aca="1" ref="R50" ca="1">IFERROR(INDEX('DBX Sprint'!$A$7:$K$62, SMALL(IF((INDEX('DBX Sprint'!$A$7:$K$62, ,19)&lt;=(TODAY()+5))*(INDEX('DBX Sprint'!$A$7:$K$62, ,19)&gt;(TODAY()+1)),MATCH(ROW('DBX Sprint'!$A$7:$K$62),ROW('DBX Sprint'!$A$7:$K$62)),""),ROWS($R$34:R50)),COLUMNS('DBX Sprint'!$A$1:A12)),"")</f>
        <v/>
      </c>
      <c r="S50" s="43" t="str" cm="1">
        <f t="array" aca="1" ref="S50" ca="1">IFERROR(INDEX('DBX Sprint'!$A$7:$K$62, SMALL(IF((INDEX('DBX Sprint'!$A$7:$K$62, ,19)&lt;=(TODAY()+10))*(INDEX('DBX Sprint'!$A$7:$K$62, ,19)&gt;(TODAY()+5)),MATCH(ROW('DBX Sprint'!$A$7:$K$62),ROW('DBX Sprint'!$A$7:$K$62)),""),ROWS($S$34:S50)),COLUMNS('DBX Sprint'!$A$1:A12)),"")</f>
        <v/>
      </c>
      <c r="U50" s="41" t="str" cm="1">
        <f t="array" ref="U50">IFERROR(INDEX('DBX Sprint'!$A$7:$K$62, SMALL(IF((INDEX('DBX Sprint'!$A$7:$K$62, ,22)=("Complete"))*(INDEX('DBX Sprint'!$A$7:$K$62, ,22)="Complete"),MATCH(ROW('DBX Sprint'!$A$7:$K$62),ROW('DBX Sprint'!$A$7:$K$62)),""),ROWS($U$34:U50)),COLUMNS('DBX Sprint'!$A$1:A12)),"")</f>
        <v/>
      </c>
      <c r="V50" s="41" t="str" cm="1">
        <f t="array" aca="1" ref="V50" ca="1">IFERROR(INDEX('DBX Sprint'!$A$7:$K$62, SMALL(IF((INDEX('DBX Sprint'!$A$7:$K$62, ,22)&lt;(TODAY()))*(INDEX('DBX Sprint'!$A$7:$K$62, ,22)&lt;&gt;"Complete"),MATCH(ROW('DBX Sprint'!$A$7:$K$62),ROW('DBX Sprint'!$A$7:$K$62)),""),ROWS($V$34:V50)),COLUMNS('DBX Sprint'!$A$1:A12)),"")</f>
        <v/>
      </c>
      <c r="W50" s="41" t="str" cm="1">
        <f t="array" aca="1" ref="W50" ca="1">IFERROR(INDEX('DBX Sprint'!$A$7:$K$62, SMALL(IF((INDEX('DBX Sprint'!$A$7:$K$62, ,22)&lt;=(TODAY()+1))*(INDEX('DBX Sprint'!$A$7:$K$62, ,22)&gt;=TODAY()),MATCH(ROW('DBX Sprint'!$A$7:$K$62),ROW('DBX Sprint'!$A$7:$K$62)),""),ROWS($W$34:W50)),COLUMNS('DBX Sprint'!$A$1:A12)),"")</f>
        <v/>
      </c>
      <c r="X50" s="43" t="str" cm="1">
        <f t="array" aca="1" ref="X50" ca="1">IFERROR(INDEX('DBX Sprint'!$A$7:$K$62, SMALL(IF((INDEX('DBX Sprint'!$A$7:$K$62, ,22)&lt;=(TODAY()+5))*(INDEX('DBX Sprint'!$A$7:$K$62, ,22)&gt;(TODAY()+1)),MATCH(ROW('DBX Sprint'!$A$7:$K$62),ROW('DBX Sprint'!$A$7:$K$62)),""),ROWS($X$34:X50)),COLUMNS('DBX Sprint'!$A$1:A12)),"")</f>
        <v/>
      </c>
      <c r="Y50" s="43" t="str" cm="1">
        <f t="array" aca="1" ref="Y50" ca="1">IFERROR(INDEX('DBX Sprint'!$A$7:$K$62, SMALL(IF((INDEX('DBX Sprint'!$A$7:$K$62, ,22)&lt;=(TODAY()+10))*(INDEX('DBX Sprint'!$A$7:$K$62, ,22)&gt;(TODAY()+5)),MATCH(ROW('DBX Sprint'!$A$7:$K$62),ROW('DBX Sprint'!$A$7:$K$62)),""),ROWS($Y$34:Y50)),COLUMNS('DBX Sprint'!$A$1:A12)),"")</f>
        <v/>
      </c>
      <c r="AA50" s="41" t="str" cm="1">
        <f t="array" ref="AA50">IFERROR(INDEX('DBX Sprint'!$A$7:$K$62, SMALL(IF((INDEX('DBX Sprint'!$A$7:$K$62, ,25)=("Complete"))*(INDEX('DBX Sprint'!$A$7:$K$62, ,25)="Complete"),MATCH(ROW('DBX Sprint'!$A$7:$K$62),ROW('DBX Sprint'!$A$7:$K$62)),""),ROWS($AA$34:AA50)),COLUMNS('DBX Sprint'!$A$1:A12)),"")</f>
        <v/>
      </c>
      <c r="AB50" s="41" t="str" cm="1">
        <f t="array" aca="1" ref="AB50" ca="1">IFERROR(INDEX('DBX Sprint'!$A$7:$K$62, SMALL(IF((INDEX('DBX Sprint'!$A$7:$K$62, ,25)&lt;(TODAY()))*(INDEX('DBX Sprint'!$A$7:$K$62, ,25)&lt;&gt;"Complete"),MATCH(ROW('DBX Sprint'!$A$7:$K$62),ROW('DBX Sprint'!$A$7:$K$62)),""),ROWS($AB$34:AB50)),COLUMNS('DBX Sprint'!$A$1:A12)),"")</f>
        <v/>
      </c>
      <c r="AC50" s="41" t="str" cm="1">
        <f t="array" aca="1" ref="AC50" ca="1">IFERROR(INDEX('DBX Sprint'!$A$7:$K$62, SMALL(IF((INDEX('DBX Sprint'!$A$7:$K$62, ,25)&lt;=(TODAY()+1))*(INDEX('DBX Sprint'!$A$7:$K$62, ,25)&gt;=TODAY()),MATCH(ROW('DBX Sprint'!$A$7:$K$62),ROW('DBX Sprint'!$A$7:$K$62)),""),ROWS($AC$34:AC50)),COLUMNS('DBX Sprint'!$A$1:A12)),"")</f>
        <v/>
      </c>
      <c r="AD50" s="43" t="str" cm="1">
        <f t="array" aca="1" ref="AD50" ca="1">IFERROR(INDEX('DBX Sprint'!$A$7:$K$62, SMALL(IF((INDEX('DBX Sprint'!$A$7:$K$62, ,25)&lt;=(TODAY()+5))*(INDEX('DBX Sprint'!$A$7:$K$62, ,25)&gt;(TODAY()+1)),MATCH(ROW('DBX Sprint'!$A$7:$K$62),ROW('DBX Sprint'!$A$7:$K$62)),""),ROWS($AD$34:AD50)),COLUMNS('DBX Sprint'!$A$1:A12)),"")</f>
        <v/>
      </c>
      <c r="AE50" s="43" t="str" cm="1">
        <f t="array" aca="1" ref="AE50" ca="1">IFERROR(INDEX('DBX Sprint'!$A$7:$K$62, SMALL(IF((INDEX('DBX Sprint'!$A$7:$K$62, ,25)&lt;=(TODAY()+10))*(INDEX('DBX Sprint'!$A$7:$K$62, ,25)&gt;(TODAY()+5)),MATCH(ROW('DBX Sprint'!$A$7:$K$62),ROW('DBX Sprint'!$A$7:$K$62)),""),ROWS($AE$34:AE50)),COLUMNS('DBX Sprint'!$A$1:A12)),"")</f>
        <v/>
      </c>
      <c r="AG50" s="41" t="str" cm="1">
        <f t="array" ref="AG50">IFERROR(INDEX('DBX Sprint'!$A$7:$K$62, SMALL(IF((INDEX('DBX Sprint'!$A$7:$K$62, ,29)=("Complete"))*(INDEX('DBX Sprint'!$A$7:$K$62, ,29)="Complete"),MATCH(ROW('DBX Sprint'!$A$7:$K$62),ROW('DBX Sprint'!$A$7:$K$62)),""),ROWS($AG$34:AG50)),COLUMNS('DBX Sprint'!$A$1:A12)),"")</f>
        <v/>
      </c>
      <c r="AH50" s="41" t="str" cm="1">
        <f t="array" aca="1" ref="AH50" ca="1">IFERROR(INDEX('DBX Sprint'!$A$7:$K$62, SMALL(IF((INDEX('DBX Sprint'!$A$7:$K$62, ,29)&lt;(TODAY()))*(INDEX('DBX Sprint'!$A$7:$K$62, ,29)&lt;&gt;"Complete"),MATCH(ROW('DBX Sprint'!$A$7:$K$62),ROW('DBX Sprint'!$A$7:$K$62)),""),ROWS($AH$34:AH50)),COLUMNS('DBX Sprint'!$A$1:A12)),"")</f>
        <v/>
      </c>
      <c r="AI50" s="41" t="str" cm="1">
        <f t="array" aca="1" ref="AI50" ca="1">IFERROR(INDEX('DBX Sprint'!$A$7:$K$62, SMALL(IF((INDEX('DBX Sprint'!$A$7:$K$62, ,29)&lt;=(TODAY()+1))*(INDEX('DBX Sprint'!$A$7:$K$62, ,29)&gt;=TODAY()),MATCH(ROW('DBX Sprint'!$A$7:$K$62),ROW('DBX Sprint'!$A$7:$K$62)),""),ROWS($AI$34:AI50)),COLUMNS('DBX Sprint'!$A$1:A12)),"")</f>
        <v/>
      </c>
      <c r="AJ50" s="43" t="str" cm="1">
        <f t="array" aca="1" ref="AJ50" ca="1">IFERROR(INDEX('DBX Sprint'!$A$7:$K$62, SMALL(IF((INDEX('DBX Sprint'!$A$7:$K$62, ,29)&lt;=(TODAY()+5))*(INDEX('DBX Sprint'!$A$7:$K$62, ,29)&gt;(TODAY()+1)),MATCH(ROW('DBX Sprint'!$A$7:$K$62),ROW('DBX Sprint'!$A$7:$K$62)),""),ROWS($AJ$34:AJ50)),COLUMNS('DBX Sprint'!$A$1:A12)),"")</f>
        <v/>
      </c>
      <c r="AK50" s="43" t="str" cm="1">
        <f t="array" aca="1" ref="AK50" ca="1">IFERROR(INDEX('DBX Sprint'!$A$7:$K$62, SMALL(IF((INDEX('DBX Sprint'!$A$7:$K$62, ,29)&lt;=(TODAY()+10))*(INDEX('DBX Sprint'!$A$7:$K$62, ,29)&gt;(TODAY()+5)),MATCH(ROW('DBX Sprint'!$A$7:$K$62),ROW('DBX Sprint'!$A$7:$K$62)),""),ROWS($AK$34:AK50)),COLUMNS('DBX Sprint'!$A$1:A12)),"")</f>
        <v/>
      </c>
      <c r="AM50" s="41" t="str" cm="1">
        <f t="array" ref="AM50">IFERROR(INDEX('DBX Sprint'!$A$7:$K$62, SMALL(IF((INDEX('DBX Sprint'!$A$7:$K$62, ,32)=("Complete"))*(INDEX('DBX Sprint'!$A$7:$K$62, ,32)="Complete"),MATCH(ROW('DBX Sprint'!$A$7:$K$62),ROW('DBX Sprint'!$A$7:$K$62)),""),ROWS($AM$34:AM50)),COLUMNS('DBX Sprint'!$A$1:A12)),"")</f>
        <v/>
      </c>
      <c r="AN50" s="41" t="str" cm="1">
        <f t="array" aca="1" ref="AN50" ca="1">IFERROR(INDEX('DBX Sprint'!$A$7:$K$62, SMALL(IF((INDEX('DBX Sprint'!$A$7:$K$62, ,32)&lt;(TODAY()))*(INDEX('DBX Sprint'!$A$7:$K$62, ,32)&lt;&gt;"Complete"),MATCH(ROW('DBX Sprint'!$A$7:$K$62),ROW('DBX Sprint'!$A$7:$K$62)),""),ROWS($AN$34:AN50)),COLUMNS('DBX Sprint'!$A$1:A12)),"")</f>
        <v/>
      </c>
      <c r="AO50" s="41" t="str" cm="1">
        <f t="array" aca="1" ref="AO50" ca="1">IFERROR(INDEX('DBX Sprint'!$A$7:$K$62, SMALL(IF((INDEX('DBX Sprint'!$A$7:$K$62, ,32)&lt;=(TODAY()+1))*(INDEX('DBX Sprint'!$A$7:$K$62, ,32)&gt;=TODAY()),MATCH(ROW('DBX Sprint'!$A$7:$K$62),ROW('DBX Sprint'!$A$7:$K$62)),""),ROWS($AO$34:AO50)),COLUMNS('DBX Sprint'!$A$1:A12)),"")</f>
        <v/>
      </c>
      <c r="AP50" s="43" t="str" cm="1">
        <f t="array" aca="1" ref="AP50" ca="1">IFERROR(INDEX('DBX Sprint'!$A$7:$K$62, SMALL(IF((INDEX('DBX Sprint'!$A$7:$K$62, ,32)&lt;=(TODAY()+5))*(INDEX('DBX Sprint'!$A$7:$K$62, ,32)&gt;(TODAY()+1)),MATCH(ROW('DBX Sprint'!$A$7:$K$62),ROW('DBX Sprint'!$A$7:$K$62)),""),ROWS($AP$34:AP50)),COLUMNS('DBX Sprint'!$A$1:A12)),"")</f>
        <v/>
      </c>
      <c r="AQ50" s="43" t="str" cm="1">
        <f t="array" aca="1" ref="AQ50" ca="1">IFERROR(INDEX('DBX Sprint'!$A$7:$K$62, SMALL(IF((INDEX('DBX Sprint'!$A$7:$K$62, ,32)&lt;=(TODAY()+10))*(INDEX('DBX Sprint'!$A$7:$K$62, ,32)&gt;(TODAY()+5)),MATCH(ROW('DBX Sprint'!$A$7:$K$62),ROW('DBX Sprint'!$A$7:$K$62)),""),ROWS($AQ$34:AQ50)),COLUMNS('DBX Sprint'!$A$1:A12)),"")</f>
        <v/>
      </c>
    </row>
    <row r="51" spans="3:43" ht="30" customHeight="1">
      <c r="C51" s="41" t="str" cm="1">
        <f t="array" ref="C51">IFERROR(INDEX('DBX Sprint'!$A$7:$K$62, SMALL(IF((INDEX('DBX Sprint'!$A$7:$K$62, ,13)=("Complete"))*(INDEX('DBX Sprint'!$A$7:$K$62, ,13)="Complete"),MATCH(ROW('DBX Sprint'!$A$7:$K$62),ROW('DBX Sprint'!$A$7:$K$62)),""),ROWS(C$34:$C51)),COLUMNS('DBX Sprint'!$A$1:A12)),"")</f>
        <v/>
      </c>
      <c r="D51" s="41" t="str" cm="1">
        <f t="array" aca="1" ref="D51" ca="1">IFERROR(INDEX('DBX Sprint'!$A$7:$K$62, SMALL(IF((INDEX('DBX Sprint'!$A$7:$K$62, ,13)&lt;(TODAY()))*(INDEX('DBX Sprint'!$A$7:$K$62, ,13)&lt;&gt;"Complete"),MATCH(ROW('DBX Sprint'!$A$7:$K$62),ROW('DBX Sprint'!$A$7:$K$62)),""),ROWS(D$34:$D51)),COLUMNS('DBX Sprint'!$A$1:A12)),"")</f>
        <v/>
      </c>
      <c r="E51" s="41" t="str" cm="1">
        <f t="array" aca="1" ref="E51" ca="1">IFERROR(INDEX('DBX Sprint'!$A$7:$K$62, SMALL(IF((INDEX('DBX Sprint'!$A$7:$K$62, ,13)&lt;=(TODAY()+1))*(INDEX('DBX Sprint'!$A$7:$K$62, ,13)&gt;=TODAY()),MATCH(ROW('DBX Sprint'!$A$7:$K$62),ROW('DBX Sprint'!$A$7:$K$62)),""),ROWS(E$34:$E51)),COLUMNS('DBX Sprint'!$A$1:A12)),"")</f>
        <v/>
      </c>
      <c r="F51" s="43" t="str" cm="1">
        <f t="array" aca="1" ref="F51" ca="1">IFERROR(INDEX('DBX Sprint'!$A$7:$K$62, SMALL(IF((INDEX('DBX Sprint'!$A$7:$K$62, ,13)&lt;=(TODAY()+5))*(INDEX('DBX Sprint'!$A$7:$K$62, ,13)&gt;(TODAY()+1)),MATCH(ROW('DBX Sprint'!$A$7:$K$62),ROW('DBX Sprint'!$A$7:$K$62)),""),ROWS($F$34:F51)),COLUMNS('DBX Sprint'!$A$1:A12)),"")</f>
        <v/>
      </c>
      <c r="G51" s="43" t="str" cm="1">
        <f t="array" aca="1" ref="G51" ca="1">IFERROR(INDEX('DBX Sprint'!$A$7:$K$62, SMALL(IF((INDEX('DBX Sprint'!$A$7:$K$62, ,13)&lt;=(TODAY()+10))*(INDEX('DBX Sprint'!$A$7:$K$62, ,13)&gt;(TODAY()+5)),MATCH(ROW('DBX Sprint'!$A$7:$K$62),ROW('DBX Sprint'!$A$7:$K$62)),""),ROWS($G$34:G51)),COLUMNS('DBX Sprint'!$A$1:A12)),"")</f>
        <v/>
      </c>
      <c r="I51" s="41" t="str" cm="1">
        <f t="array" ref="I51">IFERROR(INDEX('DBX Sprint'!$A$7:$K$62, SMALL(IF((INDEX('DBX Sprint'!$A$7:$K$62, ,16)=("Complete"))*(INDEX('DBX Sprint'!$A$7:$K$62, ,16)="Complete"),MATCH(ROW('DBX Sprint'!$A$7:$K$62),ROW('DBX Sprint'!$A$7:$K$62)),""),ROWS($I$34:I51)),COLUMNS('DBX Sprint'!$A$1:A12)),"")</f>
        <v/>
      </c>
      <c r="J51" s="41" t="str" cm="1">
        <f t="array" aca="1" ref="J51" ca="1">IFERROR(INDEX('DBX Sprint'!$A$7:$K$62, SMALL(IF((INDEX('DBX Sprint'!$A$7:$K$62, ,16)&lt;(TODAY()))*(INDEX('DBX Sprint'!$A$7:$K$62, ,16)&lt;&gt;"Complete"),MATCH(ROW('DBX Sprint'!$A$7:$K$62),ROW('DBX Sprint'!$A$7:$K$62)),""),ROWS($J$34:J51)),COLUMNS('DBX Sprint'!$A$1:A12)),"")</f>
        <v/>
      </c>
      <c r="K51" s="37" t="str" cm="1">
        <f t="array" aca="1" ref="K51" ca="1">IFERROR(INDEX('DBX Sprint'!$A$7:$K$62, SMALL(IF((INDEX('DBX Sprint'!$A$7:$K$62, ,16)&lt;=(TODAY()+1))*(INDEX('DBX Sprint'!$A$7:$K$62, ,16)&gt;=TODAY()),MATCH(ROW('DBX Sprint'!$A$7:$K$62),ROW('DBX Sprint'!$A$7:$K$62)),""),ROWS($K$34:K51)),COLUMNS('DBX Sprint'!$A$1:A12)),"")</f>
        <v/>
      </c>
      <c r="L51" s="38" t="str" cm="1">
        <f t="array" aca="1" ref="L51" ca="1">IFERROR(INDEX('DBX Sprint'!$A$7:$K$62, SMALL(IF((INDEX('DBX Sprint'!$A$7:$K$62, ,16)&lt;=(TODAY()+5))*(INDEX('DBX Sprint'!$A$7:$K$62, ,16)&gt;(TODAY()+1)),MATCH(ROW('DBX Sprint'!$A$7:$K$62),ROW('DBX Sprint'!$A$7:$K$62)),""),ROWS($L$34:L51)),COLUMNS('DBX Sprint'!$A$1:A12)),"")</f>
        <v/>
      </c>
      <c r="M51" s="38" t="str" cm="1">
        <f t="array" aca="1" ref="M51" ca="1">IFERROR(INDEX('DBX Sprint'!$A$7:$K$62, SMALL(IF((INDEX('DBX Sprint'!$A$7:$K$62, ,16)&lt;=(TODAY()+10))*(INDEX('DBX Sprint'!$A$7:$K$62, ,16)&gt;(TODAY()+5)),MATCH(ROW('DBX Sprint'!$A$7:$K$62),ROW('DBX Sprint'!$A$7:$K$62)),""),ROWS($M$34:M51)),COLUMNS('DBX Sprint'!$A$1:A12)),"")</f>
        <v/>
      </c>
      <c r="O51" s="41" t="str" cm="1">
        <f t="array" ref="O51">IFERROR(INDEX('DBX Sprint'!$A$7:$K$62, SMALL(IF((INDEX('DBX Sprint'!$A$7:$K$62, ,19)=("Complete"))*(INDEX('DBX Sprint'!$A$7:$K$62, ,19)="Complete"),MATCH(ROW('DBX Sprint'!$A$7:$K$62),ROW('DBX Sprint'!$A$7:$K$62)),""),ROWS($O$34:O51)),COLUMNS('DBX Sprint'!$A$1:A12)),"")</f>
        <v/>
      </c>
      <c r="P51" s="41" t="str" cm="1">
        <f t="array" aca="1" ref="P51" ca="1">IFERROR(INDEX('DBX Sprint'!$A$7:$K$62, SMALL(IF((INDEX('DBX Sprint'!$A$7:$K$62, ,19)&lt;(TODAY()))*(INDEX('DBX Sprint'!$A$7:$K$62, ,19)&lt;&gt;"Complete"),MATCH(ROW('DBX Sprint'!$A$7:$K$62),ROW('DBX Sprint'!$A$7:$K$62)),""),ROWS($P$34:P51)),COLUMNS('DBX Sprint'!$A$1:A12)),"")</f>
        <v/>
      </c>
      <c r="Q51" s="41" t="str" cm="1">
        <f t="array" aca="1" ref="Q51" ca="1">IFERROR(INDEX('DBX Sprint'!$A$7:$K$62, SMALL(IF((INDEX('DBX Sprint'!$A$7:$K$62, ,19)&lt;=(TODAY()+1))*(INDEX('DBX Sprint'!$A$7:$K$62, ,19)&gt;=TODAY()),MATCH(ROW('DBX Sprint'!$A$7:$K$62),ROW('DBX Sprint'!$A$7:$K$62)),""),ROWS($Q$34:Q51)),COLUMNS('DBX Sprint'!$A$1:A12)),"")</f>
        <v/>
      </c>
      <c r="R51" s="43" t="str" cm="1">
        <f t="array" aca="1" ref="R51" ca="1">IFERROR(INDEX('DBX Sprint'!$A$7:$K$62, SMALL(IF((INDEX('DBX Sprint'!$A$7:$K$62, ,19)&lt;=(TODAY()+5))*(INDEX('DBX Sprint'!$A$7:$K$62, ,19)&gt;(TODAY()+1)),MATCH(ROW('DBX Sprint'!$A$7:$K$62),ROW('DBX Sprint'!$A$7:$K$62)),""),ROWS($R$34:R51)),COLUMNS('DBX Sprint'!$A$1:A12)),"")</f>
        <v/>
      </c>
      <c r="S51" s="43" t="str" cm="1">
        <f t="array" aca="1" ref="S51" ca="1">IFERROR(INDEX('DBX Sprint'!$A$7:$K$62, SMALL(IF((INDEX('DBX Sprint'!$A$7:$K$62, ,19)&lt;=(TODAY()+10))*(INDEX('DBX Sprint'!$A$7:$K$62, ,19)&gt;(TODAY()+5)),MATCH(ROW('DBX Sprint'!$A$7:$K$62),ROW('DBX Sprint'!$A$7:$K$62)),""),ROWS($S$34:S51)),COLUMNS('DBX Sprint'!$A$1:A12)),"")</f>
        <v/>
      </c>
      <c r="U51" s="41" t="str" cm="1">
        <f t="array" ref="U51">IFERROR(INDEX('DBX Sprint'!$A$7:$K$62, SMALL(IF((INDEX('DBX Sprint'!$A$7:$K$62, ,22)=("Complete"))*(INDEX('DBX Sprint'!$A$7:$K$62, ,22)="Complete"),MATCH(ROW('DBX Sprint'!$A$7:$K$62),ROW('DBX Sprint'!$A$7:$K$62)),""),ROWS($U$34:U51)),COLUMNS('DBX Sprint'!$A$1:A12)),"")</f>
        <v/>
      </c>
      <c r="V51" s="41" t="str" cm="1">
        <f t="array" aca="1" ref="V51" ca="1">IFERROR(INDEX('DBX Sprint'!$A$7:$K$62, SMALL(IF((INDEX('DBX Sprint'!$A$7:$K$62, ,22)&lt;(TODAY()))*(INDEX('DBX Sprint'!$A$7:$K$62, ,22)&lt;&gt;"Complete"),MATCH(ROW('DBX Sprint'!$A$7:$K$62),ROW('DBX Sprint'!$A$7:$K$62)),""),ROWS($V$34:V51)),COLUMNS('DBX Sprint'!$A$1:A12)),"")</f>
        <v/>
      </c>
      <c r="W51" s="41" t="str" cm="1">
        <f t="array" aca="1" ref="W51" ca="1">IFERROR(INDEX('DBX Sprint'!$A$7:$K$62, SMALL(IF((INDEX('DBX Sprint'!$A$7:$K$62, ,22)&lt;=(TODAY()+1))*(INDEX('DBX Sprint'!$A$7:$K$62, ,22)&gt;=TODAY()),MATCH(ROW('DBX Sprint'!$A$7:$K$62),ROW('DBX Sprint'!$A$7:$K$62)),""),ROWS($W$34:W51)),COLUMNS('DBX Sprint'!$A$1:A12)),"")</f>
        <v/>
      </c>
      <c r="X51" s="43" t="str" cm="1">
        <f t="array" aca="1" ref="X51" ca="1">IFERROR(INDEX('DBX Sprint'!$A$7:$K$62, SMALL(IF((INDEX('DBX Sprint'!$A$7:$K$62, ,22)&lt;=(TODAY()+5))*(INDEX('DBX Sprint'!$A$7:$K$62, ,22)&gt;(TODAY()+1)),MATCH(ROW('DBX Sprint'!$A$7:$K$62),ROW('DBX Sprint'!$A$7:$K$62)),""),ROWS($X$34:X51)),COLUMNS('DBX Sprint'!$A$1:A12)),"")</f>
        <v/>
      </c>
      <c r="Y51" s="43" t="str" cm="1">
        <f t="array" aca="1" ref="Y51" ca="1">IFERROR(INDEX('DBX Sprint'!$A$7:$K$62, SMALL(IF((INDEX('DBX Sprint'!$A$7:$K$62, ,22)&lt;=(TODAY()+10))*(INDEX('DBX Sprint'!$A$7:$K$62, ,22)&gt;(TODAY()+5)),MATCH(ROW('DBX Sprint'!$A$7:$K$62),ROW('DBX Sprint'!$A$7:$K$62)),""),ROWS($Y$34:Y51)),COLUMNS('DBX Sprint'!$A$1:A12)),"")</f>
        <v/>
      </c>
      <c r="AA51" s="41" t="str" cm="1">
        <f t="array" ref="AA51">IFERROR(INDEX('DBX Sprint'!$A$7:$K$62, SMALL(IF((INDEX('DBX Sprint'!$A$7:$K$62, ,25)=("Complete"))*(INDEX('DBX Sprint'!$A$7:$K$62, ,25)="Complete"),MATCH(ROW('DBX Sprint'!$A$7:$K$62),ROW('DBX Sprint'!$A$7:$K$62)),""),ROWS($AA$34:AA51)),COLUMNS('DBX Sprint'!$A$1:A12)),"")</f>
        <v/>
      </c>
      <c r="AB51" s="41" t="str" cm="1">
        <f t="array" aca="1" ref="AB51" ca="1">IFERROR(INDEX('DBX Sprint'!$A$7:$K$62, SMALL(IF((INDEX('DBX Sprint'!$A$7:$K$62, ,25)&lt;(TODAY()))*(INDEX('DBX Sprint'!$A$7:$K$62, ,25)&lt;&gt;"Complete"),MATCH(ROW('DBX Sprint'!$A$7:$K$62),ROW('DBX Sprint'!$A$7:$K$62)),""),ROWS($AB$34:AB51)),COLUMNS('DBX Sprint'!$A$1:A12)),"")</f>
        <v/>
      </c>
      <c r="AC51" s="41" t="str" cm="1">
        <f t="array" aca="1" ref="AC51" ca="1">IFERROR(INDEX('DBX Sprint'!$A$7:$K$62, SMALL(IF((INDEX('DBX Sprint'!$A$7:$K$62, ,25)&lt;=(TODAY()+1))*(INDEX('DBX Sprint'!$A$7:$K$62, ,25)&gt;=TODAY()),MATCH(ROW('DBX Sprint'!$A$7:$K$62),ROW('DBX Sprint'!$A$7:$K$62)),""),ROWS($AC$34:AC51)),COLUMNS('DBX Sprint'!$A$1:A12)),"")</f>
        <v/>
      </c>
      <c r="AD51" s="43" t="str" cm="1">
        <f t="array" aca="1" ref="AD51" ca="1">IFERROR(INDEX('DBX Sprint'!$A$7:$K$62, SMALL(IF((INDEX('DBX Sprint'!$A$7:$K$62, ,25)&lt;=(TODAY()+5))*(INDEX('DBX Sprint'!$A$7:$K$62, ,25)&gt;(TODAY()+1)),MATCH(ROW('DBX Sprint'!$A$7:$K$62),ROW('DBX Sprint'!$A$7:$K$62)),""),ROWS($AD$34:AD51)),COLUMNS('DBX Sprint'!$A$1:A12)),"")</f>
        <v/>
      </c>
      <c r="AE51" s="43" t="str" cm="1">
        <f t="array" aca="1" ref="AE51" ca="1">IFERROR(INDEX('DBX Sprint'!$A$7:$K$62, SMALL(IF((INDEX('DBX Sprint'!$A$7:$K$62, ,25)&lt;=(TODAY()+10))*(INDEX('DBX Sprint'!$A$7:$K$62, ,25)&gt;(TODAY()+5)),MATCH(ROW('DBX Sprint'!$A$7:$K$62),ROW('DBX Sprint'!$A$7:$K$62)),""),ROWS($AE$34:AE51)),COLUMNS('DBX Sprint'!$A$1:A12)),"")</f>
        <v/>
      </c>
      <c r="AG51" s="41" t="str" cm="1">
        <f t="array" ref="AG51">IFERROR(INDEX('DBX Sprint'!$A$7:$K$62, SMALL(IF((INDEX('DBX Sprint'!$A$7:$K$62, ,29)=("Complete"))*(INDEX('DBX Sprint'!$A$7:$K$62, ,29)="Complete"),MATCH(ROW('DBX Sprint'!$A$7:$K$62),ROW('DBX Sprint'!$A$7:$K$62)),""),ROWS($AG$34:AG51)),COLUMNS('DBX Sprint'!$A$1:A12)),"")</f>
        <v/>
      </c>
      <c r="AH51" s="41" t="str" cm="1">
        <f t="array" aca="1" ref="AH51" ca="1">IFERROR(INDEX('DBX Sprint'!$A$7:$K$62, SMALL(IF((INDEX('DBX Sprint'!$A$7:$K$62, ,29)&lt;(TODAY()))*(INDEX('DBX Sprint'!$A$7:$K$62, ,29)&lt;&gt;"Complete"),MATCH(ROW('DBX Sprint'!$A$7:$K$62),ROW('DBX Sprint'!$A$7:$K$62)),""),ROWS($AH$34:AH51)),COLUMNS('DBX Sprint'!$A$1:A12)),"")</f>
        <v/>
      </c>
      <c r="AI51" s="41" t="str" cm="1">
        <f t="array" aca="1" ref="AI51" ca="1">IFERROR(INDEX('DBX Sprint'!$A$7:$K$62, SMALL(IF((INDEX('DBX Sprint'!$A$7:$K$62, ,29)&lt;=(TODAY()+1))*(INDEX('DBX Sprint'!$A$7:$K$62, ,29)&gt;=TODAY()),MATCH(ROW('DBX Sprint'!$A$7:$K$62),ROW('DBX Sprint'!$A$7:$K$62)),""),ROWS($AI$34:AI51)),COLUMNS('DBX Sprint'!$A$1:A12)),"")</f>
        <v/>
      </c>
      <c r="AJ51" s="43" t="str" cm="1">
        <f t="array" aca="1" ref="AJ51" ca="1">IFERROR(INDEX('DBX Sprint'!$A$7:$K$62, SMALL(IF((INDEX('DBX Sprint'!$A$7:$K$62, ,29)&lt;=(TODAY()+5))*(INDEX('DBX Sprint'!$A$7:$K$62, ,29)&gt;(TODAY()+1)),MATCH(ROW('DBX Sprint'!$A$7:$K$62),ROW('DBX Sprint'!$A$7:$K$62)),""),ROWS($AJ$34:AJ51)),COLUMNS('DBX Sprint'!$A$1:A12)),"")</f>
        <v/>
      </c>
      <c r="AK51" s="43" t="str" cm="1">
        <f t="array" aca="1" ref="AK51" ca="1">IFERROR(INDEX('DBX Sprint'!$A$7:$K$62, SMALL(IF((INDEX('DBX Sprint'!$A$7:$K$62, ,29)&lt;=(TODAY()+10))*(INDEX('DBX Sprint'!$A$7:$K$62, ,29)&gt;(TODAY()+5)),MATCH(ROW('DBX Sprint'!$A$7:$K$62),ROW('DBX Sprint'!$A$7:$K$62)),""),ROWS($AK$34:AK51)),COLUMNS('DBX Sprint'!$A$1:A12)),"")</f>
        <v/>
      </c>
      <c r="AM51" s="41" t="str" cm="1">
        <f t="array" ref="AM51">IFERROR(INDEX('DBX Sprint'!$A$7:$K$62, SMALL(IF((INDEX('DBX Sprint'!$A$7:$K$62, ,32)=("Complete"))*(INDEX('DBX Sprint'!$A$7:$K$62, ,32)="Complete"),MATCH(ROW('DBX Sprint'!$A$7:$K$62),ROW('DBX Sprint'!$A$7:$K$62)),""),ROWS($AM$34:AM51)),COLUMNS('DBX Sprint'!$A$1:A12)),"")</f>
        <v/>
      </c>
      <c r="AN51" s="41" t="str" cm="1">
        <f t="array" aca="1" ref="AN51" ca="1">IFERROR(INDEX('DBX Sprint'!$A$7:$K$62, SMALL(IF((INDEX('DBX Sprint'!$A$7:$K$62, ,32)&lt;(TODAY()))*(INDEX('DBX Sprint'!$A$7:$K$62, ,32)&lt;&gt;"Complete"),MATCH(ROW('DBX Sprint'!$A$7:$K$62),ROW('DBX Sprint'!$A$7:$K$62)),""),ROWS($AN$34:AN51)),COLUMNS('DBX Sprint'!$A$1:A12)),"")</f>
        <v/>
      </c>
      <c r="AO51" s="41" t="str" cm="1">
        <f t="array" aca="1" ref="AO51" ca="1">IFERROR(INDEX('DBX Sprint'!$A$7:$K$62, SMALL(IF((INDEX('DBX Sprint'!$A$7:$K$62, ,32)&lt;=(TODAY()+1))*(INDEX('DBX Sprint'!$A$7:$K$62, ,32)&gt;=TODAY()),MATCH(ROW('DBX Sprint'!$A$7:$K$62),ROW('DBX Sprint'!$A$7:$K$62)),""),ROWS($AO$34:AO51)),COLUMNS('DBX Sprint'!$A$1:A12)),"")</f>
        <v/>
      </c>
      <c r="AP51" s="43" t="str" cm="1">
        <f t="array" aca="1" ref="AP51" ca="1">IFERROR(INDEX('DBX Sprint'!$A$7:$K$62, SMALL(IF((INDEX('DBX Sprint'!$A$7:$K$62, ,32)&lt;=(TODAY()+5))*(INDEX('DBX Sprint'!$A$7:$K$62, ,32)&gt;(TODAY()+1)),MATCH(ROW('DBX Sprint'!$A$7:$K$62),ROW('DBX Sprint'!$A$7:$K$62)),""),ROWS($AP$34:AP51)),COLUMNS('DBX Sprint'!$A$1:A12)),"")</f>
        <v/>
      </c>
      <c r="AQ51" s="43" t="str" cm="1">
        <f t="array" aca="1" ref="AQ51" ca="1">IFERROR(INDEX('DBX Sprint'!$A$7:$K$62, SMALL(IF((INDEX('DBX Sprint'!$A$7:$K$62, ,32)&lt;=(TODAY()+10))*(INDEX('DBX Sprint'!$A$7:$K$62, ,32)&gt;(TODAY()+5)),MATCH(ROW('DBX Sprint'!$A$7:$K$62),ROW('DBX Sprint'!$A$7:$K$62)),""),ROWS($AQ$34:AQ51)),COLUMNS('DBX Sprint'!$A$1:A12)),"")</f>
        <v/>
      </c>
    </row>
    <row r="52" spans="3:43" ht="30" customHeight="1">
      <c r="C52" s="41" t="str" cm="1">
        <f t="array" ref="C52">IFERROR(INDEX('DBX Sprint'!$A$7:$K$62, SMALL(IF((INDEX('DBX Sprint'!$A$7:$K$62, ,13)=("Complete"))*(INDEX('DBX Sprint'!$A$7:$K$62, ,13)="Complete"),MATCH(ROW('DBX Sprint'!$A$7:$K$62),ROW('DBX Sprint'!$A$7:$K$62)),""),ROWS(C$34:$C52)),COLUMNS('DBX Sprint'!$A$1:A12)),"")</f>
        <v/>
      </c>
      <c r="D52" s="41" t="str" cm="1">
        <f t="array" aca="1" ref="D52" ca="1">IFERROR(INDEX('DBX Sprint'!$A$7:$K$62, SMALL(IF((INDEX('DBX Sprint'!$A$7:$K$62, ,13)&lt;(TODAY()))*(INDEX('DBX Sprint'!$A$7:$K$62, ,13)&lt;&gt;"Complete"),MATCH(ROW('DBX Sprint'!$A$7:$K$62),ROW('DBX Sprint'!$A$7:$K$62)),""),ROWS(D$34:$D52)),COLUMNS('DBX Sprint'!$A$1:A12)),"")</f>
        <v/>
      </c>
      <c r="E52" s="41" t="str" cm="1">
        <f t="array" aca="1" ref="E52" ca="1">IFERROR(INDEX('DBX Sprint'!$A$7:$K$62, SMALL(IF((INDEX('DBX Sprint'!$A$7:$K$62, ,13)&lt;=(TODAY()+1))*(INDEX('DBX Sprint'!$A$7:$K$62, ,13)&gt;=TODAY()),MATCH(ROW('DBX Sprint'!$A$7:$K$62),ROW('DBX Sprint'!$A$7:$K$62)),""),ROWS(E$34:$E52)),COLUMNS('DBX Sprint'!$A$1:A12)),"")</f>
        <v/>
      </c>
      <c r="F52" s="43" t="str" cm="1">
        <f t="array" aca="1" ref="F52" ca="1">IFERROR(INDEX('DBX Sprint'!$A$7:$K$62, SMALL(IF((INDEX('DBX Sprint'!$A$7:$K$62, ,13)&lt;=(TODAY()+5))*(INDEX('DBX Sprint'!$A$7:$K$62, ,13)&gt;(TODAY()+1)),MATCH(ROW('DBX Sprint'!$A$7:$K$62),ROW('DBX Sprint'!$A$7:$K$62)),""),ROWS($F$34:F52)),COLUMNS('DBX Sprint'!$A$1:A12)),"")</f>
        <v/>
      </c>
      <c r="G52" s="43" t="str" cm="1">
        <f t="array" aca="1" ref="G52" ca="1">IFERROR(INDEX('DBX Sprint'!$A$7:$K$62, SMALL(IF((INDEX('DBX Sprint'!$A$7:$K$62, ,13)&lt;=(TODAY()+10))*(INDEX('DBX Sprint'!$A$7:$K$62, ,13)&gt;(TODAY()+5)),MATCH(ROW('DBX Sprint'!$A$7:$K$62),ROW('DBX Sprint'!$A$7:$K$62)),""),ROWS($G$34:G52)),COLUMNS('DBX Sprint'!$A$1:A12)),"")</f>
        <v/>
      </c>
      <c r="I52" s="41" t="str" cm="1">
        <f t="array" ref="I52">IFERROR(INDEX('DBX Sprint'!$A$7:$K$62, SMALL(IF((INDEX('DBX Sprint'!$A$7:$K$62, ,16)=("Complete"))*(INDEX('DBX Sprint'!$A$7:$K$62, ,16)="Complete"),MATCH(ROW('DBX Sprint'!$A$7:$K$62),ROW('DBX Sprint'!$A$7:$K$62)),""),ROWS($I$34:I52)),COLUMNS('DBX Sprint'!$A$1:A12)),"")</f>
        <v/>
      </c>
      <c r="J52" s="41" t="str" cm="1">
        <f t="array" aca="1" ref="J52" ca="1">IFERROR(INDEX('DBX Sprint'!$A$7:$K$62, SMALL(IF((INDEX('DBX Sprint'!$A$7:$K$62, ,16)&lt;(TODAY()))*(INDEX('DBX Sprint'!$A$7:$K$62, ,16)&lt;&gt;"Complete"),MATCH(ROW('DBX Sprint'!$A$7:$K$62),ROW('DBX Sprint'!$A$7:$K$62)),""),ROWS($J$34:J52)),COLUMNS('DBX Sprint'!$A$1:A12)),"")</f>
        <v/>
      </c>
      <c r="K52" s="37" t="str" cm="1">
        <f t="array" aca="1" ref="K52" ca="1">IFERROR(INDEX('DBX Sprint'!$A$7:$K$62, SMALL(IF((INDEX('DBX Sprint'!$A$7:$K$62, ,16)&lt;=(TODAY()+1))*(INDEX('DBX Sprint'!$A$7:$K$62, ,16)&gt;=TODAY()),MATCH(ROW('DBX Sprint'!$A$7:$K$62),ROW('DBX Sprint'!$A$7:$K$62)),""),ROWS($K$34:K52)),COLUMNS('DBX Sprint'!$A$1:A12)),"")</f>
        <v/>
      </c>
      <c r="L52" s="38" t="str" cm="1">
        <f t="array" aca="1" ref="L52" ca="1">IFERROR(INDEX('DBX Sprint'!$A$7:$K$62, SMALL(IF((INDEX('DBX Sprint'!$A$7:$K$62, ,16)&lt;=(TODAY()+5))*(INDEX('DBX Sprint'!$A$7:$K$62, ,16)&gt;(TODAY()+1)),MATCH(ROW('DBX Sprint'!$A$7:$K$62),ROW('DBX Sprint'!$A$7:$K$62)),""),ROWS($L$34:L52)),COLUMNS('DBX Sprint'!$A$1:A12)),"")</f>
        <v/>
      </c>
      <c r="M52" s="38" t="str" cm="1">
        <f t="array" aca="1" ref="M52" ca="1">IFERROR(INDEX('DBX Sprint'!$A$7:$K$62, SMALL(IF((INDEX('DBX Sprint'!$A$7:$K$62, ,16)&lt;=(TODAY()+10))*(INDEX('DBX Sprint'!$A$7:$K$62, ,16)&gt;(TODAY()+5)),MATCH(ROW('DBX Sprint'!$A$7:$K$62),ROW('DBX Sprint'!$A$7:$K$62)),""),ROWS($M$34:M52)),COLUMNS('DBX Sprint'!$A$1:A12)),"")</f>
        <v/>
      </c>
      <c r="O52" s="41" t="str" cm="1">
        <f t="array" ref="O52">IFERROR(INDEX('DBX Sprint'!$A$7:$K$62, SMALL(IF((INDEX('DBX Sprint'!$A$7:$K$62, ,19)=("Complete"))*(INDEX('DBX Sprint'!$A$7:$K$62, ,19)="Complete"),MATCH(ROW('DBX Sprint'!$A$7:$K$62),ROW('DBX Sprint'!$A$7:$K$62)),""),ROWS($O$34:O52)),COLUMNS('DBX Sprint'!$A$1:A12)),"")</f>
        <v/>
      </c>
      <c r="P52" s="41" t="str" cm="1">
        <f t="array" aca="1" ref="P52" ca="1">IFERROR(INDEX('DBX Sprint'!$A$7:$K$62, SMALL(IF((INDEX('DBX Sprint'!$A$7:$K$62, ,19)&lt;(TODAY()))*(INDEX('DBX Sprint'!$A$7:$K$62, ,19)&lt;&gt;"Complete"),MATCH(ROW('DBX Sprint'!$A$7:$K$62),ROW('DBX Sprint'!$A$7:$K$62)),""),ROWS($P$34:P52)),COLUMNS('DBX Sprint'!$A$1:A12)),"")</f>
        <v/>
      </c>
      <c r="Q52" s="41" t="str" cm="1">
        <f t="array" aca="1" ref="Q52" ca="1">IFERROR(INDEX('DBX Sprint'!$A$7:$K$62, SMALL(IF((INDEX('DBX Sprint'!$A$7:$K$62, ,19)&lt;=(TODAY()+1))*(INDEX('DBX Sprint'!$A$7:$K$62, ,19)&gt;=TODAY()),MATCH(ROW('DBX Sprint'!$A$7:$K$62),ROW('DBX Sprint'!$A$7:$K$62)),""),ROWS($Q$34:Q52)),COLUMNS('DBX Sprint'!$A$1:A12)),"")</f>
        <v/>
      </c>
      <c r="R52" s="43" t="str" cm="1">
        <f t="array" aca="1" ref="R52" ca="1">IFERROR(INDEX('DBX Sprint'!$A$7:$K$62, SMALL(IF((INDEX('DBX Sprint'!$A$7:$K$62, ,19)&lt;=(TODAY()+5))*(INDEX('DBX Sprint'!$A$7:$K$62, ,19)&gt;(TODAY()+1)),MATCH(ROW('DBX Sprint'!$A$7:$K$62),ROW('DBX Sprint'!$A$7:$K$62)),""),ROWS($R$34:R52)),COLUMNS('DBX Sprint'!$A$1:A12)),"")</f>
        <v/>
      </c>
      <c r="S52" s="43" t="str" cm="1">
        <f t="array" aca="1" ref="S52" ca="1">IFERROR(INDEX('DBX Sprint'!$A$7:$K$62, SMALL(IF((INDEX('DBX Sprint'!$A$7:$K$62, ,19)&lt;=(TODAY()+10))*(INDEX('DBX Sprint'!$A$7:$K$62, ,19)&gt;(TODAY()+5)),MATCH(ROW('DBX Sprint'!$A$7:$K$62),ROW('DBX Sprint'!$A$7:$K$62)),""),ROWS($S$34:S52)),COLUMNS('DBX Sprint'!$A$1:A12)),"")</f>
        <v/>
      </c>
      <c r="U52" s="41" t="str" cm="1">
        <f t="array" ref="U52">IFERROR(INDEX('DBX Sprint'!$A$7:$K$62, SMALL(IF((INDEX('DBX Sprint'!$A$7:$K$62, ,22)=("Complete"))*(INDEX('DBX Sprint'!$A$7:$K$62, ,22)="Complete"),MATCH(ROW('DBX Sprint'!$A$7:$K$62),ROW('DBX Sprint'!$A$7:$K$62)),""),ROWS($U$34:U52)),COLUMNS('DBX Sprint'!$A$1:A12)),"")</f>
        <v/>
      </c>
      <c r="V52" s="41" t="str" cm="1">
        <f t="array" aca="1" ref="V52" ca="1">IFERROR(INDEX('DBX Sprint'!$A$7:$K$62, SMALL(IF((INDEX('DBX Sprint'!$A$7:$K$62, ,22)&lt;(TODAY()))*(INDEX('DBX Sprint'!$A$7:$K$62, ,22)&lt;&gt;"Complete"),MATCH(ROW('DBX Sprint'!$A$7:$K$62),ROW('DBX Sprint'!$A$7:$K$62)),""),ROWS($V$34:V52)),COLUMNS('DBX Sprint'!$A$1:A12)),"")</f>
        <v/>
      </c>
      <c r="W52" s="41" t="str" cm="1">
        <f t="array" aca="1" ref="W52" ca="1">IFERROR(INDEX('DBX Sprint'!$A$7:$K$62, SMALL(IF((INDEX('DBX Sprint'!$A$7:$K$62, ,22)&lt;=(TODAY()+1))*(INDEX('DBX Sprint'!$A$7:$K$62, ,22)&gt;=TODAY()),MATCH(ROW('DBX Sprint'!$A$7:$K$62),ROW('DBX Sprint'!$A$7:$K$62)),""),ROWS($W$34:W52)),COLUMNS('DBX Sprint'!$A$1:A12)),"")</f>
        <v/>
      </c>
      <c r="X52" s="43" t="str" cm="1">
        <f t="array" aca="1" ref="X52" ca="1">IFERROR(INDEX('DBX Sprint'!$A$7:$K$62, SMALL(IF((INDEX('DBX Sprint'!$A$7:$K$62, ,22)&lt;=(TODAY()+5))*(INDEX('DBX Sprint'!$A$7:$K$62, ,22)&gt;(TODAY()+1)),MATCH(ROW('DBX Sprint'!$A$7:$K$62),ROW('DBX Sprint'!$A$7:$K$62)),""),ROWS($X$34:X52)),COLUMNS('DBX Sprint'!$A$1:A12)),"")</f>
        <v/>
      </c>
      <c r="Y52" s="43" t="str" cm="1">
        <f t="array" aca="1" ref="Y52" ca="1">IFERROR(INDEX('DBX Sprint'!$A$7:$K$62, SMALL(IF((INDEX('DBX Sprint'!$A$7:$K$62, ,22)&lt;=(TODAY()+10))*(INDEX('DBX Sprint'!$A$7:$K$62, ,22)&gt;(TODAY()+5)),MATCH(ROW('DBX Sprint'!$A$7:$K$62),ROW('DBX Sprint'!$A$7:$K$62)),""),ROWS($Y$34:Y52)),COLUMNS('DBX Sprint'!$A$1:A12)),"")</f>
        <v/>
      </c>
      <c r="AA52" s="41" t="str" cm="1">
        <f t="array" ref="AA52">IFERROR(INDEX('DBX Sprint'!$A$7:$K$62, SMALL(IF((INDEX('DBX Sprint'!$A$7:$K$62, ,25)=("Complete"))*(INDEX('DBX Sprint'!$A$7:$K$62, ,25)="Complete"),MATCH(ROW('DBX Sprint'!$A$7:$K$62),ROW('DBX Sprint'!$A$7:$K$62)),""),ROWS($AA$34:AA52)),COLUMNS('DBX Sprint'!$A$1:A12)),"")</f>
        <v/>
      </c>
      <c r="AB52" s="41" t="str" cm="1">
        <f t="array" aca="1" ref="AB52" ca="1">IFERROR(INDEX('DBX Sprint'!$A$7:$K$62, SMALL(IF((INDEX('DBX Sprint'!$A$7:$K$62, ,25)&lt;(TODAY()))*(INDEX('DBX Sprint'!$A$7:$K$62, ,25)&lt;&gt;"Complete"),MATCH(ROW('DBX Sprint'!$A$7:$K$62),ROW('DBX Sprint'!$A$7:$K$62)),""),ROWS($AB$34:AB52)),COLUMNS('DBX Sprint'!$A$1:A12)),"")</f>
        <v/>
      </c>
      <c r="AC52" s="41" t="str" cm="1">
        <f t="array" aca="1" ref="AC52" ca="1">IFERROR(INDEX('DBX Sprint'!$A$7:$K$62, SMALL(IF((INDEX('DBX Sprint'!$A$7:$K$62, ,25)&lt;=(TODAY()+1))*(INDEX('DBX Sprint'!$A$7:$K$62, ,25)&gt;=TODAY()),MATCH(ROW('DBX Sprint'!$A$7:$K$62),ROW('DBX Sprint'!$A$7:$K$62)),""),ROWS($AC$34:AC52)),COLUMNS('DBX Sprint'!$A$1:A12)),"")</f>
        <v/>
      </c>
      <c r="AD52" s="43" t="str" cm="1">
        <f t="array" aca="1" ref="AD52" ca="1">IFERROR(INDEX('DBX Sprint'!$A$7:$K$62, SMALL(IF((INDEX('DBX Sprint'!$A$7:$K$62, ,25)&lt;=(TODAY()+5))*(INDEX('DBX Sprint'!$A$7:$K$62, ,25)&gt;(TODAY()+1)),MATCH(ROW('DBX Sprint'!$A$7:$K$62),ROW('DBX Sprint'!$A$7:$K$62)),""),ROWS($AD$34:AD52)),COLUMNS('DBX Sprint'!$A$1:A12)),"")</f>
        <v/>
      </c>
      <c r="AE52" s="43" t="str" cm="1">
        <f t="array" aca="1" ref="AE52" ca="1">IFERROR(INDEX('DBX Sprint'!$A$7:$K$62, SMALL(IF((INDEX('DBX Sprint'!$A$7:$K$62, ,25)&lt;=(TODAY()+10))*(INDEX('DBX Sprint'!$A$7:$K$62, ,25)&gt;(TODAY()+5)),MATCH(ROW('DBX Sprint'!$A$7:$K$62),ROW('DBX Sprint'!$A$7:$K$62)),""),ROWS($AE$34:AE52)),COLUMNS('DBX Sprint'!$A$1:A12)),"")</f>
        <v/>
      </c>
      <c r="AG52" s="41" t="str" cm="1">
        <f t="array" ref="AG52">IFERROR(INDEX('DBX Sprint'!$A$7:$K$62, SMALL(IF((INDEX('DBX Sprint'!$A$7:$K$62, ,29)=("Complete"))*(INDEX('DBX Sprint'!$A$7:$K$62, ,29)="Complete"),MATCH(ROW('DBX Sprint'!$A$7:$K$62),ROW('DBX Sprint'!$A$7:$K$62)),""),ROWS($AG$34:AG52)),COLUMNS('DBX Sprint'!$A$1:A12)),"")</f>
        <v/>
      </c>
      <c r="AH52" s="41" t="str" cm="1">
        <f t="array" aca="1" ref="AH52" ca="1">IFERROR(INDEX('DBX Sprint'!$A$7:$K$62, SMALL(IF((INDEX('DBX Sprint'!$A$7:$K$62, ,29)&lt;(TODAY()))*(INDEX('DBX Sprint'!$A$7:$K$62, ,29)&lt;&gt;"Complete"),MATCH(ROW('DBX Sprint'!$A$7:$K$62),ROW('DBX Sprint'!$A$7:$K$62)),""),ROWS($AH$34:AH52)),COLUMNS('DBX Sprint'!$A$1:A12)),"")</f>
        <v/>
      </c>
      <c r="AI52" s="41" t="str" cm="1">
        <f t="array" aca="1" ref="AI52" ca="1">IFERROR(INDEX('DBX Sprint'!$A$7:$K$62, SMALL(IF((INDEX('DBX Sprint'!$A$7:$K$62, ,29)&lt;=(TODAY()+1))*(INDEX('DBX Sprint'!$A$7:$K$62, ,29)&gt;=TODAY()),MATCH(ROW('DBX Sprint'!$A$7:$K$62),ROW('DBX Sprint'!$A$7:$K$62)),""),ROWS($AI$34:AI52)),COLUMNS('DBX Sprint'!$A$1:A12)),"")</f>
        <v/>
      </c>
      <c r="AJ52" s="43" t="str" cm="1">
        <f t="array" aca="1" ref="AJ52" ca="1">IFERROR(INDEX('DBX Sprint'!$A$7:$K$62, SMALL(IF((INDEX('DBX Sprint'!$A$7:$K$62, ,29)&lt;=(TODAY()+5))*(INDEX('DBX Sprint'!$A$7:$K$62, ,29)&gt;(TODAY()+1)),MATCH(ROW('DBX Sprint'!$A$7:$K$62),ROW('DBX Sprint'!$A$7:$K$62)),""),ROWS($AJ$34:AJ52)),COLUMNS('DBX Sprint'!$A$1:A12)),"")</f>
        <v/>
      </c>
      <c r="AK52" s="43" t="str" cm="1">
        <f t="array" aca="1" ref="AK52" ca="1">IFERROR(INDEX('DBX Sprint'!$A$7:$K$62, SMALL(IF((INDEX('DBX Sprint'!$A$7:$K$62, ,29)&lt;=(TODAY()+10))*(INDEX('DBX Sprint'!$A$7:$K$62, ,29)&gt;(TODAY()+5)),MATCH(ROW('DBX Sprint'!$A$7:$K$62),ROW('DBX Sprint'!$A$7:$K$62)),""),ROWS($AK$34:AK52)),COLUMNS('DBX Sprint'!$A$1:A12)),"")</f>
        <v/>
      </c>
      <c r="AM52" s="41" t="str" cm="1">
        <f t="array" ref="AM52">IFERROR(INDEX('DBX Sprint'!$A$7:$K$62, SMALL(IF((INDEX('DBX Sprint'!$A$7:$K$62, ,32)=("Complete"))*(INDEX('DBX Sprint'!$A$7:$K$62, ,32)="Complete"),MATCH(ROW('DBX Sprint'!$A$7:$K$62),ROW('DBX Sprint'!$A$7:$K$62)),""),ROWS($AM$34:AM52)),COLUMNS('DBX Sprint'!$A$1:A12)),"")</f>
        <v/>
      </c>
      <c r="AN52" s="41" t="str" cm="1">
        <f t="array" aca="1" ref="AN52" ca="1">IFERROR(INDEX('DBX Sprint'!$A$7:$K$62, SMALL(IF((INDEX('DBX Sprint'!$A$7:$K$62, ,32)&lt;(TODAY()))*(INDEX('DBX Sprint'!$A$7:$K$62, ,32)&lt;&gt;"Complete"),MATCH(ROW('DBX Sprint'!$A$7:$K$62),ROW('DBX Sprint'!$A$7:$K$62)),""),ROWS($AN$34:AN52)),COLUMNS('DBX Sprint'!$A$1:A12)),"")</f>
        <v/>
      </c>
      <c r="AO52" s="41" t="str" cm="1">
        <f t="array" aca="1" ref="AO52" ca="1">IFERROR(INDEX('DBX Sprint'!$A$7:$K$62, SMALL(IF((INDEX('DBX Sprint'!$A$7:$K$62, ,32)&lt;=(TODAY()+1))*(INDEX('DBX Sprint'!$A$7:$K$62, ,32)&gt;=TODAY()),MATCH(ROW('DBX Sprint'!$A$7:$K$62),ROW('DBX Sprint'!$A$7:$K$62)),""),ROWS($AO$34:AO52)),COLUMNS('DBX Sprint'!$A$1:A12)),"")</f>
        <v/>
      </c>
      <c r="AP52" s="43" t="str" cm="1">
        <f t="array" aca="1" ref="AP52" ca="1">IFERROR(INDEX('DBX Sprint'!$A$7:$K$62, SMALL(IF((INDEX('DBX Sprint'!$A$7:$K$62, ,32)&lt;=(TODAY()+5))*(INDEX('DBX Sprint'!$A$7:$K$62, ,32)&gt;(TODAY()+1)),MATCH(ROW('DBX Sprint'!$A$7:$K$62),ROW('DBX Sprint'!$A$7:$K$62)),""),ROWS($AP$34:AP52)),COLUMNS('DBX Sprint'!$A$1:A12)),"")</f>
        <v/>
      </c>
      <c r="AQ52" s="43" t="str" cm="1">
        <f t="array" aca="1" ref="AQ52" ca="1">IFERROR(INDEX('DBX Sprint'!$A$7:$K$62, SMALL(IF((INDEX('DBX Sprint'!$A$7:$K$62, ,32)&lt;=(TODAY()+10))*(INDEX('DBX Sprint'!$A$7:$K$62, ,32)&gt;(TODAY()+5)),MATCH(ROW('DBX Sprint'!$A$7:$K$62),ROW('DBX Sprint'!$A$7:$K$62)),""),ROWS($AQ$34:AQ52)),COLUMNS('DBX Sprint'!$A$1:A12)),"")</f>
        <v/>
      </c>
    </row>
    <row r="53" spans="3:43" ht="30" customHeight="1">
      <c r="C53" s="41" t="str" cm="1">
        <f t="array" ref="C53">IFERROR(INDEX('DBX Sprint'!$A$7:$K$62, SMALL(IF((INDEX('DBX Sprint'!$A$7:$K$62, ,13)=("Complete"))*(INDEX('DBX Sprint'!$A$7:$K$62, ,13)="Complete"),MATCH(ROW('DBX Sprint'!$A$7:$K$62),ROW('DBX Sprint'!$A$7:$K$62)),""),ROWS(C$34:$C53)),COLUMNS('DBX Sprint'!$A$1:A12)),"")</f>
        <v/>
      </c>
      <c r="D53" s="41" t="str" cm="1">
        <f t="array" aca="1" ref="D53" ca="1">IFERROR(INDEX('DBX Sprint'!$A$7:$K$62, SMALL(IF((INDEX('DBX Sprint'!$A$7:$K$62, ,13)&lt;(TODAY()))*(INDEX('DBX Sprint'!$A$7:$K$62, ,13)&lt;&gt;"Complete"),MATCH(ROW('DBX Sprint'!$A$7:$K$62),ROW('DBX Sprint'!$A$7:$K$62)),""),ROWS(D$34:$D53)),COLUMNS('DBX Sprint'!$A$1:A12)),"")</f>
        <v/>
      </c>
      <c r="E53" s="41" t="str" cm="1">
        <f t="array" aca="1" ref="E53" ca="1">IFERROR(INDEX('DBX Sprint'!$A$7:$K$62, SMALL(IF((INDEX('DBX Sprint'!$A$7:$K$62, ,13)&lt;=(TODAY()+1))*(INDEX('DBX Sprint'!$A$7:$K$62, ,13)&gt;=TODAY()),MATCH(ROW('DBX Sprint'!$A$7:$K$62),ROW('DBX Sprint'!$A$7:$K$62)),""),ROWS(E$34:$E53)),COLUMNS('DBX Sprint'!$A$1:A12)),"")</f>
        <v/>
      </c>
      <c r="F53" s="43" t="str" cm="1">
        <f t="array" aca="1" ref="F53" ca="1">IFERROR(INDEX('DBX Sprint'!$A$7:$K$62, SMALL(IF((INDEX('DBX Sprint'!$A$7:$K$62, ,13)&lt;=(TODAY()+5))*(INDEX('DBX Sprint'!$A$7:$K$62, ,13)&gt;(TODAY()+1)),MATCH(ROW('DBX Sprint'!$A$7:$K$62),ROW('DBX Sprint'!$A$7:$K$62)),""),ROWS($F$34:F53)),COLUMNS('DBX Sprint'!$A$1:A12)),"")</f>
        <v/>
      </c>
      <c r="G53" s="43" t="str" cm="1">
        <f t="array" aca="1" ref="G53" ca="1">IFERROR(INDEX('DBX Sprint'!$A$7:$K$62, SMALL(IF((INDEX('DBX Sprint'!$A$7:$K$62, ,13)&lt;=(TODAY()+10))*(INDEX('DBX Sprint'!$A$7:$K$62, ,13)&gt;(TODAY()+5)),MATCH(ROW('DBX Sprint'!$A$7:$K$62),ROW('DBX Sprint'!$A$7:$K$62)),""),ROWS($G$34:G53)),COLUMNS('DBX Sprint'!$A$1:A12)),"")</f>
        <v/>
      </c>
      <c r="I53" s="41" t="str" cm="1">
        <f t="array" ref="I53">IFERROR(INDEX('DBX Sprint'!$A$7:$K$62, SMALL(IF((INDEX('DBX Sprint'!$A$7:$K$62, ,16)=("Complete"))*(INDEX('DBX Sprint'!$A$7:$K$62, ,16)="Complete"),MATCH(ROW('DBX Sprint'!$A$7:$K$62),ROW('DBX Sprint'!$A$7:$K$62)),""),ROWS($I$34:I53)),COLUMNS('DBX Sprint'!$A$1:A12)),"")</f>
        <v/>
      </c>
      <c r="J53" s="41" t="str" cm="1">
        <f t="array" aca="1" ref="J53" ca="1">IFERROR(INDEX('DBX Sprint'!$A$7:$K$62, SMALL(IF((INDEX('DBX Sprint'!$A$7:$K$62, ,16)&lt;(TODAY()))*(INDEX('DBX Sprint'!$A$7:$K$62, ,16)&lt;&gt;"Complete"),MATCH(ROW('DBX Sprint'!$A$7:$K$62),ROW('DBX Sprint'!$A$7:$K$62)),""),ROWS($J$34:J53)),COLUMNS('DBX Sprint'!$A$1:A12)),"")</f>
        <v/>
      </c>
      <c r="K53" s="37" t="str" cm="1">
        <f t="array" aca="1" ref="K53" ca="1">IFERROR(INDEX('DBX Sprint'!$A$7:$K$62, SMALL(IF((INDEX('DBX Sprint'!$A$7:$K$62, ,16)&lt;=(TODAY()+1))*(INDEX('DBX Sprint'!$A$7:$K$62, ,16)&gt;=TODAY()),MATCH(ROW('DBX Sprint'!$A$7:$K$62),ROW('DBX Sprint'!$A$7:$K$62)),""),ROWS($K$34:K53)),COLUMNS('DBX Sprint'!$A$1:A12)),"")</f>
        <v/>
      </c>
      <c r="L53" s="38" t="str" cm="1">
        <f t="array" aca="1" ref="L53" ca="1">IFERROR(INDEX('DBX Sprint'!$A$7:$K$62, SMALL(IF((INDEX('DBX Sprint'!$A$7:$K$62, ,16)&lt;=(TODAY()+5))*(INDEX('DBX Sprint'!$A$7:$K$62, ,16)&gt;(TODAY()+1)),MATCH(ROW('DBX Sprint'!$A$7:$K$62),ROW('DBX Sprint'!$A$7:$K$62)),""),ROWS($L$34:L53)),COLUMNS('DBX Sprint'!$A$1:A12)),"")</f>
        <v/>
      </c>
      <c r="M53" s="38" t="str" cm="1">
        <f t="array" aca="1" ref="M53" ca="1">IFERROR(INDEX('DBX Sprint'!$A$7:$K$62, SMALL(IF((INDEX('DBX Sprint'!$A$7:$K$62, ,16)&lt;=(TODAY()+10))*(INDEX('DBX Sprint'!$A$7:$K$62, ,16)&gt;(TODAY()+5)),MATCH(ROW('DBX Sprint'!$A$7:$K$62),ROW('DBX Sprint'!$A$7:$K$62)),""),ROWS($M$34:M53)),COLUMNS('DBX Sprint'!$A$1:A12)),"")</f>
        <v/>
      </c>
      <c r="O53" s="41" t="str" cm="1">
        <f t="array" ref="O53">IFERROR(INDEX('DBX Sprint'!$A$7:$K$62, SMALL(IF((INDEX('DBX Sprint'!$A$7:$K$62, ,19)=("Complete"))*(INDEX('DBX Sprint'!$A$7:$K$62, ,19)="Complete"),MATCH(ROW('DBX Sprint'!$A$7:$K$62),ROW('DBX Sprint'!$A$7:$K$62)),""),ROWS($O$34:O53)),COLUMNS('DBX Sprint'!$A$1:A12)),"")</f>
        <v/>
      </c>
      <c r="P53" s="41" t="str" cm="1">
        <f t="array" aca="1" ref="P53" ca="1">IFERROR(INDEX('DBX Sprint'!$A$7:$K$62, SMALL(IF((INDEX('DBX Sprint'!$A$7:$K$62, ,19)&lt;(TODAY()))*(INDEX('DBX Sprint'!$A$7:$K$62, ,19)&lt;&gt;"Complete"),MATCH(ROW('DBX Sprint'!$A$7:$K$62),ROW('DBX Sprint'!$A$7:$K$62)),""),ROWS($P$34:P53)),COLUMNS('DBX Sprint'!$A$1:A12)),"")</f>
        <v/>
      </c>
      <c r="Q53" s="41" t="str" cm="1">
        <f t="array" aca="1" ref="Q53" ca="1">IFERROR(INDEX('DBX Sprint'!$A$7:$K$62, SMALL(IF((INDEX('DBX Sprint'!$A$7:$K$62, ,19)&lt;=(TODAY()+1))*(INDEX('DBX Sprint'!$A$7:$K$62, ,19)&gt;=TODAY()),MATCH(ROW('DBX Sprint'!$A$7:$K$62),ROW('DBX Sprint'!$A$7:$K$62)),""),ROWS($Q$34:Q53)),COLUMNS('DBX Sprint'!$A$1:A12)),"")</f>
        <v/>
      </c>
      <c r="R53" s="43" t="str" cm="1">
        <f t="array" aca="1" ref="R53" ca="1">IFERROR(INDEX('DBX Sprint'!$A$7:$K$62, SMALL(IF((INDEX('DBX Sprint'!$A$7:$K$62, ,19)&lt;=(TODAY()+5))*(INDEX('DBX Sprint'!$A$7:$K$62, ,19)&gt;(TODAY()+1)),MATCH(ROW('DBX Sprint'!$A$7:$K$62),ROW('DBX Sprint'!$A$7:$K$62)),""),ROWS($R$34:R53)),COLUMNS('DBX Sprint'!$A$1:A12)),"")</f>
        <v/>
      </c>
      <c r="S53" s="43" t="str" cm="1">
        <f t="array" aca="1" ref="S53" ca="1">IFERROR(INDEX('DBX Sprint'!$A$7:$K$62, SMALL(IF((INDEX('DBX Sprint'!$A$7:$K$62, ,19)&lt;=(TODAY()+10))*(INDEX('DBX Sprint'!$A$7:$K$62, ,19)&gt;(TODAY()+5)),MATCH(ROW('DBX Sprint'!$A$7:$K$62),ROW('DBX Sprint'!$A$7:$K$62)),""),ROWS($S$34:S53)),COLUMNS('DBX Sprint'!$A$1:A12)),"")</f>
        <v/>
      </c>
      <c r="U53" s="41" t="str" cm="1">
        <f t="array" ref="U53">IFERROR(INDEX('DBX Sprint'!$A$7:$K$62, SMALL(IF((INDEX('DBX Sprint'!$A$7:$K$62, ,22)=("Complete"))*(INDEX('DBX Sprint'!$A$7:$K$62, ,22)="Complete"),MATCH(ROW('DBX Sprint'!$A$7:$K$62),ROW('DBX Sprint'!$A$7:$K$62)),""),ROWS($U$34:U53)),COLUMNS('DBX Sprint'!$A$1:A12)),"")</f>
        <v/>
      </c>
      <c r="V53" s="41" t="str" cm="1">
        <f t="array" aca="1" ref="V53" ca="1">IFERROR(INDEX('DBX Sprint'!$A$7:$K$62, SMALL(IF((INDEX('DBX Sprint'!$A$7:$K$62, ,22)&lt;(TODAY()))*(INDEX('DBX Sprint'!$A$7:$K$62, ,22)&lt;&gt;"Complete"),MATCH(ROW('DBX Sprint'!$A$7:$K$62),ROW('DBX Sprint'!$A$7:$K$62)),""),ROWS($V$34:V53)),COLUMNS('DBX Sprint'!$A$1:A12)),"")</f>
        <v/>
      </c>
      <c r="W53" s="41" t="str" cm="1">
        <f t="array" aca="1" ref="W53" ca="1">IFERROR(INDEX('DBX Sprint'!$A$7:$K$62, SMALL(IF((INDEX('DBX Sprint'!$A$7:$K$62, ,22)&lt;=(TODAY()+1))*(INDEX('DBX Sprint'!$A$7:$K$62, ,22)&gt;=TODAY()),MATCH(ROW('DBX Sprint'!$A$7:$K$62),ROW('DBX Sprint'!$A$7:$K$62)),""),ROWS($W$34:W53)),COLUMNS('DBX Sprint'!$A$1:A12)),"")</f>
        <v/>
      </c>
      <c r="X53" s="43" t="str" cm="1">
        <f t="array" aca="1" ref="X53" ca="1">IFERROR(INDEX('DBX Sprint'!$A$7:$K$62, SMALL(IF((INDEX('DBX Sprint'!$A$7:$K$62, ,22)&lt;=(TODAY()+5))*(INDEX('DBX Sprint'!$A$7:$K$62, ,22)&gt;(TODAY()+1)),MATCH(ROW('DBX Sprint'!$A$7:$K$62),ROW('DBX Sprint'!$A$7:$K$62)),""),ROWS($X$34:X53)),COLUMNS('DBX Sprint'!$A$1:A12)),"")</f>
        <v/>
      </c>
      <c r="Y53" s="43" t="str" cm="1">
        <f t="array" aca="1" ref="Y53" ca="1">IFERROR(INDEX('DBX Sprint'!$A$7:$K$62, SMALL(IF((INDEX('DBX Sprint'!$A$7:$K$62, ,22)&lt;=(TODAY()+10))*(INDEX('DBX Sprint'!$A$7:$K$62, ,22)&gt;(TODAY()+5)),MATCH(ROW('DBX Sprint'!$A$7:$K$62),ROW('DBX Sprint'!$A$7:$K$62)),""),ROWS($Y$34:Y53)),COLUMNS('DBX Sprint'!$A$1:A12)),"")</f>
        <v/>
      </c>
      <c r="AA53" s="41" t="str" cm="1">
        <f t="array" ref="AA53">IFERROR(INDEX('DBX Sprint'!$A$7:$K$62, SMALL(IF((INDEX('DBX Sprint'!$A$7:$K$62, ,25)=("Complete"))*(INDEX('DBX Sprint'!$A$7:$K$62, ,25)="Complete"),MATCH(ROW('DBX Sprint'!$A$7:$K$62),ROW('DBX Sprint'!$A$7:$K$62)),""),ROWS($AA$34:AA53)),COLUMNS('DBX Sprint'!$A$1:A12)),"")</f>
        <v/>
      </c>
      <c r="AB53" s="41" t="str" cm="1">
        <f t="array" aca="1" ref="AB53" ca="1">IFERROR(INDEX('DBX Sprint'!$A$7:$K$62, SMALL(IF((INDEX('DBX Sprint'!$A$7:$K$62, ,25)&lt;(TODAY()))*(INDEX('DBX Sprint'!$A$7:$K$62, ,25)&lt;&gt;"Complete"),MATCH(ROW('DBX Sprint'!$A$7:$K$62),ROW('DBX Sprint'!$A$7:$K$62)),""),ROWS($AB$34:AB53)),COLUMNS('DBX Sprint'!$A$1:A12)),"")</f>
        <v/>
      </c>
      <c r="AC53" s="41" t="str" cm="1">
        <f t="array" aca="1" ref="AC53" ca="1">IFERROR(INDEX('DBX Sprint'!$A$7:$K$62, SMALL(IF((INDEX('DBX Sprint'!$A$7:$K$62, ,25)&lt;=(TODAY()+1))*(INDEX('DBX Sprint'!$A$7:$K$62, ,25)&gt;=TODAY()),MATCH(ROW('DBX Sprint'!$A$7:$K$62),ROW('DBX Sprint'!$A$7:$K$62)),""),ROWS($AC$34:AC53)),COLUMNS('DBX Sprint'!$A$1:A12)),"")</f>
        <v/>
      </c>
      <c r="AD53" s="43" t="str" cm="1">
        <f t="array" aca="1" ref="AD53" ca="1">IFERROR(INDEX('DBX Sprint'!$A$7:$K$62, SMALL(IF((INDEX('DBX Sprint'!$A$7:$K$62, ,25)&lt;=(TODAY()+5))*(INDEX('DBX Sprint'!$A$7:$K$62, ,25)&gt;(TODAY()+1)),MATCH(ROW('DBX Sprint'!$A$7:$K$62),ROW('DBX Sprint'!$A$7:$K$62)),""),ROWS($AD$34:AD53)),COLUMNS('DBX Sprint'!$A$1:A12)),"")</f>
        <v/>
      </c>
      <c r="AE53" s="43" t="str" cm="1">
        <f t="array" aca="1" ref="AE53" ca="1">IFERROR(INDEX('DBX Sprint'!$A$7:$K$62, SMALL(IF((INDEX('DBX Sprint'!$A$7:$K$62, ,25)&lt;=(TODAY()+10))*(INDEX('DBX Sprint'!$A$7:$K$62, ,25)&gt;(TODAY()+5)),MATCH(ROW('DBX Sprint'!$A$7:$K$62),ROW('DBX Sprint'!$A$7:$K$62)),""),ROWS($AE$34:AE53)),COLUMNS('DBX Sprint'!$A$1:A12)),"")</f>
        <v/>
      </c>
      <c r="AG53" s="41" t="str" cm="1">
        <f t="array" ref="AG53">IFERROR(INDEX('DBX Sprint'!$A$7:$K$62, SMALL(IF((INDEX('DBX Sprint'!$A$7:$K$62, ,29)=("Complete"))*(INDEX('DBX Sprint'!$A$7:$K$62, ,29)="Complete"),MATCH(ROW('DBX Sprint'!$A$7:$K$62),ROW('DBX Sprint'!$A$7:$K$62)),""),ROWS($AG$34:AG53)),COLUMNS('DBX Sprint'!$A$1:A12)),"")</f>
        <v/>
      </c>
      <c r="AH53" s="41" t="str" cm="1">
        <f t="array" aca="1" ref="AH53" ca="1">IFERROR(INDEX('DBX Sprint'!$A$7:$K$62, SMALL(IF((INDEX('DBX Sprint'!$A$7:$K$62, ,29)&lt;(TODAY()))*(INDEX('DBX Sprint'!$A$7:$K$62, ,29)&lt;&gt;"Complete"),MATCH(ROW('DBX Sprint'!$A$7:$K$62),ROW('DBX Sprint'!$A$7:$K$62)),""),ROWS($AH$34:AH53)),COLUMNS('DBX Sprint'!$A$1:A12)),"")</f>
        <v/>
      </c>
      <c r="AI53" s="41" t="str" cm="1">
        <f t="array" aca="1" ref="AI53" ca="1">IFERROR(INDEX('DBX Sprint'!$A$7:$K$62, SMALL(IF((INDEX('DBX Sprint'!$A$7:$K$62, ,29)&lt;=(TODAY()+1))*(INDEX('DBX Sprint'!$A$7:$K$62, ,29)&gt;=TODAY()),MATCH(ROW('DBX Sprint'!$A$7:$K$62),ROW('DBX Sprint'!$A$7:$K$62)),""),ROWS($AI$34:AI53)),COLUMNS('DBX Sprint'!$A$1:A12)),"")</f>
        <v/>
      </c>
      <c r="AJ53" s="43" t="str" cm="1">
        <f t="array" aca="1" ref="AJ53" ca="1">IFERROR(INDEX('DBX Sprint'!$A$7:$K$62, SMALL(IF((INDEX('DBX Sprint'!$A$7:$K$62, ,29)&lt;=(TODAY()+5))*(INDEX('DBX Sprint'!$A$7:$K$62, ,29)&gt;(TODAY()+1)),MATCH(ROW('DBX Sprint'!$A$7:$K$62),ROW('DBX Sprint'!$A$7:$K$62)),""),ROWS($AJ$34:AJ53)),COLUMNS('DBX Sprint'!$A$1:A12)),"")</f>
        <v/>
      </c>
      <c r="AK53" s="43" t="str" cm="1">
        <f t="array" aca="1" ref="AK53" ca="1">IFERROR(INDEX('DBX Sprint'!$A$7:$K$62, SMALL(IF((INDEX('DBX Sprint'!$A$7:$K$62, ,29)&lt;=(TODAY()+10))*(INDEX('DBX Sprint'!$A$7:$K$62, ,29)&gt;(TODAY()+5)),MATCH(ROW('DBX Sprint'!$A$7:$K$62),ROW('DBX Sprint'!$A$7:$K$62)),""),ROWS($AK$34:AK53)),COLUMNS('DBX Sprint'!$A$1:A12)),"")</f>
        <v/>
      </c>
      <c r="AM53" s="41" t="str" cm="1">
        <f t="array" ref="AM53">IFERROR(INDEX('DBX Sprint'!$A$7:$K$62, SMALL(IF((INDEX('DBX Sprint'!$A$7:$K$62, ,32)=("Complete"))*(INDEX('DBX Sprint'!$A$7:$K$62, ,32)="Complete"),MATCH(ROW('DBX Sprint'!$A$7:$K$62),ROW('DBX Sprint'!$A$7:$K$62)),""),ROWS($AM$34:AM53)),COLUMNS('DBX Sprint'!$A$1:A12)),"")</f>
        <v/>
      </c>
      <c r="AN53" s="41" t="str" cm="1">
        <f t="array" aca="1" ref="AN53" ca="1">IFERROR(INDEX('DBX Sprint'!$A$7:$K$62, SMALL(IF((INDEX('DBX Sprint'!$A$7:$K$62, ,32)&lt;(TODAY()))*(INDEX('DBX Sprint'!$A$7:$K$62, ,32)&lt;&gt;"Complete"),MATCH(ROW('DBX Sprint'!$A$7:$K$62),ROW('DBX Sprint'!$A$7:$K$62)),""),ROWS($AN$34:AN53)),COLUMNS('DBX Sprint'!$A$1:A12)),"")</f>
        <v/>
      </c>
      <c r="AO53" s="41" t="str" cm="1">
        <f t="array" aca="1" ref="AO53" ca="1">IFERROR(INDEX('DBX Sprint'!$A$7:$K$62, SMALL(IF((INDEX('DBX Sprint'!$A$7:$K$62, ,32)&lt;=(TODAY()+1))*(INDEX('DBX Sprint'!$A$7:$K$62, ,32)&gt;=TODAY()),MATCH(ROW('DBX Sprint'!$A$7:$K$62),ROW('DBX Sprint'!$A$7:$K$62)),""),ROWS($AO$34:AO53)),COLUMNS('DBX Sprint'!$A$1:A12)),"")</f>
        <v/>
      </c>
      <c r="AP53" s="43" t="str" cm="1">
        <f t="array" aca="1" ref="AP53" ca="1">IFERROR(INDEX('DBX Sprint'!$A$7:$K$62, SMALL(IF((INDEX('DBX Sprint'!$A$7:$K$62, ,32)&lt;=(TODAY()+5))*(INDEX('DBX Sprint'!$A$7:$K$62, ,32)&gt;(TODAY()+1)),MATCH(ROW('DBX Sprint'!$A$7:$K$62),ROW('DBX Sprint'!$A$7:$K$62)),""),ROWS($AP$34:AP53)),COLUMNS('DBX Sprint'!$A$1:A12)),"")</f>
        <v/>
      </c>
      <c r="AQ53" s="43" t="str" cm="1">
        <f t="array" aca="1" ref="AQ53" ca="1">IFERROR(INDEX('DBX Sprint'!$A$7:$K$62, SMALL(IF((INDEX('DBX Sprint'!$A$7:$K$62, ,32)&lt;=(TODAY()+10))*(INDEX('DBX Sprint'!$A$7:$K$62, ,32)&gt;(TODAY()+5)),MATCH(ROW('DBX Sprint'!$A$7:$K$62),ROW('DBX Sprint'!$A$7:$K$62)),""),ROWS($AQ$34:AQ53)),COLUMNS('DBX Sprint'!$A$1:A12)),"")</f>
        <v/>
      </c>
    </row>
    <row r="54" spans="3:43" ht="30" customHeight="1">
      <c r="C54" s="41" t="str" cm="1">
        <f t="array" ref="C54">IFERROR(INDEX('DBX Sprint'!$A$7:$K$62, SMALL(IF((INDEX('DBX Sprint'!$A$7:$K$62, ,13)=("Complete"))*(INDEX('DBX Sprint'!$A$7:$K$62, ,13)="Complete"),MATCH(ROW('DBX Sprint'!$A$7:$K$62),ROW('DBX Sprint'!$A$7:$K$62)),""),ROWS(C$34:$C54)),COLUMNS('DBX Sprint'!$A$1:A12)),"")</f>
        <v/>
      </c>
      <c r="D54" s="41" t="str" cm="1">
        <f t="array" aca="1" ref="D54" ca="1">IFERROR(INDEX('DBX Sprint'!$A$7:$K$62, SMALL(IF((INDEX('DBX Sprint'!$A$7:$K$62, ,13)&lt;(TODAY()))*(INDEX('DBX Sprint'!$A$7:$K$62, ,13)&lt;&gt;"Complete"),MATCH(ROW('DBX Sprint'!$A$7:$K$62),ROW('DBX Sprint'!$A$7:$K$62)),""),ROWS(D$34:$D54)),COLUMNS('DBX Sprint'!$A$1:A12)),"")</f>
        <v/>
      </c>
      <c r="E54" s="41" t="str" cm="1">
        <f t="array" aca="1" ref="E54" ca="1">IFERROR(INDEX('DBX Sprint'!$A$7:$K$62, SMALL(IF((INDEX('DBX Sprint'!$A$7:$K$62, ,13)&lt;=(TODAY()+1))*(INDEX('DBX Sprint'!$A$7:$K$62, ,13)&gt;=TODAY()),MATCH(ROW('DBX Sprint'!$A$7:$K$62),ROW('DBX Sprint'!$A$7:$K$62)),""),ROWS(E$34:$E54)),COLUMNS('DBX Sprint'!$A$1:A12)),"")</f>
        <v/>
      </c>
      <c r="F54" s="43" t="str" cm="1">
        <f t="array" aca="1" ref="F54" ca="1">IFERROR(INDEX('DBX Sprint'!$A$7:$K$62, SMALL(IF((INDEX('DBX Sprint'!$A$7:$K$62, ,13)&lt;=(TODAY()+5))*(INDEX('DBX Sprint'!$A$7:$K$62, ,13)&gt;(TODAY()+1)),MATCH(ROW('DBX Sprint'!$A$7:$K$62),ROW('DBX Sprint'!$A$7:$K$62)),""),ROWS($F$34:F54)),COLUMNS('DBX Sprint'!$A$1:A12)),"")</f>
        <v/>
      </c>
      <c r="G54" s="43" t="str" cm="1">
        <f t="array" aca="1" ref="G54" ca="1">IFERROR(INDEX('DBX Sprint'!$A$7:$K$62, SMALL(IF((INDEX('DBX Sprint'!$A$7:$K$62, ,13)&lt;=(TODAY()+10))*(INDEX('DBX Sprint'!$A$7:$K$62, ,13)&gt;(TODAY()+5)),MATCH(ROW('DBX Sprint'!$A$7:$K$62),ROW('DBX Sprint'!$A$7:$K$62)),""),ROWS($G$34:G54)),COLUMNS('DBX Sprint'!$A$1:A12)),"")</f>
        <v/>
      </c>
      <c r="I54" s="41" t="str" cm="1">
        <f t="array" ref="I54">IFERROR(INDEX('DBX Sprint'!$A$7:$K$62, SMALL(IF((INDEX('DBX Sprint'!$A$7:$K$62, ,16)=("Complete"))*(INDEX('DBX Sprint'!$A$7:$K$62, ,16)="Complete"),MATCH(ROW('DBX Sprint'!$A$7:$K$62),ROW('DBX Sprint'!$A$7:$K$62)),""),ROWS($I$34:I54)),COLUMNS('DBX Sprint'!$A$1:A12)),"")</f>
        <v/>
      </c>
      <c r="J54" s="41" t="str" cm="1">
        <f t="array" aca="1" ref="J54" ca="1">IFERROR(INDEX('DBX Sprint'!$A$7:$K$62, SMALL(IF((INDEX('DBX Sprint'!$A$7:$K$62, ,16)&lt;(TODAY()))*(INDEX('DBX Sprint'!$A$7:$K$62, ,16)&lt;&gt;"Complete"),MATCH(ROW('DBX Sprint'!$A$7:$K$62),ROW('DBX Sprint'!$A$7:$K$62)),""),ROWS($J$34:J54)),COLUMNS('DBX Sprint'!$A$1:A12)),"")</f>
        <v/>
      </c>
      <c r="K54" s="37" t="str" cm="1">
        <f t="array" aca="1" ref="K54" ca="1">IFERROR(INDEX('DBX Sprint'!$A$7:$K$62, SMALL(IF((INDEX('DBX Sprint'!$A$7:$K$62, ,16)&lt;=(TODAY()+1))*(INDEX('DBX Sprint'!$A$7:$K$62, ,16)&gt;=TODAY()),MATCH(ROW('DBX Sprint'!$A$7:$K$62),ROW('DBX Sprint'!$A$7:$K$62)),""),ROWS($K$34:K54)),COLUMNS('DBX Sprint'!$A$1:A12)),"")</f>
        <v/>
      </c>
      <c r="L54" s="38" t="str" cm="1">
        <f t="array" aca="1" ref="L54" ca="1">IFERROR(INDEX('DBX Sprint'!$A$7:$K$62, SMALL(IF((INDEX('DBX Sprint'!$A$7:$K$62, ,16)&lt;=(TODAY()+5))*(INDEX('DBX Sprint'!$A$7:$K$62, ,16)&gt;(TODAY()+1)),MATCH(ROW('DBX Sprint'!$A$7:$K$62),ROW('DBX Sprint'!$A$7:$K$62)),""),ROWS($L$34:L54)),COLUMNS('DBX Sprint'!$A$1:A12)),"")</f>
        <v/>
      </c>
      <c r="M54" s="38" t="str" cm="1">
        <f t="array" aca="1" ref="M54" ca="1">IFERROR(INDEX('DBX Sprint'!$A$7:$K$62, SMALL(IF((INDEX('DBX Sprint'!$A$7:$K$62, ,16)&lt;=(TODAY()+10))*(INDEX('DBX Sprint'!$A$7:$K$62, ,16)&gt;(TODAY()+5)),MATCH(ROW('DBX Sprint'!$A$7:$K$62),ROW('DBX Sprint'!$A$7:$K$62)),""),ROWS($M$34:M54)),COLUMNS('DBX Sprint'!$A$1:A12)),"")</f>
        <v/>
      </c>
      <c r="O54" s="41" t="str" cm="1">
        <f t="array" ref="O54">IFERROR(INDEX('DBX Sprint'!$A$7:$K$62, SMALL(IF((INDEX('DBX Sprint'!$A$7:$K$62, ,19)=("Complete"))*(INDEX('DBX Sprint'!$A$7:$K$62, ,19)="Complete"),MATCH(ROW('DBX Sprint'!$A$7:$K$62),ROW('DBX Sprint'!$A$7:$K$62)),""),ROWS($O$34:O54)),COLUMNS('DBX Sprint'!$A$1:A12)),"")</f>
        <v/>
      </c>
      <c r="P54" s="41" t="str" cm="1">
        <f t="array" aca="1" ref="P54" ca="1">IFERROR(INDEX('DBX Sprint'!$A$7:$K$62, SMALL(IF((INDEX('DBX Sprint'!$A$7:$K$62, ,19)&lt;(TODAY()))*(INDEX('DBX Sprint'!$A$7:$K$62, ,19)&lt;&gt;"Complete"),MATCH(ROW('DBX Sprint'!$A$7:$K$62),ROW('DBX Sprint'!$A$7:$K$62)),""),ROWS($P$34:P54)),COLUMNS('DBX Sprint'!$A$1:A12)),"")</f>
        <v/>
      </c>
      <c r="Q54" s="41" t="str" cm="1">
        <f t="array" aca="1" ref="Q54" ca="1">IFERROR(INDEX('DBX Sprint'!$A$7:$K$62, SMALL(IF((INDEX('DBX Sprint'!$A$7:$K$62, ,19)&lt;=(TODAY()+1))*(INDEX('DBX Sprint'!$A$7:$K$62, ,19)&gt;=TODAY()),MATCH(ROW('DBX Sprint'!$A$7:$K$62),ROW('DBX Sprint'!$A$7:$K$62)),""),ROWS($Q$34:Q54)),COLUMNS('DBX Sprint'!$A$1:A12)),"")</f>
        <v/>
      </c>
      <c r="R54" s="43" t="str" cm="1">
        <f t="array" aca="1" ref="R54" ca="1">IFERROR(INDEX('DBX Sprint'!$A$7:$K$62, SMALL(IF((INDEX('DBX Sprint'!$A$7:$K$62, ,19)&lt;=(TODAY()+5))*(INDEX('DBX Sprint'!$A$7:$K$62, ,19)&gt;(TODAY()+1)),MATCH(ROW('DBX Sprint'!$A$7:$K$62),ROW('DBX Sprint'!$A$7:$K$62)),""),ROWS($R$34:R54)),COLUMNS('DBX Sprint'!$A$1:A12)),"")</f>
        <v/>
      </c>
      <c r="S54" s="43" t="str" cm="1">
        <f t="array" aca="1" ref="S54" ca="1">IFERROR(INDEX('DBX Sprint'!$A$7:$K$62, SMALL(IF((INDEX('DBX Sprint'!$A$7:$K$62, ,19)&lt;=(TODAY()+10))*(INDEX('DBX Sprint'!$A$7:$K$62, ,19)&gt;(TODAY()+5)),MATCH(ROW('DBX Sprint'!$A$7:$K$62),ROW('DBX Sprint'!$A$7:$K$62)),""),ROWS($S$34:S54)),COLUMNS('DBX Sprint'!$A$1:A12)),"")</f>
        <v/>
      </c>
      <c r="U54" s="41" t="str" cm="1">
        <f t="array" ref="U54">IFERROR(INDEX('DBX Sprint'!$A$7:$K$62, SMALL(IF((INDEX('DBX Sprint'!$A$7:$K$62, ,22)=("Complete"))*(INDEX('DBX Sprint'!$A$7:$K$62, ,22)="Complete"),MATCH(ROW('DBX Sprint'!$A$7:$K$62),ROW('DBX Sprint'!$A$7:$K$62)),""),ROWS($U$34:U54)),COLUMNS('DBX Sprint'!$A$1:A12)),"")</f>
        <v/>
      </c>
      <c r="V54" s="41" t="str" cm="1">
        <f t="array" aca="1" ref="V54" ca="1">IFERROR(INDEX('DBX Sprint'!$A$7:$K$62, SMALL(IF((INDEX('DBX Sprint'!$A$7:$K$62, ,22)&lt;(TODAY()))*(INDEX('DBX Sprint'!$A$7:$K$62, ,22)&lt;&gt;"Complete"),MATCH(ROW('DBX Sprint'!$A$7:$K$62),ROW('DBX Sprint'!$A$7:$K$62)),""),ROWS($V$34:V54)),COLUMNS('DBX Sprint'!$A$1:A12)),"")</f>
        <v/>
      </c>
      <c r="W54" s="41" t="str" cm="1">
        <f t="array" aca="1" ref="W54" ca="1">IFERROR(INDEX('DBX Sprint'!$A$7:$K$62, SMALL(IF((INDEX('DBX Sprint'!$A$7:$K$62, ,22)&lt;=(TODAY()+1))*(INDEX('DBX Sprint'!$A$7:$K$62, ,22)&gt;=TODAY()),MATCH(ROW('DBX Sprint'!$A$7:$K$62),ROW('DBX Sprint'!$A$7:$K$62)),""),ROWS($W$34:W54)),COLUMNS('DBX Sprint'!$A$1:A12)),"")</f>
        <v/>
      </c>
      <c r="X54" s="43" t="str" cm="1">
        <f t="array" aca="1" ref="X54" ca="1">IFERROR(INDEX('DBX Sprint'!$A$7:$K$62, SMALL(IF((INDEX('DBX Sprint'!$A$7:$K$62, ,22)&lt;=(TODAY()+5))*(INDEX('DBX Sprint'!$A$7:$K$62, ,22)&gt;(TODAY()+1)),MATCH(ROW('DBX Sprint'!$A$7:$K$62),ROW('DBX Sprint'!$A$7:$K$62)),""),ROWS($X$34:X54)),COLUMNS('DBX Sprint'!$A$1:A12)),"")</f>
        <v/>
      </c>
      <c r="Y54" s="43" t="str" cm="1">
        <f t="array" aca="1" ref="Y54" ca="1">IFERROR(INDEX('DBX Sprint'!$A$7:$K$62, SMALL(IF((INDEX('DBX Sprint'!$A$7:$K$62, ,22)&lt;=(TODAY()+10))*(INDEX('DBX Sprint'!$A$7:$K$62, ,22)&gt;(TODAY()+5)),MATCH(ROW('DBX Sprint'!$A$7:$K$62),ROW('DBX Sprint'!$A$7:$K$62)),""),ROWS($Y$34:Y54)),COLUMNS('DBX Sprint'!$A$1:A12)),"")</f>
        <v/>
      </c>
      <c r="AA54" s="41" t="str" cm="1">
        <f t="array" ref="AA54">IFERROR(INDEX('DBX Sprint'!$A$7:$K$62, SMALL(IF((INDEX('DBX Sprint'!$A$7:$K$62, ,25)=("Complete"))*(INDEX('DBX Sprint'!$A$7:$K$62, ,25)="Complete"),MATCH(ROW('DBX Sprint'!$A$7:$K$62),ROW('DBX Sprint'!$A$7:$K$62)),""),ROWS($AA$34:AA54)),COLUMNS('DBX Sprint'!$A$1:A12)),"")</f>
        <v/>
      </c>
      <c r="AB54" s="41" t="str" cm="1">
        <f t="array" aca="1" ref="AB54" ca="1">IFERROR(INDEX('DBX Sprint'!$A$7:$K$62, SMALL(IF((INDEX('DBX Sprint'!$A$7:$K$62, ,25)&lt;(TODAY()))*(INDEX('DBX Sprint'!$A$7:$K$62, ,25)&lt;&gt;"Complete"),MATCH(ROW('DBX Sprint'!$A$7:$K$62),ROW('DBX Sprint'!$A$7:$K$62)),""),ROWS($AB$34:AB54)),COLUMNS('DBX Sprint'!$A$1:A12)),"")</f>
        <v/>
      </c>
      <c r="AC54" s="41" t="str" cm="1">
        <f t="array" aca="1" ref="AC54" ca="1">IFERROR(INDEX('DBX Sprint'!$A$7:$K$62, SMALL(IF((INDEX('DBX Sprint'!$A$7:$K$62, ,25)&lt;=(TODAY()+1))*(INDEX('DBX Sprint'!$A$7:$K$62, ,25)&gt;=TODAY()),MATCH(ROW('DBX Sprint'!$A$7:$K$62),ROW('DBX Sprint'!$A$7:$K$62)),""),ROWS($AC$34:AC54)),COLUMNS('DBX Sprint'!$A$1:A12)),"")</f>
        <v/>
      </c>
      <c r="AD54" s="43" t="str" cm="1">
        <f t="array" aca="1" ref="AD54" ca="1">IFERROR(INDEX('DBX Sprint'!$A$7:$K$62, SMALL(IF((INDEX('DBX Sprint'!$A$7:$K$62, ,25)&lt;=(TODAY()+5))*(INDEX('DBX Sprint'!$A$7:$K$62, ,25)&gt;(TODAY()+1)),MATCH(ROW('DBX Sprint'!$A$7:$K$62),ROW('DBX Sprint'!$A$7:$K$62)),""),ROWS($AD$34:AD54)),COLUMNS('DBX Sprint'!$A$1:A12)),"")</f>
        <v/>
      </c>
      <c r="AE54" s="43" t="str" cm="1">
        <f t="array" aca="1" ref="AE54" ca="1">IFERROR(INDEX('DBX Sprint'!$A$7:$K$62, SMALL(IF((INDEX('DBX Sprint'!$A$7:$K$62, ,25)&lt;=(TODAY()+10))*(INDEX('DBX Sprint'!$A$7:$K$62, ,25)&gt;(TODAY()+5)),MATCH(ROW('DBX Sprint'!$A$7:$K$62),ROW('DBX Sprint'!$A$7:$K$62)),""),ROWS($AE$34:AE54)),COLUMNS('DBX Sprint'!$A$1:A12)),"")</f>
        <v/>
      </c>
      <c r="AG54" s="41" t="str" cm="1">
        <f t="array" ref="AG54">IFERROR(INDEX('DBX Sprint'!$A$7:$K$62, SMALL(IF((INDEX('DBX Sprint'!$A$7:$K$62, ,29)=("Complete"))*(INDEX('DBX Sprint'!$A$7:$K$62, ,29)="Complete"),MATCH(ROW('DBX Sprint'!$A$7:$K$62),ROW('DBX Sprint'!$A$7:$K$62)),""),ROWS($AG$34:AG54)),COLUMNS('DBX Sprint'!$A$1:A12)),"")</f>
        <v/>
      </c>
      <c r="AH54" s="41" t="str" cm="1">
        <f t="array" aca="1" ref="AH54" ca="1">IFERROR(INDEX('DBX Sprint'!$A$7:$K$62, SMALL(IF((INDEX('DBX Sprint'!$A$7:$K$62, ,29)&lt;(TODAY()))*(INDEX('DBX Sprint'!$A$7:$K$62, ,29)&lt;&gt;"Complete"),MATCH(ROW('DBX Sprint'!$A$7:$K$62),ROW('DBX Sprint'!$A$7:$K$62)),""),ROWS($AH$34:AH54)),COLUMNS('DBX Sprint'!$A$1:A12)),"")</f>
        <v/>
      </c>
      <c r="AI54" s="41" t="str" cm="1">
        <f t="array" aca="1" ref="AI54" ca="1">IFERROR(INDEX('DBX Sprint'!$A$7:$K$62, SMALL(IF((INDEX('DBX Sprint'!$A$7:$K$62, ,29)&lt;=(TODAY()+1))*(INDEX('DBX Sprint'!$A$7:$K$62, ,29)&gt;=TODAY()),MATCH(ROW('DBX Sprint'!$A$7:$K$62),ROW('DBX Sprint'!$A$7:$K$62)),""),ROWS($AI$34:AI54)),COLUMNS('DBX Sprint'!$A$1:A12)),"")</f>
        <v/>
      </c>
      <c r="AJ54" s="43" t="str" cm="1">
        <f t="array" aca="1" ref="AJ54" ca="1">IFERROR(INDEX('DBX Sprint'!$A$7:$K$62, SMALL(IF((INDEX('DBX Sprint'!$A$7:$K$62, ,29)&lt;=(TODAY()+5))*(INDEX('DBX Sprint'!$A$7:$K$62, ,29)&gt;(TODAY()+1)),MATCH(ROW('DBX Sprint'!$A$7:$K$62),ROW('DBX Sprint'!$A$7:$K$62)),""),ROWS($AJ$34:AJ54)),COLUMNS('DBX Sprint'!$A$1:A12)),"")</f>
        <v/>
      </c>
      <c r="AK54" s="43" t="str" cm="1">
        <f t="array" aca="1" ref="AK54" ca="1">IFERROR(INDEX('DBX Sprint'!$A$7:$K$62, SMALL(IF((INDEX('DBX Sprint'!$A$7:$K$62, ,29)&lt;=(TODAY()+10))*(INDEX('DBX Sprint'!$A$7:$K$62, ,29)&gt;(TODAY()+5)),MATCH(ROW('DBX Sprint'!$A$7:$K$62),ROW('DBX Sprint'!$A$7:$K$62)),""),ROWS($AK$34:AK54)),COLUMNS('DBX Sprint'!$A$1:A12)),"")</f>
        <v/>
      </c>
      <c r="AM54" s="41" t="str" cm="1">
        <f t="array" ref="AM54">IFERROR(INDEX('DBX Sprint'!$A$7:$K$62, SMALL(IF((INDEX('DBX Sprint'!$A$7:$K$62, ,32)=("Complete"))*(INDEX('DBX Sprint'!$A$7:$K$62, ,32)="Complete"),MATCH(ROW('DBX Sprint'!$A$7:$K$62),ROW('DBX Sprint'!$A$7:$K$62)),""),ROWS($AM$34:AM54)),COLUMNS('DBX Sprint'!$A$1:A12)),"")</f>
        <v/>
      </c>
      <c r="AN54" s="41" t="str" cm="1">
        <f t="array" aca="1" ref="AN54" ca="1">IFERROR(INDEX('DBX Sprint'!$A$7:$K$62, SMALL(IF((INDEX('DBX Sprint'!$A$7:$K$62, ,32)&lt;(TODAY()))*(INDEX('DBX Sprint'!$A$7:$K$62, ,32)&lt;&gt;"Complete"),MATCH(ROW('DBX Sprint'!$A$7:$K$62),ROW('DBX Sprint'!$A$7:$K$62)),""),ROWS($AN$34:AN54)),COLUMNS('DBX Sprint'!$A$1:A12)),"")</f>
        <v/>
      </c>
      <c r="AO54" s="41" t="str" cm="1">
        <f t="array" aca="1" ref="AO54" ca="1">IFERROR(INDEX('DBX Sprint'!$A$7:$K$62, SMALL(IF((INDEX('DBX Sprint'!$A$7:$K$62, ,32)&lt;=(TODAY()+1))*(INDEX('DBX Sprint'!$A$7:$K$62, ,32)&gt;=TODAY()),MATCH(ROW('DBX Sprint'!$A$7:$K$62),ROW('DBX Sprint'!$A$7:$K$62)),""),ROWS($AO$34:AO54)),COLUMNS('DBX Sprint'!$A$1:A12)),"")</f>
        <v/>
      </c>
      <c r="AP54" s="43" t="str" cm="1">
        <f t="array" aca="1" ref="AP54" ca="1">IFERROR(INDEX('DBX Sprint'!$A$7:$K$62, SMALL(IF((INDEX('DBX Sprint'!$A$7:$K$62, ,32)&lt;=(TODAY()+5))*(INDEX('DBX Sprint'!$A$7:$K$62, ,32)&gt;(TODAY()+1)),MATCH(ROW('DBX Sprint'!$A$7:$K$62),ROW('DBX Sprint'!$A$7:$K$62)),""),ROWS($AP$34:AP54)),COLUMNS('DBX Sprint'!$A$1:A12)),"")</f>
        <v/>
      </c>
      <c r="AQ54" s="43" t="str" cm="1">
        <f t="array" aca="1" ref="AQ54" ca="1">IFERROR(INDEX('DBX Sprint'!$A$7:$K$62, SMALL(IF((INDEX('DBX Sprint'!$A$7:$K$62, ,32)&lt;=(TODAY()+10))*(INDEX('DBX Sprint'!$A$7:$K$62, ,32)&gt;(TODAY()+5)),MATCH(ROW('DBX Sprint'!$A$7:$K$62),ROW('DBX Sprint'!$A$7:$K$62)),""),ROWS($AQ$34:AQ54)),COLUMNS('DBX Sprint'!$A$1:A12)),"")</f>
        <v/>
      </c>
    </row>
    <row r="55" spans="3:43" ht="30" customHeight="1">
      <c r="C55" s="41" t="str" cm="1">
        <f t="array" ref="C55">IFERROR(INDEX('DBX Sprint'!$A$7:$K$62, SMALL(IF((INDEX('DBX Sprint'!$A$7:$K$62, ,13)=("Complete"))*(INDEX('DBX Sprint'!$A$7:$K$62, ,13)="Complete"),MATCH(ROW('DBX Sprint'!$A$7:$K$62),ROW('DBX Sprint'!$A$7:$K$62)),""),ROWS(C$34:$C55)),COLUMNS('DBX Sprint'!$A$1:A12)),"")</f>
        <v/>
      </c>
      <c r="D55" s="41" t="str" cm="1">
        <f t="array" aca="1" ref="D55" ca="1">IFERROR(INDEX('DBX Sprint'!$A$7:$K$62, SMALL(IF((INDEX('DBX Sprint'!$A$7:$K$62, ,13)&lt;(TODAY()))*(INDEX('DBX Sprint'!$A$7:$K$62, ,13)&lt;&gt;"Complete"),MATCH(ROW('DBX Sprint'!$A$7:$K$62),ROW('DBX Sprint'!$A$7:$K$62)),""),ROWS(D$34:$D55)),COLUMNS('DBX Sprint'!$A$1:A12)),"")</f>
        <v/>
      </c>
      <c r="E55" s="41" t="str" cm="1">
        <f t="array" aca="1" ref="E55" ca="1">IFERROR(INDEX('DBX Sprint'!$A$7:$K$62, SMALL(IF((INDEX('DBX Sprint'!$A$7:$K$62, ,13)&lt;=(TODAY()+1))*(INDEX('DBX Sprint'!$A$7:$K$62, ,13)&gt;=TODAY()),MATCH(ROW('DBX Sprint'!$A$7:$K$62),ROW('DBX Sprint'!$A$7:$K$62)),""),ROWS(E$34:$E55)),COLUMNS('DBX Sprint'!$A$1:A12)),"")</f>
        <v/>
      </c>
      <c r="F55" s="43" t="str" cm="1">
        <f t="array" aca="1" ref="F55" ca="1">IFERROR(INDEX('DBX Sprint'!$A$7:$K$62, SMALL(IF((INDEX('DBX Sprint'!$A$7:$K$62, ,13)&lt;=(TODAY()+5))*(INDEX('DBX Sprint'!$A$7:$K$62, ,13)&gt;(TODAY()+1)),MATCH(ROW('DBX Sprint'!$A$7:$K$62),ROW('DBX Sprint'!$A$7:$K$62)),""),ROWS($F$34:F55)),COLUMNS('DBX Sprint'!$A$1:A12)),"")</f>
        <v/>
      </c>
      <c r="G55" s="43" t="str" cm="1">
        <f t="array" aca="1" ref="G55" ca="1">IFERROR(INDEX('DBX Sprint'!$A$7:$K$62, SMALL(IF((INDEX('DBX Sprint'!$A$7:$K$62, ,13)&lt;=(TODAY()+10))*(INDEX('DBX Sprint'!$A$7:$K$62, ,13)&gt;(TODAY()+5)),MATCH(ROW('DBX Sprint'!$A$7:$K$62),ROW('DBX Sprint'!$A$7:$K$62)),""),ROWS($G$34:G55)),COLUMNS('DBX Sprint'!$A$1:A12)),"")</f>
        <v/>
      </c>
      <c r="I55" s="41" t="str" cm="1">
        <f t="array" ref="I55">IFERROR(INDEX('DBX Sprint'!$A$7:$K$62, SMALL(IF((INDEX('DBX Sprint'!$A$7:$K$62, ,16)=("Complete"))*(INDEX('DBX Sprint'!$A$7:$K$62, ,16)="Complete"),MATCH(ROW('DBX Sprint'!$A$7:$K$62),ROW('DBX Sprint'!$A$7:$K$62)),""),ROWS($I$34:I55)),COLUMNS('DBX Sprint'!$A$1:A12)),"")</f>
        <v/>
      </c>
      <c r="J55" s="41" t="str" cm="1">
        <f t="array" aca="1" ref="J55" ca="1">IFERROR(INDEX('DBX Sprint'!$A$7:$K$62, SMALL(IF((INDEX('DBX Sprint'!$A$7:$K$62, ,16)&lt;(TODAY()))*(INDEX('DBX Sprint'!$A$7:$K$62, ,16)&lt;&gt;"Complete"),MATCH(ROW('DBX Sprint'!$A$7:$K$62),ROW('DBX Sprint'!$A$7:$K$62)),""),ROWS($J$34:J55)),COLUMNS('DBX Sprint'!$A$1:A12)),"")</f>
        <v/>
      </c>
      <c r="K55" s="37" t="str" cm="1">
        <f t="array" aca="1" ref="K55" ca="1">IFERROR(INDEX('DBX Sprint'!$A$7:$K$62, SMALL(IF((INDEX('DBX Sprint'!$A$7:$K$62, ,16)&lt;=(TODAY()+1))*(INDEX('DBX Sprint'!$A$7:$K$62, ,16)&gt;=TODAY()),MATCH(ROW('DBX Sprint'!$A$7:$K$62),ROW('DBX Sprint'!$A$7:$K$62)),""),ROWS($K$34:K55)),COLUMNS('DBX Sprint'!$A$1:A12)),"")</f>
        <v/>
      </c>
      <c r="L55" s="38" t="str" cm="1">
        <f t="array" aca="1" ref="L55" ca="1">IFERROR(INDEX('DBX Sprint'!$A$7:$K$62, SMALL(IF((INDEX('DBX Sprint'!$A$7:$K$62, ,16)&lt;=(TODAY()+5))*(INDEX('DBX Sprint'!$A$7:$K$62, ,16)&gt;(TODAY()+1)),MATCH(ROW('DBX Sprint'!$A$7:$K$62),ROW('DBX Sprint'!$A$7:$K$62)),""),ROWS($L$34:L55)),COLUMNS('DBX Sprint'!$A$1:A12)),"")</f>
        <v/>
      </c>
      <c r="M55" s="38" t="str" cm="1">
        <f t="array" aca="1" ref="M55" ca="1">IFERROR(INDEX('DBX Sprint'!$A$7:$K$62, SMALL(IF((INDEX('DBX Sprint'!$A$7:$K$62, ,16)&lt;=(TODAY()+10))*(INDEX('DBX Sprint'!$A$7:$K$62, ,16)&gt;(TODAY()+5)),MATCH(ROW('DBX Sprint'!$A$7:$K$62),ROW('DBX Sprint'!$A$7:$K$62)),""),ROWS($M$34:M55)),COLUMNS('DBX Sprint'!$A$1:A12)),"")</f>
        <v/>
      </c>
      <c r="O55" s="41" t="str" cm="1">
        <f t="array" ref="O55">IFERROR(INDEX('DBX Sprint'!$A$7:$K$62, SMALL(IF((INDEX('DBX Sprint'!$A$7:$K$62, ,19)=("Complete"))*(INDEX('DBX Sprint'!$A$7:$K$62, ,19)="Complete"),MATCH(ROW('DBX Sprint'!$A$7:$K$62),ROW('DBX Sprint'!$A$7:$K$62)),""),ROWS($O$34:O55)),COLUMNS('DBX Sprint'!$A$1:A12)),"")</f>
        <v/>
      </c>
      <c r="P55" s="41" t="str" cm="1">
        <f t="array" aca="1" ref="P55" ca="1">IFERROR(INDEX('DBX Sprint'!$A$7:$K$62, SMALL(IF((INDEX('DBX Sprint'!$A$7:$K$62, ,19)&lt;(TODAY()))*(INDEX('DBX Sprint'!$A$7:$K$62, ,19)&lt;&gt;"Complete"),MATCH(ROW('DBX Sprint'!$A$7:$K$62),ROW('DBX Sprint'!$A$7:$K$62)),""),ROWS($P$34:P55)),COLUMNS('DBX Sprint'!$A$1:A12)),"")</f>
        <v/>
      </c>
      <c r="Q55" s="41" t="str" cm="1">
        <f t="array" aca="1" ref="Q55" ca="1">IFERROR(INDEX('DBX Sprint'!$A$7:$K$62, SMALL(IF((INDEX('DBX Sprint'!$A$7:$K$62, ,19)&lt;=(TODAY()+1))*(INDEX('DBX Sprint'!$A$7:$K$62, ,19)&gt;=TODAY()),MATCH(ROW('DBX Sprint'!$A$7:$K$62),ROW('DBX Sprint'!$A$7:$K$62)),""),ROWS($Q$34:Q55)),COLUMNS('DBX Sprint'!$A$1:A12)),"")</f>
        <v/>
      </c>
      <c r="R55" s="43" t="str" cm="1">
        <f t="array" aca="1" ref="R55" ca="1">IFERROR(INDEX('DBX Sprint'!$A$7:$K$62, SMALL(IF((INDEX('DBX Sprint'!$A$7:$K$62, ,19)&lt;=(TODAY()+5))*(INDEX('DBX Sprint'!$A$7:$K$62, ,19)&gt;(TODAY()+1)),MATCH(ROW('DBX Sprint'!$A$7:$K$62),ROW('DBX Sprint'!$A$7:$K$62)),""),ROWS($R$34:R55)),COLUMNS('DBX Sprint'!$A$1:A12)),"")</f>
        <v/>
      </c>
      <c r="S55" s="43" t="str" cm="1">
        <f t="array" aca="1" ref="S55" ca="1">IFERROR(INDEX('DBX Sprint'!$A$7:$K$62, SMALL(IF((INDEX('DBX Sprint'!$A$7:$K$62, ,19)&lt;=(TODAY()+10))*(INDEX('DBX Sprint'!$A$7:$K$62, ,19)&gt;(TODAY()+5)),MATCH(ROW('DBX Sprint'!$A$7:$K$62),ROW('DBX Sprint'!$A$7:$K$62)),""),ROWS($S$34:S55)),COLUMNS('DBX Sprint'!$A$1:A12)),"")</f>
        <v/>
      </c>
      <c r="U55" s="41" t="str" cm="1">
        <f t="array" ref="U55">IFERROR(INDEX('DBX Sprint'!$A$7:$K$62, SMALL(IF((INDEX('DBX Sprint'!$A$7:$K$62, ,22)=("Complete"))*(INDEX('DBX Sprint'!$A$7:$K$62, ,22)="Complete"),MATCH(ROW('DBX Sprint'!$A$7:$K$62),ROW('DBX Sprint'!$A$7:$K$62)),""),ROWS($U$34:U55)),COLUMNS('DBX Sprint'!$A$1:A12)),"")</f>
        <v/>
      </c>
      <c r="V55" s="41" t="str" cm="1">
        <f t="array" aca="1" ref="V55" ca="1">IFERROR(INDEX('DBX Sprint'!$A$7:$K$62, SMALL(IF((INDEX('DBX Sprint'!$A$7:$K$62, ,22)&lt;(TODAY()))*(INDEX('DBX Sprint'!$A$7:$K$62, ,22)&lt;&gt;"Complete"),MATCH(ROW('DBX Sprint'!$A$7:$K$62),ROW('DBX Sprint'!$A$7:$K$62)),""),ROWS($V$34:V55)),COLUMNS('DBX Sprint'!$A$1:A12)),"")</f>
        <v/>
      </c>
      <c r="W55" s="41" t="str" cm="1">
        <f t="array" aca="1" ref="W55" ca="1">IFERROR(INDEX('DBX Sprint'!$A$7:$K$62, SMALL(IF((INDEX('DBX Sprint'!$A$7:$K$62, ,22)&lt;=(TODAY()+1))*(INDEX('DBX Sprint'!$A$7:$K$62, ,22)&gt;=TODAY()),MATCH(ROW('DBX Sprint'!$A$7:$K$62),ROW('DBX Sprint'!$A$7:$K$62)),""),ROWS($W$34:W55)),COLUMNS('DBX Sprint'!$A$1:A12)),"")</f>
        <v/>
      </c>
      <c r="X55" s="43" t="str" cm="1">
        <f t="array" aca="1" ref="X55" ca="1">IFERROR(INDEX('DBX Sprint'!$A$7:$K$62, SMALL(IF((INDEX('DBX Sprint'!$A$7:$K$62, ,22)&lt;=(TODAY()+5))*(INDEX('DBX Sprint'!$A$7:$K$62, ,22)&gt;(TODAY()+1)),MATCH(ROW('DBX Sprint'!$A$7:$K$62),ROW('DBX Sprint'!$A$7:$K$62)),""),ROWS($X$34:X55)),COLUMNS('DBX Sprint'!$A$1:A12)),"")</f>
        <v/>
      </c>
      <c r="Y55" s="43" t="str" cm="1">
        <f t="array" aca="1" ref="Y55" ca="1">IFERROR(INDEX('DBX Sprint'!$A$7:$K$62, SMALL(IF((INDEX('DBX Sprint'!$A$7:$K$62, ,22)&lt;=(TODAY()+10))*(INDEX('DBX Sprint'!$A$7:$K$62, ,22)&gt;(TODAY()+5)),MATCH(ROW('DBX Sprint'!$A$7:$K$62),ROW('DBX Sprint'!$A$7:$K$62)),""),ROWS($Y$34:Y55)),COLUMNS('DBX Sprint'!$A$1:A12)),"")</f>
        <v/>
      </c>
      <c r="AA55" s="41" t="str" cm="1">
        <f t="array" ref="AA55">IFERROR(INDEX('DBX Sprint'!$A$7:$K$62, SMALL(IF((INDEX('DBX Sprint'!$A$7:$K$62, ,25)=("Complete"))*(INDEX('DBX Sprint'!$A$7:$K$62, ,25)="Complete"),MATCH(ROW('DBX Sprint'!$A$7:$K$62),ROW('DBX Sprint'!$A$7:$K$62)),""),ROWS($AA$34:AA55)),COLUMNS('DBX Sprint'!$A$1:A12)),"")</f>
        <v/>
      </c>
      <c r="AB55" s="41" t="str" cm="1">
        <f t="array" aca="1" ref="AB55" ca="1">IFERROR(INDEX('DBX Sprint'!$A$7:$K$62, SMALL(IF((INDEX('DBX Sprint'!$A$7:$K$62, ,25)&lt;(TODAY()))*(INDEX('DBX Sprint'!$A$7:$K$62, ,25)&lt;&gt;"Complete"),MATCH(ROW('DBX Sprint'!$A$7:$K$62),ROW('DBX Sprint'!$A$7:$K$62)),""),ROWS($AB$34:AB55)),COLUMNS('DBX Sprint'!$A$1:A12)),"")</f>
        <v/>
      </c>
      <c r="AC55" s="41" t="str" cm="1">
        <f t="array" aca="1" ref="AC55" ca="1">IFERROR(INDEX('DBX Sprint'!$A$7:$K$62, SMALL(IF((INDEX('DBX Sprint'!$A$7:$K$62, ,25)&lt;=(TODAY()+1))*(INDEX('DBX Sprint'!$A$7:$K$62, ,25)&gt;=TODAY()),MATCH(ROW('DBX Sprint'!$A$7:$K$62),ROW('DBX Sprint'!$A$7:$K$62)),""),ROWS($AC$34:AC55)),COLUMNS('DBX Sprint'!$A$1:A12)),"")</f>
        <v/>
      </c>
      <c r="AD55" s="43" t="str" cm="1">
        <f t="array" aca="1" ref="AD55" ca="1">IFERROR(INDEX('DBX Sprint'!$A$7:$K$62, SMALL(IF((INDEX('DBX Sprint'!$A$7:$K$62, ,25)&lt;=(TODAY()+5))*(INDEX('DBX Sprint'!$A$7:$K$62, ,25)&gt;(TODAY()+1)),MATCH(ROW('DBX Sprint'!$A$7:$K$62),ROW('DBX Sprint'!$A$7:$K$62)),""),ROWS($AD$34:AD55)),COLUMNS('DBX Sprint'!$A$1:A12)),"")</f>
        <v/>
      </c>
      <c r="AE55" s="43" t="str" cm="1">
        <f t="array" aca="1" ref="AE55" ca="1">IFERROR(INDEX('DBX Sprint'!$A$7:$K$62, SMALL(IF((INDEX('DBX Sprint'!$A$7:$K$62, ,25)&lt;=(TODAY()+10))*(INDEX('DBX Sprint'!$A$7:$K$62, ,25)&gt;(TODAY()+5)),MATCH(ROW('DBX Sprint'!$A$7:$K$62),ROW('DBX Sprint'!$A$7:$K$62)),""),ROWS($AE$34:AE55)),COLUMNS('DBX Sprint'!$A$1:A12)),"")</f>
        <v/>
      </c>
      <c r="AG55" s="41" t="str" cm="1">
        <f t="array" ref="AG55">IFERROR(INDEX('DBX Sprint'!$A$7:$K$62, SMALL(IF((INDEX('DBX Sprint'!$A$7:$K$62, ,29)=("Complete"))*(INDEX('DBX Sprint'!$A$7:$K$62, ,29)="Complete"),MATCH(ROW('DBX Sprint'!$A$7:$K$62),ROW('DBX Sprint'!$A$7:$K$62)),""),ROWS($AG$34:AG55)),COLUMNS('DBX Sprint'!$A$1:A12)),"")</f>
        <v/>
      </c>
      <c r="AH55" s="41" t="str" cm="1">
        <f t="array" aca="1" ref="AH55" ca="1">IFERROR(INDEX('DBX Sprint'!$A$7:$K$62, SMALL(IF((INDEX('DBX Sprint'!$A$7:$K$62, ,29)&lt;(TODAY()))*(INDEX('DBX Sprint'!$A$7:$K$62, ,29)&lt;&gt;"Complete"),MATCH(ROW('DBX Sprint'!$A$7:$K$62),ROW('DBX Sprint'!$A$7:$K$62)),""),ROWS($AH$34:AH55)),COLUMNS('DBX Sprint'!$A$1:A12)),"")</f>
        <v/>
      </c>
      <c r="AI55" s="41" t="str" cm="1">
        <f t="array" aca="1" ref="AI55" ca="1">IFERROR(INDEX('DBX Sprint'!$A$7:$K$62, SMALL(IF((INDEX('DBX Sprint'!$A$7:$K$62, ,29)&lt;=(TODAY()+1))*(INDEX('DBX Sprint'!$A$7:$K$62, ,29)&gt;=TODAY()),MATCH(ROW('DBX Sprint'!$A$7:$K$62),ROW('DBX Sprint'!$A$7:$K$62)),""),ROWS($AI$34:AI55)),COLUMNS('DBX Sprint'!$A$1:A12)),"")</f>
        <v/>
      </c>
      <c r="AJ55" s="43" t="str" cm="1">
        <f t="array" aca="1" ref="AJ55" ca="1">IFERROR(INDEX('DBX Sprint'!$A$7:$K$62, SMALL(IF((INDEX('DBX Sprint'!$A$7:$K$62, ,29)&lt;=(TODAY()+5))*(INDEX('DBX Sprint'!$A$7:$K$62, ,29)&gt;(TODAY()+1)),MATCH(ROW('DBX Sprint'!$A$7:$K$62),ROW('DBX Sprint'!$A$7:$K$62)),""),ROWS($AJ$34:AJ55)),COLUMNS('DBX Sprint'!$A$1:A12)),"")</f>
        <v/>
      </c>
      <c r="AK55" s="43" t="str" cm="1">
        <f t="array" aca="1" ref="AK55" ca="1">IFERROR(INDEX('DBX Sprint'!$A$7:$K$62, SMALL(IF((INDEX('DBX Sprint'!$A$7:$K$62, ,29)&lt;=(TODAY()+10))*(INDEX('DBX Sprint'!$A$7:$K$62, ,29)&gt;(TODAY()+5)),MATCH(ROW('DBX Sprint'!$A$7:$K$62),ROW('DBX Sprint'!$A$7:$K$62)),""),ROWS($AK$34:AK55)),COLUMNS('DBX Sprint'!$A$1:A12)),"")</f>
        <v/>
      </c>
      <c r="AM55" s="41" t="str" cm="1">
        <f t="array" ref="AM55">IFERROR(INDEX('DBX Sprint'!$A$7:$K$62, SMALL(IF((INDEX('DBX Sprint'!$A$7:$K$62, ,32)=("Complete"))*(INDEX('DBX Sprint'!$A$7:$K$62, ,32)="Complete"),MATCH(ROW('DBX Sprint'!$A$7:$K$62),ROW('DBX Sprint'!$A$7:$K$62)),""),ROWS($AM$34:AM55)),COLUMNS('DBX Sprint'!$A$1:A12)),"")</f>
        <v/>
      </c>
      <c r="AN55" s="41" t="str" cm="1">
        <f t="array" aca="1" ref="AN55" ca="1">IFERROR(INDEX('DBX Sprint'!$A$7:$K$62, SMALL(IF((INDEX('DBX Sprint'!$A$7:$K$62, ,32)&lt;(TODAY()))*(INDEX('DBX Sprint'!$A$7:$K$62, ,32)&lt;&gt;"Complete"),MATCH(ROW('DBX Sprint'!$A$7:$K$62),ROW('DBX Sprint'!$A$7:$K$62)),""),ROWS($AN$34:AN55)),COLUMNS('DBX Sprint'!$A$1:A12)),"")</f>
        <v/>
      </c>
      <c r="AO55" s="41" t="str" cm="1">
        <f t="array" aca="1" ref="AO55" ca="1">IFERROR(INDEX('DBX Sprint'!$A$7:$K$62, SMALL(IF((INDEX('DBX Sprint'!$A$7:$K$62, ,32)&lt;=(TODAY()+1))*(INDEX('DBX Sprint'!$A$7:$K$62, ,32)&gt;=TODAY()),MATCH(ROW('DBX Sprint'!$A$7:$K$62),ROW('DBX Sprint'!$A$7:$K$62)),""),ROWS($AO$34:AO55)),COLUMNS('DBX Sprint'!$A$1:A12)),"")</f>
        <v/>
      </c>
      <c r="AP55" s="43" t="str" cm="1">
        <f t="array" aca="1" ref="AP55" ca="1">IFERROR(INDEX('DBX Sprint'!$A$7:$K$62, SMALL(IF((INDEX('DBX Sprint'!$A$7:$K$62, ,32)&lt;=(TODAY()+5))*(INDEX('DBX Sprint'!$A$7:$K$62, ,32)&gt;(TODAY()+1)),MATCH(ROW('DBX Sprint'!$A$7:$K$62),ROW('DBX Sprint'!$A$7:$K$62)),""),ROWS($AP$34:AP55)),COLUMNS('DBX Sprint'!$A$1:A12)),"")</f>
        <v/>
      </c>
      <c r="AQ55" s="43" t="str" cm="1">
        <f t="array" aca="1" ref="AQ55" ca="1">IFERROR(INDEX('DBX Sprint'!$A$7:$K$62, SMALL(IF((INDEX('DBX Sprint'!$A$7:$K$62, ,32)&lt;=(TODAY()+10))*(INDEX('DBX Sprint'!$A$7:$K$62, ,32)&gt;(TODAY()+5)),MATCH(ROW('DBX Sprint'!$A$7:$K$62),ROW('DBX Sprint'!$A$7:$K$62)),""),ROWS($AQ$34:AQ55)),COLUMNS('DBX Sprint'!$A$1:A12)),"")</f>
        <v/>
      </c>
    </row>
    <row r="56" spans="3:43" ht="30" customHeight="1">
      <c r="C56" s="41" t="str" cm="1">
        <f t="array" ref="C56">IFERROR(INDEX('DBX Sprint'!$A$7:$K$62, SMALL(IF((INDEX('DBX Sprint'!$A$7:$K$62, ,13)=("Complete"))*(INDEX('DBX Sprint'!$A$7:$K$62, ,13)="Complete"),MATCH(ROW('DBX Sprint'!$A$7:$K$62),ROW('DBX Sprint'!$A$7:$K$62)),""),ROWS(C$34:$C56)),COLUMNS('DBX Sprint'!$A$1:A12)),"")</f>
        <v/>
      </c>
      <c r="D56" s="41" t="str" cm="1">
        <f t="array" aca="1" ref="D56" ca="1">IFERROR(INDEX('DBX Sprint'!$A$7:$K$62, SMALL(IF((INDEX('DBX Sprint'!$A$7:$K$62, ,13)&lt;(TODAY()))*(INDEX('DBX Sprint'!$A$7:$K$62, ,13)&lt;&gt;"Complete"),MATCH(ROW('DBX Sprint'!$A$7:$K$62),ROW('DBX Sprint'!$A$7:$K$62)),""),ROWS(D$34:$D56)),COLUMNS('DBX Sprint'!$A$1:A12)),"")</f>
        <v/>
      </c>
      <c r="E56" s="41" t="str" cm="1">
        <f t="array" aca="1" ref="E56" ca="1">IFERROR(INDEX('DBX Sprint'!$A$7:$K$62, SMALL(IF((INDEX('DBX Sprint'!$A$7:$K$62, ,13)&lt;=(TODAY()+1))*(INDEX('DBX Sprint'!$A$7:$K$62, ,13)&gt;=TODAY()),MATCH(ROW('DBX Sprint'!$A$7:$K$62),ROW('DBX Sprint'!$A$7:$K$62)),""),ROWS(E$34:$E56)),COLUMNS('DBX Sprint'!$A$1:A12)),"")</f>
        <v/>
      </c>
      <c r="F56" s="43" t="str" cm="1">
        <f t="array" aca="1" ref="F56" ca="1">IFERROR(INDEX('DBX Sprint'!$A$7:$K$62, SMALL(IF((INDEX('DBX Sprint'!$A$7:$K$62, ,13)&lt;=(TODAY()+5))*(INDEX('DBX Sprint'!$A$7:$K$62, ,13)&gt;(TODAY()+1)),MATCH(ROW('DBX Sprint'!$A$7:$K$62),ROW('DBX Sprint'!$A$7:$K$62)),""),ROWS($F$34:F56)),COLUMNS('DBX Sprint'!$A$1:A12)),"")</f>
        <v/>
      </c>
      <c r="G56" s="43" t="str" cm="1">
        <f t="array" aca="1" ref="G56" ca="1">IFERROR(INDEX('DBX Sprint'!$A$7:$K$62, SMALL(IF((INDEX('DBX Sprint'!$A$7:$K$62, ,13)&lt;=(TODAY()+10))*(INDEX('DBX Sprint'!$A$7:$K$62, ,13)&gt;(TODAY()+5)),MATCH(ROW('DBX Sprint'!$A$7:$K$62),ROW('DBX Sprint'!$A$7:$K$62)),""),ROWS($G$34:G56)),COLUMNS('DBX Sprint'!$A$1:A12)),"")</f>
        <v/>
      </c>
      <c r="I56" s="41" t="str" cm="1">
        <f t="array" ref="I56">IFERROR(INDEX('DBX Sprint'!$A$7:$K$62, SMALL(IF((INDEX('DBX Sprint'!$A$7:$K$62, ,16)=("Complete"))*(INDEX('DBX Sprint'!$A$7:$K$62, ,16)="Complete"),MATCH(ROW('DBX Sprint'!$A$7:$K$62),ROW('DBX Sprint'!$A$7:$K$62)),""),ROWS($I$34:I56)),COLUMNS('DBX Sprint'!$A$1:A12)),"")</f>
        <v/>
      </c>
      <c r="J56" s="41" t="str" cm="1">
        <f t="array" aca="1" ref="J56" ca="1">IFERROR(INDEX('DBX Sprint'!$A$7:$K$62, SMALL(IF((INDEX('DBX Sprint'!$A$7:$K$62, ,16)&lt;(TODAY()))*(INDEX('DBX Sprint'!$A$7:$K$62, ,16)&lt;&gt;"Complete"),MATCH(ROW('DBX Sprint'!$A$7:$K$62),ROW('DBX Sprint'!$A$7:$K$62)),""),ROWS($J$34:J56)),COLUMNS('DBX Sprint'!$A$1:A12)),"")</f>
        <v/>
      </c>
      <c r="K56" s="37" t="str" cm="1">
        <f t="array" aca="1" ref="K56" ca="1">IFERROR(INDEX('DBX Sprint'!$A$7:$K$62, SMALL(IF((INDEX('DBX Sprint'!$A$7:$K$62, ,16)&lt;=(TODAY()+1))*(INDEX('DBX Sprint'!$A$7:$K$62, ,16)&gt;=TODAY()),MATCH(ROW('DBX Sprint'!$A$7:$K$62),ROW('DBX Sprint'!$A$7:$K$62)),""),ROWS($K$34:K56)),COLUMNS('DBX Sprint'!$A$1:A12)),"")</f>
        <v/>
      </c>
      <c r="L56" s="38" t="str" cm="1">
        <f t="array" aca="1" ref="L56" ca="1">IFERROR(INDEX('DBX Sprint'!$A$7:$K$62, SMALL(IF((INDEX('DBX Sprint'!$A$7:$K$62, ,16)&lt;=(TODAY()+5))*(INDEX('DBX Sprint'!$A$7:$K$62, ,16)&gt;(TODAY()+1)),MATCH(ROW('DBX Sprint'!$A$7:$K$62),ROW('DBX Sprint'!$A$7:$K$62)),""),ROWS($L$34:L56)),COLUMNS('DBX Sprint'!$A$1:A12)),"")</f>
        <v/>
      </c>
      <c r="M56" s="38" t="str" cm="1">
        <f t="array" aca="1" ref="M56" ca="1">IFERROR(INDEX('DBX Sprint'!$A$7:$K$62, SMALL(IF((INDEX('DBX Sprint'!$A$7:$K$62, ,16)&lt;=(TODAY()+10))*(INDEX('DBX Sprint'!$A$7:$K$62, ,16)&gt;(TODAY()+5)),MATCH(ROW('DBX Sprint'!$A$7:$K$62),ROW('DBX Sprint'!$A$7:$K$62)),""),ROWS($M$34:M56)),COLUMNS('DBX Sprint'!$A$1:A12)),"")</f>
        <v/>
      </c>
      <c r="O56" s="41" t="str" cm="1">
        <f t="array" ref="O56">IFERROR(INDEX('DBX Sprint'!$A$7:$K$62, SMALL(IF((INDEX('DBX Sprint'!$A$7:$K$62, ,19)=("Complete"))*(INDEX('DBX Sprint'!$A$7:$K$62, ,19)="Complete"),MATCH(ROW('DBX Sprint'!$A$7:$K$62),ROW('DBX Sprint'!$A$7:$K$62)),""),ROWS($O$34:O56)),COLUMNS('DBX Sprint'!$A$1:A12)),"")</f>
        <v/>
      </c>
      <c r="P56" s="41" t="str" cm="1">
        <f t="array" aca="1" ref="P56" ca="1">IFERROR(INDEX('DBX Sprint'!$A$7:$K$62, SMALL(IF((INDEX('DBX Sprint'!$A$7:$K$62, ,19)&lt;(TODAY()))*(INDEX('DBX Sprint'!$A$7:$K$62, ,19)&lt;&gt;"Complete"),MATCH(ROW('DBX Sprint'!$A$7:$K$62),ROW('DBX Sprint'!$A$7:$K$62)),""),ROWS($P$34:P56)),COLUMNS('DBX Sprint'!$A$1:A12)),"")</f>
        <v/>
      </c>
      <c r="Q56" s="41" t="str" cm="1">
        <f t="array" aca="1" ref="Q56" ca="1">IFERROR(INDEX('DBX Sprint'!$A$7:$K$62, SMALL(IF((INDEX('DBX Sprint'!$A$7:$K$62, ,19)&lt;=(TODAY()+1))*(INDEX('DBX Sprint'!$A$7:$K$62, ,19)&gt;=TODAY()),MATCH(ROW('DBX Sprint'!$A$7:$K$62),ROW('DBX Sprint'!$A$7:$K$62)),""),ROWS($Q$34:Q56)),COLUMNS('DBX Sprint'!$A$1:A12)),"")</f>
        <v/>
      </c>
      <c r="R56" s="43" t="str" cm="1">
        <f t="array" aca="1" ref="R56" ca="1">IFERROR(INDEX('DBX Sprint'!$A$7:$K$62, SMALL(IF((INDEX('DBX Sprint'!$A$7:$K$62, ,19)&lt;=(TODAY()+5))*(INDEX('DBX Sprint'!$A$7:$K$62, ,19)&gt;(TODAY()+1)),MATCH(ROW('DBX Sprint'!$A$7:$K$62),ROW('DBX Sprint'!$A$7:$K$62)),""),ROWS($R$34:R56)),COLUMNS('DBX Sprint'!$A$1:A12)),"")</f>
        <v/>
      </c>
      <c r="S56" s="43" t="str" cm="1">
        <f t="array" aca="1" ref="S56" ca="1">IFERROR(INDEX('DBX Sprint'!$A$7:$K$62, SMALL(IF((INDEX('DBX Sprint'!$A$7:$K$62, ,19)&lt;=(TODAY()+10))*(INDEX('DBX Sprint'!$A$7:$K$62, ,19)&gt;(TODAY()+5)),MATCH(ROW('DBX Sprint'!$A$7:$K$62),ROW('DBX Sprint'!$A$7:$K$62)),""),ROWS($S$34:S56)),COLUMNS('DBX Sprint'!$A$1:A12)),"")</f>
        <v/>
      </c>
      <c r="U56" s="41" t="str" cm="1">
        <f t="array" ref="U56">IFERROR(INDEX('DBX Sprint'!$A$7:$K$62, SMALL(IF((INDEX('DBX Sprint'!$A$7:$K$62, ,22)=("Complete"))*(INDEX('DBX Sprint'!$A$7:$K$62, ,22)="Complete"),MATCH(ROW('DBX Sprint'!$A$7:$K$62),ROW('DBX Sprint'!$A$7:$K$62)),""),ROWS($U$34:U56)),COLUMNS('DBX Sprint'!$A$1:A12)),"")</f>
        <v/>
      </c>
      <c r="V56" s="41" t="str" cm="1">
        <f t="array" aca="1" ref="V56" ca="1">IFERROR(INDEX('DBX Sprint'!$A$7:$K$62, SMALL(IF((INDEX('DBX Sprint'!$A$7:$K$62, ,22)&lt;(TODAY()))*(INDEX('DBX Sprint'!$A$7:$K$62, ,22)&lt;&gt;"Complete"),MATCH(ROW('DBX Sprint'!$A$7:$K$62),ROW('DBX Sprint'!$A$7:$K$62)),""),ROWS($V$34:V56)),COLUMNS('DBX Sprint'!$A$1:A12)),"")</f>
        <v/>
      </c>
      <c r="W56" s="41" t="str" cm="1">
        <f t="array" aca="1" ref="W56" ca="1">IFERROR(INDEX('DBX Sprint'!$A$7:$K$62, SMALL(IF((INDEX('DBX Sprint'!$A$7:$K$62, ,22)&lt;=(TODAY()+1))*(INDEX('DBX Sprint'!$A$7:$K$62, ,22)&gt;=TODAY()),MATCH(ROW('DBX Sprint'!$A$7:$K$62),ROW('DBX Sprint'!$A$7:$K$62)),""),ROWS($W$34:W56)),COLUMNS('DBX Sprint'!$A$1:A12)),"")</f>
        <v/>
      </c>
      <c r="X56" s="43" t="str" cm="1">
        <f t="array" aca="1" ref="X56" ca="1">IFERROR(INDEX('DBX Sprint'!$A$7:$K$62, SMALL(IF((INDEX('DBX Sprint'!$A$7:$K$62, ,22)&lt;=(TODAY()+5))*(INDEX('DBX Sprint'!$A$7:$K$62, ,22)&gt;(TODAY()+1)),MATCH(ROW('DBX Sprint'!$A$7:$K$62),ROW('DBX Sprint'!$A$7:$K$62)),""),ROWS($X$34:X56)),COLUMNS('DBX Sprint'!$A$1:A12)),"")</f>
        <v/>
      </c>
      <c r="Y56" s="43" t="str" cm="1">
        <f t="array" aca="1" ref="Y56" ca="1">IFERROR(INDEX('DBX Sprint'!$A$7:$K$62, SMALL(IF((INDEX('DBX Sprint'!$A$7:$K$62, ,22)&lt;=(TODAY()+10))*(INDEX('DBX Sprint'!$A$7:$K$62, ,22)&gt;(TODAY()+5)),MATCH(ROW('DBX Sprint'!$A$7:$K$62),ROW('DBX Sprint'!$A$7:$K$62)),""),ROWS($Y$34:Y56)),COLUMNS('DBX Sprint'!$A$1:A12)),"")</f>
        <v/>
      </c>
      <c r="AA56" s="41" t="str" cm="1">
        <f t="array" ref="AA56">IFERROR(INDEX('DBX Sprint'!$A$7:$K$62, SMALL(IF((INDEX('DBX Sprint'!$A$7:$K$62, ,25)=("Complete"))*(INDEX('DBX Sprint'!$A$7:$K$62, ,25)="Complete"),MATCH(ROW('DBX Sprint'!$A$7:$K$62),ROW('DBX Sprint'!$A$7:$K$62)),""),ROWS($AA$34:AA56)),COLUMNS('DBX Sprint'!$A$1:A12)),"")</f>
        <v/>
      </c>
      <c r="AB56" s="41" t="str" cm="1">
        <f t="array" aca="1" ref="AB56" ca="1">IFERROR(INDEX('DBX Sprint'!$A$7:$K$62, SMALL(IF((INDEX('DBX Sprint'!$A$7:$K$62, ,25)&lt;(TODAY()))*(INDEX('DBX Sprint'!$A$7:$K$62, ,25)&lt;&gt;"Complete"),MATCH(ROW('DBX Sprint'!$A$7:$K$62),ROW('DBX Sprint'!$A$7:$K$62)),""),ROWS($AB$34:AB56)),COLUMNS('DBX Sprint'!$A$1:A12)),"")</f>
        <v/>
      </c>
      <c r="AC56" s="41" t="str" cm="1">
        <f t="array" aca="1" ref="AC56" ca="1">IFERROR(INDEX('DBX Sprint'!$A$7:$K$62, SMALL(IF((INDEX('DBX Sprint'!$A$7:$K$62, ,25)&lt;=(TODAY()+1))*(INDEX('DBX Sprint'!$A$7:$K$62, ,25)&gt;=TODAY()),MATCH(ROW('DBX Sprint'!$A$7:$K$62),ROW('DBX Sprint'!$A$7:$K$62)),""),ROWS($AC$34:AC56)),COLUMNS('DBX Sprint'!$A$1:A12)),"")</f>
        <v/>
      </c>
      <c r="AD56" s="43" t="str" cm="1">
        <f t="array" aca="1" ref="AD56" ca="1">IFERROR(INDEX('DBX Sprint'!$A$7:$K$62, SMALL(IF((INDEX('DBX Sprint'!$A$7:$K$62, ,25)&lt;=(TODAY()+5))*(INDEX('DBX Sprint'!$A$7:$K$62, ,25)&gt;(TODAY()+1)),MATCH(ROW('DBX Sprint'!$A$7:$K$62),ROW('DBX Sprint'!$A$7:$K$62)),""),ROWS($AD$34:AD56)),COLUMNS('DBX Sprint'!$A$1:A12)),"")</f>
        <v/>
      </c>
      <c r="AE56" s="43" t="str" cm="1">
        <f t="array" aca="1" ref="AE56" ca="1">IFERROR(INDEX('DBX Sprint'!$A$7:$K$62, SMALL(IF((INDEX('DBX Sprint'!$A$7:$K$62, ,25)&lt;=(TODAY()+10))*(INDEX('DBX Sprint'!$A$7:$K$62, ,25)&gt;(TODAY()+5)),MATCH(ROW('DBX Sprint'!$A$7:$K$62),ROW('DBX Sprint'!$A$7:$K$62)),""),ROWS($AE$34:AE56)),COLUMNS('DBX Sprint'!$A$1:A12)),"")</f>
        <v/>
      </c>
      <c r="AG56" s="41" t="str" cm="1">
        <f t="array" ref="AG56">IFERROR(INDEX('DBX Sprint'!$A$7:$K$62, SMALL(IF((INDEX('DBX Sprint'!$A$7:$K$62, ,29)=("Complete"))*(INDEX('DBX Sprint'!$A$7:$K$62, ,29)="Complete"),MATCH(ROW('DBX Sprint'!$A$7:$K$62),ROW('DBX Sprint'!$A$7:$K$62)),""),ROWS($AG$34:AG56)),COLUMNS('DBX Sprint'!$A$1:A12)),"")</f>
        <v/>
      </c>
      <c r="AH56" s="41" t="str" cm="1">
        <f t="array" aca="1" ref="AH56" ca="1">IFERROR(INDEX('DBX Sprint'!$A$7:$K$62, SMALL(IF((INDEX('DBX Sprint'!$A$7:$K$62, ,29)&lt;(TODAY()))*(INDEX('DBX Sprint'!$A$7:$K$62, ,29)&lt;&gt;"Complete"),MATCH(ROW('DBX Sprint'!$A$7:$K$62),ROW('DBX Sprint'!$A$7:$K$62)),""),ROWS($AH$34:AH56)),COLUMNS('DBX Sprint'!$A$1:A12)),"")</f>
        <v/>
      </c>
      <c r="AI56" s="41" t="str" cm="1">
        <f t="array" aca="1" ref="AI56" ca="1">IFERROR(INDEX('DBX Sprint'!$A$7:$K$62, SMALL(IF((INDEX('DBX Sprint'!$A$7:$K$62, ,29)&lt;=(TODAY()+1))*(INDEX('DBX Sprint'!$A$7:$K$62, ,29)&gt;=TODAY()),MATCH(ROW('DBX Sprint'!$A$7:$K$62),ROW('DBX Sprint'!$A$7:$K$62)),""),ROWS($AI$34:AI56)),COLUMNS('DBX Sprint'!$A$1:A12)),"")</f>
        <v/>
      </c>
      <c r="AJ56" s="43" t="str" cm="1">
        <f t="array" aca="1" ref="AJ56" ca="1">IFERROR(INDEX('DBX Sprint'!$A$7:$K$62, SMALL(IF((INDEX('DBX Sprint'!$A$7:$K$62, ,29)&lt;=(TODAY()+5))*(INDEX('DBX Sprint'!$A$7:$K$62, ,29)&gt;(TODAY()+1)),MATCH(ROW('DBX Sprint'!$A$7:$K$62),ROW('DBX Sprint'!$A$7:$K$62)),""),ROWS($AJ$34:AJ56)),COLUMNS('DBX Sprint'!$A$1:A12)),"")</f>
        <v/>
      </c>
      <c r="AK56" s="43" t="str" cm="1">
        <f t="array" aca="1" ref="AK56" ca="1">IFERROR(INDEX('DBX Sprint'!$A$7:$K$62, SMALL(IF((INDEX('DBX Sprint'!$A$7:$K$62, ,29)&lt;=(TODAY()+10))*(INDEX('DBX Sprint'!$A$7:$K$62, ,29)&gt;(TODAY()+5)),MATCH(ROW('DBX Sprint'!$A$7:$K$62),ROW('DBX Sprint'!$A$7:$K$62)),""),ROWS($AK$34:AK56)),COLUMNS('DBX Sprint'!$A$1:A12)),"")</f>
        <v/>
      </c>
      <c r="AM56" s="41" t="str" cm="1">
        <f t="array" ref="AM56">IFERROR(INDEX('DBX Sprint'!$A$7:$K$62, SMALL(IF((INDEX('DBX Sprint'!$A$7:$K$62, ,32)=("Complete"))*(INDEX('DBX Sprint'!$A$7:$K$62, ,32)="Complete"),MATCH(ROW('DBX Sprint'!$A$7:$K$62),ROW('DBX Sprint'!$A$7:$K$62)),""),ROWS($AM$34:AM56)),COLUMNS('DBX Sprint'!$A$1:A12)),"")</f>
        <v/>
      </c>
      <c r="AN56" s="41" t="str" cm="1">
        <f t="array" aca="1" ref="AN56" ca="1">IFERROR(INDEX('DBX Sprint'!$A$7:$K$62, SMALL(IF((INDEX('DBX Sprint'!$A$7:$K$62, ,32)&lt;(TODAY()))*(INDEX('DBX Sprint'!$A$7:$K$62, ,32)&lt;&gt;"Complete"),MATCH(ROW('DBX Sprint'!$A$7:$K$62),ROW('DBX Sprint'!$A$7:$K$62)),""),ROWS($AN$34:AN56)),COLUMNS('DBX Sprint'!$A$1:A12)),"")</f>
        <v/>
      </c>
      <c r="AO56" s="41" t="str" cm="1">
        <f t="array" aca="1" ref="AO56" ca="1">IFERROR(INDEX('DBX Sprint'!$A$7:$K$62, SMALL(IF((INDEX('DBX Sprint'!$A$7:$K$62, ,32)&lt;=(TODAY()+1))*(INDEX('DBX Sprint'!$A$7:$K$62, ,32)&gt;=TODAY()),MATCH(ROW('DBX Sprint'!$A$7:$K$62),ROW('DBX Sprint'!$A$7:$K$62)),""),ROWS($AO$34:AO56)),COLUMNS('DBX Sprint'!$A$1:A12)),"")</f>
        <v/>
      </c>
      <c r="AP56" s="43" t="str" cm="1">
        <f t="array" aca="1" ref="AP56" ca="1">IFERROR(INDEX('DBX Sprint'!$A$7:$K$62, SMALL(IF((INDEX('DBX Sprint'!$A$7:$K$62, ,32)&lt;=(TODAY()+5))*(INDEX('DBX Sprint'!$A$7:$K$62, ,32)&gt;(TODAY()+1)),MATCH(ROW('DBX Sprint'!$A$7:$K$62),ROW('DBX Sprint'!$A$7:$K$62)),""),ROWS($AP$34:AP56)),COLUMNS('DBX Sprint'!$A$1:A12)),"")</f>
        <v/>
      </c>
      <c r="AQ56" s="43" t="str" cm="1">
        <f t="array" aca="1" ref="AQ56" ca="1">IFERROR(INDEX('DBX Sprint'!$A$7:$K$62, SMALL(IF((INDEX('DBX Sprint'!$A$7:$K$62, ,32)&lt;=(TODAY()+10))*(INDEX('DBX Sprint'!$A$7:$K$62, ,32)&gt;(TODAY()+5)),MATCH(ROW('DBX Sprint'!$A$7:$K$62),ROW('DBX Sprint'!$A$7:$K$62)),""),ROWS($AQ$34:AQ56)),COLUMNS('DBX Sprint'!$A$1:A12)),"")</f>
        <v/>
      </c>
    </row>
    <row r="57" spans="3:43" ht="30" customHeight="1">
      <c r="C57" s="41" t="str" cm="1">
        <f t="array" ref="C57">IFERROR(INDEX('DBX Sprint'!$A$7:$K$62, SMALL(IF((INDEX('DBX Sprint'!$A$7:$K$62, ,13)=("Complete"))*(INDEX('DBX Sprint'!$A$7:$K$62, ,13)="Complete"),MATCH(ROW('DBX Sprint'!$A$7:$K$62),ROW('DBX Sprint'!$A$7:$K$62)),""),ROWS(C$34:$C57)),COLUMNS('DBX Sprint'!$A$1:A12)),"")</f>
        <v/>
      </c>
      <c r="D57" s="41" t="str" cm="1">
        <f t="array" aca="1" ref="D57" ca="1">IFERROR(INDEX('DBX Sprint'!$A$7:$K$62, SMALL(IF((INDEX('DBX Sprint'!$A$7:$K$62, ,13)&lt;(TODAY()))*(INDEX('DBX Sprint'!$A$7:$K$62, ,13)&lt;&gt;"Complete"),MATCH(ROW('DBX Sprint'!$A$7:$K$62),ROW('DBX Sprint'!$A$7:$K$62)),""),ROWS(D$34:$D57)),COLUMNS('DBX Sprint'!$A$1:A12)),"")</f>
        <v/>
      </c>
      <c r="E57" s="41" t="str" cm="1">
        <f t="array" aca="1" ref="E57" ca="1">IFERROR(INDEX('DBX Sprint'!$A$7:$K$62, SMALL(IF((INDEX('DBX Sprint'!$A$7:$K$62, ,13)&lt;=(TODAY()+1))*(INDEX('DBX Sprint'!$A$7:$K$62, ,13)&gt;=TODAY()),MATCH(ROW('DBX Sprint'!$A$7:$K$62),ROW('DBX Sprint'!$A$7:$K$62)),""),ROWS(E$34:$E57)),COLUMNS('DBX Sprint'!$A$1:A12)),"")</f>
        <v/>
      </c>
      <c r="F57" s="43" t="str" cm="1">
        <f t="array" aca="1" ref="F57" ca="1">IFERROR(INDEX('DBX Sprint'!$A$7:$K$62, SMALL(IF((INDEX('DBX Sprint'!$A$7:$K$62, ,13)&lt;=(TODAY()+5))*(INDEX('DBX Sprint'!$A$7:$K$62, ,13)&gt;(TODAY()+1)),MATCH(ROW('DBX Sprint'!$A$7:$K$62),ROW('DBX Sprint'!$A$7:$K$62)),""),ROWS($F$34:F57)),COLUMNS('DBX Sprint'!$A$1:A12)),"")</f>
        <v/>
      </c>
      <c r="G57" s="43" t="str" cm="1">
        <f t="array" aca="1" ref="G57" ca="1">IFERROR(INDEX('DBX Sprint'!$A$7:$K$62, SMALL(IF((INDEX('DBX Sprint'!$A$7:$K$62, ,13)&lt;=(TODAY()+10))*(INDEX('DBX Sprint'!$A$7:$K$62, ,13)&gt;(TODAY()+5)),MATCH(ROW('DBX Sprint'!$A$7:$K$62),ROW('DBX Sprint'!$A$7:$K$62)),""),ROWS($G$34:G57)),COLUMNS('DBX Sprint'!$A$1:A12)),"")</f>
        <v/>
      </c>
      <c r="I57" s="41" t="str" cm="1">
        <f t="array" ref="I57">IFERROR(INDEX('DBX Sprint'!$A$7:$K$62, SMALL(IF((INDEX('DBX Sprint'!$A$7:$K$62, ,16)=("Complete"))*(INDEX('DBX Sprint'!$A$7:$K$62, ,16)="Complete"),MATCH(ROW('DBX Sprint'!$A$7:$K$62),ROW('DBX Sprint'!$A$7:$K$62)),""),ROWS($I$34:I57)),COLUMNS('DBX Sprint'!$A$1:A12)),"")</f>
        <v/>
      </c>
      <c r="J57" s="41" t="str" cm="1">
        <f t="array" aca="1" ref="J57" ca="1">IFERROR(INDEX('DBX Sprint'!$A$7:$K$62, SMALL(IF((INDEX('DBX Sprint'!$A$7:$K$62, ,16)&lt;(TODAY()))*(INDEX('DBX Sprint'!$A$7:$K$62, ,16)&lt;&gt;"Complete"),MATCH(ROW('DBX Sprint'!$A$7:$K$62),ROW('DBX Sprint'!$A$7:$K$62)),""),ROWS($J$34:J57)),COLUMNS('DBX Sprint'!$A$1:A12)),"")</f>
        <v/>
      </c>
      <c r="K57" s="37" t="str" cm="1">
        <f t="array" aca="1" ref="K57" ca="1">IFERROR(INDEX('DBX Sprint'!$A$7:$K$62, SMALL(IF((INDEX('DBX Sprint'!$A$7:$K$62, ,16)&lt;=(TODAY()+1))*(INDEX('DBX Sprint'!$A$7:$K$62, ,16)&gt;=TODAY()),MATCH(ROW('DBX Sprint'!$A$7:$K$62),ROW('DBX Sprint'!$A$7:$K$62)),""),ROWS($K$34:K57)),COLUMNS('DBX Sprint'!$A$1:A12)),"")</f>
        <v/>
      </c>
      <c r="L57" s="38" t="str" cm="1">
        <f t="array" aca="1" ref="L57" ca="1">IFERROR(INDEX('DBX Sprint'!$A$7:$K$62, SMALL(IF((INDEX('DBX Sprint'!$A$7:$K$62, ,16)&lt;=(TODAY()+5))*(INDEX('DBX Sprint'!$A$7:$K$62, ,16)&gt;(TODAY()+1)),MATCH(ROW('DBX Sprint'!$A$7:$K$62),ROW('DBX Sprint'!$A$7:$K$62)),""),ROWS($L$34:L57)),COLUMNS('DBX Sprint'!$A$1:A12)),"")</f>
        <v/>
      </c>
      <c r="M57" s="38" t="str" cm="1">
        <f t="array" aca="1" ref="M57" ca="1">IFERROR(INDEX('DBX Sprint'!$A$7:$K$62, SMALL(IF((INDEX('DBX Sprint'!$A$7:$K$62, ,16)&lt;=(TODAY()+10))*(INDEX('DBX Sprint'!$A$7:$K$62, ,16)&gt;(TODAY()+5)),MATCH(ROW('DBX Sprint'!$A$7:$K$62),ROW('DBX Sprint'!$A$7:$K$62)),""),ROWS($M$34:M57)),COLUMNS('DBX Sprint'!$A$1:A12)),"")</f>
        <v/>
      </c>
      <c r="O57" s="41" t="str" cm="1">
        <f t="array" ref="O57">IFERROR(INDEX('DBX Sprint'!$A$7:$K$62, SMALL(IF((INDEX('DBX Sprint'!$A$7:$K$62, ,19)=("Complete"))*(INDEX('DBX Sprint'!$A$7:$K$62, ,19)="Complete"),MATCH(ROW('DBX Sprint'!$A$7:$K$62),ROW('DBX Sprint'!$A$7:$K$62)),""),ROWS($O$34:O57)),COLUMNS('DBX Sprint'!$A$1:A12)),"")</f>
        <v/>
      </c>
      <c r="P57" s="41" t="str" cm="1">
        <f t="array" aca="1" ref="P57" ca="1">IFERROR(INDEX('DBX Sprint'!$A$7:$K$62, SMALL(IF((INDEX('DBX Sprint'!$A$7:$K$62, ,19)&lt;(TODAY()))*(INDEX('DBX Sprint'!$A$7:$K$62, ,19)&lt;&gt;"Complete"),MATCH(ROW('DBX Sprint'!$A$7:$K$62),ROW('DBX Sprint'!$A$7:$K$62)),""),ROWS($P$34:P57)),COLUMNS('DBX Sprint'!$A$1:A12)),"")</f>
        <v/>
      </c>
      <c r="Q57" s="41" t="str" cm="1">
        <f t="array" aca="1" ref="Q57" ca="1">IFERROR(INDEX('DBX Sprint'!$A$7:$K$62, SMALL(IF((INDEX('DBX Sprint'!$A$7:$K$62, ,19)&lt;=(TODAY()+1))*(INDEX('DBX Sprint'!$A$7:$K$62, ,19)&gt;=TODAY()),MATCH(ROW('DBX Sprint'!$A$7:$K$62),ROW('DBX Sprint'!$A$7:$K$62)),""),ROWS($Q$34:Q57)),COLUMNS('DBX Sprint'!$A$1:A12)),"")</f>
        <v/>
      </c>
      <c r="R57" s="43" t="str" cm="1">
        <f t="array" aca="1" ref="R57" ca="1">IFERROR(INDEX('DBX Sprint'!$A$7:$K$62, SMALL(IF((INDEX('DBX Sprint'!$A$7:$K$62, ,19)&lt;=(TODAY()+5))*(INDEX('DBX Sprint'!$A$7:$K$62, ,19)&gt;(TODAY()+1)),MATCH(ROW('DBX Sprint'!$A$7:$K$62),ROW('DBX Sprint'!$A$7:$K$62)),""),ROWS($R$34:R57)),COLUMNS('DBX Sprint'!$A$1:A12)),"")</f>
        <v/>
      </c>
      <c r="S57" s="43" t="str" cm="1">
        <f t="array" aca="1" ref="S57" ca="1">IFERROR(INDEX('DBX Sprint'!$A$7:$K$62, SMALL(IF((INDEX('DBX Sprint'!$A$7:$K$62, ,19)&lt;=(TODAY()+10))*(INDEX('DBX Sprint'!$A$7:$K$62, ,19)&gt;(TODAY()+5)),MATCH(ROW('DBX Sprint'!$A$7:$K$62),ROW('DBX Sprint'!$A$7:$K$62)),""),ROWS($S$34:S57)),COLUMNS('DBX Sprint'!$A$1:A12)),"")</f>
        <v/>
      </c>
      <c r="U57" s="41" t="str" cm="1">
        <f t="array" ref="U57">IFERROR(INDEX('DBX Sprint'!$A$7:$K$62, SMALL(IF((INDEX('DBX Sprint'!$A$7:$K$62, ,22)=("Complete"))*(INDEX('DBX Sprint'!$A$7:$K$62, ,22)="Complete"),MATCH(ROW('DBX Sprint'!$A$7:$K$62),ROW('DBX Sprint'!$A$7:$K$62)),""),ROWS($U$34:U57)),COLUMNS('DBX Sprint'!$A$1:A12)),"")</f>
        <v/>
      </c>
      <c r="V57" s="41" t="str" cm="1">
        <f t="array" aca="1" ref="V57" ca="1">IFERROR(INDEX('DBX Sprint'!$A$7:$K$62, SMALL(IF((INDEX('DBX Sprint'!$A$7:$K$62, ,22)&lt;(TODAY()))*(INDEX('DBX Sprint'!$A$7:$K$62, ,22)&lt;&gt;"Complete"),MATCH(ROW('DBX Sprint'!$A$7:$K$62),ROW('DBX Sprint'!$A$7:$K$62)),""),ROWS($V$34:V57)),COLUMNS('DBX Sprint'!$A$1:A12)),"")</f>
        <v/>
      </c>
      <c r="W57" s="41" t="str" cm="1">
        <f t="array" aca="1" ref="W57" ca="1">IFERROR(INDEX('DBX Sprint'!$A$7:$K$62, SMALL(IF((INDEX('DBX Sprint'!$A$7:$K$62, ,22)&lt;=(TODAY()+1))*(INDEX('DBX Sprint'!$A$7:$K$62, ,22)&gt;=TODAY()),MATCH(ROW('DBX Sprint'!$A$7:$K$62),ROW('DBX Sprint'!$A$7:$K$62)),""),ROWS($W$34:W57)),COLUMNS('DBX Sprint'!$A$1:A12)),"")</f>
        <v/>
      </c>
      <c r="X57" s="43" t="str" cm="1">
        <f t="array" aca="1" ref="X57" ca="1">IFERROR(INDEX('DBX Sprint'!$A$7:$K$62, SMALL(IF((INDEX('DBX Sprint'!$A$7:$K$62, ,22)&lt;=(TODAY()+5))*(INDEX('DBX Sprint'!$A$7:$K$62, ,22)&gt;(TODAY()+1)),MATCH(ROW('DBX Sprint'!$A$7:$K$62),ROW('DBX Sprint'!$A$7:$K$62)),""),ROWS($X$34:X57)),COLUMNS('DBX Sprint'!$A$1:A12)),"")</f>
        <v/>
      </c>
      <c r="Y57" s="43" t="str" cm="1">
        <f t="array" aca="1" ref="Y57" ca="1">IFERROR(INDEX('DBX Sprint'!$A$7:$K$62, SMALL(IF((INDEX('DBX Sprint'!$A$7:$K$62, ,22)&lt;=(TODAY()+10))*(INDEX('DBX Sprint'!$A$7:$K$62, ,22)&gt;(TODAY()+5)),MATCH(ROW('DBX Sprint'!$A$7:$K$62),ROW('DBX Sprint'!$A$7:$K$62)),""),ROWS($Y$34:Y57)),COLUMNS('DBX Sprint'!$A$1:A12)),"")</f>
        <v/>
      </c>
      <c r="AA57" s="41" t="str" cm="1">
        <f t="array" ref="AA57">IFERROR(INDEX('DBX Sprint'!$A$7:$K$62, SMALL(IF((INDEX('DBX Sprint'!$A$7:$K$62, ,25)=("Complete"))*(INDEX('DBX Sprint'!$A$7:$K$62, ,25)="Complete"),MATCH(ROW('DBX Sprint'!$A$7:$K$62),ROW('DBX Sprint'!$A$7:$K$62)),""),ROWS($AA$34:AA57)),COLUMNS('DBX Sprint'!$A$1:A12)),"")</f>
        <v/>
      </c>
      <c r="AB57" s="41" t="str" cm="1">
        <f t="array" aca="1" ref="AB57" ca="1">IFERROR(INDEX('DBX Sprint'!$A$7:$K$62, SMALL(IF((INDEX('DBX Sprint'!$A$7:$K$62, ,25)&lt;(TODAY()))*(INDEX('DBX Sprint'!$A$7:$K$62, ,25)&lt;&gt;"Complete"),MATCH(ROW('DBX Sprint'!$A$7:$K$62),ROW('DBX Sprint'!$A$7:$K$62)),""),ROWS($AB$34:AB57)),COLUMNS('DBX Sprint'!$A$1:A12)),"")</f>
        <v/>
      </c>
      <c r="AC57" s="41" t="str" cm="1">
        <f t="array" aca="1" ref="AC57" ca="1">IFERROR(INDEX('DBX Sprint'!$A$7:$K$62, SMALL(IF((INDEX('DBX Sprint'!$A$7:$K$62, ,25)&lt;=(TODAY()+1))*(INDEX('DBX Sprint'!$A$7:$K$62, ,25)&gt;=TODAY()),MATCH(ROW('DBX Sprint'!$A$7:$K$62),ROW('DBX Sprint'!$A$7:$K$62)),""),ROWS($AC$34:AC57)),COLUMNS('DBX Sprint'!$A$1:A12)),"")</f>
        <v/>
      </c>
      <c r="AD57" s="43" t="str" cm="1">
        <f t="array" aca="1" ref="AD57" ca="1">IFERROR(INDEX('DBX Sprint'!$A$7:$K$62, SMALL(IF((INDEX('DBX Sprint'!$A$7:$K$62, ,25)&lt;=(TODAY()+5))*(INDEX('DBX Sprint'!$A$7:$K$62, ,25)&gt;(TODAY()+1)),MATCH(ROW('DBX Sprint'!$A$7:$K$62),ROW('DBX Sprint'!$A$7:$K$62)),""),ROWS($AD$34:AD57)),COLUMNS('DBX Sprint'!$A$1:A12)),"")</f>
        <v/>
      </c>
      <c r="AE57" s="43" t="str" cm="1">
        <f t="array" aca="1" ref="AE57" ca="1">IFERROR(INDEX('DBX Sprint'!$A$7:$K$62, SMALL(IF((INDEX('DBX Sprint'!$A$7:$K$62, ,25)&lt;=(TODAY()+10))*(INDEX('DBX Sprint'!$A$7:$K$62, ,25)&gt;(TODAY()+5)),MATCH(ROW('DBX Sprint'!$A$7:$K$62),ROW('DBX Sprint'!$A$7:$K$62)),""),ROWS($AE$34:AE57)),COLUMNS('DBX Sprint'!$A$1:A12)),"")</f>
        <v/>
      </c>
      <c r="AG57" s="41" t="str" cm="1">
        <f t="array" ref="AG57">IFERROR(INDEX('DBX Sprint'!$A$7:$K$62, SMALL(IF((INDEX('DBX Sprint'!$A$7:$K$62, ,29)=("Complete"))*(INDEX('DBX Sprint'!$A$7:$K$62, ,29)="Complete"),MATCH(ROW('DBX Sprint'!$A$7:$K$62),ROW('DBX Sprint'!$A$7:$K$62)),""),ROWS($AG$34:AG57)),COLUMNS('DBX Sprint'!$A$1:A12)),"")</f>
        <v/>
      </c>
      <c r="AH57" s="41" t="str" cm="1">
        <f t="array" aca="1" ref="AH57" ca="1">IFERROR(INDEX('DBX Sprint'!$A$7:$K$62, SMALL(IF((INDEX('DBX Sprint'!$A$7:$K$62, ,29)&lt;(TODAY()))*(INDEX('DBX Sprint'!$A$7:$K$62, ,29)&lt;&gt;"Complete"),MATCH(ROW('DBX Sprint'!$A$7:$K$62),ROW('DBX Sprint'!$A$7:$K$62)),""),ROWS($AH$34:AH57)),COLUMNS('DBX Sprint'!$A$1:A12)),"")</f>
        <v/>
      </c>
      <c r="AI57" s="41" t="str" cm="1">
        <f t="array" aca="1" ref="AI57" ca="1">IFERROR(INDEX('DBX Sprint'!$A$7:$K$62, SMALL(IF((INDEX('DBX Sprint'!$A$7:$K$62, ,29)&lt;=(TODAY()+1))*(INDEX('DBX Sprint'!$A$7:$K$62, ,29)&gt;=TODAY()),MATCH(ROW('DBX Sprint'!$A$7:$K$62),ROW('DBX Sprint'!$A$7:$K$62)),""),ROWS($AI$34:AI57)),COLUMNS('DBX Sprint'!$A$1:A12)),"")</f>
        <v/>
      </c>
      <c r="AJ57" s="43" t="str" cm="1">
        <f t="array" aca="1" ref="AJ57" ca="1">IFERROR(INDEX('DBX Sprint'!$A$7:$K$62, SMALL(IF((INDEX('DBX Sprint'!$A$7:$K$62, ,29)&lt;=(TODAY()+5))*(INDEX('DBX Sprint'!$A$7:$K$62, ,29)&gt;(TODAY()+1)),MATCH(ROW('DBX Sprint'!$A$7:$K$62),ROW('DBX Sprint'!$A$7:$K$62)),""),ROWS($AJ$34:AJ57)),COLUMNS('DBX Sprint'!$A$1:A12)),"")</f>
        <v/>
      </c>
      <c r="AK57" s="43" t="str" cm="1">
        <f t="array" aca="1" ref="AK57" ca="1">IFERROR(INDEX('DBX Sprint'!$A$7:$K$62, SMALL(IF((INDEX('DBX Sprint'!$A$7:$K$62, ,29)&lt;=(TODAY()+10))*(INDEX('DBX Sprint'!$A$7:$K$62, ,29)&gt;(TODAY()+5)),MATCH(ROW('DBX Sprint'!$A$7:$K$62),ROW('DBX Sprint'!$A$7:$K$62)),""),ROWS($AK$34:AK57)),COLUMNS('DBX Sprint'!$A$1:A12)),"")</f>
        <v/>
      </c>
      <c r="AM57" s="41" t="str" cm="1">
        <f t="array" ref="AM57">IFERROR(INDEX('DBX Sprint'!$A$7:$K$62, SMALL(IF((INDEX('DBX Sprint'!$A$7:$K$62, ,32)=("Complete"))*(INDEX('DBX Sprint'!$A$7:$K$62, ,32)="Complete"),MATCH(ROW('DBX Sprint'!$A$7:$K$62),ROW('DBX Sprint'!$A$7:$K$62)),""),ROWS($AM$34:AM57)),COLUMNS('DBX Sprint'!$A$1:A12)),"")</f>
        <v/>
      </c>
      <c r="AN57" s="41" t="str" cm="1">
        <f t="array" aca="1" ref="AN57" ca="1">IFERROR(INDEX('DBX Sprint'!$A$7:$K$62, SMALL(IF((INDEX('DBX Sprint'!$A$7:$K$62, ,32)&lt;(TODAY()))*(INDEX('DBX Sprint'!$A$7:$K$62, ,32)&lt;&gt;"Complete"),MATCH(ROW('DBX Sprint'!$A$7:$K$62),ROW('DBX Sprint'!$A$7:$K$62)),""),ROWS($AN$34:AN57)),COLUMNS('DBX Sprint'!$A$1:A12)),"")</f>
        <v/>
      </c>
      <c r="AO57" s="41" t="str" cm="1">
        <f t="array" aca="1" ref="AO57" ca="1">IFERROR(INDEX('DBX Sprint'!$A$7:$K$62, SMALL(IF((INDEX('DBX Sprint'!$A$7:$K$62, ,32)&lt;=(TODAY()+1))*(INDEX('DBX Sprint'!$A$7:$K$62, ,32)&gt;=TODAY()),MATCH(ROW('DBX Sprint'!$A$7:$K$62),ROW('DBX Sprint'!$A$7:$K$62)),""),ROWS($AO$34:AO57)),COLUMNS('DBX Sprint'!$A$1:A12)),"")</f>
        <v/>
      </c>
      <c r="AP57" s="43" t="str" cm="1">
        <f t="array" aca="1" ref="AP57" ca="1">IFERROR(INDEX('DBX Sprint'!$A$7:$K$62, SMALL(IF((INDEX('DBX Sprint'!$A$7:$K$62, ,32)&lt;=(TODAY()+5))*(INDEX('DBX Sprint'!$A$7:$K$62, ,32)&gt;(TODAY()+1)),MATCH(ROW('DBX Sprint'!$A$7:$K$62),ROW('DBX Sprint'!$A$7:$K$62)),""),ROWS($AP$34:AP57)),COLUMNS('DBX Sprint'!$A$1:A12)),"")</f>
        <v/>
      </c>
      <c r="AQ57" s="43" t="str" cm="1">
        <f t="array" aca="1" ref="AQ57" ca="1">IFERROR(INDEX('DBX Sprint'!$A$7:$K$62, SMALL(IF((INDEX('DBX Sprint'!$A$7:$K$62, ,32)&lt;=(TODAY()+10))*(INDEX('DBX Sprint'!$A$7:$K$62, ,32)&gt;(TODAY()+5)),MATCH(ROW('DBX Sprint'!$A$7:$K$62),ROW('DBX Sprint'!$A$7:$K$62)),""),ROWS($AQ$34:AQ57)),COLUMNS('DBX Sprint'!$A$1:A12)),"")</f>
        <v/>
      </c>
    </row>
    <row r="58" spans="3:43" ht="30" customHeight="1">
      <c r="C58" s="41" t="str" cm="1">
        <f t="array" ref="C58">IFERROR(INDEX('DBX Sprint'!$A$7:$K$62, SMALL(IF((INDEX('DBX Sprint'!$A$7:$K$62, ,13)=("Complete"))*(INDEX('DBX Sprint'!$A$7:$K$62, ,13)="Complete"),MATCH(ROW('DBX Sprint'!$A$7:$K$62),ROW('DBX Sprint'!$A$7:$K$62)),""),ROWS(C$34:$C58)),COLUMNS('DBX Sprint'!$A$1:A12)),"")</f>
        <v/>
      </c>
      <c r="D58" s="41" t="str" cm="1">
        <f t="array" aca="1" ref="D58" ca="1">IFERROR(INDEX('DBX Sprint'!$A$7:$K$62, SMALL(IF((INDEX('DBX Sprint'!$A$7:$K$62, ,13)&lt;(TODAY()))*(INDEX('DBX Sprint'!$A$7:$K$62, ,13)&lt;&gt;"Complete"),MATCH(ROW('DBX Sprint'!$A$7:$K$62),ROW('DBX Sprint'!$A$7:$K$62)),""),ROWS(D$34:$D58)),COLUMNS('DBX Sprint'!$A$1:A12)),"")</f>
        <v/>
      </c>
      <c r="E58" s="41" t="str" cm="1">
        <f t="array" aca="1" ref="E58" ca="1">IFERROR(INDEX('DBX Sprint'!$A$7:$K$62, SMALL(IF((INDEX('DBX Sprint'!$A$7:$K$62, ,13)&lt;=(TODAY()+1))*(INDEX('DBX Sprint'!$A$7:$K$62, ,13)&gt;=TODAY()),MATCH(ROW('DBX Sprint'!$A$7:$K$62),ROW('DBX Sprint'!$A$7:$K$62)),""),ROWS(E$34:$E58)),COLUMNS('DBX Sprint'!$A$1:A12)),"")</f>
        <v/>
      </c>
      <c r="F58" s="43" t="str" cm="1">
        <f t="array" aca="1" ref="F58" ca="1">IFERROR(INDEX('DBX Sprint'!$A$7:$K$62, SMALL(IF((INDEX('DBX Sprint'!$A$7:$K$62, ,13)&lt;=(TODAY()+5))*(INDEX('DBX Sprint'!$A$7:$K$62, ,13)&gt;(TODAY()+1)),MATCH(ROW('DBX Sprint'!$A$7:$K$62),ROW('DBX Sprint'!$A$7:$K$62)),""),ROWS($F$34:F58)),COLUMNS('DBX Sprint'!$A$1:A12)),"")</f>
        <v/>
      </c>
      <c r="G58" s="43" t="str" cm="1">
        <f t="array" aca="1" ref="G58" ca="1">IFERROR(INDEX('DBX Sprint'!$A$7:$K$62, SMALL(IF((INDEX('DBX Sprint'!$A$7:$K$62, ,13)&lt;=(TODAY()+10))*(INDEX('DBX Sprint'!$A$7:$K$62, ,13)&gt;(TODAY()+5)),MATCH(ROW('DBX Sprint'!$A$7:$K$62),ROW('DBX Sprint'!$A$7:$K$62)),""),ROWS($G$34:G58)),COLUMNS('DBX Sprint'!$A$1:A12)),"")</f>
        <v/>
      </c>
      <c r="I58" s="41" t="str" cm="1">
        <f t="array" ref="I58">IFERROR(INDEX('DBX Sprint'!$A$7:$K$62, SMALL(IF((INDEX('DBX Sprint'!$A$7:$K$62, ,16)=("Complete"))*(INDEX('DBX Sprint'!$A$7:$K$62, ,16)="Complete"),MATCH(ROW('DBX Sprint'!$A$7:$K$62),ROW('DBX Sprint'!$A$7:$K$62)),""),ROWS($I$34:I58)),COLUMNS('DBX Sprint'!$A$1:A12)),"")</f>
        <v/>
      </c>
      <c r="J58" s="41" t="str" cm="1">
        <f t="array" aca="1" ref="J58" ca="1">IFERROR(INDEX('DBX Sprint'!$A$7:$K$62, SMALL(IF((INDEX('DBX Sprint'!$A$7:$K$62, ,16)&lt;(TODAY()))*(INDEX('DBX Sprint'!$A$7:$K$62, ,16)&lt;&gt;"Complete"),MATCH(ROW('DBX Sprint'!$A$7:$K$62),ROW('DBX Sprint'!$A$7:$K$62)),""),ROWS($J$34:J58)),COLUMNS('DBX Sprint'!$A$1:A12)),"")</f>
        <v/>
      </c>
      <c r="K58" s="37" t="str" cm="1">
        <f t="array" aca="1" ref="K58" ca="1">IFERROR(INDEX('DBX Sprint'!$A$7:$K$62, SMALL(IF((INDEX('DBX Sprint'!$A$7:$K$62, ,16)&lt;=(TODAY()+1))*(INDEX('DBX Sprint'!$A$7:$K$62, ,16)&gt;=TODAY()),MATCH(ROW('DBX Sprint'!$A$7:$K$62),ROW('DBX Sprint'!$A$7:$K$62)),""),ROWS($K$34:K58)),COLUMNS('DBX Sprint'!$A$1:A12)),"")</f>
        <v/>
      </c>
      <c r="L58" s="38" t="str" cm="1">
        <f t="array" aca="1" ref="L58" ca="1">IFERROR(INDEX('DBX Sprint'!$A$7:$K$62, SMALL(IF((INDEX('DBX Sprint'!$A$7:$K$62, ,16)&lt;=(TODAY()+5))*(INDEX('DBX Sprint'!$A$7:$K$62, ,16)&gt;(TODAY()+1)),MATCH(ROW('DBX Sprint'!$A$7:$K$62),ROW('DBX Sprint'!$A$7:$K$62)),""),ROWS($L$34:L58)),COLUMNS('DBX Sprint'!$A$1:A12)),"")</f>
        <v/>
      </c>
      <c r="M58" s="38" t="str" cm="1">
        <f t="array" aca="1" ref="M58" ca="1">IFERROR(INDEX('DBX Sprint'!$A$7:$K$62, SMALL(IF((INDEX('DBX Sprint'!$A$7:$K$62, ,16)&lt;=(TODAY()+10))*(INDEX('DBX Sprint'!$A$7:$K$62, ,16)&gt;(TODAY()+5)),MATCH(ROW('DBX Sprint'!$A$7:$K$62),ROW('DBX Sprint'!$A$7:$K$62)),""),ROWS($M$34:M58)),COLUMNS('DBX Sprint'!$A$1:A12)),"")</f>
        <v/>
      </c>
      <c r="O58" s="41" t="str" cm="1">
        <f t="array" ref="O58">IFERROR(INDEX('DBX Sprint'!$A$7:$K$62, SMALL(IF((INDEX('DBX Sprint'!$A$7:$K$62, ,19)=("Complete"))*(INDEX('DBX Sprint'!$A$7:$K$62, ,19)="Complete"),MATCH(ROW('DBX Sprint'!$A$7:$K$62),ROW('DBX Sprint'!$A$7:$K$62)),""),ROWS($O$34:O58)),COLUMNS('DBX Sprint'!$A$1:A12)),"")</f>
        <v/>
      </c>
      <c r="P58" s="41" t="str" cm="1">
        <f t="array" aca="1" ref="P58" ca="1">IFERROR(INDEX('DBX Sprint'!$A$7:$K$62, SMALL(IF((INDEX('DBX Sprint'!$A$7:$K$62, ,19)&lt;(TODAY()))*(INDEX('DBX Sprint'!$A$7:$K$62, ,19)&lt;&gt;"Complete"),MATCH(ROW('DBX Sprint'!$A$7:$K$62),ROW('DBX Sprint'!$A$7:$K$62)),""),ROWS($P$34:P58)),COLUMNS('DBX Sprint'!$A$1:A12)),"")</f>
        <v/>
      </c>
      <c r="Q58" s="41" t="str" cm="1">
        <f t="array" aca="1" ref="Q58" ca="1">IFERROR(INDEX('DBX Sprint'!$A$7:$K$62, SMALL(IF((INDEX('DBX Sprint'!$A$7:$K$62, ,19)&lt;=(TODAY()+1))*(INDEX('DBX Sprint'!$A$7:$K$62, ,19)&gt;=TODAY()),MATCH(ROW('DBX Sprint'!$A$7:$K$62),ROW('DBX Sprint'!$A$7:$K$62)),""),ROWS($Q$34:Q58)),COLUMNS('DBX Sprint'!$A$1:A12)),"")</f>
        <v/>
      </c>
      <c r="R58" s="43" t="str" cm="1">
        <f t="array" aca="1" ref="R58" ca="1">IFERROR(INDEX('DBX Sprint'!$A$7:$K$62, SMALL(IF((INDEX('DBX Sprint'!$A$7:$K$62, ,19)&lt;=(TODAY()+5))*(INDEX('DBX Sprint'!$A$7:$K$62, ,19)&gt;(TODAY()+1)),MATCH(ROW('DBX Sprint'!$A$7:$K$62),ROW('DBX Sprint'!$A$7:$K$62)),""),ROWS($R$34:R58)),COLUMNS('DBX Sprint'!$A$1:A12)),"")</f>
        <v/>
      </c>
      <c r="S58" s="43" t="str" cm="1">
        <f t="array" aca="1" ref="S58" ca="1">IFERROR(INDEX('DBX Sprint'!$A$7:$K$62, SMALL(IF((INDEX('DBX Sprint'!$A$7:$K$62, ,19)&lt;=(TODAY()+10))*(INDEX('DBX Sprint'!$A$7:$K$62, ,19)&gt;(TODAY()+5)),MATCH(ROW('DBX Sprint'!$A$7:$K$62),ROW('DBX Sprint'!$A$7:$K$62)),""),ROWS($S$34:S58)),COLUMNS('DBX Sprint'!$A$1:A12)),"")</f>
        <v/>
      </c>
      <c r="U58" s="41" t="str" cm="1">
        <f t="array" ref="U58">IFERROR(INDEX('DBX Sprint'!$A$7:$K$62, SMALL(IF((INDEX('DBX Sprint'!$A$7:$K$62, ,22)=("Complete"))*(INDEX('DBX Sprint'!$A$7:$K$62, ,22)="Complete"),MATCH(ROW('DBX Sprint'!$A$7:$K$62),ROW('DBX Sprint'!$A$7:$K$62)),""),ROWS($U$34:U58)),COLUMNS('DBX Sprint'!$A$1:A12)),"")</f>
        <v/>
      </c>
      <c r="V58" s="41" t="str" cm="1">
        <f t="array" aca="1" ref="V58" ca="1">IFERROR(INDEX('DBX Sprint'!$A$7:$K$62, SMALL(IF((INDEX('DBX Sprint'!$A$7:$K$62, ,22)&lt;(TODAY()))*(INDEX('DBX Sprint'!$A$7:$K$62, ,22)&lt;&gt;"Complete"),MATCH(ROW('DBX Sprint'!$A$7:$K$62),ROW('DBX Sprint'!$A$7:$K$62)),""),ROWS($V$34:V58)),COLUMNS('DBX Sprint'!$A$1:A12)),"")</f>
        <v/>
      </c>
      <c r="W58" s="41" t="str" cm="1">
        <f t="array" aca="1" ref="W58" ca="1">IFERROR(INDEX('DBX Sprint'!$A$7:$K$62, SMALL(IF((INDEX('DBX Sprint'!$A$7:$K$62, ,22)&lt;=(TODAY()+1))*(INDEX('DBX Sprint'!$A$7:$K$62, ,22)&gt;=TODAY()),MATCH(ROW('DBX Sprint'!$A$7:$K$62),ROW('DBX Sprint'!$A$7:$K$62)),""),ROWS($W$34:W58)),COLUMNS('DBX Sprint'!$A$1:A12)),"")</f>
        <v/>
      </c>
      <c r="X58" s="43" t="str" cm="1">
        <f t="array" aca="1" ref="X58" ca="1">IFERROR(INDEX('DBX Sprint'!$A$7:$K$62, SMALL(IF((INDEX('DBX Sprint'!$A$7:$K$62, ,22)&lt;=(TODAY()+5))*(INDEX('DBX Sprint'!$A$7:$K$62, ,22)&gt;(TODAY()+1)),MATCH(ROW('DBX Sprint'!$A$7:$K$62),ROW('DBX Sprint'!$A$7:$K$62)),""),ROWS($X$34:X58)),COLUMNS('DBX Sprint'!$A$1:A12)),"")</f>
        <v/>
      </c>
      <c r="Y58" s="43" t="str" cm="1">
        <f t="array" aca="1" ref="Y58" ca="1">IFERROR(INDEX('DBX Sprint'!$A$7:$K$62, SMALL(IF((INDEX('DBX Sprint'!$A$7:$K$62, ,22)&lt;=(TODAY()+10))*(INDEX('DBX Sprint'!$A$7:$K$62, ,22)&gt;(TODAY()+5)),MATCH(ROW('DBX Sprint'!$A$7:$K$62),ROW('DBX Sprint'!$A$7:$K$62)),""),ROWS($Y$34:Y58)),COLUMNS('DBX Sprint'!$A$1:A12)),"")</f>
        <v/>
      </c>
      <c r="AA58" s="41" t="str" cm="1">
        <f t="array" ref="AA58">IFERROR(INDEX('DBX Sprint'!$A$7:$K$62, SMALL(IF((INDEX('DBX Sprint'!$A$7:$K$62, ,25)=("Complete"))*(INDEX('DBX Sprint'!$A$7:$K$62, ,25)="Complete"),MATCH(ROW('DBX Sprint'!$A$7:$K$62),ROW('DBX Sprint'!$A$7:$K$62)),""),ROWS($AA$34:AA58)),COLUMNS('DBX Sprint'!$A$1:A12)),"")</f>
        <v/>
      </c>
      <c r="AB58" s="41" t="str" cm="1">
        <f t="array" aca="1" ref="AB58" ca="1">IFERROR(INDEX('DBX Sprint'!$A$7:$K$62, SMALL(IF((INDEX('DBX Sprint'!$A$7:$K$62, ,25)&lt;(TODAY()))*(INDEX('DBX Sprint'!$A$7:$K$62, ,25)&lt;&gt;"Complete"),MATCH(ROW('DBX Sprint'!$A$7:$K$62),ROW('DBX Sprint'!$A$7:$K$62)),""),ROWS($AB$34:AB58)),COLUMNS('DBX Sprint'!$A$1:A12)),"")</f>
        <v/>
      </c>
      <c r="AC58" s="41" t="str" cm="1">
        <f t="array" aca="1" ref="AC58" ca="1">IFERROR(INDEX('DBX Sprint'!$A$7:$K$62, SMALL(IF((INDEX('DBX Sprint'!$A$7:$K$62, ,25)&lt;=(TODAY()+1))*(INDEX('DBX Sprint'!$A$7:$K$62, ,25)&gt;=TODAY()),MATCH(ROW('DBX Sprint'!$A$7:$K$62),ROW('DBX Sprint'!$A$7:$K$62)),""),ROWS($AC$34:AC58)),COLUMNS('DBX Sprint'!$A$1:A12)),"")</f>
        <v/>
      </c>
      <c r="AD58" s="43" t="str" cm="1">
        <f t="array" aca="1" ref="AD58" ca="1">IFERROR(INDEX('DBX Sprint'!$A$7:$K$62, SMALL(IF((INDEX('DBX Sprint'!$A$7:$K$62, ,25)&lt;=(TODAY()+5))*(INDEX('DBX Sprint'!$A$7:$K$62, ,25)&gt;(TODAY()+1)),MATCH(ROW('DBX Sprint'!$A$7:$K$62),ROW('DBX Sprint'!$A$7:$K$62)),""),ROWS($AD$34:AD58)),COLUMNS('DBX Sprint'!$A$1:A12)),"")</f>
        <v/>
      </c>
      <c r="AE58" s="43" t="str" cm="1">
        <f t="array" aca="1" ref="AE58" ca="1">IFERROR(INDEX('DBX Sprint'!$A$7:$K$62, SMALL(IF((INDEX('DBX Sprint'!$A$7:$K$62, ,25)&lt;=(TODAY()+10))*(INDEX('DBX Sprint'!$A$7:$K$62, ,25)&gt;(TODAY()+5)),MATCH(ROW('DBX Sprint'!$A$7:$K$62),ROW('DBX Sprint'!$A$7:$K$62)),""),ROWS($AE$34:AE58)),COLUMNS('DBX Sprint'!$A$1:A12)),"")</f>
        <v/>
      </c>
      <c r="AG58" s="41" t="str" cm="1">
        <f t="array" ref="AG58">IFERROR(INDEX('DBX Sprint'!$A$7:$K$62, SMALL(IF((INDEX('DBX Sprint'!$A$7:$K$62, ,29)=("Complete"))*(INDEX('DBX Sprint'!$A$7:$K$62, ,29)="Complete"),MATCH(ROW('DBX Sprint'!$A$7:$K$62),ROW('DBX Sprint'!$A$7:$K$62)),""),ROWS($AG$34:AG58)),COLUMNS('DBX Sprint'!$A$1:A12)),"")</f>
        <v/>
      </c>
      <c r="AH58" s="41" t="str" cm="1">
        <f t="array" aca="1" ref="AH58" ca="1">IFERROR(INDEX('DBX Sprint'!$A$7:$K$62, SMALL(IF((INDEX('DBX Sprint'!$A$7:$K$62, ,29)&lt;(TODAY()))*(INDEX('DBX Sprint'!$A$7:$K$62, ,29)&lt;&gt;"Complete"),MATCH(ROW('DBX Sprint'!$A$7:$K$62),ROW('DBX Sprint'!$A$7:$K$62)),""),ROWS($AH$34:AH58)),COLUMNS('DBX Sprint'!$A$1:A12)),"")</f>
        <v/>
      </c>
      <c r="AI58" s="41" t="str" cm="1">
        <f t="array" aca="1" ref="AI58" ca="1">IFERROR(INDEX('DBX Sprint'!$A$7:$K$62, SMALL(IF((INDEX('DBX Sprint'!$A$7:$K$62, ,29)&lt;=(TODAY()+1))*(INDEX('DBX Sprint'!$A$7:$K$62, ,29)&gt;=TODAY()),MATCH(ROW('DBX Sprint'!$A$7:$K$62),ROW('DBX Sprint'!$A$7:$K$62)),""),ROWS($AI$34:AI58)),COLUMNS('DBX Sprint'!$A$1:A12)),"")</f>
        <v/>
      </c>
      <c r="AJ58" s="43" t="str" cm="1">
        <f t="array" aca="1" ref="AJ58" ca="1">IFERROR(INDEX('DBX Sprint'!$A$7:$K$62, SMALL(IF((INDEX('DBX Sprint'!$A$7:$K$62, ,29)&lt;=(TODAY()+5))*(INDEX('DBX Sprint'!$A$7:$K$62, ,29)&gt;(TODAY()+1)),MATCH(ROW('DBX Sprint'!$A$7:$K$62),ROW('DBX Sprint'!$A$7:$K$62)),""),ROWS($AJ$34:AJ58)),COLUMNS('DBX Sprint'!$A$1:A12)),"")</f>
        <v/>
      </c>
      <c r="AK58" s="43" t="str" cm="1">
        <f t="array" aca="1" ref="AK58" ca="1">IFERROR(INDEX('DBX Sprint'!$A$7:$K$62, SMALL(IF((INDEX('DBX Sprint'!$A$7:$K$62, ,29)&lt;=(TODAY()+10))*(INDEX('DBX Sprint'!$A$7:$K$62, ,29)&gt;(TODAY()+5)),MATCH(ROW('DBX Sprint'!$A$7:$K$62),ROW('DBX Sprint'!$A$7:$K$62)),""),ROWS($AK$34:AK58)),COLUMNS('DBX Sprint'!$A$1:A12)),"")</f>
        <v/>
      </c>
      <c r="AM58" s="41" t="str" cm="1">
        <f t="array" ref="AM58">IFERROR(INDEX('DBX Sprint'!$A$7:$K$62, SMALL(IF((INDEX('DBX Sprint'!$A$7:$K$62, ,32)=("Complete"))*(INDEX('DBX Sprint'!$A$7:$K$62, ,32)="Complete"),MATCH(ROW('DBX Sprint'!$A$7:$K$62),ROW('DBX Sprint'!$A$7:$K$62)),""),ROWS($AM$34:AM58)),COLUMNS('DBX Sprint'!$A$1:A12)),"")</f>
        <v/>
      </c>
      <c r="AN58" s="41" t="str" cm="1">
        <f t="array" aca="1" ref="AN58" ca="1">IFERROR(INDEX('DBX Sprint'!$A$7:$K$62, SMALL(IF((INDEX('DBX Sprint'!$A$7:$K$62, ,32)&lt;(TODAY()))*(INDEX('DBX Sprint'!$A$7:$K$62, ,32)&lt;&gt;"Complete"),MATCH(ROW('DBX Sprint'!$A$7:$K$62),ROW('DBX Sprint'!$A$7:$K$62)),""),ROWS($AN$34:AN58)),COLUMNS('DBX Sprint'!$A$1:A12)),"")</f>
        <v/>
      </c>
      <c r="AO58" s="41" t="str" cm="1">
        <f t="array" aca="1" ref="AO58" ca="1">IFERROR(INDEX('DBX Sprint'!$A$7:$K$62, SMALL(IF((INDEX('DBX Sprint'!$A$7:$K$62, ,32)&lt;=(TODAY()+1))*(INDEX('DBX Sprint'!$A$7:$K$62, ,32)&gt;=TODAY()),MATCH(ROW('DBX Sprint'!$A$7:$K$62),ROW('DBX Sprint'!$A$7:$K$62)),""),ROWS($AO$34:AO58)),COLUMNS('DBX Sprint'!$A$1:A12)),"")</f>
        <v/>
      </c>
      <c r="AP58" s="43" t="str" cm="1">
        <f t="array" aca="1" ref="AP58" ca="1">IFERROR(INDEX('DBX Sprint'!$A$7:$K$62, SMALL(IF((INDEX('DBX Sprint'!$A$7:$K$62, ,32)&lt;=(TODAY()+5))*(INDEX('DBX Sprint'!$A$7:$K$62, ,32)&gt;(TODAY()+1)),MATCH(ROW('DBX Sprint'!$A$7:$K$62),ROW('DBX Sprint'!$A$7:$K$62)),""),ROWS($AP$34:AP58)),COLUMNS('DBX Sprint'!$A$1:A12)),"")</f>
        <v/>
      </c>
      <c r="AQ58" s="43" t="str" cm="1">
        <f t="array" aca="1" ref="AQ58" ca="1">IFERROR(INDEX('DBX Sprint'!$A$7:$K$62, SMALL(IF((INDEX('DBX Sprint'!$A$7:$K$62, ,32)&lt;=(TODAY()+10))*(INDEX('DBX Sprint'!$A$7:$K$62, ,32)&gt;(TODAY()+5)),MATCH(ROW('DBX Sprint'!$A$7:$K$62),ROW('DBX Sprint'!$A$7:$K$62)),""),ROWS($AQ$34:AQ58)),COLUMNS('DBX Sprint'!$A$1:A12)),"")</f>
        <v/>
      </c>
    </row>
    <row r="59" spans="3:43" ht="30" customHeight="1">
      <c r="C59" s="41" t="str" cm="1">
        <f t="array" ref="C59">IFERROR(INDEX('DBX Sprint'!$A$7:$K$62, SMALL(IF((INDEX('DBX Sprint'!$A$7:$K$62, ,13)=("Complete"))*(INDEX('DBX Sprint'!$A$7:$K$62, ,13)="Complete"),MATCH(ROW('DBX Sprint'!$A$7:$K$62),ROW('DBX Sprint'!$A$7:$K$62)),""),ROWS(C$34:$C59)),COLUMNS('DBX Sprint'!$A$1:A12)),"")</f>
        <v/>
      </c>
      <c r="D59" s="41" t="str" cm="1">
        <f t="array" aca="1" ref="D59" ca="1">IFERROR(INDEX('DBX Sprint'!$A$7:$K$62, SMALL(IF((INDEX('DBX Sprint'!$A$7:$K$62, ,13)&lt;(TODAY()))*(INDEX('DBX Sprint'!$A$7:$K$62, ,13)&lt;&gt;"Complete"),MATCH(ROW('DBX Sprint'!$A$7:$K$62),ROW('DBX Sprint'!$A$7:$K$62)),""),ROWS(D$34:$D59)),COLUMNS('DBX Sprint'!$A$1:A12)),"")</f>
        <v/>
      </c>
      <c r="E59" s="41" t="str" cm="1">
        <f t="array" aca="1" ref="E59" ca="1">IFERROR(INDEX('DBX Sprint'!$A$7:$K$62, SMALL(IF((INDEX('DBX Sprint'!$A$7:$K$62, ,13)&lt;=(TODAY()+1))*(INDEX('DBX Sprint'!$A$7:$K$62, ,13)&gt;=TODAY()),MATCH(ROW('DBX Sprint'!$A$7:$K$62),ROW('DBX Sprint'!$A$7:$K$62)),""),ROWS(E$34:$E59)),COLUMNS('DBX Sprint'!$A$1:A12)),"")</f>
        <v/>
      </c>
      <c r="F59" s="43" t="str" cm="1">
        <f t="array" aca="1" ref="F59" ca="1">IFERROR(INDEX('DBX Sprint'!$A$7:$K$62, SMALL(IF((INDEX('DBX Sprint'!$A$7:$K$62, ,13)&lt;=(TODAY()+5))*(INDEX('DBX Sprint'!$A$7:$K$62, ,13)&gt;(TODAY()+1)),MATCH(ROW('DBX Sprint'!$A$7:$K$62),ROW('DBX Sprint'!$A$7:$K$62)),""),ROWS($F$34:F59)),COLUMNS('DBX Sprint'!$A$1:A12)),"")</f>
        <v/>
      </c>
      <c r="G59" s="43" t="str" cm="1">
        <f t="array" aca="1" ref="G59" ca="1">IFERROR(INDEX('DBX Sprint'!$A$7:$K$62, SMALL(IF((INDEX('DBX Sprint'!$A$7:$K$62, ,13)&lt;=(TODAY()+10))*(INDEX('DBX Sprint'!$A$7:$K$62, ,13)&gt;(TODAY()+5)),MATCH(ROW('DBX Sprint'!$A$7:$K$62),ROW('DBX Sprint'!$A$7:$K$62)),""),ROWS($G$34:G59)),COLUMNS('DBX Sprint'!$A$1:A12)),"")</f>
        <v/>
      </c>
      <c r="I59" s="41" t="str" cm="1">
        <f t="array" ref="I59">IFERROR(INDEX('DBX Sprint'!$A$7:$K$62, SMALL(IF((INDEX('DBX Sprint'!$A$7:$K$62, ,16)=("Complete"))*(INDEX('DBX Sprint'!$A$7:$K$62, ,16)="Complete"),MATCH(ROW('DBX Sprint'!$A$7:$K$62),ROW('DBX Sprint'!$A$7:$K$62)),""),ROWS($I$34:I59)),COLUMNS('DBX Sprint'!$A$1:A12)),"")</f>
        <v/>
      </c>
      <c r="J59" s="41" t="str" cm="1">
        <f t="array" aca="1" ref="J59" ca="1">IFERROR(INDEX('DBX Sprint'!$A$7:$K$62, SMALL(IF((INDEX('DBX Sprint'!$A$7:$K$62, ,16)&lt;(TODAY()))*(INDEX('DBX Sprint'!$A$7:$K$62, ,16)&lt;&gt;"Complete"),MATCH(ROW('DBX Sprint'!$A$7:$K$62),ROW('DBX Sprint'!$A$7:$K$62)),""),ROWS($J$34:J59)),COLUMNS('DBX Sprint'!$A$1:A12)),"")</f>
        <v/>
      </c>
      <c r="K59" s="37" t="str" cm="1">
        <f t="array" aca="1" ref="K59" ca="1">IFERROR(INDEX('DBX Sprint'!$A$7:$K$62, SMALL(IF((INDEX('DBX Sprint'!$A$7:$K$62, ,16)&lt;=(TODAY()+1))*(INDEX('DBX Sprint'!$A$7:$K$62, ,16)&gt;=TODAY()),MATCH(ROW('DBX Sprint'!$A$7:$K$62),ROW('DBX Sprint'!$A$7:$K$62)),""),ROWS($K$34:K59)),COLUMNS('DBX Sprint'!$A$1:A12)),"")</f>
        <v/>
      </c>
      <c r="L59" s="38" t="str" cm="1">
        <f t="array" aca="1" ref="L59" ca="1">IFERROR(INDEX('DBX Sprint'!$A$7:$K$62, SMALL(IF((INDEX('DBX Sprint'!$A$7:$K$62, ,16)&lt;=(TODAY()+5))*(INDEX('DBX Sprint'!$A$7:$K$62, ,16)&gt;(TODAY()+1)),MATCH(ROW('DBX Sprint'!$A$7:$K$62),ROW('DBX Sprint'!$A$7:$K$62)),""),ROWS($L$34:L59)),COLUMNS('DBX Sprint'!$A$1:A12)),"")</f>
        <v/>
      </c>
      <c r="M59" s="38" t="str" cm="1">
        <f t="array" aca="1" ref="M59" ca="1">IFERROR(INDEX('DBX Sprint'!$A$7:$K$62, SMALL(IF((INDEX('DBX Sprint'!$A$7:$K$62, ,16)&lt;=(TODAY()+10))*(INDEX('DBX Sprint'!$A$7:$K$62, ,16)&gt;(TODAY()+5)),MATCH(ROW('DBX Sprint'!$A$7:$K$62),ROW('DBX Sprint'!$A$7:$K$62)),""),ROWS($M$34:M59)),COLUMNS('DBX Sprint'!$A$1:A12)),"")</f>
        <v/>
      </c>
      <c r="O59" s="41" t="str" cm="1">
        <f t="array" ref="O59">IFERROR(INDEX('DBX Sprint'!$A$7:$K$62, SMALL(IF((INDEX('DBX Sprint'!$A$7:$K$62, ,19)=("Complete"))*(INDEX('DBX Sprint'!$A$7:$K$62, ,19)="Complete"),MATCH(ROW('DBX Sprint'!$A$7:$K$62),ROW('DBX Sprint'!$A$7:$K$62)),""),ROWS($O$34:O59)),COLUMNS('DBX Sprint'!$A$1:A12)),"")</f>
        <v/>
      </c>
      <c r="P59" s="41" t="str" cm="1">
        <f t="array" aca="1" ref="P59" ca="1">IFERROR(INDEX('DBX Sprint'!$A$7:$K$62, SMALL(IF((INDEX('DBX Sprint'!$A$7:$K$62, ,19)&lt;(TODAY()))*(INDEX('DBX Sprint'!$A$7:$K$62, ,19)&lt;&gt;"Complete"),MATCH(ROW('DBX Sprint'!$A$7:$K$62),ROW('DBX Sprint'!$A$7:$K$62)),""),ROWS($P$34:P59)),COLUMNS('DBX Sprint'!$A$1:A12)),"")</f>
        <v/>
      </c>
      <c r="Q59" s="41" t="str" cm="1">
        <f t="array" aca="1" ref="Q59" ca="1">IFERROR(INDEX('DBX Sprint'!$A$7:$K$62, SMALL(IF((INDEX('DBX Sprint'!$A$7:$K$62, ,19)&lt;=(TODAY()+1))*(INDEX('DBX Sprint'!$A$7:$K$62, ,19)&gt;=TODAY()),MATCH(ROW('DBX Sprint'!$A$7:$K$62),ROW('DBX Sprint'!$A$7:$K$62)),""),ROWS($Q$34:Q59)),COLUMNS('DBX Sprint'!$A$1:A12)),"")</f>
        <v/>
      </c>
      <c r="R59" s="43" t="str" cm="1">
        <f t="array" aca="1" ref="R59" ca="1">IFERROR(INDEX('DBX Sprint'!$A$7:$K$62, SMALL(IF((INDEX('DBX Sprint'!$A$7:$K$62, ,19)&lt;=(TODAY()+5))*(INDEX('DBX Sprint'!$A$7:$K$62, ,19)&gt;(TODAY()+1)),MATCH(ROW('DBX Sprint'!$A$7:$K$62),ROW('DBX Sprint'!$A$7:$K$62)),""),ROWS($R$34:R59)),COLUMNS('DBX Sprint'!$A$1:A12)),"")</f>
        <v/>
      </c>
      <c r="S59" s="43" t="str" cm="1">
        <f t="array" aca="1" ref="S59" ca="1">IFERROR(INDEX('DBX Sprint'!$A$7:$K$62, SMALL(IF((INDEX('DBX Sprint'!$A$7:$K$62, ,19)&lt;=(TODAY()+10))*(INDEX('DBX Sprint'!$A$7:$K$62, ,19)&gt;(TODAY()+5)),MATCH(ROW('DBX Sprint'!$A$7:$K$62),ROW('DBX Sprint'!$A$7:$K$62)),""),ROWS($S$34:S59)),COLUMNS('DBX Sprint'!$A$1:A12)),"")</f>
        <v/>
      </c>
      <c r="U59" s="41" t="str" cm="1">
        <f t="array" ref="U59">IFERROR(INDEX('DBX Sprint'!$A$7:$K$62, SMALL(IF((INDEX('DBX Sprint'!$A$7:$K$62, ,22)=("Complete"))*(INDEX('DBX Sprint'!$A$7:$K$62, ,22)="Complete"),MATCH(ROW('DBX Sprint'!$A$7:$K$62),ROW('DBX Sprint'!$A$7:$K$62)),""),ROWS($U$34:U59)),COLUMNS('DBX Sprint'!$A$1:A12)),"")</f>
        <v/>
      </c>
      <c r="V59" s="41" t="str" cm="1">
        <f t="array" aca="1" ref="V59" ca="1">IFERROR(INDEX('DBX Sprint'!$A$7:$K$62, SMALL(IF((INDEX('DBX Sprint'!$A$7:$K$62, ,22)&lt;(TODAY()))*(INDEX('DBX Sprint'!$A$7:$K$62, ,22)&lt;&gt;"Complete"),MATCH(ROW('DBX Sprint'!$A$7:$K$62),ROW('DBX Sprint'!$A$7:$K$62)),""),ROWS($V$34:V59)),COLUMNS('DBX Sprint'!$A$1:A12)),"")</f>
        <v/>
      </c>
      <c r="W59" s="41" t="str" cm="1">
        <f t="array" aca="1" ref="W59" ca="1">IFERROR(INDEX('DBX Sprint'!$A$7:$K$62, SMALL(IF((INDEX('DBX Sprint'!$A$7:$K$62, ,22)&lt;=(TODAY()+1))*(INDEX('DBX Sprint'!$A$7:$K$62, ,22)&gt;=TODAY()),MATCH(ROW('DBX Sprint'!$A$7:$K$62),ROW('DBX Sprint'!$A$7:$K$62)),""),ROWS($W$34:W59)),COLUMNS('DBX Sprint'!$A$1:A12)),"")</f>
        <v/>
      </c>
      <c r="X59" s="43" t="str" cm="1">
        <f t="array" aca="1" ref="X59" ca="1">IFERROR(INDEX('DBX Sprint'!$A$7:$K$62, SMALL(IF((INDEX('DBX Sprint'!$A$7:$K$62, ,22)&lt;=(TODAY()+5))*(INDEX('DBX Sprint'!$A$7:$K$62, ,22)&gt;(TODAY()+1)),MATCH(ROW('DBX Sprint'!$A$7:$K$62),ROW('DBX Sprint'!$A$7:$K$62)),""),ROWS($X$34:X59)),COLUMNS('DBX Sprint'!$A$1:A12)),"")</f>
        <v/>
      </c>
      <c r="Y59" s="43" t="str" cm="1">
        <f t="array" aca="1" ref="Y59" ca="1">IFERROR(INDEX('DBX Sprint'!$A$7:$K$62, SMALL(IF((INDEX('DBX Sprint'!$A$7:$K$62, ,22)&lt;=(TODAY()+10))*(INDEX('DBX Sprint'!$A$7:$K$62, ,22)&gt;(TODAY()+5)),MATCH(ROW('DBX Sprint'!$A$7:$K$62),ROW('DBX Sprint'!$A$7:$K$62)),""),ROWS($Y$34:Y59)),COLUMNS('DBX Sprint'!$A$1:A12)),"")</f>
        <v/>
      </c>
      <c r="AA59" s="41" t="str" cm="1">
        <f t="array" ref="AA59">IFERROR(INDEX('DBX Sprint'!$A$7:$K$62, SMALL(IF((INDEX('DBX Sprint'!$A$7:$K$62, ,25)=("Complete"))*(INDEX('DBX Sprint'!$A$7:$K$62, ,25)="Complete"),MATCH(ROW('DBX Sprint'!$A$7:$K$62),ROW('DBX Sprint'!$A$7:$K$62)),""),ROWS($AA$34:AA59)),COLUMNS('DBX Sprint'!$A$1:A12)),"")</f>
        <v/>
      </c>
      <c r="AB59" s="41" t="str" cm="1">
        <f t="array" aca="1" ref="AB59" ca="1">IFERROR(INDEX('DBX Sprint'!$A$7:$K$62, SMALL(IF((INDEX('DBX Sprint'!$A$7:$K$62, ,25)&lt;(TODAY()))*(INDEX('DBX Sprint'!$A$7:$K$62, ,25)&lt;&gt;"Complete"),MATCH(ROW('DBX Sprint'!$A$7:$K$62),ROW('DBX Sprint'!$A$7:$K$62)),""),ROWS($AB$34:AB59)),COLUMNS('DBX Sprint'!$A$1:A12)),"")</f>
        <v/>
      </c>
      <c r="AC59" s="41" t="str" cm="1">
        <f t="array" aca="1" ref="AC59" ca="1">IFERROR(INDEX('DBX Sprint'!$A$7:$K$62, SMALL(IF((INDEX('DBX Sprint'!$A$7:$K$62, ,25)&lt;=(TODAY()+1))*(INDEX('DBX Sprint'!$A$7:$K$62, ,25)&gt;=TODAY()),MATCH(ROW('DBX Sprint'!$A$7:$K$62),ROW('DBX Sprint'!$A$7:$K$62)),""),ROWS($AC$34:AC59)),COLUMNS('DBX Sprint'!$A$1:A12)),"")</f>
        <v/>
      </c>
      <c r="AD59" s="43" t="str" cm="1">
        <f t="array" aca="1" ref="AD59" ca="1">IFERROR(INDEX('DBX Sprint'!$A$7:$K$62, SMALL(IF((INDEX('DBX Sprint'!$A$7:$K$62, ,25)&lt;=(TODAY()+5))*(INDEX('DBX Sprint'!$A$7:$K$62, ,25)&gt;(TODAY()+1)),MATCH(ROW('DBX Sprint'!$A$7:$K$62),ROW('DBX Sprint'!$A$7:$K$62)),""),ROWS($AD$34:AD59)),COLUMNS('DBX Sprint'!$A$1:A12)),"")</f>
        <v/>
      </c>
      <c r="AE59" s="43" t="str" cm="1">
        <f t="array" aca="1" ref="AE59" ca="1">IFERROR(INDEX('DBX Sprint'!$A$7:$K$62, SMALL(IF((INDEX('DBX Sprint'!$A$7:$K$62, ,25)&lt;=(TODAY()+10))*(INDEX('DBX Sprint'!$A$7:$K$62, ,25)&gt;(TODAY()+5)),MATCH(ROW('DBX Sprint'!$A$7:$K$62),ROW('DBX Sprint'!$A$7:$K$62)),""),ROWS($AE$34:AE59)),COLUMNS('DBX Sprint'!$A$1:A12)),"")</f>
        <v/>
      </c>
      <c r="AG59" s="41" t="str" cm="1">
        <f t="array" ref="AG59">IFERROR(INDEX('DBX Sprint'!$A$7:$K$62, SMALL(IF((INDEX('DBX Sprint'!$A$7:$K$62, ,29)=("Complete"))*(INDEX('DBX Sprint'!$A$7:$K$62, ,29)="Complete"),MATCH(ROW('DBX Sprint'!$A$7:$K$62),ROW('DBX Sprint'!$A$7:$K$62)),""),ROWS($AG$34:AG59)),COLUMNS('DBX Sprint'!$A$1:A12)),"")</f>
        <v/>
      </c>
      <c r="AH59" s="41" t="str" cm="1">
        <f t="array" aca="1" ref="AH59" ca="1">IFERROR(INDEX('DBX Sprint'!$A$7:$K$62, SMALL(IF((INDEX('DBX Sprint'!$A$7:$K$62, ,29)&lt;(TODAY()))*(INDEX('DBX Sprint'!$A$7:$K$62, ,29)&lt;&gt;"Complete"),MATCH(ROW('DBX Sprint'!$A$7:$K$62),ROW('DBX Sprint'!$A$7:$K$62)),""),ROWS($AH$34:AH59)),COLUMNS('DBX Sprint'!$A$1:A12)),"")</f>
        <v/>
      </c>
      <c r="AI59" s="41" t="str" cm="1">
        <f t="array" aca="1" ref="AI59" ca="1">IFERROR(INDEX('DBX Sprint'!$A$7:$K$62, SMALL(IF((INDEX('DBX Sprint'!$A$7:$K$62, ,29)&lt;=(TODAY()+1))*(INDEX('DBX Sprint'!$A$7:$K$62, ,29)&gt;=TODAY()),MATCH(ROW('DBX Sprint'!$A$7:$K$62),ROW('DBX Sprint'!$A$7:$K$62)),""),ROWS($AI$34:AI59)),COLUMNS('DBX Sprint'!$A$1:A12)),"")</f>
        <v/>
      </c>
      <c r="AJ59" s="43" t="str" cm="1">
        <f t="array" aca="1" ref="AJ59" ca="1">IFERROR(INDEX('DBX Sprint'!$A$7:$K$62, SMALL(IF((INDEX('DBX Sprint'!$A$7:$K$62, ,29)&lt;=(TODAY()+5))*(INDEX('DBX Sprint'!$A$7:$K$62, ,29)&gt;(TODAY()+1)),MATCH(ROW('DBX Sprint'!$A$7:$K$62),ROW('DBX Sprint'!$A$7:$K$62)),""),ROWS($AJ$34:AJ59)),COLUMNS('DBX Sprint'!$A$1:A12)),"")</f>
        <v/>
      </c>
      <c r="AK59" s="43" t="str" cm="1">
        <f t="array" aca="1" ref="AK59" ca="1">IFERROR(INDEX('DBX Sprint'!$A$7:$K$62, SMALL(IF((INDEX('DBX Sprint'!$A$7:$K$62, ,29)&lt;=(TODAY()+10))*(INDEX('DBX Sprint'!$A$7:$K$62, ,29)&gt;(TODAY()+5)),MATCH(ROW('DBX Sprint'!$A$7:$K$62),ROW('DBX Sprint'!$A$7:$K$62)),""),ROWS($AK$34:AK59)),COLUMNS('DBX Sprint'!$A$1:A12)),"")</f>
        <v/>
      </c>
      <c r="AM59" s="41" t="str" cm="1">
        <f t="array" ref="AM59">IFERROR(INDEX('DBX Sprint'!$A$7:$K$62, SMALL(IF((INDEX('DBX Sprint'!$A$7:$K$62, ,32)=("Complete"))*(INDEX('DBX Sprint'!$A$7:$K$62, ,32)="Complete"),MATCH(ROW('DBX Sprint'!$A$7:$K$62),ROW('DBX Sprint'!$A$7:$K$62)),""),ROWS($AM$34:AM59)),COLUMNS('DBX Sprint'!$A$1:A12)),"")</f>
        <v/>
      </c>
      <c r="AN59" s="41" t="str" cm="1">
        <f t="array" aca="1" ref="AN59" ca="1">IFERROR(INDEX('DBX Sprint'!$A$7:$K$62, SMALL(IF((INDEX('DBX Sprint'!$A$7:$K$62, ,32)&lt;(TODAY()))*(INDEX('DBX Sprint'!$A$7:$K$62, ,32)&lt;&gt;"Complete"),MATCH(ROW('DBX Sprint'!$A$7:$K$62),ROW('DBX Sprint'!$A$7:$K$62)),""),ROWS($AN$34:AN59)),COLUMNS('DBX Sprint'!$A$1:A12)),"")</f>
        <v/>
      </c>
      <c r="AO59" s="41" t="str" cm="1">
        <f t="array" aca="1" ref="AO59" ca="1">IFERROR(INDEX('DBX Sprint'!$A$7:$K$62, SMALL(IF((INDEX('DBX Sprint'!$A$7:$K$62, ,32)&lt;=(TODAY()+1))*(INDEX('DBX Sprint'!$A$7:$K$62, ,32)&gt;=TODAY()),MATCH(ROW('DBX Sprint'!$A$7:$K$62),ROW('DBX Sprint'!$A$7:$K$62)),""),ROWS($AO$34:AO59)),COLUMNS('DBX Sprint'!$A$1:A12)),"")</f>
        <v/>
      </c>
      <c r="AP59" s="43" t="str" cm="1">
        <f t="array" aca="1" ref="AP59" ca="1">IFERROR(INDEX('DBX Sprint'!$A$7:$K$62, SMALL(IF((INDEX('DBX Sprint'!$A$7:$K$62, ,32)&lt;=(TODAY()+5))*(INDEX('DBX Sprint'!$A$7:$K$62, ,32)&gt;(TODAY()+1)),MATCH(ROW('DBX Sprint'!$A$7:$K$62),ROW('DBX Sprint'!$A$7:$K$62)),""),ROWS($AP$34:AP59)),COLUMNS('DBX Sprint'!$A$1:A12)),"")</f>
        <v/>
      </c>
      <c r="AQ59" s="43" t="str" cm="1">
        <f t="array" aca="1" ref="AQ59" ca="1">IFERROR(INDEX('DBX Sprint'!$A$7:$K$62, SMALL(IF((INDEX('DBX Sprint'!$A$7:$K$62, ,32)&lt;=(TODAY()+10))*(INDEX('DBX Sprint'!$A$7:$K$62, ,32)&gt;(TODAY()+5)),MATCH(ROW('DBX Sprint'!$A$7:$K$62),ROW('DBX Sprint'!$A$7:$K$62)),""),ROWS($AQ$34:AQ59)),COLUMNS('DBX Sprint'!$A$1:A12)),"")</f>
        <v/>
      </c>
    </row>
    <row r="60" spans="3:43" ht="30" customHeight="1">
      <c r="C60" s="41" t="str" cm="1">
        <f t="array" ref="C60">IFERROR(INDEX('DBX Sprint'!$A$7:$K$62, SMALL(IF((INDEX('DBX Sprint'!$A$7:$K$62, ,13)=("Complete"))*(INDEX('DBX Sprint'!$A$7:$K$62, ,13)="Complete"),MATCH(ROW('DBX Sprint'!$A$7:$K$62),ROW('DBX Sprint'!$A$7:$K$62)),""),ROWS(C$34:$C60)),COLUMNS('DBX Sprint'!$A$1:A12)),"")</f>
        <v/>
      </c>
      <c r="D60" s="41" t="str" cm="1">
        <f t="array" aca="1" ref="D60" ca="1">IFERROR(INDEX('DBX Sprint'!$A$7:$K$62, SMALL(IF((INDEX('DBX Sprint'!$A$7:$K$62, ,13)&lt;(TODAY()))*(INDEX('DBX Sprint'!$A$7:$K$62, ,13)&lt;&gt;"Complete"),MATCH(ROW('DBX Sprint'!$A$7:$K$62),ROW('DBX Sprint'!$A$7:$K$62)),""),ROWS(D$34:$D60)),COLUMNS('DBX Sprint'!$A$1:A12)),"")</f>
        <v/>
      </c>
      <c r="E60" s="41" t="str" cm="1">
        <f t="array" aca="1" ref="E60" ca="1">IFERROR(INDEX('DBX Sprint'!$A$7:$K$62, SMALL(IF((INDEX('DBX Sprint'!$A$7:$K$62, ,13)&lt;=(TODAY()+1))*(INDEX('DBX Sprint'!$A$7:$K$62, ,13)&gt;=TODAY()),MATCH(ROW('DBX Sprint'!$A$7:$K$62),ROW('DBX Sprint'!$A$7:$K$62)),""),ROWS(E$34:$E60)),COLUMNS('DBX Sprint'!$A$1:A12)),"")</f>
        <v/>
      </c>
      <c r="F60" s="43" t="str" cm="1">
        <f t="array" aca="1" ref="F60" ca="1">IFERROR(INDEX('DBX Sprint'!$A$7:$K$62, SMALL(IF((INDEX('DBX Sprint'!$A$7:$K$62, ,13)&lt;=(TODAY()+5))*(INDEX('DBX Sprint'!$A$7:$K$62, ,13)&gt;(TODAY()+1)),MATCH(ROW('DBX Sprint'!$A$7:$K$62),ROW('DBX Sprint'!$A$7:$K$62)),""),ROWS($F$34:F60)),COLUMNS('DBX Sprint'!$A$1:A12)),"")</f>
        <v/>
      </c>
      <c r="G60" s="43" t="str" cm="1">
        <f t="array" aca="1" ref="G60" ca="1">IFERROR(INDEX('DBX Sprint'!$A$7:$K$62, SMALL(IF((INDEX('DBX Sprint'!$A$7:$K$62, ,13)&lt;=(TODAY()+10))*(INDEX('DBX Sprint'!$A$7:$K$62, ,13)&gt;(TODAY()+5)),MATCH(ROW('DBX Sprint'!$A$7:$K$62),ROW('DBX Sprint'!$A$7:$K$62)),""),ROWS($G$34:G60)),COLUMNS('DBX Sprint'!$A$1:A12)),"")</f>
        <v/>
      </c>
      <c r="I60" s="41" t="str" cm="1">
        <f t="array" ref="I60">IFERROR(INDEX('DBX Sprint'!$A$7:$K$62, SMALL(IF((INDEX('DBX Sprint'!$A$7:$K$62, ,16)=("Complete"))*(INDEX('DBX Sprint'!$A$7:$K$62, ,16)="Complete"),MATCH(ROW('DBX Sprint'!$A$7:$K$62),ROW('DBX Sprint'!$A$7:$K$62)),""),ROWS($I$34:I60)),COLUMNS('DBX Sprint'!$A$1:A12)),"")</f>
        <v/>
      </c>
      <c r="J60" s="41" t="str" cm="1">
        <f t="array" aca="1" ref="J60" ca="1">IFERROR(INDEX('DBX Sprint'!$A$7:$K$62, SMALL(IF((INDEX('DBX Sprint'!$A$7:$K$62, ,16)&lt;(TODAY()))*(INDEX('DBX Sprint'!$A$7:$K$62, ,16)&lt;&gt;"Complete"),MATCH(ROW('DBX Sprint'!$A$7:$K$62),ROW('DBX Sprint'!$A$7:$K$62)),""),ROWS($J$34:J60)),COLUMNS('DBX Sprint'!$A$1:A12)),"")</f>
        <v/>
      </c>
      <c r="K60" s="37" t="str" cm="1">
        <f t="array" aca="1" ref="K60" ca="1">IFERROR(INDEX('DBX Sprint'!$A$7:$K$62, SMALL(IF((INDEX('DBX Sprint'!$A$7:$K$62, ,16)&lt;=(TODAY()+1))*(INDEX('DBX Sprint'!$A$7:$K$62, ,16)&gt;=TODAY()),MATCH(ROW('DBX Sprint'!$A$7:$K$62),ROW('DBX Sprint'!$A$7:$K$62)),""),ROWS($K$34:K60)),COLUMNS('DBX Sprint'!$A$1:A12)),"")</f>
        <v/>
      </c>
      <c r="L60" s="38" t="str" cm="1">
        <f t="array" aca="1" ref="L60" ca="1">IFERROR(INDEX('DBX Sprint'!$A$7:$K$62, SMALL(IF((INDEX('DBX Sprint'!$A$7:$K$62, ,16)&lt;=(TODAY()+5))*(INDEX('DBX Sprint'!$A$7:$K$62, ,16)&gt;(TODAY()+1)),MATCH(ROW('DBX Sprint'!$A$7:$K$62),ROW('DBX Sprint'!$A$7:$K$62)),""),ROWS($L$34:L60)),COLUMNS('DBX Sprint'!$A$1:A12)),"")</f>
        <v/>
      </c>
      <c r="M60" s="43" t="str" cm="1">
        <f t="array" aca="1" ref="M60" ca="1">IFERROR(INDEX('DBX Sprint'!$A$7:$K$62, SMALL(IF((INDEX('DBX Sprint'!$A$7:$K$62, ,16)&lt;=(TODAY()+10))*(INDEX('DBX Sprint'!$A$7:$K$62, ,16)&gt;(TODAY()+5)),MATCH(ROW('DBX Sprint'!$A$7:$K$62),ROW('DBX Sprint'!$A$7:$K$62)),""),ROWS($M$34:M60)),COLUMNS('DBX Sprint'!$A$1:A12)),"")</f>
        <v/>
      </c>
      <c r="O60" s="41" t="str" cm="1">
        <f t="array" ref="O60">IFERROR(INDEX('DBX Sprint'!$A$7:$K$62, SMALL(IF((INDEX('DBX Sprint'!$A$7:$K$62, ,19)=("Complete"))*(INDEX('DBX Sprint'!$A$7:$K$62, ,19)="Complete"),MATCH(ROW('DBX Sprint'!$A$7:$K$62),ROW('DBX Sprint'!$A$7:$K$62)),""),ROWS($O$34:O60)),COLUMNS('DBX Sprint'!$A$1:A12)),"")</f>
        <v/>
      </c>
      <c r="P60" s="41" t="str" cm="1">
        <f t="array" aca="1" ref="P60" ca="1">IFERROR(INDEX('DBX Sprint'!$A$7:$K$62, SMALL(IF((INDEX('DBX Sprint'!$A$7:$K$62, ,19)&lt;(TODAY()))*(INDEX('DBX Sprint'!$A$7:$K$62, ,19)&lt;&gt;"Complete"),MATCH(ROW('DBX Sprint'!$A$7:$K$62),ROW('DBX Sprint'!$A$7:$K$62)),""),ROWS($P$34:P60)),COLUMNS('DBX Sprint'!$A$1:A12)),"")</f>
        <v/>
      </c>
      <c r="Q60" s="41" t="str" cm="1">
        <f t="array" aca="1" ref="Q60" ca="1">IFERROR(INDEX('DBX Sprint'!$A$7:$K$62, SMALL(IF((INDEX('DBX Sprint'!$A$7:$K$62, ,19)&lt;=(TODAY()+1))*(INDEX('DBX Sprint'!$A$7:$K$62, ,19)&gt;=TODAY()),MATCH(ROW('DBX Sprint'!$A$7:$K$62),ROW('DBX Sprint'!$A$7:$K$62)),""),ROWS($Q$34:Q60)),COLUMNS('DBX Sprint'!$A$1:A12)),"")</f>
        <v/>
      </c>
      <c r="R60" s="43" t="str" cm="1">
        <f t="array" aca="1" ref="R60" ca="1">IFERROR(INDEX('DBX Sprint'!$A$7:$K$62, SMALL(IF((INDEX('DBX Sprint'!$A$7:$K$62, ,19)&lt;=(TODAY()+5))*(INDEX('DBX Sprint'!$A$7:$K$62, ,19)&gt;(TODAY()+1)),MATCH(ROW('DBX Sprint'!$A$7:$K$62),ROW('DBX Sprint'!$A$7:$K$62)),""),ROWS($R$34:R60)),COLUMNS('DBX Sprint'!$A$1:A12)),"")</f>
        <v/>
      </c>
      <c r="S60" s="43" t="str" cm="1">
        <f t="array" aca="1" ref="S60" ca="1">IFERROR(INDEX('DBX Sprint'!$A$7:$K$62, SMALL(IF((INDEX('DBX Sprint'!$A$7:$K$62, ,19)&lt;=(TODAY()+10))*(INDEX('DBX Sprint'!$A$7:$K$62, ,19)&gt;(TODAY()+5)),MATCH(ROW('DBX Sprint'!$A$7:$K$62),ROW('DBX Sprint'!$A$7:$K$62)),""),ROWS($S$34:S60)),COLUMNS('DBX Sprint'!$A$1:A12)),"")</f>
        <v/>
      </c>
      <c r="U60" s="41" t="str" cm="1">
        <f t="array" ref="U60">IFERROR(INDEX('DBX Sprint'!$A$7:$K$62, SMALL(IF((INDEX('DBX Sprint'!$A$7:$K$62, ,22)=("Complete"))*(INDEX('DBX Sprint'!$A$7:$K$62, ,22)="Complete"),MATCH(ROW('DBX Sprint'!$A$7:$K$62),ROW('DBX Sprint'!$A$7:$K$62)),""),ROWS($U$34:U60)),COLUMNS('DBX Sprint'!$A$1:A12)),"")</f>
        <v/>
      </c>
      <c r="V60" s="41" t="str" cm="1">
        <f t="array" aca="1" ref="V60" ca="1">IFERROR(INDEX('DBX Sprint'!$A$7:$K$62, SMALL(IF((INDEX('DBX Sprint'!$A$7:$K$62, ,22)&lt;(TODAY()))*(INDEX('DBX Sprint'!$A$7:$K$62, ,22)&lt;&gt;"Complete"),MATCH(ROW('DBX Sprint'!$A$7:$K$62),ROW('DBX Sprint'!$A$7:$K$62)),""),ROWS($V$34:V60)),COLUMNS('DBX Sprint'!$A$1:A12)),"")</f>
        <v/>
      </c>
      <c r="W60" s="41" t="str" cm="1">
        <f t="array" aca="1" ref="W60" ca="1">IFERROR(INDEX('DBX Sprint'!$A$7:$K$62, SMALL(IF((INDEX('DBX Sprint'!$A$7:$K$62, ,22)&lt;=(TODAY()+1))*(INDEX('DBX Sprint'!$A$7:$K$62, ,22)&gt;=TODAY()),MATCH(ROW('DBX Sprint'!$A$7:$K$62),ROW('DBX Sprint'!$A$7:$K$62)),""),ROWS($W$34:W60)),COLUMNS('DBX Sprint'!$A$1:A12)),"")</f>
        <v/>
      </c>
      <c r="X60" s="43" t="str" cm="1">
        <f t="array" aca="1" ref="X60" ca="1">IFERROR(INDEX('DBX Sprint'!$A$7:$K$62, SMALL(IF((INDEX('DBX Sprint'!$A$7:$K$62, ,22)&lt;=(TODAY()+5))*(INDEX('DBX Sprint'!$A$7:$K$62, ,22)&gt;(TODAY()+1)),MATCH(ROW('DBX Sprint'!$A$7:$K$62),ROW('DBX Sprint'!$A$7:$K$62)),""),ROWS($X$34:X60)),COLUMNS('DBX Sprint'!$A$1:A12)),"")</f>
        <v/>
      </c>
      <c r="Y60" s="43" t="str" cm="1">
        <f t="array" aca="1" ref="Y60" ca="1">IFERROR(INDEX('DBX Sprint'!$A$7:$K$62, SMALL(IF((INDEX('DBX Sprint'!$A$7:$K$62, ,22)&lt;=(TODAY()+10))*(INDEX('DBX Sprint'!$A$7:$K$62, ,22)&gt;(TODAY()+5)),MATCH(ROW('DBX Sprint'!$A$7:$K$62),ROW('DBX Sprint'!$A$7:$K$62)),""),ROWS($Y$34:Y60)),COLUMNS('DBX Sprint'!$A$1:A12)),"")</f>
        <v/>
      </c>
      <c r="AA60" s="41" t="str" cm="1">
        <f t="array" ref="AA60">IFERROR(INDEX('DBX Sprint'!$A$7:$K$62, SMALL(IF((INDEX('DBX Sprint'!$A$7:$K$62, ,25)=("Complete"))*(INDEX('DBX Sprint'!$A$7:$K$62, ,25)="Complete"),MATCH(ROW('DBX Sprint'!$A$7:$K$62),ROW('DBX Sprint'!$A$7:$K$62)),""),ROWS($AA$34:AA60)),COLUMNS('DBX Sprint'!$A$1:A12)),"")</f>
        <v/>
      </c>
      <c r="AB60" s="41" t="str" cm="1">
        <f t="array" aca="1" ref="AB60" ca="1">IFERROR(INDEX('DBX Sprint'!$A$7:$K$62, SMALL(IF((INDEX('DBX Sprint'!$A$7:$K$62, ,25)&lt;(TODAY()))*(INDEX('DBX Sprint'!$A$7:$K$62, ,25)&lt;&gt;"Complete"),MATCH(ROW('DBX Sprint'!$A$7:$K$62),ROW('DBX Sprint'!$A$7:$K$62)),""),ROWS($AB$34:AB60)),COLUMNS('DBX Sprint'!$A$1:A12)),"")</f>
        <v/>
      </c>
      <c r="AC60" s="41" t="str" cm="1">
        <f t="array" aca="1" ref="AC60" ca="1">IFERROR(INDEX('DBX Sprint'!$A$7:$K$62, SMALL(IF((INDEX('DBX Sprint'!$A$7:$K$62, ,25)&lt;=(TODAY()+1))*(INDEX('DBX Sprint'!$A$7:$K$62, ,25)&gt;=TODAY()),MATCH(ROW('DBX Sprint'!$A$7:$K$62),ROW('DBX Sprint'!$A$7:$K$62)),""),ROWS($AC$34:AC60)),COLUMNS('DBX Sprint'!$A$1:A12)),"")</f>
        <v/>
      </c>
      <c r="AD60" s="43" t="str" cm="1">
        <f t="array" aca="1" ref="AD60" ca="1">IFERROR(INDEX('DBX Sprint'!$A$7:$K$62, SMALL(IF((INDEX('DBX Sprint'!$A$7:$K$62, ,25)&lt;=(TODAY()+5))*(INDEX('DBX Sprint'!$A$7:$K$62, ,25)&gt;(TODAY()+1)),MATCH(ROW('DBX Sprint'!$A$7:$K$62),ROW('DBX Sprint'!$A$7:$K$62)),""),ROWS($AD$34:AD60)),COLUMNS('DBX Sprint'!$A$1:A12)),"")</f>
        <v/>
      </c>
      <c r="AE60" s="43" t="str" cm="1">
        <f t="array" aca="1" ref="AE60" ca="1">IFERROR(INDEX('DBX Sprint'!$A$7:$K$62, SMALL(IF((INDEX('DBX Sprint'!$A$7:$K$62, ,25)&lt;=(TODAY()+10))*(INDEX('DBX Sprint'!$A$7:$K$62, ,25)&gt;(TODAY()+5)),MATCH(ROW('DBX Sprint'!$A$7:$K$62),ROW('DBX Sprint'!$A$7:$K$62)),""),ROWS($AE$34:AE60)),COLUMNS('DBX Sprint'!$A$1:A12)),"")</f>
        <v/>
      </c>
      <c r="AG60" s="41" t="str" cm="1">
        <f t="array" ref="AG60">IFERROR(INDEX('DBX Sprint'!$A$7:$K$62, SMALL(IF((INDEX('DBX Sprint'!$A$7:$K$62, ,29)=("Complete"))*(INDEX('DBX Sprint'!$A$7:$K$62, ,29)="Complete"),MATCH(ROW('DBX Sprint'!$A$7:$K$62),ROW('DBX Sprint'!$A$7:$K$62)),""),ROWS($AG$34:AG60)),COLUMNS('DBX Sprint'!$A$1:A12)),"")</f>
        <v/>
      </c>
      <c r="AH60" s="41" t="str" cm="1">
        <f t="array" aca="1" ref="AH60" ca="1">IFERROR(INDEX('DBX Sprint'!$A$7:$K$62, SMALL(IF((INDEX('DBX Sprint'!$A$7:$K$62, ,29)&lt;(TODAY()))*(INDEX('DBX Sprint'!$A$7:$K$62, ,29)&lt;&gt;"Complete"),MATCH(ROW('DBX Sprint'!$A$7:$K$62),ROW('DBX Sprint'!$A$7:$K$62)),""),ROWS($AH$34:AH60)),COLUMNS('DBX Sprint'!$A$1:A12)),"")</f>
        <v/>
      </c>
      <c r="AI60" s="41" t="str" cm="1">
        <f t="array" aca="1" ref="AI60" ca="1">IFERROR(INDEX('DBX Sprint'!$A$7:$K$62, SMALL(IF((INDEX('DBX Sprint'!$A$7:$K$62, ,29)&lt;=(TODAY()+1))*(INDEX('DBX Sprint'!$A$7:$K$62, ,29)&gt;=TODAY()),MATCH(ROW('DBX Sprint'!$A$7:$K$62),ROW('DBX Sprint'!$A$7:$K$62)),""),ROWS($AI$34:AI60)),COLUMNS('DBX Sprint'!$A$1:A12)),"")</f>
        <v/>
      </c>
      <c r="AJ60" s="43" t="str" cm="1">
        <f t="array" aca="1" ref="AJ60" ca="1">IFERROR(INDEX('DBX Sprint'!$A$7:$K$62, SMALL(IF((INDEX('DBX Sprint'!$A$7:$K$62, ,29)&lt;=(TODAY()+5))*(INDEX('DBX Sprint'!$A$7:$K$62, ,29)&gt;(TODAY()+1)),MATCH(ROW('DBX Sprint'!$A$7:$K$62),ROW('DBX Sprint'!$A$7:$K$62)),""),ROWS($AJ$34:AJ60)),COLUMNS('DBX Sprint'!$A$1:A12)),"")</f>
        <v/>
      </c>
      <c r="AK60" s="43" t="str" cm="1">
        <f t="array" aca="1" ref="AK60" ca="1">IFERROR(INDEX('DBX Sprint'!$A$7:$K$62, SMALL(IF((INDEX('DBX Sprint'!$A$7:$K$62, ,29)&lt;=(TODAY()+10))*(INDEX('DBX Sprint'!$A$7:$K$62, ,29)&gt;(TODAY()+5)),MATCH(ROW('DBX Sprint'!$A$7:$K$62),ROW('DBX Sprint'!$A$7:$K$62)),""),ROWS($AK$34:AK60)),COLUMNS('DBX Sprint'!$A$1:A12)),"")</f>
        <v/>
      </c>
      <c r="AM60" s="41" t="str" cm="1">
        <f t="array" ref="AM60">IFERROR(INDEX('DBX Sprint'!$A$7:$K$62, SMALL(IF((INDEX('DBX Sprint'!$A$7:$K$62, ,32)=("Complete"))*(INDEX('DBX Sprint'!$A$7:$K$62, ,32)="Complete"),MATCH(ROW('DBX Sprint'!$A$7:$K$62),ROW('DBX Sprint'!$A$7:$K$62)),""),ROWS($AM$34:AM60)),COLUMNS('DBX Sprint'!$A$1:A12)),"")</f>
        <v/>
      </c>
      <c r="AN60" s="41" t="str" cm="1">
        <f t="array" aca="1" ref="AN60" ca="1">IFERROR(INDEX('DBX Sprint'!$A$7:$K$62, SMALL(IF((INDEX('DBX Sprint'!$A$7:$K$62, ,32)&lt;(TODAY()))*(INDEX('DBX Sprint'!$A$7:$K$62, ,32)&lt;&gt;"Complete"),MATCH(ROW('DBX Sprint'!$A$7:$K$62),ROW('DBX Sprint'!$A$7:$K$62)),""),ROWS($AN$34:AN60)),COLUMNS('DBX Sprint'!$A$1:A12)),"")</f>
        <v/>
      </c>
      <c r="AO60" s="41" t="str" cm="1">
        <f t="array" aca="1" ref="AO60" ca="1">IFERROR(INDEX('DBX Sprint'!$A$7:$K$62, SMALL(IF((INDEX('DBX Sprint'!$A$7:$K$62, ,32)&lt;=(TODAY()+1))*(INDEX('DBX Sprint'!$A$7:$K$62, ,32)&gt;=TODAY()),MATCH(ROW('DBX Sprint'!$A$7:$K$62),ROW('DBX Sprint'!$A$7:$K$62)),""),ROWS($AO$34:AO60)),COLUMNS('DBX Sprint'!$A$1:A12)),"")</f>
        <v/>
      </c>
      <c r="AP60" s="43" t="str" cm="1">
        <f t="array" aca="1" ref="AP60" ca="1">IFERROR(INDEX('DBX Sprint'!$A$7:$K$62, SMALL(IF((INDEX('DBX Sprint'!$A$7:$K$62, ,32)&lt;=(TODAY()+5))*(INDEX('DBX Sprint'!$A$7:$K$62, ,32)&gt;(TODAY()+1)),MATCH(ROW('DBX Sprint'!$A$7:$K$62),ROW('DBX Sprint'!$A$7:$K$62)),""),ROWS($AP$34:AP60)),COLUMNS('DBX Sprint'!$A$1:A12)),"")</f>
        <v/>
      </c>
      <c r="AQ60" s="43" t="str" cm="1">
        <f t="array" aca="1" ref="AQ60" ca="1">IFERROR(INDEX('DBX Sprint'!$A$7:$K$62, SMALL(IF((INDEX('DBX Sprint'!$A$7:$K$62, ,32)&lt;=(TODAY()+10))*(INDEX('DBX Sprint'!$A$7:$K$62, ,32)&gt;(TODAY()+5)),MATCH(ROW('DBX Sprint'!$A$7:$K$62),ROW('DBX Sprint'!$A$7:$K$62)),""),ROWS($AQ$34:AQ60)),COLUMNS('DBX Sprint'!$A$1:A12)),"")</f>
        <v/>
      </c>
    </row>
    <row r="61" spans="3:43" ht="30" customHeight="1">
      <c r="C61" s="41" t="str" cm="1">
        <f t="array" ref="C61">IFERROR(INDEX('DBX Sprint'!$A$7:$K$62, SMALL(IF((INDEX('DBX Sprint'!$A$7:$K$62, ,13)=("Complete"))*(INDEX('DBX Sprint'!$A$7:$K$62, ,13)="Complete"),MATCH(ROW('DBX Sprint'!$A$7:$K$62),ROW('DBX Sprint'!$A$7:$K$62)),""),ROWS(C$34:$C61)),COLUMNS('DBX Sprint'!$A$1:A12)),"")</f>
        <v/>
      </c>
      <c r="D61" s="41" t="str" cm="1">
        <f t="array" aca="1" ref="D61" ca="1">IFERROR(INDEX('DBX Sprint'!$A$7:$K$62, SMALL(IF((INDEX('DBX Sprint'!$A$7:$K$62, ,13)&lt;(TODAY()))*(INDEX('DBX Sprint'!$A$7:$K$62, ,13)&lt;&gt;"Complete"),MATCH(ROW('DBX Sprint'!$A$7:$K$62),ROW('DBX Sprint'!$A$7:$K$62)),""),ROWS(D$34:$D61)),COLUMNS('DBX Sprint'!$A$1:A12)),"")</f>
        <v/>
      </c>
      <c r="E61" s="41" t="str" cm="1">
        <f t="array" aca="1" ref="E61" ca="1">IFERROR(INDEX('DBX Sprint'!$A$7:$K$62, SMALL(IF((INDEX('DBX Sprint'!$A$7:$K$62, ,13)&lt;=(TODAY()+1))*(INDEX('DBX Sprint'!$A$7:$K$62, ,13)&gt;=TODAY()),MATCH(ROW('DBX Sprint'!$A$7:$K$62),ROW('DBX Sprint'!$A$7:$K$62)),""),ROWS(E$34:$E61)),COLUMNS('DBX Sprint'!$A$1:A12)),"")</f>
        <v/>
      </c>
      <c r="F61" s="43" t="str" cm="1">
        <f t="array" aca="1" ref="F61" ca="1">IFERROR(INDEX('DBX Sprint'!$A$7:$K$62, SMALL(IF((INDEX('DBX Sprint'!$A$7:$K$62, ,13)&lt;=(TODAY()+5))*(INDEX('DBX Sprint'!$A$7:$K$62, ,13)&gt;(TODAY()+1)),MATCH(ROW('DBX Sprint'!$A$7:$K$62),ROW('DBX Sprint'!$A$7:$K$62)),""),ROWS($F$34:F61)),COLUMNS('DBX Sprint'!$A$1:A12)),"")</f>
        <v/>
      </c>
      <c r="G61" s="43" t="str" cm="1">
        <f t="array" aca="1" ref="G61" ca="1">IFERROR(INDEX('DBX Sprint'!$A$7:$K$62, SMALL(IF((INDEX('DBX Sprint'!$A$7:$K$62, ,13)&lt;=(TODAY()+10))*(INDEX('DBX Sprint'!$A$7:$K$62, ,13)&gt;(TODAY()+5)),MATCH(ROW('DBX Sprint'!$A$7:$K$62),ROW('DBX Sprint'!$A$7:$K$62)),""),ROWS($G$34:G61)),COLUMNS('DBX Sprint'!$A$1:A12)),"")</f>
        <v/>
      </c>
      <c r="I61" s="41" t="str" cm="1">
        <f t="array" ref="I61">IFERROR(INDEX('DBX Sprint'!$A$7:$K$62, SMALL(IF((INDEX('DBX Sprint'!$A$7:$K$62, ,16)=("Complete"))*(INDEX('DBX Sprint'!$A$7:$K$62, ,16)="Complete"),MATCH(ROW('DBX Sprint'!$A$7:$K$62),ROW('DBX Sprint'!$A$7:$K$62)),""),ROWS($I$34:I61)),COLUMNS('DBX Sprint'!$A$1:A12)),"")</f>
        <v/>
      </c>
      <c r="J61" s="41" t="str" cm="1">
        <f t="array" aca="1" ref="J61" ca="1">IFERROR(INDEX('DBX Sprint'!$A$7:$K$62, SMALL(IF((INDEX('DBX Sprint'!$A$7:$K$62, ,16)&lt;(TODAY()))*(INDEX('DBX Sprint'!$A$7:$K$62, ,16)&lt;&gt;"Complete"),MATCH(ROW('DBX Sprint'!$A$7:$K$62),ROW('DBX Sprint'!$A$7:$K$62)),""),ROWS($J$34:J61)),COLUMNS('DBX Sprint'!$A$1:A12)),"")</f>
        <v/>
      </c>
      <c r="K61" s="37" t="str" cm="1">
        <f t="array" aca="1" ref="K61" ca="1">IFERROR(INDEX('DBX Sprint'!$A$7:$K$62, SMALL(IF((INDEX('DBX Sprint'!$A$7:$K$62, ,16)&lt;=(TODAY()+1))*(INDEX('DBX Sprint'!$A$7:$K$62, ,16)&gt;=TODAY()),MATCH(ROW('DBX Sprint'!$A$7:$K$62),ROW('DBX Sprint'!$A$7:$K$62)),""),ROWS($K$34:K61)),COLUMNS('DBX Sprint'!$A$1:A12)),"")</f>
        <v/>
      </c>
      <c r="L61" s="38" t="str" cm="1">
        <f t="array" aca="1" ref="L61" ca="1">IFERROR(INDEX('DBX Sprint'!$A$7:$K$62, SMALL(IF((INDEX('DBX Sprint'!$A$7:$K$62, ,16)&lt;=(TODAY()+5))*(INDEX('DBX Sprint'!$A$7:$K$62, ,16)&gt;(TODAY()+1)),MATCH(ROW('DBX Sprint'!$A$7:$K$62),ROW('DBX Sprint'!$A$7:$K$62)),""),ROWS($L$34:L61)),COLUMNS('DBX Sprint'!$A$1:A12)),"")</f>
        <v/>
      </c>
      <c r="M61" s="43" t="str" cm="1">
        <f t="array" aca="1" ref="M61" ca="1">IFERROR(INDEX('DBX Sprint'!$A$7:$K$62, SMALL(IF((INDEX('DBX Sprint'!$A$7:$K$62, ,16)&lt;=(TODAY()+10))*(INDEX('DBX Sprint'!$A$7:$K$62, ,16)&gt;(TODAY()+5)),MATCH(ROW('DBX Sprint'!$A$7:$K$62),ROW('DBX Sprint'!$A$7:$K$62)),""),ROWS($M$34:M61)),COLUMNS('DBX Sprint'!$A$1:A12)),"")</f>
        <v/>
      </c>
      <c r="O61" s="41" t="str" cm="1">
        <f t="array" ref="O61">IFERROR(INDEX('DBX Sprint'!$A$7:$K$62, SMALL(IF((INDEX('DBX Sprint'!$A$7:$K$62, ,19)=("Complete"))*(INDEX('DBX Sprint'!$A$7:$K$62, ,19)="Complete"),MATCH(ROW('DBX Sprint'!$A$7:$K$62),ROW('DBX Sprint'!$A$7:$K$62)),""),ROWS($O$34:O61)),COLUMNS('DBX Sprint'!$A$1:A12)),"")</f>
        <v/>
      </c>
      <c r="P61" s="41" t="str" cm="1">
        <f t="array" aca="1" ref="P61" ca="1">IFERROR(INDEX('DBX Sprint'!$A$7:$K$62, SMALL(IF((INDEX('DBX Sprint'!$A$7:$K$62, ,19)&lt;(TODAY()))*(INDEX('DBX Sprint'!$A$7:$K$62, ,19)&lt;&gt;"Complete"),MATCH(ROW('DBX Sprint'!$A$7:$K$62),ROW('DBX Sprint'!$A$7:$K$62)),""),ROWS($P$34:P61)),COLUMNS('DBX Sprint'!$A$1:A12)),"")</f>
        <v/>
      </c>
      <c r="Q61" s="41" t="str" cm="1">
        <f t="array" aca="1" ref="Q61" ca="1">IFERROR(INDEX('DBX Sprint'!$A$7:$K$62, SMALL(IF((INDEX('DBX Sprint'!$A$7:$K$62, ,19)&lt;=(TODAY()+1))*(INDEX('DBX Sprint'!$A$7:$K$62, ,19)&gt;=TODAY()),MATCH(ROW('DBX Sprint'!$A$7:$K$62),ROW('DBX Sprint'!$A$7:$K$62)),""),ROWS($Q$34:Q61)),COLUMNS('DBX Sprint'!$A$1:A12)),"")</f>
        <v/>
      </c>
      <c r="R61" s="43" t="str" cm="1">
        <f t="array" aca="1" ref="R61" ca="1">IFERROR(INDEX('DBX Sprint'!$A$7:$K$62, SMALL(IF((INDEX('DBX Sprint'!$A$7:$K$62, ,19)&lt;=(TODAY()+5))*(INDEX('DBX Sprint'!$A$7:$K$62, ,19)&gt;(TODAY()+1)),MATCH(ROW('DBX Sprint'!$A$7:$K$62),ROW('DBX Sprint'!$A$7:$K$62)),""),ROWS($R$34:R61)),COLUMNS('DBX Sprint'!$A$1:A12)),"")</f>
        <v/>
      </c>
      <c r="S61" s="43" t="str" cm="1">
        <f t="array" aca="1" ref="S61" ca="1">IFERROR(INDEX('DBX Sprint'!$A$7:$K$62, SMALL(IF((INDEX('DBX Sprint'!$A$7:$K$62, ,19)&lt;=(TODAY()+10))*(INDEX('DBX Sprint'!$A$7:$K$62, ,19)&gt;(TODAY()+5)),MATCH(ROW('DBX Sprint'!$A$7:$K$62),ROW('DBX Sprint'!$A$7:$K$62)),""),ROWS($S$34:S61)),COLUMNS('DBX Sprint'!$A$1:A12)),"")</f>
        <v/>
      </c>
      <c r="U61" s="41" t="str" cm="1">
        <f t="array" ref="U61">IFERROR(INDEX('DBX Sprint'!$A$7:$K$62, SMALL(IF((INDEX('DBX Sprint'!$A$7:$K$62, ,22)=("Complete"))*(INDEX('DBX Sprint'!$A$7:$K$62, ,22)="Complete"),MATCH(ROW('DBX Sprint'!$A$7:$K$62),ROW('DBX Sprint'!$A$7:$K$62)),""),ROWS($U$34:U61)),COLUMNS('DBX Sprint'!$A$1:A12)),"")</f>
        <v/>
      </c>
      <c r="V61" s="41" t="str" cm="1">
        <f t="array" aca="1" ref="V61" ca="1">IFERROR(INDEX('DBX Sprint'!$A$7:$K$62, SMALL(IF((INDEX('DBX Sprint'!$A$7:$K$62, ,22)&lt;(TODAY()))*(INDEX('DBX Sprint'!$A$7:$K$62, ,22)&lt;&gt;"Complete"),MATCH(ROW('DBX Sprint'!$A$7:$K$62),ROW('DBX Sprint'!$A$7:$K$62)),""),ROWS($V$34:V61)),COLUMNS('DBX Sprint'!$A$1:A12)),"")</f>
        <v/>
      </c>
      <c r="W61" s="41" t="str" cm="1">
        <f t="array" aca="1" ref="W61" ca="1">IFERROR(INDEX('DBX Sprint'!$A$7:$K$62, SMALL(IF((INDEX('DBX Sprint'!$A$7:$K$62, ,22)&lt;=(TODAY()+1))*(INDEX('DBX Sprint'!$A$7:$K$62, ,22)&gt;=TODAY()),MATCH(ROW('DBX Sprint'!$A$7:$K$62),ROW('DBX Sprint'!$A$7:$K$62)),""),ROWS($W$34:W61)),COLUMNS('DBX Sprint'!$A$1:A12)),"")</f>
        <v/>
      </c>
      <c r="X61" s="43" t="str" cm="1">
        <f t="array" aca="1" ref="X61" ca="1">IFERROR(INDEX('DBX Sprint'!$A$7:$K$62, SMALL(IF((INDEX('DBX Sprint'!$A$7:$K$62, ,22)&lt;=(TODAY()+5))*(INDEX('DBX Sprint'!$A$7:$K$62, ,22)&gt;(TODAY()+1)),MATCH(ROW('DBX Sprint'!$A$7:$K$62),ROW('DBX Sprint'!$A$7:$K$62)),""),ROWS($X$34:X61)),COLUMNS('DBX Sprint'!$A$1:A12)),"")</f>
        <v/>
      </c>
      <c r="Y61" s="43" t="str" cm="1">
        <f t="array" aca="1" ref="Y61" ca="1">IFERROR(INDEX('DBX Sprint'!$A$7:$K$62, SMALL(IF((INDEX('DBX Sprint'!$A$7:$K$62, ,22)&lt;=(TODAY()+10))*(INDEX('DBX Sprint'!$A$7:$K$62, ,22)&gt;(TODAY()+5)),MATCH(ROW('DBX Sprint'!$A$7:$K$62),ROW('DBX Sprint'!$A$7:$K$62)),""),ROWS($Y$34:Y61)),COLUMNS('DBX Sprint'!$A$1:A12)),"")</f>
        <v/>
      </c>
      <c r="AA61" s="41" t="str" cm="1">
        <f t="array" ref="AA61">IFERROR(INDEX('DBX Sprint'!$A$7:$K$62, SMALL(IF((INDEX('DBX Sprint'!$A$7:$K$62, ,25)=("Complete"))*(INDEX('DBX Sprint'!$A$7:$K$62, ,25)="Complete"),MATCH(ROW('DBX Sprint'!$A$7:$K$62),ROW('DBX Sprint'!$A$7:$K$62)),""),ROWS($AA$34:AA61)),COLUMNS('DBX Sprint'!$A$1:A12)),"")</f>
        <v/>
      </c>
      <c r="AB61" s="41" t="str" cm="1">
        <f t="array" aca="1" ref="AB61" ca="1">IFERROR(INDEX('DBX Sprint'!$A$7:$K$62, SMALL(IF((INDEX('DBX Sprint'!$A$7:$K$62, ,25)&lt;(TODAY()))*(INDEX('DBX Sprint'!$A$7:$K$62, ,25)&lt;&gt;"Complete"),MATCH(ROW('DBX Sprint'!$A$7:$K$62),ROW('DBX Sprint'!$A$7:$K$62)),""),ROWS($AB$34:AB61)),COLUMNS('DBX Sprint'!$A$1:A12)),"")</f>
        <v/>
      </c>
      <c r="AC61" s="41" t="str" cm="1">
        <f t="array" aca="1" ref="AC61" ca="1">IFERROR(INDEX('DBX Sprint'!$A$7:$K$62, SMALL(IF((INDEX('DBX Sprint'!$A$7:$K$62, ,25)&lt;=(TODAY()+1))*(INDEX('DBX Sprint'!$A$7:$K$62, ,25)&gt;=TODAY()),MATCH(ROW('DBX Sprint'!$A$7:$K$62),ROW('DBX Sprint'!$A$7:$K$62)),""),ROWS($AC$34:AC61)),COLUMNS('DBX Sprint'!$A$1:A12)),"")</f>
        <v/>
      </c>
      <c r="AD61" s="43" t="str" cm="1">
        <f t="array" aca="1" ref="AD61" ca="1">IFERROR(INDEX('DBX Sprint'!$A$7:$K$62, SMALL(IF((INDEX('DBX Sprint'!$A$7:$K$62, ,25)&lt;=(TODAY()+5))*(INDEX('DBX Sprint'!$A$7:$K$62, ,25)&gt;(TODAY()+1)),MATCH(ROW('DBX Sprint'!$A$7:$K$62),ROW('DBX Sprint'!$A$7:$K$62)),""),ROWS($AD$34:AD61)),COLUMNS('DBX Sprint'!$A$1:A12)),"")</f>
        <v/>
      </c>
      <c r="AE61" s="43" t="str" cm="1">
        <f t="array" aca="1" ref="AE61" ca="1">IFERROR(INDEX('DBX Sprint'!$A$7:$K$62, SMALL(IF((INDEX('DBX Sprint'!$A$7:$K$62, ,25)&lt;=(TODAY()+10))*(INDEX('DBX Sprint'!$A$7:$K$62, ,25)&gt;(TODAY()+5)),MATCH(ROW('DBX Sprint'!$A$7:$K$62),ROW('DBX Sprint'!$A$7:$K$62)),""),ROWS($AE$34:AE61)),COLUMNS('DBX Sprint'!$A$1:A12)),"")</f>
        <v/>
      </c>
      <c r="AG61" s="41" t="str" cm="1">
        <f t="array" ref="AG61">IFERROR(INDEX('DBX Sprint'!$A$7:$K$62, SMALL(IF((INDEX('DBX Sprint'!$A$7:$K$62, ,29)=("Complete"))*(INDEX('DBX Sprint'!$A$7:$K$62, ,29)="Complete"),MATCH(ROW('DBX Sprint'!$A$7:$K$62),ROW('DBX Sprint'!$A$7:$K$62)),""),ROWS($AG$34:AG61)),COLUMNS('DBX Sprint'!$A$1:A12)),"")</f>
        <v/>
      </c>
      <c r="AH61" s="41" t="str" cm="1">
        <f t="array" aca="1" ref="AH61" ca="1">IFERROR(INDEX('DBX Sprint'!$A$7:$K$62, SMALL(IF((INDEX('DBX Sprint'!$A$7:$K$62, ,29)&lt;(TODAY()))*(INDEX('DBX Sprint'!$A$7:$K$62, ,29)&lt;&gt;"Complete"),MATCH(ROW('DBX Sprint'!$A$7:$K$62),ROW('DBX Sprint'!$A$7:$K$62)),""),ROWS($AH$34:AH61)),COLUMNS('DBX Sprint'!$A$1:A12)),"")</f>
        <v/>
      </c>
      <c r="AI61" s="41" t="str" cm="1">
        <f t="array" aca="1" ref="AI61" ca="1">IFERROR(INDEX('DBX Sprint'!$A$7:$K$62, SMALL(IF((INDEX('DBX Sprint'!$A$7:$K$62, ,29)&lt;=(TODAY()+1))*(INDEX('DBX Sprint'!$A$7:$K$62, ,29)&gt;=TODAY()),MATCH(ROW('DBX Sprint'!$A$7:$K$62),ROW('DBX Sprint'!$A$7:$K$62)),""),ROWS($AI$34:AI61)),COLUMNS('DBX Sprint'!$A$1:A12)),"")</f>
        <v/>
      </c>
      <c r="AJ61" s="43" t="str" cm="1">
        <f t="array" aca="1" ref="AJ61" ca="1">IFERROR(INDEX('DBX Sprint'!$A$7:$K$62, SMALL(IF((INDEX('DBX Sprint'!$A$7:$K$62, ,29)&lt;=(TODAY()+5))*(INDEX('DBX Sprint'!$A$7:$K$62, ,29)&gt;(TODAY()+1)),MATCH(ROW('DBX Sprint'!$A$7:$K$62),ROW('DBX Sprint'!$A$7:$K$62)),""),ROWS($AJ$34:AJ61)),COLUMNS('DBX Sprint'!$A$1:A12)),"")</f>
        <v/>
      </c>
      <c r="AK61" s="43" t="str" cm="1">
        <f t="array" aca="1" ref="AK61" ca="1">IFERROR(INDEX('DBX Sprint'!$A$7:$K$62, SMALL(IF((INDEX('DBX Sprint'!$A$7:$K$62, ,29)&lt;=(TODAY()+10))*(INDEX('DBX Sprint'!$A$7:$K$62, ,29)&gt;(TODAY()+5)),MATCH(ROW('DBX Sprint'!$A$7:$K$62),ROW('DBX Sprint'!$A$7:$K$62)),""),ROWS($AK$34:AK61)),COLUMNS('DBX Sprint'!$A$1:A12)),"")</f>
        <v/>
      </c>
      <c r="AM61" s="41" t="str" cm="1">
        <f t="array" ref="AM61">IFERROR(INDEX('DBX Sprint'!$A$7:$K$62, SMALL(IF((INDEX('DBX Sprint'!$A$7:$K$62, ,32)=("Complete"))*(INDEX('DBX Sprint'!$A$7:$K$62, ,32)="Complete"),MATCH(ROW('DBX Sprint'!$A$7:$K$62),ROW('DBX Sprint'!$A$7:$K$62)),""),ROWS($AM$34:AM61)),COLUMNS('DBX Sprint'!$A$1:A12)),"")</f>
        <v/>
      </c>
      <c r="AN61" s="41" t="str" cm="1">
        <f t="array" aca="1" ref="AN61" ca="1">IFERROR(INDEX('DBX Sprint'!$A$7:$K$62, SMALL(IF((INDEX('DBX Sprint'!$A$7:$K$62, ,32)&lt;(TODAY()))*(INDEX('DBX Sprint'!$A$7:$K$62, ,32)&lt;&gt;"Complete"),MATCH(ROW('DBX Sprint'!$A$7:$K$62),ROW('DBX Sprint'!$A$7:$K$62)),""),ROWS($AN$34:AN61)),COLUMNS('DBX Sprint'!$A$1:A12)),"")</f>
        <v/>
      </c>
      <c r="AO61" s="41" t="str" cm="1">
        <f t="array" aca="1" ref="AO61" ca="1">IFERROR(INDEX('DBX Sprint'!$A$7:$K$62, SMALL(IF((INDEX('DBX Sprint'!$A$7:$K$62, ,32)&lt;=(TODAY()+1))*(INDEX('DBX Sprint'!$A$7:$K$62, ,32)&gt;=TODAY()),MATCH(ROW('DBX Sprint'!$A$7:$K$62),ROW('DBX Sprint'!$A$7:$K$62)),""),ROWS($AO$34:AO61)),COLUMNS('DBX Sprint'!$A$1:A12)),"")</f>
        <v/>
      </c>
      <c r="AP61" s="43" t="str" cm="1">
        <f t="array" aca="1" ref="AP61" ca="1">IFERROR(INDEX('DBX Sprint'!$A$7:$K$62, SMALL(IF((INDEX('DBX Sprint'!$A$7:$K$62, ,32)&lt;=(TODAY()+5))*(INDEX('DBX Sprint'!$A$7:$K$62, ,32)&gt;(TODAY()+1)),MATCH(ROW('DBX Sprint'!$A$7:$K$62),ROW('DBX Sprint'!$A$7:$K$62)),""),ROWS($AP$34:AP61)),COLUMNS('DBX Sprint'!$A$1:A12)),"")</f>
        <v/>
      </c>
      <c r="AQ61" s="43" t="str" cm="1">
        <f t="array" aca="1" ref="AQ61" ca="1">IFERROR(INDEX('DBX Sprint'!$A$7:$K$62, SMALL(IF((INDEX('DBX Sprint'!$A$7:$K$62, ,32)&lt;=(TODAY()+10))*(INDEX('DBX Sprint'!$A$7:$K$62, ,32)&gt;(TODAY()+5)),MATCH(ROW('DBX Sprint'!$A$7:$K$62),ROW('DBX Sprint'!$A$7:$K$62)),""),ROWS($AQ$34:AQ61)),COLUMNS('DBX Sprint'!$A$1:A12)),"")</f>
        <v/>
      </c>
    </row>
    <row r="62" spans="3:43" ht="30" customHeight="1">
      <c r="C62" s="41" t="str" cm="1">
        <f t="array" ref="C62">IFERROR(INDEX('DBX Sprint'!$A$7:$K$62, SMALL(IF((INDEX('DBX Sprint'!$A$7:$K$62, ,13)=("Complete"))*(INDEX('DBX Sprint'!$A$7:$K$62, ,13)="Complete"),MATCH(ROW('DBX Sprint'!$A$7:$K$62),ROW('DBX Sprint'!$A$7:$K$62)),""),ROWS(C$34:$C62)),COLUMNS('DBX Sprint'!$A$1:A12)),"")</f>
        <v/>
      </c>
      <c r="D62" s="41" t="str" cm="1">
        <f t="array" aca="1" ref="D62" ca="1">IFERROR(INDEX('DBX Sprint'!$A$7:$K$62, SMALL(IF((INDEX('DBX Sprint'!$A$7:$K$62, ,13)&lt;(TODAY()))*(INDEX('DBX Sprint'!$A$7:$K$62, ,13)&lt;&gt;"Complete"),MATCH(ROW('DBX Sprint'!$A$7:$K$62),ROW('DBX Sprint'!$A$7:$K$62)),""),ROWS(D$34:$D62)),COLUMNS('DBX Sprint'!$A$1:A12)),"")</f>
        <v/>
      </c>
      <c r="E62" s="41" t="str" cm="1">
        <f t="array" aca="1" ref="E62" ca="1">IFERROR(INDEX('DBX Sprint'!$A$7:$K$62, SMALL(IF((INDEX('DBX Sprint'!$A$7:$K$62, ,13)&lt;=(TODAY()+1))*(INDEX('DBX Sprint'!$A$7:$K$62, ,13)&gt;=TODAY()),MATCH(ROW('DBX Sprint'!$A$7:$K$62),ROW('DBX Sprint'!$A$7:$K$62)),""),ROWS(E$34:$E62)),COLUMNS('DBX Sprint'!$A$1:A12)),"")</f>
        <v/>
      </c>
      <c r="F62" s="43" t="str" cm="1">
        <f t="array" aca="1" ref="F62" ca="1">IFERROR(INDEX('DBX Sprint'!$A$7:$K$62, SMALL(IF((INDEX('DBX Sprint'!$A$7:$K$62, ,13)&lt;=(TODAY()+5))*(INDEX('DBX Sprint'!$A$7:$K$62, ,13)&gt;(TODAY()+1)),MATCH(ROW('DBX Sprint'!$A$7:$K$62),ROW('DBX Sprint'!$A$7:$K$62)),""),ROWS($F$34:F62)),COLUMNS('DBX Sprint'!$A$1:A12)),"")</f>
        <v/>
      </c>
      <c r="G62" s="43" t="str" cm="1">
        <f t="array" aca="1" ref="G62" ca="1">IFERROR(INDEX('DBX Sprint'!$A$7:$K$62, SMALL(IF((INDEX('DBX Sprint'!$A$7:$K$62, ,13)&lt;=(TODAY()+10))*(INDEX('DBX Sprint'!$A$7:$K$62, ,13)&gt;(TODAY()+5)),MATCH(ROW('DBX Sprint'!$A$7:$K$62),ROW('DBX Sprint'!$A$7:$K$62)),""),ROWS($G$34:G62)),COLUMNS('DBX Sprint'!$A$1:A12)),"")</f>
        <v/>
      </c>
      <c r="I62" s="41" t="str" cm="1">
        <f t="array" ref="I62">IFERROR(INDEX('DBX Sprint'!$A$7:$K$62, SMALL(IF((INDEX('DBX Sprint'!$A$7:$K$62, ,16)=("Complete"))*(INDEX('DBX Sprint'!$A$7:$K$62, ,16)="Complete"),MATCH(ROW('DBX Sprint'!$A$7:$K$62),ROW('DBX Sprint'!$A$7:$K$62)),""),ROWS($I$34:I62)),COLUMNS('DBX Sprint'!$A$1:A12)),"")</f>
        <v/>
      </c>
      <c r="J62" s="41" t="str" cm="1">
        <f t="array" aca="1" ref="J62" ca="1">IFERROR(INDEX('DBX Sprint'!$A$7:$K$62, SMALL(IF((INDEX('DBX Sprint'!$A$7:$K$62, ,16)&lt;(TODAY()))*(INDEX('DBX Sprint'!$A$7:$K$62, ,16)&lt;&gt;"Complete"),MATCH(ROW('DBX Sprint'!$A$7:$K$62),ROW('DBX Sprint'!$A$7:$K$62)),""),ROWS($J$34:J62)),COLUMNS('DBX Sprint'!$A$1:A12)),"")</f>
        <v/>
      </c>
      <c r="K62" s="37" t="str" cm="1">
        <f t="array" aca="1" ref="K62" ca="1">IFERROR(INDEX('DBX Sprint'!$A$7:$K$62, SMALL(IF((INDEX('DBX Sprint'!$A$7:$K$62, ,16)&lt;=(TODAY()+1))*(INDEX('DBX Sprint'!$A$7:$K$62, ,16)&gt;=TODAY()),MATCH(ROW('DBX Sprint'!$A$7:$K$62),ROW('DBX Sprint'!$A$7:$K$62)),""),ROWS($K$34:K62)),COLUMNS('DBX Sprint'!$A$1:A12)),"")</f>
        <v/>
      </c>
      <c r="L62" s="38" t="str" cm="1">
        <f t="array" aca="1" ref="L62" ca="1">IFERROR(INDEX('DBX Sprint'!$A$7:$K$62, SMALL(IF((INDEX('DBX Sprint'!$A$7:$K$62, ,16)&lt;=(TODAY()+5))*(INDEX('DBX Sprint'!$A$7:$K$62, ,16)&gt;(TODAY()+1)),MATCH(ROW('DBX Sprint'!$A$7:$K$62),ROW('DBX Sprint'!$A$7:$K$62)),""),ROWS($L$34:L62)),COLUMNS('DBX Sprint'!$A$1:A12)),"")</f>
        <v/>
      </c>
      <c r="M62" s="43" t="str" cm="1">
        <f t="array" aca="1" ref="M62" ca="1">IFERROR(INDEX('DBX Sprint'!$A$7:$K$62, SMALL(IF((INDEX('DBX Sprint'!$A$7:$K$62, ,16)&lt;=(TODAY()+10))*(INDEX('DBX Sprint'!$A$7:$K$62, ,16)&gt;(TODAY()+5)),MATCH(ROW('DBX Sprint'!$A$7:$K$62),ROW('DBX Sprint'!$A$7:$K$62)),""),ROWS($M$34:M62)),COLUMNS('DBX Sprint'!$A$1:A12)),"")</f>
        <v/>
      </c>
      <c r="O62" s="41" t="str" cm="1">
        <f t="array" ref="O62">IFERROR(INDEX('DBX Sprint'!$A$7:$K$62, SMALL(IF((INDEX('DBX Sprint'!$A$7:$K$62, ,19)=("Complete"))*(INDEX('DBX Sprint'!$A$7:$K$62, ,19)="Complete"),MATCH(ROW('DBX Sprint'!$A$7:$K$62),ROW('DBX Sprint'!$A$7:$K$62)),""),ROWS($O$34:O62)),COLUMNS('DBX Sprint'!$A$1:A12)),"")</f>
        <v/>
      </c>
      <c r="P62" s="41" t="str" cm="1">
        <f t="array" aca="1" ref="P62" ca="1">IFERROR(INDEX('DBX Sprint'!$A$7:$K$62, SMALL(IF((INDEX('DBX Sprint'!$A$7:$K$62, ,19)&lt;(TODAY()))*(INDEX('DBX Sprint'!$A$7:$K$62, ,19)&lt;&gt;"Complete"),MATCH(ROW('DBX Sprint'!$A$7:$K$62),ROW('DBX Sprint'!$A$7:$K$62)),""),ROWS($P$34:P62)),COLUMNS('DBX Sprint'!$A$1:A12)),"")</f>
        <v/>
      </c>
      <c r="Q62" s="41" t="str" cm="1">
        <f t="array" aca="1" ref="Q62" ca="1">IFERROR(INDEX('DBX Sprint'!$A$7:$K$62, SMALL(IF((INDEX('DBX Sprint'!$A$7:$K$62, ,19)&lt;=(TODAY()+1))*(INDEX('DBX Sprint'!$A$7:$K$62, ,19)&gt;=TODAY()),MATCH(ROW('DBX Sprint'!$A$7:$K$62),ROW('DBX Sprint'!$A$7:$K$62)),""),ROWS($Q$34:Q62)),COLUMNS('DBX Sprint'!$A$1:A12)),"")</f>
        <v/>
      </c>
      <c r="R62" s="43" t="str" cm="1">
        <f t="array" aca="1" ref="R62" ca="1">IFERROR(INDEX('DBX Sprint'!$A$7:$K$62, SMALL(IF((INDEX('DBX Sprint'!$A$7:$K$62, ,19)&lt;=(TODAY()+5))*(INDEX('DBX Sprint'!$A$7:$K$62, ,19)&gt;(TODAY()+1)),MATCH(ROW('DBX Sprint'!$A$7:$K$62),ROW('DBX Sprint'!$A$7:$K$62)),""),ROWS($R$34:R62)),COLUMNS('DBX Sprint'!$A$1:A12)),"")</f>
        <v/>
      </c>
      <c r="S62" s="43" t="str" cm="1">
        <f t="array" aca="1" ref="S62" ca="1">IFERROR(INDEX('DBX Sprint'!$A$7:$K$62, SMALL(IF((INDEX('DBX Sprint'!$A$7:$K$62, ,19)&lt;=(TODAY()+10))*(INDEX('DBX Sprint'!$A$7:$K$62, ,19)&gt;(TODAY()+5)),MATCH(ROW('DBX Sprint'!$A$7:$K$62),ROW('DBX Sprint'!$A$7:$K$62)),""),ROWS($S$34:S62)),COLUMNS('DBX Sprint'!$A$1:A12)),"")</f>
        <v/>
      </c>
      <c r="U62" s="41" t="str" cm="1">
        <f t="array" ref="U62">IFERROR(INDEX('DBX Sprint'!$A$7:$K$62, SMALL(IF((INDEX('DBX Sprint'!$A$7:$K$62, ,22)=("Complete"))*(INDEX('DBX Sprint'!$A$7:$K$62, ,22)="Complete"),MATCH(ROW('DBX Sprint'!$A$7:$K$62),ROW('DBX Sprint'!$A$7:$K$62)),""),ROWS($U$34:U62)),COLUMNS('DBX Sprint'!$A$1:A12)),"")</f>
        <v/>
      </c>
      <c r="V62" s="41" t="str" cm="1">
        <f t="array" aca="1" ref="V62" ca="1">IFERROR(INDEX('DBX Sprint'!$A$7:$K$62, SMALL(IF((INDEX('DBX Sprint'!$A$7:$K$62, ,22)&lt;(TODAY()))*(INDEX('DBX Sprint'!$A$7:$K$62, ,22)&lt;&gt;"Complete"),MATCH(ROW('DBX Sprint'!$A$7:$K$62),ROW('DBX Sprint'!$A$7:$K$62)),""),ROWS($V$34:V62)),COLUMNS('DBX Sprint'!$A$1:A12)),"")</f>
        <v/>
      </c>
      <c r="W62" s="41" t="str" cm="1">
        <f t="array" aca="1" ref="W62" ca="1">IFERROR(INDEX('DBX Sprint'!$A$7:$K$62, SMALL(IF((INDEX('DBX Sprint'!$A$7:$K$62, ,22)&lt;=(TODAY()+1))*(INDEX('DBX Sprint'!$A$7:$K$62, ,22)&gt;=TODAY()),MATCH(ROW('DBX Sprint'!$A$7:$K$62),ROW('DBX Sprint'!$A$7:$K$62)),""),ROWS($W$34:W62)),COLUMNS('DBX Sprint'!$A$1:A12)),"")</f>
        <v/>
      </c>
      <c r="X62" s="43" t="str" cm="1">
        <f t="array" aca="1" ref="X62" ca="1">IFERROR(INDEX('DBX Sprint'!$A$7:$K$62, SMALL(IF((INDEX('DBX Sprint'!$A$7:$K$62, ,22)&lt;=(TODAY()+5))*(INDEX('DBX Sprint'!$A$7:$K$62, ,22)&gt;(TODAY()+1)),MATCH(ROW('DBX Sprint'!$A$7:$K$62),ROW('DBX Sprint'!$A$7:$K$62)),""),ROWS($X$34:X62)),COLUMNS('DBX Sprint'!$A$1:A12)),"")</f>
        <v/>
      </c>
      <c r="Y62" s="43" t="str" cm="1">
        <f t="array" aca="1" ref="Y62" ca="1">IFERROR(INDEX('DBX Sprint'!$A$7:$K$62, SMALL(IF((INDEX('DBX Sprint'!$A$7:$K$62, ,22)&lt;=(TODAY()+10))*(INDEX('DBX Sprint'!$A$7:$K$62, ,22)&gt;(TODAY()+5)),MATCH(ROW('DBX Sprint'!$A$7:$K$62),ROW('DBX Sprint'!$A$7:$K$62)),""),ROWS($Y$34:Y62)),COLUMNS('DBX Sprint'!$A$1:A12)),"")</f>
        <v/>
      </c>
      <c r="AA62" s="41" t="str" cm="1">
        <f t="array" ref="AA62">IFERROR(INDEX('DBX Sprint'!$A$7:$K$62, SMALL(IF((INDEX('DBX Sprint'!$A$7:$K$62, ,25)=("Complete"))*(INDEX('DBX Sprint'!$A$7:$K$62, ,25)="Complete"),MATCH(ROW('DBX Sprint'!$A$7:$K$62),ROW('DBX Sprint'!$A$7:$K$62)),""),ROWS($AA$34:AA62)),COLUMNS('DBX Sprint'!$A$1:A12)),"")</f>
        <v/>
      </c>
      <c r="AB62" s="41" t="str" cm="1">
        <f t="array" aca="1" ref="AB62" ca="1">IFERROR(INDEX('DBX Sprint'!$A$7:$K$62, SMALL(IF((INDEX('DBX Sprint'!$A$7:$K$62, ,25)&lt;(TODAY()))*(INDEX('DBX Sprint'!$A$7:$K$62, ,25)&lt;&gt;"Complete"),MATCH(ROW('DBX Sprint'!$A$7:$K$62),ROW('DBX Sprint'!$A$7:$K$62)),""),ROWS($AB$34:AB62)),COLUMNS('DBX Sprint'!$A$1:A12)),"")</f>
        <v/>
      </c>
      <c r="AC62" s="41" t="str" cm="1">
        <f t="array" aca="1" ref="AC62" ca="1">IFERROR(INDEX('DBX Sprint'!$A$7:$K$62, SMALL(IF((INDEX('DBX Sprint'!$A$7:$K$62, ,25)&lt;=(TODAY()+1))*(INDEX('DBX Sprint'!$A$7:$K$62, ,25)&gt;=TODAY()),MATCH(ROW('DBX Sprint'!$A$7:$K$62),ROW('DBX Sprint'!$A$7:$K$62)),""),ROWS($AC$34:AC62)),COLUMNS('DBX Sprint'!$A$1:A12)),"")</f>
        <v/>
      </c>
      <c r="AD62" s="43" t="str" cm="1">
        <f t="array" aca="1" ref="AD62" ca="1">IFERROR(INDEX('DBX Sprint'!$A$7:$K$62, SMALL(IF((INDEX('DBX Sprint'!$A$7:$K$62, ,25)&lt;=(TODAY()+5))*(INDEX('DBX Sprint'!$A$7:$K$62, ,25)&gt;(TODAY()+1)),MATCH(ROW('DBX Sprint'!$A$7:$K$62),ROW('DBX Sprint'!$A$7:$K$62)),""),ROWS($AD$34:AD62)),COLUMNS('DBX Sprint'!$A$1:A12)),"")</f>
        <v/>
      </c>
      <c r="AE62" s="43" t="str" cm="1">
        <f t="array" aca="1" ref="AE62" ca="1">IFERROR(INDEX('DBX Sprint'!$A$7:$K$62, SMALL(IF((INDEX('DBX Sprint'!$A$7:$K$62, ,25)&lt;=(TODAY()+10))*(INDEX('DBX Sprint'!$A$7:$K$62, ,25)&gt;(TODAY()+5)),MATCH(ROW('DBX Sprint'!$A$7:$K$62),ROW('DBX Sprint'!$A$7:$K$62)),""),ROWS($AE$34:AE62)),COLUMNS('DBX Sprint'!$A$1:A12)),"")</f>
        <v/>
      </c>
      <c r="AG62" s="41" t="str" cm="1">
        <f t="array" ref="AG62">IFERROR(INDEX('DBX Sprint'!$A$7:$K$62, SMALL(IF((INDEX('DBX Sprint'!$A$7:$K$62, ,29)=("Complete"))*(INDEX('DBX Sprint'!$A$7:$K$62, ,29)="Complete"),MATCH(ROW('DBX Sprint'!$A$7:$K$62),ROW('DBX Sprint'!$A$7:$K$62)),""),ROWS($AG$34:AG62)),COLUMNS('DBX Sprint'!$A$1:A12)),"")</f>
        <v/>
      </c>
      <c r="AH62" s="41" t="str" cm="1">
        <f t="array" aca="1" ref="AH62" ca="1">IFERROR(INDEX('DBX Sprint'!$A$7:$K$62, SMALL(IF((INDEX('DBX Sprint'!$A$7:$K$62, ,29)&lt;(TODAY()))*(INDEX('DBX Sprint'!$A$7:$K$62, ,29)&lt;&gt;"Complete"),MATCH(ROW('DBX Sprint'!$A$7:$K$62),ROW('DBX Sprint'!$A$7:$K$62)),""),ROWS($AH$34:AH62)),COLUMNS('DBX Sprint'!$A$1:A12)),"")</f>
        <v/>
      </c>
      <c r="AI62" s="41" t="str" cm="1">
        <f t="array" aca="1" ref="AI62" ca="1">IFERROR(INDEX('DBX Sprint'!$A$7:$K$62, SMALL(IF((INDEX('DBX Sprint'!$A$7:$K$62, ,29)&lt;=(TODAY()+1))*(INDEX('DBX Sprint'!$A$7:$K$62, ,29)&gt;=TODAY()),MATCH(ROW('DBX Sprint'!$A$7:$K$62),ROW('DBX Sprint'!$A$7:$K$62)),""),ROWS($AI$34:AI62)),COLUMNS('DBX Sprint'!$A$1:A12)),"")</f>
        <v/>
      </c>
      <c r="AJ62" s="43" t="str" cm="1">
        <f t="array" aca="1" ref="AJ62" ca="1">IFERROR(INDEX('DBX Sprint'!$A$7:$K$62, SMALL(IF((INDEX('DBX Sprint'!$A$7:$K$62, ,29)&lt;=(TODAY()+5))*(INDEX('DBX Sprint'!$A$7:$K$62, ,29)&gt;(TODAY()+1)),MATCH(ROW('DBX Sprint'!$A$7:$K$62),ROW('DBX Sprint'!$A$7:$K$62)),""),ROWS($AJ$34:AJ62)),COLUMNS('DBX Sprint'!$A$1:A12)),"")</f>
        <v/>
      </c>
      <c r="AK62" s="43" t="str" cm="1">
        <f t="array" aca="1" ref="AK62" ca="1">IFERROR(INDEX('DBX Sprint'!$A$7:$K$62, SMALL(IF((INDEX('DBX Sprint'!$A$7:$K$62, ,29)&lt;=(TODAY()+10))*(INDEX('DBX Sprint'!$A$7:$K$62, ,29)&gt;(TODAY()+5)),MATCH(ROW('DBX Sprint'!$A$7:$K$62),ROW('DBX Sprint'!$A$7:$K$62)),""),ROWS($AK$34:AK62)),COLUMNS('DBX Sprint'!$A$1:A12)),"")</f>
        <v/>
      </c>
      <c r="AM62" s="41" t="str" cm="1">
        <f t="array" ref="AM62">IFERROR(INDEX('DBX Sprint'!$A$7:$K$62, SMALL(IF((INDEX('DBX Sprint'!$A$7:$K$62, ,32)=("Complete"))*(INDEX('DBX Sprint'!$A$7:$K$62, ,32)="Complete"),MATCH(ROW('DBX Sprint'!$A$7:$K$62),ROW('DBX Sprint'!$A$7:$K$62)),""),ROWS($AM$34:AM62)),COLUMNS('DBX Sprint'!$A$1:A12)),"")</f>
        <v/>
      </c>
      <c r="AN62" s="41" t="str" cm="1">
        <f t="array" aca="1" ref="AN62" ca="1">IFERROR(INDEX('DBX Sprint'!$A$7:$K$62, SMALL(IF((INDEX('DBX Sprint'!$A$7:$K$62, ,32)&lt;(TODAY()))*(INDEX('DBX Sprint'!$A$7:$K$62, ,32)&lt;&gt;"Complete"),MATCH(ROW('DBX Sprint'!$A$7:$K$62),ROW('DBX Sprint'!$A$7:$K$62)),""),ROWS($AN$34:AN62)),COLUMNS('DBX Sprint'!$A$1:A12)),"")</f>
        <v/>
      </c>
      <c r="AO62" s="41" t="str" cm="1">
        <f t="array" aca="1" ref="AO62" ca="1">IFERROR(INDEX('DBX Sprint'!$A$7:$K$62, SMALL(IF((INDEX('DBX Sprint'!$A$7:$K$62, ,32)&lt;=(TODAY()+1))*(INDEX('DBX Sprint'!$A$7:$K$62, ,32)&gt;=TODAY()),MATCH(ROW('DBX Sprint'!$A$7:$K$62),ROW('DBX Sprint'!$A$7:$K$62)),""),ROWS($AO$34:AO62)),COLUMNS('DBX Sprint'!$A$1:A12)),"")</f>
        <v/>
      </c>
      <c r="AP62" s="43" t="str" cm="1">
        <f t="array" aca="1" ref="AP62" ca="1">IFERROR(INDEX('DBX Sprint'!$A$7:$K$62, SMALL(IF((INDEX('DBX Sprint'!$A$7:$K$62, ,32)&lt;=(TODAY()+5))*(INDEX('DBX Sprint'!$A$7:$K$62, ,32)&gt;(TODAY()+1)),MATCH(ROW('DBX Sprint'!$A$7:$K$62),ROW('DBX Sprint'!$A$7:$K$62)),""),ROWS($AP$34:AP62)),COLUMNS('DBX Sprint'!$A$1:A12)),"")</f>
        <v/>
      </c>
      <c r="AQ62" s="43" t="str" cm="1">
        <f t="array" aca="1" ref="AQ62" ca="1">IFERROR(INDEX('DBX Sprint'!$A$7:$K$62, SMALL(IF((INDEX('DBX Sprint'!$A$7:$K$62, ,32)&lt;=(TODAY()+10))*(INDEX('DBX Sprint'!$A$7:$K$62, ,32)&gt;(TODAY()+5)),MATCH(ROW('DBX Sprint'!$A$7:$K$62),ROW('DBX Sprint'!$A$7:$K$62)),""),ROWS($AQ$34:AQ62)),COLUMNS('DBX Sprint'!$A$1:A12)),"")</f>
        <v/>
      </c>
    </row>
    <row r="63" spans="3:43" ht="30" customHeight="1">
      <c r="C63" s="41" t="str" cm="1">
        <f t="array" ref="C63">IFERROR(INDEX('DBX Sprint'!$A$7:$K$62, SMALL(IF((INDEX('DBX Sprint'!$A$7:$K$62, ,13)=("Complete"))*(INDEX('DBX Sprint'!$A$7:$K$62, ,13)="Complete"),MATCH(ROW('DBX Sprint'!$A$7:$K$62),ROW('DBX Sprint'!$A$7:$K$62)),""),ROWS(C$34:$C63)),COLUMNS('DBX Sprint'!$A$1:A12)),"")</f>
        <v/>
      </c>
      <c r="D63" s="41" t="str" cm="1">
        <f t="array" aca="1" ref="D63" ca="1">IFERROR(INDEX('DBX Sprint'!$A$7:$K$62, SMALL(IF((INDEX('DBX Sprint'!$A$7:$K$62, ,13)&lt;(TODAY()))*(INDEX('DBX Sprint'!$A$7:$K$62, ,13)&lt;&gt;"Complete"),MATCH(ROW('DBX Sprint'!$A$7:$K$62),ROW('DBX Sprint'!$A$7:$K$62)),""),ROWS(D$34:$D63)),COLUMNS('DBX Sprint'!$A$1:A12)),"")</f>
        <v/>
      </c>
      <c r="E63" s="41" t="str" cm="1">
        <f t="array" aca="1" ref="E63" ca="1">IFERROR(INDEX('DBX Sprint'!$A$7:$K$62, SMALL(IF((INDEX('DBX Sprint'!$A$7:$K$62, ,13)&lt;=(TODAY()+1))*(INDEX('DBX Sprint'!$A$7:$K$62, ,13)&gt;=TODAY()),MATCH(ROW('DBX Sprint'!$A$7:$K$62),ROW('DBX Sprint'!$A$7:$K$62)),""),ROWS(E$34:$E63)),COLUMNS('DBX Sprint'!$A$1:A12)),"")</f>
        <v/>
      </c>
      <c r="F63" s="43" t="str" cm="1">
        <f t="array" aca="1" ref="F63" ca="1">IFERROR(INDEX('DBX Sprint'!$A$7:$K$62, SMALL(IF((INDEX('DBX Sprint'!$A$7:$K$62, ,13)&lt;=(TODAY()+5))*(INDEX('DBX Sprint'!$A$7:$K$62, ,13)&gt;(TODAY()+1)),MATCH(ROW('DBX Sprint'!$A$7:$K$62),ROW('DBX Sprint'!$A$7:$K$62)),""),ROWS($F$34:F63)),COLUMNS('DBX Sprint'!$A$1:A12)),"")</f>
        <v/>
      </c>
      <c r="G63" s="43" t="str" cm="1">
        <f t="array" aca="1" ref="G63" ca="1">IFERROR(INDEX('DBX Sprint'!$A$7:$K$62, SMALL(IF((INDEX('DBX Sprint'!$A$7:$K$62, ,13)&lt;=(TODAY()+10))*(INDEX('DBX Sprint'!$A$7:$K$62, ,13)&gt;(TODAY()+5)),MATCH(ROW('DBX Sprint'!$A$7:$K$62),ROW('DBX Sprint'!$A$7:$K$62)),""),ROWS($G$34:G63)),COLUMNS('DBX Sprint'!$A$1:A12)),"")</f>
        <v/>
      </c>
      <c r="I63" s="41" t="str" cm="1">
        <f t="array" ref="I63">IFERROR(INDEX('DBX Sprint'!$A$7:$K$62, SMALL(IF((INDEX('DBX Sprint'!$A$7:$K$62, ,16)=("Complete"))*(INDEX('DBX Sprint'!$A$7:$K$62, ,16)="Complete"),MATCH(ROW('DBX Sprint'!$A$7:$K$62),ROW('DBX Sprint'!$A$7:$K$62)),""),ROWS($I$34:I63)),COLUMNS('DBX Sprint'!$A$1:A12)),"")</f>
        <v/>
      </c>
      <c r="J63" s="41" t="str" cm="1">
        <f t="array" aca="1" ref="J63" ca="1">IFERROR(INDEX('DBX Sprint'!$A$7:$K$62, SMALL(IF((INDEX('DBX Sprint'!$A$7:$K$62, ,16)&lt;(TODAY()))*(INDEX('DBX Sprint'!$A$7:$K$62, ,16)&lt;&gt;"Complete"),MATCH(ROW('DBX Sprint'!$A$7:$K$62),ROW('DBX Sprint'!$A$7:$K$62)),""),ROWS($J$34:J63)),COLUMNS('DBX Sprint'!$A$1:A12)),"")</f>
        <v/>
      </c>
      <c r="K63" s="37" t="str" cm="1">
        <f t="array" aca="1" ref="K63" ca="1">IFERROR(INDEX('DBX Sprint'!$A$7:$K$62, SMALL(IF((INDEX('DBX Sprint'!$A$7:$K$62, ,16)&lt;=(TODAY()+1))*(INDEX('DBX Sprint'!$A$7:$K$62, ,16)&gt;=TODAY()),MATCH(ROW('DBX Sprint'!$A$7:$K$62),ROW('DBX Sprint'!$A$7:$K$62)),""),ROWS($K$34:K63)),COLUMNS('DBX Sprint'!$A$1:A12)),"")</f>
        <v/>
      </c>
      <c r="L63" s="38" t="str" cm="1">
        <f t="array" aca="1" ref="L63" ca="1">IFERROR(INDEX('DBX Sprint'!$A$7:$K$62, SMALL(IF((INDEX('DBX Sprint'!$A$7:$K$62, ,16)&lt;=(TODAY()+5))*(INDEX('DBX Sprint'!$A$7:$K$62, ,16)&gt;(TODAY()+1)),MATCH(ROW('DBX Sprint'!$A$7:$K$62),ROW('DBX Sprint'!$A$7:$K$62)),""),ROWS($L$34:L63)),COLUMNS('DBX Sprint'!$A$1:A12)),"")</f>
        <v/>
      </c>
      <c r="M63" s="43" t="str" cm="1">
        <f t="array" aca="1" ref="M63" ca="1">IFERROR(INDEX('DBX Sprint'!$A$7:$K$62, SMALL(IF((INDEX('DBX Sprint'!$A$7:$K$62, ,16)&lt;=(TODAY()+10))*(INDEX('DBX Sprint'!$A$7:$K$62, ,16)&gt;(TODAY()+5)),MATCH(ROW('DBX Sprint'!$A$7:$K$62),ROW('DBX Sprint'!$A$7:$K$62)),""),ROWS($M$34:M63)),COLUMNS('DBX Sprint'!$A$1:A12)),"")</f>
        <v/>
      </c>
      <c r="O63" s="41" t="str" cm="1">
        <f t="array" ref="O63">IFERROR(INDEX('DBX Sprint'!$A$7:$K$62, SMALL(IF((INDEX('DBX Sprint'!$A$7:$K$62, ,19)=("Complete"))*(INDEX('DBX Sprint'!$A$7:$K$62, ,19)="Complete"),MATCH(ROW('DBX Sprint'!$A$7:$K$62),ROW('DBX Sprint'!$A$7:$K$62)),""),ROWS($O$34:O63)),COLUMNS('DBX Sprint'!$A$1:A12)),"")</f>
        <v/>
      </c>
      <c r="P63" s="41" t="str" cm="1">
        <f t="array" aca="1" ref="P63" ca="1">IFERROR(INDEX('DBX Sprint'!$A$7:$K$62, SMALL(IF((INDEX('DBX Sprint'!$A$7:$K$62, ,19)&lt;(TODAY()))*(INDEX('DBX Sprint'!$A$7:$K$62, ,19)&lt;&gt;"Complete"),MATCH(ROW('DBX Sprint'!$A$7:$K$62),ROW('DBX Sprint'!$A$7:$K$62)),""),ROWS($P$34:P63)),COLUMNS('DBX Sprint'!$A$1:A12)),"")</f>
        <v/>
      </c>
      <c r="Q63" s="41" t="str" cm="1">
        <f t="array" aca="1" ref="Q63" ca="1">IFERROR(INDEX('DBX Sprint'!$A$7:$K$62, SMALL(IF((INDEX('DBX Sprint'!$A$7:$K$62, ,19)&lt;=(TODAY()+1))*(INDEX('DBX Sprint'!$A$7:$K$62, ,19)&gt;=TODAY()),MATCH(ROW('DBX Sprint'!$A$7:$K$62),ROW('DBX Sprint'!$A$7:$K$62)),""),ROWS($Q$34:Q63)),COLUMNS('DBX Sprint'!$A$1:A12)),"")</f>
        <v/>
      </c>
      <c r="R63" s="43" t="str" cm="1">
        <f t="array" aca="1" ref="R63" ca="1">IFERROR(INDEX('DBX Sprint'!$A$7:$K$62, SMALL(IF((INDEX('DBX Sprint'!$A$7:$K$62, ,19)&lt;=(TODAY()+5))*(INDEX('DBX Sprint'!$A$7:$K$62, ,19)&gt;(TODAY()+1)),MATCH(ROW('DBX Sprint'!$A$7:$K$62),ROW('DBX Sprint'!$A$7:$K$62)),""),ROWS($R$34:R63)),COLUMNS('DBX Sprint'!$A$1:A12)),"")</f>
        <v/>
      </c>
      <c r="S63" s="43" t="str" cm="1">
        <f t="array" aca="1" ref="S63" ca="1">IFERROR(INDEX('DBX Sprint'!$A$7:$K$62, SMALL(IF((INDEX('DBX Sprint'!$A$7:$K$62, ,19)&lt;=(TODAY()+10))*(INDEX('DBX Sprint'!$A$7:$K$62, ,19)&gt;(TODAY()+5)),MATCH(ROW('DBX Sprint'!$A$7:$K$62),ROW('DBX Sprint'!$A$7:$K$62)),""),ROWS($S$34:S63)),COLUMNS('DBX Sprint'!$A$1:A12)),"")</f>
        <v/>
      </c>
      <c r="U63" s="41" t="str" cm="1">
        <f t="array" ref="U63">IFERROR(INDEX('DBX Sprint'!$A$7:$K$62, SMALL(IF((INDEX('DBX Sprint'!$A$7:$K$62, ,22)=("Complete"))*(INDEX('DBX Sprint'!$A$7:$K$62, ,22)="Complete"),MATCH(ROW('DBX Sprint'!$A$7:$K$62),ROW('DBX Sprint'!$A$7:$K$62)),""),ROWS($U$34:U63)),COLUMNS('DBX Sprint'!$A$1:A12)),"")</f>
        <v/>
      </c>
      <c r="V63" s="41" t="str" cm="1">
        <f t="array" aca="1" ref="V63" ca="1">IFERROR(INDEX('DBX Sprint'!$A$7:$K$62, SMALL(IF((INDEX('DBX Sprint'!$A$7:$K$62, ,22)&lt;(TODAY()))*(INDEX('DBX Sprint'!$A$7:$K$62, ,22)&lt;&gt;"Complete"),MATCH(ROW('DBX Sprint'!$A$7:$K$62),ROW('DBX Sprint'!$A$7:$K$62)),""),ROWS($V$34:V63)),COLUMNS('DBX Sprint'!$A$1:A12)),"")</f>
        <v/>
      </c>
      <c r="W63" s="41" t="str" cm="1">
        <f t="array" aca="1" ref="W63" ca="1">IFERROR(INDEX('DBX Sprint'!$A$7:$K$62, SMALL(IF((INDEX('DBX Sprint'!$A$7:$K$62, ,22)&lt;=(TODAY()+1))*(INDEX('DBX Sprint'!$A$7:$K$62, ,22)&gt;=TODAY()),MATCH(ROW('DBX Sprint'!$A$7:$K$62),ROW('DBX Sprint'!$A$7:$K$62)),""),ROWS($W$34:W63)),COLUMNS('DBX Sprint'!$A$1:A12)),"")</f>
        <v/>
      </c>
      <c r="X63" s="43" t="str" cm="1">
        <f t="array" aca="1" ref="X63" ca="1">IFERROR(INDEX('DBX Sprint'!$A$7:$K$62, SMALL(IF((INDEX('DBX Sprint'!$A$7:$K$62, ,22)&lt;=(TODAY()+5))*(INDEX('DBX Sprint'!$A$7:$K$62, ,22)&gt;(TODAY()+1)),MATCH(ROW('DBX Sprint'!$A$7:$K$62),ROW('DBX Sprint'!$A$7:$K$62)),""),ROWS($X$34:X63)),COLUMNS('DBX Sprint'!$A$1:A12)),"")</f>
        <v/>
      </c>
      <c r="Y63" s="43" t="str" cm="1">
        <f t="array" aca="1" ref="Y63" ca="1">IFERROR(INDEX('DBX Sprint'!$A$7:$K$62, SMALL(IF((INDEX('DBX Sprint'!$A$7:$K$62, ,22)&lt;=(TODAY()+10))*(INDEX('DBX Sprint'!$A$7:$K$62, ,22)&gt;(TODAY()+5)),MATCH(ROW('DBX Sprint'!$A$7:$K$62),ROW('DBX Sprint'!$A$7:$K$62)),""),ROWS($Y$34:Y63)),COLUMNS('DBX Sprint'!$A$1:A12)),"")</f>
        <v/>
      </c>
      <c r="AA63" s="41" t="str" cm="1">
        <f t="array" ref="AA63">IFERROR(INDEX('DBX Sprint'!$A$7:$K$62, SMALL(IF((INDEX('DBX Sprint'!$A$7:$K$62, ,25)=("Complete"))*(INDEX('DBX Sprint'!$A$7:$K$62, ,25)="Complete"),MATCH(ROW('DBX Sprint'!$A$7:$K$62),ROW('DBX Sprint'!$A$7:$K$62)),""),ROWS($AA$34:AA63)),COLUMNS('DBX Sprint'!$A$1:A12)),"")</f>
        <v/>
      </c>
      <c r="AB63" s="41" t="str" cm="1">
        <f t="array" aca="1" ref="AB63" ca="1">IFERROR(INDEX('DBX Sprint'!$A$7:$K$62, SMALL(IF((INDEX('DBX Sprint'!$A$7:$K$62, ,25)&lt;(TODAY()))*(INDEX('DBX Sprint'!$A$7:$K$62, ,25)&lt;&gt;"Complete"),MATCH(ROW('DBX Sprint'!$A$7:$K$62),ROW('DBX Sprint'!$A$7:$K$62)),""),ROWS($AB$34:AB63)),COLUMNS('DBX Sprint'!$A$1:A12)),"")</f>
        <v/>
      </c>
      <c r="AC63" s="41" t="str" cm="1">
        <f t="array" aca="1" ref="AC63" ca="1">IFERROR(INDEX('DBX Sprint'!$A$7:$K$62, SMALL(IF((INDEX('DBX Sprint'!$A$7:$K$62, ,25)&lt;=(TODAY()+1))*(INDEX('DBX Sprint'!$A$7:$K$62, ,25)&gt;=TODAY()),MATCH(ROW('DBX Sprint'!$A$7:$K$62),ROW('DBX Sprint'!$A$7:$K$62)),""),ROWS($AC$34:AC63)),COLUMNS('DBX Sprint'!$A$1:A12)),"")</f>
        <v/>
      </c>
      <c r="AD63" s="43" t="str" cm="1">
        <f t="array" aca="1" ref="AD63" ca="1">IFERROR(INDEX('DBX Sprint'!$A$7:$K$62, SMALL(IF((INDEX('DBX Sprint'!$A$7:$K$62, ,25)&lt;=(TODAY()+5))*(INDEX('DBX Sprint'!$A$7:$K$62, ,25)&gt;(TODAY()+1)),MATCH(ROW('DBX Sprint'!$A$7:$K$62),ROW('DBX Sprint'!$A$7:$K$62)),""),ROWS($AD$34:AD63)),COLUMNS('DBX Sprint'!$A$1:A12)),"")</f>
        <v/>
      </c>
      <c r="AE63" s="43" t="str" cm="1">
        <f t="array" aca="1" ref="AE63" ca="1">IFERROR(INDEX('DBX Sprint'!$A$7:$K$62, SMALL(IF((INDEX('DBX Sprint'!$A$7:$K$62, ,25)&lt;=(TODAY()+10))*(INDEX('DBX Sprint'!$A$7:$K$62, ,25)&gt;(TODAY()+5)),MATCH(ROW('DBX Sprint'!$A$7:$K$62),ROW('DBX Sprint'!$A$7:$K$62)),""),ROWS($AE$34:AE63)),COLUMNS('DBX Sprint'!$A$1:A12)),"")</f>
        <v/>
      </c>
      <c r="AG63" s="41" t="str" cm="1">
        <f t="array" ref="AG63">IFERROR(INDEX('DBX Sprint'!$A$7:$K$62, SMALL(IF((INDEX('DBX Sprint'!$A$7:$K$62, ,29)=("Complete"))*(INDEX('DBX Sprint'!$A$7:$K$62, ,29)="Complete"),MATCH(ROW('DBX Sprint'!$A$7:$K$62),ROW('DBX Sprint'!$A$7:$K$62)),""),ROWS($AG$34:AG63)),COLUMNS('DBX Sprint'!$A$1:A12)),"")</f>
        <v/>
      </c>
      <c r="AH63" s="41" t="str" cm="1">
        <f t="array" aca="1" ref="AH63" ca="1">IFERROR(INDEX('DBX Sprint'!$A$7:$K$62, SMALL(IF((INDEX('DBX Sprint'!$A$7:$K$62, ,29)&lt;(TODAY()))*(INDEX('DBX Sprint'!$A$7:$K$62, ,29)&lt;&gt;"Complete"),MATCH(ROW('DBX Sprint'!$A$7:$K$62),ROW('DBX Sprint'!$A$7:$K$62)),""),ROWS($AH$34:AH63)),COLUMNS('DBX Sprint'!$A$1:A12)),"")</f>
        <v/>
      </c>
      <c r="AI63" s="41" t="str" cm="1">
        <f t="array" aca="1" ref="AI63" ca="1">IFERROR(INDEX('DBX Sprint'!$A$7:$K$62, SMALL(IF((INDEX('DBX Sprint'!$A$7:$K$62, ,29)&lt;=(TODAY()+1))*(INDEX('DBX Sprint'!$A$7:$K$62, ,29)&gt;=TODAY()),MATCH(ROW('DBX Sprint'!$A$7:$K$62),ROW('DBX Sprint'!$A$7:$K$62)),""),ROWS($AI$34:AI63)),COLUMNS('DBX Sprint'!$A$1:A12)),"")</f>
        <v/>
      </c>
      <c r="AJ63" s="43" t="str" cm="1">
        <f t="array" aca="1" ref="AJ63" ca="1">IFERROR(INDEX('DBX Sprint'!$A$7:$K$62, SMALL(IF((INDEX('DBX Sprint'!$A$7:$K$62, ,29)&lt;=(TODAY()+5))*(INDEX('DBX Sprint'!$A$7:$K$62, ,29)&gt;(TODAY()+1)),MATCH(ROW('DBX Sprint'!$A$7:$K$62),ROW('DBX Sprint'!$A$7:$K$62)),""),ROWS($AJ$34:AJ63)),COLUMNS('DBX Sprint'!$A$1:A12)),"")</f>
        <v/>
      </c>
      <c r="AK63" s="43" t="str" cm="1">
        <f t="array" aca="1" ref="AK63" ca="1">IFERROR(INDEX('DBX Sprint'!$A$7:$K$62, SMALL(IF((INDEX('DBX Sprint'!$A$7:$K$62, ,29)&lt;=(TODAY()+10))*(INDEX('DBX Sprint'!$A$7:$K$62, ,29)&gt;(TODAY()+5)),MATCH(ROW('DBX Sprint'!$A$7:$K$62),ROW('DBX Sprint'!$A$7:$K$62)),""),ROWS($AK$34:AK63)),COLUMNS('DBX Sprint'!$A$1:A12)),"")</f>
        <v/>
      </c>
      <c r="AM63" s="41" t="str" cm="1">
        <f t="array" ref="AM63">IFERROR(INDEX('DBX Sprint'!$A$7:$K$62, SMALL(IF((INDEX('DBX Sprint'!$A$7:$K$62, ,32)=("Complete"))*(INDEX('DBX Sprint'!$A$7:$K$62, ,32)="Complete"),MATCH(ROW('DBX Sprint'!$A$7:$K$62),ROW('DBX Sprint'!$A$7:$K$62)),""),ROWS($AM$34:AM63)),COLUMNS('DBX Sprint'!$A$1:A12)),"")</f>
        <v/>
      </c>
      <c r="AN63" s="41" t="str" cm="1">
        <f t="array" aca="1" ref="AN63" ca="1">IFERROR(INDEX('DBX Sprint'!$A$7:$K$62, SMALL(IF((INDEX('DBX Sprint'!$A$7:$K$62, ,32)&lt;(TODAY()))*(INDEX('DBX Sprint'!$A$7:$K$62, ,32)&lt;&gt;"Complete"),MATCH(ROW('DBX Sprint'!$A$7:$K$62),ROW('DBX Sprint'!$A$7:$K$62)),""),ROWS($AN$34:AN63)),COLUMNS('DBX Sprint'!$A$1:A12)),"")</f>
        <v/>
      </c>
      <c r="AO63" s="41" t="str" cm="1">
        <f t="array" aca="1" ref="AO63" ca="1">IFERROR(INDEX('DBX Sprint'!$A$7:$K$62, SMALL(IF((INDEX('DBX Sprint'!$A$7:$K$62, ,32)&lt;=(TODAY()+1))*(INDEX('DBX Sprint'!$A$7:$K$62, ,32)&gt;=TODAY()),MATCH(ROW('DBX Sprint'!$A$7:$K$62),ROW('DBX Sprint'!$A$7:$K$62)),""),ROWS($AO$34:AO63)),COLUMNS('DBX Sprint'!$A$1:A12)),"")</f>
        <v/>
      </c>
      <c r="AP63" s="43" t="str" cm="1">
        <f t="array" aca="1" ref="AP63" ca="1">IFERROR(INDEX('DBX Sprint'!$A$7:$K$62, SMALL(IF((INDEX('DBX Sprint'!$A$7:$K$62, ,32)&lt;=(TODAY()+5))*(INDEX('DBX Sprint'!$A$7:$K$62, ,32)&gt;(TODAY()+1)),MATCH(ROW('DBX Sprint'!$A$7:$K$62),ROW('DBX Sprint'!$A$7:$K$62)),""),ROWS($AP$34:AP63)),COLUMNS('DBX Sprint'!$A$1:A12)),"")</f>
        <v/>
      </c>
      <c r="AQ63" s="43" t="str" cm="1">
        <f t="array" aca="1" ref="AQ63" ca="1">IFERROR(INDEX('DBX Sprint'!$A$7:$K$62, SMALL(IF((INDEX('DBX Sprint'!$A$7:$K$62, ,32)&lt;=(TODAY()+10))*(INDEX('DBX Sprint'!$A$7:$K$62, ,32)&gt;(TODAY()+5)),MATCH(ROW('DBX Sprint'!$A$7:$K$62),ROW('DBX Sprint'!$A$7:$K$62)),""),ROWS($AQ$34:AQ63)),COLUMNS('DBX Sprint'!$A$1:A12)),"")</f>
        <v/>
      </c>
    </row>
    <row r="64" spans="3:43" ht="30" customHeight="1">
      <c r="C64" s="41" t="str" cm="1">
        <f t="array" ref="C64">IFERROR(INDEX('DBX Sprint'!$A$7:$K$62, SMALL(IF((INDEX('DBX Sprint'!$A$7:$K$62, ,13)=("Complete"))*(INDEX('DBX Sprint'!$A$7:$K$62, ,13)="Complete"),MATCH(ROW('DBX Sprint'!$A$7:$K$62),ROW('DBX Sprint'!$A$7:$K$62)),""),ROWS(C$34:$C64)),COLUMNS('DBX Sprint'!$A$1:A12)),"")</f>
        <v/>
      </c>
      <c r="D64" s="41" t="str" cm="1">
        <f t="array" aca="1" ref="D64" ca="1">IFERROR(INDEX('DBX Sprint'!$A$7:$K$62, SMALL(IF((INDEX('DBX Sprint'!$A$7:$K$62, ,13)&lt;(TODAY()))*(INDEX('DBX Sprint'!$A$7:$K$62, ,13)&lt;&gt;"Complete"),MATCH(ROW('DBX Sprint'!$A$7:$K$62),ROW('DBX Sprint'!$A$7:$K$62)),""),ROWS(D$34:$D64)),COLUMNS('DBX Sprint'!$A$1:A12)),"")</f>
        <v/>
      </c>
      <c r="E64" s="41" t="str" cm="1">
        <f t="array" aca="1" ref="E64" ca="1">IFERROR(INDEX('DBX Sprint'!$A$7:$K$62, SMALL(IF((INDEX('DBX Sprint'!$A$7:$K$62, ,13)&lt;=(TODAY()+1))*(INDEX('DBX Sprint'!$A$7:$K$62, ,13)&gt;=TODAY()),MATCH(ROW('DBX Sprint'!$A$7:$K$62),ROW('DBX Sprint'!$A$7:$K$62)),""),ROWS(E$34:$E64)),COLUMNS('DBX Sprint'!$A$1:A12)),"")</f>
        <v/>
      </c>
      <c r="F64" s="43" t="str" cm="1">
        <f t="array" aca="1" ref="F64" ca="1">IFERROR(INDEX('DBX Sprint'!$A$7:$K$62, SMALL(IF((INDEX('DBX Sprint'!$A$7:$K$62, ,13)&lt;=(TODAY()+5))*(INDEX('DBX Sprint'!$A$7:$K$62, ,13)&gt;(TODAY()+1)),MATCH(ROW('DBX Sprint'!$A$7:$K$62),ROW('DBX Sprint'!$A$7:$K$62)),""),ROWS($F$34:F64)),COLUMNS('DBX Sprint'!$A$1:A12)),"")</f>
        <v/>
      </c>
      <c r="G64" s="43" t="str" cm="1">
        <f t="array" aca="1" ref="G64" ca="1">IFERROR(INDEX('DBX Sprint'!$A$7:$K$62, SMALL(IF((INDEX('DBX Sprint'!$A$7:$K$62, ,13)&lt;=(TODAY()+10))*(INDEX('DBX Sprint'!$A$7:$K$62, ,13)&gt;(TODAY()+5)),MATCH(ROW('DBX Sprint'!$A$7:$K$62),ROW('DBX Sprint'!$A$7:$K$62)),""),ROWS($G$34:G64)),COLUMNS('DBX Sprint'!$A$1:A12)),"")</f>
        <v/>
      </c>
      <c r="I64" s="41" t="str" cm="1">
        <f t="array" ref="I64">IFERROR(INDEX('DBX Sprint'!$A$7:$K$62, SMALL(IF((INDEX('DBX Sprint'!$A$7:$K$62, ,16)=("Complete"))*(INDEX('DBX Sprint'!$A$7:$K$62, ,16)="Complete"),MATCH(ROW('DBX Sprint'!$A$7:$K$62),ROW('DBX Sprint'!$A$7:$K$62)),""),ROWS($I$34:I64)),COLUMNS('DBX Sprint'!$A$1:A12)),"")</f>
        <v/>
      </c>
      <c r="J64" s="41" t="str" cm="1">
        <f t="array" aca="1" ref="J64" ca="1">IFERROR(INDEX('DBX Sprint'!$A$7:$K$62, SMALL(IF((INDEX('DBX Sprint'!$A$7:$K$62, ,16)&lt;(TODAY()))*(INDEX('DBX Sprint'!$A$7:$K$62, ,16)&lt;&gt;"Complete"),MATCH(ROW('DBX Sprint'!$A$7:$K$62),ROW('DBX Sprint'!$A$7:$K$62)),""),ROWS($J$34:J64)),COLUMNS('DBX Sprint'!$A$1:A12)),"")</f>
        <v/>
      </c>
      <c r="K64" s="37" t="str" cm="1">
        <f t="array" aca="1" ref="K64" ca="1">IFERROR(INDEX('DBX Sprint'!$A$7:$K$62, SMALL(IF((INDEX('DBX Sprint'!$A$7:$K$62, ,16)&lt;=(TODAY()+1))*(INDEX('DBX Sprint'!$A$7:$K$62, ,16)&gt;=TODAY()),MATCH(ROW('DBX Sprint'!$A$7:$K$62),ROW('DBX Sprint'!$A$7:$K$62)),""),ROWS($K$34:K64)),COLUMNS('DBX Sprint'!$A$1:A12)),"")</f>
        <v/>
      </c>
      <c r="L64" s="38" t="str" cm="1">
        <f t="array" aca="1" ref="L64" ca="1">IFERROR(INDEX('DBX Sprint'!$A$7:$K$62, SMALL(IF((INDEX('DBX Sprint'!$A$7:$K$62, ,16)&lt;=(TODAY()+5))*(INDEX('DBX Sprint'!$A$7:$K$62, ,16)&gt;(TODAY()+1)),MATCH(ROW('DBX Sprint'!$A$7:$K$62),ROW('DBX Sprint'!$A$7:$K$62)),""),ROWS($L$34:L64)),COLUMNS('DBX Sprint'!$A$1:A12)),"")</f>
        <v/>
      </c>
      <c r="M64" s="43" t="str" cm="1">
        <f t="array" aca="1" ref="M64" ca="1">IFERROR(INDEX('DBX Sprint'!$A$7:$K$62, SMALL(IF((INDEX('DBX Sprint'!$A$7:$K$62, ,16)&lt;=(TODAY()+10))*(INDEX('DBX Sprint'!$A$7:$K$62, ,16)&gt;(TODAY()+5)),MATCH(ROW('DBX Sprint'!$A$7:$K$62),ROW('DBX Sprint'!$A$7:$K$62)),""),ROWS($M$34:M64)),COLUMNS('DBX Sprint'!$A$1:A12)),"")</f>
        <v/>
      </c>
      <c r="O64" s="41" t="str" cm="1">
        <f t="array" ref="O64">IFERROR(INDEX('DBX Sprint'!$A$7:$K$62, SMALL(IF((INDEX('DBX Sprint'!$A$7:$K$62, ,19)=("Complete"))*(INDEX('DBX Sprint'!$A$7:$K$62, ,19)="Complete"),MATCH(ROW('DBX Sprint'!$A$7:$K$62),ROW('DBX Sprint'!$A$7:$K$62)),""),ROWS($O$34:O64)),COLUMNS('DBX Sprint'!$A$1:A12)),"")</f>
        <v/>
      </c>
      <c r="P64" s="41" t="str" cm="1">
        <f t="array" aca="1" ref="P64" ca="1">IFERROR(INDEX('DBX Sprint'!$A$7:$K$62, SMALL(IF((INDEX('DBX Sprint'!$A$7:$K$62, ,19)&lt;(TODAY()))*(INDEX('DBX Sprint'!$A$7:$K$62, ,19)&lt;&gt;"Complete"),MATCH(ROW('DBX Sprint'!$A$7:$K$62),ROW('DBX Sprint'!$A$7:$K$62)),""),ROWS($P$34:P64)),COLUMNS('DBX Sprint'!$A$1:A12)),"")</f>
        <v/>
      </c>
      <c r="Q64" s="41" t="str" cm="1">
        <f t="array" aca="1" ref="Q64" ca="1">IFERROR(INDEX('DBX Sprint'!$A$7:$K$62, SMALL(IF((INDEX('DBX Sprint'!$A$7:$K$62, ,19)&lt;=(TODAY()+1))*(INDEX('DBX Sprint'!$A$7:$K$62, ,19)&gt;=TODAY()),MATCH(ROW('DBX Sprint'!$A$7:$K$62),ROW('DBX Sprint'!$A$7:$K$62)),""),ROWS($Q$34:Q64)),COLUMNS('DBX Sprint'!$A$1:A12)),"")</f>
        <v/>
      </c>
      <c r="R64" s="43" t="str" cm="1">
        <f t="array" aca="1" ref="R64" ca="1">IFERROR(INDEX('DBX Sprint'!$A$7:$K$62, SMALL(IF((INDEX('DBX Sprint'!$A$7:$K$62, ,19)&lt;=(TODAY()+5))*(INDEX('DBX Sprint'!$A$7:$K$62, ,19)&gt;(TODAY()+1)),MATCH(ROW('DBX Sprint'!$A$7:$K$62),ROW('DBX Sprint'!$A$7:$K$62)),""),ROWS($R$34:R64)),COLUMNS('DBX Sprint'!$A$1:A12)),"")</f>
        <v/>
      </c>
      <c r="S64" s="43" t="str" cm="1">
        <f t="array" aca="1" ref="S64" ca="1">IFERROR(INDEX('DBX Sprint'!$A$7:$K$62, SMALL(IF((INDEX('DBX Sprint'!$A$7:$K$62, ,19)&lt;=(TODAY()+10))*(INDEX('DBX Sprint'!$A$7:$K$62, ,19)&gt;(TODAY()+5)),MATCH(ROW('DBX Sprint'!$A$7:$K$62),ROW('DBX Sprint'!$A$7:$K$62)),""),ROWS($S$34:S64)),COLUMNS('DBX Sprint'!$A$1:A12)),"")</f>
        <v/>
      </c>
      <c r="U64" s="41" t="str" cm="1">
        <f t="array" ref="U64">IFERROR(INDEX('DBX Sprint'!$A$7:$K$62, SMALL(IF((INDEX('DBX Sprint'!$A$7:$K$62, ,22)=("Complete"))*(INDEX('DBX Sprint'!$A$7:$K$62, ,22)="Complete"),MATCH(ROW('DBX Sprint'!$A$7:$K$62),ROW('DBX Sprint'!$A$7:$K$62)),""),ROWS($U$34:U64)),COLUMNS('DBX Sprint'!$A$1:A12)),"")</f>
        <v/>
      </c>
      <c r="V64" s="41" t="str" cm="1">
        <f t="array" aca="1" ref="V64" ca="1">IFERROR(INDEX('DBX Sprint'!$A$7:$K$62, SMALL(IF((INDEX('DBX Sprint'!$A$7:$K$62, ,22)&lt;(TODAY()))*(INDEX('DBX Sprint'!$A$7:$K$62, ,22)&lt;&gt;"Complete"),MATCH(ROW('DBX Sprint'!$A$7:$K$62),ROW('DBX Sprint'!$A$7:$K$62)),""),ROWS($V$34:V64)),COLUMNS('DBX Sprint'!$A$1:A12)),"")</f>
        <v/>
      </c>
      <c r="W64" s="41" t="str" cm="1">
        <f t="array" aca="1" ref="W64" ca="1">IFERROR(INDEX('DBX Sprint'!$A$7:$K$62, SMALL(IF((INDEX('DBX Sprint'!$A$7:$K$62, ,22)&lt;=(TODAY()+1))*(INDEX('DBX Sprint'!$A$7:$K$62, ,22)&gt;=TODAY()),MATCH(ROW('DBX Sprint'!$A$7:$K$62),ROW('DBX Sprint'!$A$7:$K$62)),""),ROWS($W$34:W64)),COLUMNS('DBX Sprint'!$A$1:A12)),"")</f>
        <v/>
      </c>
      <c r="X64" s="43" t="str" cm="1">
        <f t="array" aca="1" ref="X64" ca="1">IFERROR(INDEX('DBX Sprint'!$A$7:$K$62, SMALL(IF((INDEX('DBX Sprint'!$A$7:$K$62, ,22)&lt;=(TODAY()+5))*(INDEX('DBX Sprint'!$A$7:$K$62, ,22)&gt;(TODAY()+1)),MATCH(ROW('DBX Sprint'!$A$7:$K$62),ROW('DBX Sprint'!$A$7:$K$62)),""),ROWS($X$34:X64)),COLUMNS('DBX Sprint'!$A$1:A12)),"")</f>
        <v/>
      </c>
      <c r="Y64" s="43" t="str" cm="1">
        <f t="array" aca="1" ref="Y64" ca="1">IFERROR(INDEX('DBX Sprint'!$A$7:$K$62, SMALL(IF((INDEX('DBX Sprint'!$A$7:$K$62, ,22)&lt;=(TODAY()+10))*(INDEX('DBX Sprint'!$A$7:$K$62, ,22)&gt;(TODAY()+5)),MATCH(ROW('DBX Sprint'!$A$7:$K$62),ROW('DBX Sprint'!$A$7:$K$62)),""),ROWS($Y$34:Y64)),COLUMNS('DBX Sprint'!$A$1:A12)),"")</f>
        <v/>
      </c>
      <c r="AA64" s="41" t="str" cm="1">
        <f t="array" ref="AA64">IFERROR(INDEX('DBX Sprint'!$A$7:$K$62, SMALL(IF((INDEX('DBX Sprint'!$A$7:$K$62, ,25)=("Complete"))*(INDEX('DBX Sprint'!$A$7:$K$62, ,25)="Complete"),MATCH(ROW('DBX Sprint'!$A$7:$K$62),ROW('DBX Sprint'!$A$7:$K$62)),""),ROWS($AA$34:AA64)),COLUMNS('DBX Sprint'!$A$1:A12)),"")</f>
        <v/>
      </c>
      <c r="AB64" s="41" t="str" cm="1">
        <f t="array" aca="1" ref="AB64" ca="1">IFERROR(INDEX('DBX Sprint'!$A$7:$K$62, SMALL(IF((INDEX('DBX Sprint'!$A$7:$K$62, ,25)&lt;(TODAY()))*(INDEX('DBX Sprint'!$A$7:$K$62, ,25)&lt;&gt;"Complete"),MATCH(ROW('DBX Sprint'!$A$7:$K$62),ROW('DBX Sprint'!$A$7:$K$62)),""),ROWS($AB$34:AB64)),COLUMNS('DBX Sprint'!$A$1:A12)),"")</f>
        <v/>
      </c>
      <c r="AC64" s="41" t="str" cm="1">
        <f t="array" aca="1" ref="AC64" ca="1">IFERROR(INDEX('DBX Sprint'!$A$7:$K$62, SMALL(IF((INDEX('DBX Sprint'!$A$7:$K$62, ,25)&lt;=(TODAY()+1))*(INDEX('DBX Sprint'!$A$7:$K$62, ,25)&gt;=TODAY()),MATCH(ROW('DBX Sprint'!$A$7:$K$62),ROW('DBX Sprint'!$A$7:$K$62)),""),ROWS($AC$34:AC64)),COLUMNS('DBX Sprint'!$A$1:A12)),"")</f>
        <v/>
      </c>
      <c r="AD64" s="43" t="str" cm="1">
        <f t="array" aca="1" ref="AD64" ca="1">IFERROR(INDEX('DBX Sprint'!$A$7:$K$62, SMALL(IF((INDEX('DBX Sprint'!$A$7:$K$62, ,25)&lt;=(TODAY()+5))*(INDEX('DBX Sprint'!$A$7:$K$62, ,25)&gt;(TODAY()+1)),MATCH(ROW('DBX Sprint'!$A$7:$K$62),ROW('DBX Sprint'!$A$7:$K$62)),""),ROWS($AD$34:AD64)),COLUMNS('DBX Sprint'!$A$1:A12)),"")</f>
        <v/>
      </c>
      <c r="AE64" s="43" t="str" cm="1">
        <f t="array" aca="1" ref="AE64" ca="1">IFERROR(INDEX('DBX Sprint'!$A$7:$K$62, SMALL(IF((INDEX('DBX Sprint'!$A$7:$K$62, ,25)&lt;=(TODAY()+10))*(INDEX('DBX Sprint'!$A$7:$K$62, ,25)&gt;(TODAY()+5)),MATCH(ROW('DBX Sprint'!$A$7:$K$62),ROW('DBX Sprint'!$A$7:$K$62)),""),ROWS($AE$34:AE64)),COLUMNS('DBX Sprint'!$A$1:A12)),"")</f>
        <v/>
      </c>
      <c r="AG64" s="41" t="str" cm="1">
        <f t="array" ref="AG64">IFERROR(INDEX('DBX Sprint'!$A$7:$K$62, SMALL(IF((INDEX('DBX Sprint'!$A$7:$K$62, ,29)=("Complete"))*(INDEX('DBX Sprint'!$A$7:$K$62, ,29)="Complete"),MATCH(ROW('DBX Sprint'!$A$7:$K$62),ROW('DBX Sprint'!$A$7:$K$62)),""),ROWS($AG$34:AG64)),COLUMNS('DBX Sprint'!$A$1:A12)),"")</f>
        <v/>
      </c>
      <c r="AH64" s="41" t="str" cm="1">
        <f t="array" aca="1" ref="AH64" ca="1">IFERROR(INDEX('DBX Sprint'!$A$7:$K$62, SMALL(IF((INDEX('DBX Sprint'!$A$7:$K$62, ,29)&lt;(TODAY()))*(INDEX('DBX Sprint'!$A$7:$K$62, ,29)&lt;&gt;"Complete"),MATCH(ROW('DBX Sprint'!$A$7:$K$62),ROW('DBX Sprint'!$A$7:$K$62)),""),ROWS($AH$34:AH64)),COLUMNS('DBX Sprint'!$A$1:A12)),"")</f>
        <v/>
      </c>
      <c r="AI64" s="41" t="str" cm="1">
        <f t="array" aca="1" ref="AI64" ca="1">IFERROR(INDEX('DBX Sprint'!$A$7:$K$62, SMALL(IF((INDEX('DBX Sprint'!$A$7:$K$62, ,29)&lt;=(TODAY()+1))*(INDEX('DBX Sprint'!$A$7:$K$62, ,29)&gt;=TODAY()),MATCH(ROW('DBX Sprint'!$A$7:$K$62),ROW('DBX Sprint'!$A$7:$K$62)),""),ROWS($AI$34:AI64)),COLUMNS('DBX Sprint'!$A$1:A12)),"")</f>
        <v/>
      </c>
      <c r="AJ64" s="43" t="str" cm="1">
        <f t="array" aca="1" ref="AJ64" ca="1">IFERROR(INDEX('DBX Sprint'!$A$7:$K$62, SMALL(IF((INDEX('DBX Sprint'!$A$7:$K$62, ,29)&lt;=(TODAY()+5))*(INDEX('DBX Sprint'!$A$7:$K$62, ,29)&gt;(TODAY()+1)),MATCH(ROW('DBX Sprint'!$A$7:$K$62),ROW('DBX Sprint'!$A$7:$K$62)),""),ROWS($AJ$34:AJ64)),COLUMNS('DBX Sprint'!$A$1:A12)),"")</f>
        <v/>
      </c>
      <c r="AK64" s="43" t="str" cm="1">
        <f t="array" aca="1" ref="AK64" ca="1">IFERROR(INDEX('DBX Sprint'!$A$7:$K$62, SMALL(IF((INDEX('DBX Sprint'!$A$7:$K$62, ,29)&lt;=(TODAY()+10))*(INDEX('DBX Sprint'!$A$7:$K$62, ,29)&gt;(TODAY()+5)),MATCH(ROW('DBX Sprint'!$A$7:$K$62),ROW('DBX Sprint'!$A$7:$K$62)),""),ROWS($AK$34:AK64)),COLUMNS('DBX Sprint'!$A$1:A12)),"")</f>
        <v/>
      </c>
      <c r="AM64" s="41" t="str" cm="1">
        <f t="array" ref="AM64">IFERROR(INDEX('DBX Sprint'!$A$7:$K$62, SMALL(IF((INDEX('DBX Sprint'!$A$7:$K$62, ,32)=("Complete"))*(INDEX('DBX Sprint'!$A$7:$K$62, ,32)="Complete"),MATCH(ROW('DBX Sprint'!$A$7:$K$62),ROW('DBX Sprint'!$A$7:$K$62)),""),ROWS($AM$34:AM64)),COLUMNS('DBX Sprint'!$A$1:A12)),"")</f>
        <v/>
      </c>
      <c r="AN64" s="41" t="str" cm="1">
        <f t="array" aca="1" ref="AN64" ca="1">IFERROR(INDEX('DBX Sprint'!$A$7:$K$62, SMALL(IF((INDEX('DBX Sprint'!$A$7:$K$62, ,32)&lt;(TODAY()))*(INDEX('DBX Sprint'!$A$7:$K$62, ,32)&lt;&gt;"Complete"),MATCH(ROW('DBX Sprint'!$A$7:$K$62),ROW('DBX Sprint'!$A$7:$K$62)),""),ROWS($AN$34:AN64)),COLUMNS('DBX Sprint'!$A$1:A12)),"")</f>
        <v/>
      </c>
      <c r="AO64" s="41" t="str" cm="1">
        <f t="array" aca="1" ref="AO64" ca="1">IFERROR(INDEX('DBX Sprint'!$A$7:$K$62, SMALL(IF((INDEX('DBX Sprint'!$A$7:$K$62, ,32)&lt;=(TODAY()+1))*(INDEX('DBX Sprint'!$A$7:$K$62, ,32)&gt;=TODAY()),MATCH(ROW('DBX Sprint'!$A$7:$K$62),ROW('DBX Sprint'!$A$7:$K$62)),""),ROWS($AO$34:AO64)),COLUMNS('DBX Sprint'!$A$1:A12)),"")</f>
        <v/>
      </c>
      <c r="AP64" s="43" t="str" cm="1">
        <f t="array" aca="1" ref="AP64" ca="1">IFERROR(INDEX('DBX Sprint'!$A$7:$K$62, SMALL(IF((INDEX('DBX Sprint'!$A$7:$K$62, ,32)&lt;=(TODAY()+5))*(INDEX('DBX Sprint'!$A$7:$K$62, ,32)&gt;(TODAY()+1)),MATCH(ROW('DBX Sprint'!$A$7:$K$62),ROW('DBX Sprint'!$A$7:$K$62)),""),ROWS($AP$34:AP64)),COLUMNS('DBX Sprint'!$A$1:A12)),"")</f>
        <v/>
      </c>
      <c r="AQ64" s="43" t="str" cm="1">
        <f t="array" aca="1" ref="AQ64" ca="1">IFERROR(INDEX('DBX Sprint'!$A$7:$K$62, SMALL(IF((INDEX('DBX Sprint'!$A$7:$K$62, ,32)&lt;=(TODAY()+10))*(INDEX('DBX Sprint'!$A$7:$K$62, ,32)&gt;(TODAY()+5)),MATCH(ROW('DBX Sprint'!$A$7:$K$62),ROW('DBX Sprint'!$A$7:$K$62)),""),ROWS($AQ$34:AQ64)),COLUMNS('DBX Sprint'!$A$1:A12)),"")</f>
        <v/>
      </c>
    </row>
    <row r="65" spans="3:43" ht="30" customHeight="1">
      <c r="C65" s="41" t="str" cm="1">
        <f t="array" ref="C65">IFERROR(INDEX('DBX Sprint'!$A$7:$K$62, SMALL(IF((INDEX('DBX Sprint'!$A$7:$K$62, ,13)=("Complete"))*(INDEX('DBX Sprint'!$A$7:$K$62, ,13)="Complete"),MATCH(ROW('DBX Sprint'!$A$7:$K$62),ROW('DBX Sprint'!$A$7:$K$62)),""),ROWS(C$34:$C65)),COLUMNS('DBX Sprint'!$A$1:A12)),"")</f>
        <v/>
      </c>
      <c r="D65" s="41" t="str" cm="1">
        <f t="array" aca="1" ref="D65" ca="1">IFERROR(INDEX('DBX Sprint'!$A$7:$K$62, SMALL(IF((INDEX('DBX Sprint'!$A$7:$K$62, ,13)&lt;(TODAY()))*(INDEX('DBX Sprint'!$A$7:$K$62, ,13)&lt;&gt;"Complete"),MATCH(ROW('DBX Sprint'!$A$7:$K$62),ROW('DBX Sprint'!$A$7:$K$62)),""),ROWS(D$34:$D65)),COLUMNS('DBX Sprint'!$A$1:A12)),"")</f>
        <v/>
      </c>
      <c r="E65" s="41" t="str" cm="1">
        <f t="array" aca="1" ref="E65" ca="1">IFERROR(INDEX('DBX Sprint'!$A$7:$K$62, SMALL(IF((INDEX('DBX Sprint'!$A$7:$K$62, ,13)&lt;=(TODAY()+1))*(INDEX('DBX Sprint'!$A$7:$K$62, ,13)&gt;=TODAY()),MATCH(ROW('DBX Sprint'!$A$7:$K$62),ROW('DBX Sprint'!$A$7:$K$62)),""),ROWS(E$34:$E65)),COLUMNS('DBX Sprint'!$A$1:A12)),"")</f>
        <v/>
      </c>
      <c r="F65" s="43" t="str" cm="1">
        <f t="array" aca="1" ref="F65" ca="1">IFERROR(INDEX('DBX Sprint'!$A$7:$K$62, SMALL(IF((INDEX('DBX Sprint'!$A$7:$K$62, ,13)&lt;=(TODAY()+5))*(INDEX('DBX Sprint'!$A$7:$K$62, ,13)&gt;(TODAY()+1)),MATCH(ROW('DBX Sprint'!$A$7:$K$62),ROW('DBX Sprint'!$A$7:$K$62)),""),ROWS($F$34:F65)),COLUMNS('DBX Sprint'!$A$1:A12)),"")</f>
        <v/>
      </c>
      <c r="G65" s="43" t="str" cm="1">
        <f t="array" aca="1" ref="G65" ca="1">IFERROR(INDEX('DBX Sprint'!$A$7:$K$62, SMALL(IF((INDEX('DBX Sprint'!$A$7:$K$62, ,13)&lt;=(TODAY()+10))*(INDEX('DBX Sprint'!$A$7:$K$62, ,13)&gt;(TODAY()+5)),MATCH(ROW('DBX Sprint'!$A$7:$K$62),ROW('DBX Sprint'!$A$7:$K$62)),""),ROWS($G$34:G65)),COLUMNS('DBX Sprint'!$A$1:A12)),"")</f>
        <v/>
      </c>
      <c r="I65" s="41" t="str" cm="1">
        <f t="array" ref="I65">IFERROR(INDEX('DBX Sprint'!$A$7:$K$62, SMALL(IF((INDEX('DBX Sprint'!$A$7:$K$62, ,16)=("Complete"))*(INDEX('DBX Sprint'!$A$7:$K$62, ,16)="Complete"),MATCH(ROW('DBX Sprint'!$A$7:$K$62),ROW('DBX Sprint'!$A$7:$K$62)),""),ROWS($I$34:I65)),COLUMNS('DBX Sprint'!$A$1:A12)),"")</f>
        <v/>
      </c>
      <c r="J65" s="41" t="str" cm="1">
        <f t="array" aca="1" ref="J65" ca="1">IFERROR(INDEX('DBX Sprint'!$A$7:$K$62, SMALL(IF((INDEX('DBX Sprint'!$A$7:$K$62, ,16)&lt;(TODAY()))*(INDEX('DBX Sprint'!$A$7:$K$62, ,16)&lt;&gt;"Complete"),MATCH(ROW('DBX Sprint'!$A$7:$K$62),ROW('DBX Sprint'!$A$7:$K$62)),""),ROWS($J$34:J65)),COLUMNS('DBX Sprint'!$A$1:A12)),"")</f>
        <v/>
      </c>
      <c r="K65" s="37" t="str" cm="1">
        <f t="array" aca="1" ref="K65" ca="1">IFERROR(INDEX('DBX Sprint'!$A$7:$K$62, SMALL(IF((INDEX('DBX Sprint'!$A$7:$K$62, ,16)&lt;=(TODAY()+1))*(INDEX('DBX Sprint'!$A$7:$K$62, ,16)&gt;=TODAY()),MATCH(ROW('DBX Sprint'!$A$7:$K$62),ROW('DBX Sprint'!$A$7:$K$62)),""),ROWS($K$34:K65)),COLUMNS('DBX Sprint'!$A$1:A12)),"")</f>
        <v/>
      </c>
      <c r="L65" s="38" t="str" cm="1">
        <f t="array" aca="1" ref="L65" ca="1">IFERROR(INDEX('DBX Sprint'!$A$7:$K$62, SMALL(IF((INDEX('DBX Sprint'!$A$7:$K$62, ,16)&lt;=(TODAY()+5))*(INDEX('DBX Sprint'!$A$7:$K$62, ,16)&gt;(TODAY()+1)),MATCH(ROW('DBX Sprint'!$A$7:$K$62),ROW('DBX Sprint'!$A$7:$K$62)),""),ROWS($L$34:L65)),COLUMNS('DBX Sprint'!$A$1:A12)),"")</f>
        <v/>
      </c>
      <c r="M65" s="43" t="str" cm="1">
        <f t="array" aca="1" ref="M65" ca="1">IFERROR(INDEX('DBX Sprint'!$A$7:$K$62, SMALL(IF((INDEX('DBX Sprint'!$A$7:$K$62, ,16)&lt;=(TODAY()+10))*(INDEX('DBX Sprint'!$A$7:$K$62, ,16)&gt;(TODAY()+5)),MATCH(ROW('DBX Sprint'!$A$7:$K$62),ROW('DBX Sprint'!$A$7:$K$62)),""),ROWS($M$34:M65)),COLUMNS('DBX Sprint'!$A$1:A12)),"")</f>
        <v/>
      </c>
      <c r="O65" s="41" t="str" cm="1">
        <f t="array" ref="O65">IFERROR(INDEX('DBX Sprint'!$A$7:$K$62, SMALL(IF((INDEX('DBX Sprint'!$A$7:$K$62, ,19)=("Complete"))*(INDEX('DBX Sprint'!$A$7:$K$62, ,19)="Complete"),MATCH(ROW('DBX Sprint'!$A$7:$K$62),ROW('DBX Sprint'!$A$7:$K$62)),""),ROWS($O$34:O65)),COLUMNS('DBX Sprint'!$A$1:A12)),"")</f>
        <v/>
      </c>
      <c r="P65" s="41" t="str" cm="1">
        <f t="array" aca="1" ref="P65" ca="1">IFERROR(INDEX('DBX Sprint'!$A$7:$K$62, SMALL(IF((INDEX('DBX Sprint'!$A$7:$K$62, ,19)&lt;(TODAY()))*(INDEX('DBX Sprint'!$A$7:$K$62, ,19)&lt;&gt;"Complete"),MATCH(ROW('DBX Sprint'!$A$7:$K$62),ROW('DBX Sprint'!$A$7:$K$62)),""),ROWS($P$34:P65)),COLUMNS('DBX Sprint'!$A$1:A12)),"")</f>
        <v/>
      </c>
      <c r="Q65" s="41" t="str" cm="1">
        <f t="array" aca="1" ref="Q65" ca="1">IFERROR(INDEX('DBX Sprint'!$A$7:$K$62, SMALL(IF((INDEX('DBX Sprint'!$A$7:$K$62, ,19)&lt;=(TODAY()+1))*(INDEX('DBX Sprint'!$A$7:$K$62, ,19)&gt;=TODAY()),MATCH(ROW('DBX Sprint'!$A$7:$K$62),ROW('DBX Sprint'!$A$7:$K$62)),""),ROWS($Q$34:Q65)),COLUMNS('DBX Sprint'!$A$1:A12)),"")</f>
        <v/>
      </c>
      <c r="R65" s="43" t="str" cm="1">
        <f t="array" aca="1" ref="R65" ca="1">IFERROR(INDEX('DBX Sprint'!$A$7:$K$62, SMALL(IF((INDEX('DBX Sprint'!$A$7:$K$62, ,19)&lt;=(TODAY()+5))*(INDEX('DBX Sprint'!$A$7:$K$62, ,19)&gt;(TODAY()+1)),MATCH(ROW('DBX Sprint'!$A$7:$K$62),ROW('DBX Sprint'!$A$7:$K$62)),""),ROWS($R$34:R65)),COLUMNS('DBX Sprint'!$A$1:A12)),"")</f>
        <v/>
      </c>
      <c r="S65" s="43" t="str" cm="1">
        <f t="array" aca="1" ref="S65" ca="1">IFERROR(INDEX('DBX Sprint'!$A$7:$K$62, SMALL(IF((INDEX('DBX Sprint'!$A$7:$K$62, ,19)&lt;=(TODAY()+10))*(INDEX('DBX Sprint'!$A$7:$K$62, ,19)&gt;(TODAY()+5)),MATCH(ROW('DBX Sprint'!$A$7:$K$62),ROW('DBX Sprint'!$A$7:$K$62)),""),ROWS($S$34:S65)),COLUMNS('DBX Sprint'!$A$1:A12)),"")</f>
        <v/>
      </c>
      <c r="U65" s="41" t="str" cm="1">
        <f t="array" ref="U65">IFERROR(INDEX('DBX Sprint'!$A$7:$K$62, SMALL(IF((INDEX('DBX Sprint'!$A$7:$K$62, ,22)=("Complete"))*(INDEX('DBX Sprint'!$A$7:$K$62, ,22)="Complete"),MATCH(ROW('DBX Sprint'!$A$7:$K$62),ROW('DBX Sprint'!$A$7:$K$62)),""),ROWS($U$34:U65)),COLUMNS('DBX Sprint'!$A$1:A12)),"")</f>
        <v/>
      </c>
      <c r="V65" s="41" t="str" cm="1">
        <f t="array" aca="1" ref="V65" ca="1">IFERROR(INDEX('DBX Sprint'!$A$7:$K$62, SMALL(IF((INDEX('DBX Sprint'!$A$7:$K$62, ,22)&lt;(TODAY()))*(INDEX('DBX Sprint'!$A$7:$K$62, ,22)&lt;&gt;"Complete"),MATCH(ROW('DBX Sprint'!$A$7:$K$62),ROW('DBX Sprint'!$A$7:$K$62)),""),ROWS($V$34:V65)),COLUMNS('DBX Sprint'!$A$1:A12)),"")</f>
        <v/>
      </c>
      <c r="W65" s="41" t="str" cm="1">
        <f t="array" aca="1" ref="W65" ca="1">IFERROR(INDEX('DBX Sprint'!$A$7:$K$62, SMALL(IF((INDEX('DBX Sprint'!$A$7:$K$62, ,22)&lt;=(TODAY()+1))*(INDEX('DBX Sprint'!$A$7:$K$62, ,22)&gt;=TODAY()),MATCH(ROW('DBX Sprint'!$A$7:$K$62),ROW('DBX Sprint'!$A$7:$K$62)),""),ROWS($W$34:W65)),COLUMNS('DBX Sprint'!$A$1:A12)),"")</f>
        <v/>
      </c>
      <c r="X65" s="43" t="str" cm="1">
        <f t="array" aca="1" ref="X65" ca="1">IFERROR(INDEX('DBX Sprint'!$A$7:$K$62, SMALL(IF((INDEX('DBX Sprint'!$A$7:$K$62, ,22)&lt;=(TODAY()+5))*(INDEX('DBX Sprint'!$A$7:$K$62, ,22)&gt;(TODAY()+1)),MATCH(ROW('DBX Sprint'!$A$7:$K$62),ROW('DBX Sprint'!$A$7:$K$62)),""),ROWS($X$34:X65)),COLUMNS('DBX Sprint'!$A$1:A12)),"")</f>
        <v/>
      </c>
      <c r="Y65" s="43" t="str" cm="1">
        <f t="array" aca="1" ref="Y65" ca="1">IFERROR(INDEX('DBX Sprint'!$A$7:$K$62, SMALL(IF((INDEX('DBX Sprint'!$A$7:$K$62, ,22)&lt;=(TODAY()+10))*(INDEX('DBX Sprint'!$A$7:$K$62, ,22)&gt;(TODAY()+5)),MATCH(ROW('DBX Sprint'!$A$7:$K$62),ROW('DBX Sprint'!$A$7:$K$62)),""),ROWS($Y$34:Y65)),COLUMNS('DBX Sprint'!$A$1:A12)),"")</f>
        <v/>
      </c>
      <c r="AA65" s="41" t="str" cm="1">
        <f t="array" ref="AA65">IFERROR(INDEX('DBX Sprint'!$A$7:$K$62, SMALL(IF((INDEX('DBX Sprint'!$A$7:$K$62, ,25)=("Complete"))*(INDEX('DBX Sprint'!$A$7:$K$62, ,25)="Complete"),MATCH(ROW('DBX Sprint'!$A$7:$K$62),ROW('DBX Sprint'!$A$7:$K$62)),""),ROWS($AA$34:AA65)),COLUMNS('DBX Sprint'!$A$1:A12)),"")</f>
        <v/>
      </c>
      <c r="AB65" s="41" t="str" cm="1">
        <f t="array" aca="1" ref="AB65" ca="1">IFERROR(INDEX('DBX Sprint'!$A$7:$K$62, SMALL(IF((INDEX('DBX Sprint'!$A$7:$K$62, ,25)&lt;(TODAY()))*(INDEX('DBX Sprint'!$A$7:$K$62, ,25)&lt;&gt;"Complete"),MATCH(ROW('DBX Sprint'!$A$7:$K$62),ROW('DBX Sprint'!$A$7:$K$62)),""),ROWS($AB$34:AB65)),COLUMNS('DBX Sprint'!$A$1:A12)),"")</f>
        <v/>
      </c>
      <c r="AC65" s="41" t="str" cm="1">
        <f t="array" aca="1" ref="AC65" ca="1">IFERROR(INDEX('DBX Sprint'!$A$7:$K$62, SMALL(IF((INDEX('DBX Sprint'!$A$7:$K$62, ,25)&lt;=(TODAY()+1))*(INDEX('DBX Sprint'!$A$7:$K$62, ,25)&gt;=TODAY()),MATCH(ROW('DBX Sprint'!$A$7:$K$62),ROW('DBX Sprint'!$A$7:$K$62)),""),ROWS($AC$34:AC65)),COLUMNS('DBX Sprint'!$A$1:A12)),"")</f>
        <v/>
      </c>
      <c r="AD65" s="43" t="str" cm="1">
        <f t="array" aca="1" ref="AD65" ca="1">IFERROR(INDEX('DBX Sprint'!$A$7:$K$62, SMALL(IF((INDEX('DBX Sprint'!$A$7:$K$62, ,25)&lt;=(TODAY()+5))*(INDEX('DBX Sprint'!$A$7:$K$62, ,25)&gt;(TODAY()+1)),MATCH(ROW('DBX Sprint'!$A$7:$K$62),ROW('DBX Sprint'!$A$7:$K$62)),""),ROWS($AD$34:AD65)),COLUMNS('DBX Sprint'!$A$1:A12)),"")</f>
        <v/>
      </c>
      <c r="AE65" s="43" t="str" cm="1">
        <f t="array" aca="1" ref="AE65" ca="1">IFERROR(INDEX('DBX Sprint'!$A$7:$K$62, SMALL(IF((INDEX('DBX Sprint'!$A$7:$K$62, ,25)&lt;=(TODAY()+10))*(INDEX('DBX Sprint'!$A$7:$K$62, ,25)&gt;(TODAY()+5)),MATCH(ROW('DBX Sprint'!$A$7:$K$62),ROW('DBX Sprint'!$A$7:$K$62)),""),ROWS($AE$34:AE65)),COLUMNS('DBX Sprint'!$A$1:A12)),"")</f>
        <v/>
      </c>
      <c r="AG65" s="41" t="str" cm="1">
        <f t="array" ref="AG65">IFERROR(INDEX('DBX Sprint'!$A$7:$K$62, SMALL(IF((INDEX('DBX Sprint'!$A$7:$K$62, ,29)=("Complete"))*(INDEX('DBX Sprint'!$A$7:$K$62, ,29)="Complete"),MATCH(ROW('DBX Sprint'!$A$7:$K$62),ROW('DBX Sprint'!$A$7:$K$62)),""),ROWS($AG$34:AG65)),COLUMNS('DBX Sprint'!$A$1:A12)),"")</f>
        <v/>
      </c>
      <c r="AH65" s="41" t="str" cm="1">
        <f t="array" aca="1" ref="AH65" ca="1">IFERROR(INDEX('DBX Sprint'!$A$7:$K$62, SMALL(IF((INDEX('DBX Sprint'!$A$7:$K$62, ,29)&lt;(TODAY()))*(INDEX('DBX Sprint'!$A$7:$K$62, ,29)&lt;&gt;"Complete"),MATCH(ROW('DBX Sprint'!$A$7:$K$62),ROW('DBX Sprint'!$A$7:$K$62)),""),ROWS($AH$34:AH65)),COLUMNS('DBX Sprint'!$A$1:A12)),"")</f>
        <v/>
      </c>
      <c r="AI65" s="41" t="str" cm="1">
        <f t="array" aca="1" ref="AI65" ca="1">IFERROR(INDEX('DBX Sprint'!$A$7:$K$62, SMALL(IF((INDEX('DBX Sprint'!$A$7:$K$62, ,29)&lt;=(TODAY()+1))*(INDEX('DBX Sprint'!$A$7:$K$62, ,29)&gt;=TODAY()),MATCH(ROW('DBX Sprint'!$A$7:$K$62),ROW('DBX Sprint'!$A$7:$K$62)),""),ROWS($AI$34:AI65)),COLUMNS('DBX Sprint'!$A$1:A12)),"")</f>
        <v/>
      </c>
      <c r="AJ65" s="43" t="str" cm="1">
        <f t="array" aca="1" ref="AJ65" ca="1">IFERROR(INDEX('DBX Sprint'!$A$7:$K$62, SMALL(IF((INDEX('DBX Sprint'!$A$7:$K$62, ,29)&lt;=(TODAY()+5))*(INDEX('DBX Sprint'!$A$7:$K$62, ,29)&gt;(TODAY()+1)),MATCH(ROW('DBX Sprint'!$A$7:$K$62),ROW('DBX Sprint'!$A$7:$K$62)),""),ROWS($AJ$34:AJ65)),COLUMNS('DBX Sprint'!$A$1:A12)),"")</f>
        <v/>
      </c>
      <c r="AK65" s="43" t="str" cm="1">
        <f t="array" aca="1" ref="AK65" ca="1">IFERROR(INDEX('DBX Sprint'!$A$7:$K$62, SMALL(IF((INDEX('DBX Sprint'!$A$7:$K$62, ,29)&lt;=(TODAY()+10))*(INDEX('DBX Sprint'!$A$7:$K$62, ,29)&gt;(TODAY()+5)),MATCH(ROW('DBX Sprint'!$A$7:$K$62),ROW('DBX Sprint'!$A$7:$K$62)),""),ROWS($AK$34:AK65)),COLUMNS('DBX Sprint'!$A$1:A12)),"")</f>
        <v/>
      </c>
      <c r="AM65" s="41" t="str" cm="1">
        <f t="array" ref="AM65">IFERROR(INDEX('DBX Sprint'!$A$7:$K$62, SMALL(IF((INDEX('DBX Sprint'!$A$7:$K$62, ,32)=("Complete"))*(INDEX('DBX Sprint'!$A$7:$K$62, ,32)="Complete"),MATCH(ROW('DBX Sprint'!$A$7:$K$62),ROW('DBX Sprint'!$A$7:$K$62)),""),ROWS($AM$34:AM65)),COLUMNS('DBX Sprint'!$A$1:A12)),"")</f>
        <v/>
      </c>
      <c r="AN65" s="41" t="str" cm="1">
        <f t="array" aca="1" ref="AN65" ca="1">IFERROR(INDEX('DBX Sprint'!$A$7:$K$62, SMALL(IF((INDEX('DBX Sprint'!$A$7:$K$62, ,32)&lt;(TODAY()))*(INDEX('DBX Sprint'!$A$7:$K$62, ,32)&lt;&gt;"Complete"),MATCH(ROW('DBX Sprint'!$A$7:$K$62),ROW('DBX Sprint'!$A$7:$K$62)),""),ROWS($AN$34:AN65)),COLUMNS('DBX Sprint'!$A$1:A12)),"")</f>
        <v/>
      </c>
      <c r="AO65" s="41" t="str" cm="1">
        <f t="array" aca="1" ref="AO65" ca="1">IFERROR(INDEX('DBX Sprint'!$A$7:$K$62, SMALL(IF((INDEX('DBX Sprint'!$A$7:$K$62, ,32)&lt;=(TODAY()+1))*(INDEX('DBX Sprint'!$A$7:$K$62, ,32)&gt;=TODAY()),MATCH(ROW('DBX Sprint'!$A$7:$K$62),ROW('DBX Sprint'!$A$7:$K$62)),""),ROWS($AO$34:AO65)),COLUMNS('DBX Sprint'!$A$1:A12)),"")</f>
        <v/>
      </c>
      <c r="AP65" s="43" t="str" cm="1">
        <f t="array" aca="1" ref="AP65" ca="1">IFERROR(INDEX('DBX Sprint'!$A$7:$K$62, SMALL(IF((INDEX('DBX Sprint'!$A$7:$K$62, ,32)&lt;=(TODAY()+5))*(INDEX('DBX Sprint'!$A$7:$K$62, ,32)&gt;(TODAY()+1)),MATCH(ROW('DBX Sprint'!$A$7:$K$62),ROW('DBX Sprint'!$A$7:$K$62)),""),ROWS($AP$34:AP65)),COLUMNS('DBX Sprint'!$A$1:A12)),"")</f>
        <v/>
      </c>
      <c r="AQ65" s="43" t="str" cm="1">
        <f t="array" aca="1" ref="AQ65" ca="1">IFERROR(INDEX('DBX Sprint'!$A$7:$K$62, SMALL(IF((INDEX('DBX Sprint'!$A$7:$K$62, ,32)&lt;=(TODAY()+10))*(INDEX('DBX Sprint'!$A$7:$K$62, ,32)&gt;(TODAY()+5)),MATCH(ROW('DBX Sprint'!$A$7:$K$62),ROW('DBX Sprint'!$A$7:$K$62)),""),ROWS($AQ$34:AQ65)),COLUMNS('DBX Sprint'!$A$1:A12)),"")</f>
        <v/>
      </c>
    </row>
    <row r="66" spans="3:43" ht="30" customHeight="1">
      <c r="C66" s="41" t="str" cm="1">
        <f t="array" ref="C66">IFERROR(INDEX('DBX Sprint'!$A$7:$K$62, SMALL(IF((INDEX('DBX Sprint'!$A$7:$K$62, ,13)=("Complete"))*(INDEX('DBX Sprint'!$A$7:$K$62, ,13)="Complete"),MATCH(ROW('DBX Sprint'!$A$7:$K$62),ROW('DBX Sprint'!$A$7:$K$62)),""),ROWS(C$34:$C66)),COLUMNS('DBX Sprint'!$A$1:A12)),"")</f>
        <v/>
      </c>
      <c r="D66" s="41" t="str" cm="1">
        <f t="array" aca="1" ref="D66" ca="1">IFERROR(INDEX('DBX Sprint'!$A$7:$K$62, SMALL(IF((INDEX('DBX Sprint'!$A$7:$K$62, ,13)&lt;(TODAY()))*(INDEX('DBX Sprint'!$A$7:$K$62, ,13)&lt;&gt;"Complete"),MATCH(ROW('DBX Sprint'!$A$7:$K$62),ROW('DBX Sprint'!$A$7:$K$62)),""),ROWS(D$34:$D66)),COLUMNS('DBX Sprint'!$A$1:A12)),"")</f>
        <v/>
      </c>
      <c r="E66" s="41" t="str" cm="1">
        <f t="array" aca="1" ref="E66" ca="1">IFERROR(INDEX('DBX Sprint'!$A$7:$K$62, SMALL(IF((INDEX('DBX Sprint'!$A$7:$K$62, ,13)&lt;=(TODAY()+1))*(INDEX('DBX Sprint'!$A$7:$K$62, ,13)&gt;=TODAY()),MATCH(ROW('DBX Sprint'!$A$7:$K$62),ROW('DBX Sprint'!$A$7:$K$62)),""),ROWS(E$34:$E66)),COLUMNS('DBX Sprint'!$A$1:A12)),"")</f>
        <v/>
      </c>
      <c r="F66" s="43" t="str" cm="1">
        <f t="array" aca="1" ref="F66" ca="1">IFERROR(INDEX('DBX Sprint'!$A$7:$K$62, SMALL(IF((INDEX('DBX Sprint'!$A$7:$K$62, ,13)&lt;=(TODAY()+5))*(INDEX('DBX Sprint'!$A$7:$K$62, ,13)&gt;(TODAY()+1)),MATCH(ROW('DBX Sprint'!$A$7:$K$62),ROW('DBX Sprint'!$A$7:$K$62)),""),ROWS($F$34:F66)),COLUMNS('DBX Sprint'!$A$1:A12)),"")</f>
        <v/>
      </c>
      <c r="G66" s="43" t="str" cm="1">
        <f t="array" aca="1" ref="G66" ca="1">IFERROR(INDEX('DBX Sprint'!$A$7:$K$62, SMALL(IF((INDEX('DBX Sprint'!$A$7:$K$62, ,13)&lt;=(TODAY()+10))*(INDEX('DBX Sprint'!$A$7:$K$62, ,13)&gt;(TODAY()+5)),MATCH(ROW('DBX Sprint'!$A$7:$K$62),ROW('DBX Sprint'!$A$7:$K$62)),""),ROWS($G$34:G66)),COLUMNS('DBX Sprint'!$A$1:A12)),"")</f>
        <v/>
      </c>
      <c r="I66" s="41" t="str" cm="1">
        <f t="array" ref="I66">IFERROR(INDEX('DBX Sprint'!$A$7:$K$62, SMALL(IF((INDEX('DBX Sprint'!$A$7:$K$62, ,16)=("Complete"))*(INDEX('DBX Sprint'!$A$7:$K$62, ,16)="Complete"),MATCH(ROW('DBX Sprint'!$A$7:$K$62),ROW('DBX Sprint'!$A$7:$K$62)),""),ROWS($I$34:I66)),COLUMNS('DBX Sprint'!$A$1:A12)),"")</f>
        <v/>
      </c>
      <c r="J66" s="41" t="str" cm="1">
        <f t="array" aca="1" ref="J66" ca="1">IFERROR(INDEX('DBX Sprint'!$A$7:$K$62, SMALL(IF((INDEX('DBX Sprint'!$A$7:$K$62, ,16)&lt;(TODAY()))*(INDEX('DBX Sprint'!$A$7:$K$62, ,16)&lt;&gt;"Complete"),MATCH(ROW('DBX Sprint'!$A$7:$K$62),ROW('DBX Sprint'!$A$7:$K$62)),""),ROWS($J$34:J66)),COLUMNS('DBX Sprint'!$A$1:A12)),"")</f>
        <v/>
      </c>
      <c r="K66" s="37" t="str" cm="1">
        <f t="array" aca="1" ref="K66" ca="1">IFERROR(INDEX('DBX Sprint'!$A$7:$K$62, SMALL(IF((INDEX('DBX Sprint'!$A$7:$K$62, ,16)&lt;=(TODAY()+1))*(INDEX('DBX Sprint'!$A$7:$K$62, ,16)&gt;=TODAY()),MATCH(ROW('DBX Sprint'!$A$7:$K$62),ROW('DBX Sprint'!$A$7:$K$62)),""),ROWS($K$34:K66)),COLUMNS('DBX Sprint'!$A$1:A12)),"")</f>
        <v/>
      </c>
      <c r="L66" s="38" t="str" cm="1">
        <f t="array" aca="1" ref="L66" ca="1">IFERROR(INDEX('DBX Sprint'!$A$7:$K$62, SMALL(IF((INDEX('DBX Sprint'!$A$7:$K$62, ,16)&lt;=(TODAY()+5))*(INDEX('DBX Sprint'!$A$7:$K$62, ,16)&gt;(TODAY()+1)),MATCH(ROW('DBX Sprint'!$A$7:$K$62),ROW('DBX Sprint'!$A$7:$K$62)),""),ROWS($L$34:L66)),COLUMNS('DBX Sprint'!$A$1:A12)),"")</f>
        <v/>
      </c>
      <c r="M66" s="43" t="str" cm="1">
        <f t="array" aca="1" ref="M66" ca="1">IFERROR(INDEX('DBX Sprint'!$A$7:$K$62, SMALL(IF((INDEX('DBX Sprint'!$A$7:$K$62, ,16)&lt;=(TODAY()+10))*(INDEX('DBX Sprint'!$A$7:$K$62, ,16)&gt;(TODAY()+5)),MATCH(ROW('DBX Sprint'!$A$7:$K$62),ROW('DBX Sprint'!$A$7:$K$62)),""),ROWS($M$34:M66)),COLUMNS('DBX Sprint'!$A$1:A12)),"")</f>
        <v/>
      </c>
      <c r="P66" s="41" t="str" cm="1">
        <f t="array" aca="1" ref="P66" ca="1">IFERROR(INDEX('DBX Sprint'!$A$7:$K$62, SMALL(IF((INDEX('DBX Sprint'!$A$7:$K$62, ,19)&lt;(TODAY()))*(INDEX('DBX Sprint'!$A$7:$K$62, ,19)&lt;&gt;"Complete"),MATCH(ROW('DBX Sprint'!$A$7:$K$62),ROW('DBX Sprint'!$A$7:$K$62)),""),ROWS($P$34:P66)),COLUMNS('DBX Sprint'!$A$1:A12)),"")</f>
        <v/>
      </c>
      <c r="Q66" s="41" t="str" cm="1">
        <f t="array" aca="1" ref="Q66" ca="1">IFERROR(INDEX('DBX Sprint'!$A$7:$K$62, SMALL(IF((INDEX('DBX Sprint'!$A$7:$K$62, ,19)&lt;=(TODAY()+1))*(INDEX('DBX Sprint'!$A$7:$K$62, ,19)&gt;=TODAY()),MATCH(ROW('DBX Sprint'!$A$7:$K$62),ROW('DBX Sprint'!$A$7:$K$62)),""),ROWS($Q$34:Q66)),COLUMNS('DBX Sprint'!$A$1:A12)),"")</f>
        <v/>
      </c>
      <c r="R66" s="43" t="str" cm="1">
        <f t="array" aca="1" ref="R66" ca="1">IFERROR(INDEX('DBX Sprint'!$A$7:$K$62, SMALL(IF((INDEX('DBX Sprint'!$A$7:$K$62, ,19)&lt;=(TODAY()+5))*(INDEX('DBX Sprint'!$A$7:$K$62, ,19)&gt;(TODAY()+1)),MATCH(ROW('DBX Sprint'!$A$7:$K$62),ROW('DBX Sprint'!$A$7:$K$62)),""),ROWS($R$34:R66)),COLUMNS('DBX Sprint'!$A$1:A12)),"")</f>
        <v/>
      </c>
      <c r="S66" s="43" t="str" cm="1">
        <f t="array" aca="1" ref="S66" ca="1">IFERROR(INDEX('DBX Sprint'!$A$7:$K$62, SMALL(IF((INDEX('DBX Sprint'!$A$7:$K$62, ,19)&lt;=(TODAY()+10))*(INDEX('DBX Sprint'!$A$7:$K$62, ,19)&gt;(TODAY()+5)),MATCH(ROW('DBX Sprint'!$A$7:$K$62),ROW('DBX Sprint'!$A$7:$K$62)),""),ROWS($S$34:S66)),COLUMNS('DBX Sprint'!$A$1:A12)),"")</f>
        <v/>
      </c>
      <c r="U66" s="41" t="str" cm="1">
        <f t="array" ref="U66">IFERROR(INDEX('DBX Sprint'!$A$7:$K$62, SMALL(IF((INDEX('DBX Sprint'!$A$7:$K$62, ,22)=("Complete"))*(INDEX('DBX Sprint'!$A$7:$K$62, ,22)="Complete"),MATCH(ROW('DBX Sprint'!$A$7:$K$62),ROW('DBX Sprint'!$A$7:$K$62)),""),ROWS($U$34:U66)),COLUMNS('DBX Sprint'!$A$1:A12)),"")</f>
        <v/>
      </c>
      <c r="V66" s="41" t="str" cm="1">
        <f t="array" aca="1" ref="V66" ca="1">IFERROR(INDEX('DBX Sprint'!$A$7:$K$62, SMALL(IF((INDEX('DBX Sprint'!$A$7:$K$62, ,22)&lt;(TODAY()))*(INDEX('DBX Sprint'!$A$7:$K$62, ,22)&lt;&gt;"Complete"),MATCH(ROW('DBX Sprint'!$A$7:$K$62),ROW('DBX Sprint'!$A$7:$K$62)),""),ROWS($V$34:V66)),COLUMNS('DBX Sprint'!$A$1:A12)),"")</f>
        <v/>
      </c>
      <c r="W66" s="41" t="str" cm="1">
        <f t="array" aca="1" ref="W66" ca="1">IFERROR(INDEX('DBX Sprint'!$A$7:$K$62, SMALL(IF((INDEX('DBX Sprint'!$A$7:$K$62, ,22)&lt;=(TODAY()+1))*(INDEX('DBX Sprint'!$A$7:$K$62, ,22)&gt;=TODAY()),MATCH(ROW('DBX Sprint'!$A$7:$K$62),ROW('DBX Sprint'!$A$7:$K$62)),""),ROWS($W$34:W66)),COLUMNS('DBX Sprint'!$A$1:A12)),"")</f>
        <v/>
      </c>
      <c r="X66" s="43" t="str" cm="1">
        <f t="array" aca="1" ref="X66" ca="1">IFERROR(INDEX('DBX Sprint'!$A$7:$K$62, SMALL(IF((INDEX('DBX Sprint'!$A$7:$K$62, ,22)&lt;=(TODAY()+5))*(INDEX('DBX Sprint'!$A$7:$K$62, ,22)&gt;(TODAY()+1)),MATCH(ROW('DBX Sprint'!$A$7:$K$62),ROW('DBX Sprint'!$A$7:$K$62)),""),ROWS($X$34:X66)),COLUMNS('DBX Sprint'!$A$1:A12)),"")</f>
        <v/>
      </c>
      <c r="Y66" s="43" t="str" cm="1">
        <f t="array" aca="1" ref="Y66" ca="1">IFERROR(INDEX('DBX Sprint'!$A$7:$K$62, SMALL(IF((INDEX('DBX Sprint'!$A$7:$K$62, ,22)&lt;=(TODAY()+10))*(INDEX('DBX Sprint'!$A$7:$K$62, ,22)&gt;(TODAY()+5)),MATCH(ROW('DBX Sprint'!$A$7:$K$62),ROW('DBX Sprint'!$A$7:$K$62)),""),ROWS($Y$34:Y66)),COLUMNS('DBX Sprint'!$A$1:A12)),"")</f>
        <v/>
      </c>
      <c r="AA66" s="41" t="str" cm="1">
        <f t="array" ref="AA66">IFERROR(INDEX('DBX Sprint'!$A$7:$K$62, SMALL(IF((INDEX('DBX Sprint'!$A$7:$K$62, ,25)=("Complete"))*(INDEX('DBX Sprint'!$A$7:$K$62, ,25)="Complete"),MATCH(ROW('DBX Sprint'!$A$7:$K$62),ROW('DBX Sprint'!$A$7:$K$62)),""),ROWS($AA$34:AA66)),COLUMNS('DBX Sprint'!$A$1:A12)),"")</f>
        <v/>
      </c>
      <c r="AB66" s="41" t="str" cm="1">
        <f t="array" aca="1" ref="AB66" ca="1">IFERROR(INDEX('DBX Sprint'!$A$7:$K$62, SMALL(IF((INDEX('DBX Sprint'!$A$7:$K$62, ,25)&lt;(TODAY()))*(INDEX('DBX Sprint'!$A$7:$K$62, ,25)&lt;&gt;"Complete"),MATCH(ROW('DBX Sprint'!$A$7:$K$62),ROW('DBX Sprint'!$A$7:$K$62)),""),ROWS($AB$34:AB66)),COLUMNS('DBX Sprint'!$A$1:A12)),"")</f>
        <v/>
      </c>
      <c r="AC66" s="41" t="str" cm="1">
        <f t="array" aca="1" ref="AC66" ca="1">IFERROR(INDEX('DBX Sprint'!$A$7:$K$62, SMALL(IF((INDEX('DBX Sprint'!$A$7:$K$62, ,25)&lt;=(TODAY()+1))*(INDEX('DBX Sprint'!$A$7:$K$62, ,25)&gt;=TODAY()),MATCH(ROW('DBX Sprint'!$A$7:$K$62),ROW('DBX Sprint'!$A$7:$K$62)),""),ROWS($AC$34:AC66)),COLUMNS('DBX Sprint'!$A$1:A12)),"")</f>
        <v/>
      </c>
      <c r="AD66" s="43" t="str" cm="1">
        <f t="array" aca="1" ref="AD66" ca="1">IFERROR(INDEX('DBX Sprint'!$A$7:$K$62, SMALL(IF((INDEX('DBX Sprint'!$A$7:$K$62, ,25)&lt;=(TODAY()+5))*(INDEX('DBX Sprint'!$A$7:$K$62, ,25)&gt;(TODAY()+1)),MATCH(ROW('DBX Sprint'!$A$7:$K$62),ROW('DBX Sprint'!$A$7:$K$62)),""),ROWS($AD$34:AD66)),COLUMNS('DBX Sprint'!$A$1:A12)),"")</f>
        <v/>
      </c>
      <c r="AE66" s="43" t="str" cm="1">
        <f t="array" aca="1" ref="AE66" ca="1">IFERROR(INDEX('DBX Sprint'!$A$7:$K$62, SMALL(IF((INDEX('DBX Sprint'!$A$7:$K$62, ,25)&lt;=(TODAY()+10))*(INDEX('DBX Sprint'!$A$7:$K$62, ,25)&gt;(TODAY()+5)),MATCH(ROW('DBX Sprint'!$A$7:$K$62),ROW('DBX Sprint'!$A$7:$K$62)),""),ROWS($AE$34:AE66)),COLUMNS('DBX Sprint'!$A$1:A12)),"")</f>
        <v/>
      </c>
      <c r="AG66" s="41" t="str" cm="1">
        <f t="array" ref="AG66">IFERROR(INDEX('DBX Sprint'!$A$7:$K$62, SMALL(IF((INDEX('DBX Sprint'!$A$7:$K$62, ,29)=("Complete"))*(INDEX('DBX Sprint'!$A$7:$K$62, ,29)="Complete"),MATCH(ROW('DBX Sprint'!$A$7:$K$62),ROW('DBX Sprint'!$A$7:$K$62)),""),ROWS($AG$34:AG66)),COLUMNS('DBX Sprint'!$A$1:A12)),"")</f>
        <v/>
      </c>
      <c r="AH66" s="41" t="str" cm="1">
        <f t="array" aca="1" ref="AH66" ca="1">IFERROR(INDEX('DBX Sprint'!$A$7:$K$62, SMALL(IF((INDEX('DBX Sprint'!$A$7:$K$62, ,29)&lt;(TODAY()))*(INDEX('DBX Sprint'!$A$7:$K$62, ,29)&lt;&gt;"Complete"),MATCH(ROW('DBX Sprint'!$A$7:$K$62),ROW('DBX Sprint'!$A$7:$K$62)),""),ROWS($AH$34:AH66)),COLUMNS('DBX Sprint'!$A$1:A12)),"")</f>
        <v/>
      </c>
      <c r="AI66" s="41" t="str" cm="1">
        <f t="array" aca="1" ref="AI66" ca="1">IFERROR(INDEX('DBX Sprint'!$A$7:$K$62, SMALL(IF((INDEX('DBX Sprint'!$A$7:$K$62, ,29)&lt;=(TODAY()+1))*(INDEX('DBX Sprint'!$A$7:$K$62, ,29)&gt;=TODAY()),MATCH(ROW('DBX Sprint'!$A$7:$K$62),ROW('DBX Sprint'!$A$7:$K$62)),""),ROWS($AI$34:AI66)),COLUMNS('DBX Sprint'!$A$1:A12)),"")</f>
        <v/>
      </c>
      <c r="AJ66" s="43" t="str" cm="1">
        <f t="array" aca="1" ref="AJ66" ca="1">IFERROR(INDEX('DBX Sprint'!$A$7:$K$62, SMALL(IF((INDEX('DBX Sprint'!$A$7:$K$62, ,29)&lt;=(TODAY()+5))*(INDEX('DBX Sprint'!$A$7:$K$62, ,29)&gt;(TODAY()+1)),MATCH(ROW('DBX Sprint'!$A$7:$K$62),ROW('DBX Sprint'!$A$7:$K$62)),""),ROWS($AJ$34:AJ66)),COLUMNS('DBX Sprint'!$A$1:A12)),"")</f>
        <v/>
      </c>
      <c r="AK66" s="43" t="str" cm="1">
        <f t="array" aca="1" ref="AK66" ca="1">IFERROR(INDEX('DBX Sprint'!$A$7:$K$62, SMALL(IF((INDEX('DBX Sprint'!$A$7:$K$62, ,29)&lt;=(TODAY()+10))*(INDEX('DBX Sprint'!$A$7:$K$62, ,29)&gt;(TODAY()+5)),MATCH(ROW('DBX Sprint'!$A$7:$K$62),ROW('DBX Sprint'!$A$7:$K$62)),""),ROWS($AK$34:AK66)),COLUMNS('DBX Sprint'!$A$1:A12)),"")</f>
        <v/>
      </c>
      <c r="AM66" s="41" t="str" cm="1">
        <f t="array" ref="AM66">IFERROR(INDEX('DBX Sprint'!$A$7:$K$62, SMALL(IF((INDEX('DBX Sprint'!$A$7:$K$62, ,32)=("Complete"))*(INDEX('DBX Sprint'!$A$7:$K$62, ,32)="Complete"),MATCH(ROW('DBX Sprint'!$A$7:$K$62),ROW('DBX Sprint'!$A$7:$K$62)),""),ROWS($AM$34:AM66)),COLUMNS('DBX Sprint'!$A$1:A12)),"")</f>
        <v/>
      </c>
      <c r="AN66" s="41" t="str" cm="1">
        <f t="array" aca="1" ref="AN66" ca="1">IFERROR(INDEX('DBX Sprint'!$A$7:$K$62, SMALL(IF((INDEX('DBX Sprint'!$A$7:$K$62, ,32)&lt;(TODAY()))*(INDEX('DBX Sprint'!$A$7:$K$62, ,32)&lt;&gt;"Complete"),MATCH(ROW('DBX Sprint'!$A$7:$K$62),ROW('DBX Sprint'!$A$7:$K$62)),""),ROWS($AN$34:AN66)),COLUMNS('DBX Sprint'!$A$1:A12)),"")</f>
        <v/>
      </c>
      <c r="AO66" s="41" t="str" cm="1">
        <f t="array" aca="1" ref="AO66" ca="1">IFERROR(INDEX('DBX Sprint'!$A$7:$K$62, SMALL(IF((INDEX('DBX Sprint'!$A$7:$K$62, ,32)&lt;=(TODAY()+1))*(INDEX('DBX Sprint'!$A$7:$K$62, ,32)&gt;=TODAY()),MATCH(ROW('DBX Sprint'!$A$7:$K$62),ROW('DBX Sprint'!$A$7:$K$62)),""),ROWS($AO$34:AO66)),COLUMNS('DBX Sprint'!$A$1:A12)),"")</f>
        <v/>
      </c>
      <c r="AP66" s="43" t="str" cm="1">
        <f t="array" aca="1" ref="AP66" ca="1">IFERROR(INDEX('DBX Sprint'!$A$7:$K$62, SMALL(IF((INDEX('DBX Sprint'!$A$7:$K$62, ,32)&lt;=(TODAY()+5))*(INDEX('DBX Sprint'!$A$7:$K$62, ,32)&gt;(TODAY()+1)),MATCH(ROW('DBX Sprint'!$A$7:$K$62),ROW('DBX Sprint'!$A$7:$K$62)),""),ROWS($AP$34:AP66)),COLUMNS('DBX Sprint'!$A$1:A12)),"")</f>
        <v/>
      </c>
      <c r="AQ66" s="43" t="str" cm="1">
        <f t="array" aca="1" ref="AQ66" ca="1">IFERROR(INDEX('DBX Sprint'!$A$7:$K$62, SMALL(IF((INDEX('DBX Sprint'!$A$7:$K$62, ,32)&lt;=(TODAY()+10))*(INDEX('DBX Sprint'!$A$7:$K$62, ,32)&gt;(TODAY()+5)),MATCH(ROW('DBX Sprint'!$A$7:$K$62),ROW('DBX Sprint'!$A$7:$K$62)),""),ROWS($AQ$34:AQ66)),COLUMNS('DBX Sprint'!$A$1:A12)),"")</f>
        <v/>
      </c>
    </row>
    <row r="67" spans="3:43" ht="30" customHeight="1">
      <c r="C67" s="41" t="str" cm="1">
        <f t="array" ref="C67">IFERROR(INDEX('DBX Sprint'!$A$7:$K$62, SMALL(IF((INDEX('DBX Sprint'!$A$7:$K$62, ,13)=("Complete"))*(INDEX('DBX Sprint'!$A$7:$K$62, ,13)="Complete"),MATCH(ROW('DBX Sprint'!$A$7:$K$62),ROW('DBX Sprint'!$A$7:$K$62)),""),ROWS(C$34:$C67)),COLUMNS('DBX Sprint'!$A$1:A12)),"")</f>
        <v/>
      </c>
      <c r="D67" s="41" t="str" cm="1">
        <f t="array" aca="1" ref="D67" ca="1">IFERROR(INDEX('DBX Sprint'!$A$7:$K$62, SMALL(IF((INDEX('DBX Sprint'!$A$7:$K$62, ,13)&lt;(TODAY()))*(INDEX('DBX Sprint'!$A$7:$K$62, ,13)&lt;&gt;"Complete"),MATCH(ROW('DBX Sprint'!$A$7:$K$62),ROW('DBX Sprint'!$A$7:$K$62)),""),ROWS(D$34:$D67)),COLUMNS('DBX Sprint'!$A$1:A12)),"")</f>
        <v/>
      </c>
      <c r="E67" s="41" t="str" cm="1">
        <f t="array" aca="1" ref="E67" ca="1">IFERROR(INDEX('DBX Sprint'!$A$7:$K$62, SMALL(IF((INDEX('DBX Sprint'!$A$7:$K$62, ,13)&lt;=(TODAY()+1))*(INDEX('DBX Sprint'!$A$7:$K$62, ,13)&gt;=TODAY()),MATCH(ROW('DBX Sprint'!$A$7:$K$62),ROW('DBX Sprint'!$A$7:$K$62)),""),ROWS(E$34:$E67)),COLUMNS('DBX Sprint'!$A$1:A12)),"")</f>
        <v/>
      </c>
      <c r="F67" s="43" t="str" cm="1">
        <f t="array" aca="1" ref="F67" ca="1">IFERROR(INDEX('DBX Sprint'!$A$7:$K$62, SMALL(IF((INDEX('DBX Sprint'!$A$7:$K$62, ,13)&lt;=(TODAY()+5))*(INDEX('DBX Sprint'!$A$7:$K$62, ,13)&gt;(TODAY()+1)),MATCH(ROW('DBX Sprint'!$A$7:$K$62),ROW('DBX Sprint'!$A$7:$K$62)),""),ROWS($F$34:F67)),COLUMNS('DBX Sprint'!$A$1:A12)),"")</f>
        <v/>
      </c>
      <c r="G67" s="43" t="str" cm="1">
        <f t="array" aca="1" ref="G67" ca="1">IFERROR(INDEX('DBX Sprint'!$A$7:$K$62, SMALL(IF((INDEX('DBX Sprint'!$A$7:$K$62, ,13)&lt;=(TODAY()+10))*(INDEX('DBX Sprint'!$A$7:$K$62, ,13)&gt;(TODAY()+5)),MATCH(ROW('DBX Sprint'!$A$7:$K$62),ROW('DBX Sprint'!$A$7:$K$62)),""),ROWS($G$34:G67)),COLUMNS('DBX Sprint'!$A$1:A12)),"")</f>
        <v/>
      </c>
      <c r="I67" s="41" t="str" cm="1">
        <f t="array" ref="I67">IFERROR(INDEX('DBX Sprint'!$A$7:$K$62, SMALL(IF((INDEX('DBX Sprint'!$A$7:$K$62, ,16)=("Complete"))*(INDEX('DBX Sprint'!$A$7:$K$62, ,16)="Complete"),MATCH(ROW('DBX Sprint'!$A$7:$K$62),ROW('DBX Sprint'!$A$7:$K$62)),""),ROWS($I$34:I67)),COLUMNS('DBX Sprint'!$A$1:A12)),"")</f>
        <v/>
      </c>
      <c r="J67" s="41" t="str" cm="1">
        <f t="array" aca="1" ref="J67" ca="1">IFERROR(INDEX('DBX Sprint'!$A$7:$K$62, SMALL(IF((INDEX('DBX Sprint'!$A$7:$K$62, ,16)&lt;(TODAY()))*(INDEX('DBX Sprint'!$A$7:$K$62, ,16)&lt;&gt;"Complete"),MATCH(ROW('DBX Sprint'!$A$7:$K$62),ROW('DBX Sprint'!$A$7:$K$62)),""),ROWS($J$34:J67)),COLUMNS('DBX Sprint'!$A$1:A12)),"")</f>
        <v/>
      </c>
      <c r="K67" s="37" t="str" cm="1">
        <f t="array" aca="1" ref="K67" ca="1">IFERROR(INDEX('DBX Sprint'!$A$7:$K$62, SMALL(IF((INDEX('DBX Sprint'!$A$7:$K$62, ,16)&lt;=(TODAY()+1))*(INDEX('DBX Sprint'!$A$7:$K$62, ,16)&gt;=TODAY()),MATCH(ROW('DBX Sprint'!$A$7:$K$62),ROW('DBX Sprint'!$A$7:$K$62)),""),ROWS($K$34:K67)),COLUMNS('DBX Sprint'!$A$1:A12)),"")</f>
        <v/>
      </c>
      <c r="L67" s="38" t="str" cm="1">
        <f t="array" aca="1" ref="L67" ca="1">IFERROR(INDEX('DBX Sprint'!$A$7:$K$62, SMALL(IF((INDEX('DBX Sprint'!$A$7:$K$62, ,16)&lt;=(TODAY()+5))*(INDEX('DBX Sprint'!$A$7:$K$62, ,16)&gt;(TODAY()+1)),MATCH(ROW('DBX Sprint'!$A$7:$K$62),ROW('DBX Sprint'!$A$7:$K$62)),""),ROWS($L$34:L67)),COLUMNS('DBX Sprint'!$A$1:A12)),"")</f>
        <v/>
      </c>
      <c r="M67" s="43" t="str" cm="1">
        <f t="array" aca="1" ref="M67" ca="1">IFERROR(INDEX('DBX Sprint'!$A$7:$K$62, SMALL(IF((INDEX('DBX Sprint'!$A$7:$K$62, ,16)&lt;=(TODAY()+10))*(INDEX('DBX Sprint'!$A$7:$K$62, ,16)&gt;(TODAY()+5)),MATCH(ROW('DBX Sprint'!$A$7:$K$62),ROW('DBX Sprint'!$A$7:$K$62)),""),ROWS($M$34:M67)),COLUMNS('DBX Sprint'!$A$1:A12)),"")</f>
        <v/>
      </c>
      <c r="P67" s="41" t="str" cm="1">
        <f t="array" aca="1" ref="P67" ca="1">IFERROR(INDEX('DBX Sprint'!$A$7:$K$62, SMALL(IF((INDEX('DBX Sprint'!$A$7:$K$62, ,19)&lt;(TODAY()))*(INDEX('DBX Sprint'!$A$7:$K$62, ,19)&lt;&gt;"Complete"),MATCH(ROW('DBX Sprint'!$A$7:$K$62),ROW('DBX Sprint'!$A$7:$K$62)),""),ROWS($P$34:P67)),COLUMNS('DBX Sprint'!$A$1:A12)),"")</f>
        <v/>
      </c>
      <c r="Q67" s="41" t="str" cm="1">
        <f t="array" aca="1" ref="Q67" ca="1">IFERROR(INDEX('DBX Sprint'!$A$7:$K$62, SMALL(IF((INDEX('DBX Sprint'!$A$7:$K$62, ,19)&lt;=(TODAY()+1))*(INDEX('DBX Sprint'!$A$7:$K$62, ,19)&gt;=TODAY()),MATCH(ROW('DBX Sprint'!$A$7:$K$62),ROW('DBX Sprint'!$A$7:$K$62)),""),ROWS($Q$34:Q67)),COLUMNS('DBX Sprint'!$A$1:A12)),"")</f>
        <v/>
      </c>
      <c r="R67" s="43" t="str" cm="1">
        <f t="array" aca="1" ref="R67" ca="1">IFERROR(INDEX('DBX Sprint'!$A$7:$K$62, SMALL(IF((INDEX('DBX Sprint'!$A$7:$K$62, ,19)&lt;=(TODAY()+5))*(INDEX('DBX Sprint'!$A$7:$K$62, ,19)&gt;(TODAY()+1)),MATCH(ROW('DBX Sprint'!$A$7:$K$62),ROW('DBX Sprint'!$A$7:$K$62)),""),ROWS($R$34:R67)),COLUMNS('DBX Sprint'!$A$1:A12)),"")</f>
        <v/>
      </c>
      <c r="S67" s="43" t="str" cm="1">
        <f t="array" aca="1" ref="S67" ca="1">IFERROR(INDEX('DBX Sprint'!$A$7:$K$62, SMALL(IF((INDEX('DBX Sprint'!$A$7:$K$62, ,19)&lt;=(TODAY()+10))*(INDEX('DBX Sprint'!$A$7:$K$62, ,19)&gt;(TODAY()+5)),MATCH(ROW('DBX Sprint'!$A$7:$K$62),ROW('DBX Sprint'!$A$7:$K$62)),""),ROWS($S$34:S67)),COLUMNS('DBX Sprint'!$A$1:A12)),"")</f>
        <v/>
      </c>
      <c r="U67" s="41" t="str" cm="1">
        <f t="array" ref="U67">IFERROR(INDEX('DBX Sprint'!$A$7:$K$62, SMALL(IF((INDEX('DBX Sprint'!$A$7:$K$62, ,22)=("Complete"))*(INDEX('DBX Sprint'!$A$7:$K$62, ,22)="Complete"),MATCH(ROW('DBX Sprint'!$A$7:$K$62),ROW('DBX Sprint'!$A$7:$K$62)),""),ROWS($U$34:U67)),COLUMNS('DBX Sprint'!$A$1:A12)),"")</f>
        <v/>
      </c>
      <c r="V67" s="41" t="str" cm="1">
        <f t="array" aca="1" ref="V67" ca="1">IFERROR(INDEX('DBX Sprint'!$A$7:$K$62, SMALL(IF((INDEX('DBX Sprint'!$A$7:$K$62, ,22)&lt;(TODAY()))*(INDEX('DBX Sprint'!$A$7:$K$62, ,22)&lt;&gt;"Complete"),MATCH(ROW('DBX Sprint'!$A$7:$K$62),ROW('DBX Sprint'!$A$7:$K$62)),""),ROWS($V$34:V67)),COLUMNS('DBX Sprint'!$A$1:A12)),"")</f>
        <v/>
      </c>
      <c r="W67" s="41" t="str" cm="1">
        <f t="array" aca="1" ref="W67" ca="1">IFERROR(INDEX('DBX Sprint'!$A$7:$K$62, SMALL(IF((INDEX('DBX Sprint'!$A$7:$K$62, ,22)&lt;=(TODAY()+1))*(INDEX('DBX Sprint'!$A$7:$K$62, ,22)&gt;=TODAY()),MATCH(ROW('DBX Sprint'!$A$7:$K$62),ROW('DBX Sprint'!$A$7:$K$62)),""),ROWS($W$34:W67)),COLUMNS('DBX Sprint'!$A$1:A12)),"")</f>
        <v/>
      </c>
      <c r="X67" s="43" t="str" cm="1">
        <f t="array" aca="1" ref="X67" ca="1">IFERROR(INDEX('DBX Sprint'!$A$7:$K$62, SMALL(IF((INDEX('DBX Sprint'!$A$7:$K$62, ,22)&lt;=(TODAY()+5))*(INDEX('DBX Sprint'!$A$7:$K$62, ,22)&gt;(TODAY()+1)),MATCH(ROW('DBX Sprint'!$A$7:$K$62),ROW('DBX Sprint'!$A$7:$K$62)),""),ROWS($X$34:X67)),COLUMNS('DBX Sprint'!$A$1:A12)),"")</f>
        <v/>
      </c>
      <c r="Y67" s="43" t="str" cm="1">
        <f t="array" aca="1" ref="Y67" ca="1">IFERROR(INDEX('DBX Sprint'!$A$7:$K$62, SMALL(IF((INDEX('DBX Sprint'!$A$7:$K$62, ,22)&lt;=(TODAY()+10))*(INDEX('DBX Sprint'!$A$7:$K$62, ,22)&gt;(TODAY()+5)),MATCH(ROW('DBX Sprint'!$A$7:$K$62),ROW('DBX Sprint'!$A$7:$K$62)),""),ROWS($Y$34:Y67)),COLUMNS('DBX Sprint'!$A$1:A12)),"")</f>
        <v/>
      </c>
      <c r="AA67" s="41" t="str" cm="1">
        <f t="array" ref="AA67">IFERROR(INDEX('DBX Sprint'!$A$7:$K$62, SMALL(IF((INDEX('DBX Sprint'!$A$7:$K$62, ,25)=("Complete"))*(INDEX('DBX Sprint'!$A$7:$K$62, ,25)="Complete"),MATCH(ROW('DBX Sprint'!$A$7:$K$62),ROW('DBX Sprint'!$A$7:$K$62)),""),ROWS($AA$34:AA67)),COLUMNS('DBX Sprint'!$A$1:A12)),"")</f>
        <v/>
      </c>
      <c r="AB67" s="41" t="str" cm="1">
        <f t="array" aca="1" ref="AB67" ca="1">IFERROR(INDEX('DBX Sprint'!$A$7:$K$62, SMALL(IF((INDEX('DBX Sprint'!$A$7:$K$62, ,25)&lt;(TODAY()))*(INDEX('DBX Sprint'!$A$7:$K$62, ,25)&lt;&gt;"Complete"),MATCH(ROW('DBX Sprint'!$A$7:$K$62),ROW('DBX Sprint'!$A$7:$K$62)),""),ROWS($AB$34:AB67)),COLUMNS('DBX Sprint'!$A$1:A12)),"")</f>
        <v/>
      </c>
      <c r="AC67" s="41" t="str" cm="1">
        <f t="array" aca="1" ref="AC67" ca="1">IFERROR(INDEX('DBX Sprint'!$A$7:$K$62, SMALL(IF((INDEX('DBX Sprint'!$A$7:$K$62, ,25)&lt;=(TODAY()+1))*(INDEX('DBX Sprint'!$A$7:$K$62, ,25)&gt;=TODAY()),MATCH(ROW('DBX Sprint'!$A$7:$K$62),ROW('DBX Sprint'!$A$7:$K$62)),""),ROWS($AC$34:AC67)),COLUMNS('DBX Sprint'!$A$1:A12)),"")</f>
        <v/>
      </c>
      <c r="AD67" s="43" t="str" cm="1">
        <f t="array" aca="1" ref="AD67" ca="1">IFERROR(INDEX('DBX Sprint'!$A$7:$K$62, SMALL(IF((INDEX('DBX Sprint'!$A$7:$K$62, ,25)&lt;=(TODAY()+5))*(INDEX('DBX Sprint'!$A$7:$K$62, ,25)&gt;(TODAY()+1)),MATCH(ROW('DBX Sprint'!$A$7:$K$62),ROW('DBX Sprint'!$A$7:$K$62)),""),ROWS($AD$34:AD67)),COLUMNS('DBX Sprint'!$A$1:A12)),"")</f>
        <v/>
      </c>
      <c r="AE67" s="43" t="str" cm="1">
        <f t="array" aca="1" ref="AE67" ca="1">IFERROR(INDEX('DBX Sprint'!$A$7:$K$62, SMALL(IF((INDEX('DBX Sprint'!$A$7:$K$62, ,25)&lt;=(TODAY()+10))*(INDEX('DBX Sprint'!$A$7:$K$62, ,25)&gt;(TODAY()+5)),MATCH(ROW('DBX Sprint'!$A$7:$K$62),ROW('DBX Sprint'!$A$7:$K$62)),""),ROWS($AE$34:AE67)),COLUMNS('DBX Sprint'!$A$1:A12)),"")</f>
        <v/>
      </c>
      <c r="AG67" s="41" t="str" cm="1">
        <f t="array" ref="AG67">IFERROR(INDEX('DBX Sprint'!$A$7:$K$62, SMALL(IF((INDEX('DBX Sprint'!$A$7:$K$62, ,29)=("Complete"))*(INDEX('DBX Sprint'!$A$7:$K$62, ,29)="Complete"),MATCH(ROW('DBX Sprint'!$A$7:$K$62),ROW('DBX Sprint'!$A$7:$K$62)),""),ROWS($AG$34:AG67)),COLUMNS('DBX Sprint'!$A$1:A12)),"")</f>
        <v/>
      </c>
      <c r="AH67" s="41" t="str" cm="1">
        <f t="array" aca="1" ref="AH67" ca="1">IFERROR(INDEX('DBX Sprint'!$A$7:$K$62, SMALL(IF((INDEX('DBX Sprint'!$A$7:$K$62, ,29)&lt;(TODAY()))*(INDEX('DBX Sprint'!$A$7:$K$62, ,29)&lt;&gt;"Complete"),MATCH(ROW('DBX Sprint'!$A$7:$K$62),ROW('DBX Sprint'!$A$7:$K$62)),""),ROWS($AH$34:AH67)),COLUMNS('DBX Sprint'!$A$1:A12)),"")</f>
        <v/>
      </c>
      <c r="AI67" s="41" t="str" cm="1">
        <f t="array" aca="1" ref="AI67" ca="1">IFERROR(INDEX('DBX Sprint'!$A$7:$K$62, SMALL(IF((INDEX('DBX Sprint'!$A$7:$K$62, ,29)&lt;=(TODAY()+1))*(INDEX('DBX Sprint'!$A$7:$K$62, ,29)&gt;=TODAY()),MATCH(ROW('DBX Sprint'!$A$7:$K$62),ROW('DBX Sprint'!$A$7:$K$62)),""),ROWS($AI$34:AI67)),COLUMNS('DBX Sprint'!$A$1:A12)),"")</f>
        <v/>
      </c>
      <c r="AJ67" s="43" t="str" cm="1">
        <f t="array" aca="1" ref="AJ67" ca="1">IFERROR(INDEX('DBX Sprint'!$A$7:$K$62, SMALL(IF((INDEX('DBX Sprint'!$A$7:$K$62, ,29)&lt;=(TODAY()+5))*(INDEX('DBX Sprint'!$A$7:$K$62, ,29)&gt;(TODAY()+1)),MATCH(ROW('DBX Sprint'!$A$7:$K$62),ROW('DBX Sprint'!$A$7:$K$62)),""),ROWS($AJ$34:AJ67)),COLUMNS('DBX Sprint'!$A$1:A12)),"")</f>
        <v/>
      </c>
      <c r="AK67" s="43" t="str" cm="1">
        <f t="array" aca="1" ref="AK67" ca="1">IFERROR(INDEX('DBX Sprint'!$A$7:$K$62, SMALL(IF((INDEX('DBX Sprint'!$A$7:$K$62, ,29)&lt;=(TODAY()+10))*(INDEX('DBX Sprint'!$A$7:$K$62, ,29)&gt;(TODAY()+5)),MATCH(ROW('DBX Sprint'!$A$7:$K$62),ROW('DBX Sprint'!$A$7:$K$62)),""),ROWS($AK$34:AK67)),COLUMNS('DBX Sprint'!$A$1:A12)),"")</f>
        <v/>
      </c>
      <c r="AM67" s="41" t="str" cm="1">
        <f t="array" ref="AM67">IFERROR(INDEX('DBX Sprint'!$A$7:$K$62, SMALL(IF((INDEX('DBX Sprint'!$A$7:$K$62, ,32)=("Complete"))*(INDEX('DBX Sprint'!$A$7:$K$62, ,32)="Complete"),MATCH(ROW('DBX Sprint'!$A$7:$K$62),ROW('DBX Sprint'!$A$7:$K$62)),""),ROWS($AM$34:AM67)),COLUMNS('DBX Sprint'!$A$1:A12)),"")</f>
        <v/>
      </c>
      <c r="AN67" s="41" t="str" cm="1">
        <f t="array" aca="1" ref="AN67" ca="1">IFERROR(INDEX('DBX Sprint'!$A$7:$K$62, SMALL(IF((INDEX('DBX Sprint'!$A$7:$K$62, ,32)&lt;(TODAY()))*(INDEX('DBX Sprint'!$A$7:$K$62, ,32)&lt;&gt;"Complete"),MATCH(ROW('DBX Sprint'!$A$7:$K$62),ROW('DBX Sprint'!$A$7:$K$62)),""),ROWS($AN$34:AN67)),COLUMNS('DBX Sprint'!$A$1:A12)),"")</f>
        <v/>
      </c>
      <c r="AO67" s="41" t="str" cm="1">
        <f t="array" aca="1" ref="AO67" ca="1">IFERROR(INDEX('DBX Sprint'!$A$7:$K$62, SMALL(IF((INDEX('DBX Sprint'!$A$7:$K$62, ,32)&lt;=(TODAY()+1))*(INDEX('DBX Sprint'!$A$7:$K$62, ,32)&gt;=TODAY()),MATCH(ROW('DBX Sprint'!$A$7:$K$62),ROW('DBX Sprint'!$A$7:$K$62)),""),ROWS($AO$34:AO67)),COLUMNS('DBX Sprint'!$A$1:A12)),"")</f>
        <v/>
      </c>
      <c r="AP67" s="43" t="str" cm="1">
        <f t="array" aca="1" ref="AP67" ca="1">IFERROR(INDEX('DBX Sprint'!$A$7:$K$62, SMALL(IF((INDEX('DBX Sprint'!$A$7:$K$62, ,32)&lt;=(TODAY()+5))*(INDEX('DBX Sprint'!$A$7:$K$62, ,32)&gt;(TODAY()+1)),MATCH(ROW('DBX Sprint'!$A$7:$K$62),ROW('DBX Sprint'!$A$7:$K$62)),""),ROWS($AP$34:AP67)),COLUMNS('DBX Sprint'!$A$1:A12)),"")</f>
        <v/>
      </c>
      <c r="AQ67" s="43" t="str" cm="1">
        <f t="array" aca="1" ref="AQ67" ca="1">IFERROR(INDEX('DBX Sprint'!$A$7:$K$62, SMALL(IF((INDEX('DBX Sprint'!$A$7:$K$62, ,32)&lt;=(TODAY()+10))*(INDEX('DBX Sprint'!$A$7:$K$62, ,32)&gt;(TODAY()+5)),MATCH(ROW('DBX Sprint'!$A$7:$K$62),ROW('DBX Sprint'!$A$7:$K$62)),""),ROWS($AQ$34:AQ67)),COLUMNS('DBX Sprint'!$A$1:A12)),"")</f>
        <v/>
      </c>
    </row>
    <row r="68" spans="3:43" ht="30" customHeight="1">
      <c r="C68" s="41" t="str" cm="1">
        <f t="array" ref="C68">IFERROR(INDEX('DBX Sprint'!$A$7:$K$62, SMALL(IF((INDEX('DBX Sprint'!$A$7:$K$62, ,13)=("Complete"))*(INDEX('DBX Sprint'!$A$7:$K$62, ,13)="Complete"),MATCH(ROW('DBX Sprint'!$A$7:$K$62),ROW('DBX Sprint'!$A$7:$K$62)),""),ROWS(C$34:$C68)),COLUMNS('DBX Sprint'!$A$1:A12)),"")</f>
        <v/>
      </c>
      <c r="D68" s="41" t="str" cm="1">
        <f t="array" aca="1" ref="D68" ca="1">IFERROR(INDEX('DBX Sprint'!$A$7:$K$62, SMALL(IF((INDEX('DBX Sprint'!$A$7:$K$62, ,13)&lt;(TODAY()))*(INDEX('DBX Sprint'!$A$7:$K$62, ,13)&lt;&gt;"Complete"),MATCH(ROW('DBX Sprint'!$A$7:$K$62),ROW('DBX Sprint'!$A$7:$K$62)),""),ROWS(D$34:$D68)),COLUMNS('DBX Sprint'!$A$1:A12)),"")</f>
        <v/>
      </c>
      <c r="E68" s="41" t="str" cm="1">
        <f t="array" aca="1" ref="E68" ca="1">IFERROR(INDEX('DBX Sprint'!$A$7:$K$62, SMALL(IF((INDEX('DBX Sprint'!$A$7:$K$62, ,13)&lt;=(TODAY()+1))*(INDEX('DBX Sprint'!$A$7:$K$62, ,13)&gt;=TODAY()),MATCH(ROW('DBX Sprint'!$A$7:$K$62),ROW('DBX Sprint'!$A$7:$K$62)),""),ROWS(E$34:$E68)),COLUMNS('DBX Sprint'!$A$1:A12)),"")</f>
        <v/>
      </c>
      <c r="F68" s="43" t="str" cm="1">
        <f t="array" aca="1" ref="F68" ca="1">IFERROR(INDEX('DBX Sprint'!$A$7:$K$62, SMALL(IF((INDEX('DBX Sprint'!$A$7:$K$62, ,13)&lt;=(TODAY()+5))*(INDEX('DBX Sprint'!$A$7:$K$62, ,13)&gt;(TODAY()+1)),MATCH(ROW('DBX Sprint'!$A$7:$K$62),ROW('DBX Sprint'!$A$7:$K$62)),""),ROWS($F$34:F68)),COLUMNS('DBX Sprint'!$A$1:A12)),"")</f>
        <v/>
      </c>
      <c r="G68" s="43" t="str" cm="1">
        <f t="array" aca="1" ref="G68" ca="1">IFERROR(INDEX('DBX Sprint'!$A$7:$K$62, SMALL(IF((INDEX('DBX Sprint'!$A$7:$K$62, ,13)&lt;=(TODAY()+10))*(INDEX('DBX Sprint'!$A$7:$K$62, ,13)&gt;(TODAY()+5)),MATCH(ROW('DBX Sprint'!$A$7:$K$62),ROW('DBX Sprint'!$A$7:$K$62)),""),ROWS($G$34:G68)),COLUMNS('DBX Sprint'!$A$1:A12)),"")</f>
        <v/>
      </c>
      <c r="I68" s="41" t="str" cm="1">
        <f t="array" ref="I68">IFERROR(INDEX('DBX Sprint'!$A$7:$K$62, SMALL(IF((INDEX('DBX Sprint'!$A$7:$K$62, ,16)=("Complete"))*(INDEX('DBX Sprint'!$A$7:$K$62, ,16)="Complete"),MATCH(ROW('DBX Sprint'!$A$7:$K$62),ROW('DBX Sprint'!$A$7:$K$62)),""),ROWS($I$34:I68)),COLUMNS('DBX Sprint'!$A$1:A12)),"")</f>
        <v/>
      </c>
      <c r="J68" s="41" t="str" cm="1">
        <f t="array" aca="1" ref="J68" ca="1">IFERROR(INDEX('DBX Sprint'!$A$7:$K$62, SMALL(IF((INDEX('DBX Sprint'!$A$7:$K$62, ,16)&lt;(TODAY()))*(INDEX('DBX Sprint'!$A$7:$K$62, ,16)&lt;&gt;"Complete"),MATCH(ROW('DBX Sprint'!$A$7:$K$62),ROW('DBX Sprint'!$A$7:$K$62)),""),ROWS($J$34:J68)),COLUMNS('DBX Sprint'!$A$1:A12)),"")</f>
        <v/>
      </c>
      <c r="K68" s="37" t="str" cm="1">
        <f t="array" aca="1" ref="K68" ca="1">IFERROR(INDEX('DBX Sprint'!$A$7:$K$62, SMALL(IF((INDEX('DBX Sprint'!$A$7:$K$62, ,16)&lt;=(TODAY()+1))*(INDEX('DBX Sprint'!$A$7:$K$62, ,16)&gt;=TODAY()),MATCH(ROW('DBX Sprint'!$A$7:$K$62),ROW('DBX Sprint'!$A$7:$K$62)),""),ROWS($K$34:K68)),COLUMNS('DBX Sprint'!$A$1:A12)),"")</f>
        <v/>
      </c>
      <c r="L68" s="38" t="str" cm="1">
        <f t="array" aca="1" ref="L68" ca="1">IFERROR(INDEX('DBX Sprint'!$A$7:$K$62, SMALL(IF((INDEX('DBX Sprint'!$A$7:$K$62, ,16)&lt;=(TODAY()+5))*(INDEX('DBX Sprint'!$A$7:$K$62, ,16)&gt;(TODAY()+1)),MATCH(ROW('DBX Sprint'!$A$7:$K$62),ROW('DBX Sprint'!$A$7:$K$62)),""),ROWS($L$34:L68)),COLUMNS('DBX Sprint'!$A$1:A12)),"")</f>
        <v/>
      </c>
      <c r="M68" s="43" t="str" cm="1">
        <f t="array" aca="1" ref="M68" ca="1">IFERROR(INDEX('DBX Sprint'!$A$7:$K$62, SMALL(IF((INDEX('DBX Sprint'!$A$7:$K$62, ,16)&lt;=(TODAY()+10))*(INDEX('DBX Sprint'!$A$7:$K$62, ,16)&gt;(TODAY()+5)),MATCH(ROW('DBX Sprint'!$A$7:$K$62),ROW('DBX Sprint'!$A$7:$K$62)),""),ROWS($M$34:M68)),COLUMNS('DBX Sprint'!$A$1:A12)),"")</f>
        <v/>
      </c>
      <c r="P68" s="41" t="str" cm="1">
        <f t="array" aca="1" ref="P68" ca="1">IFERROR(INDEX('DBX Sprint'!$A$7:$K$62, SMALL(IF((INDEX('DBX Sprint'!$A$7:$K$62, ,19)&lt;(TODAY()))*(INDEX('DBX Sprint'!$A$7:$K$62, ,19)&lt;&gt;"Complete"),MATCH(ROW('DBX Sprint'!$A$7:$K$62),ROW('DBX Sprint'!$A$7:$K$62)),""),ROWS($P$34:P68)),COLUMNS('DBX Sprint'!$A$1:A12)),"")</f>
        <v/>
      </c>
      <c r="Q68" s="41" t="str" cm="1">
        <f t="array" aca="1" ref="Q68" ca="1">IFERROR(INDEX('DBX Sprint'!$A$7:$K$62, SMALL(IF((INDEX('DBX Sprint'!$A$7:$K$62, ,19)&lt;=(TODAY()+1))*(INDEX('DBX Sprint'!$A$7:$K$62, ,19)&gt;=TODAY()),MATCH(ROW('DBX Sprint'!$A$7:$K$62),ROW('DBX Sprint'!$A$7:$K$62)),""),ROWS($Q$34:Q68)),COLUMNS('DBX Sprint'!$A$1:A12)),"")</f>
        <v/>
      </c>
      <c r="R68" s="43" t="str" cm="1">
        <f t="array" aca="1" ref="R68" ca="1">IFERROR(INDEX('DBX Sprint'!$A$7:$K$62, SMALL(IF((INDEX('DBX Sprint'!$A$7:$K$62, ,19)&lt;=(TODAY()+5))*(INDEX('DBX Sprint'!$A$7:$K$62, ,19)&gt;(TODAY()+1)),MATCH(ROW('DBX Sprint'!$A$7:$K$62),ROW('DBX Sprint'!$A$7:$K$62)),""),ROWS($R$34:R68)),COLUMNS('DBX Sprint'!$A$1:A12)),"")</f>
        <v/>
      </c>
      <c r="S68" s="43" t="str" cm="1">
        <f t="array" aca="1" ref="S68" ca="1">IFERROR(INDEX('DBX Sprint'!$A$7:$K$62, SMALL(IF((INDEX('DBX Sprint'!$A$7:$K$62, ,19)&lt;=(TODAY()+10))*(INDEX('DBX Sprint'!$A$7:$K$62, ,19)&gt;(TODAY()+5)),MATCH(ROW('DBX Sprint'!$A$7:$K$62),ROW('DBX Sprint'!$A$7:$K$62)),""),ROWS($S$34:S68)),COLUMNS('DBX Sprint'!$A$1:A12)),"")</f>
        <v/>
      </c>
      <c r="U68" s="41" t="str" cm="1">
        <f t="array" ref="U68">IFERROR(INDEX('DBX Sprint'!$A$7:$K$62, SMALL(IF((INDEX('DBX Sprint'!$A$7:$K$62, ,22)=("Complete"))*(INDEX('DBX Sprint'!$A$7:$K$62, ,22)="Complete"),MATCH(ROW('DBX Sprint'!$A$7:$K$62),ROW('DBX Sprint'!$A$7:$K$62)),""),ROWS($U$34:U68)),COLUMNS('DBX Sprint'!$A$1:A12)),"")</f>
        <v/>
      </c>
      <c r="V68" s="41" t="str" cm="1">
        <f t="array" aca="1" ref="V68" ca="1">IFERROR(INDEX('DBX Sprint'!$A$7:$K$62, SMALL(IF((INDEX('DBX Sprint'!$A$7:$K$62, ,22)&lt;(TODAY()))*(INDEX('DBX Sprint'!$A$7:$K$62, ,22)&lt;&gt;"Complete"),MATCH(ROW('DBX Sprint'!$A$7:$K$62),ROW('DBX Sprint'!$A$7:$K$62)),""),ROWS($V$34:V68)),COLUMNS('DBX Sprint'!$A$1:A12)),"")</f>
        <v/>
      </c>
      <c r="W68" s="41" t="str" cm="1">
        <f t="array" aca="1" ref="W68" ca="1">IFERROR(INDEX('DBX Sprint'!$A$7:$K$62, SMALL(IF((INDEX('DBX Sprint'!$A$7:$K$62, ,22)&lt;=(TODAY()+1))*(INDEX('DBX Sprint'!$A$7:$K$62, ,22)&gt;=TODAY()),MATCH(ROW('DBX Sprint'!$A$7:$K$62),ROW('DBX Sprint'!$A$7:$K$62)),""),ROWS($W$34:W68)),COLUMNS('DBX Sprint'!$A$1:A12)),"")</f>
        <v/>
      </c>
      <c r="X68" s="43" t="str" cm="1">
        <f t="array" aca="1" ref="X68" ca="1">IFERROR(INDEX('DBX Sprint'!$A$7:$K$62, SMALL(IF((INDEX('DBX Sprint'!$A$7:$K$62, ,22)&lt;=(TODAY()+5))*(INDEX('DBX Sprint'!$A$7:$K$62, ,22)&gt;(TODAY()+1)),MATCH(ROW('DBX Sprint'!$A$7:$K$62),ROW('DBX Sprint'!$A$7:$K$62)),""),ROWS($X$34:X68)),COLUMNS('DBX Sprint'!$A$1:A12)),"")</f>
        <v/>
      </c>
      <c r="Y68" s="43" t="str" cm="1">
        <f t="array" aca="1" ref="Y68" ca="1">IFERROR(INDEX('DBX Sprint'!$A$7:$K$62, SMALL(IF((INDEX('DBX Sprint'!$A$7:$K$62, ,22)&lt;=(TODAY()+10))*(INDEX('DBX Sprint'!$A$7:$K$62, ,22)&gt;(TODAY()+5)),MATCH(ROW('DBX Sprint'!$A$7:$K$62),ROW('DBX Sprint'!$A$7:$K$62)),""),ROWS($Y$34:Y68)),COLUMNS('DBX Sprint'!$A$1:A12)),"")</f>
        <v/>
      </c>
      <c r="AA68" s="41" t="str" cm="1">
        <f t="array" ref="AA68">IFERROR(INDEX('DBX Sprint'!$A$7:$K$62, SMALL(IF((INDEX('DBX Sprint'!$A$7:$K$62, ,25)=("Complete"))*(INDEX('DBX Sprint'!$A$7:$K$62, ,25)="Complete"),MATCH(ROW('DBX Sprint'!$A$7:$K$62),ROW('DBX Sprint'!$A$7:$K$62)),""),ROWS($AA$34:AA68)),COLUMNS('DBX Sprint'!$A$1:A12)),"")</f>
        <v/>
      </c>
      <c r="AB68" s="41" t="str" cm="1">
        <f t="array" aca="1" ref="AB68" ca="1">IFERROR(INDEX('DBX Sprint'!$A$7:$K$62, SMALL(IF((INDEX('DBX Sprint'!$A$7:$K$62, ,25)&lt;(TODAY()))*(INDEX('DBX Sprint'!$A$7:$K$62, ,25)&lt;&gt;"Complete"),MATCH(ROW('DBX Sprint'!$A$7:$K$62),ROW('DBX Sprint'!$A$7:$K$62)),""),ROWS($AB$34:AB68)),COLUMNS('DBX Sprint'!$A$1:A12)),"")</f>
        <v/>
      </c>
      <c r="AC68" s="41" t="str" cm="1">
        <f t="array" aca="1" ref="AC68" ca="1">IFERROR(INDEX('DBX Sprint'!$A$7:$K$62, SMALL(IF((INDEX('DBX Sprint'!$A$7:$K$62, ,25)&lt;=(TODAY()+1))*(INDEX('DBX Sprint'!$A$7:$K$62, ,25)&gt;=TODAY()),MATCH(ROW('DBX Sprint'!$A$7:$K$62),ROW('DBX Sprint'!$A$7:$K$62)),""),ROWS($AC$34:AC68)),COLUMNS('DBX Sprint'!$A$1:A12)),"")</f>
        <v/>
      </c>
      <c r="AD68" s="43" t="str" cm="1">
        <f t="array" aca="1" ref="AD68" ca="1">IFERROR(INDEX('DBX Sprint'!$A$7:$K$62, SMALL(IF((INDEX('DBX Sprint'!$A$7:$K$62, ,25)&lt;=(TODAY()+5))*(INDEX('DBX Sprint'!$A$7:$K$62, ,25)&gt;(TODAY()+1)),MATCH(ROW('DBX Sprint'!$A$7:$K$62),ROW('DBX Sprint'!$A$7:$K$62)),""),ROWS($AD$34:AD68)),COLUMNS('DBX Sprint'!$A$1:A12)),"")</f>
        <v/>
      </c>
      <c r="AE68" s="43" t="str" cm="1">
        <f t="array" aca="1" ref="AE68" ca="1">IFERROR(INDEX('DBX Sprint'!$A$7:$K$62, SMALL(IF((INDEX('DBX Sprint'!$A$7:$K$62, ,25)&lt;=(TODAY()+10))*(INDEX('DBX Sprint'!$A$7:$K$62, ,25)&gt;(TODAY()+5)),MATCH(ROW('DBX Sprint'!$A$7:$K$62),ROW('DBX Sprint'!$A$7:$K$62)),""),ROWS($AE$34:AE68)),COLUMNS('DBX Sprint'!$A$1:A12)),"")</f>
        <v/>
      </c>
      <c r="AG68" s="41" t="str" cm="1">
        <f t="array" ref="AG68">IFERROR(INDEX('DBX Sprint'!$A$7:$K$62, SMALL(IF((INDEX('DBX Sprint'!$A$7:$K$62, ,29)=("Complete"))*(INDEX('DBX Sprint'!$A$7:$K$62, ,29)="Complete"),MATCH(ROW('DBX Sprint'!$A$7:$K$62),ROW('DBX Sprint'!$A$7:$K$62)),""),ROWS($AG$34:AG68)),COLUMNS('DBX Sprint'!$A$1:A12)),"")</f>
        <v/>
      </c>
      <c r="AH68" s="41" t="str" cm="1">
        <f t="array" aca="1" ref="AH68" ca="1">IFERROR(INDEX('DBX Sprint'!$A$7:$K$62, SMALL(IF((INDEX('DBX Sprint'!$A$7:$K$62, ,29)&lt;(TODAY()))*(INDEX('DBX Sprint'!$A$7:$K$62, ,29)&lt;&gt;"Complete"),MATCH(ROW('DBX Sprint'!$A$7:$K$62),ROW('DBX Sprint'!$A$7:$K$62)),""),ROWS($AH$34:AH68)),COLUMNS('DBX Sprint'!$A$1:A12)),"")</f>
        <v/>
      </c>
      <c r="AI68" s="41" t="str" cm="1">
        <f t="array" aca="1" ref="AI68" ca="1">IFERROR(INDEX('DBX Sprint'!$A$7:$K$62, SMALL(IF((INDEX('DBX Sprint'!$A$7:$K$62, ,29)&lt;=(TODAY()+1))*(INDEX('DBX Sprint'!$A$7:$K$62, ,29)&gt;=TODAY()),MATCH(ROW('DBX Sprint'!$A$7:$K$62),ROW('DBX Sprint'!$A$7:$K$62)),""),ROWS($AI$34:AI68)),COLUMNS('DBX Sprint'!$A$1:A12)),"")</f>
        <v/>
      </c>
      <c r="AJ68" s="43" t="str" cm="1">
        <f t="array" aca="1" ref="AJ68" ca="1">IFERROR(INDEX('DBX Sprint'!$A$7:$K$62, SMALL(IF((INDEX('DBX Sprint'!$A$7:$K$62, ,29)&lt;=(TODAY()+5))*(INDEX('DBX Sprint'!$A$7:$K$62, ,29)&gt;(TODAY()+1)),MATCH(ROW('DBX Sprint'!$A$7:$K$62),ROW('DBX Sprint'!$A$7:$K$62)),""),ROWS($AJ$34:AJ68)),COLUMNS('DBX Sprint'!$A$1:A12)),"")</f>
        <v/>
      </c>
      <c r="AK68" s="43" t="str" cm="1">
        <f t="array" aca="1" ref="AK68" ca="1">IFERROR(INDEX('DBX Sprint'!$A$7:$K$62, SMALL(IF((INDEX('DBX Sprint'!$A$7:$K$62, ,29)&lt;=(TODAY()+10))*(INDEX('DBX Sprint'!$A$7:$K$62, ,29)&gt;(TODAY()+5)),MATCH(ROW('DBX Sprint'!$A$7:$K$62),ROW('DBX Sprint'!$A$7:$K$62)),""),ROWS($AK$34:AK68)),COLUMNS('DBX Sprint'!$A$1:A12)),"")</f>
        <v/>
      </c>
      <c r="AM68" s="41" t="str" cm="1">
        <f t="array" ref="AM68">IFERROR(INDEX('DBX Sprint'!$A$7:$K$62, SMALL(IF((INDEX('DBX Sprint'!$A$7:$K$62, ,32)=("Complete"))*(INDEX('DBX Sprint'!$A$7:$K$62, ,32)="Complete"),MATCH(ROW('DBX Sprint'!$A$7:$K$62),ROW('DBX Sprint'!$A$7:$K$62)),""),ROWS($AM$34:AM68)),COLUMNS('DBX Sprint'!$A$1:A12)),"")</f>
        <v/>
      </c>
      <c r="AN68" s="41" t="str" cm="1">
        <f t="array" aca="1" ref="AN68" ca="1">IFERROR(INDEX('DBX Sprint'!$A$7:$K$62, SMALL(IF((INDEX('DBX Sprint'!$A$7:$K$62, ,32)&lt;(TODAY()))*(INDEX('DBX Sprint'!$A$7:$K$62, ,32)&lt;&gt;"Complete"),MATCH(ROW('DBX Sprint'!$A$7:$K$62),ROW('DBX Sprint'!$A$7:$K$62)),""),ROWS($AN$34:AN68)),COLUMNS('DBX Sprint'!$A$1:A12)),"")</f>
        <v/>
      </c>
      <c r="AO68" s="41" t="str" cm="1">
        <f t="array" aca="1" ref="AO68" ca="1">IFERROR(INDEX('DBX Sprint'!$A$7:$K$62, SMALL(IF((INDEX('DBX Sprint'!$A$7:$K$62, ,32)&lt;=(TODAY()+1))*(INDEX('DBX Sprint'!$A$7:$K$62, ,32)&gt;=TODAY()),MATCH(ROW('DBX Sprint'!$A$7:$K$62),ROW('DBX Sprint'!$A$7:$K$62)),""),ROWS($AO$34:AO68)),COLUMNS('DBX Sprint'!$A$1:A12)),"")</f>
        <v/>
      </c>
      <c r="AP68" s="43" t="str" cm="1">
        <f t="array" aca="1" ref="AP68" ca="1">IFERROR(INDEX('DBX Sprint'!$A$7:$K$62, SMALL(IF((INDEX('DBX Sprint'!$A$7:$K$62, ,32)&lt;=(TODAY()+5))*(INDEX('DBX Sprint'!$A$7:$K$62, ,32)&gt;(TODAY()+1)),MATCH(ROW('DBX Sprint'!$A$7:$K$62),ROW('DBX Sprint'!$A$7:$K$62)),""),ROWS($AP$34:AP68)),COLUMNS('DBX Sprint'!$A$1:A12)),"")</f>
        <v/>
      </c>
      <c r="AQ68" s="43" t="str" cm="1">
        <f t="array" aca="1" ref="AQ68" ca="1">IFERROR(INDEX('DBX Sprint'!$A$7:$K$62, SMALL(IF((INDEX('DBX Sprint'!$A$7:$K$62, ,32)&lt;=(TODAY()+10))*(INDEX('DBX Sprint'!$A$7:$K$62, ,32)&gt;(TODAY()+5)),MATCH(ROW('DBX Sprint'!$A$7:$K$62),ROW('DBX Sprint'!$A$7:$K$62)),""),ROWS($AQ$34:AQ68)),COLUMNS('DBX Sprint'!$A$1:A12)),"")</f>
        <v/>
      </c>
    </row>
    <row r="69" spans="3:43" ht="30" customHeight="1">
      <c r="C69" s="41" t="str" cm="1">
        <f t="array" ref="C69">IFERROR(INDEX('DBX Sprint'!$A$7:$K$62, SMALL(IF((INDEX('DBX Sprint'!$A$7:$K$62, ,13)=("Complete"))*(INDEX('DBX Sprint'!$A$7:$K$62, ,13)="Complete"),MATCH(ROW('DBX Sprint'!$A$7:$K$62),ROW('DBX Sprint'!$A$7:$K$62)),""),ROWS(C$34:$C69)),COLUMNS('DBX Sprint'!$A$1:A12)),"")</f>
        <v/>
      </c>
      <c r="D69" s="41" t="str" cm="1">
        <f t="array" aca="1" ref="D69" ca="1">IFERROR(INDEX('DBX Sprint'!$A$7:$K$62, SMALL(IF((INDEX('DBX Sprint'!$A$7:$K$62, ,13)&lt;(TODAY()))*(INDEX('DBX Sprint'!$A$7:$K$62, ,13)&lt;&gt;"Complete"),MATCH(ROW('DBX Sprint'!$A$7:$K$62),ROW('DBX Sprint'!$A$7:$K$62)),""),ROWS(D$34:$D69)),COLUMNS('DBX Sprint'!$A$1:A12)),"")</f>
        <v/>
      </c>
      <c r="E69" s="41" t="str" cm="1">
        <f t="array" aca="1" ref="E69" ca="1">IFERROR(INDEX('DBX Sprint'!$A$7:$K$62, SMALL(IF((INDEX('DBX Sprint'!$A$7:$K$62, ,13)&lt;=(TODAY()+1))*(INDEX('DBX Sprint'!$A$7:$K$62, ,13)&gt;=TODAY()),MATCH(ROW('DBX Sprint'!$A$7:$K$62),ROW('DBX Sprint'!$A$7:$K$62)),""),ROWS(E$34:$E69)),COLUMNS('DBX Sprint'!$A$1:A12)),"")</f>
        <v/>
      </c>
      <c r="F69" s="43" t="str" cm="1">
        <f t="array" aca="1" ref="F69" ca="1">IFERROR(INDEX('DBX Sprint'!$A$7:$K$62, SMALL(IF((INDEX('DBX Sprint'!$A$7:$K$62, ,13)&lt;=(TODAY()+5))*(INDEX('DBX Sprint'!$A$7:$K$62, ,13)&gt;(TODAY()+1)),MATCH(ROW('DBX Sprint'!$A$7:$K$62),ROW('DBX Sprint'!$A$7:$K$62)),""),ROWS($F$34:F69)),COLUMNS('DBX Sprint'!$A$1:A12)),"")</f>
        <v/>
      </c>
      <c r="G69" s="43" t="str" cm="1">
        <f t="array" aca="1" ref="G69" ca="1">IFERROR(INDEX('DBX Sprint'!$A$7:$K$62, SMALL(IF((INDEX('DBX Sprint'!$A$7:$K$62, ,13)&lt;=(TODAY()+10))*(INDEX('DBX Sprint'!$A$7:$K$62, ,13)&gt;(TODAY()+5)),MATCH(ROW('DBX Sprint'!$A$7:$K$62),ROW('DBX Sprint'!$A$7:$K$62)),""),ROWS($G$34:G69)),COLUMNS('DBX Sprint'!$A$1:A12)),"")</f>
        <v/>
      </c>
      <c r="I69" s="41" t="str" cm="1">
        <f t="array" ref="I69">IFERROR(INDEX('DBX Sprint'!$A$7:$K$62, SMALL(IF((INDEX('DBX Sprint'!$A$7:$K$62, ,16)=("Complete"))*(INDEX('DBX Sprint'!$A$7:$K$62, ,16)="Complete"),MATCH(ROW('DBX Sprint'!$A$7:$K$62),ROW('DBX Sprint'!$A$7:$K$62)),""),ROWS($I$34:I69)),COLUMNS('DBX Sprint'!$A$1:A12)),"")</f>
        <v/>
      </c>
      <c r="J69" s="41" t="str" cm="1">
        <f t="array" aca="1" ref="J69" ca="1">IFERROR(INDEX('DBX Sprint'!$A$7:$K$62, SMALL(IF((INDEX('DBX Sprint'!$A$7:$K$62, ,16)&lt;(TODAY()))*(INDEX('DBX Sprint'!$A$7:$K$62, ,16)&lt;&gt;"Complete"),MATCH(ROW('DBX Sprint'!$A$7:$K$62),ROW('DBX Sprint'!$A$7:$K$62)),""),ROWS($J$34:J69)),COLUMNS('DBX Sprint'!$A$1:A12)),"")</f>
        <v/>
      </c>
      <c r="K69" s="37" t="str" cm="1">
        <f t="array" aca="1" ref="K69" ca="1">IFERROR(INDEX('DBX Sprint'!$A$7:$K$62, SMALL(IF((INDEX('DBX Sprint'!$A$7:$K$62, ,16)&lt;=(TODAY()+1))*(INDEX('DBX Sprint'!$A$7:$K$62, ,16)&gt;=TODAY()),MATCH(ROW('DBX Sprint'!$A$7:$K$62),ROW('DBX Sprint'!$A$7:$K$62)),""),ROWS($K$34:K69)),COLUMNS('DBX Sprint'!$A$1:A12)),"")</f>
        <v/>
      </c>
      <c r="L69" s="38" t="str" cm="1">
        <f t="array" aca="1" ref="L69" ca="1">IFERROR(INDEX('DBX Sprint'!$A$7:$K$62, SMALL(IF((INDEX('DBX Sprint'!$A$7:$K$62, ,16)&lt;=(TODAY()+5))*(INDEX('DBX Sprint'!$A$7:$K$62, ,16)&gt;(TODAY()+1)),MATCH(ROW('DBX Sprint'!$A$7:$K$62),ROW('DBX Sprint'!$A$7:$K$62)),""),ROWS($L$34:L69)),COLUMNS('DBX Sprint'!$A$1:A12)),"")</f>
        <v/>
      </c>
      <c r="M69" s="43" t="str" cm="1">
        <f t="array" aca="1" ref="M69" ca="1">IFERROR(INDEX('DBX Sprint'!$A$7:$K$62, SMALL(IF((INDEX('DBX Sprint'!$A$7:$K$62, ,16)&lt;=(TODAY()+10))*(INDEX('DBX Sprint'!$A$7:$K$62, ,16)&gt;(TODAY()+5)),MATCH(ROW('DBX Sprint'!$A$7:$K$62),ROW('DBX Sprint'!$A$7:$K$62)),""),ROWS($M$34:M69)),COLUMNS('DBX Sprint'!$A$1:A12)),"")</f>
        <v/>
      </c>
      <c r="P69" s="41" t="str" cm="1">
        <f t="array" aca="1" ref="P69" ca="1">IFERROR(INDEX('DBX Sprint'!$A$7:$K$62, SMALL(IF((INDEX('DBX Sprint'!$A$7:$K$62, ,19)&lt;(TODAY()))*(INDEX('DBX Sprint'!$A$7:$K$62, ,19)&lt;&gt;"Complete"),MATCH(ROW('DBX Sprint'!$A$7:$K$62),ROW('DBX Sprint'!$A$7:$K$62)),""),ROWS($P$34:P69)),COLUMNS('DBX Sprint'!$A$1:A12)),"")</f>
        <v/>
      </c>
      <c r="Q69" s="41" t="str" cm="1">
        <f t="array" aca="1" ref="Q69" ca="1">IFERROR(INDEX('DBX Sprint'!$A$7:$K$62, SMALL(IF((INDEX('DBX Sprint'!$A$7:$K$62, ,19)&lt;=(TODAY()+1))*(INDEX('DBX Sprint'!$A$7:$K$62, ,19)&gt;=TODAY()),MATCH(ROW('DBX Sprint'!$A$7:$K$62),ROW('DBX Sprint'!$A$7:$K$62)),""),ROWS($Q$34:Q69)),COLUMNS('DBX Sprint'!$A$1:A12)),"")</f>
        <v/>
      </c>
      <c r="R69" s="43" t="str" cm="1">
        <f t="array" aca="1" ref="R69" ca="1">IFERROR(INDEX('DBX Sprint'!$A$7:$K$62, SMALL(IF((INDEX('DBX Sprint'!$A$7:$K$62, ,19)&lt;=(TODAY()+5))*(INDEX('DBX Sprint'!$A$7:$K$62, ,19)&gt;(TODAY()+1)),MATCH(ROW('DBX Sprint'!$A$7:$K$62),ROW('DBX Sprint'!$A$7:$K$62)),""),ROWS($R$34:R69)),COLUMNS('DBX Sprint'!$A$1:A12)),"")</f>
        <v/>
      </c>
      <c r="S69" s="43" t="str" cm="1">
        <f t="array" aca="1" ref="S69" ca="1">IFERROR(INDEX('DBX Sprint'!$A$7:$K$62, SMALL(IF((INDEX('DBX Sprint'!$A$7:$K$62, ,19)&lt;=(TODAY()+10))*(INDEX('DBX Sprint'!$A$7:$K$62, ,19)&gt;(TODAY()+5)),MATCH(ROW('DBX Sprint'!$A$7:$K$62),ROW('DBX Sprint'!$A$7:$K$62)),""),ROWS($S$34:S69)),COLUMNS('DBX Sprint'!$A$1:A12)),"")</f>
        <v/>
      </c>
      <c r="U69" s="41" t="str" cm="1">
        <f t="array" ref="U69">IFERROR(INDEX('DBX Sprint'!$A$7:$K$62, SMALL(IF((INDEX('DBX Sprint'!$A$7:$K$62, ,22)=("Complete"))*(INDEX('DBX Sprint'!$A$7:$K$62, ,22)="Complete"),MATCH(ROW('DBX Sprint'!$A$7:$K$62),ROW('DBX Sprint'!$A$7:$K$62)),""),ROWS($U$34:U69)),COLUMNS('DBX Sprint'!$A$1:A12)),"")</f>
        <v/>
      </c>
      <c r="V69" s="41" t="str" cm="1">
        <f t="array" aca="1" ref="V69" ca="1">IFERROR(INDEX('DBX Sprint'!$A$7:$K$62, SMALL(IF((INDEX('DBX Sprint'!$A$7:$K$62, ,22)&lt;(TODAY()))*(INDEX('DBX Sprint'!$A$7:$K$62, ,22)&lt;&gt;"Complete"),MATCH(ROW('DBX Sprint'!$A$7:$K$62),ROW('DBX Sprint'!$A$7:$K$62)),""),ROWS($V$34:V69)),COLUMNS('DBX Sprint'!$A$1:A12)),"")</f>
        <v/>
      </c>
      <c r="W69" s="41" t="str" cm="1">
        <f t="array" aca="1" ref="W69" ca="1">IFERROR(INDEX('DBX Sprint'!$A$7:$K$62, SMALL(IF((INDEX('DBX Sprint'!$A$7:$K$62, ,22)&lt;=(TODAY()+1))*(INDEX('DBX Sprint'!$A$7:$K$62, ,22)&gt;=TODAY()),MATCH(ROW('DBX Sprint'!$A$7:$K$62),ROW('DBX Sprint'!$A$7:$K$62)),""),ROWS($W$34:W69)),COLUMNS('DBX Sprint'!$A$1:A12)),"")</f>
        <v/>
      </c>
      <c r="X69" s="43" t="str" cm="1">
        <f t="array" aca="1" ref="X69" ca="1">IFERROR(INDEX('DBX Sprint'!$A$7:$K$62, SMALL(IF((INDEX('DBX Sprint'!$A$7:$K$62, ,22)&lt;=(TODAY()+5))*(INDEX('DBX Sprint'!$A$7:$K$62, ,22)&gt;(TODAY()+1)),MATCH(ROW('DBX Sprint'!$A$7:$K$62),ROW('DBX Sprint'!$A$7:$K$62)),""),ROWS($X$34:X69)),COLUMNS('DBX Sprint'!$A$1:A12)),"")</f>
        <v/>
      </c>
      <c r="Y69" s="43" t="str" cm="1">
        <f t="array" aca="1" ref="Y69" ca="1">IFERROR(INDEX('DBX Sprint'!$A$7:$K$62, SMALL(IF((INDEX('DBX Sprint'!$A$7:$K$62, ,22)&lt;=(TODAY()+10))*(INDEX('DBX Sprint'!$A$7:$K$62, ,22)&gt;(TODAY()+5)),MATCH(ROW('DBX Sprint'!$A$7:$K$62),ROW('DBX Sprint'!$A$7:$K$62)),""),ROWS($Y$34:Y69)),COLUMNS('DBX Sprint'!$A$1:A12)),"")</f>
        <v/>
      </c>
      <c r="AA69" s="41" t="str" cm="1">
        <f t="array" ref="AA69">IFERROR(INDEX('DBX Sprint'!$A$7:$K$62, SMALL(IF((INDEX('DBX Sprint'!$A$7:$K$62, ,25)=("Complete"))*(INDEX('DBX Sprint'!$A$7:$K$62, ,25)="Complete"),MATCH(ROW('DBX Sprint'!$A$7:$K$62),ROW('DBX Sprint'!$A$7:$K$62)),""),ROWS($AA$34:AA69)),COLUMNS('DBX Sprint'!$A$1:A12)),"")</f>
        <v/>
      </c>
      <c r="AB69" s="41" t="str" cm="1">
        <f t="array" aca="1" ref="AB69" ca="1">IFERROR(INDEX('DBX Sprint'!$A$7:$K$62, SMALL(IF((INDEX('DBX Sprint'!$A$7:$K$62, ,25)&lt;(TODAY()))*(INDEX('DBX Sprint'!$A$7:$K$62, ,25)&lt;&gt;"Complete"),MATCH(ROW('DBX Sprint'!$A$7:$K$62),ROW('DBX Sprint'!$A$7:$K$62)),""),ROWS($AB$34:AB69)),COLUMNS('DBX Sprint'!$A$1:A12)),"")</f>
        <v/>
      </c>
      <c r="AC69" s="41" t="str" cm="1">
        <f t="array" aca="1" ref="AC69" ca="1">IFERROR(INDEX('DBX Sprint'!$A$7:$K$62, SMALL(IF((INDEX('DBX Sprint'!$A$7:$K$62, ,25)&lt;=(TODAY()+1))*(INDEX('DBX Sprint'!$A$7:$K$62, ,25)&gt;=TODAY()),MATCH(ROW('DBX Sprint'!$A$7:$K$62),ROW('DBX Sprint'!$A$7:$K$62)),""),ROWS($AC$34:AC69)),COLUMNS('DBX Sprint'!$A$1:A12)),"")</f>
        <v/>
      </c>
      <c r="AD69" s="43" t="str" cm="1">
        <f t="array" aca="1" ref="AD69" ca="1">IFERROR(INDEX('DBX Sprint'!$A$7:$K$62, SMALL(IF((INDEX('DBX Sprint'!$A$7:$K$62, ,25)&lt;=(TODAY()+5))*(INDEX('DBX Sprint'!$A$7:$K$62, ,25)&gt;(TODAY()+1)),MATCH(ROW('DBX Sprint'!$A$7:$K$62),ROW('DBX Sprint'!$A$7:$K$62)),""),ROWS($AD$34:AD69)),COLUMNS('DBX Sprint'!$A$1:A12)),"")</f>
        <v/>
      </c>
      <c r="AE69" s="43" t="str" cm="1">
        <f t="array" aca="1" ref="AE69" ca="1">IFERROR(INDEX('DBX Sprint'!$A$7:$K$62, SMALL(IF((INDEX('DBX Sprint'!$A$7:$K$62, ,25)&lt;=(TODAY()+10))*(INDEX('DBX Sprint'!$A$7:$K$62, ,25)&gt;(TODAY()+5)),MATCH(ROW('DBX Sprint'!$A$7:$K$62),ROW('DBX Sprint'!$A$7:$K$62)),""),ROWS($AE$34:AE69)),COLUMNS('DBX Sprint'!$A$1:A12)),"")</f>
        <v/>
      </c>
      <c r="AG69" s="41" t="str" cm="1">
        <f t="array" ref="AG69">IFERROR(INDEX('DBX Sprint'!$A$7:$K$62, SMALL(IF((INDEX('DBX Sprint'!$A$7:$K$62, ,29)=("Complete"))*(INDEX('DBX Sprint'!$A$7:$K$62, ,29)="Complete"),MATCH(ROW('DBX Sprint'!$A$7:$K$62),ROW('DBX Sprint'!$A$7:$K$62)),""),ROWS($AG$34:AG69)),COLUMNS('DBX Sprint'!$A$1:A12)),"")</f>
        <v/>
      </c>
      <c r="AH69" s="41" t="str" cm="1">
        <f t="array" aca="1" ref="AH69" ca="1">IFERROR(INDEX('DBX Sprint'!$A$7:$K$62, SMALL(IF((INDEX('DBX Sprint'!$A$7:$K$62, ,29)&lt;(TODAY()))*(INDEX('DBX Sprint'!$A$7:$K$62, ,29)&lt;&gt;"Complete"),MATCH(ROW('DBX Sprint'!$A$7:$K$62),ROW('DBX Sprint'!$A$7:$K$62)),""),ROWS($AH$34:AH69)),COLUMNS('DBX Sprint'!$A$1:A12)),"")</f>
        <v/>
      </c>
      <c r="AI69" s="41" t="str" cm="1">
        <f t="array" aca="1" ref="AI69" ca="1">IFERROR(INDEX('DBX Sprint'!$A$7:$K$62, SMALL(IF((INDEX('DBX Sprint'!$A$7:$K$62, ,29)&lt;=(TODAY()+1))*(INDEX('DBX Sprint'!$A$7:$K$62, ,29)&gt;=TODAY()),MATCH(ROW('DBX Sprint'!$A$7:$K$62),ROW('DBX Sprint'!$A$7:$K$62)),""),ROWS($AI$34:AI69)),COLUMNS('DBX Sprint'!$A$1:A12)),"")</f>
        <v/>
      </c>
      <c r="AJ69" s="43" t="str" cm="1">
        <f t="array" aca="1" ref="AJ69" ca="1">IFERROR(INDEX('DBX Sprint'!$A$7:$K$62, SMALL(IF((INDEX('DBX Sprint'!$A$7:$K$62, ,29)&lt;=(TODAY()+5))*(INDEX('DBX Sprint'!$A$7:$K$62, ,29)&gt;(TODAY()+1)),MATCH(ROW('DBX Sprint'!$A$7:$K$62),ROW('DBX Sprint'!$A$7:$K$62)),""),ROWS($AJ$34:AJ69)),COLUMNS('DBX Sprint'!$A$1:A12)),"")</f>
        <v/>
      </c>
      <c r="AK69" s="43" t="str" cm="1">
        <f t="array" aca="1" ref="AK69" ca="1">IFERROR(INDEX('DBX Sprint'!$A$7:$K$62, SMALL(IF((INDEX('DBX Sprint'!$A$7:$K$62, ,29)&lt;=(TODAY()+10))*(INDEX('DBX Sprint'!$A$7:$K$62, ,29)&gt;(TODAY()+5)),MATCH(ROW('DBX Sprint'!$A$7:$K$62),ROW('DBX Sprint'!$A$7:$K$62)),""),ROWS($AK$34:AK69)),COLUMNS('DBX Sprint'!$A$1:A12)),"")</f>
        <v/>
      </c>
      <c r="AM69" s="41" t="str" cm="1">
        <f t="array" ref="AM69">IFERROR(INDEX('DBX Sprint'!$A$7:$K$62, SMALL(IF((INDEX('DBX Sprint'!$A$7:$K$62, ,32)=("Complete"))*(INDEX('DBX Sprint'!$A$7:$K$62, ,32)="Complete"),MATCH(ROW('DBX Sprint'!$A$7:$K$62),ROW('DBX Sprint'!$A$7:$K$62)),""),ROWS($AM$34:AM69)),COLUMNS('DBX Sprint'!$A$1:A12)),"")</f>
        <v/>
      </c>
      <c r="AN69" s="41" t="str" cm="1">
        <f t="array" aca="1" ref="AN69" ca="1">IFERROR(INDEX('DBX Sprint'!$A$7:$K$62, SMALL(IF((INDEX('DBX Sprint'!$A$7:$K$62, ,32)&lt;(TODAY()))*(INDEX('DBX Sprint'!$A$7:$K$62, ,32)&lt;&gt;"Complete"),MATCH(ROW('DBX Sprint'!$A$7:$K$62),ROW('DBX Sprint'!$A$7:$K$62)),""),ROWS($AN$34:AN69)),COLUMNS('DBX Sprint'!$A$1:A12)),"")</f>
        <v/>
      </c>
      <c r="AO69" s="41" t="str" cm="1">
        <f t="array" aca="1" ref="AO69" ca="1">IFERROR(INDEX('DBX Sprint'!$A$7:$K$62, SMALL(IF((INDEX('DBX Sprint'!$A$7:$K$62, ,32)&lt;=(TODAY()+1))*(INDEX('DBX Sprint'!$A$7:$K$62, ,32)&gt;=TODAY()),MATCH(ROW('DBX Sprint'!$A$7:$K$62),ROW('DBX Sprint'!$A$7:$K$62)),""),ROWS($AO$34:AO69)),COLUMNS('DBX Sprint'!$A$1:A12)),"")</f>
        <v/>
      </c>
      <c r="AP69" s="43" t="str" cm="1">
        <f t="array" aca="1" ref="AP69" ca="1">IFERROR(INDEX('DBX Sprint'!$A$7:$K$62, SMALL(IF((INDEX('DBX Sprint'!$A$7:$K$62, ,32)&lt;=(TODAY()+5))*(INDEX('DBX Sprint'!$A$7:$K$62, ,32)&gt;(TODAY()+1)),MATCH(ROW('DBX Sprint'!$A$7:$K$62),ROW('DBX Sprint'!$A$7:$K$62)),""),ROWS($AP$34:AP69)),COLUMNS('DBX Sprint'!$A$1:A12)),"")</f>
        <v/>
      </c>
      <c r="AQ69" s="43" t="str" cm="1">
        <f t="array" aca="1" ref="AQ69" ca="1">IFERROR(INDEX('DBX Sprint'!$A$7:$K$62, SMALL(IF((INDEX('DBX Sprint'!$A$7:$K$62, ,32)&lt;=(TODAY()+10))*(INDEX('DBX Sprint'!$A$7:$K$62, ,32)&gt;(TODAY()+5)),MATCH(ROW('DBX Sprint'!$A$7:$K$62),ROW('DBX Sprint'!$A$7:$K$62)),""),ROWS($AQ$34:AQ69)),COLUMNS('DBX Sprint'!$A$1:A12)),"")</f>
        <v/>
      </c>
    </row>
    <row r="70" spans="3:43" ht="30" customHeight="1">
      <c r="C70" s="41" t="str" cm="1">
        <f t="array" ref="C70">IFERROR(INDEX('DBX Sprint'!$A$7:$K$62, SMALL(IF((INDEX('DBX Sprint'!$A$7:$K$62, ,13)=("Complete"))*(INDEX('DBX Sprint'!$A$7:$K$62, ,13)="Complete"),MATCH(ROW('DBX Sprint'!$A$7:$K$62),ROW('DBX Sprint'!$A$7:$K$62)),""),ROWS(C$34:$C70)),COLUMNS('DBX Sprint'!$A$1:A12)),"")</f>
        <v/>
      </c>
      <c r="D70" s="41" t="str" cm="1">
        <f t="array" aca="1" ref="D70" ca="1">IFERROR(INDEX('DBX Sprint'!$A$7:$K$62, SMALL(IF((INDEX('DBX Sprint'!$A$7:$K$62, ,13)&lt;(TODAY()))*(INDEX('DBX Sprint'!$A$7:$K$62, ,13)&lt;&gt;"Complete"),MATCH(ROW('DBX Sprint'!$A$7:$K$62),ROW('DBX Sprint'!$A$7:$K$62)),""),ROWS(D$34:$D70)),COLUMNS('DBX Sprint'!$A$1:A12)),"")</f>
        <v/>
      </c>
      <c r="E70" s="41" t="str" cm="1">
        <f t="array" aca="1" ref="E70" ca="1">IFERROR(INDEX('DBX Sprint'!$A$7:$K$62, SMALL(IF((INDEX('DBX Sprint'!$A$7:$K$62, ,13)&lt;=(TODAY()+1))*(INDEX('DBX Sprint'!$A$7:$K$62, ,13)&gt;=TODAY()),MATCH(ROW('DBX Sprint'!$A$7:$K$62),ROW('DBX Sprint'!$A$7:$K$62)),""),ROWS(E$34:$E70)),COLUMNS('DBX Sprint'!$A$1:A12)),"")</f>
        <v/>
      </c>
      <c r="F70" s="43" t="str" cm="1">
        <f t="array" aca="1" ref="F70" ca="1">IFERROR(INDEX('DBX Sprint'!$A$7:$K$62, SMALL(IF((INDEX('DBX Sprint'!$A$7:$K$62, ,13)&lt;=(TODAY()+5))*(INDEX('DBX Sprint'!$A$7:$K$62, ,13)&gt;(TODAY()+1)),MATCH(ROW('DBX Sprint'!$A$7:$K$62),ROW('DBX Sprint'!$A$7:$K$62)),""),ROWS($F$34:F70)),COLUMNS('DBX Sprint'!$A$1:A12)),"")</f>
        <v/>
      </c>
      <c r="G70" s="43" t="str" cm="1">
        <f t="array" aca="1" ref="G70" ca="1">IFERROR(INDEX('DBX Sprint'!$A$7:$K$62, SMALL(IF((INDEX('DBX Sprint'!$A$7:$K$62, ,13)&lt;=(TODAY()+10))*(INDEX('DBX Sprint'!$A$7:$K$62, ,13)&gt;(TODAY()+5)),MATCH(ROW('DBX Sprint'!$A$7:$K$62),ROW('DBX Sprint'!$A$7:$K$62)),""),ROWS($G$34:G70)),COLUMNS('DBX Sprint'!$A$1:A12)),"")</f>
        <v/>
      </c>
      <c r="I70" s="41" t="str" cm="1">
        <f t="array" ref="I70">IFERROR(INDEX('DBX Sprint'!$A$7:$K$62, SMALL(IF((INDEX('DBX Sprint'!$A$7:$K$62, ,16)=("Complete"))*(INDEX('DBX Sprint'!$A$7:$K$62, ,16)="Complete"),MATCH(ROW('DBX Sprint'!$A$7:$K$62),ROW('DBX Sprint'!$A$7:$K$62)),""),ROWS($I$34:I70)),COLUMNS('DBX Sprint'!$A$1:A12)),"")</f>
        <v/>
      </c>
      <c r="J70" s="41" t="str" cm="1">
        <f t="array" aca="1" ref="J70" ca="1">IFERROR(INDEX('DBX Sprint'!$A$7:$K$62, SMALL(IF((INDEX('DBX Sprint'!$A$7:$K$62, ,16)&lt;(TODAY()))*(INDEX('DBX Sprint'!$A$7:$K$62, ,16)&lt;&gt;"Complete"),MATCH(ROW('DBX Sprint'!$A$7:$K$62),ROW('DBX Sprint'!$A$7:$K$62)),""),ROWS($J$34:J70)),COLUMNS('DBX Sprint'!$A$1:A12)),"")</f>
        <v/>
      </c>
      <c r="K70" s="37" t="str" cm="1">
        <f t="array" aca="1" ref="K70" ca="1">IFERROR(INDEX('DBX Sprint'!$A$7:$K$62, SMALL(IF((INDEX('DBX Sprint'!$A$7:$K$62, ,16)&lt;=(TODAY()+1))*(INDEX('DBX Sprint'!$A$7:$K$62, ,16)&gt;=TODAY()),MATCH(ROW('DBX Sprint'!$A$7:$K$62),ROW('DBX Sprint'!$A$7:$K$62)),""),ROWS($K$34:K70)),COLUMNS('DBX Sprint'!$A$1:A12)),"")</f>
        <v/>
      </c>
      <c r="L70" s="38" t="str" cm="1">
        <f t="array" aca="1" ref="L70" ca="1">IFERROR(INDEX('DBX Sprint'!$A$7:$K$62, SMALL(IF((INDEX('DBX Sprint'!$A$7:$K$62, ,16)&lt;=(TODAY()+5))*(INDEX('DBX Sprint'!$A$7:$K$62, ,16)&gt;(TODAY()+1)),MATCH(ROW('DBX Sprint'!$A$7:$K$62),ROW('DBX Sprint'!$A$7:$K$62)),""),ROWS($L$34:L70)),COLUMNS('DBX Sprint'!$A$1:A12)),"")</f>
        <v/>
      </c>
      <c r="M70" s="43" t="str" cm="1">
        <f t="array" aca="1" ref="M70" ca="1">IFERROR(INDEX('DBX Sprint'!$A$7:$K$62, SMALL(IF((INDEX('DBX Sprint'!$A$7:$K$62, ,16)&lt;=(TODAY()+10))*(INDEX('DBX Sprint'!$A$7:$K$62, ,16)&gt;(TODAY()+5)),MATCH(ROW('DBX Sprint'!$A$7:$K$62),ROW('DBX Sprint'!$A$7:$K$62)),""),ROWS($M$34:M70)),COLUMNS('DBX Sprint'!$A$1:A12)),"")</f>
        <v/>
      </c>
      <c r="P70" s="41" t="str" cm="1">
        <f t="array" aca="1" ref="P70" ca="1">IFERROR(INDEX('DBX Sprint'!$A$7:$K$62, SMALL(IF((INDEX('DBX Sprint'!$A$7:$K$62, ,19)&lt;(TODAY()))*(INDEX('DBX Sprint'!$A$7:$K$62, ,19)&lt;&gt;"Complete"),MATCH(ROW('DBX Sprint'!$A$7:$K$62),ROW('DBX Sprint'!$A$7:$K$62)),""),ROWS($P$34:P70)),COLUMNS('DBX Sprint'!$A$1:A12)),"")</f>
        <v/>
      </c>
      <c r="Q70" s="41" t="str" cm="1">
        <f t="array" aca="1" ref="Q70" ca="1">IFERROR(INDEX('DBX Sprint'!$A$7:$K$62, SMALL(IF((INDEX('DBX Sprint'!$A$7:$K$62, ,19)&lt;=(TODAY()+1))*(INDEX('DBX Sprint'!$A$7:$K$62, ,19)&gt;=TODAY()),MATCH(ROW('DBX Sprint'!$A$7:$K$62),ROW('DBX Sprint'!$A$7:$K$62)),""),ROWS($Q$34:Q70)),COLUMNS('DBX Sprint'!$A$1:A12)),"")</f>
        <v/>
      </c>
      <c r="R70" s="43" t="str" cm="1">
        <f t="array" aca="1" ref="R70" ca="1">IFERROR(INDEX('DBX Sprint'!$A$7:$K$62, SMALL(IF((INDEX('DBX Sprint'!$A$7:$K$62, ,19)&lt;=(TODAY()+5))*(INDEX('DBX Sprint'!$A$7:$K$62, ,19)&gt;(TODAY()+1)),MATCH(ROW('DBX Sprint'!$A$7:$K$62),ROW('DBX Sprint'!$A$7:$K$62)),""),ROWS($R$34:R70)),COLUMNS('DBX Sprint'!$A$1:A12)),"")</f>
        <v/>
      </c>
      <c r="S70" s="43" t="str" cm="1">
        <f t="array" aca="1" ref="S70" ca="1">IFERROR(INDEX('DBX Sprint'!$A$7:$K$62, SMALL(IF((INDEX('DBX Sprint'!$A$7:$K$62, ,19)&lt;=(TODAY()+10))*(INDEX('DBX Sprint'!$A$7:$K$62, ,19)&gt;(TODAY()+5)),MATCH(ROW('DBX Sprint'!$A$7:$K$62),ROW('DBX Sprint'!$A$7:$K$62)),""),ROWS($S$34:S70)),COLUMNS('DBX Sprint'!$A$1:A12)),"")</f>
        <v/>
      </c>
      <c r="U70" s="41" t="str" cm="1">
        <f t="array" ref="U70">IFERROR(INDEX('DBX Sprint'!$A$7:$K$62, SMALL(IF((INDEX('DBX Sprint'!$A$7:$K$62, ,22)=("Complete"))*(INDEX('DBX Sprint'!$A$7:$K$62, ,22)="Complete"),MATCH(ROW('DBX Sprint'!$A$7:$K$62),ROW('DBX Sprint'!$A$7:$K$62)),""),ROWS($U$34:U70)),COLUMNS('DBX Sprint'!$A$1:A12)),"")</f>
        <v/>
      </c>
      <c r="V70" s="41" t="str" cm="1">
        <f t="array" aca="1" ref="V70" ca="1">IFERROR(INDEX('DBX Sprint'!$A$7:$K$62, SMALL(IF((INDEX('DBX Sprint'!$A$7:$K$62, ,22)&lt;(TODAY()))*(INDEX('DBX Sprint'!$A$7:$K$62, ,22)&lt;&gt;"Complete"),MATCH(ROW('DBX Sprint'!$A$7:$K$62),ROW('DBX Sprint'!$A$7:$K$62)),""),ROWS($V$34:V70)),COLUMNS('DBX Sprint'!$A$1:A12)),"")</f>
        <v/>
      </c>
      <c r="W70" s="41" t="str" cm="1">
        <f t="array" aca="1" ref="W70" ca="1">IFERROR(INDEX('DBX Sprint'!$A$7:$K$62, SMALL(IF((INDEX('DBX Sprint'!$A$7:$K$62, ,22)&lt;=(TODAY()+1))*(INDEX('DBX Sprint'!$A$7:$K$62, ,22)&gt;=TODAY()),MATCH(ROW('DBX Sprint'!$A$7:$K$62),ROW('DBX Sprint'!$A$7:$K$62)),""),ROWS($W$34:W70)),COLUMNS('DBX Sprint'!$A$1:A12)),"")</f>
        <v/>
      </c>
      <c r="X70" s="43" t="str" cm="1">
        <f t="array" aca="1" ref="X70" ca="1">IFERROR(INDEX('DBX Sprint'!$A$7:$K$62, SMALL(IF((INDEX('DBX Sprint'!$A$7:$K$62, ,22)&lt;=(TODAY()+5))*(INDEX('DBX Sprint'!$A$7:$K$62, ,22)&gt;(TODAY()+1)),MATCH(ROW('DBX Sprint'!$A$7:$K$62),ROW('DBX Sprint'!$A$7:$K$62)),""),ROWS($X$34:X70)),COLUMNS('DBX Sprint'!$A$1:A12)),"")</f>
        <v/>
      </c>
      <c r="Y70" s="43" t="str" cm="1">
        <f t="array" aca="1" ref="Y70" ca="1">IFERROR(INDEX('DBX Sprint'!$A$7:$K$62, SMALL(IF((INDEX('DBX Sprint'!$A$7:$K$62, ,22)&lt;=(TODAY()+10))*(INDEX('DBX Sprint'!$A$7:$K$62, ,22)&gt;(TODAY()+5)),MATCH(ROW('DBX Sprint'!$A$7:$K$62),ROW('DBX Sprint'!$A$7:$K$62)),""),ROWS($Y$34:Y70)),COLUMNS('DBX Sprint'!$A$1:A12)),"")</f>
        <v/>
      </c>
      <c r="AA70" s="41" t="str" cm="1">
        <f t="array" ref="AA70">IFERROR(INDEX('DBX Sprint'!$A$7:$K$62, SMALL(IF((INDEX('DBX Sprint'!$A$7:$K$62, ,25)=("Complete"))*(INDEX('DBX Sprint'!$A$7:$K$62, ,25)="Complete"),MATCH(ROW('DBX Sprint'!$A$7:$K$62),ROW('DBX Sprint'!$A$7:$K$62)),""),ROWS($AA$34:AA70)),COLUMNS('DBX Sprint'!$A$1:A12)),"")</f>
        <v/>
      </c>
      <c r="AB70" s="41" t="str" cm="1">
        <f t="array" aca="1" ref="AB70" ca="1">IFERROR(INDEX('DBX Sprint'!$A$7:$K$62, SMALL(IF((INDEX('DBX Sprint'!$A$7:$K$62, ,25)&lt;(TODAY()))*(INDEX('DBX Sprint'!$A$7:$K$62, ,25)&lt;&gt;"Complete"),MATCH(ROW('DBX Sprint'!$A$7:$K$62),ROW('DBX Sprint'!$A$7:$K$62)),""),ROWS($AB$34:AB70)),COLUMNS('DBX Sprint'!$A$1:A12)),"")</f>
        <v/>
      </c>
      <c r="AC70" s="41" t="str" cm="1">
        <f t="array" aca="1" ref="AC70" ca="1">IFERROR(INDEX('DBX Sprint'!$A$7:$K$62, SMALL(IF((INDEX('DBX Sprint'!$A$7:$K$62, ,25)&lt;=(TODAY()+1))*(INDEX('DBX Sprint'!$A$7:$K$62, ,25)&gt;=TODAY()),MATCH(ROW('DBX Sprint'!$A$7:$K$62),ROW('DBX Sprint'!$A$7:$K$62)),""),ROWS($AC$34:AC70)),COLUMNS('DBX Sprint'!$A$1:A12)),"")</f>
        <v/>
      </c>
      <c r="AD70" s="43" t="str" cm="1">
        <f t="array" aca="1" ref="AD70" ca="1">IFERROR(INDEX('DBX Sprint'!$A$7:$K$62, SMALL(IF((INDEX('DBX Sprint'!$A$7:$K$62, ,25)&lt;=(TODAY()+5))*(INDEX('DBX Sprint'!$A$7:$K$62, ,25)&gt;(TODAY()+1)),MATCH(ROW('DBX Sprint'!$A$7:$K$62),ROW('DBX Sprint'!$A$7:$K$62)),""),ROWS($AD$34:AD70)),COLUMNS('DBX Sprint'!$A$1:A12)),"")</f>
        <v/>
      </c>
      <c r="AE70" s="43" t="str" cm="1">
        <f t="array" aca="1" ref="AE70" ca="1">IFERROR(INDEX('DBX Sprint'!$A$7:$K$62, SMALL(IF((INDEX('DBX Sprint'!$A$7:$K$62, ,25)&lt;=(TODAY()+10))*(INDEX('DBX Sprint'!$A$7:$K$62, ,25)&gt;(TODAY()+5)),MATCH(ROW('DBX Sprint'!$A$7:$K$62),ROW('DBX Sprint'!$A$7:$K$62)),""),ROWS($AE$34:AE70)),COLUMNS('DBX Sprint'!$A$1:A12)),"")</f>
        <v/>
      </c>
      <c r="AG70" s="41" t="str" cm="1">
        <f t="array" ref="AG70">IFERROR(INDEX('DBX Sprint'!$A$7:$K$62, SMALL(IF((INDEX('DBX Sprint'!$A$7:$K$62, ,29)=("Complete"))*(INDEX('DBX Sprint'!$A$7:$K$62, ,29)="Complete"),MATCH(ROW('DBX Sprint'!$A$7:$K$62),ROW('DBX Sprint'!$A$7:$K$62)),""),ROWS($AG$34:AG70)),COLUMNS('DBX Sprint'!$A$1:A12)),"")</f>
        <v/>
      </c>
      <c r="AH70" s="41" t="str" cm="1">
        <f t="array" aca="1" ref="AH70" ca="1">IFERROR(INDEX('DBX Sprint'!$A$7:$K$62, SMALL(IF((INDEX('DBX Sprint'!$A$7:$K$62, ,29)&lt;(TODAY()))*(INDEX('DBX Sprint'!$A$7:$K$62, ,29)&lt;&gt;"Complete"),MATCH(ROW('DBX Sprint'!$A$7:$K$62),ROW('DBX Sprint'!$A$7:$K$62)),""),ROWS($AH$34:AH70)),COLUMNS('DBX Sprint'!$A$1:A12)),"")</f>
        <v/>
      </c>
      <c r="AI70" s="41" t="str" cm="1">
        <f t="array" aca="1" ref="AI70" ca="1">IFERROR(INDEX('DBX Sprint'!$A$7:$K$62, SMALL(IF((INDEX('DBX Sprint'!$A$7:$K$62, ,29)&lt;=(TODAY()+1))*(INDEX('DBX Sprint'!$A$7:$K$62, ,29)&gt;=TODAY()),MATCH(ROW('DBX Sprint'!$A$7:$K$62),ROW('DBX Sprint'!$A$7:$K$62)),""),ROWS($AI$34:AI70)),COLUMNS('DBX Sprint'!$A$1:A12)),"")</f>
        <v/>
      </c>
      <c r="AJ70" s="43" t="str" cm="1">
        <f t="array" aca="1" ref="AJ70" ca="1">IFERROR(INDEX('DBX Sprint'!$A$7:$K$62, SMALL(IF((INDEX('DBX Sprint'!$A$7:$K$62, ,29)&lt;=(TODAY()+5))*(INDEX('DBX Sprint'!$A$7:$K$62, ,29)&gt;(TODAY()+1)),MATCH(ROW('DBX Sprint'!$A$7:$K$62),ROW('DBX Sprint'!$A$7:$K$62)),""),ROWS($AJ$34:AJ70)),COLUMNS('DBX Sprint'!$A$1:A12)),"")</f>
        <v/>
      </c>
      <c r="AK70" s="43" t="str" cm="1">
        <f t="array" aca="1" ref="AK70" ca="1">IFERROR(INDEX('DBX Sprint'!$A$7:$K$62, SMALL(IF((INDEX('DBX Sprint'!$A$7:$K$62, ,29)&lt;=(TODAY()+10))*(INDEX('DBX Sprint'!$A$7:$K$62, ,29)&gt;(TODAY()+5)),MATCH(ROW('DBX Sprint'!$A$7:$K$62),ROW('DBX Sprint'!$A$7:$K$62)),""),ROWS($AK$34:AK70)),COLUMNS('DBX Sprint'!$A$1:A12)),"")</f>
        <v/>
      </c>
      <c r="AM70" s="41" t="str" cm="1">
        <f t="array" ref="AM70">IFERROR(INDEX('DBX Sprint'!$A$7:$K$62, SMALL(IF((INDEX('DBX Sprint'!$A$7:$K$62, ,32)=("Complete"))*(INDEX('DBX Sprint'!$A$7:$K$62, ,32)="Complete"),MATCH(ROW('DBX Sprint'!$A$7:$K$62),ROW('DBX Sprint'!$A$7:$K$62)),""),ROWS($AM$34:AM70)),COLUMNS('DBX Sprint'!$A$1:A12)),"")</f>
        <v/>
      </c>
      <c r="AN70" s="41" t="str" cm="1">
        <f t="array" aca="1" ref="AN70" ca="1">IFERROR(INDEX('DBX Sprint'!$A$7:$K$62, SMALL(IF((INDEX('DBX Sprint'!$A$7:$K$62, ,32)&lt;(TODAY()))*(INDEX('DBX Sprint'!$A$7:$K$62, ,32)&lt;&gt;"Complete"),MATCH(ROW('DBX Sprint'!$A$7:$K$62),ROW('DBX Sprint'!$A$7:$K$62)),""),ROWS($AN$34:AN70)),COLUMNS('DBX Sprint'!$A$1:A12)),"")</f>
        <v/>
      </c>
      <c r="AO70" s="41" t="str" cm="1">
        <f t="array" aca="1" ref="AO70" ca="1">IFERROR(INDEX('DBX Sprint'!$A$7:$K$62, SMALL(IF((INDEX('DBX Sprint'!$A$7:$K$62, ,32)&lt;=(TODAY()+1))*(INDEX('DBX Sprint'!$A$7:$K$62, ,32)&gt;=TODAY()),MATCH(ROW('DBX Sprint'!$A$7:$K$62),ROW('DBX Sprint'!$A$7:$K$62)),""),ROWS($AO$34:AO70)),COLUMNS('DBX Sprint'!$A$1:A12)),"")</f>
        <v/>
      </c>
      <c r="AP70" s="43" t="str" cm="1">
        <f t="array" aca="1" ref="AP70" ca="1">IFERROR(INDEX('DBX Sprint'!$A$7:$K$62, SMALL(IF((INDEX('DBX Sprint'!$A$7:$K$62, ,32)&lt;=(TODAY()+5))*(INDEX('DBX Sprint'!$A$7:$K$62, ,32)&gt;(TODAY()+1)),MATCH(ROW('DBX Sprint'!$A$7:$K$62),ROW('DBX Sprint'!$A$7:$K$62)),""),ROWS($AP$34:AP70)),COLUMNS('DBX Sprint'!$A$1:A12)),"")</f>
        <v/>
      </c>
      <c r="AQ70" s="43" t="str" cm="1">
        <f t="array" aca="1" ref="AQ70" ca="1">IFERROR(INDEX('DBX Sprint'!$A$7:$K$62, SMALL(IF((INDEX('DBX Sprint'!$A$7:$K$62, ,32)&lt;=(TODAY()+10))*(INDEX('DBX Sprint'!$A$7:$K$62, ,32)&gt;(TODAY()+5)),MATCH(ROW('DBX Sprint'!$A$7:$K$62),ROW('DBX Sprint'!$A$7:$K$62)),""),ROWS($AQ$34:AQ70)),COLUMNS('DBX Sprint'!$A$1:A12)),"")</f>
        <v/>
      </c>
    </row>
    <row r="71" spans="3:43" ht="30" customHeight="1">
      <c r="C71" s="41" t="str" cm="1">
        <f t="array" ref="C71">IFERROR(INDEX('DBX Sprint'!$A$7:$K$62, SMALL(IF((INDEX('DBX Sprint'!$A$7:$K$62, ,13)=("Complete"))*(INDEX('DBX Sprint'!$A$7:$K$62, ,13)="Complete"),MATCH(ROW('DBX Sprint'!$A$7:$K$62),ROW('DBX Sprint'!$A$7:$K$62)),""),ROWS(C$34:$C71)),COLUMNS('DBX Sprint'!$A$1:A12)),"")</f>
        <v/>
      </c>
      <c r="D71" s="41" t="str" cm="1">
        <f t="array" aca="1" ref="D71" ca="1">IFERROR(INDEX('DBX Sprint'!$A$7:$K$62, SMALL(IF((INDEX('DBX Sprint'!$A$7:$K$62, ,13)&lt;(TODAY()))*(INDEX('DBX Sprint'!$A$7:$K$62, ,13)&lt;&gt;"Complete"),MATCH(ROW('DBX Sprint'!$A$7:$K$62),ROW('DBX Sprint'!$A$7:$K$62)),""),ROWS(D$34:$D71)),COLUMNS('DBX Sprint'!$A$1:A12)),"")</f>
        <v/>
      </c>
      <c r="E71" s="41" t="str" cm="1">
        <f t="array" aca="1" ref="E71" ca="1">IFERROR(INDEX('DBX Sprint'!$A$7:$K$62, SMALL(IF((INDEX('DBX Sprint'!$A$7:$K$62, ,13)&lt;=(TODAY()+1))*(INDEX('DBX Sprint'!$A$7:$K$62, ,13)&gt;=TODAY()),MATCH(ROW('DBX Sprint'!$A$7:$K$62),ROW('DBX Sprint'!$A$7:$K$62)),""),ROWS(E$34:$E71)),COLUMNS('DBX Sprint'!$A$1:A12)),"")</f>
        <v/>
      </c>
      <c r="F71" s="43" t="str" cm="1">
        <f t="array" aca="1" ref="F71" ca="1">IFERROR(INDEX('DBX Sprint'!$A$7:$K$62, SMALL(IF((INDEX('DBX Sprint'!$A$7:$K$62, ,13)&lt;=(TODAY()+5))*(INDEX('DBX Sprint'!$A$7:$K$62, ,13)&gt;(TODAY()+1)),MATCH(ROW('DBX Sprint'!$A$7:$K$62),ROW('DBX Sprint'!$A$7:$K$62)),""),ROWS($F$34:F71)),COLUMNS('DBX Sprint'!$A$1:A12)),"")</f>
        <v/>
      </c>
      <c r="G71" s="43" t="str" cm="1">
        <f t="array" aca="1" ref="G71" ca="1">IFERROR(INDEX('DBX Sprint'!$A$7:$K$62, SMALL(IF((INDEX('DBX Sprint'!$A$7:$K$62, ,13)&lt;=(TODAY()+10))*(INDEX('DBX Sprint'!$A$7:$K$62, ,13)&gt;(TODAY()+5)),MATCH(ROW('DBX Sprint'!$A$7:$K$62),ROW('DBX Sprint'!$A$7:$K$62)),""),ROWS($G$34:G71)),COLUMNS('DBX Sprint'!$A$1:A12)),"")</f>
        <v/>
      </c>
      <c r="I71" s="41" t="str" cm="1">
        <f t="array" ref="I71">IFERROR(INDEX('DBX Sprint'!$A$7:$K$62, SMALL(IF((INDEX('DBX Sprint'!$A$7:$K$62, ,16)=("Complete"))*(INDEX('DBX Sprint'!$A$7:$K$62, ,16)="Complete"),MATCH(ROW('DBX Sprint'!$A$7:$K$62),ROW('DBX Sprint'!$A$7:$K$62)),""),ROWS($I$34:I71)),COLUMNS('DBX Sprint'!$A$1:A12)),"")</f>
        <v/>
      </c>
      <c r="J71" s="41" t="str" cm="1">
        <f t="array" aca="1" ref="J71" ca="1">IFERROR(INDEX('DBX Sprint'!$A$7:$K$62, SMALL(IF((INDEX('DBX Sprint'!$A$7:$K$62, ,16)&lt;(TODAY()))*(INDEX('DBX Sprint'!$A$7:$K$62, ,16)&lt;&gt;"Complete"),MATCH(ROW('DBX Sprint'!$A$7:$K$62),ROW('DBX Sprint'!$A$7:$K$62)),""),ROWS($J$34:J71)),COLUMNS('DBX Sprint'!$A$1:A12)),"")</f>
        <v/>
      </c>
      <c r="K71" s="37" t="str" cm="1">
        <f t="array" aca="1" ref="K71" ca="1">IFERROR(INDEX('DBX Sprint'!$A$7:$K$62, SMALL(IF((INDEX('DBX Sprint'!$A$7:$K$62, ,16)&lt;=(TODAY()+1))*(INDEX('DBX Sprint'!$A$7:$K$62, ,16)&gt;=TODAY()),MATCH(ROW('DBX Sprint'!$A$7:$K$62),ROW('DBX Sprint'!$A$7:$K$62)),""),ROWS($K$34:K71)),COLUMNS('DBX Sprint'!$A$1:A12)),"")</f>
        <v/>
      </c>
      <c r="L71" s="38" t="str" cm="1">
        <f t="array" aca="1" ref="L71" ca="1">IFERROR(INDEX('DBX Sprint'!$A$7:$K$62, SMALL(IF((INDEX('DBX Sprint'!$A$7:$K$62, ,16)&lt;=(TODAY()+5))*(INDEX('DBX Sprint'!$A$7:$K$62, ,16)&gt;(TODAY()+1)),MATCH(ROW('DBX Sprint'!$A$7:$K$62),ROW('DBX Sprint'!$A$7:$K$62)),""),ROWS($L$34:L71)),COLUMNS('DBX Sprint'!$A$1:A12)),"")</f>
        <v/>
      </c>
      <c r="M71" s="43" t="str" cm="1">
        <f t="array" aca="1" ref="M71" ca="1">IFERROR(INDEX('DBX Sprint'!$A$7:$K$62, SMALL(IF((INDEX('DBX Sprint'!$A$7:$K$62, ,16)&lt;=(TODAY()+10))*(INDEX('DBX Sprint'!$A$7:$K$62, ,16)&gt;(TODAY()+5)),MATCH(ROW('DBX Sprint'!$A$7:$K$62),ROW('DBX Sprint'!$A$7:$K$62)),""),ROWS($M$34:M71)),COLUMNS('DBX Sprint'!$A$1:A12)),"")</f>
        <v/>
      </c>
      <c r="P71" s="41" t="str" cm="1">
        <f t="array" aca="1" ref="P71" ca="1">IFERROR(INDEX('DBX Sprint'!$A$7:$K$62, SMALL(IF((INDEX('DBX Sprint'!$A$7:$K$62, ,19)&lt;(TODAY()))*(INDEX('DBX Sprint'!$A$7:$K$62, ,19)&lt;&gt;"Complete"),MATCH(ROW('DBX Sprint'!$A$7:$K$62),ROW('DBX Sprint'!$A$7:$K$62)),""),ROWS($P$34:P71)),COLUMNS('DBX Sprint'!$A$1:A12)),"")</f>
        <v/>
      </c>
      <c r="Q71" s="41" t="str" cm="1">
        <f t="array" aca="1" ref="Q71" ca="1">IFERROR(INDEX('DBX Sprint'!$A$7:$K$62, SMALL(IF((INDEX('DBX Sprint'!$A$7:$K$62, ,19)&lt;=(TODAY()+1))*(INDEX('DBX Sprint'!$A$7:$K$62, ,19)&gt;=TODAY()),MATCH(ROW('DBX Sprint'!$A$7:$K$62),ROW('DBX Sprint'!$A$7:$K$62)),""),ROWS($Q$34:Q71)),COLUMNS('DBX Sprint'!$A$1:A12)),"")</f>
        <v/>
      </c>
      <c r="R71" s="43" t="str" cm="1">
        <f t="array" aca="1" ref="R71" ca="1">IFERROR(INDEX('DBX Sprint'!$A$7:$K$62, SMALL(IF((INDEX('DBX Sprint'!$A$7:$K$62, ,19)&lt;=(TODAY()+5))*(INDEX('DBX Sprint'!$A$7:$K$62, ,19)&gt;(TODAY()+1)),MATCH(ROW('DBX Sprint'!$A$7:$K$62),ROW('DBX Sprint'!$A$7:$K$62)),""),ROWS($R$34:R71)),COLUMNS('DBX Sprint'!$A$1:A12)),"")</f>
        <v/>
      </c>
      <c r="S71" s="43" t="str" cm="1">
        <f t="array" aca="1" ref="S71" ca="1">IFERROR(INDEX('DBX Sprint'!$A$7:$K$62, SMALL(IF((INDEX('DBX Sprint'!$A$7:$K$62, ,19)&lt;=(TODAY()+10))*(INDEX('DBX Sprint'!$A$7:$K$62, ,19)&gt;(TODAY()+5)),MATCH(ROW('DBX Sprint'!$A$7:$K$62),ROW('DBX Sprint'!$A$7:$K$62)),""),ROWS($S$34:S71)),COLUMNS('DBX Sprint'!$A$1:A12)),"")</f>
        <v/>
      </c>
      <c r="U71" s="41" t="str" cm="1">
        <f t="array" ref="U71">IFERROR(INDEX('DBX Sprint'!$A$7:$K$62, SMALL(IF((INDEX('DBX Sprint'!$A$7:$K$62, ,22)=("Complete"))*(INDEX('DBX Sprint'!$A$7:$K$62, ,22)="Complete"),MATCH(ROW('DBX Sprint'!$A$7:$K$62),ROW('DBX Sprint'!$A$7:$K$62)),""),ROWS($U$34:U71)),COLUMNS('DBX Sprint'!$A$1:A12)),"")</f>
        <v/>
      </c>
      <c r="V71" s="41" t="str" cm="1">
        <f t="array" aca="1" ref="V71" ca="1">IFERROR(INDEX('DBX Sprint'!$A$7:$K$62, SMALL(IF((INDEX('DBX Sprint'!$A$7:$K$62, ,22)&lt;(TODAY()))*(INDEX('DBX Sprint'!$A$7:$K$62, ,22)&lt;&gt;"Complete"),MATCH(ROW('DBX Sprint'!$A$7:$K$62),ROW('DBX Sprint'!$A$7:$K$62)),""),ROWS($V$34:V71)),COLUMNS('DBX Sprint'!$A$1:A12)),"")</f>
        <v/>
      </c>
      <c r="W71" s="41" t="str" cm="1">
        <f t="array" aca="1" ref="W71" ca="1">IFERROR(INDEX('DBX Sprint'!$A$7:$K$62, SMALL(IF((INDEX('DBX Sprint'!$A$7:$K$62, ,22)&lt;=(TODAY()+1))*(INDEX('DBX Sprint'!$A$7:$K$62, ,22)&gt;=TODAY()),MATCH(ROW('DBX Sprint'!$A$7:$K$62),ROW('DBX Sprint'!$A$7:$K$62)),""),ROWS($W$34:W71)),COLUMNS('DBX Sprint'!$A$1:A12)),"")</f>
        <v/>
      </c>
      <c r="X71" s="43" t="str" cm="1">
        <f t="array" aca="1" ref="X71" ca="1">IFERROR(INDEX('DBX Sprint'!$A$7:$K$62, SMALL(IF((INDEX('DBX Sprint'!$A$7:$K$62, ,22)&lt;=(TODAY()+5))*(INDEX('DBX Sprint'!$A$7:$K$62, ,22)&gt;(TODAY()+1)),MATCH(ROW('DBX Sprint'!$A$7:$K$62),ROW('DBX Sprint'!$A$7:$K$62)),""),ROWS($X$34:X71)),COLUMNS('DBX Sprint'!$A$1:A12)),"")</f>
        <v/>
      </c>
      <c r="Y71" s="43" t="str" cm="1">
        <f t="array" aca="1" ref="Y71" ca="1">IFERROR(INDEX('DBX Sprint'!$A$7:$K$62, SMALL(IF((INDEX('DBX Sprint'!$A$7:$K$62, ,22)&lt;=(TODAY()+10))*(INDEX('DBX Sprint'!$A$7:$K$62, ,22)&gt;(TODAY()+5)),MATCH(ROW('DBX Sprint'!$A$7:$K$62),ROW('DBX Sprint'!$A$7:$K$62)),""),ROWS($Y$34:Y71)),COLUMNS('DBX Sprint'!$A$1:A12)),"")</f>
        <v/>
      </c>
      <c r="AA71" s="41" t="str" cm="1">
        <f t="array" ref="AA71">IFERROR(INDEX('DBX Sprint'!$A$7:$K$62, SMALL(IF((INDEX('DBX Sprint'!$A$7:$K$62, ,25)=("Complete"))*(INDEX('DBX Sprint'!$A$7:$K$62, ,25)="Complete"),MATCH(ROW('DBX Sprint'!$A$7:$K$62),ROW('DBX Sprint'!$A$7:$K$62)),""),ROWS($AA$34:AA71)),COLUMNS('DBX Sprint'!$A$1:A12)),"")</f>
        <v/>
      </c>
      <c r="AB71" s="41" t="str" cm="1">
        <f t="array" aca="1" ref="AB71" ca="1">IFERROR(INDEX('DBX Sprint'!$A$7:$K$62, SMALL(IF((INDEX('DBX Sprint'!$A$7:$K$62, ,25)&lt;(TODAY()))*(INDEX('DBX Sprint'!$A$7:$K$62, ,25)&lt;&gt;"Complete"),MATCH(ROW('DBX Sprint'!$A$7:$K$62),ROW('DBX Sprint'!$A$7:$K$62)),""),ROWS($AB$34:AB71)),COLUMNS('DBX Sprint'!$A$1:A12)),"")</f>
        <v/>
      </c>
      <c r="AC71" s="41" t="str" cm="1">
        <f t="array" aca="1" ref="AC71" ca="1">IFERROR(INDEX('DBX Sprint'!$A$7:$K$62, SMALL(IF((INDEX('DBX Sprint'!$A$7:$K$62, ,25)&lt;=(TODAY()+1))*(INDEX('DBX Sprint'!$A$7:$K$62, ,25)&gt;=TODAY()),MATCH(ROW('DBX Sprint'!$A$7:$K$62),ROW('DBX Sprint'!$A$7:$K$62)),""),ROWS($AC$34:AC71)),COLUMNS('DBX Sprint'!$A$1:A12)),"")</f>
        <v/>
      </c>
      <c r="AD71" s="43" t="str" cm="1">
        <f t="array" aca="1" ref="AD71" ca="1">IFERROR(INDEX('DBX Sprint'!$A$7:$K$62, SMALL(IF((INDEX('DBX Sprint'!$A$7:$K$62, ,25)&lt;=(TODAY()+5))*(INDEX('DBX Sprint'!$A$7:$K$62, ,25)&gt;(TODAY()+1)),MATCH(ROW('DBX Sprint'!$A$7:$K$62),ROW('DBX Sprint'!$A$7:$K$62)),""),ROWS($AD$34:AD71)),COLUMNS('DBX Sprint'!$A$1:A12)),"")</f>
        <v/>
      </c>
      <c r="AE71" s="43" t="str" cm="1">
        <f t="array" aca="1" ref="AE71" ca="1">IFERROR(INDEX('DBX Sprint'!$A$7:$K$62, SMALL(IF((INDEX('DBX Sprint'!$A$7:$K$62, ,25)&lt;=(TODAY()+10))*(INDEX('DBX Sprint'!$A$7:$K$62, ,25)&gt;(TODAY()+5)),MATCH(ROW('DBX Sprint'!$A$7:$K$62),ROW('DBX Sprint'!$A$7:$K$62)),""),ROWS($AE$34:AE71)),COLUMNS('DBX Sprint'!$A$1:A12)),"")</f>
        <v/>
      </c>
      <c r="AG71" s="41" t="str" cm="1">
        <f t="array" ref="AG71">IFERROR(INDEX('DBX Sprint'!$A$7:$K$62, SMALL(IF((INDEX('DBX Sprint'!$A$7:$K$62, ,29)=("Complete"))*(INDEX('DBX Sprint'!$A$7:$K$62, ,29)="Complete"),MATCH(ROW('DBX Sprint'!$A$7:$K$62),ROW('DBX Sprint'!$A$7:$K$62)),""),ROWS($AG$34:AG71)),COLUMNS('DBX Sprint'!$A$1:A12)),"")</f>
        <v/>
      </c>
      <c r="AH71" s="41" t="str" cm="1">
        <f t="array" aca="1" ref="AH71" ca="1">IFERROR(INDEX('DBX Sprint'!$A$7:$K$62, SMALL(IF((INDEX('DBX Sprint'!$A$7:$K$62, ,29)&lt;(TODAY()))*(INDEX('DBX Sprint'!$A$7:$K$62, ,29)&lt;&gt;"Complete"),MATCH(ROW('DBX Sprint'!$A$7:$K$62),ROW('DBX Sprint'!$A$7:$K$62)),""),ROWS($AH$34:AH71)),COLUMNS('DBX Sprint'!$A$1:A12)),"")</f>
        <v/>
      </c>
      <c r="AI71" s="41" t="str" cm="1">
        <f t="array" aca="1" ref="AI71" ca="1">IFERROR(INDEX('DBX Sprint'!$A$7:$K$62, SMALL(IF((INDEX('DBX Sprint'!$A$7:$K$62, ,29)&lt;=(TODAY()+1))*(INDEX('DBX Sprint'!$A$7:$K$62, ,29)&gt;=TODAY()),MATCH(ROW('DBX Sprint'!$A$7:$K$62),ROW('DBX Sprint'!$A$7:$K$62)),""),ROWS($AI$34:AI71)),COLUMNS('DBX Sprint'!$A$1:A12)),"")</f>
        <v/>
      </c>
      <c r="AJ71" s="43" t="str" cm="1">
        <f t="array" aca="1" ref="AJ71" ca="1">IFERROR(INDEX('DBX Sprint'!$A$7:$K$62, SMALL(IF((INDEX('DBX Sprint'!$A$7:$K$62, ,29)&lt;=(TODAY()+5))*(INDEX('DBX Sprint'!$A$7:$K$62, ,29)&gt;(TODAY()+1)),MATCH(ROW('DBX Sprint'!$A$7:$K$62),ROW('DBX Sprint'!$A$7:$K$62)),""),ROWS($AJ$34:AJ71)),COLUMNS('DBX Sprint'!$A$1:A12)),"")</f>
        <v/>
      </c>
      <c r="AK71" s="43" t="str" cm="1">
        <f t="array" aca="1" ref="AK71" ca="1">IFERROR(INDEX('DBX Sprint'!$A$7:$K$62, SMALL(IF((INDEX('DBX Sprint'!$A$7:$K$62, ,29)&lt;=(TODAY()+10))*(INDEX('DBX Sprint'!$A$7:$K$62, ,29)&gt;(TODAY()+5)),MATCH(ROW('DBX Sprint'!$A$7:$K$62),ROW('DBX Sprint'!$A$7:$K$62)),""),ROWS($AK$34:AK71)),COLUMNS('DBX Sprint'!$A$1:A12)),"")</f>
        <v/>
      </c>
      <c r="AM71" s="41" t="str" cm="1">
        <f t="array" ref="AM71">IFERROR(INDEX('DBX Sprint'!$A$7:$K$62, SMALL(IF((INDEX('DBX Sprint'!$A$7:$K$62, ,32)=("Complete"))*(INDEX('DBX Sprint'!$A$7:$K$62, ,32)="Complete"),MATCH(ROW('DBX Sprint'!$A$7:$K$62),ROW('DBX Sprint'!$A$7:$K$62)),""),ROWS($AM$34:AM71)),COLUMNS('DBX Sprint'!$A$1:A12)),"")</f>
        <v/>
      </c>
      <c r="AN71" s="41" t="str" cm="1">
        <f t="array" aca="1" ref="AN71" ca="1">IFERROR(INDEX('DBX Sprint'!$A$7:$K$62, SMALL(IF((INDEX('DBX Sprint'!$A$7:$K$62, ,32)&lt;(TODAY()))*(INDEX('DBX Sprint'!$A$7:$K$62, ,32)&lt;&gt;"Complete"),MATCH(ROW('DBX Sprint'!$A$7:$K$62),ROW('DBX Sprint'!$A$7:$K$62)),""),ROWS($AN$34:AN71)),COLUMNS('DBX Sprint'!$A$1:A12)),"")</f>
        <v/>
      </c>
      <c r="AO71" s="41" t="str" cm="1">
        <f t="array" aca="1" ref="AO71" ca="1">IFERROR(INDEX('DBX Sprint'!$A$7:$K$62, SMALL(IF((INDEX('DBX Sprint'!$A$7:$K$62, ,32)&lt;=(TODAY()+1))*(INDEX('DBX Sprint'!$A$7:$K$62, ,32)&gt;=TODAY()),MATCH(ROW('DBX Sprint'!$A$7:$K$62),ROW('DBX Sprint'!$A$7:$K$62)),""),ROWS($AO$34:AO71)),COLUMNS('DBX Sprint'!$A$1:A12)),"")</f>
        <v/>
      </c>
      <c r="AP71" s="43" t="str" cm="1">
        <f t="array" aca="1" ref="AP71" ca="1">IFERROR(INDEX('DBX Sprint'!$A$7:$K$62, SMALL(IF((INDEX('DBX Sprint'!$A$7:$K$62, ,32)&lt;=(TODAY()+5))*(INDEX('DBX Sprint'!$A$7:$K$62, ,32)&gt;(TODAY()+1)),MATCH(ROW('DBX Sprint'!$A$7:$K$62),ROW('DBX Sprint'!$A$7:$K$62)),""),ROWS($AP$34:AP71)),COLUMNS('DBX Sprint'!$A$1:A12)),"")</f>
        <v/>
      </c>
      <c r="AQ71" s="43" t="str" cm="1">
        <f t="array" aca="1" ref="AQ71" ca="1">IFERROR(INDEX('DBX Sprint'!$A$7:$K$62, SMALL(IF((INDEX('DBX Sprint'!$A$7:$K$62, ,32)&lt;=(TODAY()+10))*(INDEX('DBX Sprint'!$A$7:$K$62, ,32)&gt;(TODAY()+5)),MATCH(ROW('DBX Sprint'!$A$7:$K$62),ROW('DBX Sprint'!$A$7:$K$62)),""),ROWS($AQ$34:AQ71)),COLUMNS('DBX Sprint'!$A$1:A12)),"")</f>
        <v/>
      </c>
    </row>
    <row r="72" spans="3:43" ht="30" customHeight="1">
      <c r="C72" s="41" t="str" cm="1">
        <f t="array" ref="C72">IFERROR(INDEX('DBX Sprint'!$A$7:$K$62, SMALL(IF((INDEX('DBX Sprint'!$A$7:$K$62, ,13)=("Complete"))*(INDEX('DBX Sprint'!$A$7:$K$62, ,13)="Complete"),MATCH(ROW('DBX Sprint'!$A$7:$K$62),ROW('DBX Sprint'!$A$7:$K$62)),""),ROWS(C$34:$C72)),COLUMNS('DBX Sprint'!$A$1:A12)),"")</f>
        <v/>
      </c>
      <c r="D72" s="41" t="str" cm="1">
        <f t="array" aca="1" ref="D72" ca="1">IFERROR(INDEX('DBX Sprint'!$A$7:$K$62, SMALL(IF((INDEX('DBX Sprint'!$A$7:$K$62, ,13)&lt;(TODAY()))*(INDEX('DBX Sprint'!$A$7:$K$62, ,13)&lt;&gt;"Complete"),MATCH(ROW('DBX Sprint'!$A$7:$K$62),ROW('DBX Sprint'!$A$7:$K$62)),""),ROWS(D$34:$D72)),COLUMNS('DBX Sprint'!$A$1:A12)),"")</f>
        <v/>
      </c>
      <c r="E72" s="41" t="str" cm="1">
        <f t="array" aca="1" ref="E72" ca="1">IFERROR(INDEX('DBX Sprint'!$A$7:$K$62, SMALL(IF((INDEX('DBX Sprint'!$A$7:$K$62, ,13)&lt;=(TODAY()+1))*(INDEX('DBX Sprint'!$A$7:$K$62, ,13)&gt;=TODAY()),MATCH(ROW('DBX Sprint'!$A$7:$K$62),ROW('DBX Sprint'!$A$7:$K$62)),""),ROWS(E$34:$E72)),COLUMNS('DBX Sprint'!$A$1:A12)),"")</f>
        <v/>
      </c>
      <c r="F72" s="43" t="str" cm="1">
        <f t="array" aca="1" ref="F72" ca="1">IFERROR(INDEX('DBX Sprint'!$A$7:$K$62, SMALL(IF((INDEX('DBX Sprint'!$A$7:$K$62, ,13)&lt;=(TODAY()+5))*(INDEX('DBX Sprint'!$A$7:$K$62, ,13)&gt;(TODAY()+1)),MATCH(ROW('DBX Sprint'!$A$7:$K$62),ROW('DBX Sprint'!$A$7:$K$62)),""),ROWS($F$34:F72)),COLUMNS('DBX Sprint'!$A$1:A12)),"")</f>
        <v/>
      </c>
      <c r="G72" s="43" t="str" cm="1">
        <f t="array" aca="1" ref="G72" ca="1">IFERROR(INDEX('DBX Sprint'!$A$7:$K$62, SMALL(IF((INDEX('DBX Sprint'!$A$7:$K$62, ,13)&lt;=(TODAY()+10))*(INDEX('DBX Sprint'!$A$7:$K$62, ,13)&gt;(TODAY()+5)),MATCH(ROW('DBX Sprint'!$A$7:$K$62),ROW('DBX Sprint'!$A$7:$K$62)),""),ROWS($G$34:G72)),COLUMNS('DBX Sprint'!$A$1:A12)),"")</f>
        <v/>
      </c>
      <c r="I72" s="41" t="str" cm="1">
        <f t="array" ref="I72">IFERROR(INDEX('DBX Sprint'!$A$7:$K$62, SMALL(IF((INDEX('DBX Sprint'!$A$7:$K$62, ,16)=("Complete"))*(INDEX('DBX Sprint'!$A$7:$K$62, ,16)="Complete"),MATCH(ROW('DBX Sprint'!$A$7:$K$62),ROW('DBX Sprint'!$A$7:$K$62)),""),ROWS($I$34:I72)),COLUMNS('DBX Sprint'!$A$1:A12)),"")</f>
        <v/>
      </c>
      <c r="J72" s="41" t="str" cm="1">
        <f t="array" aca="1" ref="J72" ca="1">IFERROR(INDEX('DBX Sprint'!$A$7:$K$62, SMALL(IF((INDEX('DBX Sprint'!$A$7:$K$62, ,16)&lt;(TODAY()))*(INDEX('DBX Sprint'!$A$7:$K$62, ,16)&lt;&gt;"Complete"),MATCH(ROW('DBX Sprint'!$A$7:$K$62),ROW('DBX Sprint'!$A$7:$K$62)),""),ROWS($J$34:J72)),COLUMNS('DBX Sprint'!$A$1:A12)),"")</f>
        <v/>
      </c>
      <c r="K72" s="37" t="str" cm="1">
        <f t="array" aca="1" ref="K72" ca="1">IFERROR(INDEX('DBX Sprint'!$A$7:$K$62, SMALL(IF((INDEX('DBX Sprint'!$A$7:$K$62, ,16)&lt;=(TODAY()+1))*(INDEX('DBX Sprint'!$A$7:$K$62, ,16)&gt;=TODAY()),MATCH(ROW('DBX Sprint'!$A$7:$K$62),ROW('DBX Sprint'!$A$7:$K$62)),""),ROWS($K$34:K72)),COLUMNS('DBX Sprint'!$A$1:A12)),"")</f>
        <v/>
      </c>
      <c r="L72" s="38" t="str" cm="1">
        <f t="array" aca="1" ref="L72" ca="1">IFERROR(INDEX('DBX Sprint'!$A$7:$K$62, SMALL(IF((INDEX('DBX Sprint'!$A$7:$K$62, ,16)&lt;=(TODAY()+5))*(INDEX('DBX Sprint'!$A$7:$K$62, ,16)&gt;(TODAY()+1)),MATCH(ROW('DBX Sprint'!$A$7:$K$62),ROW('DBX Sprint'!$A$7:$K$62)),""),ROWS($L$34:L72)),COLUMNS('DBX Sprint'!$A$1:A12)),"")</f>
        <v/>
      </c>
      <c r="M72" s="43" t="str" cm="1">
        <f t="array" aca="1" ref="M72" ca="1">IFERROR(INDEX('DBX Sprint'!$A$7:$K$62, SMALL(IF((INDEX('DBX Sprint'!$A$7:$K$62, ,16)&lt;=(TODAY()+10))*(INDEX('DBX Sprint'!$A$7:$K$62, ,16)&gt;(TODAY()+5)),MATCH(ROW('DBX Sprint'!$A$7:$K$62),ROW('DBX Sprint'!$A$7:$K$62)),""),ROWS($M$34:M72)),COLUMNS('DBX Sprint'!$A$1:A12)),"")</f>
        <v/>
      </c>
      <c r="P72" s="41" t="str" cm="1">
        <f t="array" aca="1" ref="P72" ca="1">IFERROR(INDEX('DBX Sprint'!$A$7:$K$62, SMALL(IF((INDEX('DBX Sprint'!$A$7:$K$62, ,19)&lt;(TODAY()))*(INDEX('DBX Sprint'!$A$7:$K$62, ,19)&lt;&gt;"Complete"),MATCH(ROW('DBX Sprint'!$A$7:$K$62),ROW('DBX Sprint'!$A$7:$K$62)),""),ROWS($P$34:P72)),COLUMNS('DBX Sprint'!$A$1:A12)),"")</f>
        <v/>
      </c>
      <c r="Q72" s="41" t="str" cm="1">
        <f t="array" aca="1" ref="Q72" ca="1">IFERROR(INDEX('DBX Sprint'!$A$7:$K$62, SMALL(IF((INDEX('DBX Sprint'!$A$7:$K$62, ,19)&lt;=(TODAY()+1))*(INDEX('DBX Sprint'!$A$7:$K$62, ,19)&gt;=TODAY()),MATCH(ROW('DBX Sprint'!$A$7:$K$62),ROW('DBX Sprint'!$A$7:$K$62)),""),ROWS($Q$34:Q72)),COLUMNS('DBX Sprint'!$A$1:A12)),"")</f>
        <v/>
      </c>
      <c r="R72" s="43" t="str" cm="1">
        <f t="array" aca="1" ref="R72" ca="1">IFERROR(INDEX('DBX Sprint'!$A$7:$K$62, SMALL(IF((INDEX('DBX Sprint'!$A$7:$K$62, ,19)&lt;=(TODAY()+5))*(INDEX('DBX Sprint'!$A$7:$K$62, ,19)&gt;(TODAY()+1)),MATCH(ROW('DBX Sprint'!$A$7:$K$62),ROW('DBX Sprint'!$A$7:$K$62)),""),ROWS($R$34:R72)),COLUMNS('DBX Sprint'!$A$1:A12)),"")</f>
        <v/>
      </c>
      <c r="S72" s="43" t="str" cm="1">
        <f t="array" aca="1" ref="S72" ca="1">IFERROR(INDEX('DBX Sprint'!$A$7:$K$62, SMALL(IF((INDEX('DBX Sprint'!$A$7:$K$62, ,19)&lt;=(TODAY()+10))*(INDEX('DBX Sprint'!$A$7:$K$62, ,19)&gt;(TODAY()+5)),MATCH(ROW('DBX Sprint'!$A$7:$K$62),ROW('DBX Sprint'!$A$7:$K$62)),""),ROWS($S$34:S72)),COLUMNS('DBX Sprint'!$A$1:A12)),"")</f>
        <v/>
      </c>
      <c r="U72" s="41" t="str" cm="1">
        <f t="array" ref="U72">IFERROR(INDEX('DBX Sprint'!$A$7:$K$62, SMALL(IF((INDEX('DBX Sprint'!$A$7:$K$62, ,22)=("Complete"))*(INDEX('DBX Sprint'!$A$7:$K$62, ,22)="Complete"),MATCH(ROW('DBX Sprint'!$A$7:$K$62),ROW('DBX Sprint'!$A$7:$K$62)),""),ROWS($U$34:U72)),COLUMNS('DBX Sprint'!$A$1:A12)),"")</f>
        <v/>
      </c>
      <c r="V72" s="41" t="str" cm="1">
        <f t="array" aca="1" ref="V72" ca="1">IFERROR(INDEX('DBX Sprint'!$A$7:$K$62, SMALL(IF((INDEX('DBX Sprint'!$A$7:$K$62, ,22)&lt;(TODAY()))*(INDEX('DBX Sprint'!$A$7:$K$62, ,22)&lt;&gt;"Complete"),MATCH(ROW('DBX Sprint'!$A$7:$K$62),ROW('DBX Sprint'!$A$7:$K$62)),""),ROWS($V$34:V72)),COLUMNS('DBX Sprint'!$A$1:A12)),"")</f>
        <v/>
      </c>
      <c r="W72" s="41" t="str" cm="1">
        <f t="array" aca="1" ref="W72" ca="1">IFERROR(INDEX('DBX Sprint'!$A$7:$K$62, SMALL(IF((INDEX('DBX Sprint'!$A$7:$K$62, ,22)&lt;=(TODAY()+1))*(INDEX('DBX Sprint'!$A$7:$K$62, ,22)&gt;=TODAY()),MATCH(ROW('DBX Sprint'!$A$7:$K$62),ROW('DBX Sprint'!$A$7:$K$62)),""),ROWS($W$34:W72)),COLUMNS('DBX Sprint'!$A$1:A12)),"")</f>
        <v/>
      </c>
      <c r="X72" s="43" t="str" cm="1">
        <f t="array" aca="1" ref="X72" ca="1">IFERROR(INDEX('DBX Sprint'!$A$7:$K$62, SMALL(IF((INDEX('DBX Sprint'!$A$7:$K$62, ,22)&lt;=(TODAY()+5))*(INDEX('DBX Sprint'!$A$7:$K$62, ,22)&gt;(TODAY()+1)),MATCH(ROW('DBX Sprint'!$A$7:$K$62),ROW('DBX Sprint'!$A$7:$K$62)),""),ROWS($X$34:X72)),COLUMNS('DBX Sprint'!$A$1:A12)),"")</f>
        <v/>
      </c>
      <c r="Y72" s="43" t="str" cm="1">
        <f t="array" aca="1" ref="Y72" ca="1">IFERROR(INDEX('DBX Sprint'!$A$7:$K$62, SMALL(IF((INDEX('DBX Sprint'!$A$7:$K$62, ,22)&lt;=(TODAY()+10))*(INDEX('DBX Sprint'!$A$7:$K$62, ,22)&gt;(TODAY()+5)),MATCH(ROW('DBX Sprint'!$A$7:$K$62),ROW('DBX Sprint'!$A$7:$K$62)),""),ROWS($Y$34:Y72)),COLUMNS('DBX Sprint'!$A$1:A12)),"")</f>
        <v/>
      </c>
      <c r="AA72" s="41" t="str" cm="1">
        <f t="array" ref="AA72">IFERROR(INDEX('DBX Sprint'!$A$7:$K$62, SMALL(IF((INDEX('DBX Sprint'!$A$7:$K$62, ,25)=("Complete"))*(INDEX('DBX Sprint'!$A$7:$K$62, ,25)="Complete"),MATCH(ROW('DBX Sprint'!$A$7:$K$62),ROW('DBX Sprint'!$A$7:$K$62)),""),ROWS($AA$34:AA72)),COLUMNS('DBX Sprint'!$A$1:A12)),"")</f>
        <v/>
      </c>
      <c r="AB72" s="41" t="str" cm="1">
        <f t="array" aca="1" ref="AB72" ca="1">IFERROR(INDEX('DBX Sprint'!$A$7:$K$62, SMALL(IF((INDEX('DBX Sprint'!$A$7:$K$62, ,25)&lt;(TODAY()))*(INDEX('DBX Sprint'!$A$7:$K$62, ,25)&lt;&gt;"Complete"),MATCH(ROW('DBX Sprint'!$A$7:$K$62),ROW('DBX Sprint'!$A$7:$K$62)),""),ROWS($AB$34:AB72)),COLUMNS('DBX Sprint'!$A$1:A12)),"")</f>
        <v/>
      </c>
      <c r="AC72" s="41" t="str" cm="1">
        <f t="array" aca="1" ref="AC72" ca="1">IFERROR(INDEX('DBX Sprint'!$A$7:$K$62, SMALL(IF((INDEX('DBX Sprint'!$A$7:$K$62, ,25)&lt;=(TODAY()+1))*(INDEX('DBX Sprint'!$A$7:$K$62, ,25)&gt;=TODAY()),MATCH(ROW('DBX Sprint'!$A$7:$K$62),ROW('DBX Sprint'!$A$7:$K$62)),""),ROWS($AC$34:AC72)),COLUMNS('DBX Sprint'!$A$1:A12)),"")</f>
        <v/>
      </c>
      <c r="AD72" s="43" t="str" cm="1">
        <f t="array" aca="1" ref="AD72" ca="1">IFERROR(INDEX('DBX Sprint'!$A$7:$K$62, SMALL(IF((INDEX('DBX Sprint'!$A$7:$K$62, ,25)&lt;=(TODAY()+5))*(INDEX('DBX Sprint'!$A$7:$K$62, ,25)&gt;(TODAY()+1)),MATCH(ROW('DBX Sprint'!$A$7:$K$62),ROW('DBX Sprint'!$A$7:$K$62)),""),ROWS($AD$34:AD72)),COLUMNS('DBX Sprint'!$A$1:A12)),"")</f>
        <v/>
      </c>
      <c r="AE72" s="43" t="str" cm="1">
        <f t="array" aca="1" ref="AE72" ca="1">IFERROR(INDEX('DBX Sprint'!$A$7:$K$62, SMALL(IF((INDEX('DBX Sprint'!$A$7:$K$62, ,25)&lt;=(TODAY()+10))*(INDEX('DBX Sprint'!$A$7:$K$62, ,25)&gt;(TODAY()+5)),MATCH(ROW('DBX Sprint'!$A$7:$K$62),ROW('DBX Sprint'!$A$7:$K$62)),""),ROWS($AE$34:AE72)),COLUMNS('DBX Sprint'!$A$1:A12)),"")</f>
        <v/>
      </c>
      <c r="AG72" s="41" t="str" cm="1">
        <f t="array" ref="AG72">IFERROR(INDEX('DBX Sprint'!$A$7:$K$62, SMALL(IF((INDEX('DBX Sprint'!$A$7:$K$62, ,29)=("Complete"))*(INDEX('DBX Sprint'!$A$7:$K$62, ,29)="Complete"),MATCH(ROW('DBX Sprint'!$A$7:$K$62),ROW('DBX Sprint'!$A$7:$K$62)),""),ROWS($AG$34:AG72)),COLUMNS('DBX Sprint'!$A$1:A12)),"")</f>
        <v/>
      </c>
      <c r="AH72" s="41" t="str" cm="1">
        <f t="array" aca="1" ref="AH72" ca="1">IFERROR(INDEX('DBX Sprint'!$A$7:$K$62, SMALL(IF((INDEX('DBX Sprint'!$A$7:$K$62, ,29)&lt;(TODAY()))*(INDEX('DBX Sprint'!$A$7:$K$62, ,29)&lt;&gt;"Complete"),MATCH(ROW('DBX Sprint'!$A$7:$K$62),ROW('DBX Sprint'!$A$7:$K$62)),""),ROWS($AH$34:AH72)),COLUMNS('DBX Sprint'!$A$1:A12)),"")</f>
        <v/>
      </c>
      <c r="AI72" s="41" t="str" cm="1">
        <f t="array" aca="1" ref="AI72" ca="1">IFERROR(INDEX('DBX Sprint'!$A$7:$K$62, SMALL(IF((INDEX('DBX Sprint'!$A$7:$K$62, ,29)&lt;=(TODAY()+1))*(INDEX('DBX Sprint'!$A$7:$K$62, ,29)&gt;=TODAY()),MATCH(ROW('DBX Sprint'!$A$7:$K$62),ROW('DBX Sprint'!$A$7:$K$62)),""),ROWS($AI$34:AI72)),COLUMNS('DBX Sprint'!$A$1:A12)),"")</f>
        <v/>
      </c>
      <c r="AJ72" s="43" t="str" cm="1">
        <f t="array" aca="1" ref="AJ72" ca="1">IFERROR(INDEX('DBX Sprint'!$A$7:$K$62, SMALL(IF((INDEX('DBX Sprint'!$A$7:$K$62, ,29)&lt;=(TODAY()+5))*(INDEX('DBX Sprint'!$A$7:$K$62, ,29)&gt;(TODAY()+1)),MATCH(ROW('DBX Sprint'!$A$7:$K$62),ROW('DBX Sprint'!$A$7:$K$62)),""),ROWS($AJ$34:AJ72)),COLUMNS('DBX Sprint'!$A$1:A12)),"")</f>
        <v/>
      </c>
      <c r="AK72" s="43" t="str" cm="1">
        <f t="array" aca="1" ref="AK72" ca="1">IFERROR(INDEX('DBX Sprint'!$A$7:$K$62, SMALL(IF((INDEX('DBX Sprint'!$A$7:$K$62, ,29)&lt;=(TODAY()+10))*(INDEX('DBX Sprint'!$A$7:$K$62, ,29)&gt;(TODAY()+5)),MATCH(ROW('DBX Sprint'!$A$7:$K$62),ROW('DBX Sprint'!$A$7:$K$62)),""),ROWS($AK$34:AK72)),COLUMNS('DBX Sprint'!$A$1:A12)),"")</f>
        <v/>
      </c>
      <c r="AM72" s="41" t="str" cm="1">
        <f t="array" ref="AM72">IFERROR(INDEX('DBX Sprint'!$A$7:$K$62, SMALL(IF((INDEX('DBX Sprint'!$A$7:$K$62, ,32)=("Complete"))*(INDEX('DBX Sprint'!$A$7:$K$62, ,32)="Complete"),MATCH(ROW('DBX Sprint'!$A$7:$K$62),ROW('DBX Sprint'!$A$7:$K$62)),""),ROWS($AM$34:AM72)),COLUMNS('DBX Sprint'!$A$1:A12)),"")</f>
        <v/>
      </c>
      <c r="AN72" s="41" t="str" cm="1">
        <f t="array" aca="1" ref="AN72" ca="1">IFERROR(INDEX('DBX Sprint'!$A$7:$K$62, SMALL(IF((INDEX('DBX Sprint'!$A$7:$K$62, ,32)&lt;(TODAY()))*(INDEX('DBX Sprint'!$A$7:$K$62, ,32)&lt;&gt;"Complete"),MATCH(ROW('DBX Sprint'!$A$7:$K$62),ROW('DBX Sprint'!$A$7:$K$62)),""),ROWS($AN$34:AN72)),COLUMNS('DBX Sprint'!$A$1:A12)),"")</f>
        <v/>
      </c>
      <c r="AO72" s="41" t="str" cm="1">
        <f t="array" aca="1" ref="AO72" ca="1">IFERROR(INDEX('DBX Sprint'!$A$7:$K$62, SMALL(IF((INDEX('DBX Sprint'!$A$7:$K$62, ,32)&lt;=(TODAY()+1))*(INDEX('DBX Sprint'!$A$7:$K$62, ,32)&gt;=TODAY()),MATCH(ROW('DBX Sprint'!$A$7:$K$62),ROW('DBX Sprint'!$A$7:$K$62)),""),ROWS($AO$34:AO72)),COLUMNS('DBX Sprint'!$A$1:A12)),"")</f>
        <v/>
      </c>
      <c r="AP72" s="43" t="str" cm="1">
        <f t="array" aca="1" ref="AP72" ca="1">IFERROR(INDEX('DBX Sprint'!$A$7:$K$62, SMALL(IF((INDEX('DBX Sprint'!$A$7:$K$62, ,32)&lt;=(TODAY()+5))*(INDEX('DBX Sprint'!$A$7:$K$62, ,32)&gt;(TODAY()+1)),MATCH(ROW('DBX Sprint'!$A$7:$K$62),ROW('DBX Sprint'!$A$7:$K$62)),""),ROWS($AP$34:AP72)),COLUMNS('DBX Sprint'!$A$1:A12)),"")</f>
        <v/>
      </c>
      <c r="AQ72" s="43" t="str" cm="1">
        <f t="array" aca="1" ref="AQ72" ca="1">IFERROR(INDEX('DBX Sprint'!$A$7:$K$62, SMALL(IF((INDEX('DBX Sprint'!$A$7:$K$62, ,32)&lt;=(TODAY()+10))*(INDEX('DBX Sprint'!$A$7:$K$62, ,32)&gt;(TODAY()+5)),MATCH(ROW('DBX Sprint'!$A$7:$K$62),ROW('DBX Sprint'!$A$7:$K$62)),""),ROWS($AQ$34:AQ72)),COLUMNS('DBX Sprint'!$A$1:A12)),"")</f>
        <v/>
      </c>
    </row>
    <row r="73" spans="3:43" ht="30" customHeight="1">
      <c r="C73" s="41" t="str" cm="1">
        <f t="array" ref="C73">IFERROR(INDEX('DBX Sprint'!$A$7:$K$62, SMALL(IF((INDEX('DBX Sprint'!$A$7:$K$62, ,13)=("Complete"))*(INDEX('DBX Sprint'!$A$7:$K$62, ,13)="Complete"),MATCH(ROW('DBX Sprint'!$A$7:$K$62),ROW('DBX Sprint'!$A$7:$K$62)),""),ROWS(C$34:$C73)),COLUMNS('DBX Sprint'!$A$1:A12)),"")</f>
        <v/>
      </c>
      <c r="D73" s="41" t="str" cm="1">
        <f t="array" aca="1" ref="D73" ca="1">IFERROR(INDEX('DBX Sprint'!$A$7:$K$62, SMALL(IF((INDEX('DBX Sprint'!$A$7:$K$62, ,13)&lt;(TODAY()))*(INDEX('DBX Sprint'!$A$7:$K$62, ,13)&lt;&gt;"Complete"),MATCH(ROW('DBX Sprint'!$A$7:$K$62),ROW('DBX Sprint'!$A$7:$K$62)),""),ROWS(D$34:$D73)),COLUMNS('DBX Sprint'!$A$1:A12)),"")</f>
        <v/>
      </c>
      <c r="E73" s="41" t="str" cm="1">
        <f t="array" aca="1" ref="E73" ca="1">IFERROR(INDEX('DBX Sprint'!$A$7:$K$62, SMALL(IF((INDEX('DBX Sprint'!$A$7:$K$62, ,13)&lt;=(TODAY()+1))*(INDEX('DBX Sprint'!$A$7:$K$62, ,13)&gt;=TODAY()),MATCH(ROW('DBX Sprint'!$A$7:$K$62),ROW('DBX Sprint'!$A$7:$K$62)),""),ROWS(E$34:$E73)),COLUMNS('DBX Sprint'!$A$1:A12)),"")</f>
        <v/>
      </c>
      <c r="F73" s="43" t="str" cm="1">
        <f t="array" aca="1" ref="F73" ca="1">IFERROR(INDEX('DBX Sprint'!$A$7:$K$62, SMALL(IF((INDEX('DBX Sprint'!$A$7:$K$62, ,13)&lt;=(TODAY()+5))*(INDEX('DBX Sprint'!$A$7:$K$62, ,13)&gt;(TODAY()+1)),MATCH(ROW('DBX Sprint'!$A$7:$K$62),ROW('DBX Sprint'!$A$7:$K$62)),""),ROWS($F$34:F73)),COLUMNS('DBX Sprint'!$A$1:A12)),"")</f>
        <v/>
      </c>
      <c r="G73" s="43" t="str" cm="1">
        <f t="array" aca="1" ref="G73" ca="1">IFERROR(INDEX('DBX Sprint'!$A$7:$K$62, SMALL(IF((INDEX('DBX Sprint'!$A$7:$K$62, ,13)&lt;=(TODAY()+10))*(INDEX('DBX Sprint'!$A$7:$K$62, ,13)&gt;(TODAY()+5)),MATCH(ROW('DBX Sprint'!$A$7:$K$62),ROW('DBX Sprint'!$A$7:$K$62)),""),ROWS($G$34:G73)),COLUMNS('DBX Sprint'!$A$1:A12)),"")</f>
        <v/>
      </c>
      <c r="I73" s="41" t="str" cm="1">
        <f t="array" ref="I73">IFERROR(INDEX('DBX Sprint'!$A$7:$K$62, SMALL(IF((INDEX('DBX Sprint'!$A$7:$K$62, ,16)=("Complete"))*(INDEX('DBX Sprint'!$A$7:$K$62, ,16)="Complete"),MATCH(ROW('DBX Sprint'!$A$7:$K$62),ROW('DBX Sprint'!$A$7:$K$62)),""),ROWS($I$34:I73)),COLUMNS('DBX Sprint'!$A$1:A12)),"")</f>
        <v/>
      </c>
      <c r="J73" s="41" t="str" cm="1">
        <f t="array" aca="1" ref="J73" ca="1">IFERROR(INDEX('DBX Sprint'!$A$7:$K$62, SMALL(IF((INDEX('DBX Sprint'!$A$7:$K$62, ,16)&lt;(TODAY()))*(INDEX('DBX Sprint'!$A$7:$K$62, ,16)&lt;&gt;"Complete"),MATCH(ROW('DBX Sprint'!$A$7:$K$62),ROW('DBX Sprint'!$A$7:$K$62)),""),ROWS($J$34:J73)),COLUMNS('DBX Sprint'!$A$1:A12)),"")</f>
        <v/>
      </c>
      <c r="K73" s="37" t="str" cm="1">
        <f t="array" aca="1" ref="K73" ca="1">IFERROR(INDEX('DBX Sprint'!$A$7:$K$62, SMALL(IF((INDEX('DBX Sprint'!$A$7:$K$62, ,16)&lt;=(TODAY()+1))*(INDEX('DBX Sprint'!$A$7:$K$62, ,16)&gt;=TODAY()),MATCH(ROW('DBX Sprint'!$A$7:$K$62),ROW('DBX Sprint'!$A$7:$K$62)),""),ROWS($K$34:K73)),COLUMNS('DBX Sprint'!$A$1:A12)),"")</f>
        <v/>
      </c>
      <c r="L73" s="38" t="str" cm="1">
        <f t="array" aca="1" ref="L73" ca="1">IFERROR(INDEX('DBX Sprint'!$A$7:$K$62, SMALL(IF((INDEX('DBX Sprint'!$A$7:$K$62, ,16)&lt;=(TODAY()+5))*(INDEX('DBX Sprint'!$A$7:$K$62, ,16)&gt;(TODAY()+1)),MATCH(ROW('DBX Sprint'!$A$7:$K$62),ROW('DBX Sprint'!$A$7:$K$62)),""),ROWS($L$34:L73)),COLUMNS('DBX Sprint'!$A$1:A12)),"")</f>
        <v/>
      </c>
      <c r="M73" s="43" t="str" cm="1">
        <f t="array" aca="1" ref="M73" ca="1">IFERROR(INDEX('DBX Sprint'!$A$7:$K$62, SMALL(IF((INDEX('DBX Sprint'!$A$7:$K$62, ,16)&lt;=(TODAY()+10))*(INDEX('DBX Sprint'!$A$7:$K$62, ,16)&gt;(TODAY()+5)),MATCH(ROW('DBX Sprint'!$A$7:$K$62),ROW('DBX Sprint'!$A$7:$K$62)),""),ROWS($M$34:M73)),COLUMNS('DBX Sprint'!$A$1:A12)),"")</f>
        <v/>
      </c>
      <c r="P73" s="41" t="str" cm="1">
        <f t="array" aca="1" ref="P73" ca="1">IFERROR(INDEX('DBX Sprint'!$A$7:$K$62, SMALL(IF((INDEX('DBX Sprint'!$A$7:$K$62, ,19)&lt;(TODAY()))*(INDEX('DBX Sprint'!$A$7:$K$62, ,19)&lt;&gt;"Complete"),MATCH(ROW('DBX Sprint'!$A$7:$K$62),ROW('DBX Sprint'!$A$7:$K$62)),""),ROWS($P$34:P73)),COLUMNS('DBX Sprint'!$A$1:A12)),"")</f>
        <v/>
      </c>
      <c r="Q73" s="41" t="str" cm="1">
        <f t="array" aca="1" ref="Q73" ca="1">IFERROR(INDEX('DBX Sprint'!$A$7:$K$62, SMALL(IF((INDEX('DBX Sprint'!$A$7:$K$62, ,19)&lt;=(TODAY()+1))*(INDEX('DBX Sprint'!$A$7:$K$62, ,19)&gt;=TODAY()),MATCH(ROW('DBX Sprint'!$A$7:$K$62),ROW('DBX Sprint'!$A$7:$K$62)),""),ROWS($Q$34:Q73)),COLUMNS('DBX Sprint'!$A$1:A12)),"")</f>
        <v/>
      </c>
      <c r="R73" s="43" t="str" cm="1">
        <f t="array" aca="1" ref="R73" ca="1">IFERROR(INDEX('DBX Sprint'!$A$7:$K$62, SMALL(IF((INDEX('DBX Sprint'!$A$7:$K$62, ,19)&lt;=(TODAY()+5))*(INDEX('DBX Sprint'!$A$7:$K$62, ,19)&gt;(TODAY()+1)),MATCH(ROW('DBX Sprint'!$A$7:$K$62),ROW('DBX Sprint'!$A$7:$K$62)),""),ROWS($R$34:R73)),COLUMNS('DBX Sprint'!$A$1:A12)),"")</f>
        <v/>
      </c>
      <c r="S73" s="43" t="str" cm="1">
        <f t="array" aca="1" ref="S73" ca="1">IFERROR(INDEX('DBX Sprint'!$A$7:$K$62, SMALL(IF((INDEX('DBX Sprint'!$A$7:$K$62, ,19)&lt;=(TODAY()+10))*(INDEX('DBX Sprint'!$A$7:$K$62, ,19)&gt;(TODAY()+5)),MATCH(ROW('DBX Sprint'!$A$7:$K$62),ROW('DBX Sprint'!$A$7:$K$62)),""),ROWS($S$34:S73)),COLUMNS('DBX Sprint'!$A$1:A12)),"")</f>
        <v/>
      </c>
      <c r="U73" s="41" t="str" cm="1">
        <f t="array" ref="U73">IFERROR(INDEX('DBX Sprint'!$A$7:$K$62, SMALL(IF((INDEX('DBX Sprint'!$A$7:$K$62, ,22)=("Complete"))*(INDEX('DBX Sprint'!$A$7:$K$62, ,22)="Complete"),MATCH(ROW('DBX Sprint'!$A$7:$K$62),ROW('DBX Sprint'!$A$7:$K$62)),""),ROWS($U$34:U73)),COLUMNS('DBX Sprint'!$A$1:A12)),"")</f>
        <v/>
      </c>
      <c r="V73" s="41" t="str" cm="1">
        <f t="array" aca="1" ref="V73" ca="1">IFERROR(INDEX('DBX Sprint'!$A$7:$K$62, SMALL(IF((INDEX('DBX Sprint'!$A$7:$K$62, ,22)&lt;(TODAY()))*(INDEX('DBX Sprint'!$A$7:$K$62, ,22)&lt;&gt;"Complete"),MATCH(ROW('DBX Sprint'!$A$7:$K$62),ROW('DBX Sprint'!$A$7:$K$62)),""),ROWS($V$34:V73)),COLUMNS('DBX Sprint'!$A$1:A12)),"")</f>
        <v/>
      </c>
      <c r="W73" s="41" t="str" cm="1">
        <f t="array" aca="1" ref="W73" ca="1">IFERROR(INDEX('DBX Sprint'!$A$7:$K$62, SMALL(IF((INDEX('DBX Sprint'!$A$7:$K$62, ,22)&lt;=(TODAY()+1))*(INDEX('DBX Sprint'!$A$7:$K$62, ,22)&gt;=TODAY()),MATCH(ROW('DBX Sprint'!$A$7:$K$62),ROW('DBX Sprint'!$A$7:$K$62)),""),ROWS($W$34:W73)),COLUMNS('DBX Sprint'!$A$1:A12)),"")</f>
        <v/>
      </c>
      <c r="X73" s="43" t="str" cm="1">
        <f t="array" aca="1" ref="X73" ca="1">IFERROR(INDEX('DBX Sprint'!$A$7:$K$62, SMALL(IF((INDEX('DBX Sprint'!$A$7:$K$62, ,22)&lt;=(TODAY()+5))*(INDEX('DBX Sprint'!$A$7:$K$62, ,22)&gt;(TODAY()+1)),MATCH(ROW('DBX Sprint'!$A$7:$K$62),ROW('DBX Sprint'!$A$7:$K$62)),""),ROWS($X$34:X73)),COLUMNS('DBX Sprint'!$A$1:A12)),"")</f>
        <v/>
      </c>
      <c r="Y73" s="43" t="str" cm="1">
        <f t="array" aca="1" ref="Y73" ca="1">IFERROR(INDEX('DBX Sprint'!$A$7:$K$62, SMALL(IF((INDEX('DBX Sprint'!$A$7:$K$62, ,22)&lt;=(TODAY()+10))*(INDEX('DBX Sprint'!$A$7:$K$62, ,22)&gt;(TODAY()+5)),MATCH(ROW('DBX Sprint'!$A$7:$K$62),ROW('DBX Sprint'!$A$7:$K$62)),""),ROWS($Y$34:Y73)),COLUMNS('DBX Sprint'!$A$1:A12)),"")</f>
        <v/>
      </c>
      <c r="AA73" s="41" t="str" cm="1">
        <f t="array" ref="AA73">IFERROR(INDEX('DBX Sprint'!$A$7:$K$62, SMALL(IF((INDEX('DBX Sprint'!$A$7:$K$62, ,25)=("Complete"))*(INDEX('DBX Sprint'!$A$7:$K$62, ,25)="Complete"),MATCH(ROW('DBX Sprint'!$A$7:$K$62),ROW('DBX Sprint'!$A$7:$K$62)),""),ROWS($AA$34:AA73)),COLUMNS('DBX Sprint'!$A$1:A12)),"")</f>
        <v/>
      </c>
      <c r="AB73" s="41" t="str" cm="1">
        <f t="array" aca="1" ref="AB73" ca="1">IFERROR(INDEX('DBX Sprint'!$A$7:$K$62, SMALL(IF((INDEX('DBX Sprint'!$A$7:$K$62, ,25)&lt;(TODAY()))*(INDEX('DBX Sprint'!$A$7:$K$62, ,25)&lt;&gt;"Complete"),MATCH(ROW('DBX Sprint'!$A$7:$K$62),ROW('DBX Sprint'!$A$7:$K$62)),""),ROWS($AB$34:AB73)),COLUMNS('DBX Sprint'!$A$1:A12)),"")</f>
        <v/>
      </c>
      <c r="AC73" s="41" t="str" cm="1">
        <f t="array" aca="1" ref="AC73" ca="1">IFERROR(INDEX('DBX Sprint'!$A$7:$K$62, SMALL(IF((INDEX('DBX Sprint'!$A$7:$K$62, ,25)&lt;=(TODAY()+1))*(INDEX('DBX Sprint'!$A$7:$K$62, ,25)&gt;=TODAY()),MATCH(ROW('DBX Sprint'!$A$7:$K$62),ROW('DBX Sprint'!$A$7:$K$62)),""),ROWS($AC$34:AC73)),COLUMNS('DBX Sprint'!$A$1:A12)),"")</f>
        <v/>
      </c>
      <c r="AD73" s="43" t="str" cm="1">
        <f t="array" aca="1" ref="AD73" ca="1">IFERROR(INDEX('DBX Sprint'!$A$7:$K$62, SMALL(IF((INDEX('DBX Sprint'!$A$7:$K$62, ,25)&lt;=(TODAY()+5))*(INDEX('DBX Sprint'!$A$7:$K$62, ,25)&gt;(TODAY()+1)),MATCH(ROW('DBX Sprint'!$A$7:$K$62),ROW('DBX Sprint'!$A$7:$K$62)),""),ROWS($AD$34:AD73)),COLUMNS('DBX Sprint'!$A$1:A12)),"")</f>
        <v/>
      </c>
      <c r="AE73" s="43" t="str" cm="1">
        <f t="array" aca="1" ref="AE73" ca="1">IFERROR(INDEX('DBX Sprint'!$A$7:$K$62, SMALL(IF((INDEX('DBX Sprint'!$A$7:$K$62, ,25)&lt;=(TODAY()+10))*(INDEX('DBX Sprint'!$A$7:$K$62, ,25)&gt;(TODAY()+5)),MATCH(ROW('DBX Sprint'!$A$7:$K$62),ROW('DBX Sprint'!$A$7:$K$62)),""),ROWS($AE$34:AE73)),COLUMNS('DBX Sprint'!$A$1:A12)),"")</f>
        <v/>
      </c>
      <c r="AG73" s="41" t="str" cm="1">
        <f t="array" ref="AG73">IFERROR(INDEX('DBX Sprint'!$A$7:$K$62, SMALL(IF((INDEX('DBX Sprint'!$A$7:$K$62, ,29)=("Complete"))*(INDEX('DBX Sprint'!$A$7:$K$62, ,29)="Complete"),MATCH(ROW('DBX Sprint'!$A$7:$K$62),ROW('DBX Sprint'!$A$7:$K$62)),""),ROWS($AG$34:AG73)),COLUMNS('DBX Sprint'!$A$1:A12)),"")</f>
        <v/>
      </c>
      <c r="AH73" s="41" t="str" cm="1">
        <f t="array" aca="1" ref="AH73" ca="1">IFERROR(INDEX('DBX Sprint'!$A$7:$K$62, SMALL(IF((INDEX('DBX Sprint'!$A$7:$K$62, ,29)&lt;(TODAY()))*(INDEX('DBX Sprint'!$A$7:$K$62, ,29)&lt;&gt;"Complete"),MATCH(ROW('DBX Sprint'!$A$7:$K$62),ROW('DBX Sprint'!$A$7:$K$62)),""),ROWS($AH$34:AH73)),COLUMNS('DBX Sprint'!$A$1:A12)),"")</f>
        <v/>
      </c>
      <c r="AI73" s="41" t="str" cm="1">
        <f t="array" aca="1" ref="AI73" ca="1">IFERROR(INDEX('DBX Sprint'!$A$7:$K$62, SMALL(IF((INDEX('DBX Sprint'!$A$7:$K$62, ,29)&lt;=(TODAY()+1))*(INDEX('DBX Sprint'!$A$7:$K$62, ,29)&gt;=TODAY()),MATCH(ROW('DBX Sprint'!$A$7:$K$62),ROW('DBX Sprint'!$A$7:$K$62)),""),ROWS($AI$34:AI73)),COLUMNS('DBX Sprint'!$A$1:A12)),"")</f>
        <v/>
      </c>
      <c r="AJ73" s="43" t="str" cm="1">
        <f t="array" aca="1" ref="AJ73" ca="1">IFERROR(INDEX('DBX Sprint'!$A$7:$K$62, SMALL(IF((INDEX('DBX Sprint'!$A$7:$K$62, ,29)&lt;=(TODAY()+5))*(INDEX('DBX Sprint'!$A$7:$K$62, ,29)&gt;(TODAY()+1)),MATCH(ROW('DBX Sprint'!$A$7:$K$62),ROW('DBX Sprint'!$A$7:$K$62)),""),ROWS($AJ$34:AJ73)),COLUMNS('DBX Sprint'!$A$1:A12)),"")</f>
        <v/>
      </c>
      <c r="AK73" s="43" t="str" cm="1">
        <f t="array" aca="1" ref="AK73" ca="1">IFERROR(INDEX('DBX Sprint'!$A$7:$K$62, SMALL(IF((INDEX('DBX Sprint'!$A$7:$K$62, ,29)&lt;=(TODAY()+10))*(INDEX('DBX Sprint'!$A$7:$K$62, ,29)&gt;(TODAY()+5)),MATCH(ROW('DBX Sprint'!$A$7:$K$62),ROW('DBX Sprint'!$A$7:$K$62)),""),ROWS($AK$34:AK73)),COLUMNS('DBX Sprint'!$A$1:A12)),"")</f>
        <v/>
      </c>
      <c r="AM73" s="41" t="str" cm="1">
        <f t="array" ref="AM73">IFERROR(INDEX('DBX Sprint'!$A$7:$K$62, SMALL(IF((INDEX('DBX Sprint'!$A$7:$K$62, ,32)=("Complete"))*(INDEX('DBX Sprint'!$A$7:$K$62, ,32)="Complete"),MATCH(ROW('DBX Sprint'!$A$7:$K$62),ROW('DBX Sprint'!$A$7:$K$62)),""),ROWS($AM$34:AM73)),COLUMNS('DBX Sprint'!$A$1:A12)),"")</f>
        <v/>
      </c>
      <c r="AN73" s="41" t="str" cm="1">
        <f t="array" aca="1" ref="AN73" ca="1">IFERROR(INDEX('DBX Sprint'!$A$7:$K$62, SMALL(IF((INDEX('DBX Sprint'!$A$7:$K$62, ,32)&lt;(TODAY()))*(INDEX('DBX Sprint'!$A$7:$K$62, ,32)&lt;&gt;"Complete"),MATCH(ROW('DBX Sprint'!$A$7:$K$62),ROW('DBX Sprint'!$A$7:$K$62)),""),ROWS($AN$34:AN73)),COLUMNS('DBX Sprint'!$A$1:A12)),"")</f>
        <v/>
      </c>
      <c r="AO73" s="41" t="str" cm="1">
        <f t="array" aca="1" ref="AO73" ca="1">IFERROR(INDEX('DBX Sprint'!$A$7:$K$62, SMALL(IF((INDEX('DBX Sprint'!$A$7:$K$62, ,32)&lt;=(TODAY()+1))*(INDEX('DBX Sprint'!$A$7:$K$62, ,32)&gt;=TODAY()),MATCH(ROW('DBX Sprint'!$A$7:$K$62),ROW('DBX Sprint'!$A$7:$K$62)),""),ROWS($AO$34:AO73)),COLUMNS('DBX Sprint'!$A$1:A12)),"")</f>
        <v/>
      </c>
      <c r="AP73" s="43" t="str" cm="1">
        <f t="array" aca="1" ref="AP73" ca="1">IFERROR(INDEX('DBX Sprint'!$A$7:$K$62, SMALL(IF((INDEX('DBX Sprint'!$A$7:$K$62, ,32)&lt;=(TODAY()+5))*(INDEX('DBX Sprint'!$A$7:$K$62, ,32)&gt;(TODAY()+1)),MATCH(ROW('DBX Sprint'!$A$7:$K$62),ROW('DBX Sprint'!$A$7:$K$62)),""),ROWS($AP$34:AP73)),COLUMNS('DBX Sprint'!$A$1:A12)),"")</f>
        <v/>
      </c>
      <c r="AQ73" s="43" t="str" cm="1">
        <f t="array" aca="1" ref="AQ73" ca="1">IFERROR(INDEX('DBX Sprint'!$A$7:$K$62, SMALL(IF((INDEX('DBX Sprint'!$A$7:$K$62, ,32)&lt;=(TODAY()+10))*(INDEX('DBX Sprint'!$A$7:$K$62, ,32)&gt;(TODAY()+5)),MATCH(ROW('DBX Sprint'!$A$7:$K$62),ROW('DBX Sprint'!$A$7:$K$62)),""),ROWS($AQ$34:AQ73)),COLUMNS('DBX Sprint'!$A$1:A12)),"")</f>
        <v/>
      </c>
    </row>
    <row r="74" spans="3:43" ht="30" customHeight="1">
      <c r="C74" s="41" t="str" cm="1">
        <f t="array" ref="C74">IFERROR(INDEX('DBX Sprint'!$A$7:$K$62, SMALL(IF((INDEX('DBX Sprint'!$A$7:$K$62, ,13)=("Complete"))*(INDEX('DBX Sprint'!$A$7:$K$62, ,13)="Complete"),MATCH(ROW('DBX Sprint'!$A$7:$K$62),ROW('DBX Sprint'!$A$7:$K$62)),""),ROWS(C$34:$C74)),COLUMNS('DBX Sprint'!$A$1:A12)),"")</f>
        <v/>
      </c>
      <c r="D74" s="41" t="str" cm="1">
        <f t="array" aca="1" ref="D74" ca="1">IFERROR(INDEX('DBX Sprint'!$A$7:$K$62, SMALL(IF((INDEX('DBX Sprint'!$A$7:$K$62, ,13)&lt;(TODAY()))*(INDEX('DBX Sprint'!$A$7:$K$62, ,13)&lt;&gt;"Complete"),MATCH(ROW('DBX Sprint'!$A$7:$K$62),ROW('DBX Sprint'!$A$7:$K$62)),""),ROWS(D$34:$D74)),COLUMNS('DBX Sprint'!$A$1:A12)),"")</f>
        <v/>
      </c>
      <c r="E74" s="41" t="str" cm="1">
        <f t="array" aca="1" ref="E74" ca="1">IFERROR(INDEX('DBX Sprint'!$A$7:$K$62, SMALL(IF((INDEX('DBX Sprint'!$A$7:$K$62, ,13)&lt;=(TODAY()+1))*(INDEX('DBX Sprint'!$A$7:$K$62, ,13)&gt;=TODAY()),MATCH(ROW('DBX Sprint'!$A$7:$K$62),ROW('DBX Sprint'!$A$7:$K$62)),""),ROWS(E$34:$E74)),COLUMNS('DBX Sprint'!$A$1:A12)),"")</f>
        <v/>
      </c>
      <c r="F74" s="43" t="str" cm="1">
        <f t="array" aca="1" ref="F74" ca="1">IFERROR(INDEX('DBX Sprint'!$A$7:$K$62, SMALL(IF((INDEX('DBX Sprint'!$A$7:$K$62, ,13)&lt;=(TODAY()+5))*(INDEX('DBX Sprint'!$A$7:$K$62, ,13)&gt;(TODAY()+1)),MATCH(ROW('DBX Sprint'!$A$7:$K$62),ROW('DBX Sprint'!$A$7:$K$62)),""),ROWS($F$34:F74)),COLUMNS('DBX Sprint'!$A$1:A12)),"")</f>
        <v/>
      </c>
      <c r="G74" s="43" t="str" cm="1">
        <f t="array" aca="1" ref="G74" ca="1">IFERROR(INDEX('DBX Sprint'!$A$7:$K$62, SMALL(IF((INDEX('DBX Sprint'!$A$7:$K$62, ,13)&lt;=(TODAY()+10))*(INDEX('DBX Sprint'!$A$7:$K$62, ,13)&gt;(TODAY()+5)),MATCH(ROW('DBX Sprint'!$A$7:$K$62),ROW('DBX Sprint'!$A$7:$K$62)),""),ROWS($G$34:G74)),COLUMNS('DBX Sprint'!$A$1:A12)),"")</f>
        <v/>
      </c>
      <c r="I74" s="41" t="str" cm="1">
        <f t="array" ref="I74">IFERROR(INDEX('DBX Sprint'!$A$7:$K$62, SMALL(IF((INDEX('DBX Sprint'!$A$7:$K$62, ,16)=("Complete"))*(INDEX('DBX Sprint'!$A$7:$K$62, ,16)="Complete"),MATCH(ROW('DBX Sprint'!$A$7:$K$62),ROW('DBX Sprint'!$A$7:$K$62)),""),ROWS($I$34:I74)),COLUMNS('DBX Sprint'!$A$1:A12)),"")</f>
        <v/>
      </c>
      <c r="J74" s="41" t="str" cm="1">
        <f t="array" aca="1" ref="J74" ca="1">IFERROR(INDEX('DBX Sprint'!$A$7:$K$62, SMALL(IF((INDEX('DBX Sprint'!$A$7:$K$62, ,16)&lt;(TODAY()))*(INDEX('DBX Sprint'!$A$7:$K$62, ,16)&lt;&gt;"Complete"),MATCH(ROW('DBX Sprint'!$A$7:$K$62),ROW('DBX Sprint'!$A$7:$K$62)),""),ROWS($J$34:J74)),COLUMNS('DBX Sprint'!$A$1:A12)),"")</f>
        <v/>
      </c>
      <c r="K74" s="37" t="str" cm="1">
        <f t="array" aca="1" ref="K74" ca="1">IFERROR(INDEX('DBX Sprint'!$A$7:$K$62, SMALL(IF((INDEX('DBX Sprint'!$A$7:$K$62, ,16)&lt;=(TODAY()+1))*(INDEX('DBX Sprint'!$A$7:$K$62, ,16)&gt;=TODAY()),MATCH(ROW('DBX Sprint'!$A$7:$K$62),ROW('DBX Sprint'!$A$7:$K$62)),""),ROWS($K$34:K74)),COLUMNS('DBX Sprint'!$A$1:A12)),"")</f>
        <v/>
      </c>
      <c r="L74" s="38" t="str" cm="1">
        <f t="array" aca="1" ref="L74" ca="1">IFERROR(INDEX('DBX Sprint'!$A$7:$K$62, SMALL(IF((INDEX('DBX Sprint'!$A$7:$K$62, ,16)&lt;=(TODAY()+5))*(INDEX('DBX Sprint'!$A$7:$K$62, ,16)&gt;(TODAY()+1)),MATCH(ROW('DBX Sprint'!$A$7:$K$62),ROW('DBX Sprint'!$A$7:$K$62)),""),ROWS($L$34:L74)),COLUMNS('DBX Sprint'!$A$1:A12)),"")</f>
        <v/>
      </c>
      <c r="M74" s="43" t="str" cm="1">
        <f t="array" aca="1" ref="M74" ca="1">IFERROR(INDEX('DBX Sprint'!$A$7:$K$62, SMALL(IF((INDEX('DBX Sprint'!$A$7:$K$62, ,16)&lt;=(TODAY()+10))*(INDEX('DBX Sprint'!$A$7:$K$62, ,16)&gt;(TODAY()+5)),MATCH(ROW('DBX Sprint'!$A$7:$K$62),ROW('DBX Sprint'!$A$7:$K$62)),""),ROWS($M$34:M74)),COLUMNS('DBX Sprint'!$A$1:A12)),"")</f>
        <v/>
      </c>
      <c r="P74" s="41" t="str" cm="1">
        <f t="array" aca="1" ref="P74" ca="1">IFERROR(INDEX('DBX Sprint'!$A$7:$K$62, SMALL(IF((INDEX('DBX Sprint'!$A$7:$K$62, ,19)&lt;(TODAY()))*(INDEX('DBX Sprint'!$A$7:$K$62, ,19)&lt;&gt;"Complete"),MATCH(ROW('DBX Sprint'!$A$7:$K$62),ROW('DBX Sprint'!$A$7:$K$62)),""),ROWS($P$34:P74)),COLUMNS('DBX Sprint'!$A$1:A12)),"")</f>
        <v/>
      </c>
      <c r="Q74" s="41" t="str" cm="1">
        <f t="array" aca="1" ref="Q74" ca="1">IFERROR(INDEX('DBX Sprint'!$A$7:$K$62, SMALL(IF((INDEX('DBX Sprint'!$A$7:$K$62, ,19)&lt;=(TODAY()+1))*(INDEX('DBX Sprint'!$A$7:$K$62, ,19)&gt;=TODAY()),MATCH(ROW('DBX Sprint'!$A$7:$K$62),ROW('DBX Sprint'!$A$7:$K$62)),""),ROWS($Q$34:Q74)),COLUMNS('DBX Sprint'!$A$1:A12)),"")</f>
        <v/>
      </c>
      <c r="R74" s="43" t="str" cm="1">
        <f t="array" aca="1" ref="R74" ca="1">IFERROR(INDEX('DBX Sprint'!$A$7:$K$62, SMALL(IF((INDEX('DBX Sprint'!$A$7:$K$62, ,19)&lt;=(TODAY()+5))*(INDEX('DBX Sprint'!$A$7:$K$62, ,19)&gt;(TODAY()+1)),MATCH(ROW('DBX Sprint'!$A$7:$K$62),ROW('DBX Sprint'!$A$7:$K$62)),""),ROWS($R$34:R74)),COLUMNS('DBX Sprint'!$A$1:A12)),"")</f>
        <v/>
      </c>
      <c r="S74" s="43" t="str" cm="1">
        <f t="array" aca="1" ref="S74" ca="1">IFERROR(INDEX('DBX Sprint'!$A$7:$K$62, SMALL(IF((INDEX('DBX Sprint'!$A$7:$K$62, ,19)&lt;=(TODAY()+10))*(INDEX('DBX Sprint'!$A$7:$K$62, ,19)&gt;(TODAY()+5)),MATCH(ROW('DBX Sprint'!$A$7:$K$62),ROW('DBX Sprint'!$A$7:$K$62)),""),ROWS($S$34:S74)),COLUMNS('DBX Sprint'!$A$1:A12)),"")</f>
        <v/>
      </c>
      <c r="U74" s="41" t="str" cm="1">
        <f t="array" ref="U74">IFERROR(INDEX('DBX Sprint'!$A$7:$K$62, SMALL(IF((INDEX('DBX Sprint'!$A$7:$K$62, ,22)=("Complete"))*(INDEX('DBX Sprint'!$A$7:$K$62, ,22)="Complete"),MATCH(ROW('DBX Sprint'!$A$7:$K$62),ROW('DBX Sprint'!$A$7:$K$62)),""),ROWS($U$34:U74)),COLUMNS('DBX Sprint'!$A$1:A12)),"")</f>
        <v/>
      </c>
      <c r="V74" s="41" t="str" cm="1">
        <f t="array" aca="1" ref="V74" ca="1">IFERROR(INDEX('DBX Sprint'!$A$7:$K$62, SMALL(IF((INDEX('DBX Sprint'!$A$7:$K$62, ,22)&lt;(TODAY()))*(INDEX('DBX Sprint'!$A$7:$K$62, ,22)&lt;&gt;"Complete"),MATCH(ROW('DBX Sprint'!$A$7:$K$62),ROW('DBX Sprint'!$A$7:$K$62)),""),ROWS($V$34:V74)),COLUMNS('DBX Sprint'!$A$1:A12)),"")</f>
        <v/>
      </c>
      <c r="W74" s="41" t="str" cm="1">
        <f t="array" aca="1" ref="W74" ca="1">IFERROR(INDEX('DBX Sprint'!$A$7:$K$62, SMALL(IF((INDEX('DBX Sprint'!$A$7:$K$62, ,22)&lt;=(TODAY()+1))*(INDEX('DBX Sprint'!$A$7:$K$62, ,22)&gt;=TODAY()),MATCH(ROW('DBX Sprint'!$A$7:$K$62),ROW('DBX Sprint'!$A$7:$K$62)),""),ROWS($W$34:W74)),COLUMNS('DBX Sprint'!$A$1:A12)),"")</f>
        <v/>
      </c>
      <c r="X74" s="43" t="str" cm="1">
        <f t="array" aca="1" ref="X74" ca="1">IFERROR(INDEX('DBX Sprint'!$A$7:$K$62, SMALL(IF((INDEX('DBX Sprint'!$A$7:$K$62, ,22)&lt;=(TODAY()+5))*(INDEX('DBX Sprint'!$A$7:$K$62, ,22)&gt;(TODAY()+1)),MATCH(ROW('DBX Sprint'!$A$7:$K$62),ROW('DBX Sprint'!$A$7:$K$62)),""),ROWS($X$34:X74)),COLUMNS('DBX Sprint'!$A$1:A12)),"")</f>
        <v/>
      </c>
      <c r="Y74" s="43" t="str" cm="1">
        <f t="array" aca="1" ref="Y74" ca="1">IFERROR(INDEX('DBX Sprint'!$A$7:$K$62, SMALL(IF((INDEX('DBX Sprint'!$A$7:$K$62, ,22)&lt;=(TODAY()+10))*(INDEX('DBX Sprint'!$A$7:$K$62, ,22)&gt;(TODAY()+5)),MATCH(ROW('DBX Sprint'!$A$7:$K$62),ROW('DBX Sprint'!$A$7:$K$62)),""),ROWS($Y$34:Y74)),COLUMNS('DBX Sprint'!$A$1:A12)),"")</f>
        <v/>
      </c>
      <c r="AA74" s="41" t="str" cm="1">
        <f t="array" ref="AA74">IFERROR(INDEX('DBX Sprint'!$A$7:$K$62, SMALL(IF((INDEX('DBX Sprint'!$A$7:$K$62, ,25)=("Complete"))*(INDEX('DBX Sprint'!$A$7:$K$62, ,25)="Complete"),MATCH(ROW('DBX Sprint'!$A$7:$K$62),ROW('DBX Sprint'!$A$7:$K$62)),""),ROWS($AA$34:AA74)),COLUMNS('DBX Sprint'!$A$1:A12)),"")</f>
        <v/>
      </c>
      <c r="AB74" s="41" t="str" cm="1">
        <f t="array" aca="1" ref="AB74" ca="1">IFERROR(INDEX('DBX Sprint'!$A$7:$K$62, SMALL(IF((INDEX('DBX Sprint'!$A$7:$K$62, ,25)&lt;(TODAY()))*(INDEX('DBX Sprint'!$A$7:$K$62, ,25)&lt;&gt;"Complete"),MATCH(ROW('DBX Sprint'!$A$7:$K$62),ROW('DBX Sprint'!$A$7:$K$62)),""),ROWS($AB$34:AB74)),COLUMNS('DBX Sprint'!$A$1:A12)),"")</f>
        <v/>
      </c>
      <c r="AC74" s="41" t="str" cm="1">
        <f t="array" aca="1" ref="AC74" ca="1">IFERROR(INDEX('DBX Sprint'!$A$7:$K$62, SMALL(IF((INDEX('DBX Sprint'!$A$7:$K$62, ,25)&lt;=(TODAY()+1))*(INDEX('DBX Sprint'!$A$7:$K$62, ,25)&gt;=TODAY()),MATCH(ROW('DBX Sprint'!$A$7:$K$62),ROW('DBX Sprint'!$A$7:$K$62)),""),ROWS($AC$34:AC74)),COLUMNS('DBX Sprint'!$A$1:A12)),"")</f>
        <v/>
      </c>
      <c r="AD74" s="43" t="str" cm="1">
        <f t="array" aca="1" ref="AD74" ca="1">IFERROR(INDEX('DBX Sprint'!$A$7:$K$62, SMALL(IF((INDEX('DBX Sprint'!$A$7:$K$62, ,25)&lt;=(TODAY()+5))*(INDEX('DBX Sprint'!$A$7:$K$62, ,25)&gt;(TODAY()+1)),MATCH(ROW('DBX Sprint'!$A$7:$K$62),ROW('DBX Sprint'!$A$7:$K$62)),""),ROWS($AD$34:AD74)),COLUMNS('DBX Sprint'!$A$1:A12)),"")</f>
        <v/>
      </c>
      <c r="AE74" s="43" t="str" cm="1">
        <f t="array" aca="1" ref="AE74" ca="1">IFERROR(INDEX('DBX Sprint'!$A$7:$K$62, SMALL(IF((INDEX('DBX Sprint'!$A$7:$K$62, ,25)&lt;=(TODAY()+10))*(INDEX('DBX Sprint'!$A$7:$K$62, ,25)&gt;(TODAY()+5)),MATCH(ROW('DBX Sprint'!$A$7:$K$62),ROW('DBX Sprint'!$A$7:$K$62)),""),ROWS($AE$34:AE74)),COLUMNS('DBX Sprint'!$A$1:A12)),"")</f>
        <v/>
      </c>
      <c r="AG74" s="41" t="str" cm="1">
        <f t="array" ref="AG74">IFERROR(INDEX('DBX Sprint'!$A$7:$K$62, SMALL(IF((INDEX('DBX Sprint'!$A$7:$K$62, ,29)=("Complete"))*(INDEX('DBX Sprint'!$A$7:$K$62, ,29)="Complete"),MATCH(ROW('DBX Sprint'!$A$7:$K$62),ROW('DBX Sprint'!$A$7:$K$62)),""),ROWS($AG$34:AG74)),COLUMNS('DBX Sprint'!$A$1:A12)),"")</f>
        <v/>
      </c>
      <c r="AH74" s="41" t="str" cm="1">
        <f t="array" aca="1" ref="AH74" ca="1">IFERROR(INDEX('DBX Sprint'!$A$7:$K$62, SMALL(IF((INDEX('DBX Sprint'!$A$7:$K$62, ,29)&lt;(TODAY()))*(INDEX('DBX Sprint'!$A$7:$K$62, ,29)&lt;&gt;"Complete"),MATCH(ROW('DBX Sprint'!$A$7:$K$62),ROW('DBX Sprint'!$A$7:$K$62)),""),ROWS($AH$34:AH74)),COLUMNS('DBX Sprint'!$A$1:A12)),"")</f>
        <v/>
      </c>
      <c r="AI74" s="41" t="str" cm="1">
        <f t="array" aca="1" ref="AI74" ca="1">IFERROR(INDEX('DBX Sprint'!$A$7:$K$62, SMALL(IF((INDEX('DBX Sprint'!$A$7:$K$62, ,29)&lt;=(TODAY()+1))*(INDEX('DBX Sprint'!$A$7:$K$62, ,29)&gt;=TODAY()),MATCH(ROW('DBX Sprint'!$A$7:$K$62),ROW('DBX Sprint'!$A$7:$K$62)),""),ROWS($AI$34:AI74)),COLUMNS('DBX Sprint'!$A$1:A12)),"")</f>
        <v/>
      </c>
      <c r="AJ74" s="43" t="str" cm="1">
        <f t="array" aca="1" ref="AJ74" ca="1">IFERROR(INDEX('DBX Sprint'!$A$7:$K$62, SMALL(IF((INDEX('DBX Sprint'!$A$7:$K$62, ,29)&lt;=(TODAY()+5))*(INDEX('DBX Sprint'!$A$7:$K$62, ,29)&gt;(TODAY()+1)),MATCH(ROW('DBX Sprint'!$A$7:$K$62),ROW('DBX Sprint'!$A$7:$K$62)),""),ROWS($AJ$34:AJ74)),COLUMNS('DBX Sprint'!$A$1:A12)),"")</f>
        <v/>
      </c>
      <c r="AK74" s="43" t="str" cm="1">
        <f t="array" aca="1" ref="AK74" ca="1">IFERROR(INDEX('DBX Sprint'!$A$7:$K$62, SMALL(IF((INDEX('DBX Sprint'!$A$7:$K$62, ,29)&lt;=(TODAY()+10))*(INDEX('DBX Sprint'!$A$7:$K$62, ,29)&gt;(TODAY()+5)),MATCH(ROW('DBX Sprint'!$A$7:$K$62),ROW('DBX Sprint'!$A$7:$K$62)),""),ROWS($AK$34:AK74)),COLUMNS('DBX Sprint'!$A$1:A12)),"")</f>
        <v/>
      </c>
      <c r="AM74" s="41" t="str" cm="1">
        <f t="array" ref="AM74">IFERROR(INDEX('DBX Sprint'!$A$7:$K$62, SMALL(IF((INDEX('DBX Sprint'!$A$7:$K$62, ,32)=("Complete"))*(INDEX('DBX Sprint'!$A$7:$K$62, ,32)="Complete"),MATCH(ROW('DBX Sprint'!$A$7:$K$62),ROW('DBX Sprint'!$A$7:$K$62)),""),ROWS($AM$34:AM74)),COLUMNS('DBX Sprint'!$A$1:A12)),"")</f>
        <v/>
      </c>
      <c r="AN74" s="41" t="str" cm="1">
        <f t="array" aca="1" ref="AN74" ca="1">IFERROR(INDEX('DBX Sprint'!$A$7:$K$62, SMALL(IF((INDEX('DBX Sprint'!$A$7:$K$62, ,32)&lt;(TODAY()))*(INDEX('DBX Sprint'!$A$7:$K$62, ,32)&lt;&gt;"Complete"),MATCH(ROW('DBX Sprint'!$A$7:$K$62),ROW('DBX Sprint'!$A$7:$K$62)),""),ROWS($AN$34:AN74)),COLUMNS('DBX Sprint'!$A$1:A12)),"")</f>
        <v/>
      </c>
      <c r="AO74" s="41" t="str" cm="1">
        <f t="array" aca="1" ref="AO74" ca="1">IFERROR(INDEX('DBX Sprint'!$A$7:$K$62, SMALL(IF((INDEX('DBX Sprint'!$A$7:$K$62, ,32)&lt;=(TODAY()+1))*(INDEX('DBX Sprint'!$A$7:$K$62, ,32)&gt;=TODAY()),MATCH(ROW('DBX Sprint'!$A$7:$K$62),ROW('DBX Sprint'!$A$7:$K$62)),""),ROWS($AO$34:AO74)),COLUMNS('DBX Sprint'!$A$1:A12)),"")</f>
        <v/>
      </c>
      <c r="AP74" s="43" t="str" cm="1">
        <f t="array" aca="1" ref="AP74" ca="1">IFERROR(INDEX('DBX Sprint'!$A$7:$K$62, SMALL(IF((INDEX('DBX Sprint'!$A$7:$K$62, ,32)&lt;=(TODAY()+5))*(INDEX('DBX Sprint'!$A$7:$K$62, ,32)&gt;(TODAY()+1)),MATCH(ROW('DBX Sprint'!$A$7:$K$62),ROW('DBX Sprint'!$A$7:$K$62)),""),ROWS($AP$34:AP74)),COLUMNS('DBX Sprint'!$A$1:A12)),"")</f>
        <v/>
      </c>
      <c r="AQ74" s="43" t="str" cm="1">
        <f t="array" aca="1" ref="AQ74" ca="1">IFERROR(INDEX('DBX Sprint'!$A$7:$K$62, SMALL(IF((INDEX('DBX Sprint'!$A$7:$K$62, ,32)&lt;=(TODAY()+10))*(INDEX('DBX Sprint'!$A$7:$K$62, ,32)&gt;(TODAY()+5)),MATCH(ROW('DBX Sprint'!$A$7:$K$62),ROW('DBX Sprint'!$A$7:$K$62)),""),ROWS($AQ$34:AQ74)),COLUMNS('DBX Sprint'!$A$1:A12)),"")</f>
        <v/>
      </c>
    </row>
    <row r="75" spans="3:43" ht="30" customHeight="1">
      <c r="C75" s="41" t="str" cm="1">
        <f t="array" ref="C75">IFERROR(INDEX('DBX Sprint'!$A$7:$K$62, SMALL(IF((INDEX('DBX Sprint'!$A$7:$K$62, ,13)=("Complete"))*(INDEX('DBX Sprint'!$A$7:$K$62, ,13)="Complete"),MATCH(ROW('DBX Sprint'!$A$7:$K$62),ROW('DBX Sprint'!$A$7:$K$62)),""),ROWS(C$34:$C75)),COLUMNS('DBX Sprint'!$A$1:A12)),"")</f>
        <v/>
      </c>
      <c r="D75" s="41" t="str" cm="1">
        <f t="array" aca="1" ref="D75" ca="1">IFERROR(INDEX('DBX Sprint'!$A$7:$K$62, SMALL(IF((INDEX('DBX Sprint'!$A$7:$K$62, ,13)&lt;(TODAY()))*(INDEX('DBX Sprint'!$A$7:$K$62, ,13)&lt;&gt;"Complete"),MATCH(ROW('DBX Sprint'!$A$7:$K$62),ROW('DBX Sprint'!$A$7:$K$62)),""),ROWS(D$34:$D75)),COLUMNS('DBX Sprint'!$A$1:A12)),"")</f>
        <v/>
      </c>
      <c r="E75" s="41" t="str" cm="1">
        <f t="array" aca="1" ref="E75" ca="1">IFERROR(INDEX('DBX Sprint'!$A$7:$K$62, SMALL(IF((INDEX('DBX Sprint'!$A$7:$K$62, ,13)&lt;=(TODAY()+1))*(INDEX('DBX Sprint'!$A$7:$K$62, ,13)&gt;=TODAY()),MATCH(ROW('DBX Sprint'!$A$7:$K$62),ROW('DBX Sprint'!$A$7:$K$62)),""),ROWS(E$34:$E75)),COLUMNS('DBX Sprint'!$A$1:A12)),"")</f>
        <v/>
      </c>
      <c r="F75" s="43" t="str" cm="1">
        <f t="array" aca="1" ref="F75" ca="1">IFERROR(INDEX('DBX Sprint'!$A$7:$K$62, SMALL(IF((INDEX('DBX Sprint'!$A$7:$K$62, ,13)&lt;=(TODAY()+5))*(INDEX('DBX Sprint'!$A$7:$K$62, ,13)&gt;(TODAY()+1)),MATCH(ROW('DBX Sprint'!$A$7:$K$62),ROW('DBX Sprint'!$A$7:$K$62)),""),ROWS($F$34:F75)),COLUMNS('DBX Sprint'!$A$1:A12)),"")</f>
        <v/>
      </c>
      <c r="G75" s="43" t="str" cm="1">
        <f t="array" aca="1" ref="G75" ca="1">IFERROR(INDEX('DBX Sprint'!$A$7:$K$62, SMALL(IF((INDEX('DBX Sprint'!$A$7:$K$62, ,13)&lt;=(TODAY()+10))*(INDEX('DBX Sprint'!$A$7:$K$62, ,13)&gt;(TODAY()+5)),MATCH(ROW('DBX Sprint'!$A$7:$K$62),ROW('DBX Sprint'!$A$7:$K$62)),""),ROWS($G$34:G75)),COLUMNS('DBX Sprint'!$A$1:A12)),"")</f>
        <v/>
      </c>
      <c r="I75" s="41" t="str" cm="1">
        <f t="array" ref="I75">IFERROR(INDEX('DBX Sprint'!$A$7:$K$62, SMALL(IF((INDEX('DBX Sprint'!$A$7:$K$62, ,16)=("Complete"))*(INDEX('DBX Sprint'!$A$7:$K$62, ,16)="Complete"),MATCH(ROW('DBX Sprint'!$A$7:$K$62),ROW('DBX Sprint'!$A$7:$K$62)),""),ROWS($I$34:I75)),COLUMNS('DBX Sprint'!$A$1:A12)),"")</f>
        <v/>
      </c>
      <c r="J75" s="41" t="str" cm="1">
        <f t="array" aca="1" ref="J75" ca="1">IFERROR(INDEX('DBX Sprint'!$A$7:$K$62, SMALL(IF((INDEX('DBX Sprint'!$A$7:$K$62, ,16)&lt;(TODAY()))*(INDEX('DBX Sprint'!$A$7:$K$62, ,16)&lt;&gt;"Complete"),MATCH(ROW('DBX Sprint'!$A$7:$K$62),ROW('DBX Sprint'!$A$7:$K$62)),""),ROWS($J$34:J75)),COLUMNS('DBX Sprint'!$A$1:A12)),"")</f>
        <v/>
      </c>
      <c r="K75" s="37" t="str" cm="1">
        <f t="array" aca="1" ref="K75" ca="1">IFERROR(INDEX('DBX Sprint'!$A$7:$K$62, SMALL(IF((INDEX('DBX Sprint'!$A$7:$K$62, ,16)&lt;=(TODAY()+1))*(INDEX('DBX Sprint'!$A$7:$K$62, ,16)&gt;=TODAY()),MATCH(ROW('DBX Sprint'!$A$7:$K$62),ROW('DBX Sprint'!$A$7:$K$62)),""),ROWS($K$34:K75)),COLUMNS('DBX Sprint'!$A$1:A12)),"")</f>
        <v/>
      </c>
      <c r="L75" s="38" t="str" cm="1">
        <f t="array" aca="1" ref="L75" ca="1">IFERROR(INDEX('DBX Sprint'!$A$7:$K$62, SMALL(IF((INDEX('DBX Sprint'!$A$7:$K$62, ,16)&lt;=(TODAY()+5))*(INDEX('DBX Sprint'!$A$7:$K$62, ,16)&gt;(TODAY()+1)),MATCH(ROW('DBX Sprint'!$A$7:$K$62),ROW('DBX Sprint'!$A$7:$K$62)),""),ROWS($L$34:L75)),COLUMNS('DBX Sprint'!$A$1:A12)),"")</f>
        <v/>
      </c>
      <c r="M75" s="43" t="str" cm="1">
        <f t="array" aca="1" ref="M75" ca="1">IFERROR(INDEX('DBX Sprint'!$A$7:$K$62, SMALL(IF((INDEX('DBX Sprint'!$A$7:$K$62, ,16)&lt;=(TODAY()+10))*(INDEX('DBX Sprint'!$A$7:$K$62, ,16)&gt;(TODAY()+5)),MATCH(ROW('DBX Sprint'!$A$7:$K$62),ROW('DBX Sprint'!$A$7:$K$62)),""),ROWS($M$34:M75)),COLUMNS('DBX Sprint'!$A$1:A12)),"")</f>
        <v/>
      </c>
      <c r="P75" s="41" t="str" cm="1">
        <f t="array" aca="1" ref="P75" ca="1">IFERROR(INDEX('DBX Sprint'!$A$7:$K$62, SMALL(IF((INDEX('DBX Sprint'!$A$7:$K$62, ,19)&lt;(TODAY()))*(INDEX('DBX Sprint'!$A$7:$K$62, ,19)&lt;&gt;"Complete"),MATCH(ROW('DBX Sprint'!$A$7:$K$62),ROW('DBX Sprint'!$A$7:$K$62)),""),ROWS($P$34:P75)),COLUMNS('DBX Sprint'!$A$1:A12)),"")</f>
        <v/>
      </c>
      <c r="Q75" s="41" t="str" cm="1">
        <f t="array" aca="1" ref="Q75" ca="1">IFERROR(INDEX('DBX Sprint'!$A$7:$K$62, SMALL(IF((INDEX('DBX Sprint'!$A$7:$K$62, ,19)&lt;=(TODAY()+1))*(INDEX('DBX Sprint'!$A$7:$K$62, ,19)&gt;=TODAY()),MATCH(ROW('DBX Sprint'!$A$7:$K$62),ROW('DBX Sprint'!$A$7:$K$62)),""),ROWS($Q$34:Q75)),COLUMNS('DBX Sprint'!$A$1:A12)),"")</f>
        <v/>
      </c>
      <c r="R75" s="43" t="str" cm="1">
        <f t="array" aca="1" ref="R75" ca="1">IFERROR(INDEX('DBX Sprint'!$A$7:$K$62, SMALL(IF((INDEX('DBX Sprint'!$A$7:$K$62, ,19)&lt;=(TODAY()+5))*(INDEX('DBX Sprint'!$A$7:$K$62, ,19)&gt;(TODAY()+1)),MATCH(ROW('DBX Sprint'!$A$7:$K$62),ROW('DBX Sprint'!$A$7:$K$62)),""),ROWS($R$34:R75)),COLUMNS('DBX Sprint'!$A$1:A12)),"")</f>
        <v/>
      </c>
      <c r="S75" s="43" t="str" cm="1">
        <f t="array" aca="1" ref="S75" ca="1">IFERROR(INDEX('DBX Sprint'!$A$7:$K$62, SMALL(IF((INDEX('DBX Sprint'!$A$7:$K$62, ,19)&lt;=(TODAY()+10))*(INDEX('DBX Sprint'!$A$7:$K$62, ,19)&gt;(TODAY()+5)),MATCH(ROW('DBX Sprint'!$A$7:$K$62),ROW('DBX Sprint'!$A$7:$K$62)),""),ROWS($S$34:S75)),COLUMNS('DBX Sprint'!$A$1:A12)),"")</f>
        <v/>
      </c>
      <c r="U75" s="41" t="str" cm="1">
        <f t="array" ref="U75">IFERROR(INDEX('DBX Sprint'!$A$7:$K$62, SMALL(IF((INDEX('DBX Sprint'!$A$7:$K$62, ,22)=("Complete"))*(INDEX('DBX Sprint'!$A$7:$K$62, ,22)="Complete"),MATCH(ROW('DBX Sprint'!$A$7:$K$62),ROW('DBX Sprint'!$A$7:$K$62)),""),ROWS($U$34:U75)),COLUMNS('DBX Sprint'!$A$1:A12)),"")</f>
        <v/>
      </c>
      <c r="V75" s="41" t="str" cm="1">
        <f t="array" aca="1" ref="V75" ca="1">IFERROR(INDEX('DBX Sprint'!$A$7:$K$62, SMALL(IF((INDEX('DBX Sprint'!$A$7:$K$62, ,22)&lt;(TODAY()))*(INDEX('DBX Sprint'!$A$7:$K$62, ,22)&lt;&gt;"Complete"),MATCH(ROW('DBX Sprint'!$A$7:$K$62),ROW('DBX Sprint'!$A$7:$K$62)),""),ROWS($V$34:V75)),COLUMNS('DBX Sprint'!$A$1:A12)),"")</f>
        <v/>
      </c>
      <c r="W75" s="41" t="str" cm="1">
        <f t="array" aca="1" ref="W75" ca="1">IFERROR(INDEX('DBX Sprint'!$A$7:$K$62, SMALL(IF((INDEX('DBX Sprint'!$A$7:$K$62, ,22)&lt;=(TODAY()+1))*(INDEX('DBX Sprint'!$A$7:$K$62, ,22)&gt;=TODAY()),MATCH(ROW('DBX Sprint'!$A$7:$K$62),ROW('DBX Sprint'!$A$7:$K$62)),""),ROWS($W$34:W75)),COLUMNS('DBX Sprint'!$A$1:A12)),"")</f>
        <v/>
      </c>
      <c r="X75" s="43" t="str" cm="1">
        <f t="array" aca="1" ref="X75" ca="1">IFERROR(INDEX('DBX Sprint'!$A$7:$K$62, SMALL(IF((INDEX('DBX Sprint'!$A$7:$K$62, ,22)&lt;=(TODAY()+5))*(INDEX('DBX Sprint'!$A$7:$K$62, ,22)&gt;(TODAY()+1)),MATCH(ROW('DBX Sprint'!$A$7:$K$62),ROW('DBX Sprint'!$A$7:$K$62)),""),ROWS($X$34:X75)),COLUMNS('DBX Sprint'!$A$1:A12)),"")</f>
        <v/>
      </c>
      <c r="Y75" s="43" t="str" cm="1">
        <f t="array" aca="1" ref="Y75" ca="1">IFERROR(INDEX('DBX Sprint'!$A$7:$K$62, SMALL(IF((INDEX('DBX Sprint'!$A$7:$K$62, ,22)&lt;=(TODAY()+10))*(INDEX('DBX Sprint'!$A$7:$K$62, ,22)&gt;(TODAY()+5)),MATCH(ROW('DBX Sprint'!$A$7:$K$62),ROW('DBX Sprint'!$A$7:$K$62)),""),ROWS($Y$34:Y75)),COLUMNS('DBX Sprint'!$A$1:A12)),"")</f>
        <v/>
      </c>
      <c r="AA75" s="41" t="str" cm="1">
        <f t="array" ref="AA75">IFERROR(INDEX('DBX Sprint'!$A$7:$K$62, SMALL(IF((INDEX('DBX Sprint'!$A$7:$K$62, ,25)=("Complete"))*(INDEX('DBX Sprint'!$A$7:$K$62, ,25)="Complete"),MATCH(ROW('DBX Sprint'!$A$7:$K$62),ROW('DBX Sprint'!$A$7:$K$62)),""),ROWS($AA$34:AA75)),COLUMNS('DBX Sprint'!$A$1:A12)),"")</f>
        <v/>
      </c>
      <c r="AB75" s="41" t="str" cm="1">
        <f t="array" aca="1" ref="AB75" ca="1">IFERROR(INDEX('DBX Sprint'!$A$7:$K$62, SMALL(IF((INDEX('DBX Sprint'!$A$7:$K$62, ,25)&lt;(TODAY()))*(INDEX('DBX Sprint'!$A$7:$K$62, ,25)&lt;&gt;"Complete"),MATCH(ROW('DBX Sprint'!$A$7:$K$62),ROW('DBX Sprint'!$A$7:$K$62)),""),ROWS($AB$34:AB75)),COLUMNS('DBX Sprint'!$A$1:A12)),"")</f>
        <v/>
      </c>
      <c r="AC75" s="41" t="str" cm="1">
        <f t="array" aca="1" ref="AC75" ca="1">IFERROR(INDEX('DBX Sprint'!$A$7:$K$62, SMALL(IF((INDEX('DBX Sprint'!$A$7:$K$62, ,25)&lt;=(TODAY()+1))*(INDEX('DBX Sprint'!$A$7:$K$62, ,25)&gt;=TODAY()),MATCH(ROW('DBX Sprint'!$A$7:$K$62),ROW('DBX Sprint'!$A$7:$K$62)),""),ROWS($AC$34:AC75)),COLUMNS('DBX Sprint'!$A$1:A12)),"")</f>
        <v/>
      </c>
      <c r="AD75" s="43" t="str" cm="1">
        <f t="array" aca="1" ref="AD75" ca="1">IFERROR(INDEX('DBX Sprint'!$A$7:$K$62, SMALL(IF((INDEX('DBX Sprint'!$A$7:$K$62, ,25)&lt;=(TODAY()+5))*(INDEX('DBX Sprint'!$A$7:$K$62, ,25)&gt;(TODAY()+1)),MATCH(ROW('DBX Sprint'!$A$7:$K$62),ROW('DBX Sprint'!$A$7:$K$62)),""),ROWS($AD$34:AD75)),COLUMNS('DBX Sprint'!$A$1:A12)),"")</f>
        <v/>
      </c>
      <c r="AE75" s="43" t="str" cm="1">
        <f t="array" aca="1" ref="AE75" ca="1">IFERROR(INDEX('DBX Sprint'!$A$7:$K$62, SMALL(IF((INDEX('DBX Sprint'!$A$7:$K$62, ,25)&lt;=(TODAY()+10))*(INDEX('DBX Sprint'!$A$7:$K$62, ,25)&gt;(TODAY()+5)),MATCH(ROW('DBX Sprint'!$A$7:$K$62),ROW('DBX Sprint'!$A$7:$K$62)),""),ROWS($AE$34:AE75)),COLUMNS('DBX Sprint'!$A$1:A12)),"")</f>
        <v/>
      </c>
      <c r="AG75" s="41" t="str" cm="1">
        <f t="array" ref="AG75">IFERROR(INDEX('DBX Sprint'!$A$7:$K$62, SMALL(IF((INDEX('DBX Sprint'!$A$7:$K$62, ,29)=("Complete"))*(INDEX('DBX Sprint'!$A$7:$K$62, ,29)="Complete"),MATCH(ROW('DBX Sprint'!$A$7:$K$62),ROW('DBX Sprint'!$A$7:$K$62)),""),ROWS($AG$34:AG75)),COLUMNS('DBX Sprint'!$A$1:A12)),"")</f>
        <v/>
      </c>
      <c r="AH75" s="41" t="str" cm="1">
        <f t="array" aca="1" ref="AH75" ca="1">IFERROR(INDEX('DBX Sprint'!$A$7:$K$62, SMALL(IF((INDEX('DBX Sprint'!$A$7:$K$62, ,29)&lt;(TODAY()))*(INDEX('DBX Sprint'!$A$7:$K$62, ,29)&lt;&gt;"Complete"),MATCH(ROW('DBX Sprint'!$A$7:$K$62),ROW('DBX Sprint'!$A$7:$K$62)),""),ROWS($AH$34:AH75)),COLUMNS('DBX Sprint'!$A$1:A12)),"")</f>
        <v/>
      </c>
      <c r="AI75" s="41" t="str" cm="1">
        <f t="array" aca="1" ref="AI75" ca="1">IFERROR(INDEX('DBX Sprint'!$A$7:$K$62, SMALL(IF((INDEX('DBX Sprint'!$A$7:$K$62, ,29)&lt;=(TODAY()+1))*(INDEX('DBX Sprint'!$A$7:$K$62, ,29)&gt;=TODAY()),MATCH(ROW('DBX Sprint'!$A$7:$K$62),ROW('DBX Sprint'!$A$7:$K$62)),""),ROWS($AI$34:AI75)),COLUMNS('DBX Sprint'!$A$1:A12)),"")</f>
        <v/>
      </c>
      <c r="AJ75" s="43" t="str" cm="1">
        <f t="array" aca="1" ref="AJ75" ca="1">IFERROR(INDEX('DBX Sprint'!$A$7:$K$62, SMALL(IF((INDEX('DBX Sprint'!$A$7:$K$62, ,29)&lt;=(TODAY()+5))*(INDEX('DBX Sprint'!$A$7:$K$62, ,29)&gt;(TODAY()+1)),MATCH(ROW('DBX Sprint'!$A$7:$K$62),ROW('DBX Sprint'!$A$7:$K$62)),""),ROWS($AJ$34:AJ75)),COLUMNS('DBX Sprint'!$A$1:A12)),"")</f>
        <v/>
      </c>
      <c r="AK75" s="43" t="str" cm="1">
        <f t="array" aca="1" ref="AK75" ca="1">IFERROR(INDEX('DBX Sprint'!$A$7:$K$62, SMALL(IF((INDEX('DBX Sprint'!$A$7:$K$62, ,29)&lt;=(TODAY()+10))*(INDEX('DBX Sprint'!$A$7:$K$62, ,29)&gt;(TODAY()+5)),MATCH(ROW('DBX Sprint'!$A$7:$K$62),ROW('DBX Sprint'!$A$7:$K$62)),""),ROWS($AK$34:AK75)),COLUMNS('DBX Sprint'!$A$1:A12)),"")</f>
        <v/>
      </c>
      <c r="AM75" s="41" t="str" cm="1">
        <f t="array" ref="AM75">IFERROR(INDEX('DBX Sprint'!$A$7:$K$62, SMALL(IF((INDEX('DBX Sprint'!$A$7:$K$62, ,32)=("Complete"))*(INDEX('DBX Sprint'!$A$7:$K$62, ,32)="Complete"),MATCH(ROW('DBX Sprint'!$A$7:$K$62),ROW('DBX Sprint'!$A$7:$K$62)),""),ROWS($AM$34:AM75)),COLUMNS('DBX Sprint'!$A$1:A12)),"")</f>
        <v/>
      </c>
      <c r="AN75" s="41" t="str" cm="1">
        <f t="array" aca="1" ref="AN75" ca="1">IFERROR(INDEX('DBX Sprint'!$A$7:$K$62, SMALL(IF((INDEX('DBX Sprint'!$A$7:$K$62, ,32)&lt;(TODAY()))*(INDEX('DBX Sprint'!$A$7:$K$62, ,32)&lt;&gt;"Complete"),MATCH(ROW('DBX Sprint'!$A$7:$K$62),ROW('DBX Sprint'!$A$7:$K$62)),""),ROWS($AN$34:AN75)),COLUMNS('DBX Sprint'!$A$1:A12)),"")</f>
        <v/>
      </c>
      <c r="AO75" s="41" t="str" cm="1">
        <f t="array" aca="1" ref="AO75" ca="1">IFERROR(INDEX('DBX Sprint'!$A$7:$K$62, SMALL(IF((INDEX('DBX Sprint'!$A$7:$K$62, ,32)&lt;=(TODAY()+1))*(INDEX('DBX Sprint'!$A$7:$K$62, ,32)&gt;=TODAY()),MATCH(ROW('DBX Sprint'!$A$7:$K$62),ROW('DBX Sprint'!$A$7:$K$62)),""),ROWS($AO$34:AO75)),COLUMNS('DBX Sprint'!$A$1:A12)),"")</f>
        <v/>
      </c>
      <c r="AP75" s="43" t="str" cm="1">
        <f t="array" aca="1" ref="AP75" ca="1">IFERROR(INDEX('DBX Sprint'!$A$7:$K$62, SMALL(IF((INDEX('DBX Sprint'!$A$7:$K$62, ,32)&lt;=(TODAY()+5))*(INDEX('DBX Sprint'!$A$7:$K$62, ,32)&gt;(TODAY()+1)),MATCH(ROW('DBX Sprint'!$A$7:$K$62),ROW('DBX Sprint'!$A$7:$K$62)),""),ROWS($AP$34:AP75)),COLUMNS('DBX Sprint'!$A$1:A12)),"")</f>
        <v/>
      </c>
      <c r="AQ75" s="43" t="str" cm="1">
        <f t="array" aca="1" ref="AQ75" ca="1">IFERROR(INDEX('DBX Sprint'!$A$7:$K$62, SMALL(IF((INDEX('DBX Sprint'!$A$7:$K$62, ,32)&lt;=(TODAY()+10))*(INDEX('DBX Sprint'!$A$7:$K$62, ,32)&gt;(TODAY()+5)),MATCH(ROW('DBX Sprint'!$A$7:$K$62),ROW('DBX Sprint'!$A$7:$K$62)),""),ROWS($AQ$34:AQ75)),COLUMNS('DBX Sprint'!$A$1:A12)),"")</f>
        <v/>
      </c>
    </row>
    <row r="76" spans="3:43" ht="30" customHeight="1">
      <c r="C76" s="41" t="str" cm="1">
        <f t="array" ref="C76">IFERROR(INDEX('DBX Sprint'!$A$7:$K$62, SMALL(IF((INDEX('DBX Sprint'!$A$7:$K$62, ,13)=("Complete"))*(INDEX('DBX Sprint'!$A$7:$K$62, ,13)="Complete"),MATCH(ROW('DBX Sprint'!$A$7:$K$62),ROW('DBX Sprint'!$A$7:$K$62)),""),ROWS(C$34:$C76)),COLUMNS('DBX Sprint'!$A$1:A12)),"")</f>
        <v/>
      </c>
      <c r="D76" s="41" t="str" cm="1">
        <f t="array" aca="1" ref="D76" ca="1">IFERROR(INDEX('DBX Sprint'!$A$7:$K$62, SMALL(IF((INDEX('DBX Sprint'!$A$7:$K$62, ,13)&lt;(TODAY()))*(INDEX('DBX Sprint'!$A$7:$K$62, ,13)&lt;&gt;"Complete"),MATCH(ROW('DBX Sprint'!$A$7:$K$62),ROW('DBX Sprint'!$A$7:$K$62)),""),ROWS(D$34:$D76)),COLUMNS('DBX Sprint'!$A$1:A12)),"")</f>
        <v/>
      </c>
      <c r="E76" s="41" t="str" cm="1">
        <f t="array" aca="1" ref="E76" ca="1">IFERROR(INDEX('DBX Sprint'!$A$7:$K$62, SMALL(IF((INDEX('DBX Sprint'!$A$7:$K$62, ,13)&lt;=(TODAY()+1))*(INDEX('DBX Sprint'!$A$7:$K$62, ,13)&gt;=TODAY()),MATCH(ROW('DBX Sprint'!$A$7:$K$62),ROW('DBX Sprint'!$A$7:$K$62)),""),ROWS(E$34:$E76)),COLUMNS('DBX Sprint'!$A$1:A12)),"")</f>
        <v/>
      </c>
      <c r="F76" s="43" t="str" cm="1">
        <f t="array" aca="1" ref="F76" ca="1">IFERROR(INDEX('DBX Sprint'!$A$7:$K$62, SMALL(IF((INDEX('DBX Sprint'!$A$7:$K$62, ,13)&lt;=(TODAY()+5))*(INDEX('DBX Sprint'!$A$7:$K$62, ,13)&gt;(TODAY()+1)),MATCH(ROW('DBX Sprint'!$A$7:$K$62),ROW('DBX Sprint'!$A$7:$K$62)),""),ROWS($F$34:F76)),COLUMNS('DBX Sprint'!$A$1:A12)),"")</f>
        <v/>
      </c>
      <c r="G76" s="43" t="str" cm="1">
        <f t="array" aca="1" ref="G76" ca="1">IFERROR(INDEX('DBX Sprint'!$A$7:$K$62, SMALL(IF((INDEX('DBX Sprint'!$A$7:$K$62, ,13)&lt;=(TODAY()+10))*(INDEX('DBX Sprint'!$A$7:$K$62, ,13)&gt;(TODAY()+5)),MATCH(ROW('DBX Sprint'!$A$7:$K$62),ROW('DBX Sprint'!$A$7:$K$62)),""),ROWS($G$34:G76)),COLUMNS('DBX Sprint'!$A$1:A12)),"")</f>
        <v/>
      </c>
      <c r="I76" s="41" t="str" cm="1">
        <f t="array" ref="I76">IFERROR(INDEX('DBX Sprint'!$A$7:$K$62, SMALL(IF((INDEX('DBX Sprint'!$A$7:$K$62, ,16)=("Complete"))*(INDEX('DBX Sprint'!$A$7:$K$62, ,16)="Complete"),MATCH(ROW('DBX Sprint'!$A$7:$K$62),ROW('DBX Sprint'!$A$7:$K$62)),""),ROWS($I$34:I76)),COLUMNS('DBX Sprint'!$A$1:A12)),"")</f>
        <v/>
      </c>
      <c r="J76" s="41" t="str" cm="1">
        <f t="array" aca="1" ref="J76" ca="1">IFERROR(INDEX('DBX Sprint'!$A$7:$K$62, SMALL(IF((INDEX('DBX Sprint'!$A$7:$K$62, ,16)&lt;(TODAY()))*(INDEX('DBX Sprint'!$A$7:$K$62, ,16)&lt;&gt;"Complete"),MATCH(ROW('DBX Sprint'!$A$7:$K$62),ROW('DBX Sprint'!$A$7:$K$62)),""),ROWS($J$34:J76)),COLUMNS('DBX Sprint'!$A$1:A12)),"")</f>
        <v/>
      </c>
      <c r="K76" s="37" t="str" cm="1">
        <f t="array" aca="1" ref="K76" ca="1">IFERROR(INDEX('DBX Sprint'!$A$7:$K$62, SMALL(IF((INDEX('DBX Sprint'!$A$7:$K$62, ,16)&lt;=(TODAY()+1))*(INDEX('DBX Sprint'!$A$7:$K$62, ,16)&gt;=TODAY()),MATCH(ROW('DBX Sprint'!$A$7:$K$62),ROW('DBX Sprint'!$A$7:$K$62)),""),ROWS($K$34:K76)),COLUMNS('DBX Sprint'!$A$1:A12)),"")</f>
        <v/>
      </c>
      <c r="L76" s="38" t="str" cm="1">
        <f t="array" aca="1" ref="L76" ca="1">IFERROR(INDEX('DBX Sprint'!$A$7:$K$62, SMALL(IF((INDEX('DBX Sprint'!$A$7:$K$62, ,16)&lt;=(TODAY()+5))*(INDEX('DBX Sprint'!$A$7:$K$62, ,16)&gt;(TODAY()+1)),MATCH(ROW('DBX Sprint'!$A$7:$K$62),ROW('DBX Sprint'!$A$7:$K$62)),""),ROWS($L$34:L76)),COLUMNS('DBX Sprint'!$A$1:A12)),"")</f>
        <v/>
      </c>
      <c r="M76" s="43" t="str" cm="1">
        <f t="array" aca="1" ref="M76" ca="1">IFERROR(INDEX('DBX Sprint'!$A$7:$K$62, SMALL(IF((INDEX('DBX Sprint'!$A$7:$K$62, ,16)&lt;=(TODAY()+10))*(INDEX('DBX Sprint'!$A$7:$K$62, ,16)&gt;(TODAY()+5)),MATCH(ROW('DBX Sprint'!$A$7:$K$62),ROW('DBX Sprint'!$A$7:$K$62)),""),ROWS($M$34:M76)),COLUMNS('DBX Sprint'!$A$1:A12)),"")</f>
        <v/>
      </c>
      <c r="P76" s="41" t="str" cm="1">
        <f t="array" aca="1" ref="P76" ca="1">IFERROR(INDEX('DBX Sprint'!$A$7:$K$62, SMALL(IF((INDEX('DBX Sprint'!$A$7:$K$62, ,19)&lt;(TODAY()))*(INDEX('DBX Sprint'!$A$7:$K$62, ,19)&lt;&gt;"Complete"),MATCH(ROW('DBX Sprint'!$A$7:$K$62),ROW('DBX Sprint'!$A$7:$K$62)),""),ROWS($P$34:P76)),COLUMNS('DBX Sprint'!$A$1:A12)),"")</f>
        <v/>
      </c>
      <c r="Q76" s="41" t="str" cm="1">
        <f t="array" aca="1" ref="Q76" ca="1">IFERROR(INDEX('DBX Sprint'!$A$7:$K$62, SMALL(IF((INDEX('DBX Sprint'!$A$7:$K$62, ,19)&lt;=(TODAY()+1))*(INDEX('DBX Sprint'!$A$7:$K$62, ,19)&gt;=TODAY()),MATCH(ROW('DBX Sprint'!$A$7:$K$62),ROW('DBX Sprint'!$A$7:$K$62)),""),ROWS($Q$34:Q76)),COLUMNS('DBX Sprint'!$A$1:A12)),"")</f>
        <v/>
      </c>
      <c r="R76" s="43" t="str" cm="1">
        <f t="array" aca="1" ref="R76" ca="1">IFERROR(INDEX('DBX Sprint'!$A$7:$K$62, SMALL(IF((INDEX('DBX Sprint'!$A$7:$K$62, ,19)&lt;=(TODAY()+5))*(INDEX('DBX Sprint'!$A$7:$K$62, ,19)&gt;(TODAY()+1)),MATCH(ROW('DBX Sprint'!$A$7:$K$62),ROW('DBX Sprint'!$A$7:$K$62)),""),ROWS($R$34:R76)),COLUMNS('DBX Sprint'!$A$1:A12)),"")</f>
        <v/>
      </c>
      <c r="S76" s="43" t="str" cm="1">
        <f t="array" aca="1" ref="S76" ca="1">IFERROR(INDEX('DBX Sprint'!$A$7:$K$62, SMALL(IF((INDEX('DBX Sprint'!$A$7:$K$62, ,19)&lt;=(TODAY()+10))*(INDEX('DBX Sprint'!$A$7:$K$62, ,19)&gt;(TODAY()+5)),MATCH(ROW('DBX Sprint'!$A$7:$K$62),ROW('DBX Sprint'!$A$7:$K$62)),""),ROWS($S$34:S76)),COLUMNS('DBX Sprint'!$A$1:A12)),"")</f>
        <v/>
      </c>
      <c r="U76" s="41" t="str" cm="1">
        <f t="array" ref="U76">IFERROR(INDEX('DBX Sprint'!$A$7:$K$62, SMALL(IF((INDEX('DBX Sprint'!$A$7:$K$62, ,22)=("Complete"))*(INDEX('DBX Sprint'!$A$7:$K$62, ,22)="Complete"),MATCH(ROW('DBX Sprint'!$A$7:$K$62),ROW('DBX Sprint'!$A$7:$K$62)),""),ROWS($U$34:U76)),COLUMNS('DBX Sprint'!$A$1:A12)),"")</f>
        <v/>
      </c>
      <c r="V76" s="41" t="str" cm="1">
        <f t="array" aca="1" ref="V76" ca="1">IFERROR(INDEX('DBX Sprint'!$A$7:$K$62, SMALL(IF((INDEX('DBX Sprint'!$A$7:$K$62, ,22)&lt;(TODAY()))*(INDEX('DBX Sprint'!$A$7:$K$62, ,22)&lt;&gt;"Complete"),MATCH(ROW('DBX Sprint'!$A$7:$K$62),ROW('DBX Sprint'!$A$7:$K$62)),""),ROWS($V$34:V76)),COLUMNS('DBX Sprint'!$A$1:A12)),"")</f>
        <v/>
      </c>
      <c r="W76" s="41" t="str" cm="1">
        <f t="array" aca="1" ref="W76" ca="1">IFERROR(INDEX('DBX Sprint'!$A$7:$K$62, SMALL(IF((INDEX('DBX Sprint'!$A$7:$K$62, ,22)&lt;=(TODAY()+1))*(INDEX('DBX Sprint'!$A$7:$K$62, ,22)&gt;=TODAY()),MATCH(ROW('DBX Sprint'!$A$7:$K$62),ROW('DBX Sprint'!$A$7:$K$62)),""),ROWS($W$34:W76)),COLUMNS('DBX Sprint'!$A$1:A12)),"")</f>
        <v/>
      </c>
      <c r="X76" s="43" t="str" cm="1">
        <f t="array" aca="1" ref="X76" ca="1">IFERROR(INDEX('DBX Sprint'!$A$7:$K$62, SMALL(IF((INDEX('DBX Sprint'!$A$7:$K$62, ,22)&lt;=(TODAY()+5))*(INDEX('DBX Sprint'!$A$7:$K$62, ,22)&gt;(TODAY()+1)),MATCH(ROW('DBX Sprint'!$A$7:$K$62),ROW('DBX Sprint'!$A$7:$K$62)),""),ROWS($X$34:X76)),COLUMNS('DBX Sprint'!$A$1:A12)),"")</f>
        <v/>
      </c>
      <c r="Y76" s="43" t="str" cm="1">
        <f t="array" aca="1" ref="Y76" ca="1">IFERROR(INDEX('DBX Sprint'!$A$7:$K$62, SMALL(IF((INDEX('DBX Sprint'!$A$7:$K$62, ,22)&lt;=(TODAY()+10))*(INDEX('DBX Sprint'!$A$7:$K$62, ,22)&gt;(TODAY()+5)),MATCH(ROW('DBX Sprint'!$A$7:$K$62),ROW('DBX Sprint'!$A$7:$K$62)),""),ROWS($Y$34:Y76)),COLUMNS('DBX Sprint'!$A$1:A12)),"")</f>
        <v/>
      </c>
      <c r="AA76" s="41" t="str" cm="1">
        <f t="array" ref="AA76">IFERROR(INDEX('DBX Sprint'!$A$7:$K$62, SMALL(IF((INDEX('DBX Sprint'!$A$7:$K$62, ,25)=("Complete"))*(INDEX('DBX Sprint'!$A$7:$K$62, ,25)="Complete"),MATCH(ROW('DBX Sprint'!$A$7:$K$62),ROW('DBX Sprint'!$A$7:$K$62)),""),ROWS($AA$34:AA76)),COLUMNS('DBX Sprint'!$A$1:A12)),"")</f>
        <v/>
      </c>
      <c r="AB76" s="41" t="str" cm="1">
        <f t="array" aca="1" ref="AB76" ca="1">IFERROR(INDEX('DBX Sprint'!$A$7:$K$62, SMALL(IF((INDEX('DBX Sprint'!$A$7:$K$62, ,25)&lt;(TODAY()))*(INDEX('DBX Sprint'!$A$7:$K$62, ,25)&lt;&gt;"Complete"),MATCH(ROW('DBX Sprint'!$A$7:$K$62),ROW('DBX Sprint'!$A$7:$K$62)),""),ROWS($AB$34:AB76)),COLUMNS('DBX Sprint'!$A$1:A12)),"")</f>
        <v/>
      </c>
      <c r="AC76" s="41" t="str" cm="1">
        <f t="array" aca="1" ref="AC76" ca="1">IFERROR(INDEX('DBX Sprint'!$A$7:$K$62, SMALL(IF((INDEX('DBX Sprint'!$A$7:$K$62, ,25)&lt;=(TODAY()+1))*(INDEX('DBX Sprint'!$A$7:$K$62, ,25)&gt;=TODAY()),MATCH(ROW('DBX Sprint'!$A$7:$K$62),ROW('DBX Sprint'!$A$7:$K$62)),""),ROWS($AC$34:AC76)),COLUMNS('DBX Sprint'!$A$1:A12)),"")</f>
        <v/>
      </c>
      <c r="AD76" s="43" t="str" cm="1">
        <f t="array" aca="1" ref="AD76" ca="1">IFERROR(INDEX('DBX Sprint'!$A$7:$K$62, SMALL(IF((INDEX('DBX Sprint'!$A$7:$K$62, ,25)&lt;=(TODAY()+5))*(INDEX('DBX Sprint'!$A$7:$K$62, ,25)&gt;(TODAY()+1)),MATCH(ROW('DBX Sprint'!$A$7:$K$62),ROW('DBX Sprint'!$A$7:$K$62)),""),ROWS($AD$34:AD76)),COLUMNS('DBX Sprint'!$A$1:A12)),"")</f>
        <v/>
      </c>
      <c r="AE76" s="43" t="str" cm="1">
        <f t="array" aca="1" ref="AE76" ca="1">IFERROR(INDEX('DBX Sprint'!$A$7:$K$62, SMALL(IF((INDEX('DBX Sprint'!$A$7:$K$62, ,25)&lt;=(TODAY()+10))*(INDEX('DBX Sprint'!$A$7:$K$62, ,25)&gt;(TODAY()+5)),MATCH(ROW('DBX Sprint'!$A$7:$K$62),ROW('DBX Sprint'!$A$7:$K$62)),""),ROWS($AE$34:AE76)),COLUMNS('DBX Sprint'!$A$1:A12)),"")</f>
        <v/>
      </c>
      <c r="AG76" s="41" t="str" cm="1">
        <f t="array" ref="AG76">IFERROR(INDEX('DBX Sprint'!$A$7:$K$62, SMALL(IF((INDEX('DBX Sprint'!$A$7:$K$62, ,29)=("Complete"))*(INDEX('DBX Sprint'!$A$7:$K$62, ,29)="Complete"),MATCH(ROW('DBX Sprint'!$A$7:$K$62),ROW('DBX Sprint'!$A$7:$K$62)),""),ROWS($AG$34:AG76)),COLUMNS('DBX Sprint'!$A$1:A12)),"")</f>
        <v/>
      </c>
      <c r="AH76" s="41" t="str" cm="1">
        <f t="array" aca="1" ref="AH76" ca="1">IFERROR(INDEX('DBX Sprint'!$A$7:$K$62, SMALL(IF((INDEX('DBX Sprint'!$A$7:$K$62, ,29)&lt;(TODAY()))*(INDEX('DBX Sprint'!$A$7:$K$62, ,29)&lt;&gt;"Complete"),MATCH(ROW('DBX Sprint'!$A$7:$K$62),ROW('DBX Sprint'!$A$7:$K$62)),""),ROWS($AH$34:AH76)),COLUMNS('DBX Sprint'!$A$1:A12)),"")</f>
        <v/>
      </c>
      <c r="AI76" s="41" t="str" cm="1">
        <f t="array" aca="1" ref="AI76" ca="1">IFERROR(INDEX('DBX Sprint'!$A$7:$K$62, SMALL(IF((INDEX('DBX Sprint'!$A$7:$K$62, ,29)&lt;=(TODAY()+1))*(INDEX('DBX Sprint'!$A$7:$K$62, ,29)&gt;=TODAY()),MATCH(ROW('DBX Sprint'!$A$7:$K$62),ROW('DBX Sprint'!$A$7:$K$62)),""),ROWS($AI$34:AI76)),COLUMNS('DBX Sprint'!$A$1:A12)),"")</f>
        <v/>
      </c>
      <c r="AJ76" s="43" t="str" cm="1">
        <f t="array" aca="1" ref="AJ76" ca="1">IFERROR(INDEX('DBX Sprint'!$A$7:$K$62, SMALL(IF((INDEX('DBX Sprint'!$A$7:$K$62, ,29)&lt;=(TODAY()+5))*(INDEX('DBX Sprint'!$A$7:$K$62, ,29)&gt;(TODAY()+1)),MATCH(ROW('DBX Sprint'!$A$7:$K$62),ROW('DBX Sprint'!$A$7:$K$62)),""),ROWS($AJ$34:AJ76)),COLUMNS('DBX Sprint'!$A$1:A12)),"")</f>
        <v/>
      </c>
      <c r="AK76" s="43" t="str" cm="1">
        <f t="array" aca="1" ref="AK76" ca="1">IFERROR(INDEX('DBX Sprint'!$A$7:$K$62, SMALL(IF((INDEX('DBX Sprint'!$A$7:$K$62, ,29)&lt;=(TODAY()+10))*(INDEX('DBX Sprint'!$A$7:$K$62, ,29)&gt;(TODAY()+5)),MATCH(ROW('DBX Sprint'!$A$7:$K$62),ROW('DBX Sprint'!$A$7:$K$62)),""),ROWS($AK$34:AK76)),COLUMNS('DBX Sprint'!$A$1:A12)),"")</f>
        <v/>
      </c>
      <c r="AM76" s="41" t="str" cm="1">
        <f t="array" ref="AM76">IFERROR(INDEX('DBX Sprint'!$A$7:$K$62, SMALL(IF((INDEX('DBX Sprint'!$A$7:$K$62, ,32)=("Complete"))*(INDEX('DBX Sprint'!$A$7:$K$62, ,32)="Complete"),MATCH(ROW('DBX Sprint'!$A$7:$K$62),ROW('DBX Sprint'!$A$7:$K$62)),""),ROWS($AM$34:AM76)),COLUMNS('DBX Sprint'!$A$1:A12)),"")</f>
        <v/>
      </c>
      <c r="AN76" s="41" t="str" cm="1">
        <f t="array" aca="1" ref="AN76" ca="1">IFERROR(INDEX('DBX Sprint'!$A$7:$K$62, SMALL(IF((INDEX('DBX Sprint'!$A$7:$K$62, ,32)&lt;(TODAY()))*(INDEX('DBX Sprint'!$A$7:$K$62, ,32)&lt;&gt;"Complete"),MATCH(ROW('DBX Sprint'!$A$7:$K$62),ROW('DBX Sprint'!$A$7:$K$62)),""),ROWS($AN$34:AN76)),COLUMNS('DBX Sprint'!$A$1:A12)),"")</f>
        <v/>
      </c>
      <c r="AO76" s="41" t="str" cm="1">
        <f t="array" aca="1" ref="AO76" ca="1">IFERROR(INDEX('DBX Sprint'!$A$7:$K$62, SMALL(IF((INDEX('DBX Sprint'!$A$7:$K$62, ,32)&lt;=(TODAY()+1))*(INDEX('DBX Sprint'!$A$7:$K$62, ,32)&gt;=TODAY()),MATCH(ROW('DBX Sprint'!$A$7:$K$62),ROW('DBX Sprint'!$A$7:$K$62)),""),ROWS($AO$34:AO76)),COLUMNS('DBX Sprint'!$A$1:A12)),"")</f>
        <v/>
      </c>
      <c r="AP76" s="43" t="str" cm="1">
        <f t="array" aca="1" ref="AP76" ca="1">IFERROR(INDEX('DBX Sprint'!$A$7:$K$62, SMALL(IF((INDEX('DBX Sprint'!$A$7:$K$62, ,32)&lt;=(TODAY()+5))*(INDEX('DBX Sprint'!$A$7:$K$62, ,32)&gt;(TODAY()+1)),MATCH(ROW('DBX Sprint'!$A$7:$K$62),ROW('DBX Sprint'!$A$7:$K$62)),""),ROWS($AP$34:AP76)),COLUMNS('DBX Sprint'!$A$1:A12)),"")</f>
        <v/>
      </c>
      <c r="AQ76" s="43" t="str" cm="1">
        <f t="array" aca="1" ref="AQ76" ca="1">IFERROR(INDEX('DBX Sprint'!$A$7:$K$62, SMALL(IF((INDEX('DBX Sprint'!$A$7:$K$62, ,32)&lt;=(TODAY()+10))*(INDEX('DBX Sprint'!$A$7:$K$62, ,32)&gt;(TODAY()+5)),MATCH(ROW('DBX Sprint'!$A$7:$K$62),ROW('DBX Sprint'!$A$7:$K$62)),""),ROWS($AQ$34:AQ76)),COLUMNS('DBX Sprint'!$A$1:A12)),"")</f>
        <v/>
      </c>
    </row>
    <row r="77" spans="3:43" ht="30" customHeight="1">
      <c r="C77" s="41" t="str" cm="1">
        <f t="array" ref="C77">IFERROR(INDEX('DBX Sprint'!$A$7:$K$62, SMALL(IF((INDEX('DBX Sprint'!$A$7:$K$62, ,13)=("Complete"))*(INDEX('DBX Sprint'!$A$7:$K$62, ,13)="Complete"),MATCH(ROW('DBX Sprint'!$A$7:$K$62),ROW('DBX Sprint'!$A$7:$K$62)),""),ROWS(C$34:$C77)),COLUMNS('DBX Sprint'!$A$1:A12)),"")</f>
        <v/>
      </c>
      <c r="D77" s="41" t="str" cm="1">
        <f t="array" aca="1" ref="D77" ca="1">IFERROR(INDEX('DBX Sprint'!$A$7:$K$62, SMALL(IF((INDEX('DBX Sprint'!$A$7:$K$62, ,13)&lt;(TODAY()))*(INDEX('DBX Sprint'!$A$7:$K$62, ,13)&lt;&gt;"Complete"),MATCH(ROW('DBX Sprint'!$A$7:$K$62),ROW('DBX Sprint'!$A$7:$K$62)),""),ROWS(D$34:$D77)),COLUMNS('DBX Sprint'!$A$1:A12)),"")</f>
        <v/>
      </c>
      <c r="E77" s="41" t="str" cm="1">
        <f t="array" aca="1" ref="E77" ca="1">IFERROR(INDEX('DBX Sprint'!$A$7:$K$62, SMALL(IF((INDEX('DBX Sprint'!$A$7:$K$62, ,13)&lt;=(TODAY()+1))*(INDEX('DBX Sprint'!$A$7:$K$62, ,13)&gt;=TODAY()),MATCH(ROW('DBX Sprint'!$A$7:$K$62),ROW('DBX Sprint'!$A$7:$K$62)),""),ROWS(E$34:$E77)),COLUMNS('DBX Sprint'!$A$1:A12)),"")</f>
        <v/>
      </c>
      <c r="F77" s="43" t="str" cm="1">
        <f t="array" aca="1" ref="F77" ca="1">IFERROR(INDEX('DBX Sprint'!$A$7:$K$62, SMALL(IF((INDEX('DBX Sprint'!$A$7:$K$62, ,13)&lt;=(TODAY()+5))*(INDEX('DBX Sprint'!$A$7:$K$62, ,13)&gt;(TODAY()+1)),MATCH(ROW('DBX Sprint'!$A$7:$K$62),ROW('DBX Sprint'!$A$7:$K$62)),""),ROWS($F$34:F77)),COLUMNS('DBX Sprint'!$A$1:A12)),"")</f>
        <v/>
      </c>
      <c r="G77" s="43" t="str" cm="1">
        <f t="array" aca="1" ref="G77" ca="1">IFERROR(INDEX('DBX Sprint'!$A$7:$K$62, SMALL(IF((INDEX('DBX Sprint'!$A$7:$K$62, ,13)&lt;=(TODAY()+10))*(INDEX('DBX Sprint'!$A$7:$K$62, ,13)&gt;(TODAY()+5)),MATCH(ROW('DBX Sprint'!$A$7:$K$62),ROW('DBX Sprint'!$A$7:$K$62)),""),ROWS($G$34:G77)),COLUMNS('DBX Sprint'!$A$1:A12)),"")</f>
        <v/>
      </c>
      <c r="I77" s="41" t="str" cm="1">
        <f t="array" ref="I77">IFERROR(INDEX('DBX Sprint'!$A$7:$K$62, SMALL(IF((INDEX('DBX Sprint'!$A$7:$K$62, ,16)=("Complete"))*(INDEX('DBX Sprint'!$A$7:$K$62, ,16)="Complete"),MATCH(ROW('DBX Sprint'!$A$7:$K$62),ROW('DBX Sprint'!$A$7:$K$62)),""),ROWS($I$34:I77)),COLUMNS('DBX Sprint'!$A$1:A12)),"")</f>
        <v/>
      </c>
      <c r="J77" s="41" t="str" cm="1">
        <f t="array" aca="1" ref="J77" ca="1">IFERROR(INDEX('DBX Sprint'!$A$7:$K$62, SMALL(IF((INDEX('DBX Sprint'!$A$7:$K$62, ,16)&lt;(TODAY()))*(INDEX('DBX Sprint'!$A$7:$K$62, ,16)&lt;&gt;"Complete"),MATCH(ROW('DBX Sprint'!$A$7:$K$62),ROW('DBX Sprint'!$A$7:$K$62)),""),ROWS($J$34:J77)),COLUMNS('DBX Sprint'!$A$1:A12)),"")</f>
        <v/>
      </c>
      <c r="K77" s="37" t="str" cm="1">
        <f t="array" aca="1" ref="K77" ca="1">IFERROR(INDEX('DBX Sprint'!$A$7:$K$62, SMALL(IF((INDEX('DBX Sprint'!$A$7:$K$62, ,16)&lt;=(TODAY()+1))*(INDEX('DBX Sprint'!$A$7:$K$62, ,16)&gt;=TODAY()),MATCH(ROW('DBX Sprint'!$A$7:$K$62),ROW('DBX Sprint'!$A$7:$K$62)),""),ROWS($K$34:K77)),COLUMNS('DBX Sprint'!$A$1:A12)),"")</f>
        <v/>
      </c>
      <c r="L77" s="38" t="str" cm="1">
        <f t="array" aca="1" ref="L77" ca="1">IFERROR(INDEX('DBX Sprint'!$A$7:$K$62, SMALL(IF((INDEX('DBX Sprint'!$A$7:$K$62, ,16)&lt;=(TODAY()+5))*(INDEX('DBX Sprint'!$A$7:$K$62, ,16)&gt;(TODAY()+1)),MATCH(ROW('DBX Sprint'!$A$7:$K$62),ROW('DBX Sprint'!$A$7:$K$62)),""),ROWS($L$34:L77)),COLUMNS('DBX Sprint'!$A$1:A12)),"")</f>
        <v/>
      </c>
      <c r="M77" s="43" t="str" cm="1">
        <f t="array" aca="1" ref="M77" ca="1">IFERROR(INDEX('DBX Sprint'!$A$7:$K$62, SMALL(IF((INDEX('DBX Sprint'!$A$7:$K$62, ,16)&lt;=(TODAY()+10))*(INDEX('DBX Sprint'!$A$7:$K$62, ,16)&gt;(TODAY()+5)),MATCH(ROW('DBX Sprint'!$A$7:$K$62),ROW('DBX Sprint'!$A$7:$K$62)),""),ROWS($M$34:M77)),COLUMNS('DBX Sprint'!$A$1:A12)),"")</f>
        <v/>
      </c>
      <c r="P77" s="41" t="str" cm="1">
        <f t="array" aca="1" ref="P77" ca="1">IFERROR(INDEX('DBX Sprint'!$A$7:$K$62, SMALL(IF((INDEX('DBX Sprint'!$A$7:$K$62, ,19)&lt;(TODAY()))*(INDEX('DBX Sprint'!$A$7:$K$62, ,19)&lt;&gt;"Complete"),MATCH(ROW('DBX Sprint'!$A$7:$K$62),ROW('DBX Sprint'!$A$7:$K$62)),""),ROWS($P$34:P77)),COLUMNS('DBX Sprint'!$A$1:A12)),"")</f>
        <v/>
      </c>
      <c r="Q77" s="41" t="str" cm="1">
        <f t="array" aca="1" ref="Q77" ca="1">IFERROR(INDEX('DBX Sprint'!$A$7:$K$62, SMALL(IF((INDEX('DBX Sprint'!$A$7:$K$62, ,19)&lt;=(TODAY()+1))*(INDEX('DBX Sprint'!$A$7:$K$62, ,19)&gt;=TODAY()),MATCH(ROW('DBX Sprint'!$A$7:$K$62),ROW('DBX Sprint'!$A$7:$K$62)),""),ROWS($Q$34:Q77)),COLUMNS('DBX Sprint'!$A$1:A12)),"")</f>
        <v/>
      </c>
      <c r="R77" s="43" t="str" cm="1">
        <f t="array" aca="1" ref="R77" ca="1">IFERROR(INDEX('DBX Sprint'!$A$7:$K$62, SMALL(IF((INDEX('DBX Sprint'!$A$7:$K$62, ,19)&lt;=(TODAY()+5))*(INDEX('DBX Sprint'!$A$7:$K$62, ,19)&gt;(TODAY()+1)),MATCH(ROW('DBX Sprint'!$A$7:$K$62),ROW('DBX Sprint'!$A$7:$K$62)),""),ROWS($R$34:R77)),COLUMNS('DBX Sprint'!$A$1:A12)),"")</f>
        <v/>
      </c>
      <c r="S77" s="43" t="str" cm="1">
        <f t="array" aca="1" ref="S77" ca="1">IFERROR(INDEX('DBX Sprint'!$A$7:$K$62, SMALL(IF((INDEX('DBX Sprint'!$A$7:$K$62, ,19)&lt;=(TODAY()+10))*(INDEX('DBX Sprint'!$A$7:$K$62, ,19)&gt;(TODAY()+5)),MATCH(ROW('DBX Sprint'!$A$7:$K$62),ROW('DBX Sprint'!$A$7:$K$62)),""),ROWS($S$34:S77)),COLUMNS('DBX Sprint'!$A$1:A12)),"")</f>
        <v/>
      </c>
      <c r="U77" s="41" t="str" cm="1">
        <f t="array" ref="U77">IFERROR(INDEX('DBX Sprint'!$A$7:$K$62, SMALL(IF((INDEX('DBX Sprint'!$A$7:$K$62, ,22)=("Complete"))*(INDEX('DBX Sprint'!$A$7:$K$62, ,22)="Complete"),MATCH(ROW('DBX Sprint'!$A$7:$K$62),ROW('DBX Sprint'!$A$7:$K$62)),""),ROWS($U$34:U77)),COLUMNS('DBX Sprint'!$A$1:A12)),"")</f>
        <v/>
      </c>
      <c r="V77" s="41" t="str" cm="1">
        <f t="array" aca="1" ref="V77" ca="1">IFERROR(INDEX('DBX Sprint'!$A$7:$K$62, SMALL(IF((INDEX('DBX Sprint'!$A$7:$K$62, ,22)&lt;(TODAY()))*(INDEX('DBX Sprint'!$A$7:$K$62, ,22)&lt;&gt;"Complete"),MATCH(ROW('DBX Sprint'!$A$7:$K$62),ROW('DBX Sprint'!$A$7:$K$62)),""),ROWS($V$34:V77)),COLUMNS('DBX Sprint'!$A$1:A12)),"")</f>
        <v/>
      </c>
      <c r="W77" s="41" t="str" cm="1">
        <f t="array" aca="1" ref="W77" ca="1">IFERROR(INDEX('DBX Sprint'!$A$7:$K$62, SMALL(IF((INDEX('DBX Sprint'!$A$7:$K$62, ,22)&lt;=(TODAY()+1))*(INDEX('DBX Sprint'!$A$7:$K$62, ,22)&gt;=TODAY()),MATCH(ROW('DBX Sprint'!$A$7:$K$62),ROW('DBX Sprint'!$A$7:$K$62)),""),ROWS($W$34:W77)),COLUMNS('DBX Sprint'!$A$1:A12)),"")</f>
        <v/>
      </c>
      <c r="X77" s="43" t="str" cm="1">
        <f t="array" aca="1" ref="X77" ca="1">IFERROR(INDEX('DBX Sprint'!$A$7:$K$62, SMALL(IF((INDEX('DBX Sprint'!$A$7:$K$62, ,22)&lt;=(TODAY()+5))*(INDEX('DBX Sprint'!$A$7:$K$62, ,22)&gt;(TODAY()+1)),MATCH(ROW('DBX Sprint'!$A$7:$K$62),ROW('DBX Sprint'!$A$7:$K$62)),""),ROWS($X$34:X77)),COLUMNS('DBX Sprint'!$A$1:A12)),"")</f>
        <v/>
      </c>
      <c r="Y77" s="43" t="str" cm="1">
        <f t="array" aca="1" ref="Y77" ca="1">IFERROR(INDEX('DBX Sprint'!$A$7:$K$62, SMALL(IF((INDEX('DBX Sprint'!$A$7:$K$62, ,22)&lt;=(TODAY()+10))*(INDEX('DBX Sprint'!$A$7:$K$62, ,22)&gt;(TODAY()+5)),MATCH(ROW('DBX Sprint'!$A$7:$K$62),ROW('DBX Sprint'!$A$7:$K$62)),""),ROWS($Y$34:Y77)),COLUMNS('DBX Sprint'!$A$1:A12)),"")</f>
        <v/>
      </c>
      <c r="AA77" s="41" t="str" cm="1">
        <f t="array" ref="AA77">IFERROR(INDEX('DBX Sprint'!$A$7:$K$62, SMALL(IF((INDEX('DBX Sprint'!$A$7:$K$62, ,25)=("Complete"))*(INDEX('DBX Sprint'!$A$7:$K$62, ,25)="Complete"),MATCH(ROW('DBX Sprint'!$A$7:$K$62),ROW('DBX Sprint'!$A$7:$K$62)),""),ROWS($AA$34:AA77)),COLUMNS('DBX Sprint'!$A$1:A12)),"")</f>
        <v/>
      </c>
      <c r="AB77" s="41" t="str" cm="1">
        <f t="array" aca="1" ref="AB77" ca="1">IFERROR(INDEX('DBX Sprint'!$A$7:$K$62, SMALL(IF((INDEX('DBX Sprint'!$A$7:$K$62, ,25)&lt;(TODAY()))*(INDEX('DBX Sprint'!$A$7:$K$62, ,25)&lt;&gt;"Complete"),MATCH(ROW('DBX Sprint'!$A$7:$K$62),ROW('DBX Sprint'!$A$7:$K$62)),""),ROWS($AB$34:AB77)),COLUMNS('DBX Sprint'!$A$1:A12)),"")</f>
        <v/>
      </c>
      <c r="AC77" s="41" t="str" cm="1">
        <f t="array" aca="1" ref="AC77" ca="1">IFERROR(INDEX('DBX Sprint'!$A$7:$K$62, SMALL(IF((INDEX('DBX Sprint'!$A$7:$K$62, ,25)&lt;=(TODAY()+1))*(INDEX('DBX Sprint'!$A$7:$K$62, ,25)&gt;=TODAY()),MATCH(ROW('DBX Sprint'!$A$7:$K$62),ROW('DBX Sprint'!$A$7:$K$62)),""),ROWS($AC$34:AC77)),COLUMNS('DBX Sprint'!$A$1:A12)),"")</f>
        <v/>
      </c>
      <c r="AD77" s="43" t="str" cm="1">
        <f t="array" aca="1" ref="AD77" ca="1">IFERROR(INDEX('DBX Sprint'!$A$7:$K$62, SMALL(IF((INDEX('DBX Sprint'!$A$7:$K$62, ,25)&lt;=(TODAY()+5))*(INDEX('DBX Sprint'!$A$7:$K$62, ,25)&gt;(TODAY()+1)),MATCH(ROW('DBX Sprint'!$A$7:$K$62),ROW('DBX Sprint'!$A$7:$K$62)),""),ROWS($AD$34:AD77)),COLUMNS('DBX Sprint'!$A$1:A12)),"")</f>
        <v/>
      </c>
      <c r="AE77" s="43" t="str" cm="1">
        <f t="array" aca="1" ref="AE77" ca="1">IFERROR(INDEX('DBX Sprint'!$A$7:$K$62, SMALL(IF((INDEX('DBX Sprint'!$A$7:$K$62, ,25)&lt;=(TODAY()+10))*(INDEX('DBX Sprint'!$A$7:$K$62, ,25)&gt;(TODAY()+5)),MATCH(ROW('DBX Sprint'!$A$7:$K$62),ROW('DBX Sprint'!$A$7:$K$62)),""),ROWS($AE$34:AE77)),COLUMNS('DBX Sprint'!$A$1:A12)),"")</f>
        <v/>
      </c>
      <c r="AG77" s="41" t="str" cm="1">
        <f t="array" ref="AG77">IFERROR(INDEX('DBX Sprint'!$A$7:$K$62, SMALL(IF((INDEX('DBX Sprint'!$A$7:$K$62, ,29)=("Complete"))*(INDEX('DBX Sprint'!$A$7:$K$62, ,29)="Complete"),MATCH(ROW('DBX Sprint'!$A$7:$K$62),ROW('DBX Sprint'!$A$7:$K$62)),""),ROWS($AG$34:AG77)),COLUMNS('DBX Sprint'!$A$1:A12)),"")</f>
        <v/>
      </c>
      <c r="AH77" s="41" t="str" cm="1">
        <f t="array" aca="1" ref="AH77" ca="1">IFERROR(INDEX('DBX Sprint'!$A$7:$K$62, SMALL(IF((INDEX('DBX Sprint'!$A$7:$K$62, ,29)&lt;(TODAY()))*(INDEX('DBX Sprint'!$A$7:$K$62, ,29)&lt;&gt;"Complete"),MATCH(ROW('DBX Sprint'!$A$7:$K$62),ROW('DBX Sprint'!$A$7:$K$62)),""),ROWS($AH$34:AH77)),COLUMNS('DBX Sprint'!$A$1:A12)),"")</f>
        <v/>
      </c>
      <c r="AI77" s="41" t="str" cm="1">
        <f t="array" aca="1" ref="AI77" ca="1">IFERROR(INDEX('DBX Sprint'!$A$7:$K$62, SMALL(IF((INDEX('DBX Sprint'!$A$7:$K$62, ,29)&lt;=(TODAY()+1))*(INDEX('DBX Sprint'!$A$7:$K$62, ,29)&gt;=TODAY()),MATCH(ROW('DBX Sprint'!$A$7:$K$62),ROW('DBX Sprint'!$A$7:$K$62)),""),ROWS($AI$34:AI77)),COLUMNS('DBX Sprint'!$A$1:A12)),"")</f>
        <v/>
      </c>
      <c r="AJ77" s="43" t="str" cm="1">
        <f t="array" aca="1" ref="AJ77" ca="1">IFERROR(INDEX('DBX Sprint'!$A$7:$K$62, SMALL(IF((INDEX('DBX Sprint'!$A$7:$K$62, ,29)&lt;=(TODAY()+5))*(INDEX('DBX Sprint'!$A$7:$K$62, ,29)&gt;(TODAY()+1)),MATCH(ROW('DBX Sprint'!$A$7:$K$62),ROW('DBX Sprint'!$A$7:$K$62)),""),ROWS($AJ$34:AJ77)),COLUMNS('DBX Sprint'!$A$1:A12)),"")</f>
        <v/>
      </c>
      <c r="AK77" s="43" t="str" cm="1">
        <f t="array" aca="1" ref="AK77" ca="1">IFERROR(INDEX('DBX Sprint'!$A$7:$K$62, SMALL(IF((INDEX('DBX Sprint'!$A$7:$K$62, ,29)&lt;=(TODAY()+10))*(INDEX('DBX Sprint'!$A$7:$K$62, ,29)&gt;(TODAY()+5)),MATCH(ROW('DBX Sprint'!$A$7:$K$62),ROW('DBX Sprint'!$A$7:$K$62)),""),ROWS($AK$34:AK77)),COLUMNS('DBX Sprint'!$A$1:A12)),"")</f>
        <v/>
      </c>
      <c r="AM77" s="41" t="str" cm="1">
        <f t="array" ref="AM77">IFERROR(INDEX('DBX Sprint'!$A$7:$K$62, SMALL(IF((INDEX('DBX Sprint'!$A$7:$K$62, ,32)=("Complete"))*(INDEX('DBX Sprint'!$A$7:$K$62, ,32)="Complete"),MATCH(ROW('DBX Sprint'!$A$7:$K$62),ROW('DBX Sprint'!$A$7:$K$62)),""),ROWS($AM$34:AM77)),COLUMNS('DBX Sprint'!$A$1:A12)),"")</f>
        <v/>
      </c>
      <c r="AN77" s="41" t="str" cm="1">
        <f t="array" aca="1" ref="AN77" ca="1">IFERROR(INDEX('DBX Sprint'!$A$7:$K$62, SMALL(IF((INDEX('DBX Sprint'!$A$7:$K$62, ,32)&lt;(TODAY()))*(INDEX('DBX Sprint'!$A$7:$K$62, ,32)&lt;&gt;"Complete"),MATCH(ROW('DBX Sprint'!$A$7:$K$62),ROW('DBX Sprint'!$A$7:$K$62)),""),ROWS($AN$34:AN77)),COLUMNS('DBX Sprint'!$A$1:A12)),"")</f>
        <v/>
      </c>
      <c r="AO77" s="41" t="str" cm="1">
        <f t="array" aca="1" ref="AO77" ca="1">IFERROR(INDEX('DBX Sprint'!$A$7:$K$62, SMALL(IF((INDEX('DBX Sprint'!$A$7:$K$62, ,32)&lt;=(TODAY()+1))*(INDEX('DBX Sprint'!$A$7:$K$62, ,32)&gt;=TODAY()),MATCH(ROW('DBX Sprint'!$A$7:$K$62),ROW('DBX Sprint'!$A$7:$K$62)),""),ROWS($AO$34:AO77)),COLUMNS('DBX Sprint'!$A$1:A12)),"")</f>
        <v/>
      </c>
      <c r="AP77" s="43" t="str" cm="1">
        <f t="array" aca="1" ref="AP77" ca="1">IFERROR(INDEX('DBX Sprint'!$A$7:$K$62, SMALL(IF((INDEX('DBX Sprint'!$A$7:$K$62, ,32)&lt;=(TODAY()+5))*(INDEX('DBX Sprint'!$A$7:$K$62, ,32)&gt;(TODAY()+1)),MATCH(ROW('DBX Sprint'!$A$7:$K$62),ROW('DBX Sprint'!$A$7:$K$62)),""),ROWS($AP$34:AP77)),COLUMNS('DBX Sprint'!$A$1:A12)),"")</f>
        <v/>
      </c>
      <c r="AQ77" s="43" t="str" cm="1">
        <f t="array" aca="1" ref="AQ77" ca="1">IFERROR(INDEX('DBX Sprint'!$A$7:$K$62, SMALL(IF((INDEX('DBX Sprint'!$A$7:$K$62, ,32)&lt;=(TODAY()+10))*(INDEX('DBX Sprint'!$A$7:$K$62, ,32)&gt;(TODAY()+5)),MATCH(ROW('DBX Sprint'!$A$7:$K$62),ROW('DBX Sprint'!$A$7:$K$62)),""),ROWS($AQ$34:AQ77)),COLUMNS('DBX Sprint'!$A$1:A12)),"")</f>
        <v/>
      </c>
    </row>
    <row r="78" spans="3:43" ht="30" customHeight="1">
      <c r="C78" s="41" t="str" cm="1">
        <f t="array" ref="C78">IFERROR(INDEX('DBX Sprint'!$A$7:$K$62, SMALL(IF((INDEX('DBX Sprint'!$A$7:$K$62, ,13)=("Complete"))*(INDEX('DBX Sprint'!$A$7:$K$62, ,13)="Complete"),MATCH(ROW('DBX Sprint'!$A$7:$K$62),ROW('DBX Sprint'!$A$7:$K$62)),""),ROWS(C$34:$C78)),COLUMNS('DBX Sprint'!$A$1:A12)),"")</f>
        <v/>
      </c>
      <c r="D78" s="41" t="str" cm="1">
        <f t="array" aca="1" ref="D78" ca="1">IFERROR(INDEX('DBX Sprint'!$A$7:$K$62, SMALL(IF((INDEX('DBX Sprint'!$A$7:$K$62, ,13)&lt;(TODAY()))*(INDEX('DBX Sprint'!$A$7:$K$62, ,13)&lt;&gt;"Complete"),MATCH(ROW('DBX Sprint'!$A$7:$K$62),ROW('DBX Sprint'!$A$7:$K$62)),""),ROWS(D$34:$D78)),COLUMNS('DBX Sprint'!$A$1:A12)),"")</f>
        <v/>
      </c>
      <c r="E78" s="41" t="str" cm="1">
        <f t="array" aca="1" ref="E78" ca="1">IFERROR(INDEX('DBX Sprint'!$A$7:$K$62, SMALL(IF((INDEX('DBX Sprint'!$A$7:$K$62, ,13)&lt;=(TODAY()+1))*(INDEX('DBX Sprint'!$A$7:$K$62, ,13)&gt;=TODAY()),MATCH(ROW('DBX Sprint'!$A$7:$K$62),ROW('DBX Sprint'!$A$7:$K$62)),""),ROWS(E$34:$E78)),COLUMNS('DBX Sprint'!$A$1:A12)),"")</f>
        <v/>
      </c>
      <c r="F78" s="43" t="str" cm="1">
        <f t="array" aca="1" ref="F78" ca="1">IFERROR(INDEX('DBX Sprint'!$A$7:$K$62, SMALL(IF((INDEX('DBX Sprint'!$A$7:$K$62, ,13)&lt;=(TODAY()+5))*(INDEX('DBX Sprint'!$A$7:$K$62, ,13)&gt;(TODAY()+1)),MATCH(ROW('DBX Sprint'!$A$7:$K$62),ROW('DBX Sprint'!$A$7:$K$62)),""),ROWS($F$34:F78)),COLUMNS('DBX Sprint'!$A$1:A12)),"")</f>
        <v/>
      </c>
      <c r="G78" s="43" t="str" cm="1">
        <f t="array" aca="1" ref="G78" ca="1">IFERROR(INDEX('DBX Sprint'!$A$7:$K$62, SMALL(IF((INDEX('DBX Sprint'!$A$7:$K$62, ,13)&lt;=(TODAY()+10))*(INDEX('DBX Sprint'!$A$7:$K$62, ,13)&gt;(TODAY()+5)),MATCH(ROW('DBX Sprint'!$A$7:$K$62),ROW('DBX Sprint'!$A$7:$K$62)),""),ROWS($G$34:G78)),COLUMNS('DBX Sprint'!$A$1:A12)),"")</f>
        <v/>
      </c>
      <c r="I78" s="41" t="str" cm="1">
        <f t="array" ref="I78">IFERROR(INDEX('DBX Sprint'!$A$7:$K$62, SMALL(IF((INDEX('DBX Sprint'!$A$7:$K$62, ,16)=("Complete"))*(INDEX('DBX Sprint'!$A$7:$K$62, ,16)="Complete"),MATCH(ROW('DBX Sprint'!$A$7:$K$62),ROW('DBX Sprint'!$A$7:$K$62)),""),ROWS($I$34:I78)),COLUMNS('DBX Sprint'!$A$1:A12)),"")</f>
        <v/>
      </c>
      <c r="J78" s="41" t="str" cm="1">
        <f t="array" aca="1" ref="J78" ca="1">IFERROR(INDEX('DBX Sprint'!$A$7:$K$62, SMALL(IF((INDEX('DBX Sprint'!$A$7:$K$62, ,16)&lt;(TODAY()))*(INDEX('DBX Sprint'!$A$7:$K$62, ,16)&lt;&gt;"Complete"),MATCH(ROW('DBX Sprint'!$A$7:$K$62),ROW('DBX Sprint'!$A$7:$K$62)),""),ROWS($J$34:J78)),COLUMNS('DBX Sprint'!$A$1:A12)),"")</f>
        <v/>
      </c>
      <c r="K78" s="37" t="str" cm="1">
        <f t="array" aca="1" ref="K78" ca="1">IFERROR(INDEX('DBX Sprint'!$A$7:$K$62, SMALL(IF((INDEX('DBX Sprint'!$A$7:$K$62, ,16)&lt;=(TODAY()+1))*(INDEX('DBX Sprint'!$A$7:$K$62, ,16)&gt;=TODAY()),MATCH(ROW('DBX Sprint'!$A$7:$K$62),ROW('DBX Sprint'!$A$7:$K$62)),""),ROWS($K$34:K78)),COLUMNS('DBX Sprint'!$A$1:A12)),"")</f>
        <v/>
      </c>
      <c r="L78" s="38" t="str" cm="1">
        <f t="array" aca="1" ref="L78" ca="1">IFERROR(INDEX('DBX Sprint'!$A$7:$K$62, SMALL(IF((INDEX('DBX Sprint'!$A$7:$K$62, ,16)&lt;=(TODAY()+5))*(INDEX('DBX Sprint'!$A$7:$K$62, ,16)&gt;(TODAY()+1)),MATCH(ROW('DBX Sprint'!$A$7:$K$62),ROW('DBX Sprint'!$A$7:$K$62)),""),ROWS($L$34:L78)),COLUMNS('DBX Sprint'!$A$1:A12)),"")</f>
        <v/>
      </c>
      <c r="M78" s="43" t="str" cm="1">
        <f t="array" aca="1" ref="M78" ca="1">IFERROR(INDEX('DBX Sprint'!$A$7:$K$62, SMALL(IF((INDEX('DBX Sprint'!$A$7:$K$62, ,16)&lt;=(TODAY()+10))*(INDEX('DBX Sprint'!$A$7:$K$62, ,16)&gt;(TODAY()+5)),MATCH(ROW('DBX Sprint'!$A$7:$K$62),ROW('DBX Sprint'!$A$7:$K$62)),""),ROWS($M$34:M78)),COLUMNS('DBX Sprint'!$A$1:A12)),"")</f>
        <v/>
      </c>
      <c r="P78" s="41" t="str" cm="1">
        <f t="array" aca="1" ref="P78" ca="1">IFERROR(INDEX('DBX Sprint'!$A$7:$K$62, SMALL(IF((INDEX('DBX Sprint'!$A$7:$K$62, ,19)&lt;(TODAY()))*(INDEX('DBX Sprint'!$A$7:$K$62, ,19)&lt;&gt;"Complete"),MATCH(ROW('DBX Sprint'!$A$7:$K$62),ROW('DBX Sprint'!$A$7:$K$62)),""),ROWS($P$34:P78)),COLUMNS('DBX Sprint'!$A$1:A12)),"")</f>
        <v/>
      </c>
      <c r="Q78" s="41" t="str" cm="1">
        <f t="array" aca="1" ref="Q78" ca="1">IFERROR(INDEX('DBX Sprint'!$A$7:$K$62, SMALL(IF((INDEX('DBX Sprint'!$A$7:$K$62, ,19)&lt;=(TODAY()+1))*(INDEX('DBX Sprint'!$A$7:$K$62, ,19)&gt;=TODAY()),MATCH(ROW('DBX Sprint'!$A$7:$K$62),ROW('DBX Sprint'!$A$7:$K$62)),""),ROWS($Q$34:Q78)),COLUMNS('DBX Sprint'!$A$1:A12)),"")</f>
        <v/>
      </c>
      <c r="R78" s="43" t="str" cm="1">
        <f t="array" aca="1" ref="R78" ca="1">IFERROR(INDEX('DBX Sprint'!$A$7:$K$62, SMALL(IF((INDEX('DBX Sprint'!$A$7:$K$62, ,19)&lt;=(TODAY()+5))*(INDEX('DBX Sprint'!$A$7:$K$62, ,19)&gt;(TODAY()+1)),MATCH(ROW('DBX Sprint'!$A$7:$K$62),ROW('DBX Sprint'!$A$7:$K$62)),""),ROWS($R$34:R78)),COLUMNS('DBX Sprint'!$A$1:A12)),"")</f>
        <v/>
      </c>
      <c r="S78" s="43" t="str" cm="1">
        <f t="array" aca="1" ref="S78" ca="1">IFERROR(INDEX('DBX Sprint'!$A$7:$K$62, SMALL(IF((INDEX('DBX Sprint'!$A$7:$K$62, ,19)&lt;=(TODAY()+10))*(INDEX('DBX Sprint'!$A$7:$K$62, ,19)&gt;(TODAY()+5)),MATCH(ROW('DBX Sprint'!$A$7:$K$62),ROW('DBX Sprint'!$A$7:$K$62)),""),ROWS($S$34:S78)),COLUMNS('DBX Sprint'!$A$1:A12)),"")</f>
        <v/>
      </c>
      <c r="U78" s="41" t="str" cm="1">
        <f t="array" ref="U78">IFERROR(INDEX('DBX Sprint'!$A$7:$K$62, SMALL(IF((INDEX('DBX Sprint'!$A$7:$K$62, ,22)=("Complete"))*(INDEX('DBX Sprint'!$A$7:$K$62, ,22)="Complete"),MATCH(ROW('DBX Sprint'!$A$7:$K$62),ROW('DBX Sprint'!$A$7:$K$62)),""),ROWS($U$34:U78)),COLUMNS('DBX Sprint'!$A$1:A12)),"")</f>
        <v/>
      </c>
      <c r="V78" s="41" t="str" cm="1">
        <f t="array" aca="1" ref="V78" ca="1">IFERROR(INDEX('DBX Sprint'!$A$7:$K$62, SMALL(IF((INDEX('DBX Sprint'!$A$7:$K$62, ,22)&lt;(TODAY()))*(INDEX('DBX Sprint'!$A$7:$K$62, ,22)&lt;&gt;"Complete"),MATCH(ROW('DBX Sprint'!$A$7:$K$62),ROW('DBX Sprint'!$A$7:$K$62)),""),ROWS($V$34:V78)),COLUMNS('DBX Sprint'!$A$1:A12)),"")</f>
        <v/>
      </c>
      <c r="W78" s="41" t="str" cm="1">
        <f t="array" aca="1" ref="W78" ca="1">IFERROR(INDEX('DBX Sprint'!$A$7:$K$62, SMALL(IF((INDEX('DBX Sprint'!$A$7:$K$62, ,22)&lt;=(TODAY()+1))*(INDEX('DBX Sprint'!$A$7:$K$62, ,22)&gt;=TODAY()),MATCH(ROW('DBX Sprint'!$A$7:$K$62),ROW('DBX Sprint'!$A$7:$K$62)),""),ROWS($W$34:W78)),COLUMNS('DBX Sprint'!$A$1:A12)),"")</f>
        <v/>
      </c>
      <c r="X78" s="43" t="str" cm="1">
        <f t="array" aca="1" ref="X78" ca="1">IFERROR(INDEX('DBX Sprint'!$A$7:$K$62, SMALL(IF((INDEX('DBX Sprint'!$A$7:$K$62, ,22)&lt;=(TODAY()+5))*(INDEX('DBX Sprint'!$A$7:$K$62, ,22)&gt;(TODAY()+1)),MATCH(ROW('DBX Sprint'!$A$7:$K$62),ROW('DBX Sprint'!$A$7:$K$62)),""),ROWS($X$34:X78)),COLUMNS('DBX Sprint'!$A$1:A12)),"")</f>
        <v/>
      </c>
      <c r="Y78" s="43" t="str" cm="1">
        <f t="array" aca="1" ref="Y78" ca="1">IFERROR(INDEX('DBX Sprint'!$A$7:$K$62, SMALL(IF((INDEX('DBX Sprint'!$A$7:$K$62, ,22)&lt;=(TODAY()+10))*(INDEX('DBX Sprint'!$A$7:$K$62, ,22)&gt;(TODAY()+5)),MATCH(ROW('DBX Sprint'!$A$7:$K$62),ROW('DBX Sprint'!$A$7:$K$62)),""),ROWS($Y$34:Y78)),COLUMNS('DBX Sprint'!$A$1:A12)),"")</f>
        <v/>
      </c>
      <c r="AA78" s="41" t="str" cm="1">
        <f t="array" ref="AA78">IFERROR(INDEX('DBX Sprint'!$A$7:$K$62, SMALL(IF((INDEX('DBX Sprint'!$A$7:$K$62, ,25)=("Complete"))*(INDEX('DBX Sprint'!$A$7:$K$62, ,25)="Complete"),MATCH(ROW('DBX Sprint'!$A$7:$K$62),ROW('DBX Sprint'!$A$7:$K$62)),""),ROWS($AA$34:AA78)),COLUMNS('DBX Sprint'!$A$1:A12)),"")</f>
        <v/>
      </c>
      <c r="AB78" s="41" t="str" cm="1">
        <f t="array" aca="1" ref="AB78" ca="1">IFERROR(INDEX('DBX Sprint'!$A$7:$K$62, SMALL(IF((INDEX('DBX Sprint'!$A$7:$K$62, ,25)&lt;(TODAY()))*(INDEX('DBX Sprint'!$A$7:$K$62, ,25)&lt;&gt;"Complete"),MATCH(ROW('DBX Sprint'!$A$7:$K$62),ROW('DBX Sprint'!$A$7:$K$62)),""),ROWS($AB$34:AB78)),COLUMNS('DBX Sprint'!$A$1:A12)),"")</f>
        <v/>
      </c>
      <c r="AC78" s="41" t="str" cm="1">
        <f t="array" aca="1" ref="AC78" ca="1">IFERROR(INDEX('DBX Sprint'!$A$7:$K$62, SMALL(IF((INDEX('DBX Sprint'!$A$7:$K$62, ,25)&lt;=(TODAY()+1))*(INDEX('DBX Sprint'!$A$7:$K$62, ,25)&gt;=TODAY()),MATCH(ROW('DBX Sprint'!$A$7:$K$62),ROW('DBX Sprint'!$A$7:$K$62)),""),ROWS($AC$34:AC78)),COLUMNS('DBX Sprint'!$A$1:A12)),"")</f>
        <v/>
      </c>
      <c r="AD78" s="43" t="str" cm="1">
        <f t="array" aca="1" ref="AD78" ca="1">IFERROR(INDEX('DBX Sprint'!$A$7:$K$62, SMALL(IF((INDEX('DBX Sprint'!$A$7:$K$62, ,25)&lt;=(TODAY()+5))*(INDEX('DBX Sprint'!$A$7:$K$62, ,25)&gt;(TODAY()+1)),MATCH(ROW('DBX Sprint'!$A$7:$K$62),ROW('DBX Sprint'!$A$7:$K$62)),""),ROWS($AD$34:AD78)),COLUMNS('DBX Sprint'!$A$1:A12)),"")</f>
        <v/>
      </c>
      <c r="AE78" s="43" t="str" cm="1">
        <f t="array" aca="1" ref="AE78" ca="1">IFERROR(INDEX('DBX Sprint'!$A$7:$K$62, SMALL(IF((INDEX('DBX Sprint'!$A$7:$K$62, ,25)&lt;=(TODAY()+10))*(INDEX('DBX Sprint'!$A$7:$K$62, ,25)&gt;(TODAY()+5)),MATCH(ROW('DBX Sprint'!$A$7:$K$62),ROW('DBX Sprint'!$A$7:$K$62)),""),ROWS($AE$34:AE78)),COLUMNS('DBX Sprint'!$A$1:A12)),"")</f>
        <v/>
      </c>
      <c r="AG78" s="41" t="str" cm="1">
        <f t="array" ref="AG78">IFERROR(INDEX('DBX Sprint'!$A$7:$K$62, SMALL(IF((INDEX('DBX Sprint'!$A$7:$K$62, ,29)=("Complete"))*(INDEX('DBX Sprint'!$A$7:$K$62, ,29)="Complete"),MATCH(ROW('DBX Sprint'!$A$7:$K$62),ROW('DBX Sprint'!$A$7:$K$62)),""),ROWS($AG$34:AG78)),COLUMNS('DBX Sprint'!$A$1:A12)),"")</f>
        <v/>
      </c>
      <c r="AH78" s="41" t="str" cm="1">
        <f t="array" aca="1" ref="AH78" ca="1">IFERROR(INDEX('DBX Sprint'!$A$7:$K$62, SMALL(IF((INDEX('DBX Sprint'!$A$7:$K$62, ,29)&lt;(TODAY()))*(INDEX('DBX Sprint'!$A$7:$K$62, ,29)&lt;&gt;"Complete"),MATCH(ROW('DBX Sprint'!$A$7:$K$62),ROW('DBX Sprint'!$A$7:$K$62)),""),ROWS($AH$34:AH78)),COLUMNS('DBX Sprint'!$A$1:A12)),"")</f>
        <v/>
      </c>
      <c r="AI78" s="41" t="str" cm="1">
        <f t="array" aca="1" ref="AI78" ca="1">IFERROR(INDEX('DBX Sprint'!$A$7:$K$62, SMALL(IF((INDEX('DBX Sprint'!$A$7:$K$62, ,29)&lt;=(TODAY()+1))*(INDEX('DBX Sprint'!$A$7:$K$62, ,29)&gt;=TODAY()),MATCH(ROW('DBX Sprint'!$A$7:$K$62),ROW('DBX Sprint'!$A$7:$K$62)),""),ROWS($AI$34:AI78)),COLUMNS('DBX Sprint'!$A$1:A12)),"")</f>
        <v/>
      </c>
      <c r="AJ78" s="43" t="str" cm="1">
        <f t="array" aca="1" ref="AJ78" ca="1">IFERROR(INDEX('DBX Sprint'!$A$7:$K$62, SMALL(IF((INDEX('DBX Sprint'!$A$7:$K$62, ,29)&lt;=(TODAY()+5))*(INDEX('DBX Sprint'!$A$7:$K$62, ,29)&gt;(TODAY()+1)),MATCH(ROW('DBX Sprint'!$A$7:$K$62),ROW('DBX Sprint'!$A$7:$K$62)),""),ROWS($AJ$34:AJ78)),COLUMNS('DBX Sprint'!$A$1:A12)),"")</f>
        <v/>
      </c>
      <c r="AK78" s="43" t="str" cm="1">
        <f t="array" aca="1" ref="AK78" ca="1">IFERROR(INDEX('DBX Sprint'!$A$7:$K$62, SMALL(IF((INDEX('DBX Sprint'!$A$7:$K$62, ,29)&lt;=(TODAY()+10))*(INDEX('DBX Sprint'!$A$7:$K$62, ,29)&gt;(TODAY()+5)),MATCH(ROW('DBX Sprint'!$A$7:$K$62),ROW('DBX Sprint'!$A$7:$K$62)),""),ROWS($AK$34:AK78)),COLUMNS('DBX Sprint'!$A$1:A12)),"")</f>
        <v/>
      </c>
      <c r="AM78" s="41" t="str" cm="1">
        <f t="array" ref="AM78">IFERROR(INDEX('DBX Sprint'!$A$7:$K$62, SMALL(IF((INDEX('DBX Sprint'!$A$7:$K$62, ,32)=("Complete"))*(INDEX('DBX Sprint'!$A$7:$K$62, ,32)="Complete"),MATCH(ROW('DBX Sprint'!$A$7:$K$62),ROW('DBX Sprint'!$A$7:$K$62)),""),ROWS($AM$34:AM78)),COLUMNS('DBX Sprint'!$A$1:A12)),"")</f>
        <v/>
      </c>
      <c r="AN78" s="41" t="str" cm="1">
        <f t="array" aca="1" ref="AN78" ca="1">IFERROR(INDEX('DBX Sprint'!$A$7:$K$62, SMALL(IF((INDEX('DBX Sprint'!$A$7:$K$62, ,32)&lt;(TODAY()))*(INDEX('DBX Sprint'!$A$7:$K$62, ,32)&lt;&gt;"Complete"),MATCH(ROW('DBX Sprint'!$A$7:$K$62),ROW('DBX Sprint'!$A$7:$K$62)),""),ROWS($AN$34:AN78)),COLUMNS('DBX Sprint'!$A$1:A12)),"")</f>
        <v/>
      </c>
      <c r="AO78" s="41" t="str" cm="1">
        <f t="array" aca="1" ref="AO78" ca="1">IFERROR(INDEX('DBX Sprint'!$A$7:$K$62, SMALL(IF((INDEX('DBX Sprint'!$A$7:$K$62, ,32)&lt;=(TODAY()+1))*(INDEX('DBX Sprint'!$A$7:$K$62, ,32)&gt;=TODAY()),MATCH(ROW('DBX Sprint'!$A$7:$K$62),ROW('DBX Sprint'!$A$7:$K$62)),""),ROWS($AO$34:AO78)),COLUMNS('DBX Sprint'!$A$1:A12)),"")</f>
        <v/>
      </c>
      <c r="AP78" s="43" t="str" cm="1">
        <f t="array" aca="1" ref="AP78" ca="1">IFERROR(INDEX('DBX Sprint'!$A$7:$K$62, SMALL(IF((INDEX('DBX Sprint'!$A$7:$K$62, ,32)&lt;=(TODAY()+5))*(INDEX('DBX Sprint'!$A$7:$K$62, ,32)&gt;(TODAY()+1)),MATCH(ROW('DBX Sprint'!$A$7:$K$62),ROW('DBX Sprint'!$A$7:$K$62)),""),ROWS($AP$34:AP78)),COLUMNS('DBX Sprint'!$A$1:A12)),"")</f>
        <v/>
      </c>
      <c r="AQ78" s="43" t="str" cm="1">
        <f t="array" aca="1" ref="AQ78" ca="1">IFERROR(INDEX('DBX Sprint'!$A$7:$K$62, SMALL(IF((INDEX('DBX Sprint'!$A$7:$K$62, ,32)&lt;=(TODAY()+10))*(INDEX('DBX Sprint'!$A$7:$K$62, ,32)&gt;(TODAY()+5)),MATCH(ROW('DBX Sprint'!$A$7:$K$62),ROW('DBX Sprint'!$A$7:$K$62)),""),ROWS($AQ$34:AQ78)),COLUMNS('DBX Sprint'!$A$1:A12)),"")</f>
        <v/>
      </c>
    </row>
    <row r="79" spans="3:43" ht="30" customHeight="1">
      <c r="C79" s="41" t="str" cm="1">
        <f t="array" ref="C79">IFERROR(INDEX('DBX Sprint'!$A$7:$K$62, SMALL(IF((INDEX('DBX Sprint'!$A$7:$K$62, ,13)=("Complete"))*(INDEX('DBX Sprint'!$A$7:$K$62, ,13)="Complete"),MATCH(ROW('DBX Sprint'!$A$7:$K$62),ROW('DBX Sprint'!$A$7:$K$62)),""),ROWS(C$34:$C79)),COLUMNS('DBX Sprint'!$A$1:A12)),"")</f>
        <v/>
      </c>
      <c r="D79" s="41" t="str" cm="1">
        <f t="array" aca="1" ref="D79" ca="1">IFERROR(INDEX('DBX Sprint'!$A$7:$K$62, SMALL(IF((INDEX('DBX Sprint'!$A$7:$K$62, ,13)&lt;(TODAY()))*(INDEX('DBX Sprint'!$A$7:$K$62, ,13)&lt;&gt;"Complete"),MATCH(ROW('DBX Sprint'!$A$7:$K$62),ROW('DBX Sprint'!$A$7:$K$62)),""),ROWS(D$34:$D79)),COLUMNS('DBX Sprint'!$A$1:A12)),"")</f>
        <v/>
      </c>
      <c r="E79" s="41" t="str" cm="1">
        <f t="array" aca="1" ref="E79" ca="1">IFERROR(INDEX('DBX Sprint'!$A$7:$K$62, SMALL(IF((INDEX('DBX Sprint'!$A$7:$K$62, ,13)&lt;=(TODAY()+1))*(INDEX('DBX Sprint'!$A$7:$K$62, ,13)&gt;=TODAY()),MATCH(ROW('DBX Sprint'!$A$7:$K$62),ROW('DBX Sprint'!$A$7:$K$62)),""),ROWS(E$34:$E79)),COLUMNS('DBX Sprint'!$A$1:A12)),"")</f>
        <v/>
      </c>
      <c r="F79" s="43" t="str" cm="1">
        <f t="array" aca="1" ref="F79" ca="1">IFERROR(INDEX('DBX Sprint'!$A$7:$K$62, SMALL(IF((INDEX('DBX Sprint'!$A$7:$K$62, ,13)&lt;=(TODAY()+5))*(INDEX('DBX Sprint'!$A$7:$K$62, ,13)&gt;(TODAY()+1)),MATCH(ROW('DBX Sprint'!$A$7:$K$62),ROW('DBX Sprint'!$A$7:$K$62)),""),ROWS($F$34:F79)),COLUMNS('DBX Sprint'!$A$1:A12)),"")</f>
        <v/>
      </c>
      <c r="G79" s="43" t="str" cm="1">
        <f t="array" aca="1" ref="G79" ca="1">IFERROR(INDEX('DBX Sprint'!$A$7:$K$62, SMALL(IF((INDEX('DBX Sprint'!$A$7:$K$62, ,13)&lt;=(TODAY()+10))*(INDEX('DBX Sprint'!$A$7:$K$62, ,13)&gt;(TODAY()+5)),MATCH(ROW('DBX Sprint'!$A$7:$K$62),ROW('DBX Sprint'!$A$7:$K$62)),""),ROWS($G$34:G79)),COLUMNS('DBX Sprint'!$A$1:A12)),"")</f>
        <v/>
      </c>
      <c r="I79" s="41" t="str" cm="1">
        <f t="array" ref="I79">IFERROR(INDEX('DBX Sprint'!$A$7:$K$62, SMALL(IF((INDEX('DBX Sprint'!$A$7:$K$62, ,16)=("Complete"))*(INDEX('DBX Sprint'!$A$7:$K$62, ,16)="Complete"),MATCH(ROW('DBX Sprint'!$A$7:$K$62),ROW('DBX Sprint'!$A$7:$K$62)),""),ROWS($I$34:I79)),COLUMNS('DBX Sprint'!$A$1:A12)),"")</f>
        <v/>
      </c>
      <c r="J79" s="41" t="str" cm="1">
        <f t="array" aca="1" ref="J79" ca="1">IFERROR(INDEX('DBX Sprint'!$A$7:$K$62, SMALL(IF((INDEX('DBX Sprint'!$A$7:$K$62, ,16)&lt;(TODAY()))*(INDEX('DBX Sprint'!$A$7:$K$62, ,16)&lt;&gt;"Complete"),MATCH(ROW('DBX Sprint'!$A$7:$K$62),ROW('DBX Sprint'!$A$7:$K$62)),""),ROWS($J$34:J79)),COLUMNS('DBX Sprint'!$A$1:A12)),"")</f>
        <v/>
      </c>
      <c r="K79" s="37" t="str" cm="1">
        <f t="array" aca="1" ref="K79" ca="1">IFERROR(INDEX('DBX Sprint'!$A$7:$K$62, SMALL(IF((INDEX('DBX Sprint'!$A$7:$K$62, ,16)&lt;=(TODAY()+1))*(INDEX('DBX Sprint'!$A$7:$K$62, ,16)&gt;=TODAY()),MATCH(ROW('DBX Sprint'!$A$7:$K$62),ROW('DBX Sprint'!$A$7:$K$62)),""),ROWS($K$34:K79)),COLUMNS('DBX Sprint'!$A$1:A12)),"")</f>
        <v/>
      </c>
      <c r="L79" s="38" t="str" cm="1">
        <f t="array" aca="1" ref="L79" ca="1">IFERROR(INDEX('DBX Sprint'!$A$7:$K$62, SMALL(IF((INDEX('DBX Sprint'!$A$7:$K$62, ,16)&lt;=(TODAY()+5))*(INDEX('DBX Sprint'!$A$7:$K$62, ,16)&gt;(TODAY()+1)),MATCH(ROW('DBX Sprint'!$A$7:$K$62),ROW('DBX Sprint'!$A$7:$K$62)),""),ROWS($L$34:L79)),COLUMNS('DBX Sprint'!$A$1:A12)),"")</f>
        <v/>
      </c>
      <c r="M79" s="43" t="str" cm="1">
        <f t="array" aca="1" ref="M79" ca="1">IFERROR(INDEX('DBX Sprint'!$A$7:$K$62, SMALL(IF((INDEX('DBX Sprint'!$A$7:$K$62, ,16)&lt;=(TODAY()+10))*(INDEX('DBX Sprint'!$A$7:$K$62, ,16)&gt;(TODAY()+5)),MATCH(ROW('DBX Sprint'!$A$7:$K$62),ROW('DBX Sprint'!$A$7:$K$62)),""),ROWS($M$34:M79)),COLUMNS('DBX Sprint'!$A$1:A12)),"")</f>
        <v/>
      </c>
      <c r="P79" s="41" t="str" cm="1">
        <f t="array" aca="1" ref="P79" ca="1">IFERROR(INDEX('DBX Sprint'!$A$7:$K$62, SMALL(IF((INDEX('DBX Sprint'!$A$7:$K$62, ,19)&lt;(TODAY()))*(INDEX('DBX Sprint'!$A$7:$K$62, ,19)&lt;&gt;"Complete"),MATCH(ROW('DBX Sprint'!$A$7:$K$62),ROW('DBX Sprint'!$A$7:$K$62)),""),ROWS($P$34:P79)),COLUMNS('DBX Sprint'!$A$1:A12)),"")</f>
        <v/>
      </c>
      <c r="Q79" s="41" t="str" cm="1">
        <f t="array" aca="1" ref="Q79" ca="1">IFERROR(INDEX('DBX Sprint'!$A$7:$K$62, SMALL(IF((INDEX('DBX Sprint'!$A$7:$K$62, ,19)&lt;=(TODAY()+1))*(INDEX('DBX Sprint'!$A$7:$K$62, ,19)&gt;=TODAY()),MATCH(ROW('DBX Sprint'!$A$7:$K$62),ROW('DBX Sprint'!$A$7:$K$62)),""),ROWS($Q$34:Q79)),COLUMNS('DBX Sprint'!$A$1:A12)),"")</f>
        <v/>
      </c>
      <c r="R79" s="43" t="str" cm="1">
        <f t="array" aca="1" ref="R79" ca="1">IFERROR(INDEX('DBX Sprint'!$A$7:$K$62, SMALL(IF((INDEX('DBX Sprint'!$A$7:$K$62, ,19)&lt;=(TODAY()+5))*(INDEX('DBX Sprint'!$A$7:$K$62, ,19)&gt;(TODAY()+1)),MATCH(ROW('DBX Sprint'!$A$7:$K$62),ROW('DBX Sprint'!$A$7:$K$62)),""),ROWS($R$34:R79)),COLUMNS('DBX Sprint'!$A$1:A12)),"")</f>
        <v/>
      </c>
      <c r="S79" s="43" t="str" cm="1">
        <f t="array" aca="1" ref="S79" ca="1">IFERROR(INDEX('DBX Sprint'!$A$7:$K$62, SMALL(IF((INDEX('DBX Sprint'!$A$7:$K$62, ,19)&lt;=(TODAY()+10))*(INDEX('DBX Sprint'!$A$7:$K$62, ,19)&gt;(TODAY()+5)),MATCH(ROW('DBX Sprint'!$A$7:$K$62),ROW('DBX Sprint'!$A$7:$K$62)),""),ROWS($S$34:S79)),COLUMNS('DBX Sprint'!$A$1:A12)),"")</f>
        <v/>
      </c>
      <c r="U79" s="41" t="str" cm="1">
        <f t="array" ref="U79">IFERROR(INDEX('DBX Sprint'!$A$7:$K$62, SMALL(IF((INDEX('DBX Sprint'!$A$7:$K$62, ,22)=("Complete"))*(INDEX('DBX Sprint'!$A$7:$K$62, ,22)="Complete"),MATCH(ROW('DBX Sprint'!$A$7:$K$62),ROW('DBX Sprint'!$A$7:$K$62)),""),ROWS($U$34:U79)),COLUMNS('DBX Sprint'!$A$1:A12)),"")</f>
        <v/>
      </c>
      <c r="V79" s="41" t="str" cm="1">
        <f t="array" aca="1" ref="V79" ca="1">IFERROR(INDEX('DBX Sprint'!$A$7:$K$62, SMALL(IF((INDEX('DBX Sprint'!$A$7:$K$62, ,22)&lt;(TODAY()))*(INDEX('DBX Sprint'!$A$7:$K$62, ,22)&lt;&gt;"Complete"),MATCH(ROW('DBX Sprint'!$A$7:$K$62),ROW('DBX Sprint'!$A$7:$K$62)),""),ROWS($V$34:V79)),COLUMNS('DBX Sprint'!$A$1:A12)),"")</f>
        <v/>
      </c>
      <c r="W79" s="41" t="str" cm="1">
        <f t="array" aca="1" ref="W79" ca="1">IFERROR(INDEX('DBX Sprint'!$A$7:$K$62, SMALL(IF((INDEX('DBX Sprint'!$A$7:$K$62, ,22)&lt;=(TODAY()+1))*(INDEX('DBX Sprint'!$A$7:$K$62, ,22)&gt;=TODAY()),MATCH(ROW('DBX Sprint'!$A$7:$K$62),ROW('DBX Sprint'!$A$7:$K$62)),""),ROWS($W$34:W79)),COLUMNS('DBX Sprint'!$A$1:A12)),"")</f>
        <v/>
      </c>
      <c r="X79" s="43" t="str" cm="1">
        <f t="array" aca="1" ref="X79" ca="1">IFERROR(INDEX('DBX Sprint'!$A$7:$K$62, SMALL(IF((INDEX('DBX Sprint'!$A$7:$K$62, ,22)&lt;=(TODAY()+5))*(INDEX('DBX Sprint'!$A$7:$K$62, ,22)&gt;(TODAY()+1)),MATCH(ROW('DBX Sprint'!$A$7:$K$62),ROW('DBX Sprint'!$A$7:$K$62)),""),ROWS($X$34:X79)),COLUMNS('DBX Sprint'!$A$1:A12)),"")</f>
        <v/>
      </c>
      <c r="Y79" s="43" t="str" cm="1">
        <f t="array" aca="1" ref="Y79" ca="1">IFERROR(INDEX('DBX Sprint'!$A$7:$K$62, SMALL(IF((INDEX('DBX Sprint'!$A$7:$K$62, ,22)&lt;=(TODAY()+10))*(INDEX('DBX Sprint'!$A$7:$K$62, ,22)&gt;(TODAY()+5)),MATCH(ROW('DBX Sprint'!$A$7:$K$62),ROW('DBX Sprint'!$A$7:$K$62)),""),ROWS($Y$34:Y79)),COLUMNS('DBX Sprint'!$A$1:A12)),"")</f>
        <v/>
      </c>
      <c r="AA79" s="41" t="str" cm="1">
        <f t="array" ref="AA79">IFERROR(INDEX('DBX Sprint'!$A$7:$K$62, SMALL(IF((INDEX('DBX Sprint'!$A$7:$K$62, ,25)=("Complete"))*(INDEX('DBX Sprint'!$A$7:$K$62, ,25)="Complete"),MATCH(ROW('DBX Sprint'!$A$7:$K$62),ROW('DBX Sprint'!$A$7:$K$62)),""),ROWS($AA$34:AA79)),COLUMNS('DBX Sprint'!$A$1:A12)),"")</f>
        <v/>
      </c>
      <c r="AB79" s="41" t="str" cm="1">
        <f t="array" aca="1" ref="AB79" ca="1">IFERROR(INDEX('DBX Sprint'!$A$7:$K$62, SMALL(IF((INDEX('DBX Sprint'!$A$7:$K$62, ,25)&lt;(TODAY()))*(INDEX('DBX Sprint'!$A$7:$K$62, ,25)&lt;&gt;"Complete"),MATCH(ROW('DBX Sprint'!$A$7:$K$62),ROW('DBX Sprint'!$A$7:$K$62)),""),ROWS($AB$34:AB79)),COLUMNS('DBX Sprint'!$A$1:A12)),"")</f>
        <v/>
      </c>
      <c r="AC79" s="41" t="str" cm="1">
        <f t="array" aca="1" ref="AC79" ca="1">IFERROR(INDEX('DBX Sprint'!$A$7:$K$62, SMALL(IF((INDEX('DBX Sprint'!$A$7:$K$62, ,25)&lt;=(TODAY()+1))*(INDEX('DBX Sprint'!$A$7:$K$62, ,25)&gt;=TODAY()),MATCH(ROW('DBX Sprint'!$A$7:$K$62),ROW('DBX Sprint'!$A$7:$K$62)),""),ROWS($AC$34:AC79)),COLUMNS('DBX Sprint'!$A$1:A12)),"")</f>
        <v/>
      </c>
      <c r="AD79" s="43" t="str" cm="1">
        <f t="array" aca="1" ref="AD79" ca="1">IFERROR(INDEX('DBX Sprint'!$A$7:$K$62, SMALL(IF((INDEX('DBX Sprint'!$A$7:$K$62, ,25)&lt;=(TODAY()+5))*(INDEX('DBX Sprint'!$A$7:$K$62, ,25)&gt;(TODAY()+1)),MATCH(ROW('DBX Sprint'!$A$7:$K$62),ROW('DBX Sprint'!$A$7:$K$62)),""),ROWS($AD$34:AD79)),COLUMNS('DBX Sprint'!$A$1:A12)),"")</f>
        <v/>
      </c>
      <c r="AE79" s="43" t="str" cm="1">
        <f t="array" aca="1" ref="AE79" ca="1">IFERROR(INDEX('DBX Sprint'!$A$7:$K$62, SMALL(IF((INDEX('DBX Sprint'!$A$7:$K$62, ,25)&lt;=(TODAY()+10))*(INDEX('DBX Sprint'!$A$7:$K$62, ,25)&gt;(TODAY()+5)),MATCH(ROW('DBX Sprint'!$A$7:$K$62),ROW('DBX Sprint'!$A$7:$K$62)),""),ROWS($AE$34:AE79)),COLUMNS('DBX Sprint'!$A$1:A12)),"")</f>
        <v/>
      </c>
      <c r="AG79" s="41" t="str" cm="1">
        <f t="array" ref="AG79">IFERROR(INDEX('DBX Sprint'!$A$7:$K$62, SMALL(IF((INDEX('DBX Sprint'!$A$7:$K$62, ,29)=("Complete"))*(INDEX('DBX Sprint'!$A$7:$K$62, ,29)="Complete"),MATCH(ROW('DBX Sprint'!$A$7:$K$62),ROW('DBX Sprint'!$A$7:$K$62)),""),ROWS($AG$34:AG79)),COLUMNS('DBX Sprint'!$A$1:A12)),"")</f>
        <v/>
      </c>
      <c r="AH79" s="41" t="str" cm="1">
        <f t="array" aca="1" ref="AH79" ca="1">IFERROR(INDEX('DBX Sprint'!$A$7:$K$62, SMALL(IF((INDEX('DBX Sprint'!$A$7:$K$62, ,29)&lt;(TODAY()))*(INDEX('DBX Sprint'!$A$7:$K$62, ,29)&lt;&gt;"Complete"),MATCH(ROW('DBX Sprint'!$A$7:$K$62),ROW('DBX Sprint'!$A$7:$K$62)),""),ROWS($AH$34:AH79)),COLUMNS('DBX Sprint'!$A$1:A12)),"")</f>
        <v/>
      </c>
      <c r="AI79" s="41" t="str" cm="1">
        <f t="array" aca="1" ref="AI79" ca="1">IFERROR(INDEX('DBX Sprint'!$A$7:$K$62, SMALL(IF((INDEX('DBX Sprint'!$A$7:$K$62, ,29)&lt;=(TODAY()+1))*(INDEX('DBX Sprint'!$A$7:$K$62, ,29)&gt;=TODAY()),MATCH(ROW('DBX Sprint'!$A$7:$K$62),ROW('DBX Sprint'!$A$7:$K$62)),""),ROWS($AI$34:AI79)),COLUMNS('DBX Sprint'!$A$1:A12)),"")</f>
        <v/>
      </c>
      <c r="AJ79" s="43" t="str" cm="1">
        <f t="array" aca="1" ref="AJ79" ca="1">IFERROR(INDEX('DBX Sprint'!$A$7:$K$62, SMALL(IF((INDEX('DBX Sprint'!$A$7:$K$62, ,29)&lt;=(TODAY()+5))*(INDEX('DBX Sprint'!$A$7:$K$62, ,29)&gt;(TODAY()+1)),MATCH(ROW('DBX Sprint'!$A$7:$K$62),ROW('DBX Sprint'!$A$7:$K$62)),""),ROWS($AJ$34:AJ79)),COLUMNS('DBX Sprint'!$A$1:A12)),"")</f>
        <v/>
      </c>
      <c r="AK79" s="43" t="str" cm="1">
        <f t="array" aca="1" ref="AK79" ca="1">IFERROR(INDEX('DBX Sprint'!$A$7:$K$62, SMALL(IF((INDEX('DBX Sprint'!$A$7:$K$62, ,29)&lt;=(TODAY()+10))*(INDEX('DBX Sprint'!$A$7:$K$62, ,29)&gt;(TODAY()+5)),MATCH(ROW('DBX Sprint'!$A$7:$K$62),ROW('DBX Sprint'!$A$7:$K$62)),""),ROWS($AK$34:AK79)),COLUMNS('DBX Sprint'!$A$1:A12)),"")</f>
        <v/>
      </c>
      <c r="AM79" s="41" t="str" cm="1">
        <f t="array" ref="AM79">IFERROR(INDEX('DBX Sprint'!$A$7:$K$62, SMALL(IF((INDEX('DBX Sprint'!$A$7:$K$62, ,32)=("Complete"))*(INDEX('DBX Sprint'!$A$7:$K$62, ,32)="Complete"),MATCH(ROW('DBX Sprint'!$A$7:$K$62),ROW('DBX Sprint'!$A$7:$K$62)),""),ROWS($AM$34:AM79)),COLUMNS('DBX Sprint'!$A$1:A12)),"")</f>
        <v/>
      </c>
      <c r="AN79" s="41" t="str" cm="1">
        <f t="array" aca="1" ref="AN79" ca="1">IFERROR(INDEX('DBX Sprint'!$A$7:$K$62, SMALL(IF((INDEX('DBX Sprint'!$A$7:$K$62, ,32)&lt;(TODAY()))*(INDEX('DBX Sprint'!$A$7:$K$62, ,32)&lt;&gt;"Complete"),MATCH(ROW('DBX Sprint'!$A$7:$K$62),ROW('DBX Sprint'!$A$7:$K$62)),""),ROWS($AN$34:AN79)),COLUMNS('DBX Sprint'!$A$1:A12)),"")</f>
        <v/>
      </c>
      <c r="AO79" s="41" t="str" cm="1">
        <f t="array" aca="1" ref="AO79" ca="1">IFERROR(INDEX('DBX Sprint'!$A$7:$K$62, SMALL(IF((INDEX('DBX Sprint'!$A$7:$K$62, ,32)&lt;=(TODAY()+1))*(INDEX('DBX Sprint'!$A$7:$K$62, ,32)&gt;=TODAY()),MATCH(ROW('DBX Sprint'!$A$7:$K$62),ROW('DBX Sprint'!$A$7:$K$62)),""),ROWS($AO$34:AO79)),COLUMNS('DBX Sprint'!$A$1:A12)),"")</f>
        <v/>
      </c>
      <c r="AP79" s="43" t="str" cm="1">
        <f t="array" aca="1" ref="AP79" ca="1">IFERROR(INDEX('DBX Sprint'!$A$7:$K$62, SMALL(IF((INDEX('DBX Sprint'!$A$7:$K$62, ,32)&lt;=(TODAY()+5))*(INDEX('DBX Sprint'!$A$7:$K$62, ,32)&gt;(TODAY()+1)),MATCH(ROW('DBX Sprint'!$A$7:$K$62),ROW('DBX Sprint'!$A$7:$K$62)),""),ROWS($AP$34:AP79)),COLUMNS('DBX Sprint'!$A$1:A12)),"")</f>
        <v/>
      </c>
      <c r="AQ79" s="43" t="str" cm="1">
        <f t="array" aca="1" ref="AQ79" ca="1">IFERROR(INDEX('DBX Sprint'!$A$7:$K$62, SMALL(IF((INDEX('DBX Sprint'!$A$7:$K$62, ,32)&lt;=(TODAY()+10))*(INDEX('DBX Sprint'!$A$7:$K$62, ,32)&gt;(TODAY()+5)),MATCH(ROW('DBX Sprint'!$A$7:$K$62),ROW('DBX Sprint'!$A$7:$K$62)),""),ROWS($AQ$34:AQ79)),COLUMNS('DBX Sprint'!$A$1:A12)),"")</f>
        <v/>
      </c>
    </row>
    <row r="80" spans="3:43" ht="30" customHeight="1">
      <c r="C80" s="41" t="str" cm="1">
        <f t="array" ref="C80">IFERROR(INDEX('DBX Sprint'!$A$7:$K$62, SMALL(IF((INDEX('DBX Sprint'!$A$7:$K$62, ,13)=("Complete"))*(INDEX('DBX Sprint'!$A$7:$K$62, ,13)="Complete"),MATCH(ROW('DBX Sprint'!$A$7:$K$62),ROW('DBX Sprint'!$A$7:$K$62)),""),ROWS(C$34:$C80)),COLUMNS('DBX Sprint'!$A$1:A12)),"")</f>
        <v/>
      </c>
      <c r="D80" s="41" t="str" cm="1">
        <f t="array" aca="1" ref="D80" ca="1">IFERROR(INDEX('DBX Sprint'!$A$7:$K$62, SMALL(IF((INDEX('DBX Sprint'!$A$7:$K$62, ,13)&lt;(TODAY()))*(INDEX('DBX Sprint'!$A$7:$K$62, ,13)&lt;&gt;"Complete"),MATCH(ROW('DBX Sprint'!$A$7:$K$62),ROW('DBX Sprint'!$A$7:$K$62)),""),ROWS(D$34:$D80)),COLUMNS('DBX Sprint'!$A$1:A12)),"")</f>
        <v/>
      </c>
      <c r="E80" s="41" t="str" cm="1">
        <f t="array" aca="1" ref="E80" ca="1">IFERROR(INDEX('DBX Sprint'!$A$7:$K$62, SMALL(IF((INDEX('DBX Sprint'!$A$7:$K$62, ,13)&lt;=(TODAY()+1))*(INDEX('DBX Sprint'!$A$7:$K$62, ,13)&gt;=TODAY()),MATCH(ROW('DBX Sprint'!$A$7:$K$62),ROW('DBX Sprint'!$A$7:$K$62)),""),ROWS(E$34:$E80)),COLUMNS('DBX Sprint'!$A$1:A12)),"")</f>
        <v/>
      </c>
      <c r="F80" s="43" t="str" cm="1">
        <f t="array" aca="1" ref="F80" ca="1">IFERROR(INDEX('DBX Sprint'!$A$7:$K$62, SMALL(IF((INDEX('DBX Sprint'!$A$7:$K$62, ,13)&lt;=(TODAY()+5))*(INDEX('DBX Sprint'!$A$7:$K$62, ,13)&gt;(TODAY()+1)),MATCH(ROW('DBX Sprint'!$A$7:$K$62),ROW('DBX Sprint'!$A$7:$K$62)),""),ROWS($F$34:F80)),COLUMNS('DBX Sprint'!$A$1:A12)),"")</f>
        <v/>
      </c>
      <c r="G80" s="43" t="str" cm="1">
        <f t="array" aca="1" ref="G80" ca="1">IFERROR(INDEX('DBX Sprint'!$A$7:$K$62, SMALL(IF((INDEX('DBX Sprint'!$A$7:$K$62, ,13)&lt;=(TODAY()+10))*(INDEX('DBX Sprint'!$A$7:$K$62, ,13)&gt;(TODAY()+5)),MATCH(ROW('DBX Sprint'!$A$7:$K$62),ROW('DBX Sprint'!$A$7:$K$62)),""),ROWS($G$34:G80)),COLUMNS('DBX Sprint'!$A$1:A12)),"")</f>
        <v/>
      </c>
      <c r="I80" s="41" t="str" cm="1">
        <f t="array" ref="I80">IFERROR(INDEX('DBX Sprint'!$A$7:$K$62, SMALL(IF((INDEX('DBX Sprint'!$A$7:$K$62, ,16)=("Complete"))*(INDEX('DBX Sprint'!$A$7:$K$62, ,16)="Complete"),MATCH(ROW('DBX Sprint'!$A$7:$K$62),ROW('DBX Sprint'!$A$7:$K$62)),""),ROWS($I$34:I80)),COLUMNS('DBX Sprint'!$A$1:A12)),"")</f>
        <v/>
      </c>
      <c r="J80" s="41" t="str" cm="1">
        <f t="array" aca="1" ref="J80" ca="1">IFERROR(INDEX('DBX Sprint'!$A$7:$K$62, SMALL(IF((INDEX('DBX Sprint'!$A$7:$K$62, ,16)&lt;(TODAY()))*(INDEX('DBX Sprint'!$A$7:$K$62, ,16)&lt;&gt;"Complete"),MATCH(ROW('DBX Sprint'!$A$7:$K$62),ROW('DBX Sprint'!$A$7:$K$62)),""),ROWS($J$34:J80)),COLUMNS('DBX Sprint'!$A$1:A12)),"")</f>
        <v/>
      </c>
      <c r="K80" s="37" t="str" cm="1">
        <f t="array" aca="1" ref="K80" ca="1">IFERROR(INDEX('DBX Sprint'!$A$7:$K$62, SMALL(IF((INDEX('DBX Sprint'!$A$7:$K$62, ,16)&lt;=(TODAY()+1))*(INDEX('DBX Sprint'!$A$7:$K$62, ,16)&gt;=TODAY()),MATCH(ROW('DBX Sprint'!$A$7:$K$62),ROW('DBX Sprint'!$A$7:$K$62)),""),ROWS($K$34:K80)),COLUMNS('DBX Sprint'!$A$1:A12)),"")</f>
        <v/>
      </c>
      <c r="L80" s="38" t="str" cm="1">
        <f t="array" aca="1" ref="L80" ca="1">IFERROR(INDEX('DBX Sprint'!$A$7:$K$62, SMALL(IF((INDEX('DBX Sprint'!$A$7:$K$62, ,16)&lt;=(TODAY()+5))*(INDEX('DBX Sprint'!$A$7:$K$62, ,16)&gt;(TODAY()+1)),MATCH(ROW('DBX Sprint'!$A$7:$K$62),ROW('DBX Sprint'!$A$7:$K$62)),""),ROWS($L$34:L80)),COLUMNS('DBX Sprint'!$A$1:A12)),"")</f>
        <v/>
      </c>
      <c r="M80" s="43" t="str" cm="1">
        <f t="array" aca="1" ref="M80" ca="1">IFERROR(INDEX('DBX Sprint'!$A$7:$K$62, SMALL(IF((INDEX('DBX Sprint'!$A$7:$K$62, ,16)&lt;=(TODAY()+10))*(INDEX('DBX Sprint'!$A$7:$K$62, ,16)&gt;(TODAY()+5)),MATCH(ROW('DBX Sprint'!$A$7:$K$62),ROW('DBX Sprint'!$A$7:$K$62)),""),ROWS($M$34:M80)),COLUMNS('DBX Sprint'!$A$1:A12)),"")</f>
        <v/>
      </c>
      <c r="P80" s="41" t="str" cm="1">
        <f t="array" aca="1" ref="P80" ca="1">IFERROR(INDEX('DBX Sprint'!$A$7:$K$62, SMALL(IF((INDEX('DBX Sprint'!$A$7:$K$62, ,19)&lt;(TODAY()))*(INDEX('DBX Sprint'!$A$7:$K$62, ,19)&lt;&gt;"Complete"),MATCH(ROW('DBX Sprint'!$A$7:$K$62),ROW('DBX Sprint'!$A$7:$K$62)),""),ROWS($P$34:P80)),COLUMNS('DBX Sprint'!$A$1:A12)),"")</f>
        <v/>
      </c>
      <c r="Q80" s="41" t="str" cm="1">
        <f t="array" aca="1" ref="Q80" ca="1">IFERROR(INDEX('DBX Sprint'!$A$7:$K$62, SMALL(IF((INDEX('DBX Sprint'!$A$7:$K$62, ,19)&lt;=(TODAY()+1))*(INDEX('DBX Sprint'!$A$7:$K$62, ,19)&gt;=TODAY()),MATCH(ROW('DBX Sprint'!$A$7:$K$62),ROW('DBX Sprint'!$A$7:$K$62)),""),ROWS($Q$34:Q80)),COLUMNS('DBX Sprint'!$A$1:A12)),"")</f>
        <v/>
      </c>
      <c r="R80" s="43" t="str" cm="1">
        <f t="array" aca="1" ref="R80" ca="1">IFERROR(INDEX('DBX Sprint'!$A$7:$K$62, SMALL(IF((INDEX('DBX Sprint'!$A$7:$K$62, ,19)&lt;=(TODAY()+5))*(INDEX('DBX Sprint'!$A$7:$K$62, ,19)&gt;(TODAY()+1)),MATCH(ROW('DBX Sprint'!$A$7:$K$62),ROW('DBX Sprint'!$A$7:$K$62)),""),ROWS($R$34:R80)),COLUMNS('DBX Sprint'!$A$1:A12)),"")</f>
        <v/>
      </c>
      <c r="S80" s="43" t="str" cm="1">
        <f t="array" aca="1" ref="S80" ca="1">IFERROR(INDEX('DBX Sprint'!$A$7:$K$62, SMALL(IF((INDEX('DBX Sprint'!$A$7:$K$62, ,19)&lt;=(TODAY()+10))*(INDEX('DBX Sprint'!$A$7:$K$62, ,19)&gt;(TODAY()+5)),MATCH(ROW('DBX Sprint'!$A$7:$K$62),ROW('DBX Sprint'!$A$7:$K$62)),""),ROWS($S$34:S80)),COLUMNS('DBX Sprint'!$A$1:A12)),"")</f>
        <v/>
      </c>
      <c r="U80" s="41" t="str" cm="1">
        <f t="array" ref="U80">IFERROR(INDEX('DBX Sprint'!$A$7:$K$62, SMALL(IF((INDEX('DBX Sprint'!$A$7:$K$62, ,22)=("Complete"))*(INDEX('DBX Sprint'!$A$7:$K$62, ,22)="Complete"),MATCH(ROW('DBX Sprint'!$A$7:$K$62),ROW('DBX Sprint'!$A$7:$K$62)),""),ROWS($U$34:U80)),COLUMNS('DBX Sprint'!$A$1:A12)),"")</f>
        <v/>
      </c>
      <c r="V80" s="41" t="str" cm="1">
        <f t="array" aca="1" ref="V80" ca="1">IFERROR(INDEX('DBX Sprint'!$A$7:$K$62, SMALL(IF((INDEX('DBX Sprint'!$A$7:$K$62, ,22)&lt;(TODAY()))*(INDEX('DBX Sprint'!$A$7:$K$62, ,22)&lt;&gt;"Complete"),MATCH(ROW('DBX Sprint'!$A$7:$K$62),ROW('DBX Sprint'!$A$7:$K$62)),""),ROWS($V$34:V80)),COLUMNS('DBX Sprint'!$A$1:A12)),"")</f>
        <v/>
      </c>
      <c r="W80" s="41" t="str" cm="1">
        <f t="array" aca="1" ref="W80" ca="1">IFERROR(INDEX('DBX Sprint'!$A$7:$K$62, SMALL(IF((INDEX('DBX Sprint'!$A$7:$K$62, ,22)&lt;=(TODAY()+1))*(INDEX('DBX Sprint'!$A$7:$K$62, ,22)&gt;=TODAY()),MATCH(ROW('DBX Sprint'!$A$7:$K$62),ROW('DBX Sprint'!$A$7:$K$62)),""),ROWS($W$34:W80)),COLUMNS('DBX Sprint'!$A$1:A12)),"")</f>
        <v/>
      </c>
      <c r="X80" s="43" t="str" cm="1">
        <f t="array" aca="1" ref="X80" ca="1">IFERROR(INDEX('DBX Sprint'!$A$7:$K$62, SMALL(IF((INDEX('DBX Sprint'!$A$7:$K$62, ,22)&lt;=(TODAY()+5))*(INDEX('DBX Sprint'!$A$7:$K$62, ,22)&gt;(TODAY()+1)),MATCH(ROW('DBX Sprint'!$A$7:$K$62),ROW('DBX Sprint'!$A$7:$K$62)),""),ROWS($X$34:X80)),COLUMNS('DBX Sprint'!$A$1:A12)),"")</f>
        <v/>
      </c>
      <c r="Y80" s="43" t="str" cm="1">
        <f t="array" aca="1" ref="Y80" ca="1">IFERROR(INDEX('DBX Sprint'!$A$7:$K$62, SMALL(IF((INDEX('DBX Sprint'!$A$7:$K$62, ,22)&lt;=(TODAY()+10))*(INDEX('DBX Sprint'!$A$7:$K$62, ,22)&gt;(TODAY()+5)),MATCH(ROW('DBX Sprint'!$A$7:$K$62),ROW('DBX Sprint'!$A$7:$K$62)),""),ROWS($Y$34:Y80)),COLUMNS('DBX Sprint'!$A$1:A12)),"")</f>
        <v/>
      </c>
      <c r="AA80" s="41" t="str" cm="1">
        <f t="array" ref="AA80">IFERROR(INDEX('DBX Sprint'!$A$7:$K$62, SMALL(IF((INDEX('DBX Sprint'!$A$7:$K$62, ,25)=("Complete"))*(INDEX('DBX Sprint'!$A$7:$K$62, ,25)="Complete"),MATCH(ROW('DBX Sprint'!$A$7:$K$62),ROW('DBX Sprint'!$A$7:$K$62)),""),ROWS($AA$34:AA80)),COLUMNS('DBX Sprint'!$A$1:A12)),"")</f>
        <v/>
      </c>
      <c r="AB80" s="41" t="str" cm="1">
        <f t="array" aca="1" ref="AB80" ca="1">IFERROR(INDEX('DBX Sprint'!$A$7:$K$62, SMALL(IF((INDEX('DBX Sprint'!$A$7:$K$62, ,25)&lt;(TODAY()))*(INDEX('DBX Sprint'!$A$7:$K$62, ,25)&lt;&gt;"Complete"),MATCH(ROW('DBX Sprint'!$A$7:$K$62),ROW('DBX Sprint'!$A$7:$K$62)),""),ROWS($AB$34:AB80)),COLUMNS('DBX Sprint'!$A$1:A12)),"")</f>
        <v/>
      </c>
      <c r="AC80" s="41" t="str" cm="1">
        <f t="array" aca="1" ref="AC80" ca="1">IFERROR(INDEX('DBX Sprint'!$A$7:$K$62, SMALL(IF((INDEX('DBX Sprint'!$A$7:$K$62, ,25)&lt;=(TODAY()+1))*(INDEX('DBX Sprint'!$A$7:$K$62, ,25)&gt;=TODAY()),MATCH(ROW('DBX Sprint'!$A$7:$K$62),ROW('DBX Sprint'!$A$7:$K$62)),""),ROWS($AC$34:AC80)),COLUMNS('DBX Sprint'!$A$1:A12)),"")</f>
        <v/>
      </c>
      <c r="AD80" s="43" t="str" cm="1">
        <f t="array" aca="1" ref="AD80" ca="1">IFERROR(INDEX('DBX Sprint'!$A$7:$K$62, SMALL(IF((INDEX('DBX Sprint'!$A$7:$K$62, ,25)&lt;=(TODAY()+5))*(INDEX('DBX Sprint'!$A$7:$K$62, ,25)&gt;(TODAY()+1)),MATCH(ROW('DBX Sprint'!$A$7:$K$62),ROW('DBX Sprint'!$A$7:$K$62)),""),ROWS($AD$34:AD80)),COLUMNS('DBX Sprint'!$A$1:A12)),"")</f>
        <v/>
      </c>
      <c r="AE80" s="43" t="str" cm="1">
        <f t="array" aca="1" ref="AE80" ca="1">IFERROR(INDEX('DBX Sprint'!$A$7:$K$62, SMALL(IF((INDEX('DBX Sprint'!$A$7:$K$62, ,25)&lt;=(TODAY()+10))*(INDEX('DBX Sprint'!$A$7:$K$62, ,25)&gt;(TODAY()+5)),MATCH(ROW('DBX Sprint'!$A$7:$K$62),ROW('DBX Sprint'!$A$7:$K$62)),""),ROWS($AE$34:AE80)),COLUMNS('DBX Sprint'!$A$1:A12)),"")</f>
        <v/>
      </c>
      <c r="AG80" s="41" t="str" cm="1">
        <f t="array" ref="AG80">IFERROR(INDEX('DBX Sprint'!$A$7:$K$62, SMALL(IF((INDEX('DBX Sprint'!$A$7:$K$62, ,29)=("Complete"))*(INDEX('DBX Sprint'!$A$7:$K$62, ,29)="Complete"),MATCH(ROW('DBX Sprint'!$A$7:$K$62),ROW('DBX Sprint'!$A$7:$K$62)),""),ROWS($AG$34:AG80)),COLUMNS('DBX Sprint'!$A$1:A12)),"")</f>
        <v/>
      </c>
      <c r="AH80" s="41" t="str" cm="1">
        <f t="array" aca="1" ref="AH80" ca="1">IFERROR(INDEX('DBX Sprint'!$A$7:$K$62, SMALL(IF((INDEX('DBX Sprint'!$A$7:$K$62, ,29)&lt;(TODAY()))*(INDEX('DBX Sprint'!$A$7:$K$62, ,29)&lt;&gt;"Complete"),MATCH(ROW('DBX Sprint'!$A$7:$K$62),ROW('DBX Sprint'!$A$7:$K$62)),""),ROWS($AH$34:AH80)),COLUMNS('DBX Sprint'!$A$1:A12)),"")</f>
        <v/>
      </c>
      <c r="AI80" s="41" t="str" cm="1">
        <f t="array" aca="1" ref="AI80" ca="1">IFERROR(INDEX('DBX Sprint'!$A$7:$K$62, SMALL(IF((INDEX('DBX Sprint'!$A$7:$K$62, ,29)&lt;=(TODAY()+1))*(INDEX('DBX Sprint'!$A$7:$K$62, ,29)&gt;=TODAY()),MATCH(ROW('DBX Sprint'!$A$7:$K$62),ROW('DBX Sprint'!$A$7:$K$62)),""),ROWS($AI$34:AI80)),COLUMNS('DBX Sprint'!$A$1:A12)),"")</f>
        <v/>
      </c>
      <c r="AJ80" s="43" t="str" cm="1">
        <f t="array" aca="1" ref="AJ80" ca="1">IFERROR(INDEX('DBX Sprint'!$A$7:$K$62, SMALL(IF((INDEX('DBX Sprint'!$A$7:$K$62, ,29)&lt;=(TODAY()+5))*(INDEX('DBX Sprint'!$A$7:$K$62, ,29)&gt;(TODAY()+1)),MATCH(ROW('DBX Sprint'!$A$7:$K$62),ROW('DBX Sprint'!$A$7:$K$62)),""),ROWS($AJ$34:AJ80)),COLUMNS('DBX Sprint'!$A$1:A12)),"")</f>
        <v/>
      </c>
      <c r="AK80" s="43" t="str" cm="1">
        <f t="array" aca="1" ref="AK80" ca="1">IFERROR(INDEX('DBX Sprint'!$A$7:$K$62, SMALL(IF((INDEX('DBX Sprint'!$A$7:$K$62, ,29)&lt;=(TODAY()+10))*(INDEX('DBX Sprint'!$A$7:$K$62, ,29)&gt;(TODAY()+5)),MATCH(ROW('DBX Sprint'!$A$7:$K$62),ROW('DBX Sprint'!$A$7:$K$62)),""),ROWS($AK$34:AK80)),COLUMNS('DBX Sprint'!$A$1:A12)),"")</f>
        <v/>
      </c>
      <c r="AM80" s="41" t="str" cm="1">
        <f t="array" ref="AM80">IFERROR(INDEX('DBX Sprint'!$A$7:$K$62, SMALL(IF((INDEX('DBX Sprint'!$A$7:$K$62, ,32)=("Complete"))*(INDEX('DBX Sprint'!$A$7:$K$62, ,32)="Complete"),MATCH(ROW('DBX Sprint'!$A$7:$K$62),ROW('DBX Sprint'!$A$7:$K$62)),""),ROWS($AM$34:AM80)),COLUMNS('DBX Sprint'!$A$1:A12)),"")</f>
        <v/>
      </c>
      <c r="AN80" s="41" t="str" cm="1">
        <f t="array" aca="1" ref="AN80" ca="1">IFERROR(INDEX('DBX Sprint'!$A$7:$K$62, SMALL(IF((INDEX('DBX Sprint'!$A$7:$K$62, ,32)&lt;(TODAY()))*(INDEX('DBX Sprint'!$A$7:$K$62, ,32)&lt;&gt;"Complete"),MATCH(ROW('DBX Sprint'!$A$7:$K$62),ROW('DBX Sprint'!$A$7:$K$62)),""),ROWS($AN$34:AN80)),COLUMNS('DBX Sprint'!$A$1:A12)),"")</f>
        <v/>
      </c>
      <c r="AO80" s="41" t="str" cm="1">
        <f t="array" aca="1" ref="AO80" ca="1">IFERROR(INDEX('DBX Sprint'!$A$7:$K$62, SMALL(IF((INDEX('DBX Sprint'!$A$7:$K$62, ,32)&lt;=(TODAY()+1))*(INDEX('DBX Sprint'!$A$7:$K$62, ,32)&gt;=TODAY()),MATCH(ROW('DBX Sprint'!$A$7:$K$62),ROW('DBX Sprint'!$A$7:$K$62)),""),ROWS($AO$34:AO80)),COLUMNS('DBX Sprint'!$A$1:A12)),"")</f>
        <v/>
      </c>
      <c r="AP80" s="43" t="str" cm="1">
        <f t="array" aca="1" ref="AP80" ca="1">IFERROR(INDEX('DBX Sprint'!$A$7:$K$62, SMALL(IF((INDEX('DBX Sprint'!$A$7:$K$62, ,32)&lt;=(TODAY()+5))*(INDEX('DBX Sprint'!$A$7:$K$62, ,32)&gt;(TODAY()+1)),MATCH(ROW('DBX Sprint'!$A$7:$K$62),ROW('DBX Sprint'!$A$7:$K$62)),""),ROWS($AP$34:AP80)),COLUMNS('DBX Sprint'!$A$1:A12)),"")</f>
        <v/>
      </c>
      <c r="AQ80" s="43" t="str" cm="1">
        <f t="array" aca="1" ref="AQ80" ca="1">IFERROR(INDEX('DBX Sprint'!$A$7:$K$62, SMALL(IF((INDEX('DBX Sprint'!$A$7:$K$62, ,32)&lt;=(TODAY()+10))*(INDEX('DBX Sprint'!$A$7:$K$62, ,32)&gt;(TODAY()+5)),MATCH(ROW('DBX Sprint'!$A$7:$K$62),ROW('DBX Sprint'!$A$7:$K$62)),""),ROWS($AQ$34:AQ80)),COLUMNS('DBX Sprint'!$A$1:A12)),"")</f>
        <v/>
      </c>
    </row>
    <row r="81" spans="3:43" ht="30" customHeight="1">
      <c r="C81" s="41" t="str" cm="1">
        <f t="array" ref="C81">IFERROR(INDEX('DBX Sprint'!$A$7:$K$62, SMALL(IF((INDEX('DBX Sprint'!$A$7:$K$62, ,13)=("Complete"))*(INDEX('DBX Sprint'!$A$7:$K$62, ,13)="Complete"),MATCH(ROW('DBX Sprint'!$A$7:$K$62),ROW('DBX Sprint'!$A$7:$K$62)),""),ROWS(C$34:$C81)),COLUMNS('DBX Sprint'!$A$1:A12)),"")</f>
        <v/>
      </c>
      <c r="D81" s="41" t="str" cm="1">
        <f t="array" aca="1" ref="D81" ca="1">IFERROR(INDEX('DBX Sprint'!$A$7:$K$62, SMALL(IF((INDEX('DBX Sprint'!$A$7:$K$62, ,13)&lt;(TODAY()))*(INDEX('DBX Sprint'!$A$7:$K$62, ,13)&lt;&gt;"Complete"),MATCH(ROW('DBX Sprint'!$A$7:$K$62),ROW('DBX Sprint'!$A$7:$K$62)),""),ROWS(D$34:$D81)),COLUMNS('DBX Sprint'!$A$1:A12)),"")</f>
        <v/>
      </c>
      <c r="E81" s="41" t="str" cm="1">
        <f t="array" aca="1" ref="E81" ca="1">IFERROR(INDEX('DBX Sprint'!$A$7:$K$62, SMALL(IF((INDEX('DBX Sprint'!$A$7:$K$62, ,13)&lt;=(TODAY()+1))*(INDEX('DBX Sprint'!$A$7:$K$62, ,13)&gt;=TODAY()),MATCH(ROW('DBX Sprint'!$A$7:$K$62),ROW('DBX Sprint'!$A$7:$K$62)),""),ROWS(E$34:$E81)),COLUMNS('DBX Sprint'!$A$1:A12)),"")</f>
        <v/>
      </c>
      <c r="F81" s="43" t="str" cm="1">
        <f t="array" aca="1" ref="F81" ca="1">IFERROR(INDEX('DBX Sprint'!$A$7:$K$62, SMALL(IF((INDEX('DBX Sprint'!$A$7:$K$62, ,13)&lt;=(TODAY()+5))*(INDEX('DBX Sprint'!$A$7:$K$62, ,13)&gt;(TODAY()+1)),MATCH(ROW('DBX Sprint'!$A$7:$K$62),ROW('DBX Sprint'!$A$7:$K$62)),""),ROWS($F$34:F81)),COLUMNS('DBX Sprint'!$A$1:A12)),"")</f>
        <v/>
      </c>
      <c r="G81" s="43" t="str" cm="1">
        <f t="array" aca="1" ref="G81" ca="1">IFERROR(INDEX('DBX Sprint'!$A$7:$K$62, SMALL(IF((INDEX('DBX Sprint'!$A$7:$K$62, ,13)&lt;=(TODAY()+10))*(INDEX('DBX Sprint'!$A$7:$K$62, ,13)&gt;(TODAY()+5)),MATCH(ROW('DBX Sprint'!$A$7:$K$62),ROW('DBX Sprint'!$A$7:$K$62)),""),ROWS($G$34:G81)),COLUMNS('DBX Sprint'!$A$1:A12)),"")</f>
        <v/>
      </c>
      <c r="I81" s="41" t="str" cm="1">
        <f t="array" ref="I81">IFERROR(INDEX('DBX Sprint'!$A$7:$K$62, SMALL(IF((INDEX('DBX Sprint'!$A$7:$K$62, ,16)=("Complete"))*(INDEX('DBX Sprint'!$A$7:$K$62, ,16)="Complete"),MATCH(ROW('DBX Sprint'!$A$7:$K$62),ROW('DBX Sprint'!$A$7:$K$62)),""),ROWS($I$34:I81)),COLUMNS('DBX Sprint'!$A$1:A12)),"")</f>
        <v/>
      </c>
      <c r="J81" s="41" t="str" cm="1">
        <f t="array" aca="1" ref="J81" ca="1">IFERROR(INDEX('DBX Sprint'!$A$7:$K$62, SMALL(IF((INDEX('DBX Sprint'!$A$7:$K$62, ,16)&lt;(TODAY()))*(INDEX('DBX Sprint'!$A$7:$K$62, ,16)&lt;&gt;"Complete"),MATCH(ROW('DBX Sprint'!$A$7:$K$62),ROW('DBX Sprint'!$A$7:$K$62)),""),ROWS($J$34:J81)),COLUMNS('DBX Sprint'!$A$1:A12)),"")</f>
        <v/>
      </c>
      <c r="K81" s="37" t="str" cm="1">
        <f t="array" aca="1" ref="K81" ca="1">IFERROR(INDEX('DBX Sprint'!$A$7:$K$62, SMALL(IF((INDEX('DBX Sprint'!$A$7:$K$62, ,16)&lt;=(TODAY()+1))*(INDEX('DBX Sprint'!$A$7:$K$62, ,16)&gt;=TODAY()),MATCH(ROW('DBX Sprint'!$A$7:$K$62),ROW('DBX Sprint'!$A$7:$K$62)),""),ROWS($K$34:K81)),COLUMNS('DBX Sprint'!$A$1:A12)),"")</f>
        <v/>
      </c>
      <c r="L81" s="38" t="str" cm="1">
        <f t="array" aca="1" ref="L81" ca="1">IFERROR(INDEX('DBX Sprint'!$A$7:$K$62, SMALL(IF((INDEX('DBX Sprint'!$A$7:$K$62, ,16)&lt;=(TODAY()+5))*(INDEX('DBX Sprint'!$A$7:$K$62, ,16)&gt;(TODAY()+1)),MATCH(ROW('DBX Sprint'!$A$7:$K$62),ROW('DBX Sprint'!$A$7:$K$62)),""),ROWS($L$34:L81)),COLUMNS('DBX Sprint'!$A$1:A12)),"")</f>
        <v/>
      </c>
      <c r="M81" s="43" t="str" cm="1">
        <f t="array" aca="1" ref="M81" ca="1">IFERROR(INDEX('DBX Sprint'!$A$7:$K$62, SMALL(IF((INDEX('DBX Sprint'!$A$7:$K$62, ,16)&lt;=(TODAY()+10))*(INDEX('DBX Sprint'!$A$7:$K$62, ,16)&gt;(TODAY()+5)),MATCH(ROW('DBX Sprint'!$A$7:$K$62),ROW('DBX Sprint'!$A$7:$K$62)),""),ROWS($M$34:M81)),COLUMNS('DBX Sprint'!$A$1:A12)),"")</f>
        <v/>
      </c>
      <c r="P81" s="41" t="str" cm="1">
        <f t="array" aca="1" ref="P81" ca="1">IFERROR(INDEX('DBX Sprint'!$A$7:$K$62, SMALL(IF((INDEX('DBX Sprint'!$A$7:$K$62, ,19)&lt;(TODAY()))*(INDEX('DBX Sprint'!$A$7:$K$62, ,19)&lt;&gt;"Complete"),MATCH(ROW('DBX Sprint'!$A$7:$K$62),ROW('DBX Sprint'!$A$7:$K$62)),""),ROWS($P$34:P81)),COLUMNS('DBX Sprint'!$A$1:A12)),"")</f>
        <v/>
      </c>
      <c r="Q81" s="41" t="str" cm="1">
        <f t="array" aca="1" ref="Q81" ca="1">IFERROR(INDEX('DBX Sprint'!$A$7:$K$62, SMALL(IF((INDEX('DBX Sprint'!$A$7:$K$62, ,19)&lt;=(TODAY()+1))*(INDEX('DBX Sprint'!$A$7:$K$62, ,19)&gt;=TODAY()),MATCH(ROW('DBX Sprint'!$A$7:$K$62),ROW('DBX Sprint'!$A$7:$K$62)),""),ROWS($Q$34:Q81)),COLUMNS('DBX Sprint'!$A$1:A12)),"")</f>
        <v/>
      </c>
      <c r="R81" s="43" t="str" cm="1">
        <f t="array" aca="1" ref="R81" ca="1">IFERROR(INDEX('DBX Sprint'!$A$7:$K$62, SMALL(IF((INDEX('DBX Sprint'!$A$7:$K$62, ,19)&lt;=(TODAY()+5))*(INDEX('DBX Sprint'!$A$7:$K$62, ,19)&gt;(TODAY()+1)),MATCH(ROW('DBX Sprint'!$A$7:$K$62),ROW('DBX Sprint'!$A$7:$K$62)),""),ROWS($R$34:R81)),COLUMNS('DBX Sprint'!$A$1:A12)),"")</f>
        <v/>
      </c>
      <c r="S81" s="43" t="str" cm="1">
        <f t="array" aca="1" ref="S81" ca="1">IFERROR(INDEX('DBX Sprint'!$A$7:$K$62, SMALL(IF((INDEX('DBX Sprint'!$A$7:$K$62, ,19)&lt;=(TODAY()+10))*(INDEX('DBX Sprint'!$A$7:$K$62, ,19)&gt;(TODAY()+5)),MATCH(ROW('DBX Sprint'!$A$7:$K$62),ROW('DBX Sprint'!$A$7:$K$62)),""),ROWS($S$34:S81)),COLUMNS('DBX Sprint'!$A$1:A12)),"")</f>
        <v/>
      </c>
      <c r="U81" s="41" t="str" cm="1">
        <f t="array" ref="U81">IFERROR(INDEX('DBX Sprint'!$A$7:$K$62, SMALL(IF((INDEX('DBX Sprint'!$A$7:$K$62, ,22)=("Complete"))*(INDEX('DBX Sprint'!$A$7:$K$62, ,22)="Complete"),MATCH(ROW('DBX Sprint'!$A$7:$K$62),ROW('DBX Sprint'!$A$7:$K$62)),""),ROWS($U$34:U81)),COLUMNS('DBX Sprint'!$A$1:A12)),"")</f>
        <v/>
      </c>
      <c r="V81" s="41" t="str" cm="1">
        <f t="array" aca="1" ref="V81" ca="1">IFERROR(INDEX('DBX Sprint'!$A$7:$K$62, SMALL(IF((INDEX('DBX Sprint'!$A$7:$K$62, ,22)&lt;(TODAY()))*(INDEX('DBX Sprint'!$A$7:$K$62, ,22)&lt;&gt;"Complete"),MATCH(ROW('DBX Sprint'!$A$7:$K$62),ROW('DBX Sprint'!$A$7:$K$62)),""),ROWS($V$34:V81)),COLUMNS('DBX Sprint'!$A$1:A12)),"")</f>
        <v/>
      </c>
      <c r="W81" s="41" t="str" cm="1">
        <f t="array" aca="1" ref="W81" ca="1">IFERROR(INDEX('DBX Sprint'!$A$7:$K$62, SMALL(IF((INDEX('DBX Sprint'!$A$7:$K$62, ,22)&lt;=(TODAY()+1))*(INDEX('DBX Sprint'!$A$7:$K$62, ,22)&gt;=TODAY()),MATCH(ROW('DBX Sprint'!$A$7:$K$62),ROW('DBX Sprint'!$A$7:$K$62)),""),ROWS($W$34:W81)),COLUMNS('DBX Sprint'!$A$1:A12)),"")</f>
        <v/>
      </c>
      <c r="X81" s="43" t="str" cm="1">
        <f t="array" aca="1" ref="X81" ca="1">IFERROR(INDEX('DBX Sprint'!$A$7:$K$62, SMALL(IF((INDEX('DBX Sprint'!$A$7:$K$62, ,22)&lt;=(TODAY()+5))*(INDEX('DBX Sprint'!$A$7:$K$62, ,22)&gt;(TODAY()+1)),MATCH(ROW('DBX Sprint'!$A$7:$K$62),ROW('DBX Sprint'!$A$7:$K$62)),""),ROWS($X$34:X81)),COLUMNS('DBX Sprint'!$A$1:A12)),"")</f>
        <v/>
      </c>
      <c r="Y81" s="43" t="str" cm="1">
        <f t="array" aca="1" ref="Y81" ca="1">IFERROR(INDEX('DBX Sprint'!$A$7:$K$62, SMALL(IF((INDEX('DBX Sprint'!$A$7:$K$62, ,22)&lt;=(TODAY()+10))*(INDEX('DBX Sprint'!$A$7:$K$62, ,22)&gt;(TODAY()+5)),MATCH(ROW('DBX Sprint'!$A$7:$K$62),ROW('DBX Sprint'!$A$7:$K$62)),""),ROWS($Y$34:Y81)),COLUMNS('DBX Sprint'!$A$1:A12)),"")</f>
        <v/>
      </c>
      <c r="AA81" s="41" t="str" cm="1">
        <f t="array" ref="AA81">IFERROR(INDEX('DBX Sprint'!$A$7:$K$62, SMALL(IF((INDEX('DBX Sprint'!$A$7:$K$62, ,25)=("Complete"))*(INDEX('DBX Sprint'!$A$7:$K$62, ,25)="Complete"),MATCH(ROW('DBX Sprint'!$A$7:$K$62),ROW('DBX Sprint'!$A$7:$K$62)),""),ROWS($AA$34:AA81)),COLUMNS('DBX Sprint'!$A$1:A12)),"")</f>
        <v/>
      </c>
      <c r="AB81" s="41" t="str" cm="1">
        <f t="array" aca="1" ref="AB81" ca="1">IFERROR(INDEX('DBX Sprint'!$A$7:$K$62, SMALL(IF((INDEX('DBX Sprint'!$A$7:$K$62, ,25)&lt;(TODAY()))*(INDEX('DBX Sprint'!$A$7:$K$62, ,25)&lt;&gt;"Complete"),MATCH(ROW('DBX Sprint'!$A$7:$K$62),ROW('DBX Sprint'!$A$7:$K$62)),""),ROWS($AB$34:AB81)),COLUMNS('DBX Sprint'!$A$1:A12)),"")</f>
        <v/>
      </c>
      <c r="AC81" s="41" t="str" cm="1">
        <f t="array" aca="1" ref="AC81" ca="1">IFERROR(INDEX('DBX Sprint'!$A$7:$K$62, SMALL(IF((INDEX('DBX Sprint'!$A$7:$K$62, ,25)&lt;=(TODAY()+1))*(INDEX('DBX Sprint'!$A$7:$K$62, ,25)&gt;=TODAY()),MATCH(ROW('DBX Sprint'!$A$7:$K$62),ROW('DBX Sprint'!$A$7:$K$62)),""),ROWS($AC$34:AC81)),COLUMNS('DBX Sprint'!$A$1:A12)),"")</f>
        <v/>
      </c>
      <c r="AD81" s="43" t="str" cm="1">
        <f t="array" aca="1" ref="AD81" ca="1">IFERROR(INDEX('DBX Sprint'!$A$7:$K$62, SMALL(IF((INDEX('DBX Sprint'!$A$7:$K$62, ,25)&lt;=(TODAY()+5))*(INDEX('DBX Sprint'!$A$7:$K$62, ,25)&gt;(TODAY()+1)),MATCH(ROW('DBX Sprint'!$A$7:$K$62),ROW('DBX Sprint'!$A$7:$K$62)),""),ROWS($AD$34:AD81)),COLUMNS('DBX Sprint'!$A$1:A12)),"")</f>
        <v/>
      </c>
      <c r="AE81" s="43" t="str" cm="1">
        <f t="array" aca="1" ref="AE81" ca="1">IFERROR(INDEX('DBX Sprint'!$A$7:$K$62, SMALL(IF((INDEX('DBX Sprint'!$A$7:$K$62, ,25)&lt;=(TODAY()+10))*(INDEX('DBX Sprint'!$A$7:$K$62, ,25)&gt;(TODAY()+5)),MATCH(ROW('DBX Sprint'!$A$7:$K$62),ROW('DBX Sprint'!$A$7:$K$62)),""),ROWS($AE$34:AE81)),COLUMNS('DBX Sprint'!$A$1:A12)),"")</f>
        <v/>
      </c>
      <c r="AG81" s="41" t="str" cm="1">
        <f t="array" ref="AG81">IFERROR(INDEX('DBX Sprint'!$A$7:$K$62, SMALL(IF((INDEX('DBX Sprint'!$A$7:$K$62, ,29)=("Complete"))*(INDEX('DBX Sprint'!$A$7:$K$62, ,29)="Complete"),MATCH(ROW('DBX Sprint'!$A$7:$K$62),ROW('DBX Sprint'!$A$7:$K$62)),""),ROWS($AG$34:AG81)),COLUMNS('DBX Sprint'!$A$1:A12)),"")</f>
        <v/>
      </c>
      <c r="AH81" s="41" t="str" cm="1">
        <f t="array" aca="1" ref="AH81" ca="1">IFERROR(INDEX('DBX Sprint'!$A$7:$K$62, SMALL(IF((INDEX('DBX Sprint'!$A$7:$K$62, ,29)&lt;(TODAY()))*(INDEX('DBX Sprint'!$A$7:$K$62, ,29)&lt;&gt;"Complete"),MATCH(ROW('DBX Sprint'!$A$7:$K$62),ROW('DBX Sprint'!$A$7:$K$62)),""),ROWS($AH$34:AH81)),COLUMNS('DBX Sprint'!$A$1:A12)),"")</f>
        <v/>
      </c>
      <c r="AI81" s="41" t="str" cm="1">
        <f t="array" aca="1" ref="AI81" ca="1">IFERROR(INDEX('DBX Sprint'!$A$7:$K$62, SMALL(IF((INDEX('DBX Sprint'!$A$7:$K$62, ,29)&lt;=(TODAY()+1))*(INDEX('DBX Sprint'!$A$7:$K$62, ,29)&gt;=TODAY()),MATCH(ROW('DBX Sprint'!$A$7:$K$62),ROW('DBX Sprint'!$A$7:$K$62)),""),ROWS($AI$34:AI81)),COLUMNS('DBX Sprint'!$A$1:A12)),"")</f>
        <v/>
      </c>
      <c r="AJ81" s="43" t="str" cm="1">
        <f t="array" aca="1" ref="AJ81" ca="1">IFERROR(INDEX('DBX Sprint'!$A$7:$K$62, SMALL(IF((INDEX('DBX Sprint'!$A$7:$K$62, ,29)&lt;=(TODAY()+5))*(INDEX('DBX Sprint'!$A$7:$K$62, ,29)&gt;(TODAY()+1)),MATCH(ROW('DBX Sprint'!$A$7:$K$62),ROW('DBX Sprint'!$A$7:$K$62)),""),ROWS($AJ$34:AJ81)),COLUMNS('DBX Sprint'!$A$1:A12)),"")</f>
        <v/>
      </c>
      <c r="AK81" s="43" t="str" cm="1">
        <f t="array" aca="1" ref="AK81" ca="1">IFERROR(INDEX('DBX Sprint'!$A$7:$K$62, SMALL(IF((INDEX('DBX Sprint'!$A$7:$K$62, ,29)&lt;=(TODAY()+10))*(INDEX('DBX Sprint'!$A$7:$K$62, ,29)&gt;(TODAY()+5)),MATCH(ROW('DBX Sprint'!$A$7:$K$62),ROW('DBX Sprint'!$A$7:$K$62)),""),ROWS($AK$34:AK81)),COLUMNS('DBX Sprint'!$A$1:A12)),"")</f>
        <v/>
      </c>
      <c r="AM81" s="41" t="str" cm="1">
        <f t="array" ref="AM81">IFERROR(INDEX('DBX Sprint'!$A$7:$K$62, SMALL(IF((INDEX('DBX Sprint'!$A$7:$K$62, ,32)=("Complete"))*(INDEX('DBX Sprint'!$A$7:$K$62, ,32)="Complete"),MATCH(ROW('DBX Sprint'!$A$7:$K$62),ROW('DBX Sprint'!$A$7:$K$62)),""),ROWS($AM$34:AM81)),COLUMNS('DBX Sprint'!$A$1:A12)),"")</f>
        <v/>
      </c>
      <c r="AN81" s="41" t="str" cm="1">
        <f t="array" aca="1" ref="AN81" ca="1">IFERROR(INDEX('DBX Sprint'!$A$7:$K$62, SMALL(IF((INDEX('DBX Sprint'!$A$7:$K$62, ,32)&lt;(TODAY()))*(INDEX('DBX Sprint'!$A$7:$K$62, ,32)&lt;&gt;"Complete"),MATCH(ROW('DBX Sprint'!$A$7:$K$62),ROW('DBX Sprint'!$A$7:$K$62)),""),ROWS($AN$34:AN81)),COLUMNS('DBX Sprint'!$A$1:A12)),"")</f>
        <v/>
      </c>
      <c r="AO81" s="41" t="str" cm="1">
        <f t="array" aca="1" ref="AO81" ca="1">IFERROR(INDEX('DBX Sprint'!$A$7:$K$62, SMALL(IF((INDEX('DBX Sprint'!$A$7:$K$62, ,32)&lt;=(TODAY()+1))*(INDEX('DBX Sprint'!$A$7:$K$62, ,32)&gt;=TODAY()),MATCH(ROW('DBX Sprint'!$A$7:$K$62),ROW('DBX Sprint'!$A$7:$K$62)),""),ROWS($AO$34:AO81)),COLUMNS('DBX Sprint'!$A$1:A12)),"")</f>
        <v/>
      </c>
      <c r="AP81" s="43" t="str" cm="1">
        <f t="array" aca="1" ref="AP81" ca="1">IFERROR(INDEX('DBX Sprint'!$A$7:$K$62, SMALL(IF((INDEX('DBX Sprint'!$A$7:$K$62, ,32)&lt;=(TODAY()+5))*(INDEX('DBX Sprint'!$A$7:$K$62, ,32)&gt;(TODAY()+1)),MATCH(ROW('DBX Sprint'!$A$7:$K$62),ROW('DBX Sprint'!$A$7:$K$62)),""),ROWS($AP$34:AP81)),COLUMNS('DBX Sprint'!$A$1:A12)),"")</f>
        <v/>
      </c>
      <c r="AQ81" s="43" t="str" cm="1">
        <f t="array" aca="1" ref="AQ81" ca="1">IFERROR(INDEX('DBX Sprint'!$A$7:$K$62, SMALL(IF((INDEX('DBX Sprint'!$A$7:$K$62, ,32)&lt;=(TODAY()+10))*(INDEX('DBX Sprint'!$A$7:$K$62, ,32)&gt;(TODAY()+5)),MATCH(ROW('DBX Sprint'!$A$7:$K$62),ROW('DBX Sprint'!$A$7:$K$62)),""),ROWS($AQ$34:AQ81)),COLUMNS('DBX Sprint'!$A$1:A12)),"")</f>
        <v/>
      </c>
    </row>
    <row r="82" spans="3:43" ht="30" customHeight="1">
      <c r="C82" s="41" t="str" cm="1">
        <f t="array" ref="C82">IFERROR(INDEX('DBX Sprint'!$A$7:$K$62, SMALL(IF((INDEX('DBX Sprint'!$A$7:$K$62, ,13)=("Complete"))*(INDEX('DBX Sprint'!$A$7:$K$62, ,13)="Complete"),MATCH(ROW('DBX Sprint'!$A$7:$K$62),ROW('DBX Sprint'!$A$7:$K$62)),""),ROWS(C$34:$C82)),COLUMNS('DBX Sprint'!$A$1:A12)),"")</f>
        <v/>
      </c>
      <c r="D82" s="41" t="str" cm="1">
        <f t="array" aca="1" ref="D82" ca="1">IFERROR(INDEX('DBX Sprint'!$A$7:$K$62, SMALL(IF((INDEX('DBX Sprint'!$A$7:$K$62, ,13)&lt;(TODAY()))*(INDEX('DBX Sprint'!$A$7:$K$62, ,13)&lt;&gt;"Complete"),MATCH(ROW('DBX Sprint'!$A$7:$K$62),ROW('DBX Sprint'!$A$7:$K$62)),""),ROWS(D$34:$D82)),COLUMNS('DBX Sprint'!$A$1:A12)),"")</f>
        <v/>
      </c>
      <c r="E82" s="41" t="str" cm="1">
        <f t="array" aca="1" ref="E82" ca="1">IFERROR(INDEX('DBX Sprint'!$A$7:$K$62, SMALL(IF((INDEX('DBX Sprint'!$A$7:$K$62, ,13)&lt;=(TODAY()+1))*(INDEX('DBX Sprint'!$A$7:$K$62, ,13)&gt;=TODAY()),MATCH(ROW('DBX Sprint'!$A$7:$K$62),ROW('DBX Sprint'!$A$7:$K$62)),""),ROWS(E$34:$E82)),COLUMNS('DBX Sprint'!$A$1:A12)),"")</f>
        <v/>
      </c>
      <c r="F82" s="43" t="str" cm="1">
        <f t="array" aca="1" ref="F82" ca="1">IFERROR(INDEX('DBX Sprint'!$A$7:$K$62, SMALL(IF((INDEX('DBX Sprint'!$A$7:$K$62, ,13)&lt;=(TODAY()+5))*(INDEX('DBX Sprint'!$A$7:$K$62, ,13)&gt;(TODAY()+1)),MATCH(ROW('DBX Sprint'!$A$7:$K$62),ROW('DBX Sprint'!$A$7:$K$62)),""),ROWS($F$34:F82)),COLUMNS('DBX Sprint'!$A$1:A12)),"")</f>
        <v/>
      </c>
      <c r="G82" s="43" t="str" cm="1">
        <f t="array" aca="1" ref="G82" ca="1">IFERROR(INDEX('DBX Sprint'!$A$7:$K$62, SMALL(IF((INDEX('DBX Sprint'!$A$7:$K$62, ,13)&lt;=(TODAY()+10))*(INDEX('DBX Sprint'!$A$7:$K$62, ,13)&gt;(TODAY()+5)),MATCH(ROW('DBX Sprint'!$A$7:$K$62),ROW('DBX Sprint'!$A$7:$K$62)),""),ROWS($G$34:G82)),COLUMNS('DBX Sprint'!$A$1:A12)),"")</f>
        <v/>
      </c>
      <c r="I82" s="41" t="str" cm="1">
        <f t="array" ref="I82">IFERROR(INDEX('DBX Sprint'!$A$7:$K$62, SMALL(IF((INDEX('DBX Sprint'!$A$7:$K$62, ,16)=("Complete"))*(INDEX('DBX Sprint'!$A$7:$K$62, ,16)="Complete"),MATCH(ROW('DBX Sprint'!$A$7:$K$62),ROW('DBX Sprint'!$A$7:$K$62)),""),ROWS($I$34:I82)),COLUMNS('DBX Sprint'!$A$1:A12)),"")</f>
        <v/>
      </c>
      <c r="J82" s="41" t="str" cm="1">
        <f t="array" aca="1" ref="J82" ca="1">IFERROR(INDEX('DBX Sprint'!$A$7:$K$62, SMALL(IF((INDEX('DBX Sprint'!$A$7:$K$62, ,16)&lt;(TODAY()))*(INDEX('DBX Sprint'!$A$7:$K$62, ,16)&lt;&gt;"Complete"),MATCH(ROW('DBX Sprint'!$A$7:$K$62),ROW('DBX Sprint'!$A$7:$K$62)),""),ROWS($J$34:J82)),COLUMNS('DBX Sprint'!$A$1:A12)),"")</f>
        <v/>
      </c>
      <c r="K82" s="37" t="str" cm="1">
        <f t="array" aca="1" ref="K82" ca="1">IFERROR(INDEX('DBX Sprint'!$A$7:$K$62, SMALL(IF((INDEX('DBX Sprint'!$A$7:$K$62, ,16)&lt;=(TODAY()+1))*(INDEX('DBX Sprint'!$A$7:$K$62, ,16)&gt;=TODAY()),MATCH(ROW('DBX Sprint'!$A$7:$K$62),ROW('DBX Sprint'!$A$7:$K$62)),""),ROWS($K$34:K82)),COLUMNS('DBX Sprint'!$A$1:A12)),"")</f>
        <v/>
      </c>
      <c r="L82" s="38" t="str" cm="1">
        <f t="array" aca="1" ref="L82" ca="1">IFERROR(INDEX('DBX Sprint'!$A$7:$K$62, SMALL(IF((INDEX('DBX Sprint'!$A$7:$K$62, ,16)&lt;=(TODAY()+5))*(INDEX('DBX Sprint'!$A$7:$K$62, ,16)&gt;(TODAY()+1)),MATCH(ROW('DBX Sprint'!$A$7:$K$62),ROW('DBX Sprint'!$A$7:$K$62)),""),ROWS($L$34:L82)),COLUMNS('DBX Sprint'!$A$1:A12)),"")</f>
        <v/>
      </c>
      <c r="M82" s="43" t="str" cm="1">
        <f t="array" aca="1" ref="M82" ca="1">IFERROR(INDEX('DBX Sprint'!$A$7:$K$62, SMALL(IF((INDEX('DBX Sprint'!$A$7:$K$62, ,16)&lt;=(TODAY()+10))*(INDEX('DBX Sprint'!$A$7:$K$62, ,16)&gt;(TODAY()+5)),MATCH(ROW('DBX Sprint'!$A$7:$K$62),ROW('DBX Sprint'!$A$7:$K$62)),""),ROWS($M$34:M82)),COLUMNS('DBX Sprint'!$A$1:A12)),"")</f>
        <v/>
      </c>
      <c r="P82" s="41" t="str" cm="1">
        <f t="array" aca="1" ref="P82" ca="1">IFERROR(INDEX('DBX Sprint'!$A$7:$K$62, SMALL(IF((INDEX('DBX Sprint'!$A$7:$K$62, ,19)&lt;(TODAY()))*(INDEX('DBX Sprint'!$A$7:$K$62, ,19)&lt;&gt;"Complete"),MATCH(ROW('DBX Sprint'!$A$7:$K$62),ROW('DBX Sprint'!$A$7:$K$62)),""),ROWS($P$34:P82)),COLUMNS('DBX Sprint'!$A$1:A12)),"")</f>
        <v/>
      </c>
      <c r="Q82" s="41" t="str" cm="1">
        <f t="array" aca="1" ref="Q82" ca="1">IFERROR(INDEX('DBX Sprint'!$A$7:$K$62, SMALL(IF((INDEX('DBX Sprint'!$A$7:$K$62, ,19)&lt;=(TODAY()+1))*(INDEX('DBX Sprint'!$A$7:$K$62, ,19)&gt;=TODAY()),MATCH(ROW('DBX Sprint'!$A$7:$K$62),ROW('DBX Sprint'!$A$7:$K$62)),""),ROWS($Q$34:Q82)),COLUMNS('DBX Sprint'!$A$1:A12)),"")</f>
        <v/>
      </c>
      <c r="R82" s="43" t="str" cm="1">
        <f t="array" aca="1" ref="R82" ca="1">IFERROR(INDEX('DBX Sprint'!$A$7:$K$62, SMALL(IF((INDEX('DBX Sprint'!$A$7:$K$62, ,19)&lt;=(TODAY()+5))*(INDEX('DBX Sprint'!$A$7:$K$62, ,19)&gt;(TODAY()+1)),MATCH(ROW('DBX Sprint'!$A$7:$K$62),ROW('DBX Sprint'!$A$7:$K$62)),""),ROWS($R$34:R82)),COLUMNS('DBX Sprint'!$A$1:A12)),"")</f>
        <v/>
      </c>
      <c r="S82" s="43" t="str" cm="1">
        <f t="array" aca="1" ref="S82" ca="1">IFERROR(INDEX('DBX Sprint'!$A$7:$K$62, SMALL(IF((INDEX('DBX Sprint'!$A$7:$K$62, ,19)&lt;=(TODAY()+10))*(INDEX('DBX Sprint'!$A$7:$K$62, ,19)&gt;(TODAY()+5)),MATCH(ROW('DBX Sprint'!$A$7:$K$62),ROW('DBX Sprint'!$A$7:$K$62)),""),ROWS($S$34:S82)),COLUMNS('DBX Sprint'!$A$1:A12)),"")</f>
        <v/>
      </c>
      <c r="U82" s="41" t="str" cm="1">
        <f t="array" ref="U82">IFERROR(INDEX('DBX Sprint'!$A$7:$K$62, SMALL(IF((INDEX('DBX Sprint'!$A$7:$K$62, ,22)=("Complete"))*(INDEX('DBX Sprint'!$A$7:$K$62, ,22)="Complete"),MATCH(ROW('DBX Sprint'!$A$7:$K$62),ROW('DBX Sprint'!$A$7:$K$62)),""),ROWS($U$34:U82)),COLUMNS('DBX Sprint'!$A$1:A12)),"")</f>
        <v/>
      </c>
      <c r="V82" s="41" t="str" cm="1">
        <f t="array" aca="1" ref="V82" ca="1">IFERROR(INDEX('DBX Sprint'!$A$7:$K$62, SMALL(IF((INDEX('DBX Sprint'!$A$7:$K$62, ,22)&lt;(TODAY()))*(INDEX('DBX Sprint'!$A$7:$K$62, ,22)&lt;&gt;"Complete"),MATCH(ROW('DBX Sprint'!$A$7:$K$62),ROW('DBX Sprint'!$A$7:$K$62)),""),ROWS($V$34:V82)),COLUMNS('DBX Sprint'!$A$1:A12)),"")</f>
        <v/>
      </c>
      <c r="W82" s="41" t="str" cm="1">
        <f t="array" aca="1" ref="W82" ca="1">IFERROR(INDEX('DBX Sprint'!$A$7:$K$62, SMALL(IF((INDEX('DBX Sprint'!$A$7:$K$62, ,22)&lt;=(TODAY()+1))*(INDEX('DBX Sprint'!$A$7:$K$62, ,22)&gt;=TODAY()),MATCH(ROW('DBX Sprint'!$A$7:$K$62),ROW('DBX Sprint'!$A$7:$K$62)),""),ROWS($W$34:W82)),COLUMNS('DBX Sprint'!$A$1:A12)),"")</f>
        <v/>
      </c>
      <c r="X82" s="43" t="str" cm="1">
        <f t="array" aca="1" ref="X82" ca="1">IFERROR(INDEX('DBX Sprint'!$A$7:$K$62, SMALL(IF((INDEX('DBX Sprint'!$A$7:$K$62, ,22)&lt;=(TODAY()+5))*(INDEX('DBX Sprint'!$A$7:$K$62, ,22)&gt;(TODAY()+1)),MATCH(ROW('DBX Sprint'!$A$7:$K$62),ROW('DBX Sprint'!$A$7:$K$62)),""),ROWS($X$34:X82)),COLUMNS('DBX Sprint'!$A$1:A12)),"")</f>
        <v/>
      </c>
      <c r="Y82" s="43" t="str" cm="1">
        <f t="array" aca="1" ref="Y82" ca="1">IFERROR(INDEX('DBX Sprint'!$A$7:$K$62, SMALL(IF((INDEX('DBX Sprint'!$A$7:$K$62, ,22)&lt;=(TODAY()+10))*(INDEX('DBX Sprint'!$A$7:$K$62, ,22)&gt;(TODAY()+5)),MATCH(ROW('DBX Sprint'!$A$7:$K$62),ROW('DBX Sprint'!$A$7:$K$62)),""),ROWS($Y$34:Y82)),COLUMNS('DBX Sprint'!$A$1:A12)),"")</f>
        <v/>
      </c>
      <c r="AA82" s="41" t="str" cm="1">
        <f t="array" ref="AA82">IFERROR(INDEX('DBX Sprint'!$A$7:$K$62, SMALL(IF((INDEX('DBX Sprint'!$A$7:$K$62, ,25)=("Complete"))*(INDEX('DBX Sprint'!$A$7:$K$62, ,25)="Complete"),MATCH(ROW('DBX Sprint'!$A$7:$K$62),ROW('DBX Sprint'!$A$7:$K$62)),""),ROWS($AA$34:AA82)),COLUMNS('DBX Sprint'!$A$1:A12)),"")</f>
        <v/>
      </c>
      <c r="AB82" s="41" t="str" cm="1">
        <f t="array" aca="1" ref="AB82" ca="1">IFERROR(INDEX('DBX Sprint'!$A$7:$K$62, SMALL(IF((INDEX('DBX Sprint'!$A$7:$K$62, ,25)&lt;(TODAY()))*(INDEX('DBX Sprint'!$A$7:$K$62, ,25)&lt;&gt;"Complete"),MATCH(ROW('DBX Sprint'!$A$7:$K$62),ROW('DBX Sprint'!$A$7:$K$62)),""),ROWS($AB$34:AB82)),COLUMNS('DBX Sprint'!$A$1:A12)),"")</f>
        <v/>
      </c>
      <c r="AC82" s="41" t="str" cm="1">
        <f t="array" aca="1" ref="AC82" ca="1">IFERROR(INDEX('DBX Sprint'!$A$7:$K$62, SMALL(IF((INDEX('DBX Sprint'!$A$7:$K$62, ,25)&lt;=(TODAY()+1))*(INDEX('DBX Sprint'!$A$7:$K$62, ,25)&gt;=TODAY()),MATCH(ROW('DBX Sprint'!$A$7:$K$62),ROW('DBX Sprint'!$A$7:$K$62)),""),ROWS($AC$34:AC82)),COLUMNS('DBX Sprint'!$A$1:A12)),"")</f>
        <v/>
      </c>
      <c r="AD82" s="43" t="str" cm="1">
        <f t="array" aca="1" ref="AD82" ca="1">IFERROR(INDEX('DBX Sprint'!$A$7:$K$62, SMALL(IF((INDEX('DBX Sprint'!$A$7:$K$62, ,25)&lt;=(TODAY()+5))*(INDEX('DBX Sprint'!$A$7:$K$62, ,25)&gt;(TODAY()+1)),MATCH(ROW('DBX Sprint'!$A$7:$K$62),ROW('DBX Sprint'!$A$7:$K$62)),""),ROWS($AD$34:AD82)),COLUMNS('DBX Sprint'!$A$1:A12)),"")</f>
        <v/>
      </c>
      <c r="AE82" s="43" t="str" cm="1">
        <f t="array" aca="1" ref="AE82" ca="1">IFERROR(INDEX('DBX Sprint'!$A$7:$K$62, SMALL(IF((INDEX('DBX Sprint'!$A$7:$K$62, ,25)&lt;=(TODAY()+10))*(INDEX('DBX Sprint'!$A$7:$K$62, ,25)&gt;(TODAY()+5)),MATCH(ROW('DBX Sprint'!$A$7:$K$62),ROW('DBX Sprint'!$A$7:$K$62)),""),ROWS($AE$34:AE82)),COLUMNS('DBX Sprint'!$A$1:A12)),"")</f>
        <v/>
      </c>
      <c r="AG82" s="41" t="str" cm="1">
        <f t="array" ref="AG82">IFERROR(INDEX('DBX Sprint'!$A$7:$K$62, SMALL(IF((INDEX('DBX Sprint'!$A$7:$K$62, ,29)=("Complete"))*(INDEX('DBX Sprint'!$A$7:$K$62, ,29)="Complete"),MATCH(ROW('DBX Sprint'!$A$7:$K$62),ROW('DBX Sprint'!$A$7:$K$62)),""),ROWS($AG$34:AG82)),COLUMNS('DBX Sprint'!$A$1:A12)),"")</f>
        <v/>
      </c>
      <c r="AH82" s="41" t="str" cm="1">
        <f t="array" aca="1" ref="AH82" ca="1">IFERROR(INDEX('DBX Sprint'!$A$7:$K$62, SMALL(IF((INDEX('DBX Sprint'!$A$7:$K$62, ,29)&lt;(TODAY()))*(INDEX('DBX Sprint'!$A$7:$K$62, ,29)&lt;&gt;"Complete"),MATCH(ROW('DBX Sprint'!$A$7:$K$62),ROW('DBX Sprint'!$A$7:$K$62)),""),ROWS($AH$34:AH82)),COLUMNS('DBX Sprint'!$A$1:A12)),"")</f>
        <v/>
      </c>
      <c r="AI82" s="41" t="str" cm="1">
        <f t="array" aca="1" ref="AI82" ca="1">IFERROR(INDEX('DBX Sprint'!$A$7:$K$62, SMALL(IF((INDEX('DBX Sprint'!$A$7:$K$62, ,29)&lt;=(TODAY()+1))*(INDEX('DBX Sprint'!$A$7:$K$62, ,29)&gt;=TODAY()),MATCH(ROW('DBX Sprint'!$A$7:$K$62),ROW('DBX Sprint'!$A$7:$K$62)),""),ROWS($AI$34:AI82)),COLUMNS('DBX Sprint'!$A$1:A12)),"")</f>
        <v/>
      </c>
      <c r="AJ82" s="43" t="str" cm="1">
        <f t="array" aca="1" ref="AJ82" ca="1">IFERROR(INDEX('DBX Sprint'!$A$7:$K$62, SMALL(IF((INDEX('DBX Sprint'!$A$7:$K$62, ,29)&lt;=(TODAY()+5))*(INDEX('DBX Sprint'!$A$7:$K$62, ,29)&gt;(TODAY()+1)),MATCH(ROW('DBX Sprint'!$A$7:$K$62),ROW('DBX Sprint'!$A$7:$K$62)),""),ROWS($AJ$34:AJ82)),COLUMNS('DBX Sprint'!$A$1:A12)),"")</f>
        <v/>
      </c>
      <c r="AK82" s="43" t="str" cm="1">
        <f t="array" aca="1" ref="AK82" ca="1">IFERROR(INDEX('DBX Sprint'!$A$7:$K$62, SMALL(IF((INDEX('DBX Sprint'!$A$7:$K$62, ,29)&lt;=(TODAY()+10))*(INDEX('DBX Sprint'!$A$7:$K$62, ,29)&gt;(TODAY()+5)),MATCH(ROW('DBX Sprint'!$A$7:$K$62),ROW('DBX Sprint'!$A$7:$K$62)),""),ROWS($AK$34:AK82)),COLUMNS('DBX Sprint'!$A$1:A12)),"")</f>
        <v/>
      </c>
      <c r="AM82" s="41" t="str" cm="1">
        <f t="array" ref="AM82">IFERROR(INDEX('DBX Sprint'!$A$7:$K$62, SMALL(IF((INDEX('DBX Sprint'!$A$7:$K$62, ,32)=("Complete"))*(INDEX('DBX Sprint'!$A$7:$K$62, ,32)="Complete"),MATCH(ROW('DBX Sprint'!$A$7:$K$62),ROW('DBX Sprint'!$A$7:$K$62)),""),ROWS($AM$34:AM82)),COLUMNS('DBX Sprint'!$A$1:A12)),"")</f>
        <v/>
      </c>
      <c r="AN82" s="41" t="str" cm="1">
        <f t="array" aca="1" ref="AN82" ca="1">IFERROR(INDEX('DBX Sprint'!$A$7:$K$62, SMALL(IF((INDEX('DBX Sprint'!$A$7:$K$62, ,32)&lt;(TODAY()))*(INDEX('DBX Sprint'!$A$7:$K$62, ,32)&lt;&gt;"Complete"),MATCH(ROW('DBX Sprint'!$A$7:$K$62),ROW('DBX Sprint'!$A$7:$K$62)),""),ROWS($AN$34:AN82)),COLUMNS('DBX Sprint'!$A$1:A12)),"")</f>
        <v/>
      </c>
      <c r="AO82" s="41" t="str" cm="1">
        <f t="array" aca="1" ref="AO82" ca="1">IFERROR(INDEX('DBX Sprint'!$A$7:$K$62, SMALL(IF((INDEX('DBX Sprint'!$A$7:$K$62, ,32)&lt;=(TODAY()+1))*(INDEX('DBX Sprint'!$A$7:$K$62, ,32)&gt;=TODAY()),MATCH(ROW('DBX Sprint'!$A$7:$K$62),ROW('DBX Sprint'!$A$7:$K$62)),""),ROWS($AO$34:AO82)),COLUMNS('DBX Sprint'!$A$1:A12)),"")</f>
        <v/>
      </c>
      <c r="AP82" s="43" t="str" cm="1">
        <f t="array" aca="1" ref="AP82" ca="1">IFERROR(INDEX('DBX Sprint'!$A$7:$K$62, SMALL(IF((INDEX('DBX Sprint'!$A$7:$K$62, ,32)&lt;=(TODAY()+5))*(INDEX('DBX Sprint'!$A$7:$K$62, ,32)&gt;(TODAY()+1)),MATCH(ROW('DBX Sprint'!$A$7:$K$62),ROW('DBX Sprint'!$A$7:$K$62)),""),ROWS($AP$34:AP82)),COLUMNS('DBX Sprint'!$A$1:A12)),"")</f>
        <v/>
      </c>
      <c r="AQ82" s="43" t="str" cm="1">
        <f t="array" aca="1" ref="AQ82" ca="1">IFERROR(INDEX('DBX Sprint'!$A$7:$K$62, SMALL(IF((INDEX('DBX Sprint'!$A$7:$K$62, ,32)&lt;=(TODAY()+10))*(INDEX('DBX Sprint'!$A$7:$K$62, ,32)&gt;(TODAY()+5)),MATCH(ROW('DBX Sprint'!$A$7:$K$62),ROW('DBX Sprint'!$A$7:$K$62)),""),ROWS($AQ$34:AQ82)),COLUMNS('DBX Sprint'!$A$1:A12)),"")</f>
        <v/>
      </c>
    </row>
    <row r="83" spans="3:43" ht="30" customHeight="1">
      <c r="C83" s="41" t="str" cm="1">
        <f t="array" ref="C83">IFERROR(INDEX('DBX Sprint'!$A$7:$K$62, SMALL(IF((INDEX('DBX Sprint'!$A$7:$K$62, ,13)=("Complete"))*(INDEX('DBX Sprint'!$A$7:$K$62, ,13)="Complete"),MATCH(ROW('DBX Sprint'!$A$7:$K$62),ROW('DBX Sprint'!$A$7:$K$62)),""),ROWS(C$34:$C83)),COLUMNS('DBX Sprint'!$A$1:A12)),"")</f>
        <v/>
      </c>
      <c r="D83" s="41" t="str" cm="1">
        <f t="array" aca="1" ref="D83" ca="1">IFERROR(INDEX('DBX Sprint'!$A$7:$K$62, SMALL(IF((INDEX('DBX Sprint'!$A$7:$K$62, ,13)&lt;(TODAY()))*(INDEX('DBX Sprint'!$A$7:$K$62, ,13)&lt;&gt;"Complete"),MATCH(ROW('DBX Sprint'!$A$7:$K$62),ROW('DBX Sprint'!$A$7:$K$62)),""),ROWS(D$34:$D83)),COLUMNS('DBX Sprint'!$A$1:A12)),"")</f>
        <v/>
      </c>
      <c r="E83" s="41" t="str" cm="1">
        <f t="array" aca="1" ref="E83" ca="1">IFERROR(INDEX('DBX Sprint'!$A$7:$K$62, SMALL(IF((INDEX('DBX Sprint'!$A$7:$K$62, ,13)&lt;=(TODAY()+1))*(INDEX('DBX Sprint'!$A$7:$K$62, ,13)&gt;=TODAY()),MATCH(ROW('DBX Sprint'!$A$7:$K$62),ROW('DBX Sprint'!$A$7:$K$62)),""),ROWS(E$34:$E83)),COLUMNS('DBX Sprint'!$A$1:A12)),"")</f>
        <v/>
      </c>
      <c r="F83" s="43" t="str" cm="1">
        <f t="array" aca="1" ref="F83" ca="1">IFERROR(INDEX('DBX Sprint'!$A$7:$K$62, SMALL(IF((INDEX('DBX Sprint'!$A$7:$K$62, ,13)&lt;=(TODAY()+5))*(INDEX('DBX Sprint'!$A$7:$K$62, ,13)&gt;(TODAY()+1)),MATCH(ROW('DBX Sprint'!$A$7:$K$62),ROW('DBX Sprint'!$A$7:$K$62)),""),ROWS($F$34:F83)),COLUMNS('DBX Sprint'!$A$1:A12)),"")</f>
        <v/>
      </c>
      <c r="G83" s="43" t="str" cm="1">
        <f t="array" aca="1" ref="G83" ca="1">IFERROR(INDEX('DBX Sprint'!$A$7:$K$62, SMALL(IF((INDEX('DBX Sprint'!$A$7:$K$62, ,13)&lt;=(TODAY()+10))*(INDEX('DBX Sprint'!$A$7:$K$62, ,13)&gt;(TODAY()+5)),MATCH(ROW('DBX Sprint'!$A$7:$K$62),ROW('DBX Sprint'!$A$7:$K$62)),""),ROWS($G$34:G83)),COLUMNS('DBX Sprint'!$A$1:A12)),"")</f>
        <v/>
      </c>
      <c r="I83" s="41" t="str" cm="1">
        <f t="array" ref="I83">IFERROR(INDEX('DBX Sprint'!$A$7:$K$62, SMALL(IF((INDEX('DBX Sprint'!$A$7:$K$62, ,16)=("Complete"))*(INDEX('DBX Sprint'!$A$7:$K$62, ,16)="Complete"),MATCH(ROW('DBX Sprint'!$A$7:$K$62),ROW('DBX Sprint'!$A$7:$K$62)),""),ROWS($I$34:I83)),COLUMNS('DBX Sprint'!$A$1:A12)),"")</f>
        <v/>
      </c>
      <c r="J83" s="41" t="str" cm="1">
        <f t="array" aca="1" ref="J83" ca="1">IFERROR(INDEX('DBX Sprint'!$A$7:$K$62, SMALL(IF((INDEX('DBX Sprint'!$A$7:$K$62, ,16)&lt;(TODAY()))*(INDEX('DBX Sprint'!$A$7:$K$62, ,16)&lt;&gt;"Complete"),MATCH(ROW('DBX Sprint'!$A$7:$K$62),ROW('DBX Sprint'!$A$7:$K$62)),""),ROWS($J$34:J83)),COLUMNS('DBX Sprint'!$A$1:A12)),"")</f>
        <v/>
      </c>
      <c r="K83" s="37" t="str" cm="1">
        <f t="array" aca="1" ref="K83" ca="1">IFERROR(INDEX('DBX Sprint'!$A$7:$K$62, SMALL(IF((INDEX('DBX Sprint'!$A$7:$K$62, ,16)&lt;=(TODAY()+1))*(INDEX('DBX Sprint'!$A$7:$K$62, ,16)&gt;=TODAY()),MATCH(ROW('DBX Sprint'!$A$7:$K$62),ROW('DBX Sprint'!$A$7:$K$62)),""),ROWS($K$34:K83)),COLUMNS('DBX Sprint'!$A$1:A12)),"")</f>
        <v/>
      </c>
      <c r="L83" s="38" t="str" cm="1">
        <f t="array" aca="1" ref="L83" ca="1">IFERROR(INDEX('DBX Sprint'!$A$7:$K$62, SMALL(IF((INDEX('DBX Sprint'!$A$7:$K$62, ,16)&lt;=(TODAY()+5))*(INDEX('DBX Sprint'!$A$7:$K$62, ,16)&gt;(TODAY()+1)),MATCH(ROW('DBX Sprint'!$A$7:$K$62),ROW('DBX Sprint'!$A$7:$K$62)),""),ROWS($L$34:L83)),COLUMNS('DBX Sprint'!$A$1:A12)),"")</f>
        <v/>
      </c>
      <c r="M83" s="43" t="str" cm="1">
        <f t="array" aca="1" ref="M83" ca="1">IFERROR(INDEX('DBX Sprint'!$A$7:$K$62, SMALL(IF((INDEX('DBX Sprint'!$A$7:$K$62, ,16)&lt;=(TODAY()+10))*(INDEX('DBX Sprint'!$A$7:$K$62, ,16)&gt;(TODAY()+5)),MATCH(ROW('DBX Sprint'!$A$7:$K$62),ROW('DBX Sprint'!$A$7:$K$62)),""),ROWS($M$34:M83)),COLUMNS('DBX Sprint'!$A$1:A12)),"")</f>
        <v/>
      </c>
      <c r="P83" s="41" t="str" cm="1">
        <f t="array" aca="1" ref="P83" ca="1">IFERROR(INDEX('DBX Sprint'!$A$7:$K$62, SMALL(IF((INDEX('DBX Sprint'!$A$7:$K$62, ,19)&lt;(TODAY()))*(INDEX('DBX Sprint'!$A$7:$K$62, ,19)&lt;&gt;"Complete"),MATCH(ROW('DBX Sprint'!$A$7:$K$62),ROW('DBX Sprint'!$A$7:$K$62)),""),ROWS($P$34:P83)),COLUMNS('DBX Sprint'!$A$1:A12)),"")</f>
        <v/>
      </c>
      <c r="Q83" s="41" t="str" cm="1">
        <f t="array" aca="1" ref="Q83" ca="1">IFERROR(INDEX('DBX Sprint'!$A$7:$K$62, SMALL(IF((INDEX('DBX Sprint'!$A$7:$K$62, ,19)&lt;=(TODAY()+1))*(INDEX('DBX Sprint'!$A$7:$K$62, ,19)&gt;=TODAY()),MATCH(ROW('DBX Sprint'!$A$7:$K$62),ROW('DBX Sprint'!$A$7:$K$62)),""),ROWS($Q$34:Q83)),COLUMNS('DBX Sprint'!$A$1:A12)),"")</f>
        <v/>
      </c>
      <c r="R83" s="43" t="str" cm="1">
        <f t="array" aca="1" ref="R83" ca="1">IFERROR(INDEX('DBX Sprint'!$A$7:$K$62, SMALL(IF((INDEX('DBX Sprint'!$A$7:$K$62, ,19)&lt;=(TODAY()+5))*(INDEX('DBX Sprint'!$A$7:$K$62, ,19)&gt;(TODAY()+1)),MATCH(ROW('DBX Sprint'!$A$7:$K$62),ROW('DBX Sprint'!$A$7:$K$62)),""),ROWS($R$34:R83)),COLUMNS('DBX Sprint'!$A$1:A12)),"")</f>
        <v/>
      </c>
      <c r="S83" s="43" t="str" cm="1">
        <f t="array" aca="1" ref="S83" ca="1">IFERROR(INDEX('DBX Sprint'!$A$7:$K$62, SMALL(IF((INDEX('DBX Sprint'!$A$7:$K$62, ,19)&lt;=(TODAY()+10))*(INDEX('DBX Sprint'!$A$7:$K$62, ,19)&gt;(TODAY()+5)),MATCH(ROW('DBX Sprint'!$A$7:$K$62),ROW('DBX Sprint'!$A$7:$K$62)),""),ROWS($S$34:S83)),COLUMNS('DBX Sprint'!$A$1:A12)),"")</f>
        <v/>
      </c>
      <c r="U83" s="41" t="str" cm="1">
        <f t="array" ref="U83">IFERROR(INDEX('DBX Sprint'!$A$7:$K$62, SMALL(IF((INDEX('DBX Sprint'!$A$7:$K$62, ,22)=("Complete"))*(INDEX('DBX Sprint'!$A$7:$K$62, ,22)="Complete"),MATCH(ROW('DBX Sprint'!$A$7:$K$62),ROW('DBX Sprint'!$A$7:$K$62)),""),ROWS($U$34:U83)),COLUMNS('DBX Sprint'!$A$1:A12)),"")</f>
        <v/>
      </c>
      <c r="V83" s="41" t="str" cm="1">
        <f t="array" aca="1" ref="V83" ca="1">IFERROR(INDEX('DBX Sprint'!$A$7:$K$62, SMALL(IF((INDEX('DBX Sprint'!$A$7:$K$62, ,22)&lt;(TODAY()))*(INDEX('DBX Sprint'!$A$7:$K$62, ,22)&lt;&gt;"Complete"),MATCH(ROW('DBX Sprint'!$A$7:$K$62),ROW('DBX Sprint'!$A$7:$K$62)),""),ROWS($V$34:V83)),COLUMNS('DBX Sprint'!$A$1:A12)),"")</f>
        <v/>
      </c>
      <c r="W83" s="41" t="str" cm="1">
        <f t="array" aca="1" ref="W83" ca="1">IFERROR(INDEX('DBX Sprint'!$A$7:$K$62, SMALL(IF((INDEX('DBX Sprint'!$A$7:$K$62, ,22)&lt;=(TODAY()+1))*(INDEX('DBX Sprint'!$A$7:$K$62, ,22)&gt;=TODAY()),MATCH(ROW('DBX Sprint'!$A$7:$K$62),ROW('DBX Sprint'!$A$7:$K$62)),""),ROWS($W$34:W83)),COLUMNS('DBX Sprint'!$A$1:A12)),"")</f>
        <v/>
      </c>
      <c r="X83" s="43" t="str" cm="1">
        <f t="array" aca="1" ref="X83" ca="1">IFERROR(INDEX('DBX Sprint'!$A$7:$K$62, SMALL(IF((INDEX('DBX Sprint'!$A$7:$K$62, ,22)&lt;=(TODAY()+5))*(INDEX('DBX Sprint'!$A$7:$K$62, ,22)&gt;(TODAY()+1)),MATCH(ROW('DBX Sprint'!$A$7:$K$62),ROW('DBX Sprint'!$A$7:$K$62)),""),ROWS($X$34:X83)),COLUMNS('DBX Sprint'!$A$1:A12)),"")</f>
        <v/>
      </c>
      <c r="Y83" s="43" t="str" cm="1">
        <f t="array" aca="1" ref="Y83" ca="1">IFERROR(INDEX('DBX Sprint'!$A$7:$K$62, SMALL(IF((INDEX('DBX Sprint'!$A$7:$K$62, ,22)&lt;=(TODAY()+10))*(INDEX('DBX Sprint'!$A$7:$K$62, ,22)&gt;(TODAY()+5)),MATCH(ROW('DBX Sprint'!$A$7:$K$62),ROW('DBX Sprint'!$A$7:$K$62)),""),ROWS($Y$34:Y83)),COLUMNS('DBX Sprint'!$A$1:A12)),"")</f>
        <v/>
      </c>
      <c r="AA83" s="41" t="str" cm="1">
        <f t="array" ref="AA83">IFERROR(INDEX('DBX Sprint'!$A$7:$K$62, SMALL(IF((INDEX('DBX Sprint'!$A$7:$K$62, ,25)=("Complete"))*(INDEX('DBX Sprint'!$A$7:$K$62, ,25)="Complete"),MATCH(ROW('DBX Sprint'!$A$7:$K$62),ROW('DBX Sprint'!$A$7:$K$62)),""),ROWS($AA$34:AA83)),COLUMNS('DBX Sprint'!$A$1:A12)),"")</f>
        <v/>
      </c>
      <c r="AB83" s="41" t="str" cm="1">
        <f t="array" aca="1" ref="AB83" ca="1">IFERROR(INDEX('DBX Sprint'!$A$7:$K$62, SMALL(IF((INDEX('DBX Sprint'!$A$7:$K$62, ,25)&lt;(TODAY()))*(INDEX('DBX Sprint'!$A$7:$K$62, ,25)&lt;&gt;"Complete"),MATCH(ROW('DBX Sprint'!$A$7:$K$62),ROW('DBX Sprint'!$A$7:$K$62)),""),ROWS($AB$34:AB83)),COLUMNS('DBX Sprint'!$A$1:A12)),"")</f>
        <v/>
      </c>
      <c r="AC83" s="41" t="str" cm="1">
        <f t="array" aca="1" ref="AC83" ca="1">IFERROR(INDEX('DBX Sprint'!$A$7:$K$62, SMALL(IF((INDEX('DBX Sprint'!$A$7:$K$62, ,25)&lt;=(TODAY()+1))*(INDEX('DBX Sprint'!$A$7:$K$62, ,25)&gt;=TODAY()),MATCH(ROW('DBX Sprint'!$A$7:$K$62),ROW('DBX Sprint'!$A$7:$K$62)),""),ROWS($AC$34:AC83)),COLUMNS('DBX Sprint'!$A$1:A12)),"")</f>
        <v/>
      </c>
      <c r="AD83" s="43" t="str" cm="1">
        <f t="array" aca="1" ref="AD83" ca="1">IFERROR(INDEX('DBX Sprint'!$A$7:$K$62, SMALL(IF((INDEX('DBX Sprint'!$A$7:$K$62, ,25)&lt;=(TODAY()+5))*(INDEX('DBX Sprint'!$A$7:$K$62, ,25)&gt;(TODAY()+1)),MATCH(ROW('DBX Sprint'!$A$7:$K$62),ROW('DBX Sprint'!$A$7:$K$62)),""),ROWS($AD$34:AD83)),COLUMNS('DBX Sprint'!$A$1:A12)),"")</f>
        <v/>
      </c>
      <c r="AE83" s="43" t="str" cm="1">
        <f t="array" aca="1" ref="AE83" ca="1">IFERROR(INDEX('DBX Sprint'!$A$7:$K$62, SMALL(IF((INDEX('DBX Sprint'!$A$7:$K$62, ,25)&lt;=(TODAY()+10))*(INDEX('DBX Sprint'!$A$7:$K$62, ,25)&gt;(TODAY()+5)),MATCH(ROW('DBX Sprint'!$A$7:$K$62),ROW('DBX Sprint'!$A$7:$K$62)),""),ROWS($AE$34:AE83)),COLUMNS('DBX Sprint'!$A$1:A12)),"")</f>
        <v/>
      </c>
      <c r="AG83" s="41" t="str" cm="1">
        <f t="array" ref="AG83">IFERROR(INDEX('DBX Sprint'!$A$7:$K$62, SMALL(IF((INDEX('DBX Sprint'!$A$7:$K$62, ,29)=("Complete"))*(INDEX('DBX Sprint'!$A$7:$K$62, ,29)="Complete"),MATCH(ROW('DBX Sprint'!$A$7:$K$62),ROW('DBX Sprint'!$A$7:$K$62)),""),ROWS($AG$34:AG83)),COLUMNS('DBX Sprint'!$A$1:A12)),"")</f>
        <v/>
      </c>
      <c r="AH83" s="41" t="str" cm="1">
        <f t="array" aca="1" ref="AH83" ca="1">IFERROR(INDEX('DBX Sprint'!$A$7:$K$62, SMALL(IF((INDEX('DBX Sprint'!$A$7:$K$62, ,29)&lt;(TODAY()))*(INDEX('DBX Sprint'!$A$7:$K$62, ,29)&lt;&gt;"Complete"),MATCH(ROW('DBX Sprint'!$A$7:$K$62),ROW('DBX Sprint'!$A$7:$K$62)),""),ROWS($AH$34:AH83)),COLUMNS('DBX Sprint'!$A$1:A12)),"")</f>
        <v/>
      </c>
      <c r="AI83" s="41" t="str" cm="1">
        <f t="array" aca="1" ref="AI83" ca="1">IFERROR(INDEX('DBX Sprint'!$A$7:$K$62, SMALL(IF((INDEX('DBX Sprint'!$A$7:$K$62, ,29)&lt;=(TODAY()+1))*(INDEX('DBX Sprint'!$A$7:$K$62, ,29)&gt;=TODAY()),MATCH(ROW('DBX Sprint'!$A$7:$K$62),ROW('DBX Sprint'!$A$7:$K$62)),""),ROWS($AI$34:AI83)),COLUMNS('DBX Sprint'!$A$1:A12)),"")</f>
        <v/>
      </c>
      <c r="AJ83" s="43" t="str" cm="1">
        <f t="array" aca="1" ref="AJ83" ca="1">IFERROR(INDEX('DBX Sprint'!$A$7:$K$62, SMALL(IF((INDEX('DBX Sprint'!$A$7:$K$62, ,29)&lt;=(TODAY()+5))*(INDEX('DBX Sprint'!$A$7:$K$62, ,29)&gt;(TODAY()+1)),MATCH(ROW('DBX Sprint'!$A$7:$K$62),ROW('DBX Sprint'!$A$7:$K$62)),""),ROWS($AJ$34:AJ83)),COLUMNS('DBX Sprint'!$A$1:A12)),"")</f>
        <v/>
      </c>
      <c r="AK83" s="43" t="str" cm="1">
        <f t="array" aca="1" ref="AK83" ca="1">IFERROR(INDEX('DBX Sprint'!$A$7:$K$62, SMALL(IF((INDEX('DBX Sprint'!$A$7:$K$62, ,29)&lt;=(TODAY()+10))*(INDEX('DBX Sprint'!$A$7:$K$62, ,29)&gt;(TODAY()+5)),MATCH(ROW('DBX Sprint'!$A$7:$K$62),ROW('DBX Sprint'!$A$7:$K$62)),""),ROWS($AK$34:AK83)),COLUMNS('DBX Sprint'!$A$1:A12)),"")</f>
        <v/>
      </c>
      <c r="AM83" s="41" t="str" cm="1">
        <f t="array" ref="AM83">IFERROR(INDEX('DBX Sprint'!$A$7:$K$62, SMALL(IF((INDEX('DBX Sprint'!$A$7:$K$62, ,32)=("Complete"))*(INDEX('DBX Sprint'!$A$7:$K$62, ,32)="Complete"),MATCH(ROW('DBX Sprint'!$A$7:$K$62),ROW('DBX Sprint'!$A$7:$K$62)),""),ROWS($AM$34:AM83)),COLUMNS('DBX Sprint'!$A$1:A12)),"")</f>
        <v/>
      </c>
      <c r="AN83" s="41" t="str" cm="1">
        <f t="array" aca="1" ref="AN83" ca="1">IFERROR(INDEX('DBX Sprint'!$A$7:$K$62, SMALL(IF((INDEX('DBX Sprint'!$A$7:$K$62, ,32)&lt;(TODAY()))*(INDEX('DBX Sprint'!$A$7:$K$62, ,32)&lt;&gt;"Complete"),MATCH(ROW('DBX Sprint'!$A$7:$K$62),ROW('DBX Sprint'!$A$7:$K$62)),""),ROWS($AN$34:AN83)),COLUMNS('DBX Sprint'!$A$1:A12)),"")</f>
        <v/>
      </c>
      <c r="AO83" s="41" t="str" cm="1">
        <f t="array" aca="1" ref="AO83" ca="1">IFERROR(INDEX('DBX Sprint'!$A$7:$K$62, SMALL(IF((INDEX('DBX Sprint'!$A$7:$K$62, ,32)&lt;=(TODAY()+1))*(INDEX('DBX Sprint'!$A$7:$K$62, ,32)&gt;=TODAY()),MATCH(ROW('DBX Sprint'!$A$7:$K$62),ROW('DBX Sprint'!$A$7:$K$62)),""),ROWS($AO$34:AO83)),COLUMNS('DBX Sprint'!$A$1:A12)),"")</f>
        <v/>
      </c>
      <c r="AP83" s="43" t="str" cm="1">
        <f t="array" aca="1" ref="AP83" ca="1">IFERROR(INDEX('DBX Sprint'!$A$7:$K$62, SMALL(IF((INDEX('DBX Sprint'!$A$7:$K$62, ,32)&lt;=(TODAY()+5))*(INDEX('DBX Sprint'!$A$7:$K$62, ,32)&gt;(TODAY()+1)),MATCH(ROW('DBX Sprint'!$A$7:$K$62),ROW('DBX Sprint'!$A$7:$K$62)),""),ROWS($AP$34:AP83)),COLUMNS('DBX Sprint'!$A$1:A12)),"")</f>
        <v/>
      </c>
      <c r="AQ83" s="43" t="str" cm="1">
        <f t="array" aca="1" ref="AQ83" ca="1">IFERROR(INDEX('DBX Sprint'!$A$7:$K$62, SMALL(IF((INDEX('DBX Sprint'!$A$7:$K$62, ,32)&lt;=(TODAY()+10))*(INDEX('DBX Sprint'!$A$7:$K$62, ,32)&gt;(TODAY()+5)),MATCH(ROW('DBX Sprint'!$A$7:$K$62),ROW('DBX Sprint'!$A$7:$K$62)),""),ROWS($AQ$34:AQ83)),COLUMNS('DBX Sprint'!$A$1:A12)),"")</f>
        <v/>
      </c>
    </row>
    <row r="84" spans="3:43" ht="30" customHeight="1">
      <c r="C84" s="41" t="str" cm="1">
        <f t="array" ref="C84">IFERROR(INDEX('DBX Sprint'!$A$7:$K$62, SMALL(IF((INDEX('DBX Sprint'!$A$7:$K$62, ,13)=("Complete"))*(INDEX('DBX Sprint'!$A$7:$K$62, ,13)="Complete"),MATCH(ROW('DBX Sprint'!$A$7:$K$62),ROW('DBX Sprint'!$A$7:$K$62)),""),ROWS(C$34:$C84)),COLUMNS('DBX Sprint'!$A$1:A12)),"")</f>
        <v/>
      </c>
      <c r="D84" s="41" t="str" cm="1">
        <f t="array" aca="1" ref="D84" ca="1">IFERROR(INDEX('DBX Sprint'!$A$7:$K$62, SMALL(IF((INDEX('DBX Sprint'!$A$7:$K$62, ,13)&lt;(TODAY()))*(INDEX('DBX Sprint'!$A$7:$K$62, ,13)&lt;&gt;"Complete"),MATCH(ROW('DBX Sprint'!$A$7:$K$62),ROW('DBX Sprint'!$A$7:$K$62)),""),ROWS(D$34:$D84)),COLUMNS('DBX Sprint'!$A$1:A12)),"")</f>
        <v/>
      </c>
      <c r="E84" s="41" t="str" cm="1">
        <f t="array" aca="1" ref="E84" ca="1">IFERROR(INDEX('DBX Sprint'!$A$7:$K$62, SMALL(IF((INDEX('DBX Sprint'!$A$7:$K$62, ,13)&lt;=(TODAY()+1))*(INDEX('DBX Sprint'!$A$7:$K$62, ,13)&gt;=TODAY()),MATCH(ROW('DBX Sprint'!$A$7:$K$62),ROW('DBX Sprint'!$A$7:$K$62)),""),ROWS(E$34:$E84)),COLUMNS('DBX Sprint'!$A$1:A12)),"")</f>
        <v/>
      </c>
      <c r="F84" s="43" t="str" cm="1">
        <f t="array" aca="1" ref="F84" ca="1">IFERROR(INDEX('DBX Sprint'!$A$7:$K$62, SMALL(IF((INDEX('DBX Sprint'!$A$7:$K$62, ,13)&lt;=(TODAY()+5))*(INDEX('DBX Sprint'!$A$7:$K$62, ,13)&gt;(TODAY()+1)),MATCH(ROW('DBX Sprint'!$A$7:$K$62),ROW('DBX Sprint'!$A$7:$K$62)),""),ROWS($F$34:F84)),COLUMNS('DBX Sprint'!$A$1:A12)),"")</f>
        <v/>
      </c>
      <c r="G84" s="43" t="str" cm="1">
        <f t="array" aca="1" ref="G84" ca="1">IFERROR(INDEX('DBX Sprint'!$A$7:$K$62, SMALL(IF((INDEX('DBX Sprint'!$A$7:$K$62, ,13)&lt;=(TODAY()+10))*(INDEX('DBX Sprint'!$A$7:$K$62, ,13)&gt;(TODAY()+5)),MATCH(ROW('DBX Sprint'!$A$7:$K$62),ROW('DBX Sprint'!$A$7:$K$62)),""),ROWS($G$34:G84)),COLUMNS('DBX Sprint'!$A$1:A12)),"")</f>
        <v/>
      </c>
      <c r="I84" s="41" t="str" cm="1">
        <f t="array" ref="I84">IFERROR(INDEX('DBX Sprint'!$A$7:$K$62, SMALL(IF((INDEX('DBX Sprint'!$A$7:$K$62, ,16)=("Complete"))*(INDEX('DBX Sprint'!$A$7:$K$62, ,16)="Complete"),MATCH(ROW('DBX Sprint'!$A$7:$K$62),ROW('DBX Sprint'!$A$7:$K$62)),""),ROWS($I$34:I84)),COLUMNS('DBX Sprint'!$A$1:A12)),"")</f>
        <v/>
      </c>
      <c r="J84" s="41" t="str" cm="1">
        <f t="array" aca="1" ref="J84" ca="1">IFERROR(INDEX('DBX Sprint'!$A$7:$K$62, SMALL(IF((INDEX('DBX Sprint'!$A$7:$K$62, ,16)&lt;(TODAY()))*(INDEX('DBX Sprint'!$A$7:$K$62, ,16)&lt;&gt;"Complete"),MATCH(ROW('DBX Sprint'!$A$7:$K$62),ROW('DBX Sprint'!$A$7:$K$62)),""),ROWS($J$34:J84)),COLUMNS('DBX Sprint'!$A$1:A12)),"")</f>
        <v/>
      </c>
      <c r="K84" s="37" t="str" cm="1">
        <f t="array" aca="1" ref="K84" ca="1">IFERROR(INDEX('DBX Sprint'!$A$7:$K$62, SMALL(IF((INDEX('DBX Sprint'!$A$7:$K$62, ,16)&lt;=(TODAY()+1))*(INDEX('DBX Sprint'!$A$7:$K$62, ,16)&gt;=TODAY()),MATCH(ROW('DBX Sprint'!$A$7:$K$62),ROW('DBX Sprint'!$A$7:$K$62)),""),ROWS($K$34:K84)),COLUMNS('DBX Sprint'!$A$1:A12)),"")</f>
        <v/>
      </c>
      <c r="L84" s="38" t="str" cm="1">
        <f t="array" aca="1" ref="L84" ca="1">IFERROR(INDEX('DBX Sprint'!$A$7:$K$62, SMALL(IF((INDEX('DBX Sprint'!$A$7:$K$62, ,16)&lt;=(TODAY()+5))*(INDEX('DBX Sprint'!$A$7:$K$62, ,16)&gt;(TODAY()+1)),MATCH(ROW('DBX Sprint'!$A$7:$K$62),ROW('DBX Sprint'!$A$7:$K$62)),""),ROWS($L$34:L84)),COLUMNS('DBX Sprint'!$A$1:A12)),"")</f>
        <v/>
      </c>
      <c r="M84" s="43" t="str" cm="1">
        <f t="array" aca="1" ref="M84" ca="1">IFERROR(INDEX('DBX Sprint'!$A$7:$K$62, SMALL(IF((INDEX('DBX Sprint'!$A$7:$K$62, ,16)&lt;=(TODAY()+10))*(INDEX('DBX Sprint'!$A$7:$K$62, ,16)&gt;(TODAY()+5)),MATCH(ROW('DBX Sprint'!$A$7:$K$62),ROW('DBX Sprint'!$A$7:$K$62)),""),ROWS($M$34:M84)),COLUMNS('DBX Sprint'!$A$1:A12)),"")</f>
        <v/>
      </c>
      <c r="P84" s="41" t="str" cm="1">
        <f t="array" aca="1" ref="P84" ca="1">IFERROR(INDEX('DBX Sprint'!$A$7:$K$62, SMALL(IF((INDEX('DBX Sprint'!$A$7:$K$62, ,19)&lt;(TODAY()))*(INDEX('DBX Sprint'!$A$7:$K$62, ,19)&lt;&gt;"Complete"),MATCH(ROW('DBX Sprint'!$A$7:$K$62),ROW('DBX Sprint'!$A$7:$K$62)),""),ROWS($P$34:P84)),COLUMNS('DBX Sprint'!$A$1:A12)),"")</f>
        <v/>
      </c>
      <c r="Q84" s="41" t="str" cm="1">
        <f t="array" aca="1" ref="Q84" ca="1">IFERROR(INDEX('DBX Sprint'!$A$7:$K$62, SMALL(IF((INDEX('DBX Sprint'!$A$7:$K$62, ,19)&lt;=(TODAY()+1))*(INDEX('DBX Sprint'!$A$7:$K$62, ,19)&gt;=TODAY()),MATCH(ROW('DBX Sprint'!$A$7:$K$62),ROW('DBX Sprint'!$A$7:$K$62)),""),ROWS($Q$34:Q84)),COLUMNS('DBX Sprint'!$A$1:A12)),"")</f>
        <v/>
      </c>
      <c r="R84" s="43" t="str" cm="1">
        <f t="array" aca="1" ref="R84" ca="1">IFERROR(INDEX('DBX Sprint'!$A$7:$K$62, SMALL(IF((INDEX('DBX Sprint'!$A$7:$K$62, ,19)&lt;=(TODAY()+5))*(INDEX('DBX Sprint'!$A$7:$K$62, ,19)&gt;(TODAY()+1)),MATCH(ROW('DBX Sprint'!$A$7:$K$62),ROW('DBX Sprint'!$A$7:$K$62)),""),ROWS($R$34:R84)),COLUMNS('DBX Sprint'!$A$1:A12)),"")</f>
        <v/>
      </c>
      <c r="S84" s="43" t="str" cm="1">
        <f t="array" aca="1" ref="S84" ca="1">IFERROR(INDEX('DBX Sprint'!$A$7:$K$62, SMALL(IF((INDEX('DBX Sprint'!$A$7:$K$62, ,19)&lt;=(TODAY()+10))*(INDEX('DBX Sprint'!$A$7:$K$62, ,19)&gt;(TODAY()+5)),MATCH(ROW('DBX Sprint'!$A$7:$K$62),ROW('DBX Sprint'!$A$7:$K$62)),""),ROWS($S$34:S84)),COLUMNS('DBX Sprint'!$A$1:A12)),"")</f>
        <v/>
      </c>
      <c r="U84" s="41" t="str" cm="1">
        <f t="array" ref="U84">IFERROR(INDEX('DBX Sprint'!$A$7:$K$62, SMALL(IF((INDEX('DBX Sprint'!$A$7:$K$62, ,22)=("Complete"))*(INDEX('DBX Sprint'!$A$7:$K$62, ,22)="Complete"),MATCH(ROW('DBX Sprint'!$A$7:$K$62),ROW('DBX Sprint'!$A$7:$K$62)),""),ROWS($U$34:U84)),COLUMNS('DBX Sprint'!$A$1:A12)),"")</f>
        <v/>
      </c>
      <c r="V84" s="41" t="str" cm="1">
        <f t="array" aca="1" ref="V84" ca="1">IFERROR(INDEX('DBX Sprint'!$A$7:$K$62, SMALL(IF((INDEX('DBX Sprint'!$A$7:$K$62, ,22)&lt;(TODAY()))*(INDEX('DBX Sprint'!$A$7:$K$62, ,22)&lt;&gt;"Complete"),MATCH(ROW('DBX Sprint'!$A$7:$K$62),ROW('DBX Sprint'!$A$7:$K$62)),""),ROWS($V$34:V84)),COLUMNS('DBX Sprint'!$A$1:A12)),"")</f>
        <v/>
      </c>
      <c r="W84" s="41" t="str" cm="1">
        <f t="array" aca="1" ref="W84" ca="1">IFERROR(INDEX('DBX Sprint'!$A$7:$K$62, SMALL(IF((INDEX('DBX Sprint'!$A$7:$K$62, ,22)&lt;=(TODAY()+1))*(INDEX('DBX Sprint'!$A$7:$K$62, ,22)&gt;=TODAY()),MATCH(ROW('DBX Sprint'!$A$7:$K$62),ROW('DBX Sprint'!$A$7:$K$62)),""),ROWS($W$34:W84)),COLUMNS('DBX Sprint'!$A$1:A12)),"")</f>
        <v/>
      </c>
      <c r="X84" s="43" t="str" cm="1">
        <f t="array" aca="1" ref="X84" ca="1">IFERROR(INDEX('DBX Sprint'!$A$7:$K$62, SMALL(IF((INDEX('DBX Sprint'!$A$7:$K$62, ,22)&lt;=(TODAY()+5))*(INDEX('DBX Sprint'!$A$7:$K$62, ,22)&gt;(TODAY()+1)),MATCH(ROW('DBX Sprint'!$A$7:$K$62),ROW('DBX Sprint'!$A$7:$K$62)),""),ROWS($X$34:X84)),COLUMNS('DBX Sprint'!$A$1:A12)),"")</f>
        <v/>
      </c>
      <c r="Y84" s="43" t="str" cm="1">
        <f t="array" aca="1" ref="Y84" ca="1">IFERROR(INDEX('DBX Sprint'!$A$7:$K$62, SMALL(IF((INDEX('DBX Sprint'!$A$7:$K$62, ,22)&lt;=(TODAY()+10))*(INDEX('DBX Sprint'!$A$7:$K$62, ,22)&gt;(TODAY()+5)),MATCH(ROW('DBX Sprint'!$A$7:$K$62),ROW('DBX Sprint'!$A$7:$K$62)),""),ROWS($Y$34:Y84)),COLUMNS('DBX Sprint'!$A$1:A12)),"")</f>
        <v/>
      </c>
      <c r="AA84" s="41" t="str" cm="1">
        <f t="array" ref="AA84">IFERROR(INDEX('DBX Sprint'!$A$7:$K$62, SMALL(IF((INDEX('DBX Sprint'!$A$7:$K$62, ,25)=("Complete"))*(INDEX('DBX Sprint'!$A$7:$K$62, ,25)="Complete"),MATCH(ROW('DBX Sprint'!$A$7:$K$62),ROW('DBX Sprint'!$A$7:$K$62)),""),ROWS($AA$34:AA84)),COLUMNS('DBX Sprint'!$A$1:A12)),"")</f>
        <v/>
      </c>
      <c r="AB84" s="41" t="str" cm="1">
        <f t="array" aca="1" ref="AB84" ca="1">IFERROR(INDEX('DBX Sprint'!$A$7:$K$62, SMALL(IF((INDEX('DBX Sprint'!$A$7:$K$62, ,25)&lt;(TODAY()))*(INDEX('DBX Sprint'!$A$7:$K$62, ,25)&lt;&gt;"Complete"),MATCH(ROW('DBX Sprint'!$A$7:$K$62),ROW('DBX Sprint'!$A$7:$K$62)),""),ROWS($AB$34:AB84)),COLUMNS('DBX Sprint'!$A$1:A12)),"")</f>
        <v/>
      </c>
      <c r="AC84" s="41" t="str" cm="1">
        <f t="array" aca="1" ref="AC84" ca="1">IFERROR(INDEX('DBX Sprint'!$A$7:$K$62, SMALL(IF((INDEX('DBX Sprint'!$A$7:$K$62, ,25)&lt;=(TODAY()+1))*(INDEX('DBX Sprint'!$A$7:$K$62, ,25)&gt;=TODAY()),MATCH(ROW('DBX Sprint'!$A$7:$K$62),ROW('DBX Sprint'!$A$7:$K$62)),""),ROWS($AC$34:AC84)),COLUMNS('DBX Sprint'!$A$1:A12)),"")</f>
        <v/>
      </c>
      <c r="AD84" s="43" t="str" cm="1">
        <f t="array" aca="1" ref="AD84" ca="1">IFERROR(INDEX('DBX Sprint'!$A$7:$K$62, SMALL(IF((INDEX('DBX Sprint'!$A$7:$K$62, ,25)&lt;=(TODAY()+5))*(INDEX('DBX Sprint'!$A$7:$K$62, ,25)&gt;(TODAY()+1)),MATCH(ROW('DBX Sprint'!$A$7:$K$62),ROW('DBX Sprint'!$A$7:$K$62)),""),ROWS($AD$34:AD84)),COLUMNS('DBX Sprint'!$A$1:A12)),"")</f>
        <v/>
      </c>
      <c r="AE84" s="43" t="str" cm="1">
        <f t="array" aca="1" ref="AE84" ca="1">IFERROR(INDEX('DBX Sprint'!$A$7:$K$62, SMALL(IF((INDEX('DBX Sprint'!$A$7:$K$62, ,25)&lt;=(TODAY()+10))*(INDEX('DBX Sprint'!$A$7:$K$62, ,25)&gt;(TODAY()+5)),MATCH(ROW('DBX Sprint'!$A$7:$K$62),ROW('DBX Sprint'!$A$7:$K$62)),""),ROWS($AE$34:AE84)),COLUMNS('DBX Sprint'!$A$1:A12)),"")</f>
        <v/>
      </c>
      <c r="AG84" s="41" t="str" cm="1">
        <f t="array" ref="AG84">IFERROR(INDEX('DBX Sprint'!$A$7:$K$62, SMALL(IF((INDEX('DBX Sprint'!$A$7:$K$62, ,29)=("Complete"))*(INDEX('DBX Sprint'!$A$7:$K$62, ,29)="Complete"),MATCH(ROW('DBX Sprint'!$A$7:$K$62),ROW('DBX Sprint'!$A$7:$K$62)),""),ROWS($AG$34:AG84)),COLUMNS('DBX Sprint'!$A$1:A12)),"")</f>
        <v/>
      </c>
      <c r="AH84" s="41" t="str" cm="1">
        <f t="array" aca="1" ref="AH84" ca="1">IFERROR(INDEX('DBX Sprint'!$A$7:$K$62, SMALL(IF((INDEX('DBX Sprint'!$A$7:$K$62, ,29)&lt;(TODAY()))*(INDEX('DBX Sprint'!$A$7:$K$62, ,29)&lt;&gt;"Complete"),MATCH(ROW('DBX Sprint'!$A$7:$K$62),ROW('DBX Sprint'!$A$7:$K$62)),""),ROWS($AH$34:AH84)),COLUMNS('DBX Sprint'!$A$1:A12)),"")</f>
        <v/>
      </c>
      <c r="AI84" s="41" t="str" cm="1">
        <f t="array" aca="1" ref="AI84" ca="1">IFERROR(INDEX('DBX Sprint'!$A$7:$K$62, SMALL(IF((INDEX('DBX Sprint'!$A$7:$K$62, ,29)&lt;=(TODAY()+1))*(INDEX('DBX Sprint'!$A$7:$K$62, ,29)&gt;=TODAY()),MATCH(ROW('DBX Sprint'!$A$7:$K$62),ROW('DBX Sprint'!$A$7:$K$62)),""),ROWS($AI$34:AI84)),COLUMNS('DBX Sprint'!$A$1:A12)),"")</f>
        <v/>
      </c>
      <c r="AJ84" s="43" t="str" cm="1">
        <f t="array" aca="1" ref="AJ84" ca="1">IFERROR(INDEX('DBX Sprint'!$A$7:$K$62, SMALL(IF((INDEX('DBX Sprint'!$A$7:$K$62, ,29)&lt;=(TODAY()+5))*(INDEX('DBX Sprint'!$A$7:$K$62, ,29)&gt;(TODAY()+1)),MATCH(ROW('DBX Sprint'!$A$7:$K$62),ROW('DBX Sprint'!$A$7:$K$62)),""),ROWS($AJ$34:AJ84)),COLUMNS('DBX Sprint'!$A$1:A12)),"")</f>
        <v/>
      </c>
      <c r="AK84" s="43" t="str" cm="1">
        <f t="array" aca="1" ref="AK84" ca="1">IFERROR(INDEX('DBX Sprint'!$A$7:$K$62, SMALL(IF((INDEX('DBX Sprint'!$A$7:$K$62, ,29)&lt;=(TODAY()+10))*(INDEX('DBX Sprint'!$A$7:$K$62, ,29)&gt;(TODAY()+5)),MATCH(ROW('DBX Sprint'!$A$7:$K$62),ROW('DBX Sprint'!$A$7:$K$62)),""),ROWS($AK$34:AK84)),COLUMNS('DBX Sprint'!$A$1:A12)),"")</f>
        <v/>
      </c>
      <c r="AM84" s="41" t="str" cm="1">
        <f t="array" ref="AM84">IFERROR(INDEX('DBX Sprint'!$A$7:$K$62, SMALL(IF((INDEX('DBX Sprint'!$A$7:$K$62, ,32)=("Complete"))*(INDEX('DBX Sprint'!$A$7:$K$62, ,32)="Complete"),MATCH(ROW('DBX Sprint'!$A$7:$K$62),ROW('DBX Sprint'!$A$7:$K$62)),""),ROWS($AM$34:AM84)),COLUMNS('DBX Sprint'!$A$1:A12)),"")</f>
        <v/>
      </c>
      <c r="AN84" s="41" t="str" cm="1">
        <f t="array" aca="1" ref="AN84" ca="1">IFERROR(INDEX('DBX Sprint'!$A$7:$K$62, SMALL(IF((INDEX('DBX Sprint'!$A$7:$K$62, ,32)&lt;(TODAY()))*(INDEX('DBX Sprint'!$A$7:$K$62, ,32)&lt;&gt;"Complete"),MATCH(ROW('DBX Sprint'!$A$7:$K$62),ROW('DBX Sprint'!$A$7:$K$62)),""),ROWS($AN$34:AN84)),COLUMNS('DBX Sprint'!$A$1:A12)),"")</f>
        <v/>
      </c>
      <c r="AO84" s="41" t="str" cm="1">
        <f t="array" aca="1" ref="AO84" ca="1">IFERROR(INDEX('DBX Sprint'!$A$7:$K$62, SMALL(IF((INDEX('DBX Sprint'!$A$7:$K$62, ,32)&lt;=(TODAY()+1))*(INDEX('DBX Sprint'!$A$7:$K$62, ,32)&gt;=TODAY()),MATCH(ROW('DBX Sprint'!$A$7:$K$62),ROW('DBX Sprint'!$A$7:$K$62)),""),ROWS($AO$34:AO84)),COLUMNS('DBX Sprint'!$A$1:A12)),"")</f>
        <v/>
      </c>
      <c r="AP84" s="43" t="str" cm="1">
        <f t="array" aca="1" ref="AP84" ca="1">IFERROR(INDEX('DBX Sprint'!$A$7:$K$62, SMALL(IF((INDEX('DBX Sprint'!$A$7:$K$62, ,32)&lt;=(TODAY()+5))*(INDEX('DBX Sprint'!$A$7:$K$62, ,32)&gt;(TODAY()+1)),MATCH(ROW('DBX Sprint'!$A$7:$K$62),ROW('DBX Sprint'!$A$7:$K$62)),""),ROWS($AP$34:AP84)),COLUMNS('DBX Sprint'!$A$1:A12)),"")</f>
        <v/>
      </c>
      <c r="AQ84" s="43" t="str" cm="1">
        <f t="array" aca="1" ref="AQ84" ca="1">IFERROR(INDEX('DBX Sprint'!$A$7:$K$62, SMALL(IF((INDEX('DBX Sprint'!$A$7:$K$62, ,32)&lt;=(TODAY()+10))*(INDEX('DBX Sprint'!$A$7:$K$62, ,32)&gt;(TODAY()+5)),MATCH(ROW('DBX Sprint'!$A$7:$K$62),ROW('DBX Sprint'!$A$7:$K$62)),""),ROWS($AQ$34:AQ84)),COLUMNS('DBX Sprint'!$A$1:A12)),"")</f>
        <v/>
      </c>
    </row>
    <row r="85" spans="3:43" ht="30" customHeight="1">
      <c r="C85" s="41" t="str" cm="1">
        <f t="array" ref="C85">IFERROR(INDEX('DBX Sprint'!$A$7:$K$62, SMALL(IF((INDEX('DBX Sprint'!$A$7:$K$62, ,13)=("Complete"))*(INDEX('DBX Sprint'!$A$7:$K$62, ,13)="Complete"),MATCH(ROW('DBX Sprint'!$A$7:$K$62),ROW('DBX Sprint'!$A$7:$K$62)),""),ROWS(C$34:$C85)),COLUMNS('DBX Sprint'!$A$1:A12)),"")</f>
        <v/>
      </c>
      <c r="D85" s="41" t="str" cm="1">
        <f t="array" aca="1" ref="D85" ca="1">IFERROR(INDEX('DBX Sprint'!$A$7:$K$62, SMALL(IF((INDEX('DBX Sprint'!$A$7:$K$62, ,13)&lt;(TODAY()))*(INDEX('DBX Sprint'!$A$7:$K$62, ,13)&lt;&gt;"Complete"),MATCH(ROW('DBX Sprint'!$A$7:$K$62),ROW('DBX Sprint'!$A$7:$K$62)),""),ROWS(D$34:$D85)),COLUMNS('DBX Sprint'!$A$1:A12)),"")</f>
        <v/>
      </c>
      <c r="E85" s="41" t="str" cm="1">
        <f t="array" aca="1" ref="E85" ca="1">IFERROR(INDEX('DBX Sprint'!$A$7:$K$62, SMALL(IF((INDEX('DBX Sprint'!$A$7:$K$62, ,13)&lt;=(TODAY()+1))*(INDEX('DBX Sprint'!$A$7:$K$62, ,13)&gt;=TODAY()),MATCH(ROW('DBX Sprint'!$A$7:$K$62),ROW('DBX Sprint'!$A$7:$K$62)),""),ROWS(E$34:$E85)),COLUMNS('DBX Sprint'!$A$1:A12)),"")</f>
        <v/>
      </c>
      <c r="F85" s="43" t="str" cm="1">
        <f t="array" aca="1" ref="F85" ca="1">IFERROR(INDEX('DBX Sprint'!$A$7:$K$62, SMALL(IF((INDEX('DBX Sprint'!$A$7:$K$62, ,13)&lt;=(TODAY()+5))*(INDEX('DBX Sprint'!$A$7:$K$62, ,13)&gt;(TODAY()+1)),MATCH(ROW('DBX Sprint'!$A$7:$K$62),ROW('DBX Sprint'!$A$7:$K$62)),""),ROWS($F$34:F85)),COLUMNS('DBX Sprint'!$A$1:A12)),"")</f>
        <v/>
      </c>
      <c r="G85" s="43" t="str" cm="1">
        <f t="array" aca="1" ref="G85" ca="1">IFERROR(INDEX('DBX Sprint'!$A$7:$K$62, SMALL(IF((INDEX('DBX Sprint'!$A$7:$K$62, ,13)&lt;=(TODAY()+10))*(INDEX('DBX Sprint'!$A$7:$K$62, ,13)&gt;(TODAY()+5)),MATCH(ROW('DBX Sprint'!$A$7:$K$62),ROW('DBX Sprint'!$A$7:$K$62)),""),ROWS($G$34:G85)),COLUMNS('DBX Sprint'!$A$1:A12)),"")</f>
        <v/>
      </c>
      <c r="I85" s="41" t="str" cm="1">
        <f t="array" ref="I85">IFERROR(INDEX('DBX Sprint'!$A$7:$K$62, SMALL(IF((INDEX('DBX Sprint'!$A$7:$K$62, ,16)=("Complete"))*(INDEX('DBX Sprint'!$A$7:$K$62, ,16)="Complete"),MATCH(ROW('DBX Sprint'!$A$7:$K$62),ROW('DBX Sprint'!$A$7:$K$62)),""),ROWS($I$34:I85)),COLUMNS('DBX Sprint'!$A$1:A12)),"")</f>
        <v/>
      </c>
      <c r="J85" s="41" t="str" cm="1">
        <f t="array" aca="1" ref="J85" ca="1">IFERROR(INDEX('DBX Sprint'!$A$7:$K$62, SMALL(IF((INDEX('DBX Sprint'!$A$7:$K$62, ,16)&lt;(TODAY()))*(INDEX('DBX Sprint'!$A$7:$K$62, ,16)&lt;&gt;"Complete"),MATCH(ROW('DBX Sprint'!$A$7:$K$62),ROW('DBX Sprint'!$A$7:$K$62)),""),ROWS($J$34:J85)),COLUMNS('DBX Sprint'!$A$1:A12)),"")</f>
        <v/>
      </c>
      <c r="K85" s="37" t="str" cm="1">
        <f t="array" aca="1" ref="K85" ca="1">IFERROR(INDEX('DBX Sprint'!$A$7:$K$62, SMALL(IF((INDEX('DBX Sprint'!$A$7:$K$62, ,16)&lt;=(TODAY()+1))*(INDEX('DBX Sprint'!$A$7:$K$62, ,16)&gt;=TODAY()),MATCH(ROW('DBX Sprint'!$A$7:$K$62),ROW('DBX Sprint'!$A$7:$K$62)),""),ROWS($K$34:K85)),COLUMNS('DBX Sprint'!$A$1:A12)),"")</f>
        <v/>
      </c>
      <c r="L85" s="38" t="str" cm="1">
        <f t="array" aca="1" ref="L85" ca="1">IFERROR(INDEX('DBX Sprint'!$A$7:$K$62, SMALL(IF((INDEX('DBX Sprint'!$A$7:$K$62, ,16)&lt;=(TODAY()+5))*(INDEX('DBX Sprint'!$A$7:$K$62, ,16)&gt;(TODAY()+1)),MATCH(ROW('DBX Sprint'!$A$7:$K$62),ROW('DBX Sprint'!$A$7:$K$62)),""),ROWS($L$34:L85)),COLUMNS('DBX Sprint'!$A$1:A12)),"")</f>
        <v/>
      </c>
      <c r="M85" s="43" t="str" cm="1">
        <f t="array" aca="1" ref="M85" ca="1">IFERROR(INDEX('DBX Sprint'!$A$7:$K$62, SMALL(IF((INDEX('DBX Sprint'!$A$7:$K$62, ,16)&lt;=(TODAY()+10))*(INDEX('DBX Sprint'!$A$7:$K$62, ,16)&gt;(TODAY()+5)),MATCH(ROW('DBX Sprint'!$A$7:$K$62),ROW('DBX Sprint'!$A$7:$K$62)),""),ROWS($M$34:M85)),COLUMNS('DBX Sprint'!$A$1:A12)),"")</f>
        <v/>
      </c>
      <c r="P85" s="41" t="str" cm="1">
        <f t="array" aca="1" ref="P85" ca="1">IFERROR(INDEX('DBX Sprint'!$A$7:$K$62, SMALL(IF((INDEX('DBX Sprint'!$A$7:$K$62, ,19)&lt;(TODAY()))*(INDEX('DBX Sprint'!$A$7:$K$62, ,19)&lt;&gt;"Complete"),MATCH(ROW('DBX Sprint'!$A$7:$K$62),ROW('DBX Sprint'!$A$7:$K$62)),""),ROWS($P$34:P85)),COLUMNS('DBX Sprint'!$A$1:A12)),"")</f>
        <v/>
      </c>
      <c r="Q85" s="41" t="str" cm="1">
        <f t="array" aca="1" ref="Q85" ca="1">IFERROR(INDEX('DBX Sprint'!$A$7:$K$62, SMALL(IF((INDEX('DBX Sprint'!$A$7:$K$62, ,19)&lt;=(TODAY()+1))*(INDEX('DBX Sprint'!$A$7:$K$62, ,19)&gt;=TODAY()),MATCH(ROW('DBX Sprint'!$A$7:$K$62),ROW('DBX Sprint'!$A$7:$K$62)),""),ROWS($Q$34:Q85)),COLUMNS('DBX Sprint'!$A$1:A12)),"")</f>
        <v/>
      </c>
      <c r="R85" s="43" t="str" cm="1">
        <f t="array" aca="1" ref="R85" ca="1">IFERROR(INDEX('DBX Sprint'!$A$7:$K$62, SMALL(IF((INDEX('DBX Sprint'!$A$7:$K$62, ,19)&lt;=(TODAY()+5))*(INDEX('DBX Sprint'!$A$7:$K$62, ,19)&gt;(TODAY()+1)),MATCH(ROW('DBX Sprint'!$A$7:$K$62),ROW('DBX Sprint'!$A$7:$K$62)),""),ROWS($R$34:R85)),COLUMNS('DBX Sprint'!$A$1:A12)),"")</f>
        <v/>
      </c>
      <c r="S85" s="43" t="str" cm="1">
        <f t="array" aca="1" ref="S85" ca="1">IFERROR(INDEX('DBX Sprint'!$A$7:$K$62, SMALL(IF((INDEX('DBX Sprint'!$A$7:$K$62, ,19)&lt;=(TODAY()+10))*(INDEX('DBX Sprint'!$A$7:$K$62, ,19)&gt;(TODAY()+5)),MATCH(ROW('DBX Sprint'!$A$7:$K$62),ROW('DBX Sprint'!$A$7:$K$62)),""),ROWS($S$34:S85)),COLUMNS('DBX Sprint'!$A$1:A12)),"")</f>
        <v/>
      </c>
      <c r="U85" s="41" t="str" cm="1">
        <f t="array" ref="U85">IFERROR(INDEX('DBX Sprint'!$A$7:$K$62, SMALL(IF((INDEX('DBX Sprint'!$A$7:$K$62, ,22)=("Complete"))*(INDEX('DBX Sprint'!$A$7:$K$62, ,22)="Complete"),MATCH(ROW('DBX Sprint'!$A$7:$K$62),ROW('DBX Sprint'!$A$7:$K$62)),""),ROWS($U$34:U85)),COLUMNS('DBX Sprint'!$A$1:A12)),"")</f>
        <v/>
      </c>
      <c r="V85" s="41" t="str" cm="1">
        <f t="array" aca="1" ref="V85" ca="1">IFERROR(INDEX('DBX Sprint'!$A$7:$K$62, SMALL(IF((INDEX('DBX Sprint'!$A$7:$K$62, ,22)&lt;(TODAY()))*(INDEX('DBX Sprint'!$A$7:$K$62, ,22)&lt;&gt;"Complete"),MATCH(ROW('DBX Sprint'!$A$7:$K$62),ROW('DBX Sprint'!$A$7:$K$62)),""),ROWS($V$34:V85)),COLUMNS('DBX Sprint'!$A$1:A12)),"")</f>
        <v/>
      </c>
      <c r="W85" s="41" t="str" cm="1">
        <f t="array" aca="1" ref="W85" ca="1">IFERROR(INDEX('DBX Sprint'!$A$7:$K$62, SMALL(IF((INDEX('DBX Sprint'!$A$7:$K$62, ,22)&lt;=(TODAY()+1))*(INDEX('DBX Sprint'!$A$7:$K$62, ,22)&gt;=TODAY()),MATCH(ROW('DBX Sprint'!$A$7:$K$62),ROW('DBX Sprint'!$A$7:$K$62)),""),ROWS($W$34:W85)),COLUMNS('DBX Sprint'!$A$1:A12)),"")</f>
        <v/>
      </c>
      <c r="X85" s="43" t="str" cm="1">
        <f t="array" aca="1" ref="X85" ca="1">IFERROR(INDEX('DBX Sprint'!$A$7:$K$62, SMALL(IF((INDEX('DBX Sprint'!$A$7:$K$62, ,22)&lt;=(TODAY()+5))*(INDEX('DBX Sprint'!$A$7:$K$62, ,22)&gt;(TODAY()+1)),MATCH(ROW('DBX Sprint'!$A$7:$K$62),ROW('DBX Sprint'!$A$7:$K$62)),""),ROWS($X$34:X85)),COLUMNS('DBX Sprint'!$A$1:A12)),"")</f>
        <v/>
      </c>
      <c r="Y85" s="43" t="str" cm="1">
        <f t="array" aca="1" ref="Y85" ca="1">IFERROR(INDEX('DBX Sprint'!$A$7:$K$62, SMALL(IF((INDEX('DBX Sprint'!$A$7:$K$62, ,22)&lt;=(TODAY()+10))*(INDEX('DBX Sprint'!$A$7:$K$62, ,22)&gt;(TODAY()+5)),MATCH(ROW('DBX Sprint'!$A$7:$K$62),ROW('DBX Sprint'!$A$7:$K$62)),""),ROWS($Y$34:Y85)),COLUMNS('DBX Sprint'!$A$1:A12)),"")</f>
        <v/>
      </c>
      <c r="AA85" s="41" t="str" cm="1">
        <f t="array" ref="AA85">IFERROR(INDEX('DBX Sprint'!$A$7:$K$62, SMALL(IF((INDEX('DBX Sprint'!$A$7:$K$62, ,25)=("Complete"))*(INDEX('DBX Sprint'!$A$7:$K$62, ,25)="Complete"),MATCH(ROW('DBX Sprint'!$A$7:$K$62),ROW('DBX Sprint'!$A$7:$K$62)),""),ROWS($AA$34:AA85)),COLUMNS('DBX Sprint'!$A$1:A12)),"")</f>
        <v/>
      </c>
      <c r="AB85" s="41" t="str" cm="1">
        <f t="array" aca="1" ref="AB85" ca="1">IFERROR(INDEX('DBX Sprint'!$A$7:$K$62, SMALL(IF((INDEX('DBX Sprint'!$A$7:$K$62, ,25)&lt;(TODAY()))*(INDEX('DBX Sprint'!$A$7:$K$62, ,25)&lt;&gt;"Complete"),MATCH(ROW('DBX Sprint'!$A$7:$K$62),ROW('DBX Sprint'!$A$7:$K$62)),""),ROWS($AB$34:AB85)),COLUMNS('DBX Sprint'!$A$1:A12)),"")</f>
        <v/>
      </c>
      <c r="AC85" s="41" t="str" cm="1">
        <f t="array" aca="1" ref="AC85" ca="1">IFERROR(INDEX('DBX Sprint'!$A$7:$K$62, SMALL(IF((INDEX('DBX Sprint'!$A$7:$K$62, ,25)&lt;=(TODAY()+1))*(INDEX('DBX Sprint'!$A$7:$K$62, ,25)&gt;=TODAY()),MATCH(ROW('DBX Sprint'!$A$7:$K$62),ROW('DBX Sprint'!$A$7:$K$62)),""),ROWS($AC$34:AC85)),COLUMNS('DBX Sprint'!$A$1:A12)),"")</f>
        <v/>
      </c>
      <c r="AD85" s="43" t="str" cm="1">
        <f t="array" aca="1" ref="AD85" ca="1">IFERROR(INDEX('DBX Sprint'!$A$7:$K$62, SMALL(IF((INDEX('DBX Sprint'!$A$7:$K$62, ,25)&lt;=(TODAY()+5))*(INDEX('DBX Sprint'!$A$7:$K$62, ,25)&gt;(TODAY()+1)),MATCH(ROW('DBX Sprint'!$A$7:$K$62),ROW('DBX Sprint'!$A$7:$K$62)),""),ROWS($AD$34:AD85)),COLUMNS('DBX Sprint'!$A$1:A12)),"")</f>
        <v/>
      </c>
      <c r="AE85" s="43" t="str" cm="1">
        <f t="array" aca="1" ref="AE85" ca="1">IFERROR(INDEX('DBX Sprint'!$A$7:$K$62, SMALL(IF((INDEX('DBX Sprint'!$A$7:$K$62, ,25)&lt;=(TODAY()+10))*(INDEX('DBX Sprint'!$A$7:$K$62, ,25)&gt;(TODAY()+5)),MATCH(ROW('DBX Sprint'!$A$7:$K$62),ROW('DBX Sprint'!$A$7:$K$62)),""),ROWS($AE$34:AE85)),COLUMNS('DBX Sprint'!$A$1:A12)),"")</f>
        <v/>
      </c>
      <c r="AG85" s="41" t="str" cm="1">
        <f t="array" ref="AG85">IFERROR(INDEX('DBX Sprint'!$A$7:$K$62, SMALL(IF((INDEX('DBX Sprint'!$A$7:$K$62, ,29)=("Complete"))*(INDEX('DBX Sprint'!$A$7:$K$62, ,29)="Complete"),MATCH(ROW('DBX Sprint'!$A$7:$K$62),ROW('DBX Sprint'!$A$7:$K$62)),""),ROWS($AG$34:AG85)),COLUMNS('DBX Sprint'!$A$1:A12)),"")</f>
        <v/>
      </c>
      <c r="AH85" s="41" t="str" cm="1">
        <f t="array" aca="1" ref="AH85" ca="1">IFERROR(INDEX('DBX Sprint'!$A$7:$K$62, SMALL(IF((INDEX('DBX Sprint'!$A$7:$K$62, ,29)&lt;(TODAY()))*(INDEX('DBX Sprint'!$A$7:$K$62, ,29)&lt;&gt;"Complete"),MATCH(ROW('DBX Sprint'!$A$7:$K$62),ROW('DBX Sprint'!$A$7:$K$62)),""),ROWS($AH$34:AH85)),COLUMNS('DBX Sprint'!$A$1:A12)),"")</f>
        <v/>
      </c>
      <c r="AI85" s="41" t="str" cm="1">
        <f t="array" aca="1" ref="AI85" ca="1">IFERROR(INDEX('DBX Sprint'!$A$7:$K$62, SMALL(IF((INDEX('DBX Sprint'!$A$7:$K$62, ,29)&lt;=(TODAY()+1))*(INDEX('DBX Sprint'!$A$7:$K$62, ,29)&gt;=TODAY()),MATCH(ROW('DBX Sprint'!$A$7:$K$62),ROW('DBX Sprint'!$A$7:$K$62)),""),ROWS($AI$34:AI85)),COLUMNS('DBX Sprint'!$A$1:A12)),"")</f>
        <v/>
      </c>
      <c r="AJ85" s="43" t="str" cm="1">
        <f t="array" aca="1" ref="AJ85" ca="1">IFERROR(INDEX('DBX Sprint'!$A$7:$K$62, SMALL(IF((INDEX('DBX Sprint'!$A$7:$K$62, ,29)&lt;=(TODAY()+5))*(INDEX('DBX Sprint'!$A$7:$K$62, ,29)&gt;(TODAY()+1)),MATCH(ROW('DBX Sprint'!$A$7:$K$62),ROW('DBX Sprint'!$A$7:$K$62)),""),ROWS($AJ$34:AJ85)),COLUMNS('DBX Sprint'!$A$1:A12)),"")</f>
        <v/>
      </c>
      <c r="AK85" s="43" t="str" cm="1">
        <f t="array" aca="1" ref="AK85" ca="1">IFERROR(INDEX('DBX Sprint'!$A$7:$K$62, SMALL(IF((INDEX('DBX Sprint'!$A$7:$K$62, ,29)&lt;=(TODAY()+10))*(INDEX('DBX Sprint'!$A$7:$K$62, ,29)&gt;(TODAY()+5)),MATCH(ROW('DBX Sprint'!$A$7:$K$62),ROW('DBX Sprint'!$A$7:$K$62)),""),ROWS($AK$34:AK85)),COLUMNS('DBX Sprint'!$A$1:A12)),"")</f>
        <v/>
      </c>
      <c r="AM85" s="41" t="str" cm="1">
        <f t="array" ref="AM85">IFERROR(INDEX('DBX Sprint'!$A$7:$K$62, SMALL(IF((INDEX('DBX Sprint'!$A$7:$K$62, ,32)=("Complete"))*(INDEX('DBX Sprint'!$A$7:$K$62, ,32)="Complete"),MATCH(ROW('DBX Sprint'!$A$7:$K$62),ROW('DBX Sprint'!$A$7:$K$62)),""),ROWS($AM$34:AM85)),COLUMNS('DBX Sprint'!$A$1:A12)),"")</f>
        <v/>
      </c>
      <c r="AN85" s="41" t="str" cm="1">
        <f t="array" aca="1" ref="AN85" ca="1">IFERROR(INDEX('DBX Sprint'!$A$7:$K$62, SMALL(IF((INDEX('DBX Sprint'!$A$7:$K$62, ,32)&lt;(TODAY()))*(INDEX('DBX Sprint'!$A$7:$K$62, ,32)&lt;&gt;"Complete"),MATCH(ROW('DBX Sprint'!$A$7:$K$62),ROW('DBX Sprint'!$A$7:$K$62)),""),ROWS($AN$34:AN85)),COLUMNS('DBX Sprint'!$A$1:A12)),"")</f>
        <v/>
      </c>
      <c r="AO85" s="41" t="str" cm="1">
        <f t="array" aca="1" ref="AO85" ca="1">IFERROR(INDEX('DBX Sprint'!$A$7:$K$62, SMALL(IF((INDEX('DBX Sprint'!$A$7:$K$62, ,32)&lt;=(TODAY()+1))*(INDEX('DBX Sprint'!$A$7:$K$62, ,32)&gt;=TODAY()),MATCH(ROW('DBX Sprint'!$A$7:$K$62),ROW('DBX Sprint'!$A$7:$K$62)),""),ROWS($AO$34:AO85)),COLUMNS('DBX Sprint'!$A$1:A12)),"")</f>
        <v/>
      </c>
      <c r="AP85" s="43" t="str" cm="1">
        <f t="array" aca="1" ref="AP85" ca="1">IFERROR(INDEX('DBX Sprint'!$A$7:$K$62, SMALL(IF((INDEX('DBX Sprint'!$A$7:$K$62, ,32)&lt;=(TODAY()+5))*(INDEX('DBX Sprint'!$A$7:$K$62, ,32)&gt;(TODAY()+1)),MATCH(ROW('DBX Sprint'!$A$7:$K$62),ROW('DBX Sprint'!$A$7:$K$62)),""),ROWS($AP$34:AP85)),COLUMNS('DBX Sprint'!$A$1:A12)),"")</f>
        <v/>
      </c>
      <c r="AQ85" s="43" t="str" cm="1">
        <f t="array" aca="1" ref="AQ85" ca="1">IFERROR(INDEX('DBX Sprint'!$A$7:$K$62, SMALL(IF((INDEX('DBX Sprint'!$A$7:$K$62, ,32)&lt;=(TODAY()+10))*(INDEX('DBX Sprint'!$A$7:$K$62, ,32)&gt;(TODAY()+5)),MATCH(ROW('DBX Sprint'!$A$7:$K$62),ROW('DBX Sprint'!$A$7:$K$62)),""),ROWS($AQ$34:AQ85)),COLUMNS('DBX Sprint'!$A$1:A12)),"")</f>
        <v/>
      </c>
    </row>
    <row r="86" spans="3:43" ht="30" customHeight="1">
      <c r="C86" s="41" t="str" cm="1">
        <f t="array" ref="C86">IFERROR(INDEX('DBX Sprint'!$A$7:$K$62, SMALL(IF((INDEX('DBX Sprint'!$A$7:$K$62, ,13)=("Complete"))*(INDEX('DBX Sprint'!$A$7:$K$62, ,13)="Complete"),MATCH(ROW('DBX Sprint'!$A$7:$K$62),ROW('DBX Sprint'!$A$7:$K$62)),""),ROWS(C$34:$C86)),COLUMNS('DBX Sprint'!$A$1:A12)),"")</f>
        <v/>
      </c>
      <c r="D86" s="41" t="str" cm="1">
        <f t="array" aca="1" ref="D86" ca="1">IFERROR(INDEX('DBX Sprint'!$A$7:$K$62, SMALL(IF((INDEX('DBX Sprint'!$A$7:$K$62, ,13)&lt;(TODAY()))*(INDEX('DBX Sprint'!$A$7:$K$62, ,13)&lt;&gt;"Complete"),MATCH(ROW('DBX Sprint'!$A$7:$K$62),ROW('DBX Sprint'!$A$7:$K$62)),""),ROWS(D$34:$D86)),COLUMNS('DBX Sprint'!$A$1:A12)),"")</f>
        <v/>
      </c>
      <c r="E86" s="41" t="str" cm="1">
        <f t="array" aca="1" ref="E86" ca="1">IFERROR(INDEX('DBX Sprint'!$A$7:$K$62, SMALL(IF((INDEX('DBX Sprint'!$A$7:$K$62, ,13)&lt;=(TODAY()+1))*(INDEX('DBX Sprint'!$A$7:$K$62, ,13)&gt;=TODAY()),MATCH(ROW('DBX Sprint'!$A$7:$K$62),ROW('DBX Sprint'!$A$7:$K$62)),""),ROWS(E$34:$E86)),COLUMNS('DBX Sprint'!$A$1:A12)),"")</f>
        <v/>
      </c>
      <c r="F86" s="43" t="str" cm="1">
        <f t="array" aca="1" ref="F86" ca="1">IFERROR(INDEX('DBX Sprint'!$A$7:$K$62, SMALL(IF((INDEX('DBX Sprint'!$A$7:$K$62, ,13)&lt;=(TODAY()+5))*(INDEX('DBX Sprint'!$A$7:$K$62, ,13)&gt;(TODAY()+1)),MATCH(ROW('DBX Sprint'!$A$7:$K$62),ROW('DBX Sprint'!$A$7:$K$62)),""),ROWS($F$34:F86)),COLUMNS('DBX Sprint'!$A$1:A12)),"")</f>
        <v/>
      </c>
      <c r="G86" s="43" t="str" cm="1">
        <f t="array" aca="1" ref="G86" ca="1">IFERROR(INDEX('DBX Sprint'!$A$7:$K$62, SMALL(IF((INDEX('DBX Sprint'!$A$7:$K$62, ,13)&lt;=(TODAY()+10))*(INDEX('DBX Sprint'!$A$7:$K$62, ,13)&gt;(TODAY()+5)),MATCH(ROW('DBX Sprint'!$A$7:$K$62),ROW('DBX Sprint'!$A$7:$K$62)),""),ROWS($G$34:G86)),COLUMNS('DBX Sprint'!$A$1:A12)),"")</f>
        <v/>
      </c>
      <c r="I86" s="41" t="str" cm="1">
        <f t="array" ref="I86">IFERROR(INDEX('DBX Sprint'!$A$7:$K$62, SMALL(IF((INDEX('DBX Sprint'!$A$7:$K$62, ,16)=("Complete"))*(INDEX('DBX Sprint'!$A$7:$K$62, ,16)="Complete"),MATCH(ROW('DBX Sprint'!$A$7:$K$62),ROW('DBX Sprint'!$A$7:$K$62)),""),ROWS($I$34:I86)),COLUMNS('DBX Sprint'!$A$1:A12)),"")</f>
        <v/>
      </c>
      <c r="J86" s="41" t="str" cm="1">
        <f t="array" aca="1" ref="J86" ca="1">IFERROR(INDEX('DBX Sprint'!$A$7:$K$62, SMALL(IF((INDEX('DBX Sprint'!$A$7:$K$62, ,16)&lt;(TODAY()))*(INDEX('DBX Sprint'!$A$7:$K$62, ,16)&lt;&gt;"Complete"),MATCH(ROW('DBX Sprint'!$A$7:$K$62),ROW('DBX Sprint'!$A$7:$K$62)),""),ROWS($J$34:J86)),COLUMNS('DBX Sprint'!$A$1:A12)),"")</f>
        <v/>
      </c>
      <c r="K86" s="37" t="str" cm="1">
        <f t="array" aca="1" ref="K86" ca="1">IFERROR(INDEX('DBX Sprint'!$A$7:$K$62, SMALL(IF((INDEX('DBX Sprint'!$A$7:$K$62, ,16)&lt;=(TODAY()+1))*(INDEX('DBX Sprint'!$A$7:$K$62, ,16)&gt;=TODAY()),MATCH(ROW('DBX Sprint'!$A$7:$K$62),ROW('DBX Sprint'!$A$7:$K$62)),""),ROWS($K$34:K86)),COLUMNS('DBX Sprint'!$A$1:A12)),"")</f>
        <v/>
      </c>
      <c r="L86" s="38" t="str" cm="1">
        <f t="array" aca="1" ref="L86" ca="1">IFERROR(INDEX('DBX Sprint'!$A$7:$K$62, SMALL(IF((INDEX('DBX Sprint'!$A$7:$K$62, ,16)&lt;=(TODAY()+5))*(INDEX('DBX Sprint'!$A$7:$K$62, ,16)&gt;(TODAY()+1)),MATCH(ROW('DBX Sprint'!$A$7:$K$62),ROW('DBX Sprint'!$A$7:$K$62)),""),ROWS($L$34:L86)),COLUMNS('DBX Sprint'!$A$1:A12)),"")</f>
        <v/>
      </c>
      <c r="M86" s="43" t="str" cm="1">
        <f t="array" aca="1" ref="M86" ca="1">IFERROR(INDEX('DBX Sprint'!$A$7:$K$62, SMALL(IF((INDEX('DBX Sprint'!$A$7:$K$62, ,16)&lt;=(TODAY()+10))*(INDEX('DBX Sprint'!$A$7:$K$62, ,16)&gt;(TODAY()+5)),MATCH(ROW('DBX Sprint'!$A$7:$K$62),ROW('DBX Sprint'!$A$7:$K$62)),""),ROWS($M$34:M86)),COLUMNS('DBX Sprint'!$A$1:A12)),"")</f>
        <v/>
      </c>
      <c r="P86" s="41" t="str" cm="1">
        <f t="array" aca="1" ref="P86" ca="1">IFERROR(INDEX('DBX Sprint'!$A$7:$K$62, SMALL(IF((INDEX('DBX Sprint'!$A$7:$K$62, ,19)&lt;(TODAY()))*(INDEX('DBX Sprint'!$A$7:$K$62, ,19)&lt;&gt;"Complete"),MATCH(ROW('DBX Sprint'!$A$7:$K$62),ROW('DBX Sprint'!$A$7:$K$62)),""),ROWS($P$34:P86)),COLUMNS('DBX Sprint'!$A$1:A12)),"")</f>
        <v/>
      </c>
      <c r="Q86" s="41" t="str" cm="1">
        <f t="array" aca="1" ref="Q86" ca="1">IFERROR(INDEX('DBX Sprint'!$A$7:$K$62, SMALL(IF((INDEX('DBX Sprint'!$A$7:$K$62, ,19)&lt;=(TODAY()+1))*(INDEX('DBX Sprint'!$A$7:$K$62, ,19)&gt;=TODAY()),MATCH(ROW('DBX Sprint'!$A$7:$K$62),ROW('DBX Sprint'!$A$7:$K$62)),""),ROWS($Q$34:Q86)),COLUMNS('DBX Sprint'!$A$1:A12)),"")</f>
        <v/>
      </c>
      <c r="R86" s="43" t="str" cm="1">
        <f t="array" aca="1" ref="R86" ca="1">IFERROR(INDEX('DBX Sprint'!$A$7:$K$62, SMALL(IF((INDEX('DBX Sprint'!$A$7:$K$62, ,19)&lt;=(TODAY()+5))*(INDEX('DBX Sprint'!$A$7:$K$62, ,19)&gt;(TODAY()+1)),MATCH(ROW('DBX Sprint'!$A$7:$K$62),ROW('DBX Sprint'!$A$7:$K$62)),""),ROWS($R$34:R86)),COLUMNS('DBX Sprint'!$A$1:A12)),"")</f>
        <v/>
      </c>
      <c r="S86" s="43" t="str" cm="1">
        <f t="array" aca="1" ref="S86" ca="1">IFERROR(INDEX('DBX Sprint'!$A$7:$K$62, SMALL(IF((INDEX('DBX Sprint'!$A$7:$K$62, ,19)&lt;=(TODAY()+10))*(INDEX('DBX Sprint'!$A$7:$K$62, ,19)&gt;(TODAY()+5)),MATCH(ROW('DBX Sprint'!$A$7:$K$62),ROW('DBX Sprint'!$A$7:$K$62)),""),ROWS($S$34:S86)),COLUMNS('DBX Sprint'!$A$1:A12)),"")</f>
        <v/>
      </c>
      <c r="U86" s="41" t="str" cm="1">
        <f t="array" ref="U86">IFERROR(INDEX('DBX Sprint'!$A$7:$K$62, SMALL(IF((INDEX('DBX Sprint'!$A$7:$K$62, ,22)=("Complete"))*(INDEX('DBX Sprint'!$A$7:$K$62, ,22)="Complete"),MATCH(ROW('DBX Sprint'!$A$7:$K$62),ROW('DBX Sprint'!$A$7:$K$62)),""),ROWS($U$34:U86)),COLUMNS('DBX Sprint'!$A$1:A12)),"")</f>
        <v/>
      </c>
      <c r="V86" s="41" t="str" cm="1">
        <f t="array" aca="1" ref="V86" ca="1">IFERROR(INDEX('DBX Sprint'!$A$7:$K$62, SMALL(IF((INDEX('DBX Sprint'!$A$7:$K$62, ,22)&lt;(TODAY()))*(INDEX('DBX Sprint'!$A$7:$K$62, ,22)&lt;&gt;"Complete"),MATCH(ROW('DBX Sprint'!$A$7:$K$62),ROW('DBX Sprint'!$A$7:$K$62)),""),ROWS($V$34:V86)),COLUMNS('DBX Sprint'!$A$1:A12)),"")</f>
        <v/>
      </c>
      <c r="W86" s="41" t="str" cm="1">
        <f t="array" aca="1" ref="W86" ca="1">IFERROR(INDEX('DBX Sprint'!$A$7:$K$62, SMALL(IF((INDEX('DBX Sprint'!$A$7:$K$62, ,22)&lt;=(TODAY()+1))*(INDEX('DBX Sprint'!$A$7:$K$62, ,22)&gt;=TODAY()),MATCH(ROW('DBX Sprint'!$A$7:$K$62),ROW('DBX Sprint'!$A$7:$K$62)),""),ROWS($W$34:W86)),COLUMNS('DBX Sprint'!$A$1:A12)),"")</f>
        <v/>
      </c>
      <c r="X86" s="43" t="str" cm="1">
        <f t="array" aca="1" ref="X86" ca="1">IFERROR(INDEX('DBX Sprint'!$A$7:$K$62, SMALL(IF((INDEX('DBX Sprint'!$A$7:$K$62, ,22)&lt;=(TODAY()+5))*(INDEX('DBX Sprint'!$A$7:$K$62, ,22)&gt;(TODAY()+1)),MATCH(ROW('DBX Sprint'!$A$7:$K$62),ROW('DBX Sprint'!$A$7:$K$62)),""),ROWS($X$34:X86)),COLUMNS('DBX Sprint'!$A$1:A12)),"")</f>
        <v/>
      </c>
      <c r="Y86" s="43" t="str" cm="1">
        <f t="array" aca="1" ref="Y86" ca="1">IFERROR(INDEX('DBX Sprint'!$A$7:$K$62, SMALL(IF((INDEX('DBX Sprint'!$A$7:$K$62, ,22)&lt;=(TODAY()+10))*(INDEX('DBX Sprint'!$A$7:$K$62, ,22)&gt;(TODAY()+5)),MATCH(ROW('DBX Sprint'!$A$7:$K$62),ROW('DBX Sprint'!$A$7:$K$62)),""),ROWS($Y$34:Y86)),COLUMNS('DBX Sprint'!$A$1:A12)),"")</f>
        <v/>
      </c>
      <c r="AA86" s="41" t="str" cm="1">
        <f t="array" ref="AA86">IFERROR(INDEX('DBX Sprint'!$A$7:$K$62, SMALL(IF((INDEX('DBX Sprint'!$A$7:$K$62, ,25)=("Complete"))*(INDEX('DBX Sprint'!$A$7:$K$62, ,25)="Complete"),MATCH(ROW('DBX Sprint'!$A$7:$K$62),ROW('DBX Sprint'!$A$7:$K$62)),""),ROWS($AA$34:AA86)),COLUMNS('DBX Sprint'!$A$1:A12)),"")</f>
        <v/>
      </c>
      <c r="AB86" s="41" t="str" cm="1">
        <f t="array" aca="1" ref="AB86" ca="1">IFERROR(INDEX('DBX Sprint'!$A$7:$K$62, SMALL(IF((INDEX('DBX Sprint'!$A$7:$K$62, ,25)&lt;(TODAY()))*(INDEX('DBX Sprint'!$A$7:$K$62, ,25)&lt;&gt;"Complete"),MATCH(ROW('DBX Sprint'!$A$7:$K$62),ROW('DBX Sprint'!$A$7:$K$62)),""),ROWS($AB$34:AB86)),COLUMNS('DBX Sprint'!$A$1:A12)),"")</f>
        <v/>
      </c>
      <c r="AC86" s="41" t="str" cm="1">
        <f t="array" aca="1" ref="AC86" ca="1">IFERROR(INDEX('DBX Sprint'!$A$7:$K$62, SMALL(IF((INDEX('DBX Sprint'!$A$7:$K$62, ,25)&lt;=(TODAY()+1))*(INDEX('DBX Sprint'!$A$7:$K$62, ,25)&gt;=TODAY()),MATCH(ROW('DBX Sprint'!$A$7:$K$62),ROW('DBX Sprint'!$A$7:$K$62)),""),ROWS($AC$34:AC86)),COLUMNS('DBX Sprint'!$A$1:A12)),"")</f>
        <v/>
      </c>
      <c r="AD86" s="43" t="str" cm="1">
        <f t="array" aca="1" ref="AD86" ca="1">IFERROR(INDEX('DBX Sprint'!$A$7:$K$62, SMALL(IF((INDEX('DBX Sprint'!$A$7:$K$62, ,25)&lt;=(TODAY()+5))*(INDEX('DBX Sprint'!$A$7:$K$62, ,25)&gt;(TODAY()+1)),MATCH(ROW('DBX Sprint'!$A$7:$K$62),ROW('DBX Sprint'!$A$7:$K$62)),""),ROWS($AD$34:AD86)),COLUMNS('DBX Sprint'!$A$1:A12)),"")</f>
        <v/>
      </c>
      <c r="AE86" s="43" t="str" cm="1">
        <f t="array" aca="1" ref="AE86" ca="1">IFERROR(INDEX('DBX Sprint'!$A$7:$K$62, SMALL(IF((INDEX('DBX Sprint'!$A$7:$K$62, ,25)&lt;=(TODAY()+10))*(INDEX('DBX Sprint'!$A$7:$K$62, ,25)&gt;(TODAY()+5)),MATCH(ROW('DBX Sprint'!$A$7:$K$62),ROW('DBX Sprint'!$A$7:$K$62)),""),ROWS($AE$34:AE86)),COLUMNS('DBX Sprint'!$A$1:A12)),"")</f>
        <v/>
      </c>
      <c r="AG86" s="41" t="str" cm="1">
        <f t="array" ref="AG86">IFERROR(INDEX('DBX Sprint'!$A$7:$K$62, SMALL(IF((INDEX('DBX Sprint'!$A$7:$K$62, ,29)=("Complete"))*(INDEX('DBX Sprint'!$A$7:$K$62, ,29)="Complete"),MATCH(ROW('DBX Sprint'!$A$7:$K$62),ROW('DBX Sprint'!$A$7:$K$62)),""),ROWS($AG$34:AG86)),COLUMNS('DBX Sprint'!$A$1:A12)),"")</f>
        <v/>
      </c>
      <c r="AH86" s="41" t="str" cm="1">
        <f t="array" aca="1" ref="AH86" ca="1">IFERROR(INDEX('DBX Sprint'!$A$7:$K$62, SMALL(IF((INDEX('DBX Sprint'!$A$7:$K$62, ,29)&lt;(TODAY()))*(INDEX('DBX Sprint'!$A$7:$K$62, ,29)&lt;&gt;"Complete"),MATCH(ROW('DBX Sprint'!$A$7:$K$62),ROW('DBX Sprint'!$A$7:$K$62)),""),ROWS($AH$34:AH86)),COLUMNS('DBX Sprint'!$A$1:A12)),"")</f>
        <v/>
      </c>
      <c r="AI86" s="41" t="str" cm="1">
        <f t="array" aca="1" ref="AI86" ca="1">IFERROR(INDEX('DBX Sprint'!$A$7:$K$62, SMALL(IF((INDEX('DBX Sprint'!$A$7:$K$62, ,29)&lt;=(TODAY()+1))*(INDEX('DBX Sprint'!$A$7:$K$62, ,29)&gt;=TODAY()),MATCH(ROW('DBX Sprint'!$A$7:$K$62),ROW('DBX Sprint'!$A$7:$K$62)),""),ROWS($AI$34:AI86)),COLUMNS('DBX Sprint'!$A$1:A12)),"")</f>
        <v/>
      </c>
      <c r="AJ86" s="43" t="str" cm="1">
        <f t="array" aca="1" ref="AJ86" ca="1">IFERROR(INDEX('DBX Sprint'!$A$7:$K$62, SMALL(IF((INDEX('DBX Sprint'!$A$7:$K$62, ,29)&lt;=(TODAY()+5))*(INDEX('DBX Sprint'!$A$7:$K$62, ,29)&gt;(TODAY()+1)),MATCH(ROW('DBX Sprint'!$A$7:$K$62),ROW('DBX Sprint'!$A$7:$K$62)),""),ROWS($AJ$34:AJ86)),COLUMNS('DBX Sprint'!$A$1:A12)),"")</f>
        <v/>
      </c>
      <c r="AK86" s="43" t="str" cm="1">
        <f t="array" aca="1" ref="AK86" ca="1">IFERROR(INDEX('DBX Sprint'!$A$7:$K$62, SMALL(IF((INDEX('DBX Sprint'!$A$7:$K$62, ,29)&lt;=(TODAY()+10))*(INDEX('DBX Sprint'!$A$7:$K$62, ,29)&gt;(TODAY()+5)),MATCH(ROW('DBX Sprint'!$A$7:$K$62),ROW('DBX Sprint'!$A$7:$K$62)),""),ROWS($AK$34:AK86)),COLUMNS('DBX Sprint'!$A$1:A12)),"")</f>
        <v/>
      </c>
      <c r="AM86" s="41" t="str" cm="1">
        <f t="array" ref="AM86">IFERROR(INDEX('DBX Sprint'!$A$7:$K$62, SMALL(IF((INDEX('DBX Sprint'!$A$7:$K$62, ,32)=("Complete"))*(INDEX('DBX Sprint'!$A$7:$K$62, ,32)="Complete"),MATCH(ROW('DBX Sprint'!$A$7:$K$62),ROW('DBX Sprint'!$A$7:$K$62)),""),ROWS($AM$34:AM86)),COLUMNS('DBX Sprint'!$A$1:A12)),"")</f>
        <v/>
      </c>
      <c r="AN86" s="41" t="str" cm="1">
        <f t="array" aca="1" ref="AN86" ca="1">IFERROR(INDEX('DBX Sprint'!$A$7:$K$62, SMALL(IF((INDEX('DBX Sprint'!$A$7:$K$62, ,32)&lt;(TODAY()))*(INDEX('DBX Sprint'!$A$7:$K$62, ,32)&lt;&gt;"Complete"),MATCH(ROW('DBX Sprint'!$A$7:$K$62),ROW('DBX Sprint'!$A$7:$K$62)),""),ROWS($AN$34:AN86)),COLUMNS('DBX Sprint'!$A$1:A12)),"")</f>
        <v/>
      </c>
      <c r="AO86" s="41" t="str" cm="1">
        <f t="array" aca="1" ref="AO86" ca="1">IFERROR(INDEX('DBX Sprint'!$A$7:$K$62, SMALL(IF((INDEX('DBX Sprint'!$A$7:$K$62, ,32)&lt;=(TODAY()+1))*(INDEX('DBX Sprint'!$A$7:$K$62, ,32)&gt;=TODAY()),MATCH(ROW('DBX Sprint'!$A$7:$K$62),ROW('DBX Sprint'!$A$7:$K$62)),""),ROWS($AO$34:AO86)),COLUMNS('DBX Sprint'!$A$1:A12)),"")</f>
        <v/>
      </c>
      <c r="AP86" s="43" t="str" cm="1">
        <f t="array" aca="1" ref="AP86" ca="1">IFERROR(INDEX('DBX Sprint'!$A$7:$K$62, SMALL(IF((INDEX('DBX Sprint'!$A$7:$K$62, ,32)&lt;=(TODAY()+5))*(INDEX('DBX Sprint'!$A$7:$K$62, ,32)&gt;(TODAY()+1)),MATCH(ROW('DBX Sprint'!$A$7:$K$62),ROW('DBX Sprint'!$A$7:$K$62)),""),ROWS($AP$34:AP86)),COLUMNS('DBX Sprint'!$A$1:A12)),"")</f>
        <v/>
      </c>
      <c r="AQ86" s="43" t="str" cm="1">
        <f t="array" aca="1" ref="AQ86" ca="1">IFERROR(INDEX('DBX Sprint'!$A$7:$K$62, SMALL(IF((INDEX('DBX Sprint'!$A$7:$K$62, ,32)&lt;=(TODAY()+10))*(INDEX('DBX Sprint'!$A$7:$K$62, ,32)&gt;(TODAY()+5)),MATCH(ROW('DBX Sprint'!$A$7:$K$62),ROW('DBX Sprint'!$A$7:$K$62)),""),ROWS($AQ$34:AQ86)),COLUMNS('DBX Sprint'!$A$1:A12)),"")</f>
        <v/>
      </c>
    </row>
    <row r="87" spans="3:43" ht="30" customHeight="1">
      <c r="C87" s="41" t="str" cm="1">
        <f t="array" ref="C87">IFERROR(INDEX('DBX Sprint'!$A$7:$K$62, SMALL(IF((INDEX('DBX Sprint'!$A$7:$K$62, ,13)=("Complete"))*(INDEX('DBX Sprint'!$A$7:$K$62, ,13)="Complete"),MATCH(ROW('DBX Sprint'!$A$7:$K$62),ROW('DBX Sprint'!$A$7:$K$62)),""),ROWS(C$34:$C87)),COLUMNS('DBX Sprint'!$A$1:A12)),"")</f>
        <v/>
      </c>
      <c r="D87" s="41" t="str" cm="1">
        <f t="array" aca="1" ref="D87" ca="1">IFERROR(INDEX('DBX Sprint'!$A$7:$K$62, SMALL(IF((INDEX('DBX Sprint'!$A$7:$K$62, ,13)&lt;(TODAY()))*(INDEX('DBX Sprint'!$A$7:$K$62, ,13)&lt;&gt;"Complete"),MATCH(ROW('DBX Sprint'!$A$7:$K$62),ROW('DBX Sprint'!$A$7:$K$62)),""),ROWS(D$34:$D87)),COLUMNS('DBX Sprint'!$A$1:A12)),"")</f>
        <v/>
      </c>
      <c r="E87" s="41" t="str" cm="1">
        <f t="array" aca="1" ref="E87" ca="1">IFERROR(INDEX('DBX Sprint'!$A$7:$K$62, SMALL(IF((INDEX('DBX Sprint'!$A$7:$K$62, ,13)&lt;=(TODAY()+1))*(INDEX('DBX Sprint'!$A$7:$K$62, ,13)&gt;=TODAY()),MATCH(ROW('DBX Sprint'!$A$7:$K$62),ROW('DBX Sprint'!$A$7:$K$62)),""),ROWS(E$34:$E87)),COLUMNS('DBX Sprint'!$A$1:A12)),"")</f>
        <v/>
      </c>
      <c r="F87" s="43" t="str" cm="1">
        <f t="array" aca="1" ref="F87" ca="1">IFERROR(INDEX('DBX Sprint'!$A$7:$K$62, SMALL(IF((INDEX('DBX Sprint'!$A$7:$K$62, ,13)&lt;=(TODAY()+5))*(INDEX('DBX Sprint'!$A$7:$K$62, ,13)&gt;(TODAY()+1)),MATCH(ROW('DBX Sprint'!$A$7:$K$62),ROW('DBX Sprint'!$A$7:$K$62)),""),ROWS($F$34:F87)),COLUMNS('DBX Sprint'!$A$1:A12)),"")</f>
        <v/>
      </c>
      <c r="G87" s="43" t="str" cm="1">
        <f t="array" aca="1" ref="G87" ca="1">IFERROR(INDEX('DBX Sprint'!$A$7:$K$62, SMALL(IF((INDEX('DBX Sprint'!$A$7:$K$62, ,13)&lt;=(TODAY()+10))*(INDEX('DBX Sprint'!$A$7:$K$62, ,13)&gt;(TODAY()+5)),MATCH(ROW('DBX Sprint'!$A$7:$K$62),ROW('DBX Sprint'!$A$7:$K$62)),""),ROWS($G$34:G87)),COLUMNS('DBX Sprint'!$A$1:A12)),"")</f>
        <v/>
      </c>
      <c r="I87" s="41" t="str" cm="1">
        <f t="array" ref="I87">IFERROR(INDEX('DBX Sprint'!$A$7:$K$62, SMALL(IF((INDEX('DBX Sprint'!$A$7:$K$62, ,16)=("Complete"))*(INDEX('DBX Sprint'!$A$7:$K$62, ,16)="Complete"),MATCH(ROW('DBX Sprint'!$A$7:$K$62),ROW('DBX Sprint'!$A$7:$K$62)),""),ROWS($I$34:I87)),COLUMNS('DBX Sprint'!$A$1:A12)),"")</f>
        <v/>
      </c>
      <c r="J87" s="41" t="str" cm="1">
        <f t="array" aca="1" ref="J87" ca="1">IFERROR(INDEX('DBX Sprint'!$A$7:$K$62, SMALL(IF((INDEX('DBX Sprint'!$A$7:$K$62, ,16)&lt;(TODAY()))*(INDEX('DBX Sprint'!$A$7:$K$62, ,16)&lt;&gt;"Complete"),MATCH(ROW('DBX Sprint'!$A$7:$K$62),ROW('DBX Sprint'!$A$7:$K$62)),""),ROWS($J$34:J87)),COLUMNS('DBX Sprint'!$A$1:A12)),"")</f>
        <v/>
      </c>
      <c r="K87" s="37" t="str" cm="1">
        <f t="array" aca="1" ref="K87" ca="1">IFERROR(INDEX('DBX Sprint'!$A$7:$K$62, SMALL(IF((INDEX('DBX Sprint'!$A$7:$K$62, ,16)&lt;=(TODAY()+1))*(INDEX('DBX Sprint'!$A$7:$K$62, ,16)&gt;=TODAY()),MATCH(ROW('DBX Sprint'!$A$7:$K$62),ROW('DBX Sprint'!$A$7:$K$62)),""),ROWS($K$34:K87)),COLUMNS('DBX Sprint'!$A$1:A12)),"")</f>
        <v/>
      </c>
      <c r="L87" s="38" t="str" cm="1">
        <f t="array" aca="1" ref="L87" ca="1">IFERROR(INDEX('DBX Sprint'!$A$7:$K$62, SMALL(IF((INDEX('DBX Sprint'!$A$7:$K$62, ,16)&lt;=(TODAY()+5))*(INDEX('DBX Sprint'!$A$7:$K$62, ,16)&gt;(TODAY()+1)),MATCH(ROW('DBX Sprint'!$A$7:$K$62),ROW('DBX Sprint'!$A$7:$K$62)),""),ROWS($L$34:L87)),COLUMNS('DBX Sprint'!$A$1:A12)),"")</f>
        <v/>
      </c>
      <c r="M87" s="43" t="str" cm="1">
        <f t="array" aca="1" ref="M87" ca="1">IFERROR(INDEX('DBX Sprint'!$A$7:$K$62, SMALL(IF((INDEX('DBX Sprint'!$A$7:$K$62, ,16)&lt;=(TODAY()+10))*(INDEX('DBX Sprint'!$A$7:$K$62, ,16)&gt;(TODAY()+5)),MATCH(ROW('DBX Sprint'!$A$7:$K$62),ROW('DBX Sprint'!$A$7:$K$62)),""),ROWS($M$34:M87)),COLUMNS('DBX Sprint'!$A$1:A12)),"")</f>
        <v/>
      </c>
      <c r="P87" s="41" t="str" cm="1">
        <f t="array" aca="1" ref="P87" ca="1">IFERROR(INDEX('DBX Sprint'!$A$7:$K$62, SMALL(IF((INDEX('DBX Sprint'!$A$7:$K$62, ,19)&lt;(TODAY()))*(INDEX('DBX Sprint'!$A$7:$K$62, ,19)&lt;&gt;"Complete"),MATCH(ROW('DBX Sprint'!$A$7:$K$62),ROW('DBX Sprint'!$A$7:$K$62)),""),ROWS($P$34:P87)),COLUMNS('DBX Sprint'!$A$1:A12)),"")</f>
        <v/>
      </c>
      <c r="Q87" s="41" t="str" cm="1">
        <f t="array" aca="1" ref="Q87" ca="1">IFERROR(INDEX('DBX Sprint'!$A$7:$K$62, SMALL(IF((INDEX('DBX Sprint'!$A$7:$K$62, ,19)&lt;=(TODAY()+1))*(INDEX('DBX Sprint'!$A$7:$K$62, ,19)&gt;=TODAY()),MATCH(ROW('DBX Sprint'!$A$7:$K$62),ROW('DBX Sprint'!$A$7:$K$62)),""),ROWS($Q$34:Q87)),COLUMNS('DBX Sprint'!$A$1:A12)),"")</f>
        <v/>
      </c>
      <c r="R87" s="43" t="str" cm="1">
        <f t="array" aca="1" ref="R87" ca="1">IFERROR(INDEX('DBX Sprint'!$A$7:$K$62, SMALL(IF((INDEX('DBX Sprint'!$A$7:$K$62, ,19)&lt;=(TODAY()+5))*(INDEX('DBX Sprint'!$A$7:$K$62, ,19)&gt;(TODAY()+1)),MATCH(ROW('DBX Sprint'!$A$7:$K$62),ROW('DBX Sprint'!$A$7:$K$62)),""),ROWS($R$34:R87)),COLUMNS('DBX Sprint'!$A$1:A12)),"")</f>
        <v/>
      </c>
      <c r="S87" s="43" t="str" cm="1">
        <f t="array" aca="1" ref="S87" ca="1">IFERROR(INDEX('DBX Sprint'!$A$7:$K$62, SMALL(IF((INDEX('DBX Sprint'!$A$7:$K$62, ,19)&lt;=(TODAY()+10))*(INDEX('DBX Sprint'!$A$7:$K$62, ,19)&gt;(TODAY()+5)),MATCH(ROW('DBX Sprint'!$A$7:$K$62),ROW('DBX Sprint'!$A$7:$K$62)),""),ROWS($S$34:S87)),COLUMNS('DBX Sprint'!$A$1:A12)),"")</f>
        <v/>
      </c>
      <c r="U87" s="41" t="str" cm="1">
        <f t="array" ref="U87">IFERROR(INDEX('DBX Sprint'!$A$7:$K$62, SMALL(IF((INDEX('DBX Sprint'!$A$7:$K$62, ,22)=("Complete"))*(INDEX('DBX Sprint'!$A$7:$K$62, ,22)="Complete"),MATCH(ROW('DBX Sprint'!$A$7:$K$62),ROW('DBX Sprint'!$A$7:$K$62)),""),ROWS($U$34:U87)),COLUMNS('DBX Sprint'!$A$1:A12)),"")</f>
        <v/>
      </c>
      <c r="V87" s="41" t="str" cm="1">
        <f t="array" aca="1" ref="V87" ca="1">IFERROR(INDEX('DBX Sprint'!$A$7:$K$62, SMALL(IF((INDEX('DBX Sprint'!$A$7:$K$62, ,22)&lt;(TODAY()))*(INDEX('DBX Sprint'!$A$7:$K$62, ,22)&lt;&gt;"Complete"),MATCH(ROW('DBX Sprint'!$A$7:$K$62),ROW('DBX Sprint'!$A$7:$K$62)),""),ROWS($V$34:V87)),COLUMNS('DBX Sprint'!$A$1:A12)),"")</f>
        <v/>
      </c>
      <c r="W87" s="41" t="str" cm="1">
        <f t="array" aca="1" ref="W87" ca="1">IFERROR(INDEX('DBX Sprint'!$A$7:$K$62, SMALL(IF((INDEX('DBX Sprint'!$A$7:$K$62, ,22)&lt;=(TODAY()+1))*(INDEX('DBX Sprint'!$A$7:$K$62, ,22)&gt;=TODAY()),MATCH(ROW('DBX Sprint'!$A$7:$K$62),ROW('DBX Sprint'!$A$7:$K$62)),""),ROWS($W$34:W87)),COLUMNS('DBX Sprint'!$A$1:A12)),"")</f>
        <v/>
      </c>
      <c r="X87" s="43" t="str" cm="1">
        <f t="array" aca="1" ref="X87" ca="1">IFERROR(INDEX('DBX Sprint'!$A$7:$K$62, SMALL(IF((INDEX('DBX Sprint'!$A$7:$K$62, ,22)&lt;=(TODAY()+5))*(INDEX('DBX Sprint'!$A$7:$K$62, ,22)&gt;(TODAY()+1)),MATCH(ROW('DBX Sprint'!$A$7:$K$62),ROW('DBX Sprint'!$A$7:$K$62)),""),ROWS($X$34:X87)),COLUMNS('DBX Sprint'!$A$1:A12)),"")</f>
        <v/>
      </c>
      <c r="Y87" s="43" t="str" cm="1">
        <f t="array" aca="1" ref="Y87" ca="1">IFERROR(INDEX('DBX Sprint'!$A$7:$K$62, SMALL(IF((INDEX('DBX Sprint'!$A$7:$K$62, ,22)&lt;=(TODAY()+10))*(INDEX('DBX Sprint'!$A$7:$K$62, ,22)&gt;(TODAY()+5)),MATCH(ROW('DBX Sprint'!$A$7:$K$62),ROW('DBX Sprint'!$A$7:$K$62)),""),ROWS($Y$34:Y87)),COLUMNS('DBX Sprint'!$A$1:A12)),"")</f>
        <v/>
      </c>
      <c r="AA87" s="41" t="str" cm="1">
        <f t="array" ref="AA87">IFERROR(INDEX('DBX Sprint'!$A$7:$K$62, SMALL(IF((INDEX('DBX Sprint'!$A$7:$K$62, ,25)=("Complete"))*(INDEX('DBX Sprint'!$A$7:$K$62, ,25)="Complete"),MATCH(ROW('DBX Sprint'!$A$7:$K$62),ROW('DBX Sprint'!$A$7:$K$62)),""),ROWS($AA$34:AA87)),COLUMNS('DBX Sprint'!$A$1:A12)),"")</f>
        <v/>
      </c>
      <c r="AB87" s="41" t="str" cm="1">
        <f t="array" aca="1" ref="AB87" ca="1">IFERROR(INDEX('DBX Sprint'!$A$7:$K$62, SMALL(IF((INDEX('DBX Sprint'!$A$7:$K$62, ,25)&lt;(TODAY()))*(INDEX('DBX Sprint'!$A$7:$K$62, ,25)&lt;&gt;"Complete"),MATCH(ROW('DBX Sprint'!$A$7:$K$62),ROW('DBX Sprint'!$A$7:$K$62)),""),ROWS($AB$34:AB87)),COLUMNS('DBX Sprint'!$A$1:A12)),"")</f>
        <v/>
      </c>
      <c r="AC87" s="41" t="str" cm="1">
        <f t="array" aca="1" ref="AC87" ca="1">IFERROR(INDEX('DBX Sprint'!$A$7:$K$62, SMALL(IF((INDEX('DBX Sprint'!$A$7:$K$62, ,25)&lt;=(TODAY()+1))*(INDEX('DBX Sprint'!$A$7:$K$62, ,25)&gt;=TODAY()),MATCH(ROW('DBX Sprint'!$A$7:$K$62),ROW('DBX Sprint'!$A$7:$K$62)),""),ROWS($AC$34:AC87)),COLUMNS('DBX Sprint'!$A$1:A12)),"")</f>
        <v/>
      </c>
      <c r="AD87" s="43" t="str" cm="1">
        <f t="array" aca="1" ref="AD87" ca="1">IFERROR(INDEX('DBX Sprint'!$A$7:$K$62, SMALL(IF((INDEX('DBX Sprint'!$A$7:$K$62, ,25)&lt;=(TODAY()+5))*(INDEX('DBX Sprint'!$A$7:$K$62, ,25)&gt;(TODAY()+1)),MATCH(ROW('DBX Sprint'!$A$7:$K$62),ROW('DBX Sprint'!$A$7:$K$62)),""),ROWS($AD$34:AD87)),COLUMNS('DBX Sprint'!$A$1:A12)),"")</f>
        <v/>
      </c>
      <c r="AE87" s="43" t="str" cm="1">
        <f t="array" aca="1" ref="AE87" ca="1">IFERROR(INDEX('DBX Sprint'!$A$7:$K$62, SMALL(IF((INDEX('DBX Sprint'!$A$7:$K$62, ,25)&lt;=(TODAY()+10))*(INDEX('DBX Sprint'!$A$7:$K$62, ,25)&gt;(TODAY()+5)),MATCH(ROW('DBX Sprint'!$A$7:$K$62),ROW('DBX Sprint'!$A$7:$K$62)),""),ROWS($AE$34:AE87)),COLUMNS('DBX Sprint'!$A$1:A12)),"")</f>
        <v/>
      </c>
      <c r="AG87" s="41" t="str" cm="1">
        <f t="array" ref="AG87">IFERROR(INDEX('DBX Sprint'!$A$7:$K$62, SMALL(IF((INDEX('DBX Sprint'!$A$7:$K$62, ,29)=("Complete"))*(INDEX('DBX Sprint'!$A$7:$K$62, ,29)="Complete"),MATCH(ROW('DBX Sprint'!$A$7:$K$62),ROW('DBX Sprint'!$A$7:$K$62)),""),ROWS($AG$34:AG87)),COLUMNS('DBX Sprint'!$A$1:A12)),"")</f>
        <v/>
      </c>
      <c r="AH87" s="41" t="str" cm="1">
        <f t="array" aca="1" ref="AH87" ca="1">IFERROR(INDEX('DBX Sprint'!$A$7:$K$62, SMALL(IF((INDEX('DBX Sprint'!$A$7:$K$62, ,29)&lt;(TODAY()))*(INDEX('DBX Sprint'!$A$7:$K$62, ,29)&lt;&gt;"Complete"),MATCH(ROW('DBX Sprint'!$A$7:$K$62),ROW('DBX Sprint'!$A$7:$K$62)),""),ROWS($AH$34:AH87)),COLUMNS('DBX Sprint'!$A$1:A12)),"")</f>
        <v/>
      </c>
      <c r="AI87" s="41" t="str" cm="1">
        <f t="array" aca="1" ref="AI87" ca="1">IFERROR(INDEX('DBX Sprint'!$A$7:$K$62, SMALL(IF((INDEX('DBX Sprint'!$A$7:$K$62, ,29)&lt;=(TODAY()+1))*(INDEX('DBX Sprint'!$A$7:$K$62, ,29)&gt;=TODAY()),MATCH(ROW('DBX Sprint'!$A$7:$K$62),ROW('DBX Sprint'!$A$7:$K$62)),""),ROWS($AI$34:AI87)),COLUMNS('DBX Sprint'!$A$1:A12)),"")</f>
        <v/>
      </c>
      <c r="AJ87" s="43" t="str" cm="1">
        <f t="array" aca="1" ref="AJ87" ca="1">IFERROR(INDEX('DBX Sprint'!$A$7:$K$62, SMALL(IF((INDEX('DBX Sprint'!$A$7:$K$62, ,29)&lt;=(TODAY()+5))*(INDEX('DBX Sprint'!$A$7:$K$62, ,29)&gt;(TODAY()+1)),MATCH(ROW('DBX Sprint'!$A$7:$K$62),ROW('DBX Sprint'!$A$7:$K$62)),""),ROWS($AJ$34:AJ87)),COLUMNS('DBX Sprint'!$A$1:A12)),"")</f>
        <v/>
      </c>
      <c r="AK87" s="43" t="str" cm="1">
        <f t="array" aca="1" ref="AK87" ca="1">IFERROR(INDEX('DBX Sprint'!$A$7:$K$62, SMALL(IF((INDEX('DBX Sprint'!$A$7:$K$62, ,29)&lt;=(TODAY()+10))*(INDEX('DBX Sprint'!$A$7:$K$62, ,29)&gt;(TODAY()+5)),MATCH(ROW('DBX Sprint'!$A$7:$K$62),ROW('DBX Sprint'!$A$7:$K$62)),""),ROWS($AK$34:AK87)),COLUMNS('DBX Sprint'!$A$1:A12)),"")</f>
        <v/>
      </c>
      <c r="AM87" s="41" t="str" cm="1">
        <f t="array" ref="AM87">IFERROR(INDEX('DBX Sprint'!$A$7:$K$62, SMALL(IF((INDEX('DBX Sprint'!$A$7:$K$62, ,32)=("Complete"))*(INDEX('DBX Sprint'!$A$7:$K$62, ,32)="Complete"),MATCH(ROW('DBX Sprint'!$A$7:$K$62),ROW('DBX Sprint'!$A$7:$K$62)),""),ROWS($AM$34:AM87)),COLUMNS('DBX Sprint'!$A$1:A12)),"")</f>
        <v/>
      </c>
      <c r="AN87" s="41" t="str" cm="1">
        <f t="array" aca="1" ref="AN87" ca="1">IFERROR(INDEX('DBX Sprint'!$A$7:$K$62, SMALL(IF((INDEX('DBX Sprint'!$A$7:$K$62, ,32)&lt;(TODAY()))*(INDEX('DBX Sprint'!$A$7:$K$62, ,32)&lt;&gt;"Complete"),MATCH(ROW('DBX Sprint'!$A$7:$K$62),ROW('DBX Sprint'!$A$7:$K$62)),""),ROWS($AN$34:AN87)),COLUMNS('DBX Sprint'!$A$1:A12)),"")</f>
        <v/>
      </c>
      <c r="AO87" s="41" t="str" cm="1">
        <f t="array" aca="1" ref="AO87" ca="1">IFERROR(INDEX('DBX Sprint'!$A$7:$K$62, SMALL(IF((INDEX('DBX Sprint'!$A$7:$K$62, ,32)&lt;=(TODAY()+1))*(INDEX('DBX Sprint'!$A$7:$K$62, ,32)&gt;=TODAY()),MATCH(ROW('DBX Sprint'!$A$7:$K$62),ROW('DBX Sprint'!$A$7:$K$62)),""),ROWS($AO$34:AO87)),COLUMNS('DBX Sprint'!$A$1:A12)),"")</f>
        <v/>
      </c>
      <c r="AP87" s="43" t="str" cm="1">
        <f t="array" aca="1" ref="AP87" ca="1">IFERROR(INDEX('DBX Sprint'!$A$7:$K$62, SMALL(IF((INDEX('DBX Sprint'!$A$7:$K$62, ,32)&lt;=(TODAY()+5))*(INDEX('DBX Sprint'!$A$7:$K$62, ,32)&gt;(TODAY()+1)),MATCH(ROW('DBX Sprint'!$A$7:$K$62),ROW('DBX Sprint'!$A$7:$K$62)),""),ROWS($AP$34:AP87)),COLUMNS('DBX Sprint'!$A$1:A12)),"")</f>
        <v/>
      </c>
      <c r="AQ87" s="43" t="str" cm="1">
        <f t="array" aca="1" ref="AQ87" ca="1">IFERROR(INDEX('DBX Sprint'!$A$7:$K$62, SMALL(IF((INDEX('DBX Sprint'!$A$7:$K$62, ,32)&lt;=(TODAY()+10))*(INDEX('DBX Sprint'!$A$7:$K$62, ,32)&gt;(TODAY()+5)),MATCH(ROW('DBX Sprint'!$A$7:$K$62),ROW('DBX Sprint'!$A$7:$K$62)),""),ROWS($AQ$34:AQ87)),COLUMNS('DBX Sprint'!$A$1:A12)),"")</f>
        <v/>
      </c>
    </row>
    <row r="88" spans="3:43" ht="30" customHeight="1">
      <c r="C88" s="41" t="str" cm="1">
        <f t="array" ref="C88">IFERROR(INDEX('DBX Sprint'!$A$7:$K$62, SMALL(IF((INDEX('DBX Sprint'!$A$7:$K$62, ,13)=("Complete"))*(INDEX('DBX Sprint'!$A$7:$K$62, ,13)="Complete"),MATCH(ROW('DBX Sprint'!$A$7:$K$62),ROW('DBX Sprint'!$A$7:$K$62)),""),ROWS(C$34:$C88)),COLUMNS('DBX Sprint'!$A$1:A12)),"")</f>
        <v/>
      </c>
      <c r="D88" s="41" t="str" cm="1">
        <f t="array" aca="1" ref="D88" ca="1">IFERROR(INDEX('DBX Sprint'!$A$7:$K$62, SMALL(IF((INDEX('DBX Sprint'!$A$7:$K$62, ,13)&lt;(TODAY()))*(INDEX('DBX Sprint'!$A$7:$K$62, ,13)&lt;&gt;"Complete"),MATCH(ROW('DBX Sprint'!$A$7:$K$62),ROW('DBX Sprint'!$A$7:$K$62)),""),ROWS(D$34:$D88)),COLUMNS('DBX Sprint'!$A$1:A12)),"")</f>
        <v/>
      </c>
      <c r="E88" s="41" t="str" cm="1">
        <f t="array" aca="1" ref="E88" ca="1">IFERROR(INDEX('DBX Sprint'!$A$7:$K$62, SMALL(IF((INDEX('DBX Sprint'!$A$7:$K$62, ,13)&lt;=(TODAY()+1))*(INDEX('DBX Sprint'!$A$7:$K$62, ,13)&gt;=TODAY()),MATCH(ROW('DBX Sprint'!$A$7:$K$62),ROW('DBX Sprint'!$A$7:$K$62)),""),ROWS(E$34:$E88)),COLUMNS('DBX Sprint'!$A$1:A12)),"")</f>
        <v/>
      </c>
      <c r="F88" s="43" t="str" cm="1">
        <f t="array" aca="1" ref="F88" ca="1">IFERROR(INDEX('DBX Sprint'!$A$7:$K$62, SMALL(IF((INDEX('DBX Sprint'!$A$7:$K$62, ,13)&lt;=(TODAY()+5))*(INDEX('DBX Sprint'!$A$7:$K$62, ,13)&gt;(TODAY()+1)),MATCH(ROW('DBX Sprint'!$A$7:$K$62),ROW('DBX Sprint'!$A$7:$K$62)),""),ROWS($F$34:F88)),COLUMNS('DBX Sprint'!$A$1:A12)),"")</f>
        <v/>
      </c>
      <c r="G88" s="43" t="str" cm="1">
        <f t="array" aca="1" ref="G88" ca="1">IFERROR(INDEX('DBX Sprint'!$A$7:$K$62, SMALL(IF((INDEX('DBX Sprint'!$A$7:$K$62, ,13)&lt;=(TODAY()+10))*(INDEX('DBX Sprint'!$A$7:$K$62, ,13)&gt;(TODAY()+5)),MATCH(ROW('DBX Sprint'!$A$7:$K$62),ROW('DBX Sprint'!$A$7:$K$62)),""),ROWS($G$34:G88)),COLUMNS('DBX Sprint'!$A$1:A12)),"")</f>
        <v/>
      </c>
      <c r="I88" s="41" t="str" cm="1">
        <f t="array" ref="I88">IFERROR(INDEX('DBX Sprint'!$A$7:$K$62, SMALL(IF((INDEX('DBX Sprint'!$A$7:$K$62, ,16)=("Complete"))*(INDEX('DBX Sprint'!$A$7:$K$62, ,16)="Complete"),MATCH(ROW('DBX Sprint'!$A$7:$K$62),ROW('DBX Sprint'!$A$7:$K$62)),""),ROWS($I$34:I88)),COLUMNS('DBX Sprint'!$A$1:A12)),"")</f>
        <v/>
      </c>
      <c r="J88" s="41" t="str" cm="1">
        <f t="array" aca="1" ref="J88" ca="1">IFERROR(INDEX('DBX Sprint'!$A$7:$K$62, SMALL(IF((INDEX('DBX Sprint'!$A$7:$K$62, ,16)&lt;(TODAY()))*(INDEX('DBX Sprint'!$A$7:$K$62, ,16)&lt;&gt;"Complete"),MATCH(ROW('DBX Sprint'!$A$7:$K$62),ROW('DBX Sprint'!$A$7:$K$62)),""),ROWS($J$34:J88)),COLUMNS('DBX Sprint'!$A$1:A12)),"")</f>
        <v/>
      </c>
      <c r="K88" s="37" t="str" cm="1">
        <f t="array" aca="1" ref="K88" ca="1">IFERROR(INDEX('DBX Sprint'!$A$7:$K$62, SMALL(IF((INDEX('DBX Sprint'!$A$7:$K$62, ,16)&lt;=(TODAY()+1))*(INDEX('DBX Sprint'!$A$7:$K$62, ,16)&gt;=TODAY()),MATCH(ROW('DBX Sprint'!$A$7:$K$62),ROW('DBX Sprint'!$A$7:$K$62)),""),ROWS($K$34:K88)),COLUMNS('DBX Sprint'!$A$1:A12)),"")</f>
        <v/>
      </c>
      <c r="L88" s="38" t="str" cm="1">
        <f t="array" aca="1" ref="L88" ca="1">IFERROR(INDEX('DBX Sprint'!$A$7:$K$62, SMALL(IF((INDEX('DBX Sprint'!$A$7:$K$62, ,16)&lt;=(TODAY()+5))*(INDEX('DBX Sprint'!$A$7:$K$62, ,16)&gt;(TODAY()+1)),MATCH(ROW('DBX Sprint'!$A$7:$K$62),ROW('DBX Sprint'!$A$7:$K$62)),""),ROWS($L$34:L88)),COLUMNS('DBX Sprint'!$A$1:A12)),"")</f>
        <v/>
      </c>
      <c r="M88" s="43" t="str" cm="1">
        <f t="array" aca="1" ref="M88" ca="1">IFERROR(INDEX('DBX Sprint'!$A$7:$K$62, SMALL(IF((INDEX('DBX Sprint'!$A$7:$K$62, ,16)&lt;=(TODAY()+10))*(INDEX('DBX Sprint'!$A$7:$K$62, ,16)&gt;(TODAY()+5)),MATCH(ROW('DBX Sprint'!$A$7:$K$62),ROW('DBX Sprint'!$A$7:$K$62)),""),ROWS($M$34:M88)),COLUMNS('DBX Sprint'!$A$1:A12)),"")</f>
        <v/>
      </c>
      <c r="P88" s="41" t="str" cm="1">
        <f t="array" aca="1" ref="P88" ca="1">IFERROR(INDEX('DBX Sprint'!$A$7:$K$62, SMALL(IF((INDEX('DBX Sprint'!$A$7:$K$62, ,19)&lt;(TODAY()))*(INDEX('DBX Sprint'!$A$7:$K$62, ,19)&lt;&gt;"Complete"),MATCH(ROW('DBX Sprint'!$A$7:$K$62),ROW('DBX Sprint'!$A$7:$K$62)),""),ROWS($P$34:P88)),COLUMNS('DBX Sprint'!$A$1:A12)),"")</f>
        <v/>
      </c>
      <c r="Q88" s="41" t="str" cm="1">
        <f t="array" aca="1" ref="Q88" ca="1">IFERROR(INDEX('DBX Sprint'!$A$7:$K$62, SMALL(IF((INDEX('DBX Sprint'!$A$7:$K$62, ,19)&lt;=(TODAY()+1))*(INDEX('DBX Sprint'!$A$7:$K$62, ,19)&gt;=TODAY()),MATCH(ROW('DBX Sprint'!$A$7:$K$62),ROW('DBX Sprint'!$A$7:$K$62)),""),ROWS($Q$34:Q88)),COLUMNS('DBX Sprint'!$A$1:A12)),"")</f>
        <v/>
      </c>
      <c r="R88" s="43" t="str" cm="1">
        <f t="array" aca="1" ref="R88" ca="1">IFERROR(INDEX('DBX Sprint'!$A$7:$K$62, SMALL(IF((INDEX('DBX Sprint'!$A$7:$K$62, ,19)&lt;=(TODAY()+5))*(INDEX('DBX Sprint'!$A$7:$K$62, ,19)&gt;(TODAY()+1)),MATCH(ROW('DBX Sprint'!$A$7:$K$62),ROW('DBX Sprint'!$A$7:$K$62)),""),ROWS($R$34:R88)),COLUMNS('DBX Sprint'!$A$1:A12)),"")</f>
        <v/>
      </c>
      <c r="S88" s="43" t="str" cm="1">
        <f t="array" aca="1" ref="S88" ca="1">IFERROR(INDEX('DBX Sprint'!$A$7:$K$62, SMALL(IF((INDEX('DBX Sprint'!$A$7:$K$62, ,19)&lt;=(TODAY()+10))*(INDEX('DBX Sprint'!$A$7:$K$62, ,19)&gt;(TODAY()+5)),MATCH(ROW('DBX Sprint'!$A$7:$K$62),ROW('DBX Sprint'!$A$7:$K$62)),""),ROWS($S$34:S88)),COLUMNS('DBX Sprint'!$A$1:A12)),"")</f>
        <v/>
      </c>
      <c r="U88" s="41" t="str" cm="1">
        <f t="array" ref="U88">IFERROR(INDEX('DBX Sprint'!$A$7:$K$62, SMALL(IF((INDEX('DBX Sprint'!$A$7:$K$62, ,22)=("Complete"))*(INDEX('DBX Sprint'!$A$7:$K$62, ,22)="Complete"),MATCH(ROW('DBX Sprint'!$A$7:$K$62),ROW('DBX Sprint'!$A$7:$K$62)),""),ROWS($U$34:U88)),COLUMNS('DBX Sprint'!$A$1:A12)),"")</f>
        <v/>
      </c>
      <c r="V88" s="41" t="str" cm="1">
        <f t="array" aca="1" ref="V88" ca="1">IFERROR(INDEX('DBX Sprint'!$A$7:$K$62, SMALL(IF((INDEX('DBX Sprint'!$A$7:$K$62, ,22)&lt;(TODAY()))*(INDEX('DBX Sprint'!$A$7:$K$62, ,22)&lt;&gt;"Complete"),MATCH(ROW('DBX Sprint'!$A$7:$K$62),ROW('DBX Sprint'!$A$7:$K$62)),""),ROWS($V$34:V88)),COLUMNS('DBX Sprint'!$A$1:A12)),"")</f>
        <v/>
      </c>
      <c r="W88" s="41" t="str" cm="1">
        <f t="array" aca="1" ref="W88" ca="1">IFERROR(INDEX('DBX Sprint'!$A$7:$K$62, SMALL(IF((INDEX('DBX Sprint'!$A$7:$K$62, ,22)&lt;=(TODAY()+1))*(INDEX('DBX Sprint'!$A$7:$K$62, ,22)&gt;=TODAY()),MATCH(ROW('DBX Sprint'!$A$7:$K$62),ROW('DBX Sprint'!$A$7:$K$62)),""),ROWS($W$34:W88)),COLUMNS('DBX Sprint'!$A$1:A12)),"")</f>
        <v/>
      </c>
      <c r="X88" s="43" t="str" cm="1">
        <f t="array" aca="1" ref="X88" ca="1">IFERROR(INDEX('DBX Sprint'!$A$7:$K$62, SMALL(IF((INDEX('DBX Sprint'!$A$7:$K$62, ,22)&lt;=(TODAY()+5))*(INDEX('DBX Sprint'!$A$7:$K$62, ,22)&gt;(TODAY()+1)),MATCH(ROW('DBX Sprint'!$A$7:$K$62),ROW('DBX Sprint'!$A$7:$K$62)),""),ROWS($X$34:X88)),COLUMNS('DBX Sprint'!$A$1:A12)),"")</f>
        <v/>
      </c>
      <c r="Y88" s="43" t="str" cm="1">
        <f t="array" aca="1" ref="Y88" ca="1">IFERROR(INDEX('DBX Sprint'!$A$7:$K$62, SMALL(IF((INDEX('DBX Sprint'!$A$7:$K$62, ,22)&lt;=(TODAY()+10))*(INDEX('DBX Sprint'!$A$7:$K$62, ,22)&gt;(TODAY()+5)),MATCH(ROW('DBX Sprint'!$A$7:$K$62),ROW('DBX Sprint'!$A$7:$K$62)),""),ROWS($Y$34:Y88)),COLUMNS('DBX Sprint'!$A$1:A12)),"")</f>
        <v/>
      </c>
      <c r="AA88" s="41" t="str" cm="1">
        <f t="array" ref="AA88">IFERROR(INDEX('DBX Sprint'!$A$7:$K$62, SMALL(IF((INDEX('DBX Sprint'!$A$7:$K$62, ,25)=("Complete"))*(INDEX('DBX Sprint'!$A$7:$K$62, ,25)="Complete"),MATCH(ROW('DBX Sprint'!$A$7:$K$62),ROW('DBX Sprint'!$A$7:$K$62)),""),ROWS($AA$34:AA88)),COLUMNS('DBX Sprint'!$A$1:A12)),"")</f>
        <v/>
      </c>
      <c r="AB88" s="41" t="str" cm="1">
        <f t="array" aca="1" ref="AB88" ca="1">IFERROR(INDEX('DBX Sprint'!$A$7:$K$62, SMALL(IF((INDEX('DBX Sprint'!$A$7:$K$62, ,25)&lt;(TODAY()))*(INDEX('DBX Sprint'!$A$7:$K$62, ,25)&lt;&gt;"Complete"),MATCH(ROW('DBX Sprint'!$A$7:$K$62),ROW('DBX Sprint'!$A$7:$K$62)),""),ROWS($AB$34:AB88)),COLUMNS('DBX Sprint'!$A$1:A12)),"")</f>
        <v/>
      </c>
      <c r="AC88" s="41" t="str" cm="1">
        <f t="array" aca="1" ref="AC88" ca="1">IFERROR(INDEX('DBX Sprint'!$A$7:$K$62, SMALL(IF((INDEX('DBX Sprint'!$A$7:$K$62, ,25)&lt;=(TODAY()+1))*(INDEX('DBX Sprint'!$A$7:$K$62, ,25)&gt;=TODAY()),MATCH(ROW('DBX Sprint'!$A$7:$K$62),ROW('DBX Sprint'!$A$7:$K$62)),""),ROWS($AC$34:AC88)),COLUMNS('DBX Sprint'!$A$1:A12)),"")</f>
        <v/>
      </c>
      <c r="AD88" s="43" t="str" cm="1">
        <f t="array" aca="1" ref="AD88" ca="1">IFERROR(INDEX('DBX Sprint'!$A$7:$K$62, SMALL(IF((INDEX('DBX Sprint'!$A$7:$K$62, ,25)&lt;=(TODAY()+5))*(INDEX('DBX Sprint'!$A$7:$K$62, ,25)&gt;(TODAY()+1)),MATCH(ROW('DBX Sprint'!$A$7:$K$62),ROW('DBX Sprint'!$A$7:$K$62)),""),ROWS($AD$34:AD88)),COLUMNS('DBX Sprint'!$A$1:A12)),"")</f>
        <v/>
      </c>
      <c r="AE88" s="43" t="str" cm="1">
        <f t="array" aca="1" ref="AE88" ca="1">IFERROR(INDEX('DBX Sprint'!$A$7:$K$62, SMALL(IF((INDEX('DBX Sprint'!$A$7:$K$62, ,25)&lt;=(TODAY()+10))*(INDEX('DBX Sprint'!$A$7:$K$62, ,25)&gt;(TODAY()+5)),MATCH(ROW('DBX Sprint'!$A$7:$K$62),ROW('DBX Sprint'!$A$7:$K$62)),""),ROWS($AE$34:AE88)),COLUMNS('DBX Sprint'!$A$1:A12)),"")</f>
        <v/>
      </c>
      <c r="AG88" s="41" t="str" cm="1">
        <f t="array" ref="AG88">IFERROR(INDEX('DBX Sprint'!$A$7:$K$62, SMALL(IF((INDEX('DBX Sprint'!$A$7:$K$62, ,29)=("Complete"))*(INDEX('DBX Sprint'!$A$7:$K$62, ,29)="Complete"),MATCH(ROW('DBX Sprint'!$A$7:$K$62),ROW('DBX Sprint'!$A$7:$K$62)),""),ROWS($AG$34:AG88)),COLUMNS('DBX Sprint'!$A$1:A12)),"")</f>
        <v/>
      </c>
      <c r="AH88" s="41" t="str" cm="1">
        <f t="array" aca="1" ref="AH88" ca="1">IFERROR(INDEX('DBX Sprint'!$A$7:$K$62, SMALL(IF((INDEX('DBX Sprint'!$A$7:$K$62, ,29)&lt;(TODAY()))*(INDEX('DBX Sprint'!$A$7:$K$62, ,29)&lt;&gt;"Complete"),MATCH(ROW('DBX Sprint'!$A$7:$K$62),ROW('DBX Sprint'!$A$7:$K$62)),""),ROWS($AH$34:AH88)),COLUMNS('DBX Sprint'!$A$1:A12)),"")</f>
        <v/>
      </c>
      <c r="AI88" s="41" t="str" cm="1">
        <f t="array" aca="1" ref="AI88" ca="1">IFERROR(INDEX('DBX Sprint'!$A$7:$K$62, SMALL(IF((INDEX('DBX Sprint'!$A$7:$K$62, ,29)&lt;=(TODAY()+1))*(INDEX('DBX Sprint'!$A$7:$K$62, ,29)&gt;=TODAY()),MATCH(ROW('DBX Sprint'!$A$7:$K$62),ROW('DBX Sprint'!$A$7:$K$62)),""),ROWS($AI$34:AI88)),COLUMNS('DBX Sprint'!$A$1:A12)),"")</f>
        <v/>
      </c>
      <c r="AJ88" s="43" t="str" cm="1">
        <f t="array" aca="1" ref="AJ88" ca="1">IFERROR(INDEX('DBX Sprint'!$A$7:$K$62, SMALL(IF((INDEX('DBX Sprint'!$A$7:$K$62, ,29)&lt;=(TODAY()+5))*(INDEX('DBX Sprint'!$A$7:$K$62, ,29)&gt;(TODAY()+1)),MATCH(ROW('DBX Sprint'!$A$7:$K$62),ROW('DBX Sprint'!$A$7:$K$62)),""),ROWS($AJ$34:AJ88)),COLUMNS('DBX Sprint'!$A$1:A12)),"")</f>
        <v/>
      </c>
      <c r="AK88" s="43" t="str" cm="1">
        <f t="array" aca="1" ref="AK88" ca="1">IFERROR(INDEX('DBX Sprint'!$A$7:$K$62, SMALL(IF((INDEX('DBX Sprint'!$A$7:$K$62, ,29)&lt;=(TODAY()+10))*(INDEX('DBX Sprint'!$A$7:$K$62, ,29)&gt;(TODAY()+5)),MATCH(ROW('DBX Sprint'!$A$7:$K$62),ROW('DBX Sprint'!$A$7:$K$62)),""),ROWS($AK$34:AK88)),COLUMNS('DBX Sprint'!$A$1:A12)),"")</f>
        <v/>
      </c>
      <c r="AM88" s="41" t="str" cm="1">
        <f t="array" ref="AM88">IFERROR(INDEX('DBX Sprint'!$A$7:$K$62, SMALL(IF((INDEX('DBX Sprint'!$A$7:$K$62, ,32)=("Complete"))*(INDEX('DBX Sprint'!$A$7:$K$62, ,32)="Complete"),MATCH(ROW('DBX Sprint'!$A$7:$K$62),ROW('DBX Sprint'!$A$7:$K$62)),""),ROWS($AM$34:AM88)),COLUMNS('DBX Sprint'!$A$1:A12)),"")</f>
        <v/>
      </c>
      <c r="AN88" s="41" t="str" cm="1">
        <f t="array" aca="1" ref="AN88" ca="1">IFERROR(INDEX('DBX Sprint'!$A$7:$K$62, SMALL(IF((INDEX('DBX Sprint'!$A$7:$K$62, ,32)&lt;(TODAY()))*(INDEX('DBX Sprint'!$A$7:$K$62, ,32)&lt;&gt;"Complete"),MATCH(ROW('DBX Sprint'!$A$7:$K$62),ROW('DBX Sprint'!$A$7:$K$62)),""),ROWS($AN$34:AN88)),COLUMNS('DBX Sprint'!$A$1:A12)),"")</f>
        <v/>
      </c>
      <c r="AO88" s="41" t="str" cm="1">
        <f t="array" aca="1" ref="AO88" ca="1">IFERROR(INDEX('DBX Sprint'!$A$7:$K$62, SMALL(IF((INDEX('DBX Sprint'!$A$7:$K$62, ,32)&lt;=(TODAY()+1))*(INDEX('DBX Sprint'!$A$7:$K$62, ,32)&gt;=TODAY()),MATCH(ROW('DBX Sprint'!$A$7:$K$62),ROW('DBX Sprint'!$A$7:$K$62)),""),ROWS($AO$34:AO88)),COLUMNS('DBX Sprint'!$A$1:A12)),"")</f>
        <v/>
      </c>
      <c r="AP88" s="43" t="str" cm="1">
        <f t="array" aca="1" ref="AP88" ca="1">IFERROR(INDEX('DBX Sprint'!$A$7:$K$62, SMALL(IF((INDEX('DBX Sprint'!$A$7:$K$62, ,32)&lt;=(TODAY()+5))*(INDEX('DBX Sprint'!$A$7:$K$62, ,32)&gt;(TODAY()+1)),MATCH(ROW('DBX Sprint'!$A$7:$K$62),ROW('DBX Sprint'!$A$7:$K$62)),""),ROWS($AP$34:AP88)),COLUMNS('DBX Sprint'!$A$1:A12)),"")</f>
        <v/>
      </c>
      <c r="AQ88" s="43" t="str" cm="1">
        <f t="array" aca="1" ref="AQ88" ca="1">IFERROR(INDEX('DBX Sprint'!$A$7:$K$62, SMALL(IF((INDEX('DBX Sprint'!$A$7:$K$62, ,32)&lt;=(TODAY()+10))*(INDEX('DBX Sprint'!$A$7:$K$62, ,32)&gt;(TODAY()+5)),MATCH(ROW('DBX Sprint'!$A$7:$K$62),ROW('DBX Sprint'!$A$7:$K$62)),""),ROWS($AQ$34:AQ88)),COLUMNS('DBX Sprint'!$A$1:A12)),"")</f>
        <v/>
      </c>
    </row>
    <row r="89" spans="3:43" ht="30" customHeight="1">
      <c r="C89" s="41" t="str" cm="1">
        <f t="array" ref="C89">IFERROR(INDEX('DBX Sprint'!$A$7:$K$62, SMALL(IF((INDEX('DBX Sprint'!$A$7:$K$62, ,13)=("Complete"))*(INDEX('DBX Sprint'!$A$7:$K$62, ,13)="Complete"),MATCH(ROW('DBX Sprint'!$A$7:$K$62),ROW('DBX Sprint'!$A$7:$K$62)),""),ROWS(C$34:$C89)),COLUMNS('DBX Sprint'!$A$1:A12)),"")</f>
        <v/>
      </c>
      <c r="D89" s="41" t="str" cm="1">
        <f t="array" aca="1" ref="D89" ca="1">IFERROR(INDEX('DBX Sprint'!$A$7:$K$62, SMALL(IF((INDEX('DBX Sprint'!$A$7:$K$62, ,13)&lt;(TODAY()))*(INDEX('DBX Sprint'!$A$7:$K$62, ,13)&lt;&gt;"Complete"),MATCH(ROW('DBX Sprint'!$A$7:$K$62),ROW('DBX Sprint'!$A$7:$K$62)),""),ROWS(D$34:$D89)),COLUMNS('DBX Sprint'!$A$1:A12)),"")</f>
        <v/>
      </c>
      <c r="E89" s="41" t="str" cm="1">
        <f t="array" aca="1" ref="E89" ca="1">IFERROR(INDEX('DBX Sprint'!$A$7:$K$62, SMALL(IF((INDEX('DBX Sprint'!$A$7:$K$62, ,13)&lt;=(TODAY()+1))*(INDEX('DBX Sprint'!$A$7:$K$62, ,13)&gt;=TODAY()),MATCH(ROW('DBX Sprint'!$A$7:$K$62),ROW('DBX Sprint'!$A$7:$K$62)),""),ROWS(E$34:$E89)),COLUMNS('DBX Sprint'!$A$1:A12)),"")</f>
        <v/>
      </c>
      <c r="F89" s="43" t="str" cm="1">
        <f t="array" aca="1" ref="F89" ca="1">IFERROR(INDEX('DBX Sprint'!$A$7:$K$62, SMALL(IF((INDEX('DBX Sprint'!$A$7:$K$62, ,13)&lt;=(TODAY()+5))*(INDEX('DBX Sprint'!$A$7:$K$62, ,13)&gt;(TODAY()+1)),MATCH(ROW('DBX Sprint'!$A$7:$K$62),ROW('DBX Sprint'!$A$7:$K$62)),""),ROWS($F$34:F89)),COLUMNS('DBX Sprint'!$A$1:A12)),"")</f>
        <v/>
      </c>
      <c r="G89" s="43" t="str" cm="1">
        <f t="array" aca="1" ref="G89" ca="1">IFERROR(INDEX('DBX Sprint'!$A$7:$K$62, SMALL(IF((INDEX('DBX Sprint'!$A$7:$K$62, ,13)&lt;=(TODAY()+10))*(INDEX('DBX Sprint'!$A$7:$K$62, ,13)&gt;(TODAY()+5)),MATCH(ROW('DBX Sprint'!$A$7:$K$62),ROW('DBX Sprint'!$A$7:$K$62)),""),ROWS($G$34:G89)),COLUMNS('DBX Sprint'!$A$1:A12)),"")</f>
        <v/>
      </c>
      <c r="I89" s="41" t="str" cm="1">
        <f t="array" ref="I89">IFERROR(INDEX('DBX Sprint'!$A$7:$K$62, SMALL(IF((INDEX('DBX Sprint'!$A$7:$K$62, ,16)=("Complete"))*(INDEX('DBX Sprint'!$A$7:$K$62, ,16)="Complete"),MATCH(ROW('DBX Sprint'!$A$7:$K$62),ROW('DBX Sprint'!$A$7:$K$62)),""),ROWS($I$34:I89)),COLUMNS('DBX Sprint'!$A$1:A12)),"")</f>
        <v/>
      </c>
      <c r="J89" s="41" t="str" cm="1">
        <f t="array" aca="1" ref="J89" ca="1">IFERROR(INDEX('DBX Sprint'!$A$7:$K$62, SMALL(IF((INDEX('DBX Sprint'!$A$7:$K$62, ,16)&lt;(TODAY()))*(INDEX('DBX Sprint'!$A$7:$K$62, ,16)&lt;&gt;"Complete"),MATCH(ROW('DBX Sprint'!$A$7:$K$62),ROW('DBX Sprint'!$A$7:$K$62)),""),ROWS($J$34:J89)),COLUMNS('DBX Sprint'!$A$1:A12)),"")</f>
        <v/>
      </c>
      <c r="K89" s="37" t="str" cm="1">
        <f t="array" aca="1" ref="K89" ca="1">IFERROR(INDEX('DBX Sprint'!$A$7:$K$62, SMALL(IF((INDEX('DBX Sprint'!$A$7:$K$62, ,16)&lt;=(TODAY()+1))*(INDEX('DBX Sprint'!$A$7:$K$62, ,16)&gt;=TODAY()),MATCH(ROW('DBX Sprint'!$A$7:$K$62),ROW('DBX Sprint'!$A$7:$K$62)),""),ROWS($K$34:K89)),COLUMNS('DBX Sprint'!$A$1:A12)),"")</f>
        <v/>
      </c>
      <c r="L89" s="38" t="str" cm="1">
        <f t="array" aca="1" ref="L89" ca="1">IFERROR(INDEX('DBX Sprint'!$A$7:$K$62, SMALL(IF((INDEX('DBX Sprint'!$A$7:$K$62, ,16)&lt;=(TODAY()+5))*(INDEX('DBX Sprint'!$A$7:$K$62, ,16)&gt;(TODAY()+1)),MATCH(ROW('DBX Sprint'!$A$7:$K$62),ROW('DBX Sprint'!$A$7:$K$62)),""),ROWS($L$34:L89)),COLUMNS('DBX Sprint'!$A$1:A12)),"")</f>
        <v/>
      </c>
      <c r="M89" s="43" t="str" cm="1">
        <f t="array" aca="1" ref="M89" ca="1">IFERROR(INDEX('DBX Sprint'!$A$7:$K$62, SMALL(IF((INDEX('DBX Sprint'!$A$7:$K$62, ,16)&lt;=(TODAY()+10))*(INDEX('DBX Sprint'!$A$7:$K$62, ,16)&gt;(TODAY()+5)),MATCH(ROW('DBX Sprint'!$A$7:$K$62),ROW('DBX Sprint'!$A$7:$K$62)),""),ROWS($M$34:M89)),COLUMNS('DBX Sprint'!$A$1:A12)),"")</f>
        <v/>
      </c>
      <c r="P89" s="41" t="str" cm="1">
        <f t="array" aca="1" ref="P89" ca="1">IFERROR(INDEX('DBX Sprint'!$A$7:$K$62, SMALL(IF((INDEX('DBX Sprint'!$A$7:$K$62, ,19)&lt;(TODAY()))*(INDEX('DBX Sprint'!$A$7:$K$62, ,19)&lt;&gt;"Complete"),MATCH(ROW('DBX Sprint'!$A$7:$K$62),ROW('DBX Sprint'!$A$7:$K$62)),""),ROWS($P$34:P89)),COLUMNS('DBX Sprint'!$A$1:A12)),"")</f>
        <v/>
      </c>
      <c r="Q89" s="41" t="str" cm="1">
        <f t="array" aca="1" ref="Q89" ca="1">IFERROR(INDEX('DBX Sprint'!$A$7:$K$62, SMALL(IF((INDEX('DBX Sprint'!$A$7:$K$62, ,19)&lt;=(TODAY()+1))*(INDEX('DBX Sprint'!$A$7:$K$62, ,19)&gt;=TODAY()),MATCH(ROW('DBX Sprint'!$A$7:$K$62),ROW('DBX Sprint'!$A$7:$K$62)),""),ROWS($Q$34:Q89)),COLUMNS('DBX Sprint'!$A$1:A12)),"")</f>
        <v/>
      </c>
      <c r="R89" s="43" t="str" cm="1">
        <f t="array" aca="1" ref="R89" ca="1">IFERROR(INDEX('DBX Sprint'!$A$7:$K$62, SMALL(IF((INDEX('DBX Sprint'!$A$7:$K$62, ,19)&lt;=(TODAY()+5))*(INDEX('DBX Sprint'!$A$7:$K$62, ,19)&gt;(TODAY()+1)),MATCH(ROW('DBX Sprint'!$A$7:$K$62),ROW('DBX Sprint'!$A$7:$K$62)),""),ROWS($R$34:R89)),COLUMNS('DBX Sprint'!$A$1:A12)),"")</f>
        <v/>
      </c>
      <c r="S89" s="43" t="str" cm="1">
        <f t="array" aca="1" ref="S89" ca="1">IFERROR(INDEX('DBX Sprint'!$A$7:$K$62, SMALL(IF((INDEX('DBX Sprint'!$A$7:$K$62, ,19)&lt;=(TODAY()+10))*(INDEX('DBX Sprint'!$A$7:$K$62, ,19)&gt;(TODAY()+5)),MATCH(ROW('DBX Sprint'!$A$7:$K$62),ROW('DBX Sprint'!$A$7:$K$62)),""),ROWS($S$34:S89)),COLUMNS('DBX Sprint'!$A$1:A12)),"")</f>
        <v/>
      </c>
      <c r="U89" s="41" t="str" cm="1">
        <f t="array" ref="U89">IFERROR(INDEX('DBX Sprint'!$A$7:$K$62, SMALL(IF((INDEX('DBX Sprint'!$A$7:$K$62, ,22)=("Complete"))*(INDEX('DBX Sprint'!$A$7:$K$62, ,22)="Complete"),MATCH(ROW('DBX Sprint'!$A$7:$K$62),ROW('DBX Sprint'!$A$7:$K$62)),""),ROWS($U$34:U89)),COLUMNS('DBX Sprint'!$A$1:A12)),"")</f>
        <v/>
      </c>
      <c r="V89" s="41" t="str" cm="1">
        <f t="array" aca="1" ref="V89" ca="1">IFERROR(INDEX('DBX Sprint'!$A$7:$K$62, SMALL(IF((INDEX('DBX Sprint'!$A$7:$K$62, ,22)&lt;(TODAY()))*(INDEX('DBX Sprint'!$A$7:$K$62, ,22)&lt;&gt;"Complete"),MATCH(ROW('DBX Sprint'!$A$7:$K$62),ROW('DBX Sprint'!$A$7:$K$62)),""),ROWS($V$34:V89)),COLUMNS('DBX Sprint'!$A$1:A12)),"")</f>
        <v/>
      </c>
      <c r="W89" s="41" t="str" cm="1">
        <f t="array" aca="1" ref="W89" ca="1">IFERROR(INDEX('DBX Sprint'!$A$7:$K$62, SMALL(IF((INDEX('DBX Sprint'!$A$7:$K$62, ,22)&lt;=(TODAY()+1))*(INDEX('DBX Sprint'!$A$7:$K$62, ,22)&gt;=TODAY()),MATCH(ROW('DBX Sprint'!$A$7:$K$62),ROW('DBX Sprint'!$A$7:$K$62)),""),ROWS($W$34:W89)),COLUMNS('DBX Sprint'!$A$1:A12)),"")</f>
        <v/>
      </c>
      <c r="X89" s="43" t="str" cm="1">
        <f t="array" aca="1" ref="X89" ca="1">IFERROR(INDEX('DBX Sprint'!$A$7:$K$62, SMALL(IF((INDEX('DBX Sprint'!$A$7:$K$62, ,22)&lt;=(TODAY()+5))*(INDEX('DBX Sprint'!$A$7:$K$62, ,22)&gt;(TODAY()+1)),MATCH(ROW('DBX Sprint'!$A$7:$K$62),ROW('DBX Sprint'!$A$7:$K$62)),""),ROWS($X$34:X89)),COLUMNS('DBX Sprint'!$A$1:A12)),"")</f>
        <v/>
      </c>
      <c r="Y89" s="43" t="str" cm="1">
        <f t="array" aca="1" ref="Y89" ca="1">IFERROR(INDEX('DBX Sprint'!$A$7:$K$62, SMALL(IF((INDEX('DBX Sprint'!$A$7:$K$62, ,22)&lt;=(TODAY()+10))*(INDEX('DBX Sprint'!$A$7:$K$62, ,22)&gt;(TODAY()+5)),MATCH(ROW('DBX Sprint'!$A$7:$K$62),ROW('DBX Sprint'!$A$7:$K$62)),""),ROWS($Y$34:Y89)),COLUMNS('DBX Sprint'!$A$1:A12)),"")</f>
        <v/>
      </c>
      <c r="AA89" s="41" t="str" cm="1">
        <f t="array" ref="AA89">IFERROR(INDEX('DBX Sprint'!$A$7:$K$62, SMALL(IF((INDEX('DBX Sprint'!$A$7:$K$62, ,25)=("Complete"))*(INDEX('DBX Sprint'!$A$7:$K$62, ,25)="Complete"),MATCH(ROW('DBX Sprint'!$A$7:$K$62),ROW('DBX Sprint'!$A$7:$K$62)),""),ROWS($AA$34:AA89)),COLUMNS('DBX Sprint'!$A$1:A12)),"")</f>
        <v/>
      </c>
      <c r="AB89" s="41" t="str" cm="1">
        <f t="array" aca="1" ref="AB89" ca="1">IFERROR(INDEX('DBX Sprint'!$A$7:$K$62, SMALL(IF((INDEX('DBX Sprint'!$A$7:$K$62, ,25)&lt;(TODAY()))*(INDEX('DBX Sprint'!$A$7:$K$62, ,25)&lt;&gt;"Complete"),MATCH(ROW('DBX Sprint'!$A$7:$K$62),ROW('DBX Sprint'!$A$7:$K$62)),""),ROWS($AB$34:AB89)),COLUMNS('DBX Sprint'!$A$1:A12)),"")</f>
        <v/>
      </c>
      <c r="AC89" s="41" t="str" cm="1">
        <f t="array" aca="1" ref="AC89" ca="1">IFERROR(INDEX('DBX Sprint'!$A$7:$K$62, SMALL(IF((INDEX('DBX Sprint'!$A$7:$K$62, ,25)&lt;=(TODAY()+1))*(INDEX('DBX Sprint'!$A$7:$K$62, ,25)&gt;=TODAY()),MATCH(ROW('DBX Sprint'!$A$7:$K$62),ROW('DBX Sprint'!$A$7:$K$62)),""),ROWS($AC$34:AC89)),COLUMNS('DBX Sprint'!$A$1:A12)),"")</f>
        <v/>
      </c>
      <c r="AD89" s="43" t="str" cm="1">
        <f t="array" aca="1" ref="AD89" ca="1">IFERROR(INDEX('DBX Sprint'!$A$7:$K$62, SMALL(IF((INDEX('DBX Sprint'!$A$7:$K$62, ,25)&lt;=(TODAY()+5))*(INDEX('DBX Sprint'!$A$7:$K$62, ,25)&gt;(TODAY()+1)),MATCH(ROW('DBX Sprint'!$A$7:$K$62),ROW('DBX Sprint'!$A$7:$K$62)),""),ROWS($AD$34:AD89)),COLUMNS('DBX Sprint'!$A$1:A12)),"")</f>
        <v/>
      </c>
      <c r="AE89" s="43" t="str" cm="1">
        <f t="array" aca="1" ref="AE89" ca="1">IFERROR(INDEX('DBX Sprint'!$A$7:$K$62, SMALL(IF((INDEX('DBX Sprint'!$A$7:$K$62, ,25)&lt;=(TODAY()+10))*(INDEX('DBX Sprint'!$A$7:$K$62, ,25)&gt;(TODAY()+5)),MATCH(ROW('DBX Sprint'!$A$7:$K$62),ROW('DBX Sprint'!$A$7:$K$62)),""),ROWS($AE$34:AE89)),COLUMNS('DBX Sprint'!$A$1:A12)),"")</f>
        <v/>
      </c>
      <c r="AG89" s="41" t="str" cm="1">
        <f t="array" ref="AG89">IFERROR(INDEX('DBX Sprint'!$A$7:$K$62, SMALL(IF((INDEX('DBX Sprint'!$A$7:$K$62, ,29)=("Complete"))*(INDEX('DBX Sprint'!$A$7:$K$62, ,29)="Complete"),MATCH(ROW('DBX Sprint'!$A$7:$K$62),ROW('DBX Sprint'!$A$7:$K$62)),""),ROWS($AG$34:AG89)),COLUMNS('DBX Sprint'!$A$1:A12)),"")</f>
        <v/>
      </c>
      <c r="AH89" s="41" t="str" cm="1">
        <f t="array" aca="1" ref="AH89" ca="1">IFERROR(INDEX('DBX Sprint'!$A$7:$K$62, SMALL(IF((INDEX('DBX Sprint'!$A$7:$K$62, ,29)&lt;(TODAY()))*(INDEX('DBX Sprint'!$A$7:$K$62, ,29)&lt;&gt;"Complete"),MATCH(ROW('DBX Sprint'!$A$7:$K$62),ROW('DBX Sprint'!$A$7:$K$62)),""),ROWS($AH$34:AH89)),COLUMNS('DBX Sprint'!$A$1:A12)),"")</f>
        <v/>
      </c>
      <c r="AI89" s="41" t="str" cm="1">
        <f t="array" aca="1" ref="AI89" ca="1">IFERROR(INDEX('DBX Sprint'!$A$7:$K$62, SMALL(IF((INDEX('DBX Sprint'!$A$7:$K$62, ,29)&lt;=(TODAY()+1))*(INDEX('DBX Sprint'!$A$7:$K$62, ,29)&gt;=TODAY()),MATCH(ROW('DBX Sprint'!$A$7:$K$62),ROW('DBX Sprint'!$A$7:$K$62)),""),ROWS($AI$34:AI89)),COLUMNS('DBX Sprint'!$A$1:A12)),"")</f>
        <v/>
      </c>
      <c r="AJ89" s="43" t="str" cm="1">
        <f t="array" aca="1" ref="AJ89" ca="1">IFERROR(INDEX('DBX Sprint'!$A$7:$K$62, SMALL(IF((INDEX('DBX Sprint'!$A$7:$K$62, ,29)&lt;=(TODAY()+5))*(INDEX('DBX Sprint'!$A$7:$K$62, ,29)&gt;(TODAY()+1)),MATCH(ROW('DBX Sprint'!$A$7:$K$62),ROW('DBX Sprint'!$A$7:$K$62)),""),ROWS($AJ$34:AJ89)),COLUMNS('DBX Sprint'!$A$1:A12)),"")</f>
        <v/>
      </c>
      <c r="AK89" s="43" t="str" cm="1">
        <f t="array" aca="1" ref="AK89" ca="1">IFERROR(INDEX('DBX Sprint'!$A$7:$K$62, SMALL(IF((INDEX('DBX Sprint'!$A$7:$K$62, ,29)&lt;=(TODAY()+10))*(INDEX('DBX Sprint'!$A$7:$K$62, ,29)&gt;(TODAY()+5)),MATCH(ROW('DBX Sprint'!$A$7:$K$62),ROW('DBX Sprint'!$A$7:$K$62)),""),ROWS($AK$34:AK89)),COLUMNS('DBX Sprint'!$A$1:A12)),"")</f>
        <v/>
      </c>
      <c r="AM89" s="41" t="str" cm="1">
        <f t="array" ref="AM89">IFERROR(INDEX('DBX Sprint'!$A$7:$K$62, SMALL(IF((INDEX('DBX Sprint'!$A$7:$K$62, ,32)=("Complete"))*(INDEX('DBX Sprint'!$A$7:$K$62, ,32)="Complete"),MATCH(ROW('DBX Sprint'!$A$7:$K$62),ROW('DBX Sprint'!$A$7:$K$62)),""),ROWS($AM$34:AM89)),COLUMNS('DBX Sprint'!$A$1:A12)),"")</f>
        <v/>
      </c>
      <c r="AN89" s="41" t="str" cm="1">
        <f t="array" aca="1" ref="AN89" ca="1">IFERROR(INDEX('DBX Sprint'!$A$7:$K$62, SMALL(IF((INDEX('DBX Sprint'!$A$7:$K$62, ,32)&lt;(TODAY()))*(INDEX('DBX Sprint'!$A$7:$K$62, ,32)&lt;&gt;"Complete"),MATCH(ROW('DBX Sprint'!$A$7:$K$62),ROW('DBX Sprint'!$A$7:$K$62)),""),ROWS($AN$34:AN89)),COLUMNS('DBX Sprint'!$A$1:A12)),"")</f>
        <v/>
      </c>
      <c r="AO89" s="41" t="str" cm="1">
        <f t="array" aca="1" ref="AO89" ca="1">IFERROR(INDEX('DBX Sprint'!$A$7:$K$62, SMALL(IF((INDEX('DBX Sprint'!$A$7:$K$62, ,32)&lt;=(TODAY()+1))*(INDEX('DBX Sprint'!$A$7:$K$62, ,32)&gt;=TODAY()),MATCH(ROW('DBX Sprint'!$A$7:$K$62),ROW('DBX Sprint'!$A$7:$K$62)),""),ROWS($AO$34:AO89)),COLUMNS('DBX Sprint'!$A$1:A12)),"")</f>
        <v/>
      </c>
      <c r="AP89" s="43" t="str" cm="1">
        <f t="array" aca="1" ref="AP89" ca="1">IFERROR(INDEX('DBX Sprint'!$A$7:$K$62, SMALL(IF((INDEX('DBX Sprint'!$A$7:$K$62, ,32)&lt;=(TODAY()+5))*(INDEX('DBX Sprint'!$A$7:$K$62, ,32)&gt;(TODAY()+1)),MATCH(ROW('DBX Sprint'!$A$7:$K$62),ROW('DBX Sprint'!$A$7:$K$62)),""),ROWS($AP$34:AP89)),COLUMNS('DBX Sprint'!$A$1:A12)),"")</f>
        <v/>
      </c>
      <c r="AQ89" s="43" t="str" cm="1">
        <f t="array" aca="1" ref="AQ89" ca="1">IFERROR(INDEX('DBX Sprint'!$A$7:$K$62, SMALL(IF((INDEX('DBX Sprint'!$A$7:$K$62, ,32)&lt;=(TODAY()+10))*(INDEX('DBX Sprint'!$A$7:$K$62, ,32)&gt;(TODAY()+5)),MATCH(ROW('DBX Sprint'!$A$7:$K$62),ROW('DBX Sprint'!$A$7:$K$62)),""),ROWS($AQ$34:AQ89)),COLUMNS('DBX Sprint'!$A$1:A12)),"")</f>
        <v/>
      </c>
    </row>
    <row r="90" spans="3:43" ht="30" customHeight="1">
      <c r="C90" s="41" t="str" cm="1">
        <f t="array" ref="C90">IFERROR(INDEX('DBX Sprint'!$A$7:$K$62, SMALL(IF((INDEX('DBX Sprint'!$A$7:$K$62, ,13)=("Complete"))*(INDEX('DBX Sprint'!$A$7:$K$62, ,13)="Complete"),MATCH(ROW('DBX Sprint'!$A$7:$K$62),ROW('DBX Sprint'!$A$7:$K$62)),""),ROWS(C$34:$C90)),COLUMNS('DBX Sprint'!$A$1:A12)),"")</f>
        <v/>
      </c>
      <c r="D90" s="41" t="str" cm="1">
        <f t="array" aca="1" ref="D90" ca="1">IFERROR(INDEX('DBX Sprint'!$A$7:$K$62, SMALL(IF((INDEX('DBX Sprint'!$A$7:$K$62, ,13)&lt;(TODAY()))*(INDEX('DBX Sprint'!$A$7:$K$62, ,13)&lt;&gt;"Complete"),MATCH(ROW('DBX Sprint'!$A$7:$K$62),ROW('DBX Sprint'!$A$7:$K$62)),""),ROWS(D$34:$D90)),COLUMNS('DBX Sprint'!$A$1:A12)),"")</f>
        <v/>
      </c>
      <c r="E90" s="41" t="str" cm="1">
        <f t="array" aca="1" ref="E90" ca="1">IFERROR(INDEX('DBX Sprint'!$A$7:$K$62, SMALL(IF((INDEX('DBX Sprint'!$A$7:$K$62, ,13)&lt;=(TODAY()+1))*(INDEX('DBX Sprint'!$A$7:$K$62, ,13)&gt;=TODAY()),MATCH(ROW('DBX Sprint'!$A$7:$K$62),ROW('DBX Sprint'!$A$7:$K$62)),""),ROWS(E$34:$E90)),COLUMNS('DBX Sprint'!$A$1:A12)),"")</f>
        <v/>
      </c>
      <c r="F90" s="43" t="str" cm="1">
        <f t="array" aca="1" ref="F90" ca="1">IFERROR(INDEX('DBX Sprint'!$A$7:$K$62, SMALL(IF((INDEX('DBX Sprint'!$A$7:$K$62, ,13)&lt;=(TODAY()+5))*(INDEX('DBX Sprint'!$A$7:$K$62, ,13)&gt;(TODAY()+1)),MATCH(ROW('DBX Sprint'!$A$7:$K$62),ROW('DBX Sprint'!$A$7:$K$62)),""),ROWS($F$34:F90)),COLUMNS('DBX Sprint'!$A$1:A12)),"")</f>
        <v/>
      </c>
      <c r="G90" s="43" t="str" cm="1">
        <f t="array" aca="1" ref="G90" ca="1">IFERROR(INDEX('DBX Sprint'!$A$7:$K$62, SMALL(IF((INDEX('DBX Sprint'!$A$7:$K$62, ,13)&lt;=(TODAY()+10))*(INDEX('DBX Sprint'!$A$7:$K$62, ,13)&gt;(TODAY()+5)),MATCH(ROW('DBX Sprint'!$A$7:$K$62),ROW('DBX Sprint'!$A$7:$K$62)),""),ROWS($G$34:G90)),COLUMNS('DBX Sprint'!$A$1:A12)),"")</f>
        <v/>
      </c>
      <c r="I90" s="41" t="str" cm="1">
        <f t="array" ref="I90">IFERROR(INDEX('DBX Sprint'!$A$7:$K$62, SMALL(IF((INDEX('DBX Sprint'!$A$7:$K$62, ,16)=("Complete"))*(INDEX('DBX Sprint'!$A$7:$K$62, ,16)="Complete"),MATCH(ROW('DBX Sprint'!$A$7:$K$62),ROW('DBX Sprint'!$A$7:$K$62)),""),ROWS($I$34:I90)),COLUMNS('DBX Sprint'!$A$1:A12)),"")</f>
        <v/>
      </c>
      <c r="J90" s="41" t="str" cm="1">
        <f t="array" aca="1" ref="J90" ca="1">IFERROR(INDEX('DBX Sprint'!$A$7:$K$62, SMALL(IF((INDEX('DBX Sprint'!$A$7:$K$62, ,16)&lt;(TODAY()))*(INDEX('DBX Sprint'!$A$7:$K$62, ,16)&lt;&gt;"Complete"),MATCH(ROW('DBX Sprint'!$A$7:$K$62),ROW('DBX Sprint'!$A$7:$K$62)),""),ROWS($J$34:J90)),COLUMNS('DBX Sprint'!$A$1:A12)),"")</f>
        <v/>
      </c>
      <c r="K90" s="37" t="str" cm="1">
        <f t="array" aca="1" ref="K90" ca="1">IFERROR(INDEX('DBX Sprint'!$A$7:$K$62, SMALL(IF((INDEX('DBX Sprint'!$A$7:$K$62, ,16)&lt;=(TODAY()+1))*(INDEX('DBX Sprint'!$A$7:$K$62, ,16)&gt;=TODAY()),MATCH(ROW('DBX Sprint'!$A$7:$K$62),ROW('DBX Sprint'!$A$7:$K$62)),""),ROWS($K$34:K90)),COLUMNS('DBX Sprint'!$A$1:A12)),"")</f>
        <v/>
      </c>
      <c r="L90" s="38" t="str" cm="1">
        <f t="array" aca="1" ref="L90" ca="1">IFERROR(INDEX('DBX Sprint'!$A$7:$K$62, SMALL(IF((INDEX('DBX Sprint'!$A$7:$K$62, ,16)&lt;=(TODAY()+5))*(INDEX('DBX Sprint'!$A$7:$K$62, ,16)&gt;(TODAY()+1)),MATCH(ROW('DBX Sprint'!$A$7:$K$62),ROW('DBX Sprint'!$A$7:$K$62)),""),ROWS($L$34:L90)),COLUMNS('DBX Sprint'!$A$1:A12)),"")</f>
        <v/>
      </c>
      <c r="M90" s="43" t="str" cm="1">
        <f t="array" aca="1" ref="M90" ca="1">IFERROR(INDEX('DBX Sprint'!$A$7:$K$62, SMALL(IF((INDEX('DBX Sprint'!$A$7:$K$62, ,16)&lt;=(TODAY()+10))*(INDEX('DBX Sprint'!$A$7:$K$62, ,16)&gt;(TODAY()+5)),MATCH(ROW('DBX Sprint'!$A$7:$K$62),ROW('DBX Sprint'!$A$7:$K$62)),""),ROWS($M$34:M90)),COLUMNS('DBX Sprint'!$A$1:A12)),"")</f>
        <v/>
      </c>
      <c r="P90" s="41" t="str" cm="1">
        <f t="array" aca="1" ref="P90" ca="1">IFERROR(INDEX('DBX Sprint'!$A$7:$K$62, SMALL(IF((INDEX('DBX Sprint'!$A$7:$K$62, ,19)&lt;(TODAY()))*(INDEX('DBX Sprint'!$A$7:$K$62, ,19)&lt;&gt;"Complete"),MATCH(ROW('DBX Sprint'!$A$7:$K$62),ROW('DBX Sprint'!$A$7:$K$62)),""),ROWS($P$34:P90)),COLUMNS('DBX Sprint'!$A$1:A12)),"")</f>
        <v/>
      </c>
      <c r="Q90" s="41" t="str" cm="1">
        <f t="array" aca="1" ref="Q90" ca="1">IFERROR(INDEX('DBX Sprint'!$A$7:$K$62, SMALL(IF((INDEX('DBX Sprint'!$A$7:$K$62, ,19)&lt;=(TODAY()+1))*(INDEX('DBX Sprint'!$A$7:$K$62, ,19)&gt;=TODAY()),MATCH(ROW('DBX Sprint'!$A$7:$K$62),ROW('DBX Sprint'!$A$7:$K$62)),""),ROWS($Q$34:Q90)),COLUMNS('DBX Sprint'!$A$1:A12)),"")</f>
        <v/>
      </c>
      <c r="R90" s="43" t="str" cm="1">
        <f t="array" aca="1" ref="R90" ca="1">IFERROR(INDEX('DBX Sprint'!$A$7:$K$62, SMALL(IF((INDEX('DBX Sprint'!$A$7:$K$62, ,19)&lt;=(TODAY()+5))*(INDEX('DBX Sprint'!$A$7:$K$62, ,19)&gt;(TODAY()+1)),MATCH(ROW('DBX Sprint'!$A$7:$K$62),ROW('DBX Sprint'!$A$7:$K$62)),""),ROWS($R$34:R90)),COLUMNS('DBX Sprint'!$A$1:A12)),"")</f>
        <v/>
      </c>
      <c r="S90" s="43" t="str" cm="1">
        <f t="array" aca="1" ref="S90" ca="1">IFERROR(INDEX('DBX Sprint'!$A$7:$K$62, SMALL(IF((INDEX('DBX Sprint'!$A$7:$K$62, ,19)&lt;=(TODAY()+10))*(INDEX('DBX Sprint'!$A$7:$K$62, ,19)&gt;(TODAY()+5)),MATCH(ROW('DBX Sprint'!$A$7:$K$62),ROW('DBX Sprint'!$A$7:$K$62)),""),ROWS($S$34:S90)),COLUMNS('DBX Sprint'!$A$1:A12)),"")</f>
        <v/>
      </c>
      <c r="U90" s="41" t="str" cm="1">
        <f t="array" ref="U90">IFERROR(INDEX('DBX Sprint'!$A$7:$K$62, SMALL(IF((INDEX('DBX Sprint'!$A$7:$K$62, ,22)=("Complete"))*(INDEX('DBX Sprint'!$A$7:$K$62, ,22)="Complete"),MATCH(ROW('DBX Sprint'!$A$7:$K$62),ROW('DBX Sprint'!$A$7:$K$62)),""),ROWS($U$34:U90)),COLUMNS('DBX Sprint'!$A$1:A12)),"")</f>
        <v/>
      </c>
      <c r="V90" s="41" t="str" cm="1">
        <f t="array" aca="1" ref="V90" ca="1">IFERROR(INDEX('DBX Sprint'!$A$7:$K$62, SMALL(IF((INDEX('DBX Sprint'!$A$7:$K$62, ,22)&lt;(TODAY()))*(INDEX('DBX Sprint'!$A$7:$K$62, ,22)&lt;&gt;"Complete"),MATCH(ROW('DBX Sprint'!$A$7:$K$62),ROW('DBX Sprint'!$A$7:$K$62)),""),ROWS($V$34:V90)),COLUMNS('DBX Sprint'!$A$1:A12)),"")</f>
        <v/>
      </c>
      <c r="W90" s="41" t="str" cm="1">
        <f t="array" aca="1" ref="W90" ca="1">IFERROR(INDEX('DBX Sprint'!$A$7:$K$62, SMALL(IF((INDEX('DBX Sprint'!$A$7:$K$62, ,22)&lt;=(TODAY()+1))*(INDEX('DBX Sprint'!$A$7:$K$62, ,22)&gt;=TODAY()),MATCH(ROW('DBX Sprint'!$A$7:$K$62),ROW('DBX Sprint'!$A$7:$K$62)),""),ROWS($W$34:W90)),COLUMNS('DBX Sprint'!$A$1:A12)),"")</f>
        <v/>
      </c>
      <c r="X90" s="43" t="str" cm="1">
        <f t="array" aca="1" ref="X90" ca="1">IFERROR(INDEX('DBX Sprint'!$A$7:$K$62, SMALL(IF((INDEX('DBX Sprint'!$A$7:$K$62, ,22)&lt;=(TODAY()+5))*(INDEX('DBX Sprint'!$A$7:$K$62, ,22)&gt;(TODAY()+1)),MATCH(ROW('DBX Sprint'!$A$7:$K$62),ROW('DBX Sprint'!$A$7:$K$62)),""),ROWS($X$34:X90)),COLUMNS('DBX Sprint'!$A$1:A12)),"")</f>
        <v/>
      </c>
      <c r="Y90" s="43" t="str" cm="1">
        <f t="array" aca="1" ref="Y90" ca="1">IFERROR(INDEX('DBX Sprint'!$A$7:$K$62, SMALL(IF((INDEX('DBX Sprint'!$A$7:$K$62, ,22)&lt;=(TODAY()+10))*(INDEX('DBX Sprint'!$A$7:$K$62, ,22)&gt;(TODAY()+5)),MATCH(ROW('DBX Sprint'!$A$7:$K$62),ROW('DBX Sprint'!$A$7:$K$62)),""),ROWS($Y$34:Y90)),COLUMNS('DBX Sprint'!$A$1:A12)),"")</f>
        <v/>
      </c>
      <c r="AA90" s="41" t="str" cm="1">
        <f t="array" ref="AA90">IFERROR(INDEX('DBX Sprint'!$A$7:$K$62, SMALL(IF((INDEX('DBX Sprint'!$A$7:$K$62, ,25)=("Complete"))*(INDEX('DBX Sprint'!$A$7:$K$62, ,25)="Complete"),MATCH(ROW('DBX Sprint'!$A$7:$K$62),ROW('DBX Sprint'!$A$7:$K$62)),""),ROWS($AA$34:AA90)),COLUMNS('DBX Sprint'!$A$1:A12)),"")</f>
        <v/>
      </c>
      <c r="AB90" s="41" t="str" cm="1">
        <f t="array" aca="1" ref="AB90" ca="1">IFERROR(INDEX('DBX Sprint'!$A$7:$K$62, SMALL(IF((INDEX('DBX Sprint'!$A$7:$K$62, ,25)&lt;(TODAY()))*(INDEX('DBX Sprint'!$A$7:$K$62, ,25)&lt;&gt;"Complete"),MATCH(ROW('DBX Sprint'!$A$7:$K$62),ROW('DBX Sprint'!$A$7:$K$62)),""),ROWS($AB$34:AB90)),COLUMNS('DBX Sprint'!$A$1:A12)),"")</f>
        <v/>
      </c>
      <c r="AC90" s="41" t="str" cm="1">
        <f t="array" aca="1" ref="AC90" ca="1">IFERROR(INDEX('DBX Sprint'!$A$7:$K$62, SMALL(IF((INDEX('DBX Sprint'!$A$7:$K$62, ,25)&lt;=(TODAY()+1))*(INDEX('DBX Sprint'!$A$7:$K$62, ,25)&gt;=TODAY()),MATCH(ROW('DBX Sprint'!$A$7:$K$62),ROW('DBX Sprint'!$A$7:$K$62)),""),ROWS($AC$34:AC90)),COLUMNS('DBX Sprint'!$A$1:A12)),"")</f>
        <v/>
      </c>
      <c r="AD90" s="43" t="str" cm="1">
        <f t="array" aca="1" ref="AD90" ca="1">IFERROR(INDEX('DBX Sprint'!$A$7:$K$62, SMALL(IF((INDEX('DBX Sprint'!$A$7:$K$62, ,25)&lt;=(TODAY()+5))*(INDEX('DBX Sprint'!$A$7:$K$62, ,25)&gt;(TODAY()+1)),MATCH(ROW('DBX Sprint'!$A$7:$K$62),ROW('DBX Sprint'!$A$7:$K$62)),""),ROWS($AD$34:AD90)),COLUMNS('DBX Sprint'!$A$1:A12)),"")</f>
        <v/>
      </c>
      <c r="AE90" s="43" t="str" cm="1">
        <f t="array" aca="1" ref="AE90" ca="1">IFERROR(INDEX('DBX Sprint'!$A$7:$K$62, SMALL(IF((INDEX('DBX Sprint'!$A$7:$K$62, ,25)&lt;=(TODAY()+10))*(INDEX('DBX Sprint'!$A$7:$K$62, ,25)&gt;(TODAY()+5)),MATCH(ROW('DBX Sprint'!$A$7:$K$62),ROW('DBX Sprint'!$A$7:$K$62)),""),ROWS($AE$34:AE90)),COLUMNS('DBX Sprint'!$A$1:A12)),"")</f>
        <v/>
      </c>
      <c r="AG90" s="41" t="str" cm="1">
        <f t="array" ref="AG90">IFERROR(INDEX('DBX Sprint'!$A$7:$K$62, SMALL(IF((INDEX('DBX Sprint'!$A$7:$K$62, ,29)=("Complete"))*(INDEX('DBX Sprint'!$A$7:$K$62, ,29)="Complete"),MATCH(ROW('DBX Sprint'!$A$7:$K$62),ROW('DBX Sprint'!$A$7:$K$62)),""),ROWS($AG$34:AG90)),COLUMNS('DBX Sprint'!$A$1:A12)),"")</f>
        <v/>
      </c>
      <c r="AH90" s="41" t="str" cm="1">
        <f t="array" aca="1" ref="AH90" ca="1">IFERROR(INDEX('DBX Sprint'!$A$7:$K$62, SMALL(IF((INDEX('DBX Sprint'!$A$7:$K$62, ,29)&lt;(TODAY()))*(INDEX('DBX Sprint'!$A$7:$K$62, ,29)&lt;&gt;"Complete"),MATCH(ROW('DBX Sprint'!$A$7:$K$62),ROW('DBX Sprint'!$A$7:$K$62)),""),ROWS($AH$34:AH90)),COLUMNS('DBX Sprint'!$A$1:A12)),"")</f>
        <v/>
      </c>
      <c r="AI90" s="41" t="str" cm="1">
        <f t="array" aca="1" ref="AI90" ca="1">IFERROR(INDEX('DBX Sprint'!$A$7:$K$62, SMALL(IF((INDEX('DBX Sprint'!$A$7:$K$62, ,29)&lt;=(TODAY()+1))*(INDEX('DBX Sprint'!$A$7:$K$62, ,29)&gt;=TODAY()),MATCH(ROW('DBX Sprint'!$A$7:$K$62),ROW('DBX Sprint'!$A$7:$K$62)),""),ROWS($AI$34:AI90)),COLUMNS('DBX Sprint'!$A$1:A12)),"")</f>
        <v/>
      </c>
      <c r="AJ90" s="43" t="str" cm="1">
        <f t="array" aca="1" ref="AJ90" ca="1">IFERROR(INDEX('DBX Sprint'!$A$7:$K$62, SMALL(IF((INDEX('DBX Sprint'!$A$7:$K$62, ,29)&lt;=(TODAY()+5))*(INDEX('DBX Sprint'!$A$7:$K$62, ,29)&gt;(TODAY()+1)),MATCH(ROW('DBX Sprint'!$A$7:$K$62),ROW('DBX Sprint'!$A$7:$K$62)),""),ROWS($AJ$34:AJ90)),COLUMNS('DBX Sprint'!$A$1:A12)),"")</f>
        <v/>
      </c>
      <c r="AK90" s="43" t="str" cm="1">
        <f t="array" aca="1" ref="AK90" ca="1">IFERROR(INDEX('DBX Sprint'!$A$7:$K$62, SMALL(IF((INDEX('DBX Sprint'!$A$7:$K$62, ,29)&lt;=(TODAY()+10))*(INDEX('DBX Sprint'!$A$7:$K$62, ,29)&gt;(TODAY()+5)),MATCH(ROW('DBX Sprint'!$A$7:$K$62),ROW('DBX Sprint'!$A$7:$K$62)),""),ROWS($AK$34:AK90)),COLUMNS('DBX Sprint'!$A$1:A12)),"")</f>
        <v/>
      </c>
      <c r="AM90" s="41" t="str" cm="1">
        <f t="array" ref="AM90">IFERROR(INDEX('DBX Sprint'!$A$7:$K$62, SMALL(IF((INDEX('DBX Sprint'!$A$7:$K$62, ,32)=("Complete"))*(INDEX('DBX Sprint'!$A$7:$K$62, ,32)="Complete"),MATCH(ROW('DBX Sprint'!$A$7:$K$62),ROW('DBX Sprint'!$A$7:$K$62)),""),ROWS($AM$34:AM90)),COLUMNS('DBX Sprint'!$A$1:A12)),"")</f>
        <v/>
      </c>
      <c r="AN90" s="41" t="str" cm="1">
        <f t="array" aca="1" ref="AN90" ca="1">IFERROR(INDEX('DBX Sprint'!$A$7:$K$62, SMALL(IF((INDEX('DBX Sprint'!$A$7:$K$62, ,32)&lt;(TODAY()))*(INDEX('DBX Sprint'!$A$7:$K$62, ,32)&lt;&gt;"Complete"),MATCH(ROW('DBX Sprint'!$A$7:$K$62),ROW('DBX Sprint'!$A$7:$K$62)),""),ROWS($AN$34:AN90)),COLUMNS('DBX Sprint'!$A$1:A12)),"")</f>
        <v/>
      </c>
      <c r="AO90" s="41" t="str" cm="1">
        <f t="array" aca="1" ref="AO90" ca="1">IFERROR(INDEX('DBX Sprint'!$A$7:$K$62, SMALL(IF((INDEX('DBX Sprint'!$A$7:$K$62, ,32)&lt;=(TODAY()+1))*(INDEX('DBX Sprint'!$A$7:$K$62, ,32)&gt;=TODAY()),MATCH(ROW('DBX Sprint'!$A$7:$K$62),ROW('DBX Sprint'!$A$7:$K$62)),""),ROWS($AO$34:AO90)),COLUMNS('DBX Sprint'!$A$1:A12)),"")</f>
        <v/>
      </c>
      <c r="AP90" s="43" t="str" cm="1">
        <f t="array" aca="1" ref="AP90" ca="1">IFERROR(INDEX('DBX Sprint'!$A$7:$K$62, SMALL(IF((INDEX('DBX Sprint'!$A$7:$K$62, ,32)&lt;=(TODAY()+5))*(INDEX('DBX Sprint'!$A$7:$K$62, ,32)&gt;(TODAY()+1)),MATCH(ROW('DBX Sprint'!$A$7:$K$62),ROW('DBX Sprint'!$A$7:$K$62)),""),ROWS($AP$34:AP90)),COLUMNS('DBX Sprint'!$A$1:A12)),"")</f>
        <v/>
      </c>
      <c r="AQ90" s="43" t="str" cm="1">
        <f t="array" aca="1" ref="AQ90" ca="1">IFERROR(INDEX('DBX Sprint'!$A$7:$K$62, SMALL(IF((INDEX('DBX Sprint'!$A$7:$K$62, ,32)&lt;=(TODAY()+10))*(INDEX('DBX Sprint'!$A$7:$K$62, ,32)&gt;(TODAY()+5)),MATCH(ROW('DBX Sprint'!$A$7:$K$62),ROW('DBX Sprint'!$A$7:$K$62)),""),ROWS($AQ$34:AQ90)),COLUMNS('DBX Sprint'!$A$1:A12)),"")</f>
        <v/>
      </c>
    </row>
    <row r="91" spans="3:43" ht="30" customHeight="1">
      <c r="C91" s="41" t="str" cm="1">
        <f t="array" ref="C91">IFERROR(INDEX('DBX Sprint'!$A$7:$K$62, SMALL(IF((INDEX('DBX Sprint'!$A$7:$K$62, ,13)=("Complete"))*(INDEX('DBX Sprint'!$A$7:$K$62, ,13)="Complete"),MATCH(ROW('DBX Sprint'!$A$7:$K$62),ROW('DBX Sprint'!$A$7:$K$62)),""),ROWS(C$34:$C91)),COLUMNS('DBX Sprint'!$A$1:A12)),"")</f>
        <v/>
      </c>
      <c r="D91" s="41" t="str" cm="1">
        <f t="array" aca="1" ref="D91" ca="1">IFERROR(INDEX('DBX Sprint'!$A$7:$K$62, SMALL(IF((INDEX('DBX Sprint'!$A$7:$K$62, ,13)&lt;(TODAY()))*(INDEX('DBX Sprint'!$A$7:$K$62, ,13)&lt;&gt;"Complete"),MATCH(ROW('DBX Sprint'!$A$7:$K$62),ROW('DBX Sprint'!$A$7:$K$62)),""),ROWS(D$34:$D91)),COLUMNS('DBX Sprint'!$A$1:A12)),"")</f>
        <v/>
      </c>
      <c r="E91" s="41" t="str" cm="1">
        <f t="array" aca="1" ref="E91" ca="1">IFERROR(INDEX('DBX Sprint'!$A$7:$K$62, SMALL(IF((INDEX('DBX Sprint'!$A$7:$K$62, ,13)&lt;=(TODAY()+1))*(INDEX('DBX Sprint'!$A$7:$K$62, ,13)&gt;=TODAY()),MATCH(ROW('DBX Sprint'!$A$7:$K$62),ROW('DBX Sprint'!$A$7:$K$62)),""),ROWS(E$34:$E91)),COLUMNS('DBX Sprint'!$A$1:A12)),"")</f>
        <v/>
      </c>
      <c r="F91" s="43" t="str" cm="1">
        <f t="array" aca="1" ref="F91" ca="1">IFERROR(INDEX('DBX Sprint'!$A$7:$K$62, SMALL(IF((INDEX('DBX Sprint'!$A$7:$K$62, ,13)&lt;=(TODAY()+5))*(INDEX('DBX Sprint'!$A$7:$K$62, ,13)&gt;(TODAY()+1)),MATCH(ROW('DBX Sprint'!$A$7:$K$62),ROW('DBX Sprint'!$A$7:$K$62)),""),ROWS($F$34:F91)),COLUMNS('DBX Sprint'!$A$1:A12)),"")</f>
        <v/>
      </c>
      <c r="G91" s="43" t="str" cm="1">
        <f t="array" aca="1" ref="G91" ca="1">IFERROR(INDEX('DBX Sprint'!$A$7:$K$62, SMALL(IF((INDEX('DBX Sprint'!$A$7:$K$62, ,13)&lt;=(TODAY()+10))*(INDEX('DBX Sprint'!$A$7:$K$62, ,13)&gt;(TODAY()+5)),MATCH(ROW('DBX Sprint'!$A$7:$K$62),ROW('DBX Sprint'!$A$7:$K$62)),""),ROWS($G$34:G91)),COLUMNS('DBX Sprint'!$A$1:A12)),"")</f>
        <v/>
      </c>
      <c r="I91" s="41" t="str" cm="1">
        <f t="array" ref="I91">IFERROR(INDEX('DBX Sprint'!$A$7:$K$62, SMALL(IF((INDEX('DBX Sprint'!$A$7:$K$62, ,16)=("Complete"))*(INDEX('DBX Sprint'!$A$7:$K$62, ,16)="Complete"),MATCH(ROW('DBX Sprint'!$A$7:$K$62),ROW('DBX Sprint'!$A$7:$K$62)),""),ROWS($I$34:I91)),COLUMNS('DBX Sprint'!$A$1:A12)),"")</f>
        <v/>
      </c>
      <c r="J91" s="41" t="str" cm="1">
        <f t="array" aca="1" ref="J91" ca="1">IFERROR(INDEX('DBX Sprint'!$A$7:$K$62, SMALL(IF((INDEX('DBX Sprint'!$A$7:$K$62, ,16)&lt;(TODAY()))*(INDEX('DBX Sprint'!$A$7:$K$62, ,16)&lt;&gt;"Complete"),MATCH(ROW('DBX Sprint'!$A$7:$K$62),ROW('DBX Sprint'!$A$7:$K$62)),""),ROWS($J$34:J91)),COLUMNS('DBX Sprint'!$A$1:A12)),"")</f>
        <v/>
      </c>
      <c r="K91" s="37" t="str" cm="1">
        <f t="array" aca="1" ref="K91" ca="1">IFERROR(INDEX('DBX Sprint'!$A$7:$K$62, SMALL(IF((INDEX('DBX Sprint'!$A$7:$K$62, ,16)&lt;=(TODAY()+1))*(INDEX('DBX Sprint'!$A$7:$K$62, ,16)&gt;=TODAY()),MATCH(ROW('DBX Sprint'!$A$7:$K$62),ROW('DBX Sprint'!$A$7:$K$62)),""),ROWS($K$34:K91)),COLUMNS('DBX Sprint'!$A$1:A12)),"")</f>
        <v/>
      </c>
      <c r="L91" s="38" t="str" cm="1">
        <f t="array" aca="1" ref="L91" ca="1">IFERROR(INDEX('DBX Sprint'!$A$7:$K$62, SMALL(IF((INDEX('DBX Sprint'!$A$7:$K$62, ,16)&lt;=(TODAY()+5))*(INDEX('DBX Sprint'!$A$7:$K$62, ,16)&gt;(TODAY()+1)),MATCH(ROW('DBX Sprint'!$A$7:$K$62),ROW('DBX Sprint'!$A$7:$K$62)),""),ROWS($L$34:L91)),COLUMNS('DBX Sprint'!$A$1:A12)),"")</f>
        <v/>
      </c>
      <c r="M91" s="43" t="str" cm="1">
        <f t="array" aca="1" ref="M91" ca="1">IFERROR(INDEX('DBX Sprint'!$A$7:$K$62, SMALL(IF((INDEX('DBX Sprint'!$A$7:$K$62, ,16)&lt;=(TODAY()+10))*(INDEX('DBX Sprint'!$A$7:$K$62, ,16)&gt;(TODAY()+5)),MATCH(ROW('DBX Sprint'!$A$7:$K$62),ROW('DBX Sprint'!$A$7:$K$62)),""),ROWS($M$34:M91)),COLUMNS('DBX Sprint'!$A$1:A12)),"")</f>
        <v/>
      </c>
      <c r="P91" s="41" t="str" cm="1">
        <f t="array" aca="1" ref="P91" ca="1">IFERROR(INDEX('DBX Sprint'!$A$7:$K$62, SMALL(IF((INDEX('DBX Sprint'!$A$7:$K$62, ,19)&lt;(TODAY()))*(INDEX('DBX Sprint'!$A$7:$K$62, ,19)&lt;&gt;"Complete"),MATCH(ROW('DBX Sprint'!$A$7:$K$62),ROW('DBX Sprint'!$A$7:$K$62)),""),ROWS($P$34:P91)),COLUMNS('DBX Sprint'!$A$1:A12)),"")</f>
        <v/>
      </c>
      <c r="Q91" s="41" t="str" cm="1">
        <f t="array" aca="1" ref="Q91" ca="1">IFERROR(INDEX('DBX Sprint'!$A$7:$K$62, SMALL(IF((INDEX('DBX Sprint'!$A$7:$K$62, ,19)&lt;=(TODAY()+1))*(INDEX('DBX Sprint'!$A$7:$K$62, ,19)&gt;=TODAY()),MATCH(ROW('DBX Sprint'!$A$7:$K$62),ROW('DBX Sprint'!$A$7:$K$62)),""),ROWS($Q$34:Q91)),COLUMNS('DBX Sprint'!$A$1:A12)),"")</f>
        <v/>
      </c>
      <c r="R91" s="43" t="str" cm="1">
        <f t="array" aca="1" ref="R91" ca="1">IFERROR(INDEX('DBX Sprint'!$A$7:$K$62, SMALL(IF((INDEX('DBX Sprint'!$A$7:$K$62, ,19)&lt;=(TODAY()+5))*(INDEX('DBX Sprint'!$A$7:$K$62, ,19)&gt;(TODAY()+1)),MATCH(ROW('DBX Sprint'!$A$7:$K$62),ROW('DBX Sprint'!$A$7:$K$62)),""),ROWS($R$34:R91)),COLUMNS('DBX Sprint'!$A$1:A12)),"")</f>
        <v/>
      </c>
      <c r="S91" s="43" t="str" cm="1">
        <f t="array" aca="1" ref="S91" ca="1">IFERROR(INDEX('DBX Sprint'!$A$7:$K$62, SMALL(IF((INDEX('DBX Sprint'!$A$7:$K$62, ,19)&lt;=(TODAY()+10))*(INDEX('DBX Sprint'!$A$7:$K$62, ,19)&gt;(TODAY()+5)),MATCH(ROW('DBX Sprint'!$A$7:$K$62),ROW('DBX Sprint'!$A$7:$K$62)),""),ROWS($S$34:S91)),COLUMNS('DBX Sprint'!$A$1:A12)),"")</f>
        <v/>
      </c>
      <c r="U91" s="41" t="str" cm="1">
        <f t="array" ref="U91">IFERROR(INDEX('DBX Sprint'!$A$7:$K$62, SMALL(IF((INDEX('DBX Sprint'!$A$7:$K$62, ,22)=("Complete"))*(INDEX('DBX Sprint'!$A$7:$K$62, ,22)="Complete"),MATCH(ROW('DBX Sprint'!$A$7:$K$62),ROW('DBX Sprint'!$A$7:$K$62)),""),ROWS($U$34:U91)),COLUMNS('DBX Sprint'!$A$1:A12)),"")</f>
        <v/>
      </c>
      <c r="V91" s="41" t="str" cm="1">
        <f t="array" aca="1" ref="V91" ca="1">IFERROR(INDEX('DBX Sprint'!$A$7:$K$62, SMALL(IF((INDEX('DBX Sprint'!$A$7:$K$62, ,22)&lt;(TODAY()))*(INDEX('DBX Sprint'!$A$7:$K$62, ,22)&lt;&gt;"Complete"),MATCH(ROW('DBX Sprint'!$A$7:$K$62),ROW('DBX Sprint'!$A$7:$K$62)),""),ROWS($V$34:V91)),COLUMNS('DBX Sprint'!$A$1:A12)),"")</f>
        <v/>
      </c>
      <c r="W91" s="41" t="str" cm="1">
        <f t="array" aca="1" ref="W91" ca="1">IFERROR(INDEX('DBX Sprint'!$A$7:$K$62, SMALL(IF((INDEX('DBX Sprint'!$A$7:$K$62, ,22)&lt;=(TODAY()+1))*(INDEX('DBX Sprint'!$A$7:$K$62, ,22)&gt;=TODAY()),MATCH(ROW('DBX Sprint'!$A$7:$K$62),ROW('DBX Sprint'!$A$7:$K$62)),""),ROWS($W$34:W91)),COLUMNS('DBX Sprint'!$A$1:A12)),"")</f>
        <v/>
      </c>
      <c r="X91" s="43" t="str" cm="1">
        <f t="array" aca="1" ref="X91" ca="1">IFERROR(INDEX('DBX Sprint'!$A$7:$K$62, SMALL(IF((INDEX('DBX Sprint'!$A$7:$K$62, ,22)&lt;=(TODAY()+5))*(INDEX('DBX Sprint'!$A$7:$K$62, ,22)&gt;(TODAY()+1)),MATCH(ROW('DBX Sprint'!$A$7:$K$62),ROW('DBX Sprint'!$A$7:$K$62)),""),ROWS($X$34:X91)),COLUMNS('DBX Sprint'!$A$1:A12)),"")</f>
        <v/>
      </c>
      <c r="Y91" s="43" t="str" cm="1">
        <f t="array" aca="1" ref="Y91" ca="1">IFERROR(INDEX('DBX Sprint'!$A$7:$K$62, SMALL(IF((INDEX('DBX Sprint'!$A$7:$K$62, ,22)&lt;=(TODAY()+10))*(INDEX('DBX Sprint'!$A$7:$K$62, ,22)&gt;(TODAY()+5)),MATCH(ROW('DBX Sprint'!$A$7:$K$62),ROW('DBX Sprint'!$A$7:$K$62)),""),ROWS($Y$34:Y91)),COLUMNS('DBX Sprint'!$A$1:A12)),"")</f>
        <v/>
      </c>
      <c r="AA91" s="41" t="str" cm="1">
        <f t="array" ref="AA91">IFERROR(INDEX('DBX Sprint'!$A$7:$K$62, SMALL(IF((INDEX('DBX Sprint'!$A$7:$K$62, ,25)=("Complete"))*(INDEX('DBX Sprint'!$A$7:$K$62, ,25)="Complete"),MATCH(ROW('DBX Sprint'!$A$7:$K$62),ROW('DBX Sprint'!$A$7:$K$62)),""),ROWS($AA$34:AA91)),COLUMNS('DBX Sprint'!$A$1:A12)),"")</f>
        <v/>
      </c>
      <c r="AB91" s="41" t="str" cm="1">
        <f t="array" aca="1" ref="AB91" ca="1">IFERROR(INDEX('DBX Sprint'!$A$7:$K$62, SMALL(IF((INDEX('DBX Sprint'!$A$7:$K$62, ,25)&lt;(TODAY()))*(INDEX('DBX Sprint'!$A$7:$K$62, ,25)&lt;&gt;"Complete"),MATCH(ROW('DBX Sprint'!$A$7:$K$62),ROW('DBX Sprint'!$A$7:$K$62)),""),ROWS($AB$34:AB91)),COLUMNS('DBX Sprint'!$A$1:A12)),"")</f>
        <v/>
      </c>
      <c r="AC91" s="41" t="str" cm="1">
        <f t="array" aca="1" ref="AC91" ca="1">IFERROR(INDEX('DBX Sprint'!$A$7:$K$62, SMALL(IF((INDEX('DBX Sprint'!$A$7:$K$62, ,25)&lt;=(TODAY()+1))*(INDEX('DBX Sprint'!$A$7:$K$62, ,25)&gt;=TODAY()),MATCH(ROW('DBX Sprint'!$A$7:$K$62),ROW('DBX Sprint'!$A$7:$K$62)),""),ROWS($AC$34:AC91)),COLUMNS('DBX Sprint'!$A$1:A12)),"")</f>
        <v/>
      </c>
      <c r="AD91" s="43" t="str" cm="1">
        <f t="array" aca="1" ref="AD91" ca="1">IFERROR(INDEX('DBX Sprint'!$A$7:$K$62, SMALL(IF((INDEX('DBX Sprint'!$A$7:$K$62, ,25)&lt;=(TODAY()+5))*(INDEX('DBX Sprint'!$A$7:$K$62, ,25)&gt;(TODAY()+1)),MATCH(ROW('DBX Sprint'!$A$7:$K$62),ROW('DBX Sprint'!$A$7:$K$62)),""),ROWS($AD$34:AD91)),COLUMNS('DBX Sprint'!$A$1:A12)),"")</f>
        <v/>
      </c>
      <c r="AE91" s="43" t="str" cm="1">
        <f t="array" aca="1" ref="AE91" ca="1">IFERROR(INDEX('DBX Sprint'!$A$7:$K$62, SMALL(IF((INDEX('DBX Sprint'!$A$7:$K$62, ,25)&lt;=(TODAY()+10))*(INDEX('DBX Sprint'!$A$7:$K$62, ,25)&gt;(TODAY()+5)),MATCH(ROW('DBX Sprint'!$A$7:$K$62),ROW('DBX Sprint'!$A$7:$K$62)),""),ROWS($AE$34:AE91)),COLUMNS('DBX Sprint'!$A$1:A12)),"")</f>
        <v/>
      </c>
      <c r="AG91" s="41" t="str" cm="1">
        <f t="array" ref="AG91">IFERROR(INDEX('DBX Sprint'!$A$7:$K$62, SMALL(IF((INDEX('DBX Sprint'!$A$7:$K$62, ,29)=("Complete"))*(INDEX('DBX Sprint'!$A$7:$K$62, ,29)="Complete"),MATCH(ROW('DBX Sprint'!$A$7:$K$62),ROW('DBX Sprint'!$A$7:$K$62)),""),ROWS($AG$34:AG91)),COLUMNS('DBX Sprint'!$A$1:A12)),"")</f>
        <v/>
      </c>
      <c r="AH91" s="41" t="str" cm="1">
        <f t="array" aca="1" ref="AH91" ca="1">IFERROR(INDEX('DBX Sprint'!$A$7:$K$62, SMALL(IF((INDEX('DBX Sprint'!$A$7:$K$62, ,29)&lt;(TODAY()))*(INDEX('DBX Sprint'!$A$7:$K$62, ,29)&lt;&gt;"Complete"),MATCH(ROW('DBX Sprint'!$A$7:$K$62),ROW('DBX Sprint'!$A$7:$K$62)),""),ROWS($AH$34:AH91)),COLUMNS('DBX Sprint'!$A$1:A12)),"")</f>
        <v/>
      </c>
      <c r="AI91" s="41" t="str" cm="1">
        <f t="array" aca="1" ref="AI91" ca="1">IFERROR(INDEX('DBX Sprint'!$A$7:$K$62, SMALL(IF((INDEX('DBX Sprint'!$A$7:$K$62, ,29)&lt;=(TODAY()+1))*(INDEX('DBX Sprint'!$A$7:$K$62, ,29)&gt;=TODAY()),MATCH(ROW('DBX Sprint'!$A$7:$K$62),ROW('DBX Sprint'!$A$7:$K$62)),""),ROWS($AI$34:AI91)),COLUMNS('DBX Sprint'!$A$1:A12)),"")</f>
        <v/>
      </c>
      <c r="AJ91" s="43" t="str" cm="1">
        <f t="array" aca="1" ref="AJ91" ca="1">IFERROR(INDEX('DBX Sprint'!$A$7:$K$62, SMALL(IF((INDEX('DBX Sprint'!$A$7:$K$62, ,29)&lt;=(TODAY()+5))*(INDEX('DBX Sprint'!$A$7:$K$62, ,29)&gt;(TODAY()+1)),MATCH(ROW('DBX Sprint'!$A$7:$K$62),ROW('DBX Sprint'!$A$7:$K$62)),""),ROWS($AJ$34:AJ91)),COLUMNS('DBX Sprint'!$A$1:A12)),"")</f>
        <v/>
      </c>
      <c r="AK91" s="43" t="str" cm="1">
        <f t="array" aca="1" ref="AK91" ca="1">IFERROR(INDEX('DBX Sprint'!$A$7:$K$62, SMALL(IF((INDEX('DBX Sprint'!$A$7:$K$62, ,29)&lt;=(TODAY()+10))*(INDEX('DBX Sprint'!$A$7:$K$62, ,29)&gt;(TODAY()+5)),MATCH(ROW('DBX Sprint'!$A$7:$K$62),ROW('DBX Sprint'!$A$7:$K$62)),""),ROWS($AK$34:AK91)),COLUMNS('DBX Sprint'!$A$1:A12)),"")</f>
        <v/>
      </c>
      <c r="AM91" s="41" t="str" cm="1">
        <f t="array" ref="AM91">IFERROR(INDEX('DBX Sprint'!$A$7:$K$62, SMALL(IF((INDEX('DBX Sprint'!$A$7:$K$62, ,32)=("Complete"))*(INDEX('DBX Sprint'!$A$7:$K$62, ,32)="Complete"),MATCH(ROW('DBX Sprint'!$A$7:$K$62),ROW('DBX Sprint'!$A$7:$K$62)),""),ROWS($AM$34:AM91)),COLUMNS('DBX Sprint'!$A$1:A12)),"")</f>
        <v/>
      </c>
      <c r="AN91" s="41" t="str" cm="1">
        <f t="array" aca="1" ref="AN91" ca="1">IFERROR(INDEX('DBX Sprint'!$A$7:$K$62, SMALL(IF((INDEX('DBX Sprint'!$A$7:$K$62, ,32)&lt;(TODAY()))*(INDEX('DBX Sprint'!$A$7:$K$62, ,32)&lt;&gt;"Complete"),MATCH(ROW('DBX Sprint'!$A$7:$K$62),ROW('DBX Sprint'!$A$7:$K$62)),""),ROWS($AN$34:AN91)),COLUMNS('DBX Sprint'!$A$1:A12)),"")</f>
        <v/>
      </c>
      <c r="AO91" s="41" t="str" cm="1">
        <f t="array" aca="1" ref="AO91" ca="1">IFERROR(INDEX('DBX Sprint'!$A$7:$K$62, SMALL(IF((INDEX('DBX Sprint'!$A$7:$K$62, ,32)&lt;=(TODAY()+1))*(INDEX('DBX Sprint'!$A$7:$K$62, ,32)&gt;=TODAY()),MATCH(ROW('DBX Sprint'!$A$7:$K$62),ROW('DBX Sprint'!$A$7:$K$62)),""),ROWS($AO$34:AO91)),COLUMNS('DBX Sprint'!$A$1:A12)),"")</f>
        <v/>
      </c>
      <c r="AP91" s="43" t="str" cm="1">
        <f t="array" aca="1" ref="AP91" ca="1">IFERROR(INDEX('DBX Sprint'!$A$7:$K$62, SMALL(IF((INDEX('DBX Sprint'!$A$7:$K$62, ,32)&lt;=(TODAY()+5))*(INDEX('DBX Sprint'!$A$7:$K$62, ,32)&gt;(TODAY()+1)),MATCH(ROW('DBX Sprint'!$A$7:$K$62),ROW('DBX Sprint'!$A$7:$K$62)),""),ROWS($AP$34:AP91)),COLUMNS('DBX Sprint'!$A$1:A12)),"")</f>
        <v/>
      </c>
      <c r="AQ91" s="43" t="str" cm="1">
        <f t="array" aca="1" ref="AQ91" ca="1">IFERROR(INDEX('DBX Sprint'!$A$7:$K$62, SMALL(IF((INDEX('DBX Sprint'!$A$7:$K$62, ,32)&lt;=(TODAY()+10))*(INDEX('DBX Sprint'!$A$7:$K$62, ,32)&gt;(TODAY()+5)),MATCH(ROW('DBX Sprint'!$A$7:$K$62),ROW('DBX Sprint'!$A$7:$K$62)),""),ROWS($AQ$34:AQ91)),COLUMNS('DBX Sprint'!$A$1:A12)),"")</f>
        <v/>
      </c>
    </row>
    <row r="92" spans="3:43" ht="30" customHeight="1">
      <c r="C92" s="41" t="str" cm="1">
        <f t="array" ref="C92">IFERROR(INDEX('DBX Sprint'!$A$7:$K$62, SMALL(IF((INDEX('DBX Sprint'!$A$7:$K$62, ,13)=("Complete"))*(INDEX('DBX Sprint'!$A$7:$K$62, ,13)="Complete"),MATCH(ROW('DBX Sprint'!$A$7:$K$62),ROW('DBX Sprint'!$A$7:$K$62)),""),ROWS(C$34:$C92)),COLUMNS('DBX Sprint'!$A$1:A12)),"")</f>
        <v/>
      </c>
      <c r="D92" s="41" t="str" cm="1">
        <f t="array" aca="1" ref="D92" ca="1">IFERROR(INDEX('DBX Sprint'!$A$7:$K$62, SMALL(IF((INDEX('DBX Sprint'!$A$7:$K$62, ,13)&lt;(TODAY()))*(INDEX('DBX Sprint'!$A$7:$K$62, ,13)&lt;&gt;"Complete"),MATCH(ROW('DBX Sprint'!$A$7:$K$62),ROW('DBX Sprint'!$A$7:$K$62)),""),ROWS(D$34:$D92)),COLUMNS('DBX Sprint'!$A$1:A12)),"")</f>
        <v/>
      </c>
      <c r="E92" s="41" t="str" cm="1">
        <f t="array" aca="1" ref="E92" ca="1">IFERROR(INDEX('DBX Sprint'!$A$7:$K$62, SMALL(IF((INDEX('DBX Sprint'!$A$7:$K$62, ,13)&lt;=(TODAY()+1))*(INDEX('DBX Sprint'!$A$7:$K$62, ,13)&gt;=TODAY()),MATCH(ROW('DBX Sprint'!$A$7:$K$62),ROW('DBX Sprint'!$A$7:$K$62)),""),ROWS(E$34:$E92)),COLUMNS('DBX Sprint'!$A$1:A12)),"")</f>
        <v/>
      </c>
      <c r="F92" s="43" t="str" cm="1">
        <f t="array" aca="1" ref="F92" ca="1">IFERROR(INDEX('DBX Sprint'!$A$7:$K$62, SMALL(IF((INDEX('DBX Sprint'!$A$7:$K$62, ,13)&lt;=(TODAY()+5))*(INDEX('DBX Sprint'!$A$7:$K$62, ,13)&gt;(TODAY()+1)),MATCH(ROW('DBX Sprint'!$A$7:$K$62),ROW('DBX Sprint'!$A$7:$K$62)),""),ROWS($F$34:F92)),COLUMNS('DBX Sprint'!$A$1:A12)),"")</f>
        <v/>
      </c>
      <c r="G92" s="43" t="str" cm="1">
        <f t="array" aca="1" ref="G92" ca="1">IFERROR(INDEX('DBX Sprint'!$A$7:$K$62, SMALL(IF((INDEX('DBX Sprint'!$A$7:$K$62, ,13)&lt;=(TODAY()+10))*(INDEX('DBX Sprint'!$A$7:$K$62, ,13)&gt;(TODAY()+5)),MATCH(ROW('DBX Sprint'!$A$7:$K$62),ROW('DBX Sprint'!$A$7:$K$62)),""),ROWS($G$34:G92)),COLUMNS('DBX Sprint'!$A$1:A12)),"")</f>
        <v/>
      </c>
      <c r="I92" s="41" t="str" cm="1">
        <f t="array" ref="I92">IFERROR(INDEX('DBX Sprint'!$A$7:$K$62, SMALL(IF((INDEX('DBX Sprint'!$A$7:$K$62, ,16)=("Complete"))*(INDEX('DBX Sprint'!$A$7:$K$62, ,16)="Complete"),MATCH(ROW('DBX Sprint'!$A$7:$K$62),ROW('DBX Sprint'!$A$7:$K$62)),""),ROWS($I$34:I92)),COLUMNS('DBX Sprint'!$A$1:A12)),"")</f>
        <v/>
      </c>
      <c r="J92" s="41" t="str" cm="1">
        <f t="array" aca="1" ref="J92" ca="1">IFERROR(INDEX('DBX Sprint'!$A$7:$K$62, SMALL(IF((INDEX('DBX Sprint'!$A$7:$K$62, ,16)&lt;(TODAY()))*(INDEX('DBX Sprint'!$A$7:$K$62, ,16)&lt;&gt;"Complete"),MATCH(ROW('DBX Sprint'!$A$7:$K$62),ROW('DBX Sprint'!$A$7:$K$62)),""),ROWS($J$34:J92)),COLUMNS('DBX Sprint'!$A$1:A12)),"")</f>
        <v/>
      </c>
      <c r="K92" s="37" t="str" cm="1">
        <f t="array" aca="1" ref="K92" ca="1">IFERROR(INDEX('DBX Sprint'!$A$7:$K$62, SMALL(IF((INDEX('DBX Sprint'!$A$7:$K$62, ,16)&lt;=(TODAY()+1))*(INDEX('DBX Sprint'!$A$7:$K$62, ,16)&gt;=TODAY()),MATCH(ROW('DBX Sprint'!$A$7:$K$62),ROW('DBX Sprint'!$A$7:$K$62)),""),ROWS($K$34:K92)),COLUMNS('DBX Sprint'!$A$1:A12)),"")</f>
        <v/>
      </c>
      <c r="L92" s="38" t="str" cm="1">
        <f t="array" aca="1" ref="L92" ca="1">IFERROR(INDEX('DBX Sprint'!$A$7:$K$62, SMALL(IF((INDEX('DBX Sprint'!$A$7:$K$62, ,16)&lt;=(TODAY()+5))*(INDEX('DBX Sprint'!$A$7:$K$62, ,16)&gt;(TODAY()+1)),MATCH(ROW('DBX Sprint'!$A$7:$K$62),ROW('DBX Sprint'!$A$7:$K$62)),""),ROWS($L$34:L92)),COLUMNS('DBX Sprint'!$A$1:A12)),"")</f>
        <v/>
      </c>
      <c r="M92" s="43" t="str" cm="1">
        <f t="array" aca="1" ref="M92" ca="1">IFERROR(INDEX('DBX Sprint'!$A$7:$K$62, SMALL(IF((INDEX('DBX Sprint'!$A$7:$K$62, ,16)&lt;=(TODAY()+10))*(INDEX('DBX Sprint'!$A$7:$K$62, ,16)&gt;(TODAY()+5)),MATCH(ROW('DBX Sprint'!$A$7:$K$62),ROW('DBX Sprint'!$A$7:$K$62)),""),ROWS($M$34:M92)),COLUMNS('DBX Sprint'!$A$1:A12)),"")</f>
        <v/>
      </c>
      <c r="P92" s="41" t="str" cm="1">
        <f t="array" aca="1" ref="P92" ca="1">IFERROR(INDEX('DBX Sprint'!$A$7:$K$62, SMALL(IF((INDEX('DBX Sprint'!$A$7:$K$62, ,19)&lt;(TODAY()))*(INDEX('DBX Sprint'!$A$7:$K$62, ,19)&lt;&gt;"Complete"),MATCH(ROW('DBX Sprint'!$A$7:$K$62),ROW('DBX Sprint'!$A$7:$K$62)),""),ROWS($P$34:P92)),COLUMNS('DBX Sprint'!$A$1:A12)),"")</f>
        <v/>
      </c>
      <c r="Q92" s="41" t="str" cm="1">
        <f t="array" aca="1" ref="Q92" ca="1">IFERROR(INDEX('DBX Sprint'!$A$7:$K$62, SMALL(IF((INDEX('DBX Sprint'!$A$7:$K$62, ,19)&lt;=(TODAY()+1))*(INDEX('DBX Sprint'!$A$7:$K$62, ,19)&gt;=TODAY()),MATCH(ROW('DBX Sprint'!$A$7:$K$62),ROW('DBX Sprint'!$A$7:$K$62)),""),ROWS($Q$34:Q92)),COLUMNS('DBX Sprint'!$A$1:A12)),"")</f>
        <v/>
      </c>
      <c r="R92" s="43" t="str" cm="1">
        <f t="array" aca="1" ref="R92" ca="1">IFERROR(INDEX('DBX Sprint'!$A$7:$K$62, SMALL(IF((INDEX('DBX Sprint'!$A$7:$K$62, ,19)&lt;=(TODAY()+5))*(INDEX('DBX Sprint'!$A$7:$K$62, ,19)&gt;(TODAY()+1)),MATCH(ROW('DBX Sprint'!$A$7:$K$62),ROW('DBX Sprint'!$A$7:$K$62)),""),ROWS($R$34:R92)),COLUMNS('DBX Sprint'!$A$1:A12)),"")</f>
        <v/>
      </c>
      <c r="S92" s="43" t="str" cm="1">
        <f t="array" aca="1" ref="S92" ca="1">IFERROR(INDEX('DBX Sprint'!$A$7:$K$62, SMALL(IF((INDEX('DBX Sprint'!$A$7:$K$62, ,19)&lt;=(TODAY()+10))*(INDEX('DBX Sprint'!$A$7:$K$62, ,19)&gt;(TODAY()+5)),MATCH(ROW('DBX Sprint'!$A$7:$K$62),ROW('DBX Sprint'!$A$7:$K$62)),""),ROWS($S$34:S92)),COLUMNS('DBX Sprint'!$A$1:A12)),"")</f>
        <v/>
      </c>
      <c r="U92" s="41" t="str" cm="1">
        <f t="array" ref="U92">IFERROR(INDEX('DBX Sprint'!$A$7:$K$62, SMALL(IF((INDEX('DBX Sprint'!$A$7:$K$62, ,22)=("Complete"))*(INDEX('DBX Sprint'!$A$7:$K$62, ,22)="Complete"),MATCH(ROW('DBX Sprint'!$A$7:$K$62),ROW('DBX Sprint'!$A$7:$K$62)),""),ROWS($U$34:U92)),COLUMNS('DBX Sprint'!$A$1:A12)),"")</f>
        <v/>
      </c>
      <c r="V92" s="41" t="str" cm="1">
        <f t="array" aca="1" ref="V92" ca="1">IFERROR(INDEX('DBX Sprint'!$A$7:$K$62, SMALL(IF((INDEX('DBX Sprint'!$A$7:$K$62, ,22)&lt;(TODAY()))*(INDEX('DBX Sprint'!$A$7:$K$62, ,22)&lt;&gt;"Complete"),MATCH(ROW('DBX Sprint'!$A$7:$K$62),ROW('DBX Sprint'!$A$7:$K$62)),""),ROWS($V$34:V92)),COLUMNS('DBX Sprint'!$A$1:A12)),"")</f>
        <v/>
      </c>
      <c r="W92" s="41" t="str" cm="1">
        <f t="array" aca="1" ref="W92" ca="1">IFERROR(INDEX('DBX Sprint'!$A$7:$K$62, SMALL(IF((INDEX('DBX Sprint'!$A$7:$K$62, ,22)&lt;=(TODAY()+1))*(INDEX('DBX Sprint'!$A$7:$K$62, ,22)&gt;=TODAY()),MATCH(ROW('DBX Sprint'!$A$7:$K$62),ROW('DBX Sprint'!$A$7:$K$62)),""),ROWS($W$34:W92)),COLUMNS('DBX Sprint'!$A$1:A12)),"")</f>
        <v/>
      </c>
      <c r="X92" s="43" t="str" cm="1">
        <f t="array" aca="1" ref="X92" ca="1">IFERROR(INDEX('DBX Sprint'!$A$7:$K$62, SMALL(IF((INDEX('DBX Sprint'!$A$7:$K$62, ,22)&lt;=(TODAY()+5))*(INDEX('DBX Sprint'!$A$7:$K$62, ,22)&gt;(TODAY()+1)),MATCH(ROW('DBX Sprint'!$A$7:$K$62),ROW('DBX Sprint'!$A$7:$K$62)),""),ROWS($X$34:X92)),COLUMNS('DBX Sprint'!$A$1:A12)),"")</f>
        <v/>
      </c>
      <c r="Y92" s="43" t="str" cm="1">
        <f t="array" aca="1" ref="Y92" ca="1">IFERROR(INDEX('DBX Sprint'!$A$7:$K$62, SMALL(IF((INDEX('DBX Sprint'!$A$7:$K$62, ,22)&lt;=(TODAY()+10))*(INDEX('DBX Sprint'!$A$7:$K$62, ,22)&gt;(TODAY()+5)),MATCH(ROW('DBX Sprint'!$A$7:$K$62),ROW('DBX Sprint'!$A$7:$K$62)),""),ROWS($Y$34:Y92)),COLUMNS('DBX Sprint'!$A$1:A12)),"")</f>
        <v/>
      </c>
      <c r="AA92" s="41" t="str" cm="1">
        <f t="array" ref="AA92">IFERROR(INDEX('DBX Sprint'!$A$7:$K$62, SMALL(IF((INDEX('DBX Sprint'!$A$7:$K$62, ,25)=("Complete"))*(INDEX('DBX Sprint'!$A$7:$K$62, ,25)="Complete"),MATCH(ROW('DBX Sprint'!$A$7:$K$62),ROW('DBX Sprint'!$A$7:$K$62)),""),ROWS($AA$34:AA92)),COLUMNS('DBX Sprint'!$A$1:A12)),"")</f>
        <v/>
      </c>
      <c r="AB92" s="41" t="str" cm="1">
        <f t="array" aca="1" ref="AB92" ca="1">IFERROR(INDEX('DBX Sprint'!$A$7:$K$62, SMALL(IF((INDEX('DBX Sprint'!$A$7:$K$62, ,25)&lt;(TODAY()))*(INDEX('DBX Sprint'!$A$7:$K$62, ,25)&lt;&gt;"Complete"),MATCH(ROW('DBX Sprint'!$A$7:$K$62),ROW('DBX Sprint'!$A$7:$K$62)),""),ROWS($AB$34:AB92)),COLUMNS('DBX Sprint'!$A$1:A12)),"")</f>
        <v/>
      </c>
      <c r="AC92" s="41" t="str" cm="1">
        <f t="array" aca="1" ref="AC92" ca="1">IFERROR(INDEX('DBX Sprint'!$A$7:$K$62, SMALL(IF((INDEX('DBX Sprint'!$A$7:$K$62, ,25)&lt;=(TODAY()+1))*(INDEX('DBX Sprint'!$A$7:$K$62, ,25)&gt;=TODAY()),MATCH(ROW('DBX Sprint'!$A$7:$K$62),ROW('DBX Sprint'!$A$7:$K$62)),""),ROWS($AC$34:AC92)),COLUMNS('DBX Sprint'!$A$1:A12)),"")</f>
        <v/>
      </c>
      <c r="AD92" s="43" t="str" cm="1">
        <f t="array" aca="1" ref="AD92" ca="1">IFERROR(INDEX('DBX Sprint'!$A$7:$K$62, SMALL(IF((INDEX('DBX Sprint'!$A$7:$K$62, ,25)&lt;=(TODAY()+5))*(INDEX('DBX Sprint'!$A$7:$K$62, ,25)&gt;(TODAY()+1)),MATCH(ROW('DBX Sprint'!$A$7:$K$62),ROW('DBX Sprint'!$A$7:$K$62)),""),ROWS($AD$34:AD92)),COLUMNS('DBX Sprint'!$A$1:A12)),"")</f>
        <v/>
      </c>
      <c r="AE92" s="43" t="str" cm="1">
        <f t="array" aca="1" ref="AE92" ca="1">IFERROR(INDEX('DBX Sprint'!$A$7:$K$62, SMALL(IF((INDEX('DBX Sprint'!$A$7:$K$62, ,25)&lt;=(TODAY()+10))*(INDEX('DBX Sprint'!$A$7:$K$62, ,25)&gt;(TODAY()+5)),MATCH(ROW('DBX Sprint'!$A$7:$K$62),ROW('DBX Sprint'!$A$7:$K$62)),""),ROWS($AE$34:AE92)),COLUMNS('DBX Sprint'!$A$1:A12)),"")</f>
        <v/>
      </c>
      <c r="AG92" s="41" t="str" cm="1">
        <f t="array" ref="AG92">IFERROR(INDEX('DBX Sprint'!$A$7:$K$62, SMALL(IF((INDEX('DBX Sprint'!$A$7:$K$62, ,29)=("Complete"))*(INDEX('DBX Sprint'!$A$7:$K$62, ,29)="Complete"),MATCH(ROW('DBX Sprint'!$A$7:$K$62),ROW('DBX Sprint'!$A$7:$K$62)),""),ROWS($AG$34:AG92)),COLUMNS('DBX Sprint'!$A$1:A12)),"")</f>
        <v/>
      </c>
      <c r="AH92" s="41" t="str" cm="1">
        <f t="array" aca="1" ref="AH92" ca="1">IFERROR(INDEX('DBX Sprint'!$A$7:$K$62, SMALL(IF((INDEX('DBX Sprint'!$A$7:$K$62, ,29)&lt;(TODAY()))*(INDEX('DBX Sprint'!$A$7:$K$62, ,29)&lt;&gt;"Complete"),MATCH(ROW('DBX Sprint'!$A$7:$K$62),ROW('DBX Sprint'!$A$7:$K$62)),""),ROWS($AH$34:AH92)),COLUMNS('DBX Sprint'!$A$1:A12)),"")</f>
        <v/>
      </c>
      <c r="AI92" s="41" t="str" cm="1">
        <f t="array" aca="1" ref="AI92" ca="1">IFERROR(INDEX('DBX Sprint'!$A$7:$K$62, SMALL(IF((INDEX('DBX Sprint'!$A$7:$K$62, ,29)&lt;=(TODAY()+1))*(INDEX('DBX Sprint'!$A$7:$K$62, ,29)&gt;=TODAY()),MATCH(ROW('DBX Sprint'!$A$7:$K$62),ROW('DBX Sprint'!$A$7:$K$62)),""),ROWS($AI$34:AI92)),COLUMNS('DBX Sprint'!$A$1:A12)),"")</f>
        <v/>
      </c>
      <c r="AJ92" s="43" t="str" cm="1">
        <f t="array" aca="1" ref="AJ92" ca="1">IFERROR(INDEX('DBX Sprint'!$A$7:$K$62, SMALL(IF((INDEX('DBX Sprint'!$A$7:$K$62, ,29)&lt;=(TODAY()+5))*(INDEX('DBX Sprint'!$A$7:$K$62, ,29)&gt;(TODAY()+1)),MATCH(ROW('DBX Sprint'!$A$7:$K$62),ROW('DBX Sprint'!$A$7:$K$62)),""),ROWS($AJ$34:AJ92)),COLUMNS('DBX Sprint'!$A$1:A12)),"")</f>
        <v/>
      </c>
      <c r="AK92" s="43" t="str" cm="1">
        <f t="array" aca="1" ref="AK92" ca="1">IFERROR(INDEX('DBX Sprint'!$A$7:$K$62, SMALL(IF((INDEX('DBX Sprint'!$A$7:$K$62, ,29)&lt;=(TODAY()+10))*(INDEX('DBX Sprint'!$A$7:$K$62, ,29)&gt;(TODAY()+5)),MATCH(ROW('DBX Sprint'!$A$7:$K$62),ROW('DBX Sprint'!$A$7:$K$62)),""),ROWS($AK$34:AK92)),COLUMNS('DBX Sprint'!$A$1:A12)),"")</f>
        <v/>
      </c>
      <c r="AM92" s="41" t="str" cm="1">
        <f t="array" ref="AM92">IFERROR(INDEX('DBX Sprint'!$A$7:$K$62, SMALL(IF((INDEX('DBX Sprint'!$A$7:$K$62, ,32)=("Complete"))*(INDEX('DBX Sprint'!$A$7:$K$62, ,32)="Complete"),MATCH(ROW('DBX Sprint'!$A$7:$K$62),ROW('DBX Sprint'!$A$7:$K$62)),""),ROWS($AM$34:AM92)),COLUMNS('DBX Sprint'!$A$1:A12)),"")</f>
        <v/>
      </c>
      <c r="AN92" s="41" t="str" cm="1">
        <f t="array" aca="1" ref="AN92" ca="1">IFERROR(INDEX('DBX Sprint'!$A$7:$K$62, SMALL(IF((INDEX('DBX Sprint'!$A$7:$K$62, ,32)&lt;(TODAY()))*(INDEX('DBX Sprint'!$A$7:$K$62, ,32)&lt;&gt;"Complete"),MATCH(ROW('DBX Sprint'!$A$7:$K$62),ROW('DBX Sprint'!$A$7:$K$62)),""),ROWS($AN$34:AN92)),COLUMNS('DBX Sprint'!$A$1:A12)),"")</f>
        <v/>
      </c>
      <c r="AO92" s="41" t="str" cm="1">
        <f t="array" aca="1" ref="AO92" ca="1">IFERROR(INDEX('DBX Sprint'!$A$7:$K$62, SMALL(IF((INDEX('DBX Sprint'!$A$7:$K$62, ,32)&lt;=(TODAY()+1))*(INDEX('DBX Sprint'!$A$7:$K$62, ,32)&gt;=TODAY()),MATCH(ROW('DBX Sprint'!$A$7:$K$62),ROW('DBX Sprint'!$A$7:$K$62)),""),ROWS($AO$34:AO92)),COLUMNS('DBX Sprint'!$A$1:A12)),"")</f>
        <v/>
      </c>
      <c r="AP92" s="43" t="str" cm="1">
        <f t="array" aca="1" ref="AP92" ca="1">IFERROR(INDEX('DBX Sprint'!$A$7:$K$62, SMALL(IF((INDEX('DBX Sprint'!$A$7:$K$62, ,32)&lt;=(TODAY()+5))*(INDEX('DBX Sprint'!$A$7:$K$62, ,32)&gt;(TODAY()+1)),MATCH(ROW('DBX Sprint'!$A$7:$K$62),ROW('DBX Sprint'!$A$7:$K$62)),""),ROWS($AP$34:AP92)),COLUMNS('DBX Sprint'!$A$1:A12)),"")</f>
        <v/>
      </c>
      <c r="AQ92" s="43" t="str" cm="1">
        <f t="array" aca="1" ref="AQ92" ca="1">IFERROR(INDEX('DBX Sprint'!$A$7:$K$62, SMALL(IF((INDEX('DBX Sprint'!$A$7:$K$62, ,32)&lt;=(TODAY()+10))*(INDEX('DBX Sprint'!$A$7:$K$62, ,32)&gt;(TODAY()+5)),MATCH(ROW('DBX Sprint'!$A$7:$K$62),ROW('DBX Sprint'!$A$7:$K$62)),""),ROWS($AQ$34:AQ92)),COLUMNS('DBX Sprint'!$A$1:A12)),"")</f>
        <v/>
      </c>
    </row>
    <row r="93" spans="3:43" ht="30" customHeight="1">
      <c r="C93" s="41" t="str" cm="1">
        <f t="array" ref="C93">IFERROR(INDEX('DBX Sprint'!$A$7:$K$62, SMALL(IF((INDEX('DBX Sprint'!$A$7:$K$62, ,13)=("Complete"))*(INDEX('DBX Sprint'!$A$7:$K$62, ,13)="Complete"),MATCH(ROW('DBX Sprint'!$A$7:$K$62),ROW('DBX Sprint'!$A$7:$K$62)),""),ROWS(C$34:$C93)),COLUMNS('DBX Sprint'!$A$1:A12)),"")</f>
        <v/>
      </c>
      <c r="D93" s="41" t="str" cm="1">
        <f t="array" aca="1" ref="D93" ca="1">IFERROR(INDEX('DBX Sprint'!$A$7:$K$62, SMALL(IF((INDEX('DBX Sprint'!$A$7:$K$62, ,13)&lt;(TODAY()))*(INDEX('DBX Sprint'!$A$7:$K$62, ,13)&lt;&gt;"Complete"),MATCH(ROW('DBX Sprint'!$A$7:$K$62),ROW('DBX Sprint'!$A$7:$K$62)),""),ROWS(D$34:$D93)),COLUMNS('DBX Sprint'!$A$1:A12)),"")</f>
        <v/>
      </c>
      <c r="E93" s="41" t="str" cm="1">
        <f t="array" aca="1" ref="E93" ca="1">IFERROR(INDEX('DBX Sprint'!$A$7:$K$62, SMALL(IF((INDEX('DBX Sprint'!$A$7:$K$62, ,13)&lt;=(TODAY()+1))*(INDEX('DBX Sprint'!$A$7:$K$62, ,13)&gt;=TODAY()),MATCH(ROW('DBX Sprint'!$A$7:$K$62),ROW('DBX Sprint'!$A$7:$K$62)),""),ROWS(E$34:$E93)),COLUMNS('DBX Sprint'!$A$1:A12)),"")</f>
        <v/>
      </c>
      <c r="F93" s="43" t="str" cm="1">
        <f t="array" aca="1" ref="F93" ca="1">IFERROR(INDEX('DBX Sprint'!$A$7:$K$62, SMALL(IF((INDEX('DBX Sprint'!$A$7:$K$62, ,13)&lt;=(TODAY()+5))*(INDEX('DBX Sprint'!$A$7:$K$62, ,13)&gt;(TODAY()+1)),MATCH(ROW('DBX Sprint'!$A$7:$K$62),ROW('DBX Sprint'!$A$7:$K$62)),""),ROWS($F$34:F93)),COLUMNS('DBX Sprint'!$A$1:A12)),"")</f>
        <v/>
      </c>
      <c r="G93" s="43" t="str" cm="1">
        <f t="array" aca="1" ref="G93" ca="1">IFERROR(INDEX('DBX Sprint'!$A$7:$K$62, SMALL(IF((INDEX('DBX Sprint'!$A$7:$K$62, ,13)&lt;=(TODAY()+10))*(INDEX('DBX Sprint'!$A$7:$K$62, ,13)&gt;(TODAY()+5)),MATCH(ROW('DBX Sprint'!$A$7:$K$62),ROW('DBX Sprint'!$A$7:$K$62)),""),ROWS($G$34:G93)),COLUMNS('DBX Sprint'!$A$1:A12)),"")</f>
        <v/>
      </c>
      <c r="I93" s="41" t="str" cm="1">
        <f t="array" ref="I93">IFERROR(INDEX('DBX Sprint'!$A$7:$K$62, SMALL(IF((INDEX('DBX Sprint'!$A$7:$K$62, ,16)=("Complete"))*(INDEX('DBX Sprint'!$A$7:$K$62, ,16)="Complete"),MATCH(ROW('DBX Sprint'!$A$7:$K$62),ROW('DBX Sprint'!$A$7:$K$62)),""),ROWS($I$34:I93)),COLUMNS('DBX Sprint'!$A$1:A12)),"")</f>
        <v/>
      </c>
      <c r="J93" s="41" t="str" cm="1">
        <f t="array" aca="1" ref="J93" ca="1">IFERROR(INDEX('DBX Sprint'!$A$7:$K$62, SMALL(IF((INDEX('DBX Sprint'!$A$7:$K$62, ,16)&lt;(TODAY()))*(INDEX('DBX Sprint'!$A$7:$K$62, ,16)&lt;&gt;"Complete"),MATCH(ROW('DBX Sprint'!$A$7:$K$62),ROW('DBX Sprint'!$A$7:$K$62)),""),ROWS($J$34:J93)),COLUMNS('DBX Sprint'!$A$1:A12)),"")</f>
        <v/>
      </c>
      <c r="K93" s="37" t="str" cm="1">
        <f t="array" aca="1" ref="K93" ca="1">IFERROR(INDEX('DBX Sprint'!$A$7:$K$62, SMALL(IF((INDEX('DBX Sprint'!$A$7:$K$62, ,16)&lt;=(TODAY()+1))*(INDEX('DBX Sprint'!$A$7:$K$62, ,16)&gt;=TODAY()),MATCH(ROW('DBX Sprint'!$A$7:$K$62),ROW('DBX Sprint'!$A$7:$K$62)),""),ROWS($K$34:K93)),COLUMNS('DBX Sprint'!$A$1:A12)),"")</f>
        <v/>
      </c>
      <c r="L93" s="38" t="str" cm="1">
        <f t="array" aca="1" ref="L93" ca="1">IFERROR(INDEX('DBX Sprint'!$A$7:$K$62, SMALL(IF((INDEX('DBX Sprint'!$A$7:$K$62, ,16)&lt;=(TODAY()+5))*(INDEX('DBX Sprint'!$A$7:$K$62, ,16)&gt;(TODAY()+1)),MATCH(ROW('DBX Sprint'!$A$7:$K$62),ROW('DBX Sprint'!$A$7:$K$62)),""),ROWS($L$34:L93)),COLUMNS('DBX Sprint'!$A$1:A12)),"")</f>
        <v/>
      </c>
      <c r="M93" s="43" t="str" cm="1">
        <f t="array" aca="1" ref="M93" ca="1">IFERROR(INDEX('DBX Sprint'!$A$7:$K$62, SMALL(IF((INDEX('DBX Sprint'!$A$7:$K$62, ,16)&lt;=(TODAY()+10))*(INDEX('DBX Sprint'!$A$7:$K$62, ,16)&gt;(TODAY()+5)),MATCH(ROW('DBX Sprint'!$A$7:$K$62),ROW('DBX Sprint'!$A$7:$K$62)),""),ROWS($M$34:M93)),COLUMNS('DBX Sprint'!$A$1:A12)),"")</f>
        <v/>
      </c>
      <c r="P93" s="41" t="str" cm="1">
        <f t="array" aca="1" ref="P93" ca="1">IFERROR(INDEX('DBX Sprint'!$A$7:$K$62, SMALL(IF((INDEX('DBX Sprint'!$A$7:$K$62, ,19)&lt;(TODAY()))*(INDEX('DBX Sprint'!$A$7:$K$62, ,19)&lt;&gt;"Complete"),MATCH(ROW('DBX Sprint'!$A$7:$K$62),ROW('DBX Sprint'!$A$7:$K$62)),""),ROWS($P$34:P93)),COLUMNS('DBX Sprint'!$A$1:A12)),"")</f>
        <v/>
      </c>
      <c r="Q93" s="41" t="str" cm="1">
        <f t="array" aca="1" ref="Q93" ca="1">IFERROR(INDEX('DBX Sprint'!$A$7:$K$62, SMALL(IF((INDEX('DBX Sprint'!$A$7:$K$62, ,19)&lt;=(TODAY()+1))*(INDEX('DBX Sprint'!$A$7:$K$62, ,19)&gt;=TODAY()),MATCH(ROW('DBX Sprint'!$A$7:$K$62),ROW('DBX Sprint'!$A$7:$K$62)),""),ROWS($Q$34:Q93)),COLUMNS('DBX Sprint'!$A$1:A12)),"")</f>
        <v/>
      </c>
      <c r="R93" s="43" t="str" cm="1">
        <f t="array" aca="1" ref="R93" ca="1">IFERROR(INDEX('DBX Sprint'!$A$7:$K$62, SMALL(IF((INDEX('DBX Sprint'!$A$7:$K$62, ,19)&lt;=(TODAY()+5))*(INDEX('DBX Sprint'!$A$7:$K$62, ,19)&gt;(TODAY()+1)),MATCH(ROW('DBX Sprint'!$A$7:$K$62),ROW('DBX Sprint'!$A$7:$K$62)),""),ROWS($R$34:R93)),COLUMNS('DBX Sprint'!$A$1:A12)),"")</f>
        <v/>
      </c>
      <c r="S93" s="43" t="str" cm="1">
        <f t="array" aca="1" ref="S93" ca="1">IFERROR(INDEX('DBX Sprint'!$A$7:$K$62, SMALL(IF((INDEX('DBX Sprint'!$A$7:$K$62, ,19)&lt;=(TODAY()+10))*(INDEX('DBX Sprint'!$A$7:$K$62, ,19)&gt;(TODAY()+5)),MATCH(ROW('DBX Sprint'!$A$7:$K$62),ROW('DBX Sprint'!$A$7:$K$62)),""),ROWS($S$34:S93)),COLUMNS('DBX Sprint'!$A$1:A12)),"")</f>
        <v/>
      </c>
      <c r="U93" s="41" t="str" cm="1">
        <f t="array" ref="U93">IFERROR(INDEX('DBX Sprint'!$A$7:$K$62, SMALL(IF((INDEX('DBX Sprint'!$A$7:$K$62, ,22)=("Complete"))*(INDEX('DBX Sprint'!$A$7:$K$62, ,22)="Complete"),MATCH(ROW('DBX Sprint'!$A$7:$K$62),ROW('DBX Sprint'!$A$7:$K$62)),""),ROWS($U$34:U93)),COLUMNS('DBX Sprint'!$A$1:A12)),"")</f>
        <v/>
      </c>
      <c r="V93" s="41" t="str" cm="1">
        <f t="array" aca="1" ref="V93" ca="1">IFERROR(INDEX('DBX Sprint'!$A$7:$K$62, SMALL(IF((INDEX('DBX Sprint'!$A$7:$K$62, ,22)&lt;(TODAY()))*(INDEX('DBX Sprint'!$A$7:$K$62, ,22)&lt;&gt;"Complete"),MATCH(ROW('DBX Sprint'!$A$7:$K$62),ROW('DBX Sprint'!$A$7:$K$62)),""),ROWS($V$34:V93)),COLUMNS('DBX Sprint'!$A$1:A12)),"")</f>
        <v/>
      </c>
      <c r="W93" s="41" t="str" cm="1">
        <f t="array" aca="1" ref="W93" ca="1">IFERROR(INDEX('DBX Sprint'!$A$7:$K$62, SMALL(IF((INDEX('DBX Sprint'!$A$7:$K$62, ,22)&lt;=(TODAY()+1))*(INDEX('DBX Sprint'!$A$7:$K$62, ,22)&gt;=TODAY()),MATCH(ROW('DBX Sprint'!$A$7:$K$62),ROW('DBX Sprint'!$A$7:$K$62)),""),ROWS($W$34:W93)),COLUMNS('DBX Sprint'!$A$1:A12)),"")</f>
        <v/>
      </c>
      <c r="X93" s="43" t="str" cm="1">
        <f t="array" aca="1" ref="X93" ca="1">IFERROR(INDEX('DBX Sprint'!$A$7:$K$62, SMALL(IF((INDEX('DBX Sprint'!$A$7:$K$62, ,22)&lt;=(TODAY()+5))*(INDEX('DBX Sprint'!$A$7:$K$62, ,22)&gt;(TODAY()+1)),MATCH(ROW('DBX Sprint'!$A$7:$K$62),ROW('DBX Sprint'!$A$7:$K$62)),""),ROWS($X$34:X93)),COLUMNS('DBX Sprint'!$A$1:A12)),"")</f>
        <v/>
      </c>
      <c r="Y93" s="43" t="str" cm="1">
        <f t="array" aca="1" ref="Y93" ca="1">IFERROR(INDEX('DBX Sprint'!$A$7:$K$62, SMALL(IF((INDEX('DBX Sprint'!$A$7:$K$62, ,22)&lt;=(TODAY()+10))*(INDEX('DBX Sprint'!$A$7:$K$62, ,22)&gt;(TODAY()+5)),MATCH(ROW('DBX Sprint'!$A$7:$K$62),ROW('DBX Sprint'!$A$7:$K$62)),""),ROWS($Y$34:Y93)),COLUMNS('DBX Sprint'!$A$1:A12)),"")</f>
        <v/>
      </c>
      <c r="AA93" s="41" t="str" cm="1">
        <f t="array" ref="AA93">IFERROR(INDEX('DBX Sprint'!$A$7:$K$62, SMALL(IF((INDEX('DBX Sprint'!$A$7:$K$62, ,25)=("Complete"))*(INDEX('DBX Sprint'!$A$7:$K$62, ,25)="Complete"),MATCH(ROW('DBX Sprint'!$A$7:$K$62),ROW('DBX Sprint'!$A$7:$K$62)),""),ROWS($AA$34:AA93)),COLUMNS('DBX Sprint'!$A$1:A12)),"")</f>
        <v/>
      </c>
      <c r="AB93" s="41" t="str" cm="1">
        <f t="array" aca="1" ref="AB93" ca="1">IFERROR(INDEX('DBX Sprint'!$A$7:$K$62, SMALL(IF((INDEX('DBX Sprint'!$A$7:$K$62, ,25)&lt;(TODAY()))*(INDEX('DBX Sprint'!$A$7:$K$62, ,25)&lt;&gt;"Complete"),MATCH(ROW('DBX Sprint'!$A$7:$K$62),ROW('DBX Sprint'!$A$7:$K$62)),""),ROWS($AB$34:AB93)),COLUMNS('DBX Sprint'!$A$1:A12)),"")</f>
        <v/>
      </c>
      <c r="AC93" s="41" t="str" cm="1">
        <f t="array" aca="1" ref="AC93" ca="1">IFERROR(INDEX('DBX Sprint'!$A$7:$K$62, SMALL(IF((INDEX('DBX Sprint'!$A$7:$K$62, ,25)&lt;=(TODAY()+1))*(INDEX('DBX Sprint'!$A$7:$K$62, ,25)&gt;=TODAY()),MATCH(ROW('DBX Sprint'!$A$7:$K$62),ROW('DBX Sprint'!$A$7:$K$62)),""),ROWS($AC$34:AC93)),COLUMNS('DBX Sprint'!$A$1:A12)),"")</f>
        <v/>
      </c>
      <c r="AD93" s="43" t="str" cm="1">
        <f t="array" aca="1" ref="AD93" ca="1">IFERROR(INDEX('DBX Sprint'!$A$7:$K$62, SMALL(IF((INDEX('DBX Sprint'!$A$7:$K$62, ,25)&lt;=(TODAY()+5))*(INDEX('DBX Sprint'!$A$7:$K$62, ,25)&gt;(TODAY()+1)),MATCH(ROW('DBX Sprint'!$A$7:$K$62),ROW('DBX Sprint'!$A$7:$K$62)),""),ROWS($AD$34:AD93)),COLUMNS('DBX Sprint'!$A$1:A12)),"")</f>
        <v/>
      </c>
      <c r="AE93" s="43" t="str" cm="1">
        <f t="array" aca="1" ref="AE93" ca="1">IFERROR(INDEX('DBX Sprint'!$A$7:$K$62, SMALL(IF((INDEX('DBX Sprint'!$A$7:$K$62, ,25)&lt;=(TODAY()+10))*(INDEX('DBX Sprint'!$A$7:$K$62, ,25)&gt;(TODAY()+5)),MATCH(ROW('DBX Sprint'!$A$7:$K$62),ROW('DBX Sprint'!$A$7:$K$62)),""),ROWS($AE$34:AE93)),COLUMNS('DBX Sprint'!$A$1:A12)),"")</f>
        <v/>
      </c>
      <c r="AG93" s="41" t="str" cm="1">
        <f t="array" ref="AG93">IFERROR(INDEX('DBX Sprint'!$A$7:$K$62, SMALL(IF((INDEX('DBX Sprint'!$A$7:$K$62, ,29)=("Complete"))*(INDEX('DBX Sprint'!$A$7:$K$62, ,29)="Complete"),MATCH(ROW('DBX Sprint'!$A$7:$K$62),ROW('DBX Sprint'!$A$7:$K$62)),""),ROWS($AG$34:AG93)),COLUMNS('DBX Sprint'!$A$1:A12)),"")</f>
        <v/>
      </c>
      <c r="AH93" s="41" t="str" cm="1">
        <f t="array" aca="1" ref="AH93" ca="1">IFERROR(INDEX('DBX Sprint'!$A$7:$K$62, SMALL(IF((INDEX('DBX Sprint'!$A$7:$K$62, ,29)&lt;(TODAY()))*(INDEX('DBX Sprint'!$A$7:$K$62, ,29)&lt;&gt;"Complete"),MATCH(ROW('DBX Sprint'!$A$7:$K$62),ROW('DBX Sprint'!$A$7:$K$62)),""),ROWS($AH$34:AH93)),COLUMNS('DBX Sprint'!$A$1:A12)),"")</f>
        <v/>
      </c>
      <c r="AI93" s="41" t="str" cm="1">
        <f t="array" aca="1" ref="AI93" ca="1">IFERROR(INDEX('DBX Sprint'!$A$7:$K$62, SMALL(IF((INDEX('DBX Sprint'!$A$7:$K$62, ,29)&lt;=(TODAY()+1))*(INDEX('DBX Sprint'!$A$7:$K$62, ,29)&gt;=TODAY()),MATCH(ROW('DBX Sprint'!$A$7:$K$62),ROW('DBX Sprint'!$A$7:$K$62)),""),ROWS($AI$34:AI93)),COLUMNS('DBX Sprint'!$A$1:A12)),"")</f>
        <v/>
      </c>
      <c r="AJ93" s="43" t="str" cm="1">
        <f t="array" aca="1" ref="AJ93" ca="1">IFERROR(INDEX('DBX Sprint'!$A$7:$K$62, SMALL(IF((INDEX('DBX Sprint'!$A$7:$K$62, ,29)&lt;=(TODAY()+5))*(INDEX('DBX Sprint'!$A$7:$K$62, ,29)&gt;(TODAY()+1)),MATCH(ROW('DBX Sprint'!$A$7:$K$62),ROW('DBX Sprint'!$A$7:$K$62)),""),ROWS($AJ$34:AJ93)),COLUMNS('DBX Sprint'!$A$1:A12)),"")</f>
        <v/>
      </c>
      <c r="AK93" s="43" t="str" cm="1">
        <f t="array" aca="1" ref="AK93" ca="1">IFERROR(INDEX('DBX Sprint'!$A$7:$K$62, SMALL(IF((INDEX('DBX Sprint'!$A$7:$K$62, ,29)&lt;=(TODAY()+10))*(INDEX('DBX Sprint'!$A$7:$K$62, ,29)&gt;(TODAY()+5)),MATCH(ROW('DBX Sprint'!$A$7:$K$62),ROW('DBX Sprint'!$A$7:$K$62)),""),ROWS($AK$34:AK93)),COLUMNS('DBX Sprint'!$A$1:A12)),"")</f>
        <v/>
      </c>
      <c r="AM93" s="41" t="str" cm="1">
        <f t="array" ref="AM93">IFERROR(INDEX('DBX Sprint'!$A$7:$K$62, SMALL(IF((INDEX('DBX Sprint'!$A$7:$K$62, ,32)=("Complete"))*(INDEX('DBX Sprint'!$A$7:$K$62, ,32)="Complete"),MATCH(ROW('DBX Sprint'!$A$7:$K$62),ROW('DBX Sprint'!$A$7:$K$62)),""),ROWS($AM$34:AM93)),COLUMNS('DBX Sprint'!$A$1:A12)),"")</f>
        <v/>
      </c>
      <c r="AN93" s="41" t="str" cm="1">
        <f t="array" aca="1" ref="AN93" ca="1">IFERROR(INDEX('DBX Sprint'!$A$7:$K$62, SMALL(IF((INDEX('DBX Sprint'!$A$7:$K$62, ,32)&lt;(TODAY()))*(INDEX('DBX Sprint'!$A$7:$K$62, ,32)&lt;&gt;"Complete"),MATCH(ROW('DBX Sprint'!$A$7:$K$62),ROW('DBX Sprint'!$A$7:$K$62)),""),ROWS($AN$34:AN93)),COLUMNS('DBX Sprint'!$A$1:A12)),"")</f>
        <v/>
      </c>
      <c r="AO93" s="41" t="str" cm="1">
        <f t="array" aca="1" ref="AO93" ca="1">IFERROR(INDEX('DBX Sprint'!$A$7:$K$62, SMALL(IF((INDEX('DBX Sprint'!$A$7:$K$62, ,32)&lt;=(TODAY()+1))*(INDEX('DBX Sprint'!$A$7:$K$62, ,32)&gt;=TODAY()),MATCH(ROW('DBX Sprint'!$A$7:$K$62),ROW('DBX Sprint'!$A$7:$K$62)),""),ROWS($AO$34:AO93)),COLUMNS('DBX Sprint'!$A$1:A12)),"")</f>
        <v/>
      </c>
      <c r="AP93" s="43" t="str" cm="1">
        <f t="array" aca="1" ref="AP93" ca="1">IFERROR(INDEX('DBX Sprint'!$A$7:$K$62, SMALL(IF((INDEX('DBX Sprint'!$A$7:$K$62, ,32)&lt;=(TODAY()+5))*(INDEX('DBX Sprint'!$A$7:$K$62, ,32)&gt;(TODAY()+1)),MATCH(ROW('DBX Sprint'!$A$7:$K$62),ROW('DBX Sprint'!$A$7:$K$62)),""),ROWS($AP$34:AP93)),COLUMNS('DBX Sprint'!$A$1:A12)),"")</f>
        <v/>
      </c>
      <c r="AQ93" s="43" t="str" cm="1">
        <f t="array" aca="1" ref="AQ93" ca="1">IFERROR(INDEX('DBX Sprint'!$A$7:$K$62, SMALL(IF((INDEX('DBX Sprint'!$A$7:$K$62, ,32)&lt;=(TODAY()+10))*(INDEX('DBX Sprint'!$A$7:$K$62, ,32)&gt;(TODAY()+5)),MATCH(ROW('DBX Sprint'!$A$7:$K$62),ROW('DBX Sprint'!$A$7:$K$62)),""),ROWS($AQ$34:AQ93)),COLUMNS('DBX Sprint'!$A$1:A12)),"")</f>
        <v/>
      </c>
    </row>
    <row r="94" spans="3:43" ht="30" customHeight="1">
      <c r="C94" s="41" t="str" cm="1">
        <f t="array" ref="C94">IFERROR(INDEX('DBX Sprint'!$A$7:$K$62, SMALL(IF((INDEX('DBX Sprint'!$A$7:$K$62, ,13)=("Complete"))*(INDEX('DBX Sprint'!$A$7:$K$62, ,13)="Complete"),MATCH(ROW('DBX Sprint'!$A$7:$K$62),ROW('DBX Sprint'!$A$7:$K$62)),""),ROWS(C$34:$C94)),COLUMNS('DBX Sprint'!$A$1:A12)),"")</f>
        <v/>
      </c>
      <c r="D94" s="41" t="str" cm="1">
        <f t="array" aca="1" ref="D94" ca="1">IFERROR(INDEX('DBX Sprint'!$A$7:$K$62, SMALL(IF((INDEX('DBX Sprint'!$A$7:$K$62, ,13)&lt;(TODAY()))*(INDEX('DBX Sprint'!$A$7:$K$62, ,13)&lt;&gt;"Complete"),MATCH(ROW('DBX Sprint'!$A$7:$K$62),ROW('DBX Sprint'!$A$7:$K$62)),""),ROWS(D$34:$D94)),COLUMNS('DBX Sprint'!$A$1:A12)),"")</f>
        <v/>
      </c>
      <c r="E94" s="41" t="str" cm="1">
        <f t="array" aca="1" ref="E94" ca="1">IFERROR(INDEX('DBX Sprint'!$A$7:$K$62, SMALL(IF((INDEX('DBX Sprint'!$A$7:$K$62, ,13)&lt;=(TODAY()+1))*(INDEX('DBX Sprint'!$A$7:$K$62, ,13)&gt;=TODAY()),MATCH(ROW('DBX Sprint'!$A$7:$K$62),ROW('DBX Sprint'!$A$7:$K$62)),""),ROWS(E$34:$E94)),COLUMNS('DBX Sprint'!$A$1:A12)),"")</f>
        <v/>
      </c>
      <c r="F94" s="43" t="str" cm="1">
        <f t="array" aca="1" ref="F94" ca="1">IFERROR(INDEX('DBX Sprint'!$A$7:$K$62, SMALL(IF((INDEX('DBX Sprint'!$A$7:$K$62, ,13)&lt;=(TODAY()+5))*(INDEX('DBX Sprint'!$A$7:$K$62, ,13)&gt;(TODAY()+1)),MATCH(ROW('DBX Sprint'!$A$7:$K$62),ROW('DBX Sprint'!$A$7:$K$62)),""),ROWS($F$34:F94)),COLUMNS('DBX Sprint'!$A$1:A12)),"")</f>
        <v/>
      </c>
      <c r="G94" s="43" t="str" cm="1">
        <f t="array" aca="1" ref="G94" ca="1">IFERROR(INDEX('DBX Sprint'!$A$7:$K$62, SMALL(IF((INDEX('DBX Sprint'!$A$7:$K$62, ,13)&lt;=(TODAY()+10))*(INDEX('DBX Sprint'!$A$7:$K$62, ,13)&gt;(TODAY()+5)),MATCH(ROW('DBX Sprint'!$A$7:$K$62),ROW('DBX Sprint'!$A$7:$K$62)),""),ROWS($G$34:G94)),COLUMNS('DBX Sprint'!$A$1:A12)),"")</f>
        <v/>
      </c>
      <c r="I94" s="41" t="str" cm="1">
        <f t="array" ref="I94">IFERROR(INDEX('DBX Sprint'!$A$7:$K$62, SMALL(IF((INDEX('DBX Sprint'!$A$7:$K$62, ,16)=("Complete"))*(INDEX('DBX Sprint'!$A$7:$K$62, ,16)="Complete"),MATCH(ROW('DBX Sprint'!$A$7:$K$62),ROW('DBX Sprint'!$A$7:$K$62)),""),ROWS($I$34:I94)),COLUMNS('DBX Sprint'!$A$1:A12)),"")</f>
        <v/>
      </c>
      <c r="J94" s="41" t="str" cm="1">
        <f t="array" aca="1" ref="J94" ca="1">IFERROR(INDEX('DBX Sprint'!$A$7:$K$62, SMALL(IF((INDEX('DBX Sprint'!$A$7:$K$62, ,16)&lt;(TODAY()))*(INDEX('DBX Sprint'!$A$7:$K$62, ,16)&lt;&gt;"Complete"),MATCH(ROW('DBX Sprint'!$A$7:$K$62),ROW('DBX Sprint'!$A$7:$K$62)),""),ROWS($J$34:J94)),COLUMNS('DBX Sprint'!$A$1:A12)),"")</f>
        <v/>
      </c>
      <c r="K94" s="37" t="str" cm="1">
        <f t="array" aca="1" ref="K94" ca="1">IFERROR(INDEX('DBX Sprint'!$A$7:$K$62, SMALL(IF((INDEX('DBX Sprint'!$A$7:$K$62, ,16)&lt;=(TODAY()+1))*(INDEX('DBX Sprint'!$A$7:$K$62, ,16)&gt;=TODAY()),MATCH(ROW('DBX Sprint'!$A$7:$K$62),ROW('DBX Sprint'!$A$7:$K$62)),""),ROWS($K$34:K94)),COLUMNS('DBX Sprint'!$A$1:A12)),"")</f>
        <v/>
      </c>
      <c r="L94" s="38" t="str" cm="1">
        <f t="array" aca="1" ref="L94" ca="1">IFERROR(INDEX('DBX Sprint'!$A$7:$K$62, SMALL(IF((INDEX('DBX Sprint'!$A$7:$K$62, ,16)&lt;=(TODAY()+5))*(INDEX('DBX Sprint'!$A$7:$K$62, ,16)&gt;(TODAY()+1)),MATCH(ROW('DBX Sprint'!$A$7:$K$62),ROW('DBX Sprint'!$A$7:$K$62)),""),ROWS($L$34:L94)),COLUMNS('DBX Sprint'!$A$1:A12)),"")</f>
        <v/>
      </c>
      <c r="M94" s="43" t="str" cm="1">
        <f t="array" aca="1" ref="M94" ca="1">IFERROR(INDEX('DBX Sprint'!$A$7:$K$62, SMALL(IF((INDEX('DBX Sprint'!$A$7:$K$62, ,16)&lt;=(TODAY()+10))*(INDEX('DBX Sprint'!$A$7:$K$62, ,16)&gt;(TODAY()+5)),MATCH(ROW('DBX Sprint'!$A$7:$K$62),ROW('DBX Sprint'!$A$7:$K$62)),""),ROWS($M$34:M94)),COLUMNS('DBX Sprint'!$A$1:A12)),"")</f>
        <v/>
      </c>
      <c r="P94" s="41" t="str" cm="1">
        <f t="array" aca="1" ref="P94" ca="1">IFERROR(INDEX('DBX Sprint'!$A$7:$K$62, SMALL(IF((INDEX('DBX Sprint'!$A$7:$K$62, ,19)&lt;(TODAY()))*(INDEX('DBX Sprint'!$A$7:$K$62, ,19)&lt;&gt;"Complete"),MATCH(ROW('DBX Sprint'!$A$7:$K$62),ROW('DBX Sprint'!$A$7:$K$62)),""),ROWS($P$34:P94)),COLUMNS('DBX Sprint'!$A$1:A12)),"")</f>
        <v/>
      </c>
      <c r="Q94" s="41" t="str" cm="1">
        <f t="array" aca="1" ref="Q94" ca="1">IFERROR(INDEX('DBX Sprint'!$A$7:$K$62, SMALL(IF((INDEX('DBX Sprint'!$A$7:$K$62, ,19)&lt;=(TODAY()+1))*(INDEX('DBX Sprint'!$A$7:$K$62, ,19)&gt;=TODAY()),MATCH(ROW('DBX Sprint'!$A$7:$K$62),ROW('DBX Sprint'!$A$7:$K$62)),""),ROWS($Q$34:Q94)),COLUMNS('DBX Sprint'!$A$1:A12)),"")</f>
        <v/>
      </c>
      <c r="R94" s="43" t="str" cm="1">
        <f t="array" aca="1" ref="R94" ca="1">IFERROR(INDEX('DBX Sprint'!$A$7:$K$62, SMALL(IF((INDEX('DBX Sprint'!$A$7:$K$62, ,19)&lt;=(TODAY()+5))*(INDEX('DBX Sprint'!$A$7:$K$62, ,19)&gt;(TODAY()+1)),MATCH(ROW('DBX Sprint'!$A$7:$K$62),ROW('DBX Sprint'!$A$7:$K$62)),""),ROWS($R$34:R94)),COLUMNS('DBX Sprint'!$A$1:A12)),"")</f>
        <v/>
      </c>
      <c r="S94" s="43" t="str" cm="1">
        <f t="array" aca="1" ref="S94" ca="1">IFERROR(INDEX('DBX Sprint'!$A$7:$K$62, SMALL(IF((INDEX('DBX Sprint'!$A$7:$K$62, ,19)&lt;=(TODAY()+10))*(INDEX('DBX Sprint'!$A$7:$K$62, ,19)&gt;(TODAY()+5)),MATCH(ROW('DBX Sprint'!$A$7:$K$62),ROW('DBX Sprint'!$A$7:$K$62)),""),ROWS($S$34:S94)),COLUMNS('DBX Sprint'!$A$1:A12)),"")</f>
        <v/>
      </c>
      <c r="U94" s="41" t="str" cm="1">
        <f t="array" ref="U94">IFERROR(INDEX('DBX Sprint'!$A$7:$K$62, SMALL(IF((INDEX('DBX Sprint'!$A$7:$K$62, ,22)=("Complete"))*(INDEX('DBX Sprint'!$A$7:$K$62, ,22)="Complete"),MATCH(ROW('DBX Sprint'!$A$7:$K$62),ROW('DBX Sprint'!$A$7:$K$62)),""),ROWS($U$34:U94)),COLUMNS('DBX Sprint'!$A$1:A12)),"")</f>
        <v/>
      </c>
      <c r="V94" s="41" t="str" cm="1">
        <f t="array" aca="1" ref="V94" ca="1">IFERROR(INDEX('DBX Sprint'!$A$7:$K$62, SMALL(IF((INDEX('DBX Sprint'!$A$7:$K$62, ,22)&lt;(TODAY()))*(INDEX('DBX Sprint'!$A$7:$K$62, ,22)&lt;&gt;"Complete"),MATCH(ROW('DBX Sprint'!$A$7:$K$62),ROW('DBX Sprint'!$A$7:$K$62)),""),ROWS($V$34:V94)),COLUMNS('DBX Sprint'!$A$1:A12)),"")</f>
        <v/>
      </c>
      <c r="W94" s="41" t="str" cm="1">
        <f t="array" aca="1" ref="W94" ca="1">IFERROR(INDEX('DBX Sprint'!$A$7:$K$62, SMALL(IF((INDEX('DBX Sprint'!$A$7:$K$62, ,22)&lt;=(TODAY()+1))*(INDEX('DBX Sprint'!$A$7:$K$62, ,22)&gt;=TODAY()),MATCH(ROW('DBX Sprint'!$A$7:$K$62),ROW('DBX Sprint'!$A$7:$K$62)),""),ROWS($W$34:W94)),COLUMNS('DBX Sprint'!$A$1:A12)),"")</f>
        <v/>
      </c>
      <c r="X94" s="43" t="str" cm="1">
        <f t="array" aca="1" ref="X94" ca="1">IFERROR(INDEX('DBX Sprint'!$A$7:$K$62, SMALL(IF((INDEX('DBX Sprint'!$A$7:$K$62, ,22)&lt;=(TODAY()+5))*(INDEX('DBX Sprint'!$A$7:$K$62, ,22)&gt;(TODAY()+1)),MATCH(ROW('DBX Sprint'!$A$7:$K$62),ROW('DBX Sprint'!$A$7:$K$62)),""),ROWS($X$34:X94)),COLUMNS('DBX Sprint'!$A$1:A12)),"")</f>
        <v/>
      </c>
      <c r="Y94" s="43" t="str" cm="1">
        <f t="array" aca="1" ref="Y94" ca="1">IFERROR(INDEX('DBX Sprint'!$A$7:$K$62, SMALL(IF((INDEX('DBX Sprint'!$A$7:$K$62, ,22)&lt;=(TODAY()+10))*(INDEX('DBX Sprint'!$A$7:$K$62, ,22)&gt;(TODAY()+5)),MATCH(ROW('DBX Sprint'!$A$7:$K$62),ROW('DBX Sprint'!$A$7:$K$62)),""),ROWS($Y$34:Y94)),COLUMNS('DBX Sprint'!$A$1:A12)),"")</f>
        <v/>
      </c>
      <c r="AA94" s="41" t="str" cm="1">
        <f t="array" ref="AA94">IFERROR(INDEX('DBX Sprint'!$A$7:$K$62, SMALL(IF((INDEX('DBX Sprint'!$A$7:$K$62, ,25)=("Complete"))*(INDEX('DBX Sprint'!$A$7:$K$62, ,25)="Complete"),MATCH(ROW('DBX Sprint'!$A$7:$K$62),ROW('DBX Sprint'!$A$7:$K$62)),""),ROWS($AA$34:AA94)),COLUMNS('DBX Sprint'!$A$1:A12)),"")</f>
        <v/>
      </c>
      <c r="AB94" s="41" t="str" cm="1">
        <f t="array" aca="1" ref="AB94" ca="1">IFERROR(INDEX('DBX Sprint'!$A$7:$K$62, SMALL(IF((INDEX('DBX Sprint'!$A$7:$K$62, ,25)&lt;(TODAY()))*(INDEX('DBX Sprint'!$A$7:$K$62, ,25)&lt;&gt;"Complete"),MATCH(ROW('DBX Sprint'!$A$7:$K$62),ROW('DBX Sprint'!$A$7:$K$62)),""),ROWS($AB$34:AB94)),COLUMNS('DBX Sprint'!$A$1:A12)),"")</f>
        <v/>
      </c>
      <c r="AC94" s="41" t="str" cm="1">
        <f t="array" aca="1" ref="AC94" ca="1">IFERROR(INDEX('DBX Sprint'!$A$7:$K$62, SMALL(IF((INDEX('DBX Sprint'!$A$7:$K$62, ,25)&lt;=(TODAY()+1))*(INDEX('DBX Sprint'!$A$7:$K$62, ,25)&gt;=TODAY()),MATCH(ROW('DBX Sprint'!$A$7:$K$62),ROW('DBX Sprint'!$A$7:$K$62)),""),ROWS($AC$34:AC94)),COLUMNS('DBX Sprint'!$A$1:A12)),"")</f>
        <v/>
      </c>
      <c r="AD94" s="43" t="str" cm="1">
        <f t="array" aca="1" ref="AD94" ca="1">IFERROR(INDEX('DBX Sprint'!$A$7:$K$62, SMALL(IF((INDEX('DBX Sprint'!$A$7:$K$62, ,25)&lt;=(TODAY()+5))*(INDEX('DBX Sprint'!$A$7:$K$62, ,25)&gt;(TODAY()+1)),MATCH(ROW('DBX Sprint'!$A$7:$K$62),ROW('DBX Sprint'!$A$7:$K$62)),""),ROWS($AD$34:AD94)),COLUMNS('DBX Sprint'!$A$1:A12)),"")</f>
        <v/>
      </c>
      <c r="AE94" s="43" t="str" cm="1">
        <f t="array" aca="1" ref="AE94" ca="1">IFERROR(INDEX('DBX Sprint'!$A$7:$K$62, SMALL(IF((INDEX('DBX Sprint'!$A$7:$K$62, ,25)&lt;=(TODAY()+10))*(INDEX('DBX Sprint'!$A$7:$K$62, ,25)&gt;(TODAY()+5)),MATCH(ROW('DBX Sprint'!$A$7:$K$62),ROW('DBX Sprint'!$A$7:$K$62)),""),ROWS($AE$34:AE94)),COLUMNS('DBX Sprint'!$A$1:A12)),"")</f>
        <v/>
      </c>
      <c r="AG94" s="41" t="str" cm="1">
        <f t="array" ref="AG94">IFERROR(INDEX('DBX Sprint'!$A$7:$K$62, SMALL(IF((INDEX('DBX Sprint'!$A$7:$K$62, ,29)=("Complete"))*(INDEX('DBX Sprint'!$A$7:$K$62, ,29)="Complete"),MATCH(ROW('DBX Sprint'!$A$7:$K$62),ROW('DBX Sprint'!$A$7:$K$62)),""),ROWS($AG$34:AG94)),COLUMNS('DBX Sprint'!$A$1:A12)),"")</f>
        <v/>
      </c>
      <c r="AH94" s="41" t="str" cm="1">
        <f t="array" aca="1" ref="AH94" ca="1">IFERROR(INDEX('DBX Sprint'!$A$7:$K$62, SMALL(IF((INDEX('DBX Sprint'!$A$7:$K$62, ,29)&lt;(TODAY()))*(INDEX('DBX Sprint'!$A$7:$K$62, ,29)&lt;&gt;"Complete"),MATCH(ROW('DBX Sprint'!$A$7:$K$62),ROW('DBX Sprint'!$A$7:$K$62)),""),ROWS($AH$34:AH94)),COLUMNS('DBX Sprint'!$A$1:A12)),"")</f>
        <v/>
      </c>
      <c r="AI94" s="41" t="str" cm="1">
        <f t="array" aca="1" ref="AI94" ca="1">IFERROR(INDEX('DBX Sprint'!$A$7:$K$62, SMALL(IF((INDEX('DBX Sprint'!$A$7:$K$62, ,29)&lt;=(TODAY()+1))*(INDEX('DBX Sprint'!$A$7:$K$62, ,29)&gt;=TODAY()),MATCH(ROW('DBX Sprint'!$A$7:$K$62),ROW('DBX Sprint'!$A$7:$K$62)),""),ROWS($AI$34:AI94)),COLUMNS('DBX Sprint'!$A$1:A12)),"")</f>
        <v/>
      </c>
      <c r="AJ94" s="43" t="str" cm="1">
        <f t="array" aca="1" ref="AJ94" ca="1">IFERROR(INDEX('DBX Sprint'!$A$7:$K$62, SMALL(IF((INDEX('DBX Sprint'!$A$7:$K$62, ,29)&lt;=(TODAY()+5))*(INDEX('DBX Sprint'!$A$7:$K$62, ,29)&gt;(TODAY()+1)),MATCH(ROW('DBX Sprint'!$A$7:$K$62),ROW('DBX Sprint'!$A$7:$K$62)),""),ROWS($AJ$34:AJ94)),COLUMNS('DBX Sprint'!$A$1:A12)),"")</f>
        <v/>
      </c>
      <c r="AK94" s="43" t="str" cm="1">
        <f t="array" aca="1" ref="AK94" ca="1">IFERROR(INDEX('DBX Sprint'!$A$7:$K$62, SMALL(IF((INDEX('DBX Sprint'!$A$7:$K$62, ,29)&lt;=(TODAY()+10))*(INDEX('DBX Sprint'!$A$7:$K$62, ,29)&gt;(TODAY()+5)),MATCH(ROW('DBX Sprint'!$A$7:$K$62),ROW('DBX Sprint'!$A$7:$K$62)),""),ROWS($AK$34:AK94)),COLUMNS('DBX Sprint'!$A$1:A12)),"")</f>
        <v/>
      </c>
      <c r="AM94" s="41" t="str" cm="1">
        <f t="array" ref="AM94">IFERROR(INDEX('DBX Sprint'!$A$7:$K$62, SMALL(IF((INDEX('DBX Sprint'!$A$7:$K$62, ,32)=("Complete"))*(INDEX('DBX Sprint'!$A$7:$K$62, ,32)="Complete"),MATCH(ROW('DBX Sprint'!$A$7:$K$62),ROW('DBX Sprint'!$A$7:$K$62)),""),ROWS($AM$34:AM94)),COLUMNS('DBX Sprint'!$A$1:A12)),"")</f>
        <v/>
      </c>
      <c r="AN94" s="41" t="str" cm="1">
        <f t="array" aca="1" ref="AN94" ca="1">IFERROR(INDEX('DBX Sprint'!$A$7:$K$62, SMALL(IF((INDEX('DBX Sprint'!$A$7:$K$62, ,32)&lt;(TODAY()))*(INDEX('DBX Sprint'!$A$7:$K$62, ,32)&lt;&gt;"Complete"),MATCH(ROW('DBX Sprint'!$A$7:$K$62),ROW('DBX Sprint'!$A$7:$K$62)),""),ROWS($AN$34:AN94)),COLUMNS('DBX Sprint'!$A$1:A12)),"")</f>
        <v/>
      </c>
      <c r="AO94" s="41" t="str" cm="1">
        <f t="array" aca="1" ref="AO94" ca="1">IFERROR(INDEX('DBX Sprint'!$A$7:$K$62, SMALL(IF((INDEX('DBX Sprint'!$A$7:$K$62, ,32)&lt;=(TODAY()+1))*(INDEX('DBX Sprint'!$A$7:$K$62, ,32)&gt;=TODAY()),MATCH(ROW('DBX Sprint'!$A$7:$K$62),ROW('DBX Sprint'!$A$7:$K$62)),""),ROWS($AO$34:AO94)),COLUMNS('DBX Sprint'!$A$1:A12)),"")</f>
        <v/>
      </c>
      <c r="AP94" s="43" t="str" cm="1">
        <f t="array" aca="1" ref="AP94" ca="1">IFERROR(INDEX('DBX Sprint'!$A$7:$K$62, SMALL(IF((INDEX('DBX Sprint'!$A$7:$K$62, ,32)&lt;=(TODAY()+5))*(INDEX('DBX Sprint'!$A$7:$K$62, ,32)&gt;(TODAY()+1)),MATCH(ROW('DBX Sprint'!$A$7:$K$62),ROW('DBX Sprint'!$A$7:$K$62)),""),ROWS($AP$34:AP94)),COLUMNS('DBX Sprint'!$A$1:A12)),"")</f>
        <v/>
      </c>
      <c r="AQ94" s="43" t="str" cm="1">
        <f t="array" aca="1" ref="AQ94" ca="1">IFERROR(INDEX('DBX Sprint'!$A$7:$K$62, SMALL(IF((INDEX('DBX Sprint'!$A$7:$K$62, ,32)&lt;=(TODAY()+10))*(INDEX('DBX Sprint'!$A$7:$K$62, ,32)&gt;(TODAY()+5)),MATCH(ROW('DBX Sprint'!$A$7:$K$62),ROW('DBX Sprint'!$A$7:$K$62)),""),ROWS($AQ$34:AQ94)),COLUMNS('DBX Sprint'!$A$1:A12)),"")</f>
        <v/>
      </c>
    </row>
    <row r="95" spans="3:43" ht="30" customHeight="1">
      <c r="C95" s="41" t="str" cm="1">
        <f t="array" ref="C95">IFERROR(INDEX('DBX Sprint'!$A$7:$K$62, SMALL(IF((INDEX('DBX Sprint'!$A$7:$K$62, ,13)=("Complete"))*(INDEX('DBX Sprint'!$A$7:$K$62, ,13)="Complete"),MATCH(ROW('DBX Sprint'!$A$7:$K$62),ROW('DBX Sprint'!$A$7:$K$62)),""),ROWS(C$34:$C95)),COLUMNS('DBX Sprint'!$A$1:A12)),"")</f>
        <v/>
      </c>
      <c r="D95" s="41" t="str" cm="1">
        <f t="array" aca="1" ref="D95" ca="1">IFERROR(INDEX('DBX Sprint'!$A$7:$K$62, SMALL(IF((INDEX('DBX Sprint'!$A$7:$K$62, ,13)&lt;(TODAY()))*(INDEX('DBX Sprint'!$A$7:$K$62, ,13)&lt;&gt;"Complete"),MATCH(ROW('DBX Sprint'!$A$7:$K$62),ROW('DBX Sprint'!$A$7:$K$62)),""),ROWS(D$34:$D95)),COLUMNS('DBX Sprint'!$A$1:A12)),"")</f>
        <v/>
      </c>
      <c r="E95" s="41" t="str" cm="1">
        <f t="array" aca="1" ref="E95" ca="1">IFERROR(INDEX('DBX Sprint'!$A$7:$K$62, SMALL(IF((INDEX('DBX Sprint'!$A$7:$K$62, ,13)&lt;=(TODAY()+1))*(INDEX('DBX Sprint'!$A$7:$K$62, ,13)&gt;=TODAY()),MATCH(ROW('DBX Sprint'!$A$7:$K$62),ROW('DBX Sprint'!$A$7:$K$62)),""),ROWS(E$34:$E95)),COLUMNS('DBX Sprint'!$A$1:A12)),"")</f>
        <v/>
      </c>
      <c r="F95" s="43" t="str" cm="1">
        <f t="array" aca="1" ref="F95" ca="1">IFERROR(INDEX('DBX Sprint'!$A$7:$K$62, SMALL(IF((INDEX('DBX Sprint'!$A$7:$K$62, ,13)&lt;=(TODAY()+5))*(INDEX('DBX Sprint'!$A$7:$K$62, ,13)&gt;(TODAY()+1)),MATCH(ROW('DBX Sprint'!$A$7:$K$62),ROW('DBX Sprint'!$A$7:$K$62)),""),ROWS($F$34:F95)),COLUMNS('DBX Sprint'!$A$1:A12)),"")</f>
        <v/>
      </c>
      <c r="G95" s="43" t="str" cm="1">
        <f t="array" aca="1" ref="G95" ca="1">IFERROR(INDEX('DBX Sprint'!$A$7:$K$62, SMALL(IF((INDEX('DBX Sprint'!$A$7:$K$62, ,13)&lt;=(TODAY()+10))*(INDEX('DBX Sprint'!$A$7:$K$62, ,13)&gt;(TODAY()+5)),MATCH(ROW('DBX Sprint'!$A$7:$K$62),ROW('DBX Sprint'!$A$7:$K$62)),""),ROWS($G$34:G95)),COLUMNS('DBX Sprint'!$A$1:A12)),"")</f>
        <v/>
      </c>
      <c r="I95" s="41" t="str" cm="1">
        <f t="array" ref="I95">IFERROR(INDEX('DBX Sprint'!$A$7:$K$62, SMALL(IF((INDEX('DBX Sprint'!$A$7:$K$62, ,16)=("Complete"))*(INDEX('DBX Sprint'!$A$7:$K$62, ,16)="Complete"),MATCH(ROW('DBX Sprint'!$A$7:$K$62),ROW('DBX Sprint'!$A$7:$K$62)),""),ROWS($I$34:I95)),COLUMNS('DBX Sprint'!$A$1:A12)),"")</f>
        <v/>
      </c>
      <c r="J95" s="41" t="str" cm="1">
        <f t="array" aca="1" ref="J95" ca="1">IFERROR(INDEX('DBX Sprint'!$A$7:$K$62, SMALL(IF((INDEX('DBX Sprint'!$A$7:$K$62, ,16)&lt;(TODAY()))*(INDEX('DBX Sprint'!$A$7:$K$62, ,16)&lt;&gt;"Complete"),MATCH(ROW('DBX Sprint'!$A$7:$K$62),ROW('DBX Sprint'!$A$7:$K$62)),""),ROWS($J$34:J95)),COLUMNS('DBX Sprint'!$A$1:A12)),"")</f>
        <v/>
      </c>
      <c r="K95" s="37" t="str" cm="1">
        <f t="array" aca="1" ref="K95" ca="1">IFERROR(INDEX('DBX Sprint'!$A$7:$K$62, SMALL(IF((INDEX('DBX Sprint'!$A$7:$K$62, ,16)&lt;=(TODAY()+1))*(INDEX('DBX Sprint'!$A$7:$K$62, ,16)&gt;=TODAY()),MATCH(ROW('DBX Sprint'!$A$7:$K$62),ROW('DBX Sprint'!$A$7:$K$62)),""),ROWS($K$34:K95)),COLUMNS('DBX Sprint'!$A$1:A12)),"")</f>
        <v/>
      </c>
      <c r="L95" s="38" t="str" cm="1">
        <f t="array" aca="1" ref="L95" ca="1">IFERROR(INDEX('DBX Sprint'!$A$7:$K$62, SMALL(IF((INDEX('DBX Sprint'!$A$7:$K$62, ,16)&lt;=(TODAY()+5))*(INDEX('DBX Sprint'!$A$7:$K$62, ,16)&gt;(TODAY()+1)),MATCH(ROW('DBX Sprint'!$A$7:$K$62),ROW('DBX Sprint'!$A$7:$K$62)),""),ROWS($L$34:L95)),COLUMNS('DBX Sprint'!$A$1:A12)),"")</f>
        <v/>
      </c>
      <c r="M95" s="43" t="str" cm="1">
        <f t="array" aca="1" ref="M95" ca="1">IFERROR(INDEX('DBX Sprint'!$A$7:$K$62, SMALL(IF((INDEX('DBX Sprint'!$A$7:$K$62, ,16)&lt;=(TODAY()+10))*(INDEX('DBX Sprint'!$A$7:$K$62, ,16)&gt;(TODAY()+5)),MATCH(ROW('DBX Sprint'!$A$7:$K$62),ROW('DBX Sprint'!$A$7:$K$62)),""),ROWS($M$34:M95)),COLUMNS('DBX Sprint'!$A$1:A12)),"")</f>
        <v/>
      </c>
      <c r="P95" s="41" t="str" cm="1">
        <f t="array" aca="1" ref="P95" ca="1">IFERROR(INDEX('DBX Sprint'!$A$7:$K$62, SMALL(IF((INDEX('DBX Sprint'!$A$7:$K$62, ,19)&lt;(TODAY()))*(INDEX('DBX Sprint'!$A$7:$K$62, ,19)&lt;&gt;"Complete"),MATCH(ROW('DBX Sprint'!$A$7:$K$62),ROW('DBX Sprint'!$A$7:$K$62)),""),ROWS($P$34:P95)),COLUMNS('DBX Sprint'!$A$1:A12)),"")</f>
        <v/>
      </c>
      <c r="Q95" s="41" t="str" cm="1">
        <f t="array" aca="1" ref="Q95" ca="1">IFERROR(INDEX('DBX Sprint'!$A$7:$K$62, SMALL(IF((INDEX('DBX Sprint'!$A$7:$K$62, ,19)&lt;=(TODAY()+1))*(INDEX('DBX Sprint'!$A$7:$K$62, ,19)&gt;=TODAY()),MATCH(ROW('DBX Sprint'!$A$7:$K$62),ROW('DBX Sprint'!$A$7:$K$62)),""),ROWS($Q$34:Q95)),COLUMNS('DBX Sprint'!$A$1:A12)),"")</f>
        <v/>
      </c>
      <c r="R95" s="43" t="str" cm="1">
        <f t="array" aca="1" ref="R95" ca="1">IFERROR(INDEX('DBX Sprint'!$A$7:$K$62, SMALL(IF((INDEX('DBX Sprint'!$A$7:$K$62, ,19)&lt;=(TODAY()+5))*(INDEX('DBX Sprint'!$A$7:$K$62, ,19)&gt;(TODAY()+1)),MATCH(ROW('DBX Sprint'!$A$7:$K$62),ROW('DBX Sprint'!$A$7:$K$62)),""),ROWS($R$34:R95)),COLUMNS('DBX Sprint'!$A$1:A12)),"")</f>
        <v/>
      </c>
      <c r="S95" s="43" t="str" cm="1">
        <f t="array" aca="1" ref="S95" ca="1">IFERROR(INDEX('DBX Sprint'!$A$7:$K$62, SMALL(IF((INDEX('DBX Sprint'!$A$7:$K$62, ,19)&lt;=(TODAY()+10))*(INDEX('DBX Sprint'!$A$7:$K$62, ,19)&gt;(TODAY()+5)),MATCH(ROW('DBX Sprint'!$A$7:$K$62),ROW('DBX Sprint'!$A$7:$K$62)),""),ROWS($S$34:S95)),COLUMNS('DBX Sprint'!$A$1:A12)),"")</f>
        <v/>
      </c>
      <c r="U95" s="41" t="str" cm="1">
        <f t="array" ref="U95">IFERROR(INDEX('DBX Sprint'!$A$7:$K$62, SMALL(IF((INDEX('DBX Sprint'!$A$7:$K$62, ,22)=("Complete"))*(INDEX('DBX Sprint'!$A$7:$K$62, ,22)="Complete"),MATCH(ROW('DBX Sprint'!$A$7:$K$62),ROW('DBX Sprint'!$A$7:$K$62)),""),ROWS($U$34:U95)),COLUMNS('DBX Sprint'!$A$1:A12)),"")</f>
        <v/>
      </c>
      <c r="V95" s="41" t="str" cm="1">
        <f t="array" aca="1" ref="V95" ca="1">IFERROR(INDEX('DBX Sprint'!$A$7:$K$62, SMALL(IF((INDEX('DBX Sprint'!$A$7:$K$62, ,22)&lt;(TODAY()))*(INDEX('DBX Sprint'!$A$7:$K$62, ,22)&lt;&gt;"Complete"),MATCH(ROW('DBX Sprint'!$A$7:$K$62),ROW('DBX Sprint'!$A$7:$K$62)),""),ROWS($V$34:V95)),COLUMNS('DBX Sprint'!$A$1:A12)),"")</f>
        <v/>
      </c>
      <c r="W95" s="41" t="str" cm="1">
        <f t="array" aca="1" ref="W95" ca="1">IFERROR(INDEX('DBX Sprint'!$A$7:$K$62, SMALL(IF((INDEX('DBX Sprint'!$A$7:$K$62, ,22)&lt;=(TODAY()+1))*(INDEX('DBX Sprint'!$A$7:$K$62, ,22)&gt;=TODAY()),MATCH(ROW('DBX Sprint'!$A$7:$K$62),ROW('DBX Sprint'!$A$7:$K$62)),""),ROWS($W$34:W95)),COLUMNS('DBX Sprint'!$A$1:A12)),"")</f>
        <v/>
      </c>
      <c r="X95" s="43" t="str" cm="1">
        <f t="array" aca="1" ref="X95" ca="1">IFERROR(INDEX('DBX Sprint'!$A$7:$K$62, SMALL(IF((INDEX('DBX Sprint'!$A$7:$K$62, ,22)&lt;=(TODAY()+5))*(INDEX('DBX Sprint'!$A$7:$K$62, ,22)&gt;(TODAY()+1)),MATCH(ROW('DBX Sprint'!$A$7:$K$62),ROW('DBX Sprint'!$A$7:$K$62)),""),ROWS($X$34:X95)),COLUMNS('DBX Sprint'!$A$1:A12)),"")</f>
        <v/>
      </c>
      <c r="Y95" s="43" t="str" cm="1">
        <f t="array" aca="1" ref="Y95" ca="1">IFERROR(INDEX('DBX Sprint'!$A$7:$K$62, SMALL(IF((INDEX('DBX Sprint'!$A$7:$K$62, ,22)&lt;=(TODAY()+10))*(INDEX('DBX Sprint'!$A$7:$K$62, ,22)&gt;(TODAY()+5)),MATCH(ROW('DBX Sprint'!$A$7:$K$62),ROW('DBX Sprint'!$A$7:$K$62)),""),ROWS($Y$34:Y95)),COLUMNS('DBX Sprint'!$A$1:A12)),"")</f>
        <v/>
      </c>
      <c r="AA95" s="41" t="str" cm="1">
        <f t="array" ref="AA95">IFERROR(INDEX('DBX Sprint'!$A$7:$K$62, SMALL(IF((INDEX('DBX Sprint'!$A$7:$K$62, ,25)=("Complete"))*(INDEX('DBX Sprint'!$A$7:$K$62, ,25)="Complete"),MATCH(ROW('DBX Sprint'!$A$7:$K$62),ROW('DBX Sprint'!$A$7:$K$62)),""),ROWS($AA$34:AA95)),COLUMNS('DBX Sprint'!$A$1:A12)),"")</f>
        <v/>
      </c>
      <c r="AB95" s="41" t="str" cm="1">
        <f t="array" aca="1" ref="AB95" ca="1">IFERROR(INDEX('DBX Sprint'!$A$7:$K$62, SMALL(IF((INDEX('DBX Sprint'!$A$7:$K$62, ,25)&lt;(TODAY()))*(INDEX('DBX Sprint'!$A$7:$K$62, ,25)&lt;&gt;"Complete"),MATCH(ROW('DBX Sprint'!$A$7:$K$62),ROW('DBX Sprint'!$A$7:$K$62)),""),ROWS($AB$34:AB95)),COLUMNS('DBX Sprint'!$A$1:A12)),"")</f>
        <v/>
      </c>
      <c r="AC95" s="41" t="str" cm="1">
        <f t="array" aca="1" ref="AC95" ca="1">IFERROR(INDEX('DBX Sprint'!$A$7:$K$62, SMALL(IF((INDEX('DBX Sprint'!$A$7:$K$62, ,25)&lt;=(TODAY()+1))*(INDEX('DBX Sprint'!$A$7:$K$62, ,25)&gt;=TODAY()),MATCH(ROW('DBX Sprint'!$A$7:$K$62),ROW('DBX Sprint'!$A$7:$K$62)),""),ROWS($AC$34:AC95)),COLUMNS('DBX Sprint'!$A$1:A12)),"")</f>
        <v/>
      </c>
      <c r="AD95" s="43" t="str" cm="1">
        <f t="array" aca="1" ref="AD95" ca="1">IFERROR(INDEX('DBX Sprint'!$A$7:$K$62, SMALL(IF((INDEX('DBX Sprint'!$A$7:$K$62, ,25)&lt;=(TODAY()+5))*(INDEX('DBX Sprint'!$A$7:$K$62, ,25)&gt;(TODAY()+1)),MATCH(ROW('DBX Sprint'!$A$7:$K$62),ROW('DBX Sprint'!$A$7:$K$62)),""),ROWS($AD$34:AD95)),COLUMNS('DBX Sprint'!$A$1:A12)),"")</f>
        <v/>
      </c>
      <c r="AE95" s="43" t="str" cm="1">
        <f t="array" aca="1" ref="AE95" ca="1">IFERROR(INDEX('DBX Sprint'!$A$7:$K$62, SMALL(IF((INDEX('DBX Sprint'!$A$7:$K$62, ,25)&lt;=(TODAY()+10))*(INDEX('DBX Sprint'!$A$7:$K$62, ,25)&gt;(TODAY()+5)),MATCH(ROW('DBX Sprint'!$A$7:$K$62),ROW('DBX Sprint'!$A$7:$K$62)),""),ROWS($AE$34:AE95)),COLUMNS('DBX Sprint'!$A$1:A12)),"")</f>
        <v/>
      </c>
      <c r="AG95" s="41" t="str" cm="1">
        <f t="array" ref="AG95">IFERROR(INDEX('DBX Sprint'!$A$7:$K$62, SMALL(IF((INDEX('DBX Sprint'!$A$7:$K$62, ,29)=("Complete"))*(INDEX('DBX Sprint'!$A$7:$K$62, ,29)="Complete"),MATCH(ROW('DBX Sprint'!$A$7:$K$62),ROW('DBX Sprint'!$A$7:$K$62)),""),ROWS($AG$34:AG95)),COLUMNS('DBX Sprint'!$A$1:A12)),"")</f>
        <v/>
      </c>
      <c r="AH95" s="41" t="str" cm="1">
        <f t="array" aca="1" ref="AH95" ca="1">IFERROR(INDEX('DBX Sprint'!$A$7:$K$62, SMALL(IF((INDEX('DBX Sprint'!$A$7:$K$62, ,29)&lt;(TODAY()))*(INDEX('DBX Sprint'!$A$7:$K$62, ,29)&lt;&gt;"Complete"),MATCH(ROW('DBX Sprint'!$A$7:$K$62),ROW('DBX Sprint'!$A$7:$K$62)),""),ROWS($AH$34:AH95)),COLUMNS('DBX Sprint'!$A$1:A12)),"")</f>
        <v/>
      </c>
      <c r="AI95" s="41" t="str" cm="1">
        <f t="array" aca="1" ref="AI95" ca="1">IFERROR(INDEX('DBX Sprint'!$A$7:$K$62, SMALL(IF((INDEX('DBX Sprint'!$A$7:$K$62, ,29)&lt;=(TODAY()+1))*(INDEX('DBX Sprint'!$A$7:$K$62, ,29)&gt;=TODAY()),MATCH(ROW('DBX Sprint'!$A$7:$K$62),ROW('DBX Sprint'!$A$7:$K$62)),""),ROWS($AI$34:AI95)),COLUMNS('DBX Sprint'!$A$1:A12)),"")</f>
        <v/>
      </c>
      <c r="AJ95" s="43" t="str" cm="1">
        <f t="array" aca="1" ref="AJ95" ca="1">IFERROR(INDEX('DBX Sprint'!$A$7:$K$62, SMALL(IF((INDEX('DBX Sprint'!$A$7:$K$62, ,29)&lt;=(TODAY()+5))*(INDEX('DBX Sprint'!$A$7:$K$62, ,29)&gt;(TODAY()+1)),MATCH(ROW('DBX Sprint'!$A$7:$K$62),ROW('DBX Sprint'!$A$7:$K$62)),""),ROWS($AJ$34:AJ95)),COLUMNS('DBX Sprint'!$A$1:A12)),"")</f>
        <v/>
      </c>
      <c r="AK95" s="43" t="str" cm="1">
        <f t="array" aca="1" ref="AK95" ca="1">IFERROR(INDEX('DBX Sprint'!$A$7:$K$62, SMALL(IF((INDEX('DBX Sprint'!$A$7:$K$62, ,29)&lt;=(TODAY()+10))*(INDEX('DBX Sprint'!$A$7:$K$62, ,29)&gt;(TODAY()+5)),MATCH(ROW('DBX Sprint'!$A$7:$K$62),ROW('DBX Sprint'!$A$7:$K$62)),""),ROWS($AK$34:AK95)),COLUMNS('DBX Sprint'!$A$1:A12)),"")</f>
        <v/>
      </c>
      <c r="AM95" s="41" t="str" cm="1">
        <f t="array" ref="AM95">IFERROR(INDEX('DBX Sprint'!$A$7:$K$62, SMALL(IF((INDEX('DBX Sprint'!$A$7:$K$62, ,32)=("Complete"))*(INDEX('DBX Sprint'!$A$7:$K$62, ,32)="Complete"),MATCH(ROW('DBX Sprint'!$A$7:$K$62),ROW('DBX Sprint'!$A$7:$K$62)),""),ROWS($AM$34:AM95)),COLUMNS('DBX Sprint'!$A$1:A12)),"")</f>
        <v/>
      </c>
      <c r="AN95" s="41" t="str" cm="1">
        <f t="array" aca="1" ref="AN95" ca="1">IFERROR(INDEX('DBX Sprint'!$A$7:$K$62, SMALL(IF((INDEX('DBX Sprint'!$A$7:$K$62, ,32)&lt;(TODAY()))*(INDEX('DBX Sprint'!$A$7:$K$62, ,32)&lt;&gt;"Complete"),MATCH(ROW('DBX Sprint'!$A$7:$K$62),ROW('DBX Sprint'!$A$7:$K$62)),""),ROWS($AN$34:AN95)),COLUMNS('DBX Sprint'!$A$1:A12)),"")</f>
        <v/>
      </c>
      <c r="AO95" s="41" t="str" cm="1">
        <f t="array" aca="1" ref="AO95" ca="1">IFERROR(INDEX('DBX Sprint'!$A$7:$K$62, SMALL(IF((INDEX('DBX Sprint'!$A$7:$K$62, ,32)&lt;=(TODAY()+1))*(INDEX('DBX Sprint'!$A$7:$K$62, ,32)&gt;=TODAY()),MATCH(ROW('DBX Sprint'!$A$7:$K$62),ROW('DBX Sprint'!$A$7:$K$62)),""),ROWS($AO$34:AO95)),COLUMNS('DBX Sprint'!$A$1:A12)),"")</f>
        <v/>
      </c>
      <c r="AP95" s="43" t="str" cm="1">
        <f t="array" aca="1" ref="AP95" ca="1">IFERROR(INDEX('DBX Sprint'!$A$7:$K$62, SMALL(IF((INDEX('DBX Sprint'!$A$7:$K$62, ,32)&lt;=(TODAY()+5))*(INDEX('DBX Sprint'!$A$7:$K$62, ,32)&gt;(TODAY()+1)),MATCH(ROW('DBX Sprint'!$A$7:$K$62),ROW('DBX Sprint'!$A$7:$K$62)),""),ROWS($AP$34:AP95)),COLUMNS('DBX Sprint'!$A$1:A12)),"")</f>
        <v/>
      </c>
      <c r="AQ95" s="43" t="str" cm="1">
        <f t="array" aca="1" ref="AQ95" ca="1">IFERROR(INDEX('DBX Sprint'!$A$7:$K$62, SMALL(IF((INDEX('DBX Sprint'!$A$7:$K$62, ,32)&lt;=(TODAY()+10))*(INDEX('DBX Sprint'!$A$7:$K$62, ,32)&gt;(TODAY()+5)),MATCH(ROW('DBX Sprint'!$A$7:$K$62),ROW('DBX Sprint'!$A$7:$K$62)),""),ROWS($AQ$34:AQ95)),COLUMNS('DBX Sprint'!$A$1:A12)),"")</f>
        <v/>
      </c>
    </row>
    <row r="96" spans="3:43" ht="30" customHeight="1">
      <c r="C96" s="41" t="str" cm="1">
        <f t="array" ref="C96">IFERROR(INDEX('DBX Sprint'!$A$7:$K$62, SMALL(IF((INDEX('DBX Sprint'!$A$7:$K$62, ,13)=("Complete"))*(INDEX('DBX Sprint'!$A$7:$K$62, ,13)="Complete"),MATCH(ROW('DBX Sprint'!$A$7:$K$62),ROW('DBX Sprint'!$A$7:$K$62)),""),ROWS(C$34:$C96)),COLUMNS('DBX Sprint'!$A$1:A12)),"")</f>
        <v/>
      </c>
      <c r="D96" s="41" t="str" cm="1">
        <f t="array" aca="1" ref="D96" ca="1">IFERROR(INDEX('DBX Sprint'!$A$7:$K$62, SMALL(IF((INDEX('DBX Sprint'!$A$7:$K$62, ,13)&lt;(TODAY()))*(INDEX('DBX Sprint'!$A$7:$K$62, ,13)&lt;&gt;"Complete"),MATCH(ROW('DBX Sprint'!$A$7:$K$62),ROW('DBX Sprint'!$A$7:$K$62)),""),ROWS(D$34:$D96)),COLUMNS('DBX Sprint'!$A$1:A12)),"")</f>
        <v/>
      </c>
      <c r="E96" s="41" t="str" cm="1">
        <f t="array" aca="1" ref="E96" ca="1">IFERROR(INDEX('DBX Sprint'!$A$7:$K$62, SMALL(IF((INDEX('DBX Sprint'!$A$7:$K$62, ,13)&lt;=(TODAY()+1))*(INDEX('DBX Sprint'!$A$7:$K$62, ,13)&gt;=TODAY()),MATCH(ROW('DBX Sprint'!$A$7:$K$62),ROW('DBX Sprint'!$A$7:$K$62)),""),ROWS(E$34:$E96)),COLUMNS('DBX Sprint'!$A$1:A12)),"")</f>
        <v/>
      </c>
      <c r="F96" s="43" t="str" cm="1">
        <f t="array" aca="1" ref="F96" ca="1">IFERROR(INDEX('DBX Sprint'!$A$7:$K$62, SMALL(IF((INDEX('DBX Sprint'!$A$7:$K$62, ,13)&lt;=(TODAY()+5))*(INDEX('DBX Sprint'!$A$7:$K$62, ,13)&gt;(TODAY()+1)),MATCH(ROW('DBX Sprint'!$A$7:$K$62),ROW('DBX Sprint'!$A$7:$K$62)),""),ROWS($F$34:F96)),COLUMNS('DBX Sprint'!$A$1:A12)),"")</f>
        <v/>
      </c>
      <c r="G96" s="43" t="str" cm="1">
        <f t="array" aca="1" ref="G96" ca="1">IFERROR(INDEX('DBX Sprint'!$A$7:$K$62, SMALL(IF((INDEX('DBX Sprint'!$A$7:$K$62, ,13)&lt;=(TODAY()+10))*(INDEX('DBX Sprint'!$A$7:$K$62, ,13)&gt;(TODAY()+5)),MATCH(ROW('DBX Sprint'!$A$7:$K$62),ROW('DBX Sprint'!$A$7:$K$62)),""),ROWS($G$34:G96)),COLUMNS('DBX Sprint'!$A$1:A12)),"")</f>
        <v/>
      </c>
      <c r="I96" s="41" t="str" cm="1">
        <f t="array" ref="I96">IFERROR(INDEX('DBX Sprint'!$A$7:$K$62, SMALL(IF((INDEX('DBX Sprint'!$A$7:$K$62, ,16)=("Complete"))*(INDEX('DBX Sprint'!$A$7:$K$62, ,16)="Complete"),MATCH(ROW('DBX Sprint'!$A$7:$K$62),ROW('DBX Sprint'!$A$7:$K$62)),""),ROWS($I$34:I96)),COLUMNS('DBX Sprint'!$A$1:A12)),"")</f>
        <v/>
      </c>
      <c r="J96" s="41" t="str" cm="1">
        <f t="array" aca="1" ref="J96" ca="1">IFERROR(INDEX('DBX Sprint'!$A$7:$K$62, SMALL(IF((INDEX('DBX Sprint'!$A$7:$K$62, ,16)&lt;(TODAY()))*(INDEX('DBX Sprint'!$A$7:$K$62, ,16)&lt;&gt;"Complete"),MATCH(ROW('DBX Sprint'!$A$7:$K$62),ROW('DBX Sprint'!$A$7:$K$62)),""),ROWS($J$34:J96)),COLUMNS('DBX Sprint'!$A$1:A12)),"")</f>
        <v/>
      </c>
      <c r="K96" s="37" t="str" cm="1">
        <f t="array" aca="1" ref="K96" ca="1">IFERROR(INDEX('DBX Sprint'!$A$7:$K$62, SMALL(IF((INDEX('DBX Sprint'!$A$7:$K$62, ,16)&lt;=(TODAY()+1))*(INDEX('DBX Sprint'!$A$7:$K$62, ,16)&gt;=TODAY()),MATCH(ROW('DBX Sprint'!$A$7:$K$62),ROW('DBX Sprint'!$A$7:$K$62)),""),ROWS($K$34:K96)),COLUMNS('DBX Sprint'!$A$1:A12)),"")</f>
        <v/>
      </c>
      <c r="L96" s="38" t="str" cm="1">
        <f t="array" aca="1" ref="L96" ca="1">IFERROR(INDEX('DBX Sprint'!$A$7:$K$62, SMALL(IF((INDEX('DBX Sprint'!$A$7:$K$62, ,16)&lt;=(TODAY()+5))*(INDEX('DBX Sprint'!$A$7:$K$62, ,16)&gt;(TODAY()+1)),MATCH(ROW('DBX Sprint'!$A$7:$K$62),ROW('DBX Sprint'!$A$7:$K$62)),""),ROWS($L$34:L96)),COLUMNS('DBX Sprint'!$A$1:A12)),"")</f>
        <v/>
      </c>
      <c r="M96" s="43" t="str" cm="1">
        <f t="array" aca="1" ref="M96" ca="1">IFERROR(INDEX('DBX Sprint'!$A$7:$K$62, SMALL(IF((INDEX('DBX Sprint'!$A$7:$K$62, ,16)&lt;=(TODAY()+10))*(INDEX('DBX Sprint'!$A$7:$K$62, ,16)&gt;(TODAY()+5)),MATCH(ROW('DBX Sprint'!$A$7:$K$62),ROW('DBX Sprint'!$A$7:$K$62)),""),ROWS($M$34:M96)),COLUMNS('DBX Sprint'!$A$1:A12)),"")</f>
        <v/>
      </c>
      <c r="P96" s="41" t="str" cm="1">
        <f t="array" aca="1" ref="P96" ca="1">IFERROR(INDEX('DBX Sprint'!$A$7:$K$62, SMALL(IF((INDEX('DBX Sprint'!$A$7:$K$62, ,19)&lt;(TODAY()))*(INDEX('DBX Sprint'!$A$7:$K$62, ,19)&lt;&gt;"Complete"),MATCH(ROW('DBX Sprint'!$A$7:$K$62),ROW('DBX Sprint'!$A$7:$K$62)),""),ROWS($P$34:P96)),COLUMNS('DBX Sprint'!$A$1:A12)),"")</f>
        <v/>
      </c>
      <c r="Q96" s="41" t="str" cm="1">
        <f t="array" aca="1" ref="Q96" ca="1">IFERROR(INDEX('DBX Sprint'!$A$7:$K$62, SMALL(IF((INDEX('DBX Sprint'!$A$7:$K$62, ,19)&lt;=(TODAY()+1))*(INDEX('DBX Sprint'!$A$7:$K$62, ,19)&gt;=TODAY()),MATCH(ROW('DBX Sprint'!$A$7:$K$62),ROW('DBX Sprint'!$A$7:$K$62)),""),ROWS($Q$34:Q96)),COLUMNS('DBX Sprint'!$A$1:A12)),"")</f>
        <v/>
      </c>
      <c r="R96" s="43" t="str" cm="1">
        <f t="array" aca="1" ref="R96" ca="1">IFERROR(INDEX('DBX Sprint'!$A$7:$K$62, SMALL(IF((INDEX('DBX Sprint'!$A$7:$K$62, ,19)&lt;=(TODAY()+5))*(INDEX('DBX Sprint'!$A$7:$K$62, ,19)&gt;(TODAY()+1)),MATCH(ROW('DBX Sprint'!$A$7:$K$62),ROW('DBX Sprint'!$A$7:$K$62)),""),ROWS($R$34:R96)),COLUMNS('DBX Sprint'!$A$1:A12)),"")</f>
        <v/>
      </c>
      <c r="S96" s="43" t="str" cm="1">
        <f t="array" aca="1" ref="S96" ca="1">IFERROR(INDEX('DBX Sprint'!$A$7:$K$62, SMALL(IF((INDEX('DBX Sprint'!$A$7:$K$62, ,19)&lt;=(TODAY()+10))*(INDEX('DBX Sprint'!$A$7:$K$62, ,19)&gt;(TODAY()+5)),MATCH(ROW('DBX Sprint'!$A$7:$K$62),ROW('DBX Sprint'!$A$7:$K$62)),""),ROWS($S$34:S96)),COLUMNS('DBX Sprint'!$A$1:A12)),"")</f>
        <v/>
      </c>
      <c r="U96" s="41" t="str" cm="1">
        <f t="array" ref="U96">IFERROR(INDEX('DBX Sprint'!$A$7:$K$62, SMALL(IF((INDEX('DBX Sprint'!$A$7:$K$62, ,22)=("Complete"))*(INDEX('DBX Sprint'!$A$7:$K$62, ,22)="Complete"),MATCH(ROW('DBX Sprint'!$A$7:$K$62),ROW('DBX Sprint'!$A$7:$K$62)),""),ROWS($U$34:U96)),COLUMNS('DBX Sprint'!$A$1:A12)),"")</f>
        <v/>
      </c>
      <c r="V96" s="41" t="str" cm="1">
        <f t="array" aca="1" ref="V96" ca="1">IFERROR(INDEX('DBX Sprint'!$A$7:$K$62, SMALL(IF((INDEX('DBX Sprint'!$A$7:$K$62, ,22)&lt;(TODAY()))*(INDEX('DBX Sprint'!$A$7:$K$62, ,22)&lt;&gt;"Complete"),MATCH(ROW('DBX Sprint'!$A$7:$K$62),ROW('DBX Sprint'!$A$7:$K$62)),""),ROWS($V$34:V96)),COLUMNS('DBX Sprint'!$A$1:A12)),"")</f>
        <v/>
      </c>
      <c r="W96" s="41" t="str" cm="1">
        <f t="array" aca="1" ref="W96" ca="1">IFERROR(INDEX('DBX Sprint'!$A$7:$K$62, SMALL(IF((INDEX('DBX Sprint'!$A$7:$K$62, ,22)&lt;=(TODAY()+1))*(INDEX('DBX Sprint'!$A$7:$K$62, ,22)&gt;=TODAY()),MATCH(ROW('DBX Sprint'!$A$7:$K$62),ROW('DBX Sprint'!$A$7:$K$62)),""),ROWS($W$34:W96)),COLUMNS('DBX Sprint'!$A$1:A12)),"")</f>
        <v/>
      </c>
      <c r="X96" s="43" t="str" cm="1">
        <f t="array" aca="1" ref="X96" ca="1">IFERROR(INDEX('DBX Sprint'!$A$7:$K$62, SMALL(IF((INDEX('DBX Sprint'!$A$7:$K$62, ,22)&lt;=(TODAY()+5))*(INDEX('DBX Sprint'!$A$7:$K$62, ,22)&gt;(TODAY()+1)),MATCH(ROW('DBX Sprint'!$A$7:$K$62),ROW('DBX Sprint'!$A$7:$K$62)),""),ROWS($X$34:X96)),COLUMNS('DBX Sprint'!$A$1:A12)),"")</f>
        <v/>
      </c>
      <c r="Y96" s="43" t="str" cm="1">
        <f t="array" aca="1" ref="Y96" ca="1">IFERROR(INDEX('DBX Sprint'!$A$7:$K$62, SMALL(IF((INDEX('DBX Sprint'!$A$7:$K$62, ,22)&lt;=(TODAY()+10))*(INDEX('DBX Sprint'!$A$7:$K$62, ,22)&gt;(TODAY()+5)),MATCH(ROW('DBX Sprint'!$A$7:$K$62),ROW('DBX Sprint'!$A$7:$K$62)),""),ROWS($Y$34:Y96)),COLUMNS('DBX Sprint'!$A$1:A12)),"")</f>
        <v/>
      </c>
      <c r="AA96" s="41" t="str" cm="1">
        <f t="array" ref="AA96">IFERROR(INDEX('DBX Sprint'!$A$7:$K$62, SMALL(IF((INDEX('DBX Sprint'!$A$7:$K$62, ,25)=("Complete"))*(INDEX('DBX Sprint'!$A$7:$K$62, ,25)="Complete"),MATCH(ROW('DBX Sprint'!$A$7:$K$62),ROW('DBX Sprint'!$A$7:$K$62)),""),ROWS($AA$34:AA96)),COLUMNS('DBX Sprint'!$A$1:A12)),"")</f>
        <v/>
      </c>
      <c r="AB96" s="41" t="str" cm="1">
        <f t="array" aca="1" ref="AB96" ca="1">IFERROR(INDEX('DBX Sprint'!$A$7:$K$62, SMALL(IF((INDEX('DBX Sprint'!$A$7:$K$62, ,25)&lt;(TODAY()))*(INDEX('DBX Sprint'!$A$7:$K$62, ,25)&lt;&gt;"Complete"),MATCH(ROW('DBX Sprint'!$A$7:$K$62),ROW('DBX Sprint'!$A$7:$K$62)),""),ROWS($AB$34:AB96)),COLUMNS('DBX Sprint'!$A$1:A12)),"")</f>
        <v/>
      </c>
      <c r="AC96" s="41" t="str" cm="1">
        <f t="array" aca="1" ref="AC96" ca="1">IFERROR(INDEX('DBX Sprint'!$A$7:$K$62, SMALL(IF((INDEX('DBX Sprint'!$A$7:$K$62, ,25)&lt;=(TODAY()+1))*(INDEX('DBX Sprint'!$A$7:$K$62, ,25)&gt;=TODAY()),MATCH(ROW('DBX Sprint'!$A$7:$K$62),ROW('DBX Sprint'!$A$7:$K$62)),""),ROWS($AC$34:AC96)),COLUMNS('DBX Sprint'!$A$1:A12)),"")</f>
        <v/>
      </c>
      <c r="AD96" s="43" t="str" cm="1">
        <f t="array" aca="1" ref="AD96" ca="1">IFERROR(INDEX('DBX Sprint'!$A$7:$K$62, SMALL(IF((INDEX('DBX Sprint'!$A$7:$K$62, ,25)&lt;=(TODAY()+5))*(INDEX('DBX Sprint'!$A$7:$K$62, ,25)&gt;(TODAY()+1)),MATCH(ROW('DBX Sprint'!$A$7:$K$62),ROW('DBX Sprint'!$A$7:$K$62)),""),ROWS($AD$34:AD96)),COLUMNS('DBX Sprint'!$A$1:A12)),"")</f>
        <v/>
      </c>
      <c r="AE96" s="43" t="str" cm="1">
        <f t="array" aca="1" ref="AE96" ca="1">IFERROR(INDEX('DBX Sprint'!$A$7:$K$62, SMALL(IF((INDEX('DBX Sprint'!$A$7:$K$62, ,25)&lt;=(TODAY()+10))*(INDEX('DBX Sprint'!$A$7:$K$62, ,25)&gt;(TODAY()+5)),MATCH(ROW('DBX Sprint'!$A$7:$K$62),ROW('DBX Sprint'!$A$7:$K$62)),""),ROWS($AE$34:AE96)),COLUMNS('DBX Sprint'!$A$1:A12)),"")</f>
        <v/>
      </c>
      <c r="AG96" s="41" t="str" cm="1">
        <f t="array" ref="AG96">IFERROR(INDEX('DBX Sprint'!$A$7:$K$62, SMALL(IF((INDEX('DBX Sprint'!$A$7:$K$62, ,29)=("Complete"))*(INDEX('DBX Sprint'!$A$7:$K$62, ,29)="Complete"),MATCH(ROW('DBX Sprint'!$A$7:$K$62),ROW('DBX Sprint'!$A$7:$K$62)),""),ROWS($AG$34:AG96)),COLUMNS('DBX Sprint'!$A$1:A12)),"")</f>
        <v/>
      </c>
      <c r="AH96" s="41" t="str" cm="1">
        <f t="array" aca="1" ref="AH96" ca="1">IFERROR(INDEX('DBX Sprint'!$A$7:$K$62, SMALL(IF((INDEX('DBX Sprint'!$A$7:$K$62, ,29)&lt;(TODAY()))*(INDEX('DBX Sprint'!$A$7:$K$62, ,29)&lt;&gt;"Complete"),MATCH(ROW('DBX Sprint'!$A$7:$K$62),ROW('DBX Sprint'!$A$7:$K$62)),""),ROWS($AH$34:AH96)),COLUMNS('DBX Sprint'!$A$1:A12)),"")</f>
        <v/>
      </c>
      <c r="AI96" s="41" t="str" cm="1">
        <f t="array" aca="1" ref="AI96" ca="1">IFERROR(INDEX('DBX Sprint'!$A$7:$K$62, SMALL(IF((INDEX('DBX Sprint'!$A$7:$K$62, ,29)&lt;=(TODAY()+1))*(INDEX('DBX Sprint'!$A$7:$K$62, ,29)&gt;=TODAY()),MATCH(ROW('DBX Sprint'!$A$7:$K$62),ROW('DBX Sprint'!$A$7:$K$62)),""),ROWS($AI$34:AI96)),COLUMNS('DBX Sprint'!$A$1:A12)),"")</f>
        <v/>
      </c>
      <c r="AJ96" s="43" t="str" cm="1">
        <f t="array" aca="1" ref="AJ96" ca="1">IFERROR(INDEX('DBX Sprint'!$A$7:$K$62, SMALL(IF((INDEX('DBX Sprint'!$A$7:$K$62, ,29)&lt;=(TODAY()+5))*(INDEX('DBX Sprint'!$A$7:$K$62, ,29)&gt;(TODAY()+1)),MATCH(ROW('DBX Sprint'!$A$7:$K$62),ROW('DBX Sprint'!$A$7:$K$62)),""),ROWS($AJ$34:AJ96)),COLUMNS('DBX Sprint'!$A$1:A12)),"")</f>
        <v/>
      </c>
      <c r="AK96" s="43" t="str" cm="1">
        <f t="array" aca="1" ref="AK96" ca="1">IFERROR(INDEX('DBX Sprint'!$A$7:$K$62, SMALL(IF((INDEX('DBX Sprint'!$A$7:$K$62, ,29)&lt;=(TODAY()+10))*(INDEX('DBX Sprint'!$A$7:$K$62, ,29)&gt;(TODAY()+5)),MATCH(ROW('DBX Sprint'!$A$7:$K$62),ROW('DBX Sprint'!$A$7:$K$62)),""),ROWS($AK$34:AK96)),COLUMNS('DBX Sprint'!$A$1:A12)),"")</f>
        <v/>
      </c>
      <c r="AM96" s="41" t="str" cm="1">
        <f t="array" ref="AM96">IFERROR(INDEX('DBX Sprint'!$A$7:$K$62, SMALL(IF((INDEX('DBX Sprint'!$A$7:$K$62, ,32)=("Complete"))*(INDEX('DBX Sprint'!$A$7:$K$62, ,32)="Complete"),MATCH(ROW('DBX Sprint'!$A$7:$K$62),ROW('DBX Sprint'!$A$7:$K$62)),""),ROWS($AM$34:AM96)),COLUMNS('DBX Sprint'!$A$1:A12)),"")</f>
        <v/>
      </c>
      <c r="AN96" s="41" t="str" cm="1">
        <f t="array" aca="1" ref="AN96" ca="1">IFERROR(INDEX('DBX Sprint'!$A$7:$K$62, SMALL(IF((INDEX('DBX Sprint'!$A$7:$K$62, ,32)&lt;(TODAY()))*(INDEX('DBX Sprint'!$A$7:$K$62, ,32)&lt;&gt;"Complete"),MATCH(ROW('DBX Sprint'!$A$7:$K$62),ROW('DBX Sprint'!$A$7:$K$62)),""),ROWS($AN$34:AN96)),COLUMNS('DBX Sprint'!$A$1:A12)),"")</f>
        <v/>
      </c>
      <c r="AO96" s="41" t="str" cm="1">
        <f t="array" aca="1" ref="AO96" ca="1">IFERROR(INDEX('DBX Sprint'!$A$7:$K$62, SMALL(IF((INDEX('DBX Sprint'!$A$7:$K$62, ,32)&lt;=(TODAY()+1))*(INDEX('DBX Sprint'!$A$7:$K$62, ,32)&gt;=TODAY()),MATCH(ROW('DBX Sprint'!$A$7:$K$62),ROW('DBX Sprint'!$A$7:$K$62)),""),ROWS($AO$34:AO96)),COLUMNS('DBX Sprint'!$A$1:A12)),"")</f>
        <v/>
      </c>
      <c r="AP96" s="43" t="str" cm="1">
        <f t="array" aca="1" ref="AP96" ca="1">IFERROR(INDEX('DBX Sprint'!$A$7:$K$62, SMALL(IF((INDEX('DBX Sprint'!$A$7:$K$62, ,32)&lt;=(TODAY()+5))*(INDEX('DBX Sprint'!$A$7:$K$62, ,32)&gt;(TODAY()+1)),MATCH(ROW('DBX Sprint'!$A$7:$K$62),ROW('DBX Sprint'!$A$7:$K$62)),""),ROWS($AP$34:AP96)),COLUMNS('DBX Sprint'!$A$1:A12)),"")</f>
        <v/>
      </c>
      <c r="AQ96" s="43" t="str" cm="1">
        <f t="array" aca="1" ref="AQ96" ca="1">IFERROR(INDEX('DBX Sprint'!$A$7:$K$62, SMALL(IF((INDEX('DBX Sprint'!$A$7:$K$62, ,32)&lt;=(TODAY()+10))*(INDEX('DBX Sprint'!$A$7:$K$62, ,32)&gt;(TODAY()+5)),MATCH(ROW('DBX Sprint'!$A$7:$K$62),ROW('DBX Sprint'!$A$7:$K$62)),""),ROWS($AQ$34:AQ96)),COLUMNS('DBX Sprint'!$A$1:A12)),"")</f>
        <v/>
      </c>
    </row>
    <row r="97" spans="3:43" ht="30" customHeight="1">
      <c r="C97" s="41" t="str" cm="1">
        <f t="array" ref="C97">IFERROR(INDEX('DBX Sprint'!$A$7:$K$62, SMALL(IF((INDEX('DBX Sprint'!$A$7:$K$62, ,13)=("Complete"))*(INDEX('DBX Sprint'!$A$7:$K$62, ,13)="Complete"),MATCH(ROW('DBX Sprint'!$A$7:$K$62),ROW('DBX Sprint'!$A$7:$K$62)),""),ROWS(C$34:$C97)),COLUMNS('DBX Sprint'!$A$1:A12)),"")</f>
        <v/>
      </c>
      <c r="D97" s="41" t="str" cm="1">
        <f t="array" aca="1" ref="D97" ca="1">IFERROR(INDEX('DBX Sprint'!$A$7:$K$62, SMALL(IF((INDEX('DBX Sprint'!$A$7:$K$62, ,13)&lt;(TODAY()))*(INDEX('DBX Sprint'!$A$7:$K$62, ,13)&lt;&gt;"Complete"),MATCH(ROW('DBX Sprint'!$A$7:$K$62),ROW('DBX Sprint'!$A$7:$K$62)),""),ROWS(D$34:$D97)),COLUMNS('DBX Sprint'!$A$1:A12)),"")</f>
        <v/>
      </c>
      <c r="E97" s="41" t="str" cm="1">
        <f t="array" aca="1" ref="E97" ca="1">IFERROR(INDEX('DBX Sprint'!$A$7:$K$62, SMALL(IF((INDEX('DBX Sprint'!$A$7:$K$62, ,13)&lt;=(TODAY()+1))*(INDEX('DBX Sprint'!$A$7:$K$62, ,13)&gt;=TODAY()),MATCH(ROW('DBX Sprint'!$A$7:$K$62),ROW('DBX Sprint'!$A$7:$K$62)),""),ROWS(E$34:$E97)),COLUMNS('DBX Sprint'!$A$1:A12)),"")</f>
        <v/>
      </c>
      <c r="F97" s="43" t="str" cm="1">
        <f t="array" aca="1" ref="F97" ca="1">IFERROR(INDEX('DBX Sprint'!$A$7:$K$62, SMALL(IF((INDEX('DBX Sprint'!$A$7:$K$62, ,13)&lt;=(TODAY()+5))*(INDEX('DBX Sprint'!$A$7:$K$62, ,13)&gt;(TODAY()+1)),MATCH(ROW('DBX Sprint'!$A$7:$K$62),ROW('DBX Sprint'!$A$7:$K$62)),""),ROWS($F$34:F97)),COLUMNS('DBX Sprint'!$A$1:A12)),"")</f>
        <v/>
      </c>
      <c r="G97" s="43" t="str" cm="1">
        <f t="array" aca="1" ref="G97" ca="1">IFERROR(INDEX('DBX Sprint'!$A$7:$K$62, SMALL(IF((INDEX('DBX Sprint'!$A$7:$K$62, ,13)&lt;=(TODAY()+10))*(INDEX('DBX Sprint'!$A$7:$K$62, ,13)&gt;(TODAY()+5)),MATCH(ROW('DBX Sprint'!$A$7:$K$62),ROW('DBX Sprint'!$A$7:$K$62)),""),ROWS($G$34:G97)),COLUMNS('DBX Sprint'!$A$1:A12)),"")</f>
        <v/>
      </c>
      <c r="I97" s="41" t="str" cm="1">
        <f t="array" ref="I97">IFERROR(INDEX('DBX Sprint'!$A$7:$K$62, SMALL(IF((INDEX('DBX Sprint'!$A$7:$K$62, ,16)=("Complete"))*(INDEX('DBX Sprint'!$A$7:$K$62, ,16)="Complete"),MATCH(ROW('DBX Sprint'!$A$7:$K$62),ROW('DBX Sprint'!$A$7:$K$62)),""),ROWS($I$34:I97)),COLUMNS('DBX Sprint'!$A$1:A12)),"")</f>
        <v/>
      </c>
      <c r="J97" s="41" t="str" cm="1">
        <f t="array" aca="1" ref="J97" ca="1">IFERROR(INDEX('DBX Sprint'!$A$7:$K$62, SMALL(IF((INDEX('DBX Sprint'!$A$7:$K$62, ,16)&lt;(TODAY()))*(INDEX('DBX Sprint'!$A$7:$K$62, ,16)&lt;&gt;"Complete"),MATCH(ROW('DBX Sprint'!$A$7:$K$62),ROW('DBX Sprint'!$A$7:$K$62)),""),ROWS($J$34:J97)),COLUMNS('DBX Sprint'!$A$1:A12)),"")</f>
        <v/>
      </c>
      <c r="K97" s="37" t="str" cm="1">
        <f t="array" aca="1" ref="K97" ca="1">IFERROR(INDEX('DBX Sprint'!$A$7:$K$62, SMALL(IF((INDEX('DBX Sprint'!$A$7:$K$62, ,16)&lt;=(TODAY()+1))*(INDEX('DBX Sprint'!$A$7:$K$62, ,16)&gt;=TODAY()),MATCH(ROW('DBX Sprint'!$A$7:$K$62),ROW('DBX Sprint'!$A$7:$K$62)),""),ROWS($K$34:K97)),COLUMNS('DBX Sprint'!$A$1:A12)),"")</f>
        <v/>
      </c>
      <c r="L97" s="38" t="str" cm="1">
        <f t="array" aca="1" ref="L97" ca="1">IFERROR(INDEX('DBX Sprint'!$A$7:$K$62, SMALL(IF((INDEX('DBX Sprint'!$A$7:$K$62, ,16)&lt;=(TODAY()+5))*(INDEX('DBX Sprint'!$A$7:$K$62, ,16)&gt;(TODAY()+1)),MATCH(ROW('DBX Sprint'!$A$7:$K$62),ROW('DBX Sprint'!$A$7:$K$62)),""),ROWS($L$34:L97)),COLUMNS('DBX Sprint'!$A$1:A12)),"")</f>
        <v/>
      </c>
      <c r="M97" s="43" t="str" cm="1">
        <f t="array" aca="1" ref="M97" ca="1">IFERROR(INDEX('DBX Sprint'!$A$7:$K$62, SMALL(IF((INDEX('DBX Sprint'!$A$7:$K$62, ,16)&lt;=(TODAY()+10))*(INDEX('DBX Sprint'!$A$7:$K$62, ,16)&gt;(TODAY()+5)),MATCH(ROW('DBX Sprint'!$A$7:$K$62),ROW('DBX Sprint'!$A$7:$K$62)),""),ROWS($M$34:M97)),COLUMNS('DBX Sprint'!$A$1:A12)),"")</f>
        <v/>
      </c>
      <c r="P97" s="41" t="str" cm="1">
        <f t="array" aca="1" ref="P97" ca="1">IFERROR(INDEX('DBX Sprint'!$A$7:$K$62, SMALL(IF((INDEX('DBX Sprint'!$A$7:$K$62, ,19)&lt;(TODAY()))*(INDEX('DBX Sprint'!$A$7:$K$62, ,19)&lt;&gt;"Complete"),MATCH(ROW('DBX Sprint'!$A$7:$K$62),ROW('DBX Sprint'!$A$7:$K$62)),""),ROWS($P$34:P97)),COLUMNS('DBX Sprint'!$A$1:A12)),"")</f>
        <v/>
      </c>
      <c r="Q97" s="41" t="str" cm="1">
        <f t="array" aca="1" ref="Q97" ca="1">IFERROR(INDEX('DBX Sprint'!$A$7:$K$62, SMALL(IF((INDEX('DBX Sprint'!$A$7:$K$62, ,19)&lt;=(TODAY()+1))*(INDEX('DBX Sprint'!$A$7:$K$62, ,19)&gt;=TODAY()),MATCH(ROW('DBX Sprint'!$A$7:$K$62),ROW('DBX Sprint'!$A$7:$K$62)),""),ROWS($Q$34:Q97)),COLUMNS('DBX Sprint'!$A$1:A12)),"")</f>
        <v/>
      </c>
      <c r="R97" s="43" t="str" cm="1">
        <f t="array" aca="1" ref="R97" ca="1">IFERROR(INDEX('DBX Sprint'!$A$7:$K$62, SMALL(IF((INDEX('DBX Sprint'!$A$7:$K$62, ,19)&lt;=(TODAY()+5))*(INDEX('DBX Sprint'!$A$7:$K$62, ,19)&gt;(TODAY()+1)),MATCH(ROW('DBX Sprint'!$A$7:$K$62),ROW('DBX Sprint'!$A$7:$K$62)),""),ROWS($R$34:R97)),COLUMNS('DBX Sprint'!$A$1:A12)),"")</f>
        <v/>
      </c>
      <c r="S97" s="43" t="str" cm="1">
        <f t="array" aca="1" ref="S97" ca="1">IFERROR(INDEX('DBX Sprint'!$A$7:$K$62, SMALL(IF((INDEX('DBX Sprint'!$A$7:$K$62, ,19)&lt;=(TODAY()+10))*(INDEX('DBX Sprint'!$A$7:$K$62, ,19)&gt;(TODAY()+5)),MATCH(ROW('DBX Sprint'!$A$7:$K$62),ROW('DBX Sprint'!$A$7:$K$62)),""),ROWS($S$34:S97)),COLUMNS('DBX Sprint'!$A$1:A12)),"")</f>
        <v/>
      </c>
      <c r="U97" s="41" t="str" cm="1">
        <f t="array" ref="U97">IFERROR(INDEX('DBX Sprint'!$A$7:$K$62, SMALL(IF((INDEX('DBX Sprint'!$A$7:$K$62, ,22)=("Complete"))*(INDEX('DBX Sprint'!$A$7:$K$62, ,22)="Complete"),MATCH(ROW('DBX Sprint'!$A$7:$K$62),ROW('DBX Sprint'!$A$7:$K$62)),""),ROWS($U$34:U97)),COLUMNS('DBX Sprint'!$A$1:A12)),"")</f>
        <v/>
      </c>
      <c r="V97" s="41" t="str" cm="1">
        <f t="array" aca="1" ref="V97" ca="1">IFERROR(INDEX('DBX Sprint'!$A$7:$K$62, SMALL(IF((INDEX('DBX Sprint'!$A$7:$K$62, ,22)&lt;(TODAY()))*(INDEX('DBX Sprint'!$A$7:$K$62, ,22)&lt;&gt;"Complete"),MATCH(ROW('DBX Sprint'!$A$7:$K$62),ROW('DBX Sprint'!$A$7:$K$62)),""),ROWS($V$34:V97)),COLUMNS('DBX Sprint'!$A$1:A12)),"")</f>
        <v/>
      </c>
      <c r="W97" s="41" t="str" cm="1">
        <f t="array" aca="1" ref="W97" ca="1">IFERROR(INDEX('DBX Sprint'!$A$7:$K$62, SMALL(IF((INDEX('DBX Sprint'!$A$7:$K$62, ,22)&lt;=(TODAY()+1))*(INDEX('DBX Sprint'!$A$7:$K$62, ,22)&gt;=TODAY()),MATCH(ROW('DBX Sprint'!$A$7:$K$62),ROW('DBX Sprint'!$A$7:$K$62)),""),ROWS($W$34:W97)),COLUMNS('DBX Sprint'!$A$1:A12)),"")</f>
        <v/>
      </c>
      <c r="X97" s="43" t="str" cm="1">
        <f t="array" aca="1" ref="X97" ca="1">IFERROR(INDEX('DBX Sprint'!$A$7:$K$62, SMALL(IF((INDEX('DBX Sprint'!$A$7:$K$62, ,22)&lt;=(TODAY()+5))*(INDEX('DBX Sprint'!$A$7:$K$62, ,22)&gt;(TODAY()+1)),MATCH(ROW('DBX Sprint'!$A$7:$K$62),ROW('DBX Sprint'!$A$7:$K$62)),""),ROWS($X$34:X97)),COLUMNS('DBX Sprint'!$A$1:A12)),"")</f>
        <v/>
      </c>
      <c r="Y97" s="43" t="str" cm="1">
        <f t="array" aca="1" ref="Y97" ca="1">IFERROR(INDEX('DBX Sprint'!$A$7:$K$62, SMALL(IF((INDEX('DBX Sprint'!$A$7:$K$62, ,22)&lt;=(TODAY()+10))*(INDEX('DBX Sprint'!$A$7:$K$62, ,22)&gt;(TODAY()+5)),MATCH(ROW('DBX Sprint'!$A$7:$K$62),ROW('DBX Sprint'!$A$7:$K$62)),""),ROWS($Y$34:Y97)),COLUMNS('DBX Sprint'!$A$1:A12)),"")</f>
        <v/>
      </c>
      <c r="AA97" s="41" t="str" cm="1">
        <f t="array" ref="AA97">IFERROR(INDEX('DBX Sprint'!$A$7:$K$62, SMALL(IF((INDEX('DBX Sprint'!$A$7:$K$62, ,25)=("Complete"))*(INDEX('DBX Sprint'!$A$7:$K$62, ,25)="Complete"),MATCH(ROW('DBX Sprint'!$A$7:$K$62),ROW('DBX Sprint'!$A$7:$K$62)),""),ROWS($AA$34:AA97)),COLUMNS('DBX Sprint'!$A$1:A12)),"")</f>
        <v/>
      </c>
      <c r="AB97" s="41" t="str" cm="1">
        <f t="array" aca="1" ref="AB97" ca="1">IFERROR(INDEX('DBX Sprint'!$A$7:$K$62, SMALL(IF((INDEX('DBX Sprint'!$A$7:$K$62, ,25)&lt;(TODAY()))*(INDEX('DBX Sprint'!$A$7:$K$62, ,25)&lt;&gt;"Complete"),MATCH(ROW('DBX Sprint'!$A$7:$K$62),ROW('DBX Sprint'!$A$7:$K$62)),""),ROWS($AB$34:AB97)),COLUMNS('DBX Sprint'!$A$1:A12)),"")</f>
        <v/>
      </c>
      <c r="AC97" s="41" t="str" cm="1">
        <f t="array" aca="1" ref="AC97" ca="1">IFERROR(INDEX('DBX Sprint'!$A$7:$K$62, SMALL(IF((INDEX('DBX Sprint'!$A$7:$K$62, ,25)&lt;=(TODAY()+1))*(INDEX('DBX Sprint'!$A$7:$K$62, ,25)&gt;=TODAY()),MATCH(ROW('DBX Sprint'!$A$7:$K$62),ROW('DBX Sprint'!$A$7:$K$62)),""),ROWS($AC$34:AC97)),COLUMNS('DBX Sprint'!$A$1:A12)),"")</f>
        <v/>
      </c>
      <c r="AD97" s="43" t="str" cm="1">
        <f t="array" aca="1" ref="AD97" ca="1">IFERROR(INDEX('DBX Sprint'!$A$7:$K$62, SMALL(IF((INDEX('DBX Sprint'!$A$7:$K$62, ,25)&lt;=(TODAY()+5))*(INDEX('DBX Sprint'!$A$7:$K$62, ,25)&gt;(TODAY()+1)),MATCH(ROW('DBX Sprint'!$A$7:$K$62),ROW('DBX Sprint'!$A$7:$K$62)),""),ROWS($AD$34:AD97)),COLUMNS('DBX Sprint'!$A$1:A12)),"")</f>
        <v/>
      </c>
      <c r="AE97" s="43" t="str" cm="1">
        <f t="array" aca="1" ref="AE97" ca="1">IFERROR(INDEX('DBX Sprint'!$A$7:$K$62, SMALL(IF((INDEX('DBX Sprint'!$A$7:$K$62, ,25)&lt;=(TODAY()+10))*(INDEX('DBX Sprint'!$A$7:$K$62, ,25)&gt;(TODAY()+5)),MATCH(ROW('DBX Sprint'!$A$7:$K$62),ROW('DBX Sprint'!$A$7:$K$62)),""),ROWS($AE$34:AE97)),COLUMNS('DBX Sprint'!$A$1:A12)),"")</f>
        <v/>
      </c>
      <c r="AG97" s="41" t="str" cm="1">
        <f t="array" ref="AG97">IFERROR(INDEX('DBX Sprint'!$A$7:$K$62, SMALL(IF((INDEX('DBX Sprint'!$A$7:$K$62, ,29)=("Complete"))*(INDEX('DBX Sprint'!$A$7:$K$62, ,29)="Complete"),MATCH(ROW('DBX Sprint'!$A$7:$K$62),ROW('DBX Sprint'!$A$7:$K$62)),""),ROWS($AG$34:AG97)),COLUMNS('DBX Sprint'!$A$1:A12)),"")</f>
        <v/>
      </c>
      <c r="AH97" s="41" t="str" cm="1">
        <f t="array" aca="1" ref="AH97" ca="1">IFERROR(INDEX('DBX Sprint'!$A$7:$K$62, SMALL(IF((INDEX('DBX Sprint'!$A$7:$K$62, ,29)&lt;(TODAY()))*(INDEX('DBX Sprint'!$A$7:$K$62, ,29)&lt;&gt;"Complete"),MATCH(ROW('DBX Sprint'!$A$7:$K$62),ROW('DBX Sprint'!$A$7:$K$62)),""),ROWS($AH$34:AH97)),COLUMNS('DBX Sprint'!$A$1:A12)),"")</f>
        <v/>
      </c>
      <c r="AI97" s="41" t="str" cm="1">
        <f t="array" aca="1" ref="AI97" ca="1">IFERROR(INDEX('DBX Sprint'!$A$7:$K$62, SMALL(IF((INDEX('DBX Sprint'!$A$7:$K$62, ,29)&lt;=(TODAY()+1))*(INDEX('DBX Sprint'!$A$7:$K$62, ,29)&gt;=TODAY()),MATCH(ROW('DBX Sprint'!$A$7:$K$62),ROW('DBX Sprint'!$A$7:$K$62)),""),ROWS($AI$34:AI97)),COLUMNS('DBX Sprint'!$A$1:A12)),"")</f>
        <v/>
      </c>
      <c r="AJ97" s="43" t="str" cm="1">
        <f t="array" aca="1" ref="AJ97" ca="1">IFERROR(INDEX('DBX Sprint'!$A$7:$K$62, SMALL(IF((INDEX('DBX Sprint'!$A$7:$K$62, ,29)&lt;=(TODAY()+5))*(INDEX('DBX Sprint'!$A$7:$K$62, ,29)&gt;(TODAY()+1)),MATCH(ROW('DBX Sprint'!$A$7:$K$62),ROW('DBX Sprint'!$A$7:$K$62)),""),ROWS($AJ$34:AJ97)),COLUMNS('DBX Sprint'!$A$1:A12)),"")</f>
        <v/>
      </c>
      <c r="AK97" s="43" t="str" cm="1">
        <f t="array" aca="1" ref="AK97" ca="1">IFERROR(INDEX('DBX Sprint'!$A$7:$K$62, SMALL(IF((INDEX('DBX Sprint'!$A$7:$K$62, ,29)&lt;=(TODAY()+10))*(INDEX('DBX Sprint'!$A$7:$K$62, ,29)&gt;(TODAY()+5)),MATCH(ROW('DBX Sprint'!$A$7:$K$62),ROW('DBX Sprint'!$A$7:$K$62)),""),ROWS($AK$34:AK97)),COLUMNS('DBX Sprint'!$A$1:A12)),"")</f>
        <v/>
      </c>
      <c r="AM97" s="41" t="str" cm="1">
        <f t="array" ref="AM97">IFERROR(INDEX('DBX Sprint'!$A$7:$K$62, SMALL(IF((INDEX('DBX Sprint'!$A$7:$K$62, ,32)=("Complete"))*(INDEX('DBX Sprint'!$A$7:$K$62, ,32)="Complete"),MATCH(ROW('DBX Sprint'!$A$7:$K$62),ROW('DBX Sprint'!$A$7:$K$62)),""),ROWS($AM$34:AM97)),COLUMNS('DBX Sprint'!$A$1:A12)),"")</f>
        <v/>
      </c>
      <c r="AN97" s="41" t="str" cm="1">
        <f t="array" aca="1" ref="AN97" ca="1">IFERROR(INDEX('DBX Sprint'!$A$7:$K$62, SMALL(IF((INDEX('DBX Sprint'!$A$7:$K$62, ,32)&lt;(TODAY()))*(INDEX('DBX Sprint'!$A$7:$K$62, ,32)&lt;&gt;"Complete"),MATCH(ROW('DBX Sprint'!$A$7:$K$62),ROW('DBX Sprint'!$A$7:$K$62)),""),ROWS($AN$34:AN97)),COLUMNS('DBX Sprint'!$A$1:A12)),"")</f>
        <v/>
      </c>
      <c r="AO97" s="41" t="str" cm="1">
        <f t="array" aca="1" ref="AO97" ca="1">IFERROR(INDEX('DBX Sprint'!$A$7:$K$62, SMALL(IF((INDEX('DBX Sprint'!$A$7:$K$62, ,32)&lt;=(TODAY()+1))*(INDEX('DBX Sprint'!$A$7:$K$62, ,32)&gt;=TODAY()),MATCH(ROW('DBX Sprint'!$A$7:$K$62),ROW('DBX Sprint'!$A$7:$K$62)),""),ROWS($AO$34:AO97)),COLUMNS('DBX Sprint'!$A$1:A12)),"")</f>
        <v/>
      </c>
      <c r="AP97" s="43" t="str" cm="1">
        <f t="array" aca="1" ref="AP97" ca="1">IFERROR(INDEX('DBX Sprint'!$A$7:$K$62, SMALL(IF((INDEX('DBX Sprint'!$A$7:$K$62, ,32)&lt;=(TODAY()+5))*(INDEX('DBX Sprint'!$A$7:$K$62, ,32)&gt;(TODAY()+1)),MATCH(ROW('DBX Sprint'!$A$7:$K$62),ROW('DBX Sprint'!$A$7:$K$62)),""),ROWS($AP$34:AP97)),COLUMNS('DBX Sprint'!$A$1:A12)),"")</f>
        <v/>
      </c>
      <c r="AQ97" s="43" t="str" cm="1">
        <f t="array" aca="1" ref="AQ97" ca="1">IFERROR(INDEX('DBX Sprint'!$A$7:$K$62, SMALL(IF((INDEX('DBX Sprint'!$A$7:$K$62, ,32)&lt;=(TODAY()+10))*(INDEX('DBX Sprint'!$A$7:$K$62, ,32)&gt;(TODAY()+5)),MATCH(ROW('DBX Sprint'!$A$7:$K$62),ROW('DBX Sprint'!$A$7:$K$62)),""),ROWS($AQ$34:AQ97)),COLUMNS('DBX Sprint'!$A$1:A12)),"")</f>
        <v/>
      </c>
    </row>
    <row r="98" spans="3:43" ht="30" customHeight="1">
      <c r="C98" s="41" t="str" cm="1">
        <f t="array" ref="C98">IFERROR(INDEX('DBX Sprint'!$A$7:$K$62, SMALL(IF((INDEX('DBX Sprint'!$A$7:$K$62, ,13)=("Complete"))*(INDEX('DBX Sprint'!$A$7:$K$62, ,13)="Complete"),MATCH(ROW('DBX Sprint'!$A$7:$K$62),ROW('DBX Sprint'!$A$7:$K$62)),""),ROWS(C$34:$C98)),COLUMNS('DBX Sprint'!$A$1:A12)),"")</f>
        <v/>
      </c>
      <c r="D98" s="41" t="str" cm="1">
        <f t="array" aca="1" ref="D98" ca="1">IFERROR(INDEX('DBX Sprint'!$A$7:$K$62, SMALL(IF((INDEX('DBX Sprint'!$A$7:$K$62, ,13)&lt;(TODAY()))*(INDEX('DBX Sprint'!$A$7:$K$62, ,13)&lt;&gt;"Complete"),MATCH(ROW('DBX Sprint'!$A$7:$K$62),ROW('DBX Sprint'!$A$7:$K$62)),""),ROWS(D$34:$D98)),COLUMNS('DBX Sprint'!$A$1:A12)),"")</f>
        <v/>
      </c>
      <c r="E98" s="41" t="str" cm="1">
        <f t="array" aca="1" ref="E98" ca="1">IFERROR(INDEX('DBX Sprint'!$A$7:$K$62, SMALL(IF((INDEX('DBX Sprint'!$A$7:$K$62, ,13)&lt;=(TODAY()+1))*(INDEX('DBX Sprint'!$A$7:$K$62, ,13)&gt;=TODAY()),MATCH(ROW('DBX Sprint'!$A$7:$K$62),ROW('DBX Sprint'!$A$7:$K$62)),""),ROWS(E$34:$E98)),COLUMNS('DBX Sprint'!$A$1:A12)),"")</f>
        <v/>
      </c>
      <c r="F98" s="43" t="str" cm="1">
        <f t="array" aca="1" ref="F98" ca="1">IFERROR(INDEX('DBX Sprint'!$A$7:$K$62, SMALL(IF((INDEX('DBX Sprint'!$A$7:$K$62, ,13)&lt;=(TODAY()+5))*(INDEX('DBX Sprint'!$A$7:$K$62, ,13)&gt;(TODAY()+1)),MATCH(ROW('DBX Sprint'!$A$7:$K$62),ROW('DBX Sprint'!$A$7:$K$62)),""),ROWS($F$34:F98)),COLUMNS('DBX Sprint'!$A$1:A12)),"")</f>
        <v/>
      </c>
      <c r="G98" s="43" t="str" cm="1">
        <f t="array" aca="1" ref="G98" ca="1">IFERROR(INDEX('DBX Sprint'!$A$7:$K$62, SMALL(IF((INDEX('DBX Sprint'!$A$7:$K$62, ,13)&lt;=(TODAY()+10))*(INDEX('DBX Sprint'!$A$7:$K$62, ,13)&gt;(TODAY()+5)),MATCH(ROW('DBX Sprint'!$A$7:$K$62),ROW('DBX Sprint'!$A$7:$K$62)),""),ROWS($G$34:G98)),COLUMNS('DBX Sprint'!$A$1:A12)),"")</f>
        <v/>
      </c>
      <c r="I98" s="41" t="str" cm="1">
        <f t="array" ref="I98">IFERROR(INDEX('DBX Sprint'!$A$7:$K$62, SMALL(IF((INDEX('DBX Sprint'!$A$7:$K$62, ,16)=("Complete"))*(INDEX('DBX Sprint'!$A$7:$K$62, ,16)="Complete"),MATCH(ROW('DBX Sprint'!$A$7:$K$62),ROW('DBX Sprint'!$A$7:$K$62)),""),ROWS($I$34:I98)),COLUMNS('DBX Sprint'!$A$1:A12)),"")</f>
        <v/>
      </c>
      <c r="J98" s="41" t="str" cm="1">
        <f t="array" aca="1" ref="J98" ca="1">IFERROR(INDEX('DBX Sprint'!$A$7:$K$62, SMALL(IF((INDEX('DBX Sprint'!$A$7:$K$62, ,16)&lt;(TODAY()))*(INDEX('DBX Sprint'!$A$7:$K$62, ,16)&lt;&gt;"Complete"),MATCH(ROW('DBX Sprint'!$A$7:$K$62),ROW('DBX Sprint'!$A$7:$K$62)),""),ROWS($J$34:J98)),COLUMNS('DBX Sprint'!$A$1:A12)),"")</f>
        <v/>
      </c>
      <c r="K98" s="37" t="str" cm="1">
        <f t="array" aca="1" ref="K98" ca="1">IFERROR(INDEX('DBX Sprint'!$A$7:$K$62, SMALL(IF((INDEX('DBX Sprint'!$A$7:$K$62, ,16)&lt;=(TODAY()+1))*(INDEX('DBX Sprint'!$A$7:$K$62, ,16)&gt;=TODAY()),MATCH(ROW('DBX Sprint'!$A$7:$K$62),ROW('DBX Sprint'!$A$7:$K$62)),""),ROWS($K$34:K98)),COLUMNS('DBX Sprint'!$A$1:A12)),"")</f>
        <v/>
      </c>
      <c r="L98" s="38" t="str" cm="1">
        <f t="array" aca="1" ref="L98" ca="1">IFERROR(INDEX('DBX Sprint'!$A$7:$K$62, SMALL(IF((INDEX('DBX Sprint'!$A$7:$K$62, ,16)&lt;=(TODAY()+5))*(INDEX('DBX Sprint'!$A$7:$K$62, ,16)&gt;(TODAY()+1)),MATCH(ROW('DBX Sprint'!$A$7:$K$62),ROW('DBX Sprint'!$A$7:$K$62)),""),ROWS($L$34:L98)),COLUMNS('DBX Sprint'!$A$1:A12)),"")</f>
        <v/>
      </c>
      <c r="M98" s="43" t="str" cm="1">
        <f t="array" aca="1" ref="M98" ca="1">IFERROR(INDEX('DBX Sprint'!$A$7:$K$62, SMALL(IF((INDEX('DBX Sprint'!$A$7:$K$62, ,16)&lt;=(TODAY()+10))*(INDEX('DBX Sprint'!$A$7:$K$62, ,16)&gt;(TODAY()+5)),MATCH(ROW('DBX Sprint'!$A$7:$K$62),ROW('DBX Sprint'!$A$7:$K$62)),""),ROWS($M$34:M98)),COLUMNS('DBX Sprint'!$A$1:A12)),"")</f>
        <v/>
      </c>
      <c r="P98" s="41" t="str" cm="1">
        <f t="array" aca="1" ref="P98" ca="1">IFERROR(INDEX('DBX Sprint'!$A$7:$K$62, SMALL(IF((INDEX('DBX Sprint'!$A$7:$K$62, ,19)&lt;(TODAY()))*(INDEX('DBX Sprint'!$A$7:$K$62, ,19)&lt;&gt;"Complete"),MATCH(ROW('DBX Sprint'!$A$7:$K$62),ROW('DBX Sprint'!$A$7:$K$62)),""),ROWS($P$34:P98)),COLUMNS('DBX Sprint'!$A$1:A12)),"")</f>
        <v/>
      </c>
      <c r="Q98" s="41" t="str" cm="1">
        <f t="array" aca="1" ref="Q98" ca="1">IFERROR(INDEX('DBX Sprint'!$A$7:$K$62, SMALL(IF((INDEX('DBX Sprint'!$A$7:$K$62, ,19)&lt;=(TODAY()+1))*(INDEX('DBX Sprint'!$A$7:$K$62, ,19)&gt;=TODAY()),MATCH(ROW('DBX Sprint'!$A$7:$K$62),ROW('DBX Sprint'!$A$7:$K$62)),""),ROWS($Q$34:Q98)),COLUMNS('DBX Sprint'!$A$1:A12)),"")</f>
        <v/>
      </c>
      <c r="R98" s="43" t="str" cm="1">
        <f t="array" aca="1" ref="R98" ca="1">IFERROR(INDEX('DBX Sprint'!$A$7:$K$62, SMALL(IF((INDEX('DBX Sprint'!$A$7:$K$62, ,19)&lt;=(TODAY()+5))*(INDEX('DBX Sprint'!$A$7:$K$62, ,19)&gt;(TODAY()+1)),MATCH(ROW('DBX Sprint'!$A$7:$K$62),ROW('DBX Sprint'!$A$7:$K$62)),""),ROWS($R$34:R98)),COLUMNS('DBX Sprint'!$A$1:A12)),"")</f>
        <v/>
      </c>
      <c r="S98" s="43" t="str" cm="1">
        <f t="array" aca="1" ref="S98" ca="1">IFERROR(INDEX('DBX Sprint'!$A$7:$K$62, SMALL(IF((INDEX('DBX Sprint'!$A$7:$K$62, ,19)&lt;=(TODAY()+10))*(INDEX('DBX Sprint'!$A$7:$K$62, ,19)&gt;(TODAY()+5)),MATCH(ROW('DBX Sprint'!$A$7:$K$62),ROW('DBX Sprint'!$A$7:$K$62)),""),ROWS($S$34:S98)),COLUMNS('DBX Sprint'!$A$1:A12)),"")</f>
        <v/>
      </c>
      <c r="U98" s="41" t="str" cm="1">
        <f t="array" ref="U98">IFERROR(INDEX('DBX Sprint'!$A$7:$K$62, SMALL(IF((INDEX('DBX Sprint'!$A$7:$K$62, ,22)=("Complete"))*(INDEX('DBX Sprint'!$A$7:$K$62, ,22)="Complete"),MATCH(ROW('DBX Sprint'!$A$7:$K$62),ROW('DBX Sprint'!$A$7:$K$62)),""),ROWS($U$34:U98)),COLUMNS('DBX Sprint'!$A$1:A12)),"")</f>
        <v/>
      </c>
      <c r="V98" s="41" t="str" cm="1">
        <f t="array" aca="1" ref="V98" ca="1">IFERROR(INDEX('DBX Sprint'!$A$7:$K$62, SMALL(IF((INDEX('DBX Sprint'!$A$7:$K$62, ,22)&lt;(TODAY()))*(INDEX('DBX Sprint'!$A$7:$K$62, ,22)&lt;&gt;"Complete"),MATCH(ROW('DBX Sprint'!$A$7:$K$62),ROW('DBX Sprint'!$A$7:$K$62)),""),ROWS($V$34:V98)),COLUMNS('DBX Sprint'!$A$1:A12)),"")</f>
        <v/>
      </c>
      <c r="W98" s="41" t="str" cm="1">
        <f t="array" aca="1" ref="W98" ca="1">IFERROR(INDEX('DBX Sprint'!$A$7:$K$62, SMALL(IF((INDEX('DBX Sprint'!$A$7:$K$62, ,22)&lt;=(TODAY()+1))*(INDEX('DBX Sprint'!$A$7:$K$62, ,22)&gt;=TODAY()),MATCH(ROW('DBX Sprint'!$A$7:$K$62),ROW('DBX Sprint'!$A$7:$K$62)),""),ROWS($W$34:W98)),COLUMNS('DBX Sprint'!$A$1:A12)),"")</f>
        <v/>
      </c>
      <c r="X98" s="43" t="str" cm="1">
        <f t="array" aca="1" ref="X98" ca="1">IFERROR(INDEX('DBX Sprint'!$A$7:$K$62, SMALL(IF((INDEX('DBX Sprint'!$A$7:$K$62, ,22)&lt;=(TODAY()+5))*(INDEX('DBX Sprint'!$A$7:$K$62, ,22)&gt;(TODAY()+1)),MATCH(ROW('DBX Sprint'!$A$7:$K$62),ROW('DBX Sprint'!$A$7:$K$62)),""),ROWS($X$34:X98)),COLUMNS('DBX Sprint'!$A$1:A12)),"")</f>
        <v/>
      </c>
      <c r="Y98" s="43" t="str" cm="1">
        <f t="array" aca="1" ref="Y98" ca="1">IFERROR(INDEX('DBX Sprint'!$A$7:$K$62, SMALL(IF((INDEX('DBX Sprint'!$A$7:$K$62, ,22)&lt;=(TODAY()+10))*(INDEX('DBX Sprint'!$A$7:$K$62, ,22)&gt;(TODAY()+5)),MATCH(ROW('DBX Sprint'!$A$7:$K$62),ROW('DBX Sprint'!$A$7:$K$62)),""),ROWS($Y$34:Y98)),COLUMNS('DBX Sprint'!$A$1:A12)),"")</f>
        <v/>
      </c>
      <c r="AA98" s="41" t="str" cm="1">
        <f t="array" ref="AA98">IFERROR(INDEX('DBX Sprint'!$A$7:$K$62, SMALL(IF((INDEX('DBX Sprint'!$A$7:$K$62, ,25)=("Complete"))*(INDEX('DBX Sprint'!$A$7:$K$62, ,25)="Complete"),MATCH(ROW('DBX Sprint'!$A$7:$K$62),ROW('DBX Sprint'!$A$7:$K$62)),""),ROWS($AA$34:AA98)),COLUMNS('DBX Sprint'!$A$1:A12)),"")</f>
        <v/>
      </c>
      <c r="AB98" s="41" t="str" cm="1">
        <f t="array" aca="1" ref="AB98" ca="1">IFERROR(INDEX('DBX Sprint'!$A$7:$K$62, SMALL(IF((INDEX('DBX Sprint'!$A$7:$K$62, ,25)&lt;(TODAY()))*(INDEX('DBX Sprint'!$A$7:$K$62, ,25)&lt;&gt;"Complete"),MATCH(ROW('DBX Sprint'!$A$7:$K$62),ROW('DBX Sprint'!$A$7:$K$62)),""),ROWS($AB$34:AB98)),COLUMNS('DBX Sprint'!$A$1:A12)),"")</f>
        <v/>
      </c>
      <c r="AC98" s="41" t="str" cm="1">
        <f t="array" aca="1" ref="AC98" ca="1">IFERROR(INDEX('DBX Sprint'!$A$7:$K$62, SMALL(IF((INDEX('DBX Sprint'!$A$7:$K$62, ,25)&lt;=(TODAY()+1))*(INDEX('DBX Sprint'!$A$7:$K$62, ,25)&gt;=TODAY()),MATCH(ROW('DBX Sprint'!$A$7:$K$62),ROW('DBX Sprint'!$A$7:$K$62)),""),ROWS($AC$34:AC98)),COLUMNS('DBX Sprint'!$A$1:A12)),"")</f>
        <v/>
      </c>
      <c r="AD98" s="43" t="str" cm="1">
        <f t="array" aca="1" ref="AD98" ca="1">IFERROR(INDEX('DBX Sprint'!$A$7:$K$62, SMALL(IF((INDEX('DBX Sprint'!$A$7:$K$62, ,25)&lt;=(TODAY()+5))*(INDEX('DBX Sprint'!$A$7:$K$62, ,25)&gt;(TODAY()+1)),MATCH(ROW('DBX Sprint'!$A$7:$K$62),ROW('DBX Sprint'!$A$7:$K$62)),""),ROWS($AD$34:AD98)),COLUMNS('DBX Sprint'!$A$1:A12)),"")</f>
        <v/>
      </c>
      <c r="AE98" s="43" t="str" cm="1">
        <f t="array" aca="1" ref="AE98" ca="1">IFERROR(INDEX('DBX Sprint'!$A$7:$K$62, SMALL(IF((INDEX('DBX Sprint'!$A$7:$K$62, ,25)&lt;=(TODAY()+10))*(INDEX('DBX Sprint'!$A$7:$K$62, ,25)&gt;(TODAY()+5)),MATCH(ROW('DBX Sprint'!$A$7:$K$62),ROW('DBX Sprint'!$A$7:$K$62)),""),ROWS($AE$34:AE98)),COLUMNS('DBX Sprint'!$A$1:A12)),"")</f>
        <v/>
      </c>
      <c r="AG98" s="41" t="str" cm="1">
        <f t="array" ref="AG98">IFERROR(INDEX('DBX Sprint'!$A$7:$K$62, SMALL(IF((INDEX('DBX Sprint'!$A$7:$K$62, ,29)=("Complete"))*(INDEX('DBX Sprint'!$A$7:$K$62, ,29)="Complete"),MATCH(ROW('DBX Sprint'!$A$7:$K$62),ROW('DBX Sprint'!$A$7:$K$62)),""),ROWS($AG$34:AG98)),COLUMNS('DBX Sprint'!$A$1:A12)),"")</f>
        <v/>
      </c>
      <c r="AH98" s="41" t="str" cm="1">
        <f t="array" aca="1" ref="AH98" ca="1">IFERROR(INDEX('DBX Sprint'!$A$7:$K$62, SMALL(IF((INDEX('DBX Sprint'!$A$7:$K$62, ,29)&lt;(TODAY()))*(INDEX('DBX Sprint'!$A$7:$K$62, ,29)&lt;&gt;"Complete"),MATCH(ROW('DBX Sprint'!$A$7:$K$62),ROW('DBX Sprint'!$A$7:$K$62)),""),ROWS($AH$34:AH98)),COLUMNS('DBX Sprint'!$A$1:A12)),"")</f>
        <v/>
      </c>
      <c r="AI98" s="41" t="str" cm="1">
        <f t="array" aca="1" ref="AI98" ca="1">IFERROR(INDEX('DBX Sprint'!$A$7:$K$62, SMALL(IF((INDEX('DBX Sprint'!$A$7:$K$62, ,29)&lt;=(TODAY()+1))*(INDEX('DBX Sprint'!$A$7:$K$62, ,29)&gt;=TODAY()),MATCH(ROW('DBX Sprint'!$A$7:$K$62),ROW('DBX Sprint'!$A$7:$K$62)),""),ROWS($AI$34:AI98)),COLUMNS('DBX Sprint'!$A$1:A12)),"")</f>
        <v/>
      </c>
      <c r="AJ98" s="43" t="str" cm="1">
        <f t="array" aca="1" ref="AJ98" ca="1">IFERROR(INDEX('DBX Sprint'!$A$7:$K$62, SMALL(IF((INDEX('DBX Sprint'!$A$7:$K$62, ,29)&lt;=(TODAY()+5))*(INDEX('DBX Sprint'!$A$7:$K$62, ,29)&gt;(TODAY()+1)),MATCH(ROW('DBX Sprint'!$A$7:$K$62),ROW('DBX Sprint'!$A$7:$K$62)),""),ROWS($AJ$34:AJ98)),COLUMNS('DBX Sprint'!$A$1:A12)),"")</f>
        <v/>
      </c>
      <c r="AK98" s="43" t="str" cm="1">
        <f t="array" aca="1" ref="AK98" ca="1">IFERROR(INDEX('DBX Sprint'!$A$7:$K$62, SMALL(IF((INDEX('DBX Sprint'!$A$7:$K$62, ,29)&lt;=(TODAY()+10))*(INDEX('DBX Sprint'!$A$7:$K$62, ,29)&gt;(TODAY()+5)),MATCH(ROW('DBX Sprint'!$A$7:$K$62),ROW('DBX Sprint'!$A$7:$K$62)),""),ROWS($AK$34:AK98)),COLUMNS('DBX Sprint'!$A$1:A12)),"")</f>
        <v/>
      </c>
      <c r="AM98" s="41" t="str" cm="1">
        <f t="array" ref="AM98">IFERROR(INDEX('DBX Sprint'!$A$7:$K$62, SMALL(IF((INDEX('DBX Sprint'!$A$7:$K$62, ,32)=("Complete"))*(INDEX('DBX Sprint'!$A$7:$K$62, ,32)="Complete"),MATCH(ROW('DBX Sprint'!$A$7:$K$62),ROW('DBX Sprint'!$A$7:$K$62)),""),ROWS($AM$34:AM98)),COLUMNS('DBX Sprint'!$A$1:A12)),"")</f>
        <v/>
      </c>
      <c r="AN98" s="41" t="str" cm="1">
        <f t="array" aca="1" ref="AN98" ca="1">IFERROR(INDEX('DBX Sprint'!$A$7:$K$62, SMALL(IF((INDEX('DBX Sprint'!$A$7:$K$62, ,32)&lt;(TODAY()))*(INDEX('DBX Sprint'!$A$7:$K$62, ,32)&lt;&gt;"Complete"),MATCH(ROW('DBX Sprint'!$A$7:$K$62),ROW('DBX Sprint'!$A$7:$K$62)),""),ROWS($AN$34:AN98)),COLUMNS('DBX Sprint'!$A$1:A12)),"")</f>
        <v/>
      </c>
      <c r="AO98" s="41" t="str" cm="1">
        <f t="array" aca="1" ref="AO98" ca="1">IFERROR(INDEX('DBX Sprint'!$A$7:$K$62, SMALL(IF((INDEX('DBX Sprint'!$A$7:$K$62, ,32)&lt;=(TODAY()+1))*(INDEX('DBX Sprint'!$A$7:$K$62, ,32)&gt;=TODAY()),MATCH(ROW('DBX Sprint'!$A$7:$K$62),ROW('DBX Sprint'!$A$7:$K$62)),""),ROWS($AO$34:AO98)),COLUMNS('DBX Sprint'!$A$1:A12)),"")</f>
        <v/>
      </c>
      <c r="AP98" s="43" t="str" cm="1">
        <f t="array" aca="1" ref="AP98" ca="1">IFERROR(INDEX('DBX Sprint'!$A$7:$K$62, SMALL(IF((INDEX('DBX Sprint'!$A$7:$K$62, ,32)&lt;=(TODAY()+5))*(INDEX('DBX Sprint'!$A$7:$K$62, ,32)&gt;(TODAY()+1)),MATCH(ROW('DBX Sprint'!$A$7:$K$62),ROW('DBX Sprint'!$A$7:$K$62)),""),ROWS($AP$34:AP98)),COLUMNS('DBX Sprint'!$A$1:A12)),"")</f>
        <v/>
      </c>
      <c r="AQ98" s="43" t="str" cm="1">
        <f t="array" aca="1" ref="AQ98" ca="1">IFERROR(INDEX('DBX Sprint'!$A$7:$K$62, SMALL(IF((INDEX('DBX Sprint'!$A$7:$K$62, ,32)&lt;=(TODAY()+10))*(INDEX('DBX Sprint'!$A$7:$K$62, ,32)&gt;(TODAY()+5)),MATCH(ROW('DBX Sprint'!$A$7:$K$62),ROW('DBX Sprint'!$A$7:$K$62)),""),ROWS($AQ$34:AQ98)),COLUMNS('DBX Sprint'!$A$1:A12)),"")</f>
        <v/>
      </c>
    </row>
    <row r="99" spans="3:43" ht="30" customHeight="1">
      <c r="C99" s="41" t="str" cm="1">
        <f t="array" ref="C99">IFERROR(INDEX('DBX Sprint'!$A$7:$K$62, SMALL(IF((INDEX('DBX Sprint'!$A$7:$K$62, ,13)=("Complete"))*(INDEX('DBX Sprint'!$A$7:$K$62, ,13)="Complete"),MATCH(ROW('DBX Sprint'!$A$7:$K$62),ROW('DBX Sprint'!$A$7:$K$62)),""),ROWS(C$34:$C99)),COLUMNS('DBX Sprint'!$A$1:A12)),"")</f>
        <v/>
      </c>
      <c r="D99" s="41" t="str" cm="1">
        <f t="array" aca="1" ref="D99" ca="1">IFERROR(INDEX('DBX Sprint'!$A$7:$K$62, SMALL(IF((INDEX('DBX Sprint'!$A$7:$K$62, ,13)&lt;(TODAY()))*(INDEX('DBX Sprint'!$A$7:$K$62, ,13)&lt;&gt;"Complete"),MATCH(ROW('DBX Sprint'!$A$7:$K$62),ROW('DBX Sprint'!$A$7:$K$62)),""),ROWS(D$34:$D99)),COLUMNS('DBX Sprint'!$A$1:A12)),"")</f>
        <v/>
      </c>
      <c r="E99" s="41" t="str" cm="1">
        <f t="array" aca="1" ref="E99" ca="1">IFERROR(INDEX('DBX Sprint'!$A$7:$K$62, SMALL(IF((INDEX('DBX Sprint'!$A$7:$K$62, ,13)&lt;=(TODAY()+1))*(INDEX('DBX Sprint'!$A$7:$K$62, ,13)&gt;=TODAY()),MATCH(ROW('DBX Sprint'!$A$7:$K$62),ROW('DBX Sprint'!$A$7:$K$62)),""),ROWS(E$34:$E99)),COLUMNS('DBX Sprint'!$A$1:A12)),"")</f>
        <v/>
      </c>
      <c r="F99" s="43" t="str" cm="1">
        <f t="array" aca="1" ref="F99" ca="1">IFERROR(INDEX('DBX Sprint'!$A$7:$K$62, SMALL(IF((INDEX('DBX Sprint'!$A$7:$K$62, ,13)&lt;=(TODAY()+5))*(INDEX('DBX Sprint'!$A$7:$K$62, ,13)&gt;(TODAY()+1)),MATCH(ROW('DBX Sprint'!$A$7:$K$62),ROW('DBX Sprint'!$A$7:$K$62)),""),ROWS($F$34:F99)),COLUMNS('DBX Sprint'!$A$1:A12)),"")</f>
        <v/>
      </c>
      <c r="G99" s="43" t="str" cm="1">
        <f t="array" aca="1" ref="G99" ca="1">IFERROR(INDEX('DBX Sprint'!$A$7:$K$62, SMALL(IF((INDEX('DBX Sprint'!$A$7:$K$62, ,13)&lt;=(TODAY()+10))*(INDEX('DBX Sprint'!$A$7:$K$62, ,13)&gt;(TODAY()+5)),MATCH(ROW('DBX Sprint'!$A$7:$K$62),ROW('DBX Sprint'!$A$7:$K$62)),""),ROWS($G$34:G99)),COLUMNS('DBX Sprint'!$A$1:A12)),"")</f>
        <v/>
      </c>
      <c r="I99" s="41" t="str" cm="1">
        <f t="array" ref="I99">IFERROR(INDEX('DBX Sprint'!$A$7:$K$62, SMALL(IF((INDEX('DBX Sprint'!$A$7:$K$62, ,16)=("Complete"))*(INDEX('DBX Sprint'!$A$7:$K$62, ,16)="Complete"),MATCH(ROW('DBX Sprint'!$A$7:$K$62),ROW('DBX Sprint'!$A$7:$K$62)),""),ROWS($I$34:I99)),COLUMNS('DBX Sprint'!$A$1:A12)),"")</f>
        <v/>
      </c>
      <c r="J99" s="41" t="str" cm="1">
        <f t="array" aca="1" ref="J99" ca="1">IFERROR(INDEX('DBX Sprint'!$A$7:$K$62, SMALL(IF((INDEX('DBX Sprint'!$A$7:$K$62, ,16)&lt;(TODAY()))*(INDEX('DBX Sprint'!$A$7:$K$62, ,16)&lt;&gt;"Complete"),MATCH(ROW('DBX Sprint'!$A$7:$K$62),ROW('DBX Sprint'!$A$7:$K$62)),""),ROWS($J$34:J99)),COLUMNS('DBX Sprint'!$A$1:A12)),"")</f>
        <v/>
      </c>
      <c r="K99" s="37" t="str" cm="1">
        <f t="array" aca="1" ref="K99" ca="1">IFERROR(INDEX('DBX Sprint'!$A$7:$K$62, SMALL(IF((INDEX('DBX Sprint'!$A$7:$K$62, ,16)&lt;=(TODAY()+1))*(INDEX('DBX Sprint'!$A$7:$K$62, ,16)&gt;=TODAY()),MATCH(ROW('DBX Sprint'!$A$7:$K$62),ROW('DBX Sprint'!$A$7:$K$62)),""),ROWS($K$34:K99)),COLUMNS('DBX Sprint'!$A$1:A12)),"")</f>
        <v/>
      </c>
      <c r="L99" s="38" t="str" cm="1">
        <f t="array" aca="1" ref="L99" ca="1">IFERROR(INDEX('DBX Sprint'!$A$7:$K$62, SMALL(IF((INDEX('DBX Sprint'!$A$7:$K$62, ,16)&lt;=(TODAY()+5))*(INDEX('DBX Sprint'!$A$7:$K$62, ,16)&gt;(TODAY()+1)),MATCH(ROW('DBX Sprint'!$A$7:$K$62),ROW('DBX Sprint'!$A$7:$K$62)),""),ROWS($L$34:L99)),COLUMNS('DBX Sprint'!$A$1:A12)),"")</f>
        <v/>
      </c>
      <c r="M99" s="43" t="str" cm="1">
        <f t="array" aca="1" ref="M99" ca="1">IFERROR(INDEX('DBX Sprint'!$A$7:$K$62, SMALL(IF((INDEX('DBX Sprint'!$A$7:$K$62, ,16)&lt;=(TODAY()+10))*(INDEX('DBX Sprint'!$A$7:$K$62, ,16)&gt;(TODAY()+5)),MATCH(ROW('DBX Sprint'!$A$7:$K$62),ROW('DBX Sprint'!$A$7:$K$62)),""),ROWS($M$34:M99)),COLUMNS('DBX Sprint'!$A$1:A12)),"")</f>
        <v/>
      </c>
      <c r="P99" s="41" t="str" cm="1">
        <f t="array" aca="1" ref="P99" ca="1">IFERROR(INDEX('DBX Sprint'!$A$7:$K$62, SMALL(IF((INDEX('DBX Sprint'!$A$7:$K$62, ,19)&lt;(TODAY()))*(INDEX('DBX Sprint'!$A$7:$K$62, ,19)&lt;&gt;"Complete"),MATCH(ROW('DBX Sprint'!$A$7:$K$62),ROW('DBX Sprint'!$A$7:$K$62)),""),ROWS($P$34:P99)),COLUMNS('DBX Sprint'!$A$1:A12)),"")</f>
        <v/>
      </c>
      <c r="Q99" s="41" t="str" cm="1">
        <f t="array" aca="1" ref="Q99" ca="1">IFERROR(INDEX('DBX Sprint'!$A$7:$K$62, SMALL(IF((INDEX('DBX Sprint'!$A$7:$K$62, ,19)&lt;=(TODAY()+1))*(INDEX('DBX Sprint'!$A$7:$K$62, ,19)&gt;=TODAY()),MATCH(ROW('DBX Sprint'!$A$7:$K$62),ROW('DBX Sprint'!$A$7:$K$62)),""),ROWS($Q$34:Q99)),COLUMNS('DBX Sprint'!$A$1:A12)),"")</f>
        <v/>
      </c>
      <c r="R99" s="43" t="str" cm="1">
        <f t="array" aca="1" ref="R99" ca="1">IFERROR(INDEX('DBX Sprint'!$A$7:$K$62, SMALL(IF((INDEX('DBX Sprint'!$A$7:$K$62, ,19)&lt;=(TODAY()+5))*(INDEX('DBX Sprint'!$A$7:$K$62, ,19)&gt;(TODAY()+1)),MATCH(ROW('DBX Sprint'!$A$7:$K$62),ROW('DBX Sprint'!$A$7:$K$62)),""),ROWS($R$34:R99)),COLUMNS('DBX Sprint'!$A$1:A12)),"")</f>
        <v/>
      </c>
      <c r="S99" s="43" t="str" cm="1">
        <f t="array" aca="1" ref="S99" ca="1">IFERROR(INDEX('DBX Sprint'!$A$7:$K$62, SMALL(IF((INDEX('DBX Sprint'!$A$7:$K$62, ,19)&lt;=(TODAY()+10))*(INDEX('DBX Sprint'!$A$7:$K$62, ,19)&gt;(TODAY()+5)),MATCH(ROW('DBX Sprint'!$A$7:$K$62),ROW('DBX Sprint'!$A$7:$K$62)),""),ROWS($S$34:S99)),COLUMNS('DBX Sprint'!$A$1:A12)),"")</f>
        <v/>
      </c>
      <c r="U99" s="41" t="str" cm="1">
        <f t="array" ref="U99">IFERROR(INDEX('DBX Sprint'!$A$7:$K$62, SMALL(IF((INDEX('DBX Sprint'!$A$7:$K$62, ,22)=("Complete"))*(INDEX('DBX Sprint'!$A$7:$K$62, ,22)="Complete"),MATCH(ROW('DBX Sprint'!$A$7:$K$62),ROW('DBX Sprint'!$A$7:$K$62)),""),ROWS($U$34:U99)),COLUMNS('DBX Sprint'!$A$1:A12)),"")</f>
        <v/>
      </c>
      <c r="V99" s="41" t="str" cm="1">
        <f t="array" aca="1" ref="V99" ca="1">IFERROR(INDEX('DBX Sprint'!$A$7:$K$62, SMALL(IF((INDEX('DBX Sprint'!$A$7:$K$62, ,22)&lt;(TODAY()))*(INDEX('DBX Sprint'!$A$7:$K$62, ,22)&lt;&gt;"Complete"),MATCH(ROW('DBX Sprint'!$A$7:$K$62),ROW('DBX Sprint'!$A$7:$K$62)),""),ROWS($V$34:V99)),COLUMNS('DBX Sprint'!$A$1:A12)),"")</f>
        <v/>
      </c>
      <c r="W99" s="41" t="str" cm="1">
        <f t="array" aca="1" ref="W99" ca="1">IFERROR(INDEX('DBX Sprint'!$A$7:$K$62, SMALL(IF((INDEX('DBX Sprint'!$A$7:$K$62, ,22)&lt;=(TODAY()+1))*(INDEX('DBX Sprint'!$A$7:$K$62, ,22)&gt;=TODAY()),MATCH(ROW('DBX Sprint'!$A$7:$K$62),ROW('DBX Sprint'!$A$7:$K$62)),""),ROWS($W$34:W99)),COLUMNS('DBX Sprint'!$A$1:A12)),"")</f>
        <v/>
      </c>
      <c r="X99" s="43" t="str" cm="1">
        <f t="array" aca="1" ref="X99" ca="1">IFERROR(INDEX('DBX Sprint'!$A$7:$K$62, SMALL(IF((INDEX('DBX Sprint'!$A$7:$K$62, ,22)&lt;=(TODAY()+5))*(INDEX('DBX Sprint'!$A$7:$K$62, ,22)&gt;(TODAY()+1)),MATCH(ROW('DBX Sprint'!$A$7:$K$62),ROW('DBX Sprint'!$A$7:$K$62)),""),ROWS($X$34:X99)),COLUMNS('DBX Sprint'!$A$1:A12)),"")</f>
        <v/>
      </c>
      <c r="Y99" s="43" t="str" cm="1">
        <f t="array" aca="1" ref="Y99" ca="1">IFERROR(INDEX('DBX Sprint'!$A$7:$K$62, SMALL(IF((INDEX('DBX Sprint'!$A$7:$K$62, ,22)&lt;=(TODAY()+10))*(INDEX('DBX Sprint'!$A$7:$K$62, ,22)&gt;(TODAY()+5)),MATCH(ROW('DBX Sprint'!$A$7:$K$62),ROW('DBX Sprint'!$A$7:$K$62)),""),ROWS($Y$34:Y99)),COLUMNS('DBX Sprint'!$A$1:A12)),"")</f>
        <v/>
      </c>
      <c r="AA99" s="41" t="str" cm="1">
        <f t="array" ref="AA99">IFERROR(INDEX('DBX Sprint'!$A$7:$K$62, SMALL(IF((INDEX('DBX Sprint'!$A$7:$K$62, ,25)=("Complete"))*(INDEX('DBX Sprint'!$A$7:$K$62, ,25)="Complete"),MATCH(ROW('DBX Sprint'!$A$7:$K$62),ROW('DBX Sprint'!$A$7:$K$62)),""),ROWS($AA$34:AA99)),COLUMNS('DBX Sprint'!$A$1:A12)),"")</f>
        <v/>
      </c>
      <c r="AB99" s="41" t="str" cm="1">
        <f t="array" aca="1" ref="AB99" ca="1">IFERROR(INDEX('DBX Sprint'!$A$7:$K$62, SMALL(IF((INDEX('DBX Sprint'!$A$7:$K$62, ,25)&lt;(TODAY()))*(INDEX('DBX Sprint'!$A$7:$K$62, ,25)&lt;&gt;"Complete"),MATCH(ROW('DBX Sprint'!$A$7:$K$62),ROW('DBX Sprint'!$A$7:$K$62)),""),ROWS($AB$34:AB99)),COLUMNS('DBX Sprint'!$A$1:A12)),"")</f>
        <v/>
      </c>
      <c r="AC99" s="41" t="str" cm="1">
        <f t="array" aca="1" ref="AC99" ca="1">IFERROR(INDEX('DBX Sprint'!$A$7:$K$62, SMALL(IF((INDEX('DBX Sprint'!$A$7:$K$62, ,25)&lt;=(TODAY()+1))*(INDEX('DBX Sprint'!$A$7:$K$62, ,25)&gt;=TODAY()),MATCH(ROW('DBX Sprint'!$A$7:$K$62),ROW('DBX Sprint'!$A$7:$K$62)),""),ROWS($AC$34:AC99)),COLUMNS('DBX Sprint'!$A$1:A12)),"")</f>
        <v/>
      </c>
      <c r="AD99" s="43" t="str" cm="1">
        <f t="array" aca="1" ref="AD99" ca="1">IFERROR(INDEX('DBX Sprint'!$A$7:$K$62, SMALL(IF((INDEX('DBX Sprint'!$A$7:$K$62, ,25)&lt;=(TODAY()+5))*(INDEX('DBX Sprint'!$A$7:$K$62, ,25)&gt;(TODAY()+1)),MATCH(ROW('DBX Sprint'!$A$7:$K$62),ROW('DBX Sprint'!$A$7:$K$62)),""),ROWS($AD$34:AD99)),COLUMNS('DBX Sprint'!$A$1:A12)),"")</f>
        <v/>
      </c>
      <c r="AE99" s="43" t="str" cm="1">
        <f t="array" aca="1" ref="AE99" ca="1">IFERROR(INDEX('DBX Sprint'!$A$7:$K$62, SMALL(IF((INDEX('DBX Sprint'!$A$7:$K$62, ,25)&lt;=(TODAY()+10))*(INDEX('DBX Sprint'!$A$7:$K$62, ,25)&gt;(TODAY()+5)),MATCH(ROW('DBX Sprint'!$A$7:$K$62),ROW('DBX Sprint'!$A$7:$K$62)),""),ROWS($AE$34:AE99)),COLUMNS('DBX Sprint'!$A$1:A12)),"")</f>
        <v/>
      </c>
      <c r="AG99" s="41" t="str" cm="1">
        <f t="array" ref="AG99">IFERROR(INDEX('DBX Sprint'!$A$7:$K$62, SMALL(IF((INDEX('DBX Sprint'!$A$7:$K$62, ,29)=("Complete"))*(INDEX('DBX Sprint'!$A$7:$K$62, ,29)="Complete"),MATCH(ROW('DBX Sprint'!$A$7:$K$62),ROW('DBX Sprint'!$A$7:$K$62)),""),ROWS($AG$34:AG99)),COLUMNS('DBX Sprint'!$A$1:A12)),"")</f>
        <v/>
      </c>
      <c r="AH99" s="41" t="str" cm="1">
        <f t="array" aca="1" ref="AH99" ca="1">IFERROR(INDEX('DBX Sprint'!$A$7:$K$62, SMALL(IF((INDEX('DBX Sprint'!$A$7:$K$62, ,29)&lt;(TODAY()))*(INDEX('DBX Sprint'!$A$7:$K$62, ,29)&lt;&gt;"Complete"),MATCH(ROW('DBX Sprint'!$A$7:$K$62),ROW('DBX Sprint'!$A$7:$K$62)),""),ROWS($AH$34:AH99)),COLUMNS('DBX Sprint'!$A$1:A12)),"")</f>
        <v/>
      </c>
      <c r="AI99" s="41" t="str" cm="1">
        <f t="array" aca="1" ref="AI99" ca="1">IFERROR(INDEX('DBX Sprint'!$A$7:$K$62, SMALL(IF((INDEX('DBX Sprint'!$A$7:$K$62, ,29)&lt;=(TODAY()+1))*(INDEX('DBX Sprint'!$A$7:$K$62, ,29)&gt;=TODAY()),MATCH(ROW('DBX Sprint'!$A$7:$K$62),ROW('DBX Sprint'!$A$7:$K$62)),""),ROWS($AI$34:AI99)),COLUMNS('DBX Sprint'!$A$1:A12)),"")</f>
        <v/>
      </c>
      <c r="AJ99" s="43" t="str" cm="1">
        <f t="array" aca="1" ref="AJ99" ca="1">IFERROR(INDEX('DBX Sprint'!$A$7:$K$62, SMALL(IF((INDEX('DBX Sprint'!$A$7:$K$62, ,29)&lt;=(TODAY()+5))*(INDEX('DBX Sprint'!$A$7:$K$62, ,29)&gt;(TODAY()+1)),MATCH(ROW('DBX Sprint'!$A$7:$K$62),ROW('DBX Sprint'!$A$7:$K$62)),""),ROWS($AJ$34:AJ99)),COLUMNS('DBX Sprint'!$A$1:A12)),"")</f>
        <v/>
      </c>
      <c r="AK99" s="43" t="str" cm="1">
        <f t="array" aca="1" ref="AK99" ca="1">IFERROR(INDEX('DBX Sprint'!$A$7:$K$62, SMALL(IF((INDEX('DBX Sprint'!$A$7:$K$62, ,29)&lt;=(TODAY()+10))*(INDEX('DBX Sprint'!$A$7:$K$62, ,29)&gt;(TODAY()+5)),MATCH(ROW('DBX Sprint'!$A$7:$K$62),ROW('DBX Sprint'!$A$7:$K$62)),""),ROWS($AK$34:AK99)),COLUMNS('DBX Sprint'!$A$1:A12)),"")</f>
        <v/>
      </c>
      <c r="AM99" s="41" t="str" cm="1">
        <f t="array" ref="AM99">IFERROR(INDEX('DBX Sprint'!$A$7:$K$62, SMALL(IF((INDEX('DBX Sprint'!$A$7:$K$62, ,32)=("Complete"))*(INDEX('DBX Sprint'!$A$7:$K$62, ,32)="Complete"),MATCH(ROW('DBX Sprint'!$A$7:$K$62),ROW('DBX Sprint'!$A$7:$K$62)),""),ROWS($AM$34:AM99)),COLUMNS('DBX Sprint'!$A$1:A12)),"")</f>
        <v/>
      </c>
      <c r="AN99" s="41" t="str" cm="1">
        <f t="array" aca="1" ref="AN99" ca="1">IFERROR(INDEX('DBX Sprint'!$A$7:$K$62, SMALL(IF((INDEX('DBX Sprint'!$A$7:$K$62, ,32)&lt;(TODAY()))*(INDEX('DBX Sprint'!$A$7:$K$62, ,32)&lt;&gt;"Complete"),MATCH(ROW('DBX Sprint'!$A$7:$K$62),ROW('DBX Sprint'!$A$7:$K$62)),""),ROWS($AN$34:AN99)),COLUMNS('DBX Sprint'!$A$1:A12)),"")</f>
        <v/>
      </c>
      <c r="AO99" s="41" t="str" cm="1">
        <f t="array" aca="1" ref="AO99" ca="1">IFERROR(INDEX('DBX Sprint'!$A$7:$K$62, SMALL(IF((INDEX('DBX Sprint'!$A$7:$K$62, ,32)&lt;=(TODAY()+1))*(INDEX('DBX Sprint'!$A$7:$K$62, ,32)&gt;=TODAY()),MATCH(ROW('DBX Sprint'!$A$7:$K$62),ROW('DBX Sprint'!$A$7:$K$62)),""),ROWS($AO$34:AO99)),COLUMNS('DBX Sprint'!$A$1:A12)),"")</f>
        <v/>
      </c>
      <c r="AP99" s="43" t="str" cm="1">
        <f t="array" aca="1" ref="AP99" ca="1">IFERROR(INDEX('DBX Sprint'!$A$7:$K$62, SMALL(IF((INDEX('DBX Sprint'!$A$7:$K$62, ,32)&lt;=(TODAY()+5))*(INDEX('DBX Sprint'!$A$7:$K$62, ,32)&gt;(TODAY()+1)),MATCH(ROW('DBX Sprint'!$A$7:$K$62),ROW('DBX Sprint'!$A$7:$K$62)),""),ROWS($AP$34:AP99)),COLUMNS('DBX Sprint'!$A$1:A12)),"")</f>
        <v/>
      </c>
      <c r="AQ99" s="43" t="str" cm="1">
        <f t="array" aca="1" ref="AQ99" ca="1">IFERROR(INDEX('DBX Sprint'!$A$7:$K$62, SMALL(IF((INDEX('DBX Sprint'!$A$7:$K$62, ,32)&lt;=(TODAY()+10))*(INDEX('DBX Sprint'!$A$7:$K$62, ,32)&gt;(TODAY()+5)),MATCH(ROW('DBX Sprint'!$A$7:$K$62),ROW('DBX Sprint'!$A$7:$K$62)),""),ROWS($AQ$34:AQ99)),COLUMNS('DBX Sprint'!$A$1:A12)),"")</f>
        <v/>
      </c>
    </row>
    <row r="100" spans="3:43" ht="30" customHeight="1">
      <c r="C100" s="41" t="str" cm="1">
        <f t="array" ref="C100">IFERROR(INDEX('DBX Sprint'!$A$7:$K$62, SMALL(IF((INDEX('DBX Sprint'!$A$7:$K$62, ,13)=("Complete"))*(INDEX('DBX Sprint'!$A$7:$K$62, ,13)="Complete"),MATCH(ROW('DBX Sprint'!$A$7:$K$62),ROW('DBX Sprint'!$A$7:$K$62)),""),ROWS(C$34:$C100)),COLUMNS('DBX Sprint'!$A$1:A12)),"")</f>
        <v/>
      </c>
      <c r="D100" s="41" t="str" cm="1">
        <f t="array" aca="1" ref="D100" ca="1">IFERROR(INDEX('DBX Sprint'!$A$7:$K$62, SMALL(IF((INDEX('DBX Sprint'!$A$7:$K$62, ,13)&lt;(TODAY()))*(INDEX('DBX Sprint'!$A$7:$K$62, ,13)&lt;&gt;"Complete"),MATCH(ROW('DBX Sprint'!$A$7:$K$62),ROW('DBX Sprint'!$A$7:$K$62)),""),ROWS(D$34:$D100)),COLUMNS('DBX Sprint'!$A$1:A12)),"")</f>
        <v/>
      </c>
      <c r="E100" s="41" t="str" cm="1">
        <f t="array" aca="1" ref="E100" ca="1">IFERROR(INDEX('DBX Sprint'!$A$7:$K$62, SMALL(IF((INDEX('DBX Sprint'!$A$7:$K$62, ,13)&lt;=(TODAY()+1))*(INDEX('DBX Sprint'!$A$7:$K$62, ,13)&gt;=TODAY()),MATCH(ROW('DBX Sprint'!$A$7:$K$62),ROW('DBX Sprint'!$A$7:$K$62)),""),ROWS(E$34:$E100)),COLUMNS('DBX Sprint'!$A$1:A12)),"")</f>
        <v/>
      </c>
      <c r="F100" s="43" t="str" cm="1">
        <f t="array" aca="1" ref="F100" ca="1">IFERROR(INDEX('DBX Sprint'!$A$7:$K$62, SMALL(IF((INDEX('DBX Sprint'!$A$7:$K$62, ,13)&lt;=(TODAY()+5))*(INDEX('DBX Sprint'!$A$7:$K$62, ,13)&gt;(TODAY()+1)),MATCH(ROW('DBX Sprint'!$A$7:$K$62),ROW('DBX Sprint'!$A$7:$K$62)),""),ROWS($F$34:F100)),COLUMNS('DBX Sprint'!$A$1:A12)),"")</f>
        <v/>
      </c>
      <c r="G100" s="43" t="str" cm="1">
        <f t="array" aca="1" ref="G100" ca="1">IFERROR(INDEX('DBX Sprint'!$A$7:$K$62, SMALL(IF((INDEX('DBX Sprint'!$A$7:$K$62, ,13)&lt;=(TODAY()+10))*(INDEX('DBX Sprint'!$A$7:$K$62, ,13)&gt;(TODAY()+5)),MATCH(ROW('DBX Sprint'!$A$7:$K$62),ROW('DBX Sprint'!$A$7:$K$62)),""),ROWS($G$34:G100)),COLUMNS('DBX Sprint'!$A$1:A12)),"")</f>
        <v/>
      </c>
      <c r="I100" s="41" t="str" cm="1">
        <f t="array" ref="I100">IFERROR(INDEX('DBX Sprint'!$A$7:$K$62, SMALL(IF((INDEX('DBX Sprint'!$A$7:$K$62, ,16)=("Complete"))*(INDEX('DBX Sprint'!$A$7:$K$62, ,16)="Complete"),MATCH(ROW('DBX Sprint'!$A$7:$K$62),ROW('DBX Sprint'!$A$7:$K$62)),""),ROWS($I$34:I100)),COLUMNS('DBX Sprint'!$A$1:A12)),"")</f>
        <v/>
      </c>
      <c r="J100" s="41" t="str" cm="1">
        <f t="array" aca="1" ref="J100" ca="1">IFERROR(INDEX('DBX Sprint'!$A$7:$K$62, SMALL(IF((INDEX('DBX Sprint'!$A$7:$K$62, ,16)&lt;(TODAY()))*(INDEX('DBX Sprint'!$A$7:$K$62, ,16)&lt;&gt;"Complete"),MATCH(ROW('DBX Sprint'!$A$7:$K$62),ROW('DBX Sprint'!$A$7:$K$62)),""),ROWS($J$34:J100)),COLUMNS('DBX Sprint'!$A$1:A12)),"")</f>
        <v/>
      </c>
      <c r="K100" s="37" t="str" cm="1">
        <f t="array" aca="1" ref="K100" ca="1">IFERROR(INDEX('DBX Sprint'!$A$7:$K$62, SMALL(IF((INDEX('DBX Sprint'!$A$7:$K$62, ,16)&lt;=(TODAY()+1))*(INDEX('DBX Sprint'!$A$7:$K$62, ,16)&gt;=TODAY()),MATCH(ROW('DBX Sprint'!$A$7:$K$62),ROW('DBX Sprint'!$A$7:$K$62)),""),ROWS($K$34:K100)),COLUMNS('DBX Sprint'!$A$1:A12)),"")</f>
        <v/>
      </c>
      <c r="L100" s="38" t="str" cm="1">
        <f t="array" aca="1" ref="L100" ca="1">IFERROR(INDEX('DBX Sprint'!$A$7:$K$62, SMALL(IF((INDEX('DBX Sprint'!$A$7:$K$62, ,16)&lt;=(TODAY()+5))*(INDEX('DBX Sprint'!$A$7:$K$62, ,16)&gt;(TODAY()+1)),MATCH(ROW('DBX Sprint'!$A$7:$K$62),ROW('DBX Sprint'!$A$7:$K$62)),""),ROWS($L$34:L100)),COLUMNS('DBX Sprint'!$A$1:A12)),"")</f>
        <v/>
      </c>
      <c r="M100" s="43" t="str" cm="1">
        <f t="array" aca="1" ref="M100" ca="1">IFERROR(INDEX('DBX Sprint'!$A$7:$K$62, SMALL(IF((INDEX('DBX Sprint'!$A$7:$K$62, ,16)&lt;=(TODAY()+10))*(INDEX('DBX Sprint'!$A$7:$K$62, ,16)&gt;(TODAY()+5)),MATCH(ROW('DBX Sprint'!$A$7:$K$62),ROW('DBX Sprint'!$A$7:$K$62)),""),ROWS($M$34:M100)),COLUMNS('DBX Sprint'!$A$1:A12)),"")</f>
        <v/>
      </c>
      <c r="P100" s="41" t="str" cm="1">
        <f t="array" aca="1" ref="P100" ca="1">IFERROR(INDEX('DBX Sprint'!$A$7:$K$62, SMALL(IF((INDEX('DBX Sprint'!$A$7:$K$62, ,19)&lt;(TODAY()))*(INDEX('DBX Sprint'!$A$7:$K$62, ,19)&lt;&gt;"Complete"),MATCH(ROW('DBX Sprint'!$A$7:$K$62),ROW('DBX Sprint'!$A$7:$K$62)),""),ROWS($P$34:P100)),COLUMNS('DBX Sprint'!$A$1:A12)),"")</f>
        <v/>
      </c>
      <c r="Q100" s="41" t="str" cm="1">
        <f t="array" aca="1" ref="Q100" ca="1">IFERROR(INDEX('DBX Sprint'!$A$7:$K$62, SMALL(IF((INDEX('DBX Sprint'!$A$7:$K$62, ,19)&lt;=(TODAY()+1))*(INDEX('DBX Sprint'!$A$7:$K$62, ,19)&gt;=TODAY()),MATCH(ROW('DBX Sprint'!$A$7:$K$62),ROW('DBX Sprint'!$A$7:$K$62)),""),ROWS($Q$34:Q100)),COLUMNS('DBX Sprint'!$A$1:A12)),"")</f>
        <v/>
      </c>
      <c r="R100" s="43" t="str" cm="1">
        <f t="array" aca="1" ref="R100" ca="1">IFERROR(INDEX('DBX Sprint'!$A$7:$K$62, SMALL(IF((INDEX('DBX Sprint'!$A$7:$K$62, ,19)&lt;=(TODAY()+5))*(INDEX('DBX Sprint'!$A$7:$K$62, ,19)&gt;(TODAY()+1)),MATCH(ROW('DBX Sprint'!$A$7:$K$62),ROW('DBX Sprint'!$A$7:$K$62)),""),ROWS($R$34:R100)),COLUMNS('DBX Sprint'!$A$1:A12)),"")</f>
        <v/>
      </c>
      <c r="S100" s="43" t="str" cm="1">
        <f t="array" aca="1" ref="S100" ca="1">IFERROR(INDEX('DBX Sprint'!$A$7:$K$62, SMALL(IF((INDEX('DBX Sprint'!$A$7:$K$62, ,19)&lt;=(TODAY()+10))*(INDEX('DBX Sprint'!$A$7:$K$62, ,19)&gt;(TODAY()+5)),MATCH(ROW('DBX Sprint'!$A$7:$K$62),ROW('DBX Sprint'!$A$7:$K$62)),""),ROWS($S$34:S100)),COLUMNS('DBX Sprint'!$A$1:A12)),"")</f>
        <v/>
      </c>
      <c r="U100" s="41" t="str" cm="1">
        <f t="array" ref="U100">IFERROR(INDEX('DBX Sprint'!$A$7:$K$62, SMALL(IF((INDEX('DBX Sprint'!$A$7:$K$62, ,22)=("Complete"))*(INDEX('DBX Sprint'!$A$7:$K$62, ,22)="Complete"),MATCH(ROW('DBX Sprint'!$A$7:$K$62),ROW('DBX Sprint'!$A$7:$K$62)),""),ROWS($U$34:U100)),COLUMNS('DBX Sprint'!$A$1:A12)),"")</f>
        <v/>
      </c>
      <c r="V100" s="41" t="str" cm="1">
        <f t="array" aca="1" ref="V100" ca="1">IFERROR(INDEX('DBX Sprint'!$A$7:$K$62, SMALL(IF((INDEX('DBX Sprint'!$A$7:$K$62, ,22)&lt;(TODAY()))*(INDEX('DBX Sprint'!$A$7:$K$62, ,22)&lt;&gt;"Complete"),MATCH(ROW('DBX Sprint'!$A$7:$K$62),ROW('DBX Sprint'!$A$7:$K$62)),""),ROWS($V$34:V100)),COLUMNS('DBX Sprint'!$A$1:A12)),"")</f>
        <v/>
      </c>
      <c r="W100" s="41" t="str" cm="1">
        <f t="array" aca="1" ref="W100" ca="1">IFERROR(INDEX('DBX Sprint'!$A$7:$K$62, SMALL(IF((INDEX('DBX Sprint'!$A$7:$K$62, ,22)&lt;=(TODAY()+1))*(INDEX('DBX Sprint'!$A$7:$K$62, ,22)&gt;=TODAY()),MATCH(ROW('DBX Sprint'!$A$7:$K$62),ROW('DBX Sprint'!$A$7:$K$62)),""),ROWS($W$34:W100)),COLUMNS('DBX Sprint'!$A$1:A12)),"")</f>
        <v/>
      </c>
      <c r="X100" s="43" t="str" cm="1">
        <f t="array" aca="1" ref="X100" ca="1">IFERROR(INDEX('DBX Sprint'!$A$7:$K$62, SMALL(IF((INDEX('DBX Sprint'!$A$7:$K$62, ,22)&lt;=(TODAY()+5))*(INDEX('DBX Sprint'!$A$7:$K$62, ,22)&gt;(TODAY()+1)),MATCH(ROW('DBX Sprint'!$A$7:$K$62),ROW('DBX Sprint'!$A$7:$K$62)),""),ROWS($X$34:X100)),COLUMNS('DBX Sprint'!$A$1:A12)),"")</f>
        <v/>
      </c>
      <c r="Y100" s="43" t="str" cm="1">
        <f t="array" aca="1" ref="Y100" ca="1">IFERROR(INDEX('DBX Sprint'!$A$7:$K$62, SMALL(IF((INDEX('DBX Sprint'!$A$7:$K$62, ,22)&lt;=(TODAY()+10))*(INDEX('DBX Sprint'!$A$7:$K$62, ,22)&gt;(TODAY()+5)),MATCH(ROW('DBX Sprint'!$A$7:$K$62),ROW('DBX Sprint'!$A$7:$K$62)),""),ROWS($Y$34:Y100)),COLUMNS('DBX Sprint'!$A$1:A12)),"")</f>
        <v/>
      </c>
      <c r="AA100" s="41" t="str" cm="1">
        <f t="array" ref="AA100">IFERROR(INDEX('DBX Sprint'!$A$7:$K$62, SMALL(IF((INDEX('DBX Sprint'!$A$7:$K$62, ,25)=("Complete"))*(INDEX('DBX Sprint'!$A$7:$K$62, ,25)="Complete"),MATCH(ROW('DBX Sprint'!$A$7:$K$62),ROW('DBX Sprint'!$A$7:$K$62)),""),ROWS($AA$34:AA100)),COLUMNS('DBX Sprint'!$A$1:A12)),"")</f>
        <v/>
      </c>
      <c r="AB100" s="41" t="str" cm="1">
        <f t="array" aca="1" ref="AB100" ca="1">IFERROR(INDEX('DBX Sprint'!$A$7:$K$62, SMALL(IF((INDEX('DBX Sprint'!$A$7:$K$62, ,25)&lt;(TODAY()))*(INDEX('DBX Sprint'!$A$7:$K$62, ,25)&lt;&gt;"Complete"),MATCH(ROW('DBX Sprint'!$A$7:$K$62),ROW('DBX Sprint'!$A$7:$K$62)),""),ROWS($AB$34:AB100)),COLUMNS('DBX Sprint'!$A$1:A12)),"")</f>
        <v/>
      </c>
      <c r="AC100" s="41" t="str" cm="1">
        <f t="array" aca="1" ref="AC100" ca="1">IFERROR(INDEX('DBX Sprint'!$A$7:$K$62, SMALL(IF((INDEX('DBX Sprint'!$A$7:$K$62, ,25)&lt;=(TODAY()+1))*(INDEX('DBX Sprint'!$A$7:$K$62, ,25)&gt;=TODAY()),MATCH(ROW('DBX Sprint'!$A$7:$K$62),ROW('DBX Sprint'!$A$7:$K$62)),""),ROWS($AC$34:AC100)),COLUMNS('DBX Sprint'!$A$1:A12)),"")</f>
        <v/>
      </c>
      <c r="AD100" s="43" t="str" cm="1">
        <f t="array" aca="1" ref="AD100" ca="1">IFERROR(INDEX('DBX Sprint'!$A$7:$K$62, SMALL(IF((INDEX('DBX Sprint'!$A$7:$K$62, ,25)&lt;=(TODAY()+5))*(INDEX('DBX Sprint'!$A$7:$K$62, ,25)&gt;(TODAY()+1)),MATCH(ROW('DBX Sprint'!$A$7:$K$62),ROW('DBX Sprint'!$A$7:$K$62)),""),ROWS($AD$34:AD100)),COLUMNS('DBX Sprint'!$A$1:A12)),"")</f>
        <v/>
      </c>
      <c r="AE100" s="43" t="str" cm="1">
        <f t="array" aca="1" ref="AE100" ca="1">IFERROR(INDEX('DBX Sprint'!$A$7:$K$62, SMALL(IF((INDEX('DBX Sprint'!$A$7:$K$62, ,25)&lt;=(TODAY()+10))*(INDEX('DBX Sprint'!$A$7:$K$62, ,25)&gt;(TODAY()+5)),MATCH(ROW('DBX Sprint'!$A$7:$K$62),ROW('DBX Sprint'!$A$7:$K$62)),""),ROWS($AE$34:AE100)),COLUMNS('DBX Sprint'!$A$1:A12)),"")</f>
        <v/>
      </c>
      <c r="AG100" s="41" t="str" cm="1">
        <f t="array" ref="AG100">IFERROR(INDEX('DBX Sprint'!$A$7:$K$62, SMALL(IF((INDEX('DBX Sprint'!$A$7:$K$62, ,29)=("Complete"))*(INDEX('DBX Sprint'!$A$7:$K$62, ,29)="Complete"),MATCH(ROW('DBX Sprint'!$A$7:$K$62),ROW('DBX Sprint'!$A$7:$K$62)),""),ROWS($AG$34:AG100)),COLUMNS('DBX Sprint'!$A$1:A12)),"")</f>
        <v/>
      </c>
      <c r="AH100" s="41" t="str" cm="1">
        <f t="array" aca="1" ref="AH100" ca="1">IFERROR(INDEX('DBX Sprint'!$A$7:$K$62, SMALL(IF((INDEX('DBX Sprint'!$A$7:$K$62, ,29)&lt;(TODAY()))*(INDEX('DBX Sprint'!$A$7:$K$62, ,29)&lt;&gt;"Complete"),MATCH(ROW('DBX Sprint'!$A$7:$K$62),ROW('DBX Sprint'!$A$7:$K$62)),""),ROWS($AH$34:AH100)),COLUMNS('DBX Sprint'!$A$1:A12)),"")</f>
        <v/>
      </c>
      <c r="AI100" s="41" t="str" cm="1">
        <f t="array" aca="1" ref="AI100" ca="1">IFERROR(INDEX('DBX Sprint'!$A$7:$K$62, SMALL(IF((INDEX('DBX Sprint'!$A$7:$K$62, ,29)&lt;=(TODAY()+1))*(INDEX('DBX Sprint'!$A$7:$K$62, ,29)&gt;=TODAY()),MATCH(ROW('DBX Sprint'!$A$7:$K$62),ROW('DBX Sprint'!$A$7:$K$62)),""),ROWS($AI$34:AI100)),COLUMNS('DBX Sprint'!$A$1:A12)),"")</f>
        <v/>
      </c>
      <c r="AJ100" s="43" t="str" cm="1">
        <f t="array" aca="1" ref="AJ100" ca="1">IFERROR(INDEX('DBX Sprint'!$A$7:$K$62, SMALL(IF((INDEX('DBX Sprint'!$A$7:$K$62, ,29)&lt;=(TODAY()+5))*(INDEX('DBX Sprint'!$A$7:$K$62, ,29)&gt;(TODAY()+1)),MATCH(ROW('DBX Sprint'!$A$7:$K$62),ROW('DBX Sprint'!$A$7:$K$62)),""),ROWS($AJ$34:AJ100)),COLUMNS('DBX Sprint'!$A$1:A12)),"")</f>
        <v/>
      </c>
      <c r="AK100" s="43" t="str" cm="1">
        <f t="array" aca="1" ref="AK100" ca="1">IFERROR(INDEX('DBX Sprint'!$A$7:$K$62, SMALL(IF((INDEX('DBX Sprint'!$A$7:$K$62, ,29)&lt;=(TODAY()+10))*(INDEX('DBX Sprint'!$A$7:$K$62, ,29)&gt;(TODAY()+5)),MATCH(ROW('DBX Sprint'!$A$7:$K$62),ROW('DBX Sprint'!$A$7:$K$62)),""),ROWS($AK$34:AK100)),COLUMNS('DBX Sprint'!$A$1:A12)),"")</f>
        <v/>
      </c>
      <c r="AM100" s="41" t="str" cm="1">
        <f t="array" ref="AM100">IFERROR(INDEX('DBX Sprint'!$A$7:$K$62, SMALL(IF((INDEX('DBX Sprint'!$A$7:$K$62, ,32)=("Complete"))*(INDEX('DBX Sprint'!$A$7:$K$62, ,32)="Complete"),MATCH(ROW('DBX Sprint'!$A$7:$K$62),ROW('DBX Sprint'!$A$7:$K$62)),""),ROWS($AM$34:AM100)),COLUMNS('DBX Sprint'!$A$1:A12)),"")</f>
        <v/>
      </c>
      <c r="AN100" s="41" t="str" cm="1">
        <f t="array" aca="1" ref="AN100" ca="1">IFERROR(INDEX('DBX Sprint'!$A$7:$K$62, SMALL(IF((INDEX('DBX Sprint'!$A$7:$K$62, ,32)&lt;(TODAY()))*(INDEX('DBX Sprint'!$A$7:$K$62, ,32)&lt;&gt;"Complete"),MATCH(ROW('DBX Sprint'!$A$7:$K$62),ROW('DBX Sprint'!$A$7:$K$62)),""),ROWS($AN$34:AN100)),COLUMNS('DBX Sprint'!$A$1:A12)),"")</f>
        <v/>
      </c>
      <c r="AO100" s="41" t="str" cm="1">
        <f t="array" aca="1" ref="AO100" ca="1">IFERROR(INDEX('DBX Sprint'!$A$7:$K$62, SMALL(IF((INDEX('DBX Sprint'!$A$7:$K$62, ,32)&lt;=(TODAY()+1))*(INDEX('DBX Sprint'!$A$7:$K$62, ,32)&gt;=TODAY()),MATCH(ROW('DBX Sprint'!$A$7:$K$62),ROW('DBX Sprint'!$A$7:$K$62)),""),ROWS($AO$34:AO100)),COLUMNS('DBX Sprint'!$A$1:A12)),"")</f>
        <v/>
      </c>
      <c r="AP100" s="43" t="str" cm="1">
        <f t="array" aca="1" ref="AP100" ca="1">IFERROR(INDEX('DBX Sprint'!$A$7:$K$62, SMALL(IF((INDEX('DBX Sprint'!$A$7:$K$62, ,32)&lt;=(TODAY()+5))*(INDEX('DBX Sprint'!$A$7:$K$62, ,32)&gt;(TODAY()+1)),MATCH(ROW('DBX Sprint'!$A$7:$K$62),ROW('DBX Sprint'!$A$7:$K$62)),""),ROWS($AP$34:AP100)),COLUMNS('DBX Sprint'!$A$1:A12)),"")</f>
        <v/>
      </c>
      <c r="AQ100" s="43" t="str" cm="1">
        <f t="array" aca="1" ref="AQ100" ca="1">IFERROR(INDEX('DBX Sprint'!$A$7:$K$62, SMALL(IF((INDEX('DBX Sprint'!$A$7:$K$62, ,32)&lt;=(TODAY()+10))*(INDEX('DBX Sprint'!$A$7:$K$62, ,32)&gt;(TODAY()+5)),MATCH(ROW('DBX Sprint'!$A$7:$K$62),ROW('DBX Sprint'!$A$7:$K$62)),""),ROWS($AQ$34:AQ100)),COLUMNS('DBX Sprint'!$A$1:A12)),"")</f>
        <v/>
      </c>
    </row>
    <row r="101" spans="3:43" ht="30" customHeight="1">
      <c r="C101" s="41" t="str" cm="1">
        <f t="array" ref="C101">IFERROR(INDEX('DBX Sprint'!$A$7:$K$62, SMALL(IF((INDEX('DBX Sprint'!$A$7:$K$62, ,13)=("Complete"))*(INDEX('DBX Sprint'!$A$7:$K$62, ,13)="Complete"),MATCH(ROW('DBX Sprint'!$A$7:$K$62),ROW('DBX Sprint'!$A$7:$K$62)),""),ROWS(C$34:$C101)),COLUMNS('DBX Sprint'!$A$1:A12)),"")</f>
        <v/>
      </c>
      <c r="D101" s="41" t="str" cm="1">
        <f t="array" aca="1" ref="D101" ca="1">IFERROR(INDEX('DBX Sprint'!$A$7:$K$62, SMALL(IF((INDEX('DBX Sprint'!$A$7:$K$62, ,13)&lt;(TODAY()))*(INDEX('DBX Sprint'!$A$7:$K$62, ,13)&lt;&gt;"Complete"),MATCH(ROW('DBX Sprint'!$A$7:$K$62),ROW('DBX Sprint'!$A$7:$K$62)),""),ROWS(D$34:$D101)),COLUMNS('DBX Sprint'!$A$1:A12)),"")</f>
        <v/>
      </c>
      <c r="E101" s="41" t="str" cm="1">
        <f t="array" aca="1" ref="E101" ca="1">IFERROR(INDEX('DBX Sprint'!$A$7:$K$62, SMALL(IF((INDEX('DBX Sprint'!$A$7:$K$62, ,13)&lt;=(TODAY()+1))*(INDEX('DBX Sprint'!$A$7:$K$62, ,13)&gt;=TODAY()),MATCH(ROW('DBX Sprint'!$A$7:$K$62),ROW('DBX Sprint'!$A$7:$K$62)),""),ROWS(E$34:$E101)),COLUMNS('DBX Sprint'!$A$1:A12)),"")</f>
        <v/>
      </c>
      <c r="F101" s="43" t="str" cm="1">
        <f t="array" aca="1" ref="F101" ca="1">IFERROR(INDEX('DBX Sprint'!$A$7:$K$62, SMALL(IF((INDEX('DBX Sprint'!$A$7:$K$62, ,13)&lt;=(TODAY()+5))*(INDEX('DBX Sprint'!$A$7:$K$62, ,13)&gt;(TODAY()+1)),MATCH(ROW('DBX Sprint'!$A$7:$K$62),ROW('DBX Sprint'!$A$7:$K$62)),""),ROWS($F$34:F101)),COLUMNS('DBX Sprint'!$A$1:A12)),"")</f>
        <v/>
      </c>
      <c r="G101" s="43" t="str" cm="1">
        <f t="array" aca="1" ref="G101" ca="1">IFERROR(INDEX('DBX Sprint'!$A$7:$K$62, SMALL(IF((INDEX('DBX Sprint'!$A$7:$K$62, ,13)&lt;=(TODAY()+10))*(INDEX('DBX Sprint'!$A$7:$K$62, ,13)&gt;(TODAY()+5)),MATCH(ROW('DBX Sprint'!$A$7:$K$62),ROW('DBX Sprint'!$A$7:$K$62)),""),ROWS($G$34:G101)),COLUMNS('DBX Sprint'!$A$1:A12)),"")</f>
        <v/>
      </c>
      <c r="I101" s="41" t="str" cm="1">
        <f t="array" ref="I101">IFERROR(INDEX('DBX Sprint'!$A$7:$K$62, SMALL(IF((INDEX('DBX Sprint'!$A$7:$K$62, ,16)=("Complete"))*(INDEX('DBX Sprint'!$A$7:$K$62, ,16)="Complete"),MATCH(ROW('DBX Sprint'!$A$7:$K$62),ROW('DBX Sprint'!$A$7:$K$62)),""),ROWS($I$34:I101)),COLUMNS('DBX Sprint'!$A$1:A12)),"")</f>
        <v/>
      </c>
      <c r="J101" s="41" t="str" cm="1">
        <f t="array" aca="1" ref="J101" ca="1">IFERROR(INDEX('DBX Sprint'!$A$7:$K$62, SMALL(IF((INDEX('DBX Sprint'!$A$7:$K$62, ,16)&lt;(TODAY()))*(INDEX('DBX Sprint'!$A$7:$K$62, ,16)&lt;&gt;"Complete"),MATCH(ROW('DBX Sprint'!$A$7:$K$62),ROW('DBX Sprint'!$A$7:$K$62)),""),ROWS($J$34:J101)),COLUMNS('DBX Sprint'!$A$1:A12)),"")</f>
        <v/>
      </c>
      <c r="K101" s="37" t="str" cm="1">
        <f t="array" aca="1" ref="K101" ca="1">IFERROR(INDEX('DBX Sprint'!$A$7:$K$62, SMALL(IF((INDEX('DBX Sprint'!$A$7:$K$62, ,16)&lt;=(TODAY()+1))*(INDEX('DBX Sprint'!$A$7:$K$62, ,16)&gt;=TODAY()),MATCH(ROW('DBX Sprint'!$A$7:$K$62),ROW('DBX Sprint'!$A$7:$K$62)),""),ROWS($K$34:K101)),COLUMNS('DBX Sprint'!$A$1:A12)),"")</f>
        <v/>
      </c>
      <c r="L101" s="38" t="str" cm="1">
        <f t="array" aca="1" ref="L101" ca="1">IFERROR(INDEX('DBX Sprint'!$A$7:$K$62, SMALL(IF((INDEX('DBX Sprint'!$A$7:$K$62, ,16)&lt;=(TODAY()+5))*(INDEX('DBX Sprint'!$A$7:$K$62, ,16)&gt;(TODAY()+1)),MATCH(ROW('DBX Sprint'!$A$7:$K$62),ROW('DBX Sprint'!$A$7:$K$62)),""),ROWS($L$34:L101)),COLUMNS('DBX Sprint'!$A$1:A12)),"")</f>
        <v/>
      </c>
      <c r="M101" s="43" t="str" cm="1">
        <f t="array" aca="1" ref="M101" ca="1">IFERROR(INDEX('DBX Sprint'!$A$7:$K$62, SMALL(IF((INDEX('DBX Sprint'!$A$7:$K$62, ,16)&lt;=(TODAY()+10))*(INDEX('DBX Sprint'!$A$7:$K$62, ,16)&gt;(TODAY()+5)),MATCH(ROW('DBX Sprint'!$A$7:$K$62),ROW('DBX Sprint'!$A$7:$K$62)),""),ROWS($M$34:M101)),COLUMNS('DBX Sprint'!$A$1:A12)),"")</f>
        <v/>
      </c>
      <c r="P101" s="41" t="str" cm="1">
        <f t="array" aca="1" ref="P101" ca="1">IFERROR(INDEX('DBX Sprint'!$A$7:$K$62, SMALL(IF((INDEX('DBX Sprint'!$A$7:$K$62, ,19)&lt;(TODAY()))*(INDEX('DBX Sprint'!$A$7:$K$62, ,19)&lt;&gt;"Complete"),MATCH(ROW('DBX Sprint'!$A$7:$K$62),ROW('DBX Sprint'!$A$7:$K$62)),""),ROWS($P$34:P101)),COLUMNS('DBX Sprint'!$A$1:A12)),"")</f>
        <v/>
      </c>
      <c r="Q101" s="41" t="str" cm="1">
        <f t="array" aca="1" ref="Q101" ca="1">IFERROR(INDEX('DBX Sprint'!$A$7:$K$62, SMALL(IF((INDEX('DBX Sprint'!$A$7:$K$62, ,19)&lt;=(TODAY()+1))*(INDEX('DBX Sprint'!$A$7:$K$62, ,19)&gt;=TODAY()),MATCH(ROW('DBX Sprint'!$A$7:$K$62),ROW('DBX Sprint'!$A$7:$K$62)),""),ROWS($Q$34:Q101)),COLUMNS('DBX Sprint'!$A$1:A12)),"")</f>
        <v/>
      </c>
      <c r="R101" s="43" t="str" cm="1">
        <f t="array" aca="1" ref="R101" ca="1">IFERROR(INDEX('DBX Sprint'!$A$7:$K$62, SMALL(IF((INDEX('DBX Sprint'!$A$7:$K$62, ,19)&lt;=(TODAY()+5))*(INDEX('DBX Sprint'!$A$7:$K$62, ,19)&gt;(TODAY()+1)),MATCH(ROW('DBX Sprint'!$A$7:$K$62),ROW('DBX Sprint'!$A$7:$K$62)),""),ROWS($R$34:R101)),COLUMNS('DBX Sprint'!$A$1:A12)),"")</f>
        <v/>
      </c>
      <c r="S101" s="43" t="str" cm="1">
        <f t="array" aca="1" ref="S101" ca="1">IFERROR(INDEX('DBX Sprint'!$A$7:$K$62, SMALL(IF((INDEX('DBX Sprint'!$A$7:$K$62, ,19)&lt;=(TODAY()+10))*(INDEX('DBX Sprint'!$A$7:$K$62, ,19)&gt;(TODAY()+5)),MATCH(ROW('DBX Sprint'!$A$7:$K$62),ROW('DBX Sprint'!$A$7:$K$62)),""),ROWS($S$34:S101)),COLUMNS('DBX Sprint'!$A$1:A12)),"")</f>
        <v/>
      </c>
      <c r="U101" s="41" t="str" cm="1">
        <f t="array" ref="U101">IFERROR(INDEX('DBX Sprint'!$A$7:$K$62, SMALL(IF((INDEX('DBX Sprint'!$A$7:$K$62, ,22)=("Complete"))*(INDEX('DBX Sprint'!$A$7:$K$62, ,22)="Complete"),MATCH(ROW('DBX Sprint'!$A$7:$K$62),ROW('DBX Sprint'!$A$7:$K$62)),""),ROWS($U$34:U101)),COLUMNS('DBX Sprint'!$A$1:A12)),"")</f>
        <v/>
      </c>
      <c r="V101" s="41" t="str" cm="1">
        <f t="array" aca="1" ref="V101" ca="1">IFERROR(INDEX('DBX Sprint'!$A$7:$K$62, SMALL(IF((INDEX('DBX Sprint'!$A$7:$K$62, ,22)&lt;(TODAY()))*(INDEX('DBX Sprint'!$A$7:$K$62, ,22)&lt;&gt;"Complete"),MATCH(ROW('DBX Sprint'!$A$7:$K$62),ROW('DBX Sprint'!$A$7:$K$62)),""),ROWS($V$34:V101)),COLUMNS('DBX Sprint'!$A$1:A12)),"")</f>
        <v/>
      </c>
      <c r="W101" s="41" t="str" cm="1">
        <f t="array" aca="1" ref="W101" ca="1">IFERROR(INDEX('DBX Sprint'!$A$7:$K$62, SMALL(IF((INDEX('DBX Sprint'!$A$7:$K$62, ,22)&lt;=(TODAY()+1))*(INDEX('DBX Sprint'!$A$7:$K$62, ,22)&gt;=TODAY()),MATCH(ROW('DBX Sprint'!$A$7:$K$62),ROW('DBX Sprint'!$A$7:$K$62)),""),ROWS($W$34:W101)),COLUMNS('DBX Sprint'!$A$1:A12)),"")</f>
        <v/>
      </c>
      <c r="X101" s="43" t="str" cm="1">
        <f t="array" aca="1" ref="X101" ca="1">IFERROR(INDEX('DBX Sprint'!$A$7:$K$62, SMALL(IF((INDEX('DBX Sprint'!$A$7:$K$62, ,22)&lt;=(TODAY()+5))*(INDEX('DBX Sprint'!$A$7:$K$62, ,22)&gt;(TODAY()+1)),MATCH(ROW('DBX Sprint'!$A$7:$K$62),ROW('DBX Sprint'!$A$7:$K$62)),""),ROWS($X$34:X101)),COLUMNS('DBX Sprint'!$A$1:A12)),"")</f>
        <v/>
      </c>
      <c r="Y101" s="43" t="str" cm="1">
        <f t="array" aca="1" ref="Y101" ca="1">IFERROR(INDEX('DBX Sprint'!$A$7:$K$62, SMALL(IF((INDEX('DBX Sprint'!$A$7:$K$62, ,22)&lt;=(TODAY()+10))*(INDEX('DBX Sprint'!$A$7:$K$62, ,22)&gt;(TODAY()+5)),MATCH(ROW('DBX Sprint'!$A$7:$K$62),ROW('DBX Sprint'!$A$7:$K$62)),""),ROWS($Y$34:Y101)),COLUMNS('DBX Sprint'!$A$1:A12)),"")</f>
        <v/>
      </c>
      <c r="AA101" s="41" t="str" cm="1">
        <f t="array" ref="AA101">IFERROR(INDEX('DBX Sprint'!$A$7:$K$62, SMALL(IF((INDEX('DBX Sprint'!$A$7:$K$62, ,25)=("Complete"))*(INDEX('DBX Sprint'!$A$7:$K$62, ,25)="Complete"),MATCH(ROW('DBX Sprint'!$A$7:$K$62),ROW('DBX Sprint'!$A$7:$K$62)),""),ROWS($AA$34:AA101)),COLUMNS('DBX Sprint'!$A$1:A12)),"")</f>
        <v/>
      </c>
      <c r="AB101" s="41" t="str" cm="1">
        <f t="array" aca="1" ref="AB101" ca="1">IFERROR(INDEX('DBX Sprint'!$A$7:$K$62, SMALL(IF((INDEX('DBX Sprint'!$A$7:$K$62, ,25)&lt;(TODAY()))*(INDEX('DBX Sprint'!$A$7:$K$62, ,25)&lt;&gt;"Complete"),MATCH(ROW('DBX Sprint'!$A$7:$K$62),ROW('DBX Sprint'!$A$7:$K$62)),""),ROWS($AB$34:AB101)),COLUMNS('DBX Sprint'!$A$1:A12)),"")</f>
        <v/>
      </c>
      <c r="AC101" s="41" t="str" cm="1">
        <f t="array" aca="1" ref="AC101" ca="1">IFERROR(INDEX('DBX Sprint'!$A$7:$K$62, SMALL(IF((INDEX('DBX Sprint'!$A$7:$K$62, ,25)&lt;=(TODAY()+1))*(INDEX('DBX Sprint'!$A$7:$K$62, ,25)&gt;=TODAY()),MATCH(ROW('DBX Sprint'!$A$7:$K$62),ROW('DBX Sprint'!$A$7:$K$62)),""),ROWS($AC$34:AC101)),COLUMNS('DBX Sprint'!$A$1:A12)),"")</f>
        <v/>
      </c>
      <c r="AD101" s="43" t="str" cm="1">
        <f t="array" aca="1" ref="AD101" ca="1">IFERROR(INDEX('DBX Sprint'!$A$7:$K$62, SMALL(IF((INDEX('DBX Sprint'!$A$7:$K$62, ,25)&lt;=(TODAY()+5))*(INDEX('DBX Sprint'!$A$7:$K$62, ,25)&gt;(TODAY()+1)),MATCH(ROW('DBX Sprint'!$A$7:$K$62),ROW('DBX Sprint'!$A$7:$K$62)),""),ROWS($AD$34:AD101)),COLUMNS('DBX Sprint'!$A$1:A12)),"")</f>
        <v/>
      </c>
      <c r="AE101" s="43" t="str" cm="1">
        <f t="array" aca="1" ref="AE101" ca="1">IFERROR(INDEX('DBX Sprint'!$A$7:$K$62, SMALL(IF((INDEX('DBX Sprint'!$A$7:$K$62, ,25)&lt;=(TODAY()+10))*(INDEX('DBX Sprint'!$A$7:$K$62, ,25)&gt;(TODAY()+5)),MATCH(ROW('DBX Sprint'!$A$7:$K$62),ROW('DBX Sprint'!$A$7:$K$62)),""),ROWS($AE$34:AE101)),COLUMNS('DBX Sprint'!$A$1:A12)),"")</f>
        <v/>
      </c>
      <c r="AG101" s="41" t="str" cm="1">
        <f t="array" ref="AG101">IFERROR(INDEX('DBX Sprint'!$A$7:$K$62, SMALL(IF((INDEX('DBX Sprint'!$A$7:$K$62, ,29)=("Complete"))*(INDEX('DBX Sprint'!$A$7:$K$62, ,29)="Complete"),MATCH(ROW('DBX Sprint'!$A$7:$K$62),ROW('DBX Sprint'!$A$7:$K$62)),""),ROWS($AG$34:AG101)),COLUMNS('DBX Sprint'!$A$1:A12)),"")</f>
        <v/>
      </c>
      <c r="AH101" s="41" t="str" cm="1">
        <f t="array" aca="1" ref="AH101" ca="1">IFERROR(INDEX('DBX Sprint'!$A$7:$K$62, SMALL(IF((INDEX('DBX Sprint'!$A$7:$K$62, ,29)&lt;(TODAY()))*(INDEX('DBX Sprint'!$A$7:$K$62, ,29)&lt;&gt;"Complete"),MATCH(ROW('DBX Sprint'!$A$7:$K$62),ROW('DBX Sprint'!$A$7:$K$62)),""),ROWS($AH$34:AH101)),COLUMNS('DBX Sprint'!$A$1:A12)),"")</f>
        <v/>
      </c>
      <c r="AI101" s="41" t="str" cm="1">
        <f t="array" aca="1" ref="AI101" ca="1">IFERROR(INDEX('DBX Sprint'!$A$7:$K$62, SMALL(IF((INDEX('DBX Sprint'!$A$7:$K$62, ,29)&lt;=(TODAY()+1))*(INDEX('DBX Sprint'!$A$7:$K$62, ,29)&gt;=TODAY()),MATCH(ROW('DBX Sprint'!$A$7:$K$62),ROW('DBX Sprint'!$A$7:$K$62)),""),ROWS($AI$34:AI101)),COLUMNS('DBX Sprint'!$A$1:A12)),"")</f>
        <v/>
      </c>
      <c r="AJ101" s="43" t="str" cm="1">
        <f t="array" aca="1" ref="AJ101" ca="1">IFERROR(INDEX('DBX Sprint'!$A$7:$K$62, SMALL(IF((INDEX('DBX Sprint'!$A$7:$K$62, ,29)&lt;=(TODAY()+5))*(INDEX('DBX Sprint'!$A$7:$K$62, ,29)&gt;(TODAY()+1)),MATCH(ROW('DBX Sprint'!$A$7:$K$62),ROW('DBX Sprint'!$A$7:$K$62)),""),ROWS($AJ$34:AJ101)),COLUMNS('DBX Sprint'!$A$1:A12)),"")</f>
        <v/>
      </c>
      <c r="AK101" s="43" t="str" cm="1">
        <f t="array" aca="1" ref="AK101" ca="1">IFERROR(INDEX('DBX Sprint'!$A$7:$K$62, SMALL(IF((INDEX('DBX Sprint'!$A$7:$K$62, ,29)&lt;=(TODAY()+10))*(INDEX('DBX Sprint'!$A$7:$K$62, ,29)&gt;(TODAY()+5)),MATCH(ROW('DBX Sprint'!$A$7:$K$62),ROW('DBX Sprint'!$A$7:$K$62)),""),ROWS($AK$34:AK101)),COLUMNS('DBX Sprint'!$A$1:A12)),"")</f>
        <v/>
      </c>
      <c r="AM101" s="41" t="str" cm="1">
        <f t="array" ref="AM101">IFERROR(INDEX('DBX Sprint'!$A$7:$K$62, SMALL(IF((INDEX('DBX Sprint'!$A$7:$K$62, ,32)=("Complete"))*(INDEX('DBX Sprint'!$A$7:$K$62, ,32)="Complete"),MATCH(ROW('DBX Sprint'!$A$7:$K$62),ROW('DBX Sprint'!$A$7:$K$62)),""),ROWS($AM$34:AM101)),COLUMNS('DBX Sprint'!$A$1:A12)),"")</f>
        <v/>
      </c>
      <c r="AN101" s="41" t="str" cm="1">
        <f t="array" aca="1" ref="AN101" ca="1">IFERROR(INDEX('DBX Sprint'!$A$7:$K$62, SMALL(IF((INDEX('DBX Sprint'!$A$7:$K$62, ,32)&lt;(TODAY()))*(INDEX('DBX Sprint'!$A$7:$K$62, ,32)&lt;&gt;"Complete"),MATCH(ROW('DBX Sprint'!$A$7:$K$62),ROW('DBX Sprint'!$A$7:$K$62)),""),ROWS($AN$34:AN101)),COLUMNS('DBX Sprint'!$A$1:A12)),"")</f>
        <v/>
      </c>
      <c r="AO101" s="41" t="str" cm="1">
        <f t="array" aca="1" ref="AO101" ca="1">IFERROR(INDEX('DBX Sprint'!$A$7:$K$62, SMALL(IF((INDEX('DBX Sprint'!$A$7:$K$62, ,32)&lt;=(TODAY()+1))*(INDEX('DBX Sprint'!$A$7:$K$62, ,32)&gt;=TODAY()),MATCH(ROW('DBX Sprint'!$A$7:$K$62),ROW('DBX Sprint'!$A$7:$K$62)),""),ROWS($AO$34:AO101)),COLUMNS('DBX Sprint'!$A$1:A12)),"")</f>
        <v/>
      </c>
      <c r="AP101" s="43" t="str" cm="1">
        <f t="array" aca="1" ref="AP101" ca="1">IFERROR(INDEX('DBX Sprint'!$A$7:$K$62, SMALL(IF((INDEX('DBX Sprint'!$A$7:$K$62, ,32)&lt;=(TODAY()+5))*(INDEX('DBX Sprint'!$A$7:$K$62, ,32)&gt;(TODAY()+1)),MATCH(ROW('DBX Sprint'!$A$7:$K$62),ROW('DBX Sprint'!$A$7:$K$62)),""),ROWS($AP$34:AP101)),COLUMNS('DBX Sprint'!$A$1:A12)),"")</f>
        <v/>
      </c>
      <c r="AQ101" s="43" t="str" cm="1">
        <f t="array" aca="1" ref="AQ101" ca="1">IFERROR(INDEX('DBX Sprint'!$A$7:$K$62, SMALL(IF((INDEX('DBX Sprint'!$A$7:$K$62, ,32)&lt;=(TODAY()+10))*(INDEX('DBX Sprint'!$A$7:$K$62, ,32)&gt;(TODAY()+5)),MATCH(ROW('DBX Sprint'!$A$7:$K$62),ROW('DBX Sprint'!$A$7:$K$62)),""),ROWS($AQ$34:AQ101)),COLUMNS('DBX Sprint'!$A$1:A12)),"")</f>
        <v/>
      </c>
    </row>
    <row r="102" spans="3:43" ht="30" customHeight="1">
      <c r="C102" s="41" t="str" cm="1">
        <f t="array" ref="C102">IFERROR(INDEX('DBX Sprint'!$A$7:$K$62, SMALL(IF((INDEX('DBX Sprint'!$A$7:$K$62, ,13)=("Complete"))*(INDEX('DBX Sprint'!$A$7:$K$62, ,13)="Complete"),MATCH(ROW('DBX Sprint'!$A$7:$K$62),ROW('DBX Sprint'!$A$7:$K$62)),""),ROWS(C$34:$C102)),COLUMNS('DBX Sprint'!$A$1:A12)),"")</f>
        <v/>
      </c>
      <c r="D102" s="41" t="str" cm="1">
        <f t="array" aca="1" ref="D102" ca="1">IFERROR(INDEX('DBX Sprint'!$A$7:$K$62, SMALL(IF((INDEX('DBX Sprint'!$A$7:$K$62, ,13)&lt;(TODAY()))*(INDEX('DBX Sprint'!$A$7:$K$62, ,13)&lt;&gt;"Complete"),MATCH(ROW('DBX Sprint'!$A$7:$K$62),ROW('DBX Sprint'!$A$7:$K$62)),""),ROWS(D$34:$D102)),COLUMNS('DBX Sprint'!$A$1:A12)),"")</f>
        <v/>
      </c>
      <c r="E102" s="41" t="str" cm="1">
        <f t="array" aca="1" ref="E102" ca="1">IFERROR(INDEX('DBX Sprint'!$A$7:$K$62, SMALL(IF((INDEX('DBX Sprint'!$A$7:$K$62, ,13)&lt;=(TODAY()+1))*(INDEX('DBX Sprint'!$A$7:$K$62, ,13)&gt;=TODAY()),MATCH(ROW('DBX Sprint'!$A$7:$K$62),ROW('DBX Sprint'!$A$7:$K$62)),""),ROWS(E$34:$E102)),COLUMNS('DBX Sprint'!$A$1:A12)),"")</f>
        <v/>
      </c>
      <c r="F102" s="43" t="str" cm="1">
        <f t="array" aca="1" ref="F102" ca="1">IFERROR(INDEX('DBX Sprint'!$A$7:$K$62, SMALL(IF((INDEX('DBX Sprint'!$A$7:$K$62, ,13)&lt;=(TODAY()+5))*(INDEX('DBX Sprint'!$A$7:$K$62, ,13)&gt;(TODAY()+1)),MATCH(ROW('DBX Sprint'!$A$7:$K$62),ROW('DBX Sprint'!$A$7:$K$62)),""),ROWS($F$34:F102)),COLUMNS('DBX Sprint'!$A$1:A12)),"")</f>
        <v/>
      </c>
      <c r="G102" s="43" t="str" cm="1">
        <f t="array" aca="1" ref="G102" ca="1">IFERROR(INDEX('DBX Sprint'!$A$7:$K$62, SMALL(IF((INDEX('DBX Sprint'!$A$7:$K$62, ,13)&lt;=(TODAY()+10))*(INDEX('DBX Sprint'!$A$7:$K$62, ,13)&gt;(TODAY()+5)),MATCH(ROW('DBX Sprint'!$A$7:$K$62),ROW('DBX Sprint'!$A$7:$K$62)),""),ROWS($G$34:G102)),COLUMNS('DBX Sprint'!$A$1:A12)),"")</f>
        <v/>
      </c>
      <c r="I102" s="41" t="str" cm="1">
        <f t="array" ref="I102">IFERROR(INDEX('DBX Sprint'!$A$7:$K$62, SMALL(IF((INDEX('DBX Sprint'!$A$7:$K$62, ,16)=("Complete"))*(INDEX('DBX Sprint'!$A$7:$K$62, ,16)="Complete"),MATCH(ROW('DBX Sprint'!$A$7:$K$62),ROW('DBX Sprint'!$A$7:$K$62)),""),ROWS($I$34:I102)),COLUMNS('DBX Sprint'!$A$1:A12)),"")</f>
        <v/>
      </c>
      <c r="J102" s="41" t="str" cm="1">
        <f t="array" aca="1" ref="J102" ca="1">IFERROR(INDEX('DBX Sprint'!$A$7:$K$62, SMALL(IF((INDEX('DBX Sprint'!$A$7:$K$62, ,16)&lt;(TODAY()))*(INDEX('DBX Sprint'!$A$7:$K$62, ,16)&lt;&gt;"Complete"),MATCH(ROW('DBX Sprint'!$A$7:$K$62),ROW('DBX Sprint'!$A$7:$K$62)),""),ROWS($J$34:J102)),COLUMNS('DBX Sprint'!$A$1:A12)),"")</f>
        <v/>
      </c>
      <c r="K102" s="37" t="str" cm="1">
        <f t="array" aca="1" ref="K102" ca="1">IFERROR(INDEX('DBX Sprint'!$A$7:$K$62, SMALL(IF((INDEX('DBX Sprint'!$A$7:$K$62, ,16)&lt;=(TODAY()+1))*(INDEX('DBX Sprint'!$A$7:$K$62, ,16)&gt;=TODAY()),MATCH(ROW('DBX Sprint'!$A$7:$K$62),ROW('DBX Sprint'!$A$7:$K$62)),""),ROWS($K$34:K102)),COLUMNS('DBX Sprint'!$A$1:A12)),"")</f>
        <v/>
      </c>
      <c r="L102" s="38" t="str" cm="1">
        <f t="array" aca="1" ref="L102" ca="1">IFERROR(INDEX('DBX Sprint'!$A$7:$K$62, SMALL(IF((INDEX('DBX Sprint'!$A$7:$K$62, ,16)&lt;=(TODAY()+5))*(INDEX('DBX Sprint'!$A$7:$K$62, ,16)&gt;(TODAY()+1)),MATCH(ROW('DBX Sprint'!$A$7:$K$62),ROW('DBX Sprint'!$A$7:$K$62)),""),ROWS($L$34:L102)),COLUMNS('DBX Sprint'!$A$1:A12)),"")</f>
        <v/>
      </c>
      <c r="M102" s="43" t="str" cm="1">
        <f t="array" aca="1" ref="M102" ca="1">IFERROR(INDEX('DBX Sprint'!$A$7:$K$62, SMALL(IF((INDEX('DBX Sprint'!$A$7:$K$62, ,16)&lt;=(TODAY()+10))*(INDEX('DBX Sprint'!$A$7:$K$62, ,16)&gt;(TODAY()+5)),MATCH(ROW('DBX Sprint'!$A$7:$K$62),ROW('DBX Sprint'!$A$7:$K$62)),""),ROWS($M$34:M102)),COLUMNS('DBX Sprint'!$A$1:A12)),"")</f>
        <v/>
      </c>
      <c r="P102" s="41" t="str" cm="1">
        <f t="array" aca="1" ref="P102" ca="1">IFERROR(INDEX('DBX Sprint'!$A$7:$K$62, SMALL(IF((INDEX('DBX Sprint'!$A$7:$K$62, ,19)&lt;(TODAY()))*(INDEX('DBX Sprint'!$A$7:$K$62, ,19)&lt;&gt;"Complete"),MATCH(ROW('DBX Sprint'!$A$7:$K$62),ROW('DBX Sprint'!$A$7:$K$62)),""),ROWS($P$34:P102)),COLUMNS('DBX Sprint'!$A$1:A12)),"")</f>
        <v/>
      </c>
      <c r="Q102" s="41" t="str" cm="1">
        <f t="array" aca="1" ref="Q102" ca="1">IFERROR(INDEX('DBX Sprint'!$A$7:$K$62, SMALL(IF((INDEX('DBX Sprint'!$A$7:$K$62, ,19)&lt;=(TODAY()+1))*(INDEX('DBX Sprint'!$A$7:$K$62, ,19)&gt;=TODAY()),MATCH(ROW('DBX Sprint'!$A$7:$K$62),ROW('DBX Sprint'!$A$7:$K$62)),""),ROWS($Q$34:Q102)),COLUMNS('DBX Sprint'!$A$1:A12)),"")</f>
        <v/>
      </c>
      <c r="R102" s="43" t="str" cm="1">
        <f t="array" aca="1" ref="R102" ca="1">IFERROR(INDEX('DBX Sprint'!$A$7:$K$62, SMALL(IF((INDEX('DBX Sprint'!$A$7:$K$62, ,19)&lt;=(TODAY()+5))*(INDEX('DBX Sprint'!$A$7:$K$62, ,19)&gt;(TODAY()+1)),MATCH(ROW('DBX Sprint'!$A$7:$K$62),ROW('DBX Sprint'!$A$7:$K$62)),""),ROWS($R$34:R102)),COLUMNS('DBX Sprint'!$A$1:A12)),"")</f>
        <v/>
      </c>
      <c r="S102" s="43" t="str" cm="1">
        <f t="array" aca="1" ref="S102" ca="1">IFERROR(INDEX('DBX Sprint'!$A$7:$K$62, SMALL(IF((INDEX('DBX Sprint'!$A$7:$K$62, ,19)&lt;=(TODAY()+10))*(INDEX('DBX Sprint'!$A$7:$K$62, ,19)&gt;(TODAY()+5)),MATCH(ROW('DBX Sprint'!$A$7:$K$62),ROW('DBX Sprint'!$A$7:$K$62)),""),ROWS($S$34:S102)),COLUMNS('DBX Sprint'!$A$1:A12)),"")</f>
        <v/>
      </c>
      <c r="U102" s="41" t="str" cm="1">
        <f t="array" ref="U102">IFERROR(INDEX('DBX Sprint'!$A$7:$K$62, SMALL(IF((INDEX('DBX Sprint'!$A$7:$K$62, ,22)=("Complete"))*(INDEX('DBX Sprint'!$A$7:$K$62, ,22)="Complete"),MATCH(ROW('DBX Sprint'!$A$7:$K$62),ROW('DBX Sprint'!$A$7:$K$62)),""),ROWS($U$34:U102)),COLUMNS('DBX Sprint'!$A$1:A12)),"")</f>
        <v/>
      </c>
      <c r="V102" s="41" t="str" cm="1">
        <f t="array" aca="1" ref="V102" ca="1">IFERROR(INDEX('DBX Sprint'!$A$7:$K$62, SMALL(IF((INDEX('DBX Sprint'!$A$7:$K$62, ,22)&lt;(TODAY()))*(INDEX('DBX Sprint'!$A$7:$K$62, ,22)&lt;&gt;"Complete"),MATCH(ROW('DBX Sprint'!$A$7:$K$62),ROW('DBX Sprint'!$A$7:$K$62)),""),ROWS($V$34:V102)),COLUMNS('DBX Sprint'!$A$1:A12)),"")</f>
        <v/>
      </c>
      <c r="W102" s="41" t="str" cm="1">
        <f t="array" aca="1" ref="W102" ca="1">IFERROR(INDEX('DBX Sprint'!$A$7:$K$62, SMALL(IF((INDEX('DBX Sprint'!$A$7:$K$62, ,22)&lt;=(TODAY()+1))*(INDEX('DBX Sprint'!$A$7:$K$62, ,22)&gt;=TODAY()),MATCH(ROW('DBX Sprint'!$A$7:$K$62),ROW('DBX Sprint'!$A$7:$K$62)),""),ROWS($W$34:W102)),COLUMNS('DBX Sprint'!$A$1:A12)),"")</f>
        <v/>
      </c>
      <c r="X102" s="43" t="str" cm="1">
        <f t="array" aca="1" ref="X102" ca="1">IFERROR(INDEX('DBX Sprint'!$A$7:$K$62, SMALL(IF((INDEX('DBX Sprint'!$A$7:$K$62, ,22)&lt;=(TODAY()+5))*(INDEX('DBX Sprint'!$A$7:$K$62, ,22)&gt;(TODAY()+1)),MATCH(ROW('DBX Sprint'!$A$7:$K$62),ROW('DBX Sprint'!$A$7:$K$62)),""),ROWS($X$34:X102)),COLUMNS('DBX Sprint'!$A$1:A12)),"")</f>
        <v/>
      </c>
      <c r="Y102" s="43" t="str" cm="1">
        <f t="array" aca="1" ref="Y102" ca="1">IFERROR(INDEX('DBX Sprint'!$A$7:$K$62, SMALL(IF((INDEX('DBX Sprint'!$A$7:$K$62, ,22)&lt;=(TODAY()+10))*(INDEX('DBX Sprint'!$A$7:$K$62, ,22)&gt;(TODAY()+5)),MATCH(ROW('DBX Sprint'!$A$7:$K$62),ROW('DBX Sprint'!$A$7:$K$62)),""),ROWS($Y$34:Y102)),COLUMNS('DBX Sprint'!$A$1:A12)),"")</f>
        <v/>
      </c>
      <c r="AA102" s="41" t="str" cm="1">
        <f t="array" ref="AA102">IFERROR(INDEX('DBX Sprint'!$A$7:$K$62, SMALL(IF((INDEX('DBX Sprint'!$A$7:$K$62, ,25)=("Complete"))*(INDEX('DBX Sprint'!$A$7:$K$62, ,25)="Complete"),MATCH(ROW('DBX Sprint'!$A$7:$K$62),ROW('DBX Sprint'!$A$7:$K$62)),""),ROWS($AA$34:AA102)),COLUMNS('DBX Sprint'!$A$1:A12)),"")</f>
        <v/>
      </c>
      <c r="AB102" s="41" t="str" cm="1">
        <f t="array" aca="1" ref="AB102" ca="1">IFERROR(INDEX('DBX Sprint'!$A$7:$K$62, SMALL(IF((INDEX('DBX Sprint'!$A$7:$K$62, ,25)&lt;(TODAY()))*(INDEX('DBX Sprint'!$A$7:$K$62, ,25)&lt;&gt;"Complete"),MATCH(ROW('DBX Sprint'!$A$7:$K$62),ROW('DBX Sprint'!$A$7:$K$62)),""),ROWS($AB$34:AB102)),COLUMNS('DBX Sprint'!$A$1:A12)),"")</f>
        <v/>
      </c>
      <c r="AC102" s="41" t="str" cm="1">
        <f t="array" aca="1" ref="AC102" ca="1">IFERROR(INDEX('DBX Sprint'!$A$7:$K$62, SMALL(IF((INDEX('DBX Sprint'!$A$7:$K$62, ,25)&lt;=(TODAY()+1))*(INDEX('DBX Sprint'!$A$7:$K$62, ,25)&gt;=TODAY()),MATCH(ROW('DBX Sprint'!$A$7:$K$62),ROW('DBX Sprint'!$A$7:$K$62)),""),ROWS($AC$34:AC102)),COLUMNS('DBX Sprint'!$A$1:A12)),"")</f>
        <v/>
      </c>
      <c r="AD102" s="43" t="str" cm="1">
        <f t="array" aca="1" ref="AD102" ca="1">IFERROR(INDEX('DBX Sprint'!$A$7:$K$62, SMALL(IF((INDEX('DBX Sprint'!$A$7:$K$62, ,25)&lt;=(TODAY()+5))*(INDEX('DBX Sprint'!$A$7:$K$62, ,25)&gt;(TODAY()+1)),MATCH(ROW('DBX Sprint'!$A$7:$K$62),ROW('DBX Sprint'!$A$7:$K$62)),""),ROWS($AD$34:AD102)),COLUMNS('DBX Sprint'!$A$1:A12)),"")</f>
        <v/>
      </c>
      <c r="AE102" s="43" t="str" cm="1">
        <f t="array" aca="1" ref="AE102" ca="1">IFERROR(INDEX('DBX Sprint'!$A$7:$K$62, SMALL(IF((INDEX('DBX Sprint'!$A$7:$K$62, ,25)&lt;=(TODAY()+10))*(INDEX('DBX Sprint'!$A$7:$K$62, ,25)&gt;(TODAY()+5)),MATCH(ROW('DBX Sprint'!$A$7:$K$62),ROW('DBX Sprint'!$A$7:$K$62)),""),ROWS($AE$34:AE102)),COLUMNS('DBX Sprint'!$A$1:A12)),"")</f>
        <v/>
      </c>
      <c r="AG102" s="41" t="str" cm="1">
        <f t="array" ref="AG102">IFERROR(INDEX('DBX Sprint'!$A$7:$K$62, SMALL(IF((INDEX('DBX Sprint'!$A$7:$K$62, ,29)=("Complete"))*(INDEX('DBX Sprint'!$A$7:$K$62, ,29)="Complete"),MATCH(ROW('DBX Sprint'!$A$7:$K$62),ROW('DBX Sprint'!$A$7:$K$62)),""),ROWS($AG$34:AG102)),COLUMNS('DBX Sprint'!$A$1:A12)),"")</f>
        <v/>
      </c>
      <c r="AH102" s="41" t="str" cm="1">
        <f t="array" aca="1" ref="AH102" ca="1">IFERROR(INDEX('DBX Sprint'!$A$7:$K$62, SMALL(IF((INDEX('DBX Sprint'!$A$7:$K$62, ,29)&lt;(TODAY()))*(INDEX('DBX Sprint'!$A$7:$K$62, ,29)&lt;&gt;"Complete"),MATCH(ROW('DBX Sprint'!$A$7:$K$62),ROW('DBX Sprint'!$A$7:$K$62)),""),ROWS($AH$34:AH102)),COLUMNS('DBX Sprint'!$A$1:A12)),"")</f>
        <v/>
      </c>
      <c r="AI102" s="41" t="str" cm="1">
        <f t="array" aca="1" ref="AI102" ca="1">IFERROR(INDEX('DBX Sprint'!$A$7:$K$62, SMALL(IF((INDEX('DBX Sprint'!$A$7:$K$62, ,29)&lt;=(TODAY()+1))*(INDEX('DBX Sprint'!$A$7:$K$62, ,29)&gt;=TODAY()),MATCH(ROW('DBX Sprint'!$A$7:$K$62),ROW('DBX Sprint'!$A$7:$K$62)),""),ROWS($AI$34:AI102)),COLUMNS('DBX Sprint'!$A$1:A12)),"")</f>
        <v/>
      </c>
      <c r="AJ102" s="43" t="str" cm="1">
        <f t="array" aca="1" ref="AJ102" ca="1">IFERROR(INDEX('DBX Sprint'!$A$7:$K$62, SMALL(IF((INDEX('DBX Sprint'!$A$7:$K$62, ,29)&lt;=(TODAY()+5))*(INDEX('DBX Sprint'!$A$7:$K$62, ,29)&gt;(TODAY()+1)),MATCH(ROW('DBX Sprint'!$A$7:$K$62),ROW('DBX Sprint'!$A$7:$K$62)),""),ROWS($AJ$34:AJ102)),COLUMNS('DBX Sprint'!$A$1:A12)),"")</f>
        <v/>
      </c>
      <c r="AK102" s="43" t="str" cm="1">
        <f t="array" aca="1" ref="AK102" ca="1">IFERROR(INDEX('DBX Sprint'!$A$7:$K$62, SMALL(IF((INDEX('DBX Sprint'!$A$7:$K$62, ,29)&lt;=(TODAY()+10))*(INDEX('DBX Sprint'!$A$7:$K$62, ,29)&gt;(TODAY()+5)),MATCH(ROW('DBX Sprint'!$A$7:$K$62),ROW('DBX Sprint'!$A$7:$K$62)),""),ROWS($AK$34:AK102)),COLUMNS('DBX Sprint'!$A$1:A12)),"")</f>
        <v/>
      </c>
      <c r="AM102" s="41" t="str" cm="1">
        <f t="array" ref="AM102">IFERROR(INDEX('DBX Sprint'!$A$7:$K$62, SMALL(IF((INDEX('DBX Sprint'!$A$7:$K$62, ,32)=("Complete"))*(INDEX('DBX Sprint'!$A$7:$K$62, ,32)="Complete"),MATCH(ROW('DBX Sprint'!$A$7:$K$62),ROW('DBX Sprint'!$A$7:$K$62)),""),ROWS($AM$34:AM102)),COLUMNS('DBX Sprint'!$A$1:A12)),"")</f>
        <v/>
      </c>
      <c r="AN102" s="41" t="str" cm="1">
        <f t="array" aca="1" ref="AN102" ca="1">IFERROR(INDEX('DBX Sprint'!$A$7:$K$62, SMALL(IF((INDEX('DBX Sprint'!$A$7:$K$62, ,32)&lt;(TODAY()))*(INDEX('DBX Sprint'!$A$7:$K$62, ,32)&lt;&gt;"Complete"),MATCH(ROW('DBX Sprint'!$A$7:$K$62),ROW('DBX Sprint'!$A$7:$K$62)),""),ROWS($AN$34:AN102)),COLUMNS('DBX Sprint'!$A$1:A12)),"")</f>
        <v/>
      </c>
      <c r="AO102" s="41" t="str" cm="1">
        <f t="array" aca="1" ref="AO102" ca="1">IFERROR(INDEX('DBX Sprint'!$A$7:$K$62, SMALL(IF((INDEX('DBX Sprint'!$A$7:$K$62, ,32)&lt;=(TODAY()+1))*(INDEX('DBX Sprint'!$A$7:$K$62, ,32)&gt;=TODAY()),MATCH(ROW('DBX Sprint'!$A$7:$K$62),ROW('DBX Sprint'!$A$7:$K$62)),""),ROWS($AO$34:AO102)),COLUMNS('DBX Sprint'!$A$1:A12)),"")</f>
        <v/>
      </c>
      <c r="AP102" s="43" t="str" cm="1">
        <f t="array" aca="1" ref="AP102" ca="1">IFERROR(INDEX('DBX Sprint'!$A$7:$K$62, SMALL(IF((INDEX('DBX Sprint'!$A$7:$K$62, ,32)&lt;=(TODAY()+5))*(INDEX('DBX Sprint'!$A$7:$K$62, ,32)&gt;(TODAY()+1)),MATCH(ROW('DBX Sprint'!$A$7:$K$62),ROW('DBX Sprint'!$A$7:$K$62)),""),ROWS($AP$34:AP102)),COLUMNS('DBX Sprint'!$A$1:A12)),"")</f>
        <v/>
      </c>
      <c r="AQ102" s="43" t="str" cm="1">
        <f t="array" aca="1" ref="AQ102" ca="1">IFERROR(INDEX('DBX Sprint'!$A$7:$K$62, SMALL(IF((INDEX('DBX Sprint'!$A$7:$K$62, ,32)&lt;=(TODAY()+10))*(INDEX('DBX Sprint'!$A$7:$K$62, ,32)&gt;(TODAY()+5)),MATCH(ROW('DBX Sprint'!$A$7:$K$62),ROW('DBX Sprint'!$A$7:$K$62)),""),ROWS($AQ$34:AQ102)),COLUMNS('DBX Sprint'!$A$1:A12)),"")</f>
        <v/>
      </c>
    </row>
    <row r="103" spans="3:43" ht="30" customHeight="1">
      <c r="C103" s="41" t="str" cm="1">
        <f t="array" ref="C103">IFERROR(INDEX('DBX Sprint'!$A$7:$K$62, SMALL(IF((INDEX('DBX Sprint'!$A$7:$K$62, ,13)=("Complete"))*(INDEX('DBX Sprint'!$A$7:$K$62, ,13)="Complete"),MATCH(ROW('DBX Sprint'!$A$7:$K$62),ROW('DBX Sprint'!$A$7:$K$62)),""),ROWS(C$34:$C103)),COLUMNS('DBX Sprint'!$A$1:A12)),"")</f>
        <v/>
      </c>
      <c r="D103" s="41" t="str" cm="1">
        <f t="array" aca="1" ref="D103" ca="1">IFERROR(INDEX('DBX Sprint'!$A$7:$K$62, SMALL(IF((INDEX('DBX Sprint'!$A$7:$K$62, ,13)&lt;(TODAY()))*(INDEX('DBX Sprint'!$A$7:$K$62, ,13)&lt;&gt;"Complete"),MATCH(ROW('DBX Sprint'!$A$7:$K$62),ROW('DBX Sprint'!$A$7:$K$62)),""),ROWS(D$34:$D103)),COLUMNS('DBX Sprint'!$A$1:A12)),"")</f>
        <v/>
      </c>
      <c r="E103" s="41" t="str" cm="1">
        <f t="array" aca="1" ref="E103" ca="1">IFERROR(INDEX('DBX Sprint'!$A$7:$K$62, SMALL(IF((INDEX('DBX Sprint'!$A$7:$K$62, ,13)&lt;=(TODAY()+1))*(INDEX('DBX Sprint'!$A$7:$K$62, ,13)&gt;=TODAY()),MATCH(ROW('DBX Sprint'!$A$7:$K$62),ROW('DBX Sprint'!$A$7:$K$62)),""),ROWS(E$34:$E103)),COLUMNS('DBX Sprint'!$A$1:A12)),"")</f>
        <v/>
      </c>
      <c r="F103" s="43" t="str" cm="1">
        <f t="array" aca="1" ref="F103" ca="1">IFERROR(INDEX('DBX Sprint'!$A$7:$K$62, SMALL(IF((INDEX('DBX Sprint'!$A$7:$K$62, ,13)&lt;=(TODAY()+5))*(INDEX('DBX Sprint'!$A$7:$K$62, ,13)&gt;(TODAY()+1)),MATCH(ROW('DBX Sprint'!$A$7:$K$62),ROW('DBX Sprint'!$A$7:$K$62)),""),ROWS($F$34:F103)),COLUMNS('DBX Sprint'!$A$1:A12)),"")</f>
        <v/>
      </c>
      <c r="G103" s="43" t="str" cm="1">
        <f t="array" aca="1" ref="G103" ca="1">IFERROR(INDEX('DBX Sprint'!$A$7:$K$62, SMALL(IF((INDEX('DBX Sprint'!$A$7:$K$62, ,13)&lt;=(TODAY()+10))*(INDEX('DBX Sprint'!$A$7:$K$62, ,13)&gt;(TODAY()+5)),MATCH(ROW('DBX Sprint'!$A$7:$K$62),ROW('DBX Sprint'!$A$7:$K$62)),""),ROWS($G$34:G103)),COLUMNS('DBX Sprint'!$A$1:A12)),"")</f>
        <v/>
      </c>
      <c r="I103" s="41" t="str" cm="1">
        <f t="array" ref="I103">IFERROR(INDEX('DBX Sprint'!$A$7:$K$62, SMALL(IF((INDEX('DBX Sprint'!$A$7:$K$62, ,16)=("Complete"))*(INDEX('DBX Sprint'!$A$7:$K$62, ,16)="Complete"),MATCH(ROW('DBX Sprint'!$A$7:$K$62),ROW('DBX Sprint'!$A$7:$K$62)),""),ROWS($I$34:I103)),COLUMNS('DBX Sprint'!$A$1:A12)),"")</f>
        <v/>
      </c>
      <c r="J103" s="41" t="str" cm="1">
        <f t="array" aca="1" ref="J103" ca="1">IFERROR(INDEX('DBX Sprint'!$A$7:$K$62, SMALL(IF((INDEX('DBX Sprint'!$A$7:$K$62, ,16)&lt;(TODAY()))*(INDEX('DBX Sprint'!$A$7:$K$62, ,16)&lt;&gt;"Complete"),MATCH(ROW('DBX Sprint'!$A$7:$K$62),ROW('DBX Sprint'!$A$7:$K$62)),""),ROWS($J$34:J103)),COLUMNS('DBX Sprint'!$A$1:A12)),"")</f>
        <v/>
      </c>
      <c r="K103" s="37" t="str" cm="1">
        <f t="array" aca="1" ref="K103" ca="1">IFERROR(INDEX('DBX Sprint'!$A$7:$K$62, SMALL(IF((INDEX('DBX Sprint'!$A$7:$K$62, ,16)&lt;=(TODAY()+1))*(INDEX('DBX Sprint'!$A$7:$K$62, ,16)&gt;=TODAY()),MATCH(ROW('DBX Sprint'!$A$7:$K$62),ROW('DBX Sprint'!$A$7:$K$62)),""),ROWS($K$34:K103)),COLUMNS('DBX Sprint'!$A$1:A12)),"")</f>
        <v/>
      </c>
      <c r="L103" s="38" t="str" cm="1">
        <f t="array" aca="1" ref="L103" ca="1">IFERROR(INDEX('DBX Sprint'!$A$7:$K$62, SMALL(IF((INDEX('DBX Sprint'!$A$7:$K$62, ,16)&lt;=(TODAY()+5))*(INDEX('DBX Sprint'!$A$7:$K$62, ,16)&gt;(TODAY()+1)),MATCH(ROW('DBX Sprint'!$A$7:$K$62),ROW('DBX Sprint'!$A$7:$K$62)),""),ROWS($L$34:L103)),COLUMNS('DBX Sprint'!$A$1:A12)),"")</f>
        <v/>
      </c>
      <c r="M103" s="43" t="str" cm="1">
        <f t="array" aca="1" ref="M103" ca="1">IFERROR(INDEX('DBX Sprint'!$A$7:$K$62, SMALL(IF((INDEX('DBX Sprint'!$A$7:$K$62, ,16)&lt;=(TODAY()+10))*(INDEX('DBX Sprint'!$A$7:$K$62, ,16)&gt;(TODAY()+5)),MATCH(ROW('DBX Sprint'!$A$7:$K$62),ROW('DBX Sprint'!$A$7:$K$62)),""),ROWS($M$34:M103)),COLUMNS('DBX Sprint'!$A$1:A12)),"")</f>
        <v/>
      </c>
      <c r="P103" s="41" t="str" cm="1">
        <f t="array" aca="1" ref="P103" ca="1">IFERROR(INDEX('DBX Sprint'!$A$7:$K$62, SMALL(IF((INDEX('DBX Sprint'!$A$7:$K$62, ,19)&lt;(TODAY()))*(INDEX('DBX Sprint'!$A$7:$K$62, ,19)&lt;&gt;"Complete"),MATCH(ROW('DBX Sprint'!$A$7:$K$62),ROW('DBX Sprint'!$A$7:$K$62)),""),ROWS($P$34:P103)),COLUMNS('DBX Sprint'!$A$1:A12)),"")</f>
        <v/>
      </c>
      <c r="Q103" s="41" t="str" cm="1">
        <f t="array" aca="1" ref="Q103" ca="1">IFERROR(INDEX('DBX Sprint'!$A$7:$K$62, SMALL(IF((INDEX('DBX Sprint'!$A$7:$K$62, ,19)&lt;=(TODAY()+1))*(INDEX('DBX Sprint'!$A$7:$K$62, ,19)&gt;=TODAY()),MATCH(ROW('DBX Sprint'!$A$7:$K$62),ROW('DBX Sprint'!$A$7:$K$62)),""),ROWS($Q$34:Q103)),COLUMNS('DBX Sprint'!$A$1:A12)),"")</f>
        <v/>
      </c>
      <c r="R103" s="43" t="str" cm="1">
        <f t="array" aca="1" ref="R103" ca="1">IFERROR(INDEX('DBX Sprint'!$A$7:$K$62, SMALL(IF((INDEX('DBX Sprint'!$A$7:$K$62, ,19)&lt;=(TODAY()+5))*(INDEX('DBX Sprint'!$A$7:$K$62, ,19)&gt;(TODAY()+1)),MATCH(ROW('DBX Sprint'!$A$7:$K$62),ROW('DBX Sprint'!$A$7:$K$62)),""),ROWS($R$34:R103)),COLUMNS('DBX Sprint'!$A$1:A12)),"")</f>
        <v/>
      </c>
      <c r="S103" s="43" t="str" cm="1">
        <f t="array" aca="1" ref="S103" ca="1">IFERROR(INDEX('DBX Sprint'!$A$7:$K$62, SMALL(IF((INDEX('DBX Sprint'!$A$7:$K$62, ,19)&lt;=(TODAY()+10))*(INDEX('DBX Sprint'!$A$7:$K$62, ,19)&gt;(TODAY()+5)),MATCH(ROW('DBX Sprint'!$A$7:$K$62),ROW('DBX Sprint'!$A$7:$K$62)),""),ROWS($S$34:S103)),COLUMNS('DBX Sprint'!$A$1:A12)),"")</f>
        <v/>
      </c>
      <c r="U103" s="41" t="str" cm="1">
        <f t="array" ref="U103">IFERROR(INDEX('DBX Sprint'!$A$7:$K$62, SMALL(IF((INDEX('DBX Sprint'!$A$7:$K$62, ,22)=("Complete"))*(INDEX('DBX Sprint'!$A$7:$K$62, ,22)="Complete"),MATCH(ROW('DBX Sprint'!$A$7:$K$62),ROW('DBX Sprint'!$A$7:$K$62)),""),ROWS($U$34:U103)),COLUMNS('DBX Sprint'!$A$1:A12)),"")</f>
        <v/>
      </c>
      <c r="V103" s="41" t="str" cm="1">
        <f t="array" aca="1" ref="V103" ca="1">IFERROR(INDEX('DBX Sprint'!$A$7:$K$62, SMALL(IF((INDEX('DBX Sprint'!$A$7:$K$62, ,22)&lt;(TODAY()))*(INDEX('DBX Sprint'!$A$7:$K$62, ,22)&lt;&gt;"Complete"),MATCH(ROW('DBX Sprint'!$A$7:$K$62),ROW('DBX Sprint'!$A$7:$K$62)),""),ROWS($V$34:V103)),COLUMNS('DBX Sprint'!$A$1:A12)),"")</f>
        <v/>
      </c>
      <c r="W103" s="41" t="str" cm="1">
        <f t="array" aca="1" ref="W103" ca="1">IFERROR(INDEX('DBX Sprint'!$A$7:$K$62, SMALL(IF((INDEX('DBX Sprint'!$A$7:$K$62, ,22)&lt;=(TODAY()+1))*(INDEX('DBX Sprint'!$A$7:$K$62, ,22)&gt;=TODAY()),MATCH(ROW('DBX Sprint'!$A$7:$K$62),ROW('DBX Sprint'!$A$7:$K$62)),""),ROWS($W$34:W103)),COLUMNS('DBX Sprint'!$A$1:A12)),"")</f>
        <v/>
      </c>
      <c r="X103" s="43" t="str" cm="1">
        <f t="array" aca="1" ref="X103" ca="1">IFERROR(INDEX('DBX Sprint'!$A$7:$K$62, SMALL(IF((INDEX('DBX Sprint'!$A$7:$K$62, ,22)&lt;=(TODAY()+5))*(INDEX('DBX Sprint'!$A$7:$K$62, ,22)&gt;(TODAY()+1)),MATCH(ROW('DBX Sprint'!$A$7:$K$62),ROW('DBX Sprint'!$A$7:$K$62)),""),ROWS($X$34:X103)),COLUMNS('DBX Sprint'!$A$1:A12)),"")</f>
        <v/>
      </c>
      <c r="Y103" s="43" t="str" cm="1">
        <f t="array" aca="1" ref="Y103" ca="1">IFERROR(INDEX('DBX Sprint'!$A$7:$K$62, SMALL(IF((INDEX('DBX Sprint'!$A$7:$K$62, ,22)&lt;=(TODAY()+10))*(INDEX('DBX Sprint'!$A$7:$K$62, ,22)&gt;(TODAY()+5)),MATCH(ROW('DBX Sprint'!$A$7:$K$62),ROW('DBX Sprint'!$A$7:$K$62)),""),ROWS($Y$34:Y103)),COLUMNS('DBX Sprint'!$A$1:A12)),"")</f>
        <v/>
      </c>
      <c r="AA103" s="41" t="str" cm="1">
        <f t="array" ref="AA103">IFERROR(INDEX('DBX Sprint'!$A$7:$K$62, SMALL(IF((INDEX('DBX Sprint'!$A$7:$K$62, ,25)=("Complete"))*(INDEX('DBX Sprint'!$A$7:$K$62, ,25)="Complete"),MATCH(ROW('DBX Sprint'!$A$7:$K$62),ROW('DBX Sprint'!$A$7:$K$62)),""),ROWS($AA$34:AA103)),COLUMNS('DBX Sprint'!$A$1:A12)),"")</f>
        <v/>
      </c>
      <c r="AB103" s="41" t="str" cm="1">
        <f t="array" aca="1" ref="AB103" ca="1">IFERROR(INDEX('DBX Sprint'!$A$7:$K$62, SMALL(IF((INDEX('DBX Sprint'!$A$7:$K$62, ,25)&lt;(TODAY()))*(INDEX('DBX Sprint'!$A$7:$K$62, ,25)&lt;&gt;"Complete"),MATCH(ROW('DBX Sprint'!$A$7:$K$62),ROW('DBX Sprint'!$A$7:$K$62)),""),ROWS($AB$34:AB103)),COLUMNS('DBX Sprint'!$A$1:A12)),"")</f>
        <v/>
      </c>
      <c r="AC103" s="41" t="str" cm="1">
        <f t="array" aca="1" ref="AC103" ca="1">IFERROR(INDEX('DBX Sprint'!$A$7:$K$62, SMALL(IF((INDEX('DBX Sprint'!$A$7:$K$62, ,25)&lt;=(TODAY()+1))*(INDEX('DBX Sprint'!$A$7:$K$62, ,25)&gt;=TODAY()),MATCH(ROW('DBX Sprint'!$A$7:$K$62),ROW('DBX Sprint'!$A$7:$K$62)),""),ROWS($AC$34:AC103)),COLUMNS('DBX Sprint'!$A$1:A12)),"")</f>
        <v/>
      </c>
      <c r="AD103" s="43" t="str" cm="1">
        <f t="array" aca="1" ref="AD103" ca="1">IFERROR(INDEX('DBX Sprint'!$A$7:$K$62, SMALL(IF((INDEX('DBX Sprint'!$A$7:$K$62, ,25)&lt;=(TODAY()+5))*(INDEX('DBX Sprint'!$A$7:$K$62, ,25)&gt;(TODAY()+1)),MATCH(ROW('DBX Sprint'!$A$7:$K$62),ROW('DBX Sprint'!$A$7:$K$62)),""),ROWS($AD$34:AD103)),COLUMNS('DBX Sprint'!$A$1:A12)),"")</f>
        <v/>
      </c>
      <c r="AE103" s="43" t="str" cm="1">
        <f t="array" aca="1" ref="AE103" ca="1">IFERROR(INDEX('DBX Sprint'!$A$7:$K$62, SMALL(IF((INDEX('DBX Sprint'!$A$7:$K$62, ,25)&lt;=(TODAY()+10))*(INDEX('DBX Sprint'!$A$7:$K$62, ,25)&gt;(TODAY()+5)),MATCH(ROW('DBX Sprint'!$A$7:$K$62),ROW('DBX Sprint'!$A$7:$K$62)),""),ROWS($AE$34:AE103)),COLUMNS('DBX Sprint'!$A$1:A12)),"")</f>
        <v/>
      </c>
      <c r="AG103" s="41" t="str" cm="1">
        <f t="array" ref="AG103">IFERROR(INDEX('DBX Sprint'!$A$7:$K$62, SMALL(IF((INDEX('DBX Sprint'!$A$7:$K$62, ,29)=("Complete"))*(INDEX('DBX Sprint'!$A$7:$K$62, ,29)="Complete"),MATCH(ROW('DBX Sprint'!$A$7:$K$62),ROW('DBX Sprint'!$A$7:$K$62)),""),ROWS($AG$34:AG103)),COLUMNS('DBX Sprint'!$A$1:A12)),"")</f>
        <v/>
      </c>
      <c r="AH103" s="41" t="str" cm="1">
        <f t="array" aca="1" ref="AH103" ca="1">IFERROR(INDEX('DBX Sprint'!$A$7:$K$62, SMALL(IF((INDEX('DBX Sprint'!$A$7:$K$62, ,29)&lt;(TODAY()))*(INDEX('DBX Sprint'!$A$7:$K$62, ,29)&lt;&gt;"Complete"),MATCH(ROW('DBX Sprint'!$A$7:$K$62),ROW('DBX Sprint'!$A$7:$K$62)),""),ROWS($AH$34:AH103)),COLUMNS('DBX Sprint'!$A$1:A12)),"")</f>
        <v/>
      </c>
      <c r="AI103" s="41" t="str" cm="1">
        <f t="array" aca="1" ref="AI103" ca="1">IFERROR(INDEX('DBX Sprint'!$A$7:$K$62, SMALL(IF((INDEX('DBX Sprint'!$A$7:$K$62, ,29)&lt;=(TODAY()+1))*(INDEX('DBX Sprint'!$A$7:$K$62, ,29)&gt;=TODAY()),MATCH(ROW('DBX Sprint'!$A$7:$K$62),ROW('DBX Sprint'!$A$7:$K$62)),""),ROWS($AI$34:AI103)),COLUMNS('DBX Sprint'!$A$1:A12)),"")</f>
        <v/>
      </c>
      <c r="AJ103" s="43" t="str" cm="1">
        <f t="array" aca="1" ref="AJ103" ca="1">IFERROR(INDEX('DBX Sprint'!$A$7:$K$62, SMALL(IF((INDEX('DBX Sprint'!$A$7:$K$62, ,29)&lt;=(TODAY()+5))*(INDEX('DBX Sprint'!$A$7:$K$62, ,29)&gt;(TODAY()+1)),MATCH(ROW('DBX Sprint'!$A$7:$K$62),ROW('DBX Sprint'!$A$7:$K$62)),""),ROWS($AJ$34:AJ103)),COLUMNS('DBX Sprint'!$A$1:A12)),"")</f>
        <v/>
      </c>
      <c r="AK103" s="43" t="str" cm="1">
        <f t="array" aca="1" ref="AK103" ca="1">IFERROR(INDEX('DBX Sprint'!$A$7:$K$62, SMALL(IF((INDEX('DBX Sprint'!$A$7:$K$62, ,29)&lt;=(TODAY()+10))*(INDEX('DBX Sprint'!$A$7:$K$62, ,29)&gt;(TODAY()+5)),MATCH(ROW('DBX Sprint'!$A$7:$K$62),ROW('DBX Sprint'!$A$7:$K$62)),""),ROWS($AK$34:AK103)),COLUMNS('DBX Sprint'!$A$1:A12)),"")</f>
        <v/>
      </c>
      <c r="AM103" s="41" t="str" cm="1">
        <f t="array" ref="AM103">IFERROR(INDEX('DBX Sprint'!$A$7:$K$62, SMALL(IF((INDEX('DBX Sprint'!$A$7:$K$62, ,32)=("Complete"))*(INDEX('DBX Sprint'!$A$7:$K$62, ,32)="Complete"),MATCH(ROW('DBX Sprint'!$A$7:$K$62),ROW('DBX Sprint'!$A$7:$K$62)),""),ROWS($AM$34:AM103)),COLUMNS('DBX Sprint'!$A$1:A12)),"")</f>
        <v/>
      </c>
      <c r="AN103" s="41" t="str" cm="1">
        <f t="array" aca="1" ref="AN103" ca="1">IFERROR(INDEX('DBX Sprint'!$A$7:$K$62, SMALL(IF((INDEX('DBX Sprint'!$A$7:$K$62, ,32)&lt;(TODAY()))*(INDEX('DBX Sprint'!$A$7:$K$62, ,32)&lt;&gt;"Complete"),MATCH(ROW('DBX Sprint'!$A$7:$K$62),ROW('DBX Sprint'!$A$7:$K$62)),""),ROWS($AN$34:AN103)),COLUMNS('DBX Sprint'!$A$1:A12)),"")</f>
        <v/>
      </c>
      <c r="AO103" s="41" t="str" cm="1">
        <f t="array" aca="1" ref="AO103" ca="1">IFERROR(INDEX('DBX Sprint'!$A$7:$K$62, SMALL(IF((INDEX('DBX Sprint'!$A$7:$K$62, ,32)&lt;=(TODAY()+1))*(INDEX('DBX Sprint'!$A$7:$K$62, ,32)&gt;=TODAY()),MATCH(ROW('DBX Sprint'!$A$7:$K$62),ROW('DBX Sprint'!$A$7:$K$62)),""),ROWS($AO$34:AO103)),COLUMNS('DBX Sprint'!$A$1:A12)),"")</f>
        <v/>
      </c>
      <c r="AP103" s="43" t="str" cm="1">
        <f t="array" aca="1" ref="AP103" ca="1">IFERROR(INDEX('DBX Sprint'!$A$7:$K$62, SMALL(IF((INDEX('DBX Sprint'!$A$7:$K$62, ,32)&lt;=(TODAY()+5))*(INDEX('DBX Sprint'!$A$7:$K$62, ,32)&gt;(TODAY()+1)),MATCH(ROW('DBX Sprint'!$A$7:$K$62),ROW('DBX Sprint'!$A$7:$K$62)),""),ROWS($AP$34:AP103)),COLUMNS('DBX Sprint'!$A$1:A12)),"")</f>
        <v/>
      </c>
      <c r="AQ103" s="43" t="str" cm="1">
        <f t="array" aca="1" ref="AQ103" ca="1">IFERROR(INDEX('DBX Sprint'!$A$7:$K$62, SMALL(IF((INDEX('DBX Sprint'!$A$7:$K$62, ,32)&lt;=(TODAY()+10))*(INDEX('DBX Sprint'!$A$7:$K$62, ,32)&gt;(TODAY()+5)),MATCH(ROW('DBX Sprint'!$A$7:$K$62),ROW('DBX Sprint'!$A$7:$K$62)),""),ROWS($AQ$34:AQ103)),COLUMNS('DBX Sprint'!$A$1:A12)),"")</f>
        <v/>
      </c>
    </row>
    <row r="104" spans="3:43" ht="30" customHeight="1">
      <c r="C104" s="41" t="str" cm="1">
        <f t="array" ref="C104">IFERROR(INDEX('DBX Sprint'!$A$7:$K$62, SMALL(IF((INDEX('DBX Sprint'!$A$7:$K$62, ,13)=("Complete"))*(INDEX('DBX Sprint'!$A$7:$K$62, ,13)="Complete"),MATCH(ROW('DBX Sprint'!$A$7:$K$62),ROW('DBX Sprint'!$A$7:$K$62)),""),ROWS(C$34:$C104)),COLUMNS('DBX Sprint'!$A$1:A12)),"")</f>
        <v/>
      </c>
      <c r="D104" s="41" t="str" cm="1">
        <f t="array" aca="1" ref="D104" ca="1">IFERROR(INDEX('DBX Sprint'!$A$7:$K$62, SMALL(IF((INDEX('DBX Sprint'!$A$7:$K$62, ,13)&lt;(TODAY()))*(INDEX('DBX Sprint'!$A$7:$K$62, ,13)&lt;&gt;"Complete"),MATCH(ROW('DBX Sprint'!$A$7:$K$62),ROW('DBX Sprint'!$A$7:$K$62)),""),ROWS(D$34:$D104)),COLUMNS('DBX Sprint'!$A$1:A12)),"")</f>
        <v/>
      </c>
      <c r="E104" s="41" t="str" cm="1">
        <f t="array" aca="1" ref="E104" ca="1">IFERROR(INDEX('DBX Sprint'!$A$7:$K$62, SMALL(IF((INDEX('DBX Sprint'!$A$7:$K$62, ,13)&lt;=(TODAY()+1))*(INDEX('DBX Sprint'!$A$7:$K$62, ,13)&gt;=TODAY()),MATCH(ROW('DBX Sprint'!$A$7:$K$62),ROW('DBX Sprint'!$A$7:$K$62)),""),ROWS(E$34:$E104)),COLUMNS('DBX Sprint'!$A$1:A12)),"")</f>
        <v/>
      </c>
      <c r="F104" s="43" t="str" cm="1">
        <f t="array" aca="1" ref="F104" ca="1">IFERROR(INDEX('DBX Sprint'!$A$7:$K$62, SMALL(IF((INDEX('DBX Sprint'!$A$7:$K$62, ,13)&lt;=(TODAY()+5))*(INDEX('DBX Sprint'!$A$7:$K$62, ,13)&gt;(TODAY()+1)),MATCH(ROW('DBX Sprint'!$A$7:$K$62),ROW('DBX Sprint'!$A$7:$K$62)),""),ROWS($F$34:F104)),COLUMNS('DBX Sprint'!$A$1:A12)),"")</f>
        <v/>
      </c>
      <c r="G104" s="43" t="str" cm="1">
        <f t="array" aca="1" ref="G104" ca="1">IFERROR(INDEX('DBX Sprint'!$A$7:$K$62, SMALL(IF((INDEX('DBX Sprint'!$A$7:$K$62, ,13)&lt;=(TODAY()+10))*(INDEX('DBX Sprint'!$A$7:$K$62, ,13)&gt;(TODAY()+5)),MATCH(ROW('DBX Sprint'!$A$7:$K$62),ROW('DBX Sprint'!$A$7:$K$62)),""),ROWS($G$34:G104)),COLUMNS('DBX Sprint'!$A$1:A12)),"")</f>
        <v/>
      </c>
      <c r="I104" s="41" t="str" cm="1">
        <f t="array" ref="I104">IFERROR(INDEX('DBX Sprint'!$A$7:$K$62, SMALL(IF((INDEX('DBX Sprint'!$A$7:$K$62, ,16)=("Complete"))*(INDEX('DBX Sprint'!$A$7:$K$62, ,16)="Complete"),MATCH(ROW('DBX Sprint'!$A$7:$K$62),ROW('DBX Sprint'!$A$7:$K$62)),""),ROWS($I$34:I104)),COLUMNS('DBX Sprint'!$A$1:A12)),"")</f>
        <v/>
      </c>
      <c r="J104" s="41" t="str" cm="1">
        <f t="array" aca="1" ref="J104" ca="1">IFERROR(INDEX('DBX Sprint'!$A$7:$K$62, SMALL(IF((INDEX('DBX Sprint'!$A$7:$K$62, ,16)&lt;(TODAY()))*(INDEX('DBX Sprint'!$A$7:$K$62, ,16)&lt;&gt;"Complete"),MATCH(ROW('DBX Sprint'!$A$7:$K$62),ROW('DBX Sprint'!$A$7:$K$62)),""),ROWS($J$34:J104)),COLUMNS('DBX Sprint'!$A$1:A12)),"")</f>
        <v/>
      </c>
      <c r="K104" s="37" t="str" cm="1">
        <f t="array" aca="1" ref="K104" ca="1">IFERROR(INDEX('DBX Sprint'!$A$7:$K$62, SMALL(IF((INDEX('DBX Sprint'!$A$7:$K$62, ,16)&lt;=(TODAY()+1))*(INDEX('DBX Sprint'!$A$7:$K$62, ,16)&gt;=TODAY()),MATCH(ROW('DBX Sprint'!$A$7:$K$62),ROW('DBX Sprint'!$A$7:$K$62)),""),ROWS($K$34:K104)),COLUMNS('DBX Sprint'!$A$1:A12)),"")</f>
        <v/>
      </c>
      <c r="L104" s="38" t="str" cm="1">
        <f t="array" aca="1" ref="L104" ca="1">IFERROR(INDEX('DBX Sprint'!$A$7:$K$62, SMALL(IF((INDEX('DBX Sprint'!$A$7:$K$62, ,16)&lt;=(TODAY()+5))*(INDEX('DBX Sprint'!$A$7:$K$62, ,16)&gt;(TODAY()+1)),MATCH(ROW('DBX Sprint'!$A$7:$K$62),ROW('DBX Sprint'!$A$7:$K$62)),""),ROWS($L$34:L104)),COLUMNS('DBX Sprint'!$A$1:A12)),"")</f>
        <v/>
      </c>
      <c r="M104" s="43" t="str" cm="1">
        <f t="array" aca="1" ref="M104" ca="1">IFERROR(INDEX('DBX Sprint'!$A$7:$K$62, SMALL(IF((INDEX('DBX Sprint'!$A$7:$K$62, ,16)&lt;=(TODAY()+10))*(INDEX('DBX Sprint'!$A$7:$K$62, ,16)&gt;(TODAY()+5)),MATCH(ROW('DBX Sprint'!$A$7:$K$62),ROW('DBX Sprint'!$A$7:$K$62)),""),ROWS($M$34:M104)),COLUMNS('DBX Sprint'!$A$1:A12)),"")</f>
        <v/>
      </c>
      <c r="P104" s="41" t="str" cm="1">
        <f t="array" aca="1" ref="P104" ca="1">IFERROR(INDEX('DBX Sprint'!$A$7:$K$62, SMALL(IF((INDEX('DBX Sprint'!$A$7:$K$62, ,19)&lt;(TODAY()))*(INDEX('DBX Sprint'!$A$7:$K$62, ,19)&lt;&gt;"Complete"),MATCH(ROW('DBX Sprint'!$A$7:$K$62),ROW('DBX Sprint'!$A$7:$K$62)),""),ROWS($P$34:P104)),COLUMNS('DBX Sprint'!$A$1:A12)),"")</f>
        <v/>
      </c>
      <c r="Q104" s="41" t="str" cm="1">
        <f t="array" aca="1" ref="Q104" ca="1">IFERROR(INDEX('DBX Sprint'!$A$7:$K$62, SMALL(IF((INDEX('DBX Sprint'!$A$7:$K$62, ,19)&lt;=(TODAY()+1))*(INDEX('DBX Sprint'!$A$7:$K$62, ,19)&gt;=TODAY()),MATCH(ROW('DBX Sprint'!$A$7:$K$62),ROW('DBX Sprint'!$A$7:$K$62)),""),ROWS($Q$34:Q104)),COLUMNS('DBX Sprint'!$A$1:A12)),"")</f>
        <v/>
      </c>
      <c r="R104" s="43" t="str" cm="1">
        <f t="array" aca="1" ref="R104" ca="1">IFERROR(INDEX('DBX Sprint'!$A$7:$K$62, SMALL(IF((INDEX('DBX Sprint'!$A$7:$K$62, ,19)&lt;=(TODAY()+5))*(INDEX('DBX Sprint'!$A$7:$K$62, ,19)&gt;(TODAY()+1)),MATCH(ROW('DBX Sprint'!$A$7:$K$62),ROW('DBX Sprint'!$A$7:$K$62)),""),ROWS($R$34:R104)),COLUMNS('DBX Sprint'!$A$1:A12)),"")</f>
        <v/>
      </c>
      <c r="S104" s="43" t="str" cm="1">
        <f t="array" aca="1" ref="S104" ca="1">IFERROR(INDEX('DBX Sprint'!$A$7:$K$62, SMALL(IF((INDEX('DBX Sprint'!$A$7:$K$62, ,19)&lt;=(TODAY()+10))*(INDEX('DBX Sprint'!$A$7:$K$62, ,19)&gt;(TODAY()+5)),MATCH(ROW('DBX Sprint'!$A$7:$K$62),ROW('DBX Sprint'!$A$7:$K$62)),""),ROWS($S$34:S104)),COLUMNS('DBX Sprint'!$A$1:A12)),"")</f>
        <v/>
      </c>
      <c r="U104" s="41" t="str" cm="1">
        <f t="array" ref="U104">IFERROR(INDEX('DBX Sprint'!$A$7:$K$62, SMALL(IF((INDEX('DBX Sprint'!$A$7:$K$62, ,22)=("Complete"))*(INDEX('DBX Sprint'!$A$7:$K$62, ,22)="Complete"),MATCH(ROW('DBX Sprint'!$A$7:$K$62),ROW('DBX Sprint'!$A$7:$K$62)),""),ROWS($U$34:U104)),COLUMNS('DBX Sprint'!$A$1:A12)),"")</f>
        <v/>
      </c>
      <c r="V104" s="41" t="str" cm="1">
        <f t="array" aca="1" ref="V104" ca="1">IFERROR(INDEX('DBX Sprint'!$A$7:$K$62, SMALL(IF((INDEX('DBX Sprint'!$A$7:$K$62, ,22)&lt;(TODAY()))*(INDEX('DBX Sprint'!$A$7:$K$62, ,22)&lt;&gt;"Complete"),MATCH(ROW('DBX Sprint'!$A$7:$K$62),ROW('DBX Sprint'!$A$7:$K$62)),""),ROWS($V$34:V104)),COLUMNS('DBX Sprint'!$A$1:A12)),"")</f>
        <v/>
      </c>
      <c r="W104" s="41" t="str" cm="1">
        <f t="array" aca="1" ref="W104" ca="1">IFERROR(INDEX('DBX Sprint'!$A$7:$K$62, SMALL(IF((INDEX('DBX Sprint'!$A$7:$K$62, ,22)&lt;=(TODAY()+1))*(INDEX('DBX Sprint'!$A$7:$K$62, ,22)&gt;=TODAY()),MATCH(ROW('DBX Sprint'!$A$7:$K$62),ROW('DBX Sprint'!$A$7:$K$62)),""),ROWS($W$34:W104)),COLUMNS('DBX Sprint'!$A$1:A12)),"")</f>
        <v/>
      </c>
      <c r="X104" s="43" t="str" cm="1">
        <f t="array" aca="1" ref="X104" ca="1">IFERROR(INDEX('DBX Sprint'!$A$7:$K$62, SMALL(IF((INDEX('DBX Sprint'!$A$7:$K$62, ,22)&lt;=(TODAY()+5))*(INDEX('DBX Sprint'!$A$7:$K$62, ,22)&gt;(TODAY()+1)),MATCH(ROW('DBX Sprint'!$A$7:$K$62),ROW('DBX Sprint'!$A$7:$K$62)),""),ROWS($X$34:X104)),COLUMNS('DBX Sprint'!$A$1:A12)),"")</f>
        <v/>
      </c>
      <c r="Y104" s="43" t="str" cm="1">
        <f t="array" aca="1" ref="Y104" ca="1">IFERROR(INDEX('DBX Sprint'!$A$7:$K$62, SMALL(IF((INDEX('DBX Sprint'!$A$7:$K$62, ,22)&lt;=(TODAY()+10))*(INDEX('DBX Sprint'!$A$7:$K$62, ,22)&gt;(TODAY()+5)),MATCH(ROW('DBX Sprint'!$A$7:$K$62),ROW('DBX Sprint'!$A$7:$K$62)),""),ROWS($Y$34:Y104)),COLUMNS('DBX Sprint'!$A$1:A12)),"")</f>
        <v/>
      </c>
      <c r="AA104" s="41" t="str" cm="1">
        <f t="array" ref="AA104">IFERROR(INDEX('DBX Sprint'!$A$7:$K$62, SMALL(IF((INDEX('DBX Sprint'!$A$7:$K$62, ,25)=("Complete"))*(INDEX('DBX Sprint'!$A$7:$K$62, ,25)="Complete"),MATCH(ROW('DBX Sprint'!$A$7:$K$62),ROW('DBX Sprint'!$A$7:$K$62)),""),ROWS($AA$34:AA104)),COLUMNS('DBX Sprint'!$A$1:A12)),"")</f>
        <v/>
      </c>
      <c r="AB104" s="41" t="str" cm="1">
        <f t="array" aca="1" ref="AB104" ca="1">IFERROR(INDEX('DBX Sprint'!$A$7:$K$62, SMALL(IF((INDEX('DBX Sprint'!$A$7:$K$62, ,25)&lt;(TODAY()))*(INDEX('DBX Sprint'!$A$7:$K$62, ,25)&lt;&gt;"Complete"),MATCH(ROW('DBX Sprint'!$A$7:$K$62),ROW('DBX Sprint'!$A$7:$K$62)),""),ROWS($AB$34:AB104)),COLUMNS('DBX Sprint'!$A$1:A12)),"")</f>
        <v/>
      </c>
      <c r="AC104" s="41" t="str" cm="1">
        <f t="array" aca="1" ref="AC104" ca="1">IFERROR(INDEX('DBX Sprint'!$A$7:$K$62, SMALL(IF((INDEX('DBX Sprint'!$A$7:$K$62, ,25)&lt;=(TODAY()+1))*(INDEX('DBX Sprint'!$A$7:$K$62, ,25)&gt;=TODAY()),MATCH(ROW('DBX Sprint'!$A$7:$K$62),ROW('DBX Sprint'!$A$7:$K$62)),""),ROWS($AC$34:AC104)),COLUMNS('DBX Sprint'!$A$1:A12)),"")</f>
        <v/>
      </c>
      <c r="AD104" s="43" t="str" cm="1">
        <f t="array" aca="1" ref="AD104" ca="1">IFERROR(INDEX('DBX Sprint'!$A$7:$K$62, SMALL(IF((INDEX('DBX Sprint'!$A$7:$K$62, ,25)&lt;=(TODAY()+5))*(INDEX('DBX Sprint'!$A$7:$K$62, ,25)&gt;(TODAY()+1)),MATCH(ROW('DBX Sprint'!$A$7:$K$62),ROW('DBX Sprint'!$A$7:$K$62)),""),ROWS($AD$34:AD104)),COLUMNS('DBX Sprint'!$A$1:A12)),"")</f>
        <v/>
      </c>
      <c r="AE104" s="43" t="str" cm="1">
        <f t="array" aca="1" ref="AE104" ca="1">IFERROR(INDEX('DBX Sprint'!$A$7:$K$62, SMALL(IF((INDEX('DBX Sprint'!$A$7:$K$62, ,25)&lt;=(TODAY()+10))*(INDEX('DBX Sprint'!$A$7:$K$62, ,25)&gt;(TODAY()+5)),MATCH(ROW('DBX Sprint'!$A$7:$K$62),ROW('DBX Sprint'!$A$7:$K$62)),""),ROWS($AE$34:AE104)),COLUMNS('DBX Sprint'!$A$1:A12)),"")</f>
        <v/>
      </c>
      <c r="AG104" s="41" t="str" cm="1">
        <f t="array" ref="AG104">IFERROR(INDEX('DBX Sprint'!$A$7:$K$62, SMALL(IF((INDEX('DBX Sprint'!$A$7:$K$62, ,29)=("Complete"))*(INDEX('DBX Sprint'!$A$7:$K$62, ,29)="Complete"),MATCH(ROW('DBX Sprint'!$A$7:$K$62),ROW('DBX Sprint'!$A$7:$K$62)),""),ROWS($AG$34:AG104)),COLUMNS('DBX Sprint'!$A$1:A12)),"")</f>
        <v/>
      </c>
      <c r="AH104" s="41" t="str" cm="1">
        <f t="array" aca="1" ref="AH104" ca="1">IFERROR(INDEX('DBX Sprint'!$A$7:$K$62, SMALL(IF((INDEX('DBX Sprint'!$A$7:$K$62, ,29)&lt;(TODAY()))*(INDEX('DBX Sprint'!$A$7:$K$62, ,29)&lt;&gt;"Complete"),MATCH(ROW('DBX Sprint'!$A$7:$K$62),ROW('DBX Sprint'!$A$7:$K$62)),""),ROWS($AH$34:AH104)),COLUMNS('DBX Sprint'!$A$1:A12)),"")</f>
        <v/>
      </c>
      <c r="AI104" s="41" t="str" cm="1">
        <f t="array" aca="1" ref="AI104" ca="1">IFERROR(INDEX('DBX Sprint'!$A$7:$K$62, SMALL(IF((INDEX('DBX Sprint'!$A$7:$K$62, ,29)&lt;=(TODAY()+1))*(INDEX('DBX Sprint'!$A$7:$K$62, ,29)&gt;=TODAY()),MATCH(ROW('DBX Sprint'!$A$7:$K$62),ROW('DBX Sprint'!$A$7:$K$62)),""),ROWS($AI$34:AI104)),COLUMNS('DBX Sprint'!$A$1:A12)),"")</f>
        <v/>
      </c>
      <c r="AJ104" s="43" t="str" cm="1">
        <f t="array" aca="1" ref="AJ104" ca="1">IFERROR(INDEX('DBX Sprint'!$A$7:$K$62, SMALL(IF((INDEX('DBX Sprint'!$A$7:$K$62, ,29)&lt;=(TODAY()+5))*(INDEX('DBX Sprint'!$A$7:$K$62, ,29)&gt;(TODAY()+1)),MATCH(ROW('DBX Sprint'!$A$7:$K$62),ROW('DBX Sprint'!$A$7:$K$62)),""),ROWS($AJ$34:AJ104)),COLUMNS('DBX Sprint'!$A$1:A12)),"")</f>
        <v/>
      </c>
      <c r="AK104" s="43" t="str" cm="1">
        <f t="array" aca="1" ref="AK104" ca="1">IFERROR(INDEX('DBX Sprint'!$A$7:$K$62, SMALL(IF((INDEX('DBX Sprint'!$A$7:$K$62, ,29)&lt;=(TODAY()+10))*(INDEX('DBX Sprint'!$A$7:$K$62, ,29)&gt;(TODAY()+5)),MATCH(ROW('DBX Sprint'!$A$7:$K$62),ROW('DBX Sprint'!$A$7:$K$62)),""),ROWS($AK$34:AK104)),COLUMNS('DBX Sprint'!$A$1:A12)),"")</f>
        <v/>
      </c>
      <c r="AM104" s="41" t="str" cm="1">
        <f t="array" ref="AM104">IFERROR(INDEX('DBX Sprint'!$A$7:$K$62, SMALL(IF((INDEX('DBX Sprint'!$A$7:$K$62, ,32)=("Complete"))*(INDEX('DBX Sprint'!$A$7:$K$62, ,32)="Complete"),MATCH(ROW('DBX Sprint'!$A$7:$K$62),ROW('DBX Sprint'!$A$7:$K$62)),""),ROWS($AM$34:AM104)),COLUMNS('DBX Sprint'!$A$1:A12)),"")</f>
        <v/>
      </c>
      <c r="AN104" s="41" t="str" cm="1">
        <f t="array" aca="1" ref="AN104" ca="1">IFERROR(INDEX('DBX Sprint'!$A$7:$K$62, SMALL(IF((INDEX('DBX Sprint'!$A$7:$K$62, ,32)&lt;(TODAY()))*(INDEX('DBX Sprint'!$A$7:$K$62, ,32)&lt;&gt;"Complete"),MATCH(ROW('DBX Sprint'!$A$7:$K$62),ROW('DBX Sprint'!$A$7:$K$62)),""),ROWS($AN$34:AN104)),COLUMNS('DBX Sprint'!$A$1:A12)),"")</f>
        <v/>
      </c>
      <c r="AO104" s="41" t="str" cm="1">
        <f t="array" aca="1" ref="AO104" ca="1">IFERROR(INDEX('DBX Sprint'!$A$7:$K$62, SMALL(IF((INDEX('DBX Sprint'!$A$7:$K$62, ,32)&lt;=(TODAY()+1))*(INDEX('DBX Sprint'!$A$7:$K$62, ,32)&gt;=TODAY()),MATCH(ROW('DBX Sprint'!$A$7:$K$62),ROW('DBX Sprint'!$A$7:$K$62)),""),ROWS($AO$34:AO104)),COLUMNS('DBX Sprint'!$A$1:A12)),"")</f>
        <v/>
      </c>
      <c r="AP104" s="43" t="str" cm="1">
        <f t="array" aca="1" ref="AP104" ca="1">IFERROR(INDEX('DBX Sprint'!$A$7:$K$62, SMALL(IF((INDEX('DBX Sprint'!$A$7:$K$62, ,32)&lt;=(TODAY()+5))*(INDEX('DBX Sprint'!$A$7:$K$62, ,32)&gt;(TODAY()+1)),MATCH(ROW('DBX Sprint'!$A$7:$K$62),ROW('DBX Sprint'!$A$7:$K$62)),""),ROWS($AP$34:AP104)),COLUMNS('DBX Sprint'!$A$1:A12)),"")</f>
        <v/>
      </c>
      <c r="AQ104" s="43" t="str" cm="1">
        <f t="array" aca="1" ref="AQ104" ca="1">IFERROR(INDEX('DBX Sprint'!$A$7:$K$62, SMALL(IF((INDEX('DBX Sprint'!$A$7:$K$62, ,32)&lt;=(TODAY()+10))*(INDEX('DBX Sprint'!$A$7:$K$62, ,32)&gt;(TODAY()+5)),MATCH(ROW('DBX Sprint'!$A$7:$K$62),ROW('DBX Sprint'!$A$7:$K$62)),""),ROWS($AQ$34:AQ104)),COLUMNS('DBX Sprint'!$A$1:A12)),"")</f>
        <v/>
      </c>
    </row>
    <row r="105" spans="3:43" ht="30" customHeight="1">
      <c r="C105" s="41" t="str" cm="1">
        <f t="array" ref="C105">IFERROR(INDEX('DBX Sprint'!$A$7:$K$62, SMALL(IF((INDEX('DBX Sprint'!$A$7:$K$62, ,13)=("Complete"))*(INDEX('DBX Sprint'!$A$7:$K$62, ,13)="Complete"),MATCH(ROW('DBX Sprint'!$A$7:$K$62),ROW('DBX Sprint'!$A$7:$K$62)),""),ROWS(C$34:$C105)),COLUMNS('DBX Sprint'!$A$1:A12)),"")</f>
        <v/>
      </c>
      <c r="D105" s="41" t="str" cm="1">
        <f t="array" aca="1" ref="D105" ca="1">IFERROR(INDEX('DBX Sprint'!$A$7:$K$62, SMALL(IF((INDEX('DBX Sprint'!$A$7:$K$62, ,13)&lt;(TODAY()))*(INDEX('DBX Sprint'!$A$7:$K$62, ,13)&lt;&gt;"Complete"),MATCH(ROW('DBX Sprint'!$A$7:$K$62),ROW('DBX Sprint'!$A$7:$K$62)),""),ROWS(D$34:$D105)),COLUMNS('DBX Sprint'!$A$1:A12)),"")</f>
        <v/>
      </c>
      <c r="E105" s="41" t="str" cm="1">
        <f t="array" aca="1" ref="E105" ca="1">IFERROR(INDEX('DBX Sprint'!$A$7:$K$62, SMALL(IF((INDEX('DBX Sprint'!$A$7:$K$62, ,13)&lt;=(TODAY()+1))*(INDEX('DBX Sprint'!$A$7:$K$62, ,13)&gt;=TODAY()),MATCH(ROW('DBX Sprint'!$A$7:$K$62),ROW('DBX Sprint'!$A$7:$K$62)),""),ROWS(E$34:$E105)),COLUMNS('DBX Sprint'!$A$1:A12)),"")</f>
        <v/>
      </c>
      <c r="F105" s="43" t="str" cm="1">
        <f t="array" aca="1" ref="F105" ca="1">IFERROR(INDEX('DBX Sprint'!$A$7:$K$62, SMALL(IF((INDEX('DBX Sprint'!$A$7:$K$62, ,13)&lt;=(TODAY()+5))*(INDEX('DBX Sprint'!$A$7:$K$62, ,13)&gt;(TODAY()+1)),MATCH(ROW('DBX Sprint'!$A$7:$K$62),ROW('DBX Sprint'!$A$7:$K$62)),""),ROWS($F$34:F105)),COLUMNS('DBX Sprint'!$A$1:A12)),"")</f>
        <v/>
      </c>
      <c r="G105" s="43" t="str" cm="1">
        <f t="array" aca="1" ref="G105" ca="1">IFERROR(INDEX('DBX Sprint'!$A$7:$K$62, SMALL(IF((INDEX('DBX Sprint'!$A$7:$K$62, ,13)&lt;=(TODAY()+10))*(INDEX('DBX Sprint'!$A$7:$K$62, ,13)&gt;(TODAY()+5)),MATCH(ROW('DBX Sprint'!$A$7:$K$62),ROW('DBX Sprint'!$A$7:$K$62)),""),ROWS($G$34:G105)),COLUMNS('DBX Sprint'!$A$1:A12)),"")</f>
        <v/>
      </c>
      <c r="I105" s="41" t="str" cm="1">
        <f t="array" ref="I105">IFERROR(INDEX('DBX Sprint'!$A$7:$K$62, SMALL(IF((INDEX('DBX Sprint'!$A$7:$K$62, ,16)=("Complete"))*(INDEX('DBX Sprint'!$A$7:$K$62, ,16)="Complete"),MATCH(ROW('DBX Sprint'!$A$7:$K$62),ROW('DBX Sprint'!$A$7:$K$62)),""),ROWS($I$34:I105)),COLUMNS('DBX Sprint'!$A$1:A12)),"")</f>
        <v/>
      </c>
      <c r="J105" s="41" t="str" cm="1">
        <f t="array" aca="1" ref="J105" ca="1">IFERROR(INDEX('DBX Sprint'!$A$7:$K$62, SMALL(IF((INDEX('DBX Sprint'!$A$7:$K$62, ,16)&lt;(TODAY()))*(INDEX('DBX Sprint'!$A$7:$K$62, ,16)&lt;&gt;"Complete"),MATCH(ROW('DBX Sprint'!$A$7:$K$62),ROW('DBX Sprint'!$A$7:$K$62)),""),ROWS($J$34:J105)),COLUMNS('DBX Sprint'!$A$1:A12)),"")</f>
        <v/>
      </c>
      <c r="K105" s="37" t="str" cm="1">
        <f t="array" aca="1" ref="K105" ca="1">IFERROR(INDEX('DBX Sprint'!$A$7:$K$62, SMALL(IF((INDEX('DBX Sprint'!$A$7:$K$62, ,16)&lt;=(TODAY()+1))*(INDEX('DBX Sprint'!$A$7:$K$62, ,16)&gt;=TODAY()),MATCH(ROW('DBX Sprint'!$A$7:$K$62),ROW('DBX Sprint'!$A$7:$K$62)),""),ROWS($K$34:K105)),COLUMNS('DBX Sprint'!$A$1:A12)),"")</f>
        <v/>
      </c>
      <c r="L105" s="38" t="str" cm="1">
        <f t="array" aca="1" ref="L105" ca="1">IFERROR(INDEX('DBX Sprint'!$A$7:$K$62, SMALL(IF((INDEX('DBX Sprint'!$A$7:$K$62, ,16)&lt;=(TODAY()+5))*(INDEX('DBX Sprint'!$A$7:$K$62, ,16)&gt;(TODAY()+1)),MATCH(ROW('DBX Sprint'!$A$7:$K$62),ROW('DBX Sprint'!$A$7:$K$62)),""),ROWS($L$34:L105)),COLUMNS('DBX Sprint'!$A$1:A12)),"")</f>
        <v/>
      </c>
      <c r="M105" s="43" t="str" cm="1">
        <f t="array" aca="1" ref="M105" ca="1">IFERROR(INDEX('DBX Sprint'!$A$7:$K$62, SMALL(IF((INDEX('DBX Sprint'!$A$7:$K$62, ,16)&lt;=(TODAY()+10))*(INDEX('DBX Sprint'!$A$7:$K$62, ,16)&gt;(TODAY()+5)),MATCH(ROW('DBX Sprint'!$A$7:$K$62),ROW('DBX Sprint'!$A$7:$K$62)),""),ROWS($M$34:M105)),COLUMNS('DBX Sprint'!$A$1:A12)),"")</f>
        <v/>
      </c>
      <c r="P105" s="41" t="str" cm="1">
        <f t="array" aca="1" ref="P105" ca="1">IFERROR(INDEX('DBX Sprint'!$A$7:$K$62, SMALL(IF((INDEX('DBX Sprint'!$A$7:$K$62, ,19)&lt;(TODAY()))*(INDEX('DBX Sprint'!$A$7:$K$62, ,19)&lt;&gt;"Complete"),MATCH(ROW('DBX Sprint'!$A$7:$K$62),ROW('DBX Sprint'!$A$7:$K$62)),""),ROWS($P$34:P105)),COLUMNS('DBX Sprint'!$A$1:A12)),"")</f>
        <v/>
      </c>
      <c r="Q105" s="41" t="str" cm="1">
        <f t="array" aca="1" ref="Q105" ca="1">IFERROR(INDEX('DBX Sprint'!$A$7:$K$62, SMALL(IF((INDEX('DBX Sprint'!$A$7:$K$62, ,19)&lt;=(TODAY()+1))*(INDEX('DBX Sprint'!$A$7:$K$62, ,19)&gt;=TODAY()),MATCH(ROW('DBX Sprint'!$A$7:$K$62),ROW('DBX Sprint'!$A$7:$K$62)),""),ROWS($Q$34:Q105)),COLUMNS('DBX Sprint'!$A$1:A12)),"")</f>
        <v/>
      </c>
      <c r="R105" s="43" t="str" cm="1">
        <f t="array" aca="1" ref="R105" ca="1">IFERROR(INDEX('DBX Sprint'!$A$7:$K$62, SMALL(IF((INDEX('DBX Sprint'!$A$7:$K$62, ,19)&lt;=(TODAY()+5))*(INDEX('DBX Sprint'!$A$7:$K$62, ,19)&gt;(TODAY()+1)),MATCH(ROW('DBX Sprint'!$A$7:$K$62),ROW('DBX Sprint'!$A$7:$K$62)),""),ROWS($R$34:R105)),COLUMNS('DBX Sprint'!$A$1:A12)),"")</f>
        <v/>
      </c>
      <c r="S105" s="43" t="str" cm="1">
        <f t="array" aca="1" ref="S105" ca="1">IFERROR(INDEX('DBX Sprint'!$A$7:$K$62, SMALL(IF((INDEX('DBX Sprint'!$A$7:$K$62, ,19)&lt;=(TODAY()+10))*(INDEX('DBX Sprint'!$A$7:$K$62, ,19)&gt;(TODAY()+5)),MATCH(ROW('DBX Sprint'!$A$7:$K$62),ROW('DBX Sprint'!$A$7:$K$62)),""),ROWS($S$34:S105)),COLUMNS('DBX Sprint'!$A$1:A12)),"")</f>
        <v/>
      </c>
      <c r="U105" s="41" t="str" cm="1">
        <f t="array" ref="U105">IFERROR(INDEX('DBX Sprint'!$A$7:$K$62, SMALL(IF((INDEX('DBX Sprint'!$A$7:$K$62, ,22)=("Complete"))*(INDEX('DBX Sprint'!$A$7:$K$62, ,22)="Complete"),MATCH(ROW('DBX Sprint'!$A$7:$K$62),ROW('DBX Sprint'!$A$7:$K$62)),""),ROWS($U$34:U105)),COLUMNS('DBX Sprint'!$A$1:A12)),"")</f>
        <v/>
      </c>
      <c r="V105" s="41" t="str" cm="1">
        <f t="array" aca="1" ref="V105" ca="1">IFERROR(INDEX('DBX Sprint'!$A$7:$K$62, SMALL(IF((INDEX('DBX Sprint'!$A$7:$K$62, ,22)&lt;(TODAY()))*(INDEX('DBX Sprint'!$A$7:$K$62, ,22)&lt;&gt;"Complete"),MATCH(ROW('DBX Sprint'!$A$7:$K$62),ROW('DBX Sprint'!$A$7:$K$62)),""),ROWS($V$34:V105)),COLUMNS('DBX Sprint'!$A$1:A12)),"")</f>
        <v/>
      </c>
      <c r="W105" s="41" t="str" cm="1">
        <f t="array" aca="1" ref="W105" ca="1">IFERROR(INDEX('DBX Sprint'!$A$7:$K$62, SMALL(IF((INDEX('DBX Sprint'!$A$7:$K$62, ,22)&lt;=(TODAY()+1))*(INDEX('DBX Sprint'!$A$7:$K$62, ,22)&gt;=TODAY()),MATCH(ROW('DBX Sprint'!$A$7:$K$62),ROW('DBX Sprint'!$A$7:$K$62)),""),ROWS($W$34:W105)),COLUMNS('DBX Sprint'!$A$1:A12)),"")</f>
        <v/>
      </c>
      <c r="X105" s="43" t="str" cm="1">
        <f t="array" aca="1" ref="X105" ca="1">IFERROR(INDEX('DBX Sprint'!$A$7:$K$62, SMALL(IF((INDEX('DBX Sprint'!$A$7:$K$62, ,22)&lt;=(TODAY()+5))*(INDEX('DBX Sprint'!$A$7:$K$62, ,22)&gt;(TODAY()+1)),MATCH(ROW('DBX Sprint'!$A$7:$K$62),ROW('DBX Sprint'!$A$7:$K$62)),""),ROWS($X$34:X105)),COLUMNS('DBX Sprint'!$A$1:A12)),"")</f>
        <v/>
      </c>
      <c r="Y105" s="43" t="str" cm="1">
        <f t="array" aca="1" ref="Y105" ca="1">IFERROR(INDEX('DBX Sprint'!$A$7:$K$62, SMALL(IF((INDEX('DBX Sprint'!$A$7:$K$62, ,22)&lt;=(TODAY()+10))*(INDEX('DBX Sprint'!$A$7:$K$62, ,22)&gt;(TODAY()+5)),MATCH(ROW('DBX Sprint'!$A$7:$K$62),ROW('DBX Sprint'!$A$7:$K$62)),""),ROWS($Y$34:Y105)),COLUMNS('DBX Sprint'!$A$1:A12)),"")</f>
        <v/>
      </c>
      <c r="AA105" s="41" t="str" cm="1">
        <f t="array" ref="AA105">IFERROR(INDEX('DBX Sprint'!$A$7:$K$62, SMALL(IF((INDEX('DBX Sprint'!$A$7:$K$62, ,25)=("Complete"))*(INDEX('DBX Sprint'!$A$7:$K$62, ,25)="Complete"),MATCH(ROW('DBX Sprint'!$A$7:$K$62),ROW('DBX Sprint'!$A$7:$K$62)),""),ROWS($AA$34:AA105)),COLUMNS('DBX Sprint'!$A$1:A12)),"")</f>
        <v/>
      </c>
      <c r="AB105" s="41" t="str" cm="1">
        <f t="array" aca="1" ref="AB105" ca="1">IFERROR(INDEX('DBX Sprint'!$A$7:$K$62, SMALL(IF((INDEX('DBX Sprint'!$A$7:$K$62, ,25)&lt;(TODAY()))*(INDEX('DBX Sprint'!$A$7:$K$62, ,25)&lt;&gt;"Complete"),MATCH(ROW('DBX Sprint'!$A$7:$K$62),ROW('DBX Sprint'!$A$7:$K$62)),""),ROWS($AB$34:AB105)),COLUMNS('DBX Sprint'!$A$1:A12)),"")</f>
        <v/>
      </c>
      <c r="AC105" s="41" t="str" cm="1">
        <f t="array" aca="1" ref="AC105" ca="1">IFERROR(INDEX('DBX Sprint'!$A$7:$K$62, SMALL(IF((INDEX('DBX Sprint'!$A$7:$K$62, ,25)&lt;=(TODAY()+1))*(INDEX('DBX Sprint'!$A$7:$K$62, ,25)&gt;=TODAY()),MATCH(ROW('DBX Sprint'!$A$7:$K$62),ROW('DBX Sprint'!$A$7:$K$62)),""),ROWS($AC$34:AC105)),COLUMNS('DBX Sprint'!$A$1:A12)),"")</f>
        <v/>
      </c>
      <c r="AD105" s="43" t="str" cm="1">
        <f t="array" aca="1" ref="AD105" ca="1">IFERROR(INDEX('DBX Sprint'!$A$7:$K$62, SMALL(IF((INDEX('DBX Sprint'!$A$7:$K$62, ,25)&lt;=(TODAY()+5))*(INDEX('DBX Sprint'!$A$7:$K$62, ,25)&gt;(TODAY()+1)),MATCH(ROW('DBX Sprint'!$A$7:$K$62),ROW('DBX Sprint'!$A$7:$K$62)),""),ROWS($AD$34:AD105)),COLUMNS('DBX Sprint'!$A$1:A12)),"")</f>
        <v/>
      </c>
      <c r="AE105" s="43" t="str" cm="1">
        <f t="array" aca="1" ref="AE105" ca="1">IFERROR(INDEX('DBX Sprint'!$A$7:$K$62, SMALL(IF((INDEX('DBX Sprint'!$A$7:$K$62, ,25)&lt;=(TODAY()+10))*(INDEX('DBX Sprint'!$A$7:$K$62, ,25)&gt;(TODAY()+5)),MATCH(ROW('DBX Sprint'!$A$7:$K$62),ROW('DBX Sprint'!$A$7:$K$62)),""),ROWS($AE$34:AE105)),COLUMNS('DBX Sprint'!$A$1:A12)),"")</f>
        <v/>
      </c>
      <c r="AG105" s="41" t="str" cm="1">
        <f t="array" ref="AG105">IFERROR(INDEX('DBX Sprint'!$A$7:$K$62, SMALL(IF((INDEX('DBX Sprint'!$A$7:$K$62, ,29)=("Complete"))*(INDEX('DBX Sprint'!$A$7:$K$62, ,29)="Complete"),MATCH(ROW('DBX Sprint'!$A$7:$K$62),ROW('DBX Sprint'!$A$7:$K$62)),""),ROWS($AG$34:AG105)),COLUMNS('DBX Sprint'!$A$1:A12)),"")</f>
        <v/>
      </c>
      <c r="AH105" s="41" t="str" cm="1">
        <f t="array" aca="1" ref="AH105" ca="1">IFERROR(INDEX('DBX Sprint'!$A$7:$K$62, SMALL(IF((INDEX('DBX Sprint'!$A$7:$K$62, ,29)&lt;(TODAY()))*(INDEX('DBX Sprint'!$A$7:$K$62, ,29)&lt;&gt;"Complete"),MATCH(ROW('DBX Sprint'!$A$7:$K$62),ROW('DBX Sprint'!$A$7:$K$62)),""),ROWS($AH$34:AH105)),COLUMNS('DBX Sprint'!$A$1:A12)),"")</f>
        <v/>
      </c>
      <c r="AI105" s="41" t="str" cm="1">
        <f t="array" aca="1" ref="AI105" ca="1">IFERROR(INDEX('DBX Sprint'!$A$7:$K$62, SMALL(IF((INDEX('DBX Sprint'!$A$7:$K$62, ,29)&lt;=(TODAY()+1))*(INDEX('DBX Sprint'!$A$7:$K$62, ,29)&gt;=TODAY()),MATCH(ROW('DBX Sprint'!$A$7:$K$62),ROW('DBX Sprint'!$A$7:$K$62)),""),ROWS($AI$34:AI105)),COLUMNS('DBX Sprint'!$A$1:A12)),"")</f>
        <v/>
      </c>
      <c r="AJ105" s="43" t="str" cm="1">
        <f t="array" aca="1" ref="AJ105" ca="1">IFERROR(INDEX('DBX Sprint'!$A$7:$K$62, SMALL(IF((INDEX('DBX Sprint'!$A$7:$K$62, ,29)&lt;=(TODAY()+5))*(INDEX('DBX Sprint'!$A$7:$K$62, ,29)&gt;(TODAY()+1)),MATCH(ROW('DBX Sprint'!$A$7:$K$62),ROW('DBX Sprint'!$A$7:$K$62)),""),ROWS($AJ$34:AJ105)),COLUMNS('DBX Sprint'!$A$1:A12)),"")</f>
        <v/>
      </c>
      <c r="AK105" s="43" t="str" cm="1">
        <f t="array" aca="1" ref="AK105" ca="1">IFERROR(INDEX('DBX Sprint'!$A$7:$K$62, SMALL(IF((INDEX('DBX Sprint'!$A$7:$K$62, ,29)&lt;=(TODAY()+10))*(INDEX('DBX Sprint'!$A$7:$K$62, ,29)&gt;(TODAY()+5)),MATCH(ROW('DBX Sprint'!$A$7:$K$62),ROW('DBX Sprint'!$A$7:$K$62)),""),ROWS($AK$34:AK105)),COLUMNS('DBX Sprint'!$A$1:A12)),"")</f>
        <v/>
      </c>
      <c r="AM105" s="41" t="str" cm="1">
        <f t="array" ref="AM105">IFERROR(INDEX('DBX Sprint'!$A$7:$K$62, SMALL(IF((INDEX('DBX Sprint'!$A$7:$K$62, ,32)=("Complete"))*(INDEX('DBX Sprint'!$A$7:$K$62, ,32)="Complete"),MATCH(ROW('DBX Sprint'!$A$7:$K$62),ROW('DBX Sprint'!$A$7:$K$62)),""),ROWS($AM$34:AM105)),COLUMNS('DBX Sprint'!$A$1:A12)),"")</f>
        <v/>
      </c>
      <c r="AN105" s="41" t="str" cm="1">
        <f t="array" aca="1" ref="AN105" ca="1">IFERROR(INDEX('DBX Sprint'!$A$7:$K$62, SMALL(IF((INDEX('DBX Sprint'!$A$7:$K$62, ,32)&lt;(TODAY()))*(INDEX('DBX Sprint'!$A$7:$K$62, ,32)&lt;&gt;"Complete"),MATCH(ROW('DBX Sprint'!$A$7:$K$62),ROW('DBX Sprint'!$A$7:$K$62)),""),ROWS($AN$34:AN105)),COLUMNS('DBX Sprint'!$A$1:A12)),"")</f>
        <v/>
      </c>
      <c r="AO105" s="41" t="str" cm="1">
        <f t="array" aca="1" ref="AO105" ca="1">IFERROR(INDEX('DBX Sprint'!$A$7:$K$62, SMALL(IF((INDEX('DBX Sprint'!$A$7:$K$62, ,32)&lt;=(TODAY()+1))*(INDEX('DBX Sprint'!$A$7:$K$62, ,32)&gt;=TODAY()),MATCH(ROW('DBX Sprint'!$A$7:$K$62),ROW('DBX Sprint'!$A$7:$K$62)),""),ROWS($AO$34:AO105)),COLUMNS('DBX Sprint'!$A$1:A12)),"")</f>
        <v/>
      </c>
      <c r="AP105" s="43" t="str" cm="1">
        <f t="array" aca="1" ref="AP105" ca="1">IFERROR(INDEX('DBX Sprint'!$A$7:$K$62, SMALL(IF((INDEX('DBX Sprint'!$A$7:$K$62, ,32)&lt;=(TODAY()+5))*(INDEX('DBX Sprint'!$A$7:$K$62, ,32)&gt;(TODAY()+1)),MATCH(ROW('DBX Sprint'!$A$7:$K$62),ROW('DBX Sprint'!$A$7:$K$62)),""),ROWS($AP$34:AP105)),COLUMNS('DBX Sprint'!$A$1:A12)),"")</f>
        <v/>
      </c>
      <c r="AQ105" s="43" t="str" cm="1">
        <f t="array" aca="1" ref="AQ105" ca="1">IFERROR(INDEX('DBX Sprint'!$A$7:$K$62, SMALL(IF((INDEX('DBX Sprint'!$A$7:$K$62, ,32)&lt;=(TODAY()+10))*(INDEX('DBX Sprint'!$A$7:$K$62, ,32)&gt;(TODAY()+5)),MATCH(ROW('DBX Sprint'!$A$7:$K$62),ROW('DBX Sprint'!$A$7:$K$62)),""),ROWS($AQ$34:AQ105)),COLUMNS('DBX Sprint'!$A$1:A12)),"")</f>
        <v/>
      </c>
    </row>
    <row r="106" spans="3:43" ht="30" customHeight="1">
      <c r="C106" s="41" t="str" cm="1">
        <f t="array" ref="C106">IFERROR(INDEX('DBX Sprint'!$A$7:$K$62, SMALL(IF((INDEX('DBX Sprint'!$A$7:$K$62, ,13)=("Complete"))*(INDEX('DBX Sprint'!$A$7:$K$62, ,13)="Complete"),MATCH(ROW('DBX Sprint'!$A$7:$K$62),ROW('DBX Sprint'!$A$7:$K$62)),""),ROWS(C$34:$C106)),COLUMNS('DBX Sprint'!$A$1:A12)),"")</f>
        <v/>
      </c>
      <c r="D106" s="41" t="str" cm="1">
        <f t="array" aca="1" ref="D106" ca="1">IFERROR(INDEX('DBX Sprint'!$A$7:$K$62, SMALL(IF((INDEX('DBX Sprint'!$A$7:$K$62, ,13)&lt;(TODAY()))*(INDEX('DBX Sprint'!$A$7:$K$62, ,13)&lt;&gt;"Complete"),MATCH(ROW('DBX Sprint'!$A$7:$K$62),ROW('DBX Sprint'!$A$7:$K$62)),""),ROWS(D$34:$D106)),COLUMNS('DBX Sprint'!$A$1:A12)),"")</f>
        <v/>
      </c>
      <c r="E106" s="41" t="str" cm="1">
        <f t="array" aca="1" ref="E106" ca="1">IFERROR(INDEX('DBX Sprint'!$A$7:$K$62, SMALL(IF((INDEX('DBX Sprint'!$A$7:$K$62, ,13)&lt;=(TODAY()+1))*(INDEX('DBX Sprint'!$A$7:$K$62, ,13)&gt;=TODAY()),MATCH(ROW('DBX Sprint'!$A$7:$K$62),ROW('DBX Sprint'!$A$7:$K$62)),""),ROWS(E$34:$E106)),COLUMNS('DBX Sprint'!$A$1:A12)),"")</f>
        <v/>
      </c>
      <c r="F106" s="43" t="str" cm="1">
        <f t="array" aca="1" ref="F106" ca="1">IFERROR(INDEX('DBX Sprint'!$A$7:$K$62, SMALL(IF((INDEX('DBX Sprint'!$A$7:$K$62, ,13)&lt;=(TODAY()+5))*(INDEX('DBX Sprint'!$A$7:$K$62, ,13)&gt;(TODAY()+1)),MATCH(ROW('DBX Sprint'!$A$7:$K$62),ROW('DBX Sprint'!$A$7:$K$62)),""),ROWS($F$34:F106)),COLUMNS('DBX Sprint'!$A$1:A12)),"")</f>
        <v/>
      </c>
      <c r="G106" s="43" t="str" cm="1">
        <f t="array" aca="1" ref="G106" ca="1">IFERROR(INDEX('DBX Sprint'!$A$7:$K$62, SMALL(IF((INDEX('DBX Sprint'!$A$7:$K$62, ,13)&lt;=(TODAY()+10))*(INDEX('DBX Sprint'!$A$7:$K$62, ,13)&gt;(TODAY()+5)),MATCH(ROW('DBX Sprint'!$A$7:$K$62),ROW('DBX Sprint'!$A$7:$K$62)),""),ROWS($G$34:G106)),COLUMNS('DBX Sprint'!$A$1:A12)),"")</f>
        <v/>
      </c>
      <c r="I106" s="41" t="str" cm="1">
        <f t="array" ref="I106">IFERROR(INDEX('DBX Sprint'!$A$7:$K$62, SMALL(IF((INDEX('DBX Sprint'!$A$7:$K$62, ,16)=("Complete"))*(INDEX('DBX Sprint'!$A$7:$K$62, ,16)="Complete"),MATCH(ROW('DBX Sprint'!$A$7:$K$62),ROW('DBX Sprint'!$A$7:$K$62)),""),ROWS($I$34:I106)),COLUMNS('DBX Sprint'!$A$1:A12)),"")</f>
        <v/>
      </c>
      <c r="J106" s="41" t="str" cm="1">
        <f t="array" aca="1" ref="J106" ca="1">IFERROR(INDEX('DBX Sprint'!$A$7:$K$62, SMALL(IF((INDEX('DBX Sprint'!$A$7:$K$62, ,16)&lt;(TODAY()))*(INDEX('DBX Sprint'!$A$7:$K$62, ,16)&lt;&gt;"Complete"),MATCH(ROW('DBX Sprint'!$A$7:$K$62),ROW('DBX Sprint'!$A$7:$K$62)),""),ROWS($J$34:J106)),COLUMNS('DBX Sprint'!$A$1:A12)),"")</f>
        <v/>
      </c>
      <c r="K106" s="37" t="str" cm="1">
        <f t="array" aca="1" ref="K106" ca="1">IFERROR(INDEX('DBX Sprint'!$A$7:$K$62, SMALL(IF((INDEX('DBX Sprint'!$A$7:$K$62, ,16)&lt;=(TODAY()+1))*(INDEX('DBX Sprint'!$A$7:$K$62, ,16)&gt;=TODAY()),MATCH(ROW('DBX Sprint'!$A$7:$K$62),ROW('DBX Sprint'!$A$7:$K$62)),""),ROWS($K$34:K106)),COLUMNS('DBX Sprint'!$A$1:A12)),"")</f>
        <v/>
      </c>
      <c r="L106" s="38" t="str" cm="1">
        <f t="array" aca="1" ref="L106" ca="1">IFERROR(INDEX('DBX Sprint'!$A$7:$K$62, SMALL(IF((INDEX('DBX Sprint'!$A$7:$K$62, ,16)&lt;=(TODAY()+5))*(INDEX('DBX Sprint'!$A$7:$K$62, ,16)&gt;(TODAY()+1)),MATCH(ROW('DBX Sprint'!$A$7:$K$62),ROW('DBX Sprint'!$A$7:$K$62)),""),ROWS($L$34:L106)),COLUMNS('DBX Sprint'!$A$1:A12)),"")</f>
        <v/>
      </c>
      <c r="M106" s="43" t="str" cm="1">
        <f t="array" aca="1" ref="M106" ca="1">IFERROR(INDEX('DBX Sprint'!$A$7:$K$62, SMALL(IF((INDEX('DBX Sprint'!$A$7:$K$62, ,16)&lt;=(TODAY()+10))*(INDEX('DBX Sprint'!$A$7:$K$62, ,16)&gt;(TODAY()+5)),MATCH(ROW('DBX Sprint'!$A$7:$K$62),ROW('DBX Sprint'!$A$7:$K$62)),""),ROWS($M$34:M106)),COLUMNS('DBX Sprint'!$A$1:A12)),"")</f>
        <v/>
      </c>
      <c r="P106" s="41" t="str" cm="1">
        <f t="array" aca="1" ref="P106" ca="1">IFERROR(INDEX('DBX Sprint'!$A$7:$K$62, SMALL(IF((INDEX('DBX Sprint'!$A$7:$K$62, ,19)&lt;(TODAY()))*(INDEX('DBX Sprint'!$A$7:$K$62, ,19)&lt;&gt;"Complete"),MATCH(ROW('DBX Sprint'!$A$7:$K$62),ROW('DBX Sprint'!$A$7:$K$62)),""),ROWS($P$34:P106)),COLUMNS('DBX Sprint'!$A$1:A12)),"")</f>
        <v/>
      </c>
      <c r="Q106" s="41" t="str" cm="1">
        <f t="array" aca="1" ref="Q106" ca="1">IFERROR(INDEX('DBX Sprint'!$A$7:$K$62, SMALL(IF((INDEX('DBX Sprint'!$A$7:$K$62, ,19)&lt;=(TODAY()+1))*(INDEX('DBX Sprint'!$A$7:$K$62, ,19)&gt;=TODAY()),MATCH(ROW('DBX Sprint'!$A$7:$K$62),ROW('DBX Sprint'!$A$7:$K$62)),""),ROWS($Q$34:Q106)),COLUMNS('DBX Sprint'!$A$1:A12)),"")</f>
        <v/>
      </c>
      <c r="R106" s="43" t="str" cm="1">
        <f t="array" aca="1" ref="R106" ca="1">IFERROR(INDEX('DBX Sprint'!$A$7:$K$62, SMALL(IF((INDEX('DBX Sprint'!$A$7:$K$62, ,19)&lt;=(TODAY()+5))*(INDEX('DBX Sprint'!$A$7:$K$62, ,19)&gt;(TODAY()+1)),MATCH(ROW('DBX Sprint'!$A$7:$K$62),ROW('DBX Sprint'!$A$7:$K$62)),""),ROWS($R$34:R106)),COLUMNS('DBX Sprint'!$A$1:A12)),"")</f>
        <v/>
      </c>
      <c r="S106" s="43" t="str" cm="1">
        <f t="array" aca="1" ref="S106" ca="1">IFERROR(INDEX('DBX Sprint'!$A$7:$K$62, SMALL(IF((INDEX('DBX Sprint'!$A$7:$K$62, ,19)&lt;=(TODAY()+10))*(INDEX('DBX Sprint'!$A$7:$K$62, ,19)&gt;(TODAY()+5)),MATCH(ROW('DBX Sprint'!$A$7:$K$62),ROW('DBX Sprint'!$A$7:$K$62)),""),ROWS($S$34:S106)),COLUMNS('DBX Sprint'!$A$1:A12)),"")</f>
        <v/>
      </c>
      <c r="U106" s="41" t="str" cm="1">
        <f t="array" ref="U106">IFERROR(INDEX('DBX Sprint'!$A$7:$K$62, SMALL(IF((INDEX('DBX Sprint'!$A$7:$K$62, ,22)=("Complete"))*(INDEX('DBX Sprint'!$A$7:$K$62, ,22)="Complete"),MATCH(ROW('DBX Sprint'!$A$7:$K$62),ROW('DBX Sprint'!$A$7:$K$62)),""),ROWS($U$34:U106)),COLUMNS('DBX Sprint'!$A$1:A12)),"")</f>
        <v/>
      </c>
      <c r="V106" s="41" t="str" cm="1">
        <f t="array" aca="1" ref="V106" ca="1">IFERROR(INDEX('DBX Sprint'!$A$7:$K$62, SMALL(IF((INDEX('DBX Sprint'!$A$7:$K$62, ,22)&lt;(TODAY()))*(INDEX('DBX Sprint'!$A$7:$K$62, ,22)&lt;&gt;"Complete"),MATCH(ROW('DBX Sprint'!$A$7:$K$62),ROW('DBX Sprint'!$A$7:$K$62)),""),ROWS($V$34:V106)),COLUMNS('DBX Sprint'!$A$1:A12)),"")</f>
        <v/>
      </c>
      <c r="W106" s="41" t="str" cm="1">
        <f t="array" aca="1" ref="W106" ca="1">IFERROR(INDEX('DBX Sprint'!$A$7:$K$62, SMALL(IF((INDEX('DBX Sprint'!$A$7:$K$62, ,22)&lt;=(TODAY()+1))*(INDEX('DBX Sprint'!$A$7:$K$62, ,22)&gt;=TODAY()),MATCH(ROW('DBX Sprint'!$A$7:$K$62),ROW('DBX Sprint'!$A$7:$K$62)),""),ROWS($W$34:W106)),COLUMNS('DBX Sprint'!$A$1:A12)),"")</f>
        <v/>
      </c>
      <c r="X106" s="43" t="str" cm="1">
        <f t="array" aca="1" ref="X106" ca="1">IFERROR(INDEX('DBX Sprint'!$A$7:$K$62, SMALL(IF((INDEX('DBX Sprint'!$A$7:$K$62, ,22)&lt;=(TODAY()+5))*(INDEX('DBX Sprint'!$A$7:$K$62, ,22)&gt;(TODAY()+1)),MATCH(ROW('DBX Sprint'!$A$7:$K$62),ROW('DBX Sprint'!$A$7:$K$62)),""),ROWS($X$34:X106)),COLUMNS('DBX Sprint'!$A$1:A12)),"")</f>
        <v/>
      </c>
      <c r="Y106" s="43" t="str" cm="1">
        <f t="array" aca="1" ref="Y106" ca="1">IFERROR(INDEX('DBX Sprint'!$A$7:$K$62, SMALL(IF((INDEX('DBX Sprint'!$A$7:$K$62, ,22)&lt;=(TODAY()+10))*(INDEX('DBX Sprint'!$A$7:$K$62, ,22)&gt;(TODAY()+5)),MATCH(ROW('DBX Sprint'!$A$7:$K$62),ROW('DBX Sprint'!$A$7:$K$62)),""),ROWS($Y$34:Y106)),COLUMNS('DBX Sprint'!$A$1:A12)),"")</f>
        <v/>
      </c>
      <c r="AA106" s="41" t="str" cm="1">
        <f t="array" ref="AA106">IFERROR(INDEX('DBX Sprint'!$A$7:$K$62, SMALL(IF((INDEX('DBX Sprint'!$A$7:$K$62, ,25)=("Complete"))*(INDEX('DBX Sprint'!$A$7:$K$62, ,25)="Complete"),MATCH(ROW('DBX Sprint'!$A$7:$K$62),ROW('DBX Sprint'!$A$7:$K$62)),""),ROWS($AA$34:AA106)),COLUMNS('DBX Sprint'!$A$1:A12)),"")</f>
        <v/>
      </c>
      <c r="AB106" s="41" t="str" cm="1">
        <f t="array" aca="1" ref="AB106" ca="1">IFERROR(INDEX('DBX Sprint'!$A$7:$K$62, SMALL(IF((INDEX('DBX Sprint'!$A$7:$K$62, ,25)&lt;(TODAY()))*(INDEX('DBX Sprint'!$A$7:$K$62, ,25)&lt;&gt;"Complete"),MATCH(ROW('DBX Sprint'!$A$7:$K$62),ROW('DBX Sprint'!$A$7:$K$62)),""),ROWS($AB$34:AB106)),COLUMNS('DBX Sprint'!$A$1:A12)),"")</f>
        <v/>
      </c>
      <c r="AC106" s="41" t="str" cm="1">
        <f t="array" aca="1" ref="AC106" ca="1">IFERROR(INDEX('DBX Sprint'!$A$7:$K$62, SMALL(IF((INDEX('DBX Sprint'!$A$7:$K$62, ,25)&lt;=(TODAY()+1))*(INDEX('DBX Sprint'!$A$7:$K$62, ,25)&gt;=TODAY()),MATCH(ROW('DBX Sprint'!$A$7:$K$62),ROW('DBX Sprint'!$A$7:$K$62)),""),ROWS($AC$34:AC106)),COLUMNS('DBX Sprint'!$A$1:A12)),"")</f>
        <v/>
      </c>
      <c r="AD106" s="43" t="str" cm="1">
        <f t="array" aca="1" ref="AD106" ca="1">IFERROR(INDEX('DBX Sprint'!$A$7:$K$62, SMALL(IF((INDEX('DBX Sprint'!$A$7:$K$62, ,25)&lt;=(TODAY()+5))*(INDEX('DBX Sprint'!$A$7:$K$62, ,25)&gt;(TODAY()+1)),MATCH(ROW('DBX Sprint'!$A$7:$K$62),ROW('DBX Sprint'!$A$7:$K$62)),""),ROWS($AD$34:AD106)),COLUMNS('DBX Sprint'!$A$1:A12)),"")</f>
        <v/>
      </c>
      <c r="AE106" s="43" t="str" cm="1">
        <f t="array" aca="1" ref="AE106" ca="1">IFERROR(INDEX('DBX Sprint'!$A$7:$K$62, SMALL(IF((INDEX('DBX Sprint'!$A$7:$K$62, ,25)&lt;=(TODAY()+10))*(INDEX('DBX Sprint'!$A$7:$K$62, ,25)&gt;(TODAY()+5)),MATCH(ROW('DBX Sprint'!$A$7:$K$62),ROW('DBX Sprint'!$A$7:$K$62)),""),ROWS($AE$34:AE106)),COLUMNS('DBX Sprint'!$A$1:A12)),"")</f>
        <v/>
      </c>
      <c r="AG106" s="41" t="str" cm="1">
        <f t="array" ref="AG106">IFERROR(INDEX('DBX Sprint'!$A$7:$K$62, SMALL(IF((INDEX('DBX Sprint'!$A$7:$K$62, ,29)=("Complete"))*(INDEX('DBX Sprint'!$A$7:$K$62, ,29)="Complete"),MATCH(ROW('DBX Sprint'!$A$7:$K$62),ROW('DBX Sprint'!$A$7:$K$62)),""),ROWS($AG$34:AG106)),COLUMNS('DBX Sprint'!$A$1:A12)),"")</f>
        <v/>
      </c>
      <c r="AH106" s="41" t="str" cm="1">
        <f t="array" aca="1" ref="AH106" ca="1">IFERROR(INDEX('DBX Sprint'!$A$7:$K$62, SMALL(IF((INDEX('DBX Sprint'!$A$7:$K$62, ,29)&lt;(TODAY()))*(INDEX('DBX Sprint'!$A$7:$K$62, ,29)&lt;&gt;"Complete"),MATCH(ROW('DBX Sprint'!$A$7:$K$62),ROW('DBX Sprint'!$A$7:$K$62)),""),ROWS($AH$34:AH106)),COLUMNS('DBX Sprint'!$A$1:A12)),"")</f>
        <v/>
      </c>
      <c r="AI106" s="41" t="str" cm="1">
        <f t="array" aca="1" ref="AI106" ca="1">IFERROR(INDEX('DBX Sprint'!$A$7:$K$62, SMALL(IF((INDEX('DBX Sprint'!$A$7:$K$62, ,29)&lt;=(TODAY()+1))*(INDEX('DBX Sprint'!$A$7:$K$62, ,29)&gt;=TODAY()),MATCH(ROW('DBX Sprint'!$A$7:$K$62),ROW('DBX Sprint'!$A$7:$K$62)),""),ROWS($AI$34:AI106)),COLUMNS('DBX Sprint'!$A$1:A12)),"")</f>
        <v/>
      </c>
      <c r="AJ106" s="43" t="str" cm="1">
        <f t="array" aca="1" ref="AJ106" ca="1">IFERROR(INDEX('DBX Sprint'!$A$7:$K$62, SMALL(IF((INDEX('DBX Sprint'!$A$7:$K$62, ,29)&lt;=(TODAY()+5))*(INDEX('DBX Sprint'!$A$7:$K$62, ,29)&gt;(TODAY()+1)),MATCH(ROW('DBX Sprint'!$A$7:$K$62),ROW('DBX Sprint'!$A$7:$K$62)),""),ROWS($AJ$34:AJ106)),COLUMNS('DBX Sprint'!$A$1:A12)),"")</f>
        <v/>
      </c>
      <c r="AK106" s="43" t="str" cm="1">
        <f t="array" aca="1" ref="AK106" ca="1">IFERROR(INDEX('DBX Sprint'!$A$7:$K$62, SMALL(IF((INDEX('DBX Sprint'!$A$7:$K$62, ,29)&lt;=(TODAY()+10))*(INDEX('DBX Sprint'!$A$7:$K$62, ,29)&gt;(TODAY()+5)),MATCH(ROW('DBX Sprint'!$A$7:$K$62),ROW('DBX Sprint'!$A$7:$K$62)),""),ROWS($AK$34:AK106)),COLUMNS('DBX Sprint'!$A$1:A12)),"")</f>
        <v/>
      </c>
      <c r="AM106" s="41" t="str" cm="1">
        <f t="array" ref="AM106">IFERROR(INDEX('DBX Sprint'!$A$7:$K$62, SMALL(IF((INDEX('DBX Sprint'!$A$7:$K$62, ,32)=("Complete"))*(INDEX('DBX Sprint'!$A$7:$K$62, ,32)="Complete"),MATCH(ROW('DBX Sprint'!$A$7:$K$62),ROW('DBX Sprint'!$A$7:$K$62)),""),ROWS($AM$34:AM106)),COLUMNS('DBX Sprint'!$A$1:A12)),"")</f>
        <v/>
      </c>
      <c r="AN106" s="41" t="str" cm="1">
        <f t="array" aca="1" ref="AN106" ca="1">IFERROR(INDEX('DBX Sprint'!$A$7:$K$62, SMALL(IF((INDEX('DBX Sprint'!$A$7:$K$62, ,32)&lt;(TODAY()))*(INDEX('DBX Sprint'!$A$7:$K$62, ,32)&lt;&gt;"Complete"),MATCH(ROW('DBX Sprint'!$A$7:$K$62),ROW('DBX Sprint'!$A$7:$K$62)),""),ROWS($AN$34:AN106)),COLUMNS('DBX Sprint'!$A$1:A12)),"")</f>
        <v/>
      </c>
      <c r="AO106" s="41" t="str" cm="1">
        <f t="array" aca="1" ref="AO106" ca="1">IFERROR(INDEX('DBX Sprint'!$A$7:$K$62, SMALL(IF((INDEX('DBX Sprint'!$A$7:$K$62, ,32)&lt;=(TODAY()+1))*(INDEX('DBX Sprint'!$A$7:$K$62, ,32)&gt;=TODAY()),MATCH(ROW('DBX Sprint'!$A$7:$K$62),ROW('DBX Sprint'!$A$7:$K$62)),""),ROWS($AO$34:AO106)),COLUMNS('DBX Sprint'!$A$1:A12)),"")</f>
        <v/>
      </c>
      <c r="AP106" s="43" t="str" cm="1">
        <f t="array" aca="1" ref="AP106" ca="1">IFERROR(INDEX('DBX Sprint'!$A$7:$K$62, SMALL(IF((INDEX('DBX Sprint'!$A$7:$K$62, ,32)&lt;=(TODAY()+5))*(INDEX('DBX Sprint'!$A$7:$K$62, ,32)&gt;(TODAY()+1)),MATCH(ROW('DBX Sprint'!$A$7:$K$62),ROW('DBX Sprint'!$A$7:$K$62)),""),ROWS($AP$34:AP106)),COLUMNS('DBX Sprint'!$A$1:A12)),"")</f>
        <v/>
      </c>
      <c r="AQ106" s="43" t="str" cm="1">
        <f t="array" aca="1" ref="AQ106" ca="1">IFERROR(INDEX('DBX Sprint'!$A$7:$K$62, SMALL(IF((INDEX('DBX Sprint'!$A$7:$K$62, ,32)&lt;=(TODAY()+10))*(INDEX('DBX Sprint'!$A$7:$K$62, ,32)&gt;(TODAY()+5)),MATCH(ROW('DBX Sprint'!$A$7:$K$62),ROW('DBX Sprint'!$A$7:$K$62)),""),ROWS($AQ$34:AQ106)),COLUMNS('DBX Sprint'!$A$1:A12)),"")</f>
        <v/>
      </c>
    </row>
    <row r="107" spans="3:43" ht="30" customHeight="1">
      <c r="C107" s="41" t="str" cm="1">
        <f t="array" ref="C107">IFERROR(INDEX('DBX Sprint'!$A$7:$K$62, SMALL(IF((INDEX('DBX Sprint'!$A$7:$K$62, ,13)=("Complete"))*(INDEX('DBX Sprint'!$A$7:$K$62, ,13)="Complete"),MATCH(ROW('DBX Sprint'!$A$7:$K$62),ROW('DBX Sprint'!$A$7:$K$62)),""),ROWS(C$34:$C107)),COLUMNS('DBX Sprint'!$A$1:A12)),"")</f>
        <v/>
      </c>
      <c r="D107" s="41" t="str" cm="1">
        <f t="array" aca="1" ref="D107" ca="1">IFERROR(INDEX('DBX Sprint'!$A$7:$K$62, SMALL(IF((INDEX('DBX Sprint'!$A$7:$K$62, ,13)&lt;(TODAY()))*(INDEX('DBX Sprint'!$A$7:$K$62, ,13)&lt;&gt;"Complete"),MATCH(ROW('DBX Sprint'!$A$7:$K$62),ROW('DBX Sprint'!$A$7:$K$62)),""),ROWS(D$34:$D107)),COLUMNS('DBX Sprint'!$A$1:A12)),"")</f>
        <v/>
      </c>
      <c r="E107" s="41" t="str" cm="1">
        <f t="array" aca="1" ref="E107" ca="1">IFERROR(INDEX('DBX Sprint'!$A$7:$K$62, SMALL(IF((INDEX('DBX Sprint'!$A$7:$K$62, ,13)&lt;=(TODAY()+1))*(INDEX('DBX Sprint'!$A$7:$K$62, ,13)&gt;=TODAY()),MATCH(ROW('DBX Sprint'!$A$7:$K$62),ROW('DBX Sprint'!$A$7:$K$62)),""),ROWS(E$34:$E107)),COLUMNS('DBX Sprint'!$A$1:A12)),"")</f>
        <v/>
      </c>
      <c r="F107" s="43" t="str" cm="1">
        <f t="array" aca="1" ref="F107" ca="1">IFERROR(INDEX('DBX Sprint'!$A$7:$K$62, SMALL(IF((INDEX('DBX Sprint'!$A$7:$K$62, ,13)&lt;=(TODAY()+5))*(INDEX('DBX Sprint'!$A$7:$K$62, ,13)&gt;(TODAY()+1)),MATCH(ROW('DBX Sprint'!$A$7:$K$62),ROW('DBX Sprint'!$A$7:$K$62)),""),ROWS($F$34:F107)),COLUMNS('DBX Sprint'!$A$1:A12)),"")</f>
        <v/>
      </c>
      <c r="G107" s="43" t="str" cm="1">
        <f t="array" aca="1" ref="G107" ca="1">IFERROR(INDEX('DBX Sprint'!$A$7:$K$62, SMALL(IF((INDEX('DBX Sprint'!$A$7:$K$62, ,13)&lt;=(TODAY()+10))*(INDEX('DBX Sprint'!$A$7:$K$62, ,13)&gt;(TODAY()+5)),MATCH(ROW('DBX Sprint'!$A$7:$K$62),ROW('DBX Sprint'!$A$7:$K$62)),""),ROWS($G$34:G107)),COLUMNS('DBX Sprint'!$A$1:A12)),"")</f>
        <v/>
      </c>
      <c r="I107" s="41" t="str" cm="1">
        <f t="array" ref="I107">IFERROR(INDEX('DBX Sprint'!$A$7:$K$62, SMALL(IF((INDEX('DBX Sprint'!$A$7:$K$62, ,16)=("Complete"))*(INDEX('DBX Sprint'!$A$7:$K$62, ,16)="Complete"),MATCH(ROW('DBX Sprint'!$A$7:$K$62),ROW('DBX Sprint'!$A$7:$K$62)),""),ROWS($I$34:I107)),COLUMNS('DBX Sprint'!$A$1:A12)),"")</f>
        <v/>
      </c>
      <c r="J107" s="41" t="str" cm="1">
        <f t="array" aca="1" ref="J107" ca="1">IFERROR(INDEX('DBX Sprint'!$A$7:$K$62, SMALL(IF((INDEX('DBX Sprint'!$A$7:$K$62, ,16)&lt;(TODAY()))*(INDEX('DBX Sprint'!$A$7:$K$62, ,16)&lt;&gt;"Complete"),MATCH(ROW('DBX Sprint'!$A$7:$K$62),ROW('DBX Sprint'!$A$7:$K$62)),""),ROWS($J$34:J107)),COLUMNS('DBX Sprint'!$A$1:A12)),"")</f>
        <v/>
      </c>
      <c r="K107" s="41" t="str" cm="1">
        <f t="array" aca="1" ref="K107" ca="1">IFERROR(INDEX('DBX Sprint'!$A$7:$K$62, SMALL(IF((INDEX('DBX Sprint'!$A$7:$K$62, ,16)&lt;=(TODAY()+1))*(INDEX('DBX Sprint'!$A$7:$K$62, ,16)&gt;=TODAY()),MATCH(ROW('DBX Sprint'!$A$7:$K$62),ROW('DBX Sprint'!$A$7:$K$62)),""),ROWS($K$34:K107)),COLUMNS('DBX Sprint'!$A$1:A12)),"")</f>
        <v/>
      </c>
      <c r="L107" s="43" t="str" cm="1">
        <f t="array" aca="1" ref="L107" ca="1">IFERROR(INDEX('DBX Sprint'!$A$7:$K$62, SMALL(IF((INDEX('DBX Sprint'!$A$7:$K$62, ,16)&lt;=(TODAY()+5))*(INDEX('DBX Sprint'!$A$7:$K$62, ,16)&gt;(TODAY()+1)),MATCH(ROW('DBX Sprint'!$A$7:$K$62),ROW('DBX Sprint'!$A$7:$K$62)),""),ROWS($L$34:L107)),COLUMNS('DBX Sprint'!$A$1:A12)),"")</f>
        <v/>
      </c>
      <c r="M107" s="43" t="str" cm="1">
        <f t="array" aca="1" ref="M107" ca="1">IFERROR(INDEX('DBX Sprint'!$A$7:$K$62, SMALL(IF((INDEX('DBX Sprint'!$A$7:$K$62, ,16)&lt;=(TODAY()+10))*(INDEX('DBX Sprint'!$A$7:$K$62, ,16)&gt;(TODAY()+5)),MATCH(ROW('DBX Sprint'!$A$7:$K$62),ROW('DBX Sprint'!$A$7:$K$62)),""),ROWS($M$34:M107)),COLUMNS('DBX Sprint'!$A$1:A12)),"")</f>
        <v/>
      </c>
      <c r="P107" s="41" t="str" cm="1">
        <f t="array" aca="1" ref="P107" ca="1">IFERROR(INDEX('DBX Sprint'!$A$7:$K$62, SMALL(IF((INDEX('DBX Sprint'!$A$7:$K$62, ,19)&lt;(TODAY()))*(INDEX('DBX Sprint'!$A$7:$K$62, ,19)&lt;&gt;"Complete"),MATCH(ROW('DBX Sprint'!$A$7:$K$62),ROW('DBX Sprint'!$A$7:$K$62)),""),ROWS($P$34:P107)),COLUMNS('DBX Sprint'!$A$1:A12)),"")</f>
        <v/>
      </c>
      <c r="Q107" s="41" t="str" cm="1">
        <f t="array" aca="1" ref="Q107" ca="1">IFERROR(INDEX('DBX Sprint'!$A$7:$K$62, SMALL(IF((INDEX('DBX Sprint'!$A$7:$K$62, ,19)&lt;=(TODAY()+1))*(INDEX('DBX Sprint'!$A$7:$K$62, ,19)&gt;=TODAY()),MATCH(ROW('DBX Sprint'!$A$7:$K$62),ROW('DBX Sprint'!$A$7:$K$62)),""),ROWS($Q$34:Q107)),COLUMNS('DBX Sprint'!$A$1:A12)),"")</f>
        <v/>
      </c>
      <c r="R107" s="43" t="str" cm="1">
        <f t="array" aca="1" ref="R107" ca="1">IFERROR(INDEX('DBX Sprint'!$A$7:$K$62, SMALL(IF((INDEX('DBX Sprint'!$A$7:$K$62, ,19)&lt;=(TODAY()+5))*(INDEX('DBX Sprint'!$A$7:$K$62, ,19)&gt;(TODAY()+1)),MATCH(ROW('DBX Sprint'!$A$7:$K$62),ROW('DBX Sprint'!$A$7:$K$62)),""),ROWS($R$34:R107)),COLUMNS('DBX Sprint'!$A$1:A12)),"")</f>
        <v/>
      </c>
      <c r="S107" s="43" t="str" cm="1">
        <f t="array" aca="1" ref="S107" ca="1">IFERROR(INDEX('DBX Sprint'!$A$7:$K$62, SMALL(IF((INDEX('DBX Sprint'!$A$7:$K$62, ,19)&lt;=(TODAY()+10))*(INDEX('DBX Sprint'!$A$7:$K$62, ,19)&gt;(TODAY()+5)),MATCH(ROW('DBX Sprint'!$A$7:$K$62),ROW('DBX Sprint'!$A$7:$K$62)),""),ROWS($S$34:S107)),COLUMNS('DBX Sprint'!$A$1:A12)),"")</f>
        <v/>
      </c>
      <c r="U107" s="41" t="str" cm="1">
        <f t="array" ref="U107">IFERROR(INDEX('DBX Sprint'!$A$7:$K$62, SMALL(IF((INDEX('DBX Sprint'!$A$7:$K$62, ,22)=("Complete"))*(INDEX('DBX Sprint'!$A$7:$K$62, ,22)="Complete"),MATCH(ROW('DBX Sprint'!$A$7:$K$62),ROW('DBX Sprint'!$A$7:$K$62)),""),ROWS($U$34:U107)),COLUMNS('DBX Sprint'!$A$1:A12)),"")</f>
        <v/>
      </c>
      <c r="V107" s="41" t="str" cm="1">
        <f t="array" aca="1" ref="V107" ca="1">IFERROR(INDEX('DBX Sprint'!$A$7:$K$62, SMALL(IF((INDEX('DBX Sprint'!$A$7:$K$62, ,22)&lt;(TODAY()))*(INDEX('DBX Sprint'!$A$7:$K$62, ,22)&lt;&gt;"Complete"),MATCH(ROW('DBX Sprint'!$A$7:$K$62),ROW('DBX Sprint'!$A$7:$K$62)),""),ROWS($V$34:V107)),COLUMNS('DBX Sprint'!$A$1:A12)),"")</f>
        <v/>
      </c>
      <c r="W107" s="41" t="str" cm="1">
        <f t="array" aca="1" ref="W107" ca="1">IFERROR(INDEX('DBX Sprint'!$A$7:$K$62, SMALL(IF((INDEX('DBX Sprint'!$A$7:$K$62, ,22)&lt;=(TODAY()+1))*(INDEX('DBX Sprint'!$A$7:$K$62, ,22)&gt;=TODAY()),MATCH(ROW('DBX Sprint'!$A$7:$K$62),ROW('DBX Sprint'!$A$7:$K$62)),""),ROWS($W$34:W107)),COLUMNS('DBX Sprint'!$A$1:A12)),"")</f>
        <v/>
      </c>
      <c r="X107" s="43" t="str" cm="1">
        <f t="array" aca="1" ref="X107" ca="1">IFERROR(INDEX('DBX Sprint'!$A$7:$K$62, SMALL(IF((INDEX('DBX Sprint'!$A$7:$K$62, ,22)&lt;=(TODAY()+5))*(INDEX('DBX Sprint'!$A$7:$K$62, ,22)&gt;(TODAY()+1)),MATCH(ROW('DBX Sprint'!$A$7:$K$62),ROW('DBX Sprint'!$A$7:$K$62)),""),ROWS($X$34:X107)),COLUMNS('DBX Sprint'!$A$1:A12)),"")</f>
        <v/>
      </c>
      <c r="Y107" s="43" t="str" cm="1">
        <f t="array" aca="1" ref="Y107" ca="1">IFERROR(INDEX('DBX Sprint'!$A$7:$K$62, SMALL(IF((INDEX('DBX Sprint'!$A$7:$K$62, ,22)&lt;=(TODAY()+10))*(INDEX('DBX Sprint'!$A$7:$K$62, ,22)&gt;(TODAY()+5)),MATCH(ROW('DBX Sprint'!$A$7:$K$62),ROW('DBX Sprint'!$A$7:$K$62)),""),ROWS($Y$34:Y107)),COLUMNS('DBX Sprint'!$A$1:A12)),"")</f>
        <v/>
      </c>
      <c r="AA107" s="41" t="str" cm="1">
        <f t="array" ref="AA107">IFERROR(INDEX('DBX Sprint'!$A$7:$K$62, SMALL(IF((INDEX('DBX Sprint'!$A$7:$K$62, ,25)=("Complete"))*(INDEX('DBX Sprint'!$A$7:$K$62, ,25)="Complete"),MATCH(ROW('DBX Sprint'!$A$7:$K$62),ROW('DBX Sprint'!$A$7:$K$62)),""),ROWS($AA$34:AA107)),COLUMNS('DBX Sprint'!$A$1:A12)),"")</f>
        <v/>
      </c>
      <c r="AB107" s="41" t="str" cm="1">
        <f t="array" aca="1" ref="AB107" ca="1">IFERROR(INDEX('DBX Sprint'!$A$7:$K$62, SMALL(IF((INDEX('DBX Sprint'!$A$7:$K$62, ,25)&lt;(TODAY()))*(INDEX('DBX Sprint'!$A$7:$K$62, ,25)&lt;&gt;"Complete"),MATCH(ROW('DBX Sprint'!$A$7:$K$62),ROW('DBX Sprint'!$A$7:$K$62)),""),ROWS($AB$34:AB107)),COLUMNS('DBX Sprint'!$A$1:A12)),"")</f>
        <v/>
      </c>
      <c r="AC107" s="41" t="str" cm="1">
        <f t="array" aca="1" ref="AC107" ca="1">IFERROR(INDEX('DBX Sprint'!$A$7:$K$62, SMALL(IF((INDEX('DBX Sprint'!$A$7:$K$62, ,25)&lt;=(TODAY()+1))*(INDEX('DBX Sprint'!$A$7:$K$62, ,25)&gt;=TODAY()),MATCH(ROW('DBX Sprint'!$A$7:$K$62),ROW('DBX Sprint'!$A$7:$K$62)),""),ROWS($AC$34:AC107)),COLUMNS('DBX Sprint'!$A$1:A12)),"")</f>
        <v/>
      </c>
      <c r="AD107" s="43" t="str" cm="1">
        <f t="array" aca="1" ref="AD107" ca="1">IFERROR(INDEX('DBX Sprint'!$A$7:$K$62, SMALL(IF((INDEX('DBX Sprint'!$A$7:$K$62, ,25)&lt;=(TODAY()+5))*(INDEX('DBX Sprint'!$A$7:$K$62, ,25)&gt;(TODAY()+1)),MATCH(ROW('DBX Sprint'!$A$7:$K$62),ROW('DBX Sprint'!$A$7:$K$62)),""),ROWS($AD$34:AD107)),COLUMNS('DBX Sprint'!$A$1:A12)),"")</f>
        <v/>
      </c>
      <c r="AE107" s="43" t="str" cm="1">
        <f t="array" aca="1" ref="AE107" ca="1">IFERROR(INDEX('DBX Sprint'!$A$7:$K$62, SMALL(IF((INDEX('DBX Sprint'!$A$7:$K$62, ,25)&lt;=(TODAY()+10))*(INDEX('DBX Sprint'!$A$7:$K$62, ,25)&gt;(TODAY()+5)),MATCH(ROW('DBX Sprint'!$A$7:$K$62),ROW('DBX Sprint'!$A$7:$K$62)),""),ROWS($AE$34:AE107)),COLUMNS('DBX Sprint'!$A$1:A12)),"")</f>
        <v/>
      </c>
      <c r="AG107" s="41" t="str" cm="1">
        <f t="array" ref="AG107">IFERROR(INDEX('DBX Sprint'!$A$7:$K$62, SMALL(IF((INDEX('DBX Sprint'!$A$7:$K$62, ,29)=("Complete"))*(INDEX('DBX Sprint'!$A$7:$K$62, ,29)="Complete"),MATCH(ROW('DBX Sprint'!$A$7:$K$62),ROW('DBX Sprint'!$A$7:$K$62)),""),ROWS($AG$34:AG107)),COLUMNS('DBX Sprint'!$A$1:A12)),"")</f>
        <v/>
      </c>
      <c r="AH107" s="41" t="str" cm="1">
        <f t="array" aca="1" ref="AH107" ca="1">IFERROR(INDEX('DBX Sprint'!$A$7:$K$62, SMALL(IF((INDEX('DBX Sprint'!$A$7:$K$62, ,29)&lt;(TODAY()))*(INDEX('DBX Sprint'!$A$7:$K$62, ,29)&lt;&gt;"Complete"),MATCH(ROW('DBX Sprint'!$A$7:$K$62),ROW('DBX Sprint'!$A$7:$K$62)),""),ROWS($AH$34:AH107)),COLUMNS('DBX Sprint'!$A$1:A12)),"")</f>
        <v/>
      </c>
      <c r="AI107" s="41" t="str" cm="1">
        <f t="array" aca="1" ref="AI107" ca="1">IFERROR(INDEX('DBX Sprint'!$A$7:$K$62, SMALL(IF((INDEX('DBX Sprint'!$A$7:$K$62, ,29)&lt;=(TODAY()+1))*(INDEX('DBX Sprint'!$A$7:$K$62, ,29)&gt;=TODAY()),MATCH(ROW('DBX Sprint'!$A$7:$K$62),ROW('DBX Sprint'!$A$7:$K$62)),""),ROWS($AI$34:AI107)),COLUMNS('DBX Sprint'!$A$1:A12)),"")</f>
        <v/>
      </c>
      <c r="AJ107" s="43" t="str" cm="1">
        <f t="array" aca="1" ref="AJ107" ca="1">IFERROR(INDEX('DBX Sprint'!$A$7:$K$62, SMALL(IF((INDEX('DBX Sprint'!$A$7:$K$62, ,29)&lt;=(TODAY()+5))*(INDEX('DBX Sprint'!$A$7:$K$62, ,29)&gt;(TODAY()+1)),MATCH(ROW('DBX Sprint'!$A$7:$K$62),ROW('DBX Sprint'!$A$7:$K$62)),""),ROWS($AJ$34:AJ107)),COLUMNS('DBX Sprint'!$A$1:A12)),"")</f>
        <v/>
      </c>
      <c r="AK107" s="43" t="str" cm="1">
        <f t="array" aca="1" ref="AK107" ca="1">IFERROR(INDEX('DBX Sprint'!$A$7:$K$62, SMALL(IF((INDEX('DBX Sprint'!$A$7:$K$62, ,29)&lt;=(TODAY()+10))*(INDEX('DBX Sprint'!$A$7:$K$62, ,29)&gt;(TODAY()+5)),MATCH(ROW('DBX Sprint'!$A$7:$K$62),ROW('DBX Sprint'!$A$7:$K$62)),""),ROWS($AK$34:AK107)),COLUMNS('DBX Sprint'!$A$1:A12)),"")</f>
        <v/>
      </c>
      <c r="AM107" s="41" t="str" cm="1">
        <f t="array" ref="AM107">IFERROR(INDEX('DBX Sprint'!$A$7:$K$62, SMALL(IF((INDEX('DBX Sprint'!$A$7:$K$62, ,32)=("Complete"))*(INDEX('DBX Sprint'!$A$7:$K$62, ,32)="Complete"),MATCH(ROW('DBX Sprint'!$A$7:$K$62),ROW('DBX Sprint'!$A$7:$K$62)),""),ROWS($AM$34:AM107)),COLUMNS('DBX Sprint'!$A$1:A12)),"")</f>
        <v/>
      </c>
      <c r="AN107" s="41" t="str" cm="1">
        <f t="array" aca="1" ref="AN107" ca="1">IFERROR(INDEX('DBX Sprint'!$A$7:$K$62, SMALL(IF((INDEX('DBX Sprint'!$A$7:$K$62, ,32)&lt;(TODAY()))*(INDEX('DBX Sprint'!$A$7:$K$62, ,32)&lt;&gt;"Complete"),MATCH(ROW('DBX Sprint'!$A$7:$K$62),ROW('DBX Sprint'!$A$7:$K$62)),""),ROWS($AN$34:AN107)),COLUMNS('DBX Sprint'!$A$1:A12)),"")</f>
        <v/>
      </c>
      <c r="AO107" s="41" t="str" cm="1">
        <f t="array" aca="1" ref="AO107" ca="1">IFERROR(INDEX('DBX Sprint'!$A$7:$K$62, SMALL(IF((INDEX('DBX Sprint'!$A$7:$K$62, ,32)&lt;=(TODAY()+1))*(INDEX('DBX Sprint'!$A$7:$K$62, ,32)&gt;=TODAY()),MATCH(ROW('DBX Sprint'!$A$7:$K$62),ROW('DBX Sprint'!$A$7:$K$62)),""),ROWS($AO$34:AO107)),COLUMNS('DBX Sprint'!$A$1:A12)),"")</f>
        <v/>
      </c>
      <c r="AP107" s="43" t="str" cm="1">
        <f t="array" aca="1" ref="AP107" ca="1">IFERROR(INDEX('DBX Sprint'!$A$7:$K$62, SMALL(IF((INDEX('DBX Sprint'!$A$7:$K$62, ,32)&lt;=(TODAY()+5))*(INDEX('DBX Sprint'!$A$7:$K$62, ,32)&gt;(TODAY()+1)),MATCH(ROW('DBX Sprint'!$A$7:$K$62),ROW('DBX Sprint'!$A$7:$K$62)),""),ROWS($AP$34:AP107)),COLUMNS('DBX Sprint'!$A$1:A12)),"")</f>
        <v/>
      </c>
      <c r="AQ107" s="43" t="str" cm="1">
        <f t="array" aca="1" ref="AQ107" ca="1">IFERROR(INDEX('DBX Sprint'!$A$7:$K$62, SMALL(IF((INDEX('DBX Sprint'!$A$7:$K$62, ,32)&lt;=(TODAY()+10))*(INDEX('DBX Sprint'!$A$7:$K$62, ,32)&gt;(TODAY()+5)),MATCH(ROW('DBX Sprint'!$A$7:$K$62),ROW('DBX Sprint'!$A$7:$K$62)),""),ROWS($AQ$34:AQ107)),COLUMNS('DBX Sprint'!$A$1:A12)),"")</f>
        <v/>
      </c>
    </row>
    <row r="108" spans="3:43" ht="30" customHeight="1">
      <c r="C108" s="41" t="str" cm="1">
        <f t="array" ref="C108">IFERROR(INDEX('DBX Sprint'!$A$7:$K$62, SMALL(IF((INDEX('DBX Sprint'!$A$7:$K$62, ,13)=("Complete"))*(INDEX('DBX Sprint'!$A$7:$K$62, ,13)="Complete"),MATCH(ROW('DBX Sprint'!$A$7:$K$62),ROW('DBX Sprint'!$A$7:$K$62)),""),ROWS(C$34:$C108)),COLUMNS('DBX Sprint'!$A$1:A12)),"")</f>
        <v/>
      </c>
      <c r="D108" s="41" t="str" cm="1">
        <f t="array" aca="1" ref="D108" ca="1">IFERROR(INDEX('DBX Sprint'!$A$7:$K$62, SMALL(IF((INDEX('DBX Sprint'!$A$7:$K$62, ,13)&lt;(TODAY()))*(INDEX('DBX Sprint'!$A$7:$K$62, ,13)&lt;&gt;"Complete"),MATCH(ROW('DBX Sprint'!$A$7:$K$62),ROW('DBX Sprint'!$A$7:$K$62)),""),ROWS(D$34:$D108)),COLUMNS('DBX Sprint'!$A$1:A12)),"")</f>
        <v/>
      </c>
      <c r="E108" s="41" t="str" cm="1">
        <f t="array" aca="1" ref="E108" ca="1">IFERROR(INDEX('DBX Sprint'!$A$7:$K$62, SMALL(IF((INDEX('DBX Sprint'!$A$7:$K$62, ,13)&lt;=(TODAY()+1))*(INDEX('DBX Sprint'!$A$7:$K$62, ,13)&gt;=TODAY()),MATCH(ROW('DBX Sprint'!$A$7:$K$62),ROW('DBX Sprint'!$A$7:$K$62)),""),ROWS(E$34:$E108)),COLUMNS('DBX Sprint'!$A$1:A12)),"")</f>
        <v/>
      </c>
      <c r="F108" s="43" t="str" cm="1">
        <f t="array" aca="1" ref="F108" ca="1">IFERROR(INDEX('DBX Sprint'!$A$7:$K$62, SMALL(IF((INDEX('DBX Sprint'!$A$7:$K$62, ,13)&lt;=(TODAY()+5))*(INDEX('DBX Sprint'!$A$7:$K$62, ,13)&gt;(TODAY()+1)),MATCH(ROW('DBX Sprint'!$A$7:$K$62),ROW('DBX Sprint'!$A$7:$K$62)),""),ROWS($F$34:F108)),COLUMNS('DBX Sprint'!$A$1:A12)),"")</f>
        <v/>
      </c>
      <c r="G108" s="43" t="str" cm="1">
        <f t="array" aca="1" ref="G108" ca="1">IFERROR(INDEX('DBX Sprint'!$A$7:$K$62, SMALL(IF((INDEX('DBX Sprint'!$A$7:$K$62, ,13)&lt;=(TODAY()+10))*(INDEX('DBX Sprint'!$A$7:$K$62, ,13)&gt;(TODAY()+5)),MATCH(ROW('DBX Sprint'!$A$7:$K$62),ROW('DBX Sprint'!$A$7:$K$62)),""),ROWS($G$34:G108)),COLUMNS('DBX Sprint'!$A$1:A12)),"")</f>
        <v/>
      </c>
      <c r="I108" s="41" t="str" cm="1">
        <f t="array" ref="I108">IFERROR(INDEX('DBX Sprint'!$A$7:$K$62, SMALL(IF((INDEX('DBX Sprint'!$A$7:$K$62, ,16)=("Complete"))*(INDEX('DBX Sprint'!$A$7:$K$62, ,16)="Complete"),MATCH(ROW('DBX Sprint'!$A$7:$K$62),ROW('DBX Sprint'!$A$7:$K$62)),""),ROWS($I$34:I108)),COLUMNS('DBX Sprint'!$A$1:A12)),"")</f>
        <v/>
      </c>
      <c r="J108" s="41" t="str" cm="1">
        <f t="array" aca="1" ref="J108" ca="1">IFERROR(INDEX('DBX Sprint'!$A$7:$K$62, SMALL(IF((INDEX('DBX Sprint'!$A$7:$K$62, ,16)&lt;(TODAY()))*(INDEX('DBX Sprint'!$A$7:$K$62, ,16)&lt;&gt;"Complete"),MATCH(ROW('DBX Sprint'!$A$7:$K$62),ROW('DBX Sprint'!$A$7:$K$62)),""),ROWS($J$34:J108)),COLUMNS('DBX Sprint'!$A$1:A12)),"")</f>
        <v/>
      </c>
      <c r="K108" s="41" t="str" cm="1">
        <f t="array" aca="1" ref="K108" ca="1">IFERROR(INDEX('DBX Sprint'!$A$7:$K$62, SMALL(IF((INDEX('DBX Sprint'!$A$7:$K$62, ,16)&lt;=(TODAY()+1))*(INDEX('DBX Sprint'!$A$7:$K$62, ,16)&gt;=TODAY()),MATCH(ROW('DBX Sprint'!$A$7:$K$62),ROW('DBX Sprint'!$A$7:$K$62)),""),ROWS($K$34:K108)),COLUMNS('DBX Sprint'!$A$1:A12)),"")</f>
        <v/>
      </c>
      <c r="L108" s="43" t="str" cm="1">
        <f t="array" aca="1" ref="L108" ca="1">IFERROR(INDEX('DBX Sprint'!$A$7:$K$62, SMALL(IF((INDEX('DBX Sprint'!$A$7:$K$62, ,16)&lt;=(TODAY()+5))*(INDEX('DBX Sprint'!$A$7:$K$62, ,16)&gt;(TODAY()+1)),MATCH(ROW('DBX Sprint'!$A$7:$K$62),ROW('DBX Sprint'!$A$7:$K$62)),""),ROWS($L$34:L108)),COLUMNS('DBX Sprint'!$A$1:A12)),"")</f>
        <v/>
      </c>
      <c r="M108" s="43" t="str" cm="1">
        <f t="array" aca="1" ref="M108" ca="1">IFERROR(INDEX('DBX Sprint'!$A$7:$K$62, SMALL(IF((INDEX('DBX Sprint'!$A$7:$K$62, ,16)&lt;=(TODAY()+10))*(INDEX('DBX Sprint'!$A$7:$K$62, ,16)&gt;(TODAY()+5)),MATCH(ROW('DBX Sprint'!$A$7:$K$62),ROW('DBX Sprint'!$A$7:$K$62)),""),ROWS($M$34:M108)),COLUMNS('DBX Sprint'!$A$1:A12)),"")</f>
        <v/>
      </c>
      <c r="P108" s="41" t="str" cm="1">
        <f t="array" aca="1" ref="P108" ca="1">IFERROR(INDEX('DBX Sprint'!$A$7:$K$62, SMALL(IF((INDEX('DBX Sprint'!$A$7:$K$62, ,19)&lt;(TODAY()))*(INDEX('DBX Sprint'!$A$7:$K$62, ,19)&lt;&gt;"Complete"),MATCH(ROW('DBX Sprint'!$A$7:$K$62),ROW('DBX Sprint'!$A$7:$K$62)),""),ROWS($P$34:P108)),COLUMNS('DBX Sprint'!$A$1:A12)),"")</f>
        <v/>
      </c>
      <c r="Q108" s="41" t="str" cm="1">
        <f t="array" aca="1" ref="Q108" ca="1">IFERROR(INDEX('DBX Sprint'!$A$7:$K$62, SMALL(IF((INDEX('DBX Sprint'!$A$7:$K$62, ,19)&lt;=(TODAY()+1))*(INDEX('DBX Sprint'!$A$7:$K$62, ,19)&gt;=TODAY()),MATCH(ROW('DBX Sprint'!$A$7:$K$62),ROW('DBX Sprint'!$A$7:$K$62)),""),ROWS($Q$34:Q108)),COLUMNS('DBX Sprint'!$A$1:A12)),"")</f>
        <v/>
      </c>
      <c r="R108" s="43" t="str" cm="1">
        <f t="array" aca="1" ref="R108" ca="1">IFERROR(INDEX('DBX Sprint'!$A$7:$K$62, SMALL(IF((INDEX('DBX Sprint'!$A$7:$K$62, ,19)&lt;=(TODAY()+5))*(INDEX('DBX Sprint'!$A$7:$K$62, ,19)&gt;(TODAY()+1)),MATCH(ROW('DBX Sprint'!$A$7:$K$62),ROW('DBX Sprint'!$A$7:$K$62)),""),ROWS($R$34:R108)),COLUMNS('DBX Sprint'!$A$1:A12)),"")</f>
        <v/>
      </c>
      <c r="S108" s="43" t="str" cm="1">
        <f t="array" aca="1" ref="S108" ca="1">IFERROR(INDEX('DBX Sprint'!$A$7:$K$62, SMALL(IF((INDEX('DBX Sprint'!$A$7:$K$62, ,19)&lt;=(TODAY()+10))*(INDEX('DBX Sprint'!$A$7:$K$62, ,19)&gt;(TODAY()+5)),MATCH(ROW('DBX Sprint'!$A$7:$K$62),ROW('DBX Sprint'!$A$7:$K$62)),""),ROWS($S$34:S108)),COLUMNS('DBX Sprint'!$A$1:A12)),"")</f>
        <v/>
      </c>
      <c r="U108" s="41" t="str" cm="1">
        <f t="array" ref="U108">IFERROR(INDEX('DBX Sprint'!$A$7:$K$62, SMALL(IF((INDEX('DBX Sprint'!$A$7:$K$62, ,22)=("Complete"))*(INDEX('DBX Sprint'!$A$7:$K$62, ,22)="Complete"),MATCH(ROW('DBX Sprint'!$A$7:$K$62),ROW('DBX Sprint'!$A$7:$K$62)),""),ROWS($U$34:U108)),COLUMNS('DBX Sprint'!$A$1:A12)),"")</f>
        <v/>
      </c>
      <c r="V108" s="41" t="str" cm="1">
        <f t="array" aca="1" ref="V108" ca="1">IFERROR(INDEX('DBX Sprint'!$A$7:$K$62, SMALL(IF((INDEX('DBX Sprint'!$A$7:$K$62, ,22)&lt;(TODAY()))*(INDEX('DBX Sprint'!$A$7:$K$62, ,22)&lt;&gt;"Complete"),MATCH(ROW('DBX Sprint'!$A$7:$K$62),ROW('DBX Sprint'!$A$7:$K$62)),""),ROWS($V$34:V108)),COLUMNS('DBX Sprint'!$A$1:A12)),"")</f>
        <v/>
      </c>
      <c r="W108" s="41" t="str" cm="1">
        <f t="array" aca="1" ref="W108" ca="1">IFERROR(INDEX('DBX Sprint'!$A$7:$K$62, SMALL(IF((INDEX('DBX Sprint'!$A$7:$K$62, ,22)&lt;=(TODAY()+1))*(INDEX('DBX Sprint'!$A$7:$K$62, ,22)&gt;=TODAY()),MATCH(ROW('DBX Sprint'!$A$7:$K$62),ROW('DBX Sprint'!$A$7:$K$62)),""),ROWS($W$34:W108)),COLUMNS('DBX Sprint'!$A$1:A12)),"")</f>
        <v/>
      </c>
      <c r="X108" s="43" t="str" cm="1">
        <f t="array" aca="1" ref="X108" ca="1">IFERROR(INDEX('DBX Sprint'!$A$7:$K$62, SMALL(IF((INDEX('DBX Sprint'!$A$7:$K$62, ,22)&lt;=(TODAY()+5))*(INDEX('DBX Sprint'!$A$7:$K$62, ,22)&gt;(TODAY()+1)),MATCH(ROW('DBX Sprint'!$A$7:$K$62),ROW('DBX Sprint'!$A$7:$K$62)),""),ROWS($X$34:X108)),COLUMNS('DBX Sprint'!$A$1:A12)),"")</f>
        <v/>
      </c>
      <c r="Y108" s="43" t="str" cm="1">
        <f t="array" aca="1" ref="Y108" ca="1">IFERROR(INDEX('DBX Sprint'!$A$7:$K$62, SMALL(IF((INDEX('DBX Sprint'!$A$7:$K$62, ,22)&lt;=(TODAY()+10))*(INDEX('DBX Sprint'!$A$7:$K$62, ,22)&gt;(TODAY()+5)),MATCH(ROW('DBX Sprint'!$A$7:$K$62),ROW('DBX Sprint'!$A$7:$K$62)),""),ROWS($Y$34:Y108)),COLUMNS('DBX Sprint'!$A$1:A12)),"")</f>
        <v/>
      </c>
      <c r="AA108" s="41" t="str" cm="1">
        <f t="array" ref="AA108">IFERROR(INDEX('DBX Sprint'!$A$7:$K$62, SMALL(IF((INDEX('DBX Sprint'!$A$7:$K$62, ,25)=("Complete"))*(INDEX('DBX Sprint'!$A$7:$K$62, ,25)="Complete"),MATCH(ROW('DBX Sprint'!$A$7:$K$62),ROW('DBX Sprint'!$A$7:$K$62)),""),ROWS($AA$34:AA108)),COLUMNS('DBX Sprint'!$A$1:A12)),"")</f>
        <v/>
      </c>
      <c r="AB108" s="41" t="str" cm="1">
        <f t="array" aca="1" ref="AB108" ca="1">IFERROR(INDEX('DBX Sprint'!$A$7:$K$62, SMALL(IF((INDEX('DBX Sprint'!$A$7:$K$62, ,25)&lt;(TODAY()))*(INDEX('DBX Sprint'!$A$7:$K$62, ,25)&lt;&gt;"Complete"),MATCH(ROW('DBX Sprint'!$A$7:$K$62),ROW('DBX Sprint'!$A$7:$K$62)),""),ROWS($AB$34:AB108)),COLUMNS('DBX Sprint'!$A$1:A12)),"")</f>
        <v/>
      </c>
      <c r="AC108" s="41" t="str" cm="1">
        <f t="array" aca="1" ref="AC108" ca="1">IFERROR(INDEX('DBX Sprint'!$A$7:$K$62, SMALL(IF((INDEX('DBX Sprint'!$A$7:$K$62, ,25)&lt;=(TODAY()+1))*(INDEX('DBX Sprint'!$A$7:$K$62, ,25)&gt;=TODAY()),MATCH(ROW('DBX Sprint'!$A$7:$K$62),ROW('DBX Sprint'!$A$7:$K$62)),""),ROWS($AC$34:AC108)),COLUMNS('DBX Sprint'!$A$1:A12)),"")</f>
        <v/>
      </c>
      <c r="AD108" s="43" t="str" cm="1">
        <f t="array" aca="1" ref="AD108" ca="1">IFERROR(INDEX('DBX Sprint'!$A$7:$K$62, SMALL(IF((INDEX('DBX Sprint'!$A$7:$K$62, ,25)&lt;=(TODAY()+5))*(INDEX('DBX Sprint'!$A$7:$K$62, ,25)&gt;(TODAY()+1)),MATCH(ROW('DBX Sprint'!$A$7:$K$62),ROW('DBX Sprint'!$A$7:$K$62)),""),ROWS($AD$34:AD108)),COLUMNS('DBX Sprint'!$A$1:A12)),"")</f>
        <v/>
      </c>
      <c r="AE108" s="43" t="str" cm="1">
        <f t="array" aca="1" ref="AE108" ca="1">IFERROR(INDEX('DBX Sprint'!$A$7:$K$62, SMALL(IF((INDEX('DBX Sprint'!$A$7:$K$62, ,25)&lt;=(TODAY()+10))*(INDEX('DBX Sprint'!$A$7:$K$62, ,25)&gt;(TODAY()+5)),MATCH(ROW('DBX Sprint'!$A$7:$K$62),ROW('DBX Sprint'!$A$7:$K$62)),""),ROWS($AE$34:AE108)),COLUMNS('DBX Sprint'!$A$1:A12)),"")</f>
        <v/>
      </c>
      <c r="AG108" s="41" t="str" cm="1">
        <f t="array" ref="AG108">IFERROR(INDEX('DBX Sprint'!$A$7:$K$62, SMALL(IF((INDEX('DBX Sprint'!$A$7:$K$62, ,29)=("Complete"))*(INDEX('DBX Sprint'!$A$7:$K$62, ,29)="Complete"),MATCH(ROW('DBX Sprint'!$A$7:$K$62),ROW('DBX Sprint'!$A$7:$K$62)),""),ROWS($AG$34:AG108)),COLUMNS('DBX Sprint'!$A$1:A12)),"")</f>
        <v/>
      </c>
      <c r="AH108" s="41" t="str" cm="1">
        <f t="array" aca="1" ref="AH108" ca="1">IFERROR(INDEX('DBX Sprint'!$A$7:$K$62, SMALL(IF((INDEX('DBX Sprint'!$A$7:$K$62, ,29)&lt;(TODAY()))*(INDEX('DBX Sprint'!$A$7:$K$62, ,29)&lt;&gt;"Complete"),MATCH(ROW('DBX Sprint'!$A$7:$K$62),ROW('DBX Sprint'!$A$7:$K$62)),""),ROWS($AH$34:AH108)),COLUMNS('DBX Sprint'!$A$1:A12)),"")</f>
        <v/>
      </c>
      <c r="AI108" s="41" t="str" cm="1">
        <f t="array" aca="1" ref="AI108" ca="1">IFERROR(INDEX('DBX Sprint'!$A$7:$K$62, SMALL(IF((INDEX('DBX Sprint'!$A$7:$K$62, ,29)&lt;=(TODAY()+1))*(INDEX('DBX Sprint'!$A$7:$K$62, ,29)&gt;=TODAY()),MATCH(ROW('DBX Sprint'!$A$7:$K$62),ROW('DBX Sprint'!$A$7:$K$62)),""),ROWS($AI$34:AI108)),COLUMNS('DBX Sprint'!$A$1:A12)),"")</f>
        <v/>
      </c>
      <c r="AJ108" s="43" t="str" cm="1">
        <f t="array" aca="1" ref="AJ108" ca="1">IFERROR(INDEX('DBX Sprint'!$A$7:$K$62, SMALL(IF((INDEX('DBX Sprint'!$A$7:$K$62, ,29)&lt;=(TODAY()+5))*(INDEX('DBX Sprint'!$A$7:$K$62, ,29)&gt;(TODAY()+1)),MATCH(ROW('DBX Sprint'!$A$7:$K$62),ROW('DBX Sprint'!$A$7:$K$62)),""),ROWS($AJ$34:AJ108)),COLUMNS('DBX Sprint'!$A$1:A12)),"")</f>
        <v/>
      </c>
      <c r="AK108" s="43" t="str" cm="1">
        <f t="array" aca="1" ref="AK108" ca="1">IFERROR(INDEX('DBX Sprint'!$A$7:$K$62, SMALL(IF((INDEX('DBX Sprint'!$A$7:$K$62, ,29)&lt;=(TODAY()+10))*(INDEX('DBX Sprint'!$A$7:$K$62, ,29)&gt;(TODAY()+5)),MATCH(ROW('DBX Sprint'!$A$7:$K$62),ROW('DBX Sprint'!$A$7:$K$62)),""),ROWS($AK$34:AK108)),COLUMNS('DBX Sprint'!$A$1:A12)),"")</f>
        <v/>
      </c>
      <c r="AM108" s="41" t="str" cm="1">
        <f t="array" ref="AM108">IFERROR(INDEX('DBX Sprint'!$A$7:$K$62, SMALL(IF((INDEX('DBX Sprint'!$A$7:$K$62, ,32)=("Complete"))*(INDEX('DBX Sprint'!$A$7:$K$62, ,32)="Complete"),MATCH(ROW('DBX Sprint'!$A$7:$K$62),ROW('DBX Sprint'!$A$7:$K$62)),""),ROWS($AM$34:AM108)),COLUMNS('DBX Sprint'!$A$1:A12)),"")</f>
        <v/>
      </c>
      <c r="AN108" s="41" t="str" cm="1">
        <f t="array" aca="1" ref="AN108" ca="1">IFERROR(INDEX('DBX Sprint'!$A$7:$K$62, SMALL(IF((INDEX('DBX Sprint'!$A$7:$K$62, ,32)&lt;(TODAY()))*(INDEX('DBX Sprint'!$A$7:$K$62, ,32)&lt;&gt;"Complete"),MATCH(ROW('DBX Sprint'!$A$7:$K$62),ROW('DBX Sprint'!$A$7:$K$62)),""),ROWS($AN$34:AN108)),COLUMNS('DBX Sprint'!$A$1:A12)),"")</f>
        <v/>
      </c>
      <c r="AO108" s="41" t="str" cm="1">
        <f t="array" aca="1" ref="AO108" ca="1">IFERROR(INDEX('DBX Sprint'!$A$7:$K$62, SMALL(IF((INDEX('DBX Sprint'!$A$7:$K$62, ,32)&lt;=(TODAY()+1))*(INDEX('DBX Sprint'!$A$7:$K$62, ,32)&gt;=TODAY()),MATCH(ROW('DBX Sprint'!$A$7:$K$62),ROW('DBX Sprint'!$A$7:$K$62)),""),ROWS($AO$34:AO108)),COLUMNS('DBX Sprint'!$A$1:A12)),"")</f>
        <v/>
      </c>
      <c r="AP108" s="43" t="str" cm="1">
        <f t="array" aca="1" ref="AP108" ca="1">IFERROR(INDEX('DBX Sprint'!$A$7:$K$62, SMALL(IF((INDEX('DBX Sprint'!$A$7:$K$62, ,32)&lt;=(TODAY()+5))*(INDEX('DBX Sprint'!$A$7:$K$62, ,32)&gt;(TODAY()+1)),MATCH(ROW('DBX Sprint'!$A$7:$K$62),ROW('DBX Sprint'!$A$7:$K$62)),""),ROWS($AP$34:AP108)),COLUMNS('DBX Sprint'!$A$1:A12)),"")</f>
        <v/>
      </c>
      <c r="AQ108" s="43" t="str" cm="1">
        <f t="array" aca="1" ref="AQ108" ca="1">IFERROR(INDEX('DBX Sprint'!$A$7:$K$62, SMALL(IF((INDEX('DBX Sprint'!$A$7:$K$62, ,32)&lt;=(TODAY()+10))*(INDEX('DBX Sprint'!$A$7:$K$62, ,32)&gt;(TODAY()+5)),MATCH(ROW('DBX Sprint'!$A$7:$K$62),ROW('DBX Sprint'!$A$7:$K$62)),""),ROWS($AQ$34:AQ108)),COLUMNS('DBX Sprint'!$A$1:A12)),"")</f>
        <v/>
      </c>
    </row>
    <row r="109" spans="3:43" ht="30" customHeight="1">
      <c r="C109" s="41" t="str" cm="1">
        <f t="array" ref="C109">IFERROR(INDEX('DBX Sprint'!$A$7:$K$62, SMALL(IF((INDEX('DBX Sprint'!$A$7:$K$62, ,13)=("Complete"))*(INDEX('DBX Sprint'!$A$7:$K$62, ,13)="Complete"),MATCH(ROW('DBX Sprint'!$A$7:$K$62),ROW('DBX Sprint'!$A$7:$K$62)),""),ROWS(C$34:$C109)),COLUMNS('DBX Sprint'!$A$1:A12)),"")</f>
        <v/>
      </c>
      <c r="D109" s="41" t="str" cm="1">
        <f t="array" aca="1" ref="D109" ca="1">IFERROR(INDEX('DBX Sprint'!$A$7:$K$62, SMALL(IF((INDEX('DBX Sprint'!$A$7:$K$62, ,13)&lt;(TODAY()))*(INDEX('DBX Sprint'!$A$7:$K$62, ,13)&lt;&gt;"Complete"),MATCH(ROW('DBX Sprint'!$A$7:$K$62),ROW('DBX Sprint'!$A$7:$K$62)),""),ROWS(D$34:$D109)),COLUMNS('DBX Sprint'!$A$1:A12)),"")</f>
        <v/>
      </c>
      <c r="E109" s="41" t="str" cm="1">
        <f t="array" aca="1" ref="E109" ca="1">IFERROR(INDEX('DBX Sprint'!$A$7:$K$62, SMALL(IF((INDEX('DBX Sprint'!$A$7:$K$62, ,13)&lt;=(TODAY()+1))*(INDEX('DBX Sprint'!$A$7:$K$62, ,13)&gt;=TODAY()),MATCH(ROW('DBX Sprint'!$A$7:$K$62),ROW('DBX Sprint'!$A$7:$K$62)),""),ROWS(E$34:$E109)),COLUMNS('DBX Sprint'!$A$1:A12)),"")</f>
        <v/>
      </c>
      <c r="F109" s="43" t="str" cm="1">
        <f t="array" aca="1" ref="F109" ca="1">IFERROR(INDEX('DBX Sprint'!$A$7:$K$62, SMALL(IF((INDEX('DBX Sprint'!$A$7:$K$62, ,13)&lt;=(TODAY()+5))*(INDEX('DBX Sprint'!$A$7:$K$62, ,13)&gt;(TODAY()+1)),MATCH(ROW('DBX Sprint'!$A$7:$K$62),ROW('DBX Sprint'!$A$7:$K$62)),""),ROWS($F$34:F109)),COLUMNS('DBX Sprint'!$A$1:A12)),"")</f>
        <v/>
      </c>
      <c r="G109" s="43" t="str" cm="1">
        <f t="array" aca="1" ref="G109" ca="1">IFERROR(INDEX('DBX Sprint'!$A$7:$K$62, SMALL(IF((INDEX('DBX Sprint'!$A$7:$K$62, ,13)&lt;=(TODAY()+10))*(INDEX('DBX Sprint'!$A$7:$K$62, ,13)&gt;(TODAY()+5)),MATCH(ROW('DBX Sprint'!$A$7:$K$62),ROW('DBX Sprint'!$A$7:$K$62)),""),ROWS($G$34:G109)),COLUMNS('DBX Sprint'!$A$1:A12)),"")</f>
        <v/>
      </c>
      <c r="I109" s="41" t="str" cm="1">
        <f t="array" ref="I109">IFERROR(INDEX('DBX Sprint'!$A$7:$K$62, SMALL(IF((INDEX('DBX Sprint'!$A$7:$K$62, ,16)=("Complete"))*(INDEX('DBX Sprint'!$A$7:$K$62, ,16)="Complete"),MATCH(ROW('DBX Sprint'!$A$7:$K$62),ROW('DBX Sprint'!$A$7:$K$62)),""),ROWS($I$34:I109)),COLUMNS('DBX Sprint'!$A$1:A12)),"")</f>
        <v/>
      </c>
      <c r="J109" s="41" t="str" cm="1">
        <f t="array" aca="1" ref="J109" ca="1">IFERROR(INDEX('DBX Sprint'!$A$7:$K$62, SMALL(IF((INDEX('DBX Sprint'!$A$7:$K$62, ,16)&lt;(TODAY()))*(INDEX('DBX Sprint'!$A$7:$K$62, ,16)&lt;&gt;"Complete"),MATCH(ROW('DBX Sprint'!$A$7:$K$62),ROW('DBX Sprint'!$A$7:$K$62)),""),ROWS($J$34:J109)),COLUMNS('DBX Sprint'!$A$1:A12)),"")</f>
        <v/>
      </c>
      <c r="K109" s="41" t="str" cm="1">
        <f t="array" aca="1" ref="K109" ca="1">IFERROR(INDEX('DBX Sprint'!$A$7:$K$62, SMALL(IF((INDEX('DBX Sprint'!$A$7:$K$62, ,16)&lt;=(TODAY()+1))*(INDEX('DBX Sprint'!$A$7:$K$62, ,16)&gt;=TODAY()),MATCH(ROW('DBX Sprint'!$A$7:$K$62),ROW('DBX Sprint'!$A$7:$K$62)),""),ROWS($K$34:K109)),COLUMNS('DBX Sprint'!$A$1:A12)),"")</f>
        <v/>
      </c>
      <c r="L109" s="43" t="str" cm="1">
        <f t="array" aca="1" ref="L109" ca="1">IFERROR(INDEX('DBX Sprint'!$A$7:$K$62, SMALL(IF((INDEX('DBX Sprint'!$A$7:$K$62, ,16)&lt;=(TODAY()+5))*(INDEX('DBX Sprint'!$A$7:$K$62, ,16)&gt;(TODAY()+1)),MATCH(ROW('DBX Sprint'!$A$7:$K$62),ROW('DBX Sprint'!$A$7:$K$62)),""),ROWS($L$34:L109)),COLUMNS('DBX Sprint'!$A$1:A12)),"")</f>
        <v/>
      </c>
      <c r="M109" s="43" t="str" cm="1">
        <f t="array" aca="1" ref="M109" ca="1">IFERROR(INDEX('DBX Sprint'!$A$7:$K$62, SMALL(IF((INDEX('DBX Sprint'!$A$7:$K$62, ,16)&lt;=(TODAY()+10))*(INDEX('DBX Sprint'!$A$7:$K$62, ,16)&gt;(TODAY()+5)),MATCH(ROW('DBX Sprint'!$A$7:$K$62),ROW('DBX Sprint'!$A$7:$K$62)),""),ROWS($M$34:M109)),COLUMNS('DBX Sprint'!$A$1:A12)),"")</f>
        <v/>
      </c>
      <c r="P109" s="41" t="str" cm="1">
        <f t="array" aca="1" ref="P109" ca="1">IFERROR(INDEX('DBX Sprint'!$A$7:$K$62, SMALL(IF((INDEX('DBX Sprint'!$A$7:$K$62, ,19)&lt;(TODAY()))*(INDEX('DBX Sprint'!$A$7:$K$62, ,19)&lt;&gt;"Complete"),MATCH(ROW('DBX Sprint'!$A$7:$K$62),ROW('DBX Sprint'!$A$7:$K$62)),""),ROWS($P$34:P109)),COLUMNS('DBX Sprint'!$A$1:A12)),"")</f>
        <v/>
      </c>
      <c r="Q109" s="41" t="str" cm="1">
        <f t="array" aca="1" ref="Q109" ca="1">IFERROR(INDEX('DBX Sprint'!$A$7:$K$62, SMALL(IF((INDEX('DBX Sprint'!$A$7:$K$62, ,19)&lt;=(TODAY()+1))*(INDEX('DBX Sprint'!$A$7:$K$62, ,19)&gt;=TODAY()),MATCH(ROW('DBX Sprint'!$A$7:$K$62),ROW('DBX Sprint'!$A$7:$K$62)),""),ROWS($Q$34:Q109)),COLUMNS('DBX Sprint'!$A$1:A12)),"")</f>
        <v/>
      </c>
      <c r="R109" s="43" t="str" cm="1">
        <f t="array" aca="1" ref="R109" ca="1">IFERROR(INDEX('DBX Sprint'!$A$7:$K$62, SMALL(IF((INDEX('DBX Sprint'!$A$7:$K$62, ,19)&lt;=(TODAY()+5))*(INDEX('DBX Sprint'!$A$7:$K$62, ,19)&gt;(TODAY()+1)),MATCH(ROW('DBX Sprint'!$A$7:$K$62),ROW('DBX Sprint'!$A$7:$K$62)),""),ROWS($R$34:R109)),COLUMNS('DBX Sprint'!$A$1:A12)),"")</f>
        <v/>
      </c>
      <c r="S109" s="43" t="str" cm="1">
        <f t="array" aca="1" ref="S109" ca="1">IFERROR(INDEX('DBX Sprint'!$A$7:$K$62, SMALL(IF((INDEX('DBX Sprint'!$A$7:$K$62, ,19)&lt;=(TODAY()+10))*(INDEX('DBX Sprint'!$A$7:$K$62, ,19)&gt;(TODAY()+5)),MATCH(ROW('DBX Sprint'!$A$7:$K$62),ROW('DBX Sprint'!$A$7:$K$62)),""),ROWS($S$34:S109)),COLUMNS('DBX Sprint'!$A$1:A12)),"")</f>
        <v/>
      </c>
      <c r="U109" s="41" t="str" cm="1">
        <f t="array" ref="U109">IFERROR(INDEX('DBX Sprint'!$A$7:$K$62, SMALL(IF((INDEX('DBX Sprint'!$A$7:$K$62, ,22)=("Complete"))*(INDEX('DBX Sprint'!$A$7:$K$62, ,22)="Complete"),MATCH(ROW('DBX Sprint'!$A$7:$K$62),ROW('DBX Sprint'!$A$7:$K$62)),""),ROWS($U$34:U109)),COLUMNS('DBX Sprint'!$A$1:A12)),"")</f>
        <v/>
      </c>
      <c r="V109" s="41" t="str" cm="1">
        <f t="array" aca="1" ref="V109" ca="1">IFERROR(INDEX('DBX Sprint'!$A$7:$K$62, SMALL(IF((INDEX('DBX Sprint'!$A$7:$K$62, ,22)&lt;(TODAY()))*(INDEX('DBX Sprint'!$A$7:$K$62, ,22)&lt;&gt;"Complete"),MATCH(ROW('DBX Sprint'!$A$7:$K$62),ROW('DBX Sprint'!$A$7:$K$62)),""),ROWS($V$34:V109)),COLUMNS('DBX Sprint'!$A$1:A12)),"")</f>
        <v/>
      </c>
      <c r="W109" s="41" t="str" cm="1">
        <f t="array" aca="1" ref="W109" ca="1">IFERROR(INDEX('DBX Sprint'!$A$7:$K$62, SMALL(IF((INDEX('DBX Sprint'!$A$7:$K$62, ,22)&lt;=(TODAY()+1))*(INDEX('DBX Sprint'!$A$7:$K$62, ,22)&gt;=TODAY()),MATCH(ROW('DBX Sprint'!$A$7:$K$62),ROW('DBX Sprint'!$A$7:$K$62)),""),ROWS($W$34:W109)),COLUMNS('DBX Sprint'!$A$1:A12)),"")</f>
        <v/>
      </c>
      <c r="X109" s="43" t="str" cm="1">
        <f t="array" aca="1" ref="X109" ca="1">IFERROR(INDEX('DBX Sprint'!$A$7:$K$62, SMALL(IF((INDEX('DBX Sprint'!$A$7:$K$62, ,22)&lt;=(TODAY()+5))*(INDEX('DBX Sprint'!$A$7:$K$62, ,22)&gt;(TODAY()+1)),MATCH(ROW('DBX Sprint'!$A$7:$K$62),ROW('DBX Sprint'!$A$7:$K$62)),""),ROWS($X$34:X109)),COLUMNS('DBX Sprint'!$A$1:A12)),"")</f>
        <v/>
      </c>
      <c r="Y109" s="43" t="str" cm="1">
        <f t="array" aca="1" ref="Y109" ca="1">IFERROR(INDEX('DBX Sprint'!$A$7:$K$62, SMALL(IF((INDEX('DBX Sprint'!$A$7:$K$62, ,22)&lt;=(TODAY()+10))*(INDEX('DBX Sprint'!$A$7:$K$62, ,22)&gt;(TODAY()+5)),MATCH(ROW('DBX Sprint'!$A$7:$K$62),ROW('DBX Sprint'!$A$7:$K$62)),""),ROWS($Y$34:Y109)),COLUMNS('DBX Sprint'!$A$1:A12)),"")</f>
        <v/>
      </c>
      <c r="AA109" s="41" t="str" cm="1">
        <f t="array" ref="AA109">IFERROR(INDEX('DBX Sprint'!$A$7:$K$62, SMALL(IF((INDEX('DBX Sprint'!$A$7:$K$62, ,25)=("Complete"))*(INDEX('DBX Sprint'!$A$7:$K$62, ,25)="Complete"),MATCH(ROW('DBX Sprint'!$A$7:$K$62),ROW('DBX Sprint'!$A$7:$K$62)),""),ROWS($AA$34:AA109)),COLUMNS('DBX Sprint'!$A$1:A12)),"")</f>
        <v/>
      </c>
      <c r="AB109" s="41" t="str" cm="1">
        <f t="array" aca="1" ref="AB109" ca="1">IFERROR(INDEX('DBX Sprint'!$A$7:$K$62, SMALL(IF((INDEX('DBX Sprint'!$A$7:$K$62, ,25)&lt;(TODAY()))*(INDEX('DBX Sprint'!$A$7:$K$62, ,25)&lt;&gt;"Complete"),MATCH(ROW('DBX Sprint'!$A$7:$K$62),ROW('DBX Sprint'!$A$7:$K$62)),""),ROWS($AB$34:AB109)),COLUMNS('DBX Sprint'!$A$1:A12)),"")</f>
        <v/>
      </c>
      <c r="AC109" s="41" t="str" cm="1">
        <f t="array" aca="1" ref="AC109" ca="1">IFERROR(INDEX('DBX Sprint'!$A$7:$K$62, SMALL(IF((INDEX('DBX Sprint'!$A$7:$K$62, ,25)&lt;=(TODAY()+1))*(INDEX('DBX Sprint'!$A$7:$K$62, ,25)&gt;=TODAY()),MATCH(ROW('DBX Sprint'!$A$7:$K$62),ROW('DBX Sprint'!$A$7:$K$62)),""),ROWS($AC$34:AC109)),COLUMNS('DBX Sprint'!$A$1:A12)),"")</f>
        <v/>
      </c>
      <c r="AD109" s="43" t="str" cm="1">
        <f t="array" aca="1" ref="AD109" ca="1">IFERROR(INDEX('DBX Sprint'!$A$7:$K$62, SMALL(IF((INDEX('DBX Sprint'!$A$7:$K$62, ,25)&lt;=(TODAY()+5))*(INDEX('DBX Sprint'!$A$7:$K$62, ,25)&gt;(TODAY()+1)),MATCH(ROW('DBX Sprint'!$A$7:$K$62),ROW('DBX Sprint'!$A$7:$K$62)),""),ROWS($AD$34:AD109)),COLUMNS('DBX Sprint'!$A$1:A12)),"")</f>
        <v/>
      </c>
      <c r="AE109" s="43" t="str" cm="1">
        <f t="array" aca="1" ref="AE109" ca="1">IFERROR(INDEX('DBX Sprint'!$A$7:$K$62, SMALL(IF((INDEX('DBX Sprint'!$A$7:$K$62, ,25)&lt;=(TODAY()+10))*(INDEX('DBX Sprint'!$A$7:$K$62, ,25)&gt;(TODAY()+5)),MATCH(ROW('DBX Sprint'!$A$7:$K$62),ROW('DBX Sprint'!$A$7:$K$62)),""),ROWS($AE$34:AE109)),COLUMNS('DBX Sprint'!$A$1:A12)),"")</f>
        <v/>
      </c>
      <c r="AG109" s="41" t="str" cm="1">
        <f t="array" ref="AG109">IFERROR(INDEX('DBX Sprint'!$A$7:$K$62, SMALL(IF((INDEX('DBX Sprint'!$A$7:$K$62, ,29)=("Complete"))*(INDEX('DBX Sprint'!$A$7:$K$62, ,29)="Complete"),MATCH(ROW('DBX Sprint'!$A$7:$K$62),ROW('DBX Sprint'!$A$7:$K$62)),""),ROWS($AG$34:AG109)),COLUMNS('DBX Sprint'!$A$1:A12)),"")</f>
        <v/>
      </c>
      <c r="AH109" s="41" t="str" cm="1">
        <f t="array" aca="1" ref="AH109" ca="1">IFERROR(INDEX('DBX Sprint'!$A$7:$K$62, SMALL(IF((INDEX('DBX Sprint'!$A$7:$K$62, ,29)&lt;(TODAY()))*(INDEX('DBX Sprint'!$A$7:$K$62, ,29)&lt;&gt;"Complete"),MATCH(ROW('DBX Sprint'!$A$7:$K$62),ROW('DBX Sprint'!$A$7:$K$62)),""),ROWS($AH$34:AH109)),COLUMNS('DBX Sprint'!$A$1:A12)),"")</f>
        <v/>
      </c>
      <c r="AI109" s="41" t="str" cm="1">
        <f t="array" aca="1" ref="AI109" ca="1">IFERROR(INDEX('DBX Sprint'!$A$7:$K$62, SMALL(IF((INDEX('DBX Sprint'!$A$7:$K$62, ,29)&lt;=(TODAY()+1))*(INDEX('DBX Sprint'!$A$7:$K$62, ,29)&gt;=TODAY()),MATCH(ROW('DBX Sprint'!$A$7:$K$62),ROW('DBX Sprint'!$A$7:$K$62)),""),ROWS($AI$34:AI109)),COLUMNS('DBX Sprint'!$A$1:A12)),"")</f>
        <v/>
      </c>
      <c r="AJ109" s="43" t="str" cm="1">
        <f t="array" aca="1" ref="AJ109" ca="1">IFERROR(INDEX('DBX Sprint'!$A$7:$K$62, SMALL(IF((INDEX('DBX Sprint'!$A$7:$K$62, ,29)&lt;=(TODAY()+5))*(INDEX('DBX Sprint'!$A$7:$K$62, ,29)&gt;(TODAY()+1)),MATCH(ROW('DBX Sprint'!$A$7:$K$62),ROW('DBX Sprint'!$A$7:$K$62)),""),ROWS($AJ$34:AJ109)),COLUMNS('DBX Sprint'!$A$1:A12)),"")</f>
        <v/>
      </c>
      <c r="AK109" s="43" t="str" cm="1">
        <f t="array" aca="1" ref="AK109" ca="1">IFERROR(INDEX('DBX Sprint'!$A$7:$K$62, SMALL(IF((INDEX('DBX Sprint'!$A$7:$K$62, ,29)&lt;=(TODAY()+10))*(INDEX('DBX Sprint'!$A$7:$K$62, ,29)&gt;(TODAY()+5)),MATCH(ROW('DBX Sprint'!$A$7:$K$62),ROW('DBX Sprint'!$A$7:$K$62)),""),ROWS($AK$34:AK109)),COLUMNS('DBX Sprint'!$A$1:A12)),"")</f>
        <v/>
      </c>
      <c r="AM109" s="41" t="str" cm="1">
        <f t="array" ref="AM109">IFERROR(INDEX('DBX Sprint'!$A$7:$K$62, SMALL(IF((INDEX('DBX Sprint'!$A$7:$K$62, ,32)=("Complete"))*(INDEX('DBX Sprint'!$A$7:$K$62, ,32)="Complete"),MATCH(ROW('DBX Sprint'!$A$7:$K$62),ROW('DBX Sprint'!$A$7:$K$62)),""),ROWS($AM$34:AM109)),COLUMNS('DBX Sprint'!$A$1:A12)),"")</f>
        <v/>
      </c>
      <c r="AN109" s="41" t="str" cm="1">
        <f t="array" aca="1" ref="AN109" ca="1">IFERROR(INDEX('DBX Sprint'!$A$7:$K$62, SMALL(IF((INDEX('DBX Sprint'!$A$7:$K$62, ,32)&lt;(TODAY()))*(INDEX('DBX Sprint'!$A$7:$K$62, ,32)&lt;&gt;"Complete"),MATCH(ROW('DBX Sprint'!$A$7:$K$62),ROW('DBX Sprint'!$A$7:$K$62)),""),ROWS($AN$34:AN109)),COLUMNS('DBX Sprint'!$A$1:A12)),"")</f>
        <v/>
      </c>
      <c r="AO109" s="41" t="str" cm="1">
        <f t="array" aca="1" ref="AO109" ca="1">IFERROR(INDEX('DBX Sprint'!$A$7:$K$62, SMALL(IF((INDEX('DBX Sprint'!$A$7:$K$62, ,32)&lt;=(TODAY()+1))*(INDEX('DBX Sprint'!$A$7:$K$62, ,32)&gt;=TODAY()),MATCH(ROW('DBX Sprint'!$A$7:$K$62),ROW('DBX Sprint'!$A$7:$K$62)),""),ROWS($AO$34:AO109)),COLUMNS('DBX Sprint'!$A$1:A12)),"")</f>
        <v/>
      </c>
      <c r="AP109" s="43" t="str" cm="1">
        <f t="array" aca="1" ref="AP109" ca="1">IFERROR(INDEX('DBX Sprint'!$A$7:$K$62, SMALL(IF((INDEX('DBX Sprint'!$A$7:$K$62, ,32)&lt;=(TODAY()+5))*(INDEX('DBX Sprint'!$A$7:$K$62, ,32)&gt;(TODAY()+1)),MATCH(ROW('DBX Sprint'!$A$7:$K$62),ROW('DBX Sprint'!$A$7:$K$62)),""),ROWS($AP$34:AP109)),COLUMNS('DBX Sprint'!$A$1:A12)),"")</f>
        <v/>
      </c>
      <c r="AQ109" s="43" t="str" cm="1">
        <f t="array" aca="1" ref="AQ109" ca="1">IFERROR(INDEX('DBX Sprint'!$A$7:$K$62, SMALL(IF((INDEX('DBX Sprint'!$A$7:$K$62, ,32)&lt;=(TODAY()+10))*(INDEX('DBX Sprint'!$A$7:$K$62, ,32)&gt;(TODAY()+5)),MATCH(ROW('DBX Sprint'!$A$7:$K$62),ROW('DBX Sprint'!$A$7:$K$62)),""),ROWS($AQ$34:AQ109)),COLUMNS('DBX Sprint'!$A$1:A12)),"")</f>
        <v/>
      </c>
    </row>
    <row r="110" spans="3:43" ht="30" customHeight="1">
      <c r="C110" s="41" t="str" cm="1">
        <f t="array" ref="C110">IFERROR(INDEX('DBX Sprint'!$A$7:$K$62, SMALL(IF((INDEX('DBX Sprint'!$A$7:$K$62, ,13)=("Complete"))*(INDEX('DBX Sprint'!$A$7:$K$62, ,13)="Complete"),MATCH(ROW('DBX Sprint'!$A$7:$K$62),ROW('DBX Sprint'!$A$7:$K$62)),""),ROWS(C$34:$C110)),COLUMNS('DBX Sprint'!$A$1:A12)),"")</f>
        <v/>
      </c>
      <c r="D110" s="41" t="str" cm="1">
        <f t="array" aca="1" ref="D110" ca="1">IFERROR(INDEX('DBX Sprint'!$A$7:$K$62, SMALL(IF((INDEX('DBX Sprint'!$A$7:$K$62, ,13)&lt;(TODAY()))*(INDEX('DBX Sprint'!$A$7:$K$62, ,13)&lt;&gt;"Complete"),MATCH(ROW('DBX Sprint'!$A$7:$K$62),ROW('DBX Sprint'!$A$7:$K$62)),""),ROWS(D$34:$D110)),COLUMNS('DBX Sprint'!$A$1:A12)),"")</f>
        <v/>
      </c>
      <c r="E110" s="41" t="str" cm="1">
        <f t="array" aca="1" ref="E110" ca="1">IFERROR(INDEX('DBX Sprint'!$A$7:$K$62, SMALL(IF((INDEX('DBX Sprint'!$A$7:$K$62, ,13)&lt;=(TODAY()+1))*(INDEX('DBX Sprint'!$A$7:$K$62, ,13)&gt;=TODAY()),MATCH(ROW('DBX Sprint'!$A$7:$K$62),ROW('DBX Sprint'!$A$7:$K$62)),""),ROWS(E$34:$E110)),COLUMNS('DBX Sprint'!$A$1:A12)),"")</f>
        <v/>
      </c>
      <c r="F110" s="43" t="str" cm="1">
        <f t="array" aca="1" ref="F110" ca="1">IFERROR(INDEX('DBX Sprint'!$A$7:$K$62, SMALL(IF((INDEX('DBX Sprint'!$A$7:$K$62, ,13)&lt;=(TODAY()+5))*(INDEX('DBX Sprint'!$A$7:$K$62, ,13)&gt;(TODAY()+1)),MATCH(ROW('DBX Sprint'!$A$7:$K$62),ROW('DBX Sprint'!$A$7:$K$62)),""),ROWS($F$34:F110)),COLUMNS('DBX Sprint'!$A$1:A12)),"")</f>
        <v/>
      </c>
      <c r="G110" s="43" t="str" cm="1">
        <f t="array" aca="1" ref="G110" ca="1">IFERROR(INDEX('DBX Sprint'!$A$7:$K$62, SMALL(IF((INDEX('DBX Sprint'!$A$7:$K$62, ,13)&lt;=(TODAY()+10))*(INDEX('DBX Sprint'!$A$7:$K$62, ,13)&gt;(TODAY()+5)),MATCH(ROW('DBX Sprint'!$A$7:$K$62),ROW('DBX Sprint'!$A$7:$K$62)),""),ROWS($G$34:G110)),COLUMNS('DBX Sprint'!$A$1:A12)),"")</f>
        <v/>
      </c>
      <c r="I110" s="41" t="str" cm="1">
        <f t="array" ref="I110">IFERROR(INDEX('DBX Sprint'!$A$7:$K$62, SMALL(IF((INDEX('DBX Sprint'!$A$7:$K$62, ,16)=("Complete"))*(INDEX('DBX Sprint'!$A$7:$K$62, ,16)="Complete"),MATCH(ROW('DBX Sprint'!$A$7:$K$62),ROW('DBX Sprint'!$A$7:$K$62)),""),ROWS($I$34:I110)),COLUMNS('DBX Sprint'!$A$1:A12)),"")</f>
        <v/>
      </c>
      <c r="J110" s="41" t="str" cm="1">
        <f t="array" aca="1" ref="J110" ca="1">IFERROR(INDEX('DBX Sprint'!$A$7:$K$62, SMALL(IF((INDEX('DBX Sprint'!$A$7:$K$62, ,16)&lt;(TODAY()))*(INDEX('DBX Sprint'!$A$7:$K$62, ,16)&lt;&gt;"Complete"),MATCH(ROW('DBX Sprint'!$A$7:$K$62),ROW('DBX Sprint'!$A$7:$K$62)),""),ROWS($J$34:J110)),COLUMNS('DBX Sprint'!$A$1:A12)),"")</f>
        <v/>
      </c>
      <c r="K110" s="41" t="str" cm="1">
        <f t="array" aca="1" ref="K110" ca="1">IFERROR(INDEX('DBX Sprint'!$A$7:$K$62, SMALL(IF((INDEX('DBX Sprint'!$A$7:$K$62, ,16)&lt;=(TODAY()+1))*(INDEX('DBX Sprint'!$A$7:$K$62, ,16)&gt;=TODAY()),MATCH(ROW('DBX Sprint'!$A$7:$K$62),ROW('DBX Sprint'!$A$7:$K$62)),""),ROWS($K$34:K110)),COLUMNS('DBX Sprint'!$A$1:A12)),"")</f>
        <v/>
      </c>
      <c r="L110" s="43" t="str" cm="1">
        <f t="array" aca="1" ref="L110" ca="1">IFERROR(INDEX('DBX Sprint'!$A$7:$K$62, SMALL(IF((INDEX('DBX Sprint'!$A$7:$K$62, ,16)&lt;=(TODAY()+5))*(INDEX('DBX Sprint'!$A$7:$K$62, ,16)&gt;(TODAY()+1)),MATCH(ROW('DBX Sprint'!$A$7:$K$62),ROW('DBX Sprint'!$A$7:$K$62)),""),ROWS($L$34:L110)),COLUMNS('DBX Sprint'!$A$1:A12)),"")</f>
        <v/>
      </c>
      <c r="M110" s="43" t="str" cm="1">
        <f t="array" aca="1" ref="M110" ca="1">IFERROR(INDEX('DBX Sprint'!$A$7:$K$62, SMALL(IF((INDEX('DBX Sprint'!$A$7:$K$62, ,16)&lt;=(TODAY()+10))*(INDEX('DBX Sprint'!$A$7:$K$62, ,16)&gt;(TODAY()+5)),MATCH(ROW('DBX Sprint'!$A$7:$K$62),ROW('DBX Sprint'!$A$7:$K$62)),""),ROWS($M$34:M110)),COLUMNS('DBX Sprint'!$A$1:A12)),"")</f>
        <v/>
      </c>
      <c r="P110" s="41" t="str" cm="1">
        <f t="array" aca="1" ref="P110" ca="1">IFERROR(INDEX('DBX Sprint'!$A$7:$K$62, SMALL(IF((INDEX('DBX Sprint'!$A$7:$K$62, ,19)&lt;(TODAY()))*(INDEX('DBX Sprint'!$A$7:$K$62, ,19)&lt;&gt;"Complete"),MATCH(ROW('DBX Sprint'!$A$7:$K$62),ROW('DBX Sprint'!$A$7:$K$62)),""),ROWS($P$34:P110)),COLUMNS('DBX Sprint'!$A$1:A12)),"")</f>
        <v/>
      </c>
      <c r="Q110" s="41" t="str" cm="1">
        <f t="array" aca="1" ref="Q110" ca="1">IFERROR(INDEX('DBX Sprint'!$A$7:$K$62, SMALL(IF((INDEX('DBX Sprint'!$A$7:$K$62, ,19)&lt;=(TODAY()+1))*(INDEX('DBX Sprint'!$A$7:$K$62, ,19)&gt;=TODAY()),MATCH(ROW('DBX Sprint'!$A$7:$K$62),ROW('DBX Sprint'!$A$7:$K$62)),""),ROWS($Q$34:Q110)),COLUMNS('DBX Sprint'!$A$1:A12)),"")</f>
        <v/>
      </c>
      <c r="R110" s="43" t="str" cm="1">
        <f t="array" aca="1" ref="R110" ca="1">IFERROR(INDEX('DBX Sprint'!$A$7:$K$62, SMALL(IF((INDEX('DBX Sprint'!$A$7:$K$62, ,19)&lt;=(TODAY()+5))*(INDEX('DBX Sprint'!$A$7:$K$62, ,19)&gt;(TODAY()+1)),MATCH(ROW('DBX Sprint'!$A$7:$K$62),ROW('DBX Sprint'!$A$7:$K$62)),""),ROWS($R$34:R110)),COLUMNS('DBX Sprint'!$A$1:A12)),"")</f>
        <v/>
      </c>
      <c r="S110" s="43" t="str" cm="1">
        <f t="array" aca="1" ref="S110" ca="1">IFERROR(INDEX('DBX Sprint'!$A$7:$K$62, SMALL(IF((INDEX('DBX Sprint'!$A$7:$K$62, ,19)&lt;=(TODAY()+10))*(INDEX('DBX Sprint'!$A$7:$K$62, ,19)&gt;(TODAY()+5)),MATCH(ROW('DBX Sprint'!$A$7:$K$62),ROW('DBX Sprint'!$A$7:$K$62)),""),ROWS($S$34:S110)),COLUMNS('DBX Sprint'!$A$1:A12)),"")</f>
        <v/>
      </c>
      <c r="U110" s="41" t="str" cm="1">
        <f t="array" ref="U110">IFERROR(INDEX('DBX Sprint'!$A$7:$K$62, SMALL(IF((INDEX('DBX Sprint'!$A$7:$K$62, ,22)=("Complete"))*(INDEX('DBX Sprint'!$A$7:$K$62, ,22)="Complete"),MATCH(ROW('DBX Sprint'!$A$7:$K$62),ROW('DBX Sprint'!$A$7:$K$62)),""),ROWS($U$34:U110)),COLUMNS('DBX Sprint'!$A$1:A12)),"")</f>
        <v/>
      </c>
      <c r="V110" s="41" t="str" cm="1">
        <f t="array" aca="1" ref="V110" ca="1">IFERROR(INDEX('DBX Sprint'!$A$7:$K$62, SMALL(IF((INDEX('DBX Sprint'!$A$7:$K$62, ,22)&lt;(TODAY()))*(INDEX('DBX Sprint'!$A$7:$K$62, ,22)&lt;&gt;"Complete"),MATCH(ROW('DBX Sprint'!$A$7:$K$62),ROW('DBX Sprint'!$A$7:$K$62)),""),ROWS($V$34:V110)),COLUMNS('DBX Sprint'!$A$1:A12)),"")</f>
        <v/>
      </c>
      <c r="W110" s="41" t="str" cm="1">
        <f t="array" aca="1" ref="W110" ca="1">IFERROR(INDEX('DBX Sprint'!$A$7:$K$62, SMALL(IF((INDEX('DBX Sprint'!$A$7:$K$62, ,22)&lt;=(TODAY()+1))*(INDEX('DBX Sprint'!$A$7:$K$62, ,22)&gt;=TODAY()),MATCH(ROW('DBX Sprint'!$A$7:$K$62),ROW('DBX Sprint'!$A$7:$K$62)),""),ROWS($W$34:W110)),COLUMNS('DBX Sprint'!$A$1:A12)),"")</f>
        <v/>
      </c>
      <c r="X110" s="43" t="str" cm="1">
        <f t="array" aca="1" ref="X110" ca="1">IFERROR(INDEX('DBX Sprint'!$A$7:$K$62, SMALL(IF((INDEX('DBX Sprint'!$A$7:$K$62, ,22)&lt;=(TODAY()+5))*(INDEX('DBX Sprint'!$A$7:$K$62, ,22)&gt;(TODAY()+1)),MATCH(ROW('DBX Sprint'!$A$7:$K$62),ROW('DBX Sprint'!$A$7:$K$62)),""),ROWS($X$34:X110)),COLUMNS('DBX Sprint'!$A$1:A12)),"")</f>
        <v/>
      </c>
      <c r="Y110" s="43" t="str" cm="1">
        <f t="array" aca="1" ref="Y110" ca="1">IFERROR(INDEX('DBX Sprint'!$A$7:$K$62, SMALL(IF((INDEX('DBX Sprint'!$A$7:$K$62, ,22)&lt;=(TODAY()+10))*(INDEX('DBX Sprint'!$A$7:$K$62, ,22)&gt;(TODAY()+5)),MATCH(ROW('DBX Sprint'!$A$7:$K$62),ROW('DBX Sprint'!$A$7:$K$62)),""),ROWS($Y$34:Y110)),COLUMNS('DBX Sprint'!$A$1:A12)),"")</f>
        <v/>
      </c>
      <c r="AA110" s="41" t="str" cm="1">
        <f t="array" ref="AA110">IFERROR(INDEX('DBX Sprint'!$A$7:$K$62, SMALL(IF((INDEX('DBX Sprint'!$A$7:$K$62, ,25)=("Complete"))*(INDEX('DBX Sprint'!$A$7:$K$62, ,25)="Complete"),MATCH(ROW('DBX Sprint'!$A$7:$K$62),ROW('DBX Sprint'!$A$7:$K$62)),""),ROWS($AA$34:AA110)),COLUMNS('DBX Sprint'!$A$1:A12)),"")</f>
        <v/>
      </c>
      <c r="AB110" s="41" t="str" cm="1">
        <f t="array" aca="1" ref="AB110" ca="1">IFERROR(INDEX('DBX Sprint'!$A$7:$K$62, SMALL(IF((INDEX('DBX Sprint'!$A$7:$K$62, ,25)&lt;(TODAY()))*(INDEX('DBX Sprint'!$A$7:$K$62, ,25)&lt;&gt;"Complete"),MATCH(ROW('DBX Sprint'!$A$7:$K$62),ROW('DBX Sprint'!$A$7:$K$62)),""),ROWS($AB$34:AB110)),COLUMNS('DBX Sprint'!$A$1:A12)),"")</f>
        <v/>
      </c>
      <c r="AC110" s="41" t="str" cm="1">
        <f t="array" aca="1" ref="AC110" ca="1">IFERROR(INDEX('DBX Sprint'!$A$7:$K$62, SMALL(IF((INDEX('DBX Sprint'!$A$7:$K$62, ,25)&lt;=(TODAY()+1))*(INDEX('DBX Sprint'!$A$7:$K$62, ,25)&gt;=TODAY()),MATCH(ROW('DBX Sprint'!$A$7:$K$62),ROW('DBX Sprint'!$A$7:$K$62)),""),ROWS($AC$34:AC110)),COLUMNS('DBX Sprint'!$A$1:A12)),"")</f>
        <v/>
      </c>
      <c r="AD110" s="43" t="str" cm="1">
        <f t="array" aca="1" ref="AD110" ca="1">IFERROR(INDEX('DBX Sprint'!$A$7:$K$62, SMALL(IF((INDEX('DBX Sprint'!$A$7:$K$62, ,25)&lt;=(TODAY()+5))*(INDEX('DBX Sprint'!$A$7:$K$62, ,25)&gt;(TODAY()+1)),MATCH(ROW('DBX Sprint'!$A$7:$K$62),ROW('DBX Sprint'!$A$7:$K$62)),""),ROWS($AD$34:AD110)),COLUMNS('DBX Sprint'!$A$1:A12)),"")</f>
        <v/>
      </c>
      <c r="AE110" s="43" t="str" cm="1">
        <f t="array" aca="1" ref="AE110" ca="1">IFERROR(INDEX('DBX Sprint'!$A$7:$K$62, SMALL(IF((INDEX('DBX Sprint'!$A$7:$K$62, ,25)&lt;=(TODAY()+10))*(INDEX('DBX Sprint'!$A$7:$K$62, ,25)&gt;(TODAY()+5)),MATCH(ROW('DBX Sprint'!$A$7:$K$62),ROW('DBX Sprint'!$A$7:$K$62)),""),ROWS($AE$34:AE110)),COLUMNS('DBX Sprint'!$A$1:A12)),"")</f>
        <v/>
      </c>
      <c r="AG110" s="41" t="str" cm="1">
        <f t="array" ref="AG110">IFERROR(INDEX('DBX Sprint'!$A$7:$K$62, SMALL(IF((INDEX('DBX Sprint'!$A$7:$K$62, ,29)=("Complete"))*(INDEX('DBX Sprint'!$A$7:$K$62, ,29)="Complete"),MATCH(ROW('DBX Sprint'!$A$7:$K$62),ROW('DBX Sprint'!$A$7:$K$62)),""),ROWS($AG$34:AG110)),COLUMNS('DBX Sprint'!$A$1:A12)),"")</f>
        <v/>
      </c>
      <c r="AH110" s="41" t="str" cm="1">
        <f t="array" aca="1" ref="AH110" ca="1">IFERROR(INDEX('DBX Sprint'!$A$7:$K$62, SMALL(IF((INDEX('DBX Sprint'!$A$7:$K$62, ,29)&lt;(TODAY()))*(INDEX('DBX Sprint'!$A$7:$K$62, ,29)&lt;&gt;"Complete"),MATCH(ROW('DBX Sprint'!$A$7:$K$62),ROW('DBX Sprint'!$A$7:$K$62)),""),ROWS($AH$34:AH110)),COLUMNS('DBX Sprint'!$A$1:A12)),"")</f>
        <v/>
      </c>
      <c r="AI110" s="41" t="str" cm="1">
        <f t="array" aca="1" ref="AI110" ca="1">IFERROR(INDEX('DBX Sprint'!$A$7:$K$62, SMALL(IF((INDEX('DBX Sprint'!$A$7:$K$62, ,29)&lt;=(TODAY()+1))*(INDEX('DBX Sprint'!$A$7:$K$62, ,29)&gt;=TODAY()),MATCH(ROW('DBX Sprint'!$A$7:$K$62),ROW('DBX Sprint'!$A$7:$K$62)),""),ROWS($AI$34:AI110)),COLUMNS('DBX Sprint'!$A$1:A12)),"")</f>
        <v/>
      </c>
      <c r="AJ110" s="43" t="str" cm="1">
        <f t="array" aca="1" ref="AJ110" ca="1">IFERROR(INDEX('DBX Sprint'!$A$7:$K$62, SMALL(IF((INDEX('DBX Sprint'!$A$7:$K$62, ,29)&lt;=(TODAY()+5))*(INDEX('DBX Sprint'!$A$7:$K$62, ,29)&gt;(TODAY()+1)),MATCH(ROW('DBX Sprint'!$A$7:$K$62),ROW('DBX Sprint'!$A$7:$K$62)),""),ROWS($AJ$34:AJ110)),COLUMNS('DBX Sprint'!$A$1:A12)),"")</f>
        <v/>
      </c>
      <c r="AK110" s="43" t="str" cm="1">
        <f t="array" aca="1" ref="AK110" ca="1">IFERROR(INDEX('DBX Sprint'!$A$7:$K$62, SMALL(IF((INDEX('DBX Sprint'!$A$7:$K$62, ,29)&lt;=(TODAY()+10))*(INDEX('DBX Sprint'!$A$7:$K$62, ,29)&gt;(TODAY()+5)),MATCH(ROW('DBX Sprint'!$A$7:$K$62),ROW('DBX Sprint'!$A$7:$K$62)),""),ROWS($AK$34:AK110)),COLUMNS('DBX Sprint'!$A$1:A12)),"")</f>
        <v/>
      </c>
      <c r="AM110" s="41" t="str" cm="1">
        <f t="array" ref="AM110">IFERROR(INDEX('DBX Sprint'!$A$7:$K$62, SMALL(IF((INDEX('DBX Sprint'!$A$7:$K$62, ,32)=("Complete"))*(INDEX('DBX Sprint'!$A$7:$K$62, ,32)="Complete"),MATCH(ROW('DBX Sprint'!$A$7:$K$62),ROW('DBX Sprint'!$A$7:$K$62)),""),ROWS($AM$34:AM110)),COLUMNS('DBX Sprint'!$A$1:A12)),"")</f>
        <v/>
      </c>
      <c r="AN110" s="41" t="str" cm="1">
        <f t="array" aca="1" ref="AN110" ca="1">IFERROR(INDEX('DBX Sprint'!$A$7:$K$62, SMALL(IF((INDEX('DBX Sprint'!$A$7:$K$62, ,32)&lt;(TODAY()))*(INDEX('DBX Sprint'!$A$7:$K$62, ,32)&lt;&gt;"Complete"),MATCH(ROW('DBX Sprint'!$A$7:$K$62),ROW('DBX Sprint'!$A$7:$K$62)),""),ROWS($AN$34:AN110)),COLUMNS('DBX Sprint'!$A$1:A12)),"")</f>
        <v/>
      </c>
      <c r="AO110" s="41" t="str" cm="1">
        <f t="array" aca="1" ref="AO110" ca="1">IFERROR(INDEX('DBX Sprint'!$A$7:$K$62, SMALL(IF((INDEX('DBX Sprint'!$A$7:$K$62, ,32)&lt;=(TODAY()+1))*(INDEX('DBX Sprint'!$A$7:$K$62, ,32)&gt;=TODAY()),MATCH(ROW('DBX Sprint'!$A$7:$K$62),ROW('DBX Sprint'!$A$7:$K$62)),""),ROWS($AO$34:AO110)),COLUMNS('DBX Sprint'!$A$1:A12)),"")</f>
        <v/>
      </c>
      <c r="AP110" s="43" t="str" cm="1">
        <f t="array" aca="1" ref="AP110" ca="1">IFERROR(INDEX('DBX Sprint'!$A$7:$K$62, SMALL(IF((INDEX('DBX Sprint'!$A$7:$K$62, ,32)&lt;=(TODAY()+5))*(INDEX('DBX Sprint'!$A$7:$K$62, ,32)&gt;(TODAY()+1)),MATCH(ROW('DBX Sprint'!$A$7:$K$62),ROW('DBX Sprint'!$A$7:$K$62)),""),ROWS($AP$34:AP110)),COLUMNS('DBX Sprint'!$A$1:A12)),"")</f>
        <v/>
      </c>
      <c r="AQ110" s="43" t="str" cm="1">
        <f t="array" aca="1" ref="AQ110" ca="1">IFERROR(INDEX('DBX Sprint'!$A$7:$K$62, SMALL(IF((INDEX('DBX Sprint'!$A$7:$K$62, ,32)&lt;=(TODAY()+10))*(INDEX('DBX Sprint'!$A$7:$K$62, ,32)&gt;(TODAY()+5)),MATCH(ROW('DBX Sprint'!$A$7:$K$62),ROW('DBX Sprint'!$A$7:$K$62)),""),ROWS($AQ$34:AQ110)),COLUMNS('DBX Sprint'!$A$1:A12)),"")</f>
        <v/>
      </c>
    </row>
    <row r="111" spans="3:43" ht="30" customHeight="1">
      <c r="C111" s="41" t="str" cm="1">
        <f t="array" ref="C111">IFERROR(INDEX('DBX Sprint'!$A$7:$K$62, SMALL(IF((INDEX('DBX Sprint'!$A$7:$K$62, ,13)=("Complete"))*(INDEX('DBX Sprint'!$A$7:$K$62, ,13)="Complete"),MATCH(ROW('DBX Sprint'!$A$7:$K$62),ROW('DBX Sprint'!$A$7:$K$62)),""),ROWS(C$34:$C111)),COLUMNS('DBX Sprint'!$A$1:A12)),"")</f>
        <v/>
      </c>
      <c r="D111" s="41" t="str" cm="1">
        <f t="array" aca="1" ref="D111" ca="1">IFERROR(INDEX('DBX Sprint'!$A$7:$K$62, SMALL(IF((INDEX('DBX Sprint'!$A$7:$K$62, ,13)&lt;(TODAY()))*(INDEX('DBX Sprint'!$A$7:$K$62, ,13)&lt;&gt;"Complete"),MATCH(ROW('DBX Sprint'!$A$7:$K$62),ROW('DBX Sprint'!$A$7:$K$62)),""),ROWS(D$34:$D111)),COLUMNS('DBX Sprint'!$A$1:A12)),"")</f>
        <v/>
      </c>
      <c r="E111" s="41" t="str" cm="1">
        <f t="array" aca="1" ref="E111" ca="1">IFERROR(INDEX('DBX Sprint'!$A$7:$K$62, SMALL(IF((INDEX('DBX Sprint'!$A$7:$K$62, ,13)&lt;=(TODAY()+1))*(INDEX('DBX Sprint'!$A$7:$K$62, ,13)&gt;=TODAY()),MATCH(ROW('DBX Sprint'!$A$7:$K$62),ROW('DBX Sprint'!$A$7:$K$62)),""),ROWS(E$34:$E111)),COLUMNS('DBX Sprint'!$A$1:A12)),"")</f>
        <v/>
      </c>
      <c r="F111" s="43" t="str" cm="1">
        <f t="array" aca="1" ref="F111" ca="1">IFERROR(INDEX('DBX Sprint'!$A$7:$K$62, SMALL(IF((INDEX('DBX Sprint'!$A$7:$K$62, ,13)&lt;=(TODAY()+5))*(INDEX('DBX Sprint'!$A$7:$K$62, ,13)&gt;(TODAY()+1)),MATCH(ROW('DBX Sprint'!$A$7:$K$62),ROW('DBX Sprint'!$A$7:$K$62)),""),ROWS($F$34:F111)),COLUMNS('DBX Sprint'!$A$1:A12)),"")</f>
        <v/>
      </c>
      <c r="G111" s="43" t="str" cm="1">
        <f t="array" aca="1" ref="G111" ca="1">IFERROR(INDEX('DBX Sprint'!$A$7:$K$62, SMALL(IF((INDEX('DBX Sprint'!$A$7:$K$62, ,13)&lt;=(TODAY()+10))*(INDEX('DBX Sprint'!$A$7:$K$62, ,13)&gt;(TODAY()+5)),MATCH(ROW('DBX Sprint'!$A$7:$K$62),ROW('DBX Sprint'!$A$7:$K$62)),""),ROWS($G$34:G111)),COLUMNS('DBX Sprint'!$A$1:A12)),"")</f>
        <v/>
      </c>
      <c r="I111" s="41" t="str" cm="1">
        <f t="array" ref="I111">IFERROR(INDEX('DBX Sprint'!$A$7:$K$62, SMALL(IF((INDEX('DBX Sprint'!$A$7:$K$62, ,16)=("Complete"))*(INDEX('DBX Sprint'!$A$7:$K$62, ,16)="Complete"),MATCH(ROW('DBX Sprint'!$A$7:$K$62),ROW('DBX Sprint'!$A$7:$K$62)),""),ROWS($I$34:I111)),COLUMNS('DBX Sprint'!$A$1:A12)),"")</f>
        <v/>
      </c>
      <c r="J111" s="41" t="str" cm="1">
        <f t="array" aca="1" ref="J111" ca="1">IFERROR(INDEX('DBX Sprint'!$A$7:$K$62, SMALL(IF((INDEX('DBX Sprint'!$A$7:$K$62, ,16)&lt;(TODAY()))*(INDEX('DBX Sprint'!$A$7:$K$62, ,16)&lt;&gt;"Complete"),MATCH(ROW('DBX Sprint'!$A$7:$K$62),ROW('DBX Sprint'!$A$7:$K$62)),""),ROWS($J$34:J111)),COLUMNS('DBX Sprint'!$A$1:A12)),"")</f>
        <v/>
      </c>
      <c r="K111" s="41" t="str" cm="1">
        <f t="array" aca="1" ref="K111" ca="1">IFERROR(INDEX('DBX Sprint'!$A$7:$K$62, SMALL(IF((INDEX('DBX Sprint'!$A$7:$K$62, ,16)&lt;=(TODAY()+1))*(INDEX('DBX Sprint'!$A$7:$K$62, ,16)&gt;=TODAY()),MATCH(ROW('DBX Sprint'!$A$7:$K$62),ROW('DBX Sprint'!$A$7:$K$62)),""),ROWS($K$34:K111)),COLUMNS('DBX Sprint'!$A$1:A12)),"")</f>
        <v/>
      </c>
      <c r="L111" s="43" t="str" cm="1">
        <f t="array" aca="1" ref="L111" ca="1">IFERROR(INDEX('DBX Sprint'!$A$7:$K$62, SMALL(IF((INDEX('DBX Sprint'!$A$7:$K$62, ,16)&lt;=(TODAY()+5))*(INDEX('DBX Sprint'!$A$7:$K$62, ,16)&gt;(TODAY()+1)),MATCH(ROW('DBX Sprint'!$A$7:$K$62),ROW('DBX Sprint'!$A$7:$K$62)),""),ROWS($L$34:L111)),COLUMNS('DBX Sprint'!$A$1:A12)),"")</f>
        <v/>
      </c>
      <c r="M111" s="43" t="str" cm="1">
        <f t="array" aca="1" ref="M111" ca="1">IFERROR(INDEX('DBX Sprint'!$A$7:$K$62, SMALL(IF((INDEX('DBX Sprint'!$A$7:$K$62, ,16)&lt;=(TODAY()+10))*(INDEX('DBX Sprint'!$A$7:$K$62, ,16)&gt;(TODAY()+5)),MATCH(ROW('DBX Sprint'!$A$7:$K$62),ROW('DBX Sprint'!$A$7:$K$62)),""),ROWS($M$34:M111)),COLUMNS('DBX Sprint'!$A$1:A12)),"")</f>
        <v/>
      </c>
      <c r="P111" s="41" t="str" cm="1">
        <f t="array" aca="1" ref="P111" ca="1">IFERROR(INDEX('DBX Sprint'!$A$7:$K$62, SMALL(IF((INDEX('DBX Sprint'!$A$7:$K$62, ,19)&lt;(TODAY()))*(INDEX('DBX Sprint'!$A$7:$K$62, ,19)&lt;&gt;"Complete"),MATCH(ROW('DBX Sprint'!$A$7:$K$62),ROW('DBX Sprint'!$A$7:$K$62)),""),ROWS($P$34:P111)),COLUMNS('DBX Sprint'!$A$1:A12)),"")</f>
        <v/>
      </c>
      <c r="Q111" s="41" t="str" cm="1">
        <f t="array" aca="1" ref="Q111" ca="1">IFERROR(INDEX('DBX Sprint'!$A$7:$K$62, SMALL(IF((INDEX('DBX Sprint'!$A$7:$K$62, ,19)&lt;=(TODAY()+1))*(INDEX('DBX Sprint'!$A$7:$K$62, ,19)&gt;=TODAY()),MATCH(ROW('DBX Sprint'!$A$7:$K$62),ROW('DBX Sprint'!$A$7:$K$62)),""),ROWS($Q$34:Q111)),COLUMNS('DBX Sprint'!$A$1:A12)),"")</f>
        <v/>
      </c>
      <c r="R111" s="43" t="str" cm="1">
        <f t="array" aca="1" ref="R111" ca="1">IFERROR(INDEX('DBX Sprint'!$A$7:$K$62, SMALL(IF((INDEX('DBX Sprint'!$A$7:$K$62, ,19)&lt;=(TODAY()+5))*(INDEX('DBX Sprint'!$A$7:$K$62, ,19)&gt;(TODAY()+1)),MATCH(ROW('DBX Sprint'!$A$7:$K$62),ROW('DBX Sprint'!$A$7:$K$62)),""),ROWS($R$34:R111)),COLUMNS('DBX Sprint'!$A$1:A12)),"")</f>
        <v/>
      </c>
      <c r="S111" s="43" t="str" cm="1">
        <f t="array" aca="1" ref="S111" ca="1">IFERROR(INDEX('DBX Sprint'!$A$7:$K$62, SMALL(IF((INDEX('DBX Sprint'!$A$7:$K$62, ,19)&lt;=(TODAY()+10))*(INDEX('DBX Sprint'!$A$7:$K$62, ,19)&gt;(TODAY()+5)),MATCH(ROW('DBX Sprint'!$A$7:$K$62),ROW('DBX Sprint'!$A$7:$K$62)),""),ROWS($S$34:S111)),COLUMNS('DBX Sprint'!$A$1:A12)),"")</f>
        <v/>
      </c>
      <c r="U111" s="41" t="str" cm="1">
        <f t="array" ref="U111">IFERROR(INDEX('DBX Sprint'!$A$7:$K$62, SMALL(IF((INDEX('DBX Sprint'!$A$7:$K$62, ,22)=("Complete"))*(INDEX('DBX Sprint'!$A$7:$K$62, ,22)="Complete"),MATCH(ROW('DBX Sprint'!$A$7:$K$62),ROW('DBX Sprint'!$A$7:$K$62)),""),ROWS($U$34:U111)),COLUMNS('DBX Sprint'!$A$1:A12)),"")</f>
        <v/>
      </c>
      <c r="V111" s="41" t="str" cm="1">
        <f t="array" aca="1" ref="V111" ca="1">IFERROR(INDEX('DBX Sprint'!$A$7:$K$62, SMALL(IF((INDEX('DBX Sprint'!$A$7:$K$62, ,22)&lt;(TODAY()))*(INDEX('DBX Sprint'!$A$7:$K$62, ,22)&lt;&gt;"Complete"),MATCH(ROW('DBX Sprint'!$A$7:$K$62),ROW('DBX Sprint'!$A$7:$K$62)),""),ROWS($V$34:V111)),COLUMNS('DBX Sprint'!$A$1:A12)),"")</f>
        <v/>
      </c>
      <c r="W111" s="41" t="str" cm="1">
        <f t="array" aca="1" ref="W111" ca="1">IFERROR(INDEX('DBX Sprint'!$A$7:$K$62, SMALL(IF((INDEX('DBX Sprint'!$A$7:$K$62, ,22)&lt;=(TODAY()+1))*(INDEX('DBX Sprint'!$A$7:$K$62, ,22)&gt;=TODAY()),MATCH(ROW('DBX Sprint'!$A$7:$K$62),ROW('DBX Sprint'!$A$7:$K$62)),""),ROWS($W$34:W111)),COLUMNS('DBX Sprint'!$A$1:A12)),"")</f>
        <v/>
      </c>
      <c r="X111" s="43" t="str" cm="1">
        <f t="array" aca="1" ref="X111" ca="1">IFERROR(INDEX('DBX Sprint'!$A$7:$K$62, SMALL(IF((INDEX('DBX Sprint'!$A$7:$K$62, ,22)&lt;=(TODAY()+5))*(INDEX('DBX Sprint'!$A$7:$K$62, ,22)&gt;(TODAY()+1)),MATCH(ROW('DBX Sprint'!$A$7:$K$62),ROW('DBX Sprint'!$A$7:$K$62)),""),ROWS($X$34:X111)),COLUMNS('DBX Sprint'!$A$1:A12)),"")</f>
        <v/>
      </c>
      <c r="Y111" s="43" t="str" cm="1">
        <f t="array" aca="1" ref="Y111" ca="1">IFERROR(INDEX('DBX Sprint'!$A$7:$K$62, SMALL(IF((INDEX('DBX Sprint'!$A$7:$K$62, ,22)&lt;=(TODAY()+10))*(INDEX('DBX Sprint'!$A$7:$K$62, ,22)&gt;(TODAY()+5)),MATCH(ROW('DBX Sprint'!$A$7:$K$62),ROW('DBX Sprint'!$A$7:$K$62)),""),ROWS($Y$34:Y111)),COLUMNS('DBX Sprint'!$A$1:A12)),"")</f>
        <v/>
      </c>
      <c r="AA111" s="41" t="str" cm="1">
        <f t="array" ref="AA111">IFERROR(INDEX('DBX Sprint'!$A$7:$K$62, SMALL(IF((INDEX('DBX Sprint'!$A$7:$K$62, ,25)=("Complete"))*(INDEX('DBX Sprint'!$A$7:$K$62, ,25)="Complete"),MATCH(ROW('DBX Sprint'!$A$7:$K$62),ROW('DBX Sprint'!$A$7:$K$62)),""),ROWS($AA$34:AA111)),COLUMNS('DBX Sprint'!$A$1:A12)),"")</f>
        <v/>
      </c>
      <c r="AB111" s="41" t="str" cm="1">
        <f t="array" aca="1" ref="AB111" ca="1">IFERROR(INDEX('DBX Sprint'!$A$7:$K$62, SMALL(IF((INDEX('DBX Sprint'!$A$7:$K$62, ,25)&lt;(TODAY()))*(INDEX('DBX Sprint'!$A$7:$K$62, ,25)&lt;&gt;"Complete"),MATCH(ROW('DBX Sprint'!$A$7:$K$62),ROW('DBX Sprint'!$A$7:$K$62)),""),ROWS($AB$34:AB111)),COLUMNS('DBX Sprint'!$A$1:A12)),"")</f>
        <v/>
      </c>
      <c r="AC111" s="41" t="str" cm="1">
        <f t="array" aca="1" ref="AC111" ca="1">IFERROR(INDEX('DBX Sprint'!$A$7:$K$62, SMALL(IF((INDEX('DBX Sprint'!$A$7:$K$62, ,25)&lt;=(TODAY()+1))*(INDEX('DBX Sprint'!$A$7:$K$62, ,25)&gt;=TODAY()),MATCH(ROW('DBX Sprint'!$A$7:$K$62),ROW('DBX Sprint'!$A$7:$K$62)),""),ROWS($AC$34:AC111)),COLUMNS('DBX Sprint'!$A$1:A12)),"")</f>
        <v/>
      </c>
      <c r="AD111" s="43" t="str" cm="1">
        <f t="array" aca="1" ref="AD111" ca="1">IFERROR(INDEX('DBX Sprint'!$A$7:$K$62, SMALL(IF((INDEX('DBX Sprint'!$A$7:$K$62, ,25)&lt;=(TODAY()+5))*(INDEX('DBX Sprint'!$A$7:$K$62, ,25)&gt;(TODAY()+1)),MATCH(ROW('DBX Sprint'!$A$7:$K$62),ROW('DBX Sprint'!$A$7:$K$62)),""),ROWS($AD$34:AD111)),COLUMNS('DBX Sprint'!$A$1:A12)),"")</f>
        <v/>
      </c>
      <c r="AE111" s="43" t="str" cm="1">
        <f t="array" aca="1" ref="AE111" ca="1">IFERROR(INDEX('DBX Sprint'!$A$7:$K$62, SMALL(IF((INDEX('DBX Sprint'!$A$7:$K$62, ,25)&lt;=(TODAY()+10))*(INDEX('DBX Sprint'!$A$7:$K$62, ,25)&gt;(TODAY()+5)),MATCH(ROW('DBX Sprint'!$A$7:$K$62),ROW('DBX Sprint'!$A$7:$K$62)),""),ROWS($AE$34:AE111)),COLUMNS('DBX Sprint'!$A$1:A12)),"")</f>
        <v/>
      </c>
      <c r="AG111" s="41" t="str" cm="1">
        <f t="array" ref="AG111">IFERROR(INDEX('DBX Sprint'!$A$7:$K$62, SMALL(IF((INDEX('DBX Sprint'!$A$7:$K$62, ,29)=("Complete"))*(INDEX('DBX Sprint'!$A$7:$K$62, ,29)="Complete"),MATCH(ROW('DBX Sprint'!$A$7:$K$62),ROW('DBX Sprint'!$A$7:$K$62)),""),ROWS($AG$34:AG111)),COLUMNS('DBX Sprint'!$A$1:A12)),"")</f>
        <v/>
      </c>
      <c r="AH111" s="41" t="str" cm="1">
        <f t="array" aca="1" ref="AH111" ca="1">IFERROR(INDEX('DBX Sprint'!$A$7:$K$62, SMALL(IF((INDEX('DBX Sprint'!$A$7:$K$62, ,29)&lt;(TODAY()))*(INDEX('DBX Sprint'!$A$7:$K$62, ,29)&lt;&gt;"Complete"),MATCH(ROW('DBX Sprint'!$A$7:$K$62),ROW('DBX Sprint'!$A$7:$K$62)),""),ROWS($AH$34:AH111)),COLUMNS('DBX Sprint'!$A$1:A12)),"")</f>
        <v/>
      </c>
      <c r="AI111" s="41" t="str" cm="1">
        <f t="array" aca="1" ref="AI111" ca="1">IFERROR(INDEX('DBX Sprint'!$A$7:$K$62, SMALL(IF((INDEX('DBX Sprint'!$A$7:$K$62, ,29)&lt;=(TODAY()+1))*(INDEX('DBX Sprint'!$A$7:$K$62, ,29)&gt;=TODAY()),MATCH(ROW('DBX Sprint'!$A$7:$K$62),ROW('DBX Sprint'!$A$7:$K$62)),""),ROWS($AI$34:AI111)),COLUMNS('DBX Sprint'!$A$1:A12)),"")</f>
        <v/>
      </c>
      <c r="AJ111" s="43" t="str" cm="1">
        <f t="array" aca="1" ref="AJ111" ca="1">IFERROR(INDEX('DBX Sprint'!$A$7:$K$62, SMALL(IF((INDEX('DBX Sprint'!$A$7:$K$62, ,29)&lt;=(TODAY()+5))*(INDEX('DBX Sprint'!$A$7:$K$62, ,29)&gt;(TODAY()+1)),MATCH(ROW('DBX Sprint'!$A$7:$K$62),ROW('DBX Sprint'!$A$7:$K$62)),""),ROWS($AJ$34:AJ111)),COLUMNS('DBX Sprint'!$A$1:A12)),"")</f>
        <v/>
      </c>
      <c r="AK111" s="43" t="str" cm="1">
        <f t="array" aca="1" ref="AK111" ca="1">IFERROR(INDEX('DBX Sprint'!$A$7:$K$62, SMALL(IF((INDEX('DBX Sprint'!$A$7:$K$62, ,29)&lt;=(TODAY()+10))*(INDEX('DBX Sprint'!$A$7:$K$62, ,29)&gt;(TODAY()+5)),MATCH(ROW('DBX Sprint'!$A$7:$K$62),ROW('DBX Sprint'!$A$7:$K$62)),""),ROWS($AK$34:AK111)),COLUMNS('DBX Sprint'!$A$1:A12)),"")</f>
        <v/>
      </c>
      <c r="AM111" s="41" t="str" cm="1">
        <f t="array" ref="AM111">IFERROR(INDEX('DBX Sprint'!$A$7:$K$62, SMALL(IF((INDEX('DBX Sprint'!$A$7:$K$62, ,32)=("Complete"))*(INDEX('DBX Sprint'!$A$7:$K$62, ,32)="Complete"),MATCH(ROW('DBX Sprint'!$A$7:$K$62),ROW('DBX Sprint'!$A$7:$K$62)),""),ROWS($AM$34:AM111)),COLUMNS('DBX Sprint'!$A$1:A12)),"")</f>
        <v/>
      </c>
      <c r="AN111" s="41" t="str" cm="1">
        <f t="array" aca="1" ref="AN111" ca="1">IFERROR(INDEX('DBX Sprint'!$A$7:$K$62, SMALL(IF((INDEX('DBX Sprint'!$A$7:$K$62, ,32)&lt;(TODAY()))*(INDEX('DBX Sprint'!$A$7:$K$62, ,32)&lt;&gt;"Complete"),MATCH(ROW('DBX Sprint'!$A$7:$K$62),ROW('DBX Sprint'!$A$7:$K$62)),""),ROWS($AN$34:AN111)),COLUMNS('DBX Sprint'!$A$1:A12)),"")</f>
        <v/>
      </c>
      <c r="AO111" s="41" t="str" cm="1">
        <f t="array" aca="1" ref="AO111" ca="1">IFERROR(INDEX('DBX Sprint'!$A$7:$K$62, SMALL(IF((INDEX('DBX Sprint'!$A$7:$K$62, ,32)&lt;=(TODAY()+1))*(INDEX('DBX Sprint'!$A$7:$K$62, ,32)&gt;=TODAY()),MATCH(ROW('DBX Sprint'!$A$7:$K$62),ROW('DBX Sprint'!$A$7:$K$62)),""),ROWS($AO$34:AO111)),COLUMNS('DBX Sprint'!$A$1:A12)),"")</f>
        <v/>
      </c>
      <c r="AP111" s="43" t="str" cm="1">
        <f t="array" aca="1" ref="AP111" ca="1">IFERROR(INDEX('DBX Sprint'!$A$7:$K$62, SMALL(IF((INDEX('DBX Sprint'!$A$7:$K$62, ,32)&lt;=(TODAY()+5))*(INDEX('DBX Sprint'!$A$7:$K$62, ,32)&gt;(TODAY()+1)),MATCH(ROW('DBX Sprint'!$A$7:$K$62),ROW('DBX Sprint'!$A$7:$K$62)),""),ROWS($AP$34:AP111)),COLUMNS('DBX Sprint'!$A$1:A12)),"")</f>
        <v/>
      </c>
      <c r="AQ111" s="43" t="str" cm="1">
        <f t="array" aca="1" ref="AQ111" ca="1">IFERROR(INDEX('DBX Sprint'!$A$7:$K$62, SMALL(IF((INDEX('DBX Sprint'!$A$7:$K$62, ,32)&lt;=(TODAY()+10))*(INDEX('DBX Sprint'!$A$7:$K$62, ,32)&gt;(TODAY()+5)),MATCH(ROW('DBX Sprint'!$A$7:$K$62),ROW('DBX Sprint'!$A$7:$K$62)),""),ROWS($AQ$34:AQ111)),COLUMNS('DBX Sprint'!$A$1:A12)),"")</f>
        <v/>
      </c>
    </row>
    <row r="112" spans="3:43" ht="30" customHeight="1">
      <c r="C112" s="41" t="str" cm="1">
        <f t="array" ref="C112">IFERROR(INDEX('DBX Sprint'!$A$7:$K$62, SMALL(IF((INDEX('DBX Sprint'!$A$7:$K$62, ,13)=("Complete"))*(INDEX('DBX Sprint'!$A$7:$K$62, ,13)="Complete"),MATCH(ROW('DBX Sprint'!$A$7:$K$62),ROW('DBX Sprint'!$A$7:$K$62)),""),ROWS(C$34:$C112)),COLUMNS('DBX Sprint'!$A$1:A12)),"")</f>
        <v/>
      </c>
      <c r="D112" s="41" t="str" cm="1">
        <f t="array" aca="1" ref="D112" ca="1">IFERROR(INDEX('DBX Sprint'!$A$7:$K$62, SMALL(IF((INDEX('DBX Sprint'!$A$7:$K$62, ,13)&lt;(TODAY()))*(INDEX('DBX Sprint'!$A$7:$K$62, ,13)&lt;&gt;"Complete"),MATCH(ROW('DBX Sprint'!$A$7:$K$62),ROW('DBX Sprint'!$A$7:$K$62)),""),ROWS(D$34:$D112)),COLUMNS('DBX Sprint'!$A$1:A12)),"")</f>
        <v/>
      </c>
      <c r="E112" s="41" t="str" cm="1">
        <f t="array" aca="1" ref="E112" ca="1">IFERROR(INDEX('DBX Sprint'!$A$7:$K$62, SMALL(IF((INDEX('DBX Sprint'!$A$7:$K$62, ,13)&lt;=(TODAY()+1))*(INDEX('DBX Sprint'!$A$7:$K$62, ,13)&gt;=TODAY()),MATCH(ROW('DBX Sprint'!$A$7:$K$62),ROW('DBX Sprint'!$A$7:$K$62)),""),ROWS(E$34:$E112)),COLUMNS('DBX Sprint'!$A$1:A12)),"")</f>
        <v/>
      </c>
      <c r="F112" s="43" t="str" cm="1">
        <f t="array" aca="1" ref="F112" ca="1">IFERROR(INDEX('DBX Sprint'!$A$7:$K$62, SMALL(IF((INDEX('DBX Sprint'!$A$7:$K$62, ,13)&lt;=(TODAY()+5))*(INDEX('DBX Sprint'!$A$7:$K$62, ,13)&gt;(TODAY()+1)),MATCH(ROW('DBX Sprint'!$A$7:$K$62),ROW('DBX Sprint'!$A$7:$K$62)),""),ROWS($F$34:F112)),COLUMNS('DBX Sprint'!$A$1:A12)),"")</f>
        <v/>
      </c>
      <c r="G112" s="43" t="str" cm="1">
        <f t="array" aca="1" ref="G112" ca="1">IFERROR(INDEX('DBX Sprint'!$A$7:$K$62, SMALL(IF((INDEX('DBX Sprint'!$A$7:$K$62, ,13)&lt;=(TODAY()+10))*(INDEX('DBX Sprint'!$A$7:$K$62, ,13)&gt;(TODAY()+5)),MATCH(ROW('DBX Sprint'!$A$7:$K$62),ROW('DBX Sprint'!$A$7:$K$62)),""),ROWS($G$34:G112)),COLUMNS('DBX Sprint'!$A$1:A12)),"")</f>
        <v/>
      </c>
      <c r="I112" s="41" t="str" cm="1">
        <f t="array" ref="I112">IFERROR(INDEX('DBX Sprint'!$A$7:$K$62, SMALL(IF((INDEX('DBX Sprint'!$A$7:$K$62, ,16)=("Complete"))*(INDEX('DBX Sprint'!$A$7:$K$62, ,16)="Complete"),MATCH(ROW('DBX Sprint'!$A$7:$K$62),ROW('DBX Sprint'!$A$7:$K$62)),""),ROWS($I$34:I112)),COLUMNS('DBX Sprint'!$A$1:A12)),"")</f>
        <v/>
      </c>
      <c r="J112" s="41" t="str" cm="1">
        <f t="array" aca="1" ref="J112" ca="1">IFERROR(INDEX('DBX Sprint'!$A$7:$K$62, SMALL(IF((INDEX('DBX Sprint'!$A$7:$K$62, ,16)&lt;(TODAY()))*(INDEX('DBX Sprint'!$A$7:$K$62, ,16)&lt;&gt;"Complete"),MATCH(ROW('DBX Sprint'!$A$7:$K$62),ROW('DBX Sprint'!$A$7:$K$62)),""),ROWS($J$34:J112)),COLUMNS('DBX Sprint'!$A$1:A12)),"")</f>
        <v/>
      </c>
      <c r="K112" s="41" t="str" cm="1">
        <f t="array" aca="1" ref="K112" ca="1">IFERROR(INDEX('DBX Sprint'!$A$7:$K$62, SMALL(IF((INDEX('DBX Sprint'!$A$7:$K$62, ,16)&lt;=(TODAY()+1))*(INDEX('DBX Sprint'!$A$7:$K$62, ,16)&gt;=TODAY()),MATCH(ROW('DBX Sprint'!$A$7:$K$62),ROW('DBX Sprint'!$A$7:$K$62)),""),ROWS($K$34:K112)),COLUMNS('DBX Sprint'!$A$1:A12)),"")</f>
        <v/>
      </c>
      <c r="L112" s="43" t="str" cm="1">
        <f t="array" aca="1" ref="L112" ca="1">IFERROR(INDEX('DBX Sprint'!$A$7:$K$62, SMALL(IF((INDEX('DBX Sprint'!$A$7:$K$62, ,16)&lt;=(TODAY()+5))*(INDEX('DBX Sprint'!$A$7:$K$62, ,16)&gt;(TODAY()+1)),MATCH(ROW('DBX Sprint'!$A$7:$K$62),ROW('DBX Sprint'!$A$7:$K$62)),""),ROWS($L$34:L112)),COLUMNS('DBX Sprint'!$A$1:A12)),"")</f>
        <v/>
      </c>
      <c r="M112" s="43" t="str" cm="1">
        <f t="array" aca="1" ref="M112" ca="1">IFERROR(INDEX('DBX Sprint'!$A$7:$K$62, SMALL(IF((INDEX('DBX Sprint'!$A$7:$K$62, ,16)&lt;=(TODAY()+10))*(INDEX('DBX Sprint'!$A$7:$K$62, ,16)&gt;(TODAY()+5)),MATCH(ROW('DBX Sprint'!$A$7:$K$62),ROW('DBX Sprint'!$A$7:$K$62)),""),ROWS($M$34:M112)),COLUMNS('DBX Sprint'!$A$1:A12)),"")</f>
        <v/>
      </c>
      <c r="P112" s="41" t="str" cm="1">
        <f t="array" aca="1" ref="P112" ca="1">IFERROR(INDEX('DBX Sprint'!$A$7:$K$62, SMALL(IF((INDEX('DBX Sprint'!$A$7:$K$62, ,19)&lt;(TODAY()))*(INDEX('DBX Sprint'!$A$7:$K$62, ,19)&lt;&gt;"Complete"),MATCH(ROW('DBX Sprint'!$A$7:$K$62),ROW('DBX Sprint'!$A$7:$K$62)),""),ROWS($P$34:P112)),COLUMNS('DBX Sprint'!$A$1:A12)),"")</f>
        <v/>
      </c>
      <c r="Q112" s="41" t="str" cm="1">
        <f t="array" aca="1" ref="Q112" ca="1">IFERROR(INDEX('DBX Sprint'!$A$7:$K$62, SMALL(IF((INDEX('DBX Sprint'!$A$7:$K$62, ,19)&lt;=(TODAY()+1))*(INDEX('DBX Sprint'!$A$7:$K$62, ,19)&gt;=TODAY()),MATCH(ROW('DBX Sprint'!$A$7:$K$62),ROW('DBX Sprint'!$A$7:$K$62)),""),ROWS($Q$34:Q112)),COLUMNS('DBX Sprint'!$A$1:A12)),"")</f>
        <v/>
      </c>
      <c r="R112" s="43" t="str" cm="1">
        <f t="array" aca="1" ref="R112" ca="1">IFERROR(INDEX('DBX Sprint'!$A$7:$K$62, SMALL(IF((INDEX('DBX Sprint'!$A$7:$K$62, ,19)&lt;=(TODAY()+5))*(INDEX('DBX Sprint'!$A$7:$K$62, ,19)&gt;(TODAY()+1)),MATCH(ROW('DBX Sprint'!$A$7:$K$62),ROW('DBX Sprint'!$A$7:$K$62)),""),ROWS($R$34:R112)),COLUMNS('DBX Sprint'!$A$1:A12)),"")</f>
        <v/>
      </c>
      <c r="S112" s="43" t="str" cm="1">
        <f t="array" aca="1" ref="S112" ca="1">IFERROR(INDEX('DBX Sprint'!$A$7:$K$62, SMALL(IF((INDEX('DBX Sprint'!$A$7:$K$62, ,19)&lt;=(TODAY()+10))*(INDEX('DBX Sprint'!$A$7:$K$62, ,19)&gt;(TODAY()+5)),MATCH(ROW('DBX Sprint'!$A$7:$K$62),ROW('DBX Sprint'!$A$7:$K$62)),""),ROWS($S$34:S112)),COLUMNS('DBX Sprint'!$A$1:A12)),"")</f>
        <v/>
      </c>
      <c r="U112" s="41" t="str" cm="1">
        <f t="array" ref="U112">IFERROR(INDEX('DBX Sprint'!$A$7:$K$62, SMALL(IF((INDEX('DBX Sprint'!$A$7:$K$62, ,22)=("Complete"))*(INDEX('DBX Sprint'!$A$7:$K$62, ,22)="Complete"),MATCH(ROW('DBX Sprint'!$A$7:$K$62),ROW('DBX Sprint'!$A$7:$K$62)),""),ROWS($U$34:U112)),COLUMNS('DBX Sprint'!$A$1:A12)),"")</f>
        <v/>
      </c>
      <c r="V112" s="41" t="str" cm="1">
        <f t="array" aca="1" ref="V112" ca="1">IFERROR(INDEX('DBX Sprint'!$A$7:$K$62, SMALL(IF((INDEX('DBX Sprint'!$A$7:$K$62, ,22)&lt;(TODAY()))*(INDEX('DBX Sprint'!$A$7:$K$62, ,22)&lt;&gt;"Complete"),MATCH(ROW('DBX Sprint'!$A$7:$K$62),ROW('DBX Sprint'!$A$7:$K$62)),""),ROWS($V$34:V112)),COLUMNS('DBX Sprint'!$A$1:A12)),"")</f>
        <v/>
      </c>
      <c r="W112" s="41" t="str" cm="1">
        <f t="array" aca="1" ref="W112" ca="1">IFERROR(INDEX('DBX Sprint'!$A$7:$K$62, SMALL(IF((INDEX('DBX Sprint'!$A$7:$K$62, ,22)&lt;=(TODAY()+1))*(INDEX('DBX Sprint'!$A$7:$K$62, ,22)&gt;=TODAY()),MATCH(ROW('DBX Sprint'!$A$7:$K$62),ROW('DBX Sprint'!$A$7:$K$62)),""),ROWS($W$34:W112)),COLUMNS('DBX Sprint'!$A$1:A12)),"")</f>
        <v/>
      </c>
      <c r="X112" s="43" t="str" cm="1">
        <f t="array" aca="1" ref="X112" ca="1">IFERROR(INDEX('DBX Sprint'!$A$7:$K$62, SMALL(IF((INDEX('DBX Sprint'!$A$7:$K$62, ,22)&lt;=(TODAY()+5))*(INDEX('DBX Sprint'!$A$7:$K$62, ,22)&gt;(TODAY()+1)),MATCH(ROW('DBX Sprint'!$A$7:$K$62),ROW('DBX Sprint'!$A$7:$K$62)),""),ROWS($X$34:X112)),COLUMNS('DBX Sprint'!$A$1:A12)),"")</f>
        <v/>
      </c>
      <c r="Y112" s="43" t="str" cm="1">
        <f t="array" aca="1" ref="Y112" ca="1">IFERROR(INDEX('DBX Sprint'!$A$7:$K$62, SMALL(IF((INDEX('DBX Sprint'!$A$7:$K$62, ,22)&lt;=(TODAY()+10))*(INDEX('DBX Sprint'!$A$7:$K$62, ,22)&gt;(TODAY()+5)),MATCH(ROW('DBX Sprint'!$A$7:$K$62),ROW('DBX Sprint'!$A$7:$K$62)),""),ROWS($Y$34:Y112)),COLUMNS('DBX Sprint'!$A$1:A12)),"")</f>
        <v/>
      </c>
      <c r="AA112" s="41" t="str" cm="1">
        <f t="array" ref="AA112">IFERROR(INDEX('DBX Sprint'!$A$7:$K$62, SMALL(IF((INDEX('DBX Sprint'!$A$7:$K$62, ,25)=("Complete"))*(INDEX('DBX Sprint'!$A$7:$K$62, ,25)="Complete"),MATCH(ROW('DBX Sprint'!$A$7:$K$62),ROW('DBX Sprint'!$A$7:$K$62)),""),ROWS($AA$34:AA112)),COLUMNS('DBX Sprint'!$A$1:A12)),"")</f>
        <v/>
      </c>
      <c r="AB112" s="41" t="str" cm="1">
        <f t="array" aca="1" ref="AB112" ca="1">IFERROR(INDEX('DBX Sprint'!$A$7:$K$62, SMALL(IF((INDEX('DBX Sprint'!$A$7:$K$62, ,25)&lt;(TODAY()))*(INDEX('DBX Sprint'!$A$7:$K$62, ,25)&lt;&gt;"Complete"),MATCH(ROW('DBX Sprint'!$A$7:$K$62),ROW('DBX Sprint'!$A$7:$K$62)),""),ROWS($AB$34:AB112)),COLUMNS('DBX Sprint'!$A$1:A12)),"")</f>
        <v/>
      </c>
      <c r="AC112" s="41" t="str" cm="1">
        <f t="array" aca="1" ref="AC112" ca="1">IFERROR(INDEX('DBX Sprint'!$A$7:$K$62, SMALL(IF((INDEX('DBX Sprint'!$A$7:$K$62, ,25)&lt;=(TODAY()+1))*(INDEX('DBX Sprint'!$A$7:$K$62, ,25)&gt;=TODAY()),MATCH(ROW('DBX Sprint'!$A$7:$K$62),ROW('DBX Sprint'!$A$7:$K$62)),""),ROWS($AC$34:AC112)),COLUMNS('DBX Sprint'!$A$1:A12)),"")</f>
        <v/>
      </c>
      <c r="AD112" s="43" t="str" cm="1">
        <f t="array" aca="1" ref="AD112" ca="1">IFERROR(INDEX('DBX Sprint'!$A$7:$K$62, SMALL(IF((INDEX('DBX Sprint'!$A$7:$K$62, ,25)&lt;=(TODAY()+5))*(INDEX('DBX Sprint'!$A$7:$K$62, ,25)&gt;(TODAY()+1)),MATCH(ROW('DBX Sprint'!$A$7:$K$62),ROW('DBX Sprint'!$A$7:$K$62)),""),ROWS($AD$34:AD112)),COLUMNS('DBX Sprint'!$A$1:A12)),"")</f>
        <v/>
      </c>
      <c r="AE112" s="43" t="str" cm="1">
        <f t="array" aca="1" ref="AE112" ca="1">IFERROR(INDEX('DBX Sprint'!$A$7:$K$62, SMALL(IF((INDEX('DBX Sprint'!$A$7:$K$62, ,25)&lt;=(TODAY()+10))*(INDEX('DBX Sprint'!$A$7:$K$62, ,25)&gt;(TODAY()+5)),MATCH(ROW('DBX Sprint'!$A$7:$K$62),ROW('DBX Sprint'!$A$7:$K$62)),""),ROWS($AE$34:AE112)),COLUMNS('DBX Sprint'!$A$1:A12)),"")</f>
        <v/>
      </c>
      <c r="AG112" s="41" t="str" cm="1">
        <f t="array" ref="AG112">IFERROR(INDEX('DBX Sprint'!$A$7:$K$62, SMALL(IF((INDEX('DBX Sprint'!$A$7:$K$62, ,29)=("Complete"))*(INDEX('DBX Sprint'!$A$7:$K$62, ,29)="Complete"),MATCH(ROW('DBX Sprint'!$A$7:$K$62),ROW('DBX Sprint'!$A$7:$K$62)),""),ROWS($AG$34:AG112)),COLUMNS('DBX Sprint'!$A$1:A12)),"")</f>
        <v/>
      </c>
      <c r="AH112" s="41" t="str" cm="1">
        <f t="array" aca="1" ref="AH112" ca="1">IFERROR(INDEX('DBX Sprint'!$A$7:$K$62, SMALL(IF((INDEX('DBX Sprint'!$A$7:$K$62, ,29)&lt;(TODAY()))*(INDEX('DBX Sprint'!$A$7:$K$62, ,29)&lt;&gt;"Complete"),MATCH(ROW('DBX Sprint'!$A$7:$K$62),ROW('DBX Sprint'!$A$7:$K$62)),""),ROWS($AH$34:AH112)),COLUMNS('DBX Sprint'!$A$1:A12)),"")</f>
        <v/>
      </c>
      <c r="AI112" s="41" t="str" cm="1">
        <f t="array" aca="1" ref="AI112" ca="1">IFERROR(INDEX('DBX Sprint'!$A$7:$K$62, SMALL(IF((INDEX('DBX Sprint'!$A$7:$K$62, ,29)&lt;=(TODAY()+1))*(INDEX('DBX Sprint'!$A$7:$K$62, ,29)&gt;=TODAY()),MATCH(ROW('DBX Sprint'!$A$7:$K$62),ROW('DBX Sprint'!$A$7:$K$62)),""),ROWS($AI$34:AI112)),COLUMNS('DBX Sprint'!$A$1:A12)),"")</f>
        <v/>
      </c>
      <c r="AJ112" s="43" t="str" cm="1">
        <f t="array" aca="1" ref="AJ112" ca="1">IFERROR(INDEX('DBX Sprint'!$A$7:$K$62, SMALL(IF((INDEX('DBX Sprint'!$A$7:$K$62, ,29)&lt;=(TODAY()+5))*(INDEX('DBX Sprint'!$A$7:$K$62, ,29)&gt;(TODAY()+1)),MATCH(ROW('DBX Sprint'!$A$7:$K$62),ROW('DBX Sprint'!$A$7:$K$62)),""),ROWS($AJ$34:AJ112)),COLUMNS('DBX Sprint'!$A$1:A12)),"")</f>
        <v/>
      </c>
      <c r="AK112" s="43" t="str" cm="1">
        <f t="array" aca="1" ref="AK112" ca="1">IFERROR(INDEX('DBX Sprint'!$A$7:$K$62, SMALL(IF((INDEX('DBX Sprint'!$A$7:$K$62, ,29)&lt;=(TODAY()+10))*(INDEX('DBX Sprint'!$A$7:$K$62, ,29)&gt;(TODAY()+5)),MATCH(ROW('DBX Sprint'!$A$7:$K$62),ROW('DBX Sprint'!$A$7:$K$62)),""),ROWS($AK$34:AK112)),COLUMNS('DBX Sprint'!$A$1:A12)),"")</f>
        <v/>
      </c>
      <c r="AM112" s="41" t="str" cm="1">
        <f t="array" ref="AM112">IFERROR(INDEX('DBX Sprint'!$A$7:$K$62, SMALL(IF((INDEX('DBX Sprint'!$A$7:$K$62, ,32)=("Complete"))*(INDEX('DBX Sprint'!$A$7:$K$62, ,32)="Complete"),MATCH(ROW('DBX Sprint'!$A$7:$K$62),ROW('DBX Sprint'!$A$7:$K$62)),""),ROWS($AM$34:AM112)),COLUMNS('DBX Sprint'!$A$1:A12)),"")</f>
        <v/>
      </c>
      <c r="AN112" s="41" t="str" cm="1">
        <f t="array" aca="1" ref="AN112" ca="1">IFERROR(INDEX('DBX Sprint'!$A$7:$K$62, SMALL(IF((INDEX('DBX Sprint'!$A$7:$K$62, ,32)&lt;(TODAY()))*(INDEX('DBX Sprint'!$A$7:$K$62, ,32)&lt;&gt;"Complete"),MATCH(ROW('DBX Sprint'!$A$7:$K$62),ROW('DBX Sprint'!$A$7:$K$62)),""),ROWS($AN$34:AN112)),COLUMNS('DBX Sprint'!$A$1:A12)),"")</f>
        <v/>
      </c>
      <c r="AO112" s="41" t="str" cm="1">
        <f t="array" aca="1" ref="AO112" ca="1">IFERROR(INDEX('DBX Sprint'!$A$7:$K$62, SMALL(IF((INDEX('DBX Sprint'!$A$7:$K$62, ,32)&lt;=(TODAY()+1))*(INDEX('DBX Sprint'!$A$7:$K$62, ,32)&gt;=TODAY()),MATCH(ROW('DBX Sprint'!$A$7:$K$62),ROW('DBX Sprint'!$A$7:$K$62)),""),ROWS($AO$34:AO112)),COLUMNS('DBX Sprint'!$A$1:A12)),"")</f>
        <v/>
      </c>
      <c r="AP112" s="43" t="str" cm="1">
        <f t="array" aca="1" ref="AP112" ca="1">IFERROR(INDEX('DBX Sprint'!$A$7:$K$62, SMALL(IF((INDEX('DBX Sprint'!$A$7:$K$62, ,32)&lt;=(TODAY()+5))*(INDEX('DBX Sprint'!$A$7:$K$62, ,32)&gt;(TODAY()+1)),MATCH(ROW('DBX Sprint'!$A$7:$K$62),ROW('DBX Sprint'!$A$7:$K$62)),""),ROWS($AP$34:AP112)),COLUMNS('DBX Sprint'!$A$1:A12)),"")</f>
        <v/>
      </c>
      <c r="AQ112" s="43" t="str" cm="1">
        <f t="array" aca="1" ref="AQ112" ca="1">IFERROR(INDEX('DBX Sprint'!$A$7:$K$62, SMALL(IF((INDEX('DBX Sprint'!$A$7:$K$62, ,32)&lt;=(TODAY()+10))*(INDEX('DBX Sprint'!$A$7:$K$62, ,32)&gt;(TODAY()+5)),MATCH(ROW('DBX Sprint'!$A$7:$K$62),ROW('DBX Sprint'!$A$7:$K$62)),""),ROWS($AQ$34:AQ112)),COLUMNS('DBX Sprint'!$A$1:A12)),"")</f>
        <v/>
      </c>
    </row>
    <row r="113" spans="3:43" ht="30" customHeight="1">
      <c r="C113" s="41" t="str" cm="1">
        <f t="array" ref="C113">IFERROR(INDEX('DBX Sprint'!$A$7:$K$62, SMALL(IF((INDEX('DBX Sprint'!$A$7:$K$62, ,13)=("Complete"))*(INDEX('DBX Sprint'!$A$7:$K$62, ,13)="Complete"),MATCH(ROW('DBX Sprint'!$A$7:$K$62),ROW('DBX Sprint'!$A$7:$K$62)),""),ROWS(C$34:$C113)),COLUMNS('DBX Sprint'!$A$1:A12)),"")</f>
        <v/>
      </c>
      <c r="D113" s="41" t="str" cm="1">
        <f t="array" aca="1" ref="D113" ca="1">IFERROR(INDEX('DBX Sprint'!$A$7:$K$62, SMALL(IF((INDEX('DBX Sprint'!$A$7:$K$62, ,13)&lt;(TODAY()))*(INDEX('DBX Sprint'!$A$7:$K$62, ,13)&lt;&gt;"Complete"),MATCH(ROW('DBX Sprint'!$A$7:$K$62),ROW('DBX Sprint'!$A$7:$K$62)),""),ROWS(D$34:$D113)),COLUMNS('DBX Sprint'!$A$1:A12)),"")</f>
        <v/>
      </c>
      <c r="E113" s="41" t="str" cm="1">
        <f t="array" aca="1" ref="E113" ca="1">IFERROR(INDEX('DBX Sprint'!$A$7:$K$62, SMALL(IF((INDEX('DBX Sprint'!$A$7:$K$62, ,13)&lt;=(TODAY()+1))*(INDEX('DBX Sprint'!$A$7:$K$62, ,13)&gt;=TODAY()),MATCH(ROW('DBX Sprint'!$A$7:$K$62),ROW('DBX Sprint'!$A$7:$K$62)),""),ROWS(E$34:$E113)),COLUMNS('DBX Sprint'!$A$1:A12)),"")</f>
        <v/>
      </c>
      <c r="F113" s="43" t="str" cm="1">
        <f t="array" aca="1" ref="F113" ca="1">IFERROR(INDEX('DBX Sprint'!$A$7:$K$62, SMALL(IF((INDEX('DBX Sprint'!$A$7:$K$62, ,13)&lt;=(TODAY()+5))*(INDEX('DBX Sprint'!$A$7:$K$62, ,13)&gt;(TODAY()+1)),MATCH(ROW('DBX Sprint'!$A$7:$K$62),ROW('DBX Sprint'!$A$7:$K$62)),""),ROWS($F$34:F113)),COLUMNS('DBX Sprint'!$A$1:A12)),"")</f>
        <v/>
      </c>
      <c r="G113" s="43" t="str" cm="1">
        <f t="array" aca="1" ref="G113" ca="1">IFERROR(INDEX('DBX Sprint'!$A$7:$K$62, SMALL(IF((INDEX('DBX Sprint'!$A$7:$K$62, ,13)&lt;=(TODAY()+10))*(INDEX('DBX Sprint'!$A$7:$K$62, ,13)&gt;(TODAY()+5)),MATCH(ROW('DBX Sprint'!$A$7:$K$62),ROW('DBX Sprint'!$A$7:$K$62)),""),ROWS($G$34:G113)),COLUMNS('DBX Sprint'!$A$1:A12)),"")</f>
        <v/>
      </c>
      <c r="I113" s="41" t="str" cm="1">
        <f t="array" ref="I113">IFERROR(INDEX('DBX Sprint'!$A$7:$K$62, SMALL(IF((INDEX('DBX Sprint'!$A$7:$K$62, ,16)=("Complete"))*(INDEX('DBX Sprint'!$A$7:$K$62, ,16)="Complete"),MATCH(ROW('DBX Sprint'!$A$7:$K$62),ROW('DBX Sprint'!$A$7:$K$62)),""),ROWS($I$34:I113)),COLUMNS('DBX Sprint'!$A$1:A12)),"")</f>
        <v/>
      </c>
      <c r="J113" s="41" t="str" cm="1">
        <f t="array" aca="1" ref="J113" ca="1">IFERROR(INDEX('DBX Sprint'!$A$7:$K$62, SMALL(IF((INDEX('DBX Sprint'!$A$7:$K$62, ,16)&lt;(TODAY()))*(INDEX('DBX Sprint'!$A$7:$K$62, ,16)&lt;&gt;"Complete"),MATCH(ROW('DBX Sprint'!$A$7:$K$62),ROW('DBX Sprint'!$A$7:$K$62)),""),ROWS($J$34:J113)),COLUMNS('DBX Sprint'!$A$1:A12)),"")</f>
        <v/>
      </c>
      <c r="K113" s="41" t="str" cm="1">
        <f t="array" aca="1" ref="K113" ca="1">IFERROR(INDEX('DBX Sprint'!$A$7:$K$62, SMALL(IF((INDEX('DBX Sprint'!$A$7:$K$62, ,16)&lt;=(TODAY()+1))*(INDEX('DBX Sprint'!$A$7:$K$62, ,16)&gt;=TODAY()),MATCH(ROW('DBX Sprint'!$A$7:$K$62),ROW('DBX Sprint'!$A$7:$K$62)),""),ROWS($K$34:K113)),COLUMNS('DBX Sprint'!$A$1:A12)),"")</f>
        <v/>
      </c>
      <c r="L113" s="43" t="str" cm="1">
        <f t="array" aca="1" ref="L113" ca="1">IFERROR(INDEX('DBX Sprint'!$A$7:$K$62, SMALL(IF((INDEX('DBX Sprint'!$A$7:$K$62, ,16)&lt;=(TODAY()+5))*(INDEX('DBX Sprint'!$A$7:$K$62, ,16)&gt;(TODAY()+1)),MATCH(ROW('DBX Sprint'!$A$7:$K$62),ROW('DBX Sprint'!$A$7:$K$62)),""),ROWS($L$34:L113)),COLUMNS('DBX Sprint'!$A$1:A12)),"")</f>
        <v/>
      </c>
      <c r="M113" s="43" t="str" cm="1">
        <f t="array" aca="1" ref="M113" ca="1">IFERROR(INDEX('DBX Sprint'!$A$7:$K$62, SMALL(IF((INDEX('DBX Sprint'!$A$7:$K$62, ,16)&lt;=(TODAY()+10))*(INDEX('DBX Sprint'!$A$7:$K$62, ,16)&gt;(TODAY()+5)),MATCH(ROW('DBX Sprint'!$A$7:$K$62),ROW('DBX Sprint'!$A$7:$K$62)),""),ROWS($M$34:M113)),COLUMNS('DBX Sprint'!$A$1:A12)),"")</f>
        <v/>
      </c>
      <c r="P113" s="41" t="str" cm="1">
        <f t="array" aca="1" ref="P113" ca="1">IFERROR(INDEX('DBX Sprint'!$A$7:$K$62, SMALL(IF((INDEX('DBX Sprint'!$A$7:$K$62, ,19)&lt;(TODAY()))*(INDEX('DBX Sprint'!$A$7:$K$62, ,19)&lt;&gt;"Complete"),MATCH(ROW('DBX Sprint'!$A$7:$K$62),ROW('DBX Sprint'!$A$7:$K$62)),""),ROWS($P$34:P113)),COLUMNS('DBX Sprint'!$A$1:A12)),"")</f>
        <v/>
      </c>
      <c r="Q113" s="41" t="str" cm="1">
        <f t="array" aca="1" ref="Q113" ca="1">IFERROR(INDEX('DBX Sprint'!$A$7:$K$62, SMALL(IF((INDEX('DBX Sprint'!$A$7:$K$62, ,19)&lt;=(TODAY()+1))*(INDEX('DBX Sprint'!$A$7:$K$62, ,19)&gt;=TODAY()),MATCH(ROW('DBX Sprint'!$A$7:$K$62),ROW('DBX Sprint'!$A$7:$K$62)),""),ROWS($Q$34:Q113)),COLUMNS('DBX Sprint'!$A$1:A12)),"")</f>
        <v/>
      </c>
      <c r="R113" s="43" t="str" cm="1">
        <f t="array" aca="1" ref="R113" ca="1">IFERROR(INDEX('DBX Sprint'!$A$7:$K$62, SMALL(IF((INDEX('DBX Sprint'!$A$7:$K$62, ,19)&lt;=(TODAY()+5))*(INDEX('DBX Sprint'!$A$7:$K$62, ,19)&gt;(TODAY()+1)),MATCH(ROW('DBX Sprint'!$A$7:$K$62),ROW('DBX Sprint'!$A$7:$K$62)),""),ROWS($R$34:R113)),COLUMNS('DBX Sprint'!$A$1:A12)),"")</f>
        <v/>
      </c>
      <c r="S113" s="43" t="str" cm="1">
        <f t="array" aca="1" ref="S113" ca="1">IFERROR(INDEX('DBX Sprint'!$A$7:$K$62, SMALL(IF((INDEX('DBX Sprint'!$A$7:$K$62, ,19)&lt;=(TODAY()+10))*(INDEX('DBX Sprint'!$A$7:$K$62, ,19)&gt;(TODAY()+5)),MATCH(ROW('DBX Sprint'!$A$7:$K$62),ROW('DBX Sprint'!$A$7:$K$62)),""),ROWS($S$34:S113)),COLUMNS('DBX Sprint'!$A$1:A12)),"")</f>
        <v/>
      </c>
      <c r="U113" s="41" t="str" cm="1">
        <f t="array" ref="U113">IFERROR(INDEX('DBX Sprint'!$A$7:$K$62, SMALL(IF((INDEX('DBX Sprint'!$A$7:$K$62, ,22)=("Complete"))*(INDEX('DBX Sprint'!$A$7:$K$62, ,22)="Complete"),MATCH(ROW('DBX Sprint'!$A$7:$K$62),ROW('DBX Sprint'!$A$7:$K$62)),""),ROWS($U$34:U113)),COLUMNS('DBX Sprint'!$A$1:A12)),"")</f>
        <v/>
      </c>
      <c r="V113" s="41" t="str" cm="1">
        <f t="array" aca="1" ref="V113" ca="1">IFERROR(INDEX('DBX Sprint'!$A$7:$K$62, SMALL(IF((INDEX('DBX Sprint'!$A$7:$K$62, ,22)&lt;(TODAY()))*(INDEX('DBX Sprint'!$A$7:$K$62, ,22)&lt;&gt;"Complete"),MATCH(ROW('DBX Sprint'!$A$7:$K$62),ROW('DBX Sprint'!$A$7:$K$62)),""),ROWS($V$34:V113)),COLUMNS('DBX Sprint'!$A$1:A12)),"")</f>
        <v/>
      </c>
      <c r="W113" s="41" t="str" cm="1">
        <f t="array" aca="1" ref="W113" ca="1">IFERROR(INDEX('DBX Sprint'!$A$7:$K$62, SMALL(IF((INDEX('DBX Sprint'!$A$7:$K$62, ,22)&lt;=(TODAY()+1))*(INDEX('DBX Sprint'!$A$7:$K$62, ,22)&gt;=TODAY()),MATCH(ROW('DBX Sprint'!$A$7:$K$62),ROW('DBX Sprint'!$A$7:$K$62)),""),ROWS($W$34:W113)),COLUMNS('DBX Sprint'!$A$1:A12)),"")</f>
        <v/>
      </c>
      <c r="X113" s="43" t="str" cm="1">
        <f t="array" aca="1" ref="X113" ca="1">IFERROR(INDEX('DBX Sprint'!$A$7:$K$62, SMALL(IF((INDEX('DBX Sprint'!$A$7:$K$62, ,22)&lt;=(TODAY()+5))*(INDEX('DBX Sprint'!$A$7:$K$62, ,22)&gt;(TODAY()+1)),MATCH(ROW('DBX Sprint'!$A$7:$K$62),ROW('DBX Sprint'!$A$7:$K$62)),""),ROWS($X$34:X113)),COLUMNS('DBX Sprint'!$A$1:A12)),"")</f>
        <v/>
      </c>
      <c r="Y113" s="43" t="str" cm="1">
        <f t="array" aca="1" ref="Y113" ca="1">IFERROR(INDEX('DBX Sprint'!$A$7:$K$62, SMALL(IF((INDEX('DBX Sprint'!$A$7:$K$62, ,22)&lt;=(TODAY()+10))*(INDEX('DBX Sprint'!$A$7:$K$62, ,22)&gt;(TODAY()+5)),MATCH(ROW('DBX Sprint'!$A$7:$K$62),ROW('DBX Sprint'!$A$7:$K$62)),""),ROWS($Y$34:Y113)),COLUMNS('DBX Sprint'!$A$1:A12)),"")</f>
        <v/>
      </c>
      <c r="AA113" s="41" t="str" cm="1">
        <f t="array" ref="AA113">IFERROR(INDEX('DBX Sprint'!$A$7:$K$62, SMALL(IF((INDEX('DBX Sprint'!$A$7:$K$62, ,25)=("Complete"))*(INDEX('DBX Sprint'!$A$7:$K$62, ,25)="Complete"),MATCH(ROW('DBX Sprint'!$A$7:$K$62),ROW('DBX Sprint'!$A$7:$K$62)),""),ROWS($AA$34:AA113)),COLUMNS('DBX Sprint'!$A$1:A12)),"")</f>
        <v/>
      </c>
      <c r="AB113" s="41" t="str" cm="1">
        <f t="array" aca="1" ref="AB113" ca="1">IFERROR(INDEX('DBX Sprint'!$A$7:$K$62, SMALL(IF((INDEX('DBX Sprint'!$A$7:$K$62, ,25)&lt;(TODAY()))*(INDEX('DBX Sprint'!$A$7:$K$62, ,25)&lt;&gt;"Complete"),MATCH(ROW('DBX Sprint'!$A$7:$K$62),ROW('DBX Sprint'!$A$7:$K$62)),""),ROWS($AB$34:AB113)),COLUMNS('DBX Sprint'!$A$1:A12)),"")</f>
        <v/>
      </c>
      <c r="AC113" s="41" t="str" cm="1">
        <f t="array" aca="1" ref="AC113" ca="1">IFERROR(INDEX('DBX Sprint'!$A$7:$K$62, SMALL(IF((INDEX('DBX Sprint'!$A$7:$K$62, ,25)&lt;=(TODAY()+1))*(INDEX('DBX Sprint'!$A$7:$K$62, ,25)&gt;=TODAY()),MATCH(ROW('DBX Sprint'!$A$7:$K$62),ROW('DBX Sprint'!$A$7:$K$62)),""),ROWS($AC$34:AC113)),COLUMNS('DBX Sprint'!$A$1:A12)),"")</f>
        <v/>
      </c>
      <c r="AD113" s="43" t="str" cm="1">
        <f t="array" aca="1" ref="AD113" ca="1">IFERROR(INDEX('DBX Sprint'!$A$7:$K$62, SMALL(IF((INDEX('DBX Sprint'!$A$7:$K$62, ,25)&lt;=(TODAY()+5))*(INDEX('DBX Sprint'!$A$7:$K$62, ,25)&gt;(TODAY()+1)),MATCH(ROW('DBX Sprint'!$A$7:$K$62),ROW('DBX Sprint'!$A$7:$K$62)),""),ROWS($AD$34:AD113)),COLUMNS('DBX Sprint'!$A$1:A12)),"")</f>
        <v/>
      </c>
      <c r="AE113" s="43" t="str" cm="1">
        <f t="array" aca="1" ref="AE113" ca="1">IFERROR(INDEX('DBX Sprint'!$A$7:$K$62, SMALL(IF((INDEX('DBX Sprint'!$A$7:$K$62, ,25)&lt;=(TODAY()+10))*(INDEX('DBX Sprint'!$A$7:$K$62, ,25)&gt;(TODAY()+5)),MATCH(ROW('DBX Sprint'!$A$7:$K$62),ROW('DBX Sprint'!$A$7:$K$62)),""),ROWS($AE$34:AE113)),COLUMNS('DBX Sprint'!$A$1:A12)),"")</f>
        <v/>
      </c>
      <c r="AG113" s="41" t="str" cm="1">
        <f t="array" ref="AG113">IFERROR(INDEX('DBX Sprint'!$A$7:$K$62, SMALL(IF((INDEX('DBX Sprint'!$A$7:$K$62, ,29)=("Complete"))*(INDEX('DBX Sprint'!$A$7:$K$62, ,29)="Complete"),MATCH(ROW('DBX Sprint'!$A$7:$K$62),ROW('DBX Sprint'!$A$7:$K$62)),""),ROWS($AG$34:AG113)),COLUMNS('DBX Sprint'!$A$1:A12)),"")</f>
        <v/>
      </c>
      <c r="AH113" s="41" t="str" cm="1">
        <f t="array" aca="1" ref="AH113" ca="1">IFERROR(INDEX('DBX Sprint'!$A$7:$K$62, SMALL(IF((INDEX('DBX Sprint'!$A$7:$K$62, ,29)&lt;(TODAY()))*(INDEX('DBX Sprint'!$A$7:$K$62, ,29)&lt;&gt;"Complete"),MATCH(ROW('DBX Sprint'!$A$7:$K$62),ROW('DBX Sprint'!$A$7:$K$62)),""),ROWS($AH$34:AH113)),COLUMNS('DBX Sprint'!$A$1:A12)),"")</f>
        <v/>
      </c>
      <c r="AI113" s="41" t="str" cm="1">
        <f t="array" aca="1" ref="AI113" ca="1">IFERROR(INDEX('DBX Sprint'!$A$7:$K$62, SMALL(IF((INDEX('DBX Sprint'!$A$7:$K$62, ,29)&lt;=(TODAY()+1))*(INDEX('DBX Sprint'!$A$7:$K$62, ,29)&gt;=TODAY()),MATCH(ROW('DBX Sprint'!$A$7:$K$62),ROW('DBX Sprint'!$A$7:$K$62)),""),ROWS($AI$34:AI113)),COLUMNS('DBX Sprint'!$A$1:A12)),"")</f>
        <v/>
      </c>
      <c r="AJ113" s="43" t="str" cm="1">
        <f t="array" aca="1" ref="AJ113" ca="1">IFERROR(INDEX('DBX Sprint'!$A$7:$K$62, SMALL(IF((INDEX('DBX Sprint'!$A$7:$K$62, ,29)&lt;=(TODAY()+5))*(INDEX('DBX Sprint'!$A$7:$K$62, ,29)&gt;(TODAY()+1)),MATCH(ROW('DBX Sprint'!$A$7:$K$62),ROW('DBX Sprint'!$A$7:$K$62)),""),ROWS($AJ$34:AJ113)),COLUMNS('DBX Sprint'!$A$1:A12)),"")</f>
        <v/>
      </c>
      <c r="AK113" s="43" t="str" cm="1">
        <f t="array" aca="1" ref="AK113" ca="1">IFERROR(INDEX('DBX Sprint'!$A$7:$K$62, SMALL(IF((INDEX('DBX Sprint'!$A$7:$K$62, ,29)&lt;=(TODAY()+10))*(INDEX('DBX Sprint'!$A$7:$K$62, ,29)&gt;(TODAY()+5)),MATCH(ROW('DBX Sprint'!$A$7:$K$62),ROW('DBX Sprint'!$A$7:$K$62)),""),ROWS($AK$34:AK113)),COLUMNS('DBX Sprint'!$A$1:A12)),"")</f>
        <v/>
      </c>
      <c r="AM113" s="41" t="str" cm="1">
        <f t="array" ref="AM113">IFERROR(INDEX('DBX Sprint'!$A$7:$K$62, SMALL(IF((INDEX('DBX Sprint'!$A$7:$K$62, ,32)=("Complete"))*(INDEX('DBX Sprint'!$A$7:$K$62, ,32)="Complete"),MATCH(ROW('DBX Sprint'!$A$7:$K$62),ROW('DBX Sprint'!$A$7:$K$62)),""),ROWS($AM$34:AM113)),COLUMNS('DBX Sprint'!$A$1:A12)),"")</f>
        <v/>
      </c>
      <c r="AN113" s="41" t="str" cm="1">
        <f t="array" aca="1" ref="AN113" ca="1">IFERROR(INDEX('DBX Sprint'!$A$7:$K$62, SMALL(IF((INDEX('DBX Sprint'!$A$7:$K$62, ,32)&lt;(TODAY()))*(INDEX('DBX Sprint'!$A$7:$K$62, ,32)&lt;&gt;"Complete"),MATCH(ROW('DBX Sprint'!$A$7:$K$62),ROW('DBX Sprint'!$A$7:$K$62)),""),ROWS($AN$34:AN113)),COLUMNS('DBX Sprint'!$A$1:A12)),"")</f>
        <v/>
      </c>
      <c r="AO113" s="41" t="str" cm="1">
        <f t="array" aca="1" ref="AO113" ca="1">IFERROR(INDEX('DBX Sprint'!$A$7:$K$62, SMALL(IF((INDEX('DBX Sprint'!$A$7:$K$62, ,32)&lt;=(TODAY()+1))*(INDEX('DBX Sprint'!$A$7:$K$62, ,32)&gt;=TODAY()),MATCH(ROW('DBX Sprint'!$A$7:$K$62),ROW('DBX Sprint'!$A$7:$K$62)),""),ROWS($AO$34:AO113)),COLUMNS('DBX Sprint'!$A$1:A12)),"")</f>
        <v/>
      </c>
      <c r="AP113" s="43" t="str" cm="1">
        <f t="array" aca="1" ref="AP113" ca="1">IFERROR(INDEX('DBX Sprint'!$A$7:$K$62, SMALL(IF((INDEX('DBX Sprint'!$A$7:$K$62, ,32)&lt;=(TODAY()+5))*(INDEX('DBX Sprint'!$A$7:$K$62, ,32)&gt;(TODAY()+1)),MATCH(ROW('DBX Sprint'!$A$7:$K$62),ROW('DBX Sprint'!$A$7:$K$62)),""),ROWS($AP$34:AP113)),COLUMNS('DBX Sprint'!$A$1:A12)),"")</f>
        <v/>
      </c>
      <c r="AQ113" s="43" t="str" cm="1">
        <f t="array" aca="1" ref="AQ113" ca="1">IFERROR(INDEX('DBX Sprint'!$A$7:$K$62, SMALL(IF((INDEX('DBX Sprint'!$A$7:$K$62, ,32)&lt;=(TODAY()+10))*(INDEX('DBX Sprint'!$A$7:$K$62, ,32)&gt;(TODAY()+5)),MATCH(ROW('DBX Sprint'!$A$7:$K$62),ROW('DBX Sprint'!$A$7:$K$62)),""),ROWS($AQ$34:AQ113)),COLUMNS('DBX Sprint'!$A$1:A12)),"")</f>
        <v/>
      </c>
    </row>
    <row r="114" spans="3:43" ht="30" customHeight="1">
      <c r="C114" s="41" t="str" cm="1">
        <f t="array" ref="C114">IFERROR(INDEX('DBX Sprint'!$A$7:$K$62, SMALL(IF((INDEX('DBX Sprint'!$A$7:$K$62, ,13)=("Complete"))*(INDEX('DBX Sprint'!$A$7:$K$62, ,13)="Complete"),MATCH(ROW('DBX Sprint'!$A$7:$K$62),ROW('DBX Sprint'!$A$7:$K$62)),""),ROWS(C$34:$C114)),COLUMNS('DBX Sprint'!$A$1:A12)),"")</f>
        <v/>
      </c>
      <c r="D114" s="41" t="str" cm="1">
        <f t="array" aca="1" ref="D114" ca="1">IFERROR(INDEX('DBX Sprint'!$A$7:$K$62, SMALL(IF((INDEX('DBX Sprint'!$A$7:$K$62, ,13)&lt;(TODAY()))*(INDEX('DBX Sprint'!$A$7:$K$62, ,13)&lt;&gt;"Complete"),MATCH(ROW('DBX Sprint'!$A$7:$K$62),ROW('DBX Sprint'!$A$7:$K$62)),""),ROWS(D$34:$D114)),COLUMNS('DBX Sprint'!$A$1:A12)),"")</f>
        <v/>
      </c>
      <c r="E114" s="41" t="str" cm="1">
        <f t="array" aca="1" ref="E114" ca="1">IFERROR(INDEX('DBX Sprint'!$A$7:$K$62, SMALL(IF((INDEX('DBX Sprint'!$A$7:$K$62, ,13)&lt;=(TODAY()+1))*(INDEX('DBX Sprint'!$A$7:$K$62, ,13)&gt;=TODAY()),MATCH(ROW('DBX Sprint'!$A$7:$K$62),ROW('DBX Sprint'!$A$7:$K$62)),""),ROWS(E$34:$E114)),COLUMNS('DBX Sprint'!$A$1:A12)),"")</f>
        <v/>
      </c>
      <c r="F114" s="43" t="str" cm="1">
        <f t="array" aca="1" ref="F114" ca="1">IFERROR(INDEX('DBX Sprint'!$A$7:$K$62, SMALL(IF((INDEX('DBX Sprint'!$A$7:$K$62, ,13)&lt;=(TODAY()+5))*(INDEX('DBX Sprint'!$A$7:$K$62, ,13)&gt;(TODAY()+1)),MATCH(ROW('DBX Sprint'!$A$7:$K$62),ROW('DBX Sprint'!$A$7:$K$62)),""),ROWS($F$34:F114)),COLUMNS('DBX Sprint'!$A$1:A12)),"")</f>
        <v/>
      </c>
      <c r="G114" s="43" t="str" cm="1">
        <f t="array" aca="1" ref="G114" ca="1">IFERROR(INDEX('DBX Sprint'!$A$7:$K$62, SMALL(IF((INDEX('DBX Sprint'!$A$7:$K$62, ,13)&lt;=(TODAY()+10))*(INDEX('DBX Sprint'!$A$7:$K$62, ,13)&gt;(TODAY()+5)),MATCH(ROW('DBX Sprint'!$A$7:$K$62),ROW('DBX Sprint'!$A$7:$K$62)),""),ROWS($G$34:G114)),COLUMNS('DBX Sprint'!$A$1:A12)),"")</f>
        <v/>
      </c>
      <c r="I114" s="41" t="str" cm="1">
        <f t="array" ref="I114">IFERROR(INDEX('DBX Sprint'!$A$7:$K$62, SMALL(IF((INDEX('DBX Sprint'!$A$7:$K$62, ,16)=("Complete"))*(INDEX('DBX Sprint'!$A$7:$K$62, ,16)="Complete"),MATCH(ROW('DBX Sprint'!$A$7:$K$62),ROW('DBX Sprint'!$A$7:$K$62)),""),ROWS($I$34:I114)),COLUMNS('DBX Sprint'!$A$1:A12)),"")</f>
        <v/>
      </c>
      <c r="J114" s="41" t="str" cm="1">
        <f t="array" aca="1" ref="J114" ca="1">IFERROR(INDEX('DBX Sprint'!$A$7:$K$62, SMALL(IF((INDEX('DBX Sprint'!$A$7:$K$62, ,16)&lt;(TODAY()))*(INDEX('DBX Sprint'!$A$7:$K$62, ,16)&lt;&gt;"Complete"),MATCH(ROW('DBX Sprint'!$A$7:$K$62),ROW('DBX Sprint'!$A$7:$K$62)),""),ROWS($J$34:J114)),COLUMNS('DBX Sprint'!$A$1:A12)),"")</f>
        <v/>
      </c>
      <c r="K114" s="41" t="str" cm="1">
        <f t="array" aca="1" ref="K114" ca="1">IFERROR(INDEX('DBX Sprint'!$A$7:$K$62, SMALL(IF((INDEX('DBX Sprint'!$A$7:$K$62, ,16)&lt;=(TODAY()+1))*(INDEX('DBX Sprint'!$A$7:$K$62, ,16)&gt;=TODAY()),MATCH(ROW('DBX Sprint'!$A$7:$K$62),ROW('DBX Sprint'!$A$7:$K$62)),""),ROWS($K$34:K114)),COLUMNS('DBX Sprint'!$A$1:A12)),"")</f>
        <v/>
      </c>
      <c r="L114" s="43" t="str" cm="1">
        <f t="array" aca="1" ref="L114" ca="1">IFERROR(INDEX('DBX Sprint'!$A$7:$K$62, SMALL(IF((INDEX('DBX Sprint'!$A$7:$K$62, ,16)&lt;=(TODAY()+5))*(INDEX('DBX Sprint'!$A$7:$K$62, ,16)&gt;(TODAY()+1)),MATCH(ROW('DBX Sprint'!$A$7:$K$62),ROW('DBX Sprint'!$A$7:$K$62)),""),ROWS($L$34:L114)),COLUMNS('DBX Sprint'!$A$1:A12)),"")</f>
        <v/>
      </c>
      <c r="M114" s="43" t="str" cm="1">
        <f t="array" aca="1" ref="M114" ca="1">IFERROR(INDEX('DBX Sprint'!$A$7:$K$62, SMALL(IF((INDEX('DBX Sprint'!$A$7:$K$62, ,16)&lt;=(TODAY()+10))*(INDEX('DBX Sprint'!$A$7:$K$62, ,16)&gt;(TODAY()+5)),MATCH(ROW('DBX Sprint'!$A$7:$K$62),ROW('DBX Sprint'!$A$7:$K$62)),""),ROWS($M$34:M114)),COLUMNS('DBX Sprint'!$A$1:A12)),"")</f>
        <v/>
      </c>
      <c r="P114" s="41" t="str" cm="1">
        <f t="array" aca="1" ref="P114" ca="1">IFERROR(INDEX('DBX Sprint'!$A$7:$K$62, SMALL(IF((INDEX('DBX Sprint'!$A$7:$K$62, ,19)&lt;(TODAY()))*(INDEX('DBX Sprint'!$A$7:$K$62, ,19)&lt;&gt;"Complete"),MATCH(ROW('DBX Sprint'!$A$7:$K$62),ROW('DBX Sprint'!$A$7:$K$62)),""),ROWS($P$34:P114)),COLUMNS('DBX Sprint'!$A$1:A12)),"")</f>
        <v/>
      </c>
      <c r="Q114" s="41" t="str" cm="1">
        <f t="array" aca="1" ref="Q114" ca="1">IFERROR(INDEX('DBX Sprint'!$A$7:$K$62, SMALL(IF((INDEX('DBX Sprint'!$A$7:$K$62, ,19)&lt;=(TODAY()+1))*(INDEX('DBX Sprint'!$A$7:$K$62, ,19)&gt;=TODAY()),MATCH(ROW('DBX Sprint'!$A$7:$K$62),ROW('DBX Sprint'!$A$7:$K$62)),""),ROWS($Q$34:Q114)),COLUMNS('DBX Sprint'!$A$1:A12)),"")</f>
        <v/>
      </c>
      <c r="R114" s="43" t="str" cm="1">
        <f t="array" aca="1" ref="R114" ca="1">IFERROR(INDEX('DBX Sprint'!$A$7:$K$62, SMALL(IF((INDEX('DBX Sprint'!$A$7:$K$62, ,19)&lt;=(TODAY()+5))*(INDEX('DBX Sprint'!$A$7:$K$62, ,19)&gt;(TODAY()+1)),MATCH(ROW('DBX Sprint'!$A$7:$K$62),ROW('DBX Sprint'!$A$7:$K$62)),""),ROWS($R$34:R114)),COLUMNS('DBX Sprint'!$A$1:A12)),"")</f>
        <v/>
      </c>
      <c r="S114" s="43" t="str" cm="1">
        <f t="array" aca="1" ref="S114" ca="1">IFERROR(INDEX('DBX Sprint'!$A$7:$K$62, SMALL(IF((INDEX('DBX Sprint'!$A$7:$K$62, ,19)&lt;=(TODAY()+10))*(INDEX('DBX Sprint'!$A$7:$K$62, ,19)&gt;(TODAY()+5)),MATCH(ROW('DBX Sprint'!$A$7:$K$62),ROW('DBX Sprint'!$A$7:$K$62)),""),ROWS($S$34:S114)),COLUMNS('DBX Sprint'!$A$1:A12)),"")</f>
        <v/>
      </c>
      <c r="U114" s="41" t="str" cm="1">
        <f t="array" ref="U114">IFERROR(INDEX('DBX Sprint'!$A$7:$K$62, SMALL(IF((INDEX('DBX Sprint'!$A$7:$K$62, ,22)=("Complete"))*(INDEX('DBX Sprint'!$A$7:$K$62, ,22)="Complete"),MATCH(ROW('DBX Sprint'!$A$7:$K$62),ROW('DBX Sprint'!$A$7:$K$62)),""),ROWS($U$34:U114)),COLUMNS('DBX Sprint'!$A$1:A12)),"")</f>
        <v/>
      </c>
      <c r="V114" s="41" t="str" cm="1">
        <f t="array" aca="1" ref="V114" ca="1">IFERROR(INDEX('DBX Sprint'!$A$7:$K$62, SMALL(IF((INDEX('DBX Sprint'!$A$7:$K$62, ,22)&lt;(TODAY()))*(INDEX('DBX Sprint'!$A$7:$K$62, ,22)&lt;&gt;"Complete"),MATCH(ROW('DBX Sprint'!$A$7:$K$62),ROW('DBX Sprint'!$A$7:$K$62)),""),ROWS($V$34:V114)),COLUMNS('DBX Sprint'!$A$1:A12)),"")</f>
        <v/>
      </c>
      <c r="W114" s="41" t="str" cm="1">
        <f t="array" aca="1" ref="W114" ca="1">IFERROR(INDEX('DBX Sprint'!$A$7:$K$62, SMALL(IF((INDEX('DBX Sprint'!$A$7:$K$62, ,22)&lt;=(TODAY()+1))*(INDEX('DBX Sprint'!$A$7:$K$62, ,22)&gt;=TODAY()),MATCH(ROW('DBX Sprint'!$A$7:$K$62),ROW('DBX Sprint'!$A$7:$K$62)),""),ROWS($W$34:W114)),COLUMNS('DBX Sprint'!$A$1:A12)),"")</f>
        <v/>
      </c>
      <c r="X114" s="43" t="str" cm="1">
        <f t="array" aca="1" ref="X114" ca="1">IFERROR(INDEX('DBX Sprint'!$A$7:$K$62, SMALL(IF((INDEX('DBX Sprint'!$A$7:$K$62, ,22)&lt;=(TODAY()+5))*(INDEX('DBX Sprint'!$A$7:$K$62, ,22)&gt;(TODAY()+1)),MATCH(ROW('DBX Sprint'!$A$7:$K$62),ROW('DBX Sprint'!$A$7:$K$62)),""),ROWS($X$34:X114)),COLUMNS('DBX Sprint'!$A$1:A12)),"")</f>
        <v/>
      </c>
      <c r="Y114" s="43" t="str" cm="1">
        <f t="array" aca="1" ref="Y114" ca="1">IFERROR(INDEX('DBX Sprint'!$A$7:$K$62, SMALL(IF((INDEX('DBX Sprint'!$A$7:$K$62, ,22)&lt;=(TODAY()+10))*(INDEX('DBX Sprint'!$A$7:$K$62, ,22)&gt;(TODAY()+5)),MATCH(ROW('DBX Sprint'!$A$7:$K$62),ROW('DBX Sprint'!$A$7:$K$62)),""),ROWS($Y$34:Y114)),COLUMNS('DBX Sprint'!$A$1:A12)),"")</f>
        <v/>
      </c>
      <c r="AA114" s="41" t="str" cm="1">
        <f t="array" ref="AA114">IFERROR(INDEX('DBX Sprint'!$A$7:$K$62, SMALL(IF((INDEX('DBX Sprint'!$A$7:$K$62, ,25)=("Complete"))*(INDEX('DBX Sprint'!$A$7:$K$62, ,25)="Complete"),MATCH(ROW('DBX Sprint'!$A$7:$K$62),ROW('DBX Sprint'!$A$7:$K$62)),""),ROWS($AA$34:AA114)),COLUMNS('DBX Sprint'!$A$1:A12)),"")</f>
        <v/>
      </c>
      <c r="AB114" s="41" t="str" cm="1">
        <f t="array" aca="1" ref="AB114" ca="1">IFERROR(INDEX('DBX Sprint'!$A$7:$K$62, SMALL(IF((INDEX('DBX Sprint'!$A$7:$K$62, ,25)&lt;(TODAY()))*(INDEX('DBX Sprint'!$A$7:$K$62, ,25)&lt;&gt;"Complete"),MATCH(ROW('DBX Sprint'!$A$7:$K$62),ROW('DBX Sprint'!$A$7:$K$62)),""),ROWS($AB$34:AB114)),COLUMNS('DBX Sprint'!$A$1:A12)),"")</f>
        <v/>
      </c>
      <c r="AC114" s="41" t="str" cm="1">
        <f t="array" aca="1" ref="AC114" ca="1">IFERROR(INDEX('DBX Sprint'!$A$7:$K$62, SMALL(IF((INDEX('DBX Sprint'!$A$7:$K$62, ,25)&lt;=(TODAY()+1))*(INDEX('DBX Sprint'!$A$7:$K$62, ,25)&gt;=TODAY()),MATCH(ROW('DBX Sprint'!$A$7:$K$62),ROW('DBX Sprint'!$A$7:$K$62)),""),ROWS($AC$34:AC114)),COLUMNS('DBX Sprint'!$A$1:A12)),"")</f>
        <v/>
      </c>
      <c r="AD114" s="43" t="str" cm="1">
        <f t="array" aca="1" ref="AD114" ca="1">IFERROR(INDEX('DBX Sprint'!$A$7:$K$62, SMALL(IF((INDEX('DBX Sprint'!$A$7:$K$62, ,25)&lt;=(TODAY()+5))*(INDEX('DBX Sprint'!$A$7:$K$62, ,25)&gt;(TODAY()+1)),MATCH(ROW('DBX Sprint'!$A$7:$K$62),ROW('DBX Sprint'!$A$7:$K$62)),""),ROWS($AD$34:AD114)),COLUMNS('DBX Sprint'!$A$1:A12)),"")</f>
        <v/>
      </c>
      <c r="AE114" s="43" t="str" cm="1">
        <f t="array" aca="1" ref="AE114" ca="1">IFERROR(INDEX('DBX Sprint'!$A$7:$K$62, SMALL(IF((INDEX('DBX Sprint'!$A$7:$K$62, ,25)&lt;=(TODAY()+10))*(INDEX('DBX Sprint'!$A$7:$K$62, ,25)&gt;(TODAY()+5)),MATCH(ROW('DBX Sprint'!$A$7:$K$62),ROW('DBX Sprint'!$A$7:$K$62)),""),ROWS($AE$34:AE114)),COLUMNS('DBX Sprint'!$A$1:A12)),"")</f>
        <v/>
      </c>
      <c r="AG114" s="41" t="str" cm="1">
        <f t="array" ref="AG114">IFERROR(INDEX('DBX Sprint'!$A$7:$K$62, SMALL(IF((INDEX('DBX Sprint'!$A$7:$K$62, ,29)=("Complete"))*(INDEX('DBX Sprint'!$A$7:$K$62, ,29)="Complete"),MATCH(ROW('DBX Sprint'!$A$7:$K$62),ROW('DBX Sprint'!$A$7:$K$62)),""),ROWS($AG$34:AG114)),COLUMNS('DBX Sprint'!$A$1:A12)),"")</f>
        <v/>
      </c>
      <c r="AH114" s="41" t="str" cm="1">
        <f t="array" aca="1" ref="AH114" ca="1">IFERROR(INDEX('DBX Sprint'!$A$7:$K$62, SMALL(IF((INDEX('DBX Sprint'!$A$7:$K$62, ,29)&lt;(TODAY()))*(INDEX('DBX Sprint'!$A$7:$K$62, ,29)&lt;&gt;"Complete"),MATCH(ROW('DBX Sprint'!$A$7:$K$62),ROW('DBX Sprint'!$A$7:$K$62)),""),ROWS($AH$34:AH114)),COLUMNS('DBX Sprint'!$A$1:A12)),"")</f>
        <v/>
      </c>
      <c r="AI114" s="41" t="str" cm="1">
        <f t="array" aca="1" ref="AI114" ca="1">IFERROR(INDEX('DBX Sprint'!$A$7:$K$62, SMALL(IF((INDEX('DBX Sprint'!$A$7:$K$62, ,29)&lt;=(TODAY()+1))*(INDEX('DBX Sprint'!$A$7:$K$62, ,29)&gt;=TODAY()),MATCH(ROW('DBX Sprint'!$A$7:$K$62),ROW('DBX Sprint'!$A$7:$K$62)),""),ROWS($AI$34:AI114)),COLUMNS('DBX Sprint'!$A$1:A12)),"")</f>
        <v/>
      </c>
      <c r="AJ114" s="43" t="str" cm="1">
        <f t="array" aca="1" ref="AJ114" ca="1">IFERROR(INDEX('DBX Sprint'!$A$7:$K$62, SMALL(IF((INDEX('DBX Sprint'!$A$7:$K$62, ,29)&lt;=(TODAY()+5))*(INDEX('DBX Sprint'!$A$7:$K$62, ,29)&gt;(TODAY()+1)),MATCH(ROW('DBX Sprint'!$A$7:$K$62),ROW('DBX Sprint'!$A$7:$K$62)),""),ROWS($AJ$34:AJ114)),COLUMNS('DBX Sprint'!$A$1:A12)),"")</f>
        <v/>
      </c>
      <c r="AK114" s="43" t="str" cm="1">
        <f t="array" aca="1" ref="AK114" ca="1">IFERROR(INDEX('DBX Sprint'!$A$7:$K$62, SMALL(IF((INDEX('DBX Sprint'!$A$7:$K$62, ,29)&lt;=(TODAY()+10))*(INDEX('DBX Sprint'!$A$7:$K$62, ,29)&gt;(TODAY()+5)),MATCH(ROW('DBX Sprint'!$A$7:$K$62),ROW('DBX Sprint'!$A$7:$K$62)),""),ROWS($AK$34:AK114)),COLUMNS('DBX Sprint'!$A$1:A12)),"")</f>
        <v/>
      </c>
      <c r="AM114" s="41" t="str" cm="1">
        <f t="array" ref="AM114">IFERROR(INDEX('DBX Sprint'!$A$7:$K$62, SMALL(IF((INDEX('DBX Sprint'!$A$7:$K$62, ,32)=("Complete"))*(INDEX('DBX Sprint'!$A$7:$K$62, ,32)="Complete"),MATCH(ROW('DBX Sprint'!$A$7:$K$62),ROW('DBX Sprint'!$A$7:$K$62)),""),ROWS($AM$34:AM114)),COLUMNS('DBX Sprint'!$A$1:A12)),"")</f>
        <v/>
      </c>
      <c r="AN114" s="41" t="str" cm="1">
        <f t="array" aca="1" ref="AN114" ca="1">IFERROR(INDEX('DBX Sprint'!$A$7:$K$62, SMALL(IF((INDEX('DBX Sprint'!$A$7:$K$62, ,32)&lt;(TODAY()))*(INDEX('DBX Sprint'!$A$7:$K$62, ,32)&lt;&gt;"Complete"),MATCH(ROW('DBX Sprint'!$A$7:$K$62),ROW('DBX Sprint'!$A$7:$K$62)),""),ROWS($AN$34:AN114)),COLUMNS('DBX Sprint'!$A$1:A12)),"")</f>
        <v/>
      </c>
      <c r="AO114" s="41" t="str" cm="1">
        <f t="array" aca="1" ref="AO114" ca="1">IFERROR(INDEX('DBX Sprint'!$A$7:$K$62, SMALL(IF((INDEX('DBX Sprint'!$A$7:$K$62, ,32)&lt;=(TODAY()+1))*(INDEX('DBX Sprint'!$A$7:$K$62, ,32)&gt;=TODAY()),MATCH(ROW('DBX Sprint'!$A$7:$K$62),ROW('DBX Sprint'!$A$7:$K$62)),""),ROWS($AO$34:AO114)),COLUMNS('DBX Sprint'!$A$1:A12)),"")</f>
        <v/>
      </c>
      <c r="AP114" s="43" t="str" cm="1">
        <f t="array" aca="1" ref="AP114" ca="1">IFERROR(INDEX('DBX Sprint'!$A$7:$K$62, SMALL(IF((INDEX('DBX Sprint'!$A$7:$K$62, ,32)&lt;=(TODAY()+5))*(INDEX('DBX Sprint'!$A$7:$K$62, ,32)&gt;(TODAY()+1)),MATCH(ROW('DBX Sprint'!$A$7:$K$62),ROW('DBX Sprint'!$A$7:$K$62)),""),ROWS($AP$34:AP114)),COLUMNS('DBX Sprint'!$A$1:A12)),"")</f>
        <v/>
      </c>
      <c r="AQ114" s="43" t="str" cm="1">
        <f t="array" aca="1" ref="AQ114" ca="1">IFERROR(INDEX('DBX Sprint'!$A$7:$K$62, SMALL(IF((INDEX('DBX Sprint'!$A$7:$K$62, ,32)&lt;=(TODAY()+10))*(INDEX('DBX Sprint'!$A$7:$K$62, ,32)&gt;(TODAY()+5)),MATCH(ROW('DBX Sprint'!$A$7:$K$62),ROW('DBX Sprint'!$A$7:$K$62)),""),ROWS($AQ$34:AQ114)),COLUMNS('DBX Sprint'!$A$1:A12)),"")</f>
        <v/>
      </c>
    </row>
    <row r="115" spans="3:43" ht="30" customHeight="1">
      <c r="C115" s="41" t="str" cm="1">
        <f t="array" ref="C115">IFERROR(INDEX('DBX Sprint'!$A$7:$K$62, SMALL(IF((INDEX('DBX Sprint'!$A$7:$K$62, ,13)=("Complete"))*(INDEX('DBX Sprint'!$A$7:$K$62, ,13)="Complete"),MATCH(ROW('DBX Sprint'!$A$7:$K$62),ROW('DBX Sprint'!$A$7:$K$62)),""),ROWS(C$34:$C115)),COLUMNS('DBX Sprint'!$A$1:A12)),"")</f>
        <v/>
      </c>
      <c r="D115" s="41" t="str" cm="1">
        <f t="array" aca="1" ref="D115" ca="1">IFERROR(INDEX('DBX Sprint'!$A$7:$K$62, SMALL(IF((INDEX('DBX Sprint'!$A$7:$K$62, ,13)&lt;(TODAY()))*(INDEX('DBX Sprint'!$A$7:$K$62, ,13)&lt;&gt;"Complete"),MATCH(ROW('DBX Sprint'!$A$7:$K$62),ROW('DBX Sprint'!$A$7:$K$62)),""),ROWS(D$34:$D115)),COLUMNS('DBX Sprint'!$A$1:A12)),"")</f>
        <v/>
      </c>
      <c r="E115" s="41" t="str" cm="1">
        <f t="array" aca="1" ref="E115" ca="1">IFERROR(INDEX('DBX Sprint'!$A$7:$K$62, SMALL(IF((INDEX('DBX Sprint'!$A$7:$K$62, ,13)&lt;=(TODAY()+1))*(INDEX('DBX Sprint'!$A$7:$K$62, ,13)&gt;=TODAY()),MATCH(ROW('DBX Sprint'!$A$7:$K$62),ROW('DBX Sprint'!$A$7:$K$62)),""),ROWS(E$34:$E115)),COLUMNS('DBX Sprint'!$A$1:A12)),"")</f>
        <v/>
      </c>
      <c r="F115" s="43" t="str" cm="1">
        <f t="array" aca="1" ref="F115" ca="1">IFERROR(INDEX('DBX Sprint'!$A$7:$K$62, SMALL(IF((INDEX('DBX Sprint'!$A$7:$K$62, ,13)&lt;=(TODAY()+5))*(INDEX('DBX Sprint'!$A$7:$K$62, ,13)&gt;(TODAY()+1)),MATCH(ROW('DBX Sprint'!$A$7:$K$62),ROW('DBX Sprint'!$A$7:$K$62)),""),ROWS($F$34:F115)),COLUMNS('DBX Sprint'!$A$1:A12)),"")</f>
        <v/>
      </c>
      <c r="G115" s="43" t="str" cm="1">
        <f t="array" aca="1" ref="G115" ca="1">IFERROR(INDEX('DBX Sprint'!$A$7:$K$62, SMALL(IF((INDEX('DBX Sprint'!$A$7:$K$62, ,13)&lt;=(TODAY()+10))*(INDEX('DBX Sprint'!$A$7:$K$62, ,13)&gt;(TODAY()+5)),MATCH(ROW('DBX Sprint'!$A$7:$K$62),ROW('DBX Sprint'!$A$7:$K$62)),""),ROWS($G$34:G115)),COLUMNS('DBX Sprint'!$A$1:A12)),"")</f>
        <v/>
      </c>
      <c r="I115" s="41" t="str" cm="1">
        <f t="array" ref="I115">IFERROR(INDEX('DBX Sprint'!$A$7:$K$62, SMALL(IF((INDEX('DBX Sprint'!$A$7:$K$62, ,16)=("Complete"))*(INDEX('DBX Sprint'!$A$7:$K$62, ,16)="Complete"),MATCH(ROW('DBX Sprint'!$A$7:$K$62),ROW('DBX Sprint'!$A$7:$K$62)),""),ROWS($I$34:I115)),COLUMNS('DBX Sprint'!$A$1:A12)),"")</f>
        <v/>
      </c>
      <c r="J115" s="41" t="str" cm="1">
        <f t="array" aca="1" ref="J115" ca="1">IFERROR(INDEX('DBX Sprint'!$A$7:$K$62, SMALL(IF((INDEX('DBX Sprint'!$A$7:$K$62, ,16)&lt;(TODAY()))*(INDEX('DBX Sprint'!$A$7:$K$62, ,16)&lt;&gt;"Complete"),MATCH(ROW('DBX Sprint'!$A$7:$K$62),ROW('DBX Sprint'!$A$7:$K$62)),""),ROWS($J$34:J115)),COLUMNS('DBX Sprint'!$A$1:A12)),"")</f>
        <v/>
      </c>
      <c r="K115" s="41" t="str" cm="1">
        <f t="array" aca="1" ref="K115" ca="1">IFERROR(INDEX('DBX Sprint'!$A$7:$K$62, SMALL(IF((INDEX('DBX Sprint'!$A$7:$K$62, ,16)&lt;=(TODAY()+1))*(INDEX('DBX Sprint'!$A$7:$K$62, ,16)&gt;=TODAY()),MATCH(ROW('DBX Sprint'!$A$7:$K$62),ROW('DBX Sprint'!$A$7:$K$62)),""),ROWS($K$34:K115)),COLUMNS('DBX Sprint'!$A$1:A12)),"")</f>
        <v/>
      </c>
      <c r="L115" s="43" t="str" cm="1">
        <f t="array" aca="1" ref="L115" ca="1">IFERROR(INDEX('DBX Sprint'!$A$7:$K$62, SMALL(IF((INDEX('DBX Sprint'!$A$7:$K$62, ,16)&lt;=(TODAY()+5))*(INDEX('DBX Sprint'!$A$7:$K$62, ,16)&gt;(TODAY()+1)),MATCH(ROW('DBX Sprint'!$A$7:$K$62),ROW('DBX Sprint'!$A$7:$K$62)),""),ROWS($L$34:L115)),COLUMNS('DBX Sprint'!$A$1:A12)),"")</f>
        <v/>
      </c>
      <c r="M115" s="43" t="str" cm="1">
        <f t="array" aca="1" ref="M115" ca="1">IFERROR(INDEX('DBX Sprint'!$A$7:$K$62, SMALL(IF((INDEX('DBX Sprint'!$A$7:$K$62, ,16)&lt;=(TODAY()+10))*(INDEX('DBX Sprint'!$A$7:$K$62, ,16)&gt;(TODAY()+5)),MATCH(ROW('DBX Sprint'!$A$7:$K$62),ROW('DBX Sprint'!$A$7:$K$62)),""),ROWS($M$34:M115)),COLUMNS('DBX Sprint'!$A$1:A12)),"")</f>
        <v/>
      </c>
      <c r="P115" s="41" t="str" cm="1">
        <f t="array" aca="1" ref="P115" ca="1">IFERROR(INDEX('DBX Sprint'!$A$7:$K$62, SMALL(IF((INDEX('DBX Sprint'!$A$7:$K$62, ,19)&lt;(TODAY()))*(INDEX('DBX Sprint'!$A$7:$K$62, ,19)&lt;&gt;"Complete"),MATCH(ROW('DBX Sprint'!$A$7:$K$62),ROW('DBX Sprint'!$A$7:$K$62)),""),ROWS($P$34:P115)),COLUMNS('DBX Sprint'!$A$1:A12)),"")</f>
        <v/>
      </c>
      <c r="Q115" s="41" t="str" cm="1">
        <f t="array" aca="1" ref="Q115" ca="1">IFERROR(INDEX('DBX Sprint'!$A$7:$K$62, SMALL(IF((INDEX('DBX Sprint'!$A$7:$K$62, ,19)&lt;=(TODAY()+1))*(INDEX('DBX Sprint'!$A$7:$K$62, ,19)&gt;=TODAY()),MATCH(ROW('DBX Sprint'!$A$7:$K$62),ROW('DBX Sprint'!$A$7:$K$62)),""),ROWS($Q$34:Q115)),COLUMNS('DBX Sprint'!$A$1:A12)),"")</f>
        <v/>
      </c>
      <c r="R115" s="43" t="str" cm="1">
        <f t="array" aca="1" ref="R115" ca="1">IFERROR(INDEX('DBX Sprint'!$A$7:$K$62, SMALL(IF((INDEX('DBX Sprint'!$A$7:$K$62, ,19)&lt;=(TODAY()+5))*(INDEX('DBX Sprint'!$A$7:$K$62, ,19)&gt;(TODAY()+1)),MATCH(ROW('DBX Sprint'!$A$7:$K$62),ROW('DBX Sprint'!$A$7:$K$62)),""),ROWS($R$34:R115)),COLUMNS('DBX Sprint'!$A$1:A12)),"")</f>
        <v/>
      </c>
      <c r="S115" s="43" t="str" cm="1">
        <f t="array" aca="1" ref="S115" ca="1">IFERROR(INDEX('DBX Sprint'!$A$7:$K$62, SMALL(IF((INDEX('DBX Sprint'!$A$7:$K$62, ,19)&lt;=(TODAY()+10))*(INDEX('DBX Sprint'!$A$7:$K$62, ,19)&gt;(TODAY()+5)),MATCH(ROW('DBX Sprint'!$A$7:$K$62),ROW('DBX Sprint'!$A$7:$K$62)),""),ROWS($S$34:S115)),COLUMNS('DBX Sprint'!$A$1:A12)),"")</f>
        <v/>
      </c>
      <c r="U115" s="41" t="str" cm="1">
        <f t="array" ref="U115">IFERROR(INDEX('DBX Sprint'!$A$7:$K$62, SMALL(IF((INDEX('DBX Sprint'!$A$7:$K$62, ,22)=("Complete"))*(INDEX('DBX Sprint'!$A$7:$K$62, ,22)="Complete"),MATCH(ROW('DBX Sprint'!$A$7:$K$62),ROW('DBX Sprint'!$A$7:$K$62)),""),ROWS($U$34:U115)),COLUMNS('DBX Sprint'!$A$1:A12)),"")</f>
        <v/>
      </c>
      <c r="V115" s="41" t="str" cm="1">
        <f t="array" aca="1" ref="V115" ca="1">IFERROR(INDEX('DBX Sprint'!$A$7:$K$62, SMALL(IF((INDEX('DBX Sprint'!$A$7:$K$62, ,22)&lt;(TODAY()))*(INDEX('DBX Sprint'!$A$7:$K$62, ,22)&lt;&gt;"Complete"),MATCH(ROW('DBX Sprint'!$A$7:$K$62),ROW('DBX Sprint'!$A$7:$K$62)),""),ROWS($V$34:V115)),COLUMNS('DBX Sprint'!$A$1:A12)),"")</f>
        <v/>
      </c>
      <c r="W115" s="41" t="str" cm="1">
        <f t="array" aca="1" ref="W115" ca="1">IFERROR(INDEX('DBX Sprint'!$A$7:$K$62, SMALL(IF((INDEX('DBX Sprint'!$A$7:$K$62, ,22)&lt;=(TODAY()+1))*(INDEX('DBX Sprint'!$A$7:$K$62, ,22)&gt;=TODAY()),MATCH(ROW('DBX Sprint'!$A$7:$K$62),ROW('DBX Sprint'!$A$7:$K$62)),""),ROWS($W$34:W115)),COLUMNS('DBX Sprint'!$A$1:A12)),"")</f>
        <v/>
      </c>
      <c r="X115" s="43" t="str" cm="1">
        <f t="array" aca="1" ref="X115" ca="1">IFERROR(INDEX('DBX Sprint'!$A$7:$K$62, SMALL(IF((INDEX('DBX Sprint'!$A$7:$K$62, ,22)&lt;=(TODAY()+5))*(INDEX('DBX Sprint'!$A$7:$K$62, ,22)&gt;(TODAY()+1)),MATCH(ROW('DBX Sprint'!$A$7:$K$62),ROW('DBX Sprint'!$A$7:$K$62)),""),ROWS($X$34:X115)),COLUMNS('DBX Sprint'!$A$1:A12)),"")</f>
        <v/>
      </c>
      <c r="Y115" s="43" t="str" cm="1">
        <f t="array" aca="1" ref="Y115" ca="1">IFERROR(INDEX('DBX Sprint'!$A$7:$K$62, SMALL(IF((INDEX('DBX Sprint'!$A$7:$K$62, ,22)&lt;=(TODAY()+10))*(INDEX('DBX Sprint'!$A$7:$K$62, ,22)&gt;(TODAY()+5)),MATCH(ROW('DBX Sprint'!$A$7:$K$62),ROW('DBX Sprint'!$A$7:$K$62)),""),ROWS($Y$34:Y115)),COLUMNS('DBX Sprint'!$A$1:A12)),"")</f>
        <v/>
      </c>
      <c r="AA115" s="41" t="str" cm="1">
        <f t="array" ref="AA115">IFERROR(INDEX('DBX Sprint'!$A$7:$K$62, SMALL(IF((INDEX('DBX Sprint'!$A$7:$K$62, ,25)=("Complete"))*(INDEX('DBX Sprint'!$A$7:$K$62, ,25)="Complete"),MATCH(ROW('DBX Sprint'!$A$7:$K$62),ROW('DBX Sprint'!$A$7:$K$62)),""),ROWS($AA$34:AA115)),COLUMNS('DBX Sprint'!$A$1:A12)),"")</f>
        <v/>
      </c>
      <c r="AB115" s="41" t="str" cm="1">
        <f t="array" aca="1" ref="AB115" ca="1">IFERROR(INDEX('DBX Sprint'!$A$7:$K$62, SMALL(IF((INDEX('DBX Sprint'!$A$7:$K$62, ,25)&lt;(TODAY()))*(INDEX('DBX Sprint'!$A$7:$K$62, ,25)&lt;&gt;"Complete"),MATCH(ROW('DBX Sprint'!$A$7:$K$62),ROW('DBX Sprint'!$A$7:$K$62)),""),ROWS($AB$34:AB115)),COLUMNS('DBX Sprint'!$A$1:A12)),"")</f>
        <v/>
      </c>
      <c r="AC115" s="41" t="str" cm="1">
        <f t="array" aca="1" ref="AC115" ca="1">IFERROR(INDEX('DBX Sprint'!$A$7:$K$62, SMALL(IF((INDEX('DBX Sprint'!$A$7:$K$62, ,25)&lt;=(TODAY()+1))*(INDEX('DBX Sprint'!$A$7:$K$62, ,25)&gt;=TODAY()),MATCH(ROW('DBX Sprint'!$A$7:$K$62),ROW('DBX Sprint'!$A$7:$K$62)),""),ROWS($AC$34:AC115)),COLUMNS('DBX Sprint'!$A$1:A12)),"")</f>
        <v/>
      </c>
      <c r="AD115" s="43" t="str" cm="1">
        <f t="array" aca="1" ref="AD115" ca="1">IFERROR(INDEX('DBX Sprint'!$A$7:$K$62, SMALL(IF((INDEX('DBX Sprint'!$A$7:$K$62, ,25)&lt;=(TODAY()+5))*(INDEX('DBX Sprint'!$A$7:$K$62, ,25)&gt;(TODAY()+1)),MATCH(ROW('DBX Sprint'!$A$7:$K$62),ROW('DBX Sprint'!$A$7:$K$62)),""),ROWS($AD$34:AD115)),COLUMNS('DBX Sprint'!$A$1:A12)),"")</f>
        <v/>
      </c>
      <c r="AE115" s="43" t="str" cm="1">
        <f t="array" aca="1" ref="AE115" ca="1">IFERROR(INDEX('DBX Sprint'!$A$7:$K$62, SMALL(IF((INDEX('DBX Sprint'!$A$7:$K$62, ,25)&lt;=(TODAY()+10))*(INDEX('DBX Sprint'!$A$7:$K$62, ,25)&gt;(TODAY()+5)),MATCH(ROW('DBX Sprint'!$A$7:$K$62),ROW('DBX Sprint'!$A$7:$K$62)),""),ROWS($AE$34:AE115)),COLUMNS('DBX Sprint'!$A$1:A12)),"")</f>
        <v/>
      </c>
      <c r="AG115" s="41" t="str" cm="1">
        <f t="array" ref="AG115">IFERROR(INDEX('DBX Sprint'!$A$7:$K$62, SMALL(IF((INDEX('DBX Sprint'!$A$7:$K$62, ,29)=("Complete"))*(INDEX('DBX Sprint'!$A$7:$K$62, ,29)="Complete"),MATCH(ROW('DBX Sprint'!$A$7:$K$62),ROW('DBX Sprint'!$A$7:$K$62)),""),ROWS($AG$34:AG115)),COLUMNS('DBX Sprint'!$A$1:A12)),"")</f>
        <v/>
      </c>
      <c r="AH115" s="41" t="str" cm="1">
        <f t="array" aca="1" ref="AH115" ca="1">IFERROR(INDEX('DBX Sprint'!$A$7:$K$62, SMALL(IF((INDEX('DBX Sprint'!$A$7:$K$62, ,29)&lt;(TODAY()))*(INDEX('DBX Sprint'!$A$7:$K$62, ,29)&lt;&gt;"Complete"),MATCH(ROW('DBX Sprint'!$A$7:$K$62),ROW('DBX Sprint'!$A$7:$K$62)),""),ROWS($AH$34:AH115)),COLUMNS('DBX Sprint'!$A$1:A12)),"")</f>
        <v/>
      </c>
      <c r="AI115" s="41" t="str" cm="1">
        <f t="array" aca="1" ref="AI115" ca="1">IFERROR(INDEX('DBX Sprint'!$A$7:$K$62, SMALL(IF((INDEX('DBX Sprint'!$A$7:$K$62, ,29)&lt;=(TODAY()+1))*(INDEX('DBX Sprint'!$A$7:$K$62, ,29)&gt;=TODAY()),MATCH(ROW('DBX Sprint'!$A$7:$K$62),ROW('DBX Sprint'!$A$7:$K$62)),""),ROWS($AI$34:AI115)),COLUMNS('DBX Sprint'!$A$1:A12)),"")</f>
        <v/>
      </c>
      <c r="AJ115" s="43" t="str" cm="1">
        <f t="array" aca="1" ref="AJ115" ca="1">IFERROR(INDEX('DBX Sprint'!$A$7:$K$62, SMALL(IF((INDEX('DBX Sprint'!$A$7:$K$62, ,29)&lt;=(TODAY()+5))*(INDEX('DBX Sprint'!$A$7:$K$62, ,29)&gt;(TODAY()+1)),MATCH(ROW('DBX Sprint'!$A$7:$K$62),ROW('DBX Sprint'!$A$7:$K$62)),""),ROWS($AJ$34:AJ115)),COLUMNS('DBX Sprint'!$A$1:A12)),"")</f>
        <v/>
      </c>
      <c r="AK115" s="43" t="str" cm="1">
        <f t="array" aca="1" ref="AK115" ca="1">IFERROR(INDEX('DBX Sprint'!$A$7:$K$62, SMALL(IF((INDEX('DBX Sprint'!$A$7:$K$62, ,29)&lt;=(TODAY()+10))*(INDEX('DBX Sprint'!$A$7:$K$62, ,29)&gt;(TODAY()+5)),MATCH(ROW('DBX Sprint'!$A$7:$K$62),ROW('DBX Sprint'!$A$7:$K$62)),""),ROWS($AK$34:AK115)),COLUMNS('DBX Sprint'!$A$1:A12)),"")</f>
        <v/>
      </c>
      <c r="AM115" s="41" t="str" cm="1">
        <f t="array" ref="AM115">IFERROR(INDEX('DBX Sprint'!$A$7:$K$62, SMALL(IF((INDEX('DBX Sprint'!$A$7:$K$62, ,32)=("Complete"))*(INDEX('DBX Sprint'!$A$7:$K$62, ,32)="Complete"),MATCH(ROW('DBX Sprint'!$A$7:$K$62),ROW('DBX Sprint'!$A$7:$K$62)),""),ROWS($AM$34:AM115)),COLUMNS('DBX Sprint'!$A$1:A12)),"")</f>
        <v/>
      </c>
      <c r="AN115" s="41" t="str" cm="1">
        <f t="array" aca="1" ref="AN115" ca="1">IFERROR(INDEX('DBX Sprint'!$A$7:$K$62, SMALL(IF((INDEX('DBX Sprint'!$A$7:$K$62, ,32)&lt;(TODAY()))*(INDEX('DBX Sprint'!$A$7:$K$62, ,32)&lt;&gt;"Complete"),MATCH(ROW('DBX Sprint'!$A$7:$K$62),ROW('DBX Sprint'!$A$7:$K$62)),""),ROWS($AN$34:AN115)),COLUMNS('DBX Sprint'!$A$1:A12)),"")</f>
        <v/>
      </c>
      <c r="AO115" s="41" t="str" cm="1">
        <f t="array" aca="1" ref="AO115" ca="1">IFERROR(INDEX('DBX Sprint'!$A$7:$K$62, SMALL(IF((INDEX('DBX Sprint'!$A$7:$K$62, ,32)&lt;=(TODAY()+1))*(INDEX('DBX Sprint'!$A$7:$K$62, ,32)&gt;=TODAY()),MATCH(ROW('DBX Sprint'!$A$7:$K$62),ROW('DBX Sprint'!$A$7:$K$62)),""),ROWS($AO$34:AO115)),COLUMNS('DBX Sprint'!$A$1:A12)),"")</f>
        <v/>
      </c>
      <c r="AP115" s="43" t="str" cm="1">
        <f t="array" aca="1" ref="AP115" ca="1">IFERROR(INDEX('DBX Sprint'!$A$7:$K$62, SMALL(IF((INDEX('DBX Sprint'!$A$7:$K$62, ,32)&lt;=(TODAY()+5))*(INDEX('DBX Sprint'!$A$7:$K$62, ,32)&gt;(TODAY()+1)),MATCH(ROW('DBX Sprint'!$A$7:$K$62),ROW('DBX Sprint'!$A$7:$K$62)),""),ROWS($AP$34:AP115)),COLUMNS('DBX Sprint'!$A$1:A12)),"")</f>
        <v/>
      </c>
      <c r="AQ115" s="43" t="str" cm="1">
        <f t="array" aca="1" ref="AQ115" ca="1">IFERROR(INDEX('DBX Sprint'!$A$7:$K$62, SMALL(IF((INDEX('DBX Sprint'!$A$7:$K$62, ,32)&lt;=(TODAY()+10))*(INDEX('DBX Sprint'!$A$7:$K$62, ,32)&gt;(TODAY()+5)),MATCH(ROW('DBX Sprint'!$A$7:$K$62),ROW('DBX Sprint'!$A$7:$K$62)),""),ROWS($AQ$34:AQ115)),COLUMNS('DBX Sprint'!$A$1:A12)),"")</f>
        <v/>
      </c>
    </row>
    <row r="116" spans="3:43" ht="30" customHeight="1">
      <c r="C116" s="41" t="str" cm="1">
        <f t="array" ref="C116">IFERROR(INDEX('DBX Sprint'!$A$7:$K$62, SMALL(IF((INDEX('DBX Sprint'!$A$7:$K$62, ,13)=("Complete"))*(INDEX('DBX Sprint'!$A$7:$K$62, ,13)="Complete"),MATCH(ROW('DBX Sprint'!$A$7:$K$62),ROW('DBX Sprint'!$A$7:$K$62)),""),ROWS(C$34:$C116)),COLUMNS('DBX Sprint'!$A$1:A12)),"")</f>
        <v/>
      </c>
      <c r="D116" s="41" t="str" cm="1">
        <f t="array" aca="1" ref="D116" ca="1">IFERROR(INDEX('DBX Sprint'!$A$7:$K$62, SMALL(IF((INDEX('DBX Sprint'!$A$7:$K$62, ,13)&lt;(TODAY()))*(INDEX('DBX Sprint'!$A$7:$K$62, ,13)&lt;&gt;"Complete"),MATCH(ROW('DBX Sprint'!$A$7:$K$62),ROW('DBX Sprint'!$A$7:$K$62)),""),ROWS(D$34:$D116)),COLUMNS('DBX Sprint'!$A$1:A12)),"")</f>
        <v/>
      </c>
      <c r="E116" s="41" t="str" cm="1">
        <f t="array" aca="1" ref="E116" ca="1">IFERROR(INDEX('DBX Sprint'!$A$7:$K$62, SMALL(IF((INDEX('DBX Sprint'!$A$7:$K$62, ,13)&lt;=(TODAY()+1))*(INDEX('DBX Sprint'!$A$7:$K$62, ,13)&gt;=TODAY()),MATCH(ROW('DBX Sprint'!$A$7:$K$62),ROW('DBX Sprint'!$A$7:$K$62)),""),ROWS(E$34:$E116)),COLUMNS('DBX Sprint'!$A$1:A12)),"")</f>
        <v/>
      </c>
      <c r="F116" s="43" t="str" cm="1">
        <f t="array" aca="1" ref="F116" ca="1">IFERROR(INDEX('DBX Sprint'!$A$7:$K$62, SMALL(IF((INDEX('DBX Sprint'!$A$7:$K$62, ,13)&lt;=(TODAY()+5))*(INDEX('DBX Sprint'!$A$7:$K$62, ,13)&gt;(TODAY()+1)),MATCH(ROW('DBX Sprint'!$A$7:$K$62),ROW('DBX Sprint'!$A$7:$K$62)),""),ROWS($F$34:F116)),COLUMNS('DBX Sprint'!$A$1:A12)),"")</f>
        <v/>
      </c>
      <c r="G116" s="43" t="str" cm="1">
        <f t="array" aca="1" ref="G116" ca="1">IFERROR(INDEX('DBX Sprint'!$A$7:$K$62, SMALL(IF((INDEX('DBX Sprint'!$A$7:$K$62, ,13)&lt;=(TODAY()+10))*(INDEX('DBX Sprint'!$A$7:$K$62, ,13)&gt;(TODAY()+5)),MATCH(ROW('DBX Sprint'!$A$7:$K$62),ROW('DBX Sprint'!$A$7:$K$62)),""),ROWS($G$34:G116)),COLUMNS('DBX Sprint'!$A$1:A12)),"")</f>
        <v/>
      </c>
      <c r="I116" s="41" t="str" cm="1">
        <f t="array" ref="I116">IFERROR(INDEX('DBX Sprint'!$A$7:$K$62, SMALL(IF((INDEX('DBX Sprint'!$A$7:$K$62, ,16)=("Complete"))*(INDEX('DBX Sprint'!$A$7:$K$62, ,16)="Complete"),MATCH(ROW('DBX Sprint'!$A$7:$K$62),ROW('DBX Sprint'!$A$7:$K$62)),""),ROWS($I$34:I116)),COLUMNS('DBX Sprint'!$A$1:A12)),"")</f>
        <v/>
      </c>
      <c r="J116" s="41" t="str" cm="1">
        <f t="array" aca="1" ref="J116" ca="1">IFERROR(INDEX('DBX Sprint'!$A$7:$K$62, SMALL(IF((INDEX('DBX Sprint'!$A$7:$K$62, ,16)&lt;(TODAY()))*(INDEX('DBX Sprint'!$A$7:$K$62, ,16)&lt;&gt;"Complete"),MATCH(ROW('DBX Sprint'!$A$7:$K$62),ROW('DBX Sprint'!$A$7:$K$62)),""),ROWS($J$34:J116)),COLUMNS('DBX Sprint'!$A$1:A12)),"")</f>
        <v/>
      </c>
      <c r="K116" s="41" t="str" cm="1">
        <f t="array" aca="1" ref="K116" ca="1">IFERROR(INDEX('DBX Sprint'!$A$7:$K$62, SMALL(IF((INDEX('DBX Sprint'!$A$7:$K$62, ,16)&lt;=(TODAY()+1))*(INDEX('DBX Sprint'!$A$7:$K$62, ,16)&gt;=TODAY()),MATCH(ROW('DBX Sprint'!$A$7:$K$62),ROW('DBX Sprint'!$A$7:$K$62)),""),ROWS($K$34:K116)),COLUMNS('DBX Sprint'!$A$1:A12)),"")</f>
        <v/>
      </c>
      <c r="L116" s="43" t="str" cm="1">
        <f t="array" aca="1" ref="L116" ca="1">IFERROR(INDEX('DBX Sprint'!$A$7:$K$62, SMALL(IF((INDEX('DBX Sprint'!$A$7:$K$62, ,16)&lt;=(TODAY()+5))*(INDEX('DBX Sprint'!$A$7:$K$62, ,16)&gt;(TODAY()+1)),MATCH(ROW('DBX Sprint'!$A$7:$K$62),ROW('DBX Sprint'!$A$7:$K$62)),""),ROWS($L$34:L116)),COLUMNS('DBX Sprint'!$A$1:A12)),"")</f>
        <v/>
      </c>
      <c r="M116" s="43" t="str" cm="1">
        <f t="array" aca="1" ref="M116" ca="1">IFERROR(INDEX('DBX Sprint'!$A$7:$K$62, SMALL(IF((INDEX('DBX Sprint'!$A$7:$K$62, ,16)&lt;=(TODAY()+10))*(INDEX('DBX Sprint'!$A$7:$K$62, ,16)&gt;(TODAY()+5)),MATCH(ROW('DBX Sprint'!$A$7:$K$62),ROW('DBX Sprint'!$A$7:$K$62)),""),ROWS($M$34:M116)),COLUMNS('DBX Sprint'!$A$1:A12)),"")</f>
        <v/>
      </c>
      <c r="P116" s="41" t="str" cm="1">
        <f t="array" aca="1" ref="P116" ca="1">IFERROR(INDEX('DBX Sprint'!$A$7:$K$62, SMALL(IF((INDEX('DBX Sprint'!$A$7:$K$62, ,19)&lt;(TODAY()))*(INDEX('DBX Sprint'!$A$7:$K$62, ,19)&lt;&gt;"Complete"),MATCH(ROW('DBX Sprint'!$A$7:$K$62),ROW('DBX Sprint'!$A$7:$K$62)),""),ROWS($P$34:P116)),COLUMNS('DBX Sprint'!$A$1:A12)),"")</f>
        <v/>
      </c>
      <c r="Q116" s="41" t="str" cm="1">
        <f t="array" aca="1" ref="Q116" ca="1">IFERROR(INDEX('DBX Sprint'!$A$7:$K$62, SMALL(IF((INDEX('DBX Sprint'!$A$7:$K$62, ,19)&lt;=(TODAY()+1))*(INDEX('DBX Sprint'!$A$7:$K$62, ,19)&gt;=TODAY()),MATCH(ROW('DBX Sprint'!$A$7:$K$62),ROW('DBX Sprint'!$A$7:$K$62)),""),ROWS($Q$34:Q116)),COLUMNS('DBX Sprint'!$A$1:A12)),"")</f>
        <v/>
      </c>
      <c r="R116" s="43" t="str" cm="1">
        <f t="array" aca="1" ref="R116" ca="1">IFERROR(INDEX('DBX Sprint'!$A$7:$K$62, SMALL(IF((INDEX('DBX Sprint'!$A$7:$K$62, ,19)&lt;=(TODAY()+5))*(INDEX('DBX Sprint'!$A$7:$K$62, ,19)&gt;(TODAY()+1)),MATCH(ROW('DBX Sprint'!$A$7:$K$62),ROW('DBX Sprint'!$A$7:$K$62)),""),ROWS($R$34:R116)),COLUMNS('DBX Sprint'!$A$1:A12)),"")</f>
        <v/>
      </c>
      <c r="S116" s="43" t="str" cm="1">
        <f t="array" aca="1" ref="S116" ca="1">IFERROR(INDEX('DBX Sprint'!$A$7:$K$62, SMALL(IF((INDEX('DBX Sprint'!$A$7:$K$62, ,19)&lt;=(TODAY()+10))*(INDEX('DBX Sprint'!$A$7:$K$62, ,19)&gt;(TODAY()+5)),MATCH(ROW('DBX Sprint'!$A$7:$K$62),ROW('DBX Sprint'!$A$7:$K$62)),""),ROWS($S$34:S116)),COLUMNS('DBX Sprint'!$A$1:A12)),"")</f>
        <v/>
      </c>
      <c r="U116" s="41" t="str" cm="1">
        <f t="array" ref="U116">IFERROR(INDEX('DBX Sprint'!$A$7:$K$62, SMALL(IF((INDEX('DBX Sprint'!$A$7:$K$62, ,22)=("Complete"))*(INDEX('DBX Sprint'!$A$7:$K$62, ,22)="Complete"),MATCH(ROW('DBX Sprint'!$A$7:$K$62),ROW('DBX Sprint'!$A$7:$K$62)),""),ROWS($U$34:U116)),COLUMNS('DBX Sprint'!$A$1:A12)),"")</f>
        <v/>
      </c>
      <c r="V116" s="41" t="str" cm="1">
        <f t="array" aca="1" ref="V116" ca="1">IFERROR(INDEX('DBX Sprint'!$A$7:$K$62, SMALL(IF((INDEX('DBX Sprint'!$A$7:$K$62, ,22)&lt;(TODAY()))*(INDEX('DBX Sprint'!$A$7:$K$62, ,22)&lt;&gt;"Complete"),MATCH(ROW('DBX Sprint'!$A$7:$K$62),ROW('DBX Sprint'!$A$7:$K$62)),""),ROWS($V$34:V116)),COLUMNS('DBX Sprint'!$A$1:A12)),"")</f>
        <v/>
      </c>
      <c r="W116" s="41" t="str" cm="1">
        <f t="array" aca="1" ref="W116" ca="1">IFERROR(INDEX('DBX Sprint'!$A$7:$K$62, SMALL(IF((INDEX('DBX Sprint'!$A$7:$K$62, ,22)&lt;=(TODAY()+1))*(INDEX('DBX Sprint'!$A$7:$K$62, ,22)&gt;=TODAY()),MATCH(ROW('DBX Sprint'!$A$7:$K$62),ROW('DBX Sprint'!$A$7:$K$62)),""),ROWS($W$34:W116)),COLUMNS('DBX Sprint'!$A$1:A12)),"")</f>
        <v/>
      </c>
      <c r="X116" s="43" t="str" cm="1">
        <f t="array" aca="1" ref="X116" ca="1">IFERROR(INDEX('DBX Sprint'!$A$7:$K$62, SMALL(IF((INDEX('DBX Sprint'!$A$7:$K$62, ,22)&lt;=(TODAY()+5))*(INDEX('DBX Sprint'!$A$7:$K$62, ,22)&gt;(TODAY()+1)),MATCH(ROW('DBX Sprint'!$A$7:$K$62),ROW('DBX Sprint'!$A$7:$K$62)),""),ROWS($X$34:X116)),COLUMNS('DBX Sprint'!$A$1:A12)),"")</f>
        <v/>
      </c>
      <c r="Y116" s="43" t="str" cm="1">
        <f t="array" aca="1" ref="Y116" ca="1">IFERROR(INDEX('DBX Sprint'!$A$7:$K$62, SMALL(IF((INDEX('DBX Sprint'!$A$7:$K$62, ,22)&lt;=(TODAY()+10))*(INDEX('DBX Sprint'!$A$7:$K$62, ,22)&gt;(TODAY()+5)),MATCH(ROW('DBX Sprint'!$A$7:$K$62),ROW('DBX Sprint'!$A$7:$K$62)),""),ROWS($Y$34:Y116)),COLUMNS('DBX Sprint'!$A$1:A12)),"")</f>
        <v/>
      </c>
      <c r="AA116" s="41" t="str" cm="1">
        <f t="array" ref="AA116">IFERROR(INDEX('DBX Sprint'!$A$7:$K$62, SMALL(IF((INDEX('DBX Sprint'!$A$7:$K$62, ,25)=("Complete"))*(INDEX('DBX Sprint'!$A$7:$K$62, ,25)="Complete"),MATCH(ROW('DBX Sprint'!$A$7:$K$62),ROW('DBX Sprint'!$A$7:$K$62)),""),ROWS($AA$34:AA116)),COLUMNS('DBX Sprint'!$A$1:A12)),"")</f>
        <v/>
      </c>
      <c r="AB116" s="41" t="str" cm="1">
        <f t="array" aca="1" ref="AB116" ca="1">IFERROR(INDEX('DBX Sprint'!$A$7:$K$62, SMALL(IF((INDEX('DBX Sprint'!$A$7:$K$62, ,25)&lt;(TODAY()))*(INDEX('DBX Sprint'!$A$7:$K$62, ,25)&lt;&gt;"Complete"),MATCH(ROW('DBX Sprint'!$A$7:$K$62),ROW('DBX Sprint'!$A$7:$K$62)),""),ROWS($AB$34:AB116)),COLUMNS('DBX Sprint'!$A$1:A12)),"")</f>
        <v/>
      </c>
      <c r="AC116" s="41" t="str" cm="1">
        <f t="array" aca="1" ref="AC116" ca="1">IFERROR(INDEX('DBX Sprint'!$A$7:$K$62, SMALL(IF((INDEX('DBX Sprint'!$A$7:$K$62, ,25)&lt;=(TODAY()+1))*(INDEX('DBX Sprint'!$A$7:$K$62, ,25)&gt;=TODAY()),MATCH(ROW('DBX Sprint'!$A$7:$K$62),ROW('DBX Sprint'!$A$7:$K$62)),""),ROWS($AC$34:AC116)),COLUMNS('DBX Sprint'!$A$1:A12)),"")</f>
        <v/>
      </c>
      <c r="AD116" s="43" t="str" cm="1">
        <f t="array" aca="1" ref="AD116" ca="1">IFERROR(INDEX('DBX Sprint'!$A$7:$K$62, SMALL(IF((INDEX('DBX Sprint'!$A$7:$K$62, ,25)&lt;=(TODAY()+5))*(INDEX('DBX Sprint'!$A$7:$K$62, ,25)&gt;(TODAY()+1)),MATCH(ROW('DBX Sprint'!$A$7:$K$62),ROW('DBX Sprint'!$A$7:$K$62)),""),ROWS($AD$34:AD116)),COLUMNS('DBX Sprint'!$A$1:A12)),"")</f>
        <v/>
      </c>
      <c r="AE116" s="43" t="str" cm="1">
        <f t="array" aca="1" ref="AE116" ca="1">IFERROR(INDEX('DBX Sprint'!$A$7:$K$62, SMALL(IF((INDEX('DBX Sprint'!$A$7:$K$62, ,25)&lt;=(TODAY()+10))*(INDEX('DBX Sprint'!$A$7:$K$62, ,25)&gt;(TODAY()+5)),MATCH(ROW('DBX Sprint'!$A$7:$K$62),ROW('DBX Sprint'!$A$7:$K$62)),""),ROWS($AE$34:AE116)),COLUMNS('DBX Sprint'!$A$1:A12)),"")</f>
        <v/>
      </c>
      <c r="AG116" s="41" t="str" cm="1">
        <f t="array" ref="AG116">IFERROR(INDEX('DBX Sprint'!$A$7:$K$62, SMALL(IF((INDEX('DBX Sprint'!$A$7:$K$62, ,29)=("Complete"))*(INDEX('DBX Sprint'!$A$7:$K$62, ,29)="Complete"),MATCH(ROW('DBX Sprint'!$A$7:$K$62),ROW('DBX Sprint'!$A$7:$K$62)),""),ROWS($AG$34:AG116)),COLUMNS('DBX Sprint'!$A$1:A12)),"")</f>
        <v/>
      </c>
      <c r="AH116" s="41" t="str" cm="1">
        <f t="array" aca="1" ref="AH116" ca="1">IFERROR(INDEX('DBX Sprint'!$A$7:$K$62, SMALL(IF((INDEX('DBX Sprint'!$A$7:$K$62, ,29)&lt;(TODAY()))*(INDEX('DBX Sprint'!$A$7:$K$62, ,29)&lt;&gt;"Complete"),MATCH(ROW('DBX Sprint'!$A$7:$K$62),ROW('DBX Sprint'!$A$7:$K$62)),""),ROWS($AH$34:AH116)),COLUMNS('DBX Sprint'!$A$1:A12)),"")</f>
        <v/>
      </c>
      <c r="AI116" s="41" t="str" cm="1">
        <f t="array" aca="1" ref="AI116" ca="1">IFERROR(INDEX('DBX Sprint'!$A$7:$K$62, SMALL(IF((INDEX('DBX Sprint'!$A$7:$K$62, ,29)&lt;=(TODAY()+1))*(INDEX('DBX Sprint'!$A$7:$K$62, ,29)&gt;=TODAY()),MATCH(ROW('DBX Sprint'!$A$7:$K$62),ROW('DBX Sprint'!$A$7:$K$62)),""),ROWS($AI$34:AI116)),COLUMNS('DBX Sprint'!$A$1:A12)),"")</f>
        <v/>
      </c>
      <c r="AJ116" s="43" t="str" cm="1">
        <f t="array" aca="1" ref="AJ116" ca="1">IFERROR(INDEX('DBX Sprint'!$A$7:$K$62, SMALL(IF((INDEX('DBX Sprint'!$A$7:$K$62, ,29)&lt;=(TODAY()+5))*(INDEX('DBX Sprint'!$A$7:$K$62, ,29)&gt;(TODAY()+1)),MATCH(ROW('DBX Sprint'!$A$7:$K$62),ROW('DBX Sprint'!$A$7:$K$62)),""),ROWS($AJ$34:AJ116)),COLUMNS('DBX Sprint'!$A$1:A12)),"")</f>
        <v/>
      </c>
      <c r="AK116" s="43" t="str" cm="1">
        <f t="array" aca="1" ref="AK116" ca="1">IFERROR(INDEX('DBX Sprint'!$A$7:$K$62, SMALL(IF((INDEX('DBX Sprint'!$A$7:$K$62, ,29)&lt;=(TODAY()+10))*(INDEX('DBX Sprint'!$A$7:$K$62, ,29)&gt;(TODAY()+5)),MATCH(ROW('DBX Sprint'!$A$7:$K$62),ROW('DBX Sprint'!$A$7:$K$62)),""),ROWS($AK$34:AK116)),COLUMNS('DBX Sprint'!$A$1:A12)),"")</f>
        <v/>
      </c>
      <c r="AM116" s="41" t="str" cm="1">
        <f t="array" ref="AM116">IFERROR(INDEX('DBX Sprint'!$A$7:$K$62, SMALL(IF((INDEX('DBX Sprint'!$A$7:$K$62, ,32)=("Complete"))*(INDEX('DBX Sprint'!$A$7:$K$62, ,32)="Complete"),MATCH(ROW('DBX Sprint'!$A$7:$K$62),ROW('DBX Sprint'!$A$7:$K$62)),""),ROWS($AM$34:AM116)),COLUMNS('DBX Sprint'!$A$1:A12)),"")</f>
        <v/>
      </c>
      <c r="AN116" s="41" t="str" cm="1">
        <f t="array" aca="1" ref="AN116" ca="1">IFERROR(INDEX('DBX Sprint'!$A$7:$K$62, SMALL(IF((INDEX('DBX Sprint'!$A$7:$K$62, ,32)&lt;(TODAY()))*(INDEX('DBX Sprint'!$A$7:$K$62, ,32)&lt;&gt;"Complete"),MATCH(ROW('DBX Sprint'!$A$7:$K$62),ROW('DBX Sprint'!$A$7:$K$62)),""),ROWS($AN$34:AN116)),COLUMNS('DBX Sprint'!$A$1:A12)),"")</f>
        <v/>
      </c>
      <c r="AO116" s="41" t="str" cm="1">
        <f t="array" aca="1" ref="AO116" ca="1">IFERROR(INDEX('DBX Sprint'!$A$7:$K$62, SMALL(IF((INDEX('DBX Sprint'!$A$7:$K$62, ,32)&lt;=(TODAY()+1))*(INDEX('DBX Sprint'!$A$7:$K$62, ,32)&gt;=TODAY()),MATCH(ROW('DBX Sprint'!$A$7:$K$62),ROW('DBX Sprint'!$A$7:$K$62)),""),ROWS($AO$34:AO116)),COLUMNS('DBX Sprint'!$A$1:A12)),"")</f>
        <v/>
      </c>
      <c r="AP116" s="43" t="str" cm="1">
        <f t="array" aca="1" ref="AP116" ca="1">IFERROR(INDEX('DBX Sprint'!$A$7:$K$62, SMALL(IF((INDEX('DBX Sprint'!$A$7:$K$62, ,32)&lt;=(TODAY()+5))*(INDEX('DBX Sprint'!$A$7:$K$62, ,32)&gt;(TODAY()+1)),MATCH(ROW('DBX Sprint'!$A$7:$K$62),ROW('DBX Sprint'!$A$7:$K$62)),""),ROWS($AP$34:AP116)),COLUMNS('DBX Sprint'!$A$1:A12)),"")</f>
        <v/>
      </c>
      <c r="AQ116" s="43" t="str" cm="1">
        <f t="array" aca="1" ref="AQ116" ca="1">IFERROR(INDEX('DBX Sprint'!$A$7:$K$62, SMALL(IF((INDEX('DBX Sprint'!$A$7:$K$62, ,32)&lt;=(TODAY()+10))*(INDEX('DBX Sprint'!$A$7:$K$62, ,32)&gt;(TODAY()+5)),MATCH(ROW('DBX Sprint'!$A$7:$K$62),ROW('DBX Sprint'!$A$7:$K$62)),""),ROWS($AQ$34:AQ116)),COLUMNS('DBX Sprint'!$A$1:A12)),"")</f>
        <v/>
      </c>
    </row>
    <row r="117" spans="3:43" ht="30" customHeight="1">
      <c r="C117" s="41" t="str" cm="1">
        <f t="array" ref="C117">IFERROR(INDEX('DBX Sprint'!$A$7:$K$62, SMALL(IF((INDEX('DBX Sprint'!$A$7:$K$62, ,13)=("Complete"))*(INDEX('DBX Sprint'!$A$7:$K$62, ,13)="Complete"),MATCH(ROW('DBX Sprint'!$A$7:$K$62),ROW('DBX Sprint'!$A$7:$K$62)),""),ROWS(C$34:$C117)),COLUMNS('DBX Sprint'!$A$1:A12)),"")</f>
        <v/>
      </c>
      <c r="D117" s="41" t="str" cm="1">
        <f t="array" aca="1" ref="D117" ca="1">IFERROR(INDEX('DBX Sprint'!$A$7:$K$62, SMALL(IF((INDEX('DBX Sprint'!$A$7:$K$62, ,13)&lt;(TODAY()))*(INDEX('DBX Sprint'!$A$7:$K$62, ,13)&lt;&gt;"Complete"),MATCH(ROW('DBX Sprint'!$A$7:$K$62),ROW('DBX Sprint'!$A$7:$K$62)),""),ROWS(D$34:$D117)),COLUMNS('DBX Sprint'!$A$1:A12)),"")</f>
        <v/>
      </c>
      <c r="E117" s="41" t="str" cm="1">
        <f t="array" aca="1" ref="E117" ca="1">IFERROR(INDEX('DBX Sprint'!$A$7:$K$62, SMALL(IF((INDEX('DBX Sprint'!$A$7:$K$62, ,13)&lt;=(TODAY()+1))*(INDEX('DBX Sprint'!$A$7:$K$62, ,13)&gt;=TODAY()),MATCH(ROW('DBX Sprint'!$A$7:$K$62),ROW('DBX Sprint'!$A$7:$K$62)),""),ROWS(E$34:$E117)),COLUMNS('DBX Sprint'!$A$1:A12)),"")</f>
        <v/>
      </c>
      <c r="F117" s="43" t="str" cm="1">
        <f t="array" aca="1" ref="F117" ca="1">IFERROR(INDEX('DBX Sprint'!$A$7:$K$62, SMALL(IF((INDEX('DBX Sprint'!$A$7:$K$62, ,13)&lt;=(TODAY()+5))*(INDEX('DBX Sprint'!$A$7:$K$62, ,13)&gt;(TODAY()+1)),MATCH(ROW('DBX Sprint'!$A$7:$K$62),ROW('DBX Sprint'!$A$7:$K$62)),""),ROWS($F$34:F117)),COLUMNS('DBX Sprint'!$A$1:A12)),"")</f>
        <v/>
      </c>
      <c r="G117" s="43" t="str" cm="1">
        <f t="array" aca="1" ref="G117" ca="1">IFERROR(INDEX('DBX Sprint'!$A$7:$K$62, SMALL(IF((INDEX('DBX Sprint'!$A$7:$K$62, ,13)&lt;=(TODAY()+10))*(INDEX('DBX Sprint'!$A$7:$K$62, ,13)&gt;(TODAY()+5)),MATCH(ROW('DBX Sprint'!$A$7:$K$62),ROW('DBX Sprint'!$A$7:$K$62)),""),ROWS($G$34:G117)),COLUMNS('DBX Sprint'!$A$1:A12)),"")</f>
        <v/>
      </c>
      <c r="I117" s="41" t="str" cm="1">
        <f t="array" ref="I117">IFERROR(INDEX('DBX Sprint'!$A$7:$K$62, SMALL(IF((INDEX('DBX Sprint'!$A$7:$K$62, ,16)=("Complete"))*(INDEX('DBX Sprint'!$A$7:$K$62, ,16)="Complete"),MATCH(ROW('DBX Sprint'!$A$7:$K$62),ROW('DBX Sprint'!$A$7:$K$62)),""),ROWS($I$34:I117)),COLUMNS('DBX Sprint'!$A$1:A12)),"")</f>
        <v/>
      </c>
      <c r="J117" s="41" t="str" cm="1">
        <f t="array" aca="1" ref="J117" ca="1">IFERROR(INDEX('DBX Sprint'!$A$7:$K$62, SMALL(IF((INDEX('DBX Sprint'!$A$7:$K$62, ,16)&lt;(TODAY()))*(INDEX('DBX Sprint'!$A$7:$K$62, ,16)&lt;&gt;"Complete"),MATCH(ROW('DBX Sprint'!$A$7:$K$62),ROW('DBX Sprint'!$A$7:$K$62)),""),ROWS($J$34:J117)),COLUMNS('DBX Sprint'!$A$1:A12)),"")</f>
        <v/>
      </c>
      <c r="K117" s="41" t="str" cm="1">
        <f t="array" aca="1" ref="K117" ca="1">IFERROR(INDEX('DBX Sprint'!$A$7:$K$62, SMALL(IF((INDEX('DBX Sprint'!$A$7:$K$62, ,16)&lt;=(TODAY()+1))*(INDEX('DBX Sprint'!$A$7:$K$62, ,16)&gt;=TODAY()),MATCH(ROW('DBX Sprint'!$A$7:$K$62),ROW('DBX Sprint'!$A$7:$K$62)),""),ROWS($K$34:K117)),COLUMNS('DBX Sprint'!$A$1:A12)),"")</f>
        <v/>
      </c>
      <c r="L117" s="43" t="str" cm="1">
        <f t="array" aca="1" ref="L117" ca="1">IFERROR(INDEX('DBX Sprint'!$A$7:$K$62, SMALL(IF((INDEX('DBX Sprint'!$A$7:$K$62, ,16)&lt;=(TODAY()+5))*(INDEX('DBX Sprint'!$A$7:$K$62, ,16)&gt;(TODAY()+1)),MATCH(ROW('DBX Sprint'!$A$7:$K$62),ROW('DBX Sprint'!$A$7:$K$62)),""),ROWS($L$34:L117)),COLUMNS('DBX Sprint'!$A$1:A12)),"")</f>
        <v/>
      </c>
      <c r="M117" s="43" t="str" cm="1">
        <f t="array" aca="1" ref="M117" ca="1">IFERROR(INDEX('DBX Sprint'!$A$7:$K$62, SMALL(IF((INDEX('DBX Sprint'!$A$7:$K$62, ,16)&lt;=(TODAY()+10))*(INDEX('DBX Sprint'!$A$7:$K$62, ,16)&gt;(TODAY()+5)),MATCH(ROW('DBX Sprint'!$A$7:$K$62),ROW('DBX Sprint'!$A$7:$K$62)),""),ROWS($M$34:M117)),COLUMNS('DBX Sprint'!$A$1:A12)),"")</f>
        <v/>
      </c>
      <c r="P117" s="41" t="str" cm="1">
        <f t="array" aca="1" ref="P117" ca="1">IFERROR(INDEX('DBX Sprint'!$A$7:$K$62, SMALL(IF((INDEX('DBX Sprint'!$A$7:$K$62, ,19)&lt;(TODAY()))*(INDEX('DBX Sprint'!$A$7:$K$62, ,19)&lt;&gt;"Complete"),MATCH(ROW('DBX Sprint'!$A$7:$K$62),ROW('DBX Sprint'!$A$7:$K$62)),""),ROWS($P$34:P117)),COLUMNS('DBX Sprint'!$A$1:A12)),"")</f>
        <v/>
      </c>
      <c r="Q117" s="41" t="str" cm="1">
        <f t="array" aca="1" ref="Q117" ca="1">IFERROR(INDEX('DBX Sprint'!$A$7:$K$62, SMALL(IF((INDEX('DBX Sprint'!$A$7:$K$62, ,19)&lt;=(TODAY()+1))*(INDEX('DBX Sprint'!$A$7:$K$62, ,19)&gt;=TODAY()),MATCH(ROW('DBX Sprint'!$A$7:$K$62),ROW('DBX Sprint'!$A$7:$K$62)),""),ROWS($Q$34:Q117)),COLUMNS('DBX Sprint'!$A$1:A12)),"")</f>
        <v/>
      </c>
      <c r="R117" s="43" t="str" cm="1">
        <f t="array" aca="1" ref="R117" ca="1">IFERROR(INDEX('DBX Sprint'!$A$7:$K$62, SMALL(IF((INDEX('DBX Sprint'!$A$7:$K$62, ,19)&lt;=(TODAY()+5))*(INDEX('DBX Sprint'!$A$7:$K$62, ,19)&gt;(TODAY()+1)),MATCH(ROW('DBX Sprint'!$A$7:$K$62),ROW('DBX Sprint'!$A$7:$K$62)),""),ROWS($R$34:R117)),COLUMNS('DBX Sprint'!$A$1:A12)),"")</f>
        <v/>
      </c>
      <c r="S117" s="43" t="str" cm="1">
        <f t="array" aca="1" ref="S117" ca="1">IFERROR(INDEX('DBX Sprint'!$A$7:$K$62, SMALL(IF((INDEX('DBX Sprint'!$A$7:$K$62, ,19)&lt;=(TODAY()+10))*(INDEX('DBX Sprint'!$A$7:$K$62, ,19)&gt;(TODAY()+5)),MATCH(ROW('DBX Sprint'!$A$7:$K$62),ROW('DBX Sprint'!$A$7:$K$62)),""),ROWS($S$34:S117)),COLUMNS('DBX Sprint'!$A$1:A12)),"")</f>
        <v/>
      </c>
      <c r="U117" s="41" t="str" cm="1">
        <f t="array" ref="U117">IFERROR(INDEX('DBX Sprint'!$A$7:$K$62, SMALL(IF((INDEX('DBX Sprint'!$A$7:$K$62, ,22)=("Complete"))*(INDEX('DBX Sprint'!$A$7:$K$62, ,22)="Complete"),MATCH(ROW('DBX Sprint'!$A$7:$K$62),ROW('DBX Sprint'!$A$7:$K$62)),""),ROWS($U$34:U117)),COLUMNS('DBX Sprint'!$A$1:A12)),"")</f>
        <v/>
      </c>
      <c r="V117" s="41" t="str" cm="1">
        <f t="array" aca="1" ref="V117" ca="1">IFERROR(INDEX('DBX Sprint'!$A$7:$K$62, SMALL(IF((INDEX('DBX Sprint'!$A$7:$K$62, ,22)&lt;(TODAY()))*(INDEX('DBX Sprint'!$A$7:$K$62, ,22)&lt;&gt;"Complete"),MATCH(ROW('DBX Sprint'!$A$7:$K$62),ROW('DBX Sprint'!$A$7:$K$62)),""),ROWS($V$34:V117)),COLUMNS('DBX Sprint'!$A$1:A12)),"")</f>
        <v/>
      </c>
      <c r="W117" s="41" t="str" cm="1">
        <f t="array" aca="1" ref="W117" ca="1">IFERROR(INDEX('DBX Sprint'!$A$7:$K$62, SMALL(IF((INDEX('DBX Sprint'!$A$7:$K$62, ,22)&lt;=(TODAY()+1))*(INDEX('DBX Sprint'!$A$7:$K$62, ,22)&gt;=TODAY()),MATCH(ROW('DBX Sprint'!$A$7:$K$62),ROW('DBX Sprint'!$A$7:$K$62)),""),ROWS($W$34:W117)),COLUMNS('DBX Sprint'!$A$1:A12)),"")</f>
        <v/>
      </c>
      <c r="X117" s="43" t="str" cm="1">
        <f t="array" aca="1" ref="X117" ca="1">IFERROR(INDEX('DBX Sprint'!$A$7:$K$62, SMALL(IF((INDEX('DBX Sprint'!$A$7:$K$62, ,22)&lt;=(TODAY()+5))*(INDEX('DBX Sprint'!$A$7:$K$62, ,22)&gt;(TODAY()+1)),MATCH(ROW('DBX Sprint'!$A$7:$K$62),ROW('DBX Sprint'!$A$7:$K$62)),""),ROWS($X$34:X117)),COLUMNS('DBX Sprint'!$A$1:A12)),"")</f>
        <v/>
      </c>
      <c r="Y117" s="43" t="str" cm="1">
        <f t="array" aca="1" ref="Y117" ca="1">IFERROR(INDEX('DBX Sprint'!$A$7:$K$62, SMALL(IF((INDEX('DBX Sprint'!$A$7:$K$62, ,22)&lt;=(TODAY()+10))*(INDEX('DBX Sprint'!$A$7:$K$62, ,22)&gt;(TODAY()+5)),MATCH(ROW('DBX Sprint'!$A$7:$K$62),ROW('DBX Sprint'!$A$7:$K$62)),""),ROWS($Y$34:Y117)),COLUMNS('DBX Sprint'!$A$1:A12)),"")</f>
        <v/>
      </c>
      <c r="AA117" s="41" t="str" cm="1">
        <f t="array" ref="AA117">IFERROR(INDEX('DBX Sprint'!$A$7:$K$62, SMALL(IF((INDEX('DBX Sprint'!$A$7:$K$62, ,25)=("Complete"))*(INDEX('DBX Sprint'!$A$7:$K$62, ,25)="Complete"),MATCH(ROW('DBX Sprint'!$A$7:$K$62),ROW('DBX Sprint'!$A$7:$K$62)),""),ROWS($AA$34:AA117)),COLUMNS('DBX Sprint'!$A$1:A12)),"")</f>
        <v/>
      </c>
      <c r="AB117" s="41" t="str" cm="1">
        <f t="array" aca="1" ref="AB117" ca="1">IFERROR(INDEX('DBX Sprint'!$A$7:$K$62, SMALL(IF((INDEX('DBX Sprint'!$A$7:$K$62, ,25)&lt;(TODAY()))*(INDEX('DBX Sprint'!$A$7:$K$62, ,25)&lt;&gt;"Complete"),MATCH(ROW('DBX Sprint'!$A$7:$K$62),ROW('DBX Sprint'!$A$7:$K$62)),""),ROWS($AB$34:AB117)),COLUMNS('DBX Sprint'!$A$1:A12)),"")</f>
        <v/>
      </c>
      <c r="AC117" s="41" t="str" cm="1">
        <f t="array" aca="1" ref="AC117" ca="1">IFERROR(INDEX('DBX Sprint'!$A$7:$K$62, SMALL(IF((INDEX('DBX Sprint'!$A$7:$K$62, ,25)&lt;=(TODAY()+1))*(INDEX('DBX Sprint'!$A$7:$K$62, ,25)&gt;=TODAY()),MATCH(ROW('DBX Sprint'!$A$7:$K$62),ROW('DBX Sprint'!$A$7:$K$62)),""),ROWS($AC$34:AC117)),COLUMNS('DBX Sprint'!$A$1:A12)),"")</f>
        <v/>
      </c>
      <c r="AD117" s="43" t="str" cm="1">
        <f t="array" aca="1" ref="AD117" ca="1">IFERROR(INDEX('DBX Sprint'!$A$7:$K$62, SMALL(IF((INDEX('DBX Sprint'!$A$7:$K$62, ,25)&lt;=(TODAY()+5))*(INDEX('DBX Sprint'!$A$7:$K$62, ,25)&gt;(TODAY()+1)),MATCH(ROW('DBX Sprint'!$A$7:$K$62),ROW('DBX Sprint'!$A$7:$K$62)),""),ROWS($AD$34:AD117)),COLUMNS('DBX Sprint'!$A$1:A12)),"")</f>
        <v/>
      </c>
      <c r="AE117" s="43" t="str" cm="1">
        <f t="array" aca="1" ref="AE117" ca="1">IFERROR(INDEX('DBX Sprint'!$A$7:$K$62, SMALL(IF((INDEX('DBX Sprint'!$A$7:$K$62, ,25)&lt;=(TODAY()+10))*(INDEX('DBX Sprint'!$A$7:$K$62, ,25)&gt;(TODAY()+5)),MATCH(ROW('DBX Sprint'!$A$7:$K$62),ROW('DBX Sprint'!$A$7:$K$62)),""),ROWS($AE$34:AE117)),COLUMNS('DBX Sprint'!$A$1:A12)),"")</f>
        <v/>
      </c>
      <c r="AG117" s="41" t="str" cm="1">
        <f t="array" ref="AG117">IFERROR(INDEX('DBX Sprint'!$A$7:$K$62, SMALL(IF((INDEX('DBX Sprint'!$A$7:$K$62, ,29)=("Complete"))*(INDEX('DBX Sprint'!$A$7:$K$62, ,29)="Complete"),MATCH(ROW('DBX Sprint'!$A$7:$K$62),ROW('DBX Sprint'!$A$7:$K$62)),""),ROWS($AG$34:AG117)),COLUMNS('DBX Sprint'!$A$1:A12)),"")</f>
        <v/>
      </c>
      <c r="AH117" s="41" t="str" cm="1">
        <f t="array" aca="1" ref="AH117" ca="1">IFERROR(INDEX('DBX Sprint'!$A$7:$K$62, SMALL(IF((INDEX('DBX Sprint'!$A$7:$K$62, ,29)&lt;(TODAY()))*(INDEX('DBX Sprint'!$A$7:$K$62, ,29)&lt;&gt;"Complete"),MATCH(ROW('DBX Sprint'!$A$7:$K$62),ROW('DBX Sprint'!$A$7:$K$62)),""),ROWS($AH$34:AH117)),COLUMNS('DBX Sprint'!$A$1:A12)),"")</f>
        <v/>
      </c>
      <c r="AI117" s="41" t="str" cm="1">
        <f t="array" aca="1" ref="AI117" ca="1">IFERROR(INDEX('DBX Sprint'!$A$7:$K$62, SMALL(IF((INDEX('DBX Sprint'!$A$7:$K$62, ,29)&lt;=(TODAY()+1))*(INDEX('DBX Sprint'!$A$7:$K$62, ,29)&gt;=TODAY()),MATCH(ROW('DBX Sprint'!$A$7:$K$62),ROW('DBX Sprint'!$A$7:$K$62)),""),ROWS($AI$34:AI117)),COLUMNS('DBX Sprint'!$A$1:A12)),"")</f>
        <v/>
      </c>
      <c r="AJ117" s="43" t="str" cm="1">
        <f t="array" aca="1" ref="AJ117" ca="1">IFERROR(INDEX('DBX Sprint'!$A$7:$K$62, SMALL(IF((INDEX('DBX Sprint'!$A$7:$K$62, ,29)&lt;=(TODAY()+5))*(INDEX('DBX Sprint'!$A$7:$K$62, ,29)&gt;(TODAY()+1)),MATCH(ROW('DBX Sprint'!$A$7:$K$62),ROW('DBX Sprint'!$A$7:$K$62)),""),ROWS($AJ$34:AJ117)),COLUMNS('DBX Sprint'!$A$1:A12)),"")</f>
        <v/>
      </c>
      <c r="AK117" s="43" t="str" cm="1">
        <f t="array" aca="1" ref="AK117" ca="1">IFERROR(INDEX('DBX Sprint'!$A$7:$K$62, SMALL(IF((INDEX('DBX Sprint'!$A$7:$K$62, ,29)&lt;=(TODAY()+10))*(INDEX('DBX Sprint'!$A$7:$K$62, ,29)&gt;(TODAY()+5)),MATCH(ROW('DBX Sprint'!$A$7:$K$62),ROW('DBX Sprint'!$A$7:$K$62)),""),ROWS($AK$34:AK117)),COLUMNS('DBX Sprint'!$A$1:A12)),"")</f>
        <v/>
      </c>
      <c r="AM117" s="41" t="str" cm="1">
        <f t="array" ref="AM117">IFERROR(INDEX('DBX Sprint'!$A$7:$K$62, SMALL(IF((INDEX('DBX Sprint'!$A$7:$K$62, ,32)=("Complete"))*(INDEX('DBX Sprint'!$A$7:$K$62, ,32)="Complete"),MATCH(ROW('DBX Sprint'!$A$7:$K$62),ROW('DBX Sprint'!$A$7:$K$62)),""),ROWS($AM$34:AM117)),COLUMNS('DBX Sprint'!$A$1:A12)),"")</f>
        <v/>
      </c>
      <c r="AN117" s="41" t="str" cm="1">
        <f t="array" aca="1" ref="AN117" ca="1">IFERROR(INDEX('DBX Sprint'!$A$7:$K$62, SMALL(IF((INDEX('DBX Sprint'!$A$7:$K$62, ,32)&lt;(TODAY()))*(INDEX('DBX Sprint'!$A$7:$K$62, ,32)&lt;&gt;"Complete"),MATCH(ROW('DBX Sprint'!$A$7:$K$62),ROW('DBX Sprint'!$A$7:$K$62)),""),ROWS($AN$34:AN117)),COLUMNS('DBX Sprint'!$A$1:A12)),"")</f>
        <v/>
      </c>
      <c r="AO117" s="41" t="str" cm="1">
        <f t="array" aca="1" ref="AO117" ca="1">IFERROR(INDEX('DBX Sprint'!$A$7:$K$62, SMALL(IF((INDEX('DBX Sprint'!$A$7:$K$62, ,32)&lt;=(TODAY()+1))*(INDEX('DBX Sprint'!$A$7:$K$62, ,32)&gt;=TODAY()),MATCH(ROW('DBX Sprint'!$A$7:$K$62),ROW('DBX Sprint'!$A$7:$K$62)),""),ROWS($AO$34:AO117)),COLUMNS('DBX Sprint'!$A$1:A12)),"")</f>
        <v/>
      </c>
      <c r="AP117" s="43" t="str" cm="1">
        <f t="array" aca="1" ref="AP117" ca="1">IFERROR(INDEX('DBX Sprint'!$A$7:$K$62, SMALL(IF((INDEX('DBX Sprint'!$A$7:$K$62, ,32)&lt;=(TODAY()+5))*(INDEX('DBX Sprint'!$A$7:$K$62, ,32)&gt;(TODAY()+1)),MATCH(ROW('DBX Sprint'!$A$7:$K$62),ROW('DBX Sprint'!$A$7:$K$62)),""),ROWS($AP$34:AP117)),COLUMNS('DBX Sprint'!$A$1:A12)),"")</f>
        <v/>
      </c>
      <c r="AQ117" s="43" t="str" cm="1">
        <f t="array" aca="1" ref="AQ117" ca="1">IFERROR(INDEX('DBX Sprint'!$A$7:$K$62, SMALL(IF((INDEX('DBX Sprint'!$A$7:$K$62, ,32)&lt;=(TODAY()+10))*(INDEX('DBX Sprint'!$A$7:$K$62, ,32)&gt;(TODAY()+5)),MATCH(ROW('DBX Sprint'!$A$7:$K$62),ROW('DBX Sprint'!$A$7:$K$62)),""),ROWS($AQ$34:AQ117)),COLUMNS('DBX Sprint'!$A$1:A12)),"")</f>
        <v/>
      </c>
    </row>
    <row r="118" spans="3:43" ht="30" customHeight="1">
      <c r="C118" s="41" t="str" cm="1">
        <f t="array" ref="C118">IFERROR(INDEX('DBX Sprint'!$A$7:$K$62, SMALL(IF((INDEX('DBX Sprint'!$A$7:$K$62, ,13)=("Complete"))*(INDEX('DBX Sprint'!$A$7:$K$62, ,13)="Complete"),MATCH(ROW('DBX Sprint'!$A$7:$K$62),ROW('DBX Sprint'!$A$7:$K$62)),""),ROWS(C$34:$C118)),COLUMNS('DBX Sprint'!$A$1:A12)),"")</f>
        <v/>
      </c>
      <c r="D118" s="41" t="str" cm="1">
        <f t="array" aca="1" ref="D118" ca="1">IFERROR(INDEX('DBX Sprint'!$A$7:$K$62, SMALL(IF((INDEX('DBX Sprint'!$A$7:$K$62, ,13)&lt;(TODAY()))*(INDEX('DBX Sprint'!$A$7:$K$62, ,13)&lt;&gt;"Complete"),MATCH(ROW('DBX Sprint'!$A$7:$K$62),ROW('DBX Sprint'!$A$7:$K$62)),""),ROWS(D$34:$D118)),COLUMNS('DBX Sprint'!$A$1:A12)),"")</f>
        <v/>
      </c>
      <c r="E118" s="41" t="str" cm="1">
        <f t="array" aca="1" ref="E118" ca="1">IFERROR(INDEX('DBX Sprint'!$A$7:$K$62, SMALL(IF((INDEX('DBX Sprint'!$A$7:$K$62, ,13)&lt;=(TODAY()+1))*(INDEX('DBX Sprint'!$A$7:$K$62, ,13)&gt;=TODAY()),MATCH(ROW('DBX Sprint'!$A$7:$K$62),ROW('DBX Sprint'!$A$7:$K$62)),""),ROWS(E$34:$E118)),COLUMNS('DBX Sprint'!$A$1:A12)),"")</f>
        <v/>
      </c>
      <c r="F118" s="43" t="str" cm="1">
        <f t="array" aca="1" ref="F118" ca="1">IFERROR(INDEX('DBX Sprint'!$A$7:$K$62, SMALL(IF((INDEX('DBX Sprint'!$A$7:$K$62, ,13)&lt;=(TODAY()+5))*(INDEX('DBX Sprint'!$A$7:$K$62, ,13)&gt;(TODAY()+1)),MATCH(ROW('DBX Sprint'!$A$7:$K$62),ROW('DBX Sprint'!$A$7:$K$62)),""),ROWS($F$34:F118)),COLUMNS('DBX Sprint'!$A$1:A12)),"")</f>
        <v/>
      </c>
      <c r="G118" s="43" t="str" cm="1">
        <f t="array" aca="1" ref="G118" ca="1">IFERROR(INDEX('DBX Sprint'!$A$7:$K$62, SMALL(IF((INDEX('DBX Sprint'!$A$7:$K$62, ,13)&lt;=(TODAY()+10))*(INDEX('DBX Sprint'!$A$7:$K$62, ,13)&gt;(TODAY()+5)),MATCH(ROW('DBX Sprint'!$A$7:$K$62),ROW('DBX Sprint'!$A$7:$K$62)),""),ROWS($G$34:G118)),COLUMNS('DBX Sprint'!$A$1:A12)),"")</f>
        <v/>
      </c>
      <c r="I118" s="41" t="str" cm="1">
        <f t="array" ref="I118">IFERROR(INDEX('DBX Sprint'!$A$7:$K$62, SMALL(IF((INDEX('DBX Sprint'!$A$7:$K$62, ,16)=("Complete"))*(INDEX('DBX Sprint'!$A$7:$K$62, ,16)="Complete"),MATCH(ROW('DBX Sprint'!$A$7:$K$62),ROW('DBX Sprint'!$A$7:$K$62)),""),ROWS($I$34:I118)),COLUMNS('DBX Sprint'!$A$1:A12)),"")</f>
        <v/>
      </c>
      <c r="J118" s="41" t="str" cm="1">
        <f t="array" aca="1" ref="J118" ca="1">IFERROR(INDEX('DBX Sprint'!$A$7:$K$62, SMALL(IF((INDEX('DBX Sprint'!$A$7:$K$62, ,16)&lt;(TODAY()))*(INDEX('DBX Sprint'!$A$7:$K$62, ,16)&lt;&gt;"Complete"),MATCH(ROW('DBX Sprint'!$A$7:$K$62),ROW('DBX Sprint'!$A$7:$K$62)),""),ROWS($J$34:J118)),COLUMNS('DBX Sprint'!$A$1:A12)),"")</f>
        <v/>
      </c>
      <c r="K118" s="41" t="str" cm="1">
        <f t="array" aca="1" ref="K118" ca="1">IFERROR(INDEX('DBX Sprint'!$A$7:$K$62, SMALL(IF((INDEX('DBX Sprint'!$A$7:$K$62, ,16)&lt;=(TODAY()+1))*(INDEX('DBX Sprint'!$A$7:$K$62, ,16)&gt;=TODAY()),MATCH(ROW('DBX Sprint'!$A$7:$K$62),ROW('DBX Sprint'!$A$7:$K$62)),""),ROWS($K$34:K118)),COLUMNS('DBX Sprint'!$A$1:A12)),"")</f>
        <v/>
      </c>
      <c r="L118" s="43" t="str" cm="1">
        <f t="array" aca="1" ref="L118" ca="1">IFERROR(INDEX('DBX Sprint'!$A$7:$K$62, SMALL(IF((INDEX('DBX Sprint'!$A$7:$K$62, ,16)&lt;=(TODAY()+5))*(INDEX('DBX Sprint'!$A$7:$K$62, ,16)&gt;(TODAY()+1)),MATCH(ROW('DBX Sprint'!$A$7:$K$62),ROW('DBX Sprint'!$A$7:$K$62)),""),ROWS($L$34:L118)),COLUMNS('DBX Sprint'!$A$1:A12)),"")</f>
        <v/>
      </c>
      <c r="M118" s="43" t="str" cm="1">
        <f t="array" aca="1" ref="M118" ca="1">IFERROR(INDEX('DBX Sprint'!$A$7:$K$62, SMALL(IF((INDEX('DBX Sprint'!$A$7:$K$62, ,16)&lt;=(TODAY()+10))*(INDEX('DBX Sprint'!$A$7:$K$62, ,16)&gt;(TODAY()+5)),MATCH(ROW('DBX Sprint'!$A$7:$K$62),ROW('DBX Sprint'!$A$7:$K$62)),""),ROWS($M$34:M118)),COLUMNS('DBX Sprint'!$A$1:A12)),"")</f>
        <v/>
      </c>
      <c r="P118" s="41" t="str" cm="1">
        <f t="array" aca="1" ref="P118" ca="1">IFERROR(INDEX('DBX Sprint'!$A$7:$K$62, SMALL(IF((INDEX('DBX Sprint'!$A$7:$K$62, ,19)&lt;(TODAY()))*(INDEX('DBX Sprint'!$A$7:$K$62, ,19)&lt;&gt;"Complete"),MATCH(ROW('DBX Sprint'!$A$7:$K$62),ROW('DBX Sprint'!$A$7:$K$62)),""),ROWS($P$34:P118)),COLUMNS('DBX Sprint'!$A$1:A12)),"")</f>
        <v/>
      </c>
      <c r="Q118" s="41" t="str" cm="1">
        <f t="array" aca="1" ref="Q118" ca="1">IFERROR(INDEX('DBX Sprint'!$A$7:$K$62, SMALL(IF((INDEX('DBX Sprint'!$A$7:$K$62, ,19)&lt;=(TODAY()+1))*(INDEX('DBX Sprint'!$A$7:$K$62, ,19)&gt;=TODAY()),MATCH(ROW('DBX Sprint'!$A$7:$K$62),ROW('DBX Sprint'!$A$7:$K$62)),""),ROWS($Q$34:Q118)),COLUMNS('DBX Sprint'!$A$1:A12)),"")</f>
        <v/>
      </c>
      <c r="R118" s="43" t="str" cm="1">
        <f t="array" aca="1" ref="R118" ca="1">IFERROR(INDEX('DBX Sprint'!$A$7:$K$62, SMALL(IF((INDEX('DBX Sprint'!$A$7:$K$62, ,19)&lt;=(TODAY()+5))*(INDEX('DBX Sprint'!$A$7:$K$62, ,19)&gt;(TODAY()+1)),MATCH(ROW('DBX Sprint'!$A$7:$K$62),ROW('DBX Sprint'!$A$7:$K$62)),""),ROWS($R$34:R118)),COLUMNS('DBX Sprint'!$A$1:A12)),"")</f>
        <v/>
      </c>
      <c r="S118" s="43" t="str" cm="1">
        <f t="array" aca="1" ref="S118" ca="1">IFERROR(INDEX('DBX Sprint'!$A$7:$K$62, SMALL(IF((INDEX('DBX Sprint'!$A$7:$K$62, ,19)&lt;=(TODAY()+10))*(INDEX('DBX Sprint'!$A$7:$K$62, ,19)&gt;(TODAY()+5)),MATCH(ROW('DBX Sprint'!$A$7:$K$62),ROW('DBX Sprint'!$A$7:$K$62)),""),ROWS($S$34:S118)),COLUMNS('DBX Sprint'!$A$1:A12)),"")</f>
        <v/>
      </c>
      <c r="U118" s="41" t="str" cm="1">
        <f t="array" ref="U118">IFERROR(INDEX('DBX Sprint'!$A$7:$K$62, SMALL(IF((INDEX('DBX Sprint'!$A$7:$K$62, ,22)=("Complete"))*(INDEX('DBX Sprint'!$A$7:$K$62, ,22)="Complete"),MATCH(ROW('DBX Sprint'!$A$7:$K$62),ROW('DBX Sprint'!$A$7:$K$62)),""),ROWS($U$34:U118)),COLUMNS('DBX Sprint'!$A$1:A12)),"")</f>
        <v/>
      </c>
      <c r="V118" s="41" t="str" cm="1">
        <f t="array" aca="1" ref="V118" ca="1">IFERROR(INDEX('DBX Sprint'!$A$7:$K$62, SMALL(IF((INDEX('DBX Sprint'!$A$7:$K$62, ,22)&lt;(TODAY()))*(INDEX('DBX Sprint'!$A$7:$K$62, ,22)&lt;&gt;"Complete"),MATCH(ROW('DBX Sprint'!$A$7:$K$62),ROW('DBX Sprint'!$A$7:$K$62)),""),ROWS($V$34:V118)),COLUMNS('DBX Sprint'!$A$1:A12)),"")</f>
        <v/>
      </c>
      <c r="W118" s="41" t="str" cm="1">
        <f t="array" aca="1" ref="W118" ca="1">IFERROR(INDEX('DBX Sprint'!$A$7:$K$62, SMALL(IF((INDEX('DBX Sprint'!$A$7:$K$62, ,22)&lt;=(TODAY()+1))*(INDEX('DBX Sprint'!$A$7:$K$62, ,22)&gt;=TODAY()),MATCH(ROW('DBX Sprint'!$A$7:$K$62),ROW('DBX Sprint'!$A$7:$K$62)),""),ROWS($W$34:W118)),COLUMNS('DBX Sprint'!$A$1:A12)),"")</f>
        <v/>
      </c>
      <c r="X118" s="43" t="str" cm="1">
        <f t="array" aca="1" ref="X118" ca="1">IFERROR(INDEX('DBX Sprint'!$A$7:$K$62, SMALL(IF((INDEX('DBX Sprint'!$A$7:$K$62, ,22)&lt;=(TODAY()+5))*(INDEX('DBX Sprint'!$A$7:$K$62, ,22)&gt;(TODAY()+1)),MATCH(ROW('DBX Sprint'!$A$7:$K$62),ROW('DBX Sprint'!$A$7:$K$62)),""),ROWS($X$34:X118)),COLUMNS('DBX Sprint'!$A$1:A12)),"")</f>
        <v/>
      </c>
      <c r="Y118" s="43" t="str" cm="1">
        <f t="array" aca="1" ref="Y118" ca="1">IFERROR(INDEX('DBX Sprint'!$A$7:$K$62, SMALL(IF((INDEX('DBX Sprint'!$A$7:$K$62, ,22)&lt;=(TODAY()+10))*(INDEX('DBX Sprint'!$A$7:$K$62, ,22)&gt;(TODAY()+5)),MATCH(ROW('DBX Sprint'!$A$7:$K$62),ROW('DBX Sprint'!$A$7:$K$62)),""),ROWS($Y$34:Y118)),COLUMNS('DBX Sprint'!$A$1:A12)),"")</f>
        <v/>
      </c>
      <c r="AA118" s="41" t="str" cm="1">
        <f t="array" ref="AA118">IFERROR(INDEX('DBX Sprint'!$A$7:$K$62, SMALL(IF((INDEX('DBX Sprint'!$A$7:$K$62, ,25)=("Complete"))*(INDEX('DBX Sprint'!$A$7:$K$62, ,25)="Complete"),MATCH(ROW('DBX Sprint'!$A$7:$K$62),ROW('DBX Sprint'!$A$7:$K$62)),""),ROWS($AA$34:AA118)),COLUMNS('DBX Sprint'!$A$1:A12)),"")</f>
        <v/>
      </c>
      <c r="AB118" s="41" t="str" cm="1">
        <f t="array" aca="1" ref="AB118" ca="1">IFERROR(INDEX('DBX Sprint'!$A$7:$K$62, SMALL(IF((INDEX('DBX Sprint'!$A$7:$K$62, ,25)&lt;(TODAY()))*(INDEX('DBX Sprint'!$A$7:$K$62, ,25)&lt;&gt;"Complete"),MATCH(ROW('DBX Sprint'!$A$7:$K$62),ROW('DBX Sprint'!$A$7:$K$62)),""),ROWS($AB$34:AB118)),COLUMNS('DBX Sprint'!$A$1:A12)),"")</f>
        <v/>
      </c>
      <c r="AC118" s="41" t="str" cm="1">
        <f t="array" aca="1" ref="AC118" ca="1">IFERROR(INDEX('DBX Sprint'!$A$7:$K$62, SMALL(IF((INDEX('DBX Sprint'!$A$7:$K$62, ,25)&lt;=(TODAY()+1))*(INDEX('DBX Sprint'!$A$7:$K$62, ,25)&gt;=TODAY()),MATCH(ROW('DBX Sprint'!$A$7:$K$62),ROW('DBX Sprint'!$A$7:$K$62)),""),ROWS($AC$34:AC118)),COLUMNS('DBX Sprint'!$A$1:A12)),"")</f>
        <v/>
      </c>
      <c r="AD118" s="43" t="str" cm="1">
        <f t="array" aca="1" ref="AD118" ca="1">IFERROR(INDEX('DBX Sprint'!$A$7:$K$62, SMALL(IF((INDEX('DBX Sprint'!$A$7:$K$62, ,25)&lt;=(TODAY()+5))*(INDEX('DBX Sprint'!$A$7:$K$62, ,25)&gt;(TODAY()+1)),MATCH(ROW('DBX Sprint'!$A$7:$K$62),ROW('DBX Sprint'!$A$7:$K$62)),""),ROWS($AD$34:AD118)),COLUMNS('DBX Sprint'!$A$1:A12)),"")</f>
        <v/>
      </c>
      <c r="AE118" s="43" t="str" cm="1">
        <f t="array" aca="1" ref="AE118" ca="1">IFERROR(INDEX('DBX Sprint'!$A$7:$K$62, SMALL(IF((INDEX('DBX Sprint'!$A$7:$K$62, ,25)&lt;=(TODAY()+10))*(INDEX('DBX Sprint'!$A$7:$K$62, ,25)&gt;(TODAY()+5)),MATCH(ROW('DBX Sprint'!$A$7:$K$62),ROW('DBX Sprint'!$A$7:$K$62)),""),ROWS($AE$34:AE118)),COLUMNS('DBX Sprint'!$A$1:A12)),"")</f>
        <v/>
      </c>
      <c r="AG118" s="41" t="str" cm="1">
        <f t="array" ref="AG118">IFERROR(INDEX('DBX Sprint'!$A$7:$K$62, SMALL(IF((INDEX('DBX Sprint'!$A$7:$K$62, ,29)=("Complete"))*(INDEX('DBX Sprint'!$A$7:$K$62, ,29)="Complete"),MATCH(ROW('DBX Sprint'!$A$7:$K$62),ROW('DBX Sprint'!$A$7:$K$62)),""),ROWS($AG$34:AG118)),COLUMNS('DBX Sprint'!$A$1:A12)),"")</f>
        <v/>
      </c>
      <c r="AH118" s="41" t="str" cm="1">
        <f t="array" aca="1" ref="AH118" ca="1">IFERROR(INDEX('DBX Sprint'!$A$7:$K$62, SMALL(IF((INDEX('DBX Sprint'!$A$7:$K$62, ,29)&lt;(TODAY()))*(INDEX('DBX Sprint'!$A$7:$K$62, ,29)&lt;&gt;"Complete"),MATCH(ROW('DBX Sprint'!$A$7:$K$62),ROW('DBX Sprint'!$A$7:$K$62)),""),ROWS($AH$34:AH118)),COLUMNS('DBX Sprint'!$A$1:A12)),"")</f>
        <v/>
      </c>
      <c r="AI118" s="41" t="str" cm="1">
        <f t="array" aca="1" ref="AI118" ca="1">IFERROR(INDEX('DBX Sprint'!$A$7:$K$62, SMALL(IF((INDEX('DBX Sprint'!$A$7:$K$62, ,29)&lt;=(TODAY()+1))*(INDEX('DBX Sprint'!$A$7:$K$62, ,29)&gt;=TODAY()),MATCH(ROW('DBX Sprint'!$A$7:$K$62),ROW('DBX Sprint'!$A$7:$K$62)),""),ROWS($AI$34:AI118)),COLUMNS('DBX Sprint'!$A$1:A12)),"")</f>
        <v/>
      </c>
      <c r="AJ118" s="43" t="str" cm="1">
        <f t="array" aca="1" ref="AJ118" ca="1">IFERROR(INDEX('DBX Sprint'!$A$7:$K$62, SMALL(IF((INDEX('DBX Sprint'!$A$7:$K$62, ,29)&lt;=(TODAY()+5))*(INDEX('DBX Sprint'!$A$7:$K$62, ,29)&gt;(TODAY()+1)),MATCH(ROW('DBX Sprint'!$A$7:$K$62),ROW('DBX Sprint'!$A$7:$K$62)),""),ROWS($AJ$34:AJ118)),COLUMNS('DBX Sprint'!$A$1:A12)),"")</f>
        <v/>
      </c>
      <c r="AK118" s="43" t="str" cm="1">
        <f t="array" aca="1" ref="AK118" ca="1">IFERROR(INDEX('DBX Sprint'!$A$7:$K$62, SMALL(IF((INDEX('DBX Sprint'!$A$7:$K$62, ,29)&lt;=(TODAY()+10))*(INDEX('DBX Sprint'!$A$7:$K$62, ,29)&gt;(TODAY()+5)),MATCH(ROW('DBX Sprint'!$A$7:$K$62),ROW('DBX Sprint'!$A$7:$K$62)),""),ROWS($AK$34:AK118)),COLUMNS('DBX Sprint'!$A$1:A12)),"")</f>
        <v/>
      </c>
      <c r="AM118" s="41" t="str" cm="1">
        <f t="array" ref="AM118">IFERROR(INDEX('DBX Sprint'!$A$7:$K$62, SMALL(IF((INDEX('DBX Sprint'!$A$7:$K$62, ,32)=("Complete"))*(INDEX('DBX Sprint'!$A$7:$K$62, ,32)="Complete"),MATCH(ROW('DBX Sprint'!$A$7:$K$62),ROW('DBX Sprint'!$A$7:$K$62)),""),ROWS($AM$34:AM118)),COLUMNS('DBX Sprint'!$A$1:A12)),"")</f>
        <v/>
      </c>
      <c r="AN118" s="41" t="str" cm="1">
        <f t="array" aca="1" ref="AN118" ca="1">IFERROR(INDEX('DBX Sprint'!$A$7:$K$62, SMALL(IF((INDEX('DBX Sprint'!$A$7:$K$62, ,32)&lt;(TODAY()))*(INDEX('DBX Sprint'!$A$7:$K$62, ,32)&lt;&gt;"Complete"),MATCH(ROW('DBX Sprint'!$A$7:$K$62),ROW('DBX Sprint'!$A$7:$K$62)),""),ROWS($AN$34:AN118)),COLUMNS('DBX Sprint'!$A$1:A12)),"")</f>
        <v/>
      </c>
      <c r="AO118" s="41" t="str" cm="1">
        <f t="array" aca="1" ref="AO118" ca="1">IFERROR(INDEX('DBX Sprint'!$A$7:$K$62, SMALL(IF((INDEX('DBX Sprint'!$A$7:$K$62, ,32)&lt;=(TODAY()+1))*(INDEX('DBX Sprint'!$A$7:$K$62, ,32)&gt;=TODAY()),MATCH(ROW('DBX Sprint'!$A$7:$K$62),ROW('DBX Sprint'!$A$7:$K$62)),""),ROWS($AO$34:AO118)),COLUMNS('DBX Sprint'!$A$1:A12)),"")</f>
        <v/>
      </c>
      <c r="AP118" s="43" t="str" cm="1">
        <f t="array" aca="1" ref="AP118" ca="1">IFERROR(INDEX('DBX Sprint'!$A$7:$K$62, SMALL(IF((INDEX('DBX Sprint'!$A$7:$K$62, ,32)&lt;=(TODAY()+5))*(INDEX('DBX Sprint'!$A$7:$K$62, ,32)&gt;(TODAY()+1)),MATCH(ROW('DBX Sprint'!$A$7:$K$62),ROW('DBX Sprint'!$A$7:$K$62)),""),ROWS($AP$34:AP118)),COLUMNS('DBX Sprint'!$A$1:A12)),"")</f>
        <v/>
      </c>
      <c r="AQ118" s="43" t="str" cm="1">
        <f t="array" aca="1" ref="AQ118" ca="1">IFERROR(INDEX('DBX Sprint'!$A$7:$K$62, SMALL(IF((INDEX('DBX Sprint'!$A$7:$K$62, ,32)&lt;=(TODAY()+10))*(INDEX('DBX Sprint'!$A$7:$K$62, ,32)&gt;(TODAY()+5)),MATCH(ROW('DBX Sprint'!$A$7:$K$62),ROW('DBX Sprint'!$A$7:$K$62)),""),ROWS($AQ$34:AQ118)),COLUMNS('DBX Sprint'!$A$1:A12)),"")</f>
        <v/>
      </c>
    </row>
    <row r="119" spans="3:43" ht="30" customHeight="1">
      <c r="C119" s="41" t="str" cm="1">
        <f t="array" ref="C119">IFERROR(INDEX('DBX Sprint'!$A$7:$K$62, SMALL(IF((INDEX('DBX Sprint'!$A$7:$K$62, ,13)=("Complete"))*(INDEX('DBX Sprint'!$A$7:$K$62, ,13)="Complete"),MATCH(ROW('DBX Sprint'!$A$7:$K$62),ROW('DBX Sprint'!$A$7:$K$62)),""),ROWS(C$34:$C119)),COLUMNS('DBX Sprint'!$A$1:A12)),"")</f>
        <v/>
      </c>
      <c r="D119" s="41" t="str" cm="1">
        <f t="array" aca="1" ref="D119" ca="1">IFERROR(INDEX('DBX Sprint'!$A$7:$K$62, SMALL(IF((INDEX('DBX Sprint'!$A$7:$K$62, ,13)&lt;(TODAY()))*(INDEX('DBX Sprint'!$A$7:$K$62, ,13)&lt;&gt;"Complete"),MATCH(ROW('DBX Sprint'!$A$7:$K$62),ROW('DBX Sprint'!$A$7:$K$62)),""),ROWS(D$34:$D119)),COLUMNS('DBX Sprint'!$A$1:A12)),"")</f>
        <v/>
      </c>
      <c r="E119" s="41" t="str" cm="1">
        <f t="array" aca="1" ref="E119" ca="1">IFERROR(INDEX('DBX Sprint'!$A$7:$K$62, SMALL(IF((INDEX('DBX Sprint'!$A$7:$K$62, ,13)&lt;=(TODAY()+1))*(INDEX('DBX Sprint'!$A$7:$K$62, ,13)&gt;=TODAY()),MATCH(ROW('DBX Sprint'!$A$7:$K$62),ROW('DBX Sprint'!$A$7:$K$62)),""),ROWS(E$34:$E119)),COLUMNS('DBX Sprint'!$A$1:A12)),"")</f>
        <v/>
      </c>
      <c r="F119" s="43" t="str" cm="1">
        <f t="array" aca="1" ref="F119" ca="1">IFERROR(INDEX('DBX Sprint'!$A$7:$K$62, SMALL(IF((INDEX('DBX Sprint'!$A$7:$K$62, ,13)&lt;=(TODAY()+5))*(INDEX('DBX Sprint'!$A$7:$K$62, ,13)&gt;(TODAY()+1)),MATCH(ROW('DBX Sprint'!$A$7:$K$62),ROW('DBX Sprint'!$A$7:$K$62)),""),ROWS($F$34:F119)),COLUMNS('DBX Sprint'!$A$1:A12)),"")</f>
        <v/>
      </c>
      <c r="G119" s="43" t="str" cm="1">
        <f t="array" aca="1" ref="G119" ca="1">IFERROR(INDEX('DBX Sprint'!$A$7:$K$62, SMALL(IF((INDEX('DBX Sprint'!$A$7:$K$62, ,13)&lt;=(TODAY()+10))*(INDEX('DBX Sprint'!$A$7:$K$62, ,13)&gt;(TODAY()+5)),MATCH(ROW('DBX Sprint'!$A$7:$K$62),ROW('DBX Sprint'!$A$7:$K$62)),""),ROWS($G$34:G119)),COLUMNS('DBX Sprint'!$A$1:A12)),"")</f>
        <v/>
      </c>
      <c r="I119" s="41" t="str" cm="1">
        <f t="array" ref="I119">IFERROR(INDEX('DBX Sprint'!$A$7:$K$62, SMALL(IF((INDEX('DBX Sprint'!$A$7:$K$62, ,16)=("Complete"))*(INDEX('DBX Sprint'!$A$7:$K$62, ,16)="Complete"),MATCH(ROW('DBX Sprint'!$A$7:$K$62),ROW('DBX Sprint'!$A$7:$K$62)),""),ROWS($I$34:I119)),COLUMNS('DBX Sprint'!$A$1:A12)),"")</f>
        <v/>
      </c>
      <c r="J119" s="41" t="str" cm="1">
        <f t="array" aca="1" ref="J119" ca="1">IFERROR(INDEX('DBX Sprint'!$A$7:$K$62, SMALL(IF((INDEX('DBX Sprint'!$A$7:$K$62, ,16)&lt;(TODAY()))*(INDEX('DBX Sprint'!$A$7:$K$62, ,16)&lt;&gt;"Complete"),MATCH(ROW('DBX Sprint'!$A$7:$K$62),ROW('DBX Sprint'!$A$7:$K$62)),""),ROWS($J$34:J119)),COLUMNS('DBX Sprint'!$A$1:A12)),"")</f>
        <v/>
      </c>
      <c r="K119" s="41" t="str" cm="1">
        <f t="array" aca="1" ref="K119" ca="1">IFERROR(INDEX('DBX Sprint'!$A$7:$K$62, SMALL(IF((INDEX('DBX Sprint'!$A$7:$K$62, ,16)&lt;=(TODAY()+1))*(INDEX('DBX Sprint'!$A$7:$K$62, ,16)&gt;=TODAY()),MATCH(ROW('DBX Sprint'!$A$7:$K$62),ROW('DBX Sprint'!$A$7:$K$62)),""),ROWS($K$34:K119)),COLUMNS('DBX Sprint'!$A$1:A12)),"")</f>
        <v/>
      </c>
      <c r="L119" s="43" t="str" cm="1">
        <f t="array" aca="1" ref="L119" ca="1">IFERROR(INDEX('DBX Sprint'!$A$7:$K$62, SMALL(IF((INDEX('DBX Sprint'!$A$7:$K$62, ,16)&lt;=(TODAY()+5))*(INDEX('DBX Sprint'!$A$7:$K$62, ,16)&gt;(TODAY()+1)),MATCH(ROW('DBX Sprint'!$A$7:$K$62),ROW('DBX Sprint'!$A$7:$K$62)),""),ROWS($L$34:L119)),COLUMNS('DBX Sprint'!$A$1:A12)),"")</f>
        <v/>
      </c>
      <c r="M119" s="43" t="str" cm="1">
        <f t="array" aca="1" ref="M119" ca="1">IFERROR(INDEX('DBX Sprint'!$A$7:$K$62, SMALL(IF((INDEX('DBX Sprint'!$A$7:$K$62, ,16)&lt;=(TODAY()+10))*(INDEX('DBX Sprint'!$A$7:$K$62, ,16)&gt;(TODAY()+5)),MATCH(ROW('DBX Sprint'!$A$7:$K$62),ROW('DBX Sprint'!$A$7:$K$62)),""),ROWS($M$34:M119)),COLUMNS('DBX Sprint'!$A$1:A12)),"")</f>
        <v/>
      </c>
      <c r="P119" s="41" t="str" cm="1">
        <f t="array" aca="1" ref="P119" ca="1">IFERROR(INDEX('DBX Sprint'!$A$7:$K$62, SMALL(IF((INDEX('DBX Sprint'!$A$7:$K$62, ,19)&lt;(TODAY()))*(INDEX('DBX Sprint'!$A$7:$K$62, ,19)&lt;&gt;"Complete"),MATCH(ROW('DBX Sprint'!$A$7:$K$62),ROW('DBX Sprint'!$A$7:$K$62)),""),ROWS($P$34:P119)),COLUMNS('DBX Sprint'!$A$1:A12)),"")</f>
        <v/>
      </c>
      <c r="Q119" s="41" t="str" cm="1">
        <f t="array" aca="1" ref="Q119" ca="1">IFERROR(INDEX('DBX Sprint'!$A$7:$K$62, SMALL(IF((INDEX('DBX Sprint'!$A$7:$K$62, ,19)&lt;=(TODAY()+1))*(INDEX('DBX Sprint'!$A$7:$K$62, ,19)&gt;=TODAY()),MATCH(ROW('DBX Sprint'!$A$7:$K$62),ROW('DBX Sprint'!$A$7:$K$62)),""),ROWS($Q$34:Q119)),COLUMNS('DBX Sprint'!$A$1:A12)),"")</f>
        <v/>
      </c>
      <c r="R119" s="43" t="str" cm="1">
        <f t="array" aca="1" ref="R119" ca="1">IFERROR(INDEX('DBX Sprint'!$A$7:$K$62, SMALL(IF((INDEX('DBX Sprint'!$A$7:$K$62, ,19)&lt;=(TODAY()+5))*(INDEX('DBX Sprint'!$A$7:$K$62, ,19)&gt;(TODAY()+1)),MATCH(ROW('DBX Sprint'!$A$7:$K$62),ROW('DBX Sprint'!$A$7:$K$62)),""),ROWS($R$34:R119)),COLUMNS('DBX Sprint'!$A$1:A12)),"")</f>
        <v/>
      </c>
      <c r="S119" s="43" t="str" cm="1">
        <f t="array" aca="1" ref="S119" ca="1">IFERROR(INDEX('DBX Sprint'!$A$7:$K$62, SMALL(IF((INDEX('DBX Sprint'!$A$7:$K$62, ,19)&lt;=(TODAY()+10))*(INDEX('DBX Sprint'!$A$7:$K$62, ,19)&gt;(TODAY()+5)),MATCH(ROW('DBX Sprint'!$A$7:$K$62),ROW('DBX Sprint'!$A$7:$K$62)),""),ROWS($S$34:S119)),COLUMNS('DBX Sprint'!$A$1:A12)),"")</f>
        <v/>
      </c>
      <c r="U119" s="41" t="str" cm="1">
        <f t="array" ref="U119">IFERROR(INDEX('DBX Sprint'!$A$7:$K$62, SMALL(IF((INDEX('DBX Sprint'!$A$7:$K$62, ,22)=("Complete"))*(INDEX('DBX Sprint'!$A$7:$K$62, ,22)="Complete"),MATCH(ROW('DBX Sprint'!$A$7:$K$62),ROW('DBX Sprint'!$A$7:$K$62)),""),ROWS($U$34:U119)),COLUMNS('DBX Sprint'!$A$1:A12)),"")</f>
        <v/>
      </c>
      <c r="V119" s="41" t="str" cm="1">
        <f t="array" aca="1" ref="V119" ca="1">IFERROR(INDEX('DBX Sprint'!$A$7:$K$62, SMALL(IF((INDEX('DBX Sprint'!$A$7:$K$62, ,22)&lt;(TODAY()))*(INDEX('DBX Sprint'!$A$7:$K$62, ,22)&lt;&gt;"Complete"),MATCH(ROW('DBX Sprint'!$A$7:$K$62),ROW('DBX Sprint'!$A$7:$K$62)),""),ROWS($V$34:V119)),COLUMNS('DBX Sprint'!$A$1:A12)),"")</f>
        <v/>
      </c>
      <c r="W119" s="41" t="str" cm="1">
        <f t="array" aca="1" ref="W119" ca="1">IFERROR(INDEX('DBX Sprint'!$A$7:$K$62, SMALL(IF((INDEX('DBX Sprint'!$A$7:$K$62, ,22)&lt;=(TODAY()+1))*(INDEX('DBX Sprint'!$A$7:$K$62, ,22)&gt;=TODAY()),MATCH(ROW('DBX Sprint'!$A$7:$K$62),ROW('DBX Sprint'!$A$7:$K$62)),""),ROWS($W$34:W119)),COLUMNS('DBX Sprint'!$A$1:A12)),"")</f>
        <v/>
      </c>
      <c r="X119" s="43" t="str" cm="1">
        <f t="array" aca="1" ref="X119" ca="1">IFERROR(INDEX('DBX Sprint'!$A$7:$K$62, SMALL(IF((INDEX('DBX Sprint'!$A$7:$K$62, ,22)&lt;=(TODAY()+5))*(INDEX('DBX Sprint'!$A$7:$K$62, ,22)&gt;(TODAY()+1)),MATCH(ROW('DBX Sprint'!$A$7:$K$62),ROW('DBX Sprint'!$A$7:$K$62)),""),ROWS($X$34:X119)),COLUMNS('DBX Sprint'!$A$1:A12)),"")</f>
        <v/>
      </c>
      <c r="Y119" s="43" t="str" cm="1">
        <f t="array" aca="1" ref="Y119" ca="1">IFERROR(INDEX('DBX Sprint'!$A$7:$K$62, SMALL(IF((INDEX('DBX Sprint'!$A$7:$K$62, ,22)&lt;=(TODAY()+10))*(INDEX('DBX Sprint'!$A$7:$K$62, ,22)&gt;(TODAY()+5)),MATCH(ROW('DBX Sprint'!$A$7:$K$62),ROW('DBX Sprint'!$A$7:$K$62)),""),ROWS($Y$34:Y119)),COLUMNS('DBX Sprint'!$A$1:A12)),"")</f>
        <v/>
      </c>
      <c r="AA119" s="41" t="str" cm="1">
        <f t="array" ref="AA119">IFERROR(INDEX('DBX Sprint'!$A$7:$K$62, SMALL(IF((INDEX('DBX Sprint'!$A$7:$K$62, ,25)=("Complete"))*(INDEX('DBX Sprint'!$A$7:$K$62, ,25)="Complete"),MATCH(ROW('DBX Sprint'!$A$7:$K$62),ROW('DBX Sprint'!$A$7:$K$62)),""),ROWS($AA$34:AA119)),COLUMNS('DBX Sprint'!$A$1:A12)),"")</f>
        <v/>
      </c>
      <c r="AB119" s="41" t="str" cm="1">
        <f t="array" aca="1" ref="AB119" ca="1">IFERROR(INDEX('DBX Sprint'!$A$7:$K$62, SMALL(IF((INDEX('DBX Sprint'!$A$7:$K$62, ,25)&lt;(TODAY()))*(INDEX('DBX Sprint'!$A$7:$K$62, ,25)&lt;&gt;"Complete"),MATCH(ROW('DBX Sprint'!$A$7:$K$62),ROW('DBX Sprint'!$A$7:$K$62)),""),ROWS($AB$34:AB119)),COLUMNS('DBX Sprint'!$A$1:A12)),"")</f>
        <v/>
      </c>
      <c r="AC119" s="41" t="str" cm="1">
        <f t="array" aca="1" ref="AC119" ca="1">IFERROR(INDEX('DBX Sprint'!$A$7:$K$62, SMALL(IF((INDEX('DBX Sprint'!$A$7:$K$62, ,25)&lt;=(TODAY()+1))*(INDEX('DBX Sprint'!$A$7:$K$62, ,25)&gt;=TODAY()),MATCH(ROW('DBX Sprint'!$A$7:$K$62),ROW('DBX Sprint'!$A$7:$K$62)),""),ROWS($AC$34:AC119)),COLUMNS('DBX Sprint'!$A$1:A12)),"")</f>
        <v/>
      </c>
      <c r="AD119" s="43" t="str" cm="1">
        <f t="array" aca="1" ref="AD119" ca="1">IFERROR(INDEX('DBX Sprint'!$A$7:$K$62, SMALL(IF((INDEX('DBX Sprint'!$A$7:$K$62, ,25)&lt;=(TODAY()+5))*(INDEX('DBX Sprint'!$A$7:$K$62, ,25)&gt;(TODAY()+1)),MATCH(ROW('DBX Sprint'!$A$7:$K$62),ROW('DBX Sprint'!$A$7:$K$62)),""),ROWS($AD$34:AD119)),COLUMNS('DBX Sprint'!$A$1:A12)),"")</f>
        <v/>
      </c>
      <c r="AE119" s="43" t="str" cm="1">
        <f t="array" aca="1" ref="AE119" ca="1">IFERROR(INDEX('DBX Sprint'!$A$7:$K$62, SMALL(IF((INDEX('DBX Sprint'!$A$7:$K$62, ,25)&lt;=(TODAY()+10))*(INDEX('DBX Sprint'!$A$7:$K$62, ,25)&gt;(TODAY()+5)),MATCH(ROW('DBX Sprint'!$A$7:$K$62),ROW('DBX Sprint'!$A$7:$K$62)),""),ROWS($AE$34:AE119)),COLUMNS('DBX Sprint'!$A$1:A12)),"")</f>
        <v/>
      </c>
      <c r="AG119" s="41" t="str" cm="1">
        <f t="array" ref="AG119">IFERROR(INDEX('DBX Sprint'!$A$7:$K$62, SMALL(IF((INDEX('DBX Sprint'!$A$7:$K$62, ,29)=("Complete"))*(INDEX('DBX Sprint'!$A$7:$K$62, ,29)="Complete"),MATCH(ROW('DBX Sprint'!$A$7:$K$62),ROW('DBX Sprint'!$A$7:$K$62)),""),ROWS($AG$34:AG119)),COLUMNS('DBX Sprint'!$A$1:A12)),"")</f>
        <v/>
      </c>
      <c r="AH119" s="41" t="str" cm="1">
        <f t="array" aca="1" ref="AH119" ca="1">IFERROR(INDEX('DBX Sprint'!$A$7:$K$62, SMALL(IF((INDEX('DBX Sprint'!$A$7:$K$62, ,29)&lt;(TODAY()))*(INDEX('DBX Sprint'!$A$7:$K$62, ,29)&lt;&gt;"Complete"),MATCH(ROW('DBX Sprint'!$A$7:$K$62),ROW('DBX Sprint'!$A$7:$K$62)),""),ROWS($AH$34:AH119)),COLUMNS('DBX Sprint'!$A$1:A12)),"")</f>
        <v/>
      </c>
      <c r="AI119" s="41" t="str" cm="1">
        <f t="array" aca="1" ref="AI119" ca="1">IFERROR(INDEX('DBX Sprint'!$A$7:$K$62, SMALL(IF((INDEX('DBX Sprint'!$A$7:$K$62, ,29)&lt;=(TODAY()+1))*(INDEX('DBX Sprint'!$A$7:$K$62, ,29)&gt;=TODAY()),MATCH(ROW('DBX Sprint'!$A$7:$K$62),ROW('DBX Sprint'!$A$7:$K$62)),""),ROWS($AI$34:AI119)),COLUMNS('DBX Sprint'!$A$1:A12)),"")</f>
        <v/>
      </c>
      <c r="AJ119" s="43" t="str" cm="1">
        <f t="array" aca="1" ref="AJ119" ca="1">IFERROR(INDEX('DBX Sprint'!$A$7:$K$62, SMALL(IF((INDEX('DBX Sprint'!$A$7:$K$62, ,29)&lt;=(TODAY()+5))*(INDEX('DBX Sprint'!$A$7:$K$62, ,29)&gt;(TODAY()+1)),MATCH(ROW('DBX Sprint'!$A$7:$K$62),ROW('DBX Sprint'!$A$7:$K$62)),""),ROWS($AJ$34:AJ119)),COLUMNS('DBX Sprint'!$A$1:A12)),"")</f>
        <v/>
      </c>
      <c r="AK119" s="43" t="str" cm="1">
        <f t="array" aca="1" ref="AK119" ca="1">IFERROR(INDEX('DBX Sprint'!$A$7:$K$62, SMALL(IF((INDEX('DBX Sprint'!$A$7:$K$62, ,29)&lt;=(TODAY()+10))*(INDEX('DBX Sprint'!$A$7:$K$62, ,29)&gt;(TODAY()+5)),MATCH(ROW('DBX Sprint'!$A$7:$K$62),ROW('DBX Sprint'!$A$7:$K$62)),""),ROWS($AK$34:AK119)),COLUMNS('DBX Sprint'!$A$1:A12)),"")</f>
        <v/>
      </c>
      <c r="AM119" s="41" t="str" cm="1">
        <f t="array" ref="AM119">IFERROR(INDEX('DBX Sprint'!$A$7:$K$62, SMALL(IF((INDEX('DBX Sprint'!$A$7:$K$62, ,32)=("Complete"))*(INDEX('DBX Sprint'!$A$7:$K$62, ,32)="Complete"),MATCH(ROW('DBX Sprint'!$A$7:$K$62),ROW('DBX Sprint'!$A$7:$K$62)),""),ROWS($AM$34:AM119)),COLUMNS('DBX Sprint'!$A$1:A12)),"")</f>
        <v/>
      </c>
      <c r="AN119" s="41" t="str" cm="1">
        <f t="array" aca="1" ref="AN119" ca="1">IFERROR(INDEX('DBX Sprint'!$A$7:$K$62, SMALL(IF((INDEX('DBX Sprint'!$A$7:$K$62, ,32)&lt;(TODAY()))*(INDEX('DBX Sprint'!$A$7:$K$62, ,32)&lt;&gt;"Complete"),MATCH(ROW('DBX Sprint'!$A$7:$K$62),ROW('DBX Sprint'!$A$7:$K$62)),""),ROWS($AN$34:AN119)),COLUMNS('DBX Sprint'!$A$1:A12)),"")</f>
        <v/>
      </c>
      <c r="AO119" s="41" t="str" cm="1">
        <f t="array" aca="1" ref="AO119" ca="1">IFERROR(INDEX('DBX Sprint'!$A$7:$K$62, SMALL(IF((INDEX('DBX Sprint'!$A$7:$K$62, ,32)&lt;=(TODAY()+1))*(INDEX('DBX Sprint'!$A$7:$K$62, ,32)&gt;=TODAY()),MATCH(ROW('DBX Sprint'!$A$7:$K$62),ROW('DBX Sprint'!$A$7:$K$62)),""),ROWS($AO$34:AO119)),COLUMNS('DBX Sprint'!$A$1:A12)),"")</f>
        <v/>
      </c>
      <c r="AP119" s="43" t="str" cm="1">
        <f t="array" aca="1" ref="AP119" ca="1">IFERROR(INDEX('DBX Sprint'!$A$7:$K$62, SMALL(IF((INDEX('DBX Sprint'!$A$7:$K$62, ,32)&lt;=(TODAY()+5))*(INDEX('DBX Sprint'!$A$7:$K$62, ,32)&gt;(TODAY()+1)),MATCH(ROW('DBX Sprint'!$A$7:$K$62),ROW('DBX Sprint'!$A$7:$K$62)),""),ROWS($AP$34:AP119)),COLUMNS('DBX Sprint'!$A$1:A12)),"")</f>
        <v/>
      </c>
      <c r="AQ119" s="43" t="str" cm="1">
        <f t="array" aca="1" ref="AQ119" ca="1">IFERROR(INDEX('DBX Sprint'!$A$7:$K$62, SMALL(IF((INDEX('DBX Sprint'!$A$7:$K$62, ,32)&lt;=(TODAY()+10))*(INDEX('DBX Sprint'!$A$7:$K$62, ,32)&gt;(TODAY()+5)),MATCH(ROW('DBX Sprint'!$A$7:$K$62),ROW('DBX Sprint'!$A$7:$K$62)),""),ROWS($AQ$34:AQ119)),COLUMNS('DBX Sprint'!$A$1:A12)),"")</f>
        <v/>
      </c>
    </row>
    <row r="120" spans="3:43" ht="30" customHeight="1">
      <c r="C120" s="41" t="str" cm="1">
        <f t="array" ref="C120">IFERROR(INDEX('DBX Sprint'!$A$7:$K$62, SMALL(IF((INDEX('DBX Sprint'!$A$7:$K$62, ,13)=("Complete"))*(INDEX('DBX Sprint'!$A$7:$K$62, ,13)="Complete"),MATCH(ROW('DBX Sprint'!$A$7:$K$62),ROW('DBX Sprint'!$A$7:$K$62)),""),ROWS(C$34:$C120)),COLUMNS('DBX Sprint'!$A$1:A12)),"")</f>
        <v/>
      </c>
      <c r="D120" s="41" t="str" cm="1">
        <f t="array" aca="1" ref="D120" ca="1">IFERROR(INDEX('DBX Sprint'!$A$7:$K$62, SMALL(IF((INDEX('DBX Sprint'!$A$7:$K$62, ,13)&lt;(TODAY()))*(INDEX('DBX Sprint'!$A$7:$K$62, ,13)&lt;&gt;"Complete"),MATCH(ROW('DBX Sprint'!$A$7:$K$62),ROW('DBX Sprint'!$A$7:$K$62)),""),ROWS(D$34:$D120)),COLUMNS('DBX Sprint'!$A$1:A12)),"")</f>
        <v/>
      </c>
      <c r="E120" s="41" t="str" cm="1">
        <f t="array" aca="1" ref="E120" ca="1">IFERROR(INDEX('DBX Sprint'!$A$7:$K$62, SMALL(IF((INDEX('DBX Sprint'!$A$7:$K$62, ,13)&lt;=(TODAY()+1))*(INDEX('DBX Sprint'!$A$7:$K$62, ,13)&gt;=TODAY()),MATCH(ROW('DBX Sprint'!$A$7:$K$62),ROW('DBX Sprint'!$A$7:$K$62)),""),ROWS(E$34:$E120)),COLUMNS('DBX Sprint'!$A$1:A12)),"")</f>
        <v/>
      </c>
      <c r="F120" s="43" t="str" cm="1">
        <f t="array" aca="1" ref="F120" ca="1">IFERROR(INDEX('DBX Sprint'!$A$7:$K$62, SMALL(IF((INDEX('DBX Sprint'!$A$7:$K$62, ,13)&lt;=(TODAY()+5))*(INDEX('DBX Sprint'!$A$7:$K$62, ,13)&gt;(TODAY()+1)),MATCH(ROW('DBX Sprint'!$A$7:$K$62),ROW('DBX Sprint'!$A$7:$K$62)),""),ROWS($F$34:F120)),COLUMNS('DBX Sprint'!$A$1:A12)),"")</f>
        <v/>
      </c>
      <c r="G120" s="43" t="str" cm="1">
        <f t="array" aca="1" ref="G120" ca="1">IFERROR(INDEX('DBX Sprint'!$A$7:$K$62, SMALL(IF((INDEX('DBX Sprint'!$A$7:$K$62, ,13)&lt;=(TODAY()+10))*(INDEX('DBX Sprint'!$A$7:$K$62, ,13)&gt;(TODAY()+5)),MATCH(ROW('DBX Sprint'!$A$7:$K$62),ROW('DBX Sprint'!$A$7:$K$62)),""),ROWS($G$34:G120)),COLUMNS('DBX Sprint'!$A$1:A12)),"")</f>
        <v/>
      </c>
      <c r="I120" s="41" t="str" cm="1">
        <f t="array" ref="I120">IFERROR(INDEX('DBX Sprint'!$A$7:$K$62, SMALL(IF((INDEX('DBX Sprint'!$A$7:$K$62, ,16)=("Complete"))*(INDEX('DBX Sprint'!$A$7:$K$62, ,16)="Complete"),MATCH(ROW('DBX Sprint'!$A$7:$K$62),ROW('DBX Sprint'!$A$7:$K$62)),""),ROWS($I$34:I120)),COLUMNS('DBX Sprint'!$A$1:A12)),"")</f>
        <v/>
      </c>
      <c r="J120" s="41" t="str" cm="1">
        <f t="array" aca="1" ref="J120" ca="1">IFERROR(INDEX('DBX Sprint'!$A$7:$K$62, SMALL(IF((INDEX('DBX Sprint'!$A$7:$K$62, ,16)&lt;(TODAY()))*(INDEX('DBX Sprint'!$A$7:$K$62, ,16)&lt;&gt;"Complete"),MATCH(ROW('DBX Sprint'!$A$7:$K$62),ROW('DBX Sprint'!$A$7:$K$62)),""),ROWS($J$34:J120)),COLUMNS('DBX Sprint'!$A$1:A12)),"")</f>
        <v/>
      </c>
      <c r="K120" s="41" t="str" cm="1">
        <f t="array" aca="1" ref="K120" ca="1">IFERROR(INDEX('DBX Sprint'!$A$7:$K$62, SMALL(IF((INDEX('DBX Sprint'!$A$7:$K$62, ,16)&lt;=(TODAY()+1))*(INDEX('DBX Sprint'!$A$7:$K$62, ,16)&gt;=TODAY()),MATCH(ROW('DBX Sprint'!$A$7:$K$62),ROW('DBX Sprint'!$A$7:$K$62)),""),ROWS($K$34:K120)),COLUMNS('DBX Sprint'!$A$1:A12)),"")</f>
        <v/>
      </c>
      <c r="L120" s="43" t="str" cm="1">
        <f t="array" aca="1" ref="L120" ca="1">IFERROR(INDEX('DBX Sprint'!$A$7:$K$62, SMALL(IF((INDEX('DBX Sprint'!$A$7:$K$62, ,16)&lt;=(TODAY()+5))*(INDEX('DBX Sprint'!$A$7:$K$62, ,16)&gt;(TODAY()+1)),MATCH(ROW('DBX Sprint'!$A$7:$K$62),ROW('DBX Sprint'!$A$7:$K$62)),""),ROWS($L$34:L120)),COLUMNS('DBX Sprint'!$A$1:A12)),"")</f>
        <v/>
      </c>
      <c r="M120" s="43" t="str" cm="1">
        <f t="array" aca="1" ref="M120" ca="1">IFERROR(INDEX('DBX Sprint'!$A$7:$K$62, SMALL(IF((INDEX('DBX Sprint'!$A$7:$K$62, ,16)&lt;=(TODAY()+10))*(INDEX('DBX Sprint'!$A$7:$K$62, ,16)&gt;(TODAY()+5)),MATCH(ROW('DBX Sprint'!$A$7:$K$62),ROW('DBX Sprint'!$A$7:$K$62)),""),ROWS($M$34:M120)),COLUMNS('DBX Sprint'!$A$1:A12)),"")</f>
        <v/>
      </c>
      <c r="P120" s="41" t="str" cm="1">
        <f t="array" aca="1" ref="P120" ca="1">IFERROR(INDEX('DBX Sprint'!$A$7:$K$62, SMALL(IF((INDEX('DBX Sprint'!$A$7:$K$62, ,19)&lt;(TODAY()))*(INDEX('DBX Sprint'!$A$7:$K$62, ,19)&lt;&gt;"Complete"),MATCH(ROW('DBX Sprint'!$A$7:$K$62),ROW('DBX Sprint'!$A$7:$K$62)),""),ROWS($P$34:P120)),COLUMNS('DBX Sprint'!$A$1:A12)),"")</f>
        <v/>
      </c>
      <c r="Q120" s="41" t="str" cm="1">
        <f t="array" aca="1" ref="Q120" ca="1">IFERROR(INDEX('DBX Sprint'!$A$7:$K$62, SMALL(IF((INDEX('DBX Sprint'!$A$7:$K$62, ,19)&lt;=(TODAY()+1))*(INDEX('DBX Sprint'!$A$7:$K$62, ,19)&gt;=TODAY()),MATCH(ROW('DBX Sprint'!$A$7:$K$62),ROW('DBX Sprint'!$A$7:$K$62)),""),ROWS($Q$34:Q120)),COLUMNS('DBX Sprint'!$A$1:A12)),"")</f>
        <v/>
      </c>
      <c r="R120" s="43" t="str" cm="1">
        <f t="array" aca="1" ref="R120" ca="1">IFERROR(INDEX('DBX Sprint'!$A$7:$K$62, SMALL(IF((INDEX('DBX Sprint'!$A$7:$K$62, ,19)&lt;=(TODAY()+5))*(INDEX('DBX Sprint'!$A$7:$K$62, ,19)&gt;(TODAY()+1)),MATCH(ROW('DBX Sprint'!$A$7:$K$62),ROW('DBX Sprint'!$A$7:$K$62)),""),ROWS($R$34:R120)),COLUMNS('DBX Sprint'!$A$1:A12)),"")</f>
        <v/>
      </c>
      <c r="S120" s="43" t="str" cm="1">
        <f t="array" aca="1" ref="S120" ca="1">IFERROR(INDEX('DBX Sprint'!$A$7:$K$62, SMALL(IF((INDEX('DBX Sprint'!$A$7:$K$62, ,19)&lt;=(TODAY()+10))*(INDEX('DBX Sprint'!$A$7:$K$62, ,19)&gt;(TODAY()+5)),MATCH(ROW('DBX Sprint'!$A$7:$K$62),ROW('DBX Sprint'!$A$7:$K$62)),""),ROWS($S$34:S120)),COLUMNS('DBX Sprint'!$A$1:A12)),"")</f>
        <v/>
      </c>
      <c r="U120" s="41" t="str" cm="1">
        <f t="array" ref="U120">IFERROR(INDEX('DBX Sprint'!$A$7:$K$62, SMALL(IF((INDEX('DBX Sprint'!$A$7:$K$62, ,22)=("Complete"))*(INDEX('DBX Sprint'!$A$7:$K$62, ,22)="Complete"),MATCH(ROW('DBX Sprint'!$A$7:$K$62),ROW('DBX Sprint'!$A$7:$K$62)),""),ROWS($U$34:U120)),COLUMNS('DBX Sprint'!$A$1:A12)),"")</f>
        <v/>
      </c>
      <c r="V120" s="41" t="str" cm="1">
        <f t="array" aca="1" ref="V120" ca="1">IFERROR(INDEX('DBX Sprint'!$A$7:$K$62, SMALL(IF((INDEX('DBX Sprint'!$A$7:$K$62, ,22)&lt;(TODAY()))*(INDEX('DBX Sprint'!$A$7:$K$62, ,22)&lt;&gt;"Complete"),MATCH(ROW('DBX Sprint'!$A$7:$K$62),ROW('DBX Sprint'!$A$7:$K$62)),""),ROWS($V$34:V120)),COLUMNS('DBX Sprint'!$A$1:A12)),"")</f>
        <v/>
      </c>
      <c r="W120" s="41" t="str" cm="1">
        <f t="array" aca="1" ref="W120" ca="1">IFERROR(INDEX('DBX Sprint'!$A$7:$K$62, SMALL(IF((INDEX('DBX Sprint'!$A$7:$K$62, ,22)&lt;=(TODAY()+1))*(INDEX('DBX Sprint'!$A$7:$K$62, ,22)&gt;=TODAY()),MATCH(ROW('DBX Sprint'!$A$7:$K$62),ROW('DBX Sprint'!$A$7:$K$62)),""),ROWS($W$34:W120)),COLUMNS('DBX Sprint'!$A$1:A12)),"")</f>
        <v/>
      </c>
      <c r="X120" s="43" t="str" cm="1">
        <f t="array" aca="1" ref="X120" ca="1">IFERROR(INDEX('DBX Sprint'!$A$7:$K$62, SMALL(IF((INDEX('DBX Sprint'!$A$7:$K$62, ,22)&lt;=(TODAY()+5))*(INDEX('DBX Sprint'!$A$7:$K$62, ,22)&gt;(TODAY()+1)),MATCH(ROW('DBX Sprint'!$A$7:$K$62),ROW('DBX Sprint'!$A$7:$K$62)),""),ROWS($X$34:X120)),COLUMNS('DBX Sprint'!$A$1:A12)),"")</f>
        <v/>
      </c>
      <c r="Y120" s="43" t="str" cm="1">
        <f t="array" aca="1" ref="Y120" ca="1">IFERROR(INDEX('DBX Sprint'!$A$7:$K$62, SMALL(IF((INDEX('DBX Sprint'!$A$7:$K$62, ,22)&lt;=(TODAY()+10))*(INDEX('DBX Sprint'!$A$7:$K$62, ,22)&gt;(TODAY()+5)),MATCH(ROW('DBX Sprint'!$A$7:$K$62),ROW('DBX Sprint'!$A$7:$K$62)),""),ROWS($Y$34:Y120)),COLUMNS('DBX Sprint'!$A$1:A12)),"")</f>
        <v/>
      </c>
      <c r="AA120" s="41" t="str" cm="1">
        <f t="array" ref="AA120">IFERROR(INDEX('DBX Sprint'!$A$7:$K$62, SMALL(IF((INDEX('DBX Sprint'!$A$7:$K$62, ,25)=("Complete"))*(INDEX('DBX Sprint'!$A$7:$K$62, ,25)="Complete"),MATCH(ROW('DBX Sprint'!$A$7:$K$62),ROW('DBX Sprint'!$A$7:$K$62)),""),ROWS($AA$34:AA120)),COLUMNS('DBX Sprint'!$A$1:A12)),"")</f>
        <v/>
      </c>
      <c r="AB120" s="41" t="str" cm="1">
        <f t="array" aca="1" ref="AB120" ca="1">IFERROR(INDEX('DBX Sprint'!$A$7:$K$62, SMALL(IF((INDEX('DBX Sprint'!$A$7:$K$62, ,25)&lt;(TODAY()))*(INDEX('DBX Sprint'!$A$7:$K$62, ,25)&lt;&gt;"Complete"),MATCH(ROW('DBX Sprint'!$A$7:$K$62),ROW('DBX Sprint'!$A$7:$K$62)),""),ROWS($AB$34:AB120)),COLUMNS('DBX Sprint'!$A$1:A12)),"")</f>
        <v/>
      </c>
      <c r="AC120" s="41" t="str" cm="1">
        <f t="array" aca="1" ref="AC120" ca="1">IFERROR(INDEX('DBX Sprint'!$A$7:$K$62, SMALL(IF((INDEX('DBX Sprint'!$A$7:$K$62, ,25)&lt;=(TODAY()+1))*(INDEX('DBX Sprint'!$A$7:$K$62, ,25)&gt;=TODAY()),MATCH(ROW('DBX Sprint'!$A$7:$K$62),ROW('DBX Sprint'!$A$7:$K$62)),""),ROWS($AC$34:AC120)),COLUMNS('DBX Sprint'!$A$1:A12)),"")</f>
        <v/>
      </c>
      <c r="AD120" s="43" t="str" cm="1">
        <f t="array" aca="1" ref="AD120" ca="1">IFERROR(INDEX('DBX Sprint'!$A$7:$K$62, SMALL(IF((INDEX('DBX Sprint'!$A$7:$K$62, ,25)&lt;=(TODAY()+5))*(INDEX('DBX Sprint'!$A$7:$K$62, ,25)&gt;(TODAY()+1)),MATCH(ROW('DBX Sprint'!$A$7:$K$62),ROW('DBX Sprint'!$A$7:$K$62)),""),ROWS($AD$34:AD120)),COLUMNS('DBX Sprint'!$A$1:A12)),"")</f>
        <v/>
      </c>
      <c r="AE120" s="43" t="str" cm="1">
        <f t="array" aca="1" ref="AE120" ca="1">IFERROR(INDEX('DBX Sprint'!$A$7:$K$62, SMALL(IF((INDEX('DBX Sprint'!$A$7:$K$62, ,25)&lt;=(TODAY()+10))*(INDEX('DBX Sprint'!$A$7:$K$62, ,25)&gt;(TODAY()+5)),MATCH(ROW('DBX Sprint'!$A$7:$K$62),ROW('DBX Sprint'!$A$7:$K$62)),""),ROWS($AE$34:AE120)),COLUMNS('DBX Sprint'!$A$1:A12)),"")</f>
        <v/>
      </c>
      <c r="AG120" s="41" t="str" cm="1">
        <f t="array" ref="AG120">IFERROR(INDEX('DBX Sprint'!$A$7:$K$62, SMALL(IF((INDEX('DBX Sprint'!$A$7:$K$62, ,29)=("Complete"))*(INDEX('DBX Sprint'!$A$7:$K$62, ,29)="Complete"),MATCH(ROW('DBX Sprint'!$A$7:$K$62),ROW('DBX Sprint'!$A$7:$K$62)),""),ROWS($AG$34:AG120)),COLUMNS('DBX Sprint'!$A$1:A12)),"")</f>
        <v/>
      </c>
      <c r="AH120" s="41" t="str" cm="1">
        <f t="array" aca="1" ref="AH120" ca="1">IFERROR(INDEX('DBX Sprint'!$A$7:$K$62, SMALL(IF((INDEX('DBX Sprint'!$A$7:$K$62, ,29)&lt;(TODAY()))*(INDEX('DBX Sprint'!$A$7:$K$62, ,29)&lt;&gt;"Complete"),MATCH(ROW('DBX Sprint'!$A$7:$K$62),ROW('DBX Sprint'!$A$7:$K$62)),""),ROWS($AH$34:AH120)),COLUMNS('DBX Sprint'!$A$1:A12)),"")</f>
        <v/>
      </c>
      <c r="AI120" s="41" t="str" cm="1">
        <f t="array" aca="1" ref="AI120" ca="1">IFERROR(INDEX('DBX Sprint'!$A$7:$K$62, SMALL(IF((INDEX('DBX Sprint'!$A$7:$K$62, ,29)&lt;=(TODAY()+1))*(INDEX('DBX Sprint'!$A$7:$K$62, ,29)&gt;=TODAY()),MATCH(ROW('DBX Sprint'!$A$7:$K$62),ROW('DBX Sprint'!$A$7:$K$62)),""),ROWS($AI$34:AI120)),COLUMNS('DBX Sprint'!$A$1:A12)),"")</f>
        <v/>
      </c>
      <c r="AJ120" s="43" t="str" cm="1">
        <f t="array" aca="1" ref="AJ120" ca="1">IFERROR(INDEX('DBX Sprint'!$A$7:$K$62, SMALL(IF((INDEX('DBX Sprint'!$A$7:$K$62, ,29)&lt;=(TODAY()+5))*(INDEX('DBX Sprint'!$A$7:$K$62, ,29)&gt;(TODAY()+1)),MATCH(ROW('DBX Sprint'!$A$7:$K$62),ROW('DBX Sprint'!$A$7:$K$62)),""),ROWS($AJ$34:AJ120)),COLUMNS('DBX Sprint'!$A$1:A12)),"")</f>
        <v/>
      </c>
      <c r="AK120" s="43" t="str" cm="1">
        <f t="array" aca="1" ref="AK120" ca="1">IFERROR(INDEX('DBX Sprint'!$A$7:$K$62, SMALL(IF((INDEX('DBX Sprint'!$A$7:$K$62, ,29)&lt;=(TODAY()+10))*(INDEX('DBX Sprint'!$A$7:$K$62, ,29)&gt;(TODAY()+5)),MATCH(ROW('DBX Sprint'!$A$7:$K$62),ROW('DBX Sprint'!$A$7:$K$62)),""),ROWS($AK$34:AK120)),COLUMNS('DBX Sprint'!$A$1:A12)),"")</f>
        <v/>
      </c>
      <c r="AM120" s="41" t="str" cm="1">
        <f t="array" ref="AM120">IFERROR(INDEX('DBX Sprint'!$A$7:$K$62, SMALL(IF((INDEX('DBX Sprint'!$A$7:$K$62, ,32)=("Complete"))*(INDEX('DBX Sprint'!$A$7:$K$62, ,32)="Complete"),MATCH(ROW('DBX Sprint'!$A$7:$K$62),ROW('DBX Sprint'!$A$7:$K$62)),""),ROWS($AM$34:AM120)),COLUMNS('DBX Sprint'!$A$1:A12)),"")</f>
        <v/>
      </c>
      <c r="AN120" s="41" t="str" cm="1">
        <f t="array" aca="1" ref="AN120" ca="1">IFERROR(INDEX('DBX Sprint'!$A$7:$K$62, SMALL(IF((INDEX('DBX Sprint'!$A$7:$K$62, ,32)&lt;(TODAY()))*(INDEX('DBX Sprint'!$A$7:$K$62, ,32)&lt;&gt;"Complete"),MATCH(ROW('DBX Sprint'!$A$7:$K$62),ROW('DBX Sprint'!$A$7:$K$62)),""),ROWS($AN$34:AN120)),COLUMNS('DBX Sprint'!$A$1:A12)),"")</f>
        <v/>
      </c>
      <c r="AO120" s="41" t="str" cm="1">
        <f t="array" aca="1" ref="AO120" ca="1">IFERROR(INDEX('DBX Sprint'!$A$7:$K$62, SMALL(IF((INDEX('DBX Sprint'!$A$7:$K$62, ,32)&lt;=(TODAY()+1))*(INDEX('DBX Sprint'!$A$7:$K$62, ,32)&gt;=TODAY()),MATCH(ROW('DBX Sprint'!$A$7:$K$62),ROW('DBX Sprint'!$A$7:$K$62)),""),ROWS($AO$34:AO120)),COLUMNS('DBX Sprint'!$A$1:A12)),"")</f>
        <v/>
      </c>
      <c r="AP120" s="43" t="str" cm="1">
        <f t="array" aca="1" ref="AP120" ca="1">IFERROR(INDEX('DBX Sprint'!$A$7:$K$62, SMALL(IF((INDEX('DBX Sprint'!$A$7:$K$62, ,32)&lt;=(TODAY()+5))*(INDEX('DBX Sprint'!$A$7:$K$62, ,32)&gt;(TODAY()+1)),MATCH(ROW('DBX Sprint'!$A$7:$K$62),ROW('DBX Sprint'!$A$7:$K$62)),""),ROWS($AP$34:AP120)),COLUMNS('DBX Sprint'!$A$1:A12)),"")</f>
        <v/>
      </c>
      <c r="AQ120" s="43" t="str" cm="1">
        <f t="array" aca="1" ref="AQ120" ca="1">IFERROR(INDEX('DBX Sprint'!$A$7:$K$62, SMALL(IF((INDEX('DBX Sprint'!$A$7:$K$62, ,32)&lt;=(TODAY()+10))*(INDEX('DBX Sprint'!$A$7:$K$62, ,32)&gt;(TODAY()+5)),MATCH(ROW('DBX Sprint'!$A$7:$K$62),ROW('DBX Sprint'!$A$7:$K$62)),""),ROWS($AQ$34:AQ120)),COLUMNS('DBX Sprint'!$A$1:A12)),"")</f>
        <v/>
      </c>
    </row>
    <row r="121" spans="3:43" ht="30" customHeight="1">
      <c r="C121" s="41" t="str" cm="1">
        <f t="array" ref="C121">IFERROR(INDEX('DBX Sprint'!$A$7:$K$62, SMALL(IF((INDEX('DBX Sprint'!$A$7:$K$62, ,13)=("Complete"))*(INDEX('DBX Sprint'!$A$7:$K$62, ,13)="Complete"),MATCH(ROW('DBX Sprint'!$A$7:$K$62),ROW('DBX Sprint'!$A$7:$K$62)),""),ROWS(C$34:$C121)),COLUMNS('DBX Sprint'!$A$1:A12)),"")</f>
        <v/>
      </c>
      <c r="D121" s="41" t="str" cm="1">
        <f t="array" aca="1" ref="D121" ca="1">IFERROR(INDEX('DBX Sprint'!$A$7:$K$62, SMALL(IF((INDEX('DBX Sprint'!$A$7:$K$62, ,13)&lt;(TODAY()))*(INDEX('DBX Sprint'!$A$7:$K$62, ,13)&lt;&gt;"Complete"),MATCH(ROW('DBX Sprint'!$A$7:$K$62),ROW('DBX Sprint'!$A$7:$K$62)),""),ROWS(D$34:$D121)),COLUMNS('DBX Sprint'!$A$1:A12)),"")</f>
        <v/>
      </c>
      <c r="E121" s="41" t="str" cm="1">
        <f t="array" aca="1" ref="E121" ca="1">IFERROR(INDEX('DBX Sprint'!$A$7:$K$62, SMALL(IF((INDEX('DBX Sprint'!$A$7:$K$62, ,13)&lt;=(TODAY()+1))*(INDEX('DBX Sprint'!$A$7:$K$62, ,13)&gt;=TODAY()),MATCH(ROW('DBX Sprint'!$A$7:$K$62),ROW('DBX Sprint'!$A$7:$K$62)),""),ROWS(E$34:$E121)),COLUMNS('DBX Sprint'!$A$1:A12)),"")</f>
        <v/>
      </c>
      <c r="F121" s="43" t="str" cm="1">
        <f t="array" aca="1" ref="F121" ca="1">IFERROR(INDEX('DBX Sprint'!$A$7:$K$62, SMALL(IF((INDEX('DBX Sprint'!$A$7:$K$62, ,13)&lt;=(TODAY()+5))*(INDEX('DBX Sprint'!$A$7:$K$62, ,13)&gt;(TODAY()+1)),MATCH(ROW('DBX Sprint'!$A$7:$K$62),ROW('DBX Sprint'!$A$7:$K$62)),""),ROWS($F$34:F121)),COLUMNS('DBX Sprint'!$A$1:A12)),"")</f>
        <v/>
      </c>
      <c r="G121" s="43" t="str" cm="1">
        <f t="array" aca="1" ref="G121" ca="1">IFERROR(INDEX('DBX Sprint'!$A$7:$K$62, SMALL(IF((INDEX('DBX Sprint'!$A$7:$K$62, ,13)&lt;=(TODAY()+10))*(INDEX('DBX Sprint'!$A$7:$K$62, ,13)&gt;(TODAY()+5)),MATCH(ROW('DBX Sprint'!$A$7:$K$62),ROW('DBX Sprint'!$A$7:$K$62)),""),ROWS($G$34:G121)),COLUMNS('DBX Sprint'!$A$1:A12)),"")</f>
        <v/>
      </c>
      <c r="I121" s="41" t="str" cm="1">
        <f t="array" ref="I121">IFERROR(INDEX('DBX Sprint'!$A$7:$K$62, SMALL(IF((INDEX('DBX Sprint'!$A$7:$K$62, ,16)=("Complete"))*(INDEX('DBX Sprint'!$A$7:$K$62, ,16)="Complete"),MATCH(ROW('DBX Sprint'!$A$7:$K$62),ROW('DBX Sprint'!$A$7:$K$62)),""),ROWS($I$34:I121)),COLUMNS('DBX Sprint'!$A$1:A12)),"")</f>
        <v/>
      </c>
      <c r="J121" s="41" t="str" cm="1">
        <f t="array" aca="1" ref="J121" ca="1">IFERROR(INDEX('DBX Sprint'!$A$7:$K$62, SMALL(IF((INDEX('DBX Sprint'!$A$7:$K$62, ,16)&lt;(TODAY()))*(INDEX('DBX Sprint'!$A$7:$K$62, ,16)&lt;&gt;"Complete"),MATCH(ROW('DBX Sprint'!$A$7:$K$62),ROW('DBX Sprint'!$A$7:$K$62)),""),ROWS($J$34:J121)),COLUMNS('DBX Sprint'!$A$1:A12)),"")</f>
        <v/>
      </c>
      <c r="K121" s="41" t="str" cm="1">
        <f t="array" aca="1" ref="K121" ca="1">IFERROR(INDEX('DBX Sprint'!$A$7:$K$62, SMALL(IF((INDEX('DBX Sprint'!$A$7:$K$62, ,16)&lt;=(TODAY()+1))*(INDEX('DBX Sprint'!$A$7:$K$62, ,16)&gt;=TODAY()),MATCH(ROW('DBX Sprint'!$A$7:$K$62),ROW('DBX Sprint'!$A$7:$K$62)),""),ROWS($K$34:K121)),COLUMNS('DBX Sprint'!$A$1:A12)),"")</f>
        <v/>
      </c>
      <c r="L121" s="43" t="str" cm="1">
        <f t="array" aca="1" ref="L121" ca="1">IFERROR(INDEX('DBX Sprint'!$A$7:$K$62, SMALL(IF((INDEX('DBX Sprint'!$A$7:$K$62, ,16)&lt;=(TODAY()+5))*(INDEX('DBX Sprint'!$A$7:$K$62, ,16)&gt;(TODAY()+1)),MATCH(ROW('DBX Sprint'!$A$7:$K$62),ROW('DBX Sprint'!$A$7:$K$62)),""),ROWS($L$34:L121)),COLUMNS('DBX Sprint'!$A$1:A12)),"")</f>
        <v/>
      </c>
      <c r="M121" s="43" t="str" cm="1">
        <f t="array" aca="1" ref="M121" ca="1">IFERROR(INDEX('DBX Sprint'!$A$7:$K$62, SMALL(IF((INDEX('DBX Sprint'!$A$7:$K$62, ,16)&lt;=(TODAY()+10))*(INDEX('DBX Sprint'!$A$7:$K$62, ,16)&gt;(TODAY()+5)),MATCH(ROW('DBX Sprint'!$A$7:$K$62),ROW('DBX Sprint'!$A$7:$K$62)),""),ROWS($M$34:M121)),COLUMNS('DBX Sprint'!$A$1:A12)),"")</f>
        <v/>
      </c>
      <c r="P121" s="41" t="str" cm="1">
        <f t="array" aca="1" ref="P121" ca="1">IFERROR(INDEX('DBX Sprint'!$A$7:$K$62, SMALL(IF((INDEX('DBX Sprint'!$A$7:$K$62, ,19)&lt;(TODAY()))*(INDEX('DBX Sprint'!$A$7:$K$62, ,19)&lt;&gt;"Complete"),MATCH(ROW('DBX Sprint'!$A$7:$K$62),ROW('DBX Sprint'!$A$7:$K$62)),""),ROWS($P$34:P121)),COLUMNS('DBX Sprint'!$A$1:A12)),"")</f>
        <v/>
      </c>
      <c r="Q121" s="41" t="str" cm="1">
        <f t="array" aca="1" ref="Q121" ca="1">IFERROR(INDEX('DBX Sprint'!$A$7:$K$62, SMALL(IF((INDEX('DBX Sprint'!$A$7:$K$62, ,19)&lt;=(TODAY()+1))*(INDEX('DBX Sprint'!$A$7:$K$62, ,19)&gt;=TODAY()),MATCH(ROW('DBX Sprint'!$A$7:$K$62),ROW('DBX Sprint'!$A$7:$K$62)),""),ROWS($Q$34:Q121)),COLUMNS('DBX Sprint'!$A$1:A12)),"")</f>
        <v/>
      </c>
      <c r="R121" s="43" t="str" cm="1">
        <f t="array" aca="1" ref="R121" ca="1">IFERROR(INDEX('DBX Sprint'!$A$7:$K$62, SMALL(IF((INDEX('DBX Sprint'!$A$7:$K$62, ,19)&lt;=(TODAY()+5))*(INDEX('DBX Sprint'!$A$7:$K$62, ,19)&gt;(TODAY()+1)),MATCH(ROW('DBX Sprint'!$A$7:$K$62),ROW('DBX Sprint'!$A$7:$K$62)),""),ROWS($R$34:R121)),COLUMNS('DBX Sprint'!$A$1:A12)),"")</f>
        <v/>
      </c>
      <c r="S121" s="43" t="str" cm="1">
        <f t="array" aca="1" ref="S121" ca="1">IFERROR(INDEX('DBX Sprint'!$A$7:$K$62, SMALL(IF((INDEX('DBX Sprint'!$A$7:$K$62, ,19)&lt;=(TODAY()+10))*(INDEX('DBX Sprint'!$A$7:$K$62, ,19)&gt;(TODAY()+5)),MATCH(ROW('DBX Sprint'!$A$7:$K$62),ROW('DBX Sprint'!$A$7:$K$62)),""),ROWS($S$34:S121)),COLUMNS('DBX Sprint'!$A$1:A12)),"")</f>
        <v/>
      </c>
      <c r="U121" s="41" t="str" cm="1">
        <f t="array" ref="U121">IFERROR(INDEX('DBX Sprint'!$A$7:$K$62, SMALL(IF((INDEX('DBX Sprint'!$A$7:$K$62, ,22)=("Complete"))*(INDEX('DBX Sprint'!$A$7:$K$62, ,22)="Complete"),MATCH(ROW('DBX Sprint'!$A$7:$K$62),ROW('DBX Sprint'!$A$7:$K$62)),""),ROWS($U$34:U121)),COLUMNS('DBX Sprint'!$A$1:A12)),"")</f>
        <v/>
      </c>
      <c r="V121" s="41" t="str" cm="1">
        <f t="array" aca="1" ref="V121" ca="1">IFERROR(INDEX('DBX Sprint'!$A$7:$K$62, SMALL(IF((INDEX('DBX Sprint'!$A$7:$K$62, ,22)&lt;(TODAY()))*(INDEX('DBX Sprint'!$A$7:$K$62, ,22)&lt;&gt;"Complete"),MATCH(ROW('DBX Sprint'!$A$7:$K$62),ROW('DBX Sprint'!$A$7:$K$62)),""),ROWS($V$34:V121)),COLUMNS('DBX Sprint'!$A$1:A12)),"")</f>
        <v/>
      </c>
      <c r="W121" s="41" t="str" cm="1">
        <f t="array" aca="1" ref="W121" ca="1">IFERROR(INDEX('DBX Sprint'!$A$7:$K$62, SMALL(IF((INDEX('DBX Sprint'!$A$7:$K$62, ,22)&lt;=(TODAY()+1))*(INDEX('DBX Sprint'!$A$7:$K$62, ,22)&gt;=TODAY()),MATCH(ROW('DBX Sprint'!$A$7:$K$62),ROW('DBX Sprint'!$A$7:$K$62)),""),ROWS($W$34:W121)),COLUMNS('DBX Sprint'!$A$1:A12)),"")</f>
        <v/>
      </c>
      <c r="X121" s="43" t="str" cm="1">
        <f t="array" aca="1" ref="X121" ca="1">IFERROR(INDEX('DBX Sprint'!$A$7:$K$62, SMALL(IF((INDEX('DBX Sprint'!$A$7:$K$62, ,22)&lt;=(TODAY()+5))*(INDEX('DBX Sprint'!$A$7:$K$62, ,22)&gt;(TODAY()+1)),MATCH(ROW('DBX Sprint'!$A$7:$K$62),ROW('DBX Sprint'!$A$7:$K$62)),""),ROWS($X$34:X121)),COLUMNS('DBX Sprint'!$A$1:A12)),"")</f>
        <v/>
      </c>
      <c r="Y121" s="43" t="str" cm="1">
        <f t="array" aca="1" ref="Y121" ca="1">IFERROR(INDEX('DBX Sprint'!$A$7:$K$62, SMALL(IF((INDEX('DBX Sprint'!$A$7:$K$62, ,22)&lt;=(TODAY()+10))*(INDEX('DBX Sprint'!$A$7:$K$62, ,22)&gt;(TODAY()+5)),MATCH(ROW('DBX Sprint'!$A$7:$K$62),ROW('DBX Sprint'!$A$7:$K$62)),""),ROWS($Y$34:Y121)),COLUMNS('DBX Sprint'!$A$1:A12)),"")</f>
        <v/>
      </c>
      <c r="AA121" s="41" t="str" cm="1">
        <f t="array" ref="AA121">IFERROR(INDEX('DBX Sprint'!$A$7:$K$62, SMALL(IF((INDEX('DBX Sprint'!$A$7:$K$62, ,25)=("Complete"))*(INDEX('DBX Sprint'!$A$7:$K$62, ,25)="Complete"),MATCH(ROW('DBX Sprint'!$A$7:$K$62),ROW('DBX Sprint'!$A$7:$K$62)),""),ROWS($AA$34:AA121)),COLUMNS('DBX Sprint'!$A$1:A12)),"")</f>
        <v/>
      </c>
      <c r="AB121" s="41" t="str" cm="1">
        <f t="array" aca="1" ref="AB121" ca="1">IFERROR(INDEX('DBX Sprint'!$A$7:$K$62, SMALL(IF((INDEX('DBX Sprint'!$A$7:$K$62, ,25)&lt;(TODAY()))*(INDEX('DBX Sprint'!$A$7:$K$62, ,25)&lt;&gt;"Complete"),MATCH(ROW('DBX Sprint'!$A$7:$K$62),ROW('DBX Sprint'!$A$7:$K$62)),""),ROWS($AB$34:AB121)),COLUMNS('DBX Sprint'!$A$1:A12)),"")</f>
        <v/>
      </c>
      <c r="AC121" s="41" t="str" cm="1">
        <f t="array" aca="1" ref="AC121" ca="1">IFERROR(INDEX('DBX Sprint'!$A$7:$K$62, SMALL(IF((INDEX('DBX Sprint'!$A$7:$K$62, ,25)&lt;=(TODAY()+1))*(INDEX('DBX Sprint'!$A$7:$K$62, ,25)&gt;=TODAY()),MATCH(ROW('DBX Sprint'!$A$7:$K$62),ROW('DBX Sprint'!$A$7:$K$62)),""),ROWS($AC$34:AC121)),COLUMNS('DBX Sprint'!$A$1:A12)),"")</f>
        <v/>
      </c>
      <c r="AD121" s="43" t="str" cm="1">
        <f t="array" aca="1" ref="AD121" ca="1">IFERROR(INDEX('DBX Sprint'!$A$7:$K$62, SMALL(IF((INDEX('DBX Sprint'!$A$7:$K$62, ,25)&lt;=(TODAY()+5))*(INDEX('DBX Sprint'!$A$7:$K$62, ,25)&gt;(TODAY()+1)),MATCH(ROW('DBX Sprint'!$A$7:$K$62),ROW('DBX Sprint'!$A$7:$K$62)),""),ROWS($AD$34:AD121)),COLUMNS('DBX Sprint'!$A$1:A12)),"")</f>
        <v/>
      </c>
      <c r="AE121" s="43" t="str" cm="1">
        <f t="array" aca="1" ref="AE121" ca="1">IFERROR(INDEX('DBX Sprint'!$A$7:$K$62, SMALL(IF((INDEX('DBX Sprint'!$A$7:$K$62, ,25)&lt;=(TODAY()+10))*(INDEX('DBX Sprint'!$A$7:$K$62, ,25)&gt;(TODAY()+5)),MATCH(ROW('DBX Sprint'!$A$7:$K$62),ROW('DBX Sprint'!$A$7:$K$62)),""),ROWS($AE$34:AE121)),COLUMNS('DBX Sprint'!$A$1:A12)),"")</f>
        <v/>
      </c>
      <c r="AG121" s="41" t="str" cm="1">
        <f t="array" ref="AG121">IFERROR(INDEX('DBX Sprint'!$A$7:$K$62, SMALL(IF((INDEX('DBX Sprint'!$A$7:$K$62, ,29)=("Complete"))*(INDEX('DBX Sprint'!$A$7:$K$62, ,29)="Complete"),MATCH(ROW('DBX Sprint'!$A$7:$K$62),ROW('DBX Sprint'!$A$7:$K$62)),""),ROWS($AG$34:AG121)),COLUMNS('DBX Sprint'!$A$1:A12)),"")</f>
        <v/>
      </c>
      <c r="AH121" s="41" t="str" cm="1">
        <f t="array" aca="1" ref="AH121" ca="1">IFERROR(INDEX('DBX Sprint'!$A$7:$K$62, SMALL(IF((INDEX('DBX Sprint'!$A$7:$K$62, ,29)&lt;(TODAY()))*(INDEX('DBX Sprint'!$A$7:$K$62, ,29)&lt;&gt;"Complete"),MATCH(ROW('DBX Sprint'!$A$7:$K$62),ROW('DBX Sprint'!$A$7:$K$62)),""),ROWS($AH$34:AH121)),COLUMNS('DBX Sprint'!$A$1:A12)),"")</f>
        <v/>
      </c>
      <c r="AI121" s="41" t="str" cm="1">
        <f t="array" aca="1" ref="AI121" ca="1">IFERROR(INDEX('DBX Sprint'!$A$7:$K$62, SMALL(IF((INDEX('DBX Sprint'!$A$7:$K$62, ,29)&lt;=(TODAY()+1))*(INDEX('DBX Sprint'!$A$7:$K$62, ,29)&gt;=TODAY()),MATCH(ROW('DBX Sprint'!$A$7:$K$62),ROW('DBX Sprint'!$A$7:$K$62)),""),ROWS($AI$34:AI121)),COLUMNS('DBX Sprint'!$A$1:A12)),"")</f>
        <v/>
      </c>
      <c r="AJ121" s="43" t="str" cm="1">
        <f t="array" aca="1" ref="AJ121" ca="1">IFERROR(INDEX('DBX Sprint'!$A$7:$K$62, SMALL(IF((INDEX('DBX Sprint'!$A$7:$K$62, ,29)&lt;=(TODAY()+5))*(INDEX('DBX Sprint'!$A$7:$K$62, ,29)&gt;(TODAY()+1)),MATCH(ROW('DBX Sprint'!$A$7:$K$62),ROW('DBX Sprint'!$A$7:$K$62)),""),ROWS($AJ$34:AJ121)),COLUMNS('DBX Sprint'!$A$1:A12)),"")</f>
        <v/>
      </c>
      <c r="AK121" s="43" t="str" cm="1">
        <f t="array" aca="1" ref="AK121" ca="1">IFERROR(INDEX('DBX Sprint'!$A$7:$K$62, SMALL(IF((INDEX('DBX Sprint'!$A$7:$K$62, ,29)&lt;=(TODAY()+10))*(INDEX('DBX Sprint'!$A$7:$K$62, ,29)&gt;(TODAY()+5)),MATCH(ROW('DBX Sprint'!$A$7:$K$62),ROW('DBX Sprint'!$A$7:$K$62)),""),ROWS($AK$34:AK121)),COLUMNS('DBX Sprint'!$A$1:A12)),"")</f>
        <v/>
      </c>
      <c r="AM121" s="41" t="str" cm="1">
        <f t="array" ref="AM121">IFERROR(INDEX('DBX Sprint'!$A$7:$K$62, SMALL(IF((INDEX('DBX Sprint'!$A$7:$K$62, ,32)=("Complete"))*(INDEX('DBX Sprint'!$A$7:$K$62, ,32)="Complete"),MATCH(ROW('DBX Sprint'!$A$7:$K$62),ROW('DBX Sprint'!$A$7:$K$62)),""),ROWS($AM$34:AM121)),COLUMNS('DBX Sprint'!$A$1:A12)),"")</f>
        <v/>
      </c>
      <c r="AN121" s="41" t="str" cm="1">
        <f t="array" aca="1" ref="AN121" ca="1">IFERROR(INDEX('DBX Sprint'!$A$7:$K$62, SMALL(IF((INDEX('DBX Sprint'!$A$7:$K$62, ,32)&lt;(TODAY()))*(INDEX('DBX Sprint'!$A$7:$K$62, ,32)&lt;&gt;"Complete"),MATCH(ROW('DBX Sprint'!$A$7:$K$62),ROW('DBX Sprint'!$A$7:$K$62)),""),ROWS($AN$34:AN121)),COLUMNS('DBX Sprint'!$A$1:A12)),"")</f>
        <v/>
      </c>
      <c r="AO121" s="41" t="str" cm="1">
        <f t="array" aca="1" ref="AO121" ca="1">IFERROR(INDEX('DBX Sprint'!$A$7:$K$62, SMALL(IF((INDEX('DBX Sprint'!$A$7:$K$62, ,32)&lt;=(TODAY()+1))*(INDEX('DBX Sprint'!$A$7:$K$62, ,32)&gt;=TODAY()),MATCH(ROW('DBX Sprint'!$A$7:$K$62),ROW('DBX Sprint'!$A$7:$K$62)),""),ROWS($AO$34:AO121)),COLUMNS('DBX Sprint'!$A$1:A12)),"")</f>
        <v/>
      </c>
      <c r="AP121" s="43" t="str" cm="1">
        <f t="array" aca="1" ref="AP121" ca="1">IFERROR(INDEX('DBX Sprint'!$A$7:$K$62, SMALL(IF((INDEX('DBX Sprint'!$A$7:$K$62, ,32)&lt;=(TODAY()+5))*(INDEX('DBX Sprint'!$A$7:$K$62, ,32)&gt;(TODAY()+1)),MATCH(ROW('DBX Sprint'!$A$7:$K$62),ROW('DBX Sprint'!$A$7:$K$62)),""),ROWS($AP$34:AP121)),COLUMNS('DBX Sprint'!$A$1:A12)),"")</f>
        <v/>
      </c>
      <c r="AQ121" s="43" t="str" cm="1">
        <f t="array" aca="1" ref="AQ121" ca="1">IFERROR(INDEX('DBX Sprint'!$A$7:$K$62, SMALL(IF((INDEX('DBX Sprint'!$A$7:$K$62, ,32)&lt;=(TODAY()+10))*(INDEX('DBX Sprint'!$A$7:$K$62, ,32)&gt;(TODAY()+5)),MATCH(ROW('DBX Sprint'!$A$7:$K$62),ROW('DBX Sprint'!$A$7:$K$62)),""),ROWS($AQ$34:AQ121)),COLUMNS('DBX Sprint'!$A$1:A12)),"")</f>
        <v/>
      </c>
    </row>
    <row r="122" spans="3:43" ht="30" customHeight="1">
      <c r="C122" s="41" t="str" cm="1">
        <f t="array" ref="C122">IFERROR(INDEX('DBX Sprint'!$A$7:$K$62, SMALL(IF((INDEX('DBX Sprint'!$A$7:$K$62, ,13)=("Complete"))*(INDEX('DBX Sprint'!$A$7:$K$62, ,13)="Complete"),MATCH(ROW('DBX Sprint'!$A$7:$K$62),ROW('DBX Sprint'!$A$7:$K$62)),""),ROWS(C$34:$C122)),COLUMNS('DBX Sprint'!$A$1:A12)),"")</f>
        <v/>
      </c>
      <c r="D122" s="41" t="str" cm="1">
        <f t="array" aca="1" ref="D122" ca="1">IFERROR(INDEX('DBX Sprint'!$A$7:$K$62, SMALL(IF((INDEX('DBX Sprint'!$A$7:$K$62, ,13)&lt;(TODAY()))*(INDEX('DBX Sprint'!$A$7:$K$62, ,13)&lt;&gt;"Complete"),MATCH(ROW('DBX Sprint'!$A$7:$K$62),ROW('DBX Sprint'!$A$7:$K$62)),""),ROWS(D$34:$D122)),COLUMNS('DBX Sprint'!$A$1:A12)),"")</f>
        <v/>
      </c>
      <c r="E122" s="41" t="str" cm="1">
        <f t="array" aca="1" ref="E122" ca="1">IFERROR(INDEX('DBX Sprint'!$A$7:$K$62, SMALL(IF((INDEX('DBX Sprint'!$A$7:$K$62, ,13)&lt;=(TODAY()+1))*(INDEX('DBX Sprint'!$A$7:$K$62, ,13)&gt;=TODAY()),MATCH(ROW('DBX Sprint'!$A$7:$K$62),ROW('DBX Sprint'!$A$7:$K$62)),""),ROWS(E$34:$E122)),COLUMNS('DBX Sprint'!$A$1:A12)),"")</f>
        <v/>
      </c>
      <c r="F122" s="43" t="str" cm="1">
        <f t="array" aca="1" ref="F122" ca="1">IFERROR(INDEX('DBX Sprint'!$A$7:$K$62, SMALL(IF((INDEX('DBX Sprint'!$A$7:$K$62, ,13)&lt;=(TODAY()+5))*(INDEX('DBX Sprint'!$A$7:$K$62, ,13)&gt;(TODAY()+1)),MATCH(ROW('DBX Sprint'!$A$7:$K$62),ROW('DBX Sprint'!$A$7:$K$62)),""),ROWS($F$34:F122)),COLUMNS('DBX Sprint'!$A$1:A12)),"")</f>
        <v/>
      </c>
      <c r="G122" s="43" t="str" cm="1">
        <f t="array" aca="1" ref="G122" ca="1">IFERROR(INDEX('DBX Sprint'!$A$7:$K$62, SMALL(IF((INDEX('DBX Sprint'!$A$7:$K$62, ,13)&lt;=(TODAY()+10))*(INDEX('DBX Sprint'!$A$7:$K$62, ,13)&gt;(TODAY()+5)),MATCH(ROW('DBX Sprint'!$A$7:$K$62),ROW('DBX Sprint'!$A$7:$K$62)),""),ROWS($G$34:G122)),COLUMNS('DBX Sprint'!$A$1:A12)),"")</f>
        <v/>
      </c>
      <c r="I122" s="41" t="str" cm="1">
        <f t="array" ref="I122">IFERROR(INDEX('DBX Sprint'!$A$7:$K$62, SMALL(IF((INDEX('DBX Sprint'!$A$7:$K$62, ,16)=("Complete"))*(INDEX('DBX Sprint'!$A$7:$K$62, ,16)="Complete"),MATCH(ROW('DBX Sprint'!$A$7:$K$62),ROW('DBX Sprint'!$A$7:$K$62)),""),ROWS($I$34:I122)),COLUMNS('DBX Sprint'!$A$1:A12)),"")</f>
        <v/>
      </c>
      <c r="J122" s="41" t="str" cm="1">
        <f t="array" aca="1" ref="J122" ca="1">IFERROR(INDEX('DBX Sprint'!$A$7:$K$62, SMALL(IF((INDEX('DBX Sprint'!$A$7:$K$62, ,16)&lt;(TODAY()))*(INDEX('DBX Sprint'!$A$7:$K$62, ,16)&lt;&gt;"Complete"),MATCH(ROW('DBX Sprint'!$A$7:$K$62),ROW('DBX Sprint'!$A$7:$K$62)),""),ROWS($J$34:J122)),COLUMNS('DBX Sprint'!$A$1:A12)),"")</f>
        <v/>
      </c>
      <c r="K122" s="41" t="str" cm="1">
        <f t="array" aca="1" ref="K122" ca="1">IFERROR(INDEX('DBX Sprint'!$A$7:$K$62, SMALL(IF((INDEX('DBX Sprint'!$A$7:$K$62, ,16)&lt;=(TODAY()+1))*(INDEX('DBX Sprint'!$A$7:$K$62, ,16)&gt;=TODAY()),MATCH(ROW('DBX Sprint'!$A$7:$K$62),ROW('DBX Sprint'!$A$7:$K$62)),""),ROWS($K$34:K122)),COLUMNS('DBX Sprint'!$A$1:A12)),"")</f>
        <v/>
      </c>
      <c r="L122" s="43" t="str" cm="1">
        <f t="array" aca="1" ref="L122" ca="1">IFERROR(INDEX('DBX Sprint'!$A$7:$K$62, SMALL(IF((INDEX('DBX Sprint'!$A$7:$K$62, ,16)&lt;=(TODAY()+5))*(INDEX('DBX Sprint'!$A$7:$K$62, ,16)&gt;(TODAY()+1)),MATCH(ROW('DBX Sprint'!$A$7:$K$62),ROW('DBX Sprint'!$A$7:$K$62)),""),ROWS($L$34:L122)),COLUMNS('DBX Sprint'!$A$1:A12)),"")</f>
        <v/>
      </c>
      <c r="M122" s="43" t="str" cm="1">
        <f t="array" aca="1" ref="M122" ca="1">IFERROR(INDEX('DBX Sprint'!$A$7:$K$62, SMALL(IF((INDEX('DBX Sprint'!$A$7:$K$62, ,16)&lt;=(TODAY()+10))*(INDEX('DBX Sprint'!$A$7:$K$62, ,16)&gt;(TODAY()+5)),MATCH(ROW('DBX Sprint'!$A$7:$K$62),ROW('DBX Sprint'!$A$7:$K$62)),""),ROWS($M$34:M122)),COLUMNS('DBX Sprint'!$A$1:A12)),"")</f>
        <v/>
      </c>
      <c r="P122" s="41" t="str" cm="1">
        <f t="array" aca="1" ref="P122" ca="1">IFERROR(INDEX('DBX Sprint'!$A$7:$K$62, SMALL(IF((INDEX('DBX Sprint'!$A$7:$K$62, ,19)&lt;(TODAY()))*(INDEX('DBX Sprint'!$A$7:$K$62, ,19)&lt;&gt;"Complete"),MATCH(ROW('DBX Sprint'!$A$7:$K$62),ROW('DBX Sprint'!$A$7:$K$62)),""),ROWS($P$34:P122)),COLUMNS('DBX Sprint'!$A$1:A12)),"")</f>
        <v/>
      </c>
      <c r="Q122" s="41" t="str" cm="1">
        <f t="array" aca="1" ref="Q122" ca="1">IFERROR(INDEX('DBX Sprint'!$A$7:$K$62, SMALL(IF((INDEX('DBX Sprint'!$A$7:$K$62, ,19)&lt;=(TODAY()+1))*(INDEX('DBX Sprint'!$A$7:$K$62, ,19)&gt;=TODAY()),MATCH(ROW('DBX Sprint'!$A$7:$K$62),ROW('DBX Sprint'!$A$7:$K$62)),""),ROWS($Q$34:Q122)),COLUMNS('DBX Sprint'!$A$1:A12)),"")</f>
        <v/>
      </c>
      <c r="R122" s="43" t="str" cm="1">
        <f t="array" aca="1" ref="R122" ca="1">IFERROR(INDEX('DBX Sprint'!$A$7:$K$62, SMALL(IF((INDEX('DBX Sprint'!$A$7:$K$62, ,19)&lt;=(TODAY()+5))*(INDEX('DBX Sprint'!$A$7:$K$62, ,19)&gt;(TODAY()+1)),MATCH(ROW('DBX Sprint'!$A$7:$K$62),ROW('DBX Sprint'!$A$7:$K$62)),""),ROWS($R$34:R122)),COLUMNS('DBX Sprint'!$A$1:A12)),"")</f>
        <v/>
      </c>
      <c r="S122" s="43" t="str" cm="1">
        <f t="array" aca="1" ref="S122" ca="1">IFERROR(INDEX('DBX Sprint'!$A$7:$K$62, SMALL(IF((INDEX('DBX Sprint'!$A$7:$K$62, ,19)&lt;=(TODAY()+10))*(INDEX('DBX Sprint'!$A$7:$K$62, ,19)&gt;(TODAY()+5)),MATCH(ROW('DBX Sprint'!$A$7:$K$62),ROW('DBX Sprint'!$A$7:$K$62)),""),ROWS($S$34:S122)),COLUMNS('DBX Sprint'!$A$1:A12)),"")</f>
        <v/>
      </c>
      <c r="U122" s="41" t="str" cm="1">
        <f t="array" ref="U122">IFERROR(INDEX('DBX Sprint'!$A$7:$K$62, SMALL(IF((INDEX('DBX Sprint'!$A$7:$K$62, ,22)=("Complete"))*(INDEX('DBX Sprint'!$A$7:$K$62, ,22)="Complete"),MATCH(ROW('DBX Sprint'!$A$7:$K$62),ROW('DBX Sprint'!$A$7:$K$62)),""),ROWS($U$34:U122)),COLUMNS('DBX Sprint'!$A$1:A12)),"")</f>
        <v/>
      </c>
      <c r="V122" s="41" t="str" cm="1">
        <f t="array" aca="1" ref="V122" ca="1">IFERROR(INDEX('DBX Sprint'!$A$7:$K$62, SMALL(IF((INDEX('DBX Sprint'!$A$7:$K$62, ,22)&lt;(TODAY()))*(INDEX('DBX Sprint'!$A$7:$K$62, ,22)&lt;&gt;"Complete"),MATCH(ROW('DBX Sprint'!$A$7:$K$62),ROW('DBX Sprint'!$A$7:$K$62)),""),ROWS($V$34:V122)),COLUMNS('DBX Sprint'!$A$1:A12)),"")</f>
        <v/>
      </c>
      <c r="W122" s="41" t="str" cm="1">
        <f t="array" aca="1" ref="W122" ca="1">IFERROR(INDEX('DBX Sprint'!$A$7:$K$62, SMALL(IF((INDEX('DBX Sprint'!$A$7:$K$62, ,22)&lt;=(TODAY()+1))*(INDEX('DBX Sprint'!$A$7:$K$62, ,22)&gt;=TODAY()),MATCH(ROW('DBX Sprint'!$A$7:$K$62),ROW('DBX Sprint'!$A$7:$K$62)),""),ROWS($W$34:W122)),COLUMNS('DBX Sprint'!$A$1:A12)),"")</f>
        <v/>
      </c>
      <c r="X122" s="43" t="str" cm="1">
        <f t="array" aca="1" ref="X122" ca="1">IFERROR(INDEX('DBX Sprint'!$A$7:$K$62, SMALL(IF((INDEX('DBX Sprint'!$A$7:$K$62, ,22)&lt;=(TODAY()+5))*(INDEX('DBX Sprint'!$A$7:$K$62, ,22)&gt;(TODAY()+1)),MATCH(ROW('DBX Sprint'!$A$7:$K$62),ROW('DBX Sprint'!$A$7:$K$62)),""),ROWS($X$34:X122)),COLUMNS('DBX Sprint'!$A$1:A12)),"")</f>
        <v/>
      </c>
      <c r="Y122" s="43" t="str" cm="1">
        <f t="array" aca="1" ref="Y122" ca="1">IFERROR(INDEX('DBX Sprint'!$A$7:$K$62, SMALL(IF((INDEX('DBX Sprint'!$A$7:$K$62, ,22)&lt;=(TODAY()+10))*(INDEX('DBX Sprint'!$A$7:$K$62, ,22)&gt;(TODAY()+5)),MATCH(ROW('DBX Sprint'!$A$7:$K$62),ROW('DBX Sprint'!$A$7:$K$62)),""),ROWS($Y$34:Y122)),COLUMNS('DBX Sprint'!$A$1:A12)),"")</f>
        <v/>
      </c>
      <c r="AA122" s="41" t="str" cm="1">
        <f t="array" ref="AA122">IFERROR(INDEX('DBX Sprint'!$A$7:$K$62, SMALL(IF((INDEX('DBX Sprint'!$A$7:$K$62, ,25)=("Complete"))*(INDEX('DBX Sprint'!$A$7:$K$62, ,25)="Complete"),MATCH(ROW('DBX Sprint'!$A$7:$K$62),ROW('DBX Sprint'!$A$7:$K$62)),""),ROWS($AA$34:AA122)),COLUMNS('DBX Sprint'!$A$1:A12)),"")</f>
        <v/>
      </c>
      <c r="AB122" s="41" t="str" cm="1">
        <f t="array" aca="1" ref="AB122" ca="1">IFERROR(INDEX('DBX Sprint'!$A$7:$K$62, SMALL(IF((INDEX('DBX Sprint'!$A$7:$K$62, ,25)&lt;(TODAY()))*(INDEX('DBX Sprint'!$A$7:$K$62, ,25)&lt;&gt;"Complete"),MATCH(ROW('DBX Sprint'!$A$7:$K$62),ROW('DBX Sprint'!$A$7:$K$62)),""),ROWS($AB$34:AB122)),COLUMNS('DBX Sprint'!$A$1:A12)),"")</f>
        <v/>
      </c>
      <c r="AC122" s="41" t="str" cm="1">
        <f t="array" aca="1" ref="AC122" ca="1">IFERROR(INDEX('DBX Sprint'!$A$7:$K$62, SMALL(IF((INDEX('DBX Sprint'!$A$7:$K$62, ,25)&lt;=(TODAY()+1))*(INDEX('DBX Sprint'!$A$7:$K$62, ,25)&gt;=TODAY()),MATCH(ROW('DBX Sprint'!$A$7:$K$62),ROW('DBX Sprint'!$A$7:$K$62)),""),ROWS($AC$34:AC122)),COLUMNS('DBX Sprint'!$A$1:A12)),"")</f>
        <v/>
      </c>
      <c r="AD122" s="43" t="str" cm="1">
        <f t="array" aca="1" ref="AD122" ca="1">IFERROR(INDEX('DBX Sprint'!$A$7:$K$62, SMALL(IF((INDEX('DBX Sprint'!$A$7:$K$62, ,25)&lt;=(TODAY()+5))*(INDEX('DBX Sprint'!$A$7:$K$62, ,25)&gt;(TODAY()+1)),MATCH(ROW('DBX Sprint'!$A$7:$K$62),ROW('DBX Sprint'!$A$7:$K$62)),""),ROWS($AD$34:AD122)),COLUMNS('DBX Sprint'!$A$1:A12)),"")</f>
        <v/>
      </c>
      <c r="AE122" s="43" t="str" cm="1">
        <f t="array" aca="1" ref="AE122" ca="1">IFERROR(INDEX('DBX Sprint'!$A$7:$K$62, SMALL(IF((INDEX('DBX Sprint'!$A$7:$K$62, ,25)&lt;=(TODAY()+10))*(INDEX('DBX Sprint'!$A$7:$K$62, ,25)&gt;(TODAY()+5)),MATCH(ROW('DBX Sprint'!$A$7:$K$62),ROW('DBX Sprint'!$A$7:$K$62)),""),ROWS($AE$34:AE122)),COLUMNS('DBX Sprint'!$A$1:A12)),"")</f>
        <v/>
      </c>
      <c r="AG122" s="41" t="str" cm="1">
        <f t="array" ref="AG122">IFERROR(INDEX('DBX Sprint'!$A$7:$K$62, SMALL(IF((INDEX('DBX Sprint'!$A$7:$K$62, ,29)=("Complete"))*(INDEX('DBX Sprint'!$A$7:$K$62, ,29)="Complete"),MATCH(ROW('DBX Sprint'!$A$7:$K$62),ROW('DBX Sprint'!$A$7:$K$62)),""),ROWS($AG$34:AG122)),COLUMNS('DBX Sprint'!$A$1:A12)),"")</f>
        <v/>
      </c>
      <c r="AH122" s="41" t="str" cm="1">
        <f t="array" aca="1" ref="AH122" ca="1">IFERROR(INDEX('DBX Sprint'!$A$7:$K$62, SMALL(IF((INDEX('DBX Sprint'!$A$7:$K$62, ,29)&lt;(TODAY()))*(INDEX('DBX Sprint'!$A$7:$K$62, ,29)&lt;&gt;"Complete"),MATCH(ROW('DBX Sprint'!$A$7:$K$62),ROW('DBX Sprint'!$A$7:$K$62)),""),ROWS($AH$34:AH122)),COLUMNS('DBX Sprint'!$A$1:A12)),"")</f>
        <v/>
      </c>
      <c r="AI122" s="41" t="str" cm="1">
        <f t="array" aca="1" ref="AI122" ca="1">IFERROR(INDEX('DBX Sprint'!$A$7:$K$62, SMALL(IF((INDEX('DBX Sprint'!$A$7:$K$62, ,29)&lt;=(TODAY()+1))*(INDEX('DBX Sprint'!$A$7:$K$62, ,29)&gt;=TODAY()),MATCH(ROW('DBX Sprint'!$A$7:$K$62),ROW('DBX Sprint'!$A$7:$K$62)),""),ROWS($AI$34:AI122)),COLUMNS('DBX Sprint'!$A$1:A12)),"")</f>
        <v/>
      </c>
      <c r="AJ122" s="43" t="str" cm="1">
        <f t="array" aca="1" ref="AJ122" ca="1">IFERROR(INDEX('DBX Sprint'!$A$7:$K$62, SMALL(IF((INDEX('DBX Sprint'!$A$7:$K$62, ,29)&lt;=(TODAY()+5))*(INDEX('DBX Sprint'!$A$7:$K$62, ,29)&gt;(TODAY()+1)),MATCH(ROW('DBX Sprint'!$A$7:$K$62),ROW('DBX Sprint'!$A$7:$K$62)),""),ROWS($AJ$34:AJ122)),COLUMNS('DBX Sprint'!$A$1:A12)),"")</f>
        <v/>
      </c>
      <c r="AK122" s="43" t="str" cm="1">
        <f t="array" aca="1" ref="AK122" ca="1">IFERROR(INDEX('DBX Sprint'!$A$7:$K$62, SMALL(IF((INDEX('DBX Sprint'!$A$7:$K$62, ,29)&lt;=(TODAY()+10))*(INDEX('DBX Sprint'!$A$7:$K$62, ,29)&gt;(TODAY()+5)),MATCH(ROW('DBX Sprint'!$A$7:$K$62),ROW('DBX Sprint'!$A$7:$K$62)),""),ROWS($AK$34:AK122)),COLUMNS('DBX Sprint'!$A$1:A12)),"")</f>
        <v/>
      </c>
      <c r="AM122" s="41" t="str" cm="1">
        <f t="array" ref="AM122">IFERROR(INDEX('DBX Sprint'!$A$7:$K$62, SMALL(IF((INDEX('DBX Sprint'!$A$7:$K$62, ,32)=("Complete"))*(INDEX('DBX Sprint'!$A$7:$K$62, ,32)="Complete"),MATCH(ROW('DBX Sprint'!$A$7:$K$62),ROW('DBX Sprint'!$A$7:$K$62)),""),ROWS($AM$34:AM122)),COLUMNS('DBX Sprint'!$A$1:A12)),"")</f>
        <v/>
      </c>
      <c r="AN122" s="41" t="str" cm="1">
        <f t="array" aca="1" ref="AN122" ca="1">IFERROR(INDEX('DBX Sprint'!$A$7:$K$62, SMALL(IF((INDEX('DBX Sprint'!$A$7:$K$62, ,32)&lt;(TODAY()))*(INDEX('DBX Sprint'!$A$7:$K$62, ,32)&lt;&gt;"Complete"),MATCH(ROW('DBX Sprint'!$A$7:$K$62),ROW('DBX Sprint'!$A$7:$K$62)),""),ROWS($AN$34:AN122)),COLUMNS('DBX Sprint'!$A$1:A12)),"")</f>
        <v/>
      </c>
      <c r="AO122" s="41" t="str" cm="1">
        <f t="array" aca="1" ref="AO122" ca="1">IFERROR(INDEX('DBX Sprint'!$A$7:$K$62, SMALL(IF((INDEX('DBX Sprint'!$A$7:$K$62, ,32)&lt;=(TODAY()+1))*(INDEX('DBX Sprint'!$A$7:$K$62, ,32)&gt;=TODAY()),MATCH(ROW('DBX Sprint'!$A$7:$K$62),ROW('DBX Sprint'!$A$7:$K$62)),""),ROWS($AO$34:AO122)),COLUMNS('DBX Sprint'!$A$1:A12)),"")</f>
        <v/>
      </c>
      <c r="AP122" s="43" t="str" cm="1">
        <f t="array" aca="1" ref="AP122" ca="1">IFERROR(INDEX('DBX Sprint'!$A$7:$K$62, SMALL(IF((INDEX('DBX Sprint'!$A$7:$K$62, ,32)&lt;=(TODAY()+5))*(INDEX('DBX Sprint'!$A$7:$K$62, ,32)&gt;(TODAY()+1)),MATCH(ROW('DBX Sprint'!$A$7:$K$62),ROW('DBX Sprint'!$A$7:$K$62)),""),ROWS($AP$34:AP122)),COLUMNS('DBX Sprint'!$A$1:A12)),"")</f>
        <v/>
      </c>
      <c r="AQ122" s="43" t="str" cm="1">
        <f t="array" aca="1" ref="AQ122" ca="1">IFERROR(INDEX('DBX Sprint'!$A$7:$K$62, SMALL(IF((INDEX('DBX Sprint'!$A$7:$K$62, ,32)&lt;=(TODAY()+10))*(INDEX('DBX Sprint'!$A$7:$K$62, ,32)&gt;(TODAY()+5)),MATCH(ROW('DBX Sprint'!$A$7:$K$62),ROW('DBX Sprint'!$A$7:$K$62)),""),ROWS($AQ$34:AQ122)),COLUMNS('DBX Sprint'!$A$1:A12)),"")</f>
        <v/>
      </c>
    </row>
    <row r="123" spans="3:43" ht="30" customHeight="1">
      <c r="C123" s="41" t="str" cm="1">
        <f t="array" ref="C123">IFERROR(INDEX('DBX Sprint'!$A$7:$K$62, SMALL(IF((INDEX('DBX Sprint'!$A$7:$K$62, ,13)=("Complete"))*(INDEX('DBX Sprint'!$A$7:$K$62, ,13)="Complete"),MATCH(ROW('DBX Sprint'!$A$7:$K$62),ROW('DBX Sprint'!$A$7:$K$62)),""),ROWS(C$34:$C123)),COLUMNS('DBX Sprint'!$A$1:A12)),"")</f>
        <v/>
      </c>
      <c r="D123" s="41" t="str" cm="1">
        <f t="array" aca="1" ref="D123" ca="1">IFERROR(INDEX('DBX Sprint'!$A$7:$K$62, SMALL(IF((INDEX('DBX Sprint'!$A$7:$K$62, ,13)&lt;(TODAY()))*(INDEX('DBX Sprint'!$A$7:$K$62, ,13)&lt;&gt;"Complete"),MATCH(ROW('DBX Sprint'!$A$7:$K$62),ROW('DBX Sprint'!$A$7:$K$62)),""),ROWS(D$34:$D123)),COLUMNS('DBX Sprint'!$A$1:A12)),"")</f>
        <v/>
      </c>
      <c r="E123" s="41" t="str" cm="1">
        <f t="array" aca="1" ref="E123" ca="1">IFERROR(INDEX('DBX Sprint'!$A$7:$K$62, SMALL(IF((INDEX('DBX Sprint'!$A$7:$K$62, ,13)&lt;=(TODAY()+1))*(INDEX('DBX Sprint'!$A$7:$K$62, ,13)&gt;=TODAY()),MATCH(ROW('DBX Sprint'!$A$7:$K$62),ROW('DBX Sprint'!$A$7:$K$62)),""),ROWS(E$34:$E123)),COLUMNS('DBX Sprint'!$A$1:A12)),"")</f>
        <v/>
      </c>
      <c r="F123" s="43" t="str" cm="1">
        <f t="array" aca="1" ref="F123" ca="1">IFERROR(INDEX('DBX Sprint'!$A$7:$K$62, SMALL(IF((INDEX('DBX Sprint'!$A$7:$K$62, ,13)&lt;=(TODAY()+5))*(INDEX('DBX Sprint'!$A$7:$K$62, ,13)&gt;(TODAY()+1)),MATCH(ROW('DBX Sprint'!$A$7:$K$62),ROW('DBX Sprint'!$A$7:$K$62)),""),ROWS($F$34:F123)),COLUMNS('DBX Sprint'!$A$1:A12)),"")</f>
        <v/>
      </c>
      <c r="G123" s="43" t="str" cm="1">
        <f t="array" aca="1" ref="G123" ca="1">IFERROR(INDEX('DBX Sprint'!$A$7:$K$62, SMALL(IF((INDEX('DBX Sprint'!$A$7:$K$62, ,13)&lt;=(TODAY()+10))*(INDEX('DBX Sprint'!$A$7:$K$62, ,13)&gt;(TODAY()+5)),MATCH(ROW('DBX Sprint'!$A$7:$K$62),ROW('DBX Sprint'!$A$7:$K$62)),""),ROWS($G$34:G123)),COLUMNS('DBX Sprint'!$A$1:A12)),"")</f>
        <v/>
      </c>
      <c r="I123" s="41" t="str" cm="1">
        <f t="array" ref="I123">IFERROR(INDEX('DBX Sprint'!$A$7:$K$62, SMALL(IF((INDEX('DBX Sprint'!$A$7:$K$62, ,16)=("Complete"))*(INDEX('DBX Sprint'!$A$7:$K$62, ,16)="Complete"),MATCH(ROW('DBX Sprint'!$A$7:$K$62),ROW('DBX Sprint'!$A$7:$K$62)),""),ROWS($I$34:I123)),COLUMNS('DBX Sprint'!$A$1:A12)),"")</f>
        <v/>
      </c>
      <c r="J123" s="41" t="str" cm="1">
        <f t="array" aca="1" ref="J123" ca="1">IFERROR(INDEX('DBX Sprint'!$A$7:$K$62, SMALL(IF((INDEX('DBX Sprint'!$A$7:$K$62, ,16)&lt;(TODAY()))*(INDEX('DBX Sprint'!$A$7:$K$62, ,16)&lt;&gt;"Complete"),MATCH(ROW('DBX Sprint'!$A$7:$K$62),ROW('DBX Sprint'!$A$7:$K$62)),""),ROWS($J$34:J123)),COLUMNS('DBX Sprint'!$A$1:A12)),"")</f>
        <v/>
      </c>
      <c r="K123" s="41" t="str" cm="1">
        <f t="array" aca="1" ref="K123" ca="1">IFERROR(INDEX('DBX Sprint'!$A$7:$K$62, SMALL(IF((INDEX('DBX Sprint'!$A$7:$K$62, ,16)&lt;=(TODAY()+1))*(INDEX('DBX Sprint'!$A$7:$K$62, ,16)&gt;=TODAY()),MATCH(ROW('DBX Sprint'!$A$7:$K$62),ROW('DBX Sprint'!$A$7:$K$62)),""),ROWS($K$34:K123)),COLUMNS('DBX Sprint'!$A$1:A12)),"")</f>
        <v/>
      </c>
      <c r="L123" s="43" t="str" cm="1">
        <f t="array" aca="1" ref="L123" ca="1">IFERROR(INDEX('DBX Sprint'!$A$7:$K$62, SMALL(IF((INDEX('DBX Sprint'!$A$7:$K$62, ,16)&lt;=(TODAY()+5))*(INDEX('DBX Sprint'!$A$7:$K$62, ,16)&gt;(TODAY()+1)),MATCH(ROW('DBX Sprint'!$A$7:$K$62),ROW('DBX Sprint'!$A$7:$K$62)),""),ROWS($L$34:L123)),COLUMNS('DBX Sprint'!$A$1:A12)),"")</f>
        <v/>
      </c>
      <c r="M123" s="43" t="str" cm="1">
        <f t="array" aca="1" ref="M123" ca="1">IFERROR(INDEX('DBX Sprint'!$A$7:$K$62, SMALL(IF((INDEX('DBX Sprint'!$A$7:$K$62, ,16)&lt;=(TODAY()+10))*(INDEX('DBX Sprint'!$A$7:$K$62, ,16)&gt;(TODAY()+5)),MATCH(ROW('DBX Sprint'!$A$7:$K$62),ROW('DBX Sprint'!$A$7:$K$62)),""),ROWS($M$34:M123)),COLUMNS('DBX Sprint'!$A$1:A12)),"")</f>
        <v/>
      </c>
      <c r="P123" s="41" t="str" cm="1">
        <f t="array" aca="1" ref="P123" ca="1">IFERROR(INDEX('DBX Sprint'!$A$7:$K$62, SMALL(IF((INDEX('DBX Sprint'!$A$7:$K$62, ,19)&lt;(TODAY()))*(INDEX('DBX Sprint'!$A$7:$K$62, ,19)&lt;&gt;"Complete"),MATCH(ROW('DBX Sprint'!$A$7:$K$62),ROW('DBX Sprint'!$A$7:$K$62)),""),ROWS($P$34:P123)),COLUMNS('DBX Sprint'!$A$1:A12)),"")</f>
        <v/>
      </c>
      <c r="Q123" s="41" t="str" cm="1">
        <f t="array" aca="1" ref="Q123" ca="1">IFERROR(INDEX('DBX Sprint'!$A$7:$K$62, SMALL(IF((INDEX('DBX Sprint'!$A$7:$K$62, ,19)&lt;=(TODAY()+1))*(INDEX('DBX Sprint'!$A$7:$K$62, ,19)&gt;=TODAY()),MATCH(ROW('DBX Sprint'!$A$7:$K$62),ROW('DBX Sprint'!$A$7:$K$62)),""),ROWS($Q$34:Q123)),COLUMNS('DBX Sprint'!$A$1:A12)),"")</f>
        <v/>
      </c>
      <c r="R123" s="43" t="str" cm="1">
        <f t="array" aca="1" ref="R123" ca="1">IFERROR(INDEX('DBX Sprint'!$A$7:$K$62, SMALL(IF((INDEX('DBX Sprint'!$A$7:$K$62, ,19)&lt;=(TODAY()+5))*(INDEX('DBX Sprint'!$A$7:$K$62, ,19)&gt;(TODAY()+1)),MATCH(ROW('DBX Sprint'!$A$7:$K$62),ROW('DBX Sprint'!$A$7:$K$62)),""),ROWS($R$34:R123)),COLUMNS('DBX Sprint'!$A$1:A12)),"")</f>
        <v/>
      </c>
      <c r="S123" s="43" t="str" cm="1">
        <f t="array" aca="1" ref="S123" ca="1">IFERROR(INDEX('DBX Sprint'!$A$7:$K$62, SMALL(IF((INDEX('DBX Sprint'!$A$7:$K$62, ,19)&lt;=(TODAY()+10))*(INDEX('DBX Sprint'!$A$7:$K$62, ,19)&gt;(TODAY()+5)),MATCH(ROW('DBX Sprint'!$A$7:$K$62),ROW('DBX Sprint'!$A$7:$K$62)),""),ROWS($S$34:S123)),COLUMNS('DBX Sprint'!$A$1:A12)),"")</f>
        <v/>
      </c>
      <c r="U123" s="41" t="str" cm="1">
        <f t="array" ref="U123">IFERROR(INDEX('DBX Sprint'!$A$7:$K$62, SMALL(IF((INDEX('DBX Sprint'!$A$7:$K$62, ,22)=("Complete"))*(INDEX('DBX Sprint'!$A$7:$K$62, ,22)="Complete"),MATCH(ROW('DBX Sprint'!$A$7:$K$62),ROW('DBX Sprint'!$A$7:$K$62)),""),ROWS($U$34:U123)),COLUMNS('DBX Sprint'!$A$1:A12)),"")</f>
        <v/>
      </c>
      <c r="V123" s="41" t="str" cm="1">
        <f t="array" aca="1" ref="V123" ca="1">IFERROR(INDEX('DBX Sprint'!$A$7:$K$62, SMALL(IF((INDEX('DBX Sprint'!$A$7:$K$62, ,22)&lt;(TODAY()))*(INDEX('DBX Sprint'!$A$7:$K$62, ,22)&lt;&gt;"Complete"),MATCH(ROW('DBX Sprint'!$A$7:$K$62),ROW('DBX Sprint'!$A$7:$K$62)),""),ROWS($V$34:V123)),COLUMNS('DBX Sprint'!$A$1:A12)),"")</f>
        <v/>
      </c>
      <c r="W123" s="41" t="str" cm="1">
        <f t="array" aca="1" ref="W123" ca="1">IFERROR(INDEX('DBX Sprint'!$A$7:$K$62, SMALL(IF((INDEX('DBX Sprint'!$A$7:$K$62, ,22)&lt;=(TODAY()+1))*(INDEX('DBX Sprint'!$A$7:$K$62, ,22)&gt;=TODAY()),MATCH(ROW('DBX Sprint'!$A$7:$K$62),ROW('DBX Sprint'!$A$7:$K$62)),""),ROWS($W$34:W123)),COLUMNS('DBX Sprint'!$A$1:A12)),"")</f>
        <v/>
      </c>
      <c r="X123" s="43" t="str" cm="1">
        <f t="array" aca="1" ref="X123" ca="1">IFERROR(INDEX('DBX Sprint'!$A$7:$K$62, SMALL(IF((INDEX('DBX Sprint'!$A$7:$K$62, ,22)&lt;=(TODAY()+5))*(INDEX('DBX Sprint'!$A$7:$K$62, ,22)&gt;(TODAY()+1)),MATCH(ROW('DBX Sprint'!$A$7:$K$62),ROW('DBX Sprint'!$A$7:$K$62)),""),ROWS($X$34:X123)),COLUMNS('DBX Sprint'!$A$1:A12)),"")</f>
        <v/>
      </c>
      <c r="Y123" s="43" t="str" cm="1">
        <f t="array" aca="1" ref="Y123" ca="1">IFERROR(INDEX('DBX Sprint'!$A$7:$K$62, SMALL(IF((INDEX('DBX Sprint'!$A$7:$K$62, ,22)&lt;=(TODAY()+10))*(INDEX('DBX Sprint'!$A$7:$K$62, ,22)&gt;(TODAY()+5)),MATCH(ROW('DBX Sprint'!$A$7:$K$62),ROW('DBX Sprint'!$A$7:$K$62)),""),ROWS($Y$34:Y123)),COLUMNS('DBX Sprint'!$A$1:A12)),"")</f>
        <v/>
      </c>
      <c r="AA123" s="41" t="str" cm="1">
        <f t="array" ref="AA123">IFERROR(INDEX('DBX Sprint'!$A$7:$K$62, SMALL(IF((INDEX('DBX Sprint'!$A$7:$K$62, ,25)=("Complete"))*(INDEX('DBX Sprint'!$A$7:$K$62, ,25)="Complete"),MATCH(ROW('DBX Sprint'!$A$7:$K$62),ROW('DBX Sprint'!$A$7:$K$62)),""),ROWS($AA$34:AA123)),COLUMNS('DBX Sprint'!$A$1:A12)),"")</f>
        <v/>
      </c>
      <c r="AB123" s="41" t="str" cm="1">
        <f t="array" aca="1" ref="AB123" ca="1">IFERROR(INDEX('DBX Sprint'!$A$7:$K$62, SMALL(IF((INDEX('DBX Sprint'!$A$7:$K$62, ,25)&lt;(TODAY()))*(INDEX('DBX Sprint'!$A$7:$K$62, ,25)&lt;&gt;"Complete"),MATCH(ROW('DBX Sprint'!$A$7:$K$62),ROW('DBX Sprint'!$A$7:$K$62)),""),ROWS($AB$34:AB123)),COLUMNS('DBX Sprint'!$A$1:A12)),"")</f>
        <v/>
      </c>
      <c r="AC123" s="41" t="str" cm="1">
        <f t="array" aca="1" ref="AC123" ca="1">IFERROR(INDEX('DBX Sprint'!$A$7:$K$62, SMALL(IF((INDEX('DBX Sprint'!$A$7:$K$62, ,25)&lt;=(TODAY()+1))*(INDEX('DBX Sprint'!$A$7:$K$62, ,25)&gt;=TODAY()),MATCH(ROW('DBX Sprint'!$A$7:$K$62),ROW('DBX Sprint'!$A$7:$K$62)),""),ROWS($AC$34:AC123)),COLUMNS('DBX Sprint'!$A$1:A12)),"")</f>
        <v/>
      </c>
      <c r="AD123" s="43" t="str" cm="1">
        <f t="array" aca="1" ref="AD123" ca="1">IFERROR(INDEX('DBX Sprint'!$A$7:$K$62, SMALL(IF((INDEX('DBX Sprint'!$A$7:$K$62, ,25)&lt;=(TODAY()+5))*(INDEX('DBX Sprint'!$A$7:$K$62, ,25)&gt;(TODAY()+1)),MATCH(ROW('DBX Sprint'!$A$7:$K$62),ROW('DBX Sprint'!$A$7:$K$62)),""),ROWS($AD$34:AD123)),COLUMNS('DBX Sprint'!$A$1:A12)),"")</f>
        <v/>
      </c>
      <c r="AE123" s="43" t="str" cm="1">
        <f t="array" aca="1" ref="AE123" ca="1">IFERROR(INDEX('DBX Sprint'!$A$7:$K$62, SMALL(IF((INDEX('DBX Sprint'!$A$7:$K$62, ,25)&lt;=(TODAY()+10))*(INDEX('DBX Sprint'!$A$7:$K$62, ,25)&gt;(TODAY()+5)),MATCH(ROW('DBX Sprint'!$A$7:$K$62),ROW('DBX Sprint'!$A$7:$K$62)),""),ROWS($AE$34:AE123)),COLUMNS('DBX Sprint'!$A$1:A12)),"")</f>
        <v/>
      </c>
      <c r="AG123" s="41" t="str" cm="1">
        <f t="array" ref="AG123">IFERROR(INDEX('DBX Sprint'!$A$7:$K$62, SMALL(IF((INDEX('DBX Sprint'!$A$7:$K$62, ,29)=("Complete"))*(INDEX('DBX Sprint'!$A$7:$K$62, ,29)="Complete"),MATCH(ROW('DBX Sprint'!$A$7:$K$62),ROW('DBX Sprint'!$A$7:$K$62)),""),ROWS($AG$34:AG123)),COLUMNS('DBX Sprint'!$A$1:A12)),"")</f>
        <v/>
      </c>
      <c r="AH123" s="41" t="str" cm="1">
        <f t="array" aca="1" ref="AH123" ca="1">IFERROR(INDEX('DBX Sprint'!$A$7:$K$62, SMALL(IF((INDEX('DBX Sprint'!$A$7:$K$62, ,29)&lt;(TODAY()))*(INDEX('DBX Sprint'!$A$7:$K$62, ,29)&lt;&gt;"Complete"),MATCH(ROW('DBX Sprint'!$A$7:$K$62),ROW('DBX Sprint'!$A$7:$K$62)),""),ROWS($AH$34:AH123)),COLUMNS('DBX Sprint'!$A$1:A12)),"")</f>
        <v/>
      </c>
      <c r="AI123" s="41" t="str" cm="1">
        <f t="array" aca="1" ref="AI123" ca="1">IFERROR(INDEX('DBX Sprint'!$A$7:$K$62, SMALL(IF((INDEX('DBX Sprint'!$A$7:$K$62, ,29)&lt;=(TODAY()+1))*(INDEX('DBX Sprint'!$A$7:$K$62, ,29)&gt;=TODAY()),MATCH(ROW('DBX Sprint'!$A$7:$K$62),ROW('DBX Sprint'!$A$7:$K$62)),""),ROWS($AI$34:AI123)),COLUMNS('DBX Sprint'!$A$1:A12)),"")</f>
        <v/>
      </c>
      <c r="AJ123" s="43" t="str" cm="1">
        <f t="array" aca="1" ref="AJ123" ca="1">IFERROR(INDEX('DBX Sprint'!$A$7:$K$62, SMALL(IF((INDEX('DBX Sprint'!$A$7:$K$62, ,29)&lt;=(TODAY()+5))*(INDEX('DBX Sprint'!$A$7:$K$62, ,29)&gt;(TODAY()+1)),MATCH(ROW('DBX Sprint'!$A$7:$K$62),ROW('DBX Sprint'!$A$7:$K$62)),""),ROWS($AJ$34:AJ123)),COLUMNS('DBX Sprint'!$A$1:A12)),"")</f>
        <v/>
      </c>
      <c r="AK123" s="43" t="str" cm="1">
        <f t="array" aca="1" ref="AK123" ca="1">IFERROR(INDEX('DBX Sprint'!$A$7:$K$62, SMALL(IF((INDEX('DBX Sprint'!$A$7:$K$62, ,29)&lt;=(TODAY()+10))*(INDEX('DBX Sprint'!$A$7:$K$62, ,29)&gt;(TODAY()+5)),MATCH(ROW('DBX Sprint'!$A$7:$K$62),ROW('DBX Sprint'!$A$7:$K$62)),""),ROWS($AK$34:AK123)),COLUMNS('DBX Sprint'!$A$1:A12)),"")</f>
        <v/>
      </c>
      <c r="AM123" s="41" t="str" cm="1">
        <f t="array" ref="AM123">IFERROR(INDEX('DBX Sprint'!$A$7:$K$62, SMALL(IF((INDEX('DBX Sprint'!$A$7:$K$62, ,32)=("Complete"))*(INDEX('DBX Sprint'!$A$7:$K$62, ,32)="Complete"),MATCH(ROW('DBX Sprint'!$A$7:$K$62),ROW('DBX Sprint'!$A$7:$K$62)),""),ROWS($AM$34:AM123)),COLUMNS('DBX Sprint'!$A$1:A12)),"")</f>
        <v/>
      </c>
      <c r="AN123" s="41" t="str" cm="1">
        <f t="array" aca="1" ref="AN123" ca="1">IFERROR(INDEX('DBX Sprint'!$A$7:$K$62, SMALL(IF((INDEX('DBX Sprint'!$A$7:$K$62, ,32)&lt;(TODAY()))*(INDEX('DBX Sprint'!$A$7:$K$62, ,32)&lt;&gt;"Complete"),MATCH(ROW('DBX Sprint'!$A$7:$K$62),ROW('DBX Sprint'!$A$7:$K$62)),""),ROWS($AN$34:AN123)),COLUMNS('DBX Sprint'!$A$1:A12)),"")</f>
        <v/>
      </c>
      <c r="AO123" s="41" t="str" cm="1">
        <f t="array" aca="1" ref="AO123" ca="1">IFERROR(INDEX('DBX Sprint'!$A$7:$K$62, SMALL(IF((INDEX('DBX Sprint'!$A$7:$K$62, ,32)&lt;=(TODAY()+1))*(INDEX('DBX Sprint'!$A$7:$K$62, ,32)&gt;=TODAY()),MATCH(ROW('DBX Sprint'!$A$7:$K$62),ROW('DBX Sprint'!$A$7:$K$62)),""),ROWS($AO$34:AO123)),COLUMNS('DBX Sprint'!$A$1:A12)),"")</f>
        <v/>
      </c>
      <c r="AP123" s="43" t="str" cm="1">
        <f t="array" aca="1" ref="AP123" ca="1">IFERROR(INDEX('DBX Sprint'!$A$7:$K$62, SMALL(IF((INDEX('DBX Sprint'!$A$7:$K$62, ,32)&lt;=(TODAY()+5))*(INDEX('DBX Sprint'!$A$7:$K$62, ,32)&gt;(TODAY()+1)),MATCH(ROW('DBX Sprint'!$A$7:$K$62),ROW('DBX Sprint'!$A$7:$K$62)),""),ROWS($AP$34:AP123)),COLUMNS('DBX Sprint'!$A$1:A12)),"")</f>
        <v/>
      </c>
      <c r="AQ123" s="43" t="str" cm="1">
        <f t="array" aca="1" ref="AQ123" ca="1">IFERROR(INDEX('DBX Sprint'!$A$7:$K$62, SMALL(IF((INDEX('DBX Sprint'!$A$7:$K$62, ,32)&lt;=(TODAY()+10))*(INDEX('DBX Sprint'!$A$7:$K$62, ,32)&gt;(TODAY()+5)),MATCH(ROW('DBX Sprint'!$A$7:$K$62),ROW('DBX Sprint'!$A$7:$K$62)),""),ROWS($AQ$34:AQ123)),COLUMNS('DBX Sprint'!$A$1:A12)),"")</f>
        <v/>
      </c>
    </row>
    <row r="124" spans="3:43" ht="30" customHeight="1">
      <c r="C124" s="41" t="str" cm="1">
        <f t="array" ref="C124">IFERROR(INDEX('DBX Sprint'!$A$7:$K$62, SMALL(IF((INDEX('DBX Sprint'!$A$7:$K$62, ,13)=("Complete"))*(INDEX('DBX Sprint'!$A$7:$K$62, ,13)="Complete"),MATCH(ROW('DBX Sprint'!$A$7:$K$62),ROW('DBX Sprint'!$A$7:$K$62)),""),ROWS(C$34:$C124)),COLUMNS('DBX Sprint'!$A$1:A12)),"")</f>
        <v/>
      </c>
      <c r="D124" s="41" t="str" cm="1">
        <f t="array" aca="1" ref="D124" ca="1">IFERROR(INDEX('DBX Sprint'!$A$7:$K$62, SMALL(IF((INDEX('DBX Sprint'!$A$7:$K$62, ,13)&lt;(TODAY()))*(INDEX('DBX Sprint'!$A$7:$K$62, ,13)&lt;&gt;"Complete"),MATCH(ROW('DBX Sprint'!$A$7:$K$62),ROW('DBX Sprint'!$A$7:$K$62)),""),ROWS(D$34:$D124)),COLUMNS('DBX Sprint'!$A$1:A12)),"")</f>
        <v/>
      </c>
      <c r="E124" s="41" t="str" cm="1">
        <f t="array" aca="1" ref="E124" ca="1">IFERROR(INDEX('DBX Sprint'!$A$7:$K$62, SMALL(IF((INDEX('DBX Sprint'!$A$7:$K$62, ,13)&lt;=(TODAY()+1))*(INDEX('DBX Sprint'!$A$7:$K$62, ,13)&gt;=TODAY()),MATCH(ROW('DBX Sprint'!$A$7:$K$62),ROW('DBX Sprint'!$A$7:$K$62)),""),ROWS(E$34:$E124)),COLUMNS('DBX Sprint'!$A$1:A12)),"")</f>
        <v/>
      </c>
      <c r="F124" s="43" t="str" cm="1">
        <f t="array" aca="1" ref="F124" ca="1">IFERROR(INDEX('DBX Sprint'!$A$7:$K$62, SMALL(IF((INDEX('DBX Sprint'!$A$7:$K$62, ,13)&lt;=(TODAY()+5))*(INDEX('DBX Sprint'!$A$7:$K$62, ,13)&gt;(TODAY()+1)),MATCH(ROW('DBX Sprint'!$A$7:$K$62),ROW('DBX Sprint'!$A$7:$K$62)),""),ROWS($F$34:F124)),COLUMNS('DBX Sprint'!$A$1:A12)),"")</f>
        <v/>
      </c>
      <c r="G124" s="43" t="str" cm="1">
        <f t="array" aca="1" ref="G124" ca="1">IFERROR(INDEX('DBX Sprint'!$A$7:$K$62, SMALL(IF((INDEX('DBX Sprint'!$A$7:$K$62, ,13)&lt;=(TODAY()+10))*(INDEX('DBX Sprint'!$A$7:$K$62, ,13)&gt;(TODAY()+5)),MATCH(ROW('DBX Sprint'!$A$7:$K$62),ROW('DBX Sprint'!$A$7:$K$62)),""),ROWS($G$34:G124)),COLUMNS('DBX Sprint'!$A$1:A12)),"")</f>
        <v/>
      </c>
      <c r="I124" s="41" t="str" cm="1">
        <f t="array" ref="I124">IFERROR(INDEX('DBX Sprint'!$A$7:$K$62, SMALL(IF((INDEX('DBX Sprint'!$A$7:$K$62, ,16)=("Complete"))*(INDEX('DBX Sprint'!$A$7:$K$62, ,16)="Complete"),MATCH(ROW('DBX Sprint'!$A$7:$K$62),ROW('DBX Sprint'!$A$7:$K$62)),""),ROWS($I$34:I124)),COLUMNS('DBX Sprint'!$A$1:A12)),"")</f>
        <v/>
      </c>
      <c r="J124" s="41" t="str" cm="1">
        <f t="array" aca="1" ref="J124" ca="1">IFERROR(INDEX('DBX Sprint'!$A$7:$K$62, SMALL(IF((INDEX('DBX Sprint'!$A$7:$K$62, ,16)&lt;(TODAY()))*(INDEX('DBX Sprint'!$A$7:$K$62, ,16)&lt;&gt;"Complete"),MATCH(ROW('DBX Sprint'!$A$7:$K$62),ROW('DBX Sprint'!$A$7:$K$62)),""),ROWS($J$34:J124)),COLUMNS('DBX Sprint'!$A$1:A12)),"")</f>
        <v/>
      </c>
      <c r="K124" s="41" t="str" cm="1">
        <f t="array" aca="1" ref="K124" ca="1">IFERROR(INDEX('DBX Sprint'!$A$7:$K$62, SMALL(IF((INDEX('DBX Sprint'!$A$7:$K$62, ,16)&lt;=(TODAY()+1))*(INDEX('DBX Sprint'!$A$7:$K$62, ,16)&gt;=TODAY()),MATCH(ROW('DBX Sprint'!$A$7:$K$62),ROW('DBX Sprint'!$A$7:$K$62)),""),ROWS($K$34:K124)),COLUMNS('DBX Sprint'!$A$1:A12)),"")</f>
        <v/>
      </c>
      <c r="L124" s="43" t="str" cm="1">
        <f t="array" aca="1" ref="L124" ca="1">IFERROR(INDEX('DBX Sprint'!$A$7:$K$62, SMALL(IF((INDEX('DBX Sprint'!$A$7:$K$62, ,16)&lt;=(TODAY()+5))*(INDEX('DBX Sprint'!$A$7:$K$62, ,16)&gt;(TODAY()+1)),MATCH(ROW('DBX Sprint'!$A$7:$K$62),ROW('DBX Sprint'!$A$7:$K$62)),""),ROWS($L$34:L124)),COLUMNS('DBX Sprint'!$A$1:A12)),"")</f>
        <v/>
      </c>
      <c r="M124" s="43" t="str" cm="1">
        <f t="array" aca="1" ref="M124" ca="1">IFERROR(INDEX('DBX Sprint'!$A$7:$K$62, SMALL(IF((INDEX('DBX Sprint'!$A$7:$K$62, ,16)&lt;=(TODAY()+10))*(INDEX('DBX Sprint'!$A$7:$K$62, ,16)&gt;(TODAY()+5)),MATCH(ROW('DBX Sprint'!$A$7:$K$62),ROW('DBX Sprint'!$A$7:$K$62)),""),ROWS($M$34:M124)),COLUMNS('DBX Sprint'!$A$1:A12)),"")</f>
        <v/>
      </c>
      <c r="P124" s="41" t="str" cm="1">
        <f t="array" aca="1" ref="P124" ca="1">IFERROR(INDEX('DBX Sprint'!$A$7:$K$62, SMALL(IF((INDEX('DBX Sprint'!$A$7:$K$62, ,19)&lt;(TODAY()))*(INDEX('DBX Sprint'!$A$7:$K$62, ,19)&lt;&gt;"Complete"),MATCH(ROW('DBX Sprint'!$A$7:$K$62),ROW('DBX Sprint'!$A$7:$K$62)),""),ROWS($P$34:P124)),COLUMNS('DBX Sprint'!$A$1:A12)),"")</f>
        <v/>
      </c>
      <c r="Q124" s="41" t="str" cm="1">
        <f t="array" aca="1" ref="Q124" ca="1">IFERROR(INDEX('DBX Sprint'!$A$7:$K$62, SMALL(IF((INDEX('DBX Sprint'!$A$7:$K$62, ,19)&lt;=(TODAY()+1))*(INDEX('DBX Sprint'!$A$7:$K$62, ,19)&gt;=TODAY()),MATCH(ROW('DBX Sprint'!$A$7:$K$62),ROW('DBX Sprint'!$A$7:$K$62)),""),ROWS($Q$34:Q124)),COLUMNS('DBX Sprint'!$A$1:A12)),"")</f>
        <v/>
      </c>
      <c r="R124" s="43" t="str" cm="1">
        <f t="array" aca="1" ref="R124" ca="1">IFERROR(INDEX('DBX Sprint'!$A$7:$K$62, SMALL(IF((INDEX('DBX Sprint'!$A$7:$K$62, ,19)&lt;=(TODAY()+5))*(INDEX('DBX Sprint'!$A$7:$K$62, ,19)&gt;(TODAY()+1)),MATCH(ROW('DBX Sprint'!$A$7:$K$62),ROW('DBX Sprint'!$A$7:$K$62)),""),ROWS($R$34:R124)),COLUMNS('DBX Sprint'!$A$1:A12)),"")</f>
        <v/>
      </c>
      <c r="S124" s="43" t="str" cm="1">
        <f t="array" aca="1" ref="S124" ca="1">IFERROR(INDEX('DBX Sprint'!$A$7:$K$62, SMALL(IF((INDEX('DBX Sprint'!$A$7:$K$62, ,19)&lt;=(TODAY()+10))*(INDEX('DBX Sprint'!$A$7:$K$62, ,19)&gt;(TODAY()+5)),MATCH(ROW('DBX Sprint'!$A$7:$K$62),ROW('DBX Sprint'!$A$7:$K$62)),""),ROWS($S$34:S124)),COLUMNS('DBX Sprint'!$A$1:A12)),"")</f>
        <v/>
      </c>
      <c r="U124" s="41" t="str" cm="1">
        <f t="array" ref="U124">IFERROR(INDEX('DBX Sprint'!$A$7:$K$62, SMALL(IF((INDEX('DBX Sprint'!$A$7:$K$62, ,22)=("Complete"))*(INDEX('DBX Sprint'!$A$7:$K$62, ,22)="Complete"),MATCH(ROW('DBX Sprint'!$A$7:$K$62),ROW('DBX Sprint'!$A$7:$K$62)),""),ROWS($U$34:U124)),COLUMNS('DBX Sprint'!$A$1:A12)),"")</f>
        <v/>
      </c>
      <c r="V124" s="41" t="str" cm="1">
        <f t="array" aca="1" ref="V124" ca="1">IFERROR(INDEX('DBX Sprint'!$A$7:$K$62, SMALL(IF((INDEX('DBX Sprint'!$A$7:$K$62, ,22)&lt;(TODAY()))*(INDEX('DBX Sprint'!$A$7:$K$62, ,22)&lt;&gt;"Complete"),MATCH(ROW('DBX Sprint'!$A$7:$K$62),ROW('DBX Sprint'!$A$7:$K$62)),""),ROWS($V$34:V124)),COLUMNS('DBX Sprint'!$A$1:A12)),"")</f>
        <v/>
      </c>
      <c r="W124" s="41" t="str" cm="1">
        <f t="array" aca="1" ref="W124" ca="1">IFERROR(INDEX('DBX Sprint'!$A$7:$K$62, SMALL(IF((INDEX('DBX Sprint'!$A$7:$K$62, ,22)&lt;=(TODAY()+1))*(INDEX('DBX Sprint'!$A$7:$K$62, ,22)&gt;=TODAY()),MATCH(ROW('DBX Sprint'!$A$7:$K$62),ROW('DBX Sprint'!$A$7:$K$62)),""),ROWS($W$34:W124)),COLUMNS('DBX Sprint'!$A$1:A12)),"")</f>
        <v/>
      </c>
      <c r="X124" s="43" t="str" cm="1">
        <f t="array" aca="1" ref="X124" ca="1">IFERROR(INDEX('DBX Sprint'!$A$7:$K$62, SMALL(IF((INDEX('DBX Sprint'!$A$7:$K$62, ,22)&lt;=(TODAY()+5))*(INDEX('DBX Sprint'!$A$7:$K$62, ,22)&gt;(TODAY()+1)),MATCH(ROW('DBX Sprint'!$A$7:$K$62),ROW('DBX Sprint'!$A$7:$K$62)),""),ROWS($X$34:X124)),COLUMNS('DBX Sprint'!$A$1:A12)),"")</f>
        <v/>
      </c>
      <c r="Y124" s="43" t="str" cm="1">
        <f t="array" aca="1" ref="Y124" ca="1">IFERROR(INDEX('DBX Sprint'!$A$7:$K$62, SMALL(IF((INDEX('DBX Sprint'!$A$7:$K$62, ,22)&lt;=(TODAY()+10))*(INDEX('DBX Sprint'!$A$7:$K$62, ,22)&gt;(TODAY()+5)),MATCH(ROW('DBX Sprint'!$A$7:$K$62),ROW('DBX Sprint'!$A$7:$K$62)),""),ROWS($Y$34:Y124)),COLUMNS('DBX Sprint'!$A$1:A12)),"")</f>
        <v/>
      </c>
      <c r="AA124" s="41" t="str" cm="1">
        <f t="array" ref="AA124">IFERROR(INDEX('DBX Sprint'!$A$7:$K$62, SMALL(IF((INDEX('DBX Sprint'!$A$7:$K$62, ,25)=("Complete"))*(INDEX('DBX Sprint'!$A$7:$K$62, ,25)="Complete"),MATCH(ROW('DBX Sprint'!$A$7:$K$62),ROW('DBX Sprint'!$A$7:$K$62)),""),ROWS($AA$34:AA124)),COLUMNS('DBX Sprint'!$A$1:A12)),"")</f>
        <v/>
      </c>
      <c r="AB124" s="41" t="str" cm="1">
        <f t="array" aca="1" ref="AB124" ca="1">IFERROR(INDEX('DBX Sprint'!$A$7:$K$62, SMALL(IF((INDEX('DBX Sprint'!$A$7:$K$62, ,25)&lt;(TODAY()))*(INDEX('DBX Sprint'!$A$7:$K$62, ,25)&lt;&gt;"Complete"),MATCH(ROW('DBX Sprint'!$A$7:$K$62),ROW('DBX Sprint'!$A$7:$K$62)),""),ROWS($AB$34:AB124)),COLUMNS('DBX Sprint'!$A$1:A12)),"")</f>
        <v/>
      </c>
      <c r="AC124" s="41" t="str" cm="1">
        <f t="array" aca="1" ref="AC124" ca="1">IFERROR(INDEX('DBX Sprint'!$A$7:$K$62, SMALL(IF((INDEX('DBX Sprint'!$A$7:$K$62, ,25)&lt;=(TODAY()+1))*(INDEX('DBX Sprint'!$A$7:$K$62, ,25)&gt;=TODAY()),MATCH(ROW('DBX Sprint'!$A$7:$K$62),ROW('DBX Sprint'!$A$7:$K$62)),""),ROWS($AC$34:AC124)),COLUMNS('DBX Sprint'!$A$1:A12)),"")</f>
        <v/>
      </c>
      <c r="AD124" s="43" t="str" cm="1">
        <f t="array" aca="1" ref="AD124" ca="1">IFERROR(INDEX('DBX Sprint'!$A$7:$K$62, SMALL(IF((INDEX('DBX Sprint'!$A$7:$K$62, ,25)&lt;=(TODAY()+5))*(INDEX('DBX Sprint'!$A$7:$K$62, ,25)&gt;(TODAY()+1)),MATCH(ROW('DBX Sprint'!$A$7:$K$62),ROW('DBX Sprint'!$A$7:$K$62)),""),ROWS($AD$34:AD124)),COLUMNS('DBX Sprint'!$A$1:A12)),"")</f>
        <v/>
      </c>
      <c r="AE124" s="43" t="str" cm="1">
        <f t="array" aca="1" ref="AE124" ca="1">IFERROR(INDEX('DBX Sprint'!$A$7:$K$62, SMALL(IF((INDEX('DBX Sprint'!$A$7:$K$62, ,25)&lt;=(TODAY()+10))*(INDEX('DBX Sprint'!$A$7:$K$62, ,25)&gt;(TODAY()+5)),MATCH(ROW('DBX Sprint'!$A$7:$K$62),ROW('DBX Sprint'!$A$7:$K$62)),""),ROWS($AE$34:AE124)),COLUMNS('DBX Sprint'!$A$1:A12)),"")</f>
        <v/>
      </c>
      <c r="AG124" s="41" t="str" cm="1">
        <f t="array" ref="AG124">IFERROR(INDEX('DBX Sprint'!$A$7:$K$62, SMALL(IF((INDEX('DBX Sprint'!$A$7:$K$62, ,29)=("Complete"))*(INDEX('DBX Sprint'!$A$7:$K$62, ,29)="Complete"),MATCH(ROW('DBX Sprint'!$A$7:$K$62),ROW('DBX Sprint'!$A$7:$K$62)),""),ROWS($AG$34:AG124)),COLUMNS('DBX Sprint'!$A$1:A12)),"")</f>
        <v/>
      </c>
      <c r="AH124" s="41" t="str" cm="1">
        <f t="array" aca="1" ref="AH124" ca="1">IFERROR(INDEX('DBX Sprint'!$A$7:$K$62, SMALL(IF((INDEX('DBX Sprint'!$A$7:$K$62, ,29)&lt;(TODAY()))*(INDEX('DBX Sprint'!$A$7:$K$62, ,29)&lt;&gt;"Complete"),MATCH(ROW('DBX Sprint'!$A$7:$K$62),ROW('DBX Sprint'!$A$7:$K$62)),""),ROWS($AH$34:AH124)),COLUMNS('DBX Sprint'!$A$1:A12)),"")</f>
        <v/>
      </c>
      <c r="AI124" s="41" t="str" cm="1">
        <f t="array" aca="1" ref="AI124" ca="1">IFERROR(INDEX('DBX Sprint'!$A$7:$K$62, SMALL(IF((INDEX('DBX Sprint'!$A$7:$K$62, ,29)&lt;=(TODAY()+1))*(INDEX('DBX Sprint'!$A$7:$K$62, ,29)&gt;=TODAY()),MATCH(ROW('DBX Sprint'!$A$7:$K$62),ROW('DBX Sprint'!$A$7:$K$62)),""),ROWS($AI$34:AI124)),COLUMNS('DBX Sprint'!$A$1:A12)),"")</f>
        <v/>
      </c>
      <c r="AJ124" s="43" t="str" cm="1">
        <f t="array" aca="1" ref="AJ124" ca="1">IFERROR(INDEX('DBX Sprint'!$A$7:$K$62, SMALL(IF((INDEX('DBX Sprint'!$A$7:$K$62, ,29)&lt;=(TODAY()+5))*(INDEX('DBX Sprint'!$A$7:$K$62, ,29)&gt;(TODAY()+1)),MATCH(ROW('DBX Sprint'!$A$7:$K$62),ROW('DBX Sprint'!$A$7:$K$62)),""),ROWS($AJ$34:AJ124)),COLUMNS('DBX Sprint'!$A$1:A12)),"")</f>
        <v/>
      </c>
      <c r="AK124" s="43" t="str" cm="1">
        <f t="array" aca="1" ref="AK124" ca="1">IFERROR(INDEX('DBX Sprint'!$A$7:$K$62, SMALL(IF((INDEX('DBX Sprint'!$A$7:$K$62, ,29)&lt;=(TODAY()+10))*(INDEX('DBX Sprint'!$A$7:$K$62, ,29)&gt;(TODAY()+5)),MATCH(ROW('DBX Sprint'!$A$7:$K$62),ROW('DBX Sprint'!$A$7:$K$62)),""),ROWS($AK$34:AK124)),COLUMNS('DBX Sprint'!$A$1:A12)),"")</f>
        <v/>
      </c>
      <c r="AM124" s="41" t="str" cm="1">
        <f t="array" ref="AM124">IFERROR(INDEX('DBX Sprint'!$A$7:$K$62, SMALL(IF((INDEX('DBX Sprint'!$A$7:$K$62, ,32)=("Complete"))*(INDEX('DBX Sprint'!$A$7:$K$62, ,32)="Complete"),MATCH(ROW('DBX Sprint'!$A$7:$K$62),ROW('DBX Sprint'!$A$7:$K$62)),""),ROWS($AM$34:AM124)),COLUMNS('DBX Sprint'!$A$1:A12)),"")</f>
        <v/>
      </c>
      <c r="AN124" s="41" t="str" cm="1">
        <f t="array" aca="1" ref="AN124" ca="1">IFERROR(INDEX('DBX Sprint'!$A$7:$K$62, SMALL(IF((INDEX('DBX Sprint'!$A$7:$K$62, ,32)&lt;(TODAY()))*(INDEX('DBX Sprint'!$A$7:$K$62, ,32)&lt;&gt;"Complete"),MATCH(ROW('DBX Sprint'!$A$7:$K$62),ROW('DBX Sprint'!$A$7:$K$62)),""),ROWS($AN$34:AN124)),COLUMNS('DBX Sprint'!$A$1:A12)),"")</f>
        <v/>
      </c>
      <c r="AO124" s="41" t="str" cm="1">
        <f t="array" aca="1" ref="AO124" ca="1">IFERROR(INDEX('DBX Sprint'!$A$7:$K$62, SMALL(IF((INDEX('DBX Sprint'!$A$7:$K$62, ,32)&lt;=(TODAY()+1))*(INDEX('DBX Sprint'!$A$7:$K$62, ,32)&gt;=TODAY()),MATCH(ROW('DBX Sprint'!$A$7:$K$62),ROW('DBX Sprint'!$A$7:$K$62)),""),ROWS($AO$34:AO124)),COLUMNS('DBX Sprint'!$A$1:A12)),"")</f>
        <v/>
      </c>
      <c r="AP124" s="43" t="str" cm="1">
        <f t="array" aca="1" ref="AP124" ca="1">IFERROR(INDEX('DBX Sprint'!$A$7:$K$62, SMALL(IF((INDEX('DBX Sprint'!$A$7:$K$62, ,32)&lt;=(TODAY()+5))*(INDEX('DBX Sprint'!$A$7:$K$62, ,32)&gt;(TODAY()+1)),MATCH(ROW('DBX Sprint'!$A$7:$K$62),ROW('DBX Sprint'!$A$7:$K$62)),""),ROWS($AP$34:AP124)),COLUMNS('DBX Sprint'!$A$1:A12)),"")</f>
        <v/>
      </c>
      <c r="AQ124" s="43" t="str" cm="1">
        <f t="array" aca="1" ref="AQ124" ca="1">IFERROR(INDEX('DBX Sprint'!$A$7:$K$62, SMALL(IF((INDEX('DBX Sprint'!$A$7:$K$62, ,32)&lt;=(TODAY()+10))*(INDEX('DBX Sprint'!$A$7:$K$62, ,32)&gt;(TODAY()+5)),MATCH(ROW('DBX Sprint'!$A$7:$K$62),ROW('DBX Sprint'!$A$7:$K$62)),""),ROWS($AQ$34:AQ124)),COLUMNS('DBX Sprint'!$A$1:A12)),"")</f>
        <v/>
      </c>
    </row>
    <row r="125" spans="3:43" ht="30" customHeight="1">
      <c r="C125" s="41" t="str" cm="1">
        <f t="array" ref="C125">IFERROR(INDEX('DBX Sprint'!$A$7:$K$62, SMALL(IF((INDEX('DBX Sprint'!$A$7:$K$62, ,13)=("Complete"))*(INDEX('DBX Sprint'!$A$7:$K$62, ,13)="Complete"),MATCH(ROW('DBX Sprint'!$A$7:$K$62),ROW('DBX Sprint'!$A$7:$K$62)),""),ROWS(C$34:$C125)),COLUMNS('DBX Sprint'!$A$1:A12)),"")</f>
        <v/>
      </c>
      <c r="D125" s="41" t="str" cm="1">
        <f t="array" aca="1" ref="D125" ca="1">IFERROR(INDEX('DBX Sprint'!$A$7:$K$62, SMALL(IF((INDEX('DBX Sprint'!$A$7:$K$62, ,13)&lt;(TODAY()))*(INDEX('DBX Sprint'!$A$7:$K$62, ,13)&lt;&gt;"Complete"),MATCH(ROW('DBX Sprint'!$A$7:$K$62),ROW('DBX Sprint'!$A$7:$K$62)),""),ROWS(D$34:$D125)),COLUMNS('DBX Sprint'!$A$1:A12)),"")</f>
        <v/>
      </c>
      <c r="E125" s="41" t="str" cm="1">
        <f t="array" aca="1" ref="E125" ca="1">IFERROR(INDEX('DBX Sprint'!$A$7:$K$62, SMALL(IF((INDEX('DBX Sprint'!$A$7:$K$62, ,13)&lt;=(TODAY()+1))*(INDEX('DBX Sprint'!$A$7:$K$62, ,13)&gt;=TODAY()),MATCH(ROW('DBX Sprint'!$A$7:$K$62),ROW('DBX Sprint'!$A$7:$K$62)),""),ROWS(E$34:$E125)),COLUMNS('DBX Sprint'!$A$1:A12)),"")</f>
        <v/>
      </c>
      <c r="F125" s="43" t="str" cm="1">
        <f t="array" aca="1" ref="F125" ca="1">IFERROR(INDEX('DBX Sprint'!$A$7:$K$62, SMALL(IF((INDEX('DBX Sprint'!$A$7:$K$62, ,13)&lt;=(TODAY()+5))*(INDEX('DBX Sprint'!$A$7:$K$62, ,13)&gt;(TODAY()+1)),MATCH(ROW('DBX Sprint'!$A$7:$K$62),ROW('DBX Sprint'!$A$7:$K$62)),""),ROWS($F$34:F125)),COLUMNS('DBX Sprint'!$A$1:A12)),"")</f>
        <v/>
      </c>
      <c r="G125" s="43" t="str" cm="1">
        <f t="array" aca="1" ref="G125" ca="1">IFERROR(INDEX('DBX Sprint'!$A$7:$K$62, SMALL(IF((INDEX('DBX Sprint'!$A$7:$K$62, ,13)&lt;=(TODAY()+10))*(INDEX('DBX Sprint'!$A$7:$K$62, ,13)&gt;(TODAY()+5)),MATCH(ROW('DBX Sprint'!$A$7:$K$62),ROW('DBX Sprint'!$A$7:$K$62)),""),ROWS($G$34:G125)),COLUMNS('DBX Sprint'!$A$1:A12)),"")</f>
        <v/>
      </c>
      <c r="I125" s="41" t="str" cm="1">
        <f t="array" ref="I125">IFERROR(INDEX('DBX Sprint'!$A$7:$K$62, SMALL(IF((INDEX('DBX Sprint'!$A$7:$K$62, ,16)=("Complete"))*(INDEX('DBX Sprint'!$A$7:$K$62, ,16)="Complete"),MATCH(ROW('DBX Sprint'!$A$7:$K$62),ROW('DBX Sprint'!$A$7:$K$62)),""),ROWS($I$34:I125)),COLUMNS('DBX Sprint'!$A$1:A12)),"")</f>
        <v/>
      </c>
      <c r="J125" s="41" t="str" cm="1">
        <f t="array" aca="1" ref="J125" ca="1">IFERROR(INDEX('DBX Sprint'!$A$7:$K$62, SMALL(IF((INDEX('DBX Sprint'!$A$7:$K$62, ,16)&lt;(TODAY()))*(INDEX('DBX Sprint'!$A$7:$K$62, ,16)&lt;&gt;"Complete"),MATCH(ROW('DBX Sprint'!$A$7:$K$62),ROW('DBX Sprint'!$A$7:$K$62)),""),ROWS($J$34:J125)),COLUMNS('DBX Sprint'!$A$1:A12)),"")</f>
        <v/>
      </c>
      <c r="K125" s="41" t="str" cm="1">
        <f t="array" aca="1" ref="K125" ca="1">IFERROR(INDEX('DBX Sprint'!$A$7:$K$62, SMALL(IF((INDEX('DBX Sprint'!$A$7:$K$62, ,16)&lt;=(TODAY()+1))*(INDEX('DBX Sprint'!$A$7:$K$62, ,16)&gt;=TODAY()),MATCH(ROW('DBX Sprint'!$A$7:$K$62),ROW('DBX Sprint'!$A$7:$K$62)),""),ROWS($K$34:K125)),COLUMNS('DBX Sprint'!$A$1:A12)),"")</f>
        <v/>
      </c>
      <c r="L125" s="43" t="str" cm="1">
        <f t="array" aca="1" ref="L125" ca="1">IFERROR(INDEX('DBX Sprint'!$A$7:$K$62, SMALL(IF((INDEX('DBX Sprint'!$A$7:$K$62, ,16)&lt;=(TODAY()+5))*(INDEX('DBX Sprint'!$A$7:$K$62, ,16)&gt;(TODAY()+1)),MATCH(ROW('DBX Sprint'!$A$7:$K$62),ROW('DBX Sprint'!$A$7:$K$62)),""),ROWS($L$34:L125)),COLUMNS('DBX Sprint'!$A$1:A12)),"")</f>
        <v/>
      </c>
      <c r="M125" s="43" t="str" cm="1">
        <f t="array" aca="1" ref="M125" ca="1">IFERROR(INDEX('DBX Sprint'!$A$7:$K$62, SMALL(IF((INDEX('DBX Sprint'!$A$7:$K$62, ,16)&lt;=(TODAY()+10))*(INDEX('DBX Sprint'!$A$7:$K$62, ,16)&gt;(TODAY()+5)),MATCH(ROW('DBX Sprint'!$A$7:$K$62),ROW('DBX Sprint'!$A$7:$K$62)),""),ROWS($M$34:M125)),COLUMNS('DBX Sprint'!$A$1:A12)),"")</f>
        <v/>
      </c>
      <c r="P125" s="41" t="str" cm="1">
        <f t="array" aca="1" ref="P125" ca="1">IFERROR(INDEX('DBX Sprint'!$A$7:$K$62, SMALL(IF((INDEX('DBX Sprint'!$A$7:$K$62, ,19)&lt;(TODAY()))*(INDEX('DBX Sprint'!$A$7:$K$62, ,19)&lt;&gt;"Complete"),MATCH(ROW('DBX Sprint'!$A$7:$K$62),ROW('DBX Sprint'!$A$7:$K$62)),""),ROWS($P$34:P125)),COLUMNS('DBX Sprint'!$A$1:A12)),"")</f>
        <v/>
      </c>
      <c r="Q125" s="41" t="str" cm="1">
        <f t="array" aca="1" ref="Q125" ca="1">IFERROR(INDEX('DBX Sprint'!$A$7:$K$62, SMALL(IF((INDEX('DBX Sprint'!$A$7:$K$62, ,19)&lt;=(TODAY()+1))*(INDEX('DBX Sprint'!$A$7:$K$62, ,19)&gt;=TODAY()),MATCH(ROW('DBX Sprint'!$A$7:$K$62),ROW('DBX Sprint'!$A$7:$K$62)),""),ROWS($Q$34:Q125)),COLUMNS('DBX Sprint'!$A$1:A12)),"")</f>
        <v/>
      </c>
      <c r="R125" s="43" t="str" cm="1">
        <f t="array" aca="1" ref="R125" ca="1">IFERROR(INDEX('DBX Sprint'!$A$7:$K$62, SMALL(IF((INDEX('DBX Sprint'!$A$7:$K$62, ,19)&lt;=(TODAY()+5))*(INDEX('DBX Sprint'!$A$7:$K$62, ,19)&gt;(TODAY()+1)),MATCH(ROW('DBX Sprint'!$A$7:$K$62),ROW('DBX Sprint'!$A$7:$K$62)),""),ROWS($R$34:R125)),COLUMNS('DBX Sprint'!$A$1:A12)),"")</f>
        <v/>
      </c>
      <c r="S125" s="43" t="str" cm="1">
        <f t="array" aca="1" ref="S125" ca="1">IFERROR(INDEX('DBX Sprint'!$A$7:$K$62, SMALL(IF((INDEX('DBX Sprint'!$A$7:$K$62, ,19)&lt;=(TODAY()+10))*(INDEX('DBX Sprint'!$A$7:$K$62, ,19)&gt;(TODAY()+5)),MATCH(ROW('DBX Sprint'!$A$7:$K$62),ROW('DBX Sprint'!$A$7:$K$62)),""),ROWS($S$34:S125)),COLUMNS('DBX Sprint'!$A$1:A12)),"")</f>
        <v/>
      </c>
      <c r="U125" s="41" t="str" cm="1">
        <f t="array" ref="U125">IFERROR(INDEX('DBX Sprint'!$A$7:$K$62, SMALL(IF((INDEX('DBX Sprint'!$A$7:$K$62, ,22)=("Complete"))*(INDEX('DBX Sprint'!$A$7:$K$62, ,22)="Complete"),MATCH(ROW('DBX Sprint'!$A$7:$K$62),ROW('DBX Sprint'!$A$7:$K$62)),""),ROWS($U$34:U125)),COLUMNS('DBX Sprint'!$A$1:A12)),"")</f>
        <v/>
      </c>
      <c r="V125" s="41" t="str" cm="1">
        <f t="array" aca="1" ref="V125" ca="1">IFERROR(INDEX('DBX Sprint'!$A$7:$K$62, SMALL(IF((INDEX('DBX Sprint'!$A$7:$K$62, ,22)&lt;(TODAY()))*(INDEX('DBX Sprint'!$A$7:$K$62, ,22)&lt;&gt;"Complete"),MATCH(ROW('DBX Sprint'!$A$7:$K$62),ROW('DBX Sprint'!$A$7:$K$62)),""),ROWS($V$34:V125)),COLUMNS('DBX Sprint'!$A$1:A12)),"")</f>
        <v/>
      </c>
      <c r="W125" s="41" t="str" cm="1">
        <f t="array" aca="1" ref="W125" ca="1">IFERROR(INDEX('DBX Sprint'!$A$7:$K$62, SMALL(IF((INDEX('DBX Sprint'!$A$7:$K$62, ,22)&lt;=(TODAY()+1))*(INDEX('DBX Sprint'!$A$7:$K$62, ,22)&gt;=TODAY()),MATCH(ROW('DBX Sprint'!$A$7:$K$62),ROW('DBX Sprint'!$A$7:$K$62)),""),ROWS($W$34:W125)),COLUMNS('DBX Sprint'!$A$1:A12)),"")</f>
        <v/>
      </c>
      <c r="X125" s="43" t="str" cm="1">
        <f t="array" aca="1" ref="X125" ca="1">IFERROR(INDEX('DBX Sprint'!$A$7:$K$62, SMALL(IF((INDEX('DBX Sprint'!$A$7:$K$62, ,22)&lt;=(TODAY()+5))*(INDEX('DBX Sprint'!$A$7:$K$62, ,22)&gt;(TODAY()+1)),MATCH(ROW('DBX Sprint'!$A$7:$K$62),ROW('DBX Sprint'!$A$7:$K$62)),""),ROWS($X$34:X125)),COLUMNS('DBX Sprint'!$A$1:A12)),"")</f>
        <v/>
      </c>
      <c r="Y125" s="43" t="str" cm="1">
        <f t="array" aca="1" ref="Y125" ca="1">IFERROR(INDEX('DBX Sprint'!$A$7:$K$62, SMALL(IF((INDEX('DBX Sprint'!$A$7:$K$62, ,22)&lt;=(TODAY()+10))*(INDEX('DBX Sprint'!$A$7:$K$62, ,22)&gt;(TODAY()+5)),MATCH(ROW('DBX Sprint'!$A$7:$K$62),ROW('DBX Sprint'!$A$7:$K$62)),""),ROWS($Y$34:Y125)),COLUMNS('DBX Sprint'!$A$1:A12)),"")</f>
        <v/>
      </c>
      <c r="AA125" s="41" t="str" cm="1">
        <f t="array" ref="AA125">IFERROR(INDEX('DBX Sprint'!$A$7:$K$62, SMALL(IF((INDEX('DBX Sprint'!$A$7:$K$62, ,25)=("Complete"))*(INDEX('DBX Sprint'!$A$7:$K$62, ,25)="Complete"),MATCH(ROW('DBX Sprint'!$A$7:$K$62),ROW('DBX Sprint'!$A$7:$K$62)),""),ROWS($AA$34:AA125)),COLUMNS('DBX Sprint'!$A$1:A12)),"")</f>
        <v/>
      </c>
      <c r="AB125" s="41" t="str" cm="1">
        <f t="array" aca="1" ref="AB125" ca="1">IFERROR(INDEX('DBX Sprint'!$A$7:$K$62, SMALL(IF((INDEX('DBX Sprint'!$A$7:$K$62, ,25)&lt;(TODAY()))*(INDEX('DBX Sprint'!$A$7:$K$62, ,25)&lt;&gt;"Complete"),MATCH(ROW('DBX Sprint'!$A$7:$K$62),ROW('DBX Sprint'!$A$7:$K$62)),""),ROWS($AB$34:AB125)),COLUMNS('DBX Sprint'!$A$1:A12)),"")</f>
        <v/>
      </c>
      <c r="AC125" s="41" t="str" cm="1">
        <f t="array" aca="1" ref="AC125" ca="1">IFERROR(INDEX('DBX Sprint'!$A$7:$K$62, SMALL(IF((INDEX('DBX Sprint'!$A$7:$K$62, ,25)&lt;=(TODAY()+1))*(INDEX('DBX Sprint'!$A$7:$K$62, ,25)&gt;=TODAY()),MATCH(ROW('DBX Sprint'!$A$7:$K$62),ROW('DBX Sprint'!$A$7:$K$62)),""),ROWS($AC$34:AC125)),COLUMNS('DBX Sprint'!$A$1:A12)),"")</f>
        <v/>
      </c>
      <c r="AD125" s="43" t="str" cm="1">
        <f t="array" aca="1" ref="AD125" ca="1">IFERROR(INDEX('DBX Sprint'!$A$7:$K$62, SMALL(IF((INDEX('DBX Sprint'!$A$7:$K$62, ,25)&lt;=(TODAY()+5))*(INDEX('DBX Sprint'!$A$7:$K$62, ,25)&gt;(TODAY()+1)),MATCH(ROW('DBX Sprint'!$A$7:$K$62),ROW('DBX Sprint'!$A$7:$K$62)),""),ROWS($AD$34:AD125)),COLUMNS('DBX Sprint'!$A$1:A12)),"")</f>
        <v/>
      </c>
      <c r="AE125" s="43" t="str" cm="1">
        <f t="array" aca="1" ref="AE125" ca="1">IFERROR(INDEX('DBX Sprint'!$A$7:$K$62, SMALL(IF((INDEX('DBX Sprint'!$A$7:$K$62, ,25)&lt;=(TODAY()+10))*(INDEX('DBX Sprint'!$A$7:$K$62, ,25)&gt;(TODAY()+5)),MATCH(ROW('DBX Sprint'!$A$7:$K$62),ROW('DBX Sprint'!$A$7:$K$62)),""),ROWS($AE$34:AE125)),COLUMNS('DBX Sprint'!$A$1:A12)),"")</f>
        <v/>
      </c>
      <c r="AG125" s="41" t="str" cm="1">
        <f t="array" ref="AG125">IFERROR(INDEX('DBX Sprint'!$A$7:$K$62, SMALL(IF((INDEX('DBX Sprint'!$A$7:$K$62, ,29)=("Complete"))*(INDEX('DBX Sprint'!$A$7:$K$62, ,29)="Complete"),MATCH(ROW('DBX Sprint'!$A$7:$K$62),ROW('DBX Sprint'!$A$7:$K$62)),""),ROWS($AG$34:AG125)),COLUMNS('DBX Sprint'!$A$1:A12)),"")</f>
        <v/>
      </c>
      <c r="AH125" s="41" t="str" cm="1">
        <f t="array" aca="1" ref="AH125" ca="1">IFERROR(INDEX('DBX Sprint'!$A$7:$K$62, SMALL(IF((INDEX('DBX Sprint'!$A$7:$K$62, ,29)&lt;(TODAY()))*(INDEX('DBX Sprint'!$A$7:$K$62, ,29)&lt;&gt;"Complete"),MATCH(ROW('DBX Sprint'!$A$7:$K$62),ROW('DBX Sprint'!$A$7:$K$62)),""),ROWS($AH$34:AH125)),COLUMNS('DBX Sprint'!$A$1:A12)),"")</f>
        <v/>
      </c>
      <c r="AI125" s="41" t="str" cm="1">
        <f t="array" aca="1" ref="AI125" ca="1">IFERROR(INDEX('DBX Sprint'!$A$7:$K$62, SMALL(IF((INDEX('DBX Sprint'!$A$7:$K$62, ,29)&lt;=(TODAY()+1))*(INDEX('DBX Sprint'!$A$7:$K$62, ,29)&gt;=TODAY()),MATCH(ROW('DBX Sprint'!$A$7:$K$62),ROW('DBX Sprint'!$A$7:$K$62)),""),ROWS($AI$34:AI125)),COLUMNS('DBX Sprint'!$A$1:A12)),"")</f>
        <v/>
      </c>
      <c r="AJ125" s="43" t="str" cm="1">
        <f t="array" aca="1" ref="AJ125" ca="1">IFERROR(INDEX('DBX Sprint'!$A$7:$K$62, SMALL(IF((INDEX('DBX Sprint'!$A$7:$K$62, ,29)&lt;=(TODAY()+5))*(INDEX('DBX Sprint'!$A$7:$K$62, ,29)&gt;(TODAY()+1)),MATCH(ROW('DBX Sprint'!$A$7:$K$62),ROW('DBX Sprint'!$A$7:$K$62)),""),ROWS($AJ$34:AJ125)),COLUMNS('DBX Sprint'!$A$1:A12)),"")</f>
        <v/>
      </c>
      <c r="AK125" s="43" t="str" cm="1">
        <f t="array" aca="1" ref="AK125" ca="1">IFERROR(INDEX('DBX Sprint'!$A$7:$K$62, SMALL(IF((INDEX('DBX Sprint'!$A$7:$K$62, ,29)&lt;=(TODAY()+10))*(INDEX('DBX Sprint'!$A$7:$K$62, ,29)&gt;(TODAY()+5)),MATCH(ROW('DBX Sprint'!$A$7:$K$62),ROW('DBX Sprint'!$A$7:$K$62)),""),ROWS($AK$34:AK125)),COLUMNS('DBX Sprint'!$A$1:A12)),"")</f>
        <v/>
      </c>
      <c r="AM125" s="41" t="str" cm="1">
        <f t="array" ref="AM125">IFERROR(INDEX('DBX Sprint'!$A$7:$K$62, SMALL(IF((INDEX('DBX Sprint'!$A$7:$K$62, ,32)=("Complete"))*(INDEX('DBX Sprint'!$A$7:$K$62, ,32)="Complete"),MATCH(ROW('DBX Sprint'!$A$7:$K$62),ROW('DBX Sprint'!$A$7:$K$62)),""),ROWS($AM$34:AM125)),COLUMNS('DBX Sprint'!$A$1:A12)),"")</f>
        <v/>
      </c>
      <c r="AN125" s="41" t="str" cm="1">
        <f t="array" aca="1" ref="AN125" ca="1">IFERROR(INDEX('DBX Sprint'!$A$7:$K$62, SMALL(IF((INDEX('DBX Sprint'!$A$7:$K$62, ,32)&lt;(TODAY()))*(INDEX('DBX Sprint'!$A$7:$K$62, ,32)&lt;&gt;"Complete"),MATCH(ROW('DBX Sprint'!$A$7:$K$62),ROW('DBX Sprint'!$A$7:$K$62)),""),ROWS($AN$34:AN125)),COLUMNS('DBX Sprint'!$A$1:A12)),"")</f>
        <v/>
      </c>
      <c r="AO125" s="41" t="str" cm="1">
        <f t="array" aca="1" ref="AO125" ca="1">IFERROR(INDEX('DBX Sprint'!$A$7:$K$62, SMALL(IF((INDEX('DBX Sprint'!$A$7:$K$62, ,32)&lt;=(TODAY()+1))*(INDEX('DBX Sprint'!$A$7:$K$62, ,32)&gt;=TODAY()),MATCH(ROW('DBX Sprint'!$A$7:$K$62),ROW('DBX Sprint'!$A$7:$K$62)),""),ROWS($AO$34:AO125)),COLUMNS('DBX Sprint'!$A$1:A12)),"")</f>
        <v/>
      </c>
      <c r="AP125" s="43" t="str" cm="1">
        <f t="array" aca="1" ref="AP125" ca="1">IFERROR(INDEX('DBX Sprint'!$A$7:$K$62, SMALL(IF((INDEX('DBX Sprint'!$A$7:$K$62, ,32)&lt;=(TODAY()+5))*(INDEX('DBX Sprint'!$A$7:$K$62, ,32)&gt;(TODAY()+1)),MATCH(ROW('DBX Sprint'!$A$7:$K$62),ROW('DBX Sprint'!$A$7:$K$62)),""),ROWS($AP$34:AP125)),COLUMNS('DBX Sprint'!$A$1:A12)),"")</f>
        <v/>
      </c>
      <c r="AQ125" s="43" t="str" cm="1">
        <f t="array" aca="1" ref="AQ125" ca="1">IFERROR(INDEX('DBX Sprint'!$A$7:$K$62, SMALL(IF((INDEX('DBX Sprint'!$A$7:$K$62, ,32)&lt;=(TODAY()+10))*(INDEX('DBX Sprint'!$A$7:$K$62, ,32)&gt;(TODAY()+5)),MATCH(ROW('DBX Sprint'!$A$7:$K$62),ROW('DBX Sprint'!$A$7:$K$62)),""),ROWS($AQ$34:AQ125)),COLUMNS('DBX Sprint'!$A$1:A12)),"")</f>
        <v/>
      </c>
    </row>
    <row r="126" spans="3:43" ht="30" customHeight="1">
      <c r="C126" s="41" t="str" cm="1">
        <f t="array" ref="C126">IFERROR(INDEX('DBX Sprint'!$A$7:$K$62, SMALL(IF((INDEX('DBX Sprint'!$A$7:$K$62, ,13)=("Complete"))*(INDEX('DBX Sprint'!$A$7:$K$62, ,13)="Complete"),MATCH(ROW('DBX Sprint'!$A$7:$K$62),ROW('DBX Sprint'!$A$7:$K$62)),""),ROWS(C$34:$C126)),COLUMNS('DBX Sprint'!$A$1:A12)),"")</f>
        <v/>
      </c>
      <c r="D126" s="41" t="str" cm="1">
        <f t="array" aca="1" ref="D126" ca="1">IFERROR(INDEX('DBX Sprint'!$A$7:$K$62, SMALL(IF((INDEX('DBX Sprint'!$A$7:$K$62, ,13)&lt;(TODAY()))*(INDEX('DBX Sprint'!$A$7:$K$62, ,13)&lt;&gt;"Complete"),MATCH(ROW('DBX Sprint'!$A$7:$K$62),ROW('DBX Sprint'!$A$7:$K$62)),""),ROWS(D$34:$D126)),COLUMNS('DBX Sprint'!$A$1:A12)),"")</f>
        <v/>
      </c>
      <c r="E126" s="41" t="str" cm="1">
        <f t="array" aca="1" ref="E126" ca="1">IFERROR(INDEX('DBX Sprint'!$A$7:$K$62, SMALL(IF((INDEX('DBX Sprint'!$A$7:$K$62, ,13)&lt;=(TODAY()+1))*(INDEX('DBX Sprint'!$A$7:$K$62, ,13)&gt;=TODAY()),MATCH(ROW('DBX Sprint'!$A$7:$K$62),ROW('DBX Sprint'!$A$7:$K$62)),""),ROWS(E$34:$E126)),COLUMNS('DBX Sprint'!$A$1:A12)),"")</f>
        <v/>
      </c>
      <c r="F126" s="43" t="str" cm="1">
        <f t="array" aca="1" ref="F126" ca="1">IFERROR(INDEX('DBX Sprint'!$A$7:$K$62, SMALL(IF((INDEX('DBX Sprint'!$A$7:$K$62, ,13)&lt;=(TODAY()+5))*(INDEX('DBX Sprint'!$A$7:$K$62, ,13)&gt;(TODAY()+1)),MATCH(ROW('DBX Sprint'!$A$7:$K$62),ROW('DBX Sprint'!$A$7:$K$62)),""),ROWS($F$34:F126)),COLUMNS('DBX Sprint'!$A$1:A12)),"")</f>
        <v/>
      </c>
      <c r="G126" s="43" t="str" cm="1">
        <f t="array" aca="1" ref="G126" ca="1">IFERROR(INDEX('DBX Sprint'!$A$7:$K$62, SMALL(IF((INDEX('DBX Sprint'!$A$7:$K$62, ,13)&lt;=(TODAY()+10))*(INDEX('DBX Sprint'!$A$7:$K$62, ,13)&gt;(TODAY()+5)),MATCH(ROW('DBX Sprint'!$A$7:$K$62),ROW('DBX Sprint'!$A$7:$K$62)),""),ROWS($G$34:G126)),COLUMNS('DBX Sprint'!$A$1:A12)),"")</f>
        <v/>
      </c>
      <c r="I126" s="41" t="str" cm="1">
        <f t="array" ref="I126">IFERROR(INDEX('DBX Sprint'!$A$7:$K$62, SMALL(IF((INDEX('DBX Sprint'!$A$7:$K$62, ,16)=("Complete"))*(INDEX('DBX Sprint'!$A$7:$K$62, ,16)="Complete"),MATCH(ROW('DBX Sprint'!$A$7:$K$62),ROW('DBX Sprint'!$A$7:$K$62)),""),ROWS($I$34:I126)),COLUMNS('DBX Sprint'!$A$1:A12)),"")</f>
        <v/>
      </c>
      <c r="J126" s="41" t="str" cm="1">
        <f t="array" aca="1" ref="J126" ca="1">IFERROR(INDEX('DBX Sprint'!$A$7:$K$62, SMALL(IF((INDEX('DBX Sprint'!$A$7:$K$62, ,16)&lt;(TODAY()))*(INDEX('DBX Sprint'!$A$7:$K$62, ,16)&lt;&gt;"Complete"),MATCH(ROW('DBX Sprint'!$A$7:$K$62),ROW('DBX Sprint'!$A$7:$K$62)),""),ROWS($J$34:J126)),COLUMNS('DBX Sprint'!$A$1:A12)),"")</f>
        <v/>
      </c>
      <c r="K126" s="41" t="str" cm="1">
        <f t="array" aca="1" ref="K126" ca="1">IFERROR(INDEX('DBX Sprint'!$A$7:$K$62, SMALL(IF((INDEX('DBX Sprint'!$A$7:$K$62, ,16)&lt;=(TODAY()+1))*(INDEX('DBX Sprint'!$A$7:$K$62, ,16)&gt;=TODAY()),MATCH(ROW('DBX Sprint'!$A$7:$K$62),ROW('DBX Sprint'!$A$7:$K$62)),""),ROWS($K$34:K126)),COLUMNS('DBX Sprint'!$A$1:A12)),"")</f>
        <v/>
      </c>
      <c r="L126" s="43" t="str" cm="1">
        <f t="array" aca="1" ref="L126" ca="1">IFERROR(INDEX('DBX Sprint'!$A$7:$K$62, SMALL(IF((INDEX('DBX Sprint'!$A$7:$K$62, ,16)&lt;=(TODAY()+5))*(INDEX('DBX Sprint'!$A$7:$K$62, ,16)&gt;(TODAY()+1)),MATCH(ROW('DBX Sprint'!$A$7:$K$62),ROW('DBX Sprint'!$A$7:$K$62)),""),ROWS($L$34:L126)),COLUMNS('DBX Sprint'!$A$1:A12)),"")</f>
        <v/>
      </c>
      <c r="M126" s="43" t="str" cm="1">
        <f t="array" aca="1" ref="M126" ca="1">IFERROR(INDEX('DBX Sprint'!$A$7:$K$62, SMALL(IF((INDEX('DBX Sprint'!$A$7:$K$62, ,16)&lt;=(TODAY()+10))*(INDEX('DBX Sprint'!$A$7:$K$62, ,16)&gt;(TODAY()+5)),MATCH(ROW('DBX Sprint'!$A$7:$K$62),ROW('DBX Sprint'!$A$7:$K$62)),""),ROWS($M$34:M126)),COLUMNS('DBX Sprint'!$A$1:A12)),"")</f>
        <v/>
      </c>
      <c r="P126" s="41" t="str" cm="1">
        <f t="array" aca="1" ref="P126" ca="1">IFERROR(INDEX('DBX Sprint'!$A$7:$K$62, SMALL(IF((INDEX('DBX Sprint'!$A$7:$K$62, ,19)&lt;(TODAY()))*(INDEX('DBX Sprint'!$A$7:$K$62, ,19)&lt;&gt;"Complete"),MATCH(ROW('DBX Sprint'!$A$7:$K$62),ROW('DBX Sprint'!$A$7:$K$62)),""),ROWS($P$34:P126)),COLUMNS('DBX Sprint'!$A$1:A12)),"")</f>
        <v/>
      </c>
      <c r="Q126" s="41" t="str" cm="1">
        <f t="array" aca="1" ref="Q126" ca="1">IFERROR(INDEX('DBX Sprint'!$A$7:$K$62, SMALL(IF((INDEX('DBX Sprint'!$A$7:$K$62, ,19)&lt;=(TODAY()+1))*(INDEX('DBX Sprint'!$A$7:$K$62, ,19)&gt;=TODAY()),MATCH(ROW('DBX Sprint'!$A$7:$K$62),ROW('DBX Sprint'!$A$7:$K$62)),""),ROWS($Q$34:Q126)),COLUMNS('DBX Sprint'!$A$1:A12)),"")</f>
        <v/>
      </c>
      <c r="R126" s="43" t="str" cm="1">
        <f t="array" aca="1" ref="R126" ca="1">IFERROR(INDEX('DBX Sprint'!$A$7:$K$62, SMALL(IF((INDEX('DBX Sprint'!$A$7:$K$62, ,19)&lt;=(TODAY()+5))*(INDEX('DBX Sprint'!$A$7:$K$62, ,19)&gt;(TODAY()+1)),MATCH(ROW('DBX Sprint'!$A$7:$K$62),ROW('DBX Sprint'!$A$7:$K$62)),""),ROWS($R$34:R126)),COLUMNS('DBX Sprint'!$A$1:A12)),"")</f>
        <v/>
      </c>
      <c r="S126" s="43" t="str" cm="1">
        <f t="array" aca="1" ref="S126" ca="1">IFERROR(INDEX('DBX Sprint'!$A$7:$K$62, SMALL(IF((INDEX('DBX Sprint'!$A$7:$K$62, ,19)&lt;=(TODAY()+10))*(INDEX('DBX Sprint'!$A$7:$K$62, ,19)&gt;(TODAY()+5)),MATCH(ROW('DBX Sprint'!$A$7:$K$62),ROW('DBX Sprint'!$A$7:$K$62)),""),ROWS($S$34:S126)),COLUMNS('DBX Sprint'!$A$1:A12)),"")</f>
        <v/>
      </c>
      <c r="U126" s="41" t="str" cm="1">
        <f t="array" ref="U126">IFERROR(INDEX('DBX Sprint'!$A$7:$K$62, SMALL(IF((INDEX('DBX Sprint'!$A$7:$K$62, ,22)=("Complete"))*(INDEX('DBX Sprint'!$A$7:$K$62, ,22)="Complete"),MATCH(ROW('DBX Sprint'!$A$7:$K$62),ROW('DBX Sprint'!$A$7:$K$62)),""),ROWS($U$34:U126)),COLUMNS('DBX Sprint'!$A$1:A12)),"")</f>
        <v/>
      </c>
      <c r="V126" s="41" t="str" cm="1">
        <f t="array" aca="1" ref="V126" ca="1">IFERROR(INDEX('DBX Sprint'!$A$7:$K$62, SMALL(IF((INDEX('DBX Sprint'!$A$7:$K$62, ,22)&lt;(TODAY()))*(INDEX('DBX Sprint'!$A$7:$K$62, ,22)&lt;&gt;"Complete"),MATCH(ROW('DBX Sprint'!$A$7:$K$62),ROW('DBX Sprint'!$A$7:$K$62)),""),ROWS($V$34:V126)),COLUMNS('DBX Sprint'!$A$1:A12)),"")</f>
        <v/>
      </c>
      <c r="W126" s="41" t="str" cm="1">
        <f t="array" aca="1" ref="W126" ca="1">IFERROR(INDEX('DBX Sprint'!$A$7:$K$62, SMALL(IF((INDEX('DBX Sprint'!$A$7:$K$62, ,22)&lt;=(TODAY()+1))*(INDEX('DBX Sprint'!$A$7:$K$62, ,22)&gt;=TODAY()),MATCH(ROW('DBX Sprint'!$A$7:$K$62),ROW('DBX Sprint'!$A$7:$K$62)),""),ROWS($W$34:W126)),COLUMNS('DBX Sprint'!$A$1:A12)),"")</f>
        <v/>
      </c>
      <c r="X126" s="43" t="str" cm="1">
        <f t="array" aca="1" ref="X126" ca="1">IFERROR(INDEX('DBX Sprint'!$A$7:$K$62, SMALL(IF((INDEX('DBX Sprint'!$A$7:$K$62, ,22)&lt;=(TODAY()+5))*(INDEX('DBX Sprint'!$A$7:$K$62, ,22)&gt;(TODAY()+1)),MATCH(ROW('DBX Sprint'!$A$7:$K$62),ROW('DBX Sprint'!$A$7:$K$62)),""),ROWS($X$34:X126)),COLUMNS('DBX Sprint'!$A$1:A12)),"")</f>
        <v/>
      </c>
      <c r="Y126" s="43" t="str" cm="1">
        <f t="array" aca="1" ref="Y126" ca="1">IFERROR(INDEX('DBX Sprint'!$A$7:$K$62, SMALL(IF((INDEX('DBX Sprint'!$A$7:$K$62, ,22)&lt;=(TODAY()+10))*(INDEX('DBX Sprint'!$A$7:$K$62, ,22)&gt;(TODAY()+5)),MATCH(ROW('DBX Sprint'!$A$7:$K$62),ROW('DBX Sprint'!$A$7:$K$62)),""),ROWS($Y$34:Y126)),COLUMNS('DBX Sprint'!$A$1:A12)),"")</f>
        <v/>
      </c>
      <c r="AA126" s="41" t="str" cm="1">
        <f t="array" ref="AA126">IFERROR(INDEX('DBX Sprint'!$A$7:$K$62, SMALL(IF((INDEX('DBX Sprint'!$A$7:$K$62, ,25)=("Complete"))*(INDEX('DBX Sprint'!$A$7:$K$62, ,25)="Complete"),MATCH(ROW('DBX Sprint'!$A$7:$K$62),ROW('DBX Sprint'!$A$7:$K$62)),""),ROWS($AA$34:AA126)),COLUMNS('DBX Sprint'!$A$1:A12)),"")</f>
        <v/>
      </c>
      <c r="AB126" s="41" t="str" cm="1">
        <f t="array" aca="1" ref="AB126" ca="1">IFERROR(INDEX('DBX Sprint'!$A$7:$K$62, SMALL(IF((INDEX('DBX Sprint'!$A$7:$K$62, ,25)&lt;(TODAY()))*(INDEX('DBX Sprint'!$A$7:$K$62, ,25)&lt;&gt;"Complete"),MATCH(ROW('DBX Sprint'!$A$7:$K$62),ROW('DBX Sprint'!$A$7:$K$62)),""),ROWS($AB$34:AB126)),COLUMNS('DBX Sprint'!$A$1:A12)),"")</f>
        <v/>
      </c>
      <c r="AC126" s="41" t="str" cm="1">
        <f t="array" aca="1" ref="AC126" ca="1">IFERROR(INDEX('DBX Sprint'!$A$7:$K$62, SMALL(IF((INDEX('DBX Sprint'!$A$7:$K$62, ,25)&lt;=(TODAY()+1))*(INDEX('DBX Sprint'!$A$7:$K$62, ,25)&gt;=TODAY()),MATCH(ROW('DBX Sprint'!$A$7:$K$62),ROW('DBX Sprint'!$A$7:$K$62)),""),ROWS($AC$34:AC126)),COLUMNS('DBX Sprint'!$A$1:A12)),"")</f>
        <v/>
      </c>
      <c r="AD126" s="43" t="str" cm="1">
        <f t="array" aca="1" ref="AD126" ca="1">IFERROR(INDEX('DBX Sprint'!$A$7:$K$62, SMALL(IF((INDEX('DBX Sprint'!$A$7:$K$62, ,25)&lt;=(TODAY()+5))*(INDEX('DBX Sprint'!$A$7:$K$62, ,25)&gt;(TODAY()+1)),MATCH(ROW('DBX Sprint'!$A$7:$K$62),ROW('DBX Sprint'!$A$7:$K$62)),""),ROWS($AD$34:AD126)),COLUMNS('DBX Sprint'!$A$1:A12)),"")</f>
        <v/>
      </c>
      <c r="AE126" s="43" t="str" cm="1">
        <f t="array" aca="1" ref="AE126" ca="1">IFERROR(INDEX('DBX Sprint'!$A$7:$K$62, SMALL(IF((INDEX('DBX Sprint'!$A$7:$K$62, ,25)&lt;=(TODAY()+10))*(INDEX('DBX Sprint'!$A$7:$K$62, ,25)&gt;(TODAY()+5)),MATCH(ROW('DBX Sprint'!$A$7:$K$62),ROW('DBX Sprint'!$A$7:$K$62)),""),ROWS($AE$34:AE126)),COLUMNS('DBX Sprint'!$A$1:A12)),"")</f>
        <v/>
      </c>
      <c r="AG126" s="41" t="str" cm="1">
        <f t="array" ref="AG126">IFERROR(INDEX('DBX Sprint'!$A$7:$K$62, SMALL(IF((INDEX('DBX Sprint'!$A$7:$K$62, ,29)=("Complete"))*(INDEX('DBX Sprint'!$A$7:$K$62, ,29)="Complete"),MATCH(ROW('DBX Sprint'!$A$7:$K$62),ROW('DBX Sprint'!$A$7:$K$62)),""),ROWS($AG$34:AG126)),COLUMNS('DBX Sprint'!$A$1:A12)),"")</f>
        <v/>
      </c>
      <c r="AH126" s="41" t="str" cm="1">
        <f t="array" aca="1" ref="AH126" ca="1">IFERROR(INDEX('DBX Sprint'!$A$7:$K$62, SMALL(IF((INDEX('DBX Sprint'!$A$7:$K$62, ,29)&lt;(TODAY()))*(INDEX('DBX Sprint'!$A$7:$K$62, ,29)&lt;&gt;"Complete"),MATCH(ROW('DBX Sprint'!$A$7:$K$62),ROW('DBX Sprint'!$A$7:$K$62)),""),ROWS($AH$34:AH126)),COLUMNS('DBX Sprint'!$A$1:A12)),"")</f>
        <v/>
      </c>
      <c r="AI126" s="41" t="str" cm="1">
        <f t="array" aca="1" ref="AI126" ca="1">IFERROR(INDEX('DBX Sprint'!$A$7:$K$62, SMALL(IF((INDEX('DBX Sprint'!$A$7:$K$62, ,29)&lt;=(TODAY()+1))*(INDEX('DBX Sprint'!$A$7:$K$62, ,29)&gt;=TODAY()),MATCH(ROW('DBX Sprint'!$A$7:$K$62),ROW('DBX Sprint'!$A$7:$K$62)),""),ROWS($AI$34:AI126)),COLUMNS('DBX Sprint'!$A$1:A12)),"")</f>
        <v/>
      </c>
      <c r="AJ126" s="43" t="str" cm="1">
        <f t="array" aca="1" ref="AJ126" ca="1">IFERROR(INDEX('DBX Sprint'!$A$7:$K$62, SMALL(IF((INDEX('DBX Sprint'!$A$7:$K$62, ,29)&lt;=(TODAY()+5))*(INDEX('DBX Sprint'!$A$7:$K$62, ,29)&gt;(TODAY()+1)),MATCH(ROW('DBX Sprint'!$A$7:$K$62),ROW('DBX Sprint'!$A$7:$K$62)),""),ROWS($AJ$34:AJ126)),COLUMNS('DBX Sprint'!$A$1:A12)),"")</f>
        <v/>
      </c>
      <c r="AK126" s="43" t="str" cm="1">
        <f t="array" aca="1" ref="AK126" ca="1">IFERROR(INDEX('DBX Sprint'!$A$7:$K$62, SMALL(IF((INDEX('DBX Sprint'!$A$7:$K$62, ,29)&lt;=(TODAY()+10))*(INDEX('DBX Sprint'!$A$7:$K$62, ,29)&gt;(TODAY()+5)),MATCH(ROW('DBX Sprint'!$A$7:$K$62),ROW('DBX Sprint'!$A$7:$K$62)),""),ROWS($AK$34:AK126)),COLUMNS('DBX Sprint'!$A$1:A12)),"")</f>
        <v/>
      </c>
      <c r="AM126" s="41" t="str" cm="1">
        <f t="array" ref="AM126">IFERROR(INDEX('DBX Sprint'!$A$7:$K$62, SMALL(IF((INDEX('DBX Sprint'!$A$7:$K$62, ,32)=("Complete"))*(INDEX('DBX Sprint'!$A$7:$K$62, ,32)="Complete"),MATCH(ROW('DBX Sprint'!$A$7:$K$62),ROW('DBX Sprint'!$A$7:$K$62)),""),ROWS($AM$34:AM126)),COLUMNS('DBX Sprint'!$A$1:A12)),"")</f>
        <v/>
      </c>
      <c r="AN126" s="41" t="str" cm="1">
        <f t="array" aca="1" ref="AN126" ca="1">IFERROR(INDEX('DBX Sprint'!$A$7:$K$62, SMALL(IF((INDEX('DBX Sprint'!$A$7:$K$62, ,32)&lt;(TODAY()))*(INDEX('DBX Sprint'!$A$7:$K$62, ,32)&lt;&gt;"Complete"),MATCH(ROW('DBX Sprint'!$A$7:$K$62),ROW('DBX Sprint'!$A$7:$K$62)),""),ROWS($AN$34:AN126)),COLUMNS('DBX Sprint'!$A$1:A12)),"")</f>
        <v/>
      </c>
      <c r="AO126" s="41" t="str" cm="1">
        <f t="array" aca="1" ref="AO126" ca="1">IFERROR(INDEX('DBX Sprint'!$A$7:$K$62, SMALL(IF((INDEX('DBX Sprint'!$A$7:$K$62, ,32)&lt;=(TODAY()+1))*(INDEX('DBX Sprint'!$A$7:$K$62, ,32)&gt;=TODAY()),MATCH(ROW('DBX Sprint'!$A$7:$K$62),ROW('DBX Sprint'!$A$7:$K$62)),""),ROWS($AO$34:AO126)),COLUMNS('DBX Sprint'!$A$1:A12)),"")</f>
        <v/>
      </c>
      <c r="AP126" s="43" t="str" cm="1">
        <f t="array" aca="1" ref="AP126" ca="1">IFERROR(INDEX('DBX Sprint'!$A$7:$K$62, SMALL(IF((INDEX('DBX Sprint'!$A$7:$K$62, ,32)&lt;=(TODAY()+5))*(INDEX('DBX Sprint'!$A$7:$K$62, ,32)&gt;(TODAY()+1)),MATCH(ROW('DBX Sprint'!$A$7:$K$62),ROW('DBX Sprint'!$A$7:$K$62)),""),ROWS($AP$34:AP126)),COLUMNS('DBX Sprint'!$A$1:A12)),"")</f>
        <v/>
      </c>
      <c r="AQ126" s="43" t="str" cm="1">
        <f t="array" aca="1" ref="AQ126" ca="1">IFERROR(INDEX('DBX Sprint'!$A$7:$K$62, SMALL(IF((INDEX('DBX Sprint'!$A$7:$K$62, ,32)&lt;=(TODAY()+10))*(INDEX('DBX Sprint'!$A$7:$K$62, ,32)&gt;(TODAY()+5)),MATCH(ROW('DBX Sprint'!$A$7:$K$62),ROW('DBX Sprint'!$A$7:$K$62)),""),ROWS($AQ$34:AQ126)),COLUMNS('DBX Sprint'!$A$1:A12)),"")</f>
        <v/>
      </c>
    </row>
    <row r="127" spans="3:43" ht="30" customHeight="1">
      <c r="C127" s="41" t="str" cm="1">
        <f t="array" ref="C127">IFERROR(INDEX('DBX Sprint'!$A$7:$K$62, SMALL(IF((INDEX('DBX Sprint'!$A$7:$K$62, ,13)=("Complete"))*(INDEX('DBX Sprint'!$A$7:$K$62, ,13)="Complete"),MATCH(ROW('DBX Sprint'!$A$7:$K$62),ROW('DBX Sprint'!$A$7:$K$62)),""),ROWS(C$34:$C127)),COLUMNS('DBX Sprint'!$A$1:A12)),"")</f>
        <v/>
      </c>
      <c r="D127" s="41" t="str" cm="1">
        <f t="array" aca="1" ref="D127" ca="1">IFERROR(INDEX('DBX Sprint'!$A$7:$K$62, SMALL(IF((INDEX('DBX Sprint'!$A$7:$K$62, ,13)&lt;(TODAY()))*(INDEX('DBX Sprint'!$A$7:$K$62, ,13)&lt;&gt;"Complete"),MATCH(ROW('DBX Sprint'!$A$7:$K$62),ROW('DBX Sprint'!$A$7:$K$62)),""),ROWS(D$34:$D127)),COLUMNS('DBX Sprint'!$A$1:A12)),"")</f>
        <v/>
      </c>
      <c r="E127" s="41" t="str" cm="1">
        <f t="array" aca="1" ref="E127" ca="1">IFERROR(INDEX('DBX Sprint'!$A$7:$K$62, SMALL(IF((INDEX('DBX Sprint'!$A$7:$K$62, ,13)&lt;=(TODAY()+1))*(INDEX('DBX Sprint'!$A$7:$K$62, ,13)&gt;=TODAY()),MATCH(ROW('DBX Sprint'!$A$7:$K$62),ROW('DBX Sprint'!$A$7:$K$62)),""),ROWS(E$34:$E127)),COLUMNS('DBX Sprint'!$A$1:A12)),"")</f>
        <v/>
      </c>
      <c r="F127" s="43" t="str" cm="1">
        <f t="array" aca="1" ref="F127" ca="1">IFERROR(INDEX('DBX Sprint'!$A$7:$K$62, SMALL(IF((INDEX('DBX Sprint'!$A$7:$K$62, ,13)&lt;=(TODAY()+5))*(INDEX('DBX Sprint'!$A$7:$K$62, ,13)&gt;(TODAY()+1)),MATCH(ROW('DBX Sprint'!$A$7:$K$62),ROW('DBX Sprint'!$A$7:$K$62)),""),ROWS($F$34:F127)),COLUMNS('DBX Sprint'!$A$1:A12)),"")</f>
        <v/>
      </c>
      <c r="G127" s="43" t="str" cm="1">
        <f t="array" aca="1" ref="G127" ca="1">IFERROR(INDEX('DBX Sprint'!$A$7:$K$62, SMALL(IF((INDEX('DBX Sprint'!$A$7:$K$62, ,13)&lt;=(TODAY()+10))*(INDEX('DBX Sprint'!$A$7:$K$62, ,13)&gt;(TODAY()+5)),MATCH(ROW('DBX Sprint'!$A$7:$K$62),ROW('DBX Sprint'!$A$7:$K$62)),""),ROWS($G$34:G127)),COLUMNS('DBX Sprint'!$A$1:A12)),"")</f>
        <v/>
      </c>
      <c r="I127" s="41" t="str" cm="1">
        <f t="array" ref="I127">IFERROR(INDEX('DBX Sprint'!$A$7:$K$62, SMALL(IF((INDEX('DBX Sprint'!$A$7:$K$62, ,16)=("Complete"))*(INDEX('DBX Sprint'!$A$7:$K$62, ,16)="Complete"),MATCH(ROW('DBX Sprint'!$A$7:$K$62),ROW('DBX Sprint'!$A$7:$K$62)),""),ROWS($I$34:I127)),COLUMNS('DBX Sprint'!$A$1:A12)),"")</f>
        <v/>
      </c>
      <c r="J127" s="41" t="str" cm="1">
        <f t="array" aca="1" ref="J127" ca="1">IFERROR(INDEX('DBX Sprint'!$A$7:$K$62, SMALL(IF((INDEX('DBX Sprint'!$A$7:$K$62, ,16)&lt;(TODAY()))*(INDEX('DBX Sprint'!$A$7:$K$62, ,16)&lt;&gt;"Complete"),MATCH(ROW('DBX Sprint'!$A$7:$K$62),ROW('DBX Sprint'!$A$7:$K$62)),""),ROWS($J$34:J127)),COLUMNS('DBX Sprint'!$A$1:A12)),"")</f>
        <v/>
      </c>
      <c r="K127" s="41" t="str" cm="1">
        <f t="array" aca="1" ref="K127" ca="1">IFERROR(INDEX('DBX Sprint'!$A$7:$K$62, SMALL(IF((INDEX('DBX Sprint'!$A$7:$K$62, ,16)&lt;=(TODAY()+1))*(INDEX('DBX Sprint'!$A$7:$K$62, ,16)&gt;=TODAY()),MATCH(ROW('DBX Sprint'!$A$7:$K$62),ROW('DBX Sprint'!$A$7:$K$62)),""),ROWS($K$34:K127)),COLUMNS('DBX Sprint'!$A$1:A12)),"")</f>
        <v/>
      </c>
      <c r="L127" s="43" t="str" cm="1">
        <f t="array" aca="1" ref="L127" ca="1">IFERROR(INDEX('DBX Sprint'!$A$7:$K$62, SMALL(IF((INDEX('DBX Sprint'!$A$7:$K$62, ,16)&lt;=(TODAY()+5))*(INDEX('DBX Sprint'!$A$7:$K$62, ,16)&gt;(TODAY()+1)),MATCH(ROW('DBX Sprint'!$A$7:$K$62),ROW('DBX Sprint'!$A$7:$K$62)),""),ROWS($L$34:L127)),COLUMNS('DBX Sprint'!$A$1:A12)),"")</f>
        <v/>
      </c>
      <c r="M127" s="43" t="str" cm="1">
        <f t="array" aca="1" ref="M127" ca="1">IFERROR(INDEX('DBX Sprint'!$A$7:$K$62, SMALL(IF((INDEX('DBX Sprint'!$A$7:$K$62, ,16)&lt;=(TODAY()+10))*(INDEX('DBX Sprint'!$A$7:$K$62, ,16)&gt;(TODAY()+5)),MATCH(ROW('DBX Sprint'!$A$7:$K$62),ROW('DBX Sprint'!$A$7:$K$62)),""),ROWS($M$34:M127)),COLUMNS('DBX Sprint'!$A$1:A12)),"")</f>
        <v/>
      </c>
      <c r="P127" s="41" t="str" cm="1">
        <f t="array" aca="1" ref="P127" ca="1">IFERROR(INDEX('DBX Sprint'!$A$7:$K$62, SMALL(IF((INDEX('DBX Sprint'!$A$7:$K$62, ,19)&lt;(TODAY()))*(INDEX('DBX Sprint'!$A$7:$K$62, ,19)&lt;&gt;"Complete"),MATCH(ROW('DBX Sprint'!$A$7:$K$62),ROW('DBX Sprint'!$A$7:$K$62)),""),ROWS($P$34:P127)),COLUMNS('DBX Sprint'!$A$1:A12)),"")</f>
        <v/>
      </c>
      <c r="Q127" s="41" t="str" cm="1">
        <f t="array" aca="1" ref="Q127" ca="1">IFERROR(INDEX('DBX Sprint'!$A$7:$K$62, SMALL(IF((INDEX('DBX Sprint'!$A$7:$K$62, ,19)&lt;=(TODAY()+1))*(INDEX('DBX Sprint'!$A$7:$K$62, ,19)&gt;=TODAY()),MATCH(ROW('DBX Sprint'!$A$7:$K$62),ROW('DBX Sprint'!$A$7:$K$62)),""),ROWS($Q$34:Q127)),COLUMNS('DBX Sprint'!$A$1:A12)),"")</f>
        <v/>
      </c>
      <c r="R127" s="43" t="str" cm="1">
        <f t="array" aca="1" ref="R127" ca="1">IFERROR(INDEX('DBX Sprint'!$A$7:$K$62, SMALL(IF((INDEX('DBX Sprint'!$A$7:$K$62, ,19)&lt;=(TODAY()+5))*(INDEX('DBX Sprint'!$A$7:$K$62, ,19)&gt;(TODAY()+1)),MATCH(ROW('DBX Sprint'!$A$7:$K$62),ROW('DBX Sprint'!$A$7:$K$62)),""),ROWS($R$34:R127)),COLUMNS('DBX Sprint'!$A$1:A12)),"")</f>
        <v/>
      </c>
      <c r="S127" s="43" t="str" cm="1">
        <f t="array" aca="1" ref="S127" ca="1">IFERROR(INDEX('DBX Sprint'!$A$7:$K$62, SMALL(IF((INDEX('DBX Sprint'!$A$7:$K$62, ,19)&lt;=(TODAY()+10))*(INDEX('DBX Sprint'!$A$7:$K$62, ,19)&gt;(TODAY()+5)),MATCH(ROW('DBX Sprint'!$A$7:$K$62),ROW('DBX Sprint'!$A$7:$K$62)),""),ROWS($S$34:S127)),COLUMNS('DBX Sprint'!$A$1:A12)),"")</f>
        <v/>
      </c>
      <c r="U127" s="41" t="str" cm="1">
        <f t="array" ref="U127">IFERROR(INDEX('DBX Sprint'!$A$7:$K$62, SMALL(IF((INDEX('DBX Sprint'!$A$7:$K$62, ,22)=("Complete"))*(INDEX('DBX Sprint'!$A$7:$K$62, ,22)="Complete"),MATCH(ROW('DBX Sprint'!$A$7:$K$62),ROW('DBX Sprint'!$A$7:$K$62)),""),ROWS($U$34:U127)),COLUMNS('DBX Sprint'!$A$1:A12)),"")</f>
        <v/>
      </c>
      <c r="V127" s="41" t="str" cm="1">
        <f t="array" aca="1" ref="V127" ca="1">IFERROR(INDEX('DBX Sprint'!$A$7:$K$62, SMALL(IF((INDEX('DBX Sprint'!$A$7:$K$62, ,22)&lt;(TODAY()))*(INDEX('DBX Sprint'!$A$7:$K$62, ,22)&lt;&gt;"Complete"),MATCH(ROW('DBX Sprint'!$A$7:$K$62),ROW('DBX Sprint'!$A$7:$K$62)),""),ROWS($V$34:V127)),COLUMNS('DBX Sprint'!$A$1:A12)),"")</f>
        <v/>
      </c>
      <c r="W127" s="41" t="str" cm="1">
        <f t="array" aca="1" ref="W127" ca="1">IFERROR(INDEX('DBX Sprint'!$A$7:$K$62, SMALL(IF((INDEX('DBX Sprint'!$A$7:$K$62, ,22)&lt;=(TODAY()+1))*(INDEX('DBX Sprint'!$A$7:$K$62, ,22)&gt;=TODAY()),MATCH(ROW('DBX Sprint'!$A$7:$K$62),ROW('DBX Sprint'!$A$7:$K$62)),""),ROWS($W$34:W127)),COLUMNS('DBX Sprint'!$A$1:A12)),"")</f>
        <v/>
      </c>
      <c r="X127" s="43" t="str" cm="1">
        <f t="array" aca="1" ref="X127" ca="1">IFERROR(INDEX('DBX Sprint'!$A$7:$K$62, SMALL(IF((INDEX('DBX Sprint'!$A$7:$K$62, ,22)&lt;=(TODAY()+5))*(INDEX('DBX Sprint'!$A$7:$K$62, ,22)&gt;(TODAY()+1)),MATCH(ROW('DBX Sprint'!$A$7:$K$62),ROW('DBX Sprint'!$A$7:$K$62)),""),ROWS($X$34:X127)),COLUMNS('DBX Sprint'!$A$1:A12)),"")</f>
        <v/>
      </c>
      <c r="Y127" s="43" t="str" cm="1">
        <f t="array" aca="1" ref="Y127" ca="1">IFERROR(INDEX('DBX Sprint'!$A$7:$K$62, SMALL(IF((INDEX('DBX Sprint'!$A$7:$K$62, ,22)&lt;=(TODAY()+10))*(INDEX('DBX Sprint'!$A$7:$K$62, ,22)&gt;(TODAY()+5)),MATCH(ROW('DBX Sprint'!$A$7:$K$62),ROW('DBX Sprint'!$A$7:$K$62)),""),ROWS($Y$34:Y127)),COLUMNS('DBX Sprint'!$A$1:A12)),"")</f>
        <v/>
      </c>
      <c r="AA127" s="41" t="str" cm="1">
        <f t="array" ref="AA127">IFERROR(INDEX('DBX Sprint'!$A$7:$K$62, SMALL(IF((INDEX('DBX Sprint'!$A$7:$K$62, ,25)=("Complete"))*(INDEX('DBX Sprint'!$A$7:$K$62, ,25)="Complete"),MATCH(ROW('DBX Sprint'!$A$7:$K$62),ROW('DBX Sprint'!$A$7:$K$62)),""),ROWS($AA$34:AA127)),COLUMNS('DBX Sprint'!$A$1:A12)),"")</f>
        <v/>
      </c>
      <c r="AB127" s="41" t="str" cm="1">
        <f t="array" aca="1" ref="AB127" ca="1">IFERROR(INDEX('DBX Sprint'!$A$7:$K$62, SMALL(IF((INDEX('DBX Sprint'!$A$7:$K$62, ,25)&lt;(TODAY()))*(INDEX('DBX Sprint'!$A$7:$K$62, ,25)&lt;&gt;"Complete"),MATCH(ROW('DBX Sprint'!$A$7:$K$62),ROW('DBX Sprint'!$A$7:$K$62)),""),ROWS($AB$34:AB127)),COLUMNS('DBX Sprint'!$A$1:A12)),"")</f>
        <v/>
      </c>
      <c r="AC127" s="41" t="str" cm="1">
        <f t="array" aca="1" ref="AC127" ca="1">IFERROR(INDEX('DBX Sprint'!$A$7:$K$62, SMALL(IF((INDEX('DBX Sprint'!$A$7:$K$62, ,25)&lt;=(TODAY()+1))*(INDEX('DBX Sprint'!$A$7:$K$62, ,25)&gt;=TODAY()),MATCH(ROW('DBX Sprint'!$A$7:$K$62),ROW('DBX Sprint'!$A$7:$K$62)),""),ROWS($AC$34:AC127)),COLUMNS('DBX Sprint'!$A$1:A12)),"")</f>
        <v/>
      </c>
      <c r="AD127" s="43" t="str" cm="1">
        <f t="array" aca="1" ref="AD127" ca="1">IFERROR(INDEX('DBX Sprint'!$A$7:$K$62, SMALL(IF((INDEX('DBX Sprint'!$A$7:$K$62, ,25)&lt;=(TODAY()+5))*(INDEX('DBX Sprint'!$A$7:$K$62, ,25)&gt;(TODAY()+1)),MATCH(ROW('DBX Sprint'!$A$7:$K$62),ROW('DBX Sprint'!$A$7:$K$62)),""),ROWS($AD$34:AD127)),COLUMNS('DBX Sprint'!$A$1:A12)),"")</f>
        <v/>
      </c>
      <c r="AE127" s="43" t="str" cm="1">
        <f t="array" aca="1" ref="AE127" ca="1">IFERROR(INDEX('DBX Sprint'!$A$7:$K$62, SMALL(IF((INDEX('DBX Sprint'!$A$7:$K$62, ,25)&lt;=(TODAY()+10))*(INDEX('DBX Sprint'!$A$7:$K$62, ,25)&gt;(TODAY()+5)),MATCH(ROW('DBX Sprint'!$A$7:$K$62),ROW('DBX Sprint'!$A$7:$K$62)),""),ROWS($AE$34:AE127)),COLUMNS('DBX Sprint'!$A$1:A12)),"")</f>
        <v/>
      </c>
      <c r="AG127" s="41" t="str" cm="1">
        <f t="array" ref="AG127">IFERROR(INDEX('DBX Sprint'!$A$7:$K$62, SMALL(IF((INDEX('DBX Sprint'!$A$7:$K$62, ,29)=("Complete"))*(INDEX('DBX Sprint'!$A$7:$K$62, ,29)="Complete"),MATCH(ROW('DBX Sprint'!$A$7:$K$62),ROW('DBX Sprint'!$A$7:$K$62)),""),ROWS($AG$34:AG127)),COLUMNS('DBX Sprint'!$A$1:A12)),"")</f>
        <v/>
      </c>
      <c r="AH127" s="41" t="str" cm="1">
        <f t="array" aca="1" ref="AH127" ca="1">IFERROR(INDEX('DBX Sprint'!$A$7:$K$62, SMALL(IF((INDEX('DBX Sprint'!$A$7:$K$62, ,29)&lt;(TODAY()))*(INDEX('DBX Sprint'!$A$7:$K$62, ,29)&lt;&gt;"Complete"),MATCH(ROW('DBX Sprint'!$A$7:$K$62),ROW('DBX Sprint'!$A$7:$K$62)),""),ROWS($AH$34:AH127)),COLUMNS('DBX Sprint'!$A$1:A12)),"")</f>
        <v/>
      </c>
      <c r="AI127" s="41" t="str" cm="1">
        <f t="array" aca="1" ref="AI127" ca="1">IFERROR(INDEX('DBX Sprint'!$A$7:$K$62, SMALL(IF((INDEX('DBX Sprint'!$A$7:$K$62, ,29)&lt;=(TODAY()+1))*(INDEX('DBX Sprint'!$A$7:$K$62, ,29)&gt;=TODAY()),MATCH(ROW('DBX Sprint'!$A$7:$K$62),ROW('DBX Sprint'!$A$7:$K$62)),""),ROWS($AI$34:AI127)),COLUMNS('DBX Sprint'!$A$1:A12)),"")</f>
        <v/>
      </c>
      <c r="AJ127" s="43" t="str" cm="1">
        <f t="array" aca="1" ref="AJ127" ca="1">IFERROR(INDEX('DBX Sprint'!$A$7:$K$62, SMALL(IF((INDEX('DBX Sprint'!$A$7:$K$62, ,29)&lt;=(TODAY()+5))*(INDEX('DBX Sprint'!$A$7:$K$62, ,29)&gt;(TODAY()+1)),MATCH(ROW('DBX Sprint'!$A$7:$K$62),ROW('DBX Sprint'!$A$7:$K$62)),""),ROWS($AJ$34:AJ127)),COLUMNS('DBX Sprint'!$A$1:A12)),"")</f>
        <v/>
      </c>
      <c r="AK127" s="43" t="str" cm="1">
        <f t="array" aca="1" ref="AK127" ca="1">IFERROR(INDEX('DBX Sprint'!$A$7:$K$62, SMALL(IF((INDEX('DBX Sprint'!$A$7:$K$62, ,29)&lt;=(TODAY()+10))*(INDEX('DBX Sprint'!$A$7:$K$62, ,29)&gt;(TODAY()+5)),MATCH(ROW('DBX Sprint'!$A$7:$K$62),ROW('DBX Sprint'!$A$7:$K$62)),""),ROWS($AK$34:AK127)),COLUMNS('DBX Sprint'!$A$1:A12)),"")</f>
        <v/>
      </c>
      <c r="AM127" s="41" t="str" cm="1">
        <f t="array" ref="AM127">IFERROR(INDEX('DBX Sprint'!$A$7:$K$62, SMALL(IF((INDEX('DBX Sprint'!$A$7:$K$62, ,32)=("Complete"))*(INDEX('DBX Sprint'!$A$7:$K$62, ,32)="Complete"),MATCH(ROW('DBX Sprint'!$A$7:$K$62),ROW('DBX Sprint'!$A$7:$K$62)),""),ROWS($AM$34:AM127)),COLUMNS('DBX Sprint'!$A$1:A12)),"")</f>
        <v/>
      </c>
      <c r="AN127" s="41" t="str" cm="1">
        <f t="array" aca="1" ref="AN127" ca="1">IFERROR(INDEX('DBX Sprint'!$A$7:$K$62, SMALL(IF((INDEX('DBX Sprint'!$A$7:$K$62, ,32)&lt;(TODAY()))*(INDEX('DBX Sprint'!$A$7:$K$62, ,32)&lt;&gt;"Complete"),MATCH(ROW('DBX Sprint'!$A$7:$K$62),ROW('DBX Sprint'!$A$7:$K$62)),""),ROWS($AN$34:AN127)),COLUMNS('DBX Sprint'!$A$1:A12)),"")</f>
        <v/>
      </c>
      <c r="AO127" s="41" t="str" cm="1">
        <f t="array" aca="1" ref="AO127" ca="1">IFERROR(INDEX('DBX Sprint'!$A$7:$K$62, SMALL(IF((INDEX('DBX Sprint'!$A$7:$K$62, ,32)&lt;=(TODAY()+1))*(INDEX('DBX Sprint'!$A$7:$K$62, ,32)&gt;=TODAY()),MATCH(ROW('DBX Sprint'!$A$7:$K$62),ROW('DBX Sprint'!$A$7:$K$62)),""),ROWS($AO$34:AO127)),COLUMNS('DBX Sprint'!$A$1:A12)),"")</f>
        <v/>
      </c>
      <c r="AP127" s="43" t="str" cm="1">
        <f t="array" aca="1" ref="AP127" ca="1">IFERROR(INDEX('DBX Sprint'!$A$7:$K$62, SMALL(IF((INDEX('DBX Sprint'!$A$7:$K$62, ,32)&lt;=(TODAY()+5))*(INDEX('DBX Sprint'!$A$7:$K$62, ,32)&gt;(TODAY()+1)),MATCH(ROW('DBX Sprint'!$A$7:$K$62),ROW('DBX Sprint'!$A$7:$K$62)),""),ROWS($AP$34:AP127)),COLUMNS('DBX Sprint'!$A$1:A12)),"")</f>
        <v/>
      </c>
      <c r="AQ127" s="43" t="str" cm="1">
        <f t="array" aca="1" ref="AQ127" ca="1">IFERROR(INDEX('DBX Sprint'!$A$7:$K$62, SMALL(IF((INDEX('DBX Sprint'!$A$7:$K$62, ,32)&lt;=(TODAY()+10))*(INDEX('DBX Sprint'!$A$7:$K$62, ,32)&gt;(TODAY()+5)),MATCH(ROW('DBX Sprint'!$A$7:$K$62),ROW('DBX Sprint'!$A$7:$K$62)),""),ROWS($AQ$34:AQ127)),COLUMNS('DBX Sprint'!$A$1:A12)),"")</f>
        <v/>
      </c>
    </row>
    <row r="128" spans="3:43" ht="30" customHeight="1">
      <c r="C128" s="41" t="str" cm="1">
        <f t="array" ref="C128">IFERROR(INDEX('DBX Sprint'!$A$7:$K$62, SMALL(IF((INDEX('DBX Sprint'!$A$7:$K$62, ,13)=("Complete"))*(INDEX('DBX Sprint'!$A$7:$K$62, ,13)="Complete"),MATCH(ROW('DBX Sprint'!$A$7:$K$62),ROW('DBX Sprint'!$A$7:$K$62)),""),ROWS(C$34:$C128)),COLUMNS('DBX Sprint'!$A$1:A12)),"")</f>
        <v/>
      </c>
      <c r="D128" s="41" t="str" cm="1">
        <f t="array" aca="1" ref="D128" ca="1">IFERROR(INDEX('DBX Sprint'!$A$7:$K$62, SMALL(IF((INDEX('DBX Sprint'!$A$7:$K$62, ,13)&lt;(TODAY()))*(INDEX('DBX Sprint'!$A$7:$K$62, ,13)&lt;&gt;"Complete"),MATCH(ROW('DBX Sprint'!$A$7:$K$62),ROW('DBX Sprint'!$A$7:$K$62)),""),ROWS(D$34:$D128)),COLUMNS('DBX Sprint'!$A$1:A12)),"")</f>
        <v/>
      </c>
      <c r="E128" s="41" t="str" cm="1">
        <f t="array" aca="1" ref="E128" ca="1">IFERROR(INDEX('DBX Sprint'!$A$7:$K$62, SMALL(IF((INDEX('DBX Sprint'!$A$7:$K$62, ,13)&lt;=(TODAY()+1))*(INDEX('DBX Sprint'!$A$7:$K$62, ,13)&gt;=TODAY()),MATCH(ROW('DBX Sprint'!$A$7:$K$62),ROW('DBX Sprint'!$A$7:$K$62)),""),ROWS(E$34:$E128)),COLUMNS('DBX Sprint'!$A$1:A12)),"")</f>
        <v/>
      </c>
      <c r="F128" s="43" t="str" cm="1">
        <f t="array" aca="1" ref="F128" ca="1">IFERROR(INDEX('DBX Sprint'!$A$7:$K$62, SMALL(IF((INDEX('DBX Sprint'!$A$7:$K$62, ,13)&lt;=(TODAY()+5))*(INDEX('DBX Sprint'!$A$7:$K$62, ,13)&gt;(TODAY()+1)),MATCH(ROW('DBX Sprint'!$A$7:$K$62),ROW('DBX Sprint'!$A$7:$K$62)),""),ROWS($F$34:F128)),COLUMNS('DBX Sprint'!$A$1:A12)),"")</f>
        <v/>
      </c>
      <c r="G128" s="43" t="str" cm="1">
        <f t="array" aca="1" ref="G128" ca="1">IFERROR(INDEX('DBX Sprint'!$A$7:$K$62, SMALL(IF((INDEX('DBX Sprint'!$A$7:$K$62, ,13)&lt;=(TODAY()+10))*(INDEX('DBX Sprint'!$A$7:$K$62, ,13)&gt;(TODAY()+5)),MATCH(ROW('DBX Sprint'!$A$7:$K$62),ROW('DBX Sprint'!$A$7:$K$62)),""),ROWS($G$34:G128)),COLUMNS('DBX Sprint'!$A$1:A12)),"")</f>
        <v/>
      </c>
      <c r="I128" s="41" t="str" cm="1">
        <f t="array" ref="I128">IFERROR(INDEX('DBX Sprint'!$A$7:$K$62, SMALL(IF((INDEX('DBX Sprint'!$A$7:$K$62, ,16)=("Complete"))*(INDEX('DBX Sprint'!$A$7:$K$62, ,16)="Complete"),MATCH(ROW('DBX Sprint'!$A$7:$K$62),ROW('DBX Sprint'!$A$7:$K$62)),""),ROWS($I$34:I128)),COLUMNS('DBX Sprint'!$A$1:A12)),"")</f>
        <v/>
      </c>
      <c r="J128" s="41" t="str" cm="1">
        <f t="array" aca="1" ref="J128" ca="1">IFERROR(INDEX('DBX Sprint'!$A$7:$K$62, SMALL(IF((INDEX('DBX Sprint'!$A$7:$K$62, ,16)&lt;(TODAY()))*(INDEX('DBX Sprint'!$A$7:$K$62, ,16)&lt;&gt;"Complete"),MATCH(ROW('DBX Sprint'!$A$7:$K$62),ROW('DBX Sprint'!$A$7:$K$62)),""),ROWS($J$34:J128)),COLUMNS('DBX Sprint'!$A$1:A12)),"")</f>
        <v/>
      </c>
      <c r="K128" s="41" t="str" cm="1">
        <f t="array" aca="1" ref="K128" ca="1">IFERROR(INDEX('DBX Sprint'!$A$7:$K$62, SMALL(IF((INDEX('DBX Sprint'!$A$7:$K$62, ,16)&lt;=(TODAY()+1))*(INDEX('DBX Sprint'!$A$7:$K$62, ,16)&gt;=TODAY()),MATCH(ROW('DBX Sprint'!$A$7:$K$62),ROW('DBX Sprint'!$A$7:$K$62)),""),ROWS($K$34:K128)),COLUMNS('DBX Sprint'!$A$1:A12)),"")</f>
        <v/>
      </c>
      <c r="L128" s="43" t="str" cm="1">
        <f t="array" aca="1" ref="L128" ca="1">IFERROR(INDEX('DBX Sprint'!$A$7:$K$62, SMALL(IF((INDEX('DBX Sprint'!$A$7:$K$62, ,16)&lt;=(TODAY()+5))*(INDEX('DBX Sprint'!$A$7:$K$62, ,16)&gt;(TODAY()+1)),MATCH(ROW('DBX Sprint'!$A$7:$K$62),ROW('DBX Sprint'!$A$7:$K$62)),""),ROWS($L$34:L128)),COLUMNS('DBX Sprint'!$A$1:A12)),"")</f>
        <v/>
      </c>
      <c r="M128" s="43" t="str" cm="1">
        <f t="array" aca="1" ref="M128" ca="1">IFERROR(INDEX('DBX Sprint'!$A$7:$K$62, SMALL(IF((INDEX('DBX Sprint'!$A$7:$K$62, ,16)&lt;=(TODAY()+10))*(INDEX('DBX Sprint'!$A$7:$K$62, ,16)&gt;(TODAY()+5)),MATCH(ROW('DBX Sprint'!$A$7:$K$62),ROW('DBX Sprint'!$A$7:$K$62)),""),ROWS($M$34:M128)),COLUMNS('DBX Sprint'!$A$1:A12)),"")</f>
        <v/>
      </c>
      <c r="P128" s="41" t="str" cm="1">
        <f t="array" aca="1" ref="P128" ca="1">IFERROR(INDEX('DBX Sprint'!$A$7:$K$62, SMALL(IF((INDEX('DBX Sprint'!$A$7:$K$62, ,19)&lt;(TODAY()))*(INDEX('DBX Sprint'!$A$7:$K$62, ,19)&lt;&gt;"Complete"),MATCH(ROW('DBX Sprint'!$A$7:$K$62),ROW('DBX Sprint'!$A$7:$K$62)),""),ROWS($P$34:P128)),COLUMNS('DBX Sprint'!$A$1:A12)),"")</f>
        <v/>
      </c>
      <c r="Q128" s="41" t="str" cm="1">
        <f t="array" aca="1" ref="Q128" ca="1">IFERROR(INDEX('DBX Sprint'!$A$7:$K$62, SMALL(IF((INDEX('DBX Sprint'!$A$7:$K$62, ,19)&lt;=(TODAY()+1))*(INDEX('DBX Sprint'!$A$7:$K$62, ,19)&gt;=TODAY()),MATCH(ROW('DBX Sprint'!$A$7:$K$62),ROW('DBX Sprint'!$A$7:$K$62)),""),ROWS($Q$34:Q128)),COLUMNS('DBX Sprint'!$A$1:A12)),"")</f>
        <v/>
      </c>
      <c r="R128" s="43" t="str" cm="1">
        <f t="array" aca="1" ref="R128" ca="1">IFERROR(INDEX('DBX Sprint'!$A$7:$K$62, SMALL(IF((INDEX('DBX Sprint'!$A$7:$K$62, ,19)&lt;=(TODAY()+5))*(INDEX('DBX Sprint'!$A$7:$K$62, ,19)&gt;(TODAY()+1)),MATCH(ROW('DBX Sprint'!$A$7:$K$62),ROW('DBX Sprint'!$A$7:$K$62)),""),ROWS($R$34:R128)),COLUMNS('DBX Sprint'!$A$1:A12)),"")</f>
        <v/>
      </c>
      <c r="S128" s="43" t="str" cm="1">
        <f t="array" aca="1" ref="S128" ca="1">IFERROR(INDEX('DBX Sprint'!$A$7:$K$62, SMALL(IF((INDEX('DBX Sprint'!$A$7:$K$62, ,19)&lt;=(TODAY()+10))*(INDEX('DBX Sprint'!$A$7:$K$62, ,19)&gt;(TODAY()+5)),MATCH(ROW('DBX Sprint'!$A$7:$K$62),ROW('DBX Sprint'!$A$7:$K$62)),""),ROWS($S$34:S128)),COLUMNS('DBX Sprint'!$A$1:A12)),"")</f>
        <v/>
      </c>
      <c r="U128" s="41" t="str" cm="1">
        <f t="array" ref="U128">IFERROR(INDEX('DBX Sprint'!$A$7:$K$62, SMALL(IF((INDEX('DBX Sprint'!$A$7:$K$62, ,22)=("Complete"))*(INDEX('DBX Sprint'!$A$7:$K$62, ,22)="Complete"),MATCH(ROW('DBX Sprint'!$A$7:$K$62),ROW('DBX Sprint'!$A$7:$K$62)),""),ROWS($U$34:U128)),COLUMNS('DBX Sprint'!$A$1:A12)),"")</f>
        <v/>
      </c>
      <c r="V128" s="41" t="str" cm="1">
        <f t="array" aca="1" ref="V128" ca="1">IFERROR(INDEX('DBX Sprint'!$A$7:$K$62, SMALL(IF((INDEX('DBX Sprint'!$A$7:$K$62, ,22)&lt;(TODAY()))*(INDEX('DBX Sprint'!$A$7:$K$62, ,22)&lt;&gt;"Complete"),MATCH(ROW('DBX Sprint'!$A$7:$K$62),ROW('DBX Sprint'!$A$7:$K$62)),""),ROWS($V$34:V128)),COLUMNS('DBX Sprint'!$A$1:A12)),"")</f>
        <v/>
      </c>
      <c r="W128" s="41" t="str" cm="1">
        <f t="array" aca="1" ref="W128" ca="1">IFERROR(INDEX('DBX Sprint'!$A$7:$K$62, SMALL(IF((INDEX('DBX Sprint'!$A$7:$K$62, ,22)&lt;=(TODAY()+1))*(INDEX('DBX Sprint'!$A$7:$K$62, ,22)&gt;=TODAY()),MATCH(ROW('DBX Sprint'!$A$7:$K$62),ROW('DBX Sprint'!$A$7:$K$62)),""),ROWS($W$34:W128)),COLUMNS('DBX Sprint'!$A$1:A12)),"")</f>
        <v/>
      </c>
      <c r="X128" s="43" t="str" cm="1">
        <f t="array" aca="1" ref="X128" ca="1">IFERROR(INDEX('DBX Sprint'!$A$7:$K$62, SMALL(IF((INDEX('DBX Sprint'!$A$7:$K$62, ,22)&lt;=(TODAY()+5))*(INDEX('DBX Sprint'!$A$7:$K$62, ,22)&gt;(TODAY()+1)),MATCH(ROW('DBX Sprint'!$A$7:$K$62),ROW('DBX Sprint'!$A$7:$K$62)),""),ROWS($X$34:X128)),COLUMNS('DBX Sprint'!$A$1:A12)),"")</f>
        <v/>
      </c>
      <c r="Y128" s="43" t="str" cm="1">
        <f t="array" aca="1" ref="Y128" ca="1">IFERROR(INDEX('DBX Sprint'!$A$7:$K$62, SMALL(IF((INDEX('DBX Sprint'!$A$7:$K$62, ,22)&lt;=(TODAY()+10))*(INDEX('DBX Sprint'!$A$7:$K$62, ,22)&gt;(TODAY()+5)),MATCH(ROW('DBX Sprint'!$A$7:$K$62),ROW('DBX Sprint'!$A$7:$K$62)),""),ROWS($Y$34:Y128)),COLUMNS('DBX Sprint'!$A$1:A12)),"")</f>
        <v/>
      </c>
      <c r="AA128" s="41" t="str" cm="1">
        <f t="array" ref="AA128">IFERROR(INDEX('DBX Sprint'!$A$7:$K$62, SMALL(IF((INDEX('DBX Sprint'!$A$7:$K$62, ,25)=("Complete"))*(INDEX('DBX Sprint'!$A$7:$K$62, ,25)="Complete"),MATCH(ROW('DBX Sprint'!$A$7:$K$62),ROW('DBX Sprint'!$A$7:$K$62)),""),ROWS($AA$34:AA128)),COLUMNS('DBX Sprint'!$A$1:A12)),"")</f>
        <v/>
      </c>
      <c r="AB128" s="41" t="str" cm="1">
        <f t="array" aca="1" ref="AB128" ca="1">IFERROR(INDEX('DBX Sprint'!$A$7:$K$62, SMALL(IF((INDEX('DBX Sprint'!$A$7:$K$62, ,25)&lt;(TODAY()))*(INDEX('DBX Sprint'!$A$7:$K$62, ,25)&lt;&gt;"Complete"),MATCH(ROW('DBX Sprint'!$A$7:$K$62),ROW('DBX Sprint'!$A$7:$K$62)),""),ROWS($AB$34:AB128)),COLUMNS('DBX Sprint'!$A$1:A12)),"")</f>
        <v/>
      </c>
      <c r="AC128" s="41" t="str" cm="1">
        <f t="array" aca="1" ref="AC128" ca="1">IFERROR(INDEX('DBX Sprint'!$A$7:$K$62, SMALL(IF((INDEX('DBX Sprint'!$A$7:$K$62, ,25)&lt;=(TODAY()+1))*(INDEX('DBX Sprint'!$A$7:$K$62, ,25)&gt;=TODAY()),MATCH(ROW('DBX Sprint'!$A$7:$K$62),ROW('DBX Sprint'!$A$7:$K$62)),""),ROWS($AC$34:AC128)),COLUMNS('DBX Sprint'!$A$1:A12)),"")</f>
        <v/>
      </c>
      <c r="AD128" s="43" t="str" cm="1">
        <f t="array" aca="1" ref="AD128" ca="1">IFERROR(INDEX('DBX Sprint'!$A$7:$K$62, SMALL(IF((INDEX('DBX Sprint'!$A$7:$K$62, ,25)&lt;=(TODAY()+5))*(INDEX('DBX Sprint'!$A$7:$K$62, ,25)&gt;(TODAY()+1)),MATCH(ROW('DBX Sprint'!$A$7:$K$62),ROW('DBX Sprint'!$A$7:$K$62)),""),ROWS($AD$34:AD128)),COLUMNS('DBX Sprint'!$A$1:A12)),"")</f>
        <v/>
      </c>
      <c r="AE128" s="43" t="str" cm="1">
        <f t="array" aca="1" ref="AE128" ca="1">IFERROR(INDEX('DBX Sprint'!$A$7:$K$62, SMALL(IF((INDEX('DBX Sprint'!$A$7:$K$62, ,25)&lt;=(TODAY()+10))*(INDEX('DBX Sprint'!$A$7:$K$62, ,25)&gt;(TODAY()+5)),MATCH(ROW('DBX Sprint'!$A$7:$K$62),ROW('DBX Sprint'!$A$7:$K$62)),""),ROWS($AE$34:AE128)),COLUMNS('DBX Sprint'!$A$1:A12)),"")</f>
        <v/>
      </c>
      <c r="AG128" s="41" t="str" cm="1">
        <f t="array" ref="AG128">IFERROR(INDEX('DBX Sprint'!$A$7:$K$62, SMALL(IF((INDEX('DBX Sprint'!$A$7:$K$62, ,29)=("Complete"))*(INDEX('DBX Sprint'!$A$7:$K$62, ,29)="Complete"),MATCH(ROW('DBX Sprint'!$A$7:$K$62),ROW('DBX Sprint'!$A$7:$K$62)),""),ROWS($AG$34:AG128)),COLUMNS('DBX Sprint'!$A$1:A12)),"")</f>
        <v/>
      </c>
      <c r="AH128" s="41" t="str" cm="1">
        <f t="array" aca="1" ref="AH128" ca="1">IFERROR(INDEX('DBX Sprint'!$A$7:$K$62, SMALL(IF((INDEX('DBX Sprint'!$A$7:$K$62, ,29)&lt;(TODAY()))*(INDEX('DBX Sprint'!$A$7:$K$62, ,29)&lt;&gt;"Complete"),MATCH(ROW('DBX Sprint'!$A$7:$K$62),ROW('DBX Sprint'!$A$7:$K$62)),""),ROWS($AH$34:AH128)),COLUMNS('DBX Sprint'!$A$1:A12)),"")</f>
        <v/>
      </c>
      <c r="AI128" s="41" t="str" cm="1">
        <f t="array" aca="1" ref="AI128" ca="1">IFERROR(INDEX('DBX Sprint'!$A$7:$K$62, SMALL(IF((INDEX('DBX Sprint'!$A$7:$K$62, ,29)&lt;=(TODAY()+1))*(INDEX('DBX Sprint'!$A$7:$K$62, ,29)&gt;=TODAY()),MATCH(ROW('DBX Sprint'!$A$7:$K$62),ROW('DBX Sprint'!$A$7:$K$62)),""),ROWS($AI$34:AI128)),COLUMNS('DBX Sprint'!$A$1:A12)),"")</f>
        <v/>
      </c>
      <c r="AJ128" s="43" t="str" cm="1">
        <f t="array" aca="1" ref="AJ128" ca="1">IFERROR(INDEX('DBX Sprint'!$A$7:$K$62, SMALL(IF((INDEX('DBX Sprint'!$A$7:$K$62, ,29)&lt;=(TODAY()+5))*(INDEX('DBX Sprint'!$A$7:$K$62, ,29)&gt;(TODAY()+1)),MATCH(ROW('DBX Sprint'!$A$7:$K$62),ROW('DBX Sprint'!$A$7:$K$62)),""),ROWS($AJ$34:AJ128)),COLUMNS('DBX Sprint'!$A$1:A12)),"")</f>
        <v/>
      </c>
      <c r="AK128" s="43" t="str" cm="1">
        <f t="array" aca="1" ref="AK128" ca="1">IFERROR(INDEX('DBX Sprint'!$A$7:$K$62, SMALL(IF((INDEX('DBX Sprint'!$A$7:$K$62, ,29)&lt;=(TODAY()+10))*(INDEX('DBX Sprint'!$A$7:$K$62, ,29)&gt;(TODAY()+5)),MATCH(ROW('DBX Sprint'!$A$7:$K$62),ROW('DBX Sprint'!$A$7:$K$62)),""),ROWS($AK$34:AK128)),COLUMNS('DBX Sprint'!$A$1:A12)),"")</f>
        <v/>
      </c>
      <c r="AM128" s="41" t="str" cm="1">
        <f t="array" ref="AM128">IFERROR(INDEX('DBX Sprint'!$A$7:$K$62, SMALL(IF((INDEX('DBX Sprint'!$A$7:$K$62, ,32)=("Complete"))*(INDEX('DBX Sprint'!$A$7:$K$62, ,32)="Complete"),MATCH(ROW('DBX Sprint'!$A$7:$K$62),ROW('DBX Sprint'!$A$7:$K$62)),""),ROWS($AM$34:AM128)),COLUMNS('DBX Sprint'!$A$1:A12)),"")</f>
        <v/>
      </c>
      <c r="AN128" s="41" t="str" cm="1">
        <f t="array" aca="1" ref="AN128" ca="1">IFERROR(INDEX('DBX Sprint'!$A$7:$K$62, SMALL(IF((INDEX('DBX Sprint'!$A$7:$K$62, ,32)&lt;(TODAY()))*(INDEX('DBX Sprint'!$A$7:$K$62, ,32)&lt;&gt;"Complete"),MATCH(ROW('DBX Sprint'!$A$7:$K$62),ROW('DBX Sprint'!$A$7:$K$62)),""),ROWS($AN$34:AN128)),COLUMNS('DBX Sprint'!$A$1:A12)),"")</f>
        <v/>
      </c>
      <c r="AO128" s="41" t="str" cm="1">
        <f t="array" aca="1" ref="AO128" ca="1">IFERROR(INDEX('DBX Sprint'!$A$7:$K$62, SMALL(IF((INDEX('DBX Sprint'!$A$7:$K$62, ,32)&lt;=(TODAY()+1))*(INDEX('DBX Sprint'!$A$7:$K$62, ,32)&gt;=TODAY()),MATCH(ROW('DBX Sprint'!$A$7:$K$62),ROW('DBX Sprint'!$A$7:$K$62)),""),ROWS($AO$34:AO128)),COLUMNS('DBX Sprint'!$A$1:A12)),"")</f>
        <v/>
      </c>
      <c r="AP128" s="43" t="str" cm="1">
        <f t="array" aca="1" ref="AP128" ca="1">IFERROR(INDEX('DBX Sprint'!$A$7:$K$62, SMALL(IF((INDEX('DBX Sprint'!$A$7:$K$62, ,32)&lt;=(TODAY()+5))*(INDEX('DBX Sprint'!$A$7:$K$62, ,32)&gt;(TODAY()+1)),MATCH(ROW('DBX Sprint'!$A$7:$K$62),ROW('DBX Sprint'!$A$7:$K$62)),""),ROWS($AP$34:AP128)),COLUMNS('DBX Sprint'!$A$1:A12)),"")</f>
        <v/>
      </c>
      <c r="AQ128" s="43" t="str" cm="1">
        <f t="array" aca="1" ref="AQ128" ca="1">IFERROR(INDEX('DBX Sprint'!$A$7:$K$62, SMALL(IF((INDEX('DBX Sprint'!$A$7:$K$62, ,32)&lt;=(TODAY()+10))*(INDEX('DBX Sprint'!$A$7:$K$62, ,32)&gt;(TODAY()+5)),MATCH(ROW('DBX Sprint'!$A$7:$K$62),ROW('DBX Sprint'!$A$7:$K$62)),""),ROWS($AQ$34:AQ128)),COLUMNS('DBX Sprint'!$A$1:A12)),"")</f>
        <v/>
      </c>
    </row>
    <row r="129" spans="3:43" ht="30" customHeight="1">
      <c r="C129" s="41" t="str" cm="1">
        <f t="array" ref="C129">IFERROR(INDEX('DBX Sprint'!$A$7:$K$62, SMALL(IF((INDEX('DBX Sprint'!$A$7:$K$62, ,13)=("Complete"))*(INDEX('DBX Sprint'!$A$7:$K$62, ,13)="Complete"),MATCH(ROW('DBX Sprint'!$A$7:$K$62),ROW('DBX Sprint'!$A$7:$K$62)),""),ROWS(C$34:$C129)),COLUMNS('DBX Sprint'!$A$1:A12)),"")</f>
        <v/>
      </c>
      <c r="D129" s="41" t="str" cm="1">
        <f t="array" aca="1" ref="D129" ca="1">IFERROR(INDEX('DBX Sprint'!$A$7:$K$62, SMALL(IF((INDEX('DBX Sprint'!$A$7:$K$62, ,13)&lt;(TODAY()))*(INDEX('DBX Sprint'!$A$7:$K$62, ,13)&lt;&gt;"Complete"),MATCH(ROW('DBX Sprint'!$A$7:$K$62),ROW('DBX Sprint'!$A$7:$K$62)),""),ROWS(D$34:$D129)),COLUMNS('DBX Sprint'!$A$1:A12)),"")</f>
        <v/>
      </c>
      <c r="E129" s="41" t="str" cm="1">
        <f t="array" aca="1" ref="E129" ca="1">IFERROR(INDEX('DBX Sprint'!$A$7:$K$62, SMALL(IF((INDEX('DBX Sprint'!$A$7:$K$62, ,13)&lt;=(TODAY()+1))*(INDEX('DBX Sprint'!$A$7:$K$62, ,13)&gt;=TODAY()),MATCH(ROW('DBX Sprint'!$A$7:$K$62),ROW('DBX Sprint'!$A$7:$K$62)),""),ROWS(E$34:$E129)),COLUMNS('DBX Sprint'!$A$1:A12)),"")</f>
        <v/>
      </c>
      <c r="F129" s="43" t="str" cm="1">
        <f t="array" aca="1" ref="F129" ca="1">IFERROR(INDEX('DBX Sprint'!$A$7:$K$62, SMALL(IF((INDEX('DBX Sprint'!$A$7:$K$62, ,13)&lt;=(TODAY()+5))*(INDEX('DBX Sprint'!$A$7:$K$62, ,13)&gt;(TODAY()+1)),MATCH(ROW('DBX Sprint'!$A$7:$K$62),ROW('DBX Sprint'!$A$7:$K$62)),""),ROWS($F$34:F129)),COLUMNS('DBX Sprint'!$A$1:A12)),"")</f>
        <v/>
      </c>
      <c r="G129" s="43" t="str" cm="1">
        <f t="array" aca="1" ref="G129" ca="1">IFERROR(INDEX('DBX Sprint'!$A$7:$K$62, SMALL(IF((INDEX('DBX Sprint'!$A$7:$K$62, ,13)&lt;=(TODAY()+10))*(INDEX('DBX Sprint'!$A$7:$K$62, ,13)&gt;(TODAY()+5)),MATCH(ROW('DBX Sprint'!$A$7:$K$62),ROW('DBX Sprint'!$A$7:$K$62)),""),ROWS($G$34:G129)),COLUMNS('DBX Sprint'!$A$1:A12)),"")</f>
        <v/>
      </c>
      <c r="I129" s="41" t="str" cm="1">
        <f t="array" ref="I129">IFERROR(INDEX('DBX Sprint'!$A$7:$K$62, SMALL(IF((INDEX('DBX Sprint'!$A$7:$K$62, ,16)=("Complete"))*(INDEX('DBX Sprint'!$A$7:$K$62, ,16)="Complete"),MATCH(ROW('DBX Sprint'!$A$7:$K$62),ROW('DBX Sprint'!$A$7:$K$62)),""),ROWS($I$34:I129)),COLUMNS('DBX Sprint'!$A$1:A12)),"")</f>
        <v/>
      </c>
      <c r="J129" s="41" t="str" cm="1">
        <f t="array" aca="1" ref="J129" ca="1">IFERROR(INDEX('DBX Sprint'!$A$7:$K$62, SMALL(IF((INDEX('DBX Sprint'!$A$7:$K$62, ,16)&lt;(TODAY()))*(INDEX('DBX Sprint'!$A$7:$K$62, ,16)&lt;&gt;"Complete"),MATCH(ROW('DBX Sprint'!$A$7:$K$62),ROW('DBX Sprint'!$A$7:$K$62)),""),ROWS($J$34:J129)),COLUMNS('DBX Sprint'!$A$1:A12)),"")</f>
        <v/>
      </c>
      <c r="K129" s="41" t="str" cm="1">
        <f t="array" aca="1" ref="K129" ca="1">IFERROR(INDEX('DBX Sprint'!$A$7:$K$62, SMALL(IF((INDEX('DBX Sprint'!$A$7:$K$62, ,16)&lt;=(TODAY()+1))*(INDEX('DBX Sprint'!$A$7:$K$62, ,16)&gt;=TODAY()),MATCH(ROW('DBX Sprint'!$A$7:$K$62),ROW('DBX Sprint'!$A$7:$K$62)),""),ROWS($K$34:K129)),COLUMNS('DBX Sprint'!$A$1:A12)),"")</f>
        <v/>
      </c>
      <c r="L129" s="43" t="str" cm="1">
        <f t="array" aca="1" ref="L129" ca="1">IFERROR(INDEX('DBX Sprint'!$A$7:$K$62, SMALL(IF((INDEX('DBX Sprint'!$A$7:$K$62, ,16)&lt;=(TODAY()+5))*(INDEX('DBX Sprint'!$A$7:$K$62, ,16)&gt;(TODAY()+1)),MATCH(ROW('DBX Sprint'!$A$7:$K$62),ROW('DBX Sprint'!$A$7:$K$62)),""),ROWS($L$34:L129)),COLUMNS('DBX Sprint'!$A$1:A12)),"")</f>
        <v/>
      </c>
      <c r="M129" s="43" t="str" cm="1">
        <f t="array" aca="1" ref="M129" ca="1">IFERROR(INDEX('DBX Sprint'!$A$7:$K$62, SMALL(IF((INDEX('DBX Sprint'!$A$7:$K$62, ,16)&lt;=(TODAY()+10))*(INDEX('DBX Sprint'!$A$7:$K$62, ,16)&gt;(TODAY()+5)),MATCH(ROW('DBX Sprint'!$A$7:$K$62),ROW('DBX Sprint'!$A$7:$K$62)),""),ROWS($M$34:M129)),COLUMNS('DBX Sprint'!$A$1:A12)),"")</f>
        <v/>
      </c>
      <c r="P129" s="41" t="str" cm="1">
        <f t="array" aca="1" ref="P129" ca="1">IFERROR(INDEX('DBX Sprint'!$A$7:$K$62, SMALL(IF((INDEX('DBX Sprint'!$A$7:$K$62, ,19)&lt;(TODAY()))*(INDEX('DBX Sprint'!$A$7:$K$62, ,19)&lt;&gt;"Complete"),MATCH(ROW('DBX Sprint'!$A$7:$K$62),ROW('DBX Sprint'!$A$7:$K$62)),""),ROWS($P$34:P129)),COLUMNS('DBX Sprint'!$A$1:A12)),"")</f>
        <v/>
      </c>
      <c r="Q129" s="41" t="str" cm="1">
        <f t="array" aca="1" ref="Q129" ca="1">IFERROR(INDEX('DBX Sprint'!$A$7:$K$62, SMALL(IF((INDEX('DBX Sprint'!$A$7:$K$62, ,19)&lt;=(TODAY()+1))*(INDEX('DBX Sprint'!$A$7:$K$62, ,19)&gt;=TODAY()),MATCH(ROW('DBX Sprint'!$A$7:$K$62),ROW('DBX Sprint'!$A$7:$K$62)),""),ROWS($Q$34:Q129)),COLUMNS('DBX Sprint'!$A$1:A12)),"")</f>
        <v/>
      </c>
      <c r="R129" s="43" t="str" cm="1">
        <f t="array" aca="1" ref="R129" ca="1">IFERROR(INDEX('DBX Sprint'!$A$7:$K$62, SMALL(IF((INDEX('DBX Sprint'!$A$7:$K$62, ,19)&lt;=(TODAY()+5))*(INDEX('DBX Sprint'!$A$7:$K$62, ,19)&gt;(TODAY()+1)),MATCH(ROW('DBX Sprint'!$A$7:$K$62),ROW('DBX Sprint'!$A$7:$K$62)),""),ROWS($R$34:R129)),COLUMNS('DBX Sprint'!$A$1:A12)),"")</f>
        <v/>
      </c>
      <c r="S129" s="43" t="str" cm="1">
        <f t="array" aca="1" ref="S129" ca="1">IFERROR(INDEX('DBX Sprint'!$A$7:$K$62, SMALL(IF((INDEX('DBX Sprint'!$A$7:$K$62, ,19)&lt;=(TODAY()+10))*(INDEX('DBX Sprint'!$A$7:$K$62, ,19)&gt;(TODAY()+5)),MATCH(ROW('DBX Sprint'!$A$7:$K$62),ROW('DBX Sprint'!$A$7:$K$62)),""),ROWS($S$34:S129)),COLUMNS('DBX Sprint'!$A$1:A12)),"")</f>
        <v/>
      </c>
      <c r="U129" s="41" t="str" cm="1">
        <f t="array" ref="U129">IFERROR(INDEX('DBX Sprint'!$A$7:$K$62, SMALL(IF((INDEX('DBX Sprint'!$A$7:$K$62, ,22)=("Complete"))*(INDEX('DBX Sprint'!$A$7:$K$62, ,22)="Complete"),MATCH(ROW('DBX Sprint'!$A$7:$K$62),ROW('DBX Sprint'!$A$7:$K$62)),""),ROWS($U$34:U129)),COLUMNS('DBX Sprint'!$A$1:A12)),"")</f>
        <v/>
      </c>
      <c r="V129" s="41" t="str" cm="1">
        <f t="array" aca="1" ref="V129" ca="1">IFERROR(INDEX('DBX Sprint'!$A$7:$K$62, SMALL(IF((INDEX('DBX Sprint'!$A$7:$K$62, ,22)&lt;(TODAY()))*(INDEX('DBX Sprint'!$A$7:$K$62, ,22)&lt;&gt;"Complete"),MATCH(ROW('DBX Sprint'!$A$7:$K$62),ROW('DBX Sprint'!$A$7:$K$62)),""),ROWS($V$34:V129)),COLUMNS('DBX Sprint'!$A$1:A12)),"")</f>
        <v/>
      </c>
      <c r="W129" s="41" t="str" cm="1">
        <f t="array" aca="1" ref="W129" ca="1">IFERROR(INDEX('DBX Sprint'!$A$7:$K$62, SMALL(IF((INDEX('DBX Sprint'!$A$7:$K$62, ,22)&lt;=(TODAY()+1))*(INDEX('DBX Sprint'!$A$7:$K$62, ,22)&gt;=TODAY()),MATCH(ROW('DBX Sprint'!$A$7:$K$62),ROW('DBX Sprint'!$A$7:$K$62)),""),ROWS($W$34:W129)),COLUMNS('DBX Sprint'!$A$1:A12)),"")</f>
        <v/>
      </c>
      <c r="X129" s="43" t="str" cm="1">
        <f t="array" aca="1" ref="X129" ca="1">IFERROR(INDEX('DBX Sprint'!$A$7:$K$62, SMALL(IF((INDEX('DBX Sprint'!$A$7:$K$62, ,22)&lt;=(TODAY()+5))*(INDEX('DBX Sprint'!$A$7:$K$62, ,22)&gt;(TODAY()+1)),MATCH(ROW('DBX Sprint'!$A$7:$K$62),ROW('DBX Sprint'!$A$7:$K$62)),""),ROWS($X$34:X129)),COLUMNS('DBX Sprint'!$A$1:A12)),"")</f>
        <v/>
      </c>
      <c r="Y129" s="43" t="str" cm="1">
        <f t="array" aca="1" ref="Y129" ca="1">IFERROR(INDEX('DBX Sprint'!$A$7:$K$62, SMALL(IF((INDEX('DBX Sprint'!$A$7:$K$62, ,22)&lt;=(TODAY()+10))*(INDEX('DBX Sprint'!$A$7:$K$62, ,22)&gt;(TODAY()+5)),MATCH(ROW('DBX Sprint'!$A$7:$K$62),ROW('DBX Sprint'!$A$7:$K$62)),""),ROWS($Y$34:Y129)),COLUMNS('DBX Sprint'!$A$1:A12)),"")</f>
        <v/>
      </c>
      <c r="AA129" s="41" t="str" cm="1">
        <f t="array" ref="AA129">IFERROR(INDEX('DBX Sprint'!$A$7:$K$62, SMALL(IF((INDEX('DBX Sprint'!$A$7:$K$62, ,25)=("Complete"))*(INDEX('DBX Sprint'!$A$7:$K$62, ,25)="Complete"),MATCH(ROW('DBX Sprint'!$A$7:$K$62),ROW('DBX Sprint'!$A$7:$K$62)),""),ROWS($AA$34:AA129)),COLUMNS('DBX Sprint'!$A$1:A12)),"")</f>
        <v/>
      </c>
      <c r="AB129" s="41" t="str" cm="1">
        <f t="array" aca="1" ref="AB129" ca="1">IFERROR(INDEX('DBX Sprint'!$A$7:$K$62, SMALL(IF((INDEX('DBX Sprint'!$A$7:$K$62, ,25)&lt;(TODAY()))*(INDEX('DBX Sprint'!$A$7:$K$62, ,25)&lt;&gt;"Complete"),MATCH(ROW('DBX Sprint'!$A$7:$K$62),ROW('DBX Sprint'!$A$7:$K$62)),""),ROWS($AB$34:AB129)),COLUMNS('DBX Sprint'!$A$1:A12)),"")</f>
        <v/>
      </c>
      <c r="AC129" s="41" t="str" cm="1">
        <f t="array" aca="1" ref="AC129" ca="1">IFERROR(INDEX('DBX Sprint'!$A$7:$K$62, SMALL(IF((INDEX('DBX Sprint'!$A$7:$K$62, ,25)&lt;=(TODAY()+1))*(INDEX('DBX Sprint'!$A$7:$K$62, ,25)&gt;=TODAY()),MATCH(ROW('DBX Sprint'!$A$7:$K$62),ROW('DBX Sprint'!$A$7:$K$62)),""),ROWS($AC$34:AC129)),COLUMNS('DBX Sprint'!$A$1:A12)),"")</f>
        <v/>
      </c>
      <c r="AD129" s="43" t="str" cm="1">
        <f t="array" aca="1" ref="AD129" ca="1">IFERROR(INDEX('DBX Sprint'!$A$7:$K$62, SMALL(IF((INDEX('DBX Sprint'!$A$7:$K$62, ,25)&lt;=(TODAY()+5))*(INDEX('DBX Sprint'!$A$7:$K$62, ,25)&gt;(TODAY()+1)),MATCH(ROW('DBX Sprint'!$A$7:$K$62),ROW('DBX Sprint'!$A$7:$K$62)),""),ROWS($AD$34:AD129)),COLUMNS('DBX Sprint'!$A$1:A12)),"")</f>
        <v/>
      </c>
      <c r="AE129" s="43" t="str" cm="1">
        <f t="array" aca="1" ref="AE129" ca="1">IFERROR(INDEX('DBX Sprint'!$A$7:$K$62, SMALL(IF((INDEX('DBX Sprint'!$A$7:$K$62, ,25)&lt;=(TODAY()+10))*(INDEX('DBX Sprint'!$A$7:$K$62, ,25)&gt;(TODAY()+5)),MATCH(ROW('DBX Sprint'!$A$7:$K$62),ROW('DBX Sprint'!$A$7:$K$62)),""),ROWS($AE$34:AE129)),COLUMNS('DBX Sprint'!$A$1:A12)),"")</f>
        <v/>
      </c>
      <c r="AG129" s="41" t="str" cm="1">
        <f t="array" ref="AG129">IFERROR(INDEX('DBX Sprint'!$A$7:$K$62, SMALL(IF((INDEX('DBX Sprint'!$A$7:$K$62, ,29)=("Complete"))*(INDEX('DBX Sprint'!$A$7:$K$62, ,29)="Complete"),MATCH(ROW('DBX Sprint'!$A$7:$K$62),ROW('DBX Sprint'!$A$7:$K$62)),""),ROWS($AG$34:AG129)),COLUMNS('DBX Sprint'!$A$1:A12)),"")</f>
        <v/>
      </c>
      <c r="AH129" s="41" t="str" cm="1">
        <f t="array" aca="1" ref="AH129" ca="1">IFERROR(INDEX('DBX Sprint'!$A$7:$K$62, SMALL(IF((INDEX('DBX Sprint'!$A$7:$K$62, ,29)&lt;(TODAY()))*(INDEX('DBX Sprint'!$A$7:$K$62, ,29)&lt;&gt;"Complete"),MATCH(ROW('DBX Sprint'!$A$7:$K$62),ROW('DBX Sprint'!$A$7:$K$62)),""),ROWS($AH$34:AH129)),COLUMNS('DBX Sprint'!$A$1:A12)),"")</f>
        <v/>
      </c>
      <c r="AI129" s="41" t="str" cm="1">
        <f t="array" aca="1" ref="AI129" ca="1">IFERROR(INDEX('DBX Sprint'!$A$7:$K$62, SMALL(IF((INDEX('DBX Sprint'!$A$7:$K$62, ,29)&lt;=(TODAY()+1))*(INDEX('DBX Sprint'!$A$7:$K$62, ,29)&gt;=TODAY()),MATCH(ROW('DBX Sprint'!$A$7:$K$62),ROW('DBX Sprint'!$A$7:$K$62)),""),ROWS($AI$34:AI129)),COLUMNS('DBX Sprint'!$A$1:A12)),"")</f>
        <v/>
      </c>
      <c r="AJ129" s="43" t="str" cm="1">
        <f t="array" aca="1" ref="AJ129" ca="1">IFERROR(INDEX('DBX Sprint'!$A$7:$K$62, SMALL(IF((INDEX('DBX Sprint'!$A$7:$K$62, ,29)&lt;=(TODAY()+5))*(INDEX('DBX Sprint'!$A$7:$K$62, ,29)&gt;(TODAY()+1)),MATCH(ROW('DBX Sprint'!$A$7:$K$62),ROW('DBX Sprint'!$A$7:$K$62)),""),ROWS($AJ$34:AJ129)),COLUMNS('DBX Sprint'!$A$1:A12)),"")</f>
        <v/>
      </c>
      <c r="AK129" s="43" t="str" cm="1">
        <f t="array" aca="1" ref="AK129" ca="1">IFERROR(INDEX('DBX Sprint'!$A$7:$K$62, SMALL(IF((INDEX('DBX Sprint'!$A$7:$K$62, ,29)&lt;=(TODAY()+10))*(INDEX('DBX Sprint'!$A$7:$K$62, ,29)&gt;(TODAY()+5)),MATCH(ROW('DBX Sprint'!$A$7:$K$62),ROW('DBX Sprint'!$A$7:$K$62)),""),ROWS($AK$34:AK129)),COLUMNS('DBX Sprint'!$A$1:A12)),"")</f>
        <v/>
      </c>
      <c r="AM129" s="41" t="str" cm="1">
        <f t="array" ref="AM129">IFERROR(INDEX('DBX Sprint'!$A$7:$K$62, SMALL(IF((INDEX('DBX Sprint'!$A$7:$K$62, ,32)=("Complete"))*(INDEX('DBX Sprint'!$A$7:$K$62, ,32)="Complete"),MATCH(ROW('DBX Sprint'!$A$7:$K$62),ROW('DBX Sprint'!$A$7:$K$62)),""),ROWS($AM$34:AM129)),COLUMNS('DBX Sprint'!$A$1:A12)),"")</f>
        <v/>
      </c>
      <c r="AN129" s="41" t="str" cm="1">
        <f t="array" aca="1" ref="AN129" ca="1">IFERROR(INDEX('DBX Sprint'!$A$7:$K$62, SMALL(IF((INDEX('DBX Sprint'!$A$7:$K$62, ,32)&lt;(TODAY()))*(INDEX('DBX Sprint'!$A$7:$K$62, ,32)&lt;&gt;"Complete"),MATCH(ROW('DBX Sprint'!$A$7:$K$62),ROW('DBX Sprint'!$A$7:$K$62)),""),ROWS($AN$34:AN129)),COLUMNS('DBX Sprint'!$A$1:A12)),"")</f>
        <v/>
      </c>
      <c r="AO129" s="41" t="str" cm="1">
        <f t="array" aca="1" ref="AO129" ca="1">IFERROR(INDEX('DBX Sprint'!$A$7:$K$62, SMALL(IF((INDEX('DBX Sprint'!$A$7:$K$62, ,32)&lt;=(TODAY()+1))*(INDEX('DBX Sprint'!$A$7:$K$62, ,32)&gt;=TODAY()),MATCH(ROW('DBX Sprint'!$A$7:$K$62),ROW('DBX Sprint'!$A$7:$K$62)),""),ROWS($AO$34:AO129)),COLUMNS('DBX Sprint'!$A$1:A12)),"")</f>
        <v/>
      </c>
      <c r="AP129" s="43" t="str" cm="1">
        <f t="array" aca="1" ref="AP129" ca="1">IFERROR(INDEX('DBX Sprint'!$A$7:$K$62, SMALL(IF((INDEX('DBX Sprint'!$A$7:$K$62, ,32)&lt;=(TODAY()+5))*(INDEX('DBX Sprint'!$A$7:$K$62, ,32)&gt;(TODAY()+1)),MATCH(ROW('DBX Sprint'!$A$7:$K$62),ROW('DBX Sprint'!$A$7:$K$62)),""),ROWS($AP$34:AP129)),COLUMNS('DBX Sprint'!$A$1:A12)),"")</f>
        <v/>
      </c>
      <c r="AQ129" s="43" t="str" cm="1">
        <f t="array" aca="1" ref="AQ129" ca="1">IFERROR(INDEX('DBX Sprint'!$A$7:$K$62, SMALL(IF((INDEX('DBX Sprint'!$A$7:$K$62, ,32)&lt;=(TODAY()+10))*(INDEX('DBX Sprint'!$A$7:$K$62, ,32)&gt;(TODAY()+5)),MATCH(ROW('DBX Sprint'!$A$7:$K$62),ROW('DBX Sprint'!$A$7:$K$62)),""),ROWS($AQ$34:AQ129)),COLUMNS('DBX Sprint'!$A$1:A12)),"")</f>
        <v/>
      </c>
    </row>
    <row r="130" spans="3:43" ht="30" customHeight="1">
      <c r="C130" s="41" t="str" cm="1">
        <f t="array" ref="C130">IFERROR(INDEX('DBX Sprint'!$A$7:$K$62, SMALL(IF((INDEX('DBX Sprint'!$A$7:$K$62, ,13)=("Complete"))*(INDEX('DBX Sprint'!$A$7:$K$62, ,13)="Complete"),MATCH(ROW('DBX Sprint'!$A$7:$K$62),ROW('DBX Sprint'!$A$7:$K$62)),""),ROWS(C$34:$C130)),COLUMNS('DBX Sprint'!$A$1:A12)),"")</f>
        <v/>
      </c>
      <c r="D130" s="41" t="str" cm="1">
        <f t="array" aca="1" ref="D130" ca="1">IFERROR(INDEX('DBX Sprint'!$A$7:$K$62, SMALL(IF((INDEX('DBX Sprint'!$A$7:$K$62, ,13)&lt;(TODAY()))*(INDEX('DBX Sprint'!$A$7:$K$62, ,13)&lt;&gt;"Complete"),MATCH(ROW('DBX Sprint'!$A$7:$K$62),ROW('DBX Sprint'!$A$7:$K$62)),""),ROWS(D$34:$D130)),COLUMNS('DBX Sprint'!$A$1:A12)),"")</f>
        <v/>
      </c>
      <c r="E130" s="41" t="str" cm="1">
        <f t="array" aca="1" ref="E130" ca="1">IFERROR(INDEX('DBX Sprint'!$A$7:$K$62, SMALL(IF((INDEX('DBX Sprint'!$A$7:$K$62, ,13)&lt;=(TODAY()+1))*(INDEX('DBX Sprint'!$A$7:$K$62, ,13)&gt;=TODAY()),MATCH(ROW('DBX Sprint'!$A$7:$K$62),ROW('DBX Sprint'!$A$7:$K$62)),""),ROWS(E$34:$E130)),COLUMNS('DBX Sprint'!$A$1:A12)),"")</f>
        <v/>
      </c>
      <c r="F130" s="43" t="str" cm="1">
        <f t="array" aca="1" ref="F130" ca="1">IFERROR(INDEX('DBX Sprint'!$A$7:$K$62, SMALL(IF((INDEX('DBX Sprint'!$A$7:$K$62, ,13)&lt;=(TODAY()+5))*(INDEX('DBX Sprint'!$A$7:$K$62, ,13)&gt;(TODAY()+1)),MATCH(ROW('DBX Sprint'!$A$7:$K$62),ROW('DBX Sprint'!$A$7:$K$62)),""),ROWS($F$34:F130)),COLUMNS('DBX Sprint'!$A$1:A12)),"")</f>
        <v/>
      </c>
      <c r="G130" s="43" t="str" cm="1">
        <f t="array" aca="1" ref="G130" ca="1">IFERROR(INDEX('DBX Sprint'!$A$7:$K$62, SMALL(IF((INDEX('DBX Sprint'!$A$7:$K$62, ,13)&lt;=(TODAY()+10))*(INDEX('DBX Sprint'!$A$7:$K$62, ,13)&gt;(TODAY()+5)),MATCH(ROW('DBX Sprint'!$A$7:$K$62),ROW('DBX Sprint'!$A$7:$K$62)),""),ROWS($G$34:G130)),COLUMNS('DBX Sprint'!$A$1:A12)),"")</f>
        <v/>
      </c>
      <c r="I130" s="41" t="str" cm="1">
        <f t="array" ref="I130">IFERROR(INDEX('DBX Sprint'!$A$7:$K$62, SMALL(IF((INDEX('DBX Sprint'!$A$7:$K$62, ,16)=("Complete"))*(INDEX('DBX Sprint'!$A$7:$K$62, ,16)="Complete"),MATCH(ROW('DBX Sprint'!$A$7:$K$62),ROW('DBX Sprint'!$A$7:$K$62)),""),ROWS($I$34:I130)),COLUMNS('DBX Sprint'!$A$1:A12)),"")</f>
        <v/>
      </c>
      <c r="J130" s="41" t="str" cm="1">
        <f t="array" aca="1" ref="J130" ca="1">IFERROR(INDEX('DBX Sprint'!$A$7:$K$62, SMALL(IF((INDEX('DBX Sprint'!$A$7:$K$62, ,16)&lt;(TODAY()))*(INDEX('DBX Sprint'!$A$7:$K$62, ,16)&lt;&gt;"Complete"),MATCH(ROW('DBX Sprint'!$A$7:$K$62),ROW('DBX Sprint'!$A$7:$K$62)),""),ROWS($J$34:J130)),COLUMNS('DBX Sprint'!$A$1:A12)),"")</f>
        <v/>
      </c>
      <c r="K130" s="41" t="str" cm="1">
        <f t="array" aca="1" ref="K130" ca="1">IFERROR(INDEX('DBX Sprint'!$A$7:$K$62, SMALL(IF((INDEX('DBX Sprint'!$A$7:$K$62, ,16)&lt;=(TODAY()+1))*(INDEX('DBX Sprint'!$A$7:$K$62, ,16)&gt;=TODAY()),MATCH(ROW('DBX Sprint'!$A$7:$K$62),ROW('DBX Sprint'!$A$7:$K$62)),""),ROWS($K$34:K130)),COLUMNS('DBX Sprint'!$A$1:A12)),"")</f>
        <v/>
      </c>
      <c r="L130" s="43" t="str" cm="1">
        <f t="array" aca="1" ref="L130" ca="1">IFERROR(INDEX('DBX Sprint'!$A$7:$K$62, SMALL(IF((INDEX('DBX Sprint'!$A$7:$K$62, ,16)&lt;=(TODAY()+5))*(INDEX('DBX Sprint'!$A$7:$K$62, ,16)&gt;(TODAY()+1)),MATCH(ROW('DBX Sprint'!$A$7:$K$62),ROW('DBX Sprint'!$A$7:$K$62)),""),ROWS($L$34:L130)),COLUMNS('DBX Sprint'!$A$1:A12)),"")</f>
        <v/>
      </c>
      <c r="M130" s="43" t="str" cm="1">
        <f t="array" aca="1" ref="M130" ca="1">IFERROR(INDEX('DBX Sprint'!$A$7:$K$62, SMALL(IF((INDEX('DBX Sprint'!$A$7:$K$62, ,16)&lt;=(TODAY()+10))*(INDEX('DBX Sprint'!$A$7:$K$62, ,16)&gt;(TODAY()+5)),MATCH(ROW('DBX Sprint'!$A$7:$K$62),ROW('DBX Sprint'!$A$7:$K$62)),""),ROWS($M$34:M130)),COLUMNS('DBX Sprint'!$A$1:A12)),"")</f>
        <v/>
      </c>
      <c r="P130" s="41" t="str" cm="1">
        <f t="array" aca="1" ref="P130" ca="1">IFERROR(INDEX('DBX Sprint'!$A$7:$K$62, SMALL(IF((INDEX('DBX Sprint'!$A$7:$K$62, ,19)&lt;(TODAY()))*(INDEX('DBX Sprint'!$A$7:$K$62, ,19)&lt;&gt;"Complete"),MATCH(ROW('DBX Sprint'!$A$7:$K$62),ROW('DBX Sprint'!$A$7:$K$62)),""),ROWS($P$34:P130)),COLUMNS('DBX Sprint'!$A$1:A12)),"")</f>
        <v/>
      </c>
      <c r="Q130" s="41" t="str" cm="1">
        <f t="array" aca="1" ref="Q130" ca="1">IFERROR(INDEX('DBX Sprint'!$A$7:$K$62, SMALL(IF((INDEX('DBX Sprint'!$A$7:$K$62, ,19)&lt;=(TODAY()+1))*(INDEX('DBX Sprint'!$A$7:$K$62, ,19)&gt;=TODAY()),MATCH(ROW('DBX Sprint'!$A$7:$K$62),ROW('DBX Sprint'!$A$7:$K$62)),""),ROWS($Q$34:Q130)),COLUMNS('DBX Sprint'!$A$1:A12)),"")</f>
        <v/>
      </c>
      <c r="R130" s="43" t="str" cm="1">
        <f t="array" aca="1" ref="R130" ca="1">IFERROR(INDEX('DBX Sprint'!$A$7:$K$62, SMALL(IF((INDEX('DBX Sprint'!$A$7:$K$62, ,19)&lt;=(TODAY()+5))*(INDEX('DBX Sprint'!$A$7:$K$62, ,19)&gt;(TODAY()+1)),MATCH(ROW('DBX Sprint'!$A$7:$K$62),ROW('DBX Sprint'!$A$7:$K$62)),""),ROWS($R$34:R130)),COLUMNS('DBX Sprint'!$A$1:A12)),"")</f>
        <v/>
      </c>
      <c r="S130" s="43" t="str" cm="1">
        <f t="array" aca="1" ref="S130" ca="1">IFERROR(INDEX('DBX Sprint'!$A$7:$K$62, SMALL(IF((INDEX('DBX Sprint'!$A$7:$K$62, ,19)&lt;=(TODAY()+10))*(INDEX('DBX Sprint'!$A$7:$K$62, ,19)&gt;(TODAY()+5)),MATCH(ROW('DBX Sprint'!$A$7:$K$62),ROW('DBX Sprint'!$A$7:$K$62)),""),ROWS($S$34:S130)),COLUMNS('DBX Sprint'!$A$1:A12)),"")</f>
        <v/>
      </c>
      <c r="U130" s="41" t="str" cm="1">
        <f t="array" ref="U130">IFERROR(INDEX('DBX Sprint'!$A$7:$K$62, SMALL(IF((INDEX('DBX Sprint'!$A$7:$K$62, ,22)=("Complete"))*(INDEX('DBX Sprint'!$A$7:$K$62, ,22)="Complete"),MATCH(ROW('DBX Sprint'!$A$7:$K$62),ROW('DBX Sprint'!$A$7:$K$62)),""),ROWS($U$34:U130)),COLUMNS('DBX Sprint'!$A$1:A12)),"")</f>
        <v/>
      </c>
      <c r="V130" s="41" t="str" cm="1">
        <f t="array" aca="1" ref="V130" ca="1">IFERROR(INDEX('DBX Sprint'!$A$7:$K$62, SMALL(IF((INDEX('DBX Sprint'!$A$7:$K$62, ,22)&lt;(TODAY()))*(INDEX('DBX Sprint'!$A$7:$K$62, ,22)&lt;&gt;"Complete"),MATCH(ROW('DBX Sprint'!$A$7:$K$62),ROW('DBX Sprint'!$A$7:$K$62)),""),ROWS($V$34:V130)),COLUMNS('DBX Sprint'!$A$1:A12)),"")</f>
        <v/>
      </c>
      <c r="W130" s="41" t="str" cm="1">
        <f t="array" aca="1" ref="W130" ca="1">IFERROR(INDEX('DBX Sprint'!$A$7:$K$62, SMALL(IF((INDEX('DBX Sprint'!$A$7:$K$62, ,22)&lt;=(TODAY()+1))*(INDEX('DBX Sprint'!$A$7:$K$62, ,22)&gt;=TODAY()),MATCH(ROW('DBX Sprint'!$A$7:$K$62),ROW('DBX Sprint'!$A$7:$K$62)),""),ROWS($W$34:W130)),COLUMNS('DBX Sprint'!$A$1:A12)),"")</f>
        <v/>
      </c>
      <c r="X130" s="43" t="str" cm="1">
        <f t="array" aca="1" ref="X130" ca="1">IFERROR(INDEX('DBX Sprint'!$A$7:$K$62, SMALL(IF((INDEX('DBX Sprint'!$A$7:$K$62, ,22)&lt;=(TODAY()+5))*(INDEX('DBX Sprint'!$A$7:$K$62, ,22)&gt;(TODAY()+1)),MATCH(ROW('DBX Sprint'!$A$7:$K$62),ROW('DBX Sprint'!$A$7:$K$62)),""),ROWS($X$34:X130)),COLUMNS('DBX Sprint'!$A$1:A12)),"")</f>
        <v/>
      </c>
      <c r="Y130" s="43" t="str" cm="1">
        <f t="array" aca="1" ref="Y130" ca="1">IFERROR(INDEX('DBX Sprint'!$A$7:$K$62, SMALL(IF((INDEX('DBX Sprint'!$A$7:$K$62, ,22)&lt;=(TODAY()+10))*(INDEX('DBX Sprint'!$A$7:$K$62, ,22)&gt;(TODAY()+5)),MATCH(ROW('DBX Sprint'!$A$7:$K$62),ROW('DBX Sprint'!$A$7:$K$62)),""),ROWS($Y$34:Y130)),COLUMNS('DBX Sprint'!$A$1:A12)),"")</f>
        <v/>
      </c>
      <c r="AA130" s="41" t="str" cm="1">
        <f t="array" ref="AA130">IFERROR(INDEX('DBX Sprint'!$A$7:$K$62, SMALL(IF((INDEX('DBX Sprint'!$A$7:$K$62, ,25)=("Complete"))*(INDEX('DBX Sprint'!$A$7:$K$62, ,25)="Complete"),MATCH(ROW('DBX Sprint'!$A$7:$K$62),ROW('DBX Sprint'!$A$7:$K$62)),""),ROWS($AA$34:AA130)),COLUMNS('DBX Sprint'!$A$1:A12)),"")</f>
        <v/>
      </c>
      <c r="AB130" s="41" t="str" cm="1">
        <f t="array" aca="1" ref="AB130" ca="1">IFERROR(INDEX('DBX Sprint'!$A$7:$K$62, SMALL(IF((INDEX('DBX Sprint'!$A$7:$K$62, ,25)&lt;(TODAY()))*(INDEX('DBX Sprint'!$A$7:$K$62, ,25)&lt;&gt;"Complete"),MATCH(ROW('DBX Sprint'!$A$7:$K$62),ROW('DBX Sprint'!$A$7:$K$62)),""),ROWS($AB$34:AB130)),COLUMNS('DBX Sprint'!$A$1:A12)),"")</f>
        <v/>
      </c>
      <c r="AC130" s="41" t="str" cm="1">
        <f t="array" aca="1" ref="AC130" ca="1">IFERROR(INDEX('DBX Sprint'!$A$7:$K$62, SMALL(IF((INDEX('DBX Sprint'!$A$7:$K$62, ,25)&lt;=(TODAY()+1))*(INDEX('DBX Sprint'!$A$7:$K$62, ,25)&gt;=TODAY()),MATCH(ROW('DBX Sprint'!$A$7:$K$62),ROW('DBX Sprint'!$A$7:$K$62)),""),ROWS($AC$34:AC130)),COLUMNS('DBX Sprint'!$A$1:A12)),"")</f>
        <v/>
      </c>
      <c r="AD130" s="43" t="str" cm="1">
        <f t="array" aca="1" ref="AD130" ca="1">IFERROR(INDEX('DBX Sprint'!$A$7:$K$62, SMALL(IF((INDEX('DBX Sprint'!$A$7:$K$62, ,25)&lt;=(TODAY()+5))*(INDEX('DBX Sprint'!$A$7:$K$62, ,25)&gt;(TODAY()+1)),MATCH(ROW('DBX Sprint'!$A$7:$K$62),ROW('DBX Sprint'!$A$7:$K$62)),""),ROWS($AD$34:AD130)),COLUMNS('DBX Sprint'!$A$1:A12)),"")</f>
        <v/>
      </c>
      <c r="AE130" s="43" t="str" cm="1">
        <f t="array" aca="1" ref="AE130" ca="1">IFERROR(INDEX('DBX Sprint'!$A$7:$K$62, SMALL(IF((INDEX('DBX Sprint'!$A$7:$K$62, ,25)&lt;=(TODAY()+10))*(INDEX('DBX Sprint'!$A$7:$K$62, ,25)&gt;(TODAY()+5)),MATCH(ROW('DBX Sprint'!$A$7:$K$62),ROW('DBX Sprint'!$A$7:$K$62)),""),ROWS($AE$34:AE130)),COLUMNS('DBX Sprint'!$A$1:A12)),"")</f>
        <v/>
      </c>
      <c r="AG130" s="41" t="str" cm="1">
        <f t="array" ref="AG130">IFERROR(INDEX('DBX Sprint'!$A$7:$K$62, SMALL(IF((INDEX('DBX Sprint'!$A$7:$K$62, ,29)=("Complete"))*(INDEX('DBX Sprint'!$A$7:$K$62, ,29)="Complete"),MATCH(ROW('DBX Sprint'!$A$7:$K$62),ROW('DBX Sprint'!$A$7:$K$62)),""),ROWS($AG$34:AG130)),COLUMNS('DBX Sprint'!$A$1:A12)),"")</f>
        <v/>
      </c>
      <c r="AH130" s="41" t="str" cm="1">
        <f t="array" aca="1" ref="AH130" ca="1">IFERROR(INDEX('DBX Sprint'!$A$7:$K$62, SMALL(IF((INDEX('DBX Sprint'!$A$7:$K$62, ,29)&lt;(TODAY()))*(INDEX('DBX Sprint'!$A$7:$K$62, ,29)&lt;&gt;"Complete"),MATCH(ROW('DBX Sprint'!$A$7:$K$62),ROW('DBX Sprint'!$A$7:$K$62)),""),ROWS($AH$34:AH130)),COLUMNS('DBX Sprint'!$A$1:A12)),"")</f>
        <v/>
      </c>
      <c r="AI130" s="41" t="str" cm="1">
        <f t="array" aca="1" ref="AI130" ca="1">IFERROR(INDEX('DBX Sprint'!$A$7:$K$62, SMALL(IF((INDEX('DBX Sprint'!$A$7:$K$62, ,29)&lt;=(TODAY()+1))*(INDEX('DBX Sprint'!$A$7:$K$62, ,29)&gt;=TODAY()),MATCH(ROW('DBX Sprint'!$A$7:$K$62),ROW('DBX Sprint'!$A$7:$K$62)),""),ROWS($AI$34:AI130)),COLUMNS('DBX Sprint'!$A$1:A12)),"")</f>
        <v/>
      </c>
      <c r="AJ130" s="43" t="str" cm="1">
        <f t="array" aca="1" ref="AJ130" ca="1">IFERROR(INDEX('DBX Sprint'!$A$7:$K$62, SMALL(IF((INDEX('DBX Sprint'!$A$7:$K$62, ,29)&lt;=(TODAY()+5))*(INDEX('DBX Sprint'!$A$7:$K$62, ,29)&gt;(TODAY()+1)),MATCH(ROW('DBX Sprint'!$A$7:$K$62),ROW('DBX Sprint'!$A$7:$K$62)),""),ROWS($AJ$34:AJ130)),COLUMNS('DBX Sprint'!$A$1:A12)),"")</f>
        <v/>
      </c>
      <c r="AK130" s="43" t="str" cm="1">
        <f t="array" aca="1" ref="AK130" ca="1">IFERROR(INDEX('DBX Sprint'!$A$7:$K$62, SMALL(IF((INDEX('DBX Sprint'!$A$7:$K$62, ,29)&lt;=(TODAY()+10))*(INDEX('DBX Sprint'!$A$7:$K$62, ,29)&gt;(TODAY()+5)),MATCH(ROW('DBX Sprint'!$A$7:$K$62),ROW('DBX Sprint'!$A$7:$K$62)),""),ROWS($AK$34:AK130)),COLUMNS('DBX Sprint'!$A$1:A12)),"")</f>
        <v/>
      </c>
      <c r="AM130" s="41" t="str" cm="1">
        <f t="array" ref="AM130">IFERROR(INDEX('DBX Sprint'!$A$7:$K$62, SMALL(IF((INDEX('DBX Sprint'!$A$7:$K$62, ,32)=("Complete"))*(INDEX('DBX Sprint'!$A$7:$K$62, ,32)="Complete"),MATCH(ROW('DBX Sprint'!$A$7:$K$62),ROW('DBX Sprint'!$A$7:$K$62)),""),ROWS($AM$34:AM130)),COLUMNS('DBX Sprint'!$A$1:A12)),"")</f>
        <v/>
      </c>
      <c r="AN130" s="41" t="str" cm="1">
        <f t="array" aca="1" ref="AN130" ca="1">IFERROR(INDEX('DBX Sprint'!$A$7:$K$62, SMALL(IF((INDEX('DBX Sprint'!$A$7:$K$62, ,32)&lt;(TODAY()))*(INDEX('DBX Sprint'!$A$7:$K$62, ,32)&lt;&gt;"Complete"),MATCH(ROW('DBX Sprint'!$A$7:$K$62),ROW('DBX Sprint'!$A$7:$K$62)),""),ROWS($AN$34:AN130)),COLUMNS('DBX Sprint'!$A$1:A12)),"")</f>
        <v/>
      </c>
      <c r="AO130" s="41" t="str" cm="1">
        <f t="array" aca="1" ref="AO130" ca="1">IFERROR(INDEX('DBX Sprint'!$A$7:$K$62, SMALL(IF((INDEX('DBX Sprint'!$A$7:$K$62, ,32)&lt;=(TODAY()+1))*(INDEX('DBX Sprint'!$A$7:$K$62, ,32)&gt;=TODAY()),MATCH(ROW('DBX Sprint'!$A$7:$K$62),ROW('DBX Sprint'!$A$7:$K$62)),""),ROWS($AO$34:AO130)),COLUMNS('DBX Sprint'!$A$1:A12)),"")</f>
        <v/>
      </c>
      <c r="AP130" s="43" t="str" cm="1">
        <f t="array" aca="1" ref="AP130" ca="1">IFERROR(INDEX('DBX Sprint'!$A$7:$K$62, SMALL(IF((INDEX('DBX Sprint'!$A$7:$K$62, ,32)&lt;=(TODAY()+5))*(INDEX('DBX Sprint'!$A$7:$K$62, ,32)&gt;(TODAY()+1)),MATCH(ROW('DBX Sprint'!$A$7:$K$62),ROW('DBX Sprint'!$A$7:$K$62)),""),ROWS($AP$34:AP130)),COLUMNS('DBX Sprint'!$A$1:A12)),"")</f>
        <v/>
      </c>
      <c r="AQ130" s="43" t="str" cm="1">
        <f t="array" aca="1" ref="AQ130" ca="1">IFERROR(INDEX('DBX Sprint'!$A$7:$K$62, SMALL(IF((INDEX('DBX Sprint'!$A$7:$K$62, ,32)&lt;=(TODAY()+10))*(INDEX('DBX Sprint'!$A$7:$K$62, ,32)&gt;(TODAY()+5)),MATCH(ROW('DBX Sprint'!$A$7:$K$62),ROW('DBX Sprint'!$A$7:$K$62)),""),ROWS($AQ$34:AQ130)),COLUMNS('DBX Sprint'!$A$1:A12)),"")</f>
        <v/>
      </c>
    </row>
    <row r="131" spans="3:43" ht="30" customHeight="1">
      <c r="C131" s="41" t="str" cm="1">
        <f t="array" ref="C131">IFERROR(INDEX('DBX Sprint'!$A$7:$K$62, SMALL(IF((INDEX('DBX Sprint'!$A$7:$K$62, ,13)=("Complete"))*(INDEX('DBX Sprint'!$A$7:$K$62, ,13)="Complete"),MATCH(ROW('DBX Sprint'!$A$7:$K$62),ROW('DBX Sprint'!$A$7:$K$62)),""),ROWS(C$34:$C131)),COLUMNS('DBX Sprint'!$A$1:A12)),"")</f>
        <v/>
      </c>
      <c r="D131" s="41" t="str" cm="1">
        <f t="array" aca="1" ref="D131" ca="1">IFERROR(INDEX('DBX Sprint'!$A$7:$K$62, SMALL(IF((INDEX('DBX Sprint'!$A$7:$K$62, ,13)&lt;(TODAY()))*(INDEX('DBX Sprint'!$A$7:$K$62, ,13)&lt;&gt;"Complete"),MATCH(ROW('DBX Sprint'!$A$7:$K$62),ROW('DBX Sprint'!$A$7:$K$62)),""),ROWS(D$34:$D131)),COLUMNS('DBX Sprint'!$A$1:A12)),"")</f>
        <v/>
      </c>
      <c r="E131" s="41" t="str" cm="1">
        <f t="array" aca="1" ref="E131" ca="1">IFERROR(INDEX('DBX Sprint'!$A$7:$K$62, SMALL(IF((INDEX('DBX Sprint'!$A$7:$K$62, ,13)&lt;=(TODAY()+1))*(INDEX('DBX Sprint'!$A$7:$K$62, ,13)&gt;=TODAY()),MATCH(ROW('DBX Sprint'!$A$7:$K$62),ROW('DBX Sprint'!$A$7:$K$62)),""),ROWS(E$34:$E131)),COLUMNS('DBX Sprint'!$A$1:A12)),"")</f>
        <v/>
      </c>
      <c r="F131" s="43" t="str" cm="1">
        <f t="array" aca="1" ref="F131" ca="1">IFERROR(INDEX('DBX Sprint'!$A$7:$K$62, SMALL(IF((INDEX('DBX Sprint'!$A$7:$K$62, ,13)&lt;=(TODAY()+5))*(INDEX('DBX Sprint'!$A$7:$K$62, ,13)&gt;(TODAY()+1)),MATCH(ROW('DBX Sprint'!$A$7:$K$62),ROW('DBX Sprint'!$A$7:$K$62)),""),ROWS($F$34:F131)),COLUMNS('DBX Sprint'!$A$1:A12)),"")</f>
        <v/>
      </c>
      <c r="G131" s="43" t="str" cm="1">
        <f t="array" aca="1" ref="G131" ca="1">IFERROR(INDEX('DBX Sprint'!$A$7:$K$62, SMALL(IF((INDEX('DBX Sprint'!$A$7:$K$62, ,13)&lt;=(TODAY()+10))*(INDEX('DBX Sprint'!$A$7:$K$62, ,13)&gt;(TODAY()+5)),MATCH(ROW('DBX Sprint'!$A$7:$K$62),ROW('DBX Sprint'!$A$7:$K$62)),""),ROWS($G$34:G131)),COLUMNS('DBX Sprint'!$A$1:A12)),"")</f>
        <v/>
      </c>
      <c r="I131" s="41" t="str" cm="1">
        <f t="array" ref="I131">IFERROR(INDEX('DBX Sprint'!$A$7:$K$62, SMALL(IF((INDEX('DBX Sprint'!$A$7:$K$62, ,16)=("Complete"))*(INDEX('DBX Sprint'!$A$7:$K$62, ,16)="Complete"),MATCH(ROW('DBX Sprint'!$A$7:$K$62),ROW('DBX Sprint'!$A$7:$K$62)),""),ROWS($I$34:I131)),COLUMNS('DBX Sprint'!$A$1:A12)),"")</f>
        <v/>
      </c>
      <c r="J131" s="41" t="str" cm="1">
        <f t="array" aca="1" ref="J131" ca="1">IFERROR(INDEX('DBX Sprint'!$A$7:$K$62, SMALL(IF((INDEX('DBX Sprint'!$A$7:$K$62, ,16)&lt;(TODAY()))*(INDEX('DBX Sprint'!$A$7:$K$62, ,16)&lt;&gt;"Complete"),MATCH(ROW('DBX Sprint'!$A$7:$K$62),ROW('DBX Sprint'!$A$7:$K$62)),""),ROWS($J$34:J131)),COLUMNS('DBX Sprint'!$A$1:A12)),"")</f>
        <v/>
      </c>
      <c r="K131" s="41" t="str" cm="1">
        <f t="array" aca="1" ref="K131" ca="1">IFERROR(INDEX('DBX Sprint'!$A$7:$K$62, SMALL(IF((INDEX('DBX Sprint'!$A$7:$K$62, ,16)&lt;=(TODAY()+1))*(INDEX('DBX Sprint'!$A$7:$K$62, ,16)&gt;=TODAY()),MATCH(ROW('DBX Sprint'!$A$7:$K$62),ROW('DBX Sprint'!$A$7:$K$62)),""),ROWS($K$34:K131)),COLUMNS('DBX Sprint'!$A$1:A12)),"")</f>
        <v/>
      </c>
      <c r="L131" s="43" t="str" cm="1">
        <f t="array" aca="1" ref="L131" ca="1">IFERROR(INDEX('DBX Sprint'!$A$7:$K$62, SMALL(IF((INDEX('DBX Sprint'!$A$7:$K$62, ,16)&lt;=(TODAY()+5))*(INDEX('DBX Sprint'!$A$7:$K$62, ,16)&gt;(TODAY()+1)),MATCH(ROW('DBX Sprint'!$A$7:$K$62),ROW('DBX Sprint'!$A$7:$K$62)),""),ROWS($L$34:L131)),COLUMNS('DBX Sprint'!$A$1:A12)),"")</f>
        <v/>
      </c>
      <c r="M131" s="43" t="str" cm="1">
        <f t="array" aca="1" ref="M131" ca="1">IFERROR(INDEX('DBX Sprint'!$A$7:$K$62, SMALL(IF((INDEX('DBX Sprint'!$A$7:$K$62, ,16)&lt;=(TODAY()+10))*(INDEX('DBX Sprint'!$A$7:$K$62, ,16)&gt;(TODAY()+5)),MATCH(ROW('DBX Sprint'!$A$7:$K$62),ROW('DBX Sprint'!$A$7:$K$62)),""),ROWS($M$34:M131)),COLUMNS('DBX Sprint'!$A$1:A12)),"")</f>
        <v/>
      </c>
      <c r="P131" s="41" t="str" cm="1">
        <f t="array" aca="1" ref="P131" ca="1">IFERROR(INDEX('DBX Sprint'!$A$7:$K$62, SMALL(IF((INDEX('DBX Sprint'!$A$7:$K$62, ,19)&lt;(TODAY()))*(INDEX('DBX Sprint'!$A$7:$K$62, ,19)&lt;&gt;"Complete"),MATCH(ROW('DBX Sprint'!$A$7:$K$62),ROW('DBX Sprint'!$A$7:$K$62)),""),ROWS($P$34:P131)),COLUMNS('DBX Sprint'!$A$1:A12)),"")</f>
        <v/>
      </c>
      <c r="Q131" s="41" t="str" cm="1">
        <f t="array" aca="1" ref="Q131" ca="1">IFERROR(INDEX('DBX Sprint'!$A$7:$K$62, SMALL(IF((INDEX('DBX Sprint'!$A$7:$K$62, ,19)&lt;=(TODAY()+1))*(INDEX('DBX Sprint'!$A$7:$K$62, ,19)&gt;=TODAY()),MATCH(ROW('DBX Sprint'!$A$7:$K$62),ROW('DBX Sprint'!$A$7:$K$62)),""),ROWS($Q$34:Q131)),COLUMNS('DBX Sprint'!$A$1:A12)),"")</f>
        <v/>
      </c>
      <c r="R131" s="43" t="str" cm="1">
        <f t="array" aca="1" ref="R131" ca="1">IFERROR(INDEX('DBX Sprint'!$A$7:$K$62, SMALL(IF((INDEX('DBX Sprint'!$A$7:$K$62, ,19)&lt;=(TODAY()+5))*(INDEX('DBX Sprint'!$A$7:$K$62, ,19)&gt;(TODAY()+1)),MATCH(ROW('DBX Sprint'!$A$7:$K$62),ROW('DBX Sprint'!$A$7:$K$62)),""),ROWS($R$34:R131)),COLUMNS('DBX Sprint'!$A$1:A12)),"")</f>
        <v/>
      </c>
      <c r="S131" s="43" t="str" cm="1">
        <f t="array" aca="1" ref="S131" ca="1">IFERROR(INDEX('DBX Sprint'!$A$7:$K$62, SMALL(IF((INDEX('DBX Sprint'!$A$7:$K$62, ,19)&lt;=(TODAY()+10))*(INDEX('DBX Sprint'!$A$7:$K$62, ,19)&gt;(TODAY()+5)),MATCH(ROW('DBX Sprint'!$A$7:$K$62),ROW('DBX Sprint'!$A$7:$K$62)),""),ROWS($S$34:S131)),COLUMNS('DBX Sprint'!$A$1:A12)),"")</f>
        <v/>
      </c>
      <c r="U131" s="41" t="str" cm="1">
        <f t="array" ref="U131">IFERROR(INDEX('DBX Sprint'!$A$7:$K$62, SMALL(IF((INDEX('DBX Sprint'!$A$7:$K$62, ,22)=("Complete"))*(INDEX('DBX Sprint'!$A$7:$K$62, ,22)="Complete"),MATCH(ROW('DBX Sprint'!$A$7:$K$62),ROW('DBX Sprint'!$A$7:$K$62)),""),ROWS($U$34:U131)),COLUMNS('DBX Sprint'!$A$1:A12)),"")</f>
        <v/>
      </c>
      <c r="V131" s="41" t="str" cm="1">
        <f t="array" aca="1" ref="V131" ca="1">IFERROR(INDEX('DBX Sprint'!$A$7:$K$62, SMALL(IF((INDEX('DBX Sprint'!$A$7:$K$62, ,22)&lt;(TODAY()))*(INDEX('DBX Sprint'!$A$7:$K$62, ,22)&lt;&gt;"Complete"),MATCH(ROW('DBX Sprint'!$A$7:$K$62),ROW('DBX Sprint'!$A$7:$K$62)),""),ROWS($V$34:V131)),COLUMNS('DBX Sprint'!$A$1:A12)),"")</f>
        <v/>
      </c>
      <c r="W131" s="41" t="str" cm="1">
        <f t="array" aca="1" ref="W131" ca="1">IFERROR(INDEX('DBX Sprint'!$A$7:$K$62, SMALL(IF((INDEX('DBX Sprint'!$A$7:$K$62, ,22)&lt;=(TODAY()+1))*(INDEX('DBX Sprint'!$A$7:$K$62, ,22)&gt;=TODAY()),MATCH(ROW('DBX Sprint'!$A$7:$K$62),ROW('DBX Sprint'!$A$7:$K$62)),""),ROWS($W$34:W131)),COLUMNS('DBX Sprint'!$A$1:A12)),"")</f>
        <v/>
      </c>
      <c r="X131" s="43" t="str" cm="1">
        <f t="array" aca="1" ref="X131" ca="1">IFERROR(INDEX('DBX Sprint'!$A$7:$K$62, SMALL(IF((INDEX('DBX Sprint'!$A$7:$K$62, ,22)&lt;=(TODAY()+5))*(INDEX('DBX Sprint'!$A$7:$K$62, ,22)&gt;(TODAY()+1)),MATCH(ROW('DBX Sprint'!$A$7:$K$62),ROW('DBX Sprint'!$A$7:$K$62)),""),ROWS($X$34:X131)),COLUMNS('DBX Sprint'!$A$1:A12)),"")</f>
        <v/>
      </c>
      <c r="Y131" s="43" t="str" cm="1">
        <f t="array" aca="1" ref="Y131" ca="1">IFERROR(INDEX('DBX Sprint'!$A$7:$K$62, SMALL(IF((INDEX('DBX Sprint'!$A$7:$K$62, ,22)&lt;=(TODAY()+10))*(INDEX('DBX Sprint'!$A$7:$K$62, ,22)&gt;(TODAY()+5)),MATCH(ROW('DBX Sprint'!$A$7:$K$62),ROW('DBX Sprint'!$A$7:$K$62)),""),ROWS($Y$34:Y131)),COLUMNS('DBX Sprint'!$A$1:A12)),"")</f>
        <v/>
      </c>
      <c r="AA131" s="41" t="str" cm="1">
        <f t="array" ref="AA131">IFERROR(INDEX('DBX Sprint'!$A$7:$K$62, SMALL(IF((INDEX('DBX Sprint'!$A$7:$K$62, ,25)=("Complete"))*(INDEX('DBX Sprint'!$A$7:$K$62, ,25)="Complete"),MATCH(ROW('DBX Sprint'!$A$7:$K$62),ROW('DBX Sprint'!$A$7:$K$62)),""),ROWS($AA$34:AA131)),COLUMNS('DBX Sprint'!$A$1:A12)),"")</f>
        <v/>
      </c>
      <c r="AB131" s="41" t="str" cm="1">
        <f t="array" aca="1" ref="AB131" ca="1">IFERROR(INDEX('DBX Sprint'!$A$7:$K$62, SMALL(IF((INDEX('DBX Sprint'!$A$7:$K$62, ,25)&lt;(TODAY()))*(INDEX('DBX Sprint'!$A$7:$K$62, ,25)&lt;&gt;"Complete"),MATCH(ROW('DBX Sprint'!$A$7:$K$62),ROW('DBX Sprint'!$A$7:$K$62)),""),ROWS($AB$34:AB131)),COLUMNS('DBX Sprint'!$A$1:A12)),"")</f>
        <v/>
      </c>
      <c r="AC131" s="41" t="str" cm="1">
        <f t="array" aca="1" ref="AC131" ca="1">IFERROR(INDEX('DBX Sprint'!$A$7:$K$62, SMALL(IF((INDEX('DBX Sprint'!$A$7:$K$62, ,25)&lt;=(TODAY()+1))*(INDEX('DBX Sprint'!$A$7:$K$62, ,25)&gt;=TODAY()),MATCH(ROW('DBX Sprint'!$A$7:$K$62),ROW('DBX Sprint'!$A$7:$K$62)),""),ROWS($AC$34:AC131)),COLUMNS('DBX Sprint'!$A$1:A12)),"")</f>
        <v/>
      </c>
      <c r="AD131" s="43" t="str" cm="1">
        <f t="array" aca="1" ref="AD131" ca="1">IFERROR(INDEX('DBX Sprint'!$A$7:$K$62, SMALL(IF((INDEX('DBX Sprint'!$A$7:$K$62, ,25)&lt;=(TODAY()+5))*(INDEX('DBX Sprint'!$A$7:$K$62, ,25)&gt;(TODAY()+1)),MATCH(ROW('DBX Sprint'!$A$7:$K$62),ROW('DBX Sprint'!$A$7:$K$62)),""),ROWS($AD$34:AD131)),COLUMNS('DBX Sprint'!$A$1:A12)),"")</f>
        <v/>
      </c>
      <c r="AE131" s="43" t="str" cm="1">
        <f t="array" aca="1" ref="AE131" ca="1">IFERROR(INDEX('DBX Sprint'!$A$7:$K$62, SMALL(IF((INDEX('DBX Sprint'!$A$7:$K$62, ,25)&lt;=(TODAY()+10))*(INDEX('DBX Sprint'!$A$7:$K$62, ,25)&gt;(TODAY()+5)),MATCH(ROW('DBX Sprint'!$A$7:$K$62),ROW('DBX Sprint'!$A$7:$K$62)),""),ROWS($AE$34:AE131)),COLUMNS('DBX Sprint'!$A$1:A12)),"")</f>
        <v/>
      </c>
      <c r="AG131" s="41" t="str" cm="1">
        <f t="array" ref="AG131">IFERROR(INDEX('DBX Sprint'!$A$7:$K$62, SMALL(IF((INDEX('DBX Sprint'!$A$7:$K$62, ,29)=("Complete"))*(INDEX('DBX Sprint'!$A$7:$K$62, ,29)="Complete"),MATCH(ROW('DBX Sprint'!$A$7:$K$62),ROW('DBX Sprint'!$A$7:$K$62)),""),ROWS($AG$34:AG131)),COLUMNS('DBX Sprint'!$A$1:A12)),"")</f>
        <v/>
      </c>
      <c r="AH131" s="41" t="str" cm="1">
        <f t="array" aca="1" ref="AH131" ca="1">IFERROR(INDEX('DBX Sprint'!$A$7:$K$62, SMALL(IF((INDEX('DBX Sprint'!$A$7:$K$62, ,29)&lt;(TODAY()))*(INDEX('DBX Sprint'!$A$7:$K$62, ,29)&lt;&gt;"Complete"),MATCH(ROW('DBX Sprint'!$A$7:$K$62),ROW('DBX Sprint'!$A$7:$K$62)),""),ROWS($AH$34:AH131)),COLUMNS('DBX Sprint'!$A$1:A12)),"")</f>
        <v/>
      </c>
      <c r="AI131" s="41" t="str" cm="1">
        <f t="array" aca="1" ref="AI131" ca="1">IFERROR(INDEX('DBX Sprint'!$A$7:$K$62, SMALL(IF((INDEX('DBX Sprint'!$A$7:$K$62, ,29)&lt;=(TODAY()+1))*(INDEX('DBX Sprint'!$A$7:$K$62, ,29)&gt;=TODAY()),MATCH(ROW('DBX Sprint'!$A$7:$K$62),ROW('DBX Sprint'!$A$7:$K$62)),""),ROWS($AI$34:AI131)),COLUMNS('DBX Sprint'!$A$1:A12)),"")</f>
        <v/>
      </c>
      <c r="AJ131" s="43" t="str" cm="1">
        <f t="array" aca="1" ref="AJ131" ca="1">IFERROR(INDEX('DBX Sprint'!$A$7:$K$62, SMALL(IF((INDEX('DBX Sprint'!$A$7:$K$62, ,29)&lt;=(TODAY()+5))*(INDEX('DBX Sprint'!$A$7:$K$62, ,29)&gt;(TODAY()+1)),MATCH(ROW('DBX Sprint'!$A$7:$K$62),ROW('DBX Sprint'!$A$7:$K$62)),""),ROWS($AJ$34:AJ131)),COLUMNS('DBX Sprint'!$A$1:A12)),"")</f>
        <v/>
      </c>
      <c r="AK131" s="43" t="str" cm="1">
        <f t="array" aca="1" ref="AK131" ca="1">IFERROR(INDEX('DBX Sprint'!$A$7:$K$62, SMALL(IF((INDEX('DBX Sprint'!$A$7:$K$62, ,29)&lt;=(TODAY()+10))*(INDEX('DBX Sprint'!$A$7:$K$62, ,29)&gt;(TODAY()+5)),MATCH(ROW('DBX Sprint'!$A$7:$K$62),ROW('DBX Sprint'!$A$7:$K$62)),""),ROWS($AK$34:AK131)),COLUMNS('DBX Sprint'!$A$1:A12)),"")</f>
        <v/>
      </c>
      <c r="AM131" s="41" t="str" cm="1">
        <f t="array" ref="AM131">IFERROR(INDEX('DBX Sprint'!$A$7:$K$62, SMALL(IF((INDEX('DBX Sprint'!$A$7:$K$62, ,32)=("Complete"))*(INDEX('DBX Sprint'!$A$7:$K$62, ,32)="Complete"),MATCH(ROW('DBX Sprint'!$A$7:$K$62),ROW('DBX Sprint'!$A$7:$K$62)),""),ROWS($AM$34:AM131)),COLUMNS('DBX Sprint'!$A$1:A12)),"")</f>
        <v/>
      </c>
      <c r="AN131" s="41" t="str" cm="1">
        <f t="array" aca="1" ref="AN131" ca="1">IFERROR(INDEX('DBX Sprint'!$A$7:$K$62, SMALL(IF((INDEX('DBX Sprint'!$A$7:$K$62, ,32)&lt;(TODAY()))*(INDEX('DBX Sprint'!$A$7:$K$62, ,32)&lt;&gt;"Complete"),MATCH(ROW('DBX Sprint'!$A$7:$K$62),ROW('DBX Sprint'!$A$7:$K$62)),""),ROWS($AN$34:AN131)),COLUMNS('DBX Sprint'!$A$1:A12)),"")</f>
        <v/>
      </c>
      <c r="AO131" s="41" t="str" cm="1">
        <f t="array" aca="1" ref="AO131" ca="1">IFERROR(INDEX('DBX Sprint'!$A$7:$K$62, SMALL(IF((INDEX('DBX Sprint'!$A$7:$K$62, ,32)&lt;=(TODAY()+1))*(INDEX('DBX Sprint'!$A$7:$K$62, ,32)&gt;=TODAY()),MATCH(ROW('DBX Sprint'!$A$7:$K$62),ROW('DBX Sprint'!$A$7:$K$62)),""),ROWS($AO$34:AO131)),COLUMNS('DBX Sprint'!$A$1:A12)),"")</f>
        <v/>
      </c>
      <c r="AP131" s="43" t="str" cm="1">
        <f t="array" aca="1" ref="AP131" ca="1">IFERROR(INDEX('DBX Sprint'!$A$7:$K$62, SMALL(IF((INDEX('DBX Sprint'!$A$7:$K$62, ,32)&lt;=(TODAY()+5))*(INDEX('DBX Sprint'!$A$7:$K$62, ,32)&gt;(TODAY()+1)),MATCH(ROW('DBX Sprint'!$A$7:$K$62),ROW('DBX Sprint'!$A$7:$K$62)),""),ROWS($AP$34:AP131)),COLUMNS('DBX Sprint'!$A$1:A12)),"")</f>
        <v/>
      </c>
      <c r="AQ131" s="43" t="str" cm="1">
        <f t="array" aca="1" ref="AQ131" ca="1">IFERROR(INDEX('DBX Sprint'!$A$7:$K$62, SMALL(IF((INDEX('DBX Sprint'!$A$7:$K$62, ,32)&lt;=(TODAY()+10))*(INDEX('DBX Sprint'!$A$7:$K$62, ,32)&gt;(TODAY()+5)),MATCH(ROW('DBX Sprint'!$A$7:$K$62),ROW('DBX Sprint'!$A$7:$K$62)),""),ROWS($AQ$34:AQ131)),COLUMNS('DBX Sprint'!$A$1:A12)),"")</f>
        <v/>
      </c>
    </row>
    <row r="132" spans="3:43" ht="30" customHeight="1">
      <c r="C132" s="41" t="str" cm="1">
        <f t="array" ref="C132">IFERROR(INDEX('DBX Sprint'!$A$7:$K$62, SMALL(IF((INDEX('DBX Sprint'!$A$7:$K$62, ,13)=("Complete"))*(INDEX('DBX Sprint'!$A$7:$K$62, ,13)="Complete"),MATCH(ROW('DBX Sprint'!$A$7:$K$62),ROW('DBX Sprint'!$A$7:$K$62)),""),ROWS(C$34:$C132)),COLUMNS('DBX Sprint'!$A$1:A12)),"")</f>
        <v/>
      </c>
      <c r="D132" s="41" t="str" cm="1">
        <f t="array" aca="1" ref="D132" ca="1">IFERROR(INDEX('DBX Sprint'!$A$7:$K$62, SMALL(IF((INDEX('DBX Sprint'!$A$7:$K$62, ,13)&lt;(TODAY()))*(INDEX('DBX Sprint'!$A$7:$K$62, ,13)&lt;&gt;"Complete"),MATCH(ROW('DBX Sprint'!$A$7:$K$62),ROW('DBX Sprint'!$A$7:$K$62)),""),ROWS(D$34:$D132)),COLUMNS('DBX Sprint'!$A$1:A12)),"")</f>
        <v/>
      </c>
      <c r="E132" s="41" t="str" cm="1">
        <f t="array" aca="1" ref="E132" ca="1">IFERROR(INDEX('DBX Sprint'!$A$7:$K$62, SMALL(IF((INDEX('DBX Sprint'!$A$7:$K$62, ,13)&lt;=(TODAY()+1))*(INDEX('DBX Sprint'!$A$7:$K$62, ,13)&gt;=TODAY()),MATCH(ROW('DBX Sprint'!$A$7:$K$62),ROW('DBX Sprint'!$A$7:$K$62)),""),ROWS(E$34:$E132)),COLUMNS('DBX Sprint'!$A$1:A12)),"")</f>
        <v/>
      </c>
      <c r="F132" s="43" t="str" cm="1">
        <f t="array" aca="1" ref="F132" ca="1">IFERROR(INDEX('DBX Sprint'!$A$7:$K$62, SMALL(IF((INDEX('DBX Sprint'!$A$7:$K$62, ,13)&lt;=(TODAY()+5))*(INDEX('DBX Sprint'!$A$7:$K$62, ,13)&gt;(TODAY()+1)),MATCH(ROW('DBX Sprint'!$A$7:$K$62),ROW('DBX Sprint'!$A$7:$K$62)),""),ROWS($F$34:F132)),COLUMNS('DBX Sprint'!$A$1:A12)),"")</f>
        <v/>
      </c>
      <c r="G132" s="43" t="str" cm="1">
        <f t="array" aca="1" ref="G132" ca="1">IFERROR(INDEX('DBX Sprint'!$A$7:$K$62, SMALL(IF((INDEX('DBX Sprint'!$A$7:$K$62, ,13)&lt;=(TODAY()+10))*(INDEX('DBX Sprint'!$A$7:$K$62, ,13)&gt;(TODAY()+5)),MATCH(ROW('DBX Sprint'!$A$7:$K$62),ROW('DBX Sprint'!$A$7:$K$62)),""),ROWS($G$34:G132)),COLUMNS('DBX Sprint'!$A$1:A12)),"")</f>
        <v/>
      </c>
      <c r="I132" s="41" t="str" cm="1">
        <f t="array" ref="I132">IFERROR(INDEX('DBX Sprint'!$A$7:$K$62, SMALL(IF((INDEX('DBX Sprint'!$A$7:$K$62, ,16)=("Complete"))*(INDEX('DBX Sprint'!$A$7:$K$62, ,16)="Complete"),MATCH(ROW('DBX Sprint'!$A$7:$K$62),ROW('DBX Sprint'!$A$7:$K$62)),""),ROWS($I$34:I132)),COLUMNS('DBX Sprint'!$A$1:A12)),"")</f>
        <v/>
      </c>
      <c r="J132" s="41" t="str" cm="1">
        <f t="array" aca="1" ref="J132" ca="1">IFERROR(INDEX('DBX Sprint'!$A$7:$K$62, SMALL(IF((INDEX('DBX Sprint'!$A$7:$K$62, ,16)&lt;(TODAY()))*(INDEX('DBX Sprint'!$A$7:$K$62, ,16)&lt;&gt;"Complete"),MATCH(ROW('DBX Sprint'!$A$7:$K$62),ROW('DBX Sprint'!$A$7:$K$62)),""),ROWS($J$34:J132)),COLUMNS('DBX Sprint'!$A$1:A12)),"")</f>
        <v/>
      </c>
      <c r="K132" s="41" t="str" cm="1">
        <f t="array" aca="1" ref="K132" ca="1">IFERROR(INDEX('DBX Sprint'!$A$7:$K$62, SMALL(IF((INDEX('DBX Sprint'!$A$7:$K$62, ,16)&lt;=(TODAY()+1))*(INDEX('DBX Sprint'!$A$7:$K$62, ,16)&gt;=TODAY()),MATCH(ROW('DBX Sprint'!$A$7:$K$62),ROW('DBX Sprint'!$A$7:$K$62)),""),ROWS($K$34:K132)),COLUMNS('DBX Sprint'!$A$1:A12)),"")</f>
        <v/>
      </c>
      <c r="L132" s="43" t="str" cm="1">
        <f t="array" aca="1" ref="L132" ca="1">IFERROR(INDEX('DBX Sprint'!$A$7:$K$62, SMALL(IF((INDEX('DBX Sprint'!$A$7:$K$62, ,16)&lt;=(TODAY()+5))*(INDEX('DBX Sprint'!$A$7:$K$62, ,16)&gt;(TODAY()+1)),MATCH(ROW('DBX Sprint'!$A$7:$K$62),ROW('DBX Sprint'!$A$7:$K$62)),""),ROWS($L$34:L132)),COLUMNS('DBX Sprint'!$A$1:A12)),"")</f>
        <v/>
      </c>
      <c r="M132" s="43" t="str" cm="1">
        <f t="array" aca="1" ref="M132" ca="1">IFERROR(INDEX('DBX Sprint'!$A$7:$K$62, SMALL(IF((INDEX('DBX Sprint'!$A$7:$K$62, ,16)&lt;=(TODAY()+10))*(INDEX('DBX Sprint'!$A$7:$K$62, ,16)&gt;(TODAY()+5)),MATCH(ROW('DBX Sprint'!$A$7:$K$62),ROW('DBX Sprint'!$A$7:$K$62)),""),ROWS($M$34:M132)),COLUMNS('DBX Sprint'!$A$1:A12)),"")</f>
        <v/>
      </c>
      <c r="P132" s="41" t="str" cm="1">
        <f t="array" aca="1" ref="P132" ca="1">IFERROR(INDEX('DBX Sprint'!$A$7:$K$62, SMALL(IF((INDEX('DBX Sprint'!$A$7:$K$62, ,19)&lt;(TODAY()))*(INDEX('DBX Sprint'!$A$7:$K$62, ,19)&lt;&gt;"Complete"),MATCH(ROW('DBX Sprint'!$A$7:$K$62),ROW('DBX Sprint'!$A$7:$K$62)),""),ROWS($P$34:P132)),COLUMNS('DBX Sprint'!$A$1:A12)),"")</f>
        <v/>
      </c>
      <c r="Q132" s="41" t="str" cm="1">
        <f t="array" aca="1" ref="Q132" ca="1">IFERROR(INDEX('DBX Sprint'!$A$7:$K$62, SMALL(IF((INDEX('DBX Sprint'!$A$7:$K$62, ,19)&lt;=(TODAY()+1))*(INDEX('DBX Sprint'!$A$7:$K$62, ,19)&gt;=TODAY()),MATCH(ROW('DBX Sprint'!$A$7:$K$62),ROW('DBX Sprint'!$A$7:$K$62)),""),ROWS($Q$34:Q132)),COLUMNS('DBX Sprint'!$A$1:A12)),"")</f>
        <v/>
      </c>
      <c r="R132" s="43" t="str" cm="1">
        <f t="array" aca="1" ref="R132" ca="1">IFERROR(INDEX('DBX Sprint'!$A$7:$K$62, SMALL(IF((INDEX('DBX Sprint'!$A$7:$K$62, ,19)&lt;=(TODAY()+5))*(INDEX('DBX Sprint'!$A$7:$K$62, ,19)&gt;(TODAY()+1)),MATCH(ROW('DBX Sprint'!$A$7:$K$62),ROW('DBX Sprint'!$A$7:$K$62)),""),ROWS($R$34:R132)),COLUMNS('DBX Sprint'!$A$1:A12)),"")</f>
        <v/>
      </c>
      <c r="S132" s="43" t="str" cm="1">
        <f t="array" aca="1" ref="S132" ca="1">IFERROR(INDEX('DBX Sprint'!$A$7:$K$62, SMALL(IF((INDEX('DBX Sprint'!$A$7:$K$62, ,19)&lt;=(TODAY()+10))*(INDEX('DBX Sprint'!$A$7:$K$62, ,19)&gt;(TODAY()+5)),MATCH(ROW('DBX Sprint'!$A$7:$K$62),ROW('DBX Sprint'!$A$7:$K$62)),""),ROWS($S$34:S132)),COLUMNS('DBX Sprint'!$A$1:A12)),"")</f>
        <v/>
      </c>
      <c r="U132" s="41" t="str" cm="1">
        <f t="array" ref="U132">IFERROR(INDEX('DBX Sprint'!$A$7:$K$62, SMALL(IF((INDEX('DBX Sprint'!$A$7:$K$62, ,22)=("Complete"))*(INDEX('DBX Sprint'!$A$7:$K$62, ,22)="Complete"),MATCH(ROW('DBX Sprint'!$A$7:$K$62),ROW('DBX Sprint'!$A$7:$K$62)),""),ROWS($U$34:U132)),COLUMNS('DBX Sprint'!$A$1:A12)),"")</f>
        <v/>
      </c>
      <c r="V132" s="41" t="str" cm="1">
        <f t="array" aca="1" ref="V132" ca="1">IFERROR(INDEX('DBX Sprint'!$A$7:$K$62, SMALL(IF((INDEX('DBX Sprint'!$A$7:$K$62, ,22)&lt;(TODAY()))*(INDEX('DBX Sprint'!$A$7:$K$62, ,22)&lt;&gt;"Complete"),MATCH(ROW('DBX Sprint'!$A$7:$K$62),ROW('DBX Sprint'!$A$7:$K$62)),""),ROWS($V$34:V132)),COLUMNS('DBX Sprint'!$A$1:A12)),"")</f>
        <v/>
      </c>
      <c r="W132" s="41" t="str" cm="1">
        <f t="array" aca="1" ref="W132" ca="1">IFERROR(INDEX('DBX Sprint'!$A$7:$K$62, SMALL(IF((INDEX('DBX Sprint'!$A$7:$K$62, ,22)&lt;=(TODAY()+1))*(INDEX('DBX Sprint'!$A$7:$K$62, ,22)&gt;=TODAY()),MATCH(ROW('DBX Sprint'!$A$7:$K$62),ROW('DBX Sprint'!$A$7:$K$62)),""),ROWS($W$34:W132)),COLUMNS('DBX Sprint'!$A$1:A12)),"")</f>
        <v/>
      </c>
      <c r="X132" s="43" t="str" cm="1">
        <f t="array" aca="1" ref="X132" ca="1">IFERROR(INDEX('DBX Sprint'!$A$7:$K$62, SMALL(IF((INDEX('DBX Sprint'!$A$7:$K$62, ,22)&lt;=(TODAY()+5))*(INDEX('DBX Sprint'!$A$7:$K$62, ,22)&gt;(TODAY()+1)),MATCH(ROW('DBX Sprint'!$A$7:$K$62),ROW('DBX Sprint'!$A$7:$K$62)),""),ROWS($X$34:X132)),COLUMNS('DBX Sprint'!$A$1:A12)),"")</f>
        <v/>
      </c>
      <c r="Y132" s="43" t="str" cm="1">
        <f t="array" aca="1" ref="Y132" ca="1">IFERROR(INDEX('DBX Sprint'!$A$7:$K$62, SMALL(IF((INDEX('DBX Sprint'!$A$7:$K$62, ,22)&lt;=(TODAY()+10))*(INDEX('DBX Sprint'!$A$7:$K$62, ,22)&gt;(TODAY()+5)),MATCH(ROW('DBX Sprint'!$A$7:$K$62),ROW('DBX Sprint'!$A$7:$K$62)),""),ROWS($Y$34:Y132)),COLUMNS('DBX Sprint'!$A$1:A12)),"")</f>
        <v/>
      </c>
      <c r="AA132" s="41" t="str" cm="1">
        <f t="array" ref="AA132">IFERROR(INDEX('DBX Sprint'!$A$7:$K$62, SMALL(IF((INDEX('DBX Sprint'!$A$7:$K$62, ,25)=("Complete"))*(INDEX('DBX Sprint'!$A$7:$K$62, ,25)="Complete"),MATCH(ROW('DBX Sprint'!$A$7:$K$62),ROW('DBX Sprint'!$A$7:$K$62)),""),ROWS($AA$34:AA132)),COLUMNS('DBX Sprint'!$A$1:A12)),"")</f>
        <v/>
      </c>
      <c r="AB132" s="41" t="str" cm="1">
        <f t="array" aca="1" ref="AB132" ca="1">IFERROR(INDEX('DBX Sprint'!$A$7:$K$62, SMALL(IF((INDEX('DBX Sprint'!$A$7:$K$62, ,25)&lt;(TODAY()))*(INDEX('DBX Sprint'!$A$7:$K$62, ,25)&lt;&gt;"Complete"),MATCH(ROW('DBX Sprint'!$A$7:$K$62),ROW('DBX Sprint'!$A$7:$K$62)),""),ROWS($AB$34:AB132)),COLUMNS('DBX Sprint'!$A$1:A12)),"")</f>
        <v/>
      </c>
      <c r="AC132" s="41" t="str" cm="1">
        <f t="array" aca="1" ref="AC132" ca="1">IFERROR(INDEX('DBX Sprint'!$A$7:$K$62, SMALL(IF((INDEX('DBX Sprint'!$A$7:$K$62, ,25)&lt;=(TODAY()+1))*(INDEX('DBX Sprint'!$A$7:$K$62, ,25)&gt;=TODAY()),MATCH(ROW('DBX Sprint'!$A$7:$K$62),ROW('DBX Sprint'!$A$7:$K$62)),""),ROWS($AC$34:AC132)),COLUMNS('DBX Sprint'!$A$1:A12)),"")</f>
        <v/>
      </c>
      <c r="AD132" s="43" t="str" cm="1">
        <f t="array" aca="1" ref="AD132" ca="1">IFERROR(INDEX('DBX Sprint'!$A$7:$K$62, SMALL(IF((INDEX('DBX Sprint'!$A$7:$K$62, ,25)&lt;=(TODAY()+5))*(INDEX('DBX Sprint'!$A$7:$K$62, ,25)&gt;(TODAY()+1)),MATCH(ROW('DBX Sprint'!$A$7:$K$62),ROW('DBX Sprint'!$A$7:$K$62)),""),ROWS($AD$34:AD132)),COLUMNS('DBX Sprint'!$A$1:A12)),"")</f>
        <v/>
      </c>
      <c r="AE132" s="43" t="str" cm="1">
        <f t="array" aca="1" ref="AE132" ca="1">IFERROR(INDEX('DBX Sprint'!$A$7:$K$62, SMALL(IF((INDEX('DBX Sprint'!$A$7:$K$62, ,25)&lt;=(TODAY()+10))*(INDEX('DBX Sprint'!$A$7:$K$62, ,25)&gt;(TODAY()+5)),MATCH(ROW('DBX Sprint'!$A$7:$K$62),ROW('DBX Sprint'!$A$7:$K$62)),""),ROWS($AE$34:AE132)),COLUMNS('DBX Sprint'!$A$1:A12)),"")</f>
        <v/>
      </c>
      <c r="AG132" s="41" t="str" cm="1">
        <f t="array" ref="AG132">IFERROR(INDEX('DBX Sprint'!$A$7:$K$62, SMALL(IF((INDEX('DBX Sprint'!$A$7:$K$62, ,29)=("Complete"))*(INDEX('DBX Sprint'!$A$7:$K$62, ,29)="Complete"),MATCH(ROW('DBX Sprint'!$A$7:$K$62),ROW('DBX Sprint'!$A$7:$K$62)),""),ROWS($AG$34:AG132)),COLUMNS('DBX Sprint'!$A$1:A12)),"")</f>
        <v/>
      </c>
      <c r="AH132" s="41" t="str" cm="1">
        <f t="array" aca="1" ref="AH132" ca="1">IFERROR(INDEX('DBX Sprint'!$A$7:$K$62, SMALL(IF((INDEX('DBX Sprint'!$A$7:$K$62, ,29)&lt;(TODAY()))*(INDEX('DBX Sprint'!$A$7:$K$62, ,29)&lt;&gt;"Complete"),MATCH(ROW('DBX Sprint'!$A$7:$K$62),ROW('DBX Sprint'!$A$7:$K$62)),""),ROWS($AH$34:AH132)),COLUMNS('DBX Sprint'!$A$1:A12)),"")</f>
        <v/>
      </c>
      <c r="AI132" s="41" t="str" cm="1">
        <f t="array" aca="1" ref="AI132" ca="1">IFERROR(INDEX('DBX Sprint'!$A$7:$K$62, SMALL(IF((INDEX('DBX Sprint'!$A$7:$K$62, ,29)&lt;=(TODAY()+1))*(INDEX('DBX Sprint'!$A$7:$K$62, ,29)&gt;=TODAY()),MATCH(ROW('DBX Sprint'!$A$7:$K$62),ROW('DBX Sprint'!$A$7:$K$62)),""),ROWS($AI$34:AI132)),COLUMNS('DBX Sprint'!$A$1:A12)),"")</f>
        <v/>
      </c>
      <c r="AJ132" s="43" t="str" cm="1">
        <f t="array" aca="1" ref="AJ132" ca="1">IFERROR(INDEX('DBX Sprint'!$A$7:$K$62, SMALL(IF((INDEX('DBX Sprint'!$A$7:$K$62, ,29)&lt;=(TODAY()+5))*(INDEX('DBX Sprint'!$A$7:$K$62, ,29)&gt;(TODAY()+1)),MATCH(ROW('DBX Sprint'!$A$7:$K$62),ROW('DBX Sprint'!$A$7:$K$62)),""),ROWS($AJ$34:AJ132)),COLUMNS('DBX Sprint'!$A$1:A12)),"")</f>
        <v/>
      </c>
      <c r="AK132" s="43" t="str" cm="1">
        <f t="array" aca="1" ref="AK132" ca="1">IFERROR(INDEX('DBX Sprint'!$A$7:$K$62, SMALL(IF((INDEX('DBX Sprint'!$A$7:$K$62, ,29)&lt;=(TODAY()+10))*(INDEX('DBX Sprint'!$A$7:$K$62, ,29)&gt;(TODAY()+5)),MATCH(ROW('DBX Sprint'!$A$7:$K$62),ROW('DBX Sprint'!$A$7:$K$62)),""),ROWS($AK$34:AK132)),COLUMNS('DBX Sprint'!$A$1:A12)),"")</f>
        <v/>
      </c>
      <c r="AM132" s="41" t="str" cm="1">
        <f t="array" ref="AM132">IFERROR(INDEX('DBX Sprint'!$A$7:$K$62, SMALL(IF((INDEX('DBX Sprint'!$A$7:$K$62, ,32)=("Complete"))*(INDEX('DBX Sprint'!$A$7:$K$62, ,32)="Complete"),MATCH(ROW('DBX Sprint'!$A$7:$K$62),ROW('DBX Sprint'!$A$7:$K$62)),""),ROWS($AM$34:AM132)),COLUMNS('DBX Sprint'!$A$1:A12)),"")</f>
        <v/>
      </c>
      <c r="AN132" s="41" t="str" cm="1">
        <f t="array" aca="1" ref="AN132" ca="1">IFERROR(INDEX('DBX Sprint'!$A$7:$K$62, SMALL(IF((INDEX('DBX Sprint'!$A$7:$K$62, ,32)&lt;(TODAY()))*(INDEX('DBX Sprint'!$A$7:$K$62, ,32)&lt;&gt;"Complete"),MATCH(ROW('DBX Sprint'!$A$7:$K$62),ROW('DBX Sprint'!$A$7:$K$62)),""),ROWS($AN$34:AN132)),COLUMNS('DBX Sprint'!$A$1:A12)),"")</f>
        <v/>
      </c>
      <c r="AO132" s="41" t="str" cm="1">
        <f t="array" aca="1" ref="AO132" ca="1">IFERROR(INDEX('DBX Sprint'!$A$7:$K$62, SMALL(IF((INDEX('DBX Sprint'!$A$7:$K$62, ,32)&lt;=(TODAY()+1))*(INDEX('DBX Sprint'!$A$7:$K$62, ,32)&gt;=TODAY()),MATCH(ROW('DBX Sprint'!$A$7:$K$62),ROW('DBX Sprint'!$A$7:$K$62)),""),ROWS($AO$34:AO132)),COLUMNS('DBX Sprint'!$A$1:A12)),"")</f>
        <v/>
      </c>
      <c r="AP132" s="43" t="str" cm="1">
        <f t="array" aca="1" ref="AP132" ca="1">IFERROR(INDEX('DBX Sprint'!$A$7:$K$62, SMALL(IF((INDEX('DBX Sprint'!$A$7:$K$62, ,32)&lt;=(TODAY()+5))*(INDEX('DBX Sprint'!$A$7:$K$62, ,32)&gt;(TODAY()+1)),MATCH(ROW('DBX Sprint'!$A$7:$K$62),ROW('DBX Sprint'!$A$7:$K$62)),""),ROWS($AP$34:AP132)),COLUMNS('DBX Sprint'!$A$1:A12)),"")</f>
        <v/>
      </c>
      <c r="AQ132" s="43" t="str" cm="1">
        <f t="array" aca="1" ref="AQ132" ca="1">IFERROR(INDEX('DBX Sprint'!$A$7:$K$62, SMALL(IF((INDEX('DBX Sprint'!$A$7:$K$62, ,32)&lt;=(TODAY()+10))*(INDEX('DBX Sprint'!$A$7:$K$62, ,32)&gt;(TODAY()+5)),MATCH(ROW('DBX Sprint'!$A$7:$K$62),ROW('DBX Sprint'!$A$7:$K$62)),""),ROWS($AQ$34:AQ132)),COLUMNS('DBX Sprint'!$A$1:A12)),"")</f>
        <v/>
      </c>
    </row>
    <row r="133" spans="3:43" ht="30" customHeight="1">
      <c r="C133" s="41" t="str" cm="1">
        <f t="array" ref="C133">IFERROR(INDEX('DBX Sprint'!$A$7:$K$62, SMALL(IF((INDEX('DBX Sprint'!$A$7:$K$62, ,13)=("Complete"))*(INDEX('DBX Sprint'!$A$7:$K$62, ,13)="Complete"),MATCH(ROW('DBX Sprint'!$A$7:$K$62),ROW('DBX Sprint'!$A$7:$K$62)),""),ROWS(C$34:$C133)),COLUMNS('DBX Sprint'!$A$1:A12)),"")</f>
        <v/>
      </c>
      <c r="D133" s="41" t="str" cm="1">
        <f t="array" aca="1" ref="D133" ca="1">IFERROR(INDEX('DBX Sprint'!$A$7:$K$62, SMALL(IF((INDEX('DBX Sprint'!$A$7:$K$62, ,13)&lt;(TODAY()))*(INDEX('DBX Sprint'!$A$7:$K$62, ,13)&lt;&gt;"Complete"),MATCH(ROW('DBX Sprint'!$A$7:$K$62),ROW('DBX Sprint'!$A$7:$K$62)),""),ROWS(D$34:$D133)),COLUMNS('DBX Sprint'!$A$1:A12)),"")</f>
        <v/>
      </c>
      <c r="E133" s="41" t="str" cm="1">
        <f t="array" aca="1" ref="E133" ca="1">IFERROR(INDEX('DBX Sprint'!$A$7:$K$62, SMALL(IF((INDEX('DBX Sprint'!$A$7:$K$62, ,13)&lt;=(TODAY()+1))*(INDEX('DBX Sprint'!$A$7:$K$62, ,13)&gt;=TODAY()),MATCH(ROW('DBX Sprint'!$A$7:$K$62),ROW('DBX Sprint'!$A$7:$K$62)),""),ROWS(E$34:$E133)),COLUMNS('DBX Sprint'!$A$1:A12)),"")</f>
        <v/>
      </c>
      <c r="F133" s="43" t="str" cm="1">
        <f t="array" aca="1" ref="F133" ca="1">IFERROR(INDEX('DBX Sprint'!$A$7:$K$62, SMALL(IF((INDEX('DBX Sprint'!$A$7:$K$62, ,13)&lt;=(TODAY()+5))*(INDEX('DBX Sprint'!$A$7:$K$62, ,13)&gt;(TODAY()+1)),MATCH(ROW('DBX Sprint'!$A$7:$K$62),ROW('DBX Sprint'!$A$7:$K$62)),""),ROWS($F$34:F133)),COLUMNS('DBX Sprint'!$A$1:A12)),"")</f>
        <v/>
      </c>
      <c r="G133" s="43" t="str" cm="1">
        <f t="array" aca="1" ref="G133" ca="1">IFERROR(INDEX('DBX Sprint'!$A$7:$K$62, SMALL(IF((INDEX('DBX Sprint'!$A$7:$K$62, ,13)&lt;=(TODAY()+10))*(INDEX('DBX Sprint'!$A$7:$K$62, ,13)&gt;(TODAY()+5)),MATCH(ROW('DBX Sprint'!$A$7:$K$62),ROW('DBX Sprint'!$A$7:$K$62)),""),ROWS($G$34:G133)),COLUMNS('DBX Sprint'!$A$1:A12)),"")</f>
        <v/>
      </c>
      <c r="I133" s="41" t="str" cm="1">
        <f t="array" ref="I133">IFERROR(INDEX('DBX Sprint'!$A$7:$K$62, SMALL(IF((INDEX('DBX Sprint'!$A$7:$K$62, ,16)=("Complete"))*(INDEX('DBX Sprint'!$A$7:$K$62, ,16)="Complete"),MATCH(ROW('DBX Sprint'!$A$7:$K$62),ROW('DBX Sprint'!$A$7:$K$62)),""),ROWS($I$34:I133)),COLUMNS('DBX Sprint'!$A$1:A12)),"")</f>
        <v/>
      </c>
      <c r="J133" s="41" t="str" cm="1">
        <f t="array" aca="1" ref="J133" ca="1">IFERROR(INDEX('DBX Sprint'!$A$7:$K$62, SMALL(IF((INDEX('DBX Sprint'!$A$7:$K$62, ,16)&lt;(TODAY()))*(INDEX('DBX Sprint'!$A$7:$K$62, ,16)&lt;&gt;"Complete"),MATCH(ROW('DBX Sprint'!$A$7:$K$62),ROW('DBX Sprint'!$A$7:$K$62)),""),ROWS($J$34:J133)),COLUMNS('DBX Sprint'!$A$1:A12)),"")</f>
        <v/>
      </c>
      <c r="K133" s="41" t="str" cm="1">
        <f t="array" aca="1" ref="K133" ca="1">IFERROR(INDEX('DBX Sprint'!$A$7:$K$62, SMALL(IF((INDEX('DBX Sprint'!$A$7:$K$62, ,16)&lt;=(TODAY()+1))*(INDEX('DBX Sprint'!$A$7:$K$62, ,16)&gt;=TODAY()),MATCH(ROW('DBX Sprint'!$A$7:$K$62),ROW('DBX Sprint'!$A$7:$K$62)),""),ROWS($K$34:K133)),COLUMNS('DBX Sprint'!$A$1:A12)),"")</f>
        <v/>
      </c>
      <c r="L133" s="43" t="str" cm="1">
        <f t="array" aca="1" ref="L133" ca="1">IFERROR(INDEX('DBX Sprint'!$A$7:$K$62, SMALL(IF((INDEX('DBX Sprint'!$A$7:$K$62, ,16)&lt;=(TODAY()+5))*(INDEX('DBX Sprint'!$A$7:$K$62, ,16)&gt;(TODAY()+1)),MATCH(ROW('DBX Sprint'!$A$7:$K$62),ROW('DBX Sprint'!$A$7:$K$62)),""),ROWS($L$34:L133)),COLUMNS('DBX Sprint'!$A$1:A12)),"")</f>
        <v/>
      </c>
      <c r="M133" s="43" t="str" cm="1">
        <f t="array" aca="1" ref="M133" ca="1">IFERROR(INDEX('DBX Sprint'!$A$7:$K$62, SMALL(IF((INDEX('DBX Sprint'!$A$7:$K$62, ,16)&lt;=(TODAY()+10))*(INDEX('DBX Sprint'!$A$7:$K$62, ,16)&gt;(TODAY()+5)),MATCH(ROW('DBX Sprint'!$A$7:$K$62),ROW('DBX Sprint'!$A$7:$K$62)),""),ROWS($M$34:M133)),COLUMNS('DBX Sprint'!$A$1:A12)),"")</f>
        <v/>
      </c>
      <c r="P133" s="41" t="str" cm="1">
        <f t="array" aca="1" ref="P133" ca="1">IFERROR(INDEX('DBX Sprint'!$A$7:$K$62, SMALL(IF((INDEX('DBX Sprint'!$A$7:$K$62, ,19)&lt;(TODAY()))*(INDEX('DBX Sprint'!$A$7:$K$62, ,19)&lt;&gt;"Complete"),MATCH(ROW('DBX Sprint'!$A$7:$K$62),ROW('DBX Sprint'!$A$7:$K$62)),""),ROWS($P$34:P133)),COLUMNS('DBX Sprint'!$A$1:A12)),"")</f>
        <v/>
      </c>
      <c r="Q133" s="41" t="str" cm="1">
        <f t="array" aca="1" ref="Q133" ca="1">IFERROR(INDEX('DBX Sprint'!$A$7:$K$62, SMALL(IF((INDEX('DBX Sprint'!$A$7:$K$62, ,19)&lt;=(TODAY()+1))*(INDEX('DBX Sprint'!$A$7:$K$62, ,19)&gt;=TODAY()),MATCH(ROW('DBX Sprint'!$A$7:$K$62),ROW('DBX Sprint'!$A$7:$K$62)),""),ROWS($Q$34:Q133)),COLUMNS('DBX Sprint'!$A$1:A12)),"")</f>
        <v/>
      </c>
      <c r="R133" s="43" t="str" cm="1">
        <f t="array" aca="1" ref="R133" ca="1">IFERROR(INDEX('DBX Sprint'!$A$7:$K$62, SMALL(IF((INDEX('DBX Sprint'!$A$7:$K$62, ,19)&lt;=(TODAY()+5))*(INDEX('DBX Sprint'!$A$7:$K$62, ,19)&gt;(TODAY()+1)),MATCH(ROW('DBX Sprint'!$A$7:$K$62),ROW('DBX Sprint'!$A$7:$K$62)),""),ROWS($R$34:R133)),COLUMNS('DBX Sprint'!$A$1:A12)),"")</f>
        <v/>
      </c>
      <c r="S133" s="43" t="str" cm="1">
        <f t="array" aca="1" ref="S133" ca="1">IFERROR(INDEX('DBX Sprint'!$A$7:$K$62, SMALL(IF((INDEX('DBX Sprint'!$A$7:$K$62, ,19)&lt;=(TODAY()+10))*(INDEX('DBX Sprint'!$A$7:$K$62, ,19)&gt;(TODAY()+5)),MATCH(ROW('DBX Sprint'!$A$7:$K$62),ROW('DBX Sprint'!$A$7:$K$62)),""),ROWS($S$34:S133)),COLUMNS('DBX Sprint'!$A$1:A12)),"")</f>
        <v/>
      </c>
      <c r="U133" s="41" t="str" cm="1">
        <f t="array" ref="U133">IFERROR(INDEX('DBX Sprint'!$A$7:$K$62, SMALL(IF((INDEX('DBX Sprint'!$A$7:$K$62, ,22)=("Complete"))*(INDEX('DBX Sprint'!$A$7:$K$62, ,22)="Complete"),MATCH(ROW('DBX Sprint'!$A$7:$K$62),ROW('DBX Sprint'!$A$7:$K$62)),""),ROWS($U$34:U133)),COLUMNS('DBX Sprint'!$A$1:A12)),"")</f>
        <v/>
      </c>
      <c r="V133" s="41" t="str" cm="1">
        <f t="array" aca="1" ref="V133" ca="1">IFERROR(INDEX('DBX Sprint'!$A$7:$K$62, SMALL(IF((INDEX('DBX Sprint'!$A$7:$K$62, ,22)&lt;(TODAY()))*(INDEX('DBX Sprint'!$A$7:$K$62, ,22)&lt;&gt;"Complete"),MATCH(ROW('DBX Sprint'!$A$7:$K$62),ROW('DBX Sprint'!$A$7:$K$62)),""),ROWS($V$34:V133)),COLUMNS('DBX Sprint'!$A$1:A12)),"")</f>
        <v/>
      </c>
      <c r="W133" s="41" t="str" cm="1">
        <f t="array" aca="1" ref="W133" ca="1">IFERROR(INDEX('DBX Sprint'!$A$7:$K$62, SMALL(IF((INDEX('DBX Sprint'!$A$7:$K$62, ,22)&lt;=(TODAY()+1))*(INDEX('DBX Sprint'!$A$7:$K$62, ,22)&gt;=TODAY()),MATCH(ROW('DBX Sprint'!$A$7:$K$62),ROW('DBX Sprint'!$A$7:$K$62)),""),ROWS($W$34:W133)),COLUMNS('DBX Sprint'!$A$1:A12)),"")</f>
        <v/>
      </c>
      <c r="X133" s="43" t="str" cm="1">
        <f t="array" aca="1" ref="X133" ca="1">IFERROR(INDEX('DBX Sprint'!$A$7:$K$62, SMALL(IF((INDEX('DBX Sprint'!$A$7:$K$62, ,22)&lt;=(TODAY()+5))*(INDEX('DBX Sprint'!$A$7:$K$62, ,22)&gt;(TODAY()+1)),MATCH(ROW('DBX Sprint'!$A$7:$K$62),ROW('DBX Sprint'!$A$7:$K$62)),""),ROWS($X$34:X133)),COLUMNS('DBX Sprint'!$A$1:A12)),"")</f>
        <v/>
      </c>
      <c r="Y133" s="43" t="str" cm="1">
        <f t="array" aca="1" ref="Y133" ca="1">IFERROR(INDEX('DBX Sprint'!$A$7:$K$62, SMALL(IF((INDEX('DBX Sprint'!$A$7:$K$62, ,22)&lt;=(TODAY()+10))*(INDEX('DBX Sprint'!$A$7:$K$62, ,22)&gt;(TODAY()+5)),MATCH(ROW('DBX Sprint'!$A$7:$K$62),ROW('DBX Sprint'!$A$7:$K$62)),""),ROWS($Y$34:Y133)),COLUMNS('DBX Sprint'!$A$1:A12)),"")</f>
        <v/>
      </c>
      <c r="AA133" s="41" t="str" cm="1">
        <f t="array" ref="AA133">IFERROR(INDEX('DBX Sprint'!$A$7:$K$62, SMALL(IF((INDEX('DBX Sprint'!$A$7:$K$62, ,25)=("Complete"))*(INDEX('DBX Sprint'!$A$7:$K$62, ,25)="Complete"),MATCH(ROW('DBX Sprint'!$A$7:$K$62),ROW('DBX Sprint'!$A$7:$K$62)),""),ROWS($AA$34:AA133)),COLUMNS('DBX Sprint'!$A$1:A12)),"")</f>
        <v/>
      </c>
      <c r="AB133" s="41" t="str" cm="1">
        <f t="array" aca="1" ref="AB133" ca="1">IFERROR(INDEX('DBX Sprint'!$A$7:$K$62, SMALL(IF((INDEX('DBX Sprint'!$A$7:$K$62, ,25)&lt;(TODAY()))*(INDEX('DBX Sprint'!$A$7:$K$62, ,25)&lt;&gt;"Complete"),MATCH(ROW('DBX Sprint'!$A$7:$K$62),ROW('DBX Sprint'!$A$7:$K$62)),""),ROWS($AB$34:AB133)),COLUMNS('DBX Sprint'!$A$1:A12)),"")</f>
        <v/>
      </c>
      <c r="AC133" s="41" t="str" cm="1">
        <f t="array" aca="1" ref="AC133" ca="1">IFERROR(INDEX('DBX Sprint'!$A$7:$K$62, SMALL(IF((INDEX('DBX Sprint'!$A$7:$K$62, ,25)&lt;=(TODAY()+1))*(INDEX('DBX Sprint'!$A$7:$K$62, ,25)&gt;=TODAY()),MATCH(ROW('DBX Sprint'!$A$7:$K$62),ROW('DBX Sprint'!$A$7:$K$62)),""),ROWS($AC$34:AC133)),COLUMNS('DBX Sprint'!$A$1:A12)),"")</f>
        <v/>
      </c>
      <c r="AD133" s="43" t="str" cm="1">
        <f t="array" aca="1" ref="AD133" ca="1">IFERROR(INDEX('DBX Sprint'!$A$7:$K$62, SMALL(IF((INDEX('DBX Sprint'!$A$7:$K$62, ,25)&lt;=(TODAY()+5))*(INDEX('DBX Sprint'!$A$7:$K$62, ,25)&gt;(TODAY()+1)),MATCH(ROW('DBX Sprint'!$A$7:$K$62),ROW('DBX Sprint'!$A$7:$K$62)),""),ROWS($AD$34:AD133)),COLUMNS('DBX Sprint'!$A$1:A12)),"")</f>
        <v/>
      </c>
      <c r="AE133" s="43" t="str" cm="1">
        <f t="array" aca="1" ref="AE133" ca="1">IFERROR(INDEX('DBX Sprint'!$A$7:$K$62, SMALL(IF((INDEX('DBX Sprint'!$A$7:$K$62, ,25)&lt;=(TODAY()+10))*(INDEX('DBX Sprint'!$A$7:$K$62, ,25)&gt;(TODAY()+5)),MATCH(ROW('DBX Sprint'!$A$7:$K$62),ROW('DBX Sprint'!$A$7:$K$62)),""),ROWS($AE$34:AE133)),COLUMNS('DBX Sprint'!$A$1:A12)),"")</f>
        <v/>
      </c>
      <c r="AG133" s="41" t="str" cm="1">
        <f t="array" ref="AG133">IFERROR(INDEX('DBX Sprint'!$A$7:$K$62, SMALL(IF((INDEX('DBX Sprint'!$A$7:$K$62, ,29)=("Complete"))*(INDEX('DBX Sprint'!$A$7:$K$62, ,29)="Complete"),MATCH(ROW('DBX Sprint'!$A$7:$K$62),ROW('DBX Sprint'!$A$7:$K$62)),""),ROWS($AG$34:AG133)),COLUMNS('DBX Sprint'!$A$1:A12)),"")</f>
        <v/>
      </c>
      <c r="AH133" s="41" t="str" cm="1">
        <f t="array" aca="1" ref="AH133" ca="1">IFERROR(INDEX('DBX Sprint'!$A$7:$K$62, SMALL(IF((INDEX('DBX Sprint'!$A$7:$K$62, ,29)&lt;(TODAY()))*(INDEX('DBX Sprint'!$A$7:$K$62, ,29)&lt;&gt;"Complete"),MATCH(ROW('DBX Sprint'!$A$7:$K$62),ROW('DBX Sprint'!$A$7:$K$62)),""),ROWS($AH$34:AH133)),COLUMNS('DBX Sprint'!$A$1:A12)),"")</f>
        <v/>
      </c>
      <c r="AI133" s="41" t="str" cm="1">
        <f t="array" aca="1" ref="AI133" ca="1">IFERROR(INDEX('DBX Sprint'!$A$7:$K$62, SMALL(IF((INDEX('DBX Sprint'!$A$7:$K$62, ,29)&lt;=(TODAY()+1))*(INDEX('DBX Sprint'!$A$7:$K$62, ,29)&gt;=TODAY()),MATCH(ROW('DBX Sprint'!$A$7:$K$62),ROW('DBX Sprint'!$A$7:$K$62)),""),ROWS($AI$34:AI133)),COLUMNS('DBX Sprint'!$A$1:A12)),"")</f>
        <v/>
      </c>
      <c r="AJ133" s="43" t="str" cm="1">
        <f t="array" aca="1" ref="AJ133" ca="1">IFERROR(INDEX('DBX Sprint'!$A$7:$K$62, SMALL(IF((INDEX('DBX Sprint'!$A$7:$K$62, ,29)&lt;=(TODAY()+5))*(INDEX('DBX Sprint'!$A$7:$K$62, ,29)&gt;(TODAY()+1)),MATCH(ROW('DBX Sprint'!$A$7:$K$62),ROW('DBX Sprint'!$A$7:$K$62)),""),ROWS($AJ$34:AJ133)),COLUMNS('DBX Sprint'!$A$1:A12)),"")</f>
        <v/>
      </c>
      <c r="AK133" s="43" t="str" cm="1">
        <f t="array" aca="1" ref="AK133" ca="1">IFERROR(INDEX('DBX Sprint'!$A$7:$K$62, SMALL(IF((INDEX('DBX Sprint'!$A$7:$K$62, ,29)&lt;=(TODAY()+10))*(INDEX('DBX Sprint'!$A$7:$K$62, ,29)&gt;(TODAY()+5)),MATCH(ROW('DBX Sprint'!$A$7:$K$62),ROW('DBX Sprint'!$A$7:$K$62)),""),ROWS($AK$34:AK133)),COLUMNS('DBX Sprint'!$A$1:A12)),"")</f>
        <v/>
      </c>
      <c r="AM133" s="41" t="str" cm="1">
        <f t="array" ref="AM133">IFERROR(INDEX('DBX Sprint'!$A$7:$K$62, SMALL(IF((INDEX('DBX Sprint'!$A$7:$K$62, ,32)=("Complete"))*(INDEX('DBX Sprint'!$A$7:$K$62, ,32)="Complete"),MATCH(ROW('DBX Sprint'!$A$7:$K$62),ROW('DBX Sprint'!$A$7:$K$62)),""),ROWS($AM$34:AM133)),COLUMNS('DBX Sprint'!$A$1:A12)),"")</f>
        <v/>
      </c>
      <c r="AN133" s="41" t="str" cm="1">
        <f t="array" aca="1" ref="AN133" ca="1">IFERROR(INDEX('DBX Sprint'!$A$7:$K$62, SMALL(IF((INDEX('DBX Sprint'!$A$7:$K$62, ,32)&lt;(TODAY()))*(INDEX('DBX Sprint'!$A$7:$K$62, ,32)&lt;&gt;"Complete"),MATCH(ROW('DBX Sprint'!$A$7:$K$62),ROW('DBX Sprint'!$A$7:$K$62)),""),ROWS($AN$34:AN133)),COLUMNS('DBX Sprint'!$A$1:A12)),"")</f>
        <v/>
      </c>
      <c r="AO133" s="41" t="str" cm="1">
        <f t="array" aca="1" ref="AO133" ca="1">IFERROR(INDEX('DBX Sprint'!$A$7:$K$62, SMALL(IF((INDEX('DBX Sprint'!$A$7:$K$62, ,32)&lt;=(TODAY()+1))*(INDEX('DBX Sprint'!$A$7:$K$62, ,32)&gt;=TODAY()),MATCH(ROW('DBX Sprint'!$A$7:$K$62),ROW('DBX Sprint'!$A$7:$K$62)),""),ROWS($AO$34:AO133)),COLUMNS('DBX Sprint'!$A$1:A12)),"")</f>
        <v/>
      </c>
      <c r="AP133" s="43" t="str" cm="1">
        <f t="array" aca="1" ref="AP133" ca="1">IFERROR(INDEX('DBX Sprint'!$A$7:$K$62, SMALL(IF((INDEX('DBX Sprint'!$A$7:$K$62, ,32)&lt;=(TODAY()+5))*(INDEX('DBX Sprint'!$A$7:$K$62, ,32)&gt;(TODAY()+1)),MATCH(ROW('DBX Sprint'!$A$7:$K$62),ROW('DBX Sprint'!$A$7:$K$62)),""),ROWS($AP$34:AP133)),COLUMNS('DBX Sprint'!$A$1:A12)),"")</f>
        <v/>
      </c>
      <c r="AQ133" s="43" t="str" cm="1">
        <f t="array" aca="1" ref="AQ133" ca="1">IFERROR(INDEX('DBX Sprint'!$A$7:$K$62, SMALL(IF((INDEX('DBX Sprint'!$A$7:$K$62, ,32)&lt;=(TODAY()+10))*(INDEX('DBX Sprint'!$A$7:$K$62, ,32)&gt;(TODAY()+5)),MATCH(ROW('DBX Sprint'!$A$7:$K$62),ROW('DBX Sprint'!$A$7:$K$62)),""),ROWS($AQ$34:AQ133)),COLUMNS('DBX Sprint'!$A$1:A12)),"")</f>
        <v/>
      </c>
    </row>
    <row r="134" spans="3:43" ht="30" customHeight="1">
      <c r="C134" s="41" t="str" cm="1">
        <f t="array" ref="C134">IFERROR(INDEX('DBX Sprint'!$A$7:$K$62, SMALL(IF((INDEX('DBX Sprint'!$A$7:$K$62, ,13)=("Complete"))*(INDEX('DBX Sprint'!$A$7:$K$62, ,13)="Complete"),MATCH(ROW('DBX Sprint'!$A$7:$K$62),ROW('DBX Sprint'!$A$7:$K$62)),""),ROWS(C$34:$C134)),COLUMNS('DBX Sprint'!$A$1:A12)),"")</f>
        <v/>
      </c>
      <c r="D134" s="41" t="str" cm="1">
        <f t="array" aca="1" ref="D134" ca="1">IFERROR(INDEX('DBX Sprint'!$A$7:$K$62, SMALL(IF((INDEX('DBX Sprint'!$A$7:$K$62, ,13)&lt;(TODAY()))*(INDEX('DBX Sprint'!$A$7:$K$62, ,13)&lt;&gt;"Complete"),MATCH(ROW('DBX Sprint'!$A$7:$K$62),ROW('DBX Sprint'!$A$7:$K$62)),""),ROWS(D$34:$D134)),COLUMNS('DBX Sprint'!$A$1:A12)),"")</f>
        <v/>
      </c>
      <c r="E134" s="41" t="str" cm="1">
        <f t="array" aca="1" ref="E134" ca="1">IFERROR(INDEX('DBX Sprint'!$A$7:$K$62, SMALL(IF((INDEX('DBX Sprint'!$A$7:$K$62, ,13)&lt;=(TODAY()+1))*(INDEX('DBX Sprint'!$A$7:$K$62, ,13)&gt;=TODAY()),MATCH(ROW('DBX Sprint'!$A$7:$K$62),ROW('DBX Sprint'!$A$7:$K$62)),""),ROWS(E$34:$E134)),COLUMNS('DBX Sprint'!$A$1:A12)),"")</f>
        <v/>
      </c>
      <c r="F134" s="43" t="str" cm="1">
        <f t="array" aca="1" ref="F134" ca="1">IFERROR(INDEX('DBX Sprint'!$A$7:$K$62, SMALL(IF((INDEX('DBX Sprint'!$A$7:$K$62, ,13)&lt;=(TODAY()+5))*(INDEX('DBX Sprint'!$A$7:$K$62, ,13)&gt;(TODAY()+1)),MATCH(ROW('DBX Sprint'!$A$7:$K$62),ROW('DBX Sprint'!$A$7:$K$62)),""),ROWS($F$34:F134)),COLUMNS('DBX Sprint'!$A$1:A12)),"")</f>
        <v/>
      </c>
      <c r="G134" s="43" t="str" cm="1">
        <f t="array" aca="1" ref="G134" ca="1">IFERROR(INDEX('DBX Sprint'!$A$7:$K$62, SMALL(IF((INDEX('DBX Sprint'!$A$7:$K$62, ,13)&lt;=(TODAY()+10))*(INDEX('DBX Sprint'!$A$7:$K$62, ,13)&gt;(TODAY()+5)),MATCH(ROW('DBX Sprint'!$A$7:$K$62),ROW('DBX Sprint'!$A$7:$K$62)),""),ROWS($G$34:G134)),COLUMNS('DBX Sprint'!$A$1:A12)),"")</f>
        <v/>
      </c>
      <c r="I134" s="41" t="str" cm="1">
        <f t="array" ref="I134">IFERROR(INDEX('DBX Sprint'!$A$7:$K$62, SMALL(IF((INDEX('DBX Sprint'!$A$7:$K$62, ,16)=("Complete"))*(INDEX('DBX Sprint'!$A$7:$K$62, ,16)="Complete"),MATCH(ROW('DBX Sprint'!$A$7:$K$62),ROW('DBX Sprint'!$A$7:$K$62)),""),ROWS($I$34:I134)),COLUMNS('DBX Sprint'!$A$1:A12)),"")</f>
        <v/>
      </c>
      <c r="J134" s="41" t="str" cm="1">
        <f t="array" aca="1" ref="J134" ca="1">IFERROR(INDEX('DBX Sprint'!$A$7:$K$62, SMALL(IF((INDEX('DBX Sprint'!$A$7:$K$62, ,16)&lt;(TODAY()))*(INDEX('DBX Sprint'!$A$7:$K$62, ,16)&lt;&gt;"Complete"),MATCH(ROW('DBX Sprint'!$A$7:$K$62),ROW('DBX Sprint'!$A$7:$K$62)),""),ROWS($J$34:J134)),COLUMNS('DBX Sprint'!$A$1:A12)),"")</f>
        <v/>
      </c>
      <c r="K134" s="41" t="str" cm="1">
        <f t="array" aca="1" ref="K134" ca="1">IFERROR(INDEX('DBX Sprint'!$A$7:$K$62, SMALL(IF((INDEX('DBX Sprint'!$A$7:$K$62, ,16)&lt;=(TODAY()+1))*(INDEX('DBX Sprint'!$A$7:$K$62, ,16)&gt;=TODAY()),MATCH(ROW('DBX Sprint'!$A$7:$K$62),ROW('DBX Sprint'!$A$7:$K$62)),""),ROWS($K$34:K134)),COLUMNS('DBX Sprint'!$A$1:A12)),"")</f>
        <v/>
      </c>
      <c r="L134" s="43" t="str" cm="1">
        <f t="array" aca="1" ref="L134" ca="1">IFERROR(INDEX('DBX Sprint'!$A$7:$K$62, SMALL(IF((INDEX('DBX Sprint'!$A$7:$K$62, ,16)&lt;=(TODAY()+5))*(INDEX('DBX Sprint'!$A$7:$K$62, ,16)&gt;(TODAY()+1)),MATCH(ROW('DBX Sprint'!$A$7:$K$62),ROW('DBX Sprint'!$A$7:$K$62)),""),ROWS($L$34:L134)),COLUMNS('DBX Sprint'!$A$1:A12)),"")</f>
        <v/>
      </c>
      <c r="M134" s="43" t="str" cm="1">
        <f t="array" aca="1" ref="M134" ca="1">IFERROR(INDEX('DBX Sprint'!$A$7:$K$62, SMALL(IF((INDEX('DBX Sprint'!$A$7:$K$62, ,16)&lt;=(TODAY()+10))*(INDEX('DBX Sprint'!$A$7:$K$62, ,16)&gt;(TODAY()+5)),MATCH(ROW('DBX Sprint'!$A$7:$K$62),ROW('DBX Sprint'!$A$7:$K$62)),""),ROWS($M$34:M134)),COLUMNS('DBX Sprint'!$A$1:A12)),"")</f>
        <v/>
      </c>
      <c r="P134" s="41" t="str" cm="1">
        <f t="array" aca="1" ref="P134" ca="1">IFERROR(INDEX('DBX Sprint'!$A$7:$K$62, SMALL(IF((INDEX('DBX Sprint'!$A$7:$K$62, ,19)&lt;(TODAY()))*(INDEX('DBX Sprint'!$A$7:$K$62, ,19)&lt;&gt;"Complete"),MATCH(ROW('DBX Sprint'!$A$7:$K$62),ROW('DBX Sprint'!$A$7:$K$62)),""),ROWS($P$34:P134)),COLUMNS('DBX Sprint'!$A$1:A12)),"")</f>
        <v/>
      </c>
      <c r="Q134" s="41" t="str" cm="1">
        <f t="array" aca="1" ref="Q134" ca="1">IFERROR(INDEX('DBX Sprint'!$A$7:$K$62, SMALL(IF((INDEX('DBX Sprint'!$A$7:$K$62, ,19)&lt;=(TODAY()+1))*(INDEX('DBX Sprint'!$A$7:$K$62, ,19)&gt;=TODAY()),MATCH(ROW('DBX Sprint'!$A$7:$K$62),ROW('DBX Sprint'!$A$7:$K$62)),""),ROWS($Q$34:Q134)),COLUMNS('DBX Sprint'!$A$1:A12)),"")</f>
        <v/>
      </c>
      <c r="R134" s="43" t="str" cm="1">
        <f t="array" aca="1" ref="R134" ca="1">IFERROR(INDEX('DBX Sprint'!$A$7:$K$62, SMALL(IF((INDEX('DBX Sprint'!$A$7:$K$62, ,19)&lt;=(TODAY()+5))*(INDEX('DBX Sprint'!$A$7:$K$62, ,19)&gt;(TODAY()+1)),MATCH(ROW('DBX Sprint'!$A$7:$K$62),ROW('DBX Sprint'!$A$7:$K$62)),""),ROWS($R$34:R134)),COLUMNS('DBX Sprint'!$A$1:A12)),"")</f>
        <v/>
      </c>
      <c r="S134" s="43" t="str" cm="1">
        <f t="array" aca="1" ref="S134" ca="1">IFERROR(INDEX('DBX Sprint'!$A$7:$K$62, SMALL(IF((INDEX('DBX Sprint'!$A$7:$K$62, ,19)&lt;=(TODAY()+10))*(INDEX('DBX Sprint'!$A$7:$K$62, ,19)&gt;(TODAY()+5)),MATCH(ROW('DBX Sprint'!$A$7:$K$62),ROW('DBX Sprint'!$A$7:$K$62)),""),ROWS($S$34:S134)),COLUMNS('DBX Sprint'!$A$1:A12)),"")</f>
        <v/>
      </c>
      <c r="U134" s="41" t="str" cm="1">
        <f t="array" ref="U134">IFERROR(INDEX('DBX Sprint'!$A$7:$K$62, SMALL(IF((INDEX('DBX Sprint'!$A$7:$K$62, ,22)=("Complete"))*(INDEX('DBX Sprint'!$A$7:$K$62, ,22)="Complete"),MATCH(ROW('DBX Sprint'!$A$7:$K$62),ROW('DBX Sprint'!$A$7:$K$62)),""),ROWS($U$34:U134)),COLUMNS('DBX Sprint'!$A$1:A12)),"")</f>
        <v/>
      </c>
      <c r="V134" s="41" t="str" cm="1">
        <f t="array" aca="1" ref="V134" ca="1">IFERROR(INDEX('DBX Sprint'!$A$7:$K$62, SMALL(IF((INDEX('DBX Sprint'!$A$7:$K$62, ,22)&lt;(TODAY()))*(INDEX('DBX Sprint'!$A$7:$K$62, ,22)&lt;&gt;"Complete"),MATCH(ROW('DBX Sprint'!$A$7:$K$62),ROW('DBX Sprint'!$A$7:$K$62)),""),ROWS($V$34:V134)),COLUMNS('DBX Sprint'!$A$1:A12)),"")</f>
        <v/>
      </c>
      <c r="W134" s="41" t="str" cm="1">
        <f t="array" aca="1" ref="W134" ca="1">IFERROR(INDEX('DBX Sprint'!$A$7:$K$62, SMALL(IF((INDEX('DBX Sprint'!$A$7:$K$62, ,22)&lt;=(TODAY()+1))*(INDEX('DBX Sprint'!$A$7:$K$62, ,22)&gt;=TODAY()),MATCH(ROW('DBX Sprint'!$A$7:$K$62),ROW('DBX Sprint'!$A$7:$K$62)),""),ROWS($W$34:W134)),COLUMNS('DBX Sprint'!$A$1:A12)),"")</f>
        <v/>
      </c>
      <c r="X134" s="43" t="str" cm="1">
        <f t="array" aca="1" ref="X134" ca="1">IFERROR(INDEX('DBX Sprint'!$A$7:$K$62, SMALL(IF((INDEX('DBX Sprint'!$A$7:$K$62, ,22)&lt;=(TODAY()+5))*(INDEX('DBX Sprint'!$A$7:$K$62, ,22)&gt;(TODAY()+1)),MATCH(ROW('DBX Sprint'!$A$7:$K$62),ROW('DBX Sprint'!$A$7:$K$62)),""),ROWS($X$34:X134)),COLUMNS('DBX Sprint'!$A$1:A12)),"")</f>
        <v/>
      </c>
      <c r="Y134" s="43" t="str" cm="1">
        <f t="array" aca="1" ref="Y134" ca="1">IFERROR(INDEX('DBX Sprint'!$A$7:$K$62, SMALL(IF((INDEX('DBX Sprint'!$A$7:$K$62, ,22)&lt;=(TODAY()+10))*(INDEX('DBX Sprint'!$A$7:$K$62, ,22)&gt;(TODAY()+5)),MATCH(ROW('DBX Sprint'!$A$7:$K$62),ROW('DBX Sprint'!$A$7:$K$62)),""),ROWS($Y$34:Y134)),COLUMNS('DBX Sprint'!$A$1:A12)),"")</f>
        <v/>
      </c>
      <c r="AA134" s="41" t="str" cm="1">
        <f t="array" ref="AA134">IFERROR(INDEX('DBX Sprint'!$A$7:$K$62, SMALL(IF((INDEX('DBX Sprint'!$A$7:$K$62, ,25)=("Complete"))*(INDEX('DBX Sprint'!$A$7:$K$62, ,25)="Complete"),MATCH(ROW('DBX Sprint'!$A$7:$K$62),ROW('DBX Sprint'!$A$7:$K$62)),""),ROWS($AA$34:AA134)),COLUMNS('DBX Sprint'!$A$1:A12)),"")</f>
        <v/>
      </c>
      <c r="AB134" s="41" t="str" cm="1">
        <f t="array" aca="1" ref="AB134" ca="1">IFERROR(INDEX('DBX Sprint'!$A$7:$K$62, SMALL(IF((INDEX('DBX Sprint'!$A$7:$K$62, ,25)&lt;(TODAY()))*(INDEX('DBX Sprint'!$A$7:$K$62, ,25)&lt;&gt;"Complete"),MATCH(ROW('DBX Sprint'!$A$7:$K$62),ROW('DBX Sprint'!$A$7:$K$62)),""),ROWS($AB$34:AB134)),COLUMNS('DBX Sprint'!$A$1:A12)),"")</f>
        <v/>
      </c>
      <c r="AC134" s="41" t="str" cm="1">
        <f t="array" aca="1" ref="AC134" ca="1">IFERROR(INDEX('DBX Sprint'!$A$7:$K$62, SMALL(IF((INDEX('DBX Sprint'!$A$7:$K$62, ,25)&lt;=(TODAY()+1))*(INDEX('DBX Sprint'!$A$7:$K$62, ,25)&gt;=TODAY()),MATCH(ROW('DBX Sprint'!$A$7:$K$62),ROW('DBX Sprint'!$A$7:$K$62)),""),ROWS($AC$34:AC134)),COLUMNS('DBX Sprint'!$A$1:A12)),"")</f>
        <v/>
      </c>
      <c r="AD134" s="43" t="str" cm="1">
        <f t="array" aca="1" ref="AD134" ca="1">IFERROR(INDEX('DBX Sprint'!$A$7:$K$62, SMALL(IF((INDEX('DBX Sprint'!$A$7:$K$62, ,25)&lt;=(TODAY()+5))*(INDEX('DBX Sprint'!$A$7:$K$62, ,25)&gt;(TODAY()+1)),MATCH(ROW('DBX Sprint'!$A$7:$K$62),ROW('DBX Sprint'!$A$7:$K$62)),""),ROWS($AD$34:AD134)),COLUMNS('DBX Sprint'!$A$1:A12)),"")</f>
        <v/>
      </c>
      <c r="AE134" s="43" t="str" cm="1">
        <f t="array" aca="1" ref="AE134" ca="1">IFERROR(INDEX('DBX Sprint'!$A$7:$K$62, SMALL(IF((INDEX('DBX Sprint'!$A$7:$K$62, ,25)&lt;=(TODAY()+10))*(INDEX('DBX Sprint'!$A$7:$K$62, ,25)&gt;(TODAY()+5)),MATCH(ROW('DBX Sprint'!$A$7:$K$62),ROW('DBX Sprint'!$A$7:$K$62)),""),ROWS($AE$34:AE134)),COLUMNS('DBX Sprint'!$A$1:A12)),"")</f>
        <v/>
      </c>
      <c r="AG134" s="41" t="str" cm="1">
        <f t="array" ref="AG134">IFERROR(INDEX('DBX Sprint'!$A$7:$K$62, SMALL(IF((INDEX('DBX Sprint'!$A$7:$K$62, ,29)=("Complete"))*(INDEX('DBX Sprint'!$A$7:$K$62, ,29)="Complete"),MATCH(ROW('DBX Sprint'!$A$7:$K$62),ROW('DBX Sprint'!$A$7:$K$62)),""),ROWS($AG$34:AG134)),COLUMNS('DBX Sprint'!$A$1:A12)),"")</f>
        <v/>
      </c>
      <c r="AH134" s="41" t="str" cm="1">
        <f t="array" aca="1" ref="AH134" ca="1">IFERROR(INDEX('DBX Sprint'!$A$7:$K$62, SMALL(IF((INDEX('DBX Sprint'!$A$7:$K$62, ,29)&lt;(TODAY()))*(INDEX('DBX Sprint'!$A$7:$K$62, ,29)&lt;&gt;"Complete"),MATCH(ROW('DBX Sprint'!$A$7:$K$62),ROW('DBX Sprint'!$A$7:$K$62)),""),ROWS($AH$34:AH134)),COLUMNS('DBX Sprint'!$A$1:A12)),"")</f>
        <v/>
      </c>
      <c r="AI134" s="41" t="str" cm="1">
        <f t="array" aca="1" ref="AI134" ca="1">IFERROR(INDEX('DBX Sprint'!$A$7:$K$62, SMALL(IF((INDEX('DBX Sprint'!$A$7:$K$62, ,29)&lt;=(TODAY()+1))*(INDEX('DBX Sprint'!$A$7:$K$62, ,29)&gt;=TODAY()),MATCH(ROW('DBX Sprint'!$A$7:$K$62),ROW('DBX Sprint'!$A$7:$K$62)),""),ROWS($AI$34:AI134)),COLUMNS('DBX Sprint'!$A$1:A12)),"")</f>
        <v/>
      </c>
      <c r="AJ134" s="43" t="str" cm="1">
        <f t="array" aca="1" ref="AJ134" ca="1">IFERROR(INDEX('DBX Sprint'!$A$7:$K$62, SMALL(IF((INDEX('DBX Sprint'!$A$7:$K$62, ,29)&lt;=(TODAY()+5))*(INDEX('DBX Sprint'!$A$7:$K$62, ,29)&gt;(TODAY()+1)),MATCH(ROW('DBX Sprint'!$A$7:$K$62),ROW('DBX Sprint'!$A$7:$K$62)),""),ROWS($AJ$34:AJ134)),COLUMNS('DBX Sprint'!$A$1:A12)),"")</f>
        <v/>
      </c>
      <c r="AK134" s="43" t="str" cm="1">
        <f t="array" aca="1" ref="AK134" ca="1">IFERROR(INDEX('DBX Sprint'!$A$7:$K$62, SMALL(IF((INDEX('DBX Sprint'!$A$7:$K$62, ,29)&lt;=(TODAY()+10))*(INDEX('DBX Sprint'!$A$7:$K$62, ,29)&gt;(TODAY()+5)),MATCH(ROW('DBX Sprint'!$A$7:$K$62),ROW('DBX Sprint'!$A$7:$K$62)),""),ROWS($AK$34:AK134)),COLUMNS('DBX Sprint'!$A$1:A12)),"")</f>
        <v/>
      </c>
      <c r="AM134" s="41" t="str" cm="1">
        <f t="array" ref="AM134">IFERROR(INDEX('DBX Sprint'!$A$7:$K$62, SMALL(IF((INDEX('DBX Sprint'!$A$7:$K$62, ,32)=("Complete"))*(INDEX('DBX Sprint'!$A$7:$K$62, ,32)="Complete"),MATCH(ROW('DBX Sprint'!$A$7:$K$62),ROW('DBX Sprint'!$A$7:$K$62)),""),ROWS($AM$34:AM134)),COLUMNS('DBX Sprint'!$A$1:A12)),"")</f>
        <v/>
      </c>
      <c r="AN134" s="41" t="str" cm="1">
        <f t="array" aca="1" ref="AN134" ca="1">IFERROR(INDEX('DBX Sprint'!$A$7:$K$62, SMALL(IF((INDEX('DBX Sprint'!$A$7:$K$62, ,32)&lt;(TODAY()))*(INDEX('DBX Sprint'!$A$7:$K$62, ,32)&lt;&gt;"Complete"),MATCH(ROW('DBX Sprint'!$A$7:$K$62),ROW('DBX Sprint'!$A$7:$K$62)),""),ROWS($AN$34:AN134)),COLUMNS('DBX Sprint'!$A$1:A12)),"")</f>
        <v/>
      </c>
      <c r="AO134" s="41" t="str" cm="1">
        <f t="array" aca="1" ref="AO134" ca="1">IFERROR(INDEX('DBX Sprint'!$A$7:$K$62, SMALL(IF((INDEX('DBX Sprint'!$A$7:$K$62, ,32)&lt;=(TODAY()+1))*(INDEX('DBX Sprint'!$A$7:$K$62, ,32)&gt;=TODAY()),MATCH(ROW('DBX Sprint'!$A$7:$K$62),ROW('DBX Sprint'!$A$7:$K$62)),""),ROWS($AO$34:AO134)),COLUMNS('DBX Sprint'!$A$1:A12)),"")</f>
        <v/>
      </c>
      <c r="AP134" s="43" t="str" cm="1">
        <f t="array" aca="1" ref="AP134" ca="1">IFERROR(INDEX('DBX Sprint'!$A$7:$K$62, SMALL(IF((INDEX('DBX Sprint'!$A$7:$K$62, ,32)&lt;=(TODAY()+5))*(INDEX('DBX Sprint'!$A$7:$K$62, ,32)&gt;(TODAY()+1)),MATCH(ROW('DBX Sprint'!$A$7:$K$62),ROW('DBX Sprint'!$A$7:$K$62)),""),ROWS($AP$34:AP134)),COLUMNS('DBX Sprint'!$A$1:A12)),"")</f>
        <v/>
      </c>
      <c r="AQ134" s="43" t="str" cm="1">
        <f t="array" aca="1" ref="AQ134" ca="1">IFERROR(INDEX('DBX Sprint'!$A$7:$K$62, SMALL(IF((INDEX('DBX Sprint'!$A$7:$K$62, ,32)&lt;=(TODAY()+10))*(INDEX('DBX Sprint'!$A$7:$K$62, ,32)&gt;(TODAY()+5)),MATCH(ROW('DBX Sprint'!$A$7:$K$62),ROW('DBX Sprint'!$A$7:$K$62)),""),ROWS($AQ$34:AQ134)),COLUMNS('DBX Sprint'!$A$1:A12)),"")</f>
        <v/>
      </c>
    </row>
    <row r="135" spans="3:43" ht="30" customHeight="1">
      <c r="C135" s="41" t="str" cm="1">
        <f t="array" ref="C135">IFERROR(INDEX('DBX Sprint'!$A$7:$K$62, SMALL(IF((INDEX('DBX Sprint'!$A$7:$K$62, ,13)=("Complete"))*(INDEX('DBX Sprint'!$A$7:$K$62, ,13)="Complete"),MATCH(ROW('DBX Sprint'!$A$7:$K$62),ROW('DBX Sprint'!$A$7:$K$62)),""),ROWS(C$34:$C135)),COLUMNS('DBX Sprint'!$A$1:A12)),"")</f>
        <v/>
      </c>
      <c r="D135" s="41" t="str" cm="1">
        <f t="array" aca="1" ref="D135" ca="1">IFERROR(INDEX('DBX Sprint'!$A$7:$K$62, SMALL(IF((INDEX('DBX Sprint'!$A$7:$K$62, ,13)&lt;(TODAY()))*(INDEX('DBX Sprint'!$A$7:$K$62, ,13)&lt;&gt;"Complete"),MATCH(ROW('DBX Sprint'!$A$7:$K$62),ROW('DBX Sprint'!$A$7:$K$62)),""),ROWS(D$34:$D135)),COLUMNS('DBX Sprint'!$A$1:A12)),"")</f>
        <v/>
      </c>
      <c r="E135" s="41" t="str" cm="1">
        <f t="array" aca="1" ref="E135" ca="1">IFERROR(INDEX('DBX Sprint'!$A$7:$K$62, SMALL(IF((INDEX('DBX Sprint'!$A$7:$K$62, ,13)&lt;=(TODAY()+1))*(INDEX('DBX Sprint'!$A$7:$K$62, ,13)&gt;=TODAY()),MATCH(ROW('DBX Sprint'!$A$7:$K$62),ROW('DBX Sprint'!$A$7:$K$62)),""),ROWS(E$34:$E135)),COLUMNS('DBX Sprint'!$A$1:A12)),"")</f>
        <v/>
      </c>
      <c r="F135" s="43" t="str" cm="1">
        <f t="array" aca="1" ref="F135" ca="1">IFERROR(INDEX('DBX Sprint'!$A$7:$K$62, SMALL(IF((INDEX('DBX Sprint'!$A$7:$K$62, ,13)&lt;=(TODAY()+5))*(INDEX('DBX Sprint'!$A$7:$K$62, ,13)&gt;(TODAY()+1)),MATCH(ROW('DBX Sprint'!$A$7:$K$62),ROW('DBX Sprint'!$A$7:$K$62)),""),ROWS($F$34:F135)),COLUMNS('DBX Sprint'!$A$1:A12)),"")</f>
        <v/>
      </c>
      <c r="G135" s="43" t="str" cm="1">
        <f t="array" aca="1" ref="G135" ca="1">IFERROR(INDEX('DBX Sprint'!$A$7:$K$62, SMALL(IF((INDEX('DBX Sprint'!$A$7:$K$62, ,13)&lt;=(TODAY()+10))*(INDEX('DBX Sprint'!$A$7:$K$62, ,13)&gt;(TODAY()+5)),MATCH(ROW('DBX Sprint'!$A$7:$K$62),ROW('DBX Sprint'!$A$7:$K$62)),""),ROWS($G$34:G135)),COLUMNS('DBX Sprint'!$A$1:A12)),"")</f>
        <v/>
      </c>
      <c r="I135" s="41" t="str" cm="1">
        <f t="array" ref="I135">IFERROR(INDEX('DBX Sprint'!$A$7:$K$62, SMALL(IF((INDEX('DBX Sprint'!$A$7:$K$62, ,16)=("Complete"))*(INDEX('DBX Sprint'!$A$7:$K$62, ,16)="Complete"),MATCH(ROW('DBX Sprint'!$A$7:$K$62),ROW('DBX Sprint'!$A$7:$K$62)),""),ROWS($I$34:I135)),COLUMNS('DBX Sprint'!$A$1:A12)),"")</f>
        <v/>
      </c>
      <c r="J135" s="41" t="str" cm="1">
        <f t="array" aca="1" ref="J135" ca="1">IFERROR(INDEX('DBX Sprint'!$A$7:$K$62, SMALL(IF((INDEX('DBX Sprint'!$A$7:$K$62, ,16)&lt;(TODAY()))*(INDEX('DBX Sprint'!$A$7:$K$62, ,16)&lt;&gt;"Complete"),MATCH(ROW('DBX Sprint'!$A$7:$K$62),ROW('DBX Sprint'!$A$7:$K$62)),""),ROWS($J$34:J135)),COLUMNS('DBX Sprint'!$A$1:A12)),"")</f>
        <v/>
      </c>
      <c r="K135" s="41" t="str" cm="1">
        <f t="array" aca="1" ref="K135" ca="1">IFERROR(INDEX('DBX Sprint'!$A$7:$K$62, SMALL(IF((INDEX('DBX Sprint'!$A$7:$K$62, ,16)&lt;=(TODAY()+1))*(INDEX('DBX Sprint'!$A$7:$K$62, ,16)&gt;=TODAY()),MATCH(ROW('DBX Sprint'!$A$7:$K$62),ROW('DBX Sprint'!$A$7:$K$62)),""),ROWS($K$34:K135)),COLUMNS('DBX Sprint'!$A$1:A12)),"")</f>
        <v/>
      </c>
      <c r="L135" s="43" t="str" cm="1">
        <f t="array" aca="1" ref="L135" ca="1">IFERROR(INDEX('DBX Sprint'!$A$7:$K$62, SMALL(IF((INDEX('DBX Sprint'!$A$7:$K$62, ,16)&lt;=(TODAY()+5))*(INDEX('DBX Sprint'!$A$7:$K$62, ,16)&gt;(TODAY()+1)),MATCH(ROW('DBX Sprint'!$A$7:$K$62),ROW('DBX Sprint'!$A$7:$K$62)),""),ROWS($L$34:L135)),COLUMNS('DBX Sprint'!$A$1:A12)),"")</f>
        <v/>
      </c>
      <c r="M135" s="43" t="str" cm="1">
        <f t="array" aca="1" ref="M135" ca="1">IFERROR(INDEX('DBX Sprint'!$A$7:$K$62, SMALL(IF((INDEX('DBX Sprint'!$A$7:$K$62, ,16)&lt;=(TODAY()+10))*(INDEX('DBX Sprint'!$A$7:$K$62, ,16)&gt;(TODAY()+5)),MATCH(ROW('DBX Sprint'!$A$7:$K$62),ROW('DBX Sprint'!$A$7:$K$62)),""),ROWS($M$34:M135)),COLUMNS('DBX Sprint'!$A$1:A12)),"")</f>
        <v/>
      </c>
      <c r="P135" s="41" t="str" cm="1">
        <f t="array" aca="1" ref="P135" ca="1">IFERROR(INDEX('DBX Sprint'!$A$7:$K$62, SMALL(IF((INDEX('DBX Sprint'!$A$7:$K$62, ,19)&lt;(TODAY()))*(INDEX('DBX Sprint'!$A$7:$K$62, ,19)&lt;&gt;"Complete"),MATCH(ROW('DBX Sprint'!$A$7:$K$62),ROW('DBX Sprint'!$A$7:$K$62)),""),ROWS($P$34:P135)),COLUMNS('DBX Sprint'!$A$1:A12)),"")</f>
        <v/>
      </c>
      <c r="Q135" s="41" t="str" cm="1">
        <f t="array" aca="1" ref="Q135" ca="1">IFERROR(INDEX('DBX Sprint'!$A$7:$K$62, SMALL(IF((INDEX('DBX Sprint'!$A$7:$K$62, ,19)&lt;=(TODAY()+1))*(INDEX('DBX Sprint'!$A$7:$K$62, ,19)&gt;=TODAY()),MATCH(ROW('DBX Sprint'!$A$7:$K$62),ROW('DBX Sprint'!$A$7:$K$62)),""),ROWS($Q$34:Q135)),COLUMNS('DBX Sprint'!$A$1:A12)),"")</f>
        <v/>
      </c>
      <c r="R135" s="43" t="str" cm="1">
        <f t="array" aca="1" ref="R135" ca="1">IFERROR(INDEX('DBX Sprint'!$A$7:$K$62, SMALL(IF((INDEX('DBX Sprint'!$A$7:$K$62, ,19)&lt;=(TODAY()+5))*(INDEX('DBX Sprint'!$A$7:$K$62, ,19)&gt;(TODAY()+1)),MATCH(ROW('DBX Sprint'!$A$7:$K$62),ROW('DBX Sprint'!$A$7:$K$62)),""),ROWS($R$34:R135)),COLUMNS('DBX Sprint'!$A$1:A12)),"")</f>
        <v/>
      </c>
      <c r="S135" s="43" t="str" cm="1">
        <f t="array" aca="1" ref="S135" ca="1">IFERROR(INDEX('DBX Sprint'!$A$7:$K$62, SMALL(IF((INDEX('DBX Sprint'!$A$7:$K$62, ,19)&lt;=(TODAY()+10))*(INDEX('DBX Sprint'!$A$7:$K$62, ,19)&gt;(TODAY()+5)),MATCH(ROW('DBX Sprint'!$A$7:$K$62),ROW('DBX Sprint'!$A$7:$K$62)),""),ROWS($S$34:S135)),COLUMNS('DBX Sprint'!$A$1:A12)),"")</f>
        <v/>
      </c>
      <c r="U135" s="41" t="str" cm="1">
        <f t="array" ref="U135">IFERROR(INDEX('DBX Sprint'!$A$7:$K$62, SMALL(IF((INDEX('DBX Sprint'!$A$7:$K$62, ,22)=("Complete"))*(INDEX('DBX Sprint'!$A$7:$K$62, ,22)="Complete"),MATCH(ROW('DBX Sprint'!$A$7:$K$62),ROW('DBX Sprint'!$A$7:$K$62)),""),ROWS($U$34:U135)),COLUMNS('DBX Sprint'!$A$1:A12)),"")</f>
        <v/>
      </c>
      <c r="V135" s="41" t="str" cm="1">
        <f t="array" aca="1" ref="V135" ca="1">IFERROR(INDEX('DBX Sprint'!$A$7:$K$62, SMALL(IF((INDEX('DBX Sprint'!$A$7:$K$62, ,22)&lt;(TODAY()))*(INDEX('DBX Sprint'!$A$7:$K$62, ,22)&lt;&gt;"Complete"),MATCH(ROW('DBX Sprint'!$A$7:$K$62),ROW('DBX Sprint'!$A$7:$K$62)),""),ROWS($V$34:V135)),COLUMNS('DBX Sprint'!$A$1:A12)),"")</f>
        <v/>
      </c>
      <c r="W135" s="41" t="str" cm="1">
        <f t="array" aca="1" ref="W135" ca="1">IFERROR(INDEX('DBX Sprint'!$A$7:$K$62, SMALL(IF((INDEX('DBX Sprint'!$A$7:$K$62, ,22)&lt;=(TODAY()+1))*(INDEX('DBX Sprint'!$A$7:$K$62, ,22)&gt;=TODAY()),MATCH(ROW('DBX Sprint'!$A$7:$K$62),ROW('DBX Sprint'!$A$7:$K$62)),""),ROWS($W$34:W135)),COLUMNS('DBX Sprint'!$A$1:A12)),"")</f>
        <v/>
      </c>
      <c r="X135" s="43" t="str" cm="1">
        <f t="array" aca="1" ref="X135" ca="1">IFERROR(INDEX('DBX Sprint'!$A$7:$K$62, SMALL(IF((INDEX('DBX Sprint'!$A$7:$K$62, ,22)&lt;=(TODAY()+5))*(INDEX('DBX Sprint'!$A$7:$K$62, ,22)&gt;(TODAY()+1)),MATCH(ROW('DBX Sprint'!$A$7:$K$62),ROW('DBX Sprint'!$A$7:$K$62)),""),ROWS($X$34:X135)),COLUMNS('DBX Sprint'!$A$1:A12)),"")</f>
        <v/>
      </c>
      <c r="Y135" s="43" t="str" cm="1">
        <f t="array" aca="1" ref="Y135" ca="1">IFERROR(INDEX('DBX Sprint'!$A$7:$K$62, SMALL(IF((INDEX('DBX Sprint'!$A$7:$K$62, ,22)&lt;=(TODAY()+10))*(INDEX('DBX Sprint'!$A$7:$K$62, ,22)&gt;(TODAY()+5)),MATCH(ROW('DBX Sprint'!$A$7:$K$62),ROW('DBX Sprint'!$A$7:$K$62)),""),ROWS($Y$34:Y135)),COLUMNS('DBX Sprint'!$A$1:A12)),"")</f>
        <v/>
      </c>
      <c r="AA135" s="41" t="str" cm="1">
        <f t="array" ref="AA135">IFERROR(INDEX('DBX Sprint'!$A$7:$K$62, SMALL(IF((INDEX('DBX Sprint'!$A$7:$K$62, ,25)=("Complete"))*(INDEX('DBX Sprint'!$A$7:$K$62, ,25)="Complete"),MATCH(ROW('DBX Sprint'!$A$7:$K$62),ROW('DBX Sprint'!$A$7:$K$62)),""),ROWS($AA$34:AA135)),COLUMNS('DBX Sprint'!$A$1:A12)),"")</f>
        <v/>
      </c>
      <c r="AB135" s="41" t="str" cm="1">
        <f t="array" aca="1" ref="AB135" ca="1">IFERROR(INDEX('DBX Sprint'!$A$7:$K$62, SMALL(IF((INDEX('DBX Sprint'!$A$7:$K$62, ,25)&lt;(TODAY()))*(INDEX('DBX Sprint'!$A$7:$K$62, ,25)&lt;&gt;"Complete"),MATCH(ROW('DBX Sprint'!$A$7:$K$62),ROW('DBX Sprint'!$A$7:$K$62)),""),ROWS($AB$34:AB135)),COLUMNS('DBX Sprint'!$A$1:A12)),"")</f>
        <v/>
      </c>
      <c r="AC135" s="41" t="str" cm="1">
        <f t="array" aca="1" ref="AC135" ca="1">IFERROR(INDEX('DBX Sprint'!$A$7:$K$62, SMALL(IF((INDEX('DBX Sprint'!$A$7:$K$62, ,25)&lt;=(TODAY()+1))*(INDEX('DBX Sprint'!$A$7:$K$62, ,25)&gt;=TODAY()),MATCH(ROW('DBX Sprint'!$A$7:$K$62),ROW('DBX Sprint'!$A$7:$K$62)),""),ROWS($AC$34:AC135)),COLUMNS('DBX Sprint'!$A$1:A12)),"")</f>
        <v/>
      </c>
      <c r="AD135" s="43" t="str" cm="1">
        <f t="array" aca="1" ref="AD135" ca="1">IFERROR(INDEX('DBX Sprint'!$A$7:$K$62, SMALL(IF((INDEX('DBX Sprint'!$A$7:$K$62, ,25)&lt;=(TODAY()+5))*(INDEX('DBX Sprint'!$A$7:$K$62, ,25)&gt;(TODAY()+1)),MATCH(ROW('DBX Sprint'!$A$7:$K$62),ROW('DBX Sprint'!$A$7:$K$62)),""),ROWS($AD$34:AD135)),COLUMNS('DBX Sprint'!$A$1:A12)),"")</f>
        <v/>
      </c>
      <c r="AE135" s="43" t="str" cm="1">
        <f t="array" aca="1" ref="AE135" ca="1">IFERROR(INDEX('DBX Sprint'!$A$7:$K$62, SMALL(IF((INDEX('DBX Sprint'!$A$7:$K$62, ,25)&lt;=(TODAY()+10))*(INDEX('DBX Sprint'!$A$7:$K$62, ,25)&gt;(TODAY()+5)),MATCH(ROW('DBX Sprint'!$A$7:$K$62),ROW('DBX Sprint'!$A$7:$K$62)),""),ROWS($AE$34:AE135)),COLUMNS('DBX Sprint'!$A$1:A12)),"")</f>
        <v/>
      </c>
      <c r="AG135" s="41" t="str" cm="1">
        <f t="array" ref="AG135">IFERROR(INDEX('DBX Sprint'!$A$7:$K$62, SMALL(IF((INDEX('DBX Sprint'!$A$7:$K$62, ,29)=("Complete"))*(INDEX('DBX Sprint'!$A$7:$K$62, ,29)="Complete"),MATCH(ROW('DBX Sprint'!$A$7:$K$62),ROW('DBX Sprint'!$A$7:$K$62)),""),ROWS($AG$34:AG135)),COLUMNS('DBX Sprint'!$A$1:A12)),"")</f>
        <v/>
      </c>
      <c r="AH135" s="41" t="str" cm="1">
        <f t="array" aca="1" ref="AH135" ca="1">IFERROR(INDEX('DBX Sprint'!$A$7:$K$62, SMALL(IF((INDEX('DBX Sprint'!$A$7:$K$62, ,29)&lt;(TODAY()))*(INDEX('DBX Sprint'!$A$7:$K$62, ,29)&lt;&gt;"Complete"),MATCH(ROW('DBX Sprint'!$A$7:$K$62),ROW('DBX Sprint'!$A$7:$K$62)),""),ROWS($AH$34:AH135)),COLUMNS('DBX Sprint'!$A$1:A12)),"")</f>
        <v/>
      </c>
      <c r="AI135" s="41" t="str" cm="1">
        <f t="array" aca="1" ref="AI135" ca="1">IFERROR(INDEX('DBX Sprint'!$A$7:$K$62, SMALL(IF((INDEX('DBX Sprint'!$A$7:$K$62, ,29)&lt;=(TODAY()+1))*(INDEX('DBX Sprint'!$A$7:$K$62, ,29)&gt;=TODAY()),MATCH(ROW('DBX Sprint'!$A$7:$K$62),ROW('DBX Sprint'!$A$7:$K$62)),""),ROWS($AI$34:AI135)),COLUMNS('DBX Sprint'!$A$1:A12)),"")</f>
        <v/>
      </c>
      <c r="AJ135" s="43" t="str" cm="1">
        <f t="array" aca="1" ref="AJ135" ca="1">IFERROR(INDEX('DBX Sprint'!$A$7:$K$62, SMALL(IF((INDEX('DBX Sprint'!$A$7:$K$62, ,29)&lt;=(TODAY()+5))*(INDEX('DBX Sprint'!$A$7:$K$62, ,29)&gt;(TODAY()+1)),MATCH(ROW('DBX Sprint'!$A$7:$K$62),ROW('DBX Sprint'!$A$7:$K$62)),""),ROWS($AJ$34:AJ135)),COLUMNS('DBX Sprint'!$A$1:A12)),"")</f>
        <v/>
      </c>
      <c r="AK135" s="43" t="str" cm="1">
        <f t="array" aca="1" ref="AK135" ca="1">IFERROR(INDEX('DBX Sprint'!$A$7:$K$62, SMALL(IF((INDEX('DBX Sprint'!$A$7:$K$62, ,29)&lt;=(TODAY()+10))*(INDEX('DBX Sprint'!$A$7:$K$62, ,29)&gt;(TODAY()+5)),MATCH(ROW('DBX Sprint'!$A$7:$K$62),ROW('DBX Sprint'!$A$7:$K$62)),""),ROWS($AK$34:AK135)),COLUMNS('DBX Sprint'!$A$1:A12)),"")</f>
        <v/>
      </c>
      <c r="AM135" s="41" t="str" cm="1">
        <f t="array" ref="AM135">IFERROR(INDEX('DBX Sprint'!$A$7:$K$62, SMALL(IF((INDEX('DBX Sprint'!$A$7:$K$62, ,32)=("Complete"))*(INDEX('DBX Sprint'!$A$7:$K$62, ,32)="Complete"),MATCH(ROW('DBX Sprint'!$A$7:$K$62),ROW('DBX Sprint'!$A$7:$K$62)),""),ROWS($AM$34:AM135)),COLUMNS('DBX Sprint'!$A$1:A12)),"")</f>
        <v/>
      </c>
      <c r="AN135" s="41" t="str" cm="1">
        <f t="array" aca="1" ref="AN135" ca="1">IFERROR(INDEX('DBX Sprint'!$A$7:$K$62, SMALL(IF((INDEX('DBX Sprint'!$A$7:$K$62, ,32)&lt;(TODAY()))*(INDEX('DBX Sprint'!$A$7:$K$62, ,32)&lt;&gt;"Complete"),MATCH(ROW('DBX Sprint'!$A$7:$K$62),ROW('DBX Sprint'!$A$7:$K$62)),""),ROWS($AN$34:AN135)),COLUMNS('DBX Sprint'!$A$1:A12)),"")</f>
        <v/>
      </c>
      <c r="AO135" s="41" t="str" cm="1">
        <f t="array" aca="1" ref="AO135" ca="1">IFERROR(INDEX('DBX Sprint'!$A$7:$K$62, SMALL(IF((INDEX('DBX Sprint'!$A$7:$K$62, ,32)&lt;=(TODAY()+1))*(INDEX('DBX Sprint'!$A$7:$K$62, ,32)&gt;=TODAY()),MATCH(ROW('DBX Sprint'!$A$7:$K$62),ROW('DBX Sprint'!$A$7:$K$62)),""),ROWS($AO$34:AO135)),COLUMNS('DBX Sprint'!$A$1:A12)),"")</f>
        <v/>
      </c>
      <c r="AP135" s="43" t="str" cm="1">
        <f t="array" aca="1" ref="AP135" ca="1">IFERROR(INDEX('DBX Sprint'!$A$7:$K$62, SMALL(IF((INDEX('DBX Sprint'!$A$7:$K$62, ,32)&lt;=(TODAY()+5))*(INDEX('DBX Sprint'!$A$7:$K$62, ,32)&gt;(TODAY()+1)),MATCH(ROW('DBX Sprint'!$A$7:$K$62),ROW('DBX Sprint'!$A$7:$K$62)),""),ROWS($AP$34:AP135)),COLUMNS('DBX Sprint'!$A$1:A12)),"")</f>
        <v/>
      </c>
      <c r="AQ135" s="43" t="str" cm="1">
        <f t="array" aca="1" ref="AQ135" ca="1">IFERROR(INDEX('DBX Sprint'!$A$7:$K$62, SMALL(IF((INDEX('DBX Sprint'!$A$7:$K$62, ,32)&lt;=(TODAY()+10))*(INDEX('DBX Sprint'!$A$7:$K$62, ,32)&gt;(TODAY()+5)),MATCH(ROW('DBX Sprint'!$A$7:$K$62),ROW('DBX Sprint'!$A$7:$K$62)),""),ROWS($AQ$34:AQ135)),COLUMNS('DBX Sprint'!$A$1:A12)),"")</f>
        <v/>
      </c>
    </row>
    <row r="136" spans="3:43" ht="30" customHeight="1">
      <c r="C136" s="41" t="str" cm="1">
        <f t="array" ref="C136">IFERROR(INDEX('DBX Sprint'!$A$7:$K$62, SMALL(IF((INDEX('DBX Sprint'!$A$7:$K$62, ,13)=("Complete"))*(INDEX('DBX Sprint'!$A$7:$K$62, ,13)="Complete"),MATCH(ROW('DBX Sprint'!$A$7:$K$62),ROW('DBX Sprint'!$A$7:$K$62)),""),ROWS(C$34:$C136)),COLUMNS('DBX Sprint'!$A$1:A12)),"")</f>
        <v/>
      </c>
      <c r="D136" s="41" t="str" cm="1">
        <f t="array" aca="1" ref="D136" ca="1">IFERROR(INDEX('DBX Sprint'!$A$7:$K$62, SMALL(IF((INDEX('DBX Sprint'!$A$7:$K$62, ,13)&lt;(TODAY()))*(INDEX('DBX Sprint'!$A$7:$K$62, ,13)&lt;&gt;"Complete"),MATCH(ROW('DBX Sprint'!$A$7:$K$62),ROW('DBX Sprint'!$A$7:$K$62)),""),ROWS(D$34:$D136)),COLUMNS('DBX Sprint'!$A$1:A12)),"")</f>
        <v/>
      </c>
      <c r="E136" s="41" t="str" cm="1">
        <f t="array" aca="1" ref="E136" ca="1">IFERROR(INDEX('DBX Sprint'!$A$7:$K$62, SMALL(IF((INDEX('DBX Sprint'!$A$7:$K$62, ,13)&lt;=(TODAY()+1))*(INDEX('DBX Sprint'!$A$7:$K$62, ,13)&gt;=TODAY()),MATCH(ROW('DBX Sprint'!$A$7:$K$62),ROW('DBX Sprint'!$A$7:$K$62)),""),ROWS(E$34:$E136)),COLUMNS('DBX Sprint'!$A$1:A12)),"")</f>
        <v/>
      </c>
      <c r="F136" s="43" t="str" cm="1">
        <f t="array" aca="1" ref="F136" ca="1">IFERROR(INDEX('DBX Sprint'!$A$7:$K$62, SMALL(IF((INDEX('DBX Sprint'!$A$7:$K$62, ,13)&lt;=(TODAY()+5))*(INDEX('DBX Sprint'!$A$7:$K$62, ,13)&gt;(TODAY()+1)),MATCH(ROW('DBX Sprint'!$A$7:$K$62),ROW('DBX Sprint'!$A$7:$K$62)),""),ROWS($F$34:F136)),COLUMNS('DBX Sprint'!$A$1:A12)),"")</f>
        <v/>
      </c>
      <c r="G136" s="43" t="str" cm="1">
        <f t="array" aca="1" ref="G136" ca="1">IFERROR(INDEX('DBX Sprint'!$A$7:$K$62, SMALL(IF((INDEX('DBX Sprint'!$A$7:$K$62, ,13)&lt;=(TODAY()+10))*(INDEX('DBX Sprint'!$A$7:$K$62, ,13)&gt;(TODAY()+5)),MATCH(ROW('DBX Sprint'!$A$7:$K$62),ROW('DBX Sprint'!$A$7:$K$62)),""),ROWS($G$34:G136)),COLUMNS('DBX Sprint'!$A$1:A12)),"")</f>
        <v/>
      </c>
      <c r="I136" s="41" t="str" cm="1">
        <f t="array" ref="I136">IFERROR(INDEX('DBX Sprint'!$A$7:$K$62, SMALL(IF((INDEX('DBX Sprint'!$A$7:$K$62, ,16)=("Complete"))*(INDEX('DBX Sprint'!$A$7:$K$62, ,16)="Complete"),MATCH(ROW('DBX Sprint'!$A$7:$K$62),ROW('DBX Sprint'!$A$7:$K$62)),""),ROWS($I$34:I136)),COLUMNS('DBX Sprint'!$A$1:A12)),"")</f>
        <v/>
      </c>
      <c r="J136" s="41" t="str" cm="1">
        <f t="array" aca="1" ref="J136" ca="1">IFERROR(INDEX('DBX Sprint'!$A$7:$K$62, SMALL(IF((INDEX('DBX Sprint'!$A$7:$K$62, ,16)&lt;(TODAY()))*(INDEX('DBX Sprint'!$A$7:$K$62, ,16)&lt;&gt;"Complete"),MATCH(ROW('DBX Sprint'!$A$7:$K$62),ROW('DBX Sprint'!$A$7:$K$62)),""),ROWS($J$34:J136)),COLUMNS('DBX Sprint'!$A$1:A12)),"")</f>
        <v/>
      </c>
      <c r="K136" s="41" t="str" cm="1">
        <f t="array" aca="1" ref="K136" ca="1">IFERROR(INDEX('DBX Sprint'!$A$7:$K$62, SMALL(IF((INDEX('DBX Sprint'!$A$7:$K$62, ,16)&lt;=(TODAY()+1))*(INDEX('DBX Sprint'!$A$7:$K$62, ,16)&gt;=TODAY()),MATCH(ROW('DBX Sprint'!$A$7:$K$62),ROW('DBX Sprint'!$A$7:$K$62)),""),ROWS($K$34:K136)),COLUMNS('DBX Sprint'!$A$1:A12)),"")</f>
        <v/>
      </c>
      <c r="L136" s="43" t="str" cm="1">
        <f t="array" aca="1" ref="L136" ca="1">IFERROR(INDEX('DBX Sprint'!$A$7:$K$62, SMALL(IF((INDEX('DBX Sprint'!$A$7:$K$62, ,16)&lt;=(TODAY()+5))*(INDEX('DBX Sprint'!$A$7:$K$62, ,16)&gt;(TODAY()+1)),MATCH(ROW('DBX Sprint'!$A$7:$K$62),ROW('DBX Sprint'!$A$7:$K$62)),""),ROWS($L$34:L136)),COLUMNS('DBX Sprint'!$A$1:A12)),"")</f>
        <v/>
      </c>
      <c r="M136" s="43" t="str" cm="1">
        <f t="array" aca="1" ref="M136" ca="1">IFERROR(INDEX('DBX Sprint'!$A$7:$K$62, SMALL(IF((INDEX('DBX Sprint'!$A$7:$K$62, ,16)&lt;=(TODAY()+10))*(INDEX('DBX Sprint'!$A$7:$K$62, ,16)&gt;(TODAY()+5)),MATCH(ROW('DBX Sprint'!$A$7:$K$62),ROW('DBX Sprint'!$A$7:$K$62)),""),ROWS($M$34:M136)),COLUMNS('DBX Sprint'!$A$1:A12)),"")</f>
        <v/>
      </c>
      <c r="P136" s="41" t="str" cm="1">
        <f t="array" aca="1" ref="P136" ca="1">IFERROR(INDEX('DBX Sprint'!$A$7:$K$62, SMALL(IF((INDEX('DBX Sprint'!$A$7:$K$62, ,19)&lt;(TODAY()))*(INDEX('DBX Sprint'!$A$7:$K$62, ,19)&lt;&gt;"Complete"),MATCH(ROW('DBX Sprint'!$A$7:$K$62),ROW('DBX Sprint'!$A$7:$K$62)),""),ROWS($P$34:P136)),COLUMNS('DBX Sprint'!$A$1:A12)),"")</f>
        <v/>
      </c>
      <c r="Q136" s="41" t="str" cm="1">
        <f t="array" aca="1" ref="Q136" ca="1">IFERROR(INDEX('DBX Sprint'!$A$7:$K$62, SMALL(IF((INDEX('DBX Sprint'!$A$7:$K$62, ,19)&lt;=(TODAY()+1))*(INDEX('DBX Sprint'!$A$7:$K$62, ,19)&gt;=TODAY()),MATCH(ROW('DBX Sprint'!$A$7:$K$62),ROW('DBX Sprint'!$A$7:$K$62)),""),ROWS($Q$34:Q136)),COLUMNS('DBX Sprint'!$A$1:A12)),"")</f>
        <v/>
      </c>
      <c r="R136" s="43" t="str" cm="1">
        <f t="array" aca="1" ref="R136" ca="1">IFERROR(INDEX('DBX Sprint'!$A$7:$K$62, SMALL(IF((INDEX('DBX Sprint'!$A$7:$K$62, ,19)&lt;=(TODAY()+5))*(INDEX('DBX Sprint'!$A$7:$K$62, ,19)&gt;(TODAY()+1)),MATCH(ROW('DBX Sprint'!$A$7:$K$62),ROW('DBX Sprint'!$A$7:$K$62)),""),ROWS($R$34:R136)),COLUMNS('DBX Sprint'!$A$1:A12)),"")</f>
        <v/>
      </c>
      <c r="S136" s="43" t="str" cm="1">
        <f t="array" aca="1" ref="S136" ca="1">IFERROR(INDEX('DBX Sprint'!$A$7:$K$62, SMALL(IF((INDEX('DBX Sprint'!$A$7:$K$62, ,19)&lt;=(TODAY()+10))*(INDEX('DBX Sprint'!$A$7:$K$62, ,19)&gt;(TODAY()+5)),MATCH(ROW('DBX Sprint'!$A$7:$K$62),ROW('DBX Sprint'!$A$7:$K$62)),""),ROWS($S$34:S136)),COLUMNS('DBX Sprint'!$A$1:A12)),"")</f>
        <v/>
      </c>
      <c r="U136" s="41" t="str" cm="1">
        <f t="array" ref="U136">IFERROR(INDEX('DBX Sprint'!$A$7:$K$62, SMALL(IF((INDEX('DBX Sprint'!$A$7:$K$62, ,22)=("Complete"))*(INDEX('DBX Sprint'!$A$7:$K$62, ,22)="Complete"),MATCH(ROW('DBX Sprint'!$A$7:$K$62),ROW('DBX Sprint'!$A$7:$K$62)),""),ROWS($U$34:U136)),COLUMNS('DBX Sprint'!$A$1:A12)),"")</f>
        <v/>
      </c>
      <c r="V136" s="41" t="str" cm="1">
        <f t="array" aca="1" ref="V136" ca="1">IFERROR(INDEX('DBX Sprint'!$A$7:$K$62, SMALL(IF((INDEX('DBX Sprint'!$A$7:$K$62, ,22)&lt;(TODAY()))*(INDEX('DBX Sprint'!$A$7:$K$62, ,22)&lt;&gt;"Complete"),MATCH(ROW('DBX Sprint'!$A$7:$K$62),ROW('DBX Sprint'!$A$7:$K$62)),""),ROWS($V$34:V136)),COLUMNS('DBX Sprint'!$A$1:A12)),"")</f>
        <v/>
      </c>
      <c r="W136" s="41" t="str" cm="1">
        <f t="array" aca="1" ref="W136" ca="1">IFERROR(INDEX('DBX Sprint'!$A$7:$K$62, SMALL(IF((INDEX('DBX Sprint'!$A$7:$K$62, ,22)&lt;=(TODAY()+1))*(INDEX('DBX Sprint'!$A$7:$K$62, ,22)&gt;=TODAY()),MATCH(ROW('DBX Sprint'!$A$7:$K$62),ROW('DBX Sprint'!$A$7:$K$62)),""),ROWS($W$34:W136)),COLUMNS('DBX Sprint'!$A$1:A12)),"")</f>
        <v/>
      </c>
      <c r="X136" s="43" t="str" cm="1">
        <f t="array" aca="1" ref="X136" ca="1">IFERROR(INDEX('DBX Sprint'!$A$7:$K$62, SMALL(IF((INDEX('DBX Sprint'!$A$7:$K$62, ,22)&lt;=(TODAY()+5))*(INDEX('DBX Sprint'!$A$7:$K$62, ,22)&gt;(TODAY()+1)),MATCH(ROW('DBX Sprint'!$A$7:$K$62),ROW('DBX Sprint'!$A$7:$K$62)),""),ROWS($X$34:X136)),COLUMNS('DBX Sprint'!$A$1:A12)),"")</f>
        <v/>
      </c>
      <c r="Y136" s="43" t="str" cm="1">
        <f t="array" aca="1" ref="Y136" ca="1">IFERROR(INDEX('DBX Sprint'!$A$7:$K$62, SMALL(IF((INDEX('DBX Sprint'!$A$7:$K$62, ,22)&lt;=(TODAY()+10))*(INDEX('DBX Sprint'!$A$7:$K$62, ,22)&gt;(TODAY()+5)),MATCH(ROW('DBX Sprint'!$A$7:$K$62),ROW('DBX Sprint'!$A$7:$K$62)),""),ROWS($Y$34:Y136)),COLUMNS('DBX Sprint'!$A$1:A12)),"")</f>
        <v/>
      </c>
      <c r="AA136" s="41" t="str" cm="1">
        <f t="array" ref="AA136">IFERROR(INDEX('DBX Sprint'!$A$7:$K$62, SMALL(IF((INDEX('DBX Sprint'!$A$7:$K$62, ,25)=("Complete"))*(INDEX('DBX Sprint'!$A$7:$K$62, ,25)="Complete"),MATCH(ROW('DBX Sprint'!$A$7:$K$62),ROW('DBX Sprint'!$A$7:$K$62)),""),ROWS($AA$34:AA136)),COLUMNS('DBX Sprint'!$A$1:A12)),"")</f>
        <v/>
      </c>
      <c r="AB136" s="41" t="str" cm="1">
        <f t="array" aca="1" ref="AB136" ca="1">IFERROR(INDEX('DBX Sprint'!$A$7:$K$62, SMALL(IF((INDEX('DBX Sprint'!$A$7:$K$62, ,25)&lt;(TODAY()))*(INDEX('DBX Sprint'!$A$7:$K$62, ,25)&lt;&gt;"Complete"),MATCH(ROW('DBX Sprint'!$A$7:$K$62),ROW('DBX Sprint'!$A$7:$K$62)),""),ROWS($AB$34:AB136)),COLUMNS('DBX Sprint'!$A$1:A12)),"")</f>
        <v/>
      </c>
      <c r="AC136" s="41" t="str" cm="1">
        <f t="array" aca="1" ref="AC136" ca="1">IFERROR(INDEX('DBX Sprint'!$A$7:$K$62, SMALL(IF((INDEX('DBX Sprint'!$A$7:$K$62, ,25)&lt;=(TODAY()+1))*(INDEX('DBX Sprint'!$A$7:$K$62, ,25)&gt;=TODAY()),MATCH(ROW('DBX Sprint'!$A$7:$K$62),ROW('DBX Sprint'!$A$7:$K$62)),""),ROWS($AC$34:AC136)),COLUMNS('DBX Sprint'!$A$1:A12)),"")</f>
        <v/>
      </c>
      <c r="AD136" s="43" t="str" cm="1">
        <f t="array" aca="1" ref="AD136" ca="1">IFERROR(INDEX('DBX Sprint'!$A$7:$K$62, SMALL(IF((INDEX('DBX Sprint'!$A$7:$K$62, ,25)&lt;=(TODAY()+5))*(INDEX('DBX Sprint'!$A$7:$K$62, ,25)&gt;(TODAY()+1)),MATCH(ROW('DBX Sprint'!$A$7:$K$62),ROW('DBX Sprint'!$A$7:$K$62)),""),ROWS($AD$34:AD136)),COLUMNS('DBX Sprint'!$A$1:A12)),"")</f>
        <v/>
      </c>
      <c r="AE136" s="43" t="str" cm="1">
        <f t="array" aca="1" ref="AE136" ca="1">IFERROR(INDEX('DBX Sprint'!$A$7:$K$62, SMALL(IF((INDEX('DBX Sprint'!$A$7:$K$62, ,25)&lt;=(TODAY()+10))*(INDEX('DBX Sprint'!$A$7:$K$62, ,25)&gt;(TODAY()+5)),MATCH(ROW('DBX Sprint'!$A$7:$K$62),ROW('DBX Sprint'!$A$7:$K$62)),""),ROWS($AE$34:AE136)),COLUMNS('DBX Sprint'!$A$1:A12)),"")</f>
        <v/>
      </c>
      <c r="AG136" s="41" t="str" cm="1">
        <f t="array" ref="AG136">IFERROR(INDEX('DBX Sprint'!$A$7:$K$62, SMALL(IF((INDEX('DBX Sprint'!$A$7:$K$62, ,29)=("Complete"))*(INDEX('DBX Sprint'!$A$7:$K$62, ,29)="Complete"),MATCH(ROW('DBX Sprint'!$A$7:$K$62),ROW('DBX Sprint'!$A$7:$K$62)),""),ROWS($AG$34:AG136)),COLUMNS('DBX Sprint'!$A$1:A12)),"")</f>
        <v/>
      </c>
      <c r="AH136" s="41" t="str" cm="1">
        <f t="array" aca="1" ref="AH136" ca="1">IFERROR(INDEX('DBX Sprint'!$A$7:$K$62, SMALL(IF((INDEX('DBX Sprint'!$A$7:$K$62, ,29)&lt;(TODAY()))*(INDEX('DBX Sprint'!$A$7:$K$62, ,29)&lt;&gt;"Complete"),MATCH(ROW('DBX Sprint'!$A$7:$K$62),ROW('DBX Sprint'!$A$7:$K$62)),""),ROWS($AH$34:AH136)),COLUMNS('DBX Sprint'!$A$1:A12)),"")</f>
        <v/>
      </c>
      <c r="AI136" s="41" t="str" cm="1">
        <f t="array" aca="1" ref="AI136" ca="1">IFERROR(INDEX('DBX Sprint'!$A$7:$K$62, SMALL(IF((INDEX('DBX Sprint'!$A$7:$K$62, ,29)&lt;=(TODAY()+1))*(INDEX('DBX Sprint'!$A$7:$K$62, ,29)&gt;=TODAY()),MATCH(ROW('DBX Sprint'!$A$7:$K$62),ROW('DBX Sprint'!$A$7:$K$62)),""),ROWS($AI$34:AI136)),COLUMNS('DBX Sprint'!$A$1:A12)),"")</f>
        <v/>
      </c>
      <c r="AJ136" s="43" t="str" cm="1">
        <f t="array" aca="1" ref="AJ136" ca="1">IFERROR(INDEX('DBX Sprint'!$A$7:$K$62, SMALL(IF((INDEX('DBX Sprint'!$A$7:$K$62, ,29)&lt;=(TODAY()+5))*(INDEX('DBX Sprint'!$A$7:$K$62, ,29)&gt;(TODAY()+1)),MATCH(ROW('DBX Sprint'!$A$7:$K$62),ROW('DBX Sprint'!$A$7:$K$62)),""),ROWS($AJ$34:AJ136)),COLUMNS('DBX Sprint'!$A$1:A12)),"")</f>
        <v/>
      </c>
      <c r="AK136" s="43" t="str" cm="1">
        <f t="array" aca="1" ref="AK136" ca="1">IFERROR(INDEX('DBX Sprint'!$A$7:$K$62, SMALL(IF((INDEX('DBX Sprint'!$A$7:$K$62, ,29)&lt;=(TODAY()+10))*(INDEX('DBX Sprint'!$A$7:$K$62, ,29)&gt;(TODAY()+5)),MATCH(ROW('DBX Sprint'!$A$7:$K$62),ROW('DBX Sprint'!$A$7:$K$62)),""),ROWS($AK$34:AK136)),COLUMNS('DBX Sprint'!$A$1:A12)),"")</f>
        <v/>
      </c>
      <c r="AM136" s="41" t="str" cm="1">
        <f t="array" ref="AM136">IFERROR(INDEX('DBX Sprint'!$A$7:$K$62, SMALL(IF((INDEX('DBX Sprint'!$A$7:$K$62, ,32)=("Complete"))*(INDEX('DBX Sprint'!$A$7:$K$62, ,32)="Complete"),MATCH(ROW('DBX Sprint'!$A$7:$K$62),ROW('DBX Sprint'!$A$7:$K$62)),""),ROWS($AM$34:AM136)),COLUMNS('DBX Sprint'!$A$1:A12)),"")</f>
        <v/>
      </c>
      <c r="AN136" s="41" t="str" cm="1">
        <f t="array" aca="1" ref="AN136" ca="1">IFERROR(INDEX('DBX Sprint'!$A$7:$K$62, SMALL(IF((INDEX('DBX Sprint'!$A$7:$K$62, ,32)&lt;(TODAY()))*(INDEX('DBX Sprint'!$A$7:$K$62, ,32)&lt;&gt;"Complete"),MATCH(ROW('DBX Sprint'!$A$7:$K$62),ROW('DBX Sprint'!$A$7:$K$62)),""),ROWS($AN$34:AN136)),COLUMNS('DBX Sprint'!$A$1:A12)),"")</f>
        <v/>
      </c>
      <c r="AO136" s="41" t="str" cm="1">
        <f t="array" aca="1" ref="AO136" ca="1">IFERROR(INDEX('DBX Sprint'!$A$7:$K$62, SMALL(IF((INDEX('DBX Sprint'!$A$7:$K$62, ,32)&lt;=(TODAY()+1))*(INDEX('DBX Sprint'!$A$7:$K$62, ,32)&gt;=TODAY()),MATCH(ROW('DBX Sprint'!$A$7:$K$62),ROW('DBX Sprint'!$A$7:$K$62)),""),ROWS($AO$34:AO136)),COLUMNS('DBX Sprint'!$A$1:A12)),"")</f>
        <v/>
      </c>
      <c r="AP136" s="43" t="str" cm="1">
        <f t="array" aca="1" ref="AP136" ca="1">IFERROR(INDEX('DBX Sprint'!$A$7:$K$62, SMALL(IF((INDEX('DBX Sprint'!$A$7:$K$62, ,32)&lt;=(TODAY()+5))*(INDEX('DBX Sprint'!$A$7:$K$62, ,32)&gt;(TODAY()+1)),MATCH(ROW('DBX Sprint'!$A$7:$K$62),ROW('DBX Sprint'!$A$7:$K$62)),""),ROWS($AP$34:AP136)),COLUMNS('DBX Sprint'!$A$1:A12)),"")</f>
        <v/>
      </c>
      <c r="AQ136" s="43" t="str" cm="1">
        <f t="array" aca="1" ref="AQ136" ca="1">IFERROR(INDEX('DBX Sprint'!$A$7:$K$62, SMALL(IF((INDEX('DBX Sprint'!$A$7:$K$62, ,32)&lt;=(TODAY()+10))*(INDEX('DBX Sprint'!$A$7:$K$62, ,32)&gt;(TODAY()+5)),MATCH(ROW('DBX Sprint'!$A$7:$K$62),ROW('DBX Sprint'!$A$7:$K$62)),""),ROWS($AQ$34:AQ136)),COLUMNS('DBX Sprint'!$A$1:A12)),"")</f>
        <v/>
      </c>
    </row>
    <row r="137" spans="3:43" ht="30" customHeight="1">
      <c r="C137" s="41" t="str" cm="1">
        <f t="array" ref="C137">IFERROR(INDEX('DBX Sprint'!$A$7:$K$62, SMALL(IF((INDEX('DBX Sprint'!$A$7:$K$62, ,13)=("Complete"))*(INDEX('DBX Sprint'!$A$7:$K$62, ,13)="Complete"),MATCH(ROW('DBX Sprint'!$A$7:$K$62),ROW('DBX Sprint'!$A$7:$K$62)),""),ROWS(C$34:$C137)),COLUMNS('DBX Sprint'!$A$1:A12)),"")</f>
        <v/>
      </c>
      <c r="D137" s="41" t="str" cm="1">
        <f t="array" aca="1" ref="D137" ca="1">IFERROR(INDEX('DBX Sprint'!$A$7:$K$62, SMALL(IF((INDEX('DBX Sprint'!$A$7:$K$62, ,13)&lt;(TODAY()))*(INDEX('DBX Sprint'!$A$7:$K$62, ,13)&lt;&gt;"Complete"),MATCH(ROW('DBX Sprint'!$A$7:$K$62),ROW('DBX Sprint'!$A$7:$K$62)),""),ROWS(D$34:$D137)),COLUMNS('DBX Sprint'!$A$1:A12)),"")</f>
        <v/>
      </c>
      <c r="E137" s="41" t="str" cm="1">
        <f t="array" aca="1" ref="E137" ca="1">IFERROR(INDEX('DBX Sprint'!$A$7:$K$62, SMALL(IF((INDEX('DBX Sprint'!$A$7:$K$62, ,13)&lt;=(TODAY()+1))*(INDEX('DBX Sprint'!$A$7:$K$62, ,13)&gt;=TODAY()),MATCH(ROW('DBX Sprint'!$A$7:$K$62),ROW('DBX Sprint'!$A$7:$K$62)),""),ROWS(E$34:$E137)),COLUMNS('DBX Sprint'!$A$1:A12)),"")</f>
        <v/>
      </c>
      <c r="F137" s="43" t="str" cm="1">
        <f t="array" aca="1" ref="F137" ca="1">IFERROR(INDEX('DBX Sprint'!$A$7:$K$62, SMALL(IF((INDEX('DBX Sprint'!$A$7:$K$62, ,13)&lt;=(TODAY()+5))*(INDEX('DBX Sprint'!$A$7:$K$62, ,13)&gt;(TODAY()+1)),MATCH(ROW('DBX Sprint'!$A$7:$K$62),ROW('DBX Sprint'!$A$7:$K$62)),""),ROWS($F$34:F137)),COLUMNS('DBX Sprint'!$A$1:A12)),"")</f>
        <v/>
      </c>
      <c r="G137" s="43" t="str" cm="1">
        <f t="array" aca="1" ref="G137" ca="1">IFERROR(INDEX('DBX Sprint'!$A$7:$K$62, SMALL(IF((INDEX('DBX Sprint'!$A$7:$K$62, ,13)&lt;=(TODAY()+10))*(INDEX('DBX Sprint'!$A$7:$K$62, ,13)&gt;(TODAY()+5)),MATCH(ROW('DBX Sprint'!$A$7:$K$62),ROW('DBX Sprint'!$A$7:$K$62)),""),ROWS($G$34:G137)),COLUMNS('DBX Sprint'!$A$1:A12)),"")</f>
        <v/>
      </c>
      <c r="I137" s="41" t="str" cm="1">
        <f t="array" ref="I137">IFERROR(INDEX('DBX Sprint'!$A$7:$K$62, SMALL(IF((INDEX('DBX Sprint'!$A$7:$K$62, ,16)=("Complete"))*(INDEX('DBX Sprint'!$A$7:$K$62, ,16)="Complete"),MATCH(ROW('DBX Sprint'!$A$7:$K$62),ROW('DBX Sprint'!$A$7:$K$62)),""),ROWS($I$34:I137)),COLUMNS('DBX Sprint'!$A$1:A12)),"")</f>
        <v/>
      </c>
      <c r="J137" s="41" t="str" cm="1">
        <f t="array" aca="1" ref="J137" ca="1">IFERROR(INDEX('DBX Sprint'!$A$7:$K$62, SMALL(IF((INDEX('DBX Sprint'!$A$7:$K$62, ,16)&lt;(TODAY()))*(INDEX('DBX Sprint'!$A$7:$K$62, ,16)&lt;&gt;"Complete"),MATCH(ROW('DBX Sprint'!$A$7:$K$62),ROW('DBX Sprint'!$A$7:$K$62)),""),ROWS($J$34:J137)),COLUMNS('DBX Sprint'!$A$1:A12)),"")</f>
        <v/>
      </c>
      <c r="K137" s="41" t="str" cm="1">
        <f t="array" aca="1" ref="K137" ca="1">IFERROR(INDEX('DBX Sprint'!$A$7:$K$62, SMALL(IF((INDEX('DBX Sprint'!$A$7:$K$62, ,16)&lt;=(TODAY()+1))*(INDEX('DBX Sprint'!$A$7:$K$62, ,16)&gt;=TODAY()),MATCH(ROW('DBX Sprint'!$A$7:$K$62),ROW('DBX Sprint'!$A$7:$K$62)),""),ROWS($K$34:K137)),COLUMNS('DBX Sprint'!$A$1:A12)),"")</f>
        <v/>
      </c>
      <c r="L137" s="43" t="str" cm="1">
        <f t="array" aca="1" ref="L137" ca="1">IFERROR(INDEX('DBX Sprint'!$A$7:$K$62, SMALL(IF((INDEX('DBX Sprint'!$A$7:$K$62, ,16)&lt;=(TODAY()+5))*(INDEX('DBX Sprint'!$A$7:$K$62, ,16)&gt;(TODAY()+1)),MATCH(ROW('DBX Sprint'!$A$7:$K$62),ROW('DBX Sprint'!$A$7:$K$62)),""),ROWS($L$34:L137)),COLUMNS('DBX Sprint'!$A$1:A12)),"")</f>
        <v/>
      </c>
      <c r="M137" s="43" t="str" cm="1">
        <f t="array" aca="1" ref="M137" ca="1">IFERROR(INDEX('DBX Sprint'!$A$7:$K$62, SMALL(IF((INDEX('DBX Sprint'!$A$7:$K$62, ,16)&lt;=(TODAY()+10))*(INDEX('DBX Sprint'!$A$7:$K$62, ,16)&gt;(TODAY()+5)),MATCH(ROW('DBX Sprint'!$A$7:$K$62),ROW('DBX Sprint'!$A$7:$K$62)),""),ROWS($M$34:M137)),COLUMNS('DBX Sprint'!$A$1:A12)),"")</f>
        <v/>
      </c>
      <c r="P137" s="41" t="str" cm="1">
        <f t="array" aca="1" ref="P137" ca="1">IFERROR(INDEX('DBX Sprint'!$A$7:$K$62, SMALL(IF((INDEX('DBX Sprint'!$A$7:$K$62, ,19)&lt;(TODAY()))*(INDEX('DBX Sprint'!$A$7:$K$62, ,19)&lt;&gt;"Complete"),MATCH(ROW('DBX Sprint'!$A$7:$K$62),ROW('DBX Sprint'!$A$7:$K$62)),""),ROWS($P$34:P137)),COLUMNS('DBX Sprint'!$A$1:A12)),"")</f>
        <v/>
      </c>
      <c r="Q137" s="41" t="str" cm="1">
        <f t="array" aca="1" ref="Q137" ca="1">IFERROR(INDEX('DBX Sprint'!$A$7:$K$62, SMALL(IF((INDEX('DBX Sprint'!$A$7:$K$62, ,19)&lt;=(TODAY()+1))*(INDEX('DBX Sprint'!$A$7:$K$62, ,19)&gt;=TODAY()),MATCH(ROW('DBX Sprint'!$A$7:$K$62),ROW('DBX Sprint'!$A$7:$K$62)),""),ROWS($Q$34:Q137)),COLUMNS('DBX Sprint'!$A$1:A12)),"")</f>
        <v/>
      </c>
      <c r="R137" s="43" t="str" cm="1">
        <f t="array" aca="1" ref="R137" ca="1">IFERROR(INDEX('DBX Sprint'!$A$7:$K$62, SMALL(IF((INDEX('DBX Sprint'!$A$7:$K$62, ,19)&lt;=(TODAY()+5))*(INDEX('DBX Sprint'!$A$7:$K$62, ,19)&gt;(TODAY()+1)),MATCH(ROW('DBX Sprint'!$A$7:$K$62),ROW('DBX Sprint'!$A$7:$K$62)),""),ROWS($R$34:R137)),COLUMNS('DBX Sprint'!$A$1:A12)),"")</f>
        <v/>
      </c>
      <c r="S137" s="43" t="str" cm="1">
        <f t="array" aca="1" ref="S137" ca="1">IFERROR(INDEX('DBX Sprint'!$A$7:$K$62, SMALL(IF((INDEX('DBX Sprint'!$A$7:$K$62, ,19)&lt;=(TODAY()+10))*(INDEX('DBX Sprint'!$A$7:$K$62, ,19)&gt;(TODAY()+5)),MATCH(ROW('DBX Sprint'!$A$7:$K$62),ROW('DBX Sprint'!$A$7:$K$62)),""),ROWS($S$34:S137)),COLUMNS('DBX Sprint'!$A$1:A12)),"")</f>
        <v/>
      </c>
      <c r="U137" s="41" t="str" cm="1">
        <f t="array" ref="U137">IFERROR(INDEX('DBX Sprint'!$A$7:$K$62, SMALL(IF((INDEX('DBX Sprint'!$A$7:$K$62, ,22)=("Complete"))*(INDEX('DBX Sprint'!$A$7:$K$62, ,22)="Complete"),MATCH(ROW('DBX Sprint'!$A$7:$K$62),ROW('DBX Sprint'!$A$7:$K$62)),""),ROWS($U$34:U137)),COLUMNS('DBX Sprint'!$A$1:A12)),"")</f>
        <v/>
      </c>
      <c r="V137" s="41" t="str" cm="1">
        <f t="array" aca="1" ref="V137" ca="1">IFERROR(INDEX('DBX Sprint'!$A$7:$K$62, SMALL(IF((INDEX('DBX Sprint'!$A$7:$K$62, ,22)&lt;(TODAY()))*(INDEX('DBX Sprint'!$A$7:$K$62, ,22)&lt;&gt;"Complete"),MATCH(ROW('DBX Sprint'!$A$7:$K$62),ROW('DBX Sprint'!$A$7:$K$62)),""),ROWS($V$34:V137)),COLUMNS('DBX Sprint'!$A$1:A12)),"")</f>
        <v/>
      </c>
      <c r="W137" s="41" t="str" cm="1">
        <f t="array" aca="1" ref="W137" ca="1">IFERROR(INDEX('DBX Sprint'!$A$7:$K$62, SMALL(IF((INDEX('DBX Sprint'!$A$7:$K$62, ,22)&lt;=(TODAY()+1))*(INDEX('DBX Sprint'!$A$7:$K$62, ,22)&gt;=TODAY()),MATCH(ROW('DBX Sprint'!$A$7:$K$62),ROW('DBX Sprint'!$A$7:$K$62)),""),ROWS($W$34:W137)),COLUMNS('DBX Sprint'!$A$1:A12)),"")</f>
        <v/>
      </c>
      <c r="X137" s="43" t="str" cm="1">
        <f t="array" aca="1" ref="X137" ca="1">IFERROR(INDEX('DBX Sprint'!$A$7:$K$62, SMALL(IF((INDEX('DBX Sprint'!$A$7:$K$62, ,22)&lt;=(TODAY()+5))*(INDEX('DBX Sprint'!$A$7:$K$62, ,22)&gt;(TODAY()+1)),MATCH(ROW('DBX Sprint'!$A$7:$K$62),ROW('DBX Sprint'!$A$7:$K$62)),""),ROWS($X$34:X137)),COLUMNS('DBX Sprint'!$A$1:A12)),"")</f>
        <v/>
      </c>
      <c r="Y137" s="43" t="str" cm="1">
        <f t="array" aca="1" ref="Y137" ca="1">IFERROR(INDEX('DBX Sprint'!$A$7:$K$62, SMALL(IF((INDEX('DBX Sprint'!$A$7:$K$62, ,22)&lt;=(TODAY()+10))*(INDEX('DBX Sprint'!$A$7:$K$62, ,22)&gt;(TODAY()+5)),MATCH(ROW('DBX Sprint'!$A$7:$K$62),ROW('DBX Sprint'!$A$7:$K$62)),""),ROWS($Y$34:Y137)),COLUMNS('DBX Sprint'!$A$1:A12)),"")</f>
        <v/>
      </c>
      <c r="AA137" s="41" t="str" cm="1">
        <f t="array" ref="AA137">IFERROR(INDEX('DBX Sprint'!$A$7:$K$62, SMALL(IF((INDEX('DBX Sprint'!$A$7:$K$62, ,25)=("Complete"))*(INDEX('DBX Sprint'!$A$7:$K$62, ,25)="Complete"),MATCH(ROW('DBX Sprint'!$A$7:$K$62),ROW('DBX Sprint'!$A$7:$K$62)),""),ROWS($AA$34:AA137)),COLUMNS('DBX Sprint'!$A$1:A12)),"")</f>
        <v/>
      </c>
      <c r="AB137" s="41" t="str" cm="1">
        <f t="array" aca="1" ref="AB137" ca="1">IFERROR(INDEX('DBX Sprint'!$A$7:$K$62, SMALL(IF((INDEX('DBX Sprint'!$A$7:$K$62, ,25)&lt;(TODAY()))*(INDEX('DBX Sprint'!$A$7:$K$62, ,25)&lt;&gt;"Complete"),MATCH(ROW('DBX Sprint'!$A$7:$K$62),ROW('DBX Sprint'!$A$7:$K$62)),""),ROWS($AB$34:AB137)),COLUMNS('DBX Sprint'!$A$1:A12)),"")</f>
        <v/>
      </c>
      <c r="AC137" s="41" t="str" cm="1">
        <f t="array" aca="1" ref="AC137" ca="1">IFERROR(INDEX('DBX Sprint'!$A$7:$K$62, SMALL(IF((INDEX('DBX Sprint'!$A$7:$K$62, ,25)&lt;=(TODAY()+1))*(INDEX('DBX Sprint'!$A$7:$K$62, ,25)&gt;=TODAY()),MATCH(ROW('DBX Sprint'!$A$7:$K$62),ROW('DBX Sprint'!$A$7:$K$62)),""),ROWS($AC$34:AC137)),COLUMNS('DBX Sprint'!$A$1:A12)),"")</f>
        <v/>
      </c>
      <c r="AD137" s="43" t="str" cm="1">
        <f t="array" aca="1" ref="AD137" ca="1">IFERROR(INDEX('DBX Sprint'!$A$7:$K$62, SMALL(IF((INDEX('DBX Sprint'!$A$7:$K$62, ,25)&lt;=(TODAY()+5))*(INDEX('DBX Sprint'!$A$7:$K$62, ,25)&gt;(TODAY()+1)),MATCH(ROW('DBX Sprint'!$A$7:$K$62),ROW('DBX Sprint'!$A$7:$K$62)),""),ROWS($AD$34:AD137)),COLUMNS('DBX Sprint'!$A$1:A12)),"")</f>
        <v/>
      </c>
      <c r="AE137" s="43" t="str" cm="1">
        <f t="array" aca="1" ref="AE137" ca="1">IFERROR(INDEX('DBX Sprint'!$A$7:$K$62, SMALL(IF((INDEX('DBX Sprint'!$A$7:$K$62, ,25)&lt;=(TODAY()+10))*(INDEX('DBX Sprint'!$A$7:$K$62, ,25)&gt;(TODAY()+5)),MATCH(ROW('DBX Sprint'!$A$7:$K$62),ROW('DBX Sprint'!$A$7:$K$62)),""),ROWS($AE$34:AE137)),COLUMNS('DBX Sprint'!$A$1:A12)),"")</f>
        <v/>
      </c>
      <c r="AG137" s="41" t="str" cm="1">
        <f t="array" ref="AG137">IFERROR(INDEX('DBX Sprint'!$A$7:$K$62, SMALL(IF((INDEX('DBX Sprint'!$A$7:$K$62, ,29)=("Complete"))*(INDEX('DBX Sprint'!$A$7:$K$62, ,29)="Complete"),MATCH(ROW('DBX Sprint'!$A$7:$K$62),ROW('DBX Sprint'!$A$7:$K$62)),""),ROWS($AG$34:AG137)),COLUMNS('DBX Sprint'!$A$1:A12)),"")</f>
        <v/>
      </c>
      <c r="AH137" s="41" t="str" cm="1">
        <f t="array" aca="1" ref="AH137" ca="1">IFERROR(INDEX('DBX Sprint'!$A$7:$K$62, SMALL(IF((INDEX('DBX Sprint'!$A$7:$K$62, ,29)&lt;(TODAY()))*(INDEX('DBX Sprint'!$A$7:$K$62, ,29)&lt;&gt;"Complete"),MATCH(ROW('DBX Sprint'!$A$7:$K$62),ROW('DBX Sprint'!$A$7:$K$62)),""),ROWS($AH$34:AH137)),COLUMNS('DBX Sprint'!$A$1:A12)),"")</f>
        <v/>
      </c>
      <c r="AI137" s="41" t="str" cm="1">
        <f t="array" aca="1" ref="AI137" ca="1">IFERROR(INDEX('DBX Sprint'!$A$7:$K$62, SMALL(IF((INDEX('DBX Sprint'!$A$7:$K$62, ,29)&lt;=(TODAY()+1))*(INDEX('DBX Sprint'!$A$7:$K$62, ,29)&gt;=TODAY()),MATCH(ROW('DBX Sprint'!$A$7:$K$62),ROW('DBX Sprint'!$A$7:$K$62)),""),ROWS($AI$34:AI137)),COLUMNS('DBX Sprint'!$A$1:A12)),"")</f>
        <v/>
      </c>
      <c r="AJ137" s="43" t="str" cm="1">
        <f t="array" aca="1" ref="AJ137" ca="1">IFERROR(INDEX('DBX Sprint'!$A$7:$K$62, SMALL(IF((INDEX('DBX Sprint'!$A$7:$K$62, ,29)&lt;=(TODAY()+5))*(INDEX('DBX Sprint'!$A$7:$K$62, ,29)&gt;(TODAY()+1)),MATCH(ROW('DBX Sprint'!$A$7:$K$62),ROW('DBX Sprint'!$A$7:$K$62)),""),ROWS($AJ$34:AJ137)),COLUMNS('DBX Sprint'!$A$1:A12)),"")</f>
        <v/>
      </c>
      <c r="AK137" s="43" t="str" cm="1">
        <f t="array" aca="1" ref="AK137" ca="1">IFERROR(INDEX('DBX Sprint'!$A$7:$K$62, SMALL(IF((INDEX('DBX Sprint'!$A$7:$K$62, ,29)&lt;=(TODAY()+10))*(INDEX('DBX Sprint'!$A$7:$K$62, ,29)&gt;(TODAY()+5)),MATCH(ROW('DBX Sprint'!$A$7:$K$62),ROW('DBX Sprint'!$A$7:$K$62)),""),ROWS($AK$34:AK137)),COLUMNS('DBX Sprint'!$A$1:A12)),"")</f>
        <v/>
      </c>
      <c r="AM137" s="41" t="str" cm="1">
        <f t="array" ref="AM137">IFERROR(INDEX('DBX Sprint'!$A$7:$K$62, SMALL(IF((INDEX('DBX Sprint'!$A$7:$K$62, ,32)=("Complete"))*(INDEX('DBX Sprint'!$A$7:$K$62, ,32)="Complete"),MATCH(ROW('DBX Sprint'!$A$7:$K$62),ROW('DBX Sprint'!$A$7:$K$62)),""),ROWS($AM$34:AM137)),COLUMNS('DBX Sprint'!$A$1:A12)),"")</f>
        <v/>
      </c>
      <c r="AN137" s="41" t="str" cm="1">
        <f t="array" aca="1" ref="AN137" ca="1">IFERROR(INDEX('DBX Sprint'!$A$7:$K$62, SMALL(IF((INDEX('DBX Sprint'!$A$7:$K$62, ,32)&lt;(TODAY()))*(INDEX('DBX Sprint'!$A$7:$K$62, ,32)&lt;&gt;"Complete"),MATCH(ROW('DBX Sprint'!$A$7:$K$62),ROW('DBX Sprint'!$A$7:$K$62)),""),ROWS($AN$34:AN137)),COLUMNS('DBX Sprint'!$A$1:A12)),"")</f>
        <v/>
      </c>
      <c r="AO137" s="41" t="str" cm="1">
        <f t="array" aca="1" ref="AO137" ca="1">IFERROR(INDEX('DBX Sprint'!$A$7:$K$62, SMALL(IF((INDEX('DBX Sprint'!$A$7:$K$62, ,32)&lt;=(TODAY()+1))*(INDEX('DBX Sprint'!$A$7:$K$62, ,32)&gt;=TODAY()),MATCH(ROW('DBX Sprint'!$A$7:$K$62),ROW('DBX Sprint'!$A$7:$K$62)),""),ROWS($AO$34:AO137)),COLUMNS('DBX Sprint'!$A$1:A12)),"")</f>
        <v/>
      </c>
      <c r="AP137" s="43" t="str" cm="1">
        <f t="array" aca="1" ref="AP137" ca="1">IFERROR(INDEX('DBX Sprint'!$A$7:$K$62, SMALL(IF((INDEX('DBX Sprint'!$A$7:$K$62, ,32)&lt;=(TODAY()+5))*(INDEX('DBX Sprint'!$A$7:$K$62, ,32)&gt;(TODAY()+1)),MATCH(ROW('DBX Sprint'!$A$7:$K$62),ROW('DBX Sprint'!$A$7:$K$62)),""),ROWS($AP$34:AP137)),COLUMNS('DBX Sprint'!$A$1:A12)),"")</f>
        <v/>
      </c>
      <c r="AQ137" s="43" t="str" cm="1">
        <f t="array" aca="1" ref="AQ137" ca="1">IFERROR(INDEX('DBX Sprint'!$A$7:$K$62, SMALL(IF((INDEX('DBX Sprint'!$A$7:$K$62, ,32)&lt;=(TODAY()+10))*(INDEX('DBX Sprint'!$A$7:$K$62, ,32)&gt;(TODAY()+5)),MATCH(ROW('DBX Sprint'!$A$7:$K$62),ROW('DBX Sprint'!$A$7:$K$62)),""),ROWS($AQ$34:AQ137)),COLUMNS('DBX Sprint'!$A$1:A12)),"")</f>
        <v/>
      </c>
    </row>
    <row r="138" spans="3:43" ht="30" customHeight="1">
      <c r="C138" s="41" t="str" cm="1">
        <f t="array" ref="C138">IFERROR(INDEX('DBX Sprint'!$A$7:$K$62, SMALL(IF((INDEX('DBX Sprint'!$A$7:$K$62, ,13)=("Complete"))*(INDEX('DBX Sprint'!$A$7:$K$62, ,13)="Complete"),MATCH(ROW('DBX Sprint'!$A$7:$K$62),ROW('DBX Sprint'!$A$7:$K$62)),""),ROWS(C$34:$C138)),COLUMNS('DBX Sprint'!$A$1:A12)),"")</f>
        <v/>
      </c>
      <c r="D138" s="41" t="str" cm="1">
        <f t="array" aca="1" ref="D138" ca="1">IFERROR(INDEX('DBX Sprint'!$A$7:$K$62, SMALL(IF((INDEX('DBX Sprint'!$A$7:$K$62, ,13)&lt;(TODAY()))*(INDEX('DBX Sprint'!$A$7:$K$62, ,13)&lt;&gt;"Complete"),MATCH(ROW('DBX Sprint'!$A$7:$K$62),ROW('DBX Sprint'!$A$7:$K$62)),""),ROWS(D$34:$D138)),COLUMNS('DBX Sprint'!$A$1:A12)),"")</f>
        <v/>
      </c>
      <c r="E138" s="41" t="str" cm="1">
        <f t="array" aca="1" ref="E138" ca="1">IFERROR(INDEX('DBX Sprint'!$A$7:$K$62, SMALL(IF((INDEX('DBX Sprint'!$A$7:$K$62, ,13)&lt;=(TODAY()+1))*(INDEX('DBX Sprint'!$A$7:$K$62, ,13)&gt;=TODAY()),MATCH(ROW('DBX Sprint'!$A$7:$K$62),ROW('DBX Sprint'!$A$7:$K$62)),""),ROWS(E$34:$E138)),COLUMNS('DBX Sprint'!$A$1:A12)),"")</f>
        <v/>
      </c>
      <c r="F138" s="43" t="str" cm="1">
        <f t="array" aca="1" ref="F138" ca="1">IFERROR(INDEX('DBX Sprint'!$A$7:$K$62, SMALL(IF((INDEX('DBX Sprint'!$A$7:$K$62, ,13)&lt;=(TODAY()+5))*(INDEX('DBX Sprint'!$A$7:$K$62, ,13)&gt;(TODAY()+1)),MATCH(ROW('DBX Sprint'!$A$7:$K$62),ROW('DBX Sprint'!$A$7:$K$62)),""),ROWS($F$34:F138)),COLUMNS('DBX Sprint'!$A$1:A12)),"")</f>
        <v/>
      </c>
      <c r="G138" s="43" t="str" cm="1">
        <f t="array" aca="1" ref="G138" ca="1">IFERROR(INDEX('DBX Sprint'!$A$7:$K$62, SMALL(IF((INDEX('DBX Sprint'!$A$7:$K$62, ,13)&lt;=(TODAY()+10))*(INDEX('DBX Sprint'!$A$7:$K$62, ,13)&gt;(TODAY()+5)),MATCH(ROW('DBX Sprint'!$A$7:$K$62),ROW('DBX Sprint'!$A$7:$K$62)),""),ROWS($G$34:G138)),COLUMNS('DBX Sprint'!$A$1:A12)),"")</f>
        <v/>
      </c>
      <c r="I138" s="41" t="str" cm="1">
        <f t="array" ref="I138">IFERROR(INDEX('DBX Sprint'!$A$7:$K$62, SMALL(IF((INDEX('DBX Sprint'!$A$7:$K$62, ,16)=("Complete"))*(INDEX('DBX Sprint'!$A$7:$K$62, ,16)="Complete"),MATCH(ROW('DBX Sprint'!$A$7:$K$62),ROW('DBX Sprint'!$A$7:$K$62)),""),ROWS($I$34:I138)),COLUMNS('DBX Sprint'!$A$1:A12)),"")</f>
        <v/>
      </c>
      <c r="J138" s="41" t="str" cm="1">
        <f t="array" aca="1" ref="J138" ca="1">IFERROR(INDEX('DBX Sprint'!$A$7:$K$62, SMALL(IF((INDEX('DBX Sprint'!$A$7:$K$62, ,16)&lt;(TODAY()))*(INDEX('DBX Sprint'!$A$7:$K$62, ,16)&lt;&gt;"Complete"),MATCH(ROW('DBX Sprint'!$A$7:$K$62),ROW('DBX Sprint'!$A$7:$K$62)),""),ROWS($J$34:J138)),COLUMNS('DBX Sprint'!$A$1:A12)),"")</f>
        <v/>
      </c>
      <c r="K138" s="41" t="str" cm="1">
        <f t="array" aca="1" ref="K138" ca="1">IFERROR(INDEX('DBX Sprint'!$A$7:$K$62, SMALL(IF((INDEX('DBX Sprint'!$A$7:$K$62, ,16)&lt;=(TODAY()+1))*(INDEX('DBX Sprint'!$A$7:$K$62, ,16)&gt;=TODAY()),MATCH(ROW('DBX Sprint'!$A$7:$K$62),ROW('DBX Sprint'!$A$7:$K$62)),""),ROWS($K$34:K138)),COLUMNS('DBX Sprint'!$A$1:A12)),"")</f>
        <v/>
      </c>
      <c r="L138" s="43" t="str" cm="1">
        <f t="array" aca="1" ref="L138" ca="1">IFERROR(INDEX('DBX Sprint'!$A$7:$K$62, SMALL(IF((INDEX('DBX Sprint'!$A$7:$K$62, ,16)&lt;=(TODAY()+5))*(INDEX('DBX Sprint'!$A$7:$K$62, ,16)&gt;(TODAY()+1)),MATCH(ROW('DBX Sprint'!$A$7:$K$62),ROW('DBX Sprint'!$A$7:$K$62)),""),ROWS($L$34:L138)),COLUMNS('DBX Sprint'!$A$1:A12)),"")</f>
        <v/>
      </c>
      <c r="M138" s="43" t="str" cm="1">
        <f t="array" aca="1" ref="M138" ca="1">IFERROR(INDEX('DBX Sprint'!$A$7:$K$62, SMALL(IF((INDEX('DBX Sprint'!$A$7:$K$62, ,16)&lt;=(TODAY()+10))*(INDEX('DBX Sprint'!$A$7:$K$62, ,16)&gt;(TODAY()+5)),MATCH(ROW('DBX Sprint'!$A$7:$K$62),ROW('DBX Sprint'!$A$7:$K$62)),""),ROWS($M$34:M138)),COLUMNS('DBX Sprint'!$A$1:A12)),"")</f>
        <v/>
      </c>
      <c r="P138" s="41" t="str" cm="1">
        <f t="array" aca="1" ref="P138" ca="1">IFERROR(INDEX('DBX Sprint'!$A$7:$K$62, SMALL(IF((INDEX('DBX Sprint'!$A$7:$K$62, ,19)&lt;(TODAY()))*(INDEX('DBX Sprint'!$A$7:$K$62, ,19)&lt;&gt;"Complete"),MATCH(ROW('DBX Sprint'!$A$7:$K$62),ROW('DBX Sprint'!$A$7:$K$62)),""),ROWS($P$34:P138)),COLUMNS('DBX Sprint'!$A$1:A12)),"")</f>
        <v/>
      </c>
      <c r="Q138" s="41" t="str" cm="1">
        <f t="array" aca="1" ref="Q138" ca="1">IFERROR(INDEX('DBX Sprint'!$A$7:$K$62, SMALL(IF((INDEX('DBX Sprint'!$A$7:$K$62, ,19)&lt;=(TODAY()+1))*(INDEX('DBX Sprint'!$A$7:$K$62, ,19)&gt;=TODAY()),MATCH(ROW('DBX Sprint'!$A$7:$K$62),ROW('DBX Sprint'!$A$7:$K$62)),""),ROWS($Q$34:Q138)),COLUMNS('DBX Sprint'!$A$1:A12)),"")</f>
        <v/>
      </c>
      <c r="R138" s="43" t="str" cm="1">
        <f t="array" aca="1" ref="R138" ca="1">IFERROR(INDEX('DBX Sprint'!$A$7:$K$62, SMALL(IF((INDEX('DBX Sprint'!$A$7:$K$62, ,19)&lt;=(TODAY()+5))*(INDEX('DBX Sprint'!$A$7:$K$62, ,19)&gt;(TODAY()+1)),MATCH(ROW('DBX Sprint'!$A$7:$K$62),ROW('DBX Sprint'!$A$7:$K$62)),""),ROWS($R$34:R138)),COLUMNS('DBX Sprint'!$A$1:A12)),"")</f>
        <v/>
      </c>
      <c r="S138" s="43" t="str" cm="1">
        <f t="array" aca="1" ref="S138" ca="1">IFERROR(INDEX('DBX Sprint'!$A$7:$K$62, SMALL(IF((INDEX('DBX Sprint'!$A$7:$K$62, ,19)&lt;=(TODAY()+10))*(INDEX('DBX Sprint'!$A$7:$K$62, ,19)&gt;(TODAY()+5)),MATCH(ROW('DBX Sprint'!$A$7:$K$62),ROW('DBX Sprint'!$A$7:$K$62)),""),ROWS($S$34:S138)),COLUMNS('DBX Sprint'!$A$1:A12)),"")</f>
        <v/>
      </c>
      <c r="U138" s="41" t="str" cm="1">
        <f t="array" ref="U138">IFERROR(INDEX('DBX Sprint'!$A$7:$K$62, SMALL(IF((INDEX('DBX Sprint'!$A$7:$K$62, ,22)=("Complete"))*(INDEX('DBX Sprint'!$A$7:$K$62, ,22)="Complete"),MATCH(ROW('DBX Sprint'!$A$7:$K$62),ROW('DBX Sprint'!$A$7:$K$62)),""),ROWS($U$34:U138)),COLUMNS('DBX Sprint'!$A$1:A12)),"")</f>
        <v/>
      </c>
      <c r="V138" s="41" t="str" cm="1">
        <f t="array" aca="1" ref="V138" ca="1">IFERROR(INDEX('DBX Sprint'!$A$7:$K$62, SMALL(IF((INDEX('DBX Sprint'!$A$7:$K$62, ,22)&lt;(TODAY()))*(INDEX('DBX Sprint'!$A$7:$K$62, ,22)&lt;&gt;"Complete"),MATCH(ROW('DBX Sprint'!$A$7:$K$62),ROW('DBX Sprint'!$A$7:$K$62)),""),ROWS($V$34:V138)),COLUMNS('DBX Sprint'!$A$1:A12)),"")</f>
        <v/>
      </c>
      <c r="W138" s="41" t="str" cm="1">
        <f t="array" aca="1" ref="W138" ca="1">IFERROR(INDEX('DBX Sprint'!$A$7:$K$62, SMALL(IF((INDEX('DBX Sprint'!$A$7:$K$62, ,22)&lt;=(TODAY()+1))*(INDEX('DBX Sprint'!$A$7:$K$62, ,22)&gt;=TODAY()),MATCH(ROW('DBX Sprint'!$A$7:$K$62),ROW('DBX Sprint'!$A$7:$K$62)),""),ROWS($W$34:W138)),COLUMNS('DBX Sprint'!$A$1:A12)),"")</f>
        <v/>
      </c>
      <c r="X138" s="43" t="str" cm="1">
        <f t="array" aca="1" ref="X138" ca="1">IFERROR(INDEX('DBX Sprint'!$A$7:$K$62, SMALL(IF((INDEX('DBX Sprint'!$A$7:$K$62, ,22)&lt;=(TODAY()+5))*(INDEX('DBX Sprint'!$A$7:$K$62, ,22)&gt;(TODAY()+1)),MATCH(ROW('DBX Sprint'!$A$7:$K$62),ROW('DBX Sprint'!$A$7:$K$62)),""),ROWS($X$34:X138)),COLUMNS('DBX Sprint'!$A$1:A12)),"")</f>
        <v/>
      </c>
      <c r="Y138" s="43" t="str" cm="1">
        <f t="array" aca="1" ref="Y138" ca="1">IFERROR(INDEX('DBX Sprint'!$A$7:$K$62, SMALL(IF((INDEX('DBX Sprint'!$A$7:$K$62, ,22)&lt;=(TODAY()+10))*(INDEX('DBX Sprint'!$A$7:$K$62, ,22)&gt;(TODAY()+5)),MATCH(ROW('DBX Sprint'!$A$7:$K$62),ROW('DBX Sprint'!$A$7:$K$62)),""),ROWS($Y$34:Y138)),COLUMNS('DBX Sprint'!$A$1:A12)),"")</f>
        <v/>
      </c>
      <c r="AA138" s="41" t="str" cm="1">
        <f t="array" ref="AA138">IFERROR(INDEX('DBX Sprint'!$A$7:$K$62, SMALL(IF((INDEX('DBX Sprint'!$A$7:$K$62, ,25)=("Complete"))*(INDEX('DBX Sprint'!$A$7:$K$62, ,25)="Complete"),MATCH(ROW('DBX Sprint'!$A$7:$K$62),ROW('DBX Sprint'!$A$7:$K$62)),""),ROWS($AA$34:AA138)),COLUMNS('DBX Sprint'!$A$1:A12)),"")</f>
        <v/>
      </c>
      <c r="AB138" s="41" t="str" cm="1">
        <f t="array" aca="1" ref="AB138" ca="1">IFERROR(INDEX('DBX Sprint'!$A$7:$K$62, SMALL(IF((INDEX('DBX Sprint'!$A$7:$K$62, ,25)&lt;(TODAY()))*(INDEX('DBX Sprint'!$A$7:$K$62, ,25)&lt;&gt;"Complete"),MATCH(ROW('DBX Sprint'!$A$7:$K$62),ROW('DBX Sprint'!$A$7:$K$62)),""),ROWS($AB$34:AB138)),COLUMNS('DBX Sprint'!$A$1:A12)),"")</f>
        <v/>
      </c>
      <c r="AC138" s="41" t="str" cm="1">
        <f t="array" aca="1" ref="AC138" ca="1">IFERROR(INDEX('DBX Sprint'!$A$7:$K$62, SMALL(IF((INDEX('DBX Sprint'!$A$7:$K$62, ,25)&lt;=(TODAY()+1))*(INDEX('DBX Sprint'!$A$7:$K$62, ,25)&gt;=TODAY()),MATCH(ROW('DBX Sprint'!$A$7:$K$62),ROW('DBX Sprint'!$A$7:$K$62)),""),ROWS($AC$34:AC138)),COLUMNS('DBX Sprint'!$A$1:A12)),"")</f>
        <v/>
      </c>
      <c r="AD138" s="43" t="str" cm="1">
        <f t="array" aca="1" ref="AD138" ca="1">IFERROR(INDEX('DBX Sprint'!$A$7:$K$62, SMALL(IF((INDEX('DBX Sprint'!$A$7:$K$62, ,25)&lt;=(TODAY()+5))*(INDEX('DBX Sprint'!$A$7:$K$62, ,25)&gt;(TODAY()+1)),MATCH(ROW('DBX Sprint'!$A$7:$K$62),ROW('DBX Sprint'!$A$7:$K$62)),""),ROWS($AD$34:AD138)),COLUMNS('DBX Sprint'!$A$1:A12)),"")</f>
        <v/>
      </c>
      <c r="AE138" s="43" t="str" cm="1">
        <f t="array" aca="1" ref="AE138" ca="1">IFERROR(INDEX('DBX Sprint'!$A$7:$K$62, SMALL(IF((INDEX('DBX Sprint'!$A$7:$K$62, ,25)&lt;=(TODAY()+10))*(INDEX('DBX Sprint'!$A$7:$K$62, ,25)&gt;(TODAY()+5)),MATCH(ROW('DBX Sprint'!$A$7:$K$62),ROW('DBX Sprint'!$A$7:$K$62)),""),ROWS($AE$34:AE138)),COLUMNS('DBX Sprint'!$A$1:A12)),"")</f>
        <v/>
      </c>
      <c r="AG138" s="41" t="str" cm="1">
        <f t="array" ref="AG138">IFERROR(INDEX('DBX Sprint'!$A$7:$K$62, SMALL(IF((INDEX('DBX Sprint'!$A$7:$K$62, ,29)=("Complete"))*(INDEX('DBX Sprint'!$A$7:$K$62, ,29)="Complete"),MATCH(ROW('DBX Sprint'!$A$7:$K$62),ROW('DBX Sprint'!$A$7:$K$62)),""),ROWS($AG$34:AG138)),COLUMNS('DBX Sprint'!$A$1:A12)),"")</f>
        <v/>
      </c>
      <c r="AH138" s="41" t="str" cm="1">
        <f t="array" aca="1" ref="AH138" ca="1">IFERROR(INDEX('DBX Sprint'!$A$7:$K$62, SMALL(IF((INDEX('DBX Sprint'!$A$7:$K$62, ,29)&lt;(TODAY()))*(INDEX('DBX Sprint'!$A$7:$K$62, ,29)&lt;&gt;"Complete"),MATCH(ROW('DBX Sprint'!$A$7:$K$62),ROW('DBX Sprint'!$A$7:$K$62)),""),ROWS($AH$34:AH138)),COLUMNS('DBX Sprint'!$A$1:A12)),"")</f>
        <v/>
      </c>
      <c r="AI138" s="41" t="str" cm="1">
        <f t="array" aca="1" ref="AI138" ca="1">IFERROR(INDEX('DBX Sprint'!$A$7:$K$62, SMALL(IF((INDEX('DBX Sprint'!$A$7:$K$62, ,29)&lt;=(TODAY()+1))*(INDEX('DBX Sprint'!$A$7:$K$62, ,29)&gt;=TODAY()),MATCH(ROW('DBX Sprint'!$A$7:$K$62),ROW('DBX Sprint'!$A$7:$K$62)),""),ROWS($AI$34:AI138)),COLUMNS('DBX Sprint'!$A$1:A12)),"")</f>
        <v/>
      </c>
      <c r="AJ138" s="43" t="str" cm="1">
        <f t="array" aca="1" ref="AJ138" ca="1">IFERROR(INDEX('DBX Sprint'!$A$7:$K$62, SMALL(IF((INDEX('DBX Sprint'!$A$7:$K$62, ,29)&lt;=(TODAY()+5))*(INDEX('DBX Sprint'!$A$7:$K$62, ,29)&gt;(TODAY()+1)),MATCH(ROW('DBX Sprint'!$A$7:$K$62),ROW('DBX Sprint'!$A$7:$K$62)),""),ROWS($AJ$34:AJ138)),COLUMNS('DBX Sprint'!$A$1:A12)),"")</f>
        <v/>
      </c>
      <c r="AK138" s="43" t="str" cm="1">
        <f t="array" aca="1" ref="AK138" ca="1">IFERROR(INDEX('DBX Sprint'!$A$7:$K$62, SMALL(IF((INDEX('DBX Sprint'!$A$7:$K$62, ,29)&lt;=(TODAY()+10))*(INDEX('DBX Sprint'!$A$7:$K$62, ,29)&gt;(TODAY()+5)),MATCH(ROW('DBX Sprint'!$A$7:$K$62),ROW('DBX Sprint'!$A$7:$K$62)),""),ROWS($AK$34:AK138)),COLUMNS('DBX Sprint'!$A$1:A12)),"")</f>
        <v/>
      </c>
      <c r="AM138" s="41" t="str" cm="1">
        <f t="array" ref="AM138">IFERROR(INDEX('DBX Sprint'!$A$7:$K$62, SMALL(IF((INDEX('DBX Sprint'!$A$7:$K$62, ,32)=("Complete"))*(INDEX('DBX Sprint'!$A$7:$K$62, ,32)="Complete"),MATCH(ROW('DBX Sprint'!$A$7:$K$62),ROW('DBX Sprint'!$A$7:$K$62)),""),ROWS($AM$34:AM138)),COLUMNS('DBX Sprint'!$A$1:A12)),"")</f>
        <v/>
      </c>
      <c r="AN138" s="41" t="str" cm="1">
        <f t="array" aca="1" ref="AN138" ca="1">IFERROR(INDEX('DBX Sprint'!$A$7:$K$62, SMALL(IF((INDEX('DBX Sprint'!$A$7:$K$62, ,32)&lt;(TODAY()))*(INDEX('DBX Sprint'!$A$7:$K$62, ,32)&lt;&gt;"Complete"),MATCH(ROW('DBX Sprint'!$A$7:$K$62),ROW('DBX Sprint'!$A$7:$K$62)),""),ROWS($AN$34:AN138)),COLUMNS('DBX Sprint'!$A$1:A12)),"")</f>
        <v/>
      </c>
      <c r="AO138" s="41" t="str" cm="1">
        <f t="array" aca="1" ref="AO138" ca="1">IFERROR(INDEX('DBX Sprint'!$A$7:$K$62, SMALL(IF((INDEX('DBX Sprint'!$A$7:$K$62, ,32)&lt;=(TODAY()+1))*(INDEX('DBX Sprint'!$A$7:$K$62, ,32)&gt;=TODAY()),MATCH(ROW('DBX Sprint'!$A$7:$K$62),ROW('DBX Sprint'!$A$7:$K$62)),""),ROWS($AO$34:AO138)),COLUMNS('DBX Sprint'!$A$1:A12)),"")</f>
        <v/>
      </c>
      <c r="AP138" s="43" t="str" cm="1">
        <f t="array" aca="1" ref="AP138" ca="1">IFERROR(INDEX('DBX Sprint'!$A$7:$K$62, SMALL(IF((INDEX('DBX Sprint'!$A$7:$K$62, ,32)&lt;=(TODAY()+5))*(INDEX('DBX Sprint'!$A$7:$K$62, ,32)&gt;(TODAY()+1)),MATCH(ROW('DBX Sprint'!$A$7:$K$62),ROW('DBX Sprint'!$A$7:$K$62)),""),ROWS($AP$34:AP138)),COLUMNS('DBX Sprint'!$A$1:A12)),"")</f>
        <v/>
      </c>
      <c r="AQ138" s="43" t="str" cm="1">
        <f t="array" aca="1" ref="AQ138" ca="1">IFERROR(INDEX('DBX Sprint'!$A$7:$K$62, SMALL(IF((INDEX('DBX Sprint'!$A$7:$K$62, ,32)&lt;=(TODAY()+10))*(INDEX('DBX Sprint'!$A$7:$K$62, ,32)&gt;(TODAY()+5)),MATCH(ROW('DBX Sprint'!$A$7:$K$62),ROW('DBX Sprint'!$A$7:$K$62)),""),ROWS($AQ$34:AQ138)),COLUMNS('DBX Sprint'!$A$1:A12)),"")</f>
        <v/>
      </c>
    </row>
    <row r="139" spans="3:43" ht="30" customHeight="1">
      <c r="C139" s="41" t="str" cm="1">
        <f t="array" ref="C139">IFERROR(INDEX('DBX Sprint'!$A$7:$K$62, SMALL(IF((INDEX('DBX Sprint'!$A$7:$K$62, ,13)=("Complete"))*(INDEX('DBX Sprint'!$A$7:$K$62, ,13)="Complete"),MATCH(ROW('DBX Sprint'!$A$7:$K$62),ROW('DBX Sprint'!$A$7:$K$62)),""),ROWS(C$34:$C139)),COLUMNS('DBX Sprint'!$A$1:A12)),"")</f>
        <v/>
      </c>
      <c r="D139" s="41" t="str" cm="1">
        <f t="array" aca="1" ref="D139" ca="1">IFERROR(INDEX('DBX Sprint'!$A$7:$K$62, SMALL(IF((INDEX('DBX Sprint'!$A$7:$K$62, ,13)&lt;(TODAY()))*(INDEX('DBX Sprint'!$A$7:$K$62, ,13)&lt;&gt;"Complete"),MATCH(ROW('DBX Sprint'!$A$7:$K$62),ROW('DBX Sprint'!$A$7:$K$62)),""),ROWS(D$34:$D139)),COLUMNS('DBX Sprint'!$A$1:A12)),"")</f>
        <v/>
      </c>
      <c r="E139" s="41" t="str" cm="1">
        <f t="array" aca="1" ref="E139" ca="1">IFERROR(INDEX('DBX Sprint'!$A$7:$K$62, SMALL(IF((INDEX('DBX Sprint'!$A$7:$K$62, ,13)&lt;=(TODAY()+1))*(INDEX('DBX Sprint'!$A$7:$K$62, ,13)&gt;=TODAY()),MATCH(ROW('DBX Sprint'!$A$7:$K$62),ROW('DBX Sprint'!$A$7:$K$62)),""),ROWS(E$34:$E139)),COLUMNS('DBX Sprint'!$A$1:A12)),"")</f>
        <v/>
      </c>
      <c r="F139" s="43" t="str" cm="1">
        <f t="array" aca="1" ref="F139" ca="1">IFERROR(INDEX('DBX Sprint'!$A$7:$K$62, SMALL(IF((INDEX('DBX Sprint'!$A$7:$K$62, ,13)&lt;=(TODAY()+5))*(INDEX('DBX Sprint'!$A$7:$K$62, ,13)&gt;(TODAY()+1)),MATCH(ROW('DBX Sprint'!$A$7:$K$62),ROW('DBX Sprint'!$A$7:$K$62)),""),ROWS($F$34:F139)),COLUMNS('DBX Sprint'!$A$1:A12)),"")</f>
        <v/>
      </c>
      <c r="G139" s="43" t="str" cm="1">
        <f t="array" aca="1" ref="G139" ca="1">IFERROR(INDEX('DBX Sprint'!$A$7:$K$62, SMALL(IF((INDEX('DBX Sprint'!$A$7:$K$62, ,13)&lt;=(TODAY()+10))*(INDEX('DBX Sprint'!$A$7:$K$62, ,13)&gt;(TODAY()+5)),MATCH(ROW('DBX Sprint'!$A$7:$K$62),ROW('DBX Sprint'!$A$7:$K$62)),""),ROWS($G$34:G139)),COLUMNS('DBX Sprint'!$A$1:A12)),"")</f>
        <v/>
      </c>
      <c r="I139" s="41" t="str" cm="1">
        <f t="array" ref="I139">IFERROR(INDEX('DBX Sprint'!$A$7:$K$62, SMALL(IF((INDEX('DBX Sprint'!$A$7:$K$62, ,16)=("Complete"))*(INDEX('DBX Sprint'!$A$7:$K$62, ,16)="Complete"),MATCH(ROW('DBX Sprint'!$A$7:$K$62),ROW('DBX Sprint'!$A$7:$K$62)),""),ROWS($I$34:I139)),COLUMNS('DBX Sprint'!$A$1:A12)),"")</f>
        <v/>
      </c>
      <c r="J139" s="41" t="str" cm="1">
        <f t="array" aca="1" ref="J139" ca="1">IFERROR(INDEX('DBX Sprint'!$A$7:$K$62, SMALL(IF((INDEX('DBX Sprint'!$A$7:$K$62, ,16)&lt;(TODAY()))*(INDEX('DBX Sprint'!$A$7:$K$62, ,16)&lt;&gt;"Complete"),MATCH(ROW('DBX Sprint'!$A$7:$K$62),ROW('DBX Sprint'!$A$7:$K$62)),""),ROWS($J$34:J139)),COLUMNS('DBX Sprint'!$A$1:A12)),"")</f>
        <v/>
      </c>
      <c r="K139" s="41" t="str" cm="1">
        <f t="array" aca="1" ref="K139" ca="1">IFERROR(INDEX('DBX Sprint'!$A$7:$K$62, SMALL(IF((INDEX('DBX Sprint'!$A$7:$K$62, ,16)&lt;=(TODAY()+1))*(INDEX('DBX Sprint'!$A$7:$K$62, ,16)&gt;=TODAY()),MATCH(ROW('DBX Sprint'!$A$7:$K$62),ROW('DBX Sprint'!$A$7:$K$62)),""),ROWS($K$34:K139)),COLUMNS('DBX Sprint'!$A$1:A12)),"")</f>
        <v/>
      </c>
      <c r="L139" s="43" t="str" cm="1">
        <f t="array" aca="1" ref="L139" ca="1">IFERROR(INDEX('DBX Sprint'!$A$7:$K$62, SMALL(IF((INDEX('DBX Sprint'!$A$7:$K$62, ,16)&lt;=(TODAY()+5))*(INDEX('DBX Sprint'!$A$7:$K$62, ,16)&gt;(TODAY()+1)),MATCH(ROW('DBX Sprint'!$A$7:$K$62),ROW('DBX Sprint'!$A$7:$K$62)),""),ROWS($L$34:L139)),COLUMNS('DBX Sprint'!$A$1:A12)),"")</f>
        <v/>
      </c>
      <c r="M139" s="43" t="str" cm="1">
        <f t="array" aca="1" ref="M139" ca="1">IFERROR(INDEX('DBX Sprint'!$A$7:$K$62, SMALL(IF((INDEX('DBX Sprint'!$A$7:$K$62, ,16)&lt;=(TODAY()+10))*(INDEX('DBX Sprint'!$A$7:$K$62, ,16)&gt;(TODAY()+5)),MATCH(ROW('DBX Sprint'!$A$7:$K$62),ROW('DBX Sprint'!$A$7:$K$62)),""),ROWS($M$34:M139)),COLUMNS('DBX Sprint'!$A$1:A12)),"")</f>
        <v/>
      </c>
      <c r="P139" s="41" t="str" cm="1">
        <f t="array" aca="1" ref="P139" ca="1">IFERROR(INDEX('DBX Sprint'!$A$7:$K$62, SMALL(IF((INDEX('DBX Sprint'!$A$7:$K$62, ,19)&lt;(TODAY()))*(INDEX('DBX Sprint'!$A$7:$K$62, ,19)&lt;&gt;"Complete"),MATCH(ROW('DBX Sprint'!$A$7:$K$62),ROW('DBX Sprint'!$A$7:$K$62)),""),ROWS($P$34:P139)),COLUMNS('DBX Sprint'!$A$1:A12)),"")</f>
        <v/>
      </c>
      <c r="Q139" s="41" t="str" cm="1">
        <f t="array" aca="1" ref="Q139" ca="1">IFERROR(INDEX('DBX Sprint'!$A$7:$K$62, SMALL(IF((INDEX('DBX Sprint'!$A$7:$K$62, ,19)&lt;=(TODAY()+1))*(INDEX('DBX Sprint'!$A$7:$K$62, ,19)&gt;=TODAY()),MATCH(ROW('DBX Sprint'!$A$7:$K$62),ROW('DBX Sprint'!$A$7:$K$62)),""),ROWS($Q$34:Q139)),COLUMNS('DBX Sprint'!$A$1:A12)),"")</f>
        <v/>
      </c>
      <c r="R139" s="43" t="str" cm="1">
        <f t="array" aca="1" ref="R139" ca="1">IFERROR(INDEX('DBX Sprint'!$A$7:$K$62, SMALL(IF((INDEX('DBX Sprint'!$A$7:$K$62, ,19)&lt;=(TODAY()+5))*(INDEX('DBX Sprint'!$A$7:$K$62, ,19)&gt;(TODAY()+1)),MATCH(ROW('DBX Sprint'!$A$7:$K$62),ROW('DBX Sprint'!$A$7:$K$62)),""),ROWS($R$34:R139)),COLUMNS('DBX Sprint'!$A$1:A12)),"")</f>
        <v/>
      </c>
      <c r="S139" s="43" t="str" cm="1">
        <f t="array" aca="1" ref="S139" ca="1">IFERROR(INDEX('DBX Sprint'!$A$7:$K$62, SMALL(IF((INDEX('DBX Sprint'!$A$7:$K$62, ,19)&lt;=(TODAY()+10))*(INDEX('DBX Sprint'!$A$7:$K$62, ,19)&gt;(TODAY()+5)),MATCH(ROW('DBX Sprint'!$A$7:$K$62),ROW('DBX Sprint'!$A$7:$K$62)),""),ROWS($S$34:S139)),COLUMNS('DBX Sprint'!$A$1:A12)),"")</f>
        <v/>
      </c>
      <c r="U139" s="41" t="str" cm="1">
        <f t="array" ref="U139">IFERROR(INDEX('DBX Sprint'!$A$7:$K$62, SMALL(IF((INDEX('DBX Sprint'!$A$7:$K$62, ,22)=("Complete"))*(INDEX('DBX Sprint'!$A$7:$K$62, ,22)="Complete"),MATCH(ROW('DBX Sprint'!$A$7:$K$62),ROW('DBX Sprint'!$A$7:$K$62)),""),ROWS($U$34:U139)),COLUMNS('DBX Sprint'!$A$1:A12)),"")</f>
        <v/>
      </c>
      <c r="V139" s="41" t="str" cm="1">
        <f t="array" aca="1" ref="V139" ca="1">IFERROR(INDEX('DBX Sprint'!$A$7:$K$62, SMALL(IF((INDEX('DBX Sprint'!$A$7:$K$62, ,22)&lt;(TODAY()))*(INDEX('DBX Sprint'!$A$7:$K$62, ,22)&lt;&gt;"Complete"),MATCH(ROW('DBX Sprint'!$A$7:$K$62),ROW('DBX Sprint'!$A$7:$K$62)),""),ROWS($V$34:V139)),COLUMNS('DBX Sprint'!$A$1:A12)),"")</f>
        <v/>
      </c>
      <c r="W139" s="41" t="str" cm="1">
        <f t="array" aca="1" ref="W139" ca="1">IFERROR(INDEX('DBX Sprint'!$A$7:$K$62, SMALL(IF((INDEX('DBX Sprint'!$A$7:$K$62, ,22)&lt;=(TODAY()+1))*(INDEX('DBX Sprint'!$A$7:$K$62, ,22)&gt;=TODAY()),MATCH(ROW('DBX Sprint'!$A$7:$K$62),ROW('DBX Sprint'!$A$7:$K$62)),""),ROWS($W$34:W139)),COLUMNS('DBX Sprint'!$A$1:A12)),"")</f>
        <v/>
      </c>
      <c r="X139" s="43" t="str" cm="1">
        <f t="array" aca="1" ref="X139" ca="1">IFERROR(INDEX('DBX Sprint'!$A$7:$K$62, SMALL(IF((INDEX('DBX Sprint'!$A$7:$K$62, ,22)&lt;=(TODAY()+5))*(INDEX('DBX Sprint'!$A$7:$K$62, ,22)&gt;(TODAY()+1)),MATCH(ROW('DBX Sprint'!$A$7:$K$62),ROW('DBX Sprint'!$A$7:$K$62)),""),ROWS($X$34:X139)),COLUMNS('DBX Sprint'!$A$1:A12)),"")</f>
        <v/>
      </c>
      <c r="Y139" s="43" t="str" cm="1">
        <f t="array" aca="1" ref="Y139" ca="1">IFERROR(INDEX('DBX Sprint'!$A$7:$K$62, SMALL(IF((INDEX('DBX Sprint'!$A$7:$K$62, ,22)&lt;=(TODAY()+10))*(INDEX('DBX Sprint'!$A$7:$K$62, ,22)&gt;(TODAY()+5)),MATCH(ROW('DBX Sprint'!$A$7:$K$62),ROW('DBX Sprint'!$A$7:$K$62)),""),ROWS($Y$34:Y139)),COLUMNS('DBX Sprint'!$A$1:A12)),"")</f>
        <v/>
      </c>
      <c r="AA139" s="41" t="str" cm="1">
        <f t="array" ref="AA139">IFERROR(INDEX('DBX Sprint'!$A$7:$K$62, SMALL(IF((INDEX('DBX Sprint'!$A$7:$K$62, ,25)=("Complete"))*(INDEX('DBX Sprint'!$A$7:$K$62, ,25)="Complete"),MATCH(ROW('DBX Sprint'!$A$7:$K$62),ROW('DBX Sprint'!$A$7:$K$62)),""),ROWS($AA$34:AA139)),COLUMNS('DBX Sprint'!$A$1:A12)),"")</f>
        <v/>
      </c>
      <c r="AB139" s="41" t="str" cm="1">
        <f t="array" aca="1" ref="AB139" ca="1">IFERROR(INDEX('DBX Sprint'!$A$7:$K$62, SMALL(IF((INDEX('DBX Sprint'!$A$7:$K$62, ,25)&lt;(TODAY()))*(INDEX('DBX Sprint'!$A$7:$K$62, ,25)&lt;&gt;"Complete"),MATCH(ROW('DBX Sprint'!$A$7:$K$62),ROW('DBX Sprint'!$A$7:$K$62)),""),ROWS($AB$34:AB139)),COLUMNS('DBX Sprint'!$A$1:A12)),"")</f>
        <v/>
      </c>
      <c r="AC139" s="41" t="str" cm="1">
        <f t="array" aca="1" ref="AC139" ca="1">IFERROR(INDEX('DBX Sprint'!$A$7:$K$62, SMALL(IF((INDEX('DBX Sprint'!$A$7:$K$62, ,25)&lt;=(TODAY()+1))*(INDEX('DBX Sprint'!$A$7:$K$62, ,25)&gt;=TODAY()),MATCH(ROW('DBX Sprint'!$A$7:$K$62),ROW('DBX Sprint'!$A$7:$K$62)),""),ROWS($AC$34:AC139)),COLUMNS('DBX Sprint'!$A$1:A12)),"")</f>
        <v/>
      </c>
      <c r="AD139" s="43" t="str" cm="1">
        <f t="array" aca="1" ref="AD139" ca="1">IFERROR(INDEX('DBX Sprint'!$A$7:$K$62, SMALL(IF((INDEX('DBX Sprint'!$A$7:$K$62, ,25)&lt;=(TODAY()+5))*(INDEX('DBX Sprint'!$A$7:$K$62, ,25)&gt;(TODAY()+1)),MATCH(ROW('DBX Sprint'!$A$7:$K$62),ROW('DBX Sprint'!$A$7:$K$62)),""),ROWS($AD$34:AD139)),COLUMNS('DBX Sprint'!$A$1:A12)),"")</f>
        <v/>
      </c>
      <c r="AE139" s="43" t="str" cm="1">
        <f t="array" aca="1" ref="AE139" ca="1">IFERROR(INDEX('DBX Sprint'!$A$7:$K$62, SMALL(IF((INDEX('DBX Sprint'!$A$7:$K$62, ,25)&lt;=(TODAY()+10))*(INDEX('DBX Sprint'!$A$7:$K$62, ,25)&gt;(TODAY()+5)),MATCH(ROW('DBX Sprint'!$A$7:$K$62),ROW('DBX Sprint'!$A$7:$K$62)),""),ROWS($AE$34:AE139)),COLUMNS('DBX Sprint'!$A$1:A12)),"")</f>
        <v/>
      </c>
      <c r="AG139" s="41" t="str" cm="1">
        <f t="array" ref="AG139">IFERROR(INDEX('DBX Sprint'!$A$7:$K$62, SMALL(IF((INDEX('DBX Sprint'!$A$7:$K$62, ,29)=("Complete"))*(INDEX('DBX Sprint'!$A$7:$K$62, ,29)="Complete"),MATCH(ROW('DBX Sprint'!$A$7:$K$62),ROW('DBX Sprint'!$A$7:$K$62)),""),ROWS($AG$34:AG139)),COLUMNS('DBX Sprint'!$A$1:A12)),"")</f>
        <v/>
      </c>
      <c r="AH139" s="41" t="str" cm="1">
        <f t="array" aca="1" ref="AH139" ca="1">IFERROR(INDEX('DBX Sprint'!$A$7:$K$62, SMALL(IF((INDEX('DBX Sprint'!$A$7:$K$62, ,29)&lt;(TODAY()))*(INDEX('DBX Sprint'!$A$7:$K$62, ,29)&lt;&gt;"Complete"),MATCH(ROW('DBX Sprint'!$A$7:$K$62),ROW('DBX Sprint'!$A$7:$K$62)),""),ROWS($AH$34:AH139)),COLUMNS('DBX Sprint'!$A$1:A12)),"")</f>
        <v/>
      </c>
      <c r="AI139" s="41" t="str" cm="1">
        <f t="array" aca="1" ref="AI139" ca="1">IFERROR(INDEX('DBX Sprint'!$A$7:$K$62, SMALL(IF((INDEX('DBX Sprint'!$A$7:$K$62, ,29)&lt;=(TODAY()+1))*(INDEX('DBX Sprint'!$A$7:$K$62, ,29)&gt;=TODAY()),MATCH(ROW('DBX Sprint'!$A$7:$K$62),ROW('DBX Sprint'!$A$7:$K$62)),""),ROWS($AI$34:AI139)),COLUMNS('DBX Sprint'!$A$1:A12)),"")</f>
        <v/>
      </c>
      <c r="AJ139" s="43" t="str" cm="1">
        <f t="array" aca="1" ref="AJ139" ca="1">IFERROR(INDEX('DBX Sprint'!$A$7:$K$62, SMALL(IF((INDEX('DBX Sprint'!$A$7:$K$62, ,29)&lt;=(TODAY()+5))*(INDEX('DBX Sprint'!$A$7:$K$62, ,29)&gt;(TODAY()+1)),MATCH(ROW('DBX Sprint'!$A$7:$K$62),ROW('DBX Sprint'!$A$7:$K$62)),""),ROWS($AJ$34:AJ139)),COLUMNS('DBX Sprint'!$A$1:A12)),"")</f>
        <v/>
      </c>
      <c r="AK139" s="43" t="str" cm="1">
        <f t="array" aca="1" ref="AK139" ca="1">IFERROR(INDEX('DBX Sprint'!$A$7:$K$62, SMALL(IF((INDEX('DBX Sprint'!$A$7:$K$62, ,29)&lt;=(TODAY()+10))*(INDEX('DBX Sprint'!$A$7:$K$62, ,29)&gt;(TODAY()+5)),MATCH(ROW('DBX Sprint'!$A$7:$K$62),ROW('DBX Sprint'!$A$7:$K$62)),""),ROWS($AK$34:AK139)),COLUMNS('DBX Sprint'!$A$1:A12)),"")</f>
        <v/>
      </c>
      <c r="AM139" s="41" t="str" cm="1">
        <f t="array" ref="AM139">IFERROR(INDEX('DBX Sprint'!$A$7:$K$62, SMALL(IF((INDEX('DBX Sprint'!$A$7:$K$62, ,32)=("Complete"))*(INDEX('DBX Sprint'!$A$7:$K$62, ,32)="Complete"),MATCH(ROW('DBX Sprint'!$A$7:$K$62),ROW('DBX Sprint'!$A$7:$K$62)),""),ROWS($AM$34:AM139)),COLUMNS('DBX Sprint'!$A$1:A12)),"")</f>
        <v/>
      </c>
      <c r="AN139" s="41" t="str" cm="1">
        <f t="array" aca="1" ref="AN139" ca="1">IFERROR(INDEX('DBX Sprint'!$A$7:$K$62, SMALL(IF((INDEX('DBX Sprint'!$A$7:$K$62, ,32)&lt;(TODAY()))*(INDEX('DBX Sprint'!$A$7:$K$62, ,32)&lt;&gt;"Complete"),MATCH(ROW('DBX Sprint'!$A$7:$K$62),ROW('DBX Sprint'!$A$7:$K$62)),""),ROWS($AN$34:AN139)),COLUMNS('DBX Sprint'!$A$1:A12)),"")</f>
        <v/>
      </c>
      <c r="AO139" s="41" t="str" cm="1">
        <f t="array" aca="1" ref="AO139" ca="1">IFERROR(INDEX('DBX Sprint'!$A$7:$K$62, SMALL(IF((INDEX('DBX Sprint'!$A$7:$K$62, ,32)&lt;=(TODAY()+1))*(INDEX('DBX Sprint'!$A$7:$K$62, ,32)&gt;=TODAY()),MATCH(ROW('DBX Sprint'!$A$7:$K$62),ROW('DBX Sprint'!$A$7:$K$62)),""),ROWS($AO$34:AO139)),COLUMNS('DBX Sprint'!$A$1:A12)),"")</f>
        <v/>
      </c>
      <c r="AP139" s="43" t="str" cm="1">
        <f t="array" aca="1" ref="AP139" ca="1">IFERROR(INDEX('DBX Sprint'!$A$7:$K$62, SMALL(IF((INDEX('DBX Sprint'!$A$7:$K$62, ,32)&lt;=(TODAY()+5))*(INDEX('DBX Sprint'!$A$7:$K$62, ,32)&gt;(TODAY()+1)),MATCH(ROW('DBX Sprint'!$A$7:$K$62),ROW('DBX Sprint'!$A$7:$K$62)),""),ROWS($AP$34:AP139)),COLUMNS('DBX Sprint'!$A$1:A12)),"")</f>
        <v/>
      </c>
      <c r="AQ139" s="43" t="str" cm="1">
        <f t="array" aca="1" ref="AQ139" ca="1">IFERROR(INDEX('DBX Sprint'!$A$7:$K$62, SMALL(IF((INDEX('DBX Sprint'!$A$7:$K$62, ,32)&lt;=(TODAY()+10))*(INDEX('DBX Sprint'!$A$7:$K$62, ,32)&gt;(TODAY()+5)),MATCH(ROW('DBX Sprint'!$A$7:$K$62),ROW('DBX Sprint'!$A$7:$K$62)),""),ROWS($AQ$34:AQ139)),COLUMNS('DBX Sprint'!$A$1:A12)),"")</f>
        <v/>
      </c>
    </row>
    <row r="140" spans="3:43" ht="30" customHeight="1">
      <c r="C140" s="41" t="str" cm="1">
        <f t="array" ref="C140">IFERROR(INDEX('DBX Sprint'!$A$7:$K$62, SMALL(IF((INDEX('DBX Sprint'!$A$7:$K$62, ,13)=("Complete"))*(INDEX('DBX Sprint'!$A$7:$K$62, ,13)="Complete"),MATCH(ROW('DBX Sprint'!$A$7:$K$62),ROW('DBX Sprint'!$A$7:$K$62)),""),ROWS(C$34:$C140)),COLUMNS('DBX Sprint'!$A$1:A12)),"")</f>
        <v/>
      </c>
      <c r="D140" s="41" t="str" cm="1">
        <f t="array" aca="1" ref="D140" ca="1">IFERROR(INDEX('DBX Sprint'!$A$7:$K$62, SMALL(IF((INDEX('DBX Sprint'!$A$7:$K$62, ,13)&lt;(TODAY()))*(INDEX('DBX Sprint'!$A$7:$K$62, ,13)&lt;&gt;"Complete"),MATCH(ROW('DBX Sprint'!$A$7:$K$62),ROW('DBX Sprint'!$A$7:$K$62)),""),ROWS(D$34:$D140)),COLUMNS('DBX Sprint'!$A$1:A12)),"")</f>
        <v/>
      </c>
      <c r="E140" s="41" t="str" cm="1">
        <f t="array" aca="1" ref="E140" ca="1">IFERROR(INDEX('DBX Sprint'!$A$7:$K$62, SMALL(IF((INDEX('DBX Sprint'!$A$7:$K$62, ,13)&lt;=(TODAY()+1))*(INDEX('DBX Sprint'!$A$7:$K$62, ,13)&gt;=TODAY()),MATCH(ROW('DBX Sprint'!$A$7:$K$62),ROW('DBX Sprint'!$A$7:$K$62)),""),ROWS(E$34:$E140)),COLUMNS('DBX Sprint'!$A$1:A12)),"")</f>
        <v/>
      </c>
      <c r="F140" s="43" t="str" cm="1">
        <f t="array" aca="1" ref="F140" ca="1">IFERROR(INDEX('DBX Sprint'!$A$7:$K$62, SMALL(IF((INDEX('DBX Sprint'!$A$7:$K$62, ,13)&lt;=(TODAY()+5))*(INDEX('DBX Sprint'!$A$7:$K$62, ,13)&gt;(TODAY()+1)),MATCH(ROW('DBX Sprint'!$A$7:$K$62),ROW('DBX Sprint'!$A$7:$K$62)),""),ROWS($F$34:F140)),COLUMNS('DBX Sprint'!$A$1:A12)),"")</f>
        <v/>
      </c>
      <c r="G140" s="43" t="str" cm="1">
        <f t="array" aca="1" ref="G140" ca="1">IFERROR(INDEX('DBX Sprint'!$A$7:$K$62, SMALL(IF((INDEX('DBX Sprint'!$A$7:$K$62, ,13)&lt;=(TODAY()+10))*(INDEX('DBX Sprint'!$A$7:$K$62, ,13)&gt;(TODAY()+5)),MATCH(ROW('DBX Sprint'!$A$7:$K$62),ROW('DBX Sprint'!$A$7:$K$62)),""),ROWS($G$34:G140)),COLUMNS('DBX Sprint'!$A$1:A12)),"")</f>
        <v/>
      </c>
      <c r="I140" s="41" t="str" cm="1">
        <f t="array" ref="I140">IFERROR(INDEX('DBX Sprint'!$A$7:$K$62, SMALL(IF((INDEX('DBX Sprint'!$A$7:$K$62, ,16)=("Complete"))*(INDEX('DBX Sprint'!$A$7:$K$62, ,16)="Complete"),MATCH(ROW('DBX Sprint'!$A$7:$K$62),ROW('DBX Sprint'!$A$7:$K$62)),""),ROWS($I$34:I140)),COLUMNS('DBX Sprint'!$A$1:A12)),"")</f>
        <v/>
      </c>
      <c r="J140" s="41" t="str" cm="1">
        <f t="array" aca="1" ref="J140" ca="1">IFERROR(INDEX('DBX Sprint'!$A$7:$K$62, SMALL(IF((INDEX('DBX Sprint'!$A$7:$K$62, ,16)&lt;(TODAY()))*(INDEX('DBX Sprint'!$A$7:$K$62, ,16)&lt;&gt;"Complete"),MATCH(ROW('DBX Sprint'!$A$7:$K$62),ROW('DBX Sprint'!$A$7:$K$62)),""),ROWS($J$34:J140)),COLUMNS('DBX Sprint'!$A$1:A12)),"")</f>
        <v/>
      </c>
      <c r="K140" s="41" t="str" cm="1">
        <f t="array" aca="1" ref="K140" ca="1">IFERROR(INDEX('DBX Sprint'!$A$7:$K$62, SMALL(IF((INDEX('DBX Sprint'!$A$7:$K$62, ,16)&lt;=(TODAY()+1))*(INDEX('DBX Sprint'!$A$7:$K$62, ,16)&gt;=TODAY()),MATCH(ROW('DBX Sprint'!$A$7:$K$62),ROW('DBX Sprint'!$A$7:$K$62)),""),ROWS($K$34:K140)),COLUMNS('DBX Sprint'!$A$1:A12)),"")</f>
        <v/>
      </c>
      <c r="L140" s="43" t="str" cm="1">
        <f t="array" aca="1" ref="L140" ca="1">IFERROR(INDEX('DBX Sprint'!$A$7:$K$62, SMALL(IF((INDEX('DBX Sprint'!$A$7:$K$62, ,16)&lt;=(TODAY()+5))*(INDEX('DBX Sprint'!$A$7:$K$62, ,16)&gt;(TODAY()+1)),MATCH(ROW('DBX Sprint'!$A$7:$K$62),ROW('DBX Sprint'!$A$7:$K$62)),""),ROWS($L$34:L140)),COLUMNS('DBX Sprint'!$A$1:A12)),"")</f>
        <v/>
      </c>
      <c r="M140" s="43" t="str" cm="1">
        <f t="array" aca="1" ref="M140" ca="1">IFERROR(INDEX('DBX Sprint'!$A$7:$K$62, SMALL(IF((INDEX('DBX Sprint'!$A$7:$K$62, ,16)&lt;=(TODAY()+10))*(INDEX('DBX Sprint'!$A$7:$K$62, ,16)&gt;(TODAY()+5)),MATCH(ROW('DBX Sprint'!$A$7:$K$62),ROW('DBX Sprint'!$A$7:$K$62)),""),ROWS($M$34:M140)),COLUMNS('DBX Sprint'!$A$1:A12)),"")</f>
        <v/>
      </c>
      <c r="P140" s="41" t="str" cm="1">
        <f t="array" aca="1" ref="P140" ca="1">IFERROR(INDEX('DBX Sprint'!$A$7:$K$62, SMALL(IF((INDEX('DBX Sprint'!$A$7:$K$62, ,19)&lt;(TODAY()))*(INDEX('DBX Sprint'!$A$7:$K$62, ,19)&lt;&gt;"Complete"),MATCH(ROW('DBX Sprint'!$A$7:$K$62),ROW('DBX Sprint'!$A$7:$K$62)),""),ROWS($P$34:P140)),COLUMNS('DBX Sprint'!$A$1:A12)),"")</f>
        <v/>
      </c>
      <c r="Q140" s="41" t="str" cm="1">
        <f t="array" aca="1" ref="Q140" ca="1">IFERROR(INDEX('DBX Sprint'!$A$7:$K$62, SMALL(IF((INDEX('DBX Sprint'!$A$7:$K$62, ,19)&lt;=(TODAY()+1))*(INDEX('DBX Sprint'!$A$7:$K$62, ,19)&gt;=TODAY()),MATCH(ROW('DBX Sprint'!$A$7:$K$62),ROW('DBX Sprint'!$A$7:$K$62)),""),ROWS($Q$34:Q140)),COLUMNS('DBX Sprint'!$A$1:A12)),"")</f>
        <v/>
      </c>
      <c r="R140" s="43" t="str" cm="1">
        <f t="array" aca="1" ref="R140" ca="1">IFERROR(INDEX('DBX Sprint'!$A$7:$K$62, SMALL(IF((INDEX('DBX Sprint'!$A$7:$K$62, ,19)&lt;=(TODAY()+5))*(INDEX('DBX Sprint'!$A$7:$K$62, ,19)&gt;(TODAY()+1)),MATCH(ROW('DBX Sprint'!$A$7:$K$62),ROW('DBX Sprint'!$A$7:$K$62)),""),ROWS($R$34:R140)),COLUMNS('DBX Sprint'!$A$1:A12)),"")</f>
        <v/>
      </c>
      <c r="S140" s="43" t="str" cm="1">
        <f t="array" aca="1" ref="S140" ca="1">IFERROR(INDEX('DBX Sprint'!$A$7:$K$62, SMALL(IF((INDEX('DBX Sprint'!$A$7:$K$62, ,19)&lt;=(TODAY()+10))*(INDEX('DBX Sprint'!$A$7:$K$62, ,19)&gt;(TODAY()+5)),MATCH(ROW('DBX Sprint'!$A$7:$K$62),ROW('DBX Sprint'!$A$7:$K$62)),""),ROWS($S$34:S140)),COLUMNS('DBX Sprint'!$A$1:A12)),"")</f>
        <v/>
      </c>
      <c r="U140" s="41" t="str" cm="1">
        <f t="array" ref="U140">IFERROR(INDEX('DBX Sprint'!$A$7:$K$62, SMALL(IF((INDEX('DBX Sprint'!$A$7:$K$62, ,22)=("Complete"))*(INDEX('DBX Sprint'!$A$7:$K$62, ,22)="Complete"),MATCH(ROW('DBX Sprint'!$A$7:$K$62),ROW('DBX Sprint'!$A$7:$K$62)),""),ROWS($U$34:U140)),COLUMNS('DBX Sprint'!$A$1:A12)),"")</f>
        <v/>
      </c>
      <c r="V140" s="41" t="str" cm="1">
        <f t="array" aca="1" ref="V140" ca="1">IFERROR(INDEX('DBX Sprint'!$A$7:$K$62, SMALL(IF((INDEX('DBX Sprint'!$A$7:$K$62, ,22)&lt;(TODAY()))*(INDEX('DBX Sprint'!$A$7:$K$62, ,22)&lt;&gt;"Complete"),MATCH(ROW('DBX Sprint'!$A$7:$K$62),ROW('DBX Sprint'!$A$7:$K$62)),""),ROWS($V$34:V140)),COLUMNS('DBX Sprint'!$A$1:A12)),"")</f>
        <v/>
      </c>
      <c r="W140" s="41" t="str" cm="1">
        <f t="array" aca="1" ref="W140" ca="1">IFERROR(INDEX('DBX Sprint'!$A$7:$K$62, SMALL(IF((INDEX('DBX Sprint'!$A$7:$K$62, ,22)&lt;=(TODAY()+1))*(INDEX('DBX Sprint'!$A$7:$K$62, ,22)&gt;=TODAY()),MATCH(ROW('DBX Sprint'!$A$7:$K$62),ROW('DBX Sprint'!$A$7:$K$62)),""),ROWS($W$34:W140)),COLUMNS('DBX Sprint'!$A$1:A12)),"")</f>
        <v/>
      </c>
      <c r="X140" s="43" t="str" cm="1">
        <f t="array" aca="1" ref="X140" ca="1">IFERROR(INDEX('DBX Sprint'!$A$7:$K$62, SMALL(IF((INDEX('DBX Sprint'!$A$7:$K$62, ,22)&lt;=(TODAY()+5))*(INDEX('DBX Sprint'!$A$7:$K$62, ,22)&gt;(TODAY()+1)),MATCH(ROW('DBX Sprint'!$A$7:$K$62),ROW('DBX Sprint'!$A$7:$K$62)),""),ROWS($X$34:X140)),COLUMNS('DBX Sprint'!$A$1:A12)),"")</f>
        <v/>
      </c>
      <c r="Y140" s="43" t="str" cm="1">
        <f t="array" aca="1" ref="Y140" ca="1">IFERROR(INDEX('DBX Sprint'!$A$7:$K$62, SMALL(IF((INDEX('DBX Sprint'!$A$7:$K$62, ,22)&lt;=(TODAY()+10))*(INDEX('DBX Sprint'!$A$7:$K$62, ,22)&gt;(TODAY()+5)),MATCH(ROW('DBX Sprint'!$A$7:$K$62),ROW('DBX Sprint'!$A$7:$K$62)),""),ROWS($Y$34:Y140)),COLUMNS('DBX Sprint'!$A$1:A12)),"")</f>
        <v/>
      </c>
      <c r="AA140" s="41" t="str" cm="1">
        <f t="array" ref="AA140">IFERROR(INDEX('DBX Sprint'!$A$7:$K$62, SMALL(IF((INDEX('DBX Sprint'!$A$7:$K$62, ,25)=("Complete"))*(INDEX('DBX Sprint'!$A$7:$K$62, ,25)="Complete"),MATCH(ROW('DBX Sprint'!$A$7:$K$62),ROW('DBX Sprint'!$A$7:$K$62)),""),ROWS($AA$34:AA140)),COLUMNS('DBX Sprint'!$A$1:A12)),"")</f>
        <v/>
      </c>
      <c r="AB140" s="41" t="str" cm="1">
        <f t="array" aca="1" ref="AB140" ca="1">IFERROR(INDEX('DBX Sprint'!$A$7:$K$62, SMALL(IF((INDEX('DBX Sprint'!$A$7:$K$62, ,25)&lt;(TODAY()))*(INDEX('DBX Sprint'!$A$7:$K$62, ,25)&lt;&gt;"Complete"),MATCH(ROW('DBX Sprint'!$A$7:$K$62),ROW('DBX Sprint'!$A$7:$K$62)),""),ROWS($AB$34:AB140)),COLUMNS('DBX Sprint'!$A$1:A12)),"")</f>
        <v/>
      </c>
      <c r="AC140" s="41" t="str" cm="1">
        <f t="array" aca="1" ref="AC140" ca="1">IFERROR(INDEX('DBX Sprint'!$A$7:$K$62, SMALL(IF((INDEX('DBX Sprint'!$A$7:$K$62, ,25)&lt;=(TODAY()+1))*(INDEX('DBX Sprint'!$A$7:$K$62, ,25)&gt;=TODAY()),MATCH(ROW('DBX Sprint'!$A$7:$K$62),ROW('DBX Sprint'!$A$7:$K$62)),""),ROWS($AC$34:AC140)),COLUMNS('DBX Sprint'!$A$1:A12)),"")</f>
        <v/>
      </c>
      <c r="AD140" s="43" t="str" cm="1">
        <f t="array" aca="1" ref="AD140" ca="1">IFERROR(INDEX('DBX Sprint'!$A$7:$K$62, SMALL(IF((INDEX('DBX Sprint'!$A$7:$K$62, ,25)&lt;=(TODAY()+5))*(INDEX('DBX Sprint'!$A$7:$K$62, ,25)&gt;(TODAY()+1)),MATCH(ROW('DBX Sprint'!$A$7:$K$62),ROW('DBX Sprint'!$A$7:$K$62)),""),ROWS($AD$34:AD140)),COLUMNS('DBX Sprint'!$A$1:A12)),"")</f>
        <v/>
      </c>
      <c r="AE140" s="43" t="str" cm="1">
        <f t="array" aca="1" ref="AE140" ca="1">IFERROR(INDEX('DBX Sprint'!$A$7:$K$62, SMALL(IF((INDEX('DBX Sprint'!$A$7:$K$62, ,25)&lt;=(TODAY()+10))*(INDEX('DBX Sprint'!$A$7:$K$62, ,25)&gt;(TODAY()+5)),MATCH(ROW('DBX Sprint'!$A$7:$K$62),ROW('DBX Sprint'!$A$7:$K$62)),""),ROWS($AE$34:AE140)),COLUMNS('DBX Sprint'!$A$1:A12)),"")</f>
        <v/>
      </c>
      <c r="AG140" s="41" t="str" cm="1">
        <f t="array" ref="AG140">IFERROR(INDEX('DBX Sprint'!$A$7:$K$62, SMALL(IF((INDEX('DBX Sprint'!$A$7:$K$62, ,29)=("Complete"))*(INDEX('DBX Sprint'!$A$7:$K$62, ,29)="Complete"),MATCH(ROW('DBX Sprint'!$A$7:$K$62),ROW('DBX Sprint'!$A$7:$K$62)),""),ROWS($AG$34:AG140)),COLUMNS('DBX Sprint'!$A$1:A12)),"")</f>
        <v/>
      </c>
      <c r="AH140" s="41" t="str" cm="1">
        <f t="array" aca="1" ref="AH140" ca="1">IFERROR(INDEX('DBX Sprint'!$A$7:$K$62, SMALL(IF((INDEX('DBX Sprint'!$A$7:$K$62, ,29)&lt;(TODAY()))*(INDEX('DBX Sprint'!$A$7:$K$62, ,29)&lt;&gt;"Complete"),MATCH(ROW('DBX Sprint'!$A$7:$K$62),ROW('DBX Sprint'!$A$7:$K$62)),""),ROWS($AH$34:AH140)),COLUMNS('DBX Sprint'!$A$1:A12)),"")</f>
        <v/>
      </c>
      <c r="AI140" s="41" t="str" cm="1">
        <f t="array" aca="1" ref="AI140" ca="1">IFERROR(INDEX('DBX Sprint'!$A$7:$K$62, SMALL(IF((INDEX('DBX Sprint'!$A$7:$K$62, ,29)&lt;=(TODAY()+1))*(INDEX('DBX Sprint'!$A$7:$K$62, ,29)&gt;=TODAY()),MATCH(ROW('DBX Sprint'!$A$7:$K$62),ROW('DBX Sprint'!$A$7:$K$62)),""),ROWS($AI$34:AI140)),COLUMNS('DBX Sprint'!$A$1:A12)),"")</f>
        <v/>
      </c>
      <c r="AJ140" s="43" t="str" cm="1">
        <f t="array" aca="1" ref="AJ140" ca="1">IFERROR(INDEX('DBX Sprint'!$A$7:$K$62, SMALL(IF((INDEX('DBX Sprint'!$A$7:$K$62, ,29)&lt;=(TODAY()+5))*(INDEX('DBX Sprint'!$A$7:$K$62, ,29)&gt;(TODAY()+1)),MATCH(ROW('DBX Sprint'!$A$7:$K$62),ROW('DBX Sprint'!$A$7:$K$62)),""),ROWS($AJ$34:AJ140)),COLUMNS('DBX Sprint'!$A$1:A12)),"")</f>
        <v/>
      </c>
      <c r="AK140" s="43" t="str" cm="1">
        <f t="array" aca="1" ref="AK140" ca="1">IFERROR(INDEX('DBX Sprint'!$A$7:$K$62, SMALL(IF((INDEX('DBX Sprint'!$A$7:$K$62, ,29)&lt;=(TODAY()+10))*(INDEX('DBX Sprint'!$A$7:$K$62, ,29)&gt;(TODAY()+5)),MATCH(ROW('DBX Sprint'!$A$7:$K$62),ROW('DBX Sprint'!$A$7:$K$62)),""),ROWS($AK$34:AK140)),COLUMNS('DBX Sprint'!$A$1:A12)),"")</f>
        <v/>
      </c>
      <c r="AM140" s="41" t="str" cm="1">
        <f t="array" ref="AM140">IFERROR(INDEX('DBX Sprint'!$A$7:$K$62, SMALL(IF((INDEX('DBX Sprint'!$A$7:$K$62, ,32)=("Complete"))*(INDEX('DBX Sprint'!$A$7:$K$62, ,32)="Complete"),MATCH(ROW('DBX Sprint'!$A$7:$K$62),ROW('DBX Sprint'!$A$7:$K$62)),""),ROWS($AM$34:AM140)),COLUMNS('DBX Sprint'!$A$1:A12)),"")</f>
        <v/>
      </c>
      <c r="AN140" s="41" t="str" cm="1">
        <f t="array" aca="1" ref="AN140" ca="1">IFERROR(INDEX('DBX Sprint'!$A$7:$K$62, SMALL(IF((INDEX('DBX Sprint'!$A$7:$K$62, ,32)&lt;(TODAY()))*(INDEX('DBX Sprint'!$A$7:$K$62, ,32)&lt;&gt;"Complete"),MATCH(ROW('DBX Sprint'!$A$7:$K$62),ROW('DBX Sprint'!$A$7:$K$62)),""),ROWS($AN$34:AN140)),COLUMNS('DBX Sprint'!$A$1:A12)),"")</f>
        <v/>
      </c>
      <c r="AO140" s="41" t="str" cm="1">
        <f t="array" aca="1" ref="AO140" ca="1">IFERROR(INDEX('DBX Sprint'!$A$7:$K$62, SMALL(IF((INDEX('DBX Sprint'!$A$7:$K$62, ,32)&lt;=(TODAY()+1))*(INDEX('DBX Sprint'!$A$7:$K$62, ,32)&gt;=TODAY()),MATCH(ROW('DBX Sprint'!$A$7:$K$62),ROW('DBX Sprint'!$A$7:$K$62)),""),ROWS($AO$34:AO140)),COLUMNS('DBX Sprint'!$A$1:A12)),"")</f>
        <v/>
      </c>
      <c r="AP140" s="43" t="str" cm="1">
        <f t="array" aca="1" ref="AP140" ca="1">IFERROR(INDEX('DBX Sprint'!$A$7:$K$62, SMALL(IF((INDEX('DBX Sprint'!$A$7:$K$62, ,32)&lt;=(TODAY()+5))*(INDEX('DBX Sprint'!$A$7:$K$62, ,32)&gt;(TODAY()+1)),MATCH(ROW('DBX Sprint'!$A$7:$K$62),ROW('DBX Sprint'!$A$7:$K$62)),""),ROWS($AP$34:AP140)),COLUMNS('DBX Sprint'!$A$1:A12)),"")</f>
        <v/>
      </c>
      <c r="AQ140" s="43" t="str" cm="1">
        <f t="array" aca="1" ref="AQ140" ca="1">IFERROR(INDEX('DBX Sprint'!$A$7:$K$62, SMALL(IF((INDEX('DBX Sprint'!$A$7:$K$62, ,32)&lt;=(TODAY()+10))*(INDEX('DBX Sprint'!$A$7:$K$62, ,32)&gt;(TODAY()+5)),MATCH(ROW('DBX Sprint'!$A$7:$K$62),ROW('DBX Sprint'!$A$7:$K$62)),""),ROWS($AQ$34:AQ140)),COLUMNS('DBX Sprint'!$A$1:A12)),"")</f>
        <v/>
      </c>
    </row>
    <row r="141" spans="3:43" ht="30" customHeight="1">
      <c r="C141" s="41" t="str" cm="1">
        <f t="array" ref="C141">IFERROR(INDEX('DBX Sprint'!$A$7:$K$62, SMALL(IF((INDEX('DBX Sprint'!$A$7:$K$62, ,13)=("Complete"))*(INDEX('DBX Sprint'!$A$7:$K$62, ,13)="Complete"),MATCH(ROW('DBX Sprint'!$A$7:$K$62),ROW('DBX Sprint'!$A$7:$K$62)),""),ROWS(C$34:$C141)),COLUMNS('DBX Sprint'!$A$1:A12)),"")</f>
        <v/>
      </c>
      <c r="D141" s="41" t="str" cm="1">
        <f t="array" aca="1" ref="D141" ca="1">IFERROR(INDEX('DBX Sprint'!$A$7:$K$62, SMALL(IF((INDEX('DBX Sprint'!$A$7:$K$62, ,13)&lt;(TODAY()))*(INDEX('DBX Sprint'!$A$7:$K$62, ,13)&lt;&gt;"Complete"),MATCH(ROW('DBX Sprint'!$A$7:$K$62),ROW('DBX Sprint'!$A$7:$K$62)),""),ROWS(D$34:$D141)),COLUMNS('DBX Sprint'!$A$1:A12)),"")</f>
        <v/>
      </c>
      <c r="E141" s="41" t="str" cm="1">
        <f t="array" aca="1" ref="E141" ca="1">IFERROR(INDEX('DBX Sprint'!$A$7:$K$62, SMALL(IF((INDEX('DBX Sprint'!$A$7:$K$62, ,13)&lt;=(TODAY()+1))*(INDEX('DBX Sprint'!$A$7:$K$62, ,13)&gt;=TODAY()),MATCH(ROW('DBX Sprint'!$A$7:$K$62),ROW('DBX Sprint'!$A$7:$K$62)),""),ROWS(E$34:$E141)),COLUMNS('DBX Sprint'!$A$1:A12)),"")</f>
        <v/>
      </c>
      <c r="F141" s="43" t="str" cm="1">
        <f t="array" aca="1" ref="F141" ca="1">IFERROR(INDEX('DBX Sprint'!$A$7:$K$62, SMALL(IF((INDEX('DBX Sprint'!$A$7:$K$62, ,13)&lt;=(TODAY()+5))*(INDEX('DBX Sprint'!$A$7:$K$62, ,13)&gt;(TODAY()+1)),MATCH(ROW('DBX Sprint'!$A$7:$K$62),ROW('DBX Sprint'!$A$7:$K$62)),""),ROWS($F$34:F141)),COLUMNS('DBX Sprint'!$A$1:A12)),"")</f>
        <v/>
      </c>
      <c r="G141" s="43" t="str" cm="1">
        <f t="array" aca="1" ref="G141" ca="1">IFERROR(INDEX('DBX Sprint'!$A$7:$K$62, SMALL(IF((INDEX('DBX Sprint'!$A$7:$K$62, ,13)&lt;=(TODAY()+10))*(INDEX('DBX Sprint'!$A$7:$K$62, ,13)&gt;(TODAY()+5)),MATCH(ROW('DBX Sprint'!$A$7:$K$62),ROW('DBX Sprint'!$A$7:$K$62)),""),ROWS($G$34:G141)),COLUMNS('DBX Sprint'!$A$1:A12)),"")</f>
        <v/>
      </c>
      <c r="I141" s="41" t="str" cm="1">
        <f t="array" ref="I141">IFERROR(INDEX('DBX Sprint'!$A$7:$K$62, SMALL(IF((INDEX('DBX Sprint'!$A$7:$K$62, ,16)=("Complete"))*(INDEX('DBX Sprint'!$A$7:$K$62, ,16)="Complete"),MATCH(ROW('DBX Sprint'!$A$7:$K$62),ROW('DBX Sprint'!$A$7:$K$62)),""),ROWS($I$34:I141)),COLUMNS('DBX Sprint'!$A$1:A12)),"")</f>
        <v/>
      </c>
      <c r="J141" s="41" t="str" cm="1">
        <f t="array" aca="1" ref="J141" ca="1">IFERROR(INDEX('DBX Sprint'!$A$7:$K$62, SMALL(IF((INDEX('DBX Sprint'!$A$7:$K$62, ,16)&lt;(TODAY()))*(INDEX('DBX Sprint'!$A$7:$K$62, ,16)&lt;&gt;"Complete"),MATCH(ROW('DBX Sprint'!$A$7:$K$62),ROW('DBX Sprint'!$A$7:$K$62)),""),ROWS($J$34:J141)),COLUMNS('DBX Sprint'!$A$1:A12)),"")</f>
        <v/>
      </c>
      <c r="K141" s="41" t="str" cm="1">
        <f t="array" aca="1" ref="K141" ca="1">IFERROR(INDEX('DBX Sprint'!$A$7:$K$62, SMALL(IF((INDEX('DBX Sprint'!$A$7:$K$62, ,16)&lt;=(TODAY()+1))*(INDEX('DBX Sprint'!$A$7:$K$62, ,16)&gt;=TODAY()),MATCH(ROW('DBX Sprint'!$A$7:$K$62),ROW('DBX Sprint'!$A$7:$K$62)),""),ROWS($K$34:K141)),COLUMNS('DBX Sprint'!$A$1:A12)),"")</f>
        <v/>
      </c>
      <c r="L141" s="43" t="str" cm="1">
        <f t="array" aca="1" ref="L141" ca="1">IFERROR(INDEX('DBX Sprint'!$A$7:$K$62, SMALL(IF((INDEX('DBX Sprint'!$A$7:$K$62, ,16)&lt;=(TODAY()+5))*(INDEX('DBX Sprint'!$A$7:$K$62, ,16)&gt;(TODAY()+1)),MATCH(ROW('DBX Sprint'!$A$7:$K$62),ROW('DBX Sprint'!$A$7:$K$62)),""),ROWS($L$34:L141)),COLUMNS('DBX Sprint'!$A$1:A12)),"")</f>
        <v/>
      </c>
      <c r="M141" s="43" t="str" cm="1">
        <f t="array" aca="1" ref="M141" ca="1">IFERROR(INDEX('DBX Sprint'!$A$7:$K$62, SMALL(IF((INDEX('DBX Sprint'!$A$7:$K$62, ,16)&lt;=(TODAY()+10))*(INDEX('DBX Sprint'!$A$7:$K$62, ,16)&gt;(TODAY()+5)),MATCH(ROW('DBX Sprint'!$A$7:$K$62),ROW('DBX Sprint'!$A$7:$K$62)),""),ROWS($M$34:M141)),COLUMNS('DBX Sprint'!$A$1:A12)),"")</f>
        <v/>
      </c>
      <c r="P141" s="41" t="str" cm="1">
        <f t="array" aca="1" ref="P141" ca="1">IFERROR(INDEX('DBX Sprint'!$A$7:$K$62, SMALL(IF((INDEX('DBX Sprint'!$A$7:$K$62, ,19)&lt;(TODAY()))*(INDEX('DBX Sprint'!$A$7:$K$62, ,19)&lt;&gt;"Complete"),MATCH(ROW('DBX Sprint'!$A$7:$K$62),ROW('DBX Sprint'!$A$7:$K$62)),""),ROWS($P$34:P141)),COLUMNS('DBX Sprint'!$A$1:A12)),"")</f>
        <v/>
      </c>
      <c r="Q141" s="41" t="str" cm="1">
        <f t="array" aca="1" ref="Q141" ca="1">IFERROR(INDEX('DBX Sprint'!$A$7:$K$62, SMALL(IF((INDEX('DBX Sprint'!$A$7:$K$62, ,19)&lt;=(TODAY()+1))*(INDEX('DBX Sprint'!$A$7:$K$62, ,19)&gt;=TODAY()),MATCH(ROW('DBX Sprint'!$A$7:$K$62),ROW('DBX Sprint'!$A$7:$K$62)),""),ROWS($Q$34:Q141)),COLUMNS('DBX Sprint'!$A$1:A12)),"")</f>
        <v/>
      </c>
      <c r="R141" s="43" t="str" cm="1">
        <f t="array" aca="1" ref="R141" ca="1">IFERROR(INDEX('DBX Sprint'!$A$7:$K$62, SMALL(IF((INDEX('DBX Sprint'!$A$7:$K$62, ,19)&lt;=(TODAY()+5))*(INDEX('DBX Sprint'!$A$7:$K$62, ,19)&gt;(TODAY()+1)),MATCH(ROW('DBX Sprint'!$A$7:$K$62),ROW('DBX Sprint'!$A$7:$K$62)),""),ROWS($R$34:R141)),COLUMNS('DBX Sprint'!$A$1:A12)),"")</f>
        <v/>
      </c>
      <c r="S141" s="43" t="str" cm="1">
        <f t="array" aca="1" ref="S141" ca="1">IFERROR(INDEX('DBX Sprint'!$A$7:$K$62, SMALL(IF((INDEX('DBX Sprint'!$A$7:$K$62, ,19)&lt;=(TODAY()+10))*(INDEX('DBX Sprint'!$A$7:$K$62, ,19)&gt;(TODAY()+5)),MATCH(ROW('DBX Sprint'!$A$7:$K$62),ROW('DBX Sprint'!$A$7:$K$62)),""),ROWS($S$34:S141)),COLUMNS('DBX Sprint'!$A$1:A12)),"")</f>
        <v/>
      </c>
      <c r="U141" s="41" t="str" cm="1">
        <f t="array" ref="U141">IFERROR(INDEX('DBX Sprint'!$A$7:$K$62, SMALL(IF((INDEX('DBX Sprint'!$A$7:$K$62, ,22)=("Complete"))*(INDEX('DBX Sprint'!$A$7:$K$62, ,22)="Complete"),MATCH(ROW('DBX Sprint'!$A$7:$K$62),ROW('DBX Sprint'!$A$7:$K$62)),""),ROWS($U$34:U141)),COLUMNS('DBX Sprint'!$A$1:A12)),"")</f>
        <v/>
      </c>
      <c r="V141" s="41" t="str" cm="1">
        <f t="array" aca="1" ref="V141" ca="1">IFERROR(INDEX('DBX Sprint'!$A$7:$K$62, SMALL(IF((INDEX('DBX Sprint'!$A$7:$K$62, ,22)&lt;(TODAY()))*(INDEX('DBX Sprint'!$A$7:$K$62, ,22)&lt;&gt;"Complete"),MATCH(ROW('DBX Sprint'!$A$7:$K$62),ROW('DBX Sprint'!$A$7:$K$62)),""),ROWS($V$34:V141)),COLUMNS('DBX Sprint'!$A$1:A12)),"")</f>
        <v/>
      </c>
      <c r="W141" s="41" t="str" cm="1">
        <f t="array" aca="1" ref="W141" ca="1">IFERROR(INDEX('DBX Sprint'!$A$7:$K$62, SMALL(IF((INDEX('DBX Sprint'!$A$7:$K$62, ,22)&lt;=(TODAY()+1))*(INDEX('DBX Sprint'!$A$7:$K$62, ,22)&gt;=TODAY()),MATCH(ROW('DBX Sprint'!$A$7:$K$62),ROW('DBX Sprint'!$A$7:$K$62)),""),ROWS($W$34:W141)),COLUMNS('DBX Sprint'!$A$1:A12)),"")</f>
        <v/>
      </c>
      <c r="X141" s="43" t="str" cm="1">
        <f t="array" aca="1" ref="X141" ca="1">IFERROR(INDEX('DBX Sprint'!$A$7:$K$62, SMALL(IF((INDEX('DBX Sprint'!$A$7:$K$62, ,22)&lt;=(TODAY()+5))*(INDEX('DBX Sprint'!$A$7:$K$62, ,22)&gt;(TODAY()+1)),MATCH(ROW('DBX Sprint'!$A$7:$K$62),ROW('DBX Sprint'!$A$7:$K$62)),""),ROWS($X$34:X141)),COLUMNS('DBX Sprint'!$A$1:A12)),"")</f>
        <v/>
      </c>
      <c r="Y141" s="43" t="str" cm="1">
        <f t="array" aca="1" ref="Y141" ca="1">IFERROR(INDEX('DBX Sprint'!$A$7:$K$62, SMALL(IF((INDEX('DBX Sprint'!$A$7:$K$62, ,22)&lt;=(TODAY()+10))*(INDEX('DBX Sprint'!$A$7:$K$62, ,22)&gt;(TODAY()+5)),MATCH(ROW('DBX Sprint'!$A$7:$K$62),ROW('DBX Sprint'!$A$7:$K$62)),""),ROWS($Y$34:Y141)),COLUMNS('DBX Sprint'!$A$1:A12)),"")</f>
        <v/>
      </c>
      <c r="AA141" s="41" t="str" cm="1">
        <f t="array" ref="AA141">IFERROR(INDEX('DBX Sprint'!$A$7:$K$62, SMALL(IF((INDEX('DBX Sprint'!$A$7:$K$62, ,25)=("Complete"))*(INDEX('DBX Sprint'!$A$7:$K$62, ,25)="Complete"),MATCH(ROW('DBX Sprint'!$A$7:$K$62),ROW('DBX Sprint'!$A$7:$K$62)),""),ROWS($AA$34:AA141)),COLUMNS('DBX Sprint'!$A$1:A12)),"")</f>
        <v/>
      </c>
      <c r="AB141" s="41" t="str" cm="1">
        <f t="array" aca="1" ref="AB141" ca="1">IFERROR(INDEX('DBX Sprint'!$A$7:$K$62, SMALL(IF((INDEX('DBX Sprint'!$A$7:$K$62, ,25)&lt;(TODAY()))*(INDEX('DBX Sprint'!$A$7:$K$62, ,25)&lt;&gt;"Complete"),MATCH(ROW('DBX Sprint'!$A$7:$K$62),ROW('DBX Sprint'!$A$7:$K$62)),""),ROWS($AB$34:AB141)),COLUMNS('DBX Sprint'!$A$1:A12)),"")</f>
        <v/>
      </c>
      <c r="AC141" s="41" t="str" cm="1">
        <f t="array" aca="1" ref="AC141" ca="1">IFERROR(INDEX('DBX Sprint'!$A$7:$K$62, SMALL(IF((INDEX('DBX Sprint'!$A$7:$K$62, ,25)&lt;=(TODAY()+1))*(INDEX('DBX Sprint'!$A$7:$K$62, ,25)&gt;=TODAY()),MATCH(ROW('DBX Sprint'!$A$7:$K$62),ROW('DBX Sprint'!$A$7:$K$62)),""),ROWS($AC$34:AC141)),COLUMNS('DBX Sprint'!$A$1:A12)),"")</f>
        <v/>
      </c>
      <c r="AD141" s="43" t="str" cm="1">
        <f t="array" aca="1" ref="AD141" ca="1">IFERROR(INDEX('DBX Sprint'!$A$7:$K$62, SMALL(IF((INDEX('DBX Sprint'!$A$7:$K$62, ,25)&lt;=(TODAY()+5))*(INDEX('DBX Sprint'!$A$7:$K$62, ,25)&gt;(TODAY()+1)),MATCH(ROW('DBX Sprint'!$A$7:$K$62),ROW('DBX Sprint'!$A$7:$K$62)),""),ROWS($AD$34:AD141)),COLUMNS('DBX Sprint'!$A$1:A12)),"")</f>
        <v/>
      </c>
      <c r="AE141" s="43" t="str" cm="1">
        <f t="array" aca="1" ref="AE141" ca="1">IFERROR(INDEX('DBX Sprint'!$A$7:$K$62, SMALL(IF((INDEX('DBX Sprint'!$A$7:$K$62, ,25)&lt;=(TODAY()+10))*(INDEX('DBX Sprint'!$A$7:$K$62, ,25)&gt;(TODAY()+5)),MATCH(ROW('DBX Sprint'!$A$7:$K$62),ROW('DBX Sprint'!$A$7:$K$62)),""),ROWS($AE$34:AE141)),COLUMNS('DBX Sprint'!$A$1:A12)),"")</f>
        <v/>
      </c>
      <c r="AG141" s="41" t="str" cm="1">
        <f t="array" ref="AG141">IFERROR(INDEX('DBX Sprint'!$A$7:$K$62, SMALL(IF((INDEX('DBX Sprint'!$A$7:$K$62, ,29)=("Complete"))*(INDEX('DBX Sprint'!$A$7:$K$62, ,29)="Complete"),MATCH(ROW('DBX Sprint'!$A$7:$K$62),ROW('DBX Sprint'!$A$7:$K$62)),""),ROWS($AG$34:AG141)),COLUMNS('DBX Sprint'!$A$1:A12)),"")</f>
        <v/>
      </c>
      <c r="AH141" s="41" t="str" cm="1">
        <f t="array" aca="1" ref="AH141" ca="1">IFERROR(INDEX('DBX Sprint'!$A$7:$K$62, SMALL(IF((INDEX('DBX Sprint'!$A$7:$K$62, ,29)&lt;(TODAY()))*(INDEX('DBX Sprint'!$A$7:$K$62, ,29)&lt;&gt;"Complete"),MATCH(ROW('DBX Sprint'!$A$7:$K$62),ROW('DBX Sprint'!$A$7:$K$62)),""),ROWS($AH$34:AH141)),COLUMNS('DBX Sprint'!$A$1:A12)),"")</f>
        <v/>
      </c>
      <c r="AI141" s="41" t="str" cm="1">
        <f t="array" aca="1" ref="AI141" ca="1">IFERROR(INDEX('DBX Sprint'!$A$7:$K$62, SMALL(IF((INDEX('DBX Sprint'!$A$7:$K$62, ,29)&lt;=(TODAY()+1))*(INDEX('DBX Sprint'!$A$7:$K$62, ,29)&gt;=TODAY()),MATCH(ROW('DBX Sprint'!$A$7:$K$62),ROW('DBX Sprint'!$A$7:$K$62)),""),ROWS($AI$34:AI141)),COLUMNS('DBX Sprint'!$A$1:A12)),"")</f>
        <v/>
      </c>
      <c r="AJ141" s="43" t="str" cm="1">
        <f t="array" aca="1" ref="AJ141" ca="1">IFERROR(INDEX('DBX Sprint'!$A$7:$K$62, SMALL(IF((INDEX('DBX Sprint'!$A$7:$K$62, ,29)&lt;=(TODAY()+5))*(INDEX('DBX Sprint'!$A$7:$K$62, ,29)&gt;(TODAY()+1)),MATCH(ROW('DBX Sprint'!$A$7:$K$62),ROW('DBX Sprint'!$A$7:$K$62)),""),ROWS($AJ$34:AJ141)),COLUMNS('DBX Sprint'!$A$1:A12)),"")</f>
        <v/>
      </c>
      <c r="AK141" s="43" t="str" cm="1">
        <f t="array" aca="1" ref="AK141" ca="1">IFERROR(INDEX('DBX Sprint'!$A$7:$K$62, SMALL(IF((INDEX('DBX Sprint'!$A$7:$K$62, ,29)&lt;=(TODAY()+10))*(INDEX('DBX Sprint'!$A$7:$K$62, ,29)&gt;(TODAY()+5)),MATCH(ROW('DBX Sprint'!$A$7:$K$62),ROW('DBX Sprint'!$A$7:$K$62)),""),ROWS($AK$34:AK141)),COLUMNS('DBX Sprint'!$A$1:A12)),"")</f>
        <v/>
      </c>
      <c r="AM141" s="41" t="str" cm="1">
        <f t="array" ref="AM141">IFERROR(INDEX('DBX Sprint'!$A$7:$K$62, SMALL(IF((INDEX('DBX Sprint'!$A$7:$K$62, ,32)=("Complete"))*(INDEX('DBX Sprint'!$A$7:$K$62, ,32)="Complete"),MATCH(ROW('DBX Sprint'!$A$7:$K$62),ROW('DBX Sprint'!$A$7:$K$62)),""),ROWS($AM$34:AM141)),COLUMNS('DBX Sprint'!$A$1:A12)),"")</f>
        <v/>
      </c>
      <c r="AN141" s="41" t="str" cm="1">
        <f t="array" aca="1" ref="AN141" ca="1">IFERROR(INDEX('DBX Sprint'!$A$7:$K$62, SMALL(IF((INDEX('DBX Sprint'!$A$7:$K$62, ,32)&lt;(TODAY()))*(INDEX('DBX Sprint'!$A$7:$K$62, ,32)&lt;&gt;"Complete"),MATCH(ROW('DBX Sprint'!$A$7:$K$62),ROW('DBX Sprint'!$A$7:$K$62)),""),ROWS($AN$34:AN141)),COLUMNS('DBX Sprint'!$A$1:A12)),"")</f>
        <v/>
      </c>
      <c r="AO141" s="41" t="str" cm="1">
        <f t="array" aca="1" ref="AO141" ca="1">IFERROR(INDEX('DBX Sprint'!$A$7:$K$62, SMALL(IF((INDEX('DBX Sprint'!$A$7:$K$62, ,32)&lt;=(TODAY()+1))*(INDEX('DBX Sprint'!$A$7:$K$62, ,32)&gt;=TODAY()),MATCH(ROW('DBX Sprint'!$A$7:$K$62),ROW('DBX Sprint'!$A$7:$K$62)),""),ROWS($AO$34:AO141)),COLUMNS('DBX Sprint'!$A$1:A12)),"")</f>
        <v/>
      </c>
      <c r="AP141" s="43" t="str" cm="1">
        <f t="array" aca="1" ref="AP141" ca="1">IFERROR(INDEX('DBX Sprint'!$A$7:$K$62, SMALL(IF((INDEX('DBX Sprint'!$A$7:$K$62, ,32)&lt;=(TODAY()+5))*(INDEX('DBX Sprint'!$A$7:$K$62, ,32)&gt;(TODAY()+1)),MATCH(ROW('DBX Sprint'!$A$7:$K$62),ROW('DBX Sprint'!$A$7:$K$62)),""),ROWS($AP$34:AP141)),COLUMNS('DBX Sprint'!$A$1:A12)),"")</f>
        <v/>
      </c>
      <c r="AQ141" s="43" t="str" cm="1">
        <f t="array" aca="1" ref="AQ141" ca="1">IFERROR(INDEX('DBX Sprint'!$A$7:$K$62, SMALL(IF((INDEX('DBX Sprint'!$A$7:$K$62, ,32)&lt;=(TODAY()+10))*(INDEX('DBX Sprint'!$A$7:$K$62, ,32)&gt;(TODAY()+5)),MATCH(ROW('DBX Sprint'!$A$7:$K$62),ROW('DBX Sprint'!$A$7:$K$62)),""),ROWS($AQ$34:AQ141)),COLUMNS('DBX Sprint'!$A$1:A12)),"")</f>
        <v/>
      </c>
    </row>
    <row r="142" spans="3:43" ht="30" customHeight="1">
      <c r="C142" s="41" t="str" cm="1">
        <f t="array" ref="C142">IFERROR(INDEX('DBX Sprint'!$A$7:$K$62, SMALL(IF((INDEX('DBX Sprint'!$A$7:$K$62, ,13)=("Complete"))*(INDEX('DBX Sprint'!$A$7:$K$62, ,13)="Complete"),MATCH(ROW('DBX Sprint'!$A$7:$K$62),ROW('DBX Sprint'!$A$7:$K$62)),""),ROWS(C$34:$C142)),COLUMNS('DBX Sprint'!$A$1:A12)),"")</f>
        <v/>
      </c>
      <c r="D142" s="41" t="str" cm="1">
        <f t="array" aca="1" ref="D142" ca="1">IFERROR(INDEX('DBX Sprint'!$A$7:$K$62, SMALL(IF((INDEX('DBX Sprint'!$A$7:$K$62, ,13)&lt;(TODAY()))*(INDEX('DBX Sprint'!$A$7:$K$62, ,13)&lt;&gt;"Complete"),MATCH(ROW('DBX Sprint'!$A$7:$K$62),ROW('DBX Sprint'!$A$7:$K$62)),""),ROWS(D$34:$D142)),COLUMNS('DBX Sprint'!$A$1:A12)),"")</f>
        <v/>
      </c>
      <c r="E142" s="41" t="str" cm="1">
        <f t="array" aca="1" ref="E142" ca="1">IFERROR(INDEX('DBX Sprint'!$A$7:$K$62, SMALL(IF((INDEX('DBX Sprint'!$A$7:$K$62, ,13)&lt;=(TODAY()+1))*(INDEX('DBX Sprint'!$A$7:$K$62, ,13)&gt;=TODAY()),MATCH(ROW('DBX Sprint'!$A$7:$K$62),ROW('DBX Sprint'!$A$7:$K$62)),""),ROWS(E$34:$E142)),COLUMNS('DBX Sprint'!$A$1:A12)),"")</f>
        <v/>
      </c>
      <c r="F142" s="43" t="str" cm="1">
        <f t="array" aca="1" ref="F142" ca="1">IFERROR(INDEX('DBX Sprint'!$A$7:$K$62, SMALL(IF((INDEX('DBX Sprint'!$A$7:$K$62, ,13)&lt;=(TODAY()+5))*(INDEX('DBX Sprint'!$A$7:$K$62, ,13)&gt;(TODAY()+1)),MATCH(ROW('DBX Sprint'!$A$7:$K$62),ROW('DBX Sprint'!$A$7:$K$62)),""),ROWS($F$34:F142)),COLUMNS('DBX Sprint'!$A$1:A12)),"")</f>
        <v/>
      </c>
      <c r="G142" s="43" t="str" cm="1">
        <f t="array" aca="1" ref="G142" ca="1">IFERROR(INDEX('DBX Sprint'!$A$7:$K$62, SMALL(IF((INDEX('DBX Sprint'!$A$7:$K$62, ,13)&lt;=(TODAY()+10))*(INDEX('DBX Sprint'!$A$7:$K$62, ,13)&gt;(TODAY()+5)),MATCH(ROW('DBX Sprint'!$A$7:$K$62),ROW('DBX Sprint'!$A$7:$K$62)),""),ROWS($G$34:G142)),COLUMNS('DBX Sprint'!$A$1:A12)),"")</f>
        <v/>
      </c>
      <c r="I142" s="41" t="str" cm="1">
        <f t="array" ref="I142">IFERROR(INDEX('DBX Sprint'!$A$7:$K$62, SMALL(IF((INDEX('DBX Sprint'!$A$7:$K$62, ,16)=("Complete"))*(INDEX('DBX Sprint'!$A$7:$K$62, ,16)="Complete"),MATCH(ROW('DBX Sprint'!$A$7:$K$62),ROW('DBX Sprint'!$A$7:$K$62)),""),ROWS($I$34:I142)),COLUMNS('DBX Sprint'!$A$1:A12)),"")</f>
        <v/>
      </c>
      <c r="J142" s="41" t="str" cm="1">
        <f t="array" aca="1" ref="J142" ca="1">IFERROR(INDEX('DBX Sprint'!$A$7:$K$62, SMALL(IF((INDEX('DBX Sprint'!$A$7:$K$62, ,16)&lt;(TODAY()))*(INDEX('DBX Sprint'!$A$7:$K$62, ,16)&lt;&gt;"Complete"),MATCH(ROW('DBX Sprint'!$A$7:$K$62),ROW('DBX Sprint'!$A$7:$K$62)),""),ROWS($J$34:J142)),COLUMNS('DBX Sprint'!$A$1:A12)),"")</f>
        <v/>
      </c>
      <c r="K142" s="41" t="str" cm="1">
        <f t="array" aca="1" ref="K142" ca="1">IFERROR(INDEX('DBX Sprint'!$A$7:$K$62, SMALL(IF((INDEX('DBX Sprint'!$A$7:$K$62, ,16)&lt;=(TODAY()+1))*(INDEX('DBX Sprint'!$A$7:$K$62, ,16)&gt;=TODAY()),MATCH(ROW('DBX Sprint'!$A$7:$K$62),ROW('DBX Sprint'!$A$7:$K$62)),""),ROWS($K$34:K142)),COLUMNS('DBX Sprint'!$A$1:A12)),"")</f>
        <v/>
      </c>
      <c r="L142" s="43" t="str" cm="1">
        <f t="array" aca="1" ref="L142" ca="1">IFERROR(INDEX('DBX Sprint'!$A$7:$K$62, SMALL(IF((INDEX('DBX Sprint'!$A$7:$K$62, ,16)&lt;=(TODAY()+5))*(INDEX('DBX Sprint'!$A$7:$K$62, ,16)&gt;(TODAY()+1)),MATCH(ROW('DBX Sprint'!$A$7:$K$62),ROW('DBX Sprint'!$A$7:$K$62)),""),ROWS($L$34:L142)),COLUMNS('DBX Sprint'!$A$1:A12)),"")</f>
        <v/>
      </c>
      <c r="M142" s="43" t="str" cm="1">
        <f t="array" aca="1" ref="M142" ca="1">IFERROR(INDEX('DBX Sprint'!$A$7:$K$62, SMALL(IF((INDEX('DBX Sprint'!$A$7:$K$62, ,16)&lt;=(TODAY()+10))*(INDEX('DBX Sprint'!$A$7:$K$62, ,16)&gt;(TODAY()+5)),MATCH(ROW('DBX Sprint'!$A$7:$K$62),ROW('DBX Sprint'!$A$7:$K$62)),""),ROWS($M$34:M142)),COLUMNS('DBX Sprint'!$A$1:A12)),"")</f>
        <v/>
      </c>
      <c r="P142" s="41" t="str" cm="1">
        <f t="array" aca="1" ref="P142" ca="1">IFERROR(INDEX('DBX Sprint'!$A$7:$K$62, SMALL(IF((INDEX('DBX Sprint'!$A$7:$K$62, ,19)&lt;(TODAY()))*(INDEX('DBX Sprint'!$A$7:$K$62, ,19)&lt;&gt;"Complete"),MATCH(ROW('DBX Sprint'!$A$7:$K$62),ROW('DBX Sprint'!$A$7:$K$62)),""),ROWS($P$34:P142)),COLUMNS('DBX Sprint'!$A$1:A12)),"")</f>
        <v/>
      </c>
      <c r="Q142" s="41" t="str" cm="1">
        <f t="array" aca="1" ref="Q142" ca="1">IFERROR(INDEX('DBX Sprint'!$A$7:$K$62, SMALL(IF((INDEX('DBX Sprint'!$A$7:$K$62, ,19)&lt;=(TODAY()+1))*(INDEX('DBX Sprint'!$A$7:$K$62, ,19)&gt;=TODAY()),MATCH(ROW('DBX Sprint'!$A$7:$K$62),ROW('DBX Sprint'!$A$7:$K$62)),""),ROWS($Q$34:Q142)),COLUMNS('DBX Sprint'!$A$1:A12)),"")</f>
        <v/>
      </c>
      <c r="R142" s="43" t="str" cm="1">
        <f t="array" aca="1" ref="R142" ca="1">IFERROR(INDEX('DBX Sprint'!$A$7:$K$62, SMALL(IF((INDEX('DBX Sprint'!$A$7:$K$62, ,19)&lt;=(TODAY()+5))*(INDEX('DBX Sprint'!$A$7:$K$62, ,19)&gt;(TODAY()+1)),MATCH(ROW('DBX Sprint'!$A$7:$K$62),ROW('DBX Sprint'!$A$7:$K$62)),""),ROWS($R$34:R142)),COLUMNS('DBX Sprint'!$A$1:A12)),"")</f>
        <v/>
      </c>
      <c r="S142" s="43" t="str" cm="1">
        <f t="array" aca="1" ref="S142" ca="1">IFERROR(INDEX('DBX Sprint'!$A$7:$K$62, SMALL(IF((INDEX('DBX Sprint'!$A$7:$K$62, ,19)&lt;=(TODAY()+10))*(INDEX('DBX Sprint'!$A$7:$K$62, ,19)&gt;(TODAY()+5)),MATCH(ROW('DBX Sprint'!$A$7:$K$62),ROW('DBX Sprint'!$A$7:$K$62)),""),ROWS($S$34:S142)),COLUMNS('DBX Sprint'!$A$1:A12)),"")</f>
        <v/>
      </c>
      <c r="U142" s="41" t="str" cm="1">
        <f t="array" ref="U142">IFERROR(INDEX('DBX Sprint'!$A$7:$K$62, SMALL(IF((INDEX('DBX Sprint'!$A$7:$K$62, ,22)=("Complete"))*(INDEX('DBX Sprint'!$A$7:$K$62, ,22)="Complete"),MATCH(ROW('DBX Sprint'!$A$7:$K$62),ROW('DBX Sprint'!$A$7:$K$62)),""),ROWS($U$34:U142)),COLUMNS('DBX Sprint'!$A$1:A12)),"")</f>
        <v/>
      </c>
      <c r="V142" s="41" t="str" cm="1">
        <f t="array" aca="1" ref="V142" ca="1">IFERROR(INDEX('DBX Sprint'!$A$7:$K$62, SMALL(IF((INDEX('DBX Sprint'!$A$7:$K$62, ,22)&lt;(TODAY()))*(INDEX('DBX Sprint'!$A$7:$K$62, ,22)&lt;&gt;"Complete"),MATCH(ROW('DBX Sprint'!$A$7:$K$62),ROW('DBX Sprint'!$A$7:$K$62)),""),ROWS($V$34:V142)),COLUMNS('DBX Sprint'!$A$1:A12)),"")</f>
        <v/>
      </c>
      <c r="W142" s="41" t="str" cm="1">
        <f t="array" aca="1" ref="W142" ca="1">IFERROR(INDEX('DBX Sprint'!$A$7:$K$62, SMALL(IF((INDEX('DBX Sprint'!$A$7:$K$62, ,22)&lt;=(TODAY()+1))*(INDEX('DBX Sprint'!$A$7:$K$62, ,22)&gt;=TODAY()),MATCH(ROW('DBX Sprint'!$A$7:$K$62),ROW('DBX Sprint'!$A$7:$K$62)),""),ROWS($W$34:W142)),COLUMNS('DBX Sprint'!$A$1:A12)),"")</f>
        <v/>
      </c>
      <c r="X142" s="43" t="str" cm="1">
        <f t="array" aca="1" ref="X142" ca="1">IFERROR(INDEX('DBX Sprint'!$A$7:$K$62, SMALL(IF((INDEX('DBX Sprint'!$A$7:$K$62, ,22)&lt;=(TODAY()+5))*(INDEX('DBX Sprint'!$A$7:$K$62, ,22)&gt;(TODAY()+1)),MATCH(ROW('DBX Sprint'!$A$7:$K$62),ROW('DBX Sprint'!$A$7:$K$62)),""),ROWS($X$34:X142)),COLUMNS('DBX Sprint'!$A$1:A12)),"")</f>
        <v/>
      </c>
      <c r="Y142" s="43" t="str" cm="1">
        <f t="array" aca="1" ref="Y142" ca="1">IFERROR(INDEX('DBX Sprint'!$A$7:$K$62, SMALL(IF((INDEX('DBX Sprint'!$A$7:$K$62, ,22)&lt;=(TODAY()+10))*(INDEX('DBX Sprint'!$A$7:$K$62, ,22)&gt;(TODAY()+5)),MATCH(ROW('DBX Sprint'!$A$7:$K$62),ROW('DBX Sprint'!$A$7:$K$62)),""),ROWS($Y$34:Y142)),COLUMNS('DBX Sprint'!$A$1:A12)),"")</f>
        <v/>
      </c>
      <c r="AA142" s="41" t="str" cm="1">
        <f t="array" ref="AA142">IFERROR(INDEX('DBX Sprint'!$A$7:$K$62, SMALL(IF((INDEX('DBX Sprint'!$A$7:$K$62, ,25)=("Complete"))*(INDEX('DBX Sprint'!$A$7:$K$62, ,25)="Complete"),MATCH(ROW('DBX Sprint'!$A$7:$K$62),ROW('DBX Sprint'!$A$7:$K$62)),""),ROWS($AA$34:AA142)),COLUMNS('DBX Sprint'!$A$1:A12)),"")</f>
        <v/>
      </c>
      <c r="AB142" s="41" t="str" cm="1">
        <f t="array" aca="1" ref="AB142" ca="1">IFERROR(INDEX('DBX Sprint'!$A$7:$K$62, SMALL(IF((INDEX('DBX Sprint'!$A$7:$K$62, ,25)&lt;(TODAY()))*(INDEX('DBX Sprint'!$A$7:$K$62, ,25)&lt;&gt;"Complete"),MATCH(ROW('DBX Sprint'!$A$7:$K$62),ROW('DBX Sprint'!$A$7:$K$62)),""),ROWS($AB$34:AB142)),COLUMNS('DBX Sprint'!$A$1:A12)),"")</f>
        <v/>
      </c>
      <c r="AC142" s="41" t="str" cm="1">
        <f t="array" aca="1" ref="AC142" ca="1">IFERROR(INDEX('DBX Sprint'!$A$7:$K$62, SMALL(IF((INDEX('DBX Sprint'!$A$7:$K$62, ,25)&lt;=(TODAY()+1))*(INDEX('DBX Sprint'!$A$7:$K$62, ,25)&gt;=TODAY()),MATCH(ROW('DBX Sprint'!$A$7:$K$62),ROW('DBX Sprint'!$A$7:$K$62)),""),ROWS($AC$34:AC142)),COLUMNS('DBX Sprint'!$A$1:A12)),"")</f>
        <v/>
      </c>
      <c r="AD142" s="43" t="str" cm="1">
        <f t="array" aca="1" ref="AD142" ca="1">IFERROR(INDEX('DBX Sprint'!$A$7:$K$62, SMALL(IF((INDEX('DBX Sprint'!$A$7:$K$62, ,25)&lt;=(TODAY()+5))*(INDEX('DBX Sprint'!$A$7:$K$62, ,25)&gt;(TODAY()+1)),MATCH(ROW('DBX Sprint'!$A$7:$K$62),ROW('DBX Sprint'!$A$7:$K$62)),""),ROWS($AD$34:AD142)),COLUMNS('DBX Sprint'!$A$1:A12)),"")</f>
        <v/>
      </c>
      <c r="AE142" s="43" t="str" cm="1">
        <f t="array" aca="1" ref="AE142" ca="1">IFERROR(INDEX('DBX Sprint'!$A$7:$K$62, SMALL(IF((INDEX('DBX Sprint'!$A$7:$K$62, ,25)&lt;=(TODAY()+10))*(INDEX('DBX Sprint'!$A$7:$K$62, ,25)&gt;(TODAY()+5)),MATCH(ROW('DBX Sprint'!$A$7:$K$62),ROW('DBX Sprint'!$A$7:$K$62)),""),ROWS($AE$34:AE142)),COLUMNS('DBX Sprint'!$A$1:A12)),"")</f>
        <v/>
      </c>
      <c r="AG142" s="41" t="str" cm="1">
        <f t="array" ref="AG142">IFERROR(INDEX('DBX Sprint'!$A$7:$K$62, SMALL(IF((INDEX('DBX Sprint'!$A$7:$K$62, ,29)=("Complete"))*(INDEX('DBX Sprint'!$A$7:$K$62, ,29)="Complete"),MATCH(ROW('DBX Sprint'!$A$7:$K$62),ROW('DBX Sprint'!$A$7:$K$62)),""),ROWS($AG$34:AG142)),COLUMNS('DBX Sprint'!$A$1:A12)),"")</f>
        <v/>
      </c>
      <c r="AH142" s="41" t="str" cm="1">
        <f t="array" aca="1" ref="AH142" ca="1">IFERROR(INDEX('DBX Sprint'!$A$7:$K$62, SMALL(IF((INDEX('DBX Sprint'!$A$7:$K$62, ,29)&lt;(TODAY()))*(INDEX('DBX Sprint'!$A$7:$K$62, ,29)&lt;&gt;"Complete"),MATCH(ROW('DBX Sprint'!$A$7:$K$62),ROW('DBX Sprint'!$A$7:$K$62)),""),ROWS($AH$34:AH142)),COLUMNS('DBX Sprint'!$A$1:A12)),"")</f>
        <v/>
      </c>
      <c r="AI142" s="41" t="str" cm="1">
        <f t="array" aca="1" ref="AI142" ca="1">IFERROR(INDEX('DBX Sprint'!$A$7:$K$62, SMALL(IF((INDEX('DBX Sprint'!$A$7:$K$62, ,29)&lt;=(TODAY()+1))*(INDEX('DBX Sprint'!$A$7:$K$62, ,29)&gt;=TODAY()),MATCH(ROW('DBX Sprint'!$A$7:$K$62),ROW('DBX Sprint'!$A$7:$K$62)),""),ROWS($AI$34:AI142)),COLUMNS('DBX Sprint'!$A$1:A12)),"")</f>
        <v/>
      </c>
      <c r="AJ142" s="43" t="str" cm="1">
        <f t="array" aca="1" ref="AJ142" ca="1">IFERROR(INDEX('DBX Sprint'!$A$7:$K$62, SMALL(IF((INDEX('DBX Sprint'!$A$7:$K$62, ,29)&lt;=(TODAY()+5))*(INDEX('DBX Sprint'!$A$7:$K$62, ,29)&gt;(TODAY()+1)),MATCH(ROW('DBX Sprint'!$A$7:$K$62),ROW('DBX Sprint'!$A$7:$K$62)),""),ROWS($AJ$34:AJ142)),COLUMNS('DBX Sprint'!$A$1:A12)),"")</f>
        <v/>
      </c>
      <c r="AK142" s="43" t="str" cm="1">
        <f t="array" aca="1" ref="AK142" ca="1">IFERROR(INDEX('DBX Sprint'!$A$7:$K$62, SMALL(IF((INDEX('DBX Sprint'!$A$7:$K$62, ,29)&lt;=(TODAY()+10))*(INDEX('DBX Sprint'!$A$7:$K$62, ,29)&gt;(TODAY()+5)),MATCH(ROW('DBX Sprint'!$A$7:$K$62),ROW('DBX Sprint'!$A$7:$K$62)),""),ROWS($AK$34:AK142)),COLUMNS('DBX Sprint'!$A$1:A12)),"")</f>
        <v/>
      </c>
      <c r="AM142" s="41" t="str" cm="1">
        <f t="array" ref="AM142">IFERROR(INDEX('DBX Sprint'!$A$7:$K$62, SMALL(IF((INDEX('DBX Sprint'!$A$7:$K$62, ,32)=("Complete"))*(INDEX('DBX Sprint'!$A$7:$K$62, ,32)="Complete"),MATCH(ROW('DBX Sprint'!$A$7:$K$62),ROW('DBX Sprint'!$A$7:$K$62)),""),ROWS($AM$34:AM142)),COLUMNS('DBX Sprint'!$A$1:A12)),"")</f>
        <v/>
      </c>
      <c r="AN142" s="41" t="str" cm="1">
        <f t="array" aca="1" ref="AN142" ca="1">IFERROR(INDEX('DBX Sprint'!$A$7:$K$62, SMALL(IF((INDEX('DBX Sprint'!$A$7:$K$62, ,32)&lt;(TODAY()))*(INDEX('DBX Sprint'!$A$7:$K$62, ,32)&lt;&gt;"Complete"),MATCH(ROW('DBX Sprint'!$A$7:$K$62),ROW('DBX Sprint'!$A$7:$K$62)),""),ROWS($AN$34:AN142)),COLUMNS('DBX Sprint'!$A$1:A12)),"")</f>
        <v/>
      </c>
      <c r="AO142" s="41" t="str" cm="1">
        <f t="array" aca="1" ref="AO142" ca="1">IFERROR(INDEX('DBX Sprint'!$A$7:$K$62, SMALL(IF((INDEX('DBX Sprint'!$A$7:$K$62, ,32)&lt;=(TODAY()+1))*(INDEX('DBX Sprint'!$A$7:$K$62, ,32)&gt;=TODAY()),MATCH(ROW('DBX Sprint'!$A$7:$K$62),ROW('DBX Sprint'!$A$7:$K$62)),""),ROWS($AO$34:AO142)),COLUMNS('DBX Sprint'!$A$1:A12)),"")</f>
        <v/>
      </c>
      <c r="AP142" s="43" t="str" cm="1">
        <f t="array" aca="1" ref="AP142" ca="1">IFERROR(INDEX('DBX Sprint'!$A$7:$K$62, SMALL(IF((INDEX('DBX Sprint'!$A$7:$K$62, ,32)&lt;=(TODAY()+5))*(INDEX('DBX Sprint'!$A$7:$K$62, ,32)&gt;(TODAY()+1)),MATCH(ROW('DBX Sprint'!$A$7:$K$62),ROW('DBX Sprint'!$A$7:$K$62)),""),ROWS($AP$34:AP142)),COLUMNS('DBX Sprint'!$A$1:A12)),"")</f>
        <v/>
      </c>
      <c r="AQ142" s="43" t="str" cm="1">
        <f t="array" aca="1" ref="AQ142" ca="1">IFERROR(INDEX('DBX Sprint'!$A$7:$K$62, SMALL(IF((INDEX('DBX Sprint'!$A$7:$K$62, ,32)&lt;=(TODAY()+10))*(INDEX('DBX Sprint'!$A$7:$K$62, ,32)&gt;(TODAY()+5)),MATCH(ROW('DBX Sprint'!$A$7:$K$62),ROW('DBX Sprint'!$A$7:$K$62)),""),ROWS($AQ$34:AQ142)),COLUMNS('DBX Sprint'!$A$1:A12)),"")</f>
        <v/>
      </c>
    </row>
    <row r="143" spans="3:43" ht="30" customHeight="1">
      <c r="C143" s="41" t="str" cm="1">
        <f t="array" ref="C143">IFERROR(INDEX('DBX Sprint'!$A$7:$K$62, SMALL(IF((INDEX('DBX Sprint'!$A$7:$K$62, ,13)=("Complete"))*(INDEX('DBX Sprint'!$A$7:$K$62, ,13)="Complete"),MATCH(ROW('DBX Sprint'!$A$7:$K$62),ROW('DBX Sprint'!$A$7:$K$62)),""),ROWS(C$34:$C143)),COLUMNS('DBX Sprint'!$A$1:A12)),"")</f>
        <v/>
      </c>
      <c r="D143" s="41" t="str" cm="1">
        <f t="array" aca="1" ref="D143" ca="1">IFERROR(INDEX('DBX Sprint'!$A$7:$K$62, SMALL(IF((INDEX('DBX Sprint'!$A$7:$K$62, ,13)&lt;(TODAY()))*(INDEX('DBX Sprint'!$A$7:$K$62, ,13)&lt;&gt;"Complete"),MATCH(ROW('DBX Sprint'!$A$7:$K$62),ROW('DBX Sprint'!$A$7:$K$62)),""),ROWS(D$34:$D143)),COLUMNS('DBX Sprint'!$A$1:A12)),"")</f>
        <v/>
      </c>
      <c r="E143" s="41" t="str" cm="1">
        <f t="array" aca="1" ref="E143" ca="1">IFERROR(INDEX('DBX Sprint'!$A$7:$K$62, SMALL(IF((INDEX('DBX Sprint'!$A$7:$K$62, ,13)&lt;=(TODAY()+1))*(INDEX('DBX Sprint'!$A$7:$K$62, ,13)&gt;=TODAY()),MATCH(ROW('DBX Sprint'!$A$7:$K$62),ROW('DBX Sprint'!$A$7:$K$62)),""),ROWS(E$34:$E143)),COLUMNS('DBX Sprint'!$A$1:A12)),"")</f>
        <v/>
      </c>
      <c r="F143" s="43" t="str" cm="1">
        <f t="array" aca="1" ref="F143" ca="1">IFERROR(INDEX('DBX Sprint'!$A$7:$K$62, SMALL(IF((INDEX('DBX Sprint'!$A$7:$K$62, ,13)&lt;=(TODAY()+5))*(INDEX('DBX Sprint'!$A$7:$K$62, ,13)&gt;(TODAY()+1)),MATCH(ROW('DBX Sprint'!$A$7:$K$62),ROW('DBX Sprint'!$A$7:$K$62)),""),ROWS($F$34:F143)),COLUMNS('DBX Sprint'!$A$1:A12)),"")</f>
        <v/>
      </c>
      <c r="G143" s="43" t="str" cm="1">
        <f t="array" aca="1" ref="G143" ca="1">IFERROR(INDEX('DBX Sprint'!$A$7:$K$62, SMALL(IF((INDEX('DBX Sprint'!$A$7:$K$62, ,13)&lt;=(TODAY()+10))*(INDEX('DBX Sprint'!$A$7:$K$62, ,13)&gt;(TODAY()+5)),MATCH(ROW('DBX Sprint'!$A$7:$K$62),ROW('DBX Sprint'!$A$7:$K$62)),""),ROWS($G$34:G143)),COLUMNS('DBX Sprint'!$A$1:A12)),"")</f>
        <v/>
      </c>
      <c r="I143" s="41" t="str" cm="1">
        <f t="array" ref="I143">IFERROR(INDEX('DBX Sprint'!$A$7:$K$62, SMALL(IF((INDEX('DBX Sprint'!$A$7:$K$62, ,16)=("Complete"))*(INDEX('DBX Sprint'!$A$7:$K$62, ,16)="Complete"),MATCH(ROW('DBX Sprint'!$A$7:$K$62),ROW('DBX Sprint'!$A$7:$K$62)),""),ROWS($I$34:I143)),COLUMNS('DBX Sprint'!$A$1:A12)),"")</f>
        <v/>
      </c>
      <c r="J143" s="41" t="str" cm="1">
        <f t="array" aca="1" ref="J143" ca="1">IFERROR(INDEX('DBX Sprint'!$A$7:$K$62, SMALL(IF((INDEX('DBX Sprint'!$A$7:$K$62, ,16)&lt;(TODAY()))*(INDEX('DBX Sprint'!$A$7:$K$62, ,16)&lt;&gt;"Complete"),MATCH(ROW('DBX Sprint'!$A$7:$K$62),ROW('DBX Sprint'!$A$7:$K$62)),""),ROWS($J$34:J143)),COLUMNS('DBX Sprint'!$A$1:A12)),"")</f>
        <v/>
      </c>
      <c r="K143" s="41" t="str" cm="1">
        <f t="array" aca="1" ref="K143" ca="1">IFERROR(INDEX('DBX Sprint'!$A$7:$K$62, SMALL(IF((INDEX('DBX Sprint'!$A$7:$K$62, ,16)&lt;=(TODAY()+1))*(INDEX('DBX Sprint'!$A$7:$K$62, ,16)&gt;=TODAY()),MATCH(ROW('DBX Sprint'!$A$7:$K$62),ROW('DBX Sprint'!$A$7:$K$62)),""),ROWS($K$34:K143)),COLUMNS('DBX Sprint'!$A$1:A12)),"")</f>
        <v/>
      </c>
      <c r="L143" s="43" t="str" cm="1">
        <f t="array" aca="1" ref="L143" ca="1">IFERROR(INDEX('DBX Sprint'!$A$7:$K$62, SMALL(IF((INDEX('DBX Sprint'!$A$7:$K$62, ,16)&lt;=(TODAY()+5))*(INDEX('DBX Sprint'!$A$7:$K$62, ,16)&gt;(TODAY()+1)),MATCH(ROW('DBX Sprint'!$A$7:$K$62),ROW('DBX Sprint'!$A$7:$K$62)),""),ROWS($L$34:L143)),COLUMNS('DBX Sprint'!$A$1:A12)),"")</f>
        <v/>
      </c>
      <c r="M143" s="43" t="str" cm="1">
        <f t="array" aca="1" ref="M143" ca="1">IFERROR(INDEX('DBX Sprint'!$A$7:$K$62, SMALL(IF((INDEX('DBX Sprint'!$A$7:$K$62, ,16)&lt;=(TODAY()+10))*(INDEX('DBX Sprint'!$A$7:$K$62, ,16)&gt;(TODAY()+5)),MATCH(ROW('DBX Sprint'!$A$7:$K$62),ROW('DBX Sprint'!$A$7:$K$62)),""),ROWS($M$34:M143)),COLUMNS('DBX Sprint'!$A$1:A12)),"")</f>
        <v/>
      </c>
      <c r="P143" s="41" t="str" cm="1">
        <f t="array" aca="1" ref="P143" ca="1">IFERROR(INDEX('DBX Sprint'!$A$7:$K$62, SMALL(IF((INDEX('DBX Sprint'!$A$7:$K$62, ,19)&lt;(TODAY()))*(INDEX('DBX Sprint'!$A$7:$K$62, ,19)&lt;&gt;"Complete"),MATCH(ROW('DBX Sprint'!$A$7:$K$62),ROW('DBX Sprint'!$A$7:$K$62)),""),ROWS($P$34:P143)),COLUMNS('DBX Sprint'!$A$1:A12)),"")</f>
        <v/>
      </c>
      <c r="Q143" s="41" t="str" cm="1">
        <f t="array" aca="1" ref="Q143" ca="1">IFERROR(INDEX('DBX Sprint'!$A$7:$K$62, SMALL(IF((INDEX('DBX Sprint'!$A$7:$K$62, ,19)&lt;=(TODAY()+1))*(INDEX('DBX Sprint'!$A$7:$K$62, ,19)&gt;=TODAY()),MATCH(ROW('DBX Sprint'!$A$7:$K$62),ROW('DBX Sprint'!$A$7:$K$62)),""),ROWS($Q$34:Q143)),COLUMNS('DBX Sprint'!$A$1:A12)),"")</f>
        <v/>
      </c>
      <c r="R143" s="43" t="str" cm="1">
        <f t="array" aca="1" ref="R143" ca="1">IFERROR(INDEX('DBX Sprint'!$A$7:$K$62, SMALL(IF((INDEX('DBX Sprint'!$A$7:$K$62, ,19)&lt;=(TODAY()+5))*(INDEX('DBX Sprint'!$A$7:$K$62, ,19)&gt;(TODAY()+1)),MATCH(ROW('DBX Sprint'!$A$7:$K$62),ROW('DBX Sprint'!$A$7:$K$62)),""),ROWS($R$34:R143)),COLUMNS('DBX Sprint'!$A$1:A12)),"")</f>
        <v/>
      </c>
      <c r="S143" s="43" t="str" cm="1">
        <f t="array" aca="1" ref="S143" ca="1">IFERROR(INDEX('DBX Sprint'!$A$7:$K$62, SMALL(IF((INDEX('DBX Sprint'!$A$7:$K$62, ,19)&lt;=(TODAY()+10))*(INDEX('DBX Sprint'!$A$7:$K$62, ,19)&gt;(TODAY()+5)),MATCH(ROW('DBX Sprint'!$A$7:$K$62),ROW('DBX Sprint'!$A$7:$K$62)),""),ROWS($S$34:S143)),COLUMNS('DBX Sprint'!$A$1:A12)),"")</f>
        <v/>
      </c>
      <c r="U143" s="41" t="str" cm="1">
        <f t="array" ref="U143">IFERROR(INDEX('DBX Sprint'!$A$7:$K$62, SMALL(IF((INDEX('DBX Sprint'!$A$7:$K$62, ,22)=("Complete"))*(INDEX('DBX Sprint'!$A$7:$K$62, ,22)="Complete"),MATCH(ROW('DBX Sprint'!$A$7:$K$62),ROW('DBX Sprint'!$A$7:$K$62)),""),ROWS($U$34:U143)),COLUMNS('DBX Sprint'!$A$1:A12)),"")</f>
        <v/>
      </c>
      <c r="V143" s="41" t="str" cm="1">
        <f t="array" aca="1" ref="V143" ca="1">IFERROR(INDEX('DBX Sprint'!$A$7:$K$62, SMALL(IF((INDEX('DBX Sprint'!$A$7:$K$62, ,22)&lt;(TODAY()))*(INDEX('DBX Sprint'!$A$7:$K$62, ,22)&lt;&gt;"Complete"),MATCH(ROW('DBX Sprint'!$A$7:$K$62),ROW('DBX Sprint'!$A$7:$K$62)),""),ROWS($V$34:V143)),COLUMNS('DBX Sprint'!$A$1:A12)),"")</f>
        <v/>
      </c>
      <c r="W143" s="41" t="str" cm="1">
        <f t="array" aca="1" ref="W143" ca="1">IFERROR(INDEX('DBX Sprint'!$A$7:$K$62, SMALL(IF((INDEX('DBX Sprint'!$A$7:$K$62, ,22)&lt;=(TODAY()+1))*(INDEX('DBX Sprint'!$A$7:$K$62, ,22)&gt;=TODAY()),MATCH(ROW('DBX Sprint'!$A$7:$K$62),ROW('DBX Sprint'!$A$7:$K$62)),""),ROWS($W$34:W143)),COLUMNS('DBX Sprint'!$A$1:A12)),"")</f>
        <v/>
      </c>
      <c r="X143" s="43" t="str" cm="1">
        <f t="array" aca="1" ref="X143" ca="1">IFERROR(INDEX('DBX Sprint'!$A$7:$K$62, SMALL(IF((INDEX('DBX Sprint'!$A$7:$K$62, ,22)&lt;=(TODAY()+5))*(INDEX('DBX Sprint'!$A$7:$K$62, ,22)&gt;(TODAY()+1)),MATCH(ROW('DBX Sprint'!$A$7:$K$62),ROW('DBX Sprint'!$A$7:$K$62)),""),ROWS($X$34:X143)),COLUMNS('DBX Sprint'!$A$1:A12)),"")</f>
        <v/>
      </c>
      <c r="Y143" s="43" t="str" cm="1">
        <f t="array" aca="1" ref="Y143" ca="1">IFERROR(INDEX('DBX Sprint'!$A$7:$K$62, SMALL(IF((INDEX('DBX Sprint'!$A$7:$K$62, ,22)&lt;=(TODAY()+10))*(INDEX('DBX Sprint'!$A$7:$K$62, ,22)&gt;(TODAY()+5)),MATCH(ROW('DBX Sprint'!$A$7:$K$62),ROW('DBX Sprint'!$A$7:$K$62)),""),ROWS($Y$34:Y143)),COLUMNS('DBX Sprint'!$A$1:A12)),"")</f>
        <v/>
      </c>
      <c r="AA143" s="41" t="str" cm="1">
        <f t="array" ref="AA143">IFERROR(INDEX('DBX Sprint'!$A$7:$K$62, SMALL(IF((INDEX('DBX Sprint'!$A$7:$K$62, ,25)=("Complete"))*(INDEX('DBX Sprint'!$A$7:$K$62, ,25)="Complete"),MATCH(ROW('DBX Sprint'!$A$7:$K$62),ROW('DBX Sprint'!$A$7:$K$62)),""),ROWS($AA$34:AA143)),COLUMNS('DBX Sprint'!$A$1:A12)),"")</f>
        <v/>
      </c>
      <c r="AB143" s="41" t="str" cm="1">
        <f t="array" aca="1" ref="AB143" ca="1">IFERROR(INDEX('DBX Sprint'!$A$7:$K$62, SMALL(IF((INDEX('DBX Sprint'!$A$7:$K$62, ,25)&lt;(TODAY()))*(INDEX('DBX Sprint'!$A$7:$K$62, ,25)&lt;&gt;"Complete"),MATCH(ROW('DBX Sprint'!$A$7:$K$62),ROW('DBX Sprint'!$A$7:$K$62)),""),ROWS($AB$34:AB143)),COLUMNS('DBX Sprint'!$A$1:A12)),"")</f>
        <v/>
      </c>
      <c r="AC143" s="41" t="str" cm="1">
        <f t="array" aca="1" ref="AC143" ca="1">IFERROR(INDEX('DBX Sprint'!$A$7:$K$62, SMALL(IF((INDEX('DBX Sprint'!$A$7:$K$62, ,25)&lt;=(TODAY()+1))*(INDEX('DBX Sprint'!$A$7:$K$62, ,25)&gt;=TODAY()),MATCH(ROW('DBX Sprint'!$A$7:$K$62),ROW('DBX Sprint'!$A$7:$K$62)),""),ROWS($AC$34:AC143)),COLUMNS('DBX Sprint'!$A$1:A12)),"")</f>
        <v/>
      </c>
      <c r="AD143" s="43" t="str" cm="1">
        <f t="array" aca="1" ref="AD143" ca="1">IFERROR(INDEX('DBX Sprint'!$A$7:$K$62, SMALL(IF((INDEX('DBX Sprint'!$A$7:$K$62, ,25)&lt;=(TODAY()+5))*(INDEX('DBX Sprint'!$A$7:$K$62, ,25)&gt;(TODAY()+1)),MATCH(ROW('DBX Sprint'!$A$7:$K$62),ROW('DBX Sprint'!$A$7:$K$62)),""),ROWS($AD$34:AD143)),COLUMNS('DBX Sprint'!$A$1:A12)),"")</f>
        <v/>
      </c>
      <c r="AE143" s="43" t="str" cm="1">
        <f t="array" aca="1" ref="AE143" ca="1">IFERROR(INDEX('DBX Sprint'!$A$7:$K$62, SMALL(IF((INDEX('DBX Sprint'!$A$7:$K$62, ,25)&lt;=(TODAY()+10))*(INDEX('DBX Sprint'!$A$7:$K$62, ,25)&gt;(TODAY()+5)),MATCH(ROW('DBX Sprint'!$A$7:$K$62),ROW('DBX Sprint'!$A$7:$K$62)),""),ROWS($AE$34:AE143)),COLUMNS('DBX Sprint'!$A$1:A12)),"")</f>
        <v/>
      </c>
      <c r="AG143" s="41" t="str" cm="1">
        <f t="array" ref="AG143">IFERROR(INDEX('DBX Sprint'!$A$7:$K$62, SMALL(IF((INDEX('DBX Sprint'!$A$7:$K$62, ,29)=("Complete"))*(INDEX('DBX Sprint'!$A$7:$K$62, ,29)="Complete"),MATCH(ROW('DBX Sprint'!$A$7:$K$62),ROW('DBX Sprint'!$A$7:$K$62)),""),ROWS($AG$34:AG143)),COLUMNS('DBX Sprint'!$A$1:A12)),"")</f>
        <v/>
      </c>
      <c r="AH143" s="41" t="str" cm="1">
        <f t="array" aca="1" ref="AH143" ca="1">IFERROR(INDEX('DBX Sprint'!$A$7:$K$62, SMALL(IF((INDEX('DBX Sprint'!$A$7:$K$62, ,29)&lt;(TODAY()))*(INDEX('DBX Sprint'!$A$7:$K$62, ,29)&lt;&gt;"Complete"),MATCH(ROW('DBX Sprint'!$A$7:$K$62),ROW('DBX Sprint'!$A$7:$K$62)),""),ROWS($AH$34:AH143)),COLUMNS('DBX Sprint'!$A$1:A12)),"")</f>
        <v/>
      </c>
      <c r="AI143" s="41" t="str" cm="1">
        <f t="array" aca="1" ref="AI143" ca="1">IFERROR(INDEX('DBX Sprint'!$A$7:$K$62, SMALL(IF((INDEX('DBX Sprint'!$A$7:$K$62, ,29)&lt;=(TODAY()+1))*(INDEX('DBX Sprint'!$A$7:$K$62, ,29)&gt;=TODAY()),MATCH(ROW('DBX Sprint'!$A$7:$K$62),ROW('DBX Sprint'!$A$7:$K$62)),""),ROWS($AI$34:AI143)),COLUMNS('DBX Sprint'!$A$1:A12)),"")</f>
        <v/>
      </c>
      <c r="AJ143" s="43" t="str" cm="1">
        <f t="array" aca="1" ref="AJ143" ca="1">IFERROR(INDEX('DBX Sprint'!$A$7:$K$62, SMALL(IF((INDEX('DBX Sprint'!$A$7:$K$62, ,29)&lt;=(TODAY()+5))*(INDEX('DBX Sprint'!$A$7:$K$62, ,29)&gt;(TODAY()+1)),MATCH(ROW('DBX Sprint'!$A$7:$K$62),ROW('DBX Sprint'!$A$7:$K$62)),""),ROWS($AJ$34:AJ143)),COLUMNS('DBX Sprint'!$A$1:A12)),"")</f>
        <v/>
      </c>
      <c r="AK143" s="43" t="str" cm="1">
        <f t="array" aca="1" ref="AK143" ca="1">IFERROR(INDEX('DBX Sprint'!$A$7:$K$62, SMALL(IF((INDEX('DBX Sprint'!$A$7:$K$62, ,29)&lt;=(TODAY()+10))*(INDEX('DBX Sprint'!$A$7:$K$62, ,29)&gt;(TODAY()+5)),MATCH(ROW('DBX Sprint'!$A$7:$K$62),ROW('DBX Sprint'!$A$7:$K$62)),""),ROWS($AK$34:AK143)),COLUMNS('DBX Sprint'!$A$1:A12)),"")</f>
        <v/>
      </c>
      <c r="AM143" s="41" t="str" cm="1">
        <f t="array" ref="AM143">IFERROR(INDEX('DBX Sprint'!$A$7:$K$62, SMALL(IF((INDEX('DBX Sprint'!$A$7:$K$62, ,32)=("Complete"))*(INDEX('DBX Sprint'!$A$7:$K$62, ,32)="Complete"),MATCH(ROW('DBX Sprint'!$A$7:$K$62),ROW('DBX Sprint'!$A$7:$K$62)),""),ROWS($AM$34:AM143)),COLUMNS('DBX Sprint'!$A$1:A12)),"")</f>
        <v/>
      </c>
      <c r="AN143" s="41" t="str" cm="1">
        <f t="array" aca="1" ref="AN143" ca="1">IFERROR(INDEX('DBX Sprint'!$A$7:$K$62, SMALL(IF((INDEX('DBX Sprint'!$A$7:$K$62, ,32)&lt;(TODAY()))*(INDEX('DBX Sprint'!$A$7:$K$62, ,32)&lt;&gt;"Complete"),MATCH(ROW('DBX Sprint'!$A$7:$K$62),ROW('DBX Sprint'!$A$7:$K$62)),""),ROWS($AN$34:AN143)),COLUMNS('DBX Sprint'!$A$1:A12)),"")</f>
        <v/>
      </c>
      <c r="AO143" s="41" t="str" cm="1">
        <f t="array" aca="1" ref="AO143" ca="1">IFERROR(INDEX('DBX Sprint'!$A$7:$K$62, SMALL(IF((INDEX('DBX Sprint'!$A$7:$K$62, ,32)&lt;=(TODAY()+1))*(INDEX('DBX Sprint'!$A$7:$K$62, ,32)&gt;=TODAY()),MATCH(ROW('DBX Sprint'!$A$7:$K$62),ROW('DBX Sprint'!$A$7:$K$62)),""),ROWS($AO$34:AO143)),COLUMNS('DBX Sprint'!$A$1:A12)),"")</f>
        <v/>
      </c>
      <c r="AP143" s="43" t="str" cm="1">
        <f t="array" aca="1" ref="AP143" ca="1">IFERROR(INDEX('DBX Sprint'!$A$7:$K$62, SMALL(IF((INDEX('DBX Sprint'!$A$7:$K$62, ,32)&lt;=(TODAY()+5))*(INDEX('DBX Sprint'!$A$7:$K$62, ,32)&gt;(TODAY()+1)),MATCH(ROW('DBX Sprint'!$A$7:$K$62),ROW('DBX Sprint'!$A$7:$K$62)),""),ROWS($AP$34:AP143)),COLUMNS('DBX Sprint'!$A$1:A12)),"")</f>
        <v/>
      </c>
      <c r="AQ143" s="43" t="str" cm="1">
        <f t="array" aca="1" ref="AQ143" ca="1">IFERROR(INDEX('DBX Sprint'!$A$7:$K$62, SMALL(IF((INDEX('DBX Sprint'!$A$7:$K$62, ,32)&lt;=(TODAY()+10))*(INDEX('DBX Sprint'!$A$7:$K$62, ,32)&gt;(TODAY()+5)),MATCH(ROW('DBX Sprint'!$A$7:$K$62),ROW('DBX Sprint'!$A$7:$K$62)),""),ROWS($AQ$34:AQ143)),COLUMNS('DBX Sprint'!$A$1:A12)),"")</f>
        <v/>
      </c>
    </row>
    <row r="144" spans="3:43" ht="30" customHeight="1">
      <c r="C144" s="41" t="str" cm="1">
        <f t="array" ref="C144">IFERROR(INDEX('DBX Sprint'!$A$7:$K$62, SMALL(IF((INDEX('DBX Sprint'!$A$7:$K$62, ,13)=("Complete"))*(INDEX('DBX Sprint'!$A$7:$K$62, ,13)="Complete"),MATCH(ROW('DBX Sprint'!$A$7:$K$62),ROW('DBX Sprint'!$A$7:$K$62)),""),ROWS(C$34:$C144)),COLUMNS('DBX Sprint'!$A$1:A12)),"")</f>
        <v/>
      </c>
      <c r="D144" s="41" t="str" cm="1">
        <f t="array" aca="1" ref="D144" ca="1">IFERROR(INDEX('DBX Sprint'!$A$7:$K$62, SMALL(IF((INDEX('DBX Sprint'!$A$7:$K$62, ,13)&lt;(TODAY()))*(INDEX('DBX Sprint'!$A$7:$K$62, ,13)&lt;&gt;"Complete"),MATCH(ROW('DBX Sprint'!$A$7:$K$62),ROW('DBX Sprint'!$A$7:$K$62)),""),ROWS(D$34:$D144)),COLUMNS('DBX Sprint'!$A$1:A12)),"")</f>
        <v/>
      </c>
      <c r="E144" s="41" t="str" cm="1">
        <f t="array" aca="1" ref="E144" ca="1">IFERROR(INDEX('DBX Sprint'!$A$7:$K$62, SMALL(IF((INDEX('DBX Sprint'!$A$7:$K$62, ,13)&lt;=(TODAY()+1))*(INDEX('DBX Sprint'!$A$7:$K$62, ,13)&gt;=TODAY()),MATCH(ROW('DBX Sprint'!$A$7:$K$62),ROW('DBX Sprint'!$A$7:$K$62)),""),ROWS(E$34:$E144)),COLUMNS('DBX Sprint'!$A$1:A12)),"")</f>
        <v/>
      </c>
      <c r="F144" s="43" t="str" cm="1">
        <f t="array" aca="1" ref="F144" ca="1">IFERROR(INDEX('DBX Sprint'!$A$7:$K$62, SMALL(IF((INDEX('DBX Sprint'!$A$7:$K$62, ,13)&lt;=(TODAY()+5))*(INDEX('DBX Sprint'!$A$7:$K$62, ,13)&gt;(TODAY()+1)),MATCH(ROW('DBX Sprint'!$A$7:$K$62),ROW('DBX Sprint'!$A$7:$K$62)),""),ROWS($F$34:F144)),COLUMNS('DBX Sprint'!$A$1:A12)),"")</f>
        <v/>
      </c>
      <c r="G144" s="43" t="str" cm="1">
        <f t="array" aca="1" ref="G144" ca="1">IFERROR(INDEX('DBX Sprint'!$A$7:$K$62, SMALL(IF((INDEX('DBX Sprint'!$A$7:$K$62, ,13)&lt;=(TODAY()+10))*(INDEX('DBX Sprint'!$A$7:$K$62, ,13)&gt;(TODAY()+5)),MATCH(ROW('DBX Sprint'!$A$7:$K$62),ROW('DBX Sprint'!$A$7:$K$62)),""),ROWS($G$34:G144)),COLUMNS('DBX Sprint'!$A$1:A12)),"")</f>
        <v/>
      </c>
      <c r="I144" s="41" t="str" cm="1">
        <f t="array" ref="I144">IFERROR(INDEX('DBX Sprint'!$A$7:$K$62, SMALL(IF((INDEX('DBX Sprint'!$A$7:$K$62, ,16)=("Complete"))*(INDEX('DBX Sprint'!$A$7:$K$62, ,16)="Complete"),MATCH(ROW('DBX Sprint'!$A$7:$K$62),ROW('DBX Sprint'!$A$7:$K$62)),""),ROWS($I$34:I144)),COLUMNS('DBX Sprint'!$A$1:A12)),"")</f>
        <v/>
      </c>
      <c r="J144" s="41" t="str" cm="1">
        <f t="array" aca="1" ref="J144" ca="1">IFERROR(INDEX('DBX Sprint'!$A$7:$K$62, SMALL(IF((INDEX('DBX Sprint'!$A$7:$K$62, ,16)&lt;(TODAY()))*(INDEX('DBX Sprint'!$A$7:$K$62, ,16)&lt;&gt;"Complete"),MATCH(ROW('DBX Sprint'!$A$7:$K$62),ROW('DBX Sprint'!$A$7:$K$62)),""),ROWS($J$34:J144)),COLUMNS('DBX Sprint'!$A$1:A12)),"")</f>
        <v/>
      </c>
      <c r="K144" s="41" t="str" cm="1">
        <f t="array" aca="1" ref="K144" ca="1">IFERROR(INDEX('DBX Sprint'!$A$7:$K$62, SMALL(IF((INDEX('DBX Sprint'!$A$7:$K$62, ,16)&lt;=(TODAY()+1))*(INDEX('DBX Sprint'!$A$7:$K$62, ,16)&gt;=TODAY()),MATCH(ROW('DBX Sprint'!$A$7:$K$62),ROW('DBX Sprint'!$A$7:$K$62)),""),ROWS($K$34:K144)),COLUMNS('DBX Sprint'!$A$1:A12)),"")</f>
        <v/>
      </c>
      <c r="L144" s="43" t="str" cm="1">
        <f t="array" aca="1" ref="L144" ca="1">IFERROR(INDEX('DBX Sprint'!$A$7:$K$62, SMALL(IF((INDEX('DBX Sprint'!$A$7:$K$62, ,16)&lt;=(TODAY()+5))*(INDEX('DBX Sprint'!$A$7:$K$62, ,16)&gt;(TODAY()+1)),MATCH(ROW('DBX Sprint'!$A$7:$K$62),ROW('DBX Sprint'!$A$7:$K$62)),""),ROWS($L$34:L144)),COLUMNS('DBX Sprint'!$A$1:A12)),"")</f>
        <v/>
      </c>
      <c r="M144" s="43" t="str" cm="1">
        <f t="array" aca="1" ref="M144" ca="1">IFERROR(INDEX('DBX Sprint'!$A$7:$K$62, SMALL(IF((INDEX('DBX Sprint'!$A$7:$K$62, ,16)&lt;=(TODAY()+10))*(INDEX('DBX Sprint'!$A$7:$K$62, ,16)&gt;(TODAY()+5)),MATCH(ROW('DBX Sprint'!$A$7:$K$62),ROW('DBX Sprint'!$A$7:$K$62)),""),ROWS($M$34:M144)),COLUMNS('DBX Sprint'!$A$1:A12)),"")</f>
        <v/>
      </c>
      <c r="P144" s="41" t="str" cm="1">
        <f t="array" aca="1" ref="P144" ca="1">IFERROR(INDEX('DBX Sprint'!$A$7:$K$62, SMALL(IF((INDEX('DBX Sprint'!$A$7:$K$62, ,19)&lt;(TODAY()))*(INDEX('DBX Sprint'!$A$7:$K$62, ,19)&lt;&gt;"Complete"),MATCH(ROW('DBX Sprint'!$A$7:$K$62),ROW('DBX Sprint'!$A$7:$K$62)),""),ROWS($P$34:P144)),COLUMNS('DBX Sprint'!$A$1:A12)),"")</f>
        <v/>
      </c>
      <c r="Q144" s="41" t="str" cm="1">
        <f t="array" aca="1" ref="Q144" ca="1">IFERROR(INDEX('DBX Sprint'!$A$7:$K$62, SMALL(IF((INDEX('DBX Sprint'!$A$7:$K$62, ,19)&lt;=(TODAY()+1))*(INDEX('DBX Sprint'!$A$7:$K$62, ,19)&gt;=TODAY()),MATCH(ROW('DBX Sprint'!$A$7:$K$62),ROW('DBX Sprint'!$A$7:$K$62)),""),ROWS($Q$34:Q144)),COLUMNS('DBX Sprint'!$A$1:A12)),"")</f>
        <v/>
      </c>
      <c r="R144" s="43" t="str" cm="1">
        <f t="array" aca="1" ref="R144" ca="1">IFERROR(INDEX('DBX Sprint'!$A$7:$K$62, SMALL(IF((INDEX('DBX Sprint'!$A$7:$K$62, ,19)&lt;=(TODAY()+5))*(INDEX('DBX Sprint'!$A$7:$K$62, ,19)&gt;(TODAY()+1)),MATCH(ROW('DBX Sprint'!$A$7:$K$62),ROW('DBX Sprint'!$A$7:$K$62)),""),ROWS($R$34:R144)),COLUMNS('DBX Sprint'!$A$1:A12)),"")</f>
        <v/>
      </c>
      <c r="S144" s="43" t="str" cm="1">
        <f t="array" aca="1" ref="S144" ca="1">IFERROR(INDEX('DBX Sprint'!$A$7:$K$62, SMALL(IF((INDEX('DBX Sprint'!$A$7:$K$62, ,19)&lt;=(TODAY()+10))*(INDEX('DBX Sprint'!$A$7:$K$62, ,19)&gt;(TODAY()+5)),MATCH(ROW('DBX Sprint'!$A$7:$K$62),ROW('DBX Sprint'!$A$7:$K$62)),""),ROWS($S$34:S144)),COLUMNS('DBX Sprint'!$A$1:A12)),"")</f>
        <v/>
      </c>
      <c r="U144" s="41" t="str" cm="1">
        <f t="array" ref="U144">IFERROR(INDEX('DBX Sprint'!$A$7:$K$62, SMALL(IF((INDEX('DBX Sprint'!$A$7:$K$62, ,22)=("Complete"))*(INDEX('DBX Sprint'!$A$7:$K$62, ,22)="Complete"),MATCH(ROW('DBX Sprint'!$A$7:$K$62),ROW('DBX Sprint'!$A$7:$K$62)),""),ROWS($U$34:U144)),COLUMNS('DBX Sprint'!$A$1:A12)),"")</f>
        <v/>
      </c>
      <c r="V144" s="41" t="str" cm="1">
        <f t="array" aca="1" ref="V144" ca="1">IFERROR(INDEX('DBX Sprint'!$A$7:$K$62, SMALL(IF((INDEX('DBX Sprint'!$A$7:$K$62, ,22)&lt;(TODAY()))*(INDEX('DBX Sprint'!$A$7:$K$62, ,22)&lt;&gt;"Complete"),MATCH(ROW('DBX Sprint'!$A$7:$K$62),ROW('DBX Sprint'!$A$7:$K$62)),""),ROWS($V$34:V144)),COLUMNS('DBX Sprint'!$A$1:A12)),"")</f>
        <v/>
      </c>
      <c r="W144" s="41" t="str" cm="1">
        <f t="array" aca="1" ref="W144" ca="1">IFERROR(INDEX('DBX Sprint'!$A$7:$K$62, SMALL(IF((INDEX('DBX Sprint'!$A$7:$K$62, ,22)&lt;=(TODAY()+1))*(INDEX('DBX Sprint'!$A$7:$K$62, ,22)&gt;=TODAY()),MATCH(ROW('DBX Sprint'!$A$7:$K$62),ROW('DBX Sprint'!$A$7:$K$62)),""),ROWS($W$34:W144)),COLUMNS('DBX Sprint'!$A$1:A12)),"")</f>
        <v/>
      </c>
      <c r="X144" s="43" t="str" cm="1">
        <f t="array" aca="1" ref="X144" ca="1">IFERROR(INDEX('DBX Sprint'!$A$7:$K$62, SMALL(IF((INDEX('DBX Sprint'!$A$7:$K$62, ,22)&lt;=(TODAY()+5))*(INDEX('DBX Sprint'!$A$7:$K$62, ,22)&gt;(TODAY()+1)),MATCH(ROW('DBX Sprint'!$A$7:$K$62),ROW('DBX Sprint'!$A$7:$K$62)),""),ROWS($X$34:X144)),COLUMNS('DBX Sprint'!$A$1:A12)),"")</f>
        <v/>
      </c>
      <c r="Y144" s="43" t="str" cm="1">
        <f t="array" aca="1" ref="Y144" ca="1">IFERROR(INDEX('DBX Sprint'!$A$7:$K$62, SMALL(IF((INDEX('DBX Sprint'!$A$7:$K$62, ,22)&lt;=(TODAY()+10))*(INDEX('DBX Sprint'!$A$7:$K$62, ,22)&gt;(TODAY()+5)),MATCH(ROW('DBX Sprint'!$A$7:$K$62),ROW('DBX Sprint'!$A$7:$K$62)),""),ROWS($Y$34:Y144)),COLUMNS('DBX Sprint'!$A$1:A12)),"")</f>
        <v/>
      </c>
      <c r="AA144" s="41" t="str" cm="1">
        <f t="array" ref="AA144">IFERROR(INDEX('DBX Sprint'!$A$7:$K$62, SMALL(IF((INDEX('DBX Sprint'!$A$7:$K$62, ,25)=("Complete"))*(INDEX('DBX Sprint'!$A$7:$K$62, ,25)="Complete"),MATCH(ROW('DBX Sprint'!$A$7:$K$62),ROW('DBX Sprint'!$A$7:$K$62)),""),ROWS($AA$34:AA144)),COLUMNS('DBX Sprint'!$A$1:A12)),"")</f>
        <v/>
      </c>
      <c r="AB144" s="41" t="str" cm="1">
        <f t="array" aca="1" ref="AB144" ca="1">IFERROR(INDEX('DBX Sprint'!$A$7:$K$62, SMALL(IF((INDEX('DBX Sprint'!$A$7:$K$62, ,25)&lt;(TODAY()))*(INDEX('DBX Sprint'!$A$7:$K$62, ,25)&lt;&gt;"Complete"),MATCH(ROW('DBX Sprint'!$A$7:$K$62),ROW('DBX Sprint'!$A$7:$K$62)),""),ROWS($AB$34:AB144)),COLUMNS('DBX Sprint'!$A$1:A12)),"")</f>
        <v/>
      </c>
      <c r="AC144" s="41" t="str" cm="1">
        <f t="array" aca="1" ref="AC144" ca="1">IFERROR(INDEX('DBX Sprint'!$A$7:$K$62, SMALL(IF((INDEX('DBX Sprint'!$A$7:$K$62, ,25)&lt;=(TODAY()+1))*(INDEX('DBX Sprint'!$A$7:$K$62, ,25)&gt;=TODAY()),MATCH(ROW('DBX Sprint'!$A$7:$K$62),ROW('DBX Sprint'!$A$7:$K$62)),""),ROWS($AC$34:AC144)),COLUMNS('DBX Sprint'!$A$1:A12)),"")</f>
        <v/>
      </c>
      <c r="AD144" s="43" t="str" cm="1">
        <f t="array" aca="1" ref="AD144" ca="1">IFERROR(INDEX('DBX Sprint'!$A$7:$K$62, SMALL(IF((INDEX('DBX Sprint'!$A$7:$K$62, ,25)&lt;=(TODAY()+5))*(INDEX('DBX Sprint'!$A$7:$K$62, ,25)&gt;(TODAY()+1)),MATCH(ROW('DBX Sprint'!$A$7:$K$62),ROW('DBX Sprint'!$A$7:$K$62)),""),ROWS($AD$34:AD144)),COLUMNS('DBX Sprint'!$A$1:A12)),"")</f>
        <v/>
      </c>
      <c r="AE144" s="43" t="str" cm="1">
        <f t="array" aca="1" ref="AE144" ca="1">IFERROR(INDEX('DBX Sprint'!$A$7:$K$62, SMALL(IF((INDEX('DBX Sprint'!$A$7:$K$62, ,25)&lt;=(TODAY()+10))*(INDEX('DBX Sprint'!$A$7:$K$62, ,25)&gt;(TODAY()+5)),MATCH(ROW('DBX Sprint'!$A$7:$K$62),ROW('DBX Sprint'!$A$7:$K$62)),""),ROWS($AE$34:AE144)),COLUMNS('DBX Sprint'!$A$1:A12)),"")</f>
        <v/>
      </c>
      <c r="AG144" s="41" t="str" cm="1">
        <f t="array" ref="AG144">IFERROR(INDEX('DBX Sprint'!$A$7:$K$62, SMALL(IF((INDEX('DBX Sprint'!$A$7:$K$62, ,29)=("Complete"))*(INDEX('DBX Sprint'!$A$7:$K$62, ,29)="Complete"),MATCH(ROW('DBX Sprint'!$A$7:$K$62),ROW('DBX Sprint'!$A$7:$K$62)),""),ROWS($AG$34:AG144)),COLUMNS('DBX Sprint'!$A$1:A12)),"")</f>
        <v/>
      </c>
      <c r="AH144" s="41" t="str" cm="1">
        <f t="array" aca="1" ref="AH144" ca="1">IFERROR(INDEX('DBX Sprint'!$A$7:$K$62, SMALL(IF((INDEX('DBX Sprint'!$A$7:$K$62, ,29)&lt;(TODAY()))*(INDEX('DBX Sprint'!$A$7:$K$62, ,29)&lt;&gt;"Complete"),MATCH(ROW('DBX Sprint'!$A$7:$K$62),ROW('DBX Sprint'!$A$7:$K$62)),""),ROWS($AH$34:AH144)),COLUMNS('DBX Sprint'!$A$1:A12)),"")</f>
        <v/>
      </c>
      <c r="AI144" s="41" t="str" cm="1">
        <f t="array" aca="1" ref="AI144" ca="1">IFERROR(INDEX('DBX Sprint'!$A$7:$K$62, SMALL(IF((INDEX('DBX Sprint'!$A$7:$K$62, ,29)&lt;=(TODAY()+1))*(INDEX('DBX Sprint'!$A$7:$K$62, ,29)&gt;=TODAY()),MATCH(ROW('DBX Sprint'!$A$7:$K$62),ROW('DBX Sprint'!$A$7:$K$62)),""),ROWS($AI$34:AI144)),COLUMNS('DBX Sprint'!$A$1:A12)),"")</f>
        <v/>
      </c>
      <c r="AJ144" s="43" t="str" cm="1">
        <f t="array" aca="1" ref="AJ144" ca="1">IFERROR(INDEX('DBX Sprint'!$A$7:$K$62, SMALL(IF((INDEX('DBX Sprint'!$A$7:$K$62, ,29)&lt;=(TODAY()+5))*(INDEX('DBX Sprint'!$A$7:$K$62, ,29)&gt;(TODAY()+1)),MATCH(ROW('DBX Sprint'!$A$7:$K$62),ROW('DBX Sprint'!$A$7:$K$62)),""),ROWS($AJ$34:AJ144)),COLUMNS('DBX Sprint'!$A$1:A12)),"")</f>
        <v/>
      </c>
      <c r="AK144" s="43" t="str" cm="1">
        <f t="array" aca="1" ref="AK144" ca="1">IFERROR(INDEX('DBX Sprint'!$A$7:$K$62, SMALL(IF((INDEX('DBX Sprint'!$A$7:$K$62, ,29)&lt;=(TODAY()+10))*(INDEX('DBX Sprint'!$A$7:$K$62, ,29)&gt;(TODAY()+5)),MATCH(ROW('DBX Sprint'!$A$7:$K$62),ROW('DBX Sprint'!$A$7:$K$62)),""),ROWS($AK$34:AK144)),COLUMNS('DBX Sprint'!$A$1:A12)),"")</f>
        <v/>
      </c>
      <c r="AM144" s="41" t="str" cm="1">
        <f t="array" ref="AM144">IFERROR(INDEX('DBX Sprint'!$A$7:$K$62, SMALL(IF((INDEX('DBX Sprint'!$A$7:$K$62, ,32)=("Complete"))*(INDEX('DBX Sprint'!$A$7:$K$62, ,32)="Complete"),MATCH(ROW('DBX Sprint'!$A$7:$K$62),ROW('DBX Sprint'!$A$7:$K$62)),""),ROWS($AM$34:AM144)),COLUMNS('DBX Sprint'!$A$1:A12)),"")</f>
        <v/>
      </c>
      <c r="AN144" s="41" t="str" cm="1">
        <f t="array" aca="1" ref="AN144" ca="1">IFERROR(INDEX('DBX Sprint'!$A$7:$K$62, SMALL(IF((INDEX('DBX Sprint'!$A$7:$K$62, ,32)&lt;(TODAY()))*(INDEX('DBX Sprint'!$A$7:$K$62, ,32)&lt;&gt;"Complete"),MATCH(ROW('DBX Sprint'!$A$7:$K$62),ROW('DBX Sprint'!$A$7:$K$62)),""),ROWS($AN$34:AN144)),COLUMNS('DBX Sprint'!$A$1:A12)),"")</f>
        <v/>
      </c>
      <c r="AO144" s="41" t="str" cm="1">
        <f t="array" aca="1" ref="AO144" ca="1">IFERROR(INDEX('DBX Sprint'!$A$7:$K$62, SMALL(IF((INDEX('DBX Sprint'!$A$7:$K$62, ,32)&lt;=(TODAY()+1))*(INDEX('DBX Sprint'!$A$7:$K$62, ,32)&gt;=TODAY()),MATCH(ROW('DBX Sprint'!$A$7:$K$62),ROW('DBX Sprint'!$A$7:$K$62)),""),ROWS($AO$34:AO144)),COLUMNS('DBX Sprint'!$A$1:A12)),"")</f>
        <v/>
      </c>
      <c r="AP144" s="43" t="str" cm="1">
        <f t="array" aca="1" ref="AP144" ca="1">IFERROR(INDEX('DBX Sprint'!$A$7:$K$62, SMALL(IF((INDEX('DBX Sprint'!$A$7:$K$62, ,32)&lt;=(TODAY()+5))*(INDEX('DBX Sprint'!$A$7:$K$62, ,32)&gt;(TODAY()+1)),MATCH(ROW('DBX Sprint'!$A$7:$K$62),ROW('DBX Sprint'!$A$7:$K$62)),""),ROWS($AP$34:AP144)),COLUMNS('DBX Sprint'!$A$1:A12)),"")</f>
        <v/>
      </c>
      <c r="AQ144" s="43" t="str" cm="1">
        <f t="array" aca="1" ref="AQ144" ca="1">IFERROR(INDEX('DBX Sprint'!$A$7:$K$62, SMALL(IF((INDEX('DBX Sprint'!$A$7:$K$62, ,32)&lt;=(TODAY()+10))*(INDEX('DBX Sprint'!$A$7:$K$62, ,32)&gt;(TODAY()+5)),MATCH(ROW('DBX Sprint'!$A$7:$K$62),ROW('DBX Sprint'!$A$7:$K$62)),""),ROWS($AQ$34:AQ144)),COLUMNS('DBX Sprint'!$A$1:A12)),"")</f>
        <v/>
      </c>
    </row>
    <row r="145" spans="3:43" ht="30" customHeight="1">
      <c r="C145" s="41" t="str" cm="1">
        <f t="array" ref="C145">IFERROR(INDEX('DBX Sprint'!$A$7:$K$62, SMALL(IF((INDEX('DBX Sprint'!$A$7:$K$62, ,13)=("Complete"))*(INDEX('DBX Sprint'!$A$7:$K$62, ,13)="Complete"),MATCH(ROW('DBX Sprint'!$A$7:$K$62),ROW('DBX Sprint'!$A$7:$K$62)),""),ROWS(C$34:$C145)),COLUMNS('DBX Sprint'!$A$1:A12)),"")</f>
        <v/>
      </c>
      <c r="D145" s="41" t="str" cm="1">
        <f t="array" aca="1" ref="D145" ca="1">IFERROR(INDEX('DBX Sprint'!$A$7:$K$62, SMALL(IF((INDEX('DBX Sprint'!$A$7:$K$62, ,13)&lt;(TODAY()))*(INDEX('DBX Sprint'!$A$7:$K$62, ,13)&lt;&gt;"Complete"),MATCH(ROW('DBX Sprint'!$A$7:$K$62),ROW('DBX Sprint'!$A$7:$K$62)),""),ROWS(D$34:$D145)),COLUMNS('DBX Sprint'!$A$1:A12)),"")</f>
        <v/>
      </c>
      <c r="E145" s="41" t="str" cm="1">
        <f t="array" aca="1" ref="E145" ca="1">IFERROR(INDEX('DBX Sprint'!$A$7:$K$62, SMALL(IF((INDEX('DBX Sprint'!$A$7:$K$62, ,13)&lt;=(TODAY()+1))*(INDEX('DBX Sprint'!$A$7:$K$62, ,13)&gt;=TODAY()),MATCH(ROW('DBX Sprint'!$A$7:$K$62),ROW('DBX Sprint'!$A$7:$K$62)),""),ROWS(E$34:$E145)),COLUMNS('DBX Sprint'!$A$1:A12)),"")</f>
        <v/>
      </c>
      <c r="F145" s="43" t="str" cm="1">
        <f t="array" aca="1" ref="F145" ca="1">IFERROR(INDEX('DBX Sprint'!$A$7:$K$62, SMALL(IF((INDEX('DBX Sprint'!$A$7:$K$62, ,13)&lt;=(TODAY()+5))*(INDEX('DBX Sprint'!$A$7:$K$62, ,13)&gt;(TODAY()+1)),MATCH(ROW('DBX Sprint'!$A$7:$K$62),ROW('DBX Sprint'!$A$7:$K$62)),""),ROWS($F$34:F145)),COLUMNS('DBX Sprint'!$A$1:A12)),"")</f>
        <v/>
      </c>
      <c r="G145" s="43" t="str" cm="1">
        <f t="array" aca="1" ref="G145" ca="1">IFERROR(INDEX('DBX Sprint'!$A$7:$K$62, SMALL(IF((INDEX('DBX Sprint'!$A$7:$K$62, ,13)&lt;=(TODAY()+10))*(INDEX('DBX Sprint'!$A$7:$K$62, ,13)&gt;(TODAY()+5)),MATCH(ROW('DBX Sprint'!$A$7:$K$62),ROW('DBX Sprint'!$A$7:$K$62)),""),ROWS($G$34:G145)),COLUMNS('DBX Sprint'!$A$1:A12)),"")</f>
        <v/>
      </c>
      <c r="I145" s="41" t="str" cm="1">
        <f t="array" ref="I145">IFERROR(INDEX('DBX Sprint'!$A$7:$K$62, SMALL(IF((INDEX('DBX Sprint'!$A$7:$K$62, ,16)=("Complete"))*(INDEX('DBX Sprint'!$A$7:$K$62, ,16)="Complete"),MATCH(ROW('DBX Sprint'!$A$7:$K$62),ROW('DBX Sprint'!$A$7:$K$62)),""),ROWS($I$34:I145)),COLUMNS('DBX Sprint'!$A$1:A12)),"")</f>
        <v/>
      </c>
      <c r="J145" s="41" t="str" cm="1">
        <f t="array" aca="1" ref="J145" ca="1">IFERROR(INDEX('DBX Sprint'!$A$7:$K$62, SMALL(IF((INDEX('DBX Sprint'!$A$7:$K$62, ,16)&lt;(TODAY()))*(INDEX('DBX Sprint'!$A$7:$K$62, ,16)&lt;&gt;"Complete"),MATCH(ROW('DBX Sprint'!$A$7:$K$62),ROW('DBX Sprint'!$A$7:$K$62)),""),ROWS($J$34:J145)),COLUMNS('DBX Sprint'!$A$1:A12)),"")</f>
        <v/>
      </c>
      <c r="K145" s="41" t="str" cm="1">
        <f t="array" aca="1" ref="K145" ca="1">IFERROR(INDEX('DBX Sprint'!$A$7:$K$62, SMALL(IF((INDEX('DBX Sprint'!$A$7:$K$62, ,16)&lt;=(TODAY()+1))*(INDEX('DBX Sprint'!$A$7:$K$62, ,16)&gt;=TODAY()),MATCH(ROW('DBX Sprint'!$A$7:$K$62),ROW('DBX Sprint'!$A$7:$K$62)),""),ROWS($K$34:K145)),COLUMNS('DBX Sprint'!$A$1:A12)),"")</f>
        <v/>
      </c>
      <c r="L145" s="43" t="str" cm="1">
        <f t="array" aca="1" ref="L145" ca="1">IFERROR(INDEX('DBX Sprint'!$A$7:$K$62, SMALL(IF((INDEX('DBX Sprint'!$A$7:$K$62, ,16)&lt;=(TODAY()+5))*(INDEX('DBX Sprint'!$A$7:$K$62, ,16)&gt;(TODAY()+1)),MATCH(ROW('DBX Sprint'!$A$7:$K$62),ROW('DBX Sprint'!$A$7:$K$62)),""),ROWS($L$34:L145)),COLUMNS('DBX Sprint'!$A$1:A12)),"")</f>
        <v/>
      </c>
      <c r="M145" s="43" t="str" cm="1">
        <f t="array" aca="1" ref="M145" ca="1">IFERROR(INDEX('DBX Sprint'!$A$7:$K$62, SMALL(IF((INDEX('DBX Sprint'!$A$7:$K$62, ,16)&lt;=(TODAY()+10))*(INDEX('DBX Sprint'!$A$7:$K$62, ,16)&gt;(TODAY()+5)),MATCH(ROW('DBX Sprint'!$A$7:$K$62),ROW('DBX Sprint'!$A$7:$K$62)),""),ROWS($M$34:M145)),COLUMNS('DBX Sprint'!$A$1:A12)),"")</f>
        <v/>
      </c>
      <c r="P145" s="41" t="str" cm="1">
        <f t="array" aca="1" ref="P145" ca="1">IFERROR(INDEX('DBX Sprint'!$A$7:$K$62, SMALL(IF((INDEX('DBX Sprint'!$A$7:$K$62, ,19)&lt;(TODAY()))*(INDEX('DBX Sprint'!$A$7:$K$62, ,19)&lt;&gt;"Complete"),MATCH(ROW('DBX Sprint'!$A$7:$K$62),ROW('DBX Sprint'!$A$7:$K$62)),""),ROWS($P$34:P145)),COLUMNS('DBX Sprint'!$A$1:A12)),"")</f>
        <v/>
      </c>
      <c r="Q145" s="41" t="str" cm="1">
        <f t="array" aca="1" ref="Q145" ca="1">IFERROR(INDEX('DBX Sprint'!$A$7:$K$62, SMALL(IF((INDEX('DBX Sprint'!$A$7:$K$62, ,19)&lt;=(TODAY()+1))*(INDEX('DBX Sprint'!$A$7:$K$62, ,19)&gt;=TODAY()),MATCH(ROW('DBX Sprint'!$A$7:$K$62),ROW('DBX Sprint'!$A$7:$K$62)),""),ROWS($Q$34:Q145)),COLUMNS('DBX Sprint'!$A$1:A12)),"")</f>
        <v/>
      </c>
      <c r="R145" s="43" t="str" cm="1">
        <f t="array" aca="1" ref="R145" ca="1">IFERROR(INDEX('DBX Sprint'!$A$7:$K$62, SMALL(IF((INDEX('DBX Sprint'!$A$7:$K$62, ,19)&lt;=(TODAY()+5))*(INDEX('DBX Sprint'!$A$7:$K$62, ,19)&gt;(TODAY()+1)),MATCH(ROW('DBX Sprint'!$A$7:$K$62),ROW('DBX Sprint'!$A$7:$K$62)),""),ROWS($R$34:R145)),COLUMNS('DBX Sprint'!$A$1:A12)),"")</f>
        <v/>
      </c>
      <c r="S145" s="43" t="str" cm="1">
        <f t="array" aca="1" ref="S145" ca="1">IFERROR(INDEX('DBX Sprint'!$A$7:$K$62, SMALL(IF((INDEX('DBX Sprint'!$A$7:$K$62, ,19)&lt;=(TODAY()+10))*(INDEX('DBX Sprint'!$A$7:$K$62, ,19)&gt;(TODAY()+5)),MATCH(ROW('DBX Sprint'!$A$7:$K$62),ROW('DBX Sprint'!$A$7:$K$62)),""),ROWS($S$34:S145)),COLUMNS('DBX Sprint'!$A$1:A12)),"")</f>
        <v/>
      </c>
      <c r="U145" s="41" t="str" cm="1">
        <f t="array" ref="U145">IFERROR(INDEX('DBX Sprint'!$A$7:$K$62, SMALL(IF((INDEX('DBX Sprint'!$A$7:$K$62, ,22)=("Complete"))*(INDEX('DBX Sprint'!$A$7:$K$62, ,22)="Complete"),MATCH(ROW('DBX Sprint'!$A$7:$K$62),ROW('DBX Sprint'!$A$7:$K$62)),""),ROWS($U$34:U145)),COLUMNS('DBX Sprint'!$A$1:A12)),"")</f>
        <v/>
      </c>
      <c r="V145" s="41" t="str" cm="1">
        <f t="array" aca="1" ref="V145" ca="1">IFERROR(INDEX('DBX Sprint'!$A$7:$K$62, SMALL(IF((INDEX('DBX Sprint'!$A$7:$K$62, ,22)&lt;(TODAY()))*(INDEX('DBX Sprint'!$A$7:$K$62, ,22)&lt;&gt;"Complete"),MATCH(ROW('DBX Sprint'!$A$7:$K$62),ROW('DBX Sprint'!$A$7:$K$62)),""),ROWS($V$34:V145)),COLUMNS('DBX Sprint'!$A$1:A12)),"")</f>
        <v/>
      </c>
      <c r="W145" s="41" t="str" cm="1">
        <f t="array" aca="1" ref="W145" ca="1">IFERROR(INDEX('DBX Sprint'!$A$7:$K$62, SMALL(IF((INDEX('DBX Sprint'!$A$7:$K$62, ,22)&lt;=(TODAY()+1))*(INDEX('DBX Sprint'!$A$7:$K$62, ,22)&gt;=TODAY()),MATCH(ROW('DBX Sprint'!$A$7:$K$62),ROW('DBX Sprint'!$A$7:$K$62)),""),ROWS($W$34:W145)),COLUMNS('DBX Sprint'!$A$1:A12)),"")</f>
        <v/>
      </c>
      <c r="X145" s="43" t="str" cm="1">
        <f t="array" aca="1" ref="X145" ca="1">IFERROR(INDEX('DBX Sprint'!$A$7:$K$62, SMALL(IF((INDEX('DBX Sprint'!$A$7:$K$62, ,22)&lt;=(TODAY()+5))*(INDEX('DBX Sprint'!$A$7:$K$62, ,22)&gt;(TODAY()+1)),MATCH(ROW('DBX Sprint'!$A$7:$K$62),ROW('DBX Sprint'!$A$7:$K$62)),""),ROWS($X$34:X145)),COLUMNS('DBX Sprint'!$A$1:A12)),"")</f>
        <v/>
      </c>
      <c r="Y145" s="43" t="str" cm="1">
        <f t="array" aca="1" ref="Y145" ca="1">IFERROR(INDEX('DBX Sprint'!$A$7:$K$62, SMALL(IF((INDEX('DBX Sprint'!$A$7:$K$62, ,22)&lt;=(TODAY()+10))*(INDEX('DBX Sprint'!$A$7:$K$62, ,22)&gt;(TODAY()+5)),MATCH(ROW('DBX Sprint'!$A$7:$K$62),ROW('DBX Sprint'!$A$7:$K$62)),""),ROWS($Y$34:Y145)),COLUMNS('DBX Sprint'!$A$1:A12)),"")</f>
        <v/>
      </c>
      <c r="AA145" s="41" t="str" cm="1">
        <f t="array" ref="AA145">IFERROR(INDEX('DBX Sprint'!$A$7:$K$62, SMALL(IF((INDEX('DBX Sprint'!$A$7:$K$62, ,25)=("Complete"))*(INDEX('DBX Sprint'!$A$7:$K$62, ,25)="Complete"),MATCH(ROW('DBX Sprint'!$A$7:$K$62),ROW('DBX Sprint'!$A$7:$K$62)),""),ROWS($AA$34:AA145)),COLUMNS('DBX Sprint'!$A$1:A12)),"")</f>
        <v/>
      </c>
      <c r="AB145" s="41" t="str" cm="1">
        <f t="array" aca="1" ref="AB145" ca="1">IFERROR(INDEX('DBX Sprint'!$A$7:$K$62, SMALL(IF((INDEX('DBX Sprint'!$A$7:$K$62, ,25)&lt;(TODAY()))*(INDEX('DBX Sprint'!$A$7:$K$62, ,25)&lt;&gt;"Complete"),MATCH(ROW('DBX Sprint'!$A$7:$K$62),ROW('DBX Sprint'!$A$7:$K$62)),""),ROWS($AB$34:AB145)),COLUMNS('DBX Sprint'!$A$1:A12)),"")</f>
        <v/>
      </c>
      <c r="AC145" s="41" t="str" cm="1">
        <f t="array" aca="1" ref="AC145" ca="1">IFERROR(INDEX('DBX Sprint'!$A$7:$K$62, SMALL(IF((INDEX('DBX Sprint'!$A$7:$K$62, ,25)&lt;=(TODAY()+1))*(INDEX('DBX Sprint'!$A$7:$K$62, ,25)&gt;=TODAY()),MATCH(ROW('DBX Sprint'!$A$7:$K$62),ROW('DBX Sprint'!$A$7:$K$62)),""),ROWS($AC$34:AC145)),COLUMNS('DBX Sprint'!$A$1:A12)),"")</f>
        <v/>
      </c>
      <c r="AD145" s="43" t="str" cm="1">
        <f t="array" aca="1" ref="AD145" ca="1">IFERROR(INDEX('DBX Sprint'!$A$7:$K$62, SMALL(IF((INDEX('DBX Sprint'!$A$7:$K$62, ,25)&lt;=(TODAY()+5))*(INDEX('DBX Sprint'!$A$7:$K$62, ,25)&gt;(TODAY()+1)),MATCH(ROW('DBX Sprint'!$A$7:$K$62),ROW('DBX Sprint'!$A$7:$K$62)),""),ROWS($AD$34:AD145)),COLUMNS('DBX Sprint'!$A$1:A12)),"")</f>
        <v/>
      </c>
      <c r="AE145" s="43" t="str" cm="1">
        <f t="array" aca="1" ref="AE145" ca="1">IFERROR(INDEX('DBX Sprint'!$A$7:$K$62, SMALL(IF((INDEX('DBX Sprint'!$A$7:$K$62, ,25)&lt;=(TODAY()+10))*(INDEX('DBX Sprint'!$A$7:$K$62, ,25)&gt;(TODAY()+5)),MATCH(ROW('DBX Sprint'!$A$7:$K$62),ROW('DBX Sprint'!$A$7:$K$62)),""),ROWS($AE$34:AE145)),COLUMNS('DBX Sprint'!$A$1:A12)),"")</f>
        <v/>
      </c>
      <c r="AG145" s="41" t="str" cm="1">
        <f t="array" ref="AG145">IFERROR(INDEX('DBX Sprint'!$A$7:$K$62, SMALL(IF((INDEX('DBX Sprint'!$A$7:$K$62, ,29)=("Complete"))*(INDEX('DBX Sprint'!$A$7:$K$62, ,29)="Complete"),MATCH(ROW('DBX Sprint'!$A$7:$K$62),ROW('DBX Sprint'!$A$7:$K$62)),""),ROWS($AG$34:AG145)),COLUMNS('DBX Sprint'!$A$1:A12)),"")</f>
        <v/>
      </c>
      <c r="AH145" s="41" t="str" cm="1">
        <f t="array" aca="1" ref="AH145" ca="1">IFERROR(INDEX('DBX Sprint'!$A$7:$K$62, SMALL(IF((INDEX('DBX Sprint'!$A$7:$K$62, ,29)&lt;(TODAY()))*(INDEX('DBX Sprint'!$A$7:$K$62, ,29)&lt;&gt;"Complete"),MATCH(ROW('DBX Sprint'!$A$7:$K$62),ROW('DBX Sprint'!$A$7:$K$62)),""),ROWS($AH$34:AH145)),COLUMNS('DBX Sprint'!$A$1:A12)),"")</f>
        <v/>
      </c>
      <c r="AI145" s="41" t="str" cm="1">
        <f t="array" aca="1" ref="AI145" ca="1">IFERROR(INDEX('DBX Sprint'!$A$7:$K$62, SMALL(IF((INDEX('DBX Sprint'!$A$7:$K$62, ,29)&lt;=(TODAY()+1))*(INDEX('DBX Sprint'!$A$7:$K$62, ,29)&gt;=TODAY()),MATCH(ROW('DBX Sprint'!$A$7:$K$62),ROW('DBX Sprint'!$A$7:$K$62)),""),ROWS($AI$34:AI145)),COLUMNS('DBX Sprint'!$A$1:A12)),"")</f>
        <v/>
      </c>
      <c r="AJ145" s="43" t="str" cm="1">
        <f t="array" aca="1" ref="AJ145" ca="1">IFERROR(INDEX('DBX Sprint'!$A$7:$K$62, SMALL(IF((INDEX('DBX Sprint'!$A$7:$K$62, ,29)&lt;=(TODAY()+5))*(INDEX('DBX Sprint'!$A$7:$K$62, ,29)&gt;(TODAY()+1)),MATCH(ROW('DBX Sprint'!$A$7:$K$62),ROW('DBX Sprint'!$A$7:$K$62)),""),ROWS($AJ$34:AJ145)),COLUMNS('DBX Sprint'!$A$1:A12)),"")</f>
        <v/>
      </c>
      <c r="AK145" s="43" t="str" cm="1">
        <f t="array" aca="1" ref="AK145" ca="1">IFERROR(INDEX('DBX Sprint'!$A$7:$K$62, SMALL(IF((INDEX('DBX Sprint'!$A$7:$K$62, ,29)&lt;=(TODAY()+10))*(INDEX('DBX Sprint'!$A$7:$K$62, ,29)&gt;(TODAY()+5)),MATCH(ROW('DBX Sprint'!$A$7:$K$62),ROW('DBX Sprint'!$A$7:$K$62)),""),ROWS($AK$34:AK145)),COLUMNS('DBX Sprint'!$A$1:A12)),"")</f>
        <v/>
      </c>
      <c r="AM145" s="41" t="str" cm="1">
        <f t="array" ref="AM145">IFERROR(INDEX('DBX Sprint'!$A$7:$K$62, SMALL(IF((INDEX('DBX Sprint'!$A$7:$K$62, ,32)=("Complete"))*(INDEX('DBX Sprint'!$A$7:$K$62, ,32)="Complete"),MATCH(ROW('DBX Sprint'!$A$7:$K$62),ROW('DBX Sprint'!$A$7:$K$62)),""),ROWS($AM$34:AM145)),COLUMNS('DBX Sprint'!$A$1:A12)),"")</f>
        <v/>
      </c>
      <c r="AN145" s="41" t="str" cm="1">
        <f t="array" aca="1" ref="AN145" ca="1">IFERROR(INDEX('DBX Sprint'!$A$7:$K$62, SMALL(IF((INDEX('DBX Sprint'!$A$7:$K$62, ,32)&lt;(TODAY()))*(INDEX('DBX Sprint'!$A$7:$K$62, ,32)&lt;&gt;"Complete"),MATCH(ROW('DBX Sprint'!$A$7:$K$62),ROW('DBX Sprint'!$A$7:$K$62)),""),ROWS($AN$34:AN145)),COLUMNS('DBX Sprint'!$A$1:A12)),"")</f>
        <v/>
      </c>
      <c r="AO145" s="41" t="str" cm="1">
        <f t="array" aca="1" ref="AO145" ca="1">IFERROR(INDEX('DBX Sprint'!$A$7:$K$62, SMALL(IF((INDEX('DBX Sprint'!$A$7:$K$62, ,32)&lt;=(TODAY()+1))*(INDEX('DBX Sprint'!$A$7:$K$62, ,32)&gt;=TODAY()),MATCH(ROW('DBX Sprint'!$A$7:$K$62),ROW('DBX Sprint'!$A$7:$K$62)),""),ROWS($AO$34:AO145)),COLUMNS('DBX Sprint'!$A$1:A12)),"")</f>
        <v/>
      </c>
      <c r="AP145" s="43" t="str" cm="1">
        <f t="array" aca="1" ref="AP145" ca="1">IFERROR(INDEX('DBX Sprint'!$A$7:$K$62, SMALL(IF((INDEX('DBX Sprint'!$A$7:$K$62, ,32)&lt;=(TODAY()+5))*(INDEX('DBX Sprint'!$A$7:$K$62, ,32)&gt;(TODAY()+1)),MATCH(ROW('DBX Sprint'!$A$7:$K$62),ROW('DBX Sprint'!$A$7:$K$62)),""),ROWS($AP$34:AP145)),COLUMNS('DBX Sprint'!$A$1:A12)),"")</f>
        <v/>
      </c>
      <c r="AQ145" s="43" t="str" cm="1">
        <f t="array" aca="1" ref="AQ145" ca="1">IFERROR(INDEX('DBX Sprint'!$A$7:$K$62, SMALL(IF((INDEX('DBX Sprint'!$A$7:$K$62, ,32)&lt;=(TODAY()+10))*(INDEX('DBX Sprint'!$A$7:$K$62, ,32)&gt;(TODAY()+5)),MATCH(ROW('DBX Sprint'!$A$7:$K$62),ROW('DBX Sprint'!$A$7:$K$62)),""),ROWS($AQ$34:AQ145)),COLUMNS('DBX Sprint'!$A$1:A12)),"")</f>
        <v/>
      </c>
    </row>
    <row r="146" spans="3:43" ht="30" customHeight="1">
      <c r="C146" s="41" t="str" cm="1">
        <f t="array" ref="C146">IFERROR(INDEX('DBX Sprint'!$A$7:$K$62, SMALL(IF((INDEX('DBX Sprint'!$A$7:$K$62, ,13)=("Complete"))*(INDEX('DBX Sprint'!$A$7:$K$62, ,13)="Complete"),MATCH(ROW('DBX Sprint'!$A$7:$K$62),ROW('DBX Sprint'!$A$7:$K$62)),""),ROWS(C$34:$C146)),COLUMNS('DBX Sprint'!$A$1:A12)),"")</f>
        <v/>
      </c>
      <c r="D146" s="41" t="str" cm="1">
        <f t="array" aca="1" ref="D146" ca="1">IFERROR(INDEX('DBX Sprint'!$A$7:$K$62, SMALL(IF((INDEX('DBX Sprint'!$A$7:$K$62, ,13)&lt;(TODAY()))*(INDEX('DBX Sprint'!$A$7:$K$62, ,13)&lt;&gt;"Complete"),MATCH(ROW('DBX Sprint'!$A$7:$K$62),ROW('DBX Sprint'!$A$7:$K$62)),""),ROWS(D$34:$D146)),COLUMNS('DBX Sprint'!$A$1:A12)),"")</f>
        <v/>
      </c>
      <c r="E146" s="41" t="str" cm="1">
        <f t="array" aca="1" ref="E146" ca="1">IFERROR(INDEX('DBX Sprint'!$A$7:$K$62, SMALL(IF((INDEX('DBX Sprint'!$A$7:$K$62, ,13)&lt;=(TODAY()+1))*(INDEX('DBX Sprint'!$A$7:$K$62, ,13)&gt;=TODAY()),MATCH(ROW('DBX Sprint'!$A$7:$K$62),ROW('DBX Sprint'!$A$7:$K$62)),""),ROWS(E$34:$E146)),COLUMNS('DBX Sprint'!$A$1:A12)),"")</f>
        <v/>
      </c>
      <c r="F146" s="43" t="str" cm="1">
        <f t="array" aca="1" ref="F146" ca="1">IFERROR(INDEX('DBX Sprint'!$A$7:$K$62, SMALL(IF((INDEX('DBX Sprint'!$A$7:$K$62, ,13)&lt;=(TODAY()+5))*(INDEX('DBX Sprint'!$A$7:$K$62, ,13)&gt;(TODAY()+1)),MATCH(ROW('DBX Sprint'!$A$7:$K$62),ROW('DBX Sprint'!$A$7:$K$62)),""),ROWS($F$34:F146)),COLUMNS('DBX Sprint'!$A$1:A12)),"")</f>
        <v/>
      </c>
      <c r="G146" s="43" t="str" cm="1">
        <f t="array" aca="1" ref="G146" ca="1">IFERROR(INDEX('DBX Sprint'!$A$7:$K$62, SMALL(IF((INDEX('DBX Sprint'!$A$7:$K$62, ,13)&lt;=(TODAY()+10))*(INDEX('DBX Sprint'!$A$7:$K$62, ,13)&gt;(TODAY()+5)),MATCH(ROW('DBX Sprint'!$A$7:$K$62),ROW('DBX Sprint'!$A$7:$K$62)),""),ROWS($G$34:G146)),COLUMNS('DBX Sprint'!$A$1:A12)),"")</f>
        <v/>
      </c>
      <c r="I146" s="41" t="str" cm="1">
        <f t="array" ref="I146">IFERROR(INDEX('DBX Sprint'!$A$7:$K$62, SMALL(IF((INDEX('DBX Sprint'!$A$7:$K$62, ,16)=("Complete"))*(INDEX('DBX Sprint'!$A$7:$K$62, ,16)="Complete"),MATCH(ROW('DBX Sprint'!$A$7:$K$62),ROW('DBX Sprint'!$A$7:$K$62)),""),ROWS($I$34:I146)),COLUMNS('DBX Sprint'!$A$1:A12)),"")</f>
        <v/>
      </c>
      <c r="J146" s="41" t="str" cm="1">
        <f t="array" aca="1" ref="J146" ca="1">IFERROR(INDEX('DBX Sprint'!$A$7:$K$62, SMALL(IF((INDEX('DBX Sprint'!$A$7:$K$62, ,16)&lt;(TODAY()))*(INDEX('DBX Sprint'!$A$7:$K$62, ,16)&lt;&gt;"Complete"),MATCH(ROW('DBX Sprint'!$A$7:$K$62),ROW('DBX Sprint'!$A$7:$K$62)),""),ROWS($J$34:J146)),COLUMNS('DBX Sprint'!$A$1:A12)),"")</f>
        <v/>
      </c>
      <c r="K146" s="41" t="str" cm="1">
        <f t="array" aca="1" ref="K146" ca="1">IFERROR(INDEX('DBX Sprint'!$A$7:$K$62, SMALL(IF((INDEX('DBX Sprint'!$A$7:$K$62, ,16)&lt;=(TODAY()+1))*(INDEX('DBX Sprint'!$A$7:$K$62, ,16)&gt;=TODAY()),MATCH(ROW('DBX Sprint'!$A$7:$K$62),ROW('DBX Sprint'!$A$7:$K$62)),""),ROWS($K$34:K146)),COLUMNS('DBX Sprint'!$A$1:A12)),"")</f>
        <v/>
      </c>
      <c r="L146" s="43" t="str" cm="1">
        <f t="array" aca="1" ref="L146" ca="1">IFERROR(INDEX('DBX Sprint'!$A$7:$K$62, SMALL(IF((INDEX('DBX Sprint'!$A$7:$K$62, ,16)&lt;=(TODAY()+5))*(INDEX('DBX Sprint'!$A$7:$K$62, ,16)&gt;(TODAY()+1)),MATCH(ROW('DBX Sprint'!$A$7:$K$62),ROW('DBX Sprint'!$A$7:$K$62)),""),ROWS($L$34:L146)),COLUMNS('DBX Sprint'!$A$1:A12)),"")</f>
        <v/>
      </c>
      <c r="M146" s="43" t="str" cm="1">
        <f t="array" aca="1" ref="M146" ca="1">IFERROR(INDEX('DBX Sprint'!$A$7:$K$62, SMALL(IF((INDEX('DBX Sprint'!$A$7:$K$62, ,16)&lt;=(TODAY()+10))*(INDEX('DBX Sprint'!$A$7:$K$62, ,16)&gt;(TODAY()+5)),MATCH(ROW('DBX Sprint'!$A$7:$K$62),ROW('DBX Sprint'!$A$7:$K$62)),""),ROWS($M$34:M146)),COLUMNS('DBX Sprint'!$A$1:A12)),"")</f>
        <v/>
      </c>
      <c r="P146" s="41" t="str" cm="1">
        <f t="array" aca="1" ref="P146" ca="1">IFERROR(INDEX('DBX Sprint'!$A$7:$K$62, SMALL(IF((INDEX('DBX Sprint'!$A$7:$K$62, ,19)&lt;(TODAY()))*(INDEX('DBX Sprint'!$A$7:$K$62, ,19)&lt;&gt;"Complete"),MATCH(ROW('DBX Sprint'!$A$7:$K$62),ROW('DBX Sprint'!$A$7:$K$62)),""),ROWS($P$34:P146)),COLUMNS('DBX Sprint'!$A$1:A12)),"")</f>
        <v/>
      </c>
      <c r="Q146" s="41" t="str" cm="1">
        <f t="array" aca="1" ref="Q146" ca="1">IFERROR(INDEX('DBX Sprint'!$A$7:$K$62, SMALL(IF((INDEX('DBX Sprint'!$A$7:$K$62, ,19)&lt;=(TODAY()+1))*(INDEX('DBX Sprint'!$A$7:$K$62, ,19)&gt;=TODAY()),MATCH(ROW('DBX Sprint'!$A$7:$K$62),ROW('DBX Sprint'!$A$7:$K$62)),""),ROWS($Q$34:Q146)),COLUMNS('DBX Sprint'!$A$1:A12)),"")</f>
        <v/>
      </c>
      <c r="R146" s="43" t="str" cm="1">
        <f t="array" aca="1" ref="R146" ca="1">IFERROR(INDEX('DBX Sprint'!$A$7:$K$62, SMALL(IF((INDEX('DBX Sprint'!$A$7:$K$62, ,19)&lt;=(TODAY()+5))*(INDEX('DBX Sprint'!$A$7:$K$62, ,19)&gt;(TODAY()+1)),MATCH(ROW('DBX Sprint'!$A$7:$K$62),ROW('DBX Sprint'!$A$7:$K$62)),""),ROWS($R$34:R146)),COLUMNS('DBX Sprint'!$A$1:A12)),"")</f>
        <v/>
      </c>
      <c r="S146" s="43" t="str" cm="1">
        <f t="array" aca="1" ref="S146" ca="1">IFERROR(INDEX('DBX Sprint'!$A$7:$K$62, SMALL(IF((INDEX('DBX Sprint'!$A$7:$K$62, ,19)&lt;=(TODAY()+10))*(INDEX('DBX Sprint'!$A$7:$K$62, ,19)&gt;(TODAY()+5)),MATCH(ROW('DBX Sprint'!$A$7:$K$62),ROW('DBX Sprint'!$A$7:$K$62)),""),ROWS($S$34:S146)),COLUMNS('DBX Sprint'!$A$1:A12)),"")</f>
        <v/>
      </c>
      <c r="U146" s="41" t="str" cm="1">
        <f t="array" ref="U146">IFERROR(INDEX('DBX Sprint'!$A$7:$K$62, SMALL(IF((INDEX('DBX Sprint'!$A$7:$K$62, ,22)=("Complete"))*(INDEX('DBX Sprint'!$A$7:$K$62, ,22)="Complete"),MATCH(ROW('DBX Sprint'!$A$7:$K$62),ROW('DBX Sprint'!$A$7:$K$62)),""),ROWS($U$34:U146)),COLUMNS('DBX Sprint'!$A$1:A12)),"")</f>
        <v/>
      </c>
      <c r="V146" s="41" t="str" cm="1">
        <f t="array" aca="1" ref="V146" ca="1">IFERROR(INDEX('DBX Sprint'!$A$7:$K$62, SMALL(IF((INDEX('DBX Sprint'!$A$7:$K$62, ,22)&lt;(TODAY()))*(INDEX('DBX Sprint'!$A$7:$K$62, ,22)&lt;&gt;"Complete"),MATCH(ROW('DBX Sprint'!$A$7:$K$62),ROW('DBX Sprint'!$A$7:$K$62)),""),ROWS($V$34:V146)),COLUMNS('DBX Sprint'!$A$1:A12)),"")</f>
        <v/>
      </c>
      <c r="W146" s="41" t="str" cm="1">
        <f t="array" aca="1" ref="W146" ca="1">IFERROR(INDEX('DBX Sprint'!$A$7:$K$62, SMALL(IF((INDEX('DBX Sprint'!$A$7:$K$62, ,22)&lt;=(TODAY()+1))*(INDEX('DBX Sprint'!$A$7:$K$62, ,22)&gt;=TODAY()),MATCH(ROW('DBX Sprint'!$A$7:$K$62),ROW('DBX Sprint'!$A$7:$K$62)),""),ROWS($W$34:W146)),COLUMNS('DBX Sprint'!$A$1:A12)),"")</f>
        <v/>
      </c>
      <c r="X146" s="43" t="str" cm="1">
        <f t="array" aca="1" ref="X146" ca="1">IFERROR(INDEX('DBX Sprint'!$A$7:$K$62, SMALL(IF((INDEX('DBX Sprint'!$A$7:$K$62, ,22)&lt;=(TODAY()+5))*(INDEX('DBX Sprint'!$A$7:$K$62, ,22)&gt;(TODAY()+1)),MATCH(ROW('DBX Sprint'!$A$7:$K$62),ROW('DBX Sprint'!$A$7:$K$62)),""),ROWS($X$34:X146)),COLUMNS('DBX Sprint'!$A$1:A12)),"")</f>
        <v/>
      </c>
      <c r="Y146" s="43" t="str" cm="1">
        <f t="array" aca="1" ref="Y146" ca="1">IFERROR(INDEX('DBX Sprint'!$A$7:$K$62, SMALL(IF((INDEX('DBX Sprint'!$A$7:$K$62, ,22)&lt;=(TODAY()+10))*(INDEX('DBX Sprint'!$A$7:$K$62, ,22)&gt;(TODAY()+5)),MATCH(ROW('DBX Sprint'!$A$7:$K$62),ROW('DBX Sprint'!$A$7:$K$62)),""),ROWS($Y$34:Y146)),COLUMNS('DBX Sprint'!$A$1:A12)),"")</f>
        <v/>
      </c>
      <c r="AA146" s="41" t="str" cm="1">
        <f t="array" ref="AA146">IFERROR(INDEX('DBX Sprint'!$A$7:$K$62, SMALL(IF((INDEX('DBX Sprint'!$A$7:$K$62, ,25)=("Complete"))*(INDEX('DBX Sprint'!$A$7:$K$62, ,25)="Complete"),MATCH(ROW('DBX Sprint'!$A$7:$K$62),ROW('DBX Sprint'!$A$7:$K$62)),""),ROWS($AA$34:AA146)),COLUMNS('DBX Sprint'!$A$1:A12)),"")</f>
        <v/>
      </c>
      <c r="AB146" s="41" t="str" cm="1">
        <f t="array" aca="1" ref="AB146" ca="1">IFERROR(INDEX('DBX Sprint'!$A$7:$K$62, SMALL(IF((INDEX('DBX Sprint'!$A$7:$K$62, ,25)&lt;(TODAY()))*(INDEX('DBX Sprint'!$A$7:$K$62, ,25)&lt;&gt;"Complete"),MATCH(ROW('DBX Sprint'!$A$7:$K$62),ROW('DBX Sprint'!$A$7:$K$62)),""),ROWS($AB$34:AB146)),COLUMNS('DBX Sprint'!$A$1:A12)),"")</f>
        <v/>
      </c>
      <c r="AC146" s="41" t="str" cm="1">
        <f t="array" aca="1" ref="AC146" ca="1">IFERROR(INDEX('DBX Sprint'!$A$7:$K$62, SMALL(IF((INDEX('DBX Sprint'!$A$7:$K$62, ,25)&lt;=(TODAY()+1))*(INDEX('DBX Sprint'!$A$7:$K$62, ,25)&gt;=TODAY()),MATCH(ROW('DBX Sprint'!$A$7:$K$62),ROW('DBX Sprint'!$A$7:$K$62)),""),ROWS($AC$34:AC146)),COLUMNS('DBX Sprint'!$A$1:A12)),"")</f>
        <v/>
      </c>
      <c r="AD146" s="43" t="str" cm="1">
        <f t="array" aca="1" ref="AD146" ca="1">IFERROR(INDEX('DBX Sprint'!$A$7:$K$62, SMALL(IF((INDEX('DBX Sprint'!$A$7:$K$62, ,25)&lt;=(TODAY()+5))*(INDEX('DBX Sprint'!$A$7:$K$62, ,25)&gt;(TODAY()+1)),MATCH(ROW('DBX Sprint'!$A$7:$K$62),ROW('DBX Sprint'!$A$7:$K$62)),""),ROWS($AD$34:AD146)),COLUMNS('DBX Sprint'!$A$1:A12)),"")</f>
        <v/>
      </c>
      <c r="AE146" s="43" t="str" cm="1">
        <f t="array" aca="1" ref="AE146" ca="1">IFERROR(INDEX('DBX Sprint'!$A$7:$K$62, SMALL(IF((INDEX('DBX Sprint'!$A$7:$K$62, ,25)&lt;=(TODAY()+10))*(INDEX('DBX Sprint'!$A$7:$K$62, ,25)&gt;(TODAY()+5)),MATCH(ROW('DBX Sprint'!$A$7:$K$62),ROW('DBX Sprint'!$A$7:$K$62)),""),ROWS($AE$34:AE146)),COLUMNS('DBX Sprint'!$A$1:A12)),"")</f>
        <v/>
      </c>
      <c r="AG146" s="41" t="str" cm="1">
        <f t="array" ref="AG146">IFERROR(INDEX('DBX Sprint'!$A$7:$K$62, SMALL(IF((INDEX('DBX Sprint'!$A$7:$K$62, ,29)=("Complete"))*(INDEX('DBX Sprint'!$A$7:$K$62, ,29)="Complete"),MATCH(ROW('DBX Sprint'!$A$7:$K$62),ROW('DBX Sprint'!$A$7:$K$62)),""),ROWS($AG$34:AG146)),COLUMNS('DBX Sprint'!$A$1:A12)),"")</f>
        <v/>
      </c>
      <c r="AH146" s="41" t="str" cm="1">
        <f t="array" aca="1" ref="AH146" ca="1">IFERROR(INDEX('DBX Sprint'!$A$7:$K$62, SMALL(IF((INDEX('DBX Sprint'!$A$7:$K$62, ,29)&lt;(TODAY()))*(INDEX('DBX Sprint'!$A$7:$K$62, ,29)&lt;&gt;"Complete"),MATCH(ROW('DBX Sprint'!$A$7:$K$62),ROW('DBX Sprint'!$A$7:$K$62)),""),ROWS($AH$34:AH146)),COLUMNS('DBX Sprint'!$A$1:A12)),"")</f>
        <v/>
      </c>
      <c r="AI146" s="41" t="str" cm="1">
        <f t="array" aca="1" ref="AI146" ca="1">IFERROR(INDEX('DBX Sprint'!$A$7:$K$62, SMALL(IF((INDEX('DBX Sprint'!$A$7:$K$62, ,29)&lt;=(TODAY()+1))*(INDEX('DBX Sprint'!$A$7:$K$62, ,29)&gt;=TODAY()),MATCH(ROW('DBX Sprint'!$A$7:$K$62),ROW('DBX Sprint'!$A$7:$K$62)),""),ROWS($AI$34:AI146)),COLUMNS('DBX Sprint'!$A$1:A12)),"")</f>
        <v/>
      </c>
      <c r="AJ146" s="43" t="str" cm="1">
        <f t="array" aca="1" ref="AJ146" ca="1">IFERROR(INDEX('DBX Sprint'!$A$7:$K$62, SMALL(IF((INDEX('DBX Sprint'!$A$7:$K$62, ,29)&lt;=(TODAY()+5))*(INDEX('DBX Sprint'!$A$7:$K$62, ,29)&gt;(TODAY()+1)),MATCH(ROW('DBX Sprint'!$A$7:$K$62),ROW('DBX Sprint'!$A$7:$K$62)),""),ROWS($AJ$34:AJ146)),COLUMNS('DBX Sprint'!$A$1:A12)),"")</f>
        <v/>
      </c>
      <c r="AK146" s="43" t="str" cm="1">
        <f t="array" aca="1" ref="AK146" ca="1">IFERROR(INDEX('DBX Sprint'!$A$7:$K$62, SMALL(IF((INDEX('DBX Sprint'!$A$7:$K$62, ,29)&lt;=(TODAY()+10))*(INDEX('DBX Sprint'!$A$7:$K$62, ,29)&gt;(TODAY()+5)),MATCH(ROW('DBX Sprint'!$A$7:$K$62),ROW('DBX Sprint'!$A$7:$K$62)),""),ROWS($AK$34:AK146)),COLUMNS('DBX Sprint'!$A$1:A12)),"")</f>
        <v/>
      </c>
      <c r="AM146" s="41" t="str" cm="1">
        <f t="array" ref="AM146">IFERROR(INDEX('DBX Sprint'!$A$7:$K$62, SMALL(IF((INDEX('DBX Sprint'!$A$7:$K$62, ,32)=("Complete"))*(INDEX('DBX Sprint'!$A$7:$K$62, ,32)="Complete"),MATCH(ROW('DBX Sprint'!$A$7:$K$62),ROW('DBX Sprint'!$A$7:$K$62)),""),ROWS($AM$34:AM146)),COLUMNS('DBX Sprint'!$A$1:A12)),"")</f>
        <v/>
      </c>
      <c r="AN146" s="41" t="str" cm="1">
        <f t="array" aca="1" ref="AN146" ca="1">IFERROR(INDEX('DBX Sprint'!$A$7:$K$62, SMALL(IF((INDEX('DBX Sprint'!$A$7:$K$62, ,32)&lt;(TODAY()))*(INDEX('DBX Sprint'!$A$7:$K$62, ,32)&lt;&gt;"Complete"),MATCH(ROW('DBX Sprint'!$A$7:$K$62),ROW('DBX Sprint'!$A$7:$K$62)),""),ROWS($AN$34:AN146)),COLUMNS('DBX Sprint'!$A$1:A12)),"")</f>
        <v/>
      </c>
      <c r="AO146" s="41" t="str" cm="1">
        <f t="array" aca="1" ref="AO146" ca="1">IFERROR(INDEX('DBX Sprint'!$A$7:$K$62, SMALL(IF((INDEX('DBX Sprint'!$A$7:$K$62, ,32)&lt;=(TODAY()+1))*(INDEX('DBX Sprint'!$A$7:$K$62, ,32)&gt;=TODAY()),MATCH(ROW('DBX Sprint'!$A$7:$K$62),ROW('DBX Sprint'!$A$7:$K$62)),""),ROWS($AO$34:AO146)),COLUMNS('DBX Sprint'!$A$1:A12)),"")</f>
        <v/>
      </c>
      <c r="AP146" s="43" t="str" cm="1">
        <f t="array" aca="1" ref="AP146" ca="1">IFERROR(INDEX('DBX Sprint'!$A$7:$K$62, SMALL(IF((INDEX('DBX Sprint'!$A$7:$K$62, ,32)&lt;=(TODAY()+5))*(INDEX('DBX Sprint'!$A$7:$K$62, ,32)&gt;(TODAY()+1)),MATCH(ROW('DBX Sprint'!$A$7:$K$62),ROW('DBX Sprint'!$A$7:$K$62)),""),ROWS($AP$34:AP146)),COLUMNS('DBX Sprint'!$A$1:A12)),"")</f>
        <v/>
      </c>
      <c r="AQ146" s="43" t="str" cm="1">
        <f t="array" aca="1" ref="AQ146" ca="1">IFERROR(INDEX('DBX Sprint'!$A$7:$K$62, SMALL(IF((INDEX('DBX Sprint'!$A$7:$K$62, ,32)&lt;=(TODAY()+10))*(INDEX('DBX Sprint'!$A$7:$K$62, ,32)&gt;(TODAY()+5)),MATCH(ROW('DBX Sprint'!$A$7:$K$62),ROW('DBX Sprint'!$A$7:$K$62)),""),ROWS($AQ$34:AQ146)),COLUMNS('DBX Sprint'!$A$1:A12)),"")</f>
        <v/>
      </c>
    </row>
    <row r="147" spans="3:43" ht="30" customHeight="1">
      <c r="C147" s="41" t="str" cm="1">
        <f t="array" ref="C147">IFERROR(INDEX('DBX Sprint'!$A$7:$K$62, SMALL(IF((INDEX('DBX Sprint'!$A$7:$K$62, ,13)=("Complete"))*(INDEX('DBX Sprint'!$A$7:$K$62, ,13)="Complete"),MATCH(ROW('DBX Sprint'!$A$7:$K$62),ROW('DBX Sprint'!$A$7:$K$62)),""),ROWS(C$34:$C147)),COLUMNS('DBX Sprint'!$A$1:A12)),"")</f>
        <v/>
      </c>
      <c r="D147" s="41" t="str" cm="1">
        <f t="array" aca="1" ref="D147" ca="1">IFERROR(INDEX('DBX Sprint'!$A$7:$K$62, SMALL(IF((INDEX('DBX Sprint'!$A$7:$K$62, ,13)&lt;(TODAY()))*(INDEX('DBX Sprint'!$A$7:$K$62, ,13)&lt;&gt;"Complete"),MATCH(ROW('DBX Sprint'!$A$7:$K$62),ROW('DBX Sprint'!$A$7:$K$62)),""),ROWS(D$34:$D147)),COLUMNS('DBX Sprint'!$A$1:A12)),"")</f>
        <v/>
      </c>
      <c r="E147" s="41" t="str" cm="1">
        <f t="array" aca="1" ref="E147" ca="1">IFERROR(INDEX('DBX Sprint'!$A$7:$K$62, SMALL(IF((INDEX('DBX Sprint'!$A$7:$K$62, ,13)&lt;=(TODAY()+1))*(INDEX('DBX Sprint'!$A$7:$K$62, ,13)&gt;=TODAY()),MATCH(ROW('DBX Sprint'!$A$7:$K$62),ROW('DBX Sprint'!$A$7:$K$62)),""),ROWS(E$34:$E147)),COLUMNS('DBX Sprint'!$A$1:A12)),"")</f>
        <v/>
      </c>
      <c r="F147" s="43" t="str" cm="1">
        <f t="array" aca="1" ref="F147" ca="1">IFERROR(INDEX('DBX Sprint'!$A$7:$K$62, SMALL(IF((INDEX('DBX Sprint'!$A$7:$K$62, ,13)&lt;=(TODAY()+5))*(INDEX('DBX Sprint'!$A$7:$K$62, ,13)&gt;(TODAY()+1)),MATCH(ROW('DBX Sprint'!$A$7:$K$62),ROW('DBX Sprint'!$A$7:$K$62)),""),ROWS($F$34:F147)),COLUMNS('DBX Sprint'!$A$1:A12)),"")</f>
        <v/>
      </c>
      <c r="G147" s="43" t="str" cm="1">
        <f t="array" aca="1" ref="G147" ca="1">IFERROR(INDEX('DBX Sprint'!$A$7:$K$62, SMALL(IF((INDEX('DBX Sprint'!$A$7:$K$62, ,13)&lt;=(TODAY()+10))*(INDEX('DBX Sprint'!$A$7:$K$62, ,13)&gt;(TODAY()+5)),MATCH(ROW('DBX Sprint'!$A$7:$K$62),ROW('DBX Sprint'!$A$7:$K$62)),""),ROWS($G$34:G147)),COLUMNS('DBX Sprint'!$A$1:A12)),"")</f>
        <v/>
      </c>
      <c r="I147" s="41" t="str" cm="1">
        <f t="array" ref="I147">IFERROR(INDEX('DBX Sprint'!$A$7:$K$62, SMALL(IF((INDEX('DBX Sprint'!$A$7:$K$62, ,16)=("Complete"))*(INDEX('DBX Sprint'!$A$7:$K$62, ,16)="Complete"),MATCH(ROW('DBX Sprint'!$A$7:$K$62),ROW('DBX Sprint'!$A$7:$K$62)),""),ROWS($I$34:I147)),COLUMNS('DBX Sprint'!$A$1:A12)),"")</f>
        <v/>
      </c>
      <c r="J147" s="41" t="str" cm="1">
        <f t="array" aca="1" ref="J147" ca="1">IFERROR(INDEX('DBX Sprint'!$A$7:$K$62, SMALL(IF((INDEX('DBX Sprint'!$A$7:$K$62, ,16)&lt;(TODAY()))*(INDEX('DBX Sprint'!$A$7:$K$62, ,16)&lt;&gt;"Complete"),MATCH(ROW('DBX Sprint'!$A$7:$K$62),ROW('DBX Sprint'!$A$7:$K$62)),""),ROWS($J$34:J147)),COLUMNS('DBX Sprint'!$A$1:A12)),"")</f>
        <v/>
      </c>
      <c r="K147" s="41" t="str" cm="1">
        <f t="array" aca="1" ref="K147" ca="1">IFERROR(INDEX('DBX Sprint'!$A$7:$K$62, SMALL(IF((INDEX('DBX Sprint'!$A$7:$K$62, ,16)&lt;=(TODAY()+1))*(INDEX('DBX Sprint'!$A$7:$K$62, ,16)&gt;=TODAY()),MATCH(ROW('DBX Sprint'!$A$7:$K$62),ROW('DBX Sprint'!$A$7:$K$62)),""),ROWS($K$34:K147)),COLUMNS('DBX Sprint'!$A$1:A12)),"")</f>
        <v/>
      </c>
      <c r="L147" s="43" t="str" cm="1">
        <f t="array" aca="1" ref="L147" ca="1">IFERROR(INDEX('DBX Sprint'!$A$7:$K$62, SMALL(IF((INDEX('DBX Sprint'!$A$7:$K$62, ,16)&lt;=(TODAY()+5))*(INDEX('DBX Sprint'!$A$7:$K$62, ,16)&gt;(TODAY()+1)),MATCH(ROW('DBX Sprint'!$A$7:$K$62),ROW('DBX Sprint'!$A$7:$K$62)),""),ROWS($L$34:L147)),COLUMNS('DBX Sprint'!$A$1:A12)),"")</f>
        <v/>
      </c>
      <c r="M147" s="43" t="str" cm="1">
        <f t="array" aca="1" ref="M147" ca="1">IFERROR(INDEX('DBX Sprint'!$A$7:$K$62, SMALL(IF((INDEX('DBX Sprint'!$A$7:$K$62, ,16)&lt;=(TODAY()+10))*(INDEX('DBX Sprint'!$A$7:$K$62, ,16)&gt;(TODAY()+5)),MATCH(ROW('DBX Sprint'!$A$7:$K$62),ROW('DBX Sprint'!$A$7:$K$62)),""),ROWS($M$34:M147)),COLUMNS('DBX Sprint'!$A$1:A12)),"")</f>
        <v/>
      </c>
      <c r="P147" s="41" t="str" cm="1">
        <f t="array" aca="1" ref="P147" ca="1">IFERROR(INDEX('DBX Sprint'!$A$7:$K$62, SMALL(IF((INDEX('DBX Sprint'!$A$7:$K$62, ,19)&lt;(TODAY()))*(INDEX('DBX Sprint'!$A$7:$K$62, ,19)&lt;&gt;"Complete"),MATCH(ROW('DBX Sprint'!$A$7:$K$62),ROW('DBX Sprint'!$A$7:$K$62)),""),ROWS($P$34:P147)),COLUMNS('DBX Sprint'!$A$1:A12)),"")</f>
        <v/>
      </c>
      <c r="Q147" s="41" t="str" cm="1">
        <f t="array" aca="1" ref="Q147" ca="1">IFERROR(INDEX('DBX Sprint'!$A$7:$K$62, SMALL(IF((INDEX('DBX Sprint'!$A$7:$K$62, ,19)&lt;=(TODAY()+1))*(INDEX('DBX Sprint'!$A$7:$K$62, ,19)&gt;=TODAY()),MATCH(ROW('DBX Sprint'!$A$7:$K$62),ROW('DBX Sprint'!$A$7:$K$62)),""),ROWS($Q$34:Q147)),COLUMNS('DBX Sprint'!$A$1:A12)),"")</f>
        <v/>
      </c>
      <c r="R147" s="43" t="str" cm="1">
        <f t="array" aca="1" ref="R147" ca="1">IFERROR(INDEX('DBX Sprint'!$A$7:$K$62, SMALL(IF((INDEX('DBX Sprint'!$A$7:$K$62, ,19)&lt;=(TODAY()+5))*(INDEX('DBX Sprint'!$A$7:$K$62, ,19)&gt;(TODAY()+1)),MATCH(ROW('DBX Sprint'!$A$7:$K$62),ROW('DBX Sprint'!$A$7:$K$62)),""),ROWS($R$34:R147)),COLUMNS('DBX Sprint'!$A$1:A12)),"")</f>
        <v/>
      </c>
      <c r="S147" s="43" t="str" cm="1">
        <f t="array" aca="1" ref="S147" ca="1">IFERROR(INDEX('DBX Sprint'!$A$7:$K$62, SMALL(IF((INDEX('DBX Sprint'!$A$7:$K$62, ,19)&lt;=(TODAY()+10))*(INDEX('DBX Sprint'!$A$7:$K$62, ,19)&gt;(TODAY()+5)),MATCH(ROW('DBX Sprint'!$A$7:$K$62),ROW('DBX Sprint'!$A$7:$K$62)),""),ROWS($S$34:S147)),COLUMNS('DBX Sprint'!$A$1:A12)),"")</f>
        <v/>
      </c>
      <c r="U147" s="41" t="str" cm="1">
        <f t="array" ref="U147">IFERROR(INDEX('DBX Sprint'!$A$7:$K$62, SMALL(IF((INDEX('DBX Sprint'!$A$7:$K$62, ,22)=("Complete"))*(INDEX('DBX Sprint'!$A$7:$K$62, ,22)="Complete"),MATCH(ROW('DBX Sprint'!$A$7:$K$62),ROW('DBX Sprint'!$A$7:$K$62)),""),ROWS($U$34:U147)),COLUMNS('DBX Sprint'!$A$1:A12)),"")</f>
        <v/>
      </c>
      <c r="V147" s="41" t="str" cm="1">
        <f t="array" aca="1" ref="V147" ca="1">IFERROR(INDEX('DBX Sprint'!$A$7:$K$62, SMALL(IF((INDEX('DBX Sprint'!$A$7:$K$62, ,22)&lt;(TODAY()))*(INDEX('DBX Sprint'!$A$7:$K$62, ,22)&lt;&gt;"Complete"),MATCH(ROW('DBX Sprint'!$A$7:$K$62),ROW('DBX Sprint'!$A$7:$K$62)),""),ROWS($V$34:V147)),COLUMNS('DBX Sprint'!$A$1:A12)),"")</f>
        <v/>
      </c>
      <c r="W147" s="41" t="str" cm="1">
        <f t="array" aca="1" ref="W147" ca="1">IFERROR(INDEX('DBX Sprint'!$A$7:$K$62, SMALL(IF((INDEX('DBX Sprint'!$A$7:$K$62, ,22)&lt;=(TODAY()+1))*(INDEX('DBX Sprint'!$A$7:$K$62, ,22)&gt;=TODAY()),MATCH(ROW('DBX Sprint'!$A$7:$K$62),ROW('DBX Sprint'!$A$7:$K$62)),""),ROWS($W$34:W147)),COLUMNS('DBX Sprint'!$A$1:A12)),"")</f>
        <v/>
      </c>
      <c r="X147" s="43" t="str" cm="1">
        <f t="array" aca="1" ref="X147" ca="1">IFERROR(INDEX('DBX Sprint'!$A$7:$K$62, SMALL(IF((INDEX('DBX Sprint'!$A$7:$K$62, ,22)&lt;=(TODAY()+5))*(INDEX('DBX Sprint'!$A$7:$K$62, ,22)&gt;(TODAY()+1)),MATCH(ROW('DBX Sprint'!$A$7:$K$62),ROW('DBX Sprint'!$A$7:$K$62)),""),ROWS($X$34:X147)),COLUMNS('DBX Sprint'!$A$1:A12)),"")</f>
        <v/>
      </c>
      <c r="Y147" s="43" t="str" cm="1">
        <f t="array" aca="1" ref="Y147" ca="1">IFERROR(INDEX('DBX Sprint'!$A$7:$K$62, SMALL(IF((INDEX('DBX Sprint'!$A$7:$K$62, ,22)&lt;=(TODAY()+10))*(INDEX('DBX Sprint'!$A$7:$K$62, ,22)&gt;(TODAY()+5)),MATCH(ROW('DBX Sprint'!$A$7:$K$62),ROW('DBX Sprint'!$A$7:$K$62)),""),ROWS($Y$34:Y147)),COLUMNS('DBX Sprint'!$A$1:A12)),"")</f>
        <v/>
      </c>
      <c r="AA147" s="41" t="str" cm="1">
        <f t="array" ref="AA147">IFERROR(INDEX('DBX Sprint'!$A$7:$K$62, SMALL(IF((INDEX('DBX Sprint'!$A$7:$K$62, ,25)=("Complete"))*(INDEX('DBX Sprint'!$A$7:$K$62, ,25)="Complete"),MATCH(ROW('DBX Sprint'!$A$7:$K$62),ROW('DBX Sprint'!$A$7:$K$62)),""),ROWS($AA$34:AA147)),COLUMNS('DBX Sprint'!$A$1:A12)),"")</f>
        <v/>
      </c>
      <c r="AB147" s="41" t="str" cm="1">
        <f t="array" aca="1" ref="AB147" ca="1">IFERROR(INDEX('DBX Sprint'!$A$7:$K$62, SMALL(IF((INDEX('DBX Sprint'!$A$7:$K$62, ,25)&lt;(TODAY()))*(INDEX('DBX Sprint'!$A$7:$K$62, ,25)&lt;&gt;"Complete"),MATCH(ROW('DBX Sprint'!$A$7:$K$62),ROW('DBX Sprint'!$A$7:$K$62)),""),ROWS($AB$34:AB147)),COLUMNS('DBX Sprint'!$A$1:A12)),"")</f>
        <v/>
      </c>
      <c r="AC147" s="41" t="str" cm="1">
        <f t="array" aca="1" ref="AC147" ca="1">IFERROR(INDEX('DBX Sprint'!$A$7:$K$62, SMALL(IF((INDEX('DBX Sprint'!$A$7:$K$62, ,25)&lt;=(TODAY()+1))*(INDEX('DBX Sprint'!$A$7:$K$62, ,25)&gt;=TODAY()),MATCH(ROW('DBX Sprint'!$A$7:$K$62),ROW('DBX Sprint'!$A$7:$K$62)),""),ROWS($AC$34:AC147)),COLUMNS('DBX Sprint'!$A$1:A12)),"")</f>
        <v/>
      </c>
      <c r="AD147" s="43" t="str" cm="1">
        <f t="array" aca="1" ref="AD147" ca="1">IFERROR(INDEX('DBX Sprint'!$A$7:$K$62, SMALL(IF((INDEX('DBX Sprint'!$A$7:$K$62, ,25)&lt;=(TODAY()+5))*(INDEX('DBX Sprint'!$A$7:$K$62, ,25)&gt;(TODAY()+1)),MATCH(ROW('DBX Sprint'!$A$7:$K$62),ROW('DBX Sprint'!$A$7:$K$62)),""),ROWS($AD$34:AD147)),COLUMNS('DBX Sprint'!$A$1:A12)),"")</f>
        <v/>
      </c>
      <c r="AE147" s="43" t="str" cm="1">
        <f t="array" aca="1" ref="AE147" ca="1">IFERROR(INDEX('DBX Sprint'!$A$7:$K$62, SMALL(IF((INDEX('DBX Sprint'!$A$7:$K$62, ,25)&lt;=(TODAY()+10))*(INDEX('DBX Sprint'!$A$7:$K$62, ,25)&gt;(TODAY()+5)),MATCH(ROW('DBX Sprint'!$A$7:$K$62),ROW('DBX Sprint'!$A$7:$K$62)),""),ROWS($AE$34:AE147)),COLUMNS('DBX Sprint'!$A$1:A12)),"")</f>
        <v/>
      </c>
      <c r="AG147" s="41" t="str" cm="1">
        <f t="array" ref="AG147">IFERROR(INDEX('DBX Sprint'!$A$7:$K$62, SMALL(IF((INDEX('DBX Sprint'!$A$7:$K$62, ,29)=("Complete"))*(INDEX('DBX Sprint'!$A$7:$K$62, ,29)="Complete"),MATCH(ROW('DBX Sprint'!$A$7:$K$62),ROW('DBX Sprint'!$A$7:$K$62)),""),ROWS($AG$34:AG147)),COLUMNS('DBX Sprint'!$A$1:A12)),"")</f>
        <v/>
      </c>
      <c r="AH147" s="41" t="str" cm="1">
        <f t="array" aca="1" ref="AH147" ca="1">IFERROR(INDEX('DBX Sprint'!$A$7:$K$62, SMALL(IF((INDEX('DBX Sprint'!$A$7:$K$62, ,29)&lt;(TODAY()))*(INDEX('DBX Sprint'!$A$7:$K$62, ,29)&lt;&gt;"Complete"),MATCH(ROW('DBX Sprint'!$A$7:$K$62),ROW('DBX Sprint'!$A$7:$K$62)),""),ROWS($AH$34:AH147)),COLUMNS('DBX Sprint'!$A$1:A12)),"")</f>
        <v/>
      </c>
      <c r="AI147" s="41" t="str" cm="1">
        <f t="array" aca="1" ref="AI147" ca="1">IFERROR(INDEX('DBX Sprint'!$A$7:$K$62, SMALL(IF((INDEX('DBX Sprint'!$A$7:$K$62, ,29)&lt;=(TODAY()+1))*(INDEX('DBX Sprint'!$A$7:$K$62, ,29)&gt;=TODAY()),MATCH(ROW('DBX Sprint'!$A$7:$K$62),ROW('DBX Sprint'!$A$7:$K$62)),""),ROWS($AI$34:AI147)),COLUMNS('DBX Sprint'!$A$1:A12)),"")</f>
        <v/>
      </c>
      <c r="AJ147" s="43" t="str" cm="1">
        <f t="array" aca="1" ref="AJ147" ca="1">IFERROR(INDEX('DBX Sprint'!$A$7:$K$62, SMALL(IF((INDEX('DBX Sprint'!$A$7:$K$62, ,29)&lt;=(TODAY()+5))*(INDEX('DBX Sprint'!$A$7:$K$62, ,29)&gt;(TODAY()+1)),MATCH(ROW('DBX Sprint'!$A$7:$K$62),ROW('DBX Sprint'!$A$7:$K$62)),""),ROWS($AJ$34:AJ147)),COLUMNS('DBX Sprint'!$A$1:A12)),"")</f>
        <v/>
      </c>
      <c r="AK147" s="43" t="str" cm="1">
        <f t="array" aca="1" ref="AK147" ca="1">IFERROR(INDEX('DBX Sprint'!$A$7:$K$62, SMALL(IF((INDEX('DBX Sprint'!$A$7:$K$62, ,29)&lt;=(TODAY()+10))*(INDEX('DBX Sprint'!$A$7:$K$62, ,29)&gt;(TODAY()+5)),MATCH(ROW('DBX Sprint'!$A$7:$K$62),ROW('DBX Sprint'!$A$7:$K$62)),""),ROWS($AK$34:AK147)),COLUMNS('DBX Sprint'!$A$1:A12)),"")</f>
        <v/>
      </c>
      <c r="AM147" s="41" t="str" cm="1">
        <f t="array" ref="AM147">IFERROR(INDEX('DBX Sprint'!$A$7:$K$62, SMALL(IF((INDEX('DBX Sprint'!$A$7:$K$62, ,32)=("Complete"))*(INDEX('DBX Sprint'!$A$7:$K$62, ,32)="Complete"),MATCH(ROW('DBX Sprint'!$A$7:$K$62),ROW('DBX Sprint'!$A$7:$K$62)),""),ROWS($AM$34:AM147)),COLUMNS('DBX Sprint'!$A$1:A12)),"")</f>
        <v/>
      </c>
      <c r="AN147" s="41" t="str" cm="1">
        <f t="array" aca="1" ref="AN147" ca="1">IFERROR(INDEX('DBX Sprint'!$A$7:$K$62, SMALL(IF((INDEX('DBX Sprint'!$A$7:$K$62, ,32)&lt;(TODAY()))*(INDEX('DBX Sprint'!$A$7:$K$62, ,32)&lt;&gt;"Complete"),MATCH(ROW('DBX Sprint'!$A$7:$K$62),ROW('DBX Sprint'!$A$7:$K$62)),""),ROWS($AN$34:AN147)),COLUMNS('DBX Sprint'!$A$1:A12)),"")</f>
        <v/>
      </c>
      <c r="AO147" s="41" t="str" cm="1">
        <f t="array" aca="1" ref="AO147" ca="1">IFERROR(INDEX('DBX Sprint'!$A$7:$K$62, SMALL(IF((INDEX('DBX Sprint'!$A$7:$K$62, ,32)&lt;=(TODAY()+1))*(INDEX('DBX Sprint'!$A$7:$K$62, ,32)&gt;=TODAY()),MATCH(ROW('DBX Sprint'!$A$7:$K$62),ROW('DBX Sprint'!$A$7:$K$62)),""),ROWS($AO$34:AO147)),COLUMNS('DBX Sprint'!$A$1:A12)),"")</f>
        <v/>
      </c>
      <c r="AP147" s="43" t="str" cm="1">
        <f t="array" aca="1" ref="AP147" ca="1">IFERROR(INDEX('DBX Sprint'!$A$7:$K$62, SMALL(IF((INDEX('DBX Sprint'!$A$7:$K$62, ,32)&lt;=(TODAY()+5))*(INDEX('DBX Sprint'!$A$7:$K$62, ,32)&gt;(TODAY()+1)),MATCH(ROW('DBX Sprint'!$A$7:$K$62),ROW('DBX Sprint'!$A$7:$K$62)),""),ROWS($AP$34:AP147)),COLUMNS('DBX Sprint'!$A$1:A12)),"")</f>
        <v/>
      </c>
      <c r="AQ147" s="43" t="str" cm="1">
        <f t="array" aca="1" ref="AQ147" ca="1">IFERROR(INDEX('DBX Sprint'!$A$7:$K$62, SMALL(IF((INDEX('DBX Sprint'!$A$7:$K$62, ,32)&lt;=(TODAY()+10))*(INDEX('DBX Sprint'!$A$7:$K$62, ,32)&gt;(TODAY()+5)),MATCH(ROW('DBX Sprint'!$A$7:$K$62),ROW('DBX Sprint'!$A$7:$K$62)),""),ROWS($AQ$34:AQ147)),COLUMNS('DBX Sprint'!$A$1:A12)),"")</f>
        <v/>
      </c>
    </row>
    <row r="148" spans="3:43" ht="30" customHeight="1">
      <c r="C148" s="41" t="str" cm="1">
        <f t="array" ref="C148">IFERROR(INDEX('DBX Sprint'!$A$7:$K$62, SMALL(IF((INDEX('DBX Sprint'!$A$7:$K$62, ,13)=("Complete"))*(INDEX('DBX Sprint'!$A$7:$K$62, ,13)="Complete"),MATCH(ROW('DBX Sprint'!$A$7:$K$62),ROW('DBX Sprint'!$A$7:$K$62)),""),ROWS(C$34:$C148)),COLUMNS('DBX Sprint'!$A$1:A12)),"")</f>
        <v/>
      </c>
      <c r="D148" s="41" t="str" cm="1">
        <f t="array" aca="1" ref="D148" ca="1">IFERROR(INDEX('DBX Sprint'!$A$7:$K$62, SMALL(IF((INDEX('DBX Sprint'!$A$7:$K$62, ,13)&lt;(TODAY()))*(INDEX('DBX Sprint'!$A$7:$K$62, ,13)&lt;&gt;"Complete"),MATCH(ROW('DBX Sprint'!$A$7:$K$62),ROW('DBX Sprint'!$A$7:$K$62)),""),ROWS(D$34:$D148)),COLUMNS('DBX Sprint'!$A$1:A12)),"")</f>
        <v/>
      </c>
      <c r="E148" s="41" t="str" cm="1">
        <f t="array" aca="1" ref="E148" ca="1">IFERROR(INDEX('DBX Sprint'!$A$7:$K$62, SMALL(IF((INDEX('DBX Sprint'!$A$7:$K$62, ,13)&lt;=(TODAY()+1))*(INDEX('DBX Sprint'!$A$7:$K$62, ,13)&gt;=TODAY()),MATCH(ROW('DBX Sprint'!$A$7:$K$62),ROW('DBX Sprint'!$A$7:$K$62)),""),ROWS(E$34:$E148)),COLUMNS('DBX Sprint'!$A$1:A12)),"")</f>
        <v/>
      </c>
      <c r="F148" s="43" t="str" cm="1">
        <f t="array" aca="1" ref="F148" ca="1">IFERROR(INDEX('DBX Sprint'!$A$7:$K$62, SMALL(IF((INDEX('DBX Sprint'!$A$7:$K$62, ,13)&lt;=(TODAY()+5))*(INDEX('DBX Sprint'!$A$7:$K$62, ,13)&gt;(TODAY()+1)),MATCH(ROW('DBX Sprint'!$A$7:$K$62),ROW('DBX Sprint'!$A$7:$K$62)),""),ROWS($F$34:F148)),COLUMNS('DBX Sprint'!$A$1:A12)),"")</f>
        <v/>
      </c>
      <c r="G148" s="43" t="str" cm="1">
        <f t="array" aca="1" ref="G148" ca="1">IFERROR(INDEX('DBX Sprint'!$A$7:$K$62, SMALL(IF((INDEX('DBX Sprint'!$A$7:$K$62, ,13)&lt;=(TODAY()+10))*(INDEX('DBX Sprint'!$A$7:$K$62, ,13)&gt;(TODAY()+5)),MATCH(ROW('DBX Sprint'!$A$7:$K$62),ROW('DBX Sprint'!$A$7:$K$62)),""),ROWS($G$34:G148)),COLUMNS('DBX Sprint'!$A$1:A12)),"")</f>
        <v/>
      </c>
      <c r="I148" s="41" t="str" cm="1">
        <f t="array" ref="I148">IFERROR(INDEX('DBX Sprint'!$A$7:$K$62, SMALL(IF((INDEX('DBX Sprint'!$A$7:$K$62, ,16)=("Complete"))*(INDEX('DBX Sprint'!$A$7:$K$62, ,16)="Complete"),MATCH(ROW('DBX Sprint'!$A$7:$K$62),ROW('DBX Sprint'!$A$7:$K$62)),""),ROWS($I$34:I148)),COLUMNS('DBX Sprint'!$A$1:A12)),"")</f>
        <v/>
      </c>
      <c r="J148" s="41" t="str" cm="1">
        <f t="array" aca="1" ref="J148" ca="1">IFERROR(INDEX('DBX Sprint'!$A$7:$K$62, SMALL(IF((INDEX('DBX Sprint'!$A$7:$K$62, ,16)&lt;(TODAY()))*(INDEX('DBX Sprint'!$A$7:$K$62, ,16)&lt;&gt;"Complete"),MATCH(ROW('DBX Sprint'!$A$7:$K$62),ROW('DBX Sprint'!$A$7:$K$62)),""),ROWS($J$34:J148)),COLUMNS('DBX Sprint'!$A$1:A12)),"")</f>
        <v/>
      </c>
      <c r="K148" s="41" t="str" cm="1">
        <f t="array" aca="1" ref="K148" ca="1">IFERROR(INDEX('DBX Sprint'!$A$7:$K$62, SMALL(IF((INDEX('DBX Sprint'!$A$7:$K$62, ,16)&lt;=(TODAY()+1))*(INDEX('DBX Sprint'!$A$7:$K$62, ,16)&gt;=TODAY()),MATCH(ROW('DBX Sprint'!$A$7:$K$62),ROW('DBX Sprint'!$A$7:$K$62)),""),ROWS($K$34:K148)),COLUMNS('DBX Sprint'!$A$1:A12)),"")</f>
        <v/>
      </c>
      <c r="L148" s="43" t="str" cm="1">
        <f t="array" aca="1" ref="L148" ca="1">IFERROR(INDEX('DBX Sprint'!$A$7:$K$62, SMALL(IF((INDEX('DBX Sprint'!$A$7:$K$62, ,16)&lt;=(TODAY()+5))*(INDEX('DBX Sprint'!$A$7:$K$62, ,16)&gt;(TODAY()+1)),MATCH(ROW('DBX Sprint'!$A$7:$K$62),ROW('DBX Sprint'!$A$7:$K$62)),""),ROWS($L$34:L148)),COLUMNS('DBX Sprint'!$A$1:A12)),"")</f>
        <v/>
      </c>
      <c r="M148" s="43" t="str" cm="1">
        <f t="array" aca="1" ref="M148" ca="1">IFERROR(INDEX('DBX Sprint'!$A$7:$K$62, SMALL(IF((INDEX('DBX Sprint'!$A$7:$K$62, ,16)&lt;=(TODAY()+10))*(INDEX('DBX Sprint'!$A$7:$K$62, ,16)&gt;(TODAY()+5)),MATCH(ROW('DBX Sprint'!$A$7:$K$62),ROW('DBX Sprint'!$A$7:$K$62)),""),ROWS($M$34:M148)),COLUMNS('DBX Sprint'!$A$1:A12)),"")</f>
        <v/>
      </c>
      <c r="P148" s="41" t="str" cm="1">
        <f t="array" aca="1" ref="P148" ca="1">IFERROR(INDEX('DBX Sprint'!$A$7:$K$62, SMALL(IF((INDEX('DBX Sprint'!$A$7:$K$62, ,19)&lt;(TODAY()))*(INDEX('DBX Sprint'!$A$7:$K$62, ,19)&lt;&gt;"Complete"),MATCH(ROW('DBX Sprint'!$A$7:$K$62),ROW('DBX Sprint'!$A$7:$K$62)),""),ROWS($P$34:P148)),COLUMNS('DBX Sprint'!$A$1:A12)),"")</f>
        <v/>
      </c>
      <c r="Q148" s="41" t="str" cm="1">
        <f t="array" aca="1" ref="Q148" ca="1">IFERROR(INDEX('DBX Sprint'!$A$7:$K$62, SMALL(IF((INDEX('DBX Sprint'!$A$7:$K$62, ,19)&lt;=(TODAY()+1))*(INDEX('DBX Sprint'!$A$7:$K$62, ,19)&gt;=TODAY()),MATCH(ROW('DBX Sprint'!$A$7:$K$62),ROW('DBX Sprint'!$A$7:$K$62)),""),ROWS($Q$34:Q148)),COLUMNS('DBX Sprint'!$A$1:A12)),"")</f>
        <v/>
      </c>
      <c r="R148" s="43" t="str" cm="1">
        <f t="array" aca="1" ref="R148" ca="1">IFERROR(INDEX('DBX Sprint'!$A$7:$K$62, SMALL(IF((INDEX('DBX Sprint'!$A$7:$K$62, ,19)&lt;=(TODAY()+5))*(INDEX('DBX Sprint'!$A$7:$K$62, ,19)&gt;(TODAY()+1)),MATCH(ROW('DBX Sprint'!$A$7:$K$62),ROW('DBX Sprint'!$A$7:$K$62)),""),ROWS($R$34:R148)),COLUMNS('DBX Sprint'!$A$1:A12)),"")</f>
        <v/>
      </c>
      <c r="S148" s="43" t="str" cm="1">
        <f t="array" aca="1" ref="S148" ca="1">IFERROR(INDEX('DBX Sprint'!$A$7:$K$62, SMALL(IF((INDEX('DBX Sprint'!$A$7:$K$62, ,19)&lt;=(TODAY()+10))*(INDEX('DBX Sprint'!$A$7:$K$62, ,19)&gt;(TODAY()+5)),MATCH(ROW('DBX Sprint'!$A$7:$K$62),ROW('DBX Sprint'!$A$7:$K$62)),""),ROWS($S$34:S148)),COLUMNS('DBX Sprint'!$A$1:A12)),"")</f>
        <v/>
      </c>
      <c r="U148" s="41" t="str" cm="1">
        <f t="array" ref="U148">IFERROR(INDEX('DBX Sprint'!$A$7:$K$62, SMALL(IF((INDEX('DBX Sprint'!$A$7:$K$62, ,22)=("Complete"))*(INDEX('DBX Sprint'!$A$7:$K$62, ,22)="Complete"),MATCH(ROW('DBX Sprint'!$A$7:$K$62),ROW('DBX Sprint'!$A$7:$K$62)),""),ROWS($U$34:U148)),COLUMNS('DBX Sprint'!$A$1:A12)),"")</f>
        <v/>
      </c>
      <c r="V148" s="41" t="str" cm="1">
        <f t="array" aca="1" ref="V148" ca="1">IFERROR(INDEX('DBX Sprint'!$A$7:$K$62, SMALL(IF((INDEX('DBX Sprint'!$A$7:$K$62, ,22)&lt;(TODAY()))*(INDEX('DBX Sprint'!$A$7:$K$62, ,22)&lt;&gt;"Complete"),MATCH(ROW('DBX Sprint'!$A$7:$K$62),ROW('DBX Sprint'!$A$7:$K$62)),""),ROWS($V$34:V148)),COLUMNS('DBX Sprint'!$A$1:A12)),"")</f>
        <v/>
      </c>
      <c r="W148" s="41" t="str" cm="1">
        <f t="array" aca="1" ref="W148" ca="1">IFERROR(INDEX('DBX Sprint'!$A$7:$K$62, SMALL(IF((INDEX('DBX Sprint'!$A$7:$K$62, ,22)&lt;=(TODAY()+1))*(INDEX('DBX Sprint'!$A$7:$K$62, ,22)&gt;=TODAY()),MATCH(ROW('DBX Sprint'!$A$7:$K$62),ROW('DBX Sprint'!$A$7:$K$62)),""),ROWS($W$34:W148)),COLUMNS('DBX Sprint'!$A$1:A12)),"")</f>
        <v/>
      </c>
      <c r="X148" s="43" t="str" cm="1">
        <f t="array" aca="1" ref="X148" ca="1">IFERROR(INDEX('DBX Sprint'!$A$7:$K$62, SMALL(IF((INDEX('DBX Sprint'!$A$7:$K$62, ,22)&lt;=(TODAY()+5))*(INDEX('DBX Sprint'!$A$7:$K$62, ,22)&gt;(TODAY()+1)),MATCH(ROW('DBX Sprint'!$A$7:$K$62),ROW('DBX Sprint'!$A$7:$K$62)),""),ROWS($X$34:X148)),COLUMNS('DBX Sprint'!$A$1:A12)),"")</f>
        <v/>
      </c>
      <c r="Y148" s="43" t="str" cm="1">
        <f t="array" aca="1" ref="Y148" ca="1">IFERROR(INDEX('DBX Sprint'!$A$7:$K$62, SMALL(IF((INDEX('DBX Sprint'!$A$7:$K$62, ,22)&lt;=(TODAY()+10))*(INDEX('DBX Sprint'!$A$7:$K$62, ,22)&gt;(TODAY()+5)),MATCH(ROW('DBX Sprint'!$A$7:$K$62),ROW('DBX Sprint'!$A$7:$K$62)),""),ROWS($Y$34:Y148)),COLUMNS('DBX Sprint'!$A$1:A12)),"")</f>
        <v/>
      </c>
      <c r="AA148" s="41" t="str" cm="1">
        <f t="array" ref="AA148">IFERROR(INDEX('DBX Sprint'!$A$7:$K$62, SMALL(IF((INDEX('DBX Sprint'!$A$7:$K$62, ,25)=("Complete"))*(INDEX('DBX Sprint'!$A$7:$K$62, ,25)="Complete"),MATCH(ROW('DBX Sprint'!$A$7:$K$62),ROW('DBX Sprint'!$A$7:$K$62)),""),ROWS($AA$34:AA148)),COLUMNS('DBX Sprint'!$A$1:A12)),"")</f>
        <v/>
      </c>
      <c r="AB148" s="41" t="str" cm="1">
        <f t="array" aca="1" ref="AB148" ca="1">IFERROR(INDEX('DBX Sprint'!$A$7:$K$62, SMALL(IF((INDEX('DBX Sprint'!$A$7:$K$62, ,25)&lt;(TODAY()))*(INDEX('DBX Sprint'!$A$7:$K$62, ,25)&lt;&gt;"Complete"),MATCH(ROW('DBX Sprint'!$A$7:$K$62),ROW('DBX Sprint'!$A$7:$K$62)),""),ROWS($AB$34:AB148)),COLUMNS('DBX Sprint'!$A$1:A12)),"")</f>
        <v/>
      </c>
      <c r="AC148" s="41" t="str" cm="1">
        <f t="array" aca="1" ref="AC148" ca="1">IFERROR(INDEX('DBX Sprint'!$A$7:$K$62, SMALL(IF((INDEX('DBX Sprint'!$A$7:$K$62, ,25)&lt;=(TODAY()+1))*(INDEX('DBX Sprint'!$A$7:$K$62, ,25)&gt;=TODAY()),MATCH(ROW('DBX Sprint'!$A$7:$K$62),ROW('DBX Sprint'!$A$7:$K$62)),""),ROWS($AC$34:AC148)),COLUMNS('DBX Sprint'!$A$1:A12)),"")</f>
        <v/>
      </c>
      <c r="AD148" s="43" t="str" cm="1">
        <f t="array" aca="1" ref="AD148" ca="1">IFERROR(INDEX('DBX Sprint'!$A$7:$K$62, SMALL(IF((INDEX('DBX Sprint'!$A$7:$K$62, ,25)&lt;=(TODAY()+5))*(INDEX('DBX Sprint'!$A$7:$K$62, ,25)&gt;(TODAY()+1)),MATCH(ROW('DBX Sprint'!$A$7:$K$62),ROW('DBX Sprint'!$A$7:$K$62)),""),ROWS($AD$34:AD148)),COLUMNS('DBX Sprint'!$A$1:A12)),"")</f>
        <v/>
      </c>
      <c r="AE148" s="43" t="str" cm="1">
        <f t="array" aca="1" ref="AE148" ca="1">IFERROR(INDEX('DBX Sprint'!$A$7:$K$62, SMALL(IF((INDEX('DBX Sprint'!$A$7:$K$62, ,25)&lt;=(TODAY()+10))*(INDEX('DBX Sprint'!$A$7:$K$62, ,25)&gt;(TODAY()+5)),MATCH(ROW('DBX Sprint'!$A$7:$K$62),ROW('DBX Sprint'!$A$7:$K$62)),""),ROWS($AE$34:AE148)),COLUMNS('DBX Sprint'!$A$1:A12)),"")</f>
        <v/>
      </c>
      <c r="AG148" s="41" t="str" cm="1">
        <f t="array" ref="AG148">IFERROR(INDEX('DBX Sprint'!$A$7:$K$62, SMALL(IF((INDEX('DBX Sprint'!$A$7:$K$62, ,29)=("Complete"))*(INDEX('DBX Sprint'!$A$7:$K$62, ,29)="Complete"),MATCH(ROW('DBX Sprint'!$A$7:$K$62),ROW('DBX Sprint'!$A$7:$K$62)),""),ROWS($AG$34:AG148)),COLUMNS('DBX Sprint'!$A$1:A12)),"")</f>
        <v/>
      </c>
      <c r="AH148" s="41" t="str" cm="1">
        <f t="array" aca="1" ref="AH148" ca="1">IFERROR(INDEX('DBX Sprint'!$A$7:$K$62, SMALL(IF((INDEX('DBX Sprint'!$A$7:$K$62, ,29)&lt;(TODAY()))*(INDEX('DBX Sprint'!$A$7:$K$62, ,29)&lt;&gt;"Complete"),MATCH(ROW('DBX Sprint'!$A$7:$K$62),ROW('DBX Sprint'!$A$7:$K$62)),""),ROWS($AH$34:AH148)),COLUMNS('DBX Sprint'!$A$1:A12)),"")</f>
        <v/>
      </c>
      <c r="AI148" s="41" t="str" cm="1">
        <f t="array" aca="1" ref="AI148" ca="1">IFERROR(INDEX('DBX Sprint'!$A$7:$K$62, SMALL(IF((INDEX('DBX Sprint'!$A$7:$K$62, ,29)&lt;=(TODAY()+1))*(INDEX('DBX Sprint'!$A$7:$K$62, ,29)&gt;=TODAY()),MATCH(ROW('DBX Sprint'!$A$7:$K$62),ROW('DBX Sprint'!$A$7:$K$62)),""),ROWS($AI$34:AI148)),COLUMNS('DBX Sprint'!$A$1:A12)),"")</f>
        <v/>
      </c>
      <c r="AJ148" s="43" t="str" cm="1">
        <f t="array" aca="1" ref="AJ148" ca="1">IFERROR(INDEX('DBX Sprint'!$A$7:$K$62, SMALL(IF((INDEX('DBX Sprint'!$A$7:$K$62, ,29)&lt;=(TODAY()+5))*(INDEX('DBX Sprint'!$A$7:$K$62, ,29)&gt;(TODAY()+1)),MATCH(ROW('DBX Sprint'!$A$7:$K$62),ROW('DBX Sprint'!$A$7:$K$62)),""),ROWS($AJ$34:AJ148)),COLUMNS('DBX Sprint'!$A$1:A12)),"")</f>
        <v/>
      </c>
      <c r="AK148" s="43" t="str" cm="1">
        <f t="array" aca="1" ref="AK148" ca="1">IFERROR(INDEX('DBX Sprint'!$A$7:$K$62, SMALL(IF((INDEX('DBX Sprint'!$A$7:$K$62, ,29)&lt;=(TODAY()+10))*(INDEX('DBX Sprint'!$A$7:$K$62, ,29)&gt;(TODAY()+5)),MATCH(ROW('DBX Sprint'!$A$7:$K$62),ROW('DBX Sprint'!$A$7:$K$62)),""),ROWS($AK$34:AK148)),COLUMNS('DBX Sprint'!$A$1:A12)),"")</f>
        <v/>
      </c>
      <c r="AM148" s="41" t="str" cm="1">
        <f t="array" ref="AM148">IFERROR(INDEX('DBX Sprint'!$A$7:$K$62, SMALL(IF((INDEX('DBX Sprint'!$A$7:$K$62, ,32)=("Complete"))*(INDEX('DBX Sprint'!$A$7:$K$62, ,32)="Complete"),MATCH(ROW('DBX Sprint'!$A$7:$K$62),ROW('DBX Sprint'!$A$7:$K$62)),""),ROWS($AM$34:AM148)),COLUMNS('DBX Sprint'!$A$1:A12)),"")</f>
        <v/>
      </c>
      <c r="AN148" s="41" t="str" cm="1">
        <f t="array" aca="1" ref="AN148" ca="1">IFERROR(INDEX('DBX Sprint'!$A$7:$K$62, SMALL(IF((INDEX('DBX Sprint'!$A$7:$K$62, ,32)&lt;(TODAY()))*(INDEX('DBX Sprint'!$A$7:$K$62, ,32)&lt;&gt;"Complete"),MATCH(ROW('DBX Sprint'!$A$7:$K$62),ROW('DBX Sprint'!$A$7:$K$62)),""),ROWS($AN$34:AN148)),COLUMNS('DBX Sprint'!$A$1:A12)),"")</f>
        <v/>
      </c>
      <c r="AO148" s="41" t="str" cm="1">
        <f t="array" aca="1" ref="AO148" ca="1">IFERROR(INDEX('DBX Sprint'!$A$7:$K$62, SMALL(IF((INDEX('DBX Sprint'!$A$7:$K$62, ,32)&lt;=(TODAY()+1))*(INDEX('DBX Sprint'!$A$7:$K$62, ,32)&gt;=TODAY()),MATCH(ROW('DBX Sprint'!$A$7:$K$62),ROW('DBX Sprint'!$A$7:$K$62)),""),ROWS($AO$34:AO148)),COLUMNS('DBX Sprint'!$A$1:A12)),"")</f>
        <v/>
      </c>
      <c r="AP148" s="43" t="str" cm="1">
        <f t="array" aca="1" ref="AP148" ca="1">IFERROR(INDEX('DBX Sprint'!$A$7:$K$62, SMALL(IF((INDEX('DBX Sprint'!$A$7:$K$62, ,32)&lt;=(TODAY()+5))*(INDEX('DBX Sprint'!$A$7:$K$62, ,32)&gt;(TODAY()+1)),MATCH(ROW('DBX Sprint'!$A$7:$K$62),ROW('DBX Sprint'!$A$7:$K$62)),""),ROWS($AP$34:AP148)),COLUMNS('DBX Sprint'!$A$1:A12)),"")</f>
        <v/>
      </c>
      <c r="AQ148" s="43" t="str" cm="1">
        <f t="array" aca="1" ref="AQ148" ca="1">IFERROR(INDEX('DBX Sprint'!$A$7:$K$62, SMALL(IF((INDEX('DBX Sprint'!$A$7:$K$62, ,32)&lt;=(TODAY()+10))*(INDEX('DBX Sprint'!$A$7:$K$62, ,32)&gt;(TODAY()+5)),MATCH(ROW('DBX Sprint'!$A$7:$K$62),ROW('DBX Sprint'!$A$7:$K$62)),""),ROWS($AQ$34:AQ148)),COLUMNS('DBX Sprint'!$A$1:A12)),"")</f>
        <v/>
      </c>
    </row>
    <row r="149" spans="3:43" ht="11.25">
      <c r="C149" s="42"/>
      <c r="D149" s="44"/>
      <c r="J149" s="44"/>
      <c r="L149" s="44"/>
    </row>
    <row r="150" spans="3:43" ht="11.25">
      <c r="C150" s="42"/>
      <c r="D150" s="44"/>
      <c r="J150" s="44"/>
    </row>
    <row r="151" spans="3:43" ht="11.25">
      <c r="C151" s="42"/>
      <c r="D151" s="44"/>
      <c r="J151" s="44"/>
    </row>
    <row r="152" spans="3:43" ht="11.25">
      <c r="C152" s="42"/>
      <c r="D152" s="44"/>
      <c r="J152" s="44"/>
    </row>
    <row r="153" spans="3:43" ht="11.25">
      <c r="C153" s="42"/>
      <c r="D153" s="44"/>
      <c r="J153" s="44"/>
    </row>
    <row r="154" spans="3:43" ht="11.25">
      <c r="C154" s="42"/>
      <c r="D154" s="44"/>
      <c r="J154" s="44"/>
    </row>
    <row r="155" spans="3:43" ht="11.25">
      <c r="C155" s="42"/>
      <c r="D155" s="44"/>
      <c r="J155" s="44"/>
    </row>
    <row r="156" spans="3:43" ht="11.25">
      <c r="C156" s="42"/>
      <c r="D156" s="44"/>
      <c r="J156" s="44"/>
    </row>
    <row r="157" spans="3:43" ht="11.25">
      <c r="C157" s="42"/>
      <c r="D157" s="44"/>
      <c r="J157" s="44"/>
    </row>
    <row r="158" spans="3:43" ht="11.25">
      <c r="C158" s="42"/>
      <c r="D158" s="44"/>
      <c r="J158" s="44"/>
    </row>
    <row r="159" spans="3:43" ht="11.25">
      <c r="C159" s="42"/>
      <c r="D159" s="44"/>
      <c r="J159" s="44"/>
    </row>
    <row r="160" spans="3:43" ht="11.25">
      <c r="C160" s="42"/>
      <c r="D160" s="44"/>
      <c r="J160" s="44"/>
    </row>
    <row r="161" spans="3:10" ht="11.25">
      <c r="C161" s="42"/>
      <c r="D161" s="44"/>
      <c r="J161" s="44"/>
    </row>
    <row r="162" spans="3:10" ht="11.25">
      <c r="C162" s="42"/>
      <c r="D162" s="44"/>
      <c r="J162" s="44"/>
    </row>
    <row r="163" spans="3:10" ht="11.25">
      <c r="C163" s="42"/>
      <c r="D163" s="44"/>
      <c r="J163" s="44"/>
    </row>
    <row r="164" spans="3:10" ht="11.25">
      <c r="C164" s="42"/>
      <c r="D164" s="44"/>
      <c r="J164" s="44"/>
    </row>
    <row r="165" spans="3:10" ht="11.25">
      <c r="C165" s="42"/>
      <c r="D165" s="44"/>
      <c r="J165" s="44"/>
    </row>
    <row r="166" spans="3:10" ht="11.25">
      <c r="C166" s="42"/>
      <c r="D166" s="44"/>
      <c r="J166" s="44"/>
    </row>
    <row r="167" spans="3:10" ht="11.25">
      <c r="C167" s="42"/>
      <c r="D167" s="44"/>
    </row>
    <row r="168" spans="3:10" ht="11.25">
      <c r="C168" s="42"/>
      <c r="D168" s="44"/>
    </row>
    <row r="169" spans="3:10" ht="11.25">
      <c r="C169" s="42"/>
      <c r="D169" s="44"/>
    </row>
    <row r="170" spans="3:10" ht="11.25">
      <c r="C170" s="42"/>
      <c r="D170" s="44"/>
    </row>
    <row r="171" spans="3:10" ht="11.25">
      <c r="C171" s="42"/>
      <c r="D171" s="44"/>
    </row>
    <row r="172" spans="3:10" ht="11.25">
      <c r="C172" s="42"/>
      <c r="D172" s="44"/>
    </row>
    <row r="173" spans="3:10" ht="11.25">
      <c r="C173" s="42"/>
      <c r="D173" s="44"/>
    </row>
    <row r="174" spans="3:10" ht="11.25">
      <c r="C174" s="42"/>
      <c r="D174" s="44"/>
    </row>
    <row r="175" spans="3:10" ht="11.25">
      <c r="C175" s="42"/>
      <c r="D175" s="44"/>
    </row>
    <row r="176" spans="3:10" ht="11.25">
      <c r="C176" s="42"/>
      <c r="D176" s="44"/>
    </row>
    <row r="177" spans="3:4" ht="11.25">
      <c r="C177" s="42"/>
      <c r="D177" s="44"/>
    </row>
    <row r="178" spans="3:4" ht="11.25">
      <c r="C178" s="42"/>
      <c r="D178" s="44"/>
    </row>
    <row r="179" spans="3:4" ht="11.25">
      <c r="C179" s="42"/>
      <c r="D179" s="44"/>
    </row>
    <row r="180" spans="3:4" ht="11.25">
      <c r="C180" s="42"/>
      <c r="D180" s="44"/>
    </row>
    <row r="181" spans="3:4" ht="11.25">
      <c r="C181" s="42"/>
      <c r="D181" s="44"/>
    </row>
    <row r="182" spans="3:4" ht="11.25">
      <c r="C182" s="42"/>
      <c r="D182" s="44"/>
    </row>
    <row r="183" spans="3:4" ht="11.25">
      <c r="C183" s="42"/>
      <c r="D183" s="44"/>
    </row>
    <row r="184" spans="3:4" ht="11.25">
      <c r="C184" s="42"/>
      <c r="D184" s="44"/>
    </row>
    <row r="185" spans="3:4" ht="11.25">
      <c r="C185" s="42"/>
      <c r="D185" s="44"/>
    </row>
    <row r="186" spans="3:4" ht="11.25">
      <c r="C186" s="42"/>
      <c r="D186" s="44"/>
    </row>
    <row r="187" spans="3:4" ht="11.25">
      <c r="C187" s="42"/>
      <c r="D187" s="44"/>
    </row>
    <row r="188" spans="3:4" ht="11.25">
      <c r="C188" s="42"/>
      <c r="D188" s="44"/>
    </row>
    <row r="189" spans="3:4" ht="11.25">
      <c r="D189" s="44"/>
    </row>
    <row r="190" spans="3:4" ht="11.25">
      <c r="D190" s="44"/>
    </row>
    <row r="191" spans="3:4" ht="11.25">
      <c r="D191" s="44"/>
    </row>
    <row r="192" spans="3:4" ht="11.25">
      <c r="D192" s="44"/>
    </row>
    <row r="193" spans="4:4" ht="11.25">
      <c r="D193" s="44"/>
    </row>
    <row r="194" spans="4:4" ht="11.25">
      <c r="D194" s="44"/>
    </row>
    <row r="195" spans="4:4" ht="11.25">
      <c r="D195" s="44"/>
    </row>
    <row r="196" spans="4:4" ht="11.25">
      <c r="D196" s="44"/>
    </row>
    <row r="197" spans="4:4" ht="11.25">
      <c r="D197" s="44"/>
    </row>
    <row r="198" spans="4:4" ht="11.25">
      <c r="D198" s="44"/>
    </row>
    <row r="199" spans="4:4" ht="11.25"/>
    <row r="200" spans="4:4" ht="11.25"/>
    <row r="201" spans="4:4" ht="11.25"/>
    <row r="202" spans="4:4" ht="11.25"/>
    <row r="203" spans="4:4" ht="11.25"/>
    <row r="204" spans="4:4" ht="11.25"/>
    <row r="205" spans="4:4" ht="11.25"/>
    <row r="206" spans="4:4" ht="11.25"/>
    <row r="207" spans="4:4" ht="11.25"/>
    <row r="208" spans="4:4" ht="11.25"/>
    <row r="209" ht="11.25"/>
    <row r="210" ht="11.25"/>
    <row r="211" ht="11.25"/>
    <row r="212" ht="11.25"/>
    <row r="213" ht="11.25"/>
    <row r="214" ht="11.25"/>
    <row r="215" ht="11.25"/>
    <row r="216" ht="11.25"/>
    <row r="217" ht="11.25"/>
    <row r="218" ht="11.25"/>
    <row r="219" ht="11.25"/>
    <row r="220" ht="11.25"/>
    <row r="221" ht="11.25"/>
    <row r="222" ht="11.25"/>
    <row r="223" ht="11.25"/>
    <row r="224" ht="11.25"/>
    <row r="225" ht="11.25"/>
    <row r="226" ht="11.25"/>
    <row r="227" ht="11.25"/>
    <row r="228" ht="11.25"/>
    <row r="229" ht="11.25"/>
    <row r="230" ht="11.25"/>
    <row r="231" ht="11.25"/>
    <row r="232" ht="11.25"/>
    <row r="233" ht="11.25"/>
    <row r="234" ht="11.25"/>
    <row r="235" ht="11.25"/>
    <row r="236" ht="11.25"/>
    <row r="237" ht="11.25"/>
    <row r="238" ht="11.25"/>
    <row r="239" ht="11.25"/>
    <row r="240" ht="11.25"/>
    <row r="241" ht="11.25"/>
    <row r="242" ht="11.25"/>
    <row r="243" ht="11.25"/>
    <row r="244" ht="11.25"/>
    <row r="245" ht="11.25"/>
    <row r="246" ht="11.25"/>
    <row r="247" ht="11.25"/>
    <row r="248" ht="11.25"/>
    <row r="249" ht="11.25"/>
    <row r="250" ht="11.25"/>
    <row r="251" ht="11.25"/>
    <row r="252" ht="11.25"/>
    <row r="253" ht="11.25"/>
    <row r="254" ht="11.25"/>
    <row r="255" ht="11.25"/>
    <row r="256" ht="11.25"/>
    <row r="257" ht="11.25"/>
    <row r="258" ht="11.25"/>
    <row r="259" ht="11.25"/>
    <row r="260" ht="11.25"/>
    <row r="261" ht="11.25"/>
    <row r="262" ht="11.25"/>
    <row r="263" ht="11.25"/>
    <row r="264" ht="11.25"/>
    <row r="265" ht="11.25"/>
    <row r="266" ht="11.25"/>
    <row r="267" ht="11.25"/>
    <row r="268" ht="11.25"/>
    <row r="269" ht="11.25"/>
    <row r="270" ht="11.25"/>
    <row r="271" ht="11.25"/>
    <row r="272" ht="11.25"/>
    <row r="273" ht="11.25"/>
    <row r="274" ht="11.25"/>
    <row r="275" ht="11.25"/>
    <row r="276" ht="11.25"/>
    <row r="277" ht="11.25"/>
    <row r="278" ht="11.25"/>
    <row r="279" ht="11.25"/>
    <row r="280" ht="11.25"/>
    <row r="281" ht="11.25"/>
    <row r="282" ht="11.25"/>
    <row r="283" ht="11.25"/>
    <row r="284" ht="11.25"/>
    <row r="285" ht="11.25"/>
    <row r="286" ht="11.25"/>
    <row r="287" ht="11.25"/>
    <row r="288" ht="11.25"/>
    <row r="289" ht="11.25"/>
    <row r="290" ht="11.25"/>
    <row r="291" ht="11.25"/>
    <row r="292" ht="11.25"/>
    <row r="293" ht="11.25"/>
    <row r="294" ht="11.25"/>
    <row r="295" ht="11.25"/>
    <row r="296" ht="11.25"/>
    <row r="297" ht="11.25"/>
    <row r="298" ht="11.25"/>
    <row r="299" ht="11.25"/>
    <row r="300" ht="11.25"/>
    <row r="301" ht="11.25"/>
    <row r="302" ht="11.25"/>
    <row r="303" ht="11.25"/>
    <row r="304" ht="11.25"/>
    <row r="305" spans="3:4" ht="11.25"/>
    <row r="306" spans="3:4" ht="11.25"/>
    <row r="307" spans="3:4" ht="11.65">
      <c r="C307" s="39"/>
      <c r="D307" s="40"/>
    </row>
    <row r="308" spans="3:4" ht="11.65">
      <c r="C308" s="39"/>
      <c r="D308" s="40"/>
    </row>
    <row r="309" spans="3:4" ht="11.65">
      <c r="C309" s="39"/>
      <c r="D309" s="40"/>
    </row>
    <row r="310" spans="3:4" ht="11.65">
      <c r="C310" s="39"/>
      <c r="D310" s="40"/>
    </row>
    <row r="311" spans="3:4" ht="11.65">
      <c r="C311" s="39"/>
      <c r="D311" s="40"/>
    </row>
    <row r="312" spans="3:4" ht="11.65">
      <c r="C312" s="39"/>
    </row>
    <row r="313" spans="3:4" ht="11.65">
      <c r="C313" s="39"/>
    </row>
    <row r="314" spans="3:4" ht="11.65">
      <c r="C314" s="39"/>
    </row>
    <row r="315" spans="3:4" ht="11.65">
      <c r="C315" s="39"/>
    </row>
    <row r="316" spans="3:4" ht="11.65">
      <c r="C316" s="39"/>
    </row>
    <row r="317" spans="3:4" ht="11.65">
      <c r="C317" s="39"/>
    </row>
    <row r="318" spans="3:4" ht="11.65">
      <c r="C318" s="39"/>
    </row>
    <row r="319" spans="3:4" ht="11.65">
      <c r="C319" s="39"/>
    </row>
    <row r="320" spans="3:4" ht="11.65">
      <c r="C320" s="39"/>
    </row>
    <row r="321" spans="3:3" ht="11.65">
      <c r="C321" s="39"/>
    </row>
    <row r="322" spans="3:3" ht="11.65">
      <c r="C322" s="39"/>
    </row>
    <row r="323" spans="3:3" ht="11.65">
      <c r="C323" s="39"/>
    </row>
    <row r="324" spans="3:3" ht="11.65">
      <c r="C324" s="39"/>
    </row>
    <row r="325" spans="3:3" ht="11.65">
      <c r="C325" s="39"/>
    </row>
    <row r="326" spans="3:3" ht="11.65">
      <c r="C326" s="39"/>
    </row>
    <row r="327" spans="3:3" ht="11.65">
      <c r="C327" s="39"/>
    </row>
    <row r="328" spans="3:3" ht="11.65">
      <c r="C328" s="39"/>
    </row>
    <row r="329" spans="3:3" ht="11.65">
      <c r="C329" s="39"/>
    </row>
    <row r="330" spans="3:3" ht="11.65">
      <c r="C330" s="39"/>
    </row>
    <row r="331" spans="3:3" ht="11.65">
      <c r="C331" s="39"/>
    </row>
    <row r="332" spans="3:3" ht="11.65">
      <c r="C332" s="39"/>
    </row>
    <row r="333" spans="3:3" ht="11.65">
      <c r="C333" s="39"/>
    </row>
    <row r="334" spans="3:3" ht="11.65">
      <c r="C334" s="39"/>
    </row>
    <row r="335" spans="3:3" ht="11.65">
      <c r="C335" s="39"/>
    </row>
    <row r="336" spans="3:3" ht="11.65">
      <c r="C336" s="39"/>
    </row>
    <row r="337" spans="3:3" ht="11.65">
      <c r="C337" s="39"/>
    </row>
    <row r="338" spans="3:3" ht="11.65">
      <c r="C338" s="39"/>
    </row>
    <row r="339" spans="3:3" ht="11.65">
      <c r="C339" s="39"/>
    </row>
    <row r="340" spans="3:3" ht="11.65">
      <c r="C340" s="39"/>
    </row>
    <row r="341" spans="3:3" ht="11.65">
      <c r="C341" s="39"/>
    </row>
    <row r="342" spans="3:3" ht="11.65">
      <c r="C342" s="39"/>
    </row>
    <row r="343" spans="3:3" ht="11.65">
      <c r="C343" s="39"/>
    </row>
    <row r="344" spans="3:3" ht="11.65">
      <c r="C344" s="39"/>
    </row>
    <row r="345" spans="3:3" ht="11.65">
      <c r="C345" s="39"/>
    </row>
    <row r="346" spans="3:3" ht="11.65">
      <c r="C346" s="39"/>
    </row>
    <row r="347" spans="3:3" ht="11.65">
      <c r="C347" s="39"/>
    </row>
    <row r="348" spans="3:3" ht="11.65">
      <c r="C348" s="39"/>
    </row>
    <row r="349" spans="3:3" ht="11.65">
      <c r="C349" s="39"/>
    </row>
    <row r="350" spans="3:3" ht="11.65">
      <c r="C350" s="39"/>
    </row>
    <row r="351" spans="3:3" ht="11.65">
      <c r="C351" s="39"/>
    </row>
    <row r="352" spans="3:3" ht="11.65">
      <c r="C352" s="39"/>
    </row>
    <row r="353" spans="3:3" ht="11.65">
      <c r="C353" s="39"/>
    </row>
    <row r="354" spans="3:3" ht="11.65">
      <c r="C354" s="39"/>
    </row>
    <row r="355" spans="3:3" ht="11.65">
      <c r="C355" s="39"/>
    </row>
    <row r="356" spans="3:3" ht="11.65">
      <c r="C356" s="39"/>
    </row>
    <row r="357" spans="3:3" ht="11.65">
      <c r="C357" s="39"/>
    </row>
    <row r="358" spans="3:3" ht="11.65">
      <c r="C358" s="39"/>
    </row>
    <row r="359" spans="3:3" ht="11.65">
      <c r="C359" s="39"/>
    </row>
    <row r="360" spans="3:3" ht="11.65">
      <c r="C360" s="39"/>
    </row>
    <row r="361" spans="3:3" ht="11.65">
      <c r="C361" s="39"/>
    </row>
    <row r="362" spans="3:3" ht="11.65">
      <c r="C362" s="39"/>
    </row>
    <row r="363" spans="3:3" ht="11.65">
      <c r="C363" s="39"/>
    </row>
    <row r="364" spans="3:3" ht="11.65">
      <c r="C364" s="39"/>
    </row>
    <row r="365" spans="3:3" ht="11.65">
      <c r="C365" s="39"/>
    </row>
    <row r="366" spans="3:3" ht="11.65">
      <c r="C366" s="39"/>
    </row>
    <row r="367" spans="3:3" ht="11.65">
      <c r="C367" s="39"/>
    </row>
    <row r="368" spans="3:3" ht="11.65">
      <c r="C368" s="39"/>
    </row>
    <row r="369" spans="3:3" ht="11.65">
      <c r="C369" s="39"/>
    </row>
    <row r="370" spans="3:3" ht="11.65">
      <c r="C370" s="39"/>
    </row>
    <row r="371" spans="3:3" ht="11.65">
      <c r="C371" s="39"/>
    </row>
    <row r="372" spans="3:3" ht="11.65">
      <c r="C372" s="39"/>
    </row>
    <row r="373" spans="3:3" ht="11.65">
      <c r="C373" s="39"/>
    </row>
    <row r="374" spans="3:3" ht="11.65">
      <c r="C374" s="39"/>
    </row>
    <row r="375" spans="3:3" ht="11.65">
      <c r="C375" s="39"/>
    </row>
    <row r="376" spans="3:3" ht="11.65">
      <c r="C376" s="39"/>
    </row>
    <row r="377" spans="3:3" ht="11.65">
      <c r="C377" s="39"/>
    </row>
    <row r="378" spans="3:3" ht="11.65">
      <c r="C378" s="39"/>
    </row>
    <row r="379" spans="3:3" ht="11.65">
      <c r="C379" s="39"/>
    </row>
    <row r="380" spans="3:3" ht="11.65">
      <c r="C380" s="39"/>
    </row>
    <row r="381" spans="3:3" ht="11.65">
      <c r="C381" s="39"/>
    </row>
    <row r="382" spans="3:3" ht="11.65">
      <c r="C382" s="39"/>
    </row>
    <row r="383" spans="3:3" ht="11.65">
      <c r="C383" s="39"/>
    </row>
    <row r="384" spans="3:3" ht="11.65">
      <c r="C384" s="39"/>
    </row>
    <row r="385" spans="3:3" ht="11.65">
      <c r="C385" s="39"/>
    </row>
    <row r="386" spans="3:3" ht="11.65">
      <c r="C386" s="39"/>
    </row>
    <row r="387" spans="3:3" ht="11.65">
      <c r="C387" s="39"/>
    </row>
    <row r="388" spans="3:3" ht="11.65">
      <c r="C388" s="39"/>
    </row>
    <row r="389" spans="3:3" ht="11.65">
      <c r="C389" s="39"/>
    </row>
    <row r="390" spans="3:3" ht="11.65">
      <c r="C390" s="39"/>
    </row>
    <row r="391" spans="3:3" ht="11.65">
      <c r="C391" s="39"/>
    </row>
    <row r="392" spans="3:3" ht="11.65">
      <c r="C392" s="39"/>
    </row>
    <row r="393" spans="3:3" ht="11.65">
      <c r="C393" s="39"/>
    </row>
    <row r="394" spans="3:3" ht="11.65">
      <c r="C394" s="39"/>
    </row>
    <row r="395" spans="3:3" ht="11.65">
      <c r="C395" s="39"/>
    </row>
    <row r="396" spans="3:3" ht="11.65">
      <c r="C396" s="39"/>
    </row>
    <row r="397" spans="3:3" ht="11.65">
      <c r="C397" s="39"/>
    </row>
    <row r="398" spans="3:3" ht="11.65">
      <c r="C398" s="39"/>
    </row>
    <row r="399" spans="3:3" ht="11.65">
      <c r="C399" s="39"/>
    </row>
    <row r="400" spans="3:3" ht="11.65">
      <c r="C400" s="39"/>
    </row>
    <row r="401" spans="3:3" ht="11.65">
      <c r="C401" s="39"/>
    </row>
    <row r="402" spans="3:3" ht="11.65">
      <c r="C402" s="39"/>
    </row>
    <row r="403" spans="3:3" ht="11.65">
      <c r="C403" s="39"/>
    </row>
    <row r="404" spans="3:3" ht="11.65">
      <c r="C404" s="39"/>
    </row>
    <row r="405" spans="3:3" ht="11.65">
      <c r="C405" s="39"/>
    </row>
    <row r="406" spans="3:3" ht="11.65">
      <c r="C406" s="39"/>
    </row>
    <row r="407" spans="3:3" ht="11.65">
      <c r="C407" s="39"/>
    </row>
    <row r="408" spans="3:3" ht="11.65">
      <c r="C408" s="39"/>
    </row>
    <row r="409" spans="3:3" ht="11.65">
      <c r="C409" s="39"/>
    </row>
    <row r="410" spans="3:3" ht="11.65">
      <c r="C410" s="39"/>
    </row>
    <row r="411" spans="3:3" ht="11.65">
      <c r="C411" s="39"/>
    </row>
    <row r="412" spans="3:3" ht="11.65">
      <c r="C412" s="39"/>
    </row>
    <row r="413" spans="3:3" ht="11.65">
      <c r="C413" s="39"/>
    </row>
    <row r="414" spans="3:3" ht="11.65">
      <c r="C414" s="39"/>
    </row>
    <row r="415" spans="3:3" ht="11.65">
      <c r="C415" s="39"/>
    </row>
    <row r="416" spans="3:3" ht="11.65">
      <c r="C416" s="39"/>
    </row>
    <row r="417" spans="3:3" ht="11.65">
      <c r="C417" s="39"/>
    </row>
    <row r="418" spans="3:3" ht="11.65">
      <c r="C418" s="39"/>
    </row>
    <row r="419" spans="3:3" ht="11.65">
      <c r="C419" s="39"/>
    </row>
    <row r="420" spans="3:3" ht="11.65">
      <c r="C420" s="39"/>
    </row>
    <row r="421" spans="3:3" ht="11.65">
      <c r="C421" s="39"/>
    </row>
    <row r="422" spans="3:3" ht="11.65">
      <c r="C422" s="39"/>
    </row>
    <row r="423" spans="3:3" ht="11.65">
      <c r="C423" s="39"/>
    </row>
    <row r="424" spans="3:3" ht="11.65">
      <c r="C424" s="39"/>
    </row>
    <row r="425" spans="3:3" ht="11.65">
      <c r="C425" s="39"/>
    </row>
    <row r="426" spans="3:3" ht="11.65">
      <c r="C426" s="39"/>
    </row>
    <row r="427" spans="3:3" ht="11.65">
      <c r="C427" s="39"/>
    </row>
    <row r="428" spans="3:3" ht="11.65">
      <c r="C428" s="39"/>
    </row>
    <row r="429" spans="3:3" ht="11.65">
      <c r="C429" s="39"/>
    </row>
    <row r="430" spans="3:3" ht="11.65">
      <c r="C430" s="39"/>
    </row>
    <row r="431" spans="3:3" ht="11.65">
      <c r="C431" s="39"/>
    </row>
    <row r="432" spans="3:3" ht="11.65">
      <c r="C432" s="39"/>
    </row>
    <row r="433" spans="3:3" ht="11.65">
      <c r="C433" s="39"/>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287"/>
  <sheetViews>
    <sheetView workbookViewId="0"/>
  </sheetViews>
  <sheetFormatPr defaultColWidth="9.1328125" defaultRowHeight="14.25"/>
  <cols>
    <col min="1" max="1" width="11.3984375" style="1" customWidth="1"/>
    <col min="2" max="2" width="27.1328125" style="1" hidden="1" customWidth="1"/>
    <col min="3" max="3" width="31.73046875" style="1" hidden="1" customWidth="1"/>
    <col min="4" max="4" width="53.86328125" style="1" hidden="1" customWidth="1"/>
    <col min="5" max="5" width="33.1328125" style="1" hidden="1" customWidth="1"/>
    <col min="6" max="6" width="16.3984375" style="1" customWidth="1"/>
    <col min="7" max="7" width="16" style="1" customWidth="1"/>
    <col min="8" max="8" width="27.86328125" style="1" customWidth="1"/>
    <col min="9" max="9" width="34.3984375" style="6" customWidth="1"/>
    <col min="10" max="10" width="22" style="1" customWidth="1"/>
    <col min="11" max="11" width="27.86328125" style="1" customWidth="1"/>
    <col min="12" max="12" width="25.1328125" style="1" hidden="1" customWidth="1"/>
    <col min="13" max="13" width="21.1328125" style="1" hidden="1" customWidth="1"/>
    <col min="14" max="14" width="12.86328125" style="1" customWidth="1"/>
    <col min="15" max="15" width="19.3984375" style="1" hidden="1" customWidth="1"/>
    <col min="16" max="16" width="22.73046875" style="1" hidden="1" customWidth="1"/>
    <col min="17" max="17" width="23.1328125" style="7" customWidth="1"/>
    <col min="18" max="18" width="15.73046875" style="1" hidden="1" customWidth="1"/>
    <col min="19" max="19" width="14.86328125" style="1" hidden="1" customWidth="1"/>
    <col min="20" max="20" width="23" style="1" customWidth="1"/>
    <col min="21" max="21" width="38.86328125" style="1" hidden="1" customWidth="1"/>
    <col min="22" max="22" width="33.1328125" style="1" hidden="1" customWidth="1"/>
    <col min="23" max="23" width="19" style="7" customWidth="1"/>
    <col min="24" max="25" width="0" style="1" hidden="1" customWidth="1"/>
    <col min="26" max="26" width="21.3984375" style="1" hidden="1" customWidth="1"/>
    <col min="27" max="27" width="21.3984375" style="7" customWidth="1"/>
    <col min="28" max="28" width="14.86328125" style="7" customWidth="1"/>
    <col min="29" max="29" width="0" style="1" hidden="1" customWidth="1"/>
    <col min="30" max="30" width="13.265625" style="7" customWidth="1"/>
    <col min="31" max="31" width="14" style="7" customWidth="1"/>
    <col min="32" max="35" width="0" style="1" hidden="1" customWidth="1"/>
    <col min="36" max="36" width="27.265625" style="1" customWidth="1"/>
    <col min="37" max="38" width="0" style="1" hidden="1" customWidth="1"/>
    <col min="39" max="39" width="18.86328125" style="1" customWidth="1"/>
    <col min="40" max="40" width="12.86328125" style="7" customWidth="1"/>
    <col min="41" max="41" width="12.265625" style="7" customWidth="1"/>
    <col min="42" max="42" width="16.1328125" style="7" customWidth="1"/>
    <col min="43" max="46" width="0" style="1" hidden="1" customWidth="1"/>
    <col min="47" max="47" width="58.3984375" style="6" customWidth="1"/>
    <col min="48" max="16384" width="9.1328125" style="1"/>
  </cols>
  <sheetData>
    <row r="1" spans="1:47" s="8" customFormat="1" ht="85.5">
      <c r="A1" s="19" t="s">
        <v>20</v>
      </c>
      <c r="B1" s="19" t="s">
        <v>21</v>
      </c>
      <c r="C1" s="19" t="s">
        <v>22</v>
      </c>
      <c r="D1" s="19" t="s">
        <v>0</v>
      </c>
      <c r="E1" s="19" t="s">
        <v>23</v>
      </c>
      <c r="F1" s="19" t="s">
        <v>24</v>
      </c>
      <c r="G1" s="19" t="s">
        <v>25</v>
      </c>
      <c r="H1" s="19" t="s">
        <v>26</v>
      </c>
      <c r="I1" s="19" t="s">
        <v>27</v>
      </c>
      <c r="J1" s="19" t="s">
        <v>28</v>
      </c>
      <c r="K1" s="19" t="s">
        <v>735</v>
      </c>
      <c r="L1" s="19" t="s">
        <v>30</v>
      </c>
      <c r="M1" s="19" t="s">
        <v>31</v>
      </c>
      <c r="N1" s="19" t="s">
        <v>32</v>
      </c>
      <c r="O1" s="19" t="s">
        <v>33</v>
      </c>
      <c r="P1" s="19" t="s">
        <v>34</v>
      </c>
      <c r="Q1" s="20" t="s">
        <v>736</v>
      </c>
      <c r="R1" s="19" t="s">
        <v>737</v>
      </c>
      <c r="S1" s="19" t="s">
        <v>35</v>
      </c>
      <c r="T1" s="19" t="s">
        <v>36</v>
      </c>
      <c r="U1" s="19" t="s">
        <v>37</v>
      </c>
      <c r="V1" s="19" t="s">
        <v>38</v>
      </c>
      <c r="W1" s="21" t="s">
        <v>39</v>
      </c>
      <c r="X1" s="22" t="s">
        <v>40</v>
      </c>
      <c r="Y1" s="22" t="s">
        <v>41</v>
      </c>
      <c r="Z1" s="22" t="s">
        <v>42</v>
      </c>
      <c r="AA1" s="21" t="s">
        <v>43</v>
      </c>
      <c r="AB1" s="21" t="s">
        <v>29</v>
      </c>
      <c r="AC1" s="22" t="s">
        <v>44</v>
      </c>
      <c r="AD1" s="21" t="s">
        <v>45</v>
      </c>
      <c r="AE1" s="21" t="s">
        <v>738</v>
      </c>
      <c r="AF1" s="22" t="s">
        <v>739</v>
      </c>
      <c r="AG1" s="22" t="s">
        <v>46</v>
      </c>
      <c r="AH1" s="22" t="s">
        <v>740</v>
      </c>
      <c r="AI1" s="22" t="s">
        <v>47</v>
      </c>
      <c r="AJ1" s="22" t="s">
        <v>48</v>
      </c>
      <c r="AK1" s="22" t="s">
        <v>49</v>
      </c>
      <c r="AL1" s="22" t="s">
        <v>50</v>
      </c>
      <c r="AM1" s="22" t="s">
        <v>51</v>
      </c>
      <c r="AN1" s="21" t="s">
        <v>52</v>
      </c>
      <c r="AO1" s="21" t="s">
        <v>53</v>
      </c>
      <c r="AP1" s="21" t="s">
        <v>54</v>
      </c>
      <c r="AQ1" s="22" t="s">
        <v>55</v>
      </c>
      <c r="AR1" s="22" t="s">
        <v>56</v>
      </c>
      <c r="AS1" s="22" t="s">
        <v>57</v>
      </c>
      <c r="AT1" s="22" t="s">
        <v>58</v>
      </c>
      <c r="AU1" s="22" t="s">
        <v>59</v>
      </c>
    </row>
    <row r="2" spans="1:47" ht="42.75">
      <c r="A2" s="9" t="s">
        <v>60</v>
      </c>
      <c r="B2" s="10" t="s">
        <v>61</v>
      </c>
      <c r="C2" s="9" t="s">
        <v>62</v>
      </c>
      <c r="D2" s="9" t="s">
        <v>63</v>
      </c>
      <c r="E2" s="10" t="s">
        <v>64</v>
      </c>
      <c r="F2" s="10" t="s">
        <v>65</v>
      </c>
      <c r="G2" s="10" t="s">
        <v>66</v>
      </c>
      <c r="H2" s="11" t="s">
        <v>67</v>
      </c>
      <c r="I2" s="11" t="s">
        <v>68</v>
      </c>
      <c r="J2" s="9" t="s">
        <v>69</v>
      </c>
      <c r="K2" s="9" t="s">
        <v>70</v>
      </c>
      <c r="L2" s="10" t="s">
        <v>71</v>
      </c>
      <c r="M2" s="11" t="s">
        <v>71</v>
      </c>
      <c r="N2" s="12">
        <v>44166</v>
      </c>
      <c r="O2" s="12" t="s">
        <v>72</v>
      </c>
      <c r="P2" s="10" t="s">
        <v>73</v>
      </c>
      <c r="Q2" s="12">
        <v>44074</v>
      </c>
      <c r="R2" s="12" t="s">
        <v>74</v>
      </c>
      <c r="S2" s="12" t="s">
        <v>73</v>
      </c>
      <c r="T2" s="12" t="s">
        <v>75</v>
      </c>
      <c r="U2" s="9" t="s">
        <v>76</v>
      </c>
      <c r="V2" s="10" t="s">
        <v>75</v>
      </c>
      <c r="W2" s="13" t="s">
        <v>75</v>
      </c>
      <c r="X2" s="14" t="s">
        <v>74</v>
      </c>
      <c r="Y2" s="14" t="s">
        <v>75</v>
      </c>
      <c r="Z2" s="14" t="s">
        <v>77</v>
      </c>
      <c r="AA2" s="13" t="s">
        <v>84</v>
      </c>
      <c r="AB2" s="13">
        <v>44167</v>
      </c>
      <c r="AC2" s="14" t="s">
        <v>78</v>
      </c>
      <c r="AD2" s="13">
        <v>44172</v>
      </c>
      <c r="AE2" s="13">
        <v>44176</v>
      </c>
      <c r="AF2" s="14" t="s">
        <v>108</v>
      </c>
      <c r="AG2" s="14"/>
      <c r="AH2" s="14" t="s">
        <v>78</v>
      </c>
      <c r="AI2" s="14" t="s">
        <v>79</v>
      </c>
      <c r="AJ2" s="14" t="s">
        <v>80</v>
      </c>
      <c r="AK2" s="14" t="s">
        <v>81</v>
      </c>
      <c r="AL2" s="14" t="s">
        <v>82</v>
      </c>
      <c r="AM2" s="14" t="s">
        <v>81</v>
      </c>
      <c r="AN2" s="13" t="e">
        <f>#REF!</f>
        <v>#REF!</v>
      </c>
      <c r="AO2" s="13" t="e">
        <f>#REF!</f>
        <v>#REF!</v>
      </c>
      <c r="AP2" s="13">
        <v>44188</v>
      </c>
      <c r="AQ2" s="14" t="s">
        <v>10</v>
      </c>
      <c r="AR2" s="14" t="s">
        <v>1</v>
      </c>
      <c r="AS2" s="14">
        <v>15</v>
      </c>
      <c r="AT2" s="14"/>
      <c r="AU2" s="15" t="s">
        <v>83</v>
      </c>
    </row>
    <row r="3" spans="1:47" ht="71.25">
      <c r="A3" s="9" t="s">
        <v>85</v>
      </c>
      <c r="B3" s="9"/>
      <c r="C3" s="9" t="s">
        <v>62</v>
      </c>
      <c r="D3" s="10" t="s">
        <v>63</v>
      </c>
      <c r="E3" s="16" t="s">
        <v>64</v>
      </c>
      <c r="F3" s="10" t="s">
        <v>65</v>
      </c>
      <c r="G3" s="10" t="s">
        <v>66</v>
      </c>
      <c r="H3" s="11" t="s">
        <v>86</v>
      </c>
      <c r="I3" s="11" t="s">
        <v>87</v>
      </c>
      <c r="J3" s="9" t="s">
        <v>69</v>
      </c>
      <c r="K3" s="9" t="s">
        <v>70</v>
      </c>
      <c r="L3" s="10" t="s">
        <v>71</v>
      </c>
      <c r="M3" s="11" t="s">
        <v>71</v>
      </c>
      <c r="N3" s="12">
        <v>44166</v>
      </c>
      <c r="O3" s="12" t="s">
        <v>72</v>
      </c>
      <c r="P3" s="10" t="s">
        <v>73</v>
      </c>
      <c r="Q3" s="12">
        <v>44074</v>
      </c>
      <c r="R3" s="12" t="s">
        <v>74</v>
      </c>
      <c r="S3" s="12" t="s">
        <v>73</v>
      </c>
      <c r="T3" s="12" t="s">
        <v>75</v>
      </c>
      <c r="U3" s="9" t="s">
        <v>76</v>
      </c>
      <c r="V3" s="10" t="s">
        <v>75</v>
      </c>
      <c r="W3" s="13" t="s">
        <v>75</v>
      </c>
      <c r="X3" s="14" t="s">
        <v>62</v>
      </c>
      <c r="Y3" s="14" t="s">
        <v>75</v>
      </c>
      <c r="Z3" s="14" t="s">
        <v>77</v>
      </c>
      <c r="AA3" s="13" t="s">
        <v>84</v>
      </c>
      <c r="AB3" s="13">
        <v>44167</v>
      </c>
      <c r="AC3" s="14" t="s">
        <v>78</v>
      </c>
      <c r="AD3" s="13">
        <v>44172</v>
      </c>
      <c r="AE3" s="13">
        <v>44176</v>
      </c>
      <c r="AF3" s="14" t="s">
        <v>108</v>
      </c>
      <c r="AG3" s="14"/>
      <c r="AH3" s="14" t="s">
        <v>78</v>
      </c>
      <c r="AI3" s="14" t="s">
        <v>79</v>
      </c>
      <c r="AJ3" s="14" t="s">
        <v>80</v>
      </c>
      <c r="AK3" s="14" t="s">
        <v>81</v>
      </c>
      <c r="AL3" s="14" t="s">
        <v>88</v>
      </c>
      <c r="AM3" s="14" t="s">
        <v>81</v>
      </c>
      <c r="AN3" s="13" t="e">
        <f>#REF!</f>
        <v>#REF!</v>
      </c>
      <c r="AO3" s="13" t="e">
        <f>#REF!</f>
        <v>#REF!</v>
      </c>
      <c r="AP3" s="13">
        <v>44188</v>
      </c>
      <c r="AQ3" s="14" t="s">
        <v>10</v>
      </c>
      <c r="AR3" s="14" t="s">
        <v>1</v>
      </c>
      <c r="AS3" s="14">
        <v>5</v>
      </c>
      <c r="AT3" s="14"/>
      <c r="AU3" s="15" t="s">
        <v>83</v>
      </c>
    </row>
    <row r="4" spans="1:47" ht="28.5">
      <c r="A4" s="9" t="s">
        <v>89</v>
      </c>
      <c r="B4" s="9"/>
      <c r="C4" s="9" t="s">
        <v>62</v>
      </c>
      <c r="D4" s="10" t="s">
        <v>63</v>
      </c>
      <c r="E4" s="16" t="s">
        <v>64</v>
      </c>
      <c r="F4" s="10" t="s">
        <v>65</v>
      </c>
      <c r="G4" s="10" t="s">
        <v>66</v>
      </c>
      <c r="H4" s="11" t="s">
        <v>90</v>
      </c>
      <c r="I4" s="11" t="s">
        <v>91</v>
      </c>
      <c r="J4" s="9" t="s">
        <v>69</v>
      </c>
      <c r="K4" s="9" t="s">
        <v>70</v>
      </c>
      <c r="L4" s="10" t="s">
        <v>71</v>
      </c>
      <c r="M4" s="11" t="s">
        <v>71</v>
      </c>
      <c r="N4" s="12">
        <v>44166</v>
      </c>
      <c r="O4" s="12" t="s">
        <v>72</v>
      </c>
      <c r="P4" s="10" t="s">
        <v>73</v>
      </c>
      <c r="Q4" s="12">
        <v>44074</v>
      </c>
      <c r="R4" s="12" t="s">
        <v>74</v>
      </c>
      <c r="S4" s="12" t="s">
        <v>73</v>
      </c>
      <c r="T4" s="12" t="s">
        <v>75</v>
      </c>
      <c r="U4" s="9" t="s">
        <v>76</v>
      </c>
      <c r="V4" s="10" t="s">
        <v>75</v>
      </c>
      <c r="W4" s="13" t="s">
        <v>75</v>
      </c>
      <c r="X4" s="14" t="s">
        <v>62</v>
      </c>
      <c r="Y4" s="14" t="s">
        <v>75</v>
      </c>
      <c r="Z4" s="14" t="s">
        <v>77</v>
      </c>
      <c r="AA4" s="13" t="s">
        <v>84</v>
      </c>
      <c r="AB4" s="13">
        <v>44167</v>
      </c>
      <c r="AC4" s="14" t="s">
        <v>78</v>
      </c>
      <c r="AD4" s="13">
        <v>44172</v>
      </c>
      <c r="AE4" s="13">
        <v>44176</v>
      </c>
      <c r="AF4" s="14" t="s">
        <v>108</v>
      </c>
      <c r="AG4" s="14"/>
      <c r="AH4" s="14" t="s">
        <v>78</v>
      </c>
      <c r="AI4" s="14" t="s">
        <v>79</v>
      </c>
      <c r="AJ4" s="14" t="s">
        <v>80</v>
      </c>
      <c r="AK4" s="14" t="s">
        <v>81</v>
      </c>
      <c r="AL4" s="14" t="s">
        <v>88</v>
      </c>
      <c r="AM4" s="14" t="s">
        <v>81</v>
      </c>
      <c r="AN4" s="13" t="e">
        <f>#REF!</f>
        <v>#REF!</v>
      </c>
      <c r="AO4" s="13" t="e">
        <f>#REF!</f>
        <v>#REF!</v>
      </c>
      <c r="AP4" s="13">
        <v>44188</v>
      </c>
      <c r="AQ4" s="14" t="s">
        <v>10</v>
      </c>
      <c r="AR4" s="14" t="s">
        <v>1</v>
      </c>
      <c r="AS4" s="14">
        <v>5</v>
      </c>
      <c r="AT4" s="14"/>
      <c r="AU4" s="15" t="s">
        <v>83</v>
      </c>
    </row>
    <row r="5" spans="1:47">
      <c r="A5" s="9" t="s">
        <v>92</v>
      </c>
      <c r="B5" s="9" t="s">
        <v>93</v>
      </c>
      <c r="C5" s="9" t="s">
        <v>62</v>
      </c>
      <c r="D5" s="9" t="s">
        <v>210</v>
      </c>
      <c r="E5" s="16" t="s">
        <v>64</v>
      </c>
      <c r="F5" s="10" t="s">
        <v>65</v>
      </c>
      <c r="G5" s="10" t="s">
        <v>66</v>
      </c>
      <c r="H5" s="11" t="s">
        <v>94</v>
      </c>
      <c r="I5" s="11" t="s">
        <v>741</v>
      </c>
      <c r="J5" s="9" t="s">
        <v>69</v>
      </c>
      <c r="K5" s="9" t="s">
        <v>95</v>
      </c>
      <c r="L5" s="10" t="s">
        <v>71</v>
      </c>
      <c r="M5" s="11" t="s">
        <v>71</v>
      </c>
      <c r="N5" s="12">
        <v>44166</v>
      </c>
      <c r="O5" s="12" t="s">
        <v>72</v>
      </c>
      <c r="P5" s="10" t="s">
        <v>73</v>
      </c>
      <c r="Q5" s="12">
        <v>44074</v>
      </c>
      <c r="R5" s="12" t="s">
        <v>74</v>
      </c>
      <c r="S5" s="12" t="s">
        <v>73</v>
      </c>
      <c r="T5" s="12" t="s">
        <v>75</v>
      </c>
      <c r="U5" s="9" t="s">
        <v>76</v>
      </c>
      <c r="V5" s="10" t="s">
        <v>75</v>
      </c>
      <c r="W5" s="13" t="s">
        <v>75</v>
      </c>
      <c r="X5" s="14" t="s">
        <v>62</v>
      </c>
      <c r="Y5" s="14" t="s">
        <v>75</v>
      </c>
      <c r="Z5" s="14" t="s">
        <v>77</v>
      </c>
      <c r="AA5" s="13" t="s">
        <v>84</v>
      </c>
      <c r="AB5" s="13">
        <v>44167</v>
      </c>
      <c r="AC5" s="14" t="s">
        <v>78</v>
      </c>
      <c r="AD5" s="13">
        <v>44172</v>
      </c>
      <c r="AE5" s="13">
        <v>44176</v>
      </c>
      <c r="AF5" s="14" t="s">
        <v>108</v>
      </c>
      <c r="AG5" s="14"/>
      <c r="AH5" s="14" t="s">
        <v>78</v>
      </c>
      <c r="AI5" s="14" t="s">
        <v>79</v>
      </c>
      <c r="AJ5" s="14" t="s">
        <v>80</v>
      </c>
      <c r="AK5" s="14" t="s">
        <v>81</v>
      </c>
      <c r="AL5" s="14" t="s">
        <v>82</v>
      </c>
      <c r="AM5" s="14" t="s">
        <v>81</v>
      </c>
      <c r="AN5" s="13" t="e">
        <f>#REF!</f>
        <v>#REF!</v>
      </c>
      <c r="AO5" s="13" t="e">
        <f>#REF!</f>
        <v>#REF!</v>
      </c>
      <c r="AP5" s="13">
        <v>44188</v>
      </c>
      <c r="AQ5" s="14" t="s">
        <v>10</v>
      </c>
      <c r="AR5" s="14" t="s">
        <v>2</v>
      </c>
      <c r="AS5" s="14">
        <v>4</v>
      </c>
      <c r="AT5" s="14"/>
      <c r="AU5" s="15" t="s">
        <v>83</v>
      </c>
    </row>
    <row r="6" spans="1:47">
      <c r="A6" s="9" t="s">
        <v>96</v>
      </c>
      <c r="B6" s="9" t="s">
        <v>93</v>
      </c>
      <c r="C6" s="9" t="s">
        <v>62</v>
      </c>
      <c r="D6" s="9" t="s">
        <v>210</v>
      </c>
      <c r="E6" s="16" t="s">
        <v>64</v>
      </c>
      <c r="F6" s="10" t="s">
        <v>65</v>
      </c>
      <c r="G6" s="10" t="s">
        <v>66</v>
      </c>
      <c r="H6" s="11" t="s">
        <v>94</v>
      </c>
      <c r="I6" s="11" t="s">
        <v>97</v>
      </c>
      <c r="J6" s="9" t="s">
        <v>69</v>
      </c>
      <c r="K6" s="9" t="s">
        <v>95</v>
      </c>
      <c r="L6" s="10" t="s">
        <v>71</v>
      </c>
      <c r="M6" s="11" t="s">
        <v>71</v>
      </c>
      <c r="N6" s="12">
        <v>44166</v>
      </c>
      <c r="O6" s="12" t="s">
        <v>72</v>
      </c>
      <c r="P6" s="10" t="s">
        <v>73</v>
      </c>
      <c r="Q6" s="12">
        <v>44074</v>
      </c>
      <c r="R6" s="12" t="s">
        <v>74</v>
      </c>
      <c r="S6" s="12" t="s">
        <v>73</v>
      </c>
      <c r="T6" s="12" t="s">
        <v>75</v>
      </c>
      <c r="U6" s="9" t="s">
        <v>76</v>
      </c>
      <c r="V6" s="10" t="s">
        <v>75</v>
      </c>
      <c r="W6" s="13" t="s">
        <v>75</v>
      </c>
      <c r="X6" s="14" t="s">
        <v>62</v>
      </c>
      <c r="Y6" s="14" t="s">
        <v>75</v>
      </c>
      <c r="Z6" s="14" t="s">
        <v>77</v>
      </c>
      <c r="AA6" s="13" t="s">
        <v>84</v>
      </c>
      <c r="AB6" s="13">
        <v>44167</v>
      </c>
      <c r="AC6" s="14" t="s">
        <v>78</v>
      </c>
      <c r="AD6" s="13">
        <v>44172</v>
      </c>
      <c r="AE6" s="13">
        <v>44176</v>
      </c>
      <c r="AF6" s="14" t="s">
        <v>108</v>
      </c>
      <c r="AG6" s="14"/>
      <c r="AH6" s="14" t="s">
        <v>78</v>
      </c>
      <c r="AI6" s="14" t="s">
        <v>79</v>
      </c>
      <c r="AJ6" s="14" t="s">
        <v>80</v>
      </c>
      <c r="AK6" s="14" t="s">
        <v>81</v>
      </c>
      <c r="AL6" s="14" t="s">
        <v>82</v>
      </c>
      <c r="AM6" s="14" t="s">
        <v>81</v>
      </c>
      <c r="AN6" s="13" t="e">
        <f>#REF!</f>
        <v>#REF!</v>
      </c>
      <c r="AO6" s="13" t="e">
        <f>#REF!</f>
        <v>#REF!</v>
      </c>
      <c r="AP6" s="13">
        <v>44188</v>
      </c>
      <c r="AQ6" s="14" t="s">
        <v>10</v>
      </c>
      <c r="AR6" s="14" t="s">
        <v>2</v>
      </c>
      <c r="AS6" s="14">
        <v>4</v>
      </c>
      <c r="AT6" s="14"/>
      <c r="AU6" s="15" t="s">
        <v>83</v>
      </c>
    </row>
    <row r="7" spans="1:47">
      <c r="A7" s="9" t="s">
        <v>98</v>
      </c>
      <c r="B7" s="9" t="s">
        <v>93</v>
      </c>
      <c r="C7" s="9" t="s">
        <v>62</v>
      </c>
      <c r="D7" s="9" t="s">
        <v>210</v>
      </c>
      <c r="E7" s="16" t="s">
        <v>64</v>
      </c>
      <c r="F7" s="10" t="s">
        <v>65</v>
      </c>
      <c r="G7" s="10" t="s">
        <v>66</v>
      </c>
      <c r="H7" s="11" t="s">
        <v>94</v>
      </c>
      <c r="I7" s="11" t="s">
        <v>99</v>
      </c>
      <c r="J7" s="9" t="s">
        <v>69</v>
      </c>
      <c r="K7" s="9" t="s">
        <v>95</v>
      </c>
      <c r="L7" s="10" t="s">
        <v>71</v>
      </c>
      <c r="M7" s="11" t="s">
        <v>71</v>
      </c>
      <c r="N7" s="12">
        <v>44166</v>
      </c>
      <c r="O7" s="12" t="s">
        <v>72</v>
      </c>
      <c r="P7" s="10" t="s">
        <v>73</v>
      </c>
      <c r="Q7" s="12">
        <v>44074</v>
      </c>
      <c r="R7" s="12" t="s">
        <v>74</v>
      </c>
      <c r="S7" s="12" t="s">
        <v>73</v>
      </c>
      <c r="T7" s="12" t="s">
        <v>75</v>
      </c>
      <c r="U7" s="9" t="s">
        <v>76</v>
      </c>
      <c r="V7" s="10" t="s">
        <v>75</v>
      </c>
      <c r="W7" s="13" t="s">
        <v>75</v>
      </c>
      <c r="X7" s="14" t="s">
        <v>62</v>
      </c>
      <c r="Y7" s="14" t="s">
        <v>75</v>
      </c>
      <c r="Z7" s="14" t="s">
        <v>77</v>
      </c>
      <c r="AA7" s="13" t="s">
        <v>84</v>
      </c>
      <c r="AB7" s="13">
        <v>44167</v>
      </c>
      <c r="AC7" s="14" t="s">
        <v>78</v>
      </c>
      <c r="AD7" s="13">
        <v>44172</v>
      </c>
      <c r="AE7" s="13">
        <v>44176</v>
      </c>
      <c r="AF7" s="14" t="s">
        <v>108</v>
      </c>
      <c r="AG7" s="14"/>
      <c r="AH7" s="14" t="s">
        <v>78</v>
      </c>
      <c r="AI7" s="14" t="s">
        <v>79</v>
      </c>
      <c r="AJ7" s="14" t="s">
        <v>80</v>
      </c>
      <c r="AK7" s="14" t="s">
        <v>81</v>
      </c>
      <c r="AL7" s="14" t="s">
        <v>82</v>
      </c>
      <c r="AM7" s="14" t="s">
        <v>81</v>
      </c>
      <c r="AN7" s="13" t="e">
        <f>#REF!</f>
        <v>#REF!</v>
      </c>
      <c r="AO7" s="13" t="e">
        <f>#REF!</f>
        <v>#REF!</v>
      </c>
      <c r="AP7" s="13">
        <v>44188</v>
      </c>
      <c r="AQ7" s="14" t="s">
        <v>10</v>
      </c>
      <c r="AR7" s="14" t="s">
        <v>2</v>
      </c>
      <c r="AS7" s="14">
        <v>4</v>
      </c>
      <c r="AT7" s="14"/>
      <c r="AU7" s="15" t="s">
        <v>83</v>
      </c>
    </row>
    <row r="8" spans="1:47" ht="28.5">
      <c r="A8" s="9" t="s">
        <v>100</v>
      </c>
      <c r="B8" s="9" t="s">
        <v>93</v>
      </c>
      <c r="C8" s="9" t="s">
        <v>62</v>
      </c>
      <c r="D8" s="9" t="s">
        <v>63</v>
      </c>
      <c r="E8" s="16" t="s">
        <v>64</v>
      </c>
      <c r="F8" s="10" t="s">
        <v>65</v>
      </c>
      <c r="G8" s="10" t="s">
        <v>66</v>
      </c>
      <c r="H8" s="11" t="s">
        <v>94</v>
      </c>
      <c r="I8" s="11" t="s">
        <v>101</v>
      </c>
      <c r="J8" s="9" t="s">
        <v>69</v>
      </c>
      <c r="K8" s="9" t="s">
        <v>70</v>
      </c>
      <c r="L8" s="10" t="s">
        <v>71</v>
      </c>
      <c r="M8" s="11" t="s">
        <v>71</v>
      </c>
      <c r="N8" s="12">
        <v>44166</v>
      </c>
      <c r="O8" s="12" t="s">
        <v>72</v>
      </c>
      <c r="P8" s="10" t="s">
        <v>73</v>
      </c>
      <c r="Q8" s="12">
        <v>44074</v>
      </c>
      <c r="R8" s="12" t="s">
        <v>74</v>
      </c>
      <c r="S8" s="12" t="s">
        <v>73</v>
      </c>
      <c r="T8" s="12" t="s">
        <v>75</v>
      </c>
      <c r="U8" s="9" t="s">
        <v>76</v>
      </c>
      <c r="V8" s="10" t="s">
        <v>75</v>
      </c>
      <c r="W8" s="13" t="s">
        <v>75</v>
      </c>
      <c r="X8" s="14" t="s">
        <v>62</v>
      </c>
      <c r="Y8" s="14" t="s">
        <v>75</v>
      </c>
      <c r="Z8" s="14" t="s">
        <v>77</v>
      </c>
      <c r="AA8" s="13" t="s">
        <v>84</v>
      </c>
      <c r="AB8" s="13">
        <v>44167</v>
      </c>
      <c r="AC8" s="14" t="s">
        <v>78</v>
      </c>
      <c r="AD8" s="13">
        <v>44172</v>
      </c>
      <c r="AE8" s="13">
        <v>44176</v>
      </c>
      <c r="AF8" s="14" t="s">
        <v>108</v>
      </c>
      <c r="AG8" s="14"/>
      <c r="AH8" s="14" t="s">
        <v>78</v>
      </c>
      <c r="AI8" s="14" t="s">
        <v>79</v>
      </c>
      <c r="AJ8" s="14" t="s">
        <v>80</v>
      </c>
      <c r="AK8" s="14" t="s">
        <v>81</v>
      </c>
      <c r="AL8" s="14" t="s">
        <v>82</v>
      </c>
      <c r="AM8" s="14" t="s">
        <v>81</v>
      </c>
      <c r="AN8" s="13" t="e">
        <f>#REF!</f>
        <v>#REF!</v>
      </c>
      <c r="AO8" s="13" t="e">
        <f>#REF!</f>
        <v>#REF!</v>
      </c>
      <c r="AP8" s="13">
        <v>44188</v>
      </c>
      <c r="AQ8" s="14" t="s">
        <v>10</v>
      </c>
      <c r="AR8" s="14" t="s">
        <v>2</v>
      </c>
      <c r="AS8" s="14">
        <v>4</v>
      </c>
      <c r="AT8" s="14"/>
      <c r="AU8" s="15" t="s">
        <v>83</v>
      </c>
    </row>
    <row r="9" spans="1:47">
      <c r="A9" s="9" t="s">
        <v>110</v>
      </c>
      <c r="B9" s="9" t="s">
        <v>93</v>
      </c>
      <c r="C9" s="9" t="s">
        <v>62</v>
      </c>
      <c r="D9" s="9" t="s">
        <v>63</v>
      </c>
      <c r="E9" s="16" t="s">
        <v>64</v>
      </c>
      <c r="F9" s="10" t="s">
        <v>65</v>
      </c>
      <c r="G9" s="10" t="s">
        <v>66</v>
      </c>
      <c r="H9" s="11" t="s">
        <v>111</v>
      </c>
      <c r="I9" s="11" t="s">
        <v>112</v>
      </c>
      <c r="J9" s="9" t="s">
        <v>69</v>
      </c>
      <c r="K9" s="9" t="s">
        <v>70</v>
      </c>
      <c r="L9" s="10" t="s">
        <v>71</v>
      </c>
      <c r="M9" s="11" t="s">
        <v>71</v>
      </c>
      <c r="N9" s="12">
        <v>44166</v>
      </c>
      <c r="O9" s="12" t="s">
        <v>72</v>
      </c>
      <c r="P9" s="10" t="s">
        <v>73</v>
      </c>
      <c r="Q9" s="12">
        <v>44074</v>
      </c>
      <c r="R9" s="12" t="s">
        <v>74</v>
      </c>
      <c r="S9" s="12" t="s">
        <v>73</v>
      </c>
      <c r="T9" s="12" t="s">
        <v>75</v>
      </c>
      <c r="U9" s="9" t="s">
        <v>76</v>
      </c>
      <c r="V9" s="10" t="s">
        <v>75</v>
      </c>
      <c r="W9" s="13" t="s">
        <v>75</v>
      </c>
      <c r="X9" s="14" t="s">
        <v>62</v>
      </c>
      <c r="Y9" s="14" t="s">
        <v>75</v>
      </c>
      <c r="Z9" s="14" t="s">
        <v>77</v>
      </c>
      <c r="AA9" s="13" t="s">
        <v>84</v>
      </c>
      <c r="AB9" s="13">
        <v>44167</v>
      </c>
      <c r="AC9" s="14" t="s">
        <v>78</v>
      </c>
      <c r="AD9" s="13">
        <v>44172</v>
      </c>
      <c r="AE9" s="13">
        <v>44176</v>
      </c>
      <c r="AF9" s="14" t="s">
        <v>108</v>
      </c>
      <c r="AG9" s="14"/>
      <c r="AH9" s="14" t="s">
        <v>78</v>
      </c>
      <c r="AI9" s="14" t="s">
        <v>79</v>
      </c>
      <c r="AJ9" s="14" t="s">
        <v>80</v>
      </c>
      <c r="AK9" s="14" t="s">
        <v>81</v>
      </c>
      <c r="AL9" s="14" t="s">
        <v>82</v>
      </c>
      <c r="AM9" s="14" t="s">
        <v>81</v>
      </c>
      <c r="AN9" s="13" t="e">
        <f>#REF!</f>
        <v>#REF!</v>
      </c>
      <c r="AO9" s="13" t="e">
        <f>#REF!</f>
        <v>#REF!</v>
      </c>
      <c r="AP9" s="13">
        <v>44188</v>
      </c>
      <c r="AQ9" s="14" t="s">
        <v>10</v>
      </c>
      <c r="AR9" s="14" t="s">
        <v>1</v>
      </c>
      <c r="AS9" s="14">
        <v>4</v>
      </c>
      <c r="AT9" s="14"/>
      <c r="AU9" s="15" t="s">
        <v>83</v>
      </c>
    </row>
    <row r="10" spans="1:47" ht="42.75">
      <c r="A10" s="9" t="s">
        <v>113</v>
      </c>
      <c r="B10" s="9" t="s">
        <v>93</v>
      </c>
      <c r="C10" s="9" t="s">
        <v>62</v>
      </c>
      <c r="D10" s="9" t="s">
        <v>63</v>
      </c>
      <c r="E10" s="16" t="s">
        <v>64</v>
      </c>
      <c r="F10" s="10" t="s">
        <v>65</v>
      </c>
      <c r="G10" s="10" t="s">
        <v>66</v>
      </c>
      <c r="H10" s="11" t="s">
        <v>111</v>
      </c>
      <c r="I10" s="11" t="s">
        <v>114</v>
      </c>
      <c r="J10" s="9" t="s">
        <v>69</v>
      </c>
      <c r="K10" s="9" t="s">
        <v>70</v>
      </c>
      <c r="L10" s="10" t="s">
        <v>71</v>
      </c>
      <c r="M10" s="11" t="s">
        <v>71</v>
      </c>
      <c r="N10" s="12">
        <v>44166</v>
      </c>
      <c r="O10" s="12" t="s">
        <v>72</v>
      </c>
      <c r="P10" s="10" t="s">
        <v>73</v>
      </c>
      <c r="Q10" s="12">
        <v>44074</v>
      </c>
      <c r="R10" s="12" t="s">
        <v>74</v>
      </c>
      <c r="S10" s="12" t="s">
        <v>73</v>
      </c>
      <c r="T10" s="12" t="s">
        <v>75</v>
      </c>
      <c r="U10" s="9" t="s">
        <v>76</v>
      </c>
      <c r="V10" s="10" t="s">
        <v>75</v>
      </c>
      <c r="W10" s="13" t="s">
        <v>75</v>
      </c>
      <c r="X10" s="14" t="s">
        <v>62</v>
      </c>
      <c r="Y10" s="14" t="s">
        <v>75</v>
      </c>
      <c r="Z10" s="14" t="s">
        <v>77</v>
      </c>
      <c r="AA10" s="13" t="s">
        <v>84</v>
      </c>
      <c r="AB10" s="13">
        <v>44167</v>
      </c>
      <c r="AC10" s="14" t="s">
        <v>78</v>
      </c>
      <c r="AD10" s="13">
        <v>44172</v>
      </c>
      <c r="AE10" s="13">
        <v>44176</v>
      </c>
      <c r="AF10" s="14" t="s">
        <v>108</v>
      </c>
      <c r="AG10" s="14"/>
      <c r="AH10" s="14" t="s">
        <v>78</v>
      </c>
      <c r="AI10" s="14" t="s">
        <v>79</v>
      </c>
      <c r="AJ10" s="14" t="s">
        <v>80</v>
      </c>
      <c r="AK10" s="14" t="s">
        <v>81</v>
      </c>
      <c r="AL10" s="14" t="s">
        <v>82</v>
      </c>
      <c r="AM10" s="14" t="s">
        <v>81</v>
      </c>
      <c r="AN10" s="13" t="e">
        <f>#REF!</f>
        <v>#REF!</v>
      </c>
      <c r="AO10" s="13" t="e">
        <f>#REF!</f>
        <v>#REF!</v>
      </c>
      <c r="AP10" s="13">
        <v>44188</v>
      </c>
      <c r="AQ10" s="14" t="s">
        <v>10</v>
      </c>
      <c r="AR10" s="14" t="s">
        <v>1</v>
      </c>
      <c r="AS10" s="14">
        <v>4</v>
      </c>
      <c r="AT10" s="14"/>
      <c r="AU10" s="15" t="s">
        <v>742</v>
      </c>
    </row>
    <row r="11" spans="1:47" ht="28.5">
      <c r="A11" s="9" t="s">
        <v>115</v>
      </c>
      <c r="B11" s="9" t="s">
        <v>93</v>
      </c>
      <c r="C11" s="9" t="s">
        <v>62</v>
      </c>
      <c r="D11" s="9" t="s">
        <v>63</v>
      </c>
      <c r="E11" s="16" t="s">
        <v>64</v>
      </c>
      <c r="F11" s="10" t="s">
        <v>65</v>
      </c>
      <c r="G11" s="10" t="s">
        <v>66</v>
      </c>
      <c r="H11" s="11" t="s">
        <v>111</v>
      </c>
      <c r="I11" s="11" t="s">
        <v>116</v>
      </c>
      <c r="J11" s="9" t="s">
        <v>69</v>
      </c>
      <c r="K11" s="9" t="s">
        <v>70</v>
      </c>
      <c r="L11" s="10" t="s">
        <v>71</v>
      </c>
      <c r="M11" s="11" t="s">
        <v>71</v>
      </c>
      <c r="N11" s="12">
        <v>44166</v>
      </c>
      <c r="O11" s="12" t="s">
        <v>72</v>
      </c>
      <c r="P11" s="10" t="s">
        <v>73</v>
      </c>
      <c r="Q11" s="12">
        <v>44074</v>
      </c>
      <c r="R11" s="12" t="s">
        <v>74</v>
      </c>
      <c r="S11" s="12" t="s">
        <v>73</v>
      </c>
      <c r="T11" s="12" t="s">
        <v>75</v>
      </c>
      <c r="U11" s="9" t="s">
        <v>76</v>
      </c>
      <c r="V11" s="10" t="s">
        <v>75</v>
      </c>
      <c r="W11" s="13" t="s">
        <v>75</v>
      </c>
      <c r="X11" s="14" t="s">
        <v>62</v>
      </c>
      <c r="Y11" s="14" t="s">
        <v>75</v>
      </c>
      <c r="Z11" s="14" t="s">
        <v>77</v>
      </c>
      <c r="AA11" s="13" t="s">
        <v>84</v>
      </c>
      <c r="AB11" s="13">
        <v>44167</v>
      </c>
      <c r="AC11" s="14" t="s">
        <v>78</v>
      </c>
      <c r="AD11" s="13">
        <v>44172</v>
      </c>
      <c r="AE11" s="13">
        <v>44176</v>
      </c>
      <c r="AF11" s="14" t="s">
        <v>108</v>
      </c>
      <c r="AG11" s="14"/>
      <c r="AH11" s="14" t="s">
        <v>78</v>
      </c>
      <c r="AI11" s="14" t="s">
        <v>79</v>
      </c>
      <c r="AJ11" s="14" t="s">
        <v>80</v>
      </c>
      <c r="AK11" s="14" t="s">
        <v>81</v>
      </c>
      <c r="AL11" s="14" t="s">
        <v>82</v>
      </c>
      <c r="AM11" s="14" t="s">
        <v>81</v>
      </c>
      <c r="AN11" s="13" t="e">
        <f>#REF!</f>
        <v>#REF!</v>
      </c>
      <c r="AO11" s="13" t="e">
        <f>#REF!</f>
        <v>#REF!</v>
      </c>
      <c r="AP11" s="13">
        <v>44188</v>
      </c>
      <c r="AQ11" s="14" t="s">
        <v>10</v>
      </c>
      <c r="AR11" s="14" t="s">
        <v>2</v>
      </c>
      <c r="AS11" s="14">
        <v>4</v>
      </c>
      <c r="AT11" s="14"/>
      <c r="AU11" s="15" t="s">
        <v>83</v>
      </c>
    </row>
    <row r="12" spans="1:47">
      <c r="A12" s="9" t="s">
        <v>117</v>
      </c>
      <c r="B12" s="9" t="s">
        <v>93</v>
      </c>
      <c r="C12" s="9" t="s">
        <v>62</v>
      </c>
      <c r="D12" s="9" t="s">
        <v>63</v>
      </c>
      <c r="E12" s="16" t="s">
        <v>64</v>
      </c>
      <c r="F12" s="10" t="s">
        <v>65</v>
      </c>
      <c r="G12" s="10" t="s">
        <v>66</v>
      </c>
      <c r="H12" s="11" t="s">
        <v>111</v>
      </c>
      <c r="I12" s="11" t="s">
        <v>118</v>
      </c>
      <c r="J12" s="9" t="s">
        <v>69</v>
      </c>
      <c r="K12" s="9" t="s">
        <v>70</v>
      </c>
      <c r="L12" s="10" t="s">
        <v>71</v>
      </c>
      <c r="M12" s="11" t="s">
        <v>71</v>
      </c>
      <c r="N12" s="12">
        <v>44166</v>
      </c>
      <c r="O12" s="12" t="s">
        <v>72</v>
      </c>
      <c r="P12" s="10" t="s">
        <v>73</v>
      </c>
      <c r="Q12" s="12">
        <v>44074</v>
      </c>
      <c r="R12" s="12" t="s">
        <v>74</v>
      </c>
      <c r="S12" s="12" t="s">
        <v>73</v>
      </c>
      <c r="T12" s="12" t="s">
        <v>75</v>
      </c>
      <c r="U12" s="9" t="s">
        <v>76</v>
      </c>
      <c r="V12" s="10" t="s">
        <v>75</v>
      </c>
      <c r="W12" s="13" t="s">
        <v>75</v>
      </c>
      <c r="X12" s="14" t="s">
        <v>62</v>
      </c>
      <c r="Y12" s="14" t="s">
        <v>75</v>
      </c>
      <c r="Z12" s="14" t="s">
        <v>77</v>
      </c>
      <c r="AA12" s="13" t="s">
        <v>84</v>
      </c>
      <c r="AB12" s="13">
        <v>44167</v>
      </c>
      <c r="AC12" s="14" t="s">
        <v>78</v>
      </c>
      <c r="AD12" s="13">
        <v>44172</v>
      </c>
      <c r="AE12" s="13">
        <v>44176</v>
      </c>
      <c r="AF12" s="14" t="s">
        <v>108</v>
      </c>
      <c r="AG12" s="14"/>
      <c r="AH12" s="14" t="s">
        <v>78</v>
      </c>
      <c r="AI12" s="14" t="s">
        <v>79</v>
      </c>
      <c r="AJ12" s="14" t="s">
        <v>80</v>
      </c>
      <c r="AK12" s="14" t="s">
        <v>81</v>
      </c>
      <c r="AL12" s="14" t="s">
        <v>82</v>
      </c>
      <c r="AM12" s="14" t="s">
        <v>81</v>
      </c>
      <c r="AN12" s="13" t="e">
        <f>#REF!</f>
        <v>#REF!</v>
      </c>
      <c r="AO12" s="13" t="e">
        <f>#REF!</f>
        <v>#REF!</v>
      </c>
      <c r="AP12" s="13">
        <v>44188</v>
      </c>
      <c r="AQ12" s="14" t="s">
        <v>10</v>
      </c>
      <c r="AR12" s="14" t="s">
        <v>2</v>
      </c>
      <c r="AS12" s="14">
        <v>4</v>
      </c>
      <c r="AT12" s="14"/>
      <c r="AU12" s="15" t="s">
        <v>83</v>
      </c>
    </row>
    <row r="13" spans="1:47">
      <c r="A13" s="9" t="s">
        <v>119</v>
      </c>
      <c r="B13" s="9" t="s">
        <v>93</v>
      </c>
      <c r="C13" s="9" t="s">
        <v>62</v>
      </c>
      <c r="D13" s="9" t="s">
        <v>63</v>
      </c>
      <c r="E13" s="10" t="s">
        <v>64</v>
      </c>
      <c r="F13" s="10" t="s">
        <v>65</v>
      </c>
      <c r="G13" s="10" t="s">
        <v>66</v>
      </c>
      <c r="H13" s="11" t="s">
        <v>111</v>
      </c>
      <c r="I13" s="11" t="s">
        <v>99</v>
      </c>
      <c r="J13" s="9" t="s">
        <v>69</v>
      </c>
      <c r="K13" s="12" t="s">
        <v>70</v>
      </c>
      <c r="L13" s="10" t="s">
        <v>71</v>
      </c>
      <c r="M13" s="11" t="s">
        <v>71</v>
      </c>
      <c r="N13" s="12">
        <v>44166</v>
      </c>
      <c r="O13" s="12" t="s">
        <v>72</v>
      </c>
      <c r="P13" s="10" t="s">
        <v>73</v>
      </c>
      <c r="Q13" s="12">
        <v>44074</v>
      </c>
      <c r="R13" s="12" t="s">
        <v>74</v>
      </c>
      <c r="S13" s="12" t="s">
        <v>73</v>
      </c>
      <c r="T13" s="12" t="s">
        <v>75</v>
      </c>
      <c r="U13" s="9" t="s">
        <v>76</v>
      </c>
      <c r="V13" s="10" t="s">
        <v>75</v>
      </c>
      <c r="W13" s="13" t="s">
        <v>75</v>
      </c>
      <c r="X13" s="14" t="s">
        <v>62</v>
      </c>
      <c r="Y13" s="14" t="s">
        <v>75</v>
      </c>
      <c r="Z13" s="14" t="s">
        <v>77</v>
      </c>
      <c r="AA13" s="13" t="s">
        <v>84</v>
      </c>
      <c r="AB13" s="13">
        <v>44167</v>
      </c>
      <c r="AC13" s="14" t="s">
        <v>78</v>
      </c>
      <c r="AD13" s="13">
        <v>44172</v>
      </c>
      <c r="AE13" s="13">
        <v>44176</v>
      </c>
      <c r="AF13" s="14" t="s">
        <v>108</v>
      </c>
      <c r="AG13" s="14"/>
      <c r="AH13" s="14" t="s">
        <v>78</v>
      </c>
      <c r="AI13" s="14" t="s">
        <v>79</v>
      </c>
      <c r="AJ13" s="14" t="s">
        <v>80</v>
      </c>
      <c r="AK13" s="14" t="s">
        <v>81</v>
      </c>
      <c r="AL13" s="14" t="s">
        <v>82</v>
      </c>
      <c r="AM13" s="14" t="s">
        <v>81</v>
      </c>
      <c r="AN13" s="13" t="e">
        <f>#REF!</f>
        <v>#REF!</v>
      </c>
      <c r="AO13" s="13" t="e">
        <f>#REF!</f>
        <v>#REF!</v>
      </c>
      <c r="AP13" s="13">
        <v>44188</v>
      </c>
      <c r="AQ13" s="14" t="s">
        <v>10</v>
      </c>
      <c r="AR13" s="14" t="s">
        <v>2</v>
      </c>
      <c r="AS13" s="14">
        <v>4</v>
      </c>
      <c r="AT13" s="14"/>
      <c r="AU13" s="15" t="s">
        <v>83</v>
      </c>
    </row>
    <row r="14" spans="1:47" ht="42.75">
      <c r="A14" s="9" t="s">
        <v>334</v>
      </c>
      <c r="B14" s="9"/>
      <c r="C14" s="9" t="s">
        <v>62</v>
      </c>
      <c r="D14" s="9" t="s">
        <v>63</v>
      </c>
      <c r="E14" s="10" t="s">
        <v>335</v>
      </c>
      <c r="F14" s="10" t="s">
        <v>743</v>
      </c>
      <c r="G14" s="10" t="s">
        <v>744</v>
      </c>
      <c r="H14" s="12" t="s">
        <v>745</v>
      </c>
      <c r="I14" s="11" t="s">
        <v>746</v>
      </c>
      <c r="J14" s="9" t="s">
        <v>224</v>
      </c>
      <c r="K14" s="12" t="s">
        <v>70</v>
      </c>
      <c r="L14" s="10" t="s">
        <v>178</v>
      </c>
      <c r="M14" s="11" t="s">
        <v>107</v>
      </c>
      <c r="N14" s="12">
        <v>44166</v>
      </c>
      <c r="O14" s="12" t="s">
        <v>72</v>
      </c>
      <c r="P14" s="10" t="s">
        <v>73</v>
      </c>
      <c r="Q14" s="12">
        <v>44074</v>
      </c>
      <c r="R14" s="12" t="s">
        <v>74</v>
      </c>
      <c r="S14" s="12" t="s">
        <v>75</v>
      </c>
      <c r="T14" s="11" t="s">
        <v>71</v>
      </c>
      <c r="U14" s="9" t="s">
        <v>71</v>
      </c>
      <c r="V14" s="9" t="s">
        <v>71</v>
      </c>
      <c r="W14" s="13">
        <v>44158</v>
      </c>
      <c r="X14" s="14" t="s">
        <v>62</v>
      </c>
      <c r="Y14" s="14" t="s">
        <v>75</v>
      </c>
      <c r="Z14" s="14" t="s">
        <v>77</v>
      </c>
      <c r="AA14" s="13" t="s">
        <v>84</v>
      </c>
      <c r="AB14" s="13">
        <v>44167</v>
      </c>
      <c r="AC14" s="14" t="s">
        <v>78</v>
      </c>
      <c r="AD14" s="13">
        <v>44172</v>
      </c>
      <c r="AE14" s="13">
        <v>44176</v>
      </c>
      <c r="AF14" s="14" t="s">
        <v>108</v>
      </c>
      <c r="AG14" s="14" t="s">
        <v>336</v>
      </c>
      <c r="AH14" s="14" t="s">
        <v>75</v>
      </c>
      <c r="AI14" s="14" t="s">
        <v>79</v>
      </c>
      <c r="AJ14" s="14" t="s">
        <v>80</v>
      </c>
      <c r="AK14" s="14" t="s">
        <v>82</v>
      </c>
      <c r="AL14" s="14" t="s">
        <v>82</v>
      </c>
      <c r="AM14" s="14" t="s">
        <v>81</v>
      </c>
      <c r="AN14" s="13" t="e">
        <f>#REF!</f>
        <v>#REF!</v>
      </c>
      <c r="AO14" s="13" t="e">
        <f>#REF!</f>
        <v>#REF!</v>
      </c>
      <c r="AP14" s="13">
        <v>44167</v>
      </c>
      <c r="AQ14" s="14" t="s">
        <v>10</v>
      </c>
      <c r="AR14" s="14" t="s">
        <v>1</v>
      </c>
      <c r="AS14" s="14">
        <v>15</v>
      </c>
      <c r="AT14" s="14" t="s">
        <v>337</v>
      </c>
      <c r="AU14" s="15" t="s">
        <v>338</v>
      </c>
    </row>
    <row r="15" spans="1:47" ht="57">
      <c r="A15" s="9" t="s">
        <v>347</v>
      </c>
      <c r="B15" s="9"/>
      <c r="C15" s="9" t="s">
        <v>62</v>
      </c>
      <c r="D15" s="9" t="s">
        <v>63</v>
      </c>
      <c r="E15" s="10"/>
      <c r="F15" s="10" t="s">
        <v>344</v>
      </c>
      <c r="G15" s="10" t="s">
        <v>348</v>
      </c>
      <c r="H15" s="12" t="s">
        <v>349</v>
      </c>
      <c r="I15" s="11" t="s">
        <v>747</v>
      </c>
      <c r="J15" s="9" t="s">
        <v>71</v>
      </c>
      <c r="K15" s="12" t="s">
        <v>70</v>
      </c>
      <c r="L15" s="10" t="s">
        <v>748</v>
      </c>
      <c r="M15" s="11" t="s">
        <v>107</v>
      </c>
      <c r="N15" s="12">
        <v>44166</v>
      </c>
      <c r="O15" s="12" t="s">
        <v>72</v>
      </c>
      <c r="P15" s="10" t="s">
        <v>73</v>
      </c>
      <c r="Q15" s="12">
        <v>44074</v>
      </c>
      <c r="R15" s="12" t="s">
        <v>74</v>
      </c>
      <c r="S15" s="12" t="s">
        <v>75</v>
      </c>
      <c r="T15" s="11" t="s">
        <v>71</v>
      </c>
      <c r="U15" s="9" t="s">
        <v>71</v>
      </c>
      <c r="V15" s="9" t="s">
        <v>71</v>
      </c>
      <c r="W15" s="13">
        <v>44158</v>
      </c>
      <c r="X15" s="14" t="s">
        <v>62</v>
      </c>
      <c r="Y15" s="14" t="s">
        <v>75</v>
      </c>
      <c r="Z15" s="14" t="s">
        <v>77</v>
      </c>
      <c r="AA15" s="13" t="s">
        <v>84</v>
      </c>
      <c r="AB15" s="13">
        <v>44167</v>
      </c>
      <c r="AC15" s="14" t="s">
        <v>78</v>
      </c>
      <c r="AD15" s="13">
        <v>44172</v>
      </c>
      <c r="AE15" s="13">
        <v>44176</v>
      </c>
      <c r="AF15" s="14" t="s">
        <v>108</v>
      </c>
      <c r="AG15" s="14" t="s">
        <v>350</v>
      </c>
      <c r="AH15" s="14" t="s">
        <v>75</v>
      </c>
      <c r="AI15" s="14" t="s">
        <v>79</v>
      </c>
      <c r="AJ15" s="14" t="s">
        <v>80</v>
      </c>
      <c r="AK15" s="14" t="s">
        <v>82</v>
      </c>
      <c r="AL15" s="14" t="s">
        <v>82</v>
      </c>
      <c r="AM15" s="14" t="s">
        <v>81</v>
      </c>
      <c r="AN15" s="13" t="e">
        <f>#REF!</f>
        <v>#REF!</v>
      </c>
      <c r="AO15" s="13" t="e">
        <f>#REF!</f>
        <v>#REF!</v>
      </c>
      <c r="AP15" s="13">
        <v>44167</v>
      </c>
      <c r="AQ15" s="14" t="s">
        <v>10</v>
      </c>
      <c r="AR15" s="14" t="s">
        <v>1</v>
      </c>
      <c r="AS15" s="14">
        <v>5</v>
      </c>
      <c r="AT15" s="14" t="s">
        <v>351</v>
      </c>
      <c r="AU15" s="15" t="s">
        <v>352</v>
      </c>
    </row>
    <row r="16" spans="1:47" ht="28.5">
      <c r="A16" s="9" t="s">
        <v>363</v>
      </c>
      <c r="B16" s="9"/>
      <c r="C16" s="9" t="s">
        <v>62</v>
      </c>
      <c r="D16" s="9" t="s">
        <v>63</v>
      </c>
      <c r="E16" s="10"/>
      <c r="F16" s="10" t="s">
        <v>344</v>
      </c>
      <c r="G16" s="10" t="s">
        <v>348</v>
      </c>
      <c r="H16" s="12" t="s">
        <v>364</v>
      </c>
      <c r="I16" s="11"/>
      <c r="J16" s="12" t="s">
        <v>71</v>
      </c>
      <c r="K16" s="12" t="s">
        <v>70</v>
      </c>
      <c r="L16" s="10" t="s">
        <v>71</v>
      </c>
      <c r="M16" s="11" t="s">
        <v>71</v>
      </c>
      <c r="N16" s="12">
        <v>44166</v>
      </c>
      <c r="O16" s="12" t="s">
        <v>72</v>
      </c>
      <c r="P16" s="10" t="s">
        <v>73</v>
      </c>
      <c r="Q16" s="12">
        <v>44074</v>
      </c>
      <c r="R16" s="12" t="s">
        <v>74</v>
      </c>
      <c r="S16" s="12" t="s">
        <v>75</v>
      </c>
      <c r="T16" s="11" t="s">
        <v>71</v>
      </c>
      <c r="U16" s="9" t="s">
        <v>71</v>
      </c>
      <c r="V16" s="9" t="s">
        <v>71</v>
      </c>
      <c r="W16" s="13">
        <v>44158</v>
      </c>
      <c r="X16" s="14" t="s">
        <v>62</v>
      </c>
      <c r="Y16" s="14" t="s">
        <v>75</v>
      </c>
      <c r="Z16" s="14" t="s">
        <v>77</v>
      </c>
      <c r="AA16" s="13" t="s">
        <v>84</v>
      </c>
      <c r="AB16" s="13">
        <v>44167</v>
      </c>
      <c r="AC16" s="14" t="s">
        <v>78</v>
      </c>
      <c r="AD16" s="13">
        <v>44172</v>
      </c>
      <c r="AE16" s="13">
        <v>44176</v>
      </c>
      <c r="AF16" s="14" t="s">
        <v>108</v>
      </c>
      <c r="AG16" s="14" t="s">
        <v>71</v>
      </c>
      <c r="AH16" s="14" t="s">
        <v>75</v>
      </c>
      <c r="AI16" s="14" t="s">
        <v>79</v>
      </c>
      <c r="AJ16" s="14" t="s">
        <v>80</v>
      </c>
      <c r="AK16" s="14" t="s">
        <v>82</v>
      </c>
      <c r="AL16" s="14" t="s">
        <v>82</v>
      </c>
      <c r="AM16" s="14" t="s">
        <v>81</v>
      </c>
      <c r="AN16" s="13" t="e">
        <f>#REF!</f>
        <v>#REF!</v>
      </c>
      <c r="AO16" s="13" t="e">
        <f>#REF!</f>
        <v>#REF!</v>
      </c>
      <c r="AP16" s="13">
        <v>44167</v>
      </c>
      <c r="AQ16" s="14" t="s">
        <v>10</v>
      </c>
      <c r="AR16" s="14" t="s">
        <v>2</v>
      </c>
      <c r="AS16" s="14">
        <v>10</v>
      </c>
      <c r="AT16" s="14" t="s">
        <v>365</v>
      </c>
      <c r="AU16" s="15" t="s">
        <v>352</v>
      </c>
    </row>
    <row r="17" spans="1:47" ht="42.75">
      <c r="A17" s="9" t="s">
        <v>418</v>
      </c>
      <c r="B17" s="9"/>
      <c r="C17" s="9" t="s">
        <v>62</v>
      </c>
      <c r="D17" s="9" t="s">
        <v>63</v>
      </c>
      <c r="E17" s="10"/>
      <c r="F17" s="10" t="s">
        <v>129</v>
      </c>
      <c r="G17" s="10" t="s">
        <v>261</v>
      </c>
      <c r="H17" s="12" t="s">
        <v>419</v>
      </c>
      <c r="I17" s="11" t="s">
        <v>420</v>
      </c>
      <c r="J17" s="12" t="s">
        <v>224</v>
      </c>
      <c r="K17" s="12" t="s">
        <v>70</v>
      </c>
      <c r="L17" s="11" t="s">
        <v>178</v>
      </c>
      <c r="M17" s="11" t="s">
        <v>107</v>
      </c>
      <c r="N17" s="12">
        <v>44166</v>
      </c>
      <c r="O17" s="12" t="s">
        <v>72</v>
      </c>
      <c r="P17" s="10" t="s">
        <v>73</v>
      </c>
      <c r="Q17" s="12">
        <v>44074</v>
      </c>
      <c r="R17" s="12" t="s">
        <v>74</v>
      </c>
      <c r="S17" s="12" t="s">
        <v>75</v>
      </c>
      <c r="T17" s="12" t="s">
        <v>71</v>
      </c>
      <c r="U17" s="9" t="s">
        <v>71</v>
      </c>
      <c r="V17" s="9" t="s">
        <v>71</v>
      </c>
      <c r="W17" s="13">
        <v>44158</v>
      </c>
      <c r="X17" s="14" t="s">
        <v>62</v>
      </c>
      <c r="Y17" s="14" t="s">
        <v>75</v>
      </c>
      <c r="Z17" s="14" t="s">
        <v>77</v>
      </c>
      <c r="AA17" s="13" t="s">
        <v>84</v>
      </c>
      <c r="AB17" s="13">
        <v>44167</v>
      </c>
      <c r="AC17" s="14" t="s">
        <v>78</v>
      </c>
      <c r="AD17" s="13">
        <v>44172</v>
      </c>
      <c r="AE17" s="13">
        <v>44176</v>
      </c>
      <c r="AF17" s="14" t="s">
        <v>108</v>
      </c>
      <c r="AG17" s="14" t="s">
        <v>421</v>
      </c>
      <c r="AH17" s="14" t="s">
        <v>75</v>
      </c>
      <c r="AI17" s="14" t="s">
        <v>79</v>
      </c>
      <c r="AJ17" s="14" t="s">
        <v>80</v>
      </c>
      <c r="AK17" s="14" t="s">
        <v>88</v>
      </c>
      <c r="AL17" s="14" t="s">
        <v>8</v>
      </c>
      <c r="AM17" s="14" t="s">
        <v>81</v>
      </c>
      <c r="AN17" s="13" t="e">
        <f>#REF!</f>
        <v>#REF!</v>
      </c>
      <c r="AO17" s="13" t="e">
        <f>#REF!</f>
        <v>#REF!</v>
      </c>
      <c r="AP17" s="13">
        <v>44167</v>
      </c>
      <c r="AQ17" s="14" t="s">
        <v>10</v>
      </c>
      <c r="AR17" s="14" t="s">
        <v>2</v>
      </c>
      <c r="AS17" s="14">
        <v>6</v>
      </c>
      <c r="AT17" s="14"/>
      <c r="AU17" s="15" t="s">
        <v>422</v>
      </c>
    </row>
    <row r="18" spans="1:47" ht="57">
      <c r="A18" s="9" t="s">
        <v>489</v>
      </c>
      <c r="B18" s="9"/>
      <c r="C18" s="9" t="s">
        <v>62</v>
      </c>
      <c r="D18" s="9" t="s">
        <v>63</v>
      </c>
      <c r="E18" s="10"/>
      <c r="F18" s="10" t="s">
        <v>184</v>
      </c>
      <c r="G18" s="10" t="s">
        <v>486</v>
      </c>
      <c r="H18" s="12" t="s">
        <v>490</v>
      </c>
      <c r="I18" s="11" t="s">
        <v>491</v>
      </c>
      <c r="J18" s="12" t="s">
        <v>224</v>
      </c>
      <c r="K18" s="12" t="s">
        <v>70</v>
      </c>
      <c r="L18" s="10" t="s">
        <v>178</v>
      </c>
      <c r="M18" s="11" t="s">
        <v>107</v>
      </c>
      <c r="N18" s="12">
        <v>44166</v>
      </c>
      <c r="O18" s="12" t="s">
        <v>72</v>
      </c>
      <c r="P18" s="9" t="s">
        <v>73</v>
      </c>
      <c r="Q18" s="12">
        <v>44074</v>
      </c>
      <c r="R18" s="12" t="s">
        <v>74</v>
      </c>
      <c r="S18" s="12" t="s">
        <v>75</v>
      </c>
      <c r="T18" s="12" t="s">
        <v>71</v>
      </c>
      <c r="U18" s="9" t="s">
        <v>71</v>
      </c>
      <c r="V18" s="9" t="s">
        <v>71</v>
      </c>
      <c r="W18" s="13">
        <v>44158</v>
      </c>
      <c r="X18" s="14" t="s">
        <v>62</v>
      </c>
      <c r="Y18" s="14" t="s">
        <v>75</v>
      </c>
      <c r="Z18" s="14" t="s">
        <v>77</v>
      </c>
      <c r="AA18" s="13" t="s">
        <v>84</v>
      </c>
      <c r="AB18" s="13">
        <v>44167</v>
      </c>
      <c r="AC18" s="14" t="s">
        <v>78</v>
      </c>
      <c r="AD18" s="13">
        <v>44172</v>
      </c>
      <c r="AE18" s="13">
        <v>44176</v>
      </c>
      <c r="AF18" s="14" t="s">
        <v>108</v>
      </c>
      <c r="AG18" s="14" t="s">
        <v>492</v>
      </c>
      <c r="AH18" s="14" t="s">
        <v>75</v>
      </c>
      <c r="AI18" s="14" t="s">
        <v>79</v>
      </c>
      <c r="AJ18" s="14" t="s">
        <v>80</v>
      </c>
      <c r="AK18" s="14" t="s">
        <v>333</v>
      </c>
      <c r="AL18" s="14" t="s">
        <v>88</v>
      </c>
      <c r="AM18" s="14" t="s">
        <v>81</v>
      </c>
      <c r="AN18" s="13" t="e">
        <f>#REF!</f>
        <v>#REF!</v>
      </c>
      <c r="AO18" s="13" t="e">
        <f>#REF!</f>
        <v>#REF!</v>
      </c>
      <c r="AP18" s="13">
        <v>44167</v>
      </c>
      <c r="AQ18" s="14" t="s">
        <v>10</v>
      </c>
      <c r="AR18" s="14" t="s">
        <v>2</v>
      </c>
      <c r="AS18" s="14">
        <v>12</v>
      </c>
      <c r="AT18" s="14"/>
      <c r="AU18" s="15" t="s">
        <v>493</v>
      </c>
    </row>
    <row r="19" spans="1:47" ht="71.25">
      <c r="A19" s="10" t="s">
        <v>668</v>
      </c>
      <c r="B19" s="10"/>
      <c r="C19" s="10" t="s">
        <v>62</v>
      </c>
      <c r="D19" s="10" t="s">
        <v>63</v>
      </c>
      <c r="E19" s="10"/>
      <c r="F19" s="10" t="s">
        <v>231</v>
      </c>
      <c r="G19" s="10" t="s">
        <v>231</v>
      </c>
      <c r="H19" s="11" t="s">
        <v>669</v>
      </c>
      <c r="I19" s="11" t="s">
        <v>670</v>
      </c>
      <c r="J19" s="18" t="s">
        <v>224</v>
      </c>
      <c r="K19" s="12" t="s">
        <v>70</v>
      </c>
      <c r="L19" s="11" t="s">
        <v>178</v>
      </c>
      <c r="M19" s="11" t="s">
        <v>107</v>
      </c>
      <c r="N19" s="12">
        <v>44166</v>
      </c>
      <c r="O19" s="12" t="s">
        <v>72</v>
      </c>
      <c r="P19" s="9" t="s">
        <v>73</v>
      </c>
      <c r="Q19" s="12">
        <v>44074</v>
      </c>
      <c r="R19" s="12" t="s">
        <v>74</v>
      </c>
      <c r="S19" s="12" t="s">
        <v>75</v>
      </c>
      <c r="T19" s="12" t="s">
        <v>71</v>
      </c>
      <c r="U19" s="9" t="s">
        <v>71</v>
      </c>
      <c r="V19" s="9" t="s">
        <v>71</v>
      </c>
      <c r="W19" s="13">
        <v>44158</v>
      </c>
      <c r="X19" s="14" t="s">
        <v>62</v>
      </c>
      <c r="Y19" s="14" t="s">
        <v>75</v>
      </c>
      <c r="Z19" s="14" t="s">
        <v>77</v>
      </c>
      <c r="AA19" s="13" t="s">
        <v>84</v>
      </c>
      <c r="AB19" s="13">
        <v>44167</v>
      </c>
      <c r="AC19" s="14" t="s">
        <v>78</v>
      </c>
      <c r="AD19" s="13">
        <v>44172</v>
      </c>
      <c r="AE19" s="13">
        <v>44176</v>
      </c>
      <c r="AF19" s="14" t="s">
        <v>108</v>
      </c>
      <c r="AG19" s="14" t="s">
        <v>671</v>
      </c>
      <c r="AH19" s="14" t="s">
        <v>75</v>
      </c>
      <c r="AI19" s="14" t="s">
        <v>79</v>
      </c>
      <c r="AJ19" s="14" t="s">
        <v>80</v>
      </c>
      <c r="AK19" s="14" t="s">
        <v>7</v>
      </c>
      <c r="AL19" s="14" t="s">
        <v>82</v>
      </c>
      <c r="AM19" s="14" t="s">
        <v>81</v>
      </c>
      <c r="AN19" s="13" t="e">
        <f>#REF!</f>
        <v>#REF!</v>
      </c>
      <c r="AO19" s="13" t="e">
        <f>#REF!</f>
        <v>#REF!</v>
      </c>
      <c r="AP19" s="13">
        <v>44167</v>
      </c>
      <c r="AQ19" s="14" t="s">
        <v>10</v>
      </c>
      <c r="AR19" s="14" t="s">
        <v>1</v>
      </c>
      <c r="AS19" s="14">
        <v>4</v>
      </c>
      <c r="AT19" s="14"/>
      <c r="AU19" s="15" t="s">
        <v>672</v>
      </c>
    </row>
    <row r="20" spans="1:47" ht="28.5">
      <c r="A20" s="10" t="s">
        <v>673</v>
      </c>
      <c r="B20" s="10"/>
      <c r="C20" s="10" t="s">
        <v>62</v>
      </c>
      <c r="D20" s="10" t="s">
        <v>63</v>
      </c>
      <c r="E20" s="10"/>
      <c r="F20" s="10" t="s">
        <v>231</v>
      </c>
      <c r="G20" s="10" t="s">
        <v>231</v>
      </c>
      <c r="H20" s="11" t="s">
        <v>674</v>
      </c>
      <c r="I20" s="11" t="s">
        <v>675</v>
      </c>
      <c r="J20" s="18" t="s">
        <v>224</v>
      </c>
      <c r="K20" s="12" t="s">
        <v>70</v>
      </c>
      <c r="L20" s="11" t="s">
        <v>178</v>
      </c>
      <c r="M20" s="11" t="s">
        <v>107</v>
      </c>
      <c r="N20" s="12">
        <v>44166</v>
      </c>
      <c r="O20" s="12" t="s">
        <v>72</v>
      </c>
      <c r="P20" s="9" t="s">
        <v>73</v>
      </c>
      <c r="Q20" s="12">
        <v>44074</v>
      </c>
      <c r="R20" s="12" t="s">
        <v>74</v>
      </c>
      <c r="S20" s="12" t="s">
        <v>75</v>
      </c>
      <c r="T20" s="12" t="s">
        <v>71</v>
      </c>
      <c r="U20" s="9" t="s">
        <v>71</v>
      </c>
      <c r="V20" s="9" t="s">
        <v>71</v>
      </c>
      <c r="W20" s="13">
        <v>44158</v>
      </c>
      <c r="X20" s="14" t="s">
        <v>62</v>
      </c>
      <c r="Y20" s="14" t="s">
        <v>75</v>
      </c>
      <c r="Z20" s="14" t="s">
        <v>77</v>
      </c>
      <c r="AA20" s="13" t="s">
        <v>84</v>
      </c>
      <c r="AB20" s="13">
        <v>44167</v>
      </c>
      <c r="AC20" s="14" t="s">
        <v>78</v>
      </c>
      <c r="AD20" s="13">
        <v>44172</v>
      </c>
      <c r="AE20" s="13">
        <v>44176</v>
      </c>
      <c r="AF20" s="14" t="s">
        <v>108</v>
      </c>
      <c r="AG20" s="14" t="s">
        <v>676</v>
      </c>
      <c r="AH20" s="14" t="s">
        <v>75</v>
      </c>
      <c r="AI20" s="14" t="s">
        <v>79</v>
      </c>
      <c r="AJ20" s="14" t="s">
        <v>80</v>
      </c>
      <c r="AK20" s="14" t="s">
        <v>7</v>
      </c>
      <c r="AL20" s="14" t="s">
        <v>82</v>
      </c>
      <c r="AM20" s="14" t="s">
        <v>81</v>
      </c>
      <c r="AN20" s="13" t="e">
        <f>#REF!</f>
        <v>#REF!</v>
      </c>
      <c r="AO20" s="13" t="e">
        <f>#REF!</f>
        <v>#REF!</v>
      </c>
      <c r="AP20" s="13">
        <v>44167</v>
      </c>
      <c r="AQ20" s="14" t="s">
        <v>10</v>
      </c>
      <c r="AR20" s="14" t="s">
        <v>1</v>
      </c>
      <c r="AS20" s="14">
        <v>4</v>
      </c>
      <c r="AT20" s="14"/>
      <c r="AU20" s="15" t="s">
        <v>677</v>
      </c>
    </row>
    <row r="21" spans="1:47" ht="57">
      <c r="A21" s="9" t="s">
        <v>182</v>
      </c>
      <c r="B21" s="9"/>
      <c r="C21" s="9"/>
      <c r="D21" s="10" t="s">
        <v>183</v>
      </c>
      <c r="E21" s="10"/>
      <c r="F21" s="10" t="s">
        <v>184</v>
      </c>
      <c r="G21" s="10" t="s">
        <v>226</v>
      </c>
      <c r="H21" s="12" t="s">
        <v>186</v>
      </c>
      <c r="I21" s="11" t="s">
        <v>187</v>
      </c>
      <c r="J21" s="12" t="s">
        <v>71</v>
      </c>
      <c r="K21" s="12" t="s">
        <v>229</v>
      </c>
      <c r="L21" s="11" t="s">
        <v>178</v>
      </c>
      <c r="M21" s="11" t="s">
        <v>78</v>
      </c>
      <c r="N21" s="12">
        <v>44169</v>
      </c>
      <c r="O21" s="12" t="s">
        <v>152</v>
      </c>
      <c r="P21" s="10" t="s">
        <v>78</v>
      </c>
      <c r="Q21" s="12">
        <v>44169</v>
      </c>
      <c r="R21" s="12" t="s">
        <v>74</v>
      </c>
      <c r="S21" s="12" t="s">
        <v>78</v>
      </c>
      <c r="T21" s="12">
        <v>44169</v>
      </c>
      <c r="U21" s="9" t="s">
        <v>188</v>
      </c>
      <c r="V21" s="9" t="s">
        <v>78</v>
      </c>
      <c r="W21" s="13">
        <v>44169</v>
      </c>
      <c r="X21" s="14" t="s">
        <v>189</v>
      </c>
      <c r="Y21" s="14" t="s">
        <v>73</v>
      </c>
      <c r="Z21" s="14" t="s">
        <v>134</v>
      </c>
      <c r="AA21" s="13">
        <v>44169</v>
      </c>
      <c r="AB21" s="13">
        <v>44176</v>
      </c>
      <c r="AC21" s="14" t="s">
        <v>78</v>
      </c>
      <c r="AD21" s="13">
        <v>44176</v>
      </c>
      <c r="AE21" s="13">
        <v>44183</v>
      </c>
      <c r="AF21" s="14" t="s">
        <v>108</v>
      </c>
      <c r="AG21" s="14"/>
      <c r="AH21" s="14" t="s">
        <v>78</v>
      </c>
      <c r="AI21" s="14" t="s">
        <v>190</v>
      </c>
      <c r="AJ21" s="14" t="s">
        <v>6</v>
      </c>
      <c r="AK21" s="14" t="s">
        <v>8</v>
      </c>
      <c r="AL21" s="14" t="s">
        <v>7</v>
      </c>
      <c r="AM21" s="14" t="s">
        <v>139</v>
      </c>
      <c r="AN21" s="13" t="e">
        <f>#REF!</f>
        <v>#REF!</v>
      </c>
      <c r="AO21" s="13" t="e">
        <f>#REF!</f>
        <v>#REF!</v>
      </c>
      <c r="AP21" s="13">
        <v>44202</v>
      </c>
      <c r="AQ21" s="14" t="s">
        <v>6</v>
      </c>
      <c r="AR21" s="14" t="s">
        <v>3</v>
      </c>
      <c r="AS21" s="14">
        <v>150</v>
      </c>
      <c r="AT21" s="14"/>
      <c r="AU21" s="15"/>
    </row>
    <row r="22" spans="1:47" ht="85.5">
      <c r="A22" s="9" t="s">
        <v>302</v>
      </c>
      <c r="B22" s="9"/>
      <c r="C22" s="9" t="s">
        <v>62</v>
      </c>
      <c r="D22" s="9" t="s">
        <v>63</v>
      </c>
      <c r="E22" s="10" t="s">
        <v>64</v>
      </c>
      <c r="F22" s="10" t="s">
        <v>65</v>
      </c>
      <c r="G22" s="10" t="s">
        <v>303</v>
      </c>
      <c r="H22" s="11" t="s">
        <v>303</v>
      </c>
      <c r="I22" s="11" t="s">
        <v>304</v>
      </c>
      <c r="J22" s="12" t="s">
        <v>69</v>
      </c>
      <c r="K22" s="12" t="s">
        <v>70</v>
      </c>
      <c r="L22" s="10" t="s">
        <v>71</v>
      </c>
      <c r="M22" s="11" t="s">
        <v>71</v>
      </c>
      <c r="N22" s="12">
        <v>44167</v>
      </c>
      <c r="O22" s="12" t="s">
        <v>152</v>
      </c>
      <c r="P22" s="10" t="s">
        <v>107</v>
      </c>
      <c r="Q22" s="12">
        <v>44167</v>
      </c>
      <c r="R22" s="12" t="s">
        <v>74</v>
      </c>
      <c r="S22" s="12" t="s">
        <v>107</v>
      </c>
      <c r="T22" s="12">
        <v>44169</v>
      </c>
      <c r="U22" s="9" t="s">
        <v>71</v>
      </c>
      <c r="V22" s="9" t="s">
        <v>71</v>
      </c>
      <c r="W22" s="13">
        <v>44176</v>
      </c>
      <c r="X22" s="14" t="s">
        <v>62</v>
      </c>
      <c r="Y22" s="14" t="s">
        <v>73</v>
      </c>
      <c r="Z22" s="14" t="s">
        <v>77</v>
      </c>
      <c r="AA22" s="13">
        <v>44156</v>
      </c>
      <c r="AB22" s="13">
        <v>44176</v>
      </c>
      <c r="AC22" s="14" t="s">
        <v>78</v>
      </c>
      <c r="AD22" s="13">
        <v>44176</v>
      </c>
      <c r="AE22" s="13">
        <v>44183</v>
      </c>
      <c r="AF22" s="14" t="s">
        <v>108</v>
      </c>
      <c r="AG22" s="14"/>
      <c r="AH22" s="14" t="s">
        <v>78</v>
      </c>
      <c r="AI22" s="14" t="s">
        <v>79</v>
      </c>
      <c r="AJ22" s="14" t="s">
        <v>80</v>
      </c>
      <c r="AK22" s="14" t="s">
        <v>139</v>
      </c>
      <c r="AL22" s="14" t="s">
        <v>88</v>
      </c>
      <c r="AM22" s="14" t="s">
        <v>139</v>
      </c>
      <c r="AN22" s="13" t="e">
        <f>#REF!</f>
        <v>#REF!</v>
      </c>
      <c r="AO22" s="13" t="e">
        <f>#REF!</f>
        <v>#REF!</v>
      </c>
      <c r="AP22" s="13">
        <v>44202</v>
      </c>
      <c r="AQ22" s="14" t="s">
        <v>10</v>
      </c>
      <c r="AR22" s="14" t="s">
        <v>1</v>
      </c>
      <c r="AS22" s="14">
        <v>3</v>
      </c>
      <c r="AT22" s="14"/>
      <c r="AU22" s="15"/>
    </row>
    <row r="23" spans="1:47">
      <c r="A23" s="9" t="s">
        <v>305</v>
      </c>
      <c r="B23" s="9"/>
      <c r="C23" s="9" t="s">
        <v>62</v>
      </c>
      <c r="D23" s="9" t="s">
        <v>63</v>
      </c>
      <c r="E23" s="10" t="s">
        <v>64</v>
      </c>
      <c r="F23" s="10" t="s">
        <v>65</v>
      </c>
      <c r="G23" s="10" t="s">
        <v>303</v>
      </c>
      <c r="H23" s="11" t="s">
        <v>303</v>
      </c>
      <c r="I23" s="11" t="s">
        <v>306</v>
      </c>
      <c r="J23" s="12" t="s">
        <v>69</v>
      </c>
      <c r="K23" s="12" t="s">
        <v>70</v>
      </c>
      <c r="L23" s="10" t="s">
        <v>71</v>
      </c>
      <c r="M23" s="11" t="s">
        <v>71</v>
      </c>
      <c r="N23" s="12">
        <v>44167</v>
      </c>
      <c r="O23" s="12" t="s">
        <v>152</v>
      </c>
      <c r="P23" s="10" t="s">
        <v>107</v>
      </c>
      <c r="Q23" s="12">
        <v>44167</v>
      </c>
      <c r="R23" s="12" t="s">
        <v>74</v>
      </c>
      <c r="S23" s="12" t="s">
        <v>107</v>
      </c>
      <c r="T23" s="12">
        <v>44169</v>
      </c>
      <c r="U23" s="9" t="s">
        <v>71</v>
      </c>
      <c r="V23" s="9" t="s">
        <v>71</v>
      </c>
      <c r="W23" s="13">
        <v>44176</v>
      </c>
      <c r="X23" s="14" t="s">
        <v>62</v>
      </c>
      <c r="Y23" s="14" t="s">
        <v>73</v>
      </c>
      <c r="Z23" s="14" t="s">
        <v>77</v>
      </c>
      <c r="AA23" s="13">
        <v>44156</v>
      </c>
      <c r="AB23" s="13">
        <v>44176</v>
      </c>
      <c r="AC23" s="14" t="s">
        <v>78</v>
      </c>
      <c r="AD23" s="13">
        <v>44176</v>
      </c>
      <c r="AE23" s="13">
        <v>44183</v>
      </c>
      <c r="AF23" s="14" t="s">
        <v>108</v>
      </c>
      <c r="AG23" s="14"/>
      <c r="AH23" s="14" t="s">
        <v>78</v>
      </c>
      <c r="AI23" s="14" t="s">
        <v>79</v>
      </c>
      <c r="AJ23" s="14" t="s">
        <v>80</v>
      </c>
      <c r="AK23" s="14" t="s">
        <v>139</v>
      </c>
      <c r="AL23" s="14" t="s">
        <v>88</v>
      </c>
      <c r="AM23" s="14" t="s">
        <v>139</v>
      </c>
      <c r="AN23" s="13" t="e">
        <f>#REF!</f>
        <v>#REF!</v>
      </c>
      <c r="AO23" s="13" t="e">
        <f>#REF!</f>
        <v>#REF!</v>
      </c>
      <c r="AP23" s="13">
        <v>44202</v>
      </c>
      <c r="AQ23" s="14" t="s">
        <v>10</v>
      </c>
      <c r="AR23" s="14" t="s">
        <v>1</v>
      </c>
      <c r="AS23" s="14">
        <v>3</v>
      </c>
      <c r="AT23" s="14"/>
      <c r="AU23" s="15"/>
    </row>
    <row r="24" spans="1:47">
      <c r="A24" s="9" t="s">
        <v>307</v>
      </c>
      <c r="B24" s="9"/>
      <c r="C24" s="9" t="s">
        <v>62</v>
      </c>
      <c r="D24" s="9" t="s">
        <v>63</v>
      </c>
      <c r="E24" s="10" t="s">
        <v>64</v>
      </c>
      <c r="F24" s="10" t="s">
        <v>65</v>
      </c>
      <c r="G24" s="10" t="s">
        <v>303</v>
      </c>
      <c r="H24" s="11" t="s">
        <v>303</v>
      </c>
      <c r="I24" s="11" t="s">
        <v>97</v>
      </c>
      <c r="J24" s="12" t="s">
        <v>69</v>
      </c>
      <c r="K24" s="12" t="s">
        <v>70</v>
      </c>
      <c r="L24" s="10" t="s">
        <v>71</v>
      </c>
      <c r="M24" s="11" t="s">
        <v>71</v>
      </c>
      <c r="N24" s="12">
        <v>44167</v>
      </c>
      <c r="O24" s="12" t="s">
        <v>152</v>
      </c>
      <c r="P24" s="10" t="s">
        <v>107</v>
      </c>
      <c r="Q24" s="12">
        <v>44167</v>
      </c>
      <c r="R24" s="12" t="s">
        <v>74</v>
      </c>
      <c r="S24" s="12" t="s">
        <v>107</v>
      </c>
      <c r="T24" s="12">
        <v>44169</v>
      </c>
      <c r="U24" s="9" t="s">
        <v>71</v>
      </c>
      <c r="V24" s="9" t="s">
        <v>71</v>
      </c>
      <c r="W24" s="13">
        <v>44176</v>
      </c>
      <c r="X24" s="14" t="s">
        <v>62</v>
      </c>
      <c r="Y24" s="14" t="s">
        <v>73</v>
      </c>
      <c r="Z24" s="14" t="s">
        <v>77</v>
      </c>
      <c r="AA24" s="13">
        <v>44156</v>
      </c>
      <c r="AB24" s="13">
        <v>44176</v>
      </c>
      <c r="AC24" s="14" t="s">
        <v>78</v>
      </c>
      <c r="AD24" s="13">
        <v>44176</v>
      </c>
      <c r="AE24" s="13">
        <v>44183</v>
      </c>
      <c r="AF24" s="14" t="s">
        <v>108</v>
      </c>
      <c r="AG24" s="14"/>
      <c r="AH24" s="14" t="s">
        <v>78</v>
      </c>
      <c r="AI24" s="14" t="s">
        <v>79</v>
      </c>
      <c r="AJ24" s="14" t="s">
        <v>80</v>
      </c>
      <c r="AK24" s="14" t="s">
        <v>139</v>
      </c>
      <c r="AL24" s="14" t="s">
        <v>88</v>
      </c>
      <c r="AM24" s="14" t="s">
        <v>139</v>
      </c>
      <c r="AN24" s="13" t="e">
        <f>#REF!</f>
        <v>#REF!</v>
      </c>
      <c r="AO24" s="13" t="e">
        <f>#REF!</f>
        <v>#REF!</v>
      </c>
      <c r="AP24" s="13">
        <v>44202</v>
      </c>
      <c r="AQ24" s="14" t="s">
        <v>10</v>
      </c>
      <c r="AR24" s="14" t="s">
        <v>1</v>
      </c>
      <c r="AS24" s="14">
        <v>3</v>
      </c>
      <c r="AT24" s="14"/>
      <c r="AU24" s="15"/>
    </row>
    <row r="25" spans="1:47" ht="42.75">
      <c r="A25" s="9" t="s">
        <v>308</v>
      </c>
      <c r="B25" s="9"/>
      <c r="C25" s="9" t="s">
        <v>62</v>
      </c>
      <c r="D25" s="10" t="s">
        <v>63</v>
      </c>
      <c r="E25" s="10" t="s">
        <v>64</v>
      </c>
      <c r="F25" s="10" t="s">
        <v>65</v>
      </c>
      <c r="G25" s="10" t="s">
        <v>303</v>
      </c>
      <c r="H25" s="11" t="s">
        <v>309</v>
      </c>
      <c r="I25" s="11" t="s">
        <v>310</v>
      </c>
      <c r="J25" s="12" t="s">
        <v>69</v>
      </c>
      <c r="K25" s="12" t="s">
        <v>70</v>
      </c>
      <c r="L25" s="10" t="s">
        <v>71</v>
      </c>
      <c r="M25" s="11" t="s">
        <v>71</v>
      </c>
      <c r="N25" s="12">
        <v>44167</v>
      </c>
      <c r="O25" s="12" t="s">
        <v>152</v>
      </c>
      <c r="P25" s="10" t="s">
        <v>107</v>
      </c>
      <c r="Q25" s="12">
        <v>44167</v>
      </c>
      <c r="R25" s="12" t="s">
        <v>74</v>
      </c>
      <c r="S25" s="12" t="s">
        <v>107</v>
      </c>
      <c r="T25" s="12">
        <v>44169</v>
      </c>
      <c r="U25" s="9" t="s">
        <v>71</v>
      </c>
      <c r="V25" s="9" t="s">
        <v>71</v>
      </c>
      <c r="W25" s="13">
        <v>44176</v>
      </c>
      <c r="X25" s="14" t="s">
        <v>62</v>
      </c>
      <c r="Y25" s="14" t="s">
        <v>73</v>
      </c>
      <c r="Z25" s="14" t="s">
        <v>77</v>
      </c>
      <c r="AA25" s="13">
        <v>44156</v>
      </c>
      <c r="AB25" s="13">
        <v>44176</v>
      </c>
      <c r="AC25" s="14" t="s">
        <v>78</v>
      </c>
      <c r="AD25" s="13">
        <v>44176</v>
      </c>
      <c r="AE25" s="13">
        <v>44183</v>
      </c>
      <c r="AF25" s="14" t="s">
        <v>108</v>
      </c>
      <c r="AG25" s="14"/>
      <c r="AH25" s="14" t="s">
        <v>78</v>
      </c>
      <c r="AI25" s="14" t="s">
        <v>79</v>
      </c>
      <c r="AJ25" s="14" t="s">
        <v>80</v>
      </c>
      <c r="AK25" s="14" t="s">
        <v>139</v>
      </c>
      <c r="AL25" s="14" t="s">
        <v>88</v>
      </c>
      <c r="AM25" s="14" t="s">
        <v>139</v>
      </c>
      <c r="AN25" s="13" t="e">
        <f>#REF!</f>
        <v>#REF!</v>
      </c>
      <c r="AO25" s="13" t="e">
        <f>#REF!</f>
        <v>#REF!</v>
      </c>
      <c r="AP25" s="13">
        <v>44202</v>
      </c>
      <c r="AQ25" s="14" t="s">
        <v>10</v>
      </c>
      <c r="AR25" s="14" t="s">
        <v>1</v>
      </c>
      <c r="AS25" s="14">
        <v>3</v>
      </c>
      <c r="AT25" s="14"/>
      <c r="AU25" s="15"/>
    </row>
    <row r="26" spans="1:47">
      <c r="A26" s="9" t="s">
        <v>311</v>
      </c>
      <c r="B26" s="9"/>
      <c r="C26" s="9" t="s">
        <v>62</v>
      </c>
      <c r="D26" s="10" t="s">
        <v>63</v>
      </c>
      <c r="E26" s="10" t="s">
        <v>64</v>
      </c>
      <c r="F26" s="10" t="s">
        <v>65</v>
      </c>
      <c r="G26" s="10" t="s">
        <v>303</v>
      </c>
      <c r="H26" s="11" t="s">
        <v>303</v>
      </c>
      <c r="I26" s="11" t="s">
        <v>312</v>
      </c>
      <c r="J26" s="12" t="s">
        <v>69</v>
      </c>
      <c r="K26" s="12" t="s">
        <v>70</v>
      </c>
      <c r="L26" s="10" t="s">
        <v>71</v>
      </c>
      <c r="M26" s="11" t="s">
        <v>71</v>
      </c>
      <c r="N26" s="12">
        <v>44167</v>
      </c>
      <c r="O26" s="12" t="s">
        <v>152</v>
      </c>
      <c r="P26" s="10" t="s">
        <v>107</v>
      </c>
      <c r="Q26" s="12">
        <v>44167</v>
      </c>
      <c r="R26" s="12" t="s">
        <v>74</v>
      </c>
      <c r="S26" s="12" t="s">
        <v>107</v>
      </c>
      <c r="T26" s="12">
        <v>44169</v>
      </c>
      <c r="U26" s="9" t="s">
        <v>71</v>
      </c>
      <c r="V26" s="9" t="s">
        <v>71</v>
      </c>
      <c r="W26" s="13">
        <v>44176</v>
      </c>
      <c r="X26" s="14" t="s">
        <v>62</v>
      </c>
      <c r="Y26" s="14" t="s">
        <v>73</v>
      </c>
      <c r="Z26" s="14" t="s">
        <v>77</v>
      </c>
      <c r="AA26" s="13">
        <v>44156</v>
      </c>
      <c r="AB26" s="13">
        <v>44176</v>
      </c>
      <c r="AC26" s="14" t="s">
        <v>78</v>
      </c>
      <c r="AD26" s="13">
        <v>44176</v>
      </c>
      <c r="AE26" s="13">
        <v>44183</v>
      </c>
      <c r="AF26" s="14" t="s">
        <v>108</v>
      </c>
      <c r="AG26" s="14"/>
      <c r="AH26" s="14" t="s">
        <v>78</v>
      </c>
      <c r="AI26" s="14" t="s">
        <v>79</v>
      </c>
      <c r="AJ26" s="14" t="s">
        <v>80</v>
      </c>
      <c r="AK26" s="14" t="s">
        <v>139</v>
      </c>
      <c r="AL26" s="14" t="s">
        <v>88</v>
      </c>
      <c r="AM26" s="14" t="s">
        <v>139</v>
      </c>
      <c r="AN26" s="13" t="e">
        <f>#REF!</f>
        <v>#REF!</v>
      </c>
      <c r="AO26" s="13" t="e">
        <f>#REF!</f>
        <v>#REF!</v>
      </c>
      <c r="AP26" s="13">
        <v>44202</v>
      </c>
      <c r="AQ26" s="14" t="s">
        <v>10</v>
      </c>
      <c r="AR26" s="14" t="s">
        <v>1</v>
      </c>
      <c r="AS26" s="14">
        <v>3</v>
      </c>
      <c r="AT26" s="14"/>
      <c r="AU26" s="15"/>
    </row>
    <row r="27" spans="1:47">
      <c r="A27" s="9" t="s">
        <v>313</v>
      </c>
      <c r="B27" s="9"/>
      <c r="C27" s="9" t="s">
        <v>62</v>
      </c>
      <c r="D27" s="10" t="s">
        <v>63</v>
      </c>
      <c r="E27" s="10" t="s">
        <v>64</v>
      </c>
      <c r="F27" s="10" t="s">
        <v>65</v>
      </c>
      <c r="G27" s="10" t="s">
        <v>314</v>
      </c>
      <c r="H27" s="11" t="s">
        <v>315</v>
      </c>
      <c r="I27" s="11" t="s">
        <v>316</v>
      </c>
      <c r="J27" s="12" t="s">
        <v>69</v>
      </c>
      <c r="K27" s="12" t="s">
        <v>70</v>
      </c>
      <c r="L27" s="10" t="s">
        <v>71</v>
      </c>
      <c r="M27" s="11" t="s">
        <v>71</v>
      </c>
      <c r="N27" s="12">
        <v>44167</v>
      </c>
      <c r="O27" s="12" t="s">
        <v>152</v>
      </c>
      <c r="P27" s="10" t="s">
        <v>107</v>
      </c>
      <c r="Q27" s="12">
        <v>44167</v>
      </c>
      <c r="R27" s="12" t="s">
        <v>74</v>
      </c>
      <c r="S27" s="12" t="s">
        <v>107</v>
      </c>
      <c r="T27" s="12">
        <v>44169</v>
      </c>
      <c r="U27" s="9" t="s">
        <v>71</v>
      </c>
      <c r="V27" s="9" t="s">
        <v>71</v>
      </c>
      <c r="W27" s="13">
        <v>44176</v>
      </c>
      <c r="X27" s="14" t="s">
        <v>62</v>
      </c>
      <c r="Y27" s="14" t="s">
        <v>73</v>
      </c>
      <c r="Z27" s="14" t="s">
        <v>77</v>
      </c>
      <c r="AA27" s="13">
        <v>44156</v>
      </c>
      <c r="AB27" s="13">
        <v>44176</v>
      </c>
      <c r="AC27" s="14" t="s">
        <v>78</v>
      </c>
      <c r="AD27" s="13">
        <v>44176</v>
      </c>
      <c r="AE27" s="13">
        <v>44183</v>
      </c>
      <c r="AF27" s="14" t="s">
        <v>108</v>
      </c>
      <c r="AG27" s="14"/>
      <c r="AH27" s="14" t="s">
        <v>78</v>
      </c>
      <c r="AI27" s="14" t="s">
        <v>79</v>
      </c>
      <c r="AJ27" s="14" t="s">
        <v>80</v>
      </c>
      <c r="AK27" s="14" t="s">
        <v>139</v>
      </c>
      <c r="AL27" s="14" t="s">
        <v>88</v>
      </c>
      <c r="AM27" s="14" t="s">
        <v>139</v>
      </c>
      <c r="AN27" s="13" t="e">
        <f>#REF!</f>
        <v>#REF!</v>
      </c>
      <c r="AO27" s="13" t="e">
        <f>#REF!</f>
        <v>#REF!</v>
      </c>
      <c r="AP27" s="13">
        <v>44202</v>
      </c>
      <c r="AQ27" s="14" t="s">
        <v>10</v>
      </c>
      <c r="AR27" s="14" t="s">
        <v>1</v>
      </c>
      <c r="AS27" s="14">
        <v>4</v>
      </c>
      <c r="AT27" s="14"/>
      <c r="AU27" s="15"/>
    </row>
    <row r="28" spans="1:47">
      <c r="A28" s="9" t="s">
        <v>317</v>
      </c>
      <c r="B28" s="9"/>
      <c r="C28" s="9" t="s">
        <v>62</v>
      </c>
      <c r="D28" s="10" t="s">
        <v>63</v>
      </c>
      <c r="E28" s="10" t="s">
        <v>64</v>
      </c>
      <c r="F28" s="10" t="s">
        <v>65</v>
      </c>
      <c r="G28" s="10" t="s">
        <v>303</v>
      </c>
      <c r="H28" s="11" t="s">
        <v>303</v>
      </c>
      <c r="I28" s="11" t="s">
        <v>318</v>
      </c>
      <c r="J28" s="12" t="s">
        <v>69</v>
      </c>
      <c r="K28" s="12" t="s">
        <v>70</v>
      </c>
      <c r="L28" s="11" t="s">
        <v>71</v>
      </c>
      <c r="M28" s="11" t="s">
        <v>71</v>
      </c>
      <c r="N28" s="12">
        <v>44167</v>
      </c>
      <c r="O28" s="12" t="s">
        <v>152</v>
      </c>
      <c r="P28" s="10" t="s">
        <v>107</v>
      </c>
      <c r="Q28" s="12">
        <v>44167</v>
      </c>
      <c r="R28" s="12" t="s">
        <v>74</v>
      </c>
      <c r="S28" s="12" t="s">
        <v>107</v>
      </c>
      <c r="T28" s="12">
        <v>44169</v>
      </c>
      <c r="U28" s="9" t="s">
        <v>71</v>
      </c>
      <c r="V28" s="9" t="s">
        <v>71</v>
      </c>
      <c r="W28" s="13">
        <v>44176</v>
      </c>
      <c r="X28" s="14" t="s">
        <v>62</v>
      </c>
      <c r="Y28" s="14" t="s">
        <v>73</v>
      </c>
      <c r="Z28" s="14" t="s">
        <v>77</v>
      </c>
      <c r="AA28" s="13">
        <v>44156</v>
      </c>
      <c r="AB28" s="13">
        <v>44176</v>
      </c>
      <c r="AC28" s="14" t="s">
        <v>78</v>
      </c>
      <c r="AD28" s="13">
        <v>44176</v>
      </c>
      <c r="AE28" s="13">
        <v>44183</v>
      </c>
      <c r="AF28" s="14" t="s">
        <v>108</v>
      </c>
      <c r="AG28" s="14"/>
      <c r="AH28" s="14" t="s">
        <v>78</v>
      </c>
      <c r="AI28" s="14" t="s">
        <v>79</v>
      </c>
      <c r="AJ28" s="14" t="s">
        <v>80</v>
      </c>
      <c r="AK28" s="14" t="s">
        <v>139</v>
      </c>
      <c r="AL28" s="14" t="s">
        <v>88</v>
      </c>
      <c r="AM28" s="14" t="s">
        <v>139</v>
      </c>
      <c r="AN28" s="13" t="e">
        <f>#REF!</f>
        <v>#REF!</v>
      </c>
      <c r="AO28" s="13" t="e">
        <f>#REF!</f>
        <v>#REF!</v>
      </c>
      <c r="AP28" s="13">
        <v>44202</v>
      </c>
      <c r="AQ28" s="14" t="s">
        <v>10</v>
      </c>
      <c r="AR28" s="14" t="s">
        <v>1</v>
      </c>
      <c r="AS28" s="14">
        <v>4</v>
      </c>
      <c r="AT28" s="14"/>
      <c r="AU28" s="15"/>
    </row>
    <row r="29" spans="1:47">
      <c r="A29" s="9" t="s">
        <v>319</v>
      </c>
      <c r="B29" s="9"/>
      <c r="C29" s="9" t="s">
        <v>62</v>
      </c>
      <c r="D29" s="9" t="s">
        <v>63</v>
      </c>
      <c r="E29" s="10" t="s">
        <v>64</v>
      </c>
      <c r="F29" s="10" t="s">
        <v>65</v>
      </c>
      <c r="G29" s="10" t="s">
        <v>314</v>
      </c>
      <c r="H29" s="11" t="s">
        <v>318</v>
      </c>
      <c r="I29" s="11" t="s">
        <v>320</v>
      </c>
      <c r="J29" s="12" t="s">
        <v>69</v>
      </c>
      <c r="K29" s="12" t="s">
        <v>70</v>
      </c>
      <c r="L29" s="11" t="s">
        <v>71</v>
      </c>
      <c r="M29" s="11" t="s">
        <v>71</v>
      </c>
      <c r="N29" s="12">
        <v>44167</v>
      </c>
      <c r="O29" s="12" t="s">
        <v>152</v>
      </c>
      <c r="P29" s="9" t="s">
        <v>107</v>
      </c>
      <c r="Q29" s="12">
        <v>44167</v>
      </c>
      <c r="R29" s="12" t="s">
        <v>74</v>
      </c>
      <c r="S29" s="12" t="s">
        <v>107</v>
      </c>
      <c r="T29" s="12">
        <v>44169</v>
      </c>
      <c r="U29" s="9" t="s">
        <v>71</v>
      </c>
      <c r="V29" s="9" t="s">
        <v>71</v>
      </c>
      <c r="W29" s="13">
        <v>44176</v>
      </c>
      <c r="X29" s="14" t="s">
        <v>62</v>
      </c>
      <c r="Y29" s="14" t="s">
        <v>73</v>
      </c>
      <c r="Z29" s="14" t="s">
        <v>77</v>
      </c>
      <c r="AA29" s="13">
        <v>44156</v>
      </c>
      <c r="AB29" s="13">
        <v>44176</v>
      </c>
      <c r="AC29" s="14" t="s">
        <v>78</v>
      </c>
      <c r="AD29" s="13">
        <v>44176</v>
      </c>
      <c r="AE29" s="13">
        <v>44183</v>
      </c>
      <c r="AF29" s="14" t="s">
        <v>108</v>
      </c>
      <c r="AG29" s="14"/>
      <c r="AH29" s="14" t="s">
        <v>78</v>
      </c>
      <c r="AI29" s="14" t="s">
        <v>79</v>
      </c>
      <c r="AJ29" s="14" t="s">
        <v>80</v>
      </c>
      <c r="AK29" s="14" t="s">
        <v>139</v>
      </c>
      <c r="AL29" s="14" t="s">
        <v>88</v>
      </c>
      <c r="AM29" s="14" t="s">
        <v>139</v>
      </c>
      <c r="AN29" s="13" t="e">
        <f>#REF!</f>
        <v>#REF!</v>
      </c>
      <c r="AO29" s="13" t="e">
        <f>#REF!</f>
        <v>#REF!</v>
      </c>
      <c r="AP29" s="13">
        <v>44202</v>
      </c>
      <c r="AQ29" s="14" t="s">
        <v>10</v>
      </c>
      <c r="AR29" s="14" t="s">
        <v>1</v>
      </c>
      <c r="AS29" s="14">
        <v>4</v>
      </c>
      <c r="AT29" s="14"/>
      <c r="AU29" s="15"/>
    </row>
    <row r="30" spans="1:47" ht="42.75">
      <c r="A30" s="9" t="s">
        <v>343</v>
      </c>
      <c r="B30" s="9"/>
      <c r="C30" s="9" t="s">
        <v>62</v>
      </c>
      <c r="D30" s="9" t="s">
        <v>63</v>
      </c>
      <c r="E30" s="10"/>
      <c r="F30" s="10" t="s">
        <v>344</v>
      </c>
      <c r="G30" s="10" t="s">
        <v>314</v>
      </c>
      <c r="H30" s="12" t="s">
        <v>345</v>
      </c>
      <c r="I30" s="11" t="s">
        <v>346</v>
      </c>
      <c r="J30" s="9" t="s">
        <v>71</v>
      </c>
      <c r="K30" s="12" t="s">
        <v>70</v>
      </c>
      <c r="L30" s="10" t="s">
        <v>71</v>
      </c>
      <c r="M30" s="11" t="s">
        <v>71</v>
      </c>
      <c r="N30" s="12">
        <v>44167</v>
      </c>
      <c r="O30" s="12" t="s">
        <v>152</v>
      </c>
      <c r="P30" s="10" t="s">
        <v>107</v>
      </c>
      <c r="Q30" s="12">
        <v>44167</v>
      </c>
      <c r="R30" s="12" t="s">
        <v>74</v>
      </c>
      <c r="S30" s="12" t="s">
        <v>107</v>
      </c>
      <c r="T30" s="11">
        <v>44169</v>
      </c>
      <c r="U30" s="9" t="s">
        <v>71</v>
      </c>
      <c r="V30" s="9" t="s">
        <v>71</v>
      </c>
      <c r="W30" s="13">
        <v>44176</v>
      </c>
      <c r="X30" s="14" t="s">
        <v>62</v>
      </c>
      <c r="Y30" s="14" t="s">
        <v>73</v>
      </c>
      <c r="Z30" s="14" t="s">
        <v>77</v>
      </c>
      <c r="AA30" s="13" t="s">
        <v>84</v>
      </c>
      <c r="AB30" s="13">
        <v>44176</v>
      </c>
      <c r="AC30" s="14" t="s">
        <v>78</v>
      </c>
      <c r="AD30" s="13">
        <v>44176</v>
      </c>
      <c r="AE30" s="13">
        <v>44183</v>
      </c>
      <c r="AF30" s="14" t="s">
        <v>108</v>
      </c>
      <c r="AG30" s="14"/>
      <c r="AH30" s="14" t="s">
        <v>78</v>
      </c>
      <c r="AI30" s="14" t="s">
        <v>79</v>
      </c>
      <c r="AJ30" s="14" t="s">
        <v>80</v>
      </c>
      <c r="AK30" s="14" t="s">
        <v>82</v>
      </c>
      <c r="AL30" s="14" t="s">
        <v>88</v>
      </c>
      <c r="AM30" s="14" t="s">
        <v>139</v>
      </c>
      <c r="AN30" s="13" t="e">
        <f>#REF!</f>
        <v>#REF!</v>
      </c>
      <c r="AO30" s="13" t="e">
        <f>#REF!</f>
        <v>#REF!</v>
      </c>
      <c r="AP30" s="13">
        <v>44202</v>
      </c>
      <c r="AQ30" s="14" t="s">
        <v>10</v>
      </c>
      <c r="AR30" s="14" t="s">
        <v>1</v>
      </c>
      <c r="AS30" s="14">
        <v>5</v>
      </c>
      <c r="AT30" s="14"/>
      <c r="AU30" s="15"/>
    </row>
    <row r="31" spans="1:47" ht="42.75">
      <c r="A31" s="9" t="s">
        <v>353</v>
      </c>
      <c r="B31" s="9"/>
      <c r="C31" s="9" t="s">
        <v>62</v>
      </c>
      <c r="D31" s="9" t="s">
        <v>63</v>
      </c>
      <c r="E31" s="10"/>
      <c r="F31" s="10" t="s">
        <v>344</v>
      </c>
      <c r="G31" s="10" t="s">
        <v>314</v>
      </c>
      <c r="H31" s="12" t="s">
        <v>354</v>
      </c>
      <c r="I31" s="11" t="s">
        <v>355</v>
      </c>
      <c r="J31" s="9" t="s">
        <v>71</v>
      </c>
      <c r="K31" s="12" t="s">
        <v>70</v>
      </c>
      <c r="L31" s="10" t="s">
        <v>71</v>
      </c>
      <c r="M31" s="11" t="s">
        <v>71</v>
      </c>
      <c r="N31" s="12">
        <v>44167</v>
      </c>
      <c r="O31" s="12" t="s">
        <v>152</v>
      </c>
      <c r="P31" s="10" t="s">
        <v>107</v>
      </c>
      <c r="Q31" s="12">
        <v>44167</v>
      </c>
      <c r="R31" s="12" t="s">
        <v>74</v>
      </c>
      <c r="S31" s="12" t="s">
        <v>107</v>
      </c>
      <c r="T31" s="11">
        <v>44169</v>
      </c>
      <c r="U31" s="9" t="s">
        <v>71</v>
      </c>
      <c r="V31" s="9" t="s">
        <v>71</v>
      </c>
      <c r="W31" s="13">
        <v>44176</v>
      </c>
      <c r="X31" s="14" t="s">
        <v>62</v>
      </c>
      <c r="Y31" s="14" t="s">
        <v>73</v>
      </c>
      <c r="Z31" s="14" t="s">
        <v>77</v>
      </c>
      <c r="AA31" s="13" t="s">
        <v>84</v>
      </c>
      <c r="AB31" s="13">
        <v>44176</v>
      </c>
      <c r="AC31" s="14" t="s">
        <v>78</v>
      </c>
      <c r="AD31" s="13">
        <v>44176</v>
      </c>
      <c r="AE31" s="13">
        <v>44183</v>
      </c>
      <c r="AF31" s="14" t="s">
        <v>108</v>
      </c>
      <c r="AG31" s="14"/>
      <c r="AH31" s="14" t="s">
        <v>78</v>
      </c>
      <c r="AI31" s="14" t="s">
        <v>79</v>
      </c>
      <c r="AJ31" s="14" t="s">
        <v>80</v>
      </c>
      <c r="AK31" s="14" t="s">
        <v>82</v>
      </c>
      <c r="AL31" s="14" t="s">
        <v>88</v>
      </c>
      <c r="AM31" s="14" t="s">
        <v>139</v>
      </c>
      <c r="AN31" s="13" t="e">
        <f>#REF!</f>
        <v>#REF!</v>
      </c>
      <c r="AO31" s="13" t="e">
        <f>#REF!</f>
        <v>#REF!</v>
      </c>
      <c r="AP31" s="13">
        <v>44202</v>
      </c>
      <c r="AQ31" s="14" t="s">
        <v>10</v>
      </c>
      <c r="AR31" s="14" t="s">
        <v>1</v>
      </c>
      <c r="AS31" s="14">
        <v>5</v>
      </c>
      <c r="AT31" s="14"/>
      <c r="AU31" s="15"/>
    </row>
    <row r="32" spans="1:47">
      <c r="A32" s="9" t="s">
        <v>366</v>
      </c>
      <c r="B32" s="9"/>
      <c r="C32" s="9" t="s">
        <v>62</v>
      </c>
      <c r="D32" s="9" t="s">
        <v>63</v>
      </c>
      <c r="E32" s="10"/>
      <c r="F32" s="10" t="s">
        <v>344</v>
      </c>
      <c r="G32" s="10" t="s">
        <v>314</v>
      </c>
      <c r="H32" s="12" t="s">
        <v>367</v>
      </c>
      <c r="I32" s="11"/>
      <c r="J32" s="12" t="s">
        <v>71</v>
      </c>
      <c r="K32" s="12" t="s">
        <v>70</v>
      </c>
      <c r="L32" s="10" t="s">
        <v>71</v>
      </c>
      <c r="M32" s="11" t="s">
        <v>71</v>
      </c>
      <c r="N32" s="12">
        <v>44167</v>
      </c>
      <c r="O32" s="12" t="s">
        <v>152</v>
      </c>
      <c r="P32" s="10" t="s">
        <v>107</v>
      </c>
      <c r="Q32" s="12">
        <v>44167</v>
      </c>
      <c r="R32" s="12" t="s">
        <v>74</v>
      </c>
      <c r="S32" s="12" t="s">
        <v>107</v>
      </c>
      <c r="T32" s="11">
        <v>44169</v>
      </c>
      <c r="U32" s="9" t="s">
        <v>71</v>
      </c>
      <c r="V32" s="9" t="s">
        <v>71</v>
      </c>
      <c r="W32" s="13">
        <v>44176</v>
      </c>
      <c r="X32" s="14" t="s">
        <v>62</v>
      </c>
      <c r="Y32" s="14" t="s">
        <v>73</v>
      </c>
      <c r="Z32" s="14" t="s">
        <v>77</v>
      </c>
      <c r="AA32" s="13" t="s">
        <v>84</v>
      </c>
      <c r="AB32" s="13">
        <v>44176</v>
      </c>
      <c r="AC32" s="14" t="s">
        <v>78</v>
      </c>
      <c r="AD32" s="13">
        <v>44176</v>
      </c>
      <c r="AE32" s="13">
        <v>44183</v>
      </c>
      <c r="AF32" s="14" t="s">
        <v>108</v>
      </c>
      <c r="AG32" s="14"/>
      <c r="AH32" s="14" t="s">
        <v>78</v>
      </c>
      <c r="AI32" s="14" t="s">
        <v>79</v>
      </c>
      <c r="AJ32" s="14" t="s">
        <v>80</v>
      </c>
      <c r="AK32" s="14" t="s">
        <v>82</v>
      </c>
      <c r="AL32" s="14" t="s">
        <v>88</v>
      </c>
      <c r="AM32" s="14" t="s">
        <v>139</v>
      </c>
      <c r="AN32" s="13" t="e">
        <f>#REF!</f>
        <v>#REF!</v>
      </c>
      <c r="AO32" s="13" t="e">
        <f>#REF!</f>
        <v>#REF!</v>
      </c>
      <c r="AP32" s="13">
        <v>44202</v>
      </c>
      <c r="AQ32" s="14" t="s">
        <v>10</v>
      </c>
      <c r="AR32" s="14" t="s">
        <v>2</v>
      </c>
      <c r="AS32" s="14">
        <v>6</v>
      </c>
      <c r="AT32" s="14"/>
      <c r="AU32" s="15"/>
    </row>
    <row r="33" spans="1:47" ht="42.75">
      <c r="A33" s="9" t="s">
        <v>406</v>
      </c>
      <c r="B33" s="9"/>
      <c r="C33" s="9" t="s">
        <v>62</v>
      </c>
      <c r="D33" s="9" t="s">
        <v>63</v>
      </c>
      <c r="E33" s="10" t="s">
        <v>64</v>
      </c>
      <c r="F33" s="10" t="s">
        <v>205</v>
      </c>
      <c r="G33" s="10" t="s">
        <v>407</v>
      </c>
      <c r="H33" s="12" t="s">
        <v>408</v>
      </c>
      <c r="I33" s="11" t="s">
        <v>409</v>
      </c>
      <c r="J33" s="12" t="s">
        <v>69</v>
      </c>
      <c r="K33" s="12" t="s">
        <v>70</v>
      </c>
      <c r="L33" s="10" t="s">
        <v>71</v>
      </c>
      <c r="M33" s="11" t="s">
        <v>71</v>
      </c>
      <c r="N33" s="12">
        <v>44167</v>
      </c>
      <c r="O33" s="12" t="s">
        <v>152</v>
      </c>
      <c r="P33" s="10" t="s">
        <v>107</v>
      </c>
      <c r="Q33" s="12">
        <v>44167</v>
      </c>
      <c r="R33" s="12" t="s">
        <v>74</v>
      </c>
      <c r="S33" s="12" t="s">
        <v>107</v>
      </c>
      <c r="T33" s="11">
        <v>44169</v>
      </c>
      <c r="U33" s="9" t="s">
        <v>76</v>
      </c>
      <c r="V33" s="9" t="s">
        <v>75</v>
      </c>
      <c r="W33" s="13">
        <v>44176</v>
      </c>
      <c r="X33" s="14" t="s">
        <v>62</v>
      </c>
      <c r="Y33" s="14" t="s">
        <v>73</v>
      </c>
      <c r="Z33" s="14" t="s">
        <v>77</v>
      </c>
      <c r="AA33" s="13" t="s">
        <v>84</v>
      </c>
      <c r="AB33" s="13">
        <v>44176</v>
      </c>
      <c r="AC33" s="14" t="s">
        <v>78</v>
      </c>
      <c r="AD33" s="13">
        <v>44176</v>
      </c>
      <c r="AE33" s="13">
        <v>44183</v>
      </c>
      <c r="AF33" s="14" t="s">
        <v>108</v>
      </c>
      <c r="AG33" s="14"/>
      <c r="AH33" s="14" t="s">
        <v>78</v>
      </c>
      <c r="AI33" s="14" t="s">
        <v>79</v>
      </c>
      <c r="AJ33" s="14" t="s">
        <v>80</v>
      </c>
      <c r="AK33" s="14" t="s">
        <v>88</v>
      </c>
      <c r="AL33" s="14" t="s">
        <v>8</v>
      </c>
      <c r="AM33" s="14" t="s">
        <v>139</v>
      </c>
      <c r="AN33" s="13" t="e">
        <f>#REF!</f>
        <v>#REF!</v>
      </c>
      <c r="AO33" s="13" t="e">
        <f>#REF!</f>
        <v>#REF!</v>
      </c>
      <c r="AP33" s="13">
        <v>44202</v>
      </c>
      <c r="AQ33" s="14" t="s">
        <v>10</v>
      </c>
      <c r="AR33" s="14" t="s">
        <v>1</v>
      </c>
      <c r="AS33" s="14">
        <v>8</v>
      </c>
      <c r="AT33" s="14"/>
      <c r="AU33" s="15"/>
    </row>
    <row r="34" spans="1:47" ht="42.75">
      <c r="A34" s="9" t="s">
        <v>410</v>
      </c>
      <c r="B34" s="9"/>
      <c r="C34" s="9" t="s">
        <v>62</v>
      </c>
      <c r="D34" s="9" t="s">
        <v>63</v>
      </c>
      <c r="E34" s="10" t="s">
        <v>64</v>
      </c>
      <c r="F34" s="10" t="s">
        <v>205</v>
      </c>
      <c r="G34" s="10" t="s">
        <v>407</v>
      </c>
      <c r="H34" s="12" t="s">
        <v>411</v>
      </c>
      <c r="I34" s="11" t="s">
        <v>409</v>
      </c>
      <c r="J34" s="12" t="s">
        <v>69</v>
      </c>
      <c r="K34" s="12" t="s">
        <v>70</v>
      </c>
      <c r="L34" s="10" t="s">
        <v>71</v>
      </c>
      <c r="M34" s="11" t="s">
        <v>71</v>
      </c>
      <c r="N34" s="12">
        <v>44167</v>
      </c>
      <c r="O34" s="12" t="s">
        <v>152</v>
      </c>
      <c r="P34" s="10" t="s">
        <v>107</v>
      </c>
      <c r="Q34" s="12">
        <v>44167</v>
      </c>
      <c r="R34" s="12" t="s">
        <v>74</v>
      </c>
      <c r="S34" s="12" t="s">
        <v>107</v>
      </c>
      <c r="T34" s="12">
        <v>44169</v>
      </c>
      <c r="U34" s="9" t="s">
        <v>76</v>
      </c>
      <c r="V34" s="9" t="s">
        <v>75</v>
      </c>
      <c r="W34" s="13">
        <v>44176</v>
      </c>
      <c r="X34" s="14" t="s">
        <v>62</v>
      </c>
      <c r="Y34" s="14" t="s">
        <v>73</v>
      </c>
      <c r="Z34" s="14" t="s">
        <v>77</v>
      </c>
      <c r="AA34" s="13" t="s">
        <v>84</v>
      </c>
      <c r="AB34" s="13">
        <v>44176</v>
      </c>
      <c r="AC34" s="14" t="s">
        <v>78</v>
      </c>
      <c r="AD34" s="13">
        <v>44176</v>
      </c>
      <c r="AE34" s="13">
        <v>44183</v>
      </c>
      <c r="AF34" s="14" t="s">
        <v>108</v>
      </c>
      <c r="AG34" s="14"/>
      <c r="AH34" s="14" t="s">
        <v>78</v>
      </c>
      <c r="AI34" s="14" t="s">
        <v>79</v>
      </c>
      <c r="AJ34" s="14" t="s">
        <v>80</v>
      </c>
      <c r="AK34" s="14" t="s">
        <v>88</v>
      </c>
      <c r="AL34" s="14" t="s">
        <v>8</v>
      </c>
      <c r="AM34" s="14" t="s">
        <v>139</v>
      </c>
      <c r="AN34" s="13" t="e">
        <f>#REF!</f>
        <v>#REF!</v>
      </c>
      <c r="AO34" s="13" t="e">
        <f>#REF!</f>
        <v>#REF!</v>
      </c>
      <c r="AP34" s="13">
        <v>44202</v>
      </c>
      <c r="AQ34" s="14" t="s">
        <v>10</v>
      </c>
      <c r="AR34" s="14" t="s">
        <v>1</v>
      </c>
      <c r="AS34" s="14">
        <v>5</v>
      </c>
      <c r="AT34" s="14"/>
      <c r="AU34" s="15"/>
    </row>
    <row r="35" spans="1:47" ht="42.75">
      <c r="A35" s="9" t="s">
        <v>423</v>
      </c>
      <c r="B35" s="9"/>
      <c r="C35" s="9" t="s">
        <v>62</v>
      </c>
      <c r="D35" s="9" t="s">
        <v>63</v>
      </c>
      <c r="E35" s="10"/>
      <c r="F35" s="10" t="s">
        <v>129</v>
      </c>
      <c r="G35" s="10" t="s">
        <v>261</v>
      </c>
      <c r="H35" s="12" t="s">
        <v>419</v>
      </c>
      <c r="I35" s="11" t="s">
        <v>424</v>
      </c>
      <c r="J35" s="12" t="s">
        <v>425</v>
      </c>
      <c r="K35" s="12" t="s">
        <v>70</v>
      </c>
      <c r="L35" s="10" t="s">
        <v>426</v>
      </c>
      <c r="M35" s="11" t="s">
        <v>71</v>
      </c>
      <c r="N35" s="12">
        <v>44167</v>
      </c>
      <c r="O35" s="12" t="s">
        <v>152</v>
      </c>
      <c r="P35" s="10" t="s">
        <v>107</v>
      </c>
      <c r="Q35" s="12">
        <v>44167</v>
      </c>
      <c r="R35" s="12" t="s">
        <v>74</v>
      </c>
      <c r="S35" s="12" t="s">
        <v>107</v>
      </c>
      <c r="T35" s="12">
        <v>44169</v>
      </c>
      <c r="U35" s="9" t="s">
        <v>71</v>
      </c>
      <c r="V35" s="9" t="s">
        <v>71</v>
      </c>
      <c r="W35" s="13">
        <v>44176</v>
      </c>
      <c r="X35" s="14" t="s">
        <v>62</v>
      </c>
      <c r="Y35" s="14" t="s">
        <v>73</v>
      </c>
      <c r="Z35" s="14" t="s">
        <v>77</v>
      </c>
      <c r="AA35" s="13" t="s">
        <v>84</v>
      </c>
      <c r="AB35" s="13">
        <v>44176</v>
      </c>
      <c r="AC35" s="14" t="s">
        <v>78</v>
      </c>
      <c r="AD35" s="13">
        <v>44176</v>
      </c>
      <c r="AE35" s="13">
        <v>44183</v>
      </c>
      <c r="AF35" s="14" t="s">
        <v>108</v>
      </c>
      <c r="AG35" s="14"/>
      <c r="AH35" s="14" t="s">
        <v>78</v>
      </c>
      <c r="AI35" s="14" t="s">
        <v>79</v>
      </c>
      <c r="AJ35" s="14" t="s">
        <v>80</v>
      </c>
      <c r="AK35" s="14" t="s">
        <v>88</v>
      </c>
      <c r="AL35" s="14" t="s">
        <v>8</v>
      </c>
      <c r="AM35" s="14" t="s">
        <v>139</v>
      </c>
      <c r="AN35" s="13" t="e">
        <f>#REF!</f>
        <v>#REF!</v>
      </c>
      <c r="AO35" s="13" t="e">
        <f>#REF!</f>
        <v>#REF!</v>
      </c>
      <c r="AP35" s="13">
        <v>44202</v>
      </c>
      <c r="AQ35" s="14" t="s">
        <v>10</v>
      </c>
      <c r="AR35" s="14" t="s">
        <v>2</v>
      </c>
      <c r="AS35" s="14">
        <v>6</v>
      </c>
      <c r="AT35" s="14"/>
      <c r="AU35" s="15"/>
    </row>
    <row r="36" spans="1:47">
      <c r="A36" s="9" t="s">
        <v>427</v>
      </c>
      <c r="B36" s="9"/>
      <c r="C36" s="9" t="s">
        <v>62</v>
      </c>
      <c r="D36" s="9" t="s">
        <v>63</v>
      </c>
      <c r="E36" s="10"/>
      <c r="F36" s="10" t="s">
        <v>129</v>
      </c>
      <c r="G36" s="10" t="s">
        <v>261</v>
      </c>
      <c r="H36" s="12" t="s">
        <v>419</v>
      </c>
      <c r="I36" s="11" t="s">
        <v>749</v>
      </c>
      <c r="J36" s="12" t="s">
        <v>425</v>
      </c>
      <c r="K36" s="12" t="s">
        <v>70</v>
      </c>
      <c r="L36" s="10" t="s">
        <v>426</v>
      </c>
      <c r="M36" s="11" t="s">
        <v>71</v>
      </c>
      <c r="N36" s="12">
        <v>44167</v>
      </c>
      <c r="O36" s="12" t="s">
        <v>152</v>
      </c>
      <c r="P36" s="10" t="s">
        <v>107</v>
      </c>
      <c r="Q36" s="12">
        <v>44167</v>
      </c>
      <c r="R36" s="12" t="s">
        <v>74</v>
      </c>
      <c r="S36" s="12" t="s">
        <v>107</v>
      </c>
      <c r="T36" s="12">
        <v>44169</v>
      </c>
      <c r="U36" s="9" t="s">
        <v>71</v>
      </c>
      <c r="V36" s="9" t="s">
        <v>71</v>
      </c>
      <c r="W36" s="13">
        <v>44176</v>
      </c>
      <c r="X36" s="14" t="s">
        <v>62</v>
      </c>
      <c r="Y36" s="14" t="s">
        <v>73</v>
      </c>
      <c r="Z36" s="14" t="s">
        <v>77</v>
      </c>
      <c r="AA36" s="13" t="s">
        <v>84</v>
      </c>
      <c r="AB36" s="13">
        <v>44176</v>
      </c>
      <c r="AC36" s="14" t="s">
        <v>78</v>
      </c>
      <c r="AD36" s="13">
        <v>44176</v>
      </c>
      <c r="AE36" s="13">
        <v>44183</v>
      </c>
      <c r="AF36" s="14" t="s">
        <v>108</v>
      </c>
      <c r="AG36" s="14"/>
      <c r="AH36" s="14" t="s">
        <v>78</v>
      </c>
      <c r="AI36" s="14" t="s">
        <v>79</v>
      </c>
      <c r="AJ36" s="14" t="s">
        <v>80</v>
      </c>
      <c r="AK36" s="14" t="s">
        <v>88</v>
      </c>
      <c r="AL36" s="14" t="s">
        <v>8</v>
      </c>
      <c r="AM36" s="14" t="s">
        <v>139</v>
      </c>
      <c r="AN36" s="13" t="e">
        <f>#REF!</f>
        <v>#REF!</v>
      </c>
      <c r="AO36" s="13" t="e">
        <f>#REF!</f>
        <v>#REF!</v>
      </c>
      <c r="AP36" s="13">
        <v>44202</v>
      </c>
      <c r="AQ36" s="14" t="s">
        <v>10</v>
      </c>
      <c r="AR36" s="14" t="s">
        <v>2</v>
      </c>
      <c r="AS36" s="14">
        <v>6</v>
      </c>
      <c r="AT36" s="14"/>
      <c r="AU36" s="15"/>
    </row>
    <row r="37" spans="1:47" ht="57">
      <c r="A37" s="9" t="s">
        <v>546</v>
      </c>
      <c r="B37" s="9"/>
      <c r="C37" s="9" t="s">
        <v>62</v>
      </c>
      <c r="D37" s="9" t="s">
        <v>63</v>
      </c>
      <c r="E37" s="10"/>
      <c r="F37" s="10" t="s">
        <v>184</v>
      </c>
      <c r="G37" s="10" t="s">
        <v>486</v>
      </c>
      <c r="H37" s="12" t="s">
        <v>547</v>
      </c>
      <c r="I37" s="11" t="s">
        <v>548</v>
      </c>
      <c r="J37" s="12" t="s">
        <v>224</v>
      </c>
      <c r="K37" s="12" t="s">
        <v>70</v>
      </c>
      <c r="L37" s="10" t="s">
        <v>178</v>
      </c>
      <c r="M37" s="11" t="s">
        <v>78</v>
      </c>
      <c r="N37" s="12">
        <v>44167</v>
      </c>
      <c r="O37" s="12" t="s">
        <v>152</v>
      </c>
      <c r="P37" s="10" t="s">
        <v>107</v>
      </c>
      <c r="Q37" s="12">
        <v>44167</v>
      </c>
      <c r="R37" s="12" t="s">
        <v>74</v>
      </c>
      <c r="S37" s="12" t="s">
        <v>107</v>
      </c>
      <c r="T37" s="12">
        <v>44169</v>
      </c>
      <c r="U37" s="9" t="s">
        <v>71</v>
      </c>
      <c r="V37" s="9" t="s">
        <v>71</v>
      </c>
      <c r="W37" s="13">
        <v>44176</v>
      </c>
      <c r="X37" s="14" t="s">
        <v>62</v>
      </c>
      <c r="Y37" s="14" t="s">
        <v>73</v>
      </c>
      <c r="Z37" s="14" t="s">
        <v>77</v>
      </c>
      <c r="AA37" s="13" t="s">
        <v>84</v>
      </c>
      <c r="AB37" s="13">
        <v>44176</v>
      </c>
      <c r="AC37" s="14" t="s">
        <v>78</v>
      </c>
      <c r="AD37" s="13">
        <v>44176</v>
      </c>
      <c r="AE37" s="13">
        <v>44183</v>
      </c>
      <c r="AF37" s="14" t="s">
        <v>108</v>
      </c>
      <c r="AG37" s="14" t="s">
        <v>492</v>
      </c>
      <c r="AH37" s="14" t="s">
        <v>78</v>
      </c>
      <c r="AI37" s="14" t="s">
        <v>79</v>
      </c>
      <c r="AJ37" s="14" t="s">
        <v>80</v>
      </c>
      <c r="AK37" s="14" t="s">
        <v>148</v>
      </c>
      <c r="AL37" s="14" t="s">
        <v>148</v>
      </c>
      <c r="AM37" s="14" t="s">
        <v>139</v>
      </c>
      <c r="AN37" s="13" t="e">
        <f>#REF!</f>
        <v>#REF!</v>
      </c>
      <c r="AO37" s="13" t="e">
        <f>#REF!</f>
        <v>#REF!</v>
      </c>
      <c r="AP37" s="13">
        <v>44202</v>
      </c>
      <c r="AQ37" s="14" t="s">
        <v>10</v>
      </c>
      <c r="AR37" s="14" t="s">
        <v>2</v>
      </c>
      <c r="AS37" s="14">
        <v>10</v>
      </c>
      <c r="AT37" s="14"/>
      <c r="AU37" s="15"/>
    </row>
    <row r="38" spans="1:47" ht="57">
      <c r="A38" s="9" t="s">
        <v>549</v>
      </c>
      <c r="B38" s="9"/>
      <c r="C38" s="9" t="s">
        <v>62</v>
      </c>
      <c r="D38" s="9" t="s">
        <v>63</v>
      </c>
      <c r="E38" s="10"/>
      <c r="F38" s="10" t="s">
        <v>184</v>
      </c>
      <c r="G38" s="10" t="s">
        <v>486</v>
      </c>
      <c r="H38" s="12" t="s">
        <v>550</v>
      </c>
      <c r="I38" s="11" t="s">
        <v>551</v>
      </c>
      <c r="J38" s="12" t="s">
        <v>224</v>
      </c>
      <c r="K38" s="12" t="s">
        <v>70</v>
      </c>
      <c r="L38" s="10" t="s">
        <v>178</v>
      </c>
      <c r="M38" s="11" t="s">
        <v>78</v>
      </c>
      <c r="N38" s="12">
        <v>44167</v>
      </c>
      <c r="O38" s="12" t="s">
        <v>152</v>
      </c>
      <c r="P38" s="10" t="s">
        <v>107</v>
      </c>
      <c r="Q38" s="12">
        <v>44167</v>
      </c>
      <c r="R38" s="12" t="s">
        <v>74</v>
      </c>
      <c r="S38" s="12" t="s">
        <v>107</v>
      </c>
      <c r="T38" s="12">
        <v>44169</v>
      </c>
      <c r="U38" s="9" t="s">
        <v>71</v>
      </c>
      <c r="V38" s="9" t="s">
        <v>71</v>
      </c>
      <c r="W38" s="13">
        <v>44176</v>
      </c>
      <c r="X38" s="14" t="s">
        <v>62</v>
      </c>
      <c r="Y38" s="14" t="s">
        <v>73</v>
      </c>
      <c r="Z38" s="14" t="s">
        <v>77</v>
      </c>
      <c r="AA38" s="13" t="s">
        <v>84</v>
      </c>
      <c r="AB38" s="13">
        <v>44176</v>
      </c>
      <c r="AC38" s="14" t="s">
        <v>78</v>
      </c>
      <c r="AD38" s="13">
        <v>44176</v>
      </c>
      <c r="AE38" s="13">
        <v>44183</v>
      </c>
      <c r="AF38" s="14" t="s">
        <v>108</v>
      </c>
      <c r="AG38" s="14" t="s">
        <v>492</v>
      </c>
      <c r="AH38" s="14" t="s">
        <v>78</v>
      </c>
      <c r="AI38" s="14" t="s">
        <v>79</v>
      </c>
      <c r="AJ38" s="14" t="s">
        <v>80</v>
      </c>
      <c r="AK38" s="14" t="s">
        <v>148</v>
      </c>
      <c r="AL38" s="14" t="s">
        <v>88</v>
      </c>
      <c r="AM38" s="14" t="s">
        <v>139</v>
      </c>
      <c r="AN38" s="13" t="e">
        <f>#REF!</f>
        <v>#REF!</v>
      </c>
      <c r="AO38" s="13" t="e">
        <f>#REF!</f>
        <v>#REF!</v>
      </c>
      <c r="AP38" s="13">
        <v>44202</v>
      </c>
      <c r="AQ38" s="14" t="s">
        <v>10</v>
      </c>
      <c r="AR38" s="14" t="s">
        <v>2</v>
      </c>
      <c r="AS38" s="14">
        <v>15</v>
      </c>
      <c r="AT38" s="14"/>
      <c r="AU38" s="15"/>
    </row>
    <row r="39" spans="1:47" ht="28.5">
      <c r="A39" s="9" t="s">
        <v>599</v>
      </c>
      <c r="B39" s="9"/>
      <c r="C39" s="9" t="s">
        <v>600</v>
      </c>
      <c r="D39" s="9" t="s">
        <v>276</v>
      </c>
      <c r="E39" s="10"/>
      <c r="F39" s="10" t="s">
        <v>184</v>
      </c>
      <c r="G39" s="10" t="s">
        <v>578</v>
      </c>
      <c r="H39" s="12" t="s">
        <v>601</v>
      </c>
      <c r="I39" s="11" t="s">
        <v>602</v>
      </c>
      <c r="J39" s="12" t="s">
        <v>603</v>
      </c>
      <c r="K39" s="12" t="s">
        <v>215</v>
      </c>
      <c r="L39" s="11" t="s">
        <v>178</v>
      </c>
      <c r="M39" s="11" t="s">
        <v>78</v>
      </c>
      <c r="N39" s="12">
        <v>44167</v>
      </c>
      <c r="O39" s="12" t="s">
        <v>152</v>
      </c>
      <c r="P39" s="9" t="s">
        <v>107</v>
      </c>
      <c r="Q39" s="12">
        <v>44167</v>
      </c>
      <c r="R39" s="12" t="s">
        <v>74</v>
      </c>
      <c r="S39" s="12" t="s">
        <v>107</v>
      </c>
      <c r="T39" s="12">
        <v>44169</v>
      </c>
      <c r="U39" s="9" t="s">
        <v>600</v>
      </c>
      <c r="V39" s="9" t="s">
        <v>71</v>
      </c>
      <c r="W39" s="13">
        <v>44176</v>
      </c>
      <c r="X39" s="14" t="s">
        <v>208</v>
      </c>
      <c r="Y39" s="14" t="s">
        <v>73</v>
      </c>
      <c r="Z39" s="14" t="s">
        <v>134</v>
      </c>
      <c r="AA39" s="13">
        <v>44179</v>
      </c>
      <c r="AB39" s="13">
        <v>44176</v>
      </c>
      <c r="AC39" s="14" t="s">
        <v>78</v>
      </c>
      <c r="AD39" s="13">
        <v>44176</v>
      </c>
      <c r="AE39" s="13">
        <v>44183</v>
      </c>
      <c r="AF39" s="14" t="s">
        <v>108</v>
      </c>
      <c r="AG39" s="14" t="s">
        <v>604</v>
      </c>
      <c r="AH39" s="14" t="s">
        <v>78</v>
      </c>
      <c r="AI39" s="14" t="s">
        <v>79</v>
      </c>
      <c r="AJ39" s="14" t="s">
        <v>203</v>
      </c>
      <c r="AK39" s="14" t="s">
        <v>16</v>
      </c>
      <c r="AL39" s="14" t="s">
        <v>88</v>
      </c>
      <c r="AM39" s="14" t="s">
        <v>139</v>
      </c>
      <c r="AN39" s="13" t="e">
        <f>#REF!</f>
        <v>#REF!</v>
      </c>
      <c r="AO39" s="13" t="e">
        <f>#REF!</f>
        <v>#REF!</v>
      </c>
      <c r="AP39" s="13">
        <v>44202</v>
      </c>
      <c r="AQ39" s="14" t="s">
        <v>10</v>
      </c>
      <c r="AR39" s="14" t="s">
        <v>1</v>
      </c>
      <c r="AS39" s="14">
        <v>15</v>
      </c>
      <c r="AT39" s="14"/>
      <c r="AU39" s="15"/>
    </row>
    <row r="40" spans="1:47" ht="28.5">
      <c r="A40" s="9" t="s">
        <v>616</v>
      </c>
      <c r="B40" s="9"/>
      <c r="C40" s="9" t="s">
        <v>62</v>
      </c>
      <c r="D40" s="9" t="s">
        <v>63</v>
      </c>
      <c r="E40" s="10"/>
      <c r="F40" s="10" t="s">
        <v>617</v>
      </c>
      <c r="G40" s="10" t="s">
        <v>618</v>
      </c>
      <c r="H40" s="12" t="s">
        <v>619</v>
      </c>
      <c r="I40" s="11" t="s">
        <v>620</v>
      </c>
      <c r="J40" s="12"/>
      <c r="K40" s="12" t="s">
        <v>70</v>
      </c>
      <c r="L40" s="11" t="s">
        <v>71</v>
      </c>
      <c r="M40" s="11" t="s">
        <v>78</v>
      </c>
      <c r="N40" s="12">
        <v>44167</v>
      </c>
      <c r="O40" s="12" t="s">
        <v>152</v>
      </c>
      <c r="P40" s="9" t="s">
        <v>107</v>
      </c>
      <c r="Q40" s="12">
        <v>44167</v>
      </c>
      <c r="R40" s="12" t="s">
        <v>74</v>
      </c>
      <c r="S40" s="12" t="s">
        <v>107</v>
      </c>
      <c r="T40" s="12">
        <v>44169</v>
      </c>
      <c r="U40" s="9" t="s">
        <v>71</v>
      </c>
      <c r="V40" s="9" t="s">
        <v>71</v>
      </c>
      <c r="W40" s="13">
        <v>44176</v>
      </c>
      <c r="X40" s="14" t="s">
        <v>62</v>
      </c>
      <c r="Y40" s="14" t="s">
        <v>73</v>
      </c>
      <c r="Z40" s="14" t="s">
        <v>77</v>
      </c>
      <c r="AA40" s="13" t="s">
        <v>84</v>
      </c>
      <c r="AB40" s="13">
        <v>44176</v>
      </c>
      <c r="AC40" s="14" t="s">
        <v>78</v>
      </c>
      <c r="AD40" s="13">
        <v>44176</v>
      </c>
      <c r="AE40" s="13">
        <v>44183</v>
      </c>
      <c r="AF40" s="14" t="s">
        <v>108</v>
      </c>
      <c r="AG40" s="14"/>
      <c r="AH40" s="14" t="s">
        <v>78</v>
      </c>
      <c r="AI40" s="14" t="s">
        <v>79</v>
      </c>
      <c r="AJ40" s="14" t="s">
        <v>80</v>
      </c>
      <c r="AK40" s="14" t="s">
        <v>16</v>
      </c>
      <c r="AL40" s="14" t="s">
        <v>259</v>
      </c>
      <c r="AM40" s="14" t="s">
        <v>139</v>
      </c>
      <c r="AN40" s="13" t="e">
        <f>#REF!</f>
        <v>#REF!</v>
      </c>
      <c r="AO40" s="13" t="e">
        <f>#REF!</f>
        <v>#REF!</v>
      </c>
      <c r="AP40" s="13">
        <v>44202</v>
      </c>
      <c r="AQ40" s="14" t="s">
        <v>10</v>
      </c>
      <c r="AR40" s="14" t="s">
        <v>2</v>
      </c>
      <c r="AS40" s="14">
        <v>5</v>
      </c>
      <c r="AT40" s="14"/>
      <c r="AU40" s="15"/>
    </row>
    <row r="41" spans="1:47" ht="28.5">
      <c r="A41" s="9" t="s">
        <v>621</v>
      </c>
      <c r="B41" s="9"/>
      <c r="C41" s="9" t="s">
        <v>62</v>
      </c>
      <c r="D41" s="9" t="s">
        <v>63</v>
      </c>
      <c r="E41" s="10"/>
      <c r="F41" s="10" t="s">
        <v>617</v>
      </c>
      <c r="G41" s="10" t="s">
        <v>618</v>
      </c>
      <c r="H41" s="12" t="s">
        <v>622</v>
      </c>
      <c r="I41" s="11" t="s">
        <v>623</v>
      </c>
      <c r="J41" s="12"/>
      <c r="K41" s="12" t="s">
        <v>70</v>
      </c>
      <c r="L41" s="11" t="s">
        <v>71</v>
      </c>
      <c r="M41" s="11" t="s">
        <v>78</v>
      </c>
      <c r="N41" s="12">
        <v>44167</v>
      </c>
      <c r="O41" s="12" t="s">
        <v>152</v>
      </c>
      <c r="P41" s="9" t="s">
        <v>107</v>
      </c>
      <c r="Q41" s="12">
        <v>44167</v>
      </c>
      <c r="R41" s="12" t="s">
        <v>74</v>
      </c>
      <c r="S41" s="12" t="s">
        <v>107</v>
      </c>
      <c r="T41" s="12">
        <v>44169</v>
      </c>
      <c r="U41" s="9" t="s">
        <v>71</v>
      </c>
      <c r="V41" s="9" t="s">
        <v>71</v>
      </c>
      <c r="W41" s="13">
        <v>44176</v>
      </c>
      <c r="X41" s="14" t="s">
        <v>62</v>
      </c>
      <c r="Y41" s="14" t="s">
        <v>73</v>
      </c>
      <c r="Z41" s="14" t="s">
        <v>77</v>
      </c>
      <c r="AA41" s="13" t="s">
        <v>84</v>
      </c>
      <c r="AB41" s="13">
        <v>44176</v>
      </c>
      <c r="AC41" s="14" t="s">
        <v>78</v>
      </c>
      <c r="AD41" s="13">
        <v>44176</v>
      </c>
      <c r="AE41" s="13">
        <v>44183</v>
      </c>
      <c r="AF41" s="14" t="s">
        <v>108</v>
      </c>
      <c r="AG41" s="14"/>
      <c r="AH41" s="14" t="s">
        <v>78</v>
      </c>
      <c r="AI41" s="14" t="s">
        <v>79</v>
      </c>
      <c r="AJ41" s="14" t="s">
        <v>80</v>
      </c>
      <c r="AK41" s="14" t="s">
        <v>16</v>
      </c>
      <c r="AL41" s="14" t="s">
        <v>259</v>
      </c>
      <c r="AM41" s="14" t="s">
        <v>139</v>
      </c>
      <c r="AN41" s="13" t="e">
        <f>#REF!</f>
        <v>#REF!</v>
      </c>
      <c r="AO41" s="13" t="e">
        <f>#REF!</f>
        <v>#REF!</v>
      </c>
      <c r="AP41" s="13">
        <v>44202</v>
      </c>
      <c r="AQ41" s="14" t="s">
        <v>10</v>
      </c>
      <c r="AR41" s="14" t="s">
        <v>2</v>
      </c>
      <c r="AS41" s="14">
        <v>8</v>
      </c>
      <c r="AT41" s="14"/>
      <c r="AU41" s="15"/>
    </row>
    <row r="42" spans="1:47" ht="28.5">
      <c r="A42" s="9" t="s">
        <v>624</v>
      </c>
      <c r="B42" s="9"/>
      <c r="C42" s="9" t="s">
        <v>62</v>
      </c>
      <c r="D42" s="9" t="s">
        <v>63</v>
      </c>
      <c r="E42" s="10"/>
      <c r="F42" s="10" t="s">
        <v>617</v>
      </c>
      <c r="G42" s="10" t="s">
        <v>618</v>
      </c>
      <c r="H42" s="12" t="s">
        <v>625</v>
      </c>
      <c r="I42" s="11" t="s">
        <v>626</v>
      </c>
      <c r="J42" s="12"/>
      <c r="K42" s="12" t="s">
        <v>70</v>
      </c>
      <c r="L42" s="11" t="s">
        <v>71</v>
      </c>
      <c r="M42" s="11" t="s">
        <v>78</v>
      </c>
      <c r="N42" s="12">
        <v>44167</v>
      </c>
      <c r="O42" s="12" t="s">
        <v>152</v>
      </c>
      <c r="P42" s="9" t="s">
        <v>107</v>
      </c>
      <c r="Q42" s="12">
        <v>44167</v>
      </c>
      <c r="R42" s="12" t="s">
        <v>74</v>
      </c>
      <c r="S42" s="12" t="s">
        <v>107</v>
      </c>
      <c r="T42" s="12">
        <v>44169</v>
      </c>
      <c r="U42" s="9" t="s">
        <v>71</v>
      </c>
      <c r="V42" s="9" t="s">
        <v>71</v>
      </c>
      <c r="W42" s="13">
        <v>44176</v>
      </c>
      <c r="X42" s="14" t="s">
        <v>62</v>
      </c>
      <c r="Y42" s="14" t="s">
        <v>73</v>
      </c>
      <c r="Z42" s="14" t="s">
        <v>77</v>
      </c>
      <c r="AA42" s="13" t="s">
        <v>84</v>
      </c>
      <c r="AB42" s="13">
        <v>44176</v>
      </c>
      <c r="AC42" s="14" t="s">
        <v>78</v>
      </c>
      <c r="AD42" s="13">
        <v>44176</v>
      </c>
      <c r="AE42" s="13">
        <v>44183</v>
      </c>
      <c r="AF42" s="14" t="s">
        <v>108</v>
      </c>
      <c r="AG42" s="14"/>
      <c r="AH42" s="14" t="s">
        <v>78</v>
      </c>
      <c r="AI42" s="14" t="s">
        <v>79</v>
      </c>
      <c r="AJ42" s="14" t="s">
        <v>80</v>
      </c>
      <c r="AK42" s="14" t="s">
        <v>16</v>
      </c>
      <c r="AL42" s="14" t="s">
        <v>259</v>
      </c>
      <c r="AM42" s="14" t="s">
        <v>139</v>
      </c>
      <c r="AN42" s="13" t="e">
        <f>#REF!</f>
        <v>#REF!</v>
      </c>
      <c r="AO42" s="13" t="e">
        <f>#REF!</f>
        <v>#REF!</v>
      </c>
      <c r="AP42" s="13">
        <v>44202</v>
      </c>
      <c r="AQ42" s="14" t="s">
        <v>10</v>
      </c>
      <c r="AR42" s="14" t="s">
        <v>2</v>
      </c>
      <c r="AS42" s="14">
        <v>5</v>
      </c>
      <c r="AT42" s="14"/>
      <c r="AU42" s="15"/>
    </row>
    <row r="43" spans="1:47" ht="42.75">
      <c r="A43" s="9" t="s">
        <v>627</v>
      </c>
      <c r="B43" s="9"/>
      <c r="C43" s="9" t="s">
        <v>62</v>
      </c>
      <c r="D43" s="9" t="s">
        <v>63</v>
      </c>
      <c r="E43" s="10"/>
      <c r="F43" s="10" t="s">
        <v>231</v>
      </c>
      <c r="G43" s="10" t="s">
        <v>231</v>
      </c>
      <c r="H43" s="12" t="s">
        <v>628</v>
      </c>
      <c r="I43" s="11" t="s">
        <v>629</v>
      </c>
      <c r="J43" s="12" t="s">
        <v>630</v>
      </c>
      <c r="K43" s="12" t="s">
        <v>70</v>
      </c>
      <c r="L43" s="11" t="s">
        <v>71</v>
      </c>
      <c r="M43" s="11" t="s">
        <v>78</v>
      </c>
      <c r="N43" s="12">
        <v>44167</v>
      </c>
      <c r="O43" s="12" t="s">
        <v>152</v>
      </c>
      <c r="P43" s="9" t="s">
        <v>107</v>
      </c>
      <c r="Q43" s="12">
        <v>44167</v>
      </c>
      <c r="R43" s="12" t="s">
        <v>74</v>
      </c>
      <c r="S43" s="12" t="s">
        <v>107</v>
      </c>
      <c r="T43" s="12">
        <v>44169</v>
      </c>
      <c r="U43" s="9" t="s">
        <v>71</v>
      </c>
      <c r="V43" s="9" t="s">
        <v>71</v>
      </c>
      <c r="W43" s="13">
        <v>44176</v>
      </c>
      <c r="X43" s="14" t="s">
        <v>62</v>
      </c>
      <c r="Y43" s="14" t="s">
        <v>73</v>
      </c>
      <c r="Z43" s="14" t="s">
        <v>77</v>
      </c>
      <c r="AA43" s="13" t="s">
        <v>84</v>
      </c>
      <c r="AB43" s="13">
        <v>44176</v>
      </c>
      <c r="AC43" s="14" t="s">
        <v>78</v>
      </c>
      <c r="AD43" s="13">
        <v>44176</v>
      </c>
      <c r="AE43" s="13">
        <v>44183</v>
      </c>
      <c r="AF43" s="14" t="s">
        <v>108</v>
      </c>
      <c r="AG43" s="14"/>
      <c r="AH43" s="14" t="s">
        <v>78</v>
      </c>
      <c r="AI43" s="14" t="s">
        <v>79</v>
      </c>
      <c r="AJ43" s="14" t="s">
        <v>80</v>
      </c>
      <c r="AK43" s="14" t="s">
        <v>16</v>
      </c>
      <c r="AL43" s="14" t="s">
        <v>88</v>
      </c>
      <c r="AM43" s="14" t="s">
        <v>139</v>
      </c>
      <c r="AN43" s="13" t="e">
        <f>#REF!</f>
        <v>#REF!</v>
      </c>
      <c r="AO43" s="13" t="e">
        <f>#REF!</f>
        <v>#REF!</v>
      </c>
      <c r="AP43" s="13">
        <v>44202</v>
      </c>
      <c r="AQ43" s="14" t="s">
        <v>10</v>
      </c>
      <c r="AR43" s="14" t="s">
        <v>2</v>
      </c>
      <c r="AS43" s="14">
        <v>4</v>
      </c>
      <c r="AT43" s="14"/>
      <c r="AU43" s="15"/>
    </row>
    <row r="44" spans="1:47" ht="142.5">
      <c r="A44" s="9" t="s">
        <v>102</v>
      </c>
      <c r="B44" s="9" t="s">
        <v>103</v>
      </c>
      <c r="C44" s="9" t="s">
        <v>62</v>
      </c>
      <c r="D44" s="9" t="s">
        <v>63</v>
      </c>
      <c r="E44" s="16" t="s">
        <v>64</v>
      </c>
      <c r="F44" s="10" t="s">
        <v>65</v>
      </c>
      <c r="G44" s="10" t="s">
        <v>66</v>
      </c>
      <c r="H44" s="11" t="s">
        <v>104</v>
      </c>
      <c r="I44" s="11" t="s">
        <v>105</v>
      </c>
      <c r="J44" s="9" t="s">
        <v>69</v>
      </c>
      <c r="K44" s="9" t="s">
        <v>70</v>
      </c>
      <c r="L44" s="10" t="s">
        <v>71</v>
      </c>
      <c r="M44" s="11" t="s">
        <v>71</v>
      </c>
      <c r="N44" s="12">
        <v>44169</v>
      </c>
      <c r="O44" s="12" t="s">
        <v>72</v>
      </c>
      <c r="P44" s="10" t="s">
        <v>73</v>
      </c>
      <c r="Q44" s="12">
        <v>44172</v>
      </c>
      <c r="R44" s="12" t="s">
        <v>74</v>
      </c>
      <c r="S44" s="12" t="s">
        <v>78</v>
      </c>
      <c r="T44" s="12">
        <v>44175</v>
      </c>
      <c r="U44" s="9" t="s">
        <v>71</v>
      </c>
      <c r="V44" s="10" t="s">
        <v>106</v>
      </c>
      <c r="W44" s="13">
        <v>44175</v>
      </c>
      <c r="X44" s="14" t="s">
        <v>62</v>
      </c>
      <c r="Y44" s="14" t="s">
        <v>107</v>
      </c>
      <c r="Z44" s="14" t="s">
        <v>77</v>
      </c>
      <c r="AA44" s="13" t="s">
        <v>109</v>
      </c>
      <c r="AB44" s="13">
        <v>44182</v>
      </c>
      <c r="AC44" s="14" t="s">
        <v>78</v>
      </c>
      <c r="AD44" s="13">
        <v>44182</v>
      </c>
      <c r="AE44" s="13">
        <v>44196</v>
      </c>
      <c r="AF44" s="14" t="s">
        <v>108</v>
      </c>
      <c r="AG44" s="14"/>
      <c r="AH44" s="14" t="s">
        <v>78</v>
      </c>
      <c r="AI44" s="14" t="s">
        <v>79</v>
      </c>
      <c r="AJ44" s="14" t="s">
        <v>80</v>
      </c>
      <c r="AK44" s="14" t="s">
        <v>81</v>
      </c>
      <c r="AL44" s="14" t="s">
        <v>9</v>
      </c>
      <c r="AM44" s="14" t="s">
        <v>82</v>
      </c>
      <c r="AN44" s="13" t="e">
        <f>#REF!</f>
        <v>#REF!</v>
      </c>
      <c r="AO44" s="13" t="e">
        <f>#REF!</f>
        <v>#REF!</v>
      </c>
      <c r="AP44" s="13">
        <v>44216</v>
      </c>
      <c r="AQ44" s="14" t="s">
        <v>10</v>
      </c>
      <c r="AR44" s="14" t="s">
        <v>2</v>
      </c>
      <c r="AS44" s="14">
        <v>10</v>
      </c>
      <c r="AT44" s="14"/>
      <c r="AU44" s="15"/>
    </row>
    <row r="45" spans="1:47" ht="71.25">
      <c r="A45" s="9" t="s">
        <v>149</v>
      </c>
      <c r="B45" s="9"/>
      <c r="C45" s="9" t="s">
        <v>62</v>
      </c>
      <c r="D45" s="9" t="s">
        <v>63</v>
      </c>
      <c r="E45" s="10"/>
      <c r="F45" s="10" t="s">
        <v>129</v>
      </c>
      <c r="G45" s="10" t="s">
        <v>150</v>
      </c>
      <c r="H45" s="11" t="s">
        <v>750</v>
      </c>
      <c r="I45" s="11" t="s">
        <v>151</v>
      </c>
      <c r="J45" s="9"/>
      <c r="K45" s="12" t="s">
        <v>70</v>
      </c>
      <c r="L45" s="10" t="s">
        <v>71</v>
      </c>
      <c r="M45" s="11" t="s">
        <v>71</v>
      </c>
      <c r="N45" s="12">
        <v>44169</v>
      </c>
      <c r="O45" s="12" t="s">
        <v>152</v>
      </c>
      <c r="P45" s="10" t="s">
        <v>78</v>
      </c>
      <c r="Q45" s="12">
        <v>44172</v>
      </c>
      <c r="R45" s="12" t="s">
        <v>74</v>
      </c>
      <c r="S45" s="12" t="s">
        <v>78</v>
      </c>
      <c r="T45" s="12">
        <v>44175</v>
      </c>
      <c r="U45" s="9" t="s">
        <v>71</v>
      </c>
      <c r="V45" s="10" t="s">
        <v>75</v>
      </c>
      <c r="W45" s="13">
        <v>44175</v>
      </c>
      <c r="X45" s="14" t="s">
        <v>62</v>
      </c>
      <c r="Y45" s="14" t="s">
        <v>78</v>
      </c>
      <c r="Z45" s="14" t="s">
        <v>77</v>
      </c>
      <c r="AA45" s="13" t="s">
        <v>84</v>
      </c>
      <c r="AB45" s="13">
        <v>44182</v>
      </c>
      <c r="AC45" s="14" t="s">
        <v>78</v>
      </c>
      <c r="AD45" s="13">
        <v>44182</v>
      </c>
      <c r="AE45" s="13">
        <v>44196</v>
      </c>
      <c r="AF45" s="14" t="s">
        <v>108</v>
      </c>
      <c r="AG45" s="14"/>
      <c r="AH45" s="14" t="s">
        <v>78</v>
      </c>
      <c r="AI45" s="14" t="s">
        <v>79</v>
      </c>
      <c r="AJ45" s="14" t="s">
        <v>80</v>
      </c>
      <c r="AK45" s="14" t="s">
        <v>8</v>
      </c>
      <c r="AL45" s="14" t="s">
        <v>11</v>
      </c>
      <c r="AM45" s="14" t="s">
        <v>82</v>
      </c>
      <c r="AN45" s="13" t="e">
        <f>#REF!</f>
        <v>#REF!</v>
      </c>
      <c r="AO45" s="13" t="e">
        <f>#REF!</f>
        <v>#REF!</v>
      </c>
      <c r="AP45" s="13">
        <v>44216</v>
      </c>
      <c r="AQ45" s="14" t="s">
        <v>10</v>
      </c>
      <c r="AR45" s="14" t="s">
        <v>1</v>
      </c>
      <c r="AS45" s="14">
        <v>10</v>
      </c>
      <c r="AT45" s="14"/>
      <c r="AU45" s="15"/>
    </row>
    <row r="46" spans="1:47" ht="42.75">
      <c r="A46" s="9" t="s">
        <v>153</v>
      </c>
      <c r="B46" s="9"/>
      <c r="C46" s="9" t="s">
        <v>62</v>
      </c>
      <c r="D46" s="10" t="s">
        <v>63</v>
      </c>
      <c r="E46" s="10"/>
      <c r="F46" s="10" t="s">
        <v>129</v>
      </c>
      <c r="G46" s="10" t="s">
        <v>150</v>
      </c>
      <c r="H46" s="10" t="s">
        <v>154</v>
      </c>
      <c r="I46" s="10" t="s">
        <v>155</v>
      </c>
      <c r="J46" s="9"/>
      <c r="K46" s="9" t="s">
        <v>70</v>
      </c>
      <c r="L46" s="10" t="s">
        <v>71</v>
      </c>
      <c r="M46" s="10" t="s">
        <v>71</v>
      </c>
      <c r="N46" s="9">
        <v>44169</v>
      </c>
      <c r="O46" s="9" t="s">
        <v>152</v>
      </c>
      <c r="P46" s="9" t="s">
        <v>78</v>
      </c>
      <c r="Q46" s="12">
        <v>44172</v>
      </c>
      <c r="R46" s="12" t="s">
        <v>74</v>
      </c>
      <c r="S46" s="12" t="s">
        <v>78</v>
      </c>
      <c r="T46" s="9">
        <v>44175</v>
      </c>
      <c r="U46" s="9" t="s">
        <v>71</v>
      </c>
      <c r="V46" s="9" t="s">
        <v>75</v>
      </c>
      <c r="W46" s="13">
        <v>44175</v>
      </c>
      <c r="X46" s="14" t="s">
        <v>62</v>
      </c>
      <c r="Y46" s="14" t="s">
        <v>78</v>
      </c>
      <c r="Z46" s="14" t="s">
        <v>77</v>
      </c>
      <c r="AA46" s="13" t="s">
        <v>84</v>
      </c>
      <c r="AB46" s="13">
        <v>44182</v>
      </c>
      <c r="AC46" s="14" t="s">
        <v>78</v>
      </c>
      <c r="AD46" s="13">
        <v>44182</v>
      </c>
      <c r="AE46" s="13">
        <v>44196</v>
      </c>
      <c r="AF46" s="14" t="s">
        <v>108</v>
      </c>
      <c r="AG46" s="14"/>
      <c r="AH46" s="14" t="s">
        <v>78</v>
      </c>
      <c r="AI46" s="14" t="s">
        <v>79</v>
      </c>
      <c r="AJ46" s="14" t="s">
        <v>80</v>
      </c>
      <c r="AK46" s="14" t="s">
        <v>8</v>
      </c>
      <c r="AL46" s="14" t="s">
        <v>11</v>
      </c>
      <c r="AM46" s="14" t="s">
        <v>82</v>
      </c>
      <c r="AN46" s="13" t="e">
        <f>#REF!</f>
        <v>#REF!</v>
      </c>
      <c r="AO46" s="13" t="e">
        <f>#REF!</f>
        <v>#REF!</v>
      </c>
      <c r="AP46" s="13">
        <v>44216</v>
      </c>
      <c r="AQ46" s="14" t="s">
        <v>10</v>
      </c>
      <c r="AR46" s="14" t="s">
        <v>1</v>
      </c>
      <c r="AS46" s="14">
        <v>5</v>
      </c>
      <c r="AT46" s="14"/>
      <c r="AU46" s="15"/>
    </row>
    <row r="47" spans="1:47" ht="57">
      <c r="A47" s="9" t="s">
        <v>156</v>
      </c>
      <c r="B47" s="9"/>
      <c r="C47" s="9" t="s">
        <v>62</v>
      </c>
      <c r="D47" s="10" t="s">
        <v>63</v>
      </c>
      <c r="E47" s="10"/>
      <c r="F47" s="10" t="s">
        <v>129</v>
      </c>
      <c r="G47" s="10" t="s">
        <v>150</v>
      </c>
      <c r="H47" s="10" t="s">
        <v>157</v>
      </c>
      <c r="I47" s="10" t="s">
        <v>158</v>
      </c>
      <c r="J47" s="9"/>
      <c r="K47" s="9" t="s">
        <v>70</v>
      </c>
      <c r="L47" s="10" t="s">
        <v>71</v>
      </c>
      <c r="M47" s="10" t="s">
        <v>71</v>
      </c>
      <c r="N47" s="9">
        <v>44169</v>
      </c>
      <c r="O47" s="9" t="s">
        <v>152</v>
      </c>
      <c r="P47" s="9" t="s">
        <v>78</v>
      </c>
      <c r="Q47" s="12">
        <v>44172</v>
      </c>
      <c r="R47" s="12" t="s">
        <v>74</v>
      </c>
      <c r="S47" s="12" t="s">
        <v>78</v>
      </c>
      <c r="T47" s="9">
        <v>44175</v>
      </c>
      <c r="U47" s="9" t="s">
        <v>71</v>
      </c>
      <c r="V47" s="9" t="s">
        <v>75</v>
      </c>
      <c r="W47" s="13">
        <v>44175</v>
      </c>
      <c r="X47" s="14" t="s">
        <v>62</v>
      </c>
      <c r="Y47" s="14" t="s">
        <v>78</v>
      </c>
      <c r="Z47" s="14" t="s">
        <v>77</v>
      </c>
      <c r="AA47" s="13" t="s">
        <v>84</v>
      </c>
      <c r="AB47" s="13">
        <v>44182</v>
      </c>
      <c r="AC47" s="14" t="s">
        <v>78</v>
      </c>
      <c r="AD47" s="13">
        <v>44182</v>
      </c>
      <c r="AE47" s="13">
        <v>44196</v>
      </c>
      <c r="AF47" s="14" t="s">
        <v>108</v>
      </c>
      <c r="AG47" s="14"/>
      <c r="AH47" s="14" t="s">
        <v>78</v>
      </c>
      <c r="AI47" s="14" t="s">
        <v>79</v>
      </c>
      <c r="AJ47" s="14" t="s">
        <v>80</v>
      </c>
      <c r="AK47" s="14" t="s">
        <v>8</v>
      </c>
      <c r="AL47" s="14" t="s">
        <v>11</v>
      </c>
      <c r="AM47" s="14" t="s">
        <v>82</v>
      </c>
      <c r="AN47" s="13" t="e">
        <f>#REF!</f>
        <v>#REF!</v>
      </c>
      <c r="AO47" s="13" t="e">
        <f>#REF!</f>
        <v>#REF!</v>
      </c>
      <c r="AP47" s="13">
        <v>44216</v>
      </c>
      <c r="AQ47" s="14" t="s">
        <v>10</v>
      </c>
      <c r="AR47" s="14" t="s">
        <v>1</v>
      </c>
      <c r="AS47" s="14">
        <v>5</v>
      </c>
      <c r="AT47" s="14"/>
      <c r="AU47" s="15"/>
    </row>
    <row r="48" spans="1:47" ht="28.5">
      <c r="A48" s="9" t="s">
        <v>209</v>
      </c>
      <c r="B48" s="9"/>
      <c r="C48" s="9" t="s">
        <v>62</v>
      </c>
      <c r="D48" s="10" t="s">
        <v>210</v>
      </c>
      <c r="E48" s="10" t="s">
        <v>211</v>
      </c>
      <c r="F48" s="10" t="s">
        <v>212</v>
      </c>
      <c r="G48" s="10" t="s">
        <v>213</v>
      </c>
      <c r="H48" s="12" t="s">
        <v>213</v>
      </c>
      <c r="I48" s="11" t="s">
        <v>214</v>
      </c>
      <c r="J48" s="12"/>
      <c r="K48" s="12" t="s">
        <v>215</v>
      </c>
      <c r="L48" s="10" t="s">
        <v>178</v>
      </c>
      <c r="M48" s="11" t="s">
        <v>78</v>
      </c>
      <c r="N48" s="12">
        <v>44169</v>
      </c>
      <c r="O48" s="12" t="s">
        <v>152</v>
      </c>
      <c r="P48" s="10" t="s">
        <v>78</v>
      </c>
      <c r="Q48" s="12">
        <v>44172</v>
      </c>
      <c r="R48" s="12" t="s">
        <v>74</v>
      </c>
      <c r="S48" s="12" t="s">
        <v>78</v>
      </c>
      <c r="T48" s="12">
        <v>44175</v>
      </c>
      <c r="U48" s="9" t="s">
        <v>71</v>
      </c>
      <c r="V48" s="9" t="s">
        <v>71</v>
      </c>
      <c r="W48" s="13">
        <v>44175</v>
      </c>
      <c r="X48" s="14" t="s">
        <v>62</v>
      </c>
      <c r="Y48" s="14" t="s">
        <v>78</v>
      </c>
      <c r="Z48" s="14" t="s">
        <v>134</v>
      </c>
      <c r="AA48" s="13">
        <v>44193</v>
      </c>
      <c r="AB48" s="13">
        <v>44182</v>
      </c>
      <c r="AC48" s="14" t="s">
        <v>78</v>
      </c>
      <c r="AD48" s="13">
        <v>44182</v>
      </c>
      <c r="AE48" s="13">
        <v>44196</v>
      </c>
      <c r="AF48" s="14" t="s">
        <v>108</v>
      </c>
      <c r="AG48" s="14"/>
      <c r="AH48" s="14" t="s">
        <v>78</v>
      </c>
      <c r="AI48" s="14" t="s">
        <v>79</v>
      </c>
      <c r="AJ48" s="14" t="s">
        <v>80</v>
      </c>
      <c r="AK48" s="14" t="s">
        <v>9</v>
      </c>
      <c r="AL48" s="14" t="s">
        <v>8</v>
      </c>
      <c r="AM48" s="14" t="s">
        <v>82</v>
      </c>
      <c r="AN48" s="13" t="e">
        <f>#REF!</f>
        <v>#REF!</v>
      </c>
      <c r="AO48" s="13" t="e">
        <f>#REF!</f>
        <v>#REF!</v>
      </c>
      <c r="AP48" s="13">
        <v>44216</v>
      </c>
      <c r="AQ48" s="14" t="s">
        <v>10</v>
      </c>
      <c r="AR48" s="14" t="s">
        <v>1</v>
      </c>
      <c r="AS48" s="14">
        <v>2</v>
      </c>
      <c r="AT48" s="14"/>
      <c r="AU48" s="15"/>
    </row>
    <row r="49" spans="1:47" ht="28.5">
      <c r="A49" s="9" t="s">
        <v>216</v>
      </c>
      <c r="B49" s="9"/>
      <c r="C49" s="9" t="s">
        <v>62</v>
      </c>
      <c r="D49" s="10" t="s">
        <v>210</v>
      </c>
      <c r="E49" s="10" t="s">
        <v>211</v>
      </c>
      <c r="F49" s="10" t="s">
        <v>212</v>
      </c>
      <c r="G49" s="10" t="s">
        <v>217</v>
      </c>
      <c r="H49" s="12" t="s">
        <v>217</v>
      </c>
      <c r="I49" s="11" t="s">
        <v>218</v>
      </c>
      <c r="J49" s="12"/>
      <c r="K49" s="12" t="s">
        <v>215</v>
      </c>
      <c r="L49" s="10" t="s">
        <v>178</v>
      </c>
      <c r="M49" s="11" t="s">
        <v>78</v>
      </c>
      <c r="N49" s="12">
        <v>44169</v>
      </c>
      <c r="O49" s="12" t="s">
        <v>152</v>
      </c>
      <c r="P49" s="10" t="s">
        <v>78</v>
      </c>
      <c r="Q49" s="12">
        <v>44172</v>
      </c>
      <c r="R49" s="12" t="s">
        <v>74</v>
      </c>
      <c r="S49" s="12" t="s">
        <v>78</v>
      </c>
      <c r="T49" s="12">
        <v>44175</v>
      </c>
      <c r="U49" s="9" t="s">
        <v>71</v>
      </c>
      <c r="V49" s="9" t="s">
        <v>71</v>
      </c>
      <c r="W49" s="13">
        <v>44175</v>
      </c>
      <c r="X49" s="14" t="s">
        <v>62</v>
      </c>
      <c r="Y49" s="14" t="s">
        <v>78</v>
      </c>
      <c r="Z49" s="14" t="s">
        <v>134</v>
      </c>
      <c r="AA49" s="13">
        <v>44193</v>
      </c>
      <c r="AB49" s="13">
        <v>44182</v>
      </c>
      <c r="AC49" s="14" t="s">
        <v>78</v>
      </c>
      <c r="AD49" s="13">
        <v>44182</v>
      </c>
      <c r="AE49" s="13">
        <v>44196</v>
      </c>
      <c r="AF49" s="14" t="s">
        <v>108</v>
      </c>
      <c r="AG49" s="14"/>
      <c r="AH49" s="14" t="s">
        <v>78</v>
      </c>
      <c r="AI49" s="14" t="s">
        <v>79</v>
      </c>
      <c r="AJ49" s="14" t="s">
        <v>80</v>
      </c>
      <c r="AK49" s="14" t="s">
        <v>9</v>
      </c>
      <c r="AL49" s="14" t="s">
        <v>8</v>
      </c>
      <c r="AM49" s="14" t="s">
        <v>82</v>
      </c>
      <c r="AN49" s="13" t="e">
        <f>#REF!</f>
        <v>#REF!</v>
      </c>
      <c r="AO49" s="13" t="e">
        <f>#REF!</f>
        <v>#REF!</v>
      </c>
      <c r="AP49" s="13">
        <v>44216</v>
      </c>
      <c r="AQ49" s="14" t="s">
        <v>10</v>
      </c>
      <c r="AR49" s="14" t="s">
        <v>1</v>
      </c>
      <c r="AS49" s="14">
        <v>2</v>
      </c>
      <c r="AT49" s="14"/>
      <c r="AU49" s="15"/>
    </row>
    <row r="50" spans="1:47" ht="142.5">
      <c r="A50" s="9" t="s">
        <v>239</v>
      </c>
      <c r="B50" s="9"/>
      <c r="C50" s="9" t="s">
        <v>62</v>
      </c>
      <c r="D50" s="10" t="s">
        <v>63</v>
      </c>
      <c r="E50" s="10"/>
      <c r="F50" s="10" t="s">
        <v>240</v>
      </c>
      <c r="G50" s="10" t="s">
        <v>241</v>
      </c>
      <c r="H50" s="12" t="s">
        <v>242</v>
      </c>
      <c r="I50" s="11" t="s">
        <v>243</v>
      </c>
      <c r="J50" s="12"/>
      <c r="K50" s="12" t="s">
        <v>70</v>
      </c>
      <c r="L50" s="10" t="s">
        <v>71</v>
      </c>
      <c r="M50" s="11" t="s">
        <v>71</v>
      </c>
      <c r="N50" s="12">
        <v>44169</v>
      </c>
      <c r="O50" s="12" t="s">
        <v>152</v>
      </c>
      <c r="P50" s="10" t="s">
        <v>78</v>
      </c>
      <c r="Q50" s="12">
        <v>44172</v>
      </c>
      <c r="R50" s="12" t="s">
        <v>74</v>
      </c>
      <c r="S50" s="12" t="s">
        <v>78</v>
      </c>
      <c r="T50" s="12">
        <v>44175</v>
      </c>
      <c r="U50" s="9" t="s">
        <v>71</v>
      </c>
      <c r="V50" s="9" t="s">
        <v>71</v>
      </c>
      <c r="W50" s="13">
        <v>44175</v>
      </c>
      <c r="X50" s="14" t="s">
        <v>62</v>
      </c>
      <c r="Y50" s="14" t="s">
        <v>78</v>
      </c>
      <c r="Z50" s="14" t="s">
        <v>77</v>
      </c>
      <c r="AA50" s="13" t="s">
        <v>84</v>
      </c>
      <c r="AB50" s="13">
        <v>44182</v>
      </c>
      <c r="AC50" s="14" t="s">
        <v>78</v>
      </c>
      <c r="AD50" s="13">
        <v>44182</v>
      </c>
      <c r="AE50" s="13">
        <v>44196</v>
      </c>
      <c r="AF50" s="14" t="s">
        <v>108</v>
      </c>
      <c r="AG50" s="14"/>
      <c r="AH50" s="14" t="s">
        <v>78</v>
      </c>
      <c r="AI50" s="14" t="s">
        <v>79</v>
      </c>
      <c r="AJ50" s="14" t="s">
        <v>80</v>
      </c>
      <c r="AK50" s="14" t="s">
        <v>11</v>
      </c>
      <c r="AL50" s="14" t="s">
        <v>11</v>
      </c>
      <c r="AM50" s="14" t="s">
        <v>82</v>
      </c>
      <c r="AN50" s="13" t="e">
        <f>#REF!</f>
        <v>#REF!</v>
      </c>
      <c r="AO50" s="13" t="e">
        <f>#REF!</f>
        <v>#REF!</v>
      </c>
      <c r="AP50" s="13">
        <v>44216</v>
      </c>
      <c r="AQ50" s="14" t="s">
        <v>10</v>
      </c>
      <c r="AR50" s="14" t="s">
        <v>2</v>
      </c>
      <c r="AS50" s="14">
        <v>20</v>
      </c>
      <c r="AT50" s="14"/>
      <c r="AU50" s="15"/>
    </row>
    <row r="51" spans="1:47" ht="28.5">
      <c r="A51" s="9" t="s">
        <v>275</v>
      </c>
      <c r="B51" s="9"/>
      <c r="C51" s="9"/>
      <c r="D51" s="9" t="s">
        <v>276</v>
      </c>
      <c r="E51" s="10" t="s">
        <v>277</v>
      </c>
      <c r="F51" s="10" t="s">
        <v>261</v>
      </c>
      <c r="G51" s="10" t="s">
        <v>278</v>
      </c>
      <c r="H51" s="11" t="s">
        <v>279</v>
      </c>
      <c r="I51" s="11" t="s">
        <v>280</v>
      </c>
      <c r="J51" s="12"/>
      <c r="K51" s="12" t="s">
        <v>215</v>
      </c>
      <c r="L51" s="11" t="s">
        <v>178</v>
      </c>
      <c r="M51" s="11" t="s">
        <v>78</v>
      </c>
      <c r="N51" s="12">
        <v>44169</v>
      </c>
      <c r="O51" s="12" t="s">
        <v>72</v>
      </c>
      <c r="P51" s="10" t="s">
        <v>78</v>
      </c>
      <c r="Q51" s="12">
        <v>44172</v>
      </c>
      <c r="R51" s="12" t="s">
        <v>74</v>
      </c>
      <c r="S51" s="12" t="s">
        <v>78</v>
      </c>
      <c r="T51" s="12">
        <v>44175</v>
      </c>
      <c r="U51" s="9" t="s">
        <v>76</v>
      </c>
      <c r="V51" s="9" t="s">
        <v>75</v>
      </c>
      <c r="W51" s="13">
        <v>44175</v>
      </c>
      <c r="X51" s="14" t="s">
        <v>208</v>
      </c>
      <c r="Y51" s="14" t="s">
        <v>78</v>
      </c>
      <c r="Z51" s="14" t="s">
        <v>134</v>
      </c>
      <c r="AA51" s="13">
        <v>44193</v>
      </c>
      <c r="AB51" s="13">
        <v>44182</v>
      </c>
      <c r="AC51" s="14" t="s">
        <v>78</v>
      </c>
      <c r="AD51" s="13">
        <v>44182</v>
      </c>
      <c r="AE51" s="13">
        <v>44196</v>
      </c>
      <c r="AF51" s="14" t="s">
        <v>108</v>
      </c>
      <c r="AG51" s="14"/>
      <c r="AH51" s="14" t="s">
        <v>78</v>
      </c>
      <c r="AI51" s="14" t="s">
        <v>79</v>
      </c>
      <c r="AJ51" s="14" t="s">
        <v>203</v>
      </c>
      <c r="AK51" s="14" t="s">
        <v>139</v>
      </c>
      <c r="AL51" s="14" t="s">
        <v>139</v>
      </c>
      <c r="AM51" s="14" t="s">
        <v>82</v>
      </c>
      <c r="AN51" s="13" t="e">
        <f>#REF!</f>
        <v>#REF!</v>
      </c>
      <c r="AO51" s="13" t="e">
        <f>#REF!</f>
        <v>#REF!</v>
      </c>
      <c r="AP51" s="13">
        <v>44216</v>
      </c>
      <c r="AQ51" s="14" t="s">
        <v>10</v>
      </c>
      <c r="AR51" s="14" t="s">
        <v>2</v>
      </c>
      <c r="AS51" s="14">
        <v>2</v>
      </c>
      <c r="AT51" s="14"/>
      <c r="AU51" s="15"/>
    </row>
    <row r="52" spans="1:47" ht="99.75">
      <c r="A52" s="9" t="s">
        <v>321</v>
      </c>
      <c r="B52" s="9"/>
      <c r="C52" s="9" t="s">
        <v>62</v>
      </c>
      <c r="D52" s="9" t="s">
        <v>322</v>
      </c>
      <c r="E52" s="10"/>
      <c r="F52" s="10" t="s">
        <v>231</v>
      </c>
      <c r="G52" s="10" t="s">
        <v>231</v>
      </c>
      <c r="H52" s="12" t="s">
        <v>231</v>
      </c>
      <c r="I52" s="11" t="s">
        <v>323</v>
      </c>
      <c r="J52" s="12"/>
      <c r="K52" s="12" t="s">
        <v>215</v>
      </c>
      <c r="L52" s="11" t="s">
        <v>178</v>
      </c>
      <c r="M52" s="11" t="s">
        <v>78</v>
      </c>
      <c r="N52" s="12">
        <v>44169</v>
      </c>
      <c r="O52" s="12" t="s">
        <v>152</v>
      </c>
      <c r="P52" s="9" t="s">
        <v>78</v>
      </c>
      <c r="Q52" s="12">
        <v>44162</v>
      </c>
      <c r="R52" s="12" t="s">
        <v>74</v>
      </c>
      <c r="S52" s="12" t="s">
        <v>78</v>
      </c>
      <c r="T52" s="12">
        <v>44175</v>
      </c>
      <c r="U52" s="9" t="s">
        <v>71</v>
      </c>
      <c r="V52" s="9" t="s">
        <v>71</v>
      </c>
      <c r="W52" s="13">
        <v>44175</v>
      </c>
      <c r="X52" s="14" t="s">
        <v>62</v>
      </c>
      <c r="Y52" s="14" t="s">
        <v>78</v>
      </c>
      <c r="Z52" s="14" t="s">
        <v>134</v>
      </c>
      <c r="AA52" s="13">
        <v>44193</v>
      </c>
      <c r="AB52" s="13">
        <v>44182</v>
      </c>
      <c r="AC52" s="14" t="s">
        <v>78</v>
      </c>
      <c r="AD52" s="13">
        <v>44182</v>
      </c>
      <c r="AE52" s="13">
        <v>44196</v>
      </c>
      <c r="AF52" s="14" t="s">
        <v>108</v>
      </c>
      <c r="AG52" s="14"/>
      <c r="AH52" s="14" t="s">
        <v>78</v>
      </c>
      <c r="AI52" s="14" t="s">
        <v>79</v>
      </c>
      <c r="AJ52" s="14" t="s">
        <v>80</v>
      </c>
      <c r="AK52" s="14" t="s">
        <v>139</v>
      </c>
      <c r="AL52" s="14" t="s">
        <v>88</v>
      </c>
      <c r="AM52" s="14" t="s">
        <v>82</v>
      </c>
      <c r="AN52" s="13" t="e">
        <f>#REF!</f>
        <v>#REF!</v>
      </c>
      <c r="AO52" s="13" t="e">
        <f>#REF!</f>
        <v>#REF!</v>
      </c>
      <c r="AP52" s="13">
        <v>44216</v>
      </c>
      <c r="AQ52" s="14" t="s">
        <v>10</v>
      </c>
      <c r="AR52" s="14" t="s">
        <v>1</v>
      </c>
      <c r="AS52" s="14">
        <v>10</v>
      </c>
      <c r="AT52" s="14"/>
      <c r="AU52" s="15"/>
    </row>
    <row r="53" spans="1:47" ht="99.75">
      <c r="A53" s="9" t="s">
        <v>359</v>
      </c>
      <c r="B53" s="9"/>
      <c r="C53" s="9"/>
      <c r="D53" s="9" t="s">
        <v>63</v>
      </c>
      <c r="E53" s="10" t="s">
        <v>360</v>
      </c>
      <c r="F53" s="10" t="s">
        <v>344</v>
      </c>
      <c r="G53" s="10" t="s">
        <v>348</v>
      </c>
      <c r="H53" s="12" t="s">
        <v>361</v>
      </c>
      <c r="I53" s="11" t="s">
        <v>362</v>
      </c>
      <c r="J53" s="12"/>
      <c r="K53" s="12" t="s">
        <v>70</v>
      </c>
      <c r="L53" s="10" t="s">
        <v>178</v>
      </c>
      <c r="M53" s="11" t="s">
        <v>78</v>
      </c>
      <c r="N53" s="12">
        <v>44169</v>
      </c>
      <c r="O53" s="12" t="s">
        <v>152</v>
      </c>
      <c r="P53" s="10" t="s">
        <v>78</v>
      </c>
      <c r="Q53" s="12">
        <v>44172</v>
      </c>
      <c r="R53" s="12" t="s">
        <v>74</v>
      </c>
      <c r="S53" s="12" t="s">
        <v>78</v>
      </c>
      <c r="T53" s="11">
        <v>44175</v>
      </c>
      <c r="U53" s="9" t="s">
        <v>76</v>
      </c>
      <c r="V53" s="9"/>
      <c r="W53" s="13">
        <v>44175</v>
      </c>
      <c r="X53" s="14" t="s">
        <v>62</v>
      </c>
      <c r="Y53" s="14" t="s">
        <v>78</v>
      </c>
      <c r="Z53" s="14" t="s">
        <v>77</v>
      </c>
      <c r="AA53" s="13" t="s">
        <v>84</v>
      </c>
      <c r="AB53" s="13">
        <v>44182</v>
      </c>
      <c r="AC53" s="14" t="s">
        <v>78</v>
      </c>
      <c r="AD53" s="13">
        <v>44182</v>
      </c>
      <c r="AE53" s="13">
        <v>44196</v>
      </c>
      <c r="AF53" s="14" t="s">
        <v>108</v>
      </c>
      <c r="AG53" s="14"/>
      <c r="AH53" s="14" t="s">
        <v>78</v>
      </c>
      <c r="AI53" s="14" t="s">
        <v>79</v>
      </c>
      <c r="AJ53" s="14" t="s">
        <v>203</v>
      </c>
      <c r="AK53" s="14" t="s">
        <v>82</v>
      </c>
      <c r="AL53" s="14" t="s">
        <v>88</v>
      </c>
      <c r="AM53" s="14" t="s">
        <v>82</v>
      </c>
      <c r="AN53" s="13" t="e">
        <f>#REF!</f>
        <v>#REF!</v>
      </c>
      <c r="AO53" s="13" t="e">
        <f>#REF!</f>
        <v>#REF!</v>
      </c>
      <c r="AP53" s="13">
        <v>44216</v>
      </c>
      <c r="AQ53" s="14" t="s">
        <v>10</v>
      </c>
      <c r="AR53" s="14" t="s">
        <v>2</v>
      </c>
      <c r="AS53" s="14">
        <v>5</v>
      </c>
      <c r="AT53" s="14"/>
      <c r="AU53" s="15"/>
    </row>
    <row r="54" spans="1:47">
      <c r="A54" s="9" t="s">
        <v>428</v>
      </c>
      <c r="B54" s="9"/>
      <c r="C54" s="9" t="s">
        <v>62</v>
      </c>
      <c r="D54" s="9" t="s">
        <v>63</v>
      </c>
      <c r="E54" s="10"/>
      <c r="F54" s="10" t="s">
        <v>129</v>
      </c>
      <c r="G54" s="10" t="s">
        <v>261</v>
      </c>
      <c r="H54" s="12" t="s">
        <v>419</v>
      </c>
      <c r="I54" s="11" t="s">
        <v>429</v>
      </c>
      <c r="J54" s="12" t="s">
        <v>751</v>
      </c>
      <c r="K54" s="12" t="s">
        <v>70</v>
      </c>
      <c r="L54" s="10" t="s">
        <v>178</v>
      </c>
      <c r="M54" s="11" t="s">
        <v>78</v>
      </c>
      <c r="N54" s="12">
        <v>44169</v>
      </c>
      <c r="O54" s="12" t="s">
        <v>152</v>
      </c>
      <c r="P54" s="10" t="s">
        <v>78</v>
      </c>
      <c r="Q54" s="12">
        <v>44200</v>
      </c>
      <c r="R54" s="12" t="s">
        <v>74</v>
      </c>
      <c r="S54" s="12" t="s">
        <v>78</v>
      </c>
      <c r="T54" s="12">
        <v>44175</v>
      </c>
      <c r="U54" s="9" t="s">
        <v>71</v>
      </c>
      <c r="V54" s="9" t="s">
        <v>71</v>
      </c>
      <c r="W54" s="13">
        <v>44175</v>
      </c>
      <c r="X54" s="14" t="s">
        <v>62</v>
      </c>
      <c r="Y54" s="14" t="s">
        <v>78</v>
      </c>
      <c r="Z54" s="14" t="s">
        <v>77</v>
      </c>
      <c r="AA54" s="13" t="s">
        <v>84</v>
      </c>
      <c r="AB54" s="13">
        <v>44182</v>
      </c>
      <c r="AC54" s="14" t="s">
        <v>78</v>
      </c>
      <c r="AD54" s="13">
        <v>44182</v>
      </c>
      <c r="AE54" s="13">
        <v>44196</v>
      </c>
      <c r="AF54" s="14" t="s">
        <v>108</v>
      </c>
      <c r="AG54" s="14"/>
      <c r="AH54" s="14" t="s">
        <v>78</v>
      </c>
      <c r="AI54" s="14" t="s">
        <v>79</v>
      </c>
      <c r="AJ54" s="14" t="s">
        <v>80</v>
      </c>
      <c r="AK54" s="14" t="s">
        <v>88</v>
      </c>
      <c r="AL54" s="14" t="s">
        <v>8</v>
      </c>
      <c r="AM54" s="14" t="s">
        <v>82</v>
      </c>
      <c r="AN54" s="13" t="e">
        <f>#REF!</f>
        <v>#REF!</v>
      </c>
      <c r="AO54" s="13" t="e">
        <f>#REF!</f>
        <v>#REF!</v>
      </c>
      <c r="AP54" s="13">
        <v>44216</v>
      </c>
      <c r="AQ54" s="14" t="s">
        <v>10</v>
      </c>
      <c r="AR54" s="14" t="s">
        <v>2</v>
      </c>
      <c r="AS54" s="14">
        <v>6</v>
      </c>
      <c r="AT54" s="14"/>
      <c r="AU54" s="15"/>
    </row>
    <row r="55" spans="1:47">
      <c r="A55" s="10" t="s">
        <v>430</v>
      </c>
      <c r="B55" s="10"/>
      <c r="C55" s="10" t="s">
        <v>62</v>
      </c>
      <c r="D55" s="10" t="s">
        <v>63</v>
      </c>
      <c r="E55" s="10"/>
      <c r="F55" s="10" t="s">
        <v>129</v>
      </c>
      <c r="G55" s="10" t="s">
        <v>261</v>
      </c>
      <c r="H55" s="12" t="s">
        <v>419</v>
      </c>
      <c r="I55" s="11" t="s">
        <v>431</v>
      </c>
      <c r="J55" s="12" t="s">
        <v>751</v>
      </c>
      <c r="K55" s="12" t="s">
        <v>70</v>
      </c>
      <c r="L55" s="11" t="s">
        <v>178</v>
      </c>
      <c r="M55" s="11" t="s">
        <v>78</v>
      </c>
      <c r="N55" s="12">
        <v>44169</v>
      </c>
      <c r="O55" s="12" t="s">
        <v>152</v>
      </c>
      <c r="P55" s="9" t="s">
        <v>78</v>
      </c>
      <c r="Q55" s="12">
        <v>44200</v>
      </c>
      <c r="R55" s="12" t="s">
        <v>74</v>
      </c>
      <c r="S55" s="12" t="s">
        <v>78</v>
      </c>
      <c r="T55" s="12">
        <v>44175</v>
      </c>
      <c r="U55" s="9" t="s">
        <v>71</v>
      </c>
      <c r="V55" s="9" t="s">
        <v>71</v>
      </c>
      <c r="W55" s="13">
        <v>44175</v>
      </c>
      <c r="X55" s="14" t="s">
        <v>62</v>
      </c>
      <c r="Y55" s="14" t="s">
        <v>78</v>
      </c>
      <c r="Z55" s="14" t="s">
        <v>77</v>
      </c>
      <c r="AA55" s="13" t="s">
        <v>84</v>
      </c>
      <c r="AB55" s="13">
        <v>44182</v>
      </c>
      <c r="AC55" s="14" t="s">
        <v>78</v>
      </c>
      <c r="AD55" s="13">
        <v>44182</v>
      </c>
      <c r="AE55" s="13">
        <v>44196</v>
      </c>
      <c r="AF55" s="14" t="s">
        <v>108</v>
      </c>
      <c r="AG55" s="14"/>
      <c r="AH55" s="14" t="s">
        <v>78</v>
      </c>
      <c r="AI55" s="14" t="s">
        <v>79</v>
      </c>
      <c r="AJ55" s="14" t="s">
        <v>80</v>
      </c>
      <c r="AK55" s="14" t="s">
        <v>88</v>
      </c>
      <c r="AL55" s="14" t="s">
        <v>9</v>
      </c>
      <c r="AM55" s="14" t="s">
        <v>82</v>
      </c>
      <c r="AN55" s="13" t="e">
        <f>#REF!</f>
        <v>#REF!</v>
      </c>
      <c r="AO55" s="13" t="e">
        <f>#REF!</f>
        <v>#REF!</v>
      </c>
      <c r="AP55" s="13">
        <v>44216</v>
      </c>
      <c r="AQ55" s="14" t="s">
        <v>10</v>
      </c>
      <c r="AR55" s="14" t="s">
        <v>2</v>
      </c>
      <c r="AS55" s="14">
        <v>6</v>
      </c>
      <c r="AT55" s="14"/>
      <c r="AU55" s="15"/>
    </row>
    <row r="56" spans="1:47">
      <c r="A56" s="10" t="s">
        <v>432</v>
      </c>
      <c r="B56" s="10"/>
      <c r="C56" s="10" t="s">
        <v>62</v>
      </c>
      <c r="D56" s="10" t="s">
        <v>63</v>
      </c>
      <c r="E56" s="10"/>
      <c r="F56" s="10" t="s">
        <v>129</v>
      </c>
      <c r="G56" s="10" t="s">
        <v>261</v>
      </c>
      <c r="H56" s="12" t="s">
        <v>419</v>
      </c>
      <c r="I56" s="11" t="s">
        <v>433</v>
      </c>
      <c r="J56" s="12"/>
      <c r="K56" s="12" t="s">
        <v>70</v>
      </c>
      <c r="L56" s="11" t="s">
        <v>71</v>
      </c>
      <c r="M56" s="11" t="s">
        <v>78</v>
      </c>
      <c r="N56" s="12">
        <v>44169</v>
      </c>
      <c r="O56" s="12" t="s">
        <v>152</v>
      </c>
      <c r="P56" s="9" t="s">
        <v>78</v>
      </c>
      <c r="Q56" s="12">
        <v>44200</v>
      </c>
      <c r="R56" s="12" t="s">
        <v>74</v>
      </c>
      <c r="S56" s="12" t="s">
        <v>78</v>
      </c>
      <c r="T56" s="12">
        <v>44175</v>
      </c>
      <c r="U56" s="9" t="s">
        <v>71</v>
      </c>
      <c r="V56" s="9" t="s">
        <v>71</v>
      </c>
      <c r="W56" s="13">
        <v>44175</v>
      </c>
      <c r="X56" s="14" t="s">
        <v>62</v>
      </c>
      <c r="Y56" s="14" t="s">
        <v>78</v>
      </c>
      <c r="Z56" s="14" t="s">
        <v>77</v>
      </c>
      <c r="AA56" s="13" t="s">
        <v>84</v>
      </c>
      <c r="AB56" s="13">
        <v>44182</v>
      </c>
      <c r="AC56" s="14" t="s">
        <v>78</v>
      </c>
      <c r="AD56" s="13">
        <v>44182</v>
      </c>
      <c r="AE56" s="13">
        <v>44196</v>
      </c>
      <c r="AF56" s="14" t="s">
        <v>108</v>
      </c>
      <c r="AG56" s="14"/>
      <c r="AH56" s="14" t="s">
        <v>78</v>
      </c>
      <c r="AI56" s="14" t="s">
        <v>79</v>
      </c>
      <c r="AJ56" s="14" t="s">
        <v>80</v>
      </c>
      <c r="AK56" s="14" t="s">
        <v>88</v>
      </c>
      <c r="AL56" s="14" t="s">
        <v>9</v>
      </c>
      <c r="AM56" s="14" t="s">
        <v>82</v>
      </c>
      <c r="AN56" s="13" t="e">
        <f>#REF!</f>
        <v>#REF!</v>
      </c>
      <c r="AO56" s="13" t="e">
        <f>#REF!</f>
        <v>#REF!</v>
      </c>
      <c r="AP56" s="13">
        <v>44216</v>
      </c>
      <c r="AQ56" s="14" t="s">
        <v>10</v>
      </c>
      <c r="AR56" s="14" t="s">
        <v>2</v>
      </c>
      <c r="AS56" s="14">
        <v>6</v>
      </c>
      <c r="AT56" s="14"/>
      <c r="AU56" s="15"/>
    </row>
    <row r="57" spans="1:47">
      <c r="A57" s="9" t="s">
        <v>437</v>
      </c>
      <c r="B57" s="9"/>
      <c r="C57" s="9" t="s">
        <v>62</v>
      </c>
      <c r="D57" s="9" t="s">
        <v>63</v>
      </c>
      <c r="E57" s="10"/>
      <c r="F57" s="10" t="s">
        <v>129</v>
      </c>
      <c r="G57" s="10" t="s">
        <v>261</v>
      </c>
      <c r="H57" s="12" t="s">
        <v>419</v>
      </c>
      <c r="I57" s="11" t="s">
        <v>438</v>
      </c>
      <c r="J57" s="12"/>
      <c r="K57" s="12" t="s">
        <v>70</v>
      </c>
      <c r="L57" s="10" t="s">
        <v>71</v>
      </c>
      <c r="M57" s="11" t="s">
        <v>78</v>
      </c>
      <c r="N57" s="12">
        <v>44169</v>
      </c>
      <c r="O57" s="12" t="s">
        <v>152</v>
      </c>
      <c r="P57" s="10" t="s">
        <v>78</v>
      </c>
      <c r="Q57" s="12">
        <v>44200</v>
      </c>
      <c r="R57" s="12" t="s">
        <v>74</v>
      </c>
      <c r="S57" s="12" t="s">
        <v>78</v>
      </c>
      <c r="T57" s="12">
        <v>44175</v>
      </c>
      <c r="U57" s="9" t="s">
        <v>71</v>
      </c>
      <c r="V57" s="9" t="s">
        <v>71</v>
      </c>
      <c r="W57" s="13">
        <v>44175</v>
      </c>
      <c r="X57" s="14" t="s">
        <v>62</v>
      </c>
      <c r="Y57" s="14" t="s">
        <v>78</v>
      </c>
      <c r="Z57" s="14" t="s">
        <v>77</v>
      </c>
      <c r="AA57" s="13" t="s">
        <v>84</v>
      </c>
      <c r="AB57" s="13">
        <v>44182</v>
      </c>
      <c r="AC57" s="14" t="s">
        <v>78</v>
      </c>
      <c r="AD57" s="13">
        <v>44182</v>
      </c>
      <c r="AE57" s="13">
        <v>44196</v>
      </c>
      <c r="AF57" s="14" t="s">
        <v>108</v>
      </c>
      <c r="AG57" s="14"/>
      <c r="AH57" s="14" t="s">
        <v>78</v>
      </c>
      <c r="AI57" s="14" t="s">
        <v>79</v>
      </c>
      <c r="AJ57" s="14" t="s">
        <v>80</v>
      </c>
      <c r="AK57" s="14" t="s">
        <v>88</v>
      </c>
      <c r="AL57" s="14" t="s">
        <v>9</v>
      </c>
      <c r="AM57" s="14" t="s">
        <v>82</v>
      </c>
      <c r="AN57" s="13" t="e">
        <f>#REF!</f>
        <v>#REF!</v>
      </c>
      <c r="AO57" s="13" t="e">
        <f>#REF!</f>
        <v>#REF!</v>
      </c>
      <c r="AP57" s="13">
        <v>44216</v>
      </c>
      <c r="AQ57" s="14" t="s">
        <v>10</v>
      </c>
      <c r="AR57" s="14" t="s">
        <v>2</v>
      </c>
      <c r="AS57" s="14">
        <v>6</v>
      </c>
      <c r="AT57" s="14"/>
      <c r="AU57" s="15"/>
    </row>
    <row r="58" spans="1:47" ht="85.5">
      <c r="A58" s="9" t="s">
        <v>494</v>
      </c>
      <c r="B58" s="9"/>
      <c r="C58" s="9" t="s">
        <v>62</v>
      </c>
      <c r="D58" s="9" t="s">
        <v>63</v>
      </c>
      <c r="E58" s="10"/>
      <c r="F58" s="10" t="s">
        <v>184</v>
      </c>
      <c r="G58" s="10" t="s">
        <v>486</v>
      </c>
      <c r="H58" s="12" t="s">
        <v>495</v>
      </c>
      <c r="I58" s="11" t="s">
        <v>496</v>
      </c>
      <c r="J58" s="12"/>
      <c r="K58" s="12" t="s">
        <v>70</v>
      </c>
      <c r="L58" s="11" t="s">
        <v>178</v>
      </c>
      <c r="M58" s="11" t="s">
        <v>78</v>
      </c>
      <c r="N58" s="12">
        <v>44169</v>
      </c>
      <c r="O58" s="12" t="s">
        <v>152</v>
      </c>
      <c r="P58" s="10" t="s">
        <v>78</v>
      </c>
      <c r="Q58" s="12">
        <v>44172</v>
      </c>
      <c r="R58" s="12" t="s">
        <v>74</v>
      </c>
      <c r="S58" s="12" t="s">
        <v>78</v>
      </c>
      <c r="T58" s="12">
        <v>44175</v>
      </c>
      <c r="U58" s="9" t="s">
        <v>71</v>
      </c>
      <c r="V58" s="9" t="s">
        <v>71</v>
      </c>
      <c r="W58" s="13">
        <v>44175</v>
      </c>
      <c r="X58" s="14" t="s">
        <v>62</v>
      </c>
      <c r="Y58" s="14" t="s">
        <v>78</v>
      </c>
      <c r="Z58" s="14" t="s">
        <v>77</v>
      </c>
      <c r="AA58" s="13" t="s">
        <v>84</v>
      </c>
      <c r="AB58" s="13">
        <v>44182</v>
      </c>
      <c r="AC58" s="14" t="s">
        <v>78</v>
      </c>
      <c r="AD58" s="13">
        <v>44182</v>
      </c>
      <c r="AE58" s="13">
        <v>44196</v>
      </c>
      <c r="AF58" s="14" t="s">
        <v>108</v>
      </c>
      <c r="AG58" s="14" t="s">
        <v>497</v>
      </c>
      <c r="AH58" s="14" t="s">
        <v>78</v>
      </c>
      <c r="AI58" s="14" t="s">
        <v>79</v>
      </c>
      <c r="AJ58" s="14" t="s">
        <v>80</v>
      </c>
      <c r="AK58" s="14" t="s">
        <v>333</v>
      </c>
      <c r="AL58" s="14" t="s">
        <v>333</v>
      </c>
      <c r="AM58" s="14" t="s">
        <v>82</v>
      </c>
      <c r="AN58" s="13" t="e">
        <f>#REF!</f>
        <v>#REF!</v>
      </c>
      <c r="AO58" s="13" t="e">
        <f>#REF!</f>
        <v>#REF!</v>
      </c>
      <c r="AP58" s="13">
        <v>44216</v>
      </c>
      <c r="AQ58" s="14" t="s">
        <v>10</v>
      </c>
      <c r="AR58" s="14" t="s">
        <v>2</v>
      </c>
      <c r="AS58" s="14">
        <v>8</v>
      </c>
      <c r="AT58" s="14" t="s">
        <v>498</v>
      </c>
      <c r="AU58" s="15"/>
    </row>
    <row r="59" spans="1:47" ht="85.5">
      <c r="A59" s="9" t="s">
        <v>499</v>
      </c>
      <c r="B59" s="9"/>
      <c r="C59" s="9" t="s">
        <v>62</v>
      </c>
      <c r="D59" s="10" t="s">
        <v>63</v>
      </c>
      <c r="E59" s="10"/>
      <c r="F59" s="10" t="s">
        <v>184</v>
      </c>
      <c r="G59" s="10" t="s">
        <v>486</v>
      </c>
      <c r="H59" s="12" t="s">
        <v>500</v>
      </c>
      <c r="I59" s="11" t="s">
        <v>752</v>
      </c>
      <c r="J59" s="12"/>
      <c r="K59" s="12" t="s">
        <v>70</v>
      </c>
      <c r="L59" s="10" t="s">
        <v>178</v>
      </c>
      <c r="M59" s="11" t="s">
        <v>78</v>
      </c>
      <c r="N59" s="12">
        <v>44169</v>
      </c>
      <c r="O59" s="12" t="s">
        <v>152</v>
      </c>
      <c r="P59" s="10" t="s">
        <v>78</v>
      </c>
      <c r="Q59" s="12">
        <v>44172</v>
      </c>
      <c r="R59" s="12" t="s">
        <v>74</v>
      </c>
      <c r="S59" s="12" t="s">
        <v>78</v>
      </c>
      <c r="T59" s="12">
        <v>44175</v>
      </c>
      <c r="U59" s="9" t="s">
        <v>71</v>
      </c>
      <c r="V59" s="9" t="s">
        <v>71</v>
      </c>
      <c r="W59" s="13">
        <v>44175</v>
      </c>
      <c r="X59" s="14" t="s">
        <v>62</v>
      </c>
      <c r="Y59" s="14" t="s">
        <v>78</v>
      </c>
      <c r="Z59" s="14" t="s">
        <v>77</v>
      </c>
      <c r="AA59" s="13" t="s">
        <v>84</v>
      </c>
      <c r="AB59" s="13">
        <v>44182</v>
      </c>
      <c r="AC59" s="14" t="s">
        <v>78</v>
      </c>
      <c r="AD59" s="13">
        <v>44182</v>
      </c>
      <c r="AE59" s="13">
        <v>44196</v>
      </c>
      <c r="AF59" s="14" t="s">
        <v>108</v>
      </c>
      <c r="AG59" s="14" t="s">
        <v>497</v>
      </c>
      <c r="AH59" s="14" t="s">
        <v>78</v>
      </c>
      <c r="AI59" s="14" t="s">
        <v>79</v>
      </c>
      <c r="AJ59" s="14" t="s">
        <v>80</v>
      </c>
      <c r="AK59" s="14" t="s">
        <v>333</v>
      </c>
      <c r="AL59" s="14" t="s">
        <v>333</v>
      </c>
      <c r="AM59" s="14" t="s">
        <v>82</v>
      </c>
      <c r="AN59" s="13" t="e">
        <f>#REF!</f>
        <v>#REF!</v>
      </c>
      <c r="AO59" s="13" t="e">
        <f>#REF!</f>
        <v>#REF!</v>
      </c>
      <c r="AP59" s="13">
        <v>44216</v>
      </c>
      <c r="AQ59" s="14" t="s">
        <v>10</v>
      </c>
      <c r="AR59" s="14" t="s">
        <v>2</v>
      </c>
      <c r="AS59" s="14">
        <v>15</v>
      </c>
      <c r="AT59" s="14" t="s">
        <v>753</v>
      </c>
      <c r="AU59" s="15"/>
    </row>
    <row r="60" spans="1:47" ht="71.25">
      <c r="A60" s="9" t="s">
        <v>501</v>
      </c>
      <c r="B60" s="9"/>
      <c r="C60" s="9" t="s">
        <v>62</v>
      </c>
      <c r="D60" s="10" t="s">
        <v>63</v>
      </c>
      <c r="E60" s="10"/>
      <c r="F60" s="10" t="s">
        <v>184</v>
      </c>
      <c r="G60" s="10" t="s">
        <v>486</v>
      </c>
      <c r="H60" s="12" t="s">
        <v>502</v>
      </c>
      <c r="I60" s="11" t="s">
        <v>754</v>
      </c>
      <c r="J60" s="12"/>
      <c r="K60" s="12" t="s">
        <v>70</v>
      </c>
      <c r="L60" s="10" t="s">
        <v>178</v>
      </c>
      <c r="M60" s="11" t="s">
        <v>78</v>
      </c>
      <c r="N60" s="12">
        <v>44169</v>
      </c>
      <c r="O60" s="12" t="s">
        <v>152</v>
      </c>
      <c r="P60" s="10" t="s">
        <v>78</v>
      </c>
      <c r="Q60" s="12">
        <v>44172</v>
      </c>
      <c r="R60" s="12" t="s">
        <v>74</v>
      </c>
      <c r="S60" s="12" t="s">
        <v>78</v>
      </c>
      <c r="T60" s="12">
        <v>44175</v>
      </c>
      <c r="U60" s="9" t="s">
        <v>71</v>
      </c>
      <c r="V60" s="9" t="s">
        <v>71</v>
      </c>
      <c r="W60" s="13">
        <v>44175</v>
      </c>
      <c r="X60" s="14" t="s">
        <v>62</v>
      </c>
      <c r="Y60" s="14" t="s">
        <v>78</v>
      </c>
      <c r="Z60" s="14" t="s">
        <v>77</v>
      </c>
      <c r="AA60" s="13" t="s">
        <v>84</v>
      </c>
      <c r="AB60" s="13">
        <v>44182</v>
      </c>
      <c r="AC60" s="14" t="s">
        <v>78</v>
      </c>
      <c r="AD60" s="13">
        <v>44182</v>
      </c>
      <c r="AE60" s="13">
        <v>44196</v>
      </c>
      <c r="AF60" s="14" t="s">
        <v>108</v>
      </c>
      <c r="AG60" s="14" t="s">
        <v>497</v>
      </c>
      <c r="AH60" s="14" t="s">
        <v>78</v>
      </c>
      <c r="AI60" s="14" t="s">
        <v>79</v>
      </c>
      <c r="AJ60" s="14" t="s">
        <v>80</v>
      </c>
      <c r="AK60" s="14" t="s">
        <v>333</v>
      </c>
      <c r="AL60" s="14" t="s">
        <v>333</v>
      </c>
      <c r="AM60" s="14" t="s">
        <v>82</v>
      </c>
      <c r="AN60" s="13" t="e">
        <f>#REF!</f>
        <v>#REF!</v>
      </c>
      <c r="AO60" s="13" t="e">
        <f>#REF!</f>
        <v>#REF!</v>
      </c>
      <c r="AP60" s="13">
        <v>44216</v>
      </c>
      <c r="AQ60" s="14" t="s">
        <v>10</v>
      </c>
      <c r="AR60" s="14" t="s">
        <v>2</v>
      </c>
      <c r="AS60" s="14">
        <v>15</v>
      </c>
      <c r="AT60" s="14" t="s">
        <v>753</v>
      </c>
      <c r="AU60" s="15"/>
    </row>
    <row r="61" spans="1:47" ht="28.5">
      <c r="A61" s="9" t="s">
        <v>577</v>
      </c>
      <c r="B61" s="9"/>
      <c r="C61" s="9"/>
      <c r="D61" s="9" t="s">
        <v>276</v>
      </c>
      <c r="E61" s="10"/>
      <c r="F61" s="10" t="s">
        <v>184</v>
      </c>
      <c r="G61" s="10" t="s">
        <v>578</v>
      </c>
      <c r="H61" s="12" t="s">
        <v>579</v>
      </c>
      <c r="I61" s="11" t="s">
        <v>755</v>
      </c>
      <c r="J61" s="12"/>
      <c r="K61" s="12" t="s">
        <v>215</v>
      </c>
      <c r="L61" s="11" t="s">
        <v>178</v>
      </c>
      <c r="M61" s="11" t="s">
        <v>78</v>
      </c>
      <c r="N61" s="12">
        <v>44169</v>
      </c>
      <c r="O61" s="12" t="s">
        <v>152</v>
      </c>
      <c r="P61" s="9" t="s">
        <v>78</v>
      </c>
      <c r="Q61" s="12">
        <v>44172</v>
      </c>
      <c r="R61" s="12" t="s">
        <v>74</v>
      </c>
      <c r="S61" s="12" t="s">
        <v>78</v>
      </c>
      <c r="T61" s="12">
        <v>44175</v>
      </c>
      <c r="U61" s="9" t="s">
        <v>71</v>
      </c>
      <c r="V61" s="9" t="s">
        <v>71</v>
      </c>
      <c r="W61" s="13">
        <v>44175</v>
      </c>
      <c r="X61" s="14" t="s">
        <v>208</v>
      </c>
      <c r="Y61" s="14" t="s">
        <v>78</v>
      </c>
      <c r="Z61" s="14" t="s">
        <v>134</v>
      </c>
      <c r="AA61" s="13">
        <v>44193</v>
      </c>
      <c r="AB61" s="13">
        <v>44182</v>
      </c>
      <c r="AC61" s="14" t="s">
        <v>78</v>
      </c>
      <c r="AD61" s="13">
        <v>44182</v>
      </c>
      <c r="AE61" s="13">
        <v>44196</v>
      </c>
      <c r="AF61" s="14" t="s">
        <v>108</v>
      </c>
      <c r="AG61" s="14"/>
      <c r="AH61" s="14" t="s">
        <v>78</v>
      </c>
      <c r="AI61" s="14" t="s">
        <v>79</v>
      </c>
      <c r="AJ61" s="14" t="s">
        <v>203</v>
      </c>
      <c r="AK61" s="14" t="s">
        <v>259</v>
      </c>
      <c r="AL61" s="14" t="s">
        <v>333</v>
      </c>
      <c r="AM61" s="14" t="s">
        <v>82</v>
      </c>
      <c r="AN61" s="13" t="e">
        <f>#REF!</f>
        <v>#REF!</v>
      </c>
      <c r="AO61" s="13" t="e">
        <f>#REF!</f>
        <v>#REF!</v>
      </c>
      <c r="AP61" s="13">
        <v>44216</v>
      </c>
      <c r="AQ61" s="14" t="s">
        <v>10</v>
      </c>
      <c r="AR61" s="14" t="s">
        <v>2</v>
      </c>
      <c r="AS61" s="14">
        <v>12</v>
      </c>
      <c r="AT61" s="14"/>
      <c r="AU61" s="15"/>
    </row>
    <row r="62" spans="1:47" ht="85.5">
      <c r="A62" s="10" t="s">
        <v>657</v>
      </c>
      <c r="B62" s="10"/>
      <c r="C62" s="10"/>
      <c r="D62" s="10" t="s">
        <v>658</v>
      </c>
      <c r="E62" s="10"/>
      <c r="F62" s="10" t="s">
        <v>231</v>
      </c>
      <c r="G62" s="10" t="s">
        <v>659</v>
      </c>
      <c r="H62" s="11" t="s">
        <v>660</v>
      </c>
      <c r="I62" s="11" t="s">
        <v>661</v>
      </c>
      <c r="J62" s="18"/>
      <c r="K62" s="12" t="s">
        <v>215</v>
      </c>
      <c r="L62" s="11" t="s">
        <v>178</v>
      </c>
      <c r="M62" s="11" t="s">
        <v>78</v>
      </c>
      <c r="N62" s="12">
        <v>44169</v>
      </c>
      <c r="O62" s="12" t="s">
        <v>152</v>
      </c>
      <c r="P62" s="9" t="s">
        <v>78</v>
      </c>
      <c r="Q62" s="12">
        <v>44172</v>
      </c>
      <c r="R62" s="12" t="s">
        <v>74</v>
      </c>
      <c r="S62" s="12" t="s">
        <v>78</v>
      </c>
      <c r="T62" s="12">
        <v>44175</v>
      </c>
      <c r="U62" s="9" t="s">
        <v>76</v>
      </c>
      <c r="V62" s="9" t="s">
        <v>75</v>
      </c>
      <c r="W62" s="13">
        <v>44175</v>
      </c>
      <c r="X62" s="14" t="s">
        <v>208</v>
      </c>
      <c r="Y62" s="14" t="s">
        <v>78</v>
      </c>
      <c r="Z62" s="14" t="s">
        <v>134</v>
      </c>
      <c r="AA62" s="13">
        <v>44193</v>
      </c>
      <c r="AB62" s="13">
        <v>44182</v>
      </c>
      <c r="AC62" s="14" t="s">
        <v>78</v>
      </c>
      <c r="AD62" s="13">
        <v>44182</v>
      </c>
      <c r="AE62" s="13">
        <v>44196</v>
      </c>
      <c r="AF62" s="14" t="s">
        <v>108</v>
      </c>
      <c r="AG62" s="14"/>
      <c r="AH62" s="14" t="s">
        <v>78</v>
      </c>
      <c r="AI62" s="14" t="s">
        <v>79</v>
      </c>
      <c r="AJ62" s="14" t="s">
        <v>203</v>
      </c>
      <c r="AK62" s="14" t="s">
        <v>7</v>
      </c>
      <c r="AL62" s="14" t="s">
        <v>82</v>
      </c>
      <c r="AM62" s="14" t="s">
        <v>82</v>
      </c>
      <c r="AN62" s="13" t="e">
        <f>#REF!</f>
        <v>#REF!</v>
      </c>
      <c r="AO62" s="13" t="e">
        <f>#REF!</f>
        <v>#REF!</v>
      </c>
      <c r="AP62" s="13">
        <v>44216</v>
      </c>
      <c r="AQ62" s="14" t="s">
        <v>10</v>
      </c>
      <c r="AR62" s="14" t="s">
        <v>2</v>
      </c>
      <c r="AS62" s="14">
        <v>10</v>
      </c>
      <c r="AT62" s="14"/>
      <c r="AU62" s="15"/>
    </row>
    <row r="63" spans="1:47" ht="409.5">
      <c r="A63" s="9" t="s">
        <v>688</v>
      </c>
      <c r="B63" s="9"/>
      <c r="C63" s="9"/>
      <c r="D63" s="9" t="s">
        <v>276</v>
      </c>
      <c r="E63" s="10"/>
      <c r="F63" s="10" t="s">
        <v>231</v>
      </c>
      <c r="G63" s="10" t="s">
        <v>232</v>
      </c>
      <c r="H63" s="9" t="s">
        <v>689</v>
      </c>
      <c r="I63" s="10" t="s">
        <v>756</v>
      </c>
      <c r="J63" s="9"/>
      <c r="K63" s="9" t="s">
        <v>215</v>
      </c>
      <c r="L63" s="9" t="s">
        <v>178</v>
      </c>
      <c r="M63" s="9" t="s">
        <v>78</v>
      </c>
      <c r="N63" s="9">
        <v>44175</v>
      </c>
      <c r="O63" s="9" t="s">
        <v>152</v>
      </c>
      <c r="P63" s="9" t="s">
        <v>78</v>
      </c>
      <c r="Q63" s="12">
        <v>44175</v>
      </c>
      <c r="R63" s="9" t="s">
        <v>74</v>
      </c>
      <c r="S63" s="9" t="s">
        <v>78</v>
      </c>
      <c r="T63" s="9">
        <v>44175</v>
      </c>
      <c r="U63" s="9">
        <v>44173</v>
      </c>
      <c r="V63" s="9">
        <v>44174</v>
      </c>
      <c r="W63" s="13">
        <v>44175</v>
      </c>
      <c r="X63" s="14" t="s">
        <v>208</v>
      </c>
      <c r="Y63" s="14" t="s">
        <v>78</v>
      </c>
      <c r="Z63" s="14" t="s">
        <v>134</v>
      </c>
      <c r="AA63" s="13">
        <v>44174</v>
      </c>
      <c r="AB63" s="13">
        <v>44182</v>
      </c>
      <c r="AC63" s="14" t="s">
        <v>78</v>
      </c>
      <c r="AD63" s="13">
        <v>44182</v>
      </c>
      <c r="AE63" s="13">
        <v>44196</v>
      </c>
      <c r="AF63" s="14" t="s">
        <v>108</v>
      </c>
      <c r="AG63" s="14"/>
      <c r="AH63" s="14" t="s">
        <v>78</v>
      </c>
      <c r="AI63" s="14" t="s">
        <v>79</v>
      </c>
      <c r="AJ63" s="14" t="s">
        <v>6</v>
      </c>
      <c r="AK63" s="14" t="s">
        <v>7</v>
      </c>
      <c r="AL63" s="14" t="s">
        <v>148</v>
      </c>
      <c r="AM63" s="14" t="s">
        <v>82</v>
      </c>
      <c r="AN63" s="13" t="e">
        <f>#REF!</f>
        <v>#REF!</v>
      </c>
      <c r="AO63" s="13" t="e">
        <f>#REF!</f>
        <v>#REF!</v>
      </c>
      <c r="AP63" s="13">
        <v>44216</v>
      </c>
      <c r="AQ63" s="14" t="s">
        <v>6</v>
      </c>
      <c r="AR63" s="14" t="s">
        <v>4</v>
      </c>
      <c r="AS63" s="14">
        <v>40</v>
      </c>
      <c r="AT63" s="14"/>
      <c r="AU63" s="15"/>
    </row>
    <row r="64" spans="1:47" ht="28.5">
      <c r="A64" s="9" t="s">
        <v>712</v>
      </c>
      <c r="B64" s="9"/>
      <c r="C64" s="9"/>
      <c r="D64" s="9" t="s">
        <v>183</v>
      </c>
      <c r="E64" s="10"/>
      <c r="F64" s="10" t="s">
        <v>220</v>
      </c>
      <c r="G64" s="10" t="s">
        <v>248</v>
      </c>
      <c r="H64" s="9" t="s">
        <v>713</v>
      </c>
      <c r="I64" s="10" t="s">
        <v>714</v>
      </c>
      <c r="J64" s="9" t="s">
        <v>71</v>
      </c>
      <c r="K64" s="9" t="s">
        <v>229</v>
      </c>
      <c r="L64" s="10" t="s">
        <v>178</v>
      </c>
      <c r="M64" s="9" t="s">
        <v>78</v>
      </c>
      <c r="N64" s="9">
        <v>44175</v>
      </c>
      <c r="O64" s="9" t="s">
        <v>152</v>
      </c>
      <c r="P64" s="9" t="s">
        <v>78</v>
      </c>
      <c r="Q64" s="12">
        <v>44175</v>
      </c>
      <c r="R64" s="9" t="s">
        <v>74</v>
      </c>
      <c r="S64" s="9" t="s">
        <v>78</v>
      </c>
      <c r="T64" s="9">
        <v>44175</v>
      </c>
      <c r="U64" s="9">
        <v>44173</v>
      </c>
      <c r="V64" s="9">
        <v>44174</v>
      </c>
      <c r="W64" s="13">
        <v>44175</v>
      </c>
      <c r="X64" s="14" t="s">
        <v>189</v>
      </c>
      <c r="Y64" s="14" t="s">
        <v>78</v>
      </c>
      <c r="Z64" s="14" t="s">
        <v>134</v>
      </c>
      <c r="AA64" s="13">
        <v>44174</v>
      </c>
      <c r="AB64" s="13">
        <v>44182</v>
      </c>
      <c r="AC64" s="14" t="s">
        <v>78</v>
      </c>
      <c r="AD64" s="13">
        <v>44182</v>
      </c>
      <c r="AE64" s="13">
        <v>44196</v>
      </c>
      <c r="AF64" s="14" t="s">
        <v>108</v>
      </c>
      <c r="AG64" s="14"/>
      <c r="AH64" s="14" t="s">
        <v>78</v>
      </c>
      <c r="AI64" s="14" t="s">
        <v>190</v>
      </c>
      <c r="AJ64" s="14" t="s">
        <v>6</v>
      </c>
      <c r="AK64" s="14"/>
      <c r="AL64" s="14" t="s">
        <v>333</v>
      </c>
      <c r="AM64" s="14" t="s">
        <v>82</v>
      </c>
      <c r="AN64" s="13" t="e">
        <f>#REF!</f>
        <v>#REF!</v>
      </c>
      <c r="AO64" s="13" t="e">
        <f>#REF!</f>
        <v>#REF!</v>
      </c>
      <c r="AP64" s="13">
        <v>44216</v>
      </c>
      <c r="AQ64" s="14" t="s">
        <v>6</v>
      </c>
      <c r="AR64" s="14" t="s">
        <v>4</v>
      </c>
      <c r="AS64" s="14">
        <v>130</v>
      </c>
      <c r="AT64" s="14"/>
      <c r="AU64" s="15"/>
    </row>
    <row r="65" spans="1:47" ht="71.25">
      <c r="A65" s="9" t="s">
        <v>140</v>
      </c>
      <c r="B65" s="9"/>
      <c r="C65" s="9" t="s">
        <v>62</v>
      </c>
      <c r="D65" s="10" t="s">
        <v>63</v>
      </c>
      <c r="E65" s="10"/>
      <c r="F65" s="10" t="s">
        <v>129</v>
      </c>
      <c r="G65" s="10" t="s">
        <v>130</v>
      </c>
      <c r="H65" s="11" t="s">
        <v>141</v>
      </c>
      <c r="I65" s="11" t="s">
        <v>142</v>
      </c>
      <c r="J65" s="9"/>
      <c r="K65" s="12" t="s">
        <v>70</v>
      </c>
      <c r="L65" s="10" t="s">
        <v>71</v>
      </c>
      <c r="M65" s="11" t="s">
        <v>71</v>
      </c>
      <c r="N65" s="12">
        <v>44175</v>
      </c>
      <c r="O65" s="12" t="s">
        <v>72</v>
      </c>
      <c r="P65" s="10" t="s">
        <v>78</v>
      </c>
      <c r="Q65" s="12">
        <v>44074</v>
      </c>
      <c r="R65" s="12" t="s">
        <v>74</v>
      </c>
      <c r="S65" s="12" t="s">
        <v>78</v>
      </c>
      <c r="T65" s="12" t="s">
        <v>75</v>
      </c>
      <c r="U65" s="9" t="s">
        <v>76</v>
      </c>
      <c r="V65" s="10" t="s">
        <v>75</v>
      </c>
      <c r="W65" s="13">
        <v>44175</v>
      </c>
      <c r="X65" s="14" t="s">
        <v>62</v>
      </c>
      <c r="Y65" s="14" t="s">
        <v>78</v>
      </c>
      <c r="Z65" s="14" t="s">
        <v>77</v>
      </c>
      <c r="AA65" s="13" t="s">
        <v>84</v>
      </c>
      <c r="AB65" s="13">
        <v>44182</v>
      </c>
      <c r="AC65" s="14" t="s">
        <v>78</v>
      </c>
      <c r="AD65" s="13">
        <v>44196</v>
      </c>
      <c r="AE65" s="13">
        <v>44211</v>
      </c>
      <c r="AF65" s="14" t="s">
        <v>108</v>
      </c>
      <c r="AG65" s="14"/>
      <c r="AH65" s="14" t="s">
        <v>78</v>
      </c>
      <c r="AI65" s="14" t="s">
        <v>79</v>
      </c>
      <c r="AJ65" s="14" t="s">
        <v>80</v>
      </c>
      <c r="AK65" s="14" t="s">
        <v>8</v>
      </c>
      <c r="AL65" s="14" t="s">
        <v>16</v>
      </c>
      <c r="AM65" s="14" t="s">
        <v>88</v>
      </c>
      <c r="AN65" s="13" t="e">
        <f>#REF!</f>
        <v>#REF!</v>
      </c>
      <c r="AO65" s="13" t="e">
        <f>#REF!</f>
        <v>#REF!</v>
      </c>
      <c r="AP65" s="13">
        <v>44229</v>
      </c>
      <c r="AQ65" s="14" t="s">
        <v>10</v>
      </c>
      <c r="AR65" s="14" t="s">
        <v>1</v>
      </c>
      <c r="AS65" s="14">
        <v>10</v>
      </c>
      <c r="AT65" s="14"/>
      <c r="AU65" s="15"/>
    </row>
    <row r="66" spans="1:47" ht="28.5">
      <c r="A66" s="10" t="s">
        <v>164</v>
      </c>
      <c r="B66" s="10"/>
      <c r="C66" s="10" t="s">
        <v>62</v>
      </c>
      <c r="D66" s="10" t="s">
        <v>63</v>
      </c>
      <c r="E66" s="10"/>
      <c r="F66" s="10" t="s">
        <v>165</v>
      </c>
      <c r="G66" s="10" t="s">
        <v>166</v>
      </c>
      <c r="H66" s="12" t="s">
        <v>167</v>
      </c>
      <c r="I66" s="11" t="s">
        <v>168</v>
      </c>
      <c r="J66" s="12" t="s">
        <v>757</v>
      </c>
      <c r="K66" s="12" t="s">
        <v>215</v>
      </c>
      <c r="L66" s="11" t="s">
        <v>71</v>
      </c>
      <c r="M66" s="11" t="s">
        <v>71</v>
      </c>
      <c r="N66" s="12">
        <v>44175</v>
      </c>
      <c r="O66" s="12" t="s">
        <v>72</v>
      </c>
      <c r="P66" s="9" t="s">
        <v>78</v>
      </c>
      <c r="Q66" s="12">
        <v>44074</v>
      </c>
      <c r="R66" s="12" t="s">
        <v>74</v>
      </c>
      <c r="S66" s="12" t="s">
        <v>78</v>
      </c>
      <c r="T66" s="12" t="s">
        <v>75</v>
      </c>
      <c r="U66" s="9" t="s">
        <v>76</v>
      </c>
      <c r="V66" s="9" t="s">
        <v>75</v>
      </c>
      <c r="W66" s="13">
        <v>44175</v>
      </c>
      <c r="X66" s="14" t="s">
        <v>62</v>
      </c>
      <c r="Y66" s="14" t="s">
        <v>78</v>
      </c>
      <c r="Z66" s="14" t="s">
        <v>77</v>
      </c>
      <c r="AA66" s="13" t="s">
        <v>84</v>
      </c>
      <c r="AB66" s="13">
        <v>44182</v>
      </c>
      <c r="AC66" s="14" t="s">
        <v>78</v>
      </c>
      <c r="AD66" s="13">
        <v>44196</v>
      </c>
      <c r="AE66" s="13">
        <v>44211</v>
      </c>
      <c r="AF66" s="14" t="s">
        <v>108</v>
      </c>
      <c r="AG66" s="14"/>
      <c r="AH66" s="14" t="s">
        <v>78</v>
      </c>
      <c r="AI66" s="14" t="s">
        <v>79</v>
      </c>
      <c r="AJ66" s="14" t="s">
        <v>80</v>
      </c>
      <c r="AK66" s="14" t="s">
        <v>8</v>
      </c>
      <c r="AL66" s="14" t="s">
        <v>16</v>
      </c>
      <c r="AM66" s="14" t="s">
        <v>88</v>
      </c>
      <c r="AN66" s="13" t="e">
        <f>#REF!</f>
        <v>#REF!</v>
      </c>
      <c r="AO66" s="13" t="e">
        <f>#REF!</f>
        <v>#REF!</v>
      </c>
      <c r="AP66" s="13">
        <v>44229</v>
      </c>
      <c r="AQ66" s="14" t="s">
        <v>10</v>
      </c>
      <c r="AR66" s="14" t="s">
        <v>2</v>
      </c>
      <c r="AS66" s="14">
        <v>10</v>
      </c>
      <c r="AT66" s="14"/>
      <c r="AU66" s="15"/>
    </row>
    <row r="67" spans="1:47" ht="28.5">
      <c r="A67" s="9" t="s">
        <v>169</v>
      </c>
      <c r="B67" s="9"/>
      <c r="C67" s="9" t="s">
        <v>62</v>
      </c>
      <c r="D67" s="10" t="s">
        <v>63</v>
      </c>
      <c r="E67" s="10"/>
      <c r="F67" s="10" t="s">
        <v>165</v>
      </c>
      <c r="G67" s="10" t="s">
        <v>166</v>
      </c>
      <c r="H67" s="12" t="s">
        <v>170</v>
      </c>
      <c r="I67" s="11" t="s">
        <v>171</v>
      </c>
      <c r="J67" s="12" t="s">
        <v>757</v>
      </c>
      <c r="K67" s="12" t="s">
        <v>215</v>
      </c>
      <c r="L67" s="11" t="s">
        <v>71</v>
      </c>
      <c r="M67" s="11" t="s">
        <v>71</v>
      </c>
      <c r="N67" s="12">
        <v>44175</v>
      </c>
      <c r="O67" s="12" t="s">
        <v>72</v>
      </c>
      <c r="P67" s="10" t="s">
        <v>78</v>
      </c>
      <c r="Q67" s="12">
        <v>44074</v>
      </c>
      <c r="R67" s="12" t="s">
        <v>74</v>
      </c>
      <c r="S67" s="12" t="s">
        <v>78</v>
      </c>
      <c r="T67" s="12" t="s">
        <v>75</v>
      </c>
      <c r="U67" s="9" t="s">
        <v>76</v>
      </c>
      <c r="V67" s="9" t="s">
        <v>75</v>
      </c>
      <c r="W67" s="13">
        <v>44175</v>
      </c>
      <c r="X67" s="14" t="s">
        <v>62</v>
      </c>
      <c r="Y67" s="14" t="s">
        <v>78</v>
      </c>
      <c r="Z67" s="14" t="s">
        <v>77</v>
      </c>
      <c r="AA67" s="13" t="s">
        <v>84</v>
      </c>
      <c r="AB67" s="13">
        <v>44182</v>
      </c>
      <c r="AC67" s="14" t="s">
        <v>78</v>
      </c>
      <c r="AD67" s="13">
        <v>44196</v>
      </c>
      <c r="AE67" s="13">
        <v>44211</v>
      </c>
      <c r="AF67" s="14" t="s">
        <v>108</v>
      </c>
      <c r="AG67" s="14"/>
      <c r="AH67" s="14" t="s">
        <v>78</v>
      </c>
      <c r="AI67" s="14" t="s">
        <v>79</v>
      </c>
      <c r="AJ67" s="14" t="s">
        <v>80</v>
      </c>
      <c r="AK67" s="14" t="s">
        <v>8</v>
      </c>
      <c r="AL67" s="14" t="s">
        <v>16</v>
      </c>
      <c r="AM67" s="14" t="s">
        <v>88</v>
      </c>
      <c r="AN67" s="13" t="e">
        <f>#REF!</f>
        <v>#REF!</v>
      </c>
      <c r="AO67" s="13" t="e">
        <f>#REF!</f>
        <v>#REF!</v>
      </c>
      <c r="AP67" s="13">
        <v>44229</v>
      </c>
      <c r="AQ67" s="14" t="s">
        <v>10</v>
      </c>
      <c r="AR67" s="14" t="s">
        <v>2</v>
      </c>
      <c r="AS67" s="14">
        <v>8</v>
      </c>
      <c r="AT67" s="14"/>
      <c r="AU67" s="15"/>
    </row>
    <row r="68" spans="1:47" ht="28.5">
      <c r="A68" s="9" t="s">
        <v>172</v>
      </c>
      <c r="B68" s="9"/>
      <c r="C68" s="9" t="s">
        <v>62</v>
      </c>
      <c r="D68" s="10" t="s">
        <v>63</v>
      </c>
      <c r="E68" s="10"/>
      <c r="F68" s="10" t="s">
        <v>165</v>
      </c>
      <c r="G68" s="10" t="s">
        <v>166</v>
      </c>
      <c r="H68" s="12" t="s">
        <v>173</v>
      </c>
      <c r="I68" s="11" t="s">
        <v>174</v>
      </c>
      <c r="J68" s="12" t="s">
        <v>757</v>
      </c>
      <c r="K68" s="12" t="s">
        <v>215</v>
      </c>
      <c r="L68" s="11" t="s">
        <v>71</v>
      </c>
      <c r="M68" s="11" t="s">
        <v>71</v>
      </c>
      <c r="N68" s="12">
        <v>44175</v>
      </c>
      <c r="O68" s="12" t="s">
        <v>72</v>
      </c>
      <c r="P68" s="10" t="s">
        <v>78</v>
      </c>
      <c r="Q68" s="12">
        <v>44074</v>
      </c>
      <c r="R68" s="12" t="s">
        <v>74</v>
      </c>
      <c r="S68" s="12" t="s">
        <v>78</v>
      </c>
      <c r="T68" s="12" t="s">
        <v>75</v>
      </c>
      <c r="U68" s="9" t="s">
        <v>76</v>
      </c>
      <c r="V68" s="9" t="s">
        <v>75</v>
      </c>
      <c r="W68" s="13">
        <v>44175</v>
      </c>
      <c r="X68" s="14" t="s">
        <v>62</v>
      </c>
      <c r="Y68" s="14" t="s">
        <v>78</v>
      </c>
      <c r="Z68" s="14" t="s">
        <v>77</v>
      </c>
      <c r="AA68" s="13" t="s">
        <v>84</v>
      </c>
      <c r="AB68" s="13">
        <v>44182</v>
      </c>
      <c r="AC68" s="14" t="s">
        <v>78</v>
      </c>
      <c r="AD68" s="13">
        <v>44196</v>
      </c>
      <c r="AE68" s="13">
        <v>44211</v>
      </c>
      <c r="AF68" s="14" t="s">
        <v>108</v>
      </c>
      <c r="AG68" s="14"/>
      <c r="AH68" s="14" t="s">
        <v>78</v>
      </c>
      <c r="AI68" s="14" t="s">
        <v>79</v>
      </c>
      <c r="AJ68" s="14" t="s">
        <v>80</v>
      </c>
      <c r="AK68" s="14" t="s">
        <v>8</v>
      </c>
      <c r="AL68" s="14" t="s">
        <v>16</v>
      </c>
      <c r="AM68" s="14" t="s">
        <v>88</v>
      </c>
      <c r="AN68" s="13" t="e">
        <f>#REF!</f>
        <v>#REF!</v>
      </c>
      <c r="AO68" s="13" t="e">
        <f>#REF!</f>
        <v>#REF!</v>
      </c>
      <c r="AP68" s="13">
        <v>44229</v>
      </c>
      <c r="AQ68" s="14" t="s">
        <v>10</v>
      </c>
      <c r="AR68" s="14" t="s">
        <v>2</v>
      </c>
      <c r="AS68" s="14">
        <v>6</v>
      </c>
      <c r="AT68" s="14"/>
      <c r="AU68" s="15"/>
    </row>
    <row r="69" spans="1:47" ht="28.5">
      <c r="A69" s="9" t="s">
        <v>175</v>
      </c>
      <c r="B69" s="9"/>
      <c r="C69" s="9" t="s">
        <v>62</v>
      </c>
      <c r="D69" s="10" t="s">
        <v>63</v>
      </c>
      <c r="E69" s="10"/>
      <c r="F69" s="10" t="s">
        <v>165</v>
      </c>
      <c r="G69" s="10" t="s">
        <v>166</v>
      </c>
      <c r="H69" s="12" t="s">
        <v>176</v>
      </c>
      <c r="I69" s="11" t="s">
        <v>177</v>
      </c>
      <c r="J69" s="12" t="s">
        <v>757</v>
      </c>
      <c r="K69" s="12" t="s">
        <v>215</v>
      </c>
      <c r="L69" s="11" t="s">
        <v>178</v>
      </c>
      <c r="M69" s="11" t="s">
        <v>78</v>
      </c>
      <c r="N69" s="12">
        <v>44175</v>
      </c>
      <c r="O69" s="12" t="s">
        <v>72</v>
      </c>
      <c r="P69" s="10" t="s">
        <v>78</v>
      </c>
      <c r="Q69" s="12">
        <v>44074</v>
      </c>
      <c r="R69" s="12" t="s">
        <v>74</v>
      </c>
      <c r="S69" s="12" t="s">
        <v>78</v>
      </c>
      <c r="T69" s="12" t="s">
        <v>75</v>
      </c>
      <c r="U69" s="9" t="s">
        <v>76</v>
      </c>
      <c r="V69" s="9" t="s">
        <v>75</v>
      </c>
      <c r="W69" s="13">
        <v>44175</v>
      </c>
      <c r="X69" s="14" t="s">
        <v>62</v>
      </c>
      <c r="Y69" s="14" t="s">
        <v>78</v>
      </c>
      <c r="Z69" s="14" t="s">
        <v>77</v>
      </c>
      <c r="AA69" s="13" t="s">
        <v>84</v>
      </c>
      <c r="AB69" s="13">
        <v>44182</v>
      </c>
      <c r="AC69" s="14" t="s">
        <v>78</v>
      </c>
      <c r="AD69" s="13">
        <v>44196</v>
      </c>
      <c r="AE69" s="13">
        <v>44211</v>
      </c>
      <c r="AF69" s="14" t="s">
        <v>108</v>
      </c>
      <c r="AG69" s="14"/>
      <c r="AH69" s="14" t="s">
        <v>78</v>
      </c>
      <c r="AI69" s="14" t="s">
        <v>79</v>
      </c>
      <c r="AJ69" s="14" t="s">
        <v>80</v>
      </c>
      <c r="AK69" s="14" t="s">
        <v>8</v>
      </c>
      <c r="AL69" s="14" t="s">
        <v>16</v>
      </c>
      <c r="AM69" s="14" t="s">
        <v>88</v>
      </c>
      <c r="AN69" s="13" t="e">
        <f>#REF!</f>
        <v>#REF!</v>
      </c>
      <c r="AO69" s="13" t="e">
        <f>#REF!</f>
        <v>#REF!</v>
      </c>
      <c r="AP69" s="13">
        <v>44229</v>
      </c>
      <c r="AQ69" s="14" t="s">
        <v>10</v>
      </c>
      <c r="AR69" s="14" t="s">
        <v>2</v>
      </c>
      <c r="AS69" s="14">
        <v>6</v>
      </c>
      <c r="AT69" s="14"/>
      <c r="AU69" s="15"/>
    </row>
    <row r="70" spans="1:47" ht="28.5">
      <c r="A70" s="9" t="s">
        <v>179</v>
      </c>
      <c r="B70" s="9"/>
      <c r="C70" s="9" t="s">
        <v>62</v>
      </c>
      <c r="D70" s="10" t="s">
        <v>63</v>
      </c>
      <c r="E70" s="10"/>
      <c r="F70" s="10" t="s">
        <v>165</v>
      </c>
      <c r="G70" s="10" t="s">
        <v>166</v>
      </c>
      <c r="H70" s="12" t="s">
        <v>180</v>
      </c>
      <c r="I70" s="11" t="s">
        <v>181</v>
      </c>
      <c r="J70" s="12" t="s">
        <v>757</v>
      </c>
      <c r="K70" s="12" t="s">
        <v>215</v>
      </c>
      <c r="L70" s="11" t="s">
        <v>178</v>
      </c>
      <c r="M70" s="11" t="s">
        <v>78</v>
      </c>
      <c r="N70" s="12">
        <v>44175</v>
      </c>
      <c r="O70" s="12" t="s">
        <v>72</v>
      </c>
      <c r="P70" s="10" t="s">
        <v>78</v>
      </c>
      <c r="Q70" s="12">
        <v>44074</v>
      </c>
      <c r="R70" s="12" t="s">
        <v>74</v>
      </c>
      <c r="S70" s="12" t="s">
        <v>78</v>
      </c>
      <c r="T70" s="12" t="s">
        <v>75</v>
      </c>
      <c r="U70" s="9" t="s">
        <v>76</v>
      </c>
      <c r="V70" s="9" t="s">
        <v>75</v>
      </c>
      <c r="W70" s="13">
        <v>44175</v>
      </c>
      <c r="X70" s="14" t="s">
        <v>62</v>
      </c>
      <c r="Y70" s="14" t="s">
        <v>78</v>
      </c>
      <c r="Z70" s="14" t="s">
        <v>77</v>
      </c>
      <c r="AA70" s="13" t="s">
        <v>84</v>
      </c>
      <c r="AB70" s="13">
        <v>44182</v>
      </c>
      <c r="AC70" s="14" t="s">
        <v>78</v>
      </c>
      <c r="AD70" s="13">
        <v>44196</v>
      </c>
      <c r="AE70" s="13">
        <v>44211</v>
      </c>
      <c r="AF70" s="14" t="s">
        <v>108</v>
      </c>
      <c r="AG70" s="14"/>
      <c r="AH70" s="14" t="s">
        <v>78</v>
      </c>
      <c r="AI70" s="14" t="s">
        <v>79</v>
      </c>
      <c r="AJ70" s="14" t="s">
        <v>80</v>
      </c>
      <c r="AK70" s="14" t="s">
        <v>8</v>
      </c>
      <c r="AL70" s="14" t="s">
        <v>16</v>
      </c>
      <c r="AM70" s="14" t="s">
        <v>88</v>
      </c>
      <c r="AN70" s="13" t="e">
        <f>#REF!</f>
        <v>#REF!</v>
      </c>
      <c r="AO70" s="13" t="e">
        <f>#REF!</f>
        <v>#REF!</v>
      </c>
      <c r="AP70" s="13">
        <v>44229</v>
      </c>
      <c r="AQ70" s="14" t="s">
        <v>10</v>
      </c>
      <c r="AR70" s="14" t="s">
        <v>2</v>
      </c>
      <c r="AS70" s="14">
        <v>6</v>
      </c>
      <c r="AT70" s="14"/>
      <c r="AU70" s="15"/>
    </row>
    <row r="71" spans="1:47" ht="28.5">
      <c r="A71" s="9" t="s">
        <v>233</v>
      </c>
      <c r="B71" s="9"/>
      <c r="C71" s="9" t="s">
        <v>62</v>
      </c>
      <c r="D71" s="9" t="s">
        <v>63</v>
      </c>
      <c r="E71" s="10"/>
      <c r="F71" s="10" t="s">
        <v>165</v>
      </c>
      <c r="G71" s="10" t="s">
        <v>166</v>
      </c>
      <c r="H71" s="12" t="s">
        <v>234</v>
      </c>
      <c r="I71" s="11" t="s">
        <v>235</v>
      </c>
      <c r="J71" s="12" t="s">
        <v>757</v>
      </c>
      <c r="K71" s="12" t="s">
        <v>215</v>
      </c>
      <c r="L71" s="10" t="s">
        <v>178</v>
      </c>
      <c r="M71" s="11" t="s">
        <v>78</v>
      </c>
      <c r="N71" s="12">
        <v>44175</v>
      </c>
      <c r="O71" s="12" t="s">
        <v>72</v>
      </c>
      <c r="P71" s="10" t="s">
        <v>78</v>
      </c>
      <c r="Q71" s="12">
        <v>44074</v>
      </c>
      <c r="R71" s="12" t="s">
        <v>74</v>
      </c>
      <c r="S71" s="12" t="s">
        <v>78</v>
      </c>
      <c r="T71" s="12">
        <v>44175</v>
      </c>
      <c r="U71" s="9" t="s">
        <v>71</v>
      </c>
      <c r="V71" s="9" t="s">
        <v>71</v>
      </c>
      <c r="W71" s="13">
        <v>44175</v>
      </c>
      <c r="X71" s="14" t="s">
        <v>62</v>
      </c>
      <c r="Y71" s="14" t="s">
        <v>78</v>
      </c>
      <c r="Z71" s="14" t="s">
        <v>77</v>
      </c>
      <c r="AA71" s="13" t="s">
        <v>84</v>
      </c>
      <c r="AB71" s="13">
        <v>44182</v>
      </c>
      <c r="AC71" s="14" t="s">
        <v>78</v>
      </c>
      <c r="AD71" s="13">
        <v>44196</v>
      </c>
      <c r="AE71" s="13">
        <v>44211</v>
      </c>
      <c r="AF71" s="14" t="s">
        <v>108</v>
      </c>
      <c r="AG71" s="14"/>
      <c r="AH71" s="14" t="s">
        <v>78</v>
      </c>
      <c r="AI71" s="14" t="s">
        <v>79</v>
      </c>
      <c r="AJ71" s="14" t="s">
        <v>80</v>
      </c>
      <c r="AK71" s="14" t="s">
        <v>11</v>
      </c>
      <c r="AL71" s="14" t="s">
        <v>16</v>
      </c>
      <c r="AM71" s="14" t="s">
        <v>88</v>
      </c>
      <c r="AN71" s="13" t="e">
        <f>#REF!</f>
        <v>#REF!</v>
      </c>
      <c r="AO71" s="13" t="e">
        <f>#REF!</f>
        <v>#REF!</v>
      </c>
      <c r="AP71" s="13">
        <v>44229</v>
      </c>
      <c r="AQ71" s="14" t="s">
        <v>10</v>
      </c>
      <c r="AR71" s="14" t="s">
        <v>1</v>
      </c>
      <c r="AS71" s="14">
        <v>5</v>
      </c>
      <c r="AT71" s="14"/>
      <c r="AU71" s="15"/>
    </row>
    <row r="72" spans="1:47" ht="42.75">
      <c r="A72" s="9" t="s">
        <v>236</v>
      </c>
      <c r="B72" s="9"/>
      <c r="C72" s="9" t="s">
        <v>62</v>
      </c>
      <c r="D72" s="10" t="s">
        <v>63</v>
      </c>
      <c r="E72" s="10"/>
      <c r="F72" s="10" t="s">
        <v>165</v>
      </c>
      <c r="G72" s="10" t="s">
        <v>166</v>
      </c>
      <c r="H72" s="12" t="s">
        <v>237</v>
      </c>
      <c r="I72" s="11" t="s">
        <v>238</v>
      </c>
      <c r="J72" s="12" t="s">
        <v>757</v>
      </c>
      <c r="K72" s="12" t="s">
        <v>215</v>
      </c>
      <c r="L72" s="10" t="s">
        <v>178</v>
      </c>
      <c r="M72" s="11" t="s">
        <v>78</v>
      </c>
      <c r="N72" s="12">
        <v>44175</v>
      </c>
      <c r="O72" s="12" t="s">
        <v>72</v>
      </c>
      <c r="P72" s="10" t="s">
        <v>78</v>
      </c>
      <c r="Q72" s="12">
        <v>44074</v>
      </c>
      <c r="R72" s="12" t="s">
        <v>74</v>
      </c>
      <c r="S72" s="12" t="s">
        <v>78</v>
      </c>
      <c r="T72" s="12">
        <v>44175</v>
      </c>
      <c r="U72" s="9" t="s">
        <v>71</v>
      </c>
      <c r="V72" s="9" t="s">
        <v>71</v>
      </c>
      <c r="W72" s="13">
        <v>44175</v>
      </c>
      <c r="X72" s="14" t="s">
        <v>62</v>
      </c>
      <c r="Y72" s="14" t="s">
        <v>78</v>
      </c>
      <c r="Z72" s="14" t="s">
        <v>77</v>
      </c>
      <c r="AA72" s="13" t="s">
        <v>84</v>
      </c>
      <c r="AB72" s="13">
        <v>44182</v>
      </c>
      <c r="AC72" s="14" t="s">
        <v>78</v>
      </c>
      <c r="AD72" s="13">
        <v>44196</v>
      </c>
      <c r="AE72" s="13">
        <v>44211</v>
      </c>
      <c r="AF72" s="14" t="s">
        <v>108</v>
      </c>
      <c r="AG72" s="14"/>
      <c r="AH72" s="14" t="s">
        <v>78</v>
      </c>
      <c r="AI72" s="14" t="s">
        <v>79</v>
      </c>
      <c r="AJ72" s="14" t="s">
        <v>80</v>
      </c>
      <c r="AK72" s="14" t="s">
        <v>11</v>
      </c>
      <c r="AL72" s="14" t="s">
        <v>16</v>
      </c>
      <c r="AM72" s="14" t="s">
        <v>88</v>
      </c>
      <c r="AN72" s="13" t="e">
        <f>#REF!</f>
        <v>#REF!</v>
      </c>
      <c r="AO72" s="13" t="e">
        <f>#REF!</f>
        <v>#REF!</v>
      </c>
      <c r="AP72" s="13">
        <v>44229</v>
      </c>
      <c r="AQ72" s="14" t="s">
        <v>10</v>
      </c>
      <c r="AR72" s="14" t="s">
        <v>1</v>
      </c>
      <c r="AS72" s="14">
        <v>10</v>
      </c>
      <c r="AT72" s="14"/>
      <c r="AU72" s="15"/>
    </row>
    <row r="73" spans="1:47" ht="342">
      <c r="A73" s="9" t="s">
        <v>252</v>
      </c>
      <c r="B73" s="9"/>
      <c r="C73" s="9" t="s">
        <v>62</v>
      </c>
      <c r="D73" s="9" t="s">
        <v>63</v>
      </c>
      <c r="E73" s="10"/>
      <c r="F73" s="10" t="s">
        <v>165</v>
      </c>
      <c r="G73" s="10" t="s">
        <v>166</v>
      </c>
      <c r="H73" s="12" t="s">
        <v>253</v>
      </c>
      <c r="I73" s="11" t="s">
        <v>254</v>
      </c>
      <c r="J73" s="12" t="s">
        <v>757</v>
      </c>
      <c r="K73" s="12" t="s">
        <v>215</v>
      </c>
      <c r="L73" s="10" t="s">
        <v>178</v>
      </c>
      <c r="M73" s="11" t="s">
        <v>78</v>
      </c>
      <c r="N73" s="12">
        <v>44175</v>
      </c>
      <c r="O73" s="12" t="s">
        <v>72</v>
      </c>
      <c r="P73" s="10" t="s">
        <v>78</v>
      </c>
      <c r="Q73" s="12">
        <v>44074</v>
      </c>
      <c r="R73" s="12" t="s">
        <v>74</v>
      </c>
      <c r="S73" s="12" t="s">
        <v>78</v>
      </c>
      <c r="T73" s="12">
        <v>44175</v>
      </c>
      <c r="U73" s="9" t="s">
        <v>71</v>
      </c>
      <c r="V73" s="9" t="s">
        <v>71</v>
      </c>
      <c r="W73" s="13">
        <v>44175</v>
      </c>
      <c r="X73" s="14" t="s">
        <v>62</v>
      </c>
      <c r="Y73" s="14" t="s">
        <v>78</v>
      </c>
      <c r="Z73" s="14" t="s">
        <v>77</v>
      </c>
      <c r="AA73" s="13" t="s">
        <v>84</v>
      </c>
      <c r="AB73" s="13">
        <v>44182</v>
      </c>
      <c r="AC73" s="14" t="s">
        <v>78</v>
      </c>
      <c r="AD73" s="13">
        <v>44196</v>
      </c>
      <c r="AE73" s="13">
        <v>44211</v>
      </c>
      <c r="AF73" s="14" t="s">
        <v>108</v>
      </c>
      <c r="AG73" s="14"/>
      <c r="AH73" s="14" t="s">
        <v>78</v>
      </c>
      <c r="AI73" s="14" t="s">
        <v>79</v>
      </c>
      <c r="AJ73" s="14" t="s">
        <v>80</v>
      </c>
      <c r="AK73" s="14" t="s">
        <v>251</v>
      </c>
      <c r="AL73" s="14" t="s">
        <v>9</v>
      </c>
      <c r="AM73" s="14" t="s">
        <v>88</v>
      </c>
      <c r="AN73" s="13" t="e">
        <f>#REF!</f>
        <v>#REF!</v>
      </c>
      <c r="AO73" s="13" t="e">
        <f>#REF!</f>
        <v>#REF!</v>
      </c>
      <c r="AP73" s="13">
        <v>44229</v>
      </c>
      <c r="AQ73" s="14" t="s">
        <v>10</v>
      </c>
      <c r="AR73" s="14" t="s">
        <v>2</v>
      </c>
      <c r="AS73" s="14">
        <v>4</v>
      </c>
      <c r="AT73" s="14"/>
      <c r="AU73" s="15"/>
    </row>
    <row r="74" spans="1:47" ht="299.25">
      <c r="A74" s="9" t="s">
        <v>255</v>
      </c>
      <c r="B74" s="9"/>
      <c r="C74" s="9" t="s">
        <v>62</v>
      </c>
      <c r="D74" s="9" t="s">
        <v>63</v>
      </c>
      <c r="E74" s="10"/>
      <c r="F74" s="10" t="s">
        <v>165</v>
      </c>
      <c r="G74" s="10" t="s">
        <v>166</v>
      </c>
      <c r="H74" s="12" t="s">
        <v>253</v>
      </c>
      <c r="I74" s="11" t="s">
        <v>256</v>
      </c>
      <c r="J74" s="12" t="s">
        <v>757</v>
      </c>
      <c r="K74" s="12" t="s">
        <v>215</v>
      </c>
      <c r="L74" s="10" t="s">
        <v>178</v>
      </c>
      <c r="M74" s="11" t="s">
        <v>78</v>
      </c>
      <c r="N74" s="12">
        <v>44175</v>
      </c>
      <c r="O74" s="12" t="s">
        <v>72</v>
      </c>
      <c r="P74" s="10" t="s">
        <v>78</v>
      </c>
      <c r="Q74" s="12">
        <v>44074</v>
      </c>
      <c r="R74" s="12" t="s">
        <v>74</v>
      </c>
      <c r="S74" s="12" t="s">
        <v>78</v>
      </c>
      <c r="T74" s="12">
        <v>44175</v>
      </c>
      <c r="U74" s="9" t="s">
        <v>71</v>
      </c>
      <c r="V74" s="9" t="s">
        <v>71</v>
      </c>
      <c r="W74" s="13">
        <v>44175</v>
      </c>
      <c r="X74" s="14" t="s">
        <v>62</v>
      </c>
      <c r="Y74" s="14" t="s">
        <v>78</v>
      </c>
      <c r="Z74" s="14" t="s">
        <v>77</v>
      </c>
      <c r="AA74" s="13" t="s">
        <v>84</v>
      </c>
      <c r="AB74" s="13">
        <v>44182</v>
      </c>
      <c r="AC74" s="14" t="s">
        <v>78</v>
      </c>
      <c r="AD74" s="13">
        <v>44196</v>
      </c>
      <c r="AE74" s="13">
        <v>44211</v>
      </c>
      <c r="AF74" s="14" t="s">
        <v>108</v>
      </c>
      <c r="AG74" s="14"/>
      <c r="AH74" s="14" t="s">
        <v>78</v>
      </c>
      <c r="AI74" s="14" t="s">
        <v>79</v>
      </c>
      <c r="AJ74" s="14" t="s">
        <v>80</v>
      </c>
      <c r="AK74" s="14" t="s">
        <v>251</v>
      </c>
      <c r="AL74" s="14" t="s">
        <v>9</v>
      </c>
      <c r="AM74" s="14" t="s">
        <v>88</v>
      </c>
      <c r="AN74" s="13" t="e">
        <f>#REF!</f>
        <v>#REF!</v>
      </c>
      <c r="AO74" s="13" t="e">
        <f>#REF!</f>
        <v>#REF!</v>
      </c>
      <c r="AP74" s="13">
        <v>44229</v>
      </c>
      <c r="AQ74" s="14" t="s">
        <v>10</v>
      </c>
      <c r="AR74" s="14" t="s">
        <v>2</v>
      </c>
      <c r="AS74" s="14">
        <v>8</v>
      </c>
      <c r="AT74" s="14"/>
      <c r="AU74" s="15"/>
    </row>
    <row r="75" spans="1:47" ht="185.25">
      <c r="A75" s="9" t="s">
        <v>257</v>
      </c>
      <c r="B75" s="9"/>
      <c r="C75" s="9" t="s">
        <v>62</v>
      </c>
      <c r="D75" s="10" t="s">
        <v>63</v>
      </c>
      <c r="E75" s="10"/>
      <c r="F75" s="10" t="s">
        <v>165</v>
      </c>
      <c r="G75" s="10" t="s">
        <v>166</v>
      </c>
      <c r="H75" s="12" t="s">
        <v>253</v>
      </c>
      <c r="I75" s="11" t="s">
        <v>258</v>
      </c>
      <c r="J75" s="12" t="s">
        <v>757</v>
      </c>
      <c r="K75" s="12" t="s">
        <v>215</v>
      </c>
      <c r="L75" s="10" t="s">
        <v>178</v>
      </c>
      <c r="M75" s="11" t="s">
        <v>78</v>
      </c>
      <c r="N75" s="12">
        <v>44175</v>
      </c>
      <c r="O75" s="12" t="s">
        <v>72</v>
      </c>
      <c r="P75" s="10" t="s">
        <v>78</v>
      </c>
      <c r="Q75" s="12">
        <v>44074</v>
      </c>
      <c r="R75" s="12" t="s">
        <v>74</v>
      </c>
      <c r="S75" s="12" t="s">
        <v>78</v>
      </c>
      <c r="T75" s="12">
        <v>44175</v>
      </c>
      <c r="U75" s="9" t="s">
        <v>71</v>
      </c>
      <c r="V75" s="9" t="s">
        <v>71</v>
      </c>
      <c r="W75" s="13">
        <v>44175</v>
      </c>
      <c r="X75" s="14" t="s">
        <v>62</v>
      </c>
      <c r="Y75" s="14" t="s">
        <v>78</v>
      </c>
      <c r="Z75" s="14" t="s">
        <v>77</v>
      </c>
      <c r="AA75" s="13" t="s">
        <v>84</v>
      </c>
      <c r="AB75" s="13">
        <v>44182</v>
      </c>
      <c r="AC75" s="14" t="s">
        <v>78</v>
      </c>
      <c r="AD75" s="13">
        <v>44196</v>
      </c>
      <c r="AE75" s="13">
        <v>44211</v>
      </c>
      <c r="AF75" s="14" t="s">
        <v>108</v>
      </c>
      <c r="AG75" s="14"/>
      <c r="AH75" s="14" t="s">
        <v>78</v>
      </c>
      <c r="AI75" s="14" t="s">
        <v>79</v>
      </c>
      <c r="AJ75" s="14" t="s">
        <v>80</v>
      </c>
      <c r="AK75" s="14" t="s">
        <v>259</v>
      </c>
      <c r="AL75" s="14" t="s">
        <v>16</v>
      </c>
      <c r="AM75" s="14" t="s">
        <v>88</v>
      </c>
      <c r="AN75" s="13" t="e">
        <f>#REF!</f>
        <v>#REF!</v>
      </c>
      <c r="AO75" s="13" t="e">
        <f>#REF!</f>
        <v>#REF!</v>
      </c>
      <c r="AP75" s="13">
        <v>44229</v>
      </c>
      <c r="AQ75" s="14" t="s">
        <v>10</v>
      </c>
      <c r="AR75" s="14" t="s">
        <v>2</v>
      </c>
      <c r="AS75" s="14">
        <v>12</v>
      </c>
      <c r="AT75" s="14"/>
      <c r="AU75" s="15"/>
    </row>
    <row r="76" spans="1:47" ht="114">
      <c r="A76" s="9" t="s">
        <v>374</v>
      </c>
      <c r="B76" s="9"/>
      <c r="C76" s="9"/>
      <c r="D76" s="9" t="s">
        <v>276</v>
      </c>
      <c r="E76" s="10"/>
      <c r="F76" s="10" t="s">
        <v>129</v>
      </c>
      <c r="G76" s="10" t="s">
        <v>375</v>
      </c>
      <c r="H76" s="12" t="s">
        <v>376</v>
      </c>
      <c r="I76" s="11" t="s">
        <v>377</v>
      </c>
      <c r="J76" s="12"/>
      <c r="K76" s="12" t="s">
        <v>758</v>
      </c>
      <c r="L76" s="11" t="s">
        <v>178</v>
      </c>
      <c r="M76" s="11" t="s">
        <v>78</v>
      </c>
      <c r="N76" s="12">
        <v>44175</v>
      </c>
      <c r="O76" s="12" t="s">
        <v>72</v>
      </c>
      <c r="P76" s="9" t="s">
        <v>78</v>
      </c>
      <c r="Q76" s="12">
        <v>44074</v>
      </c>
      <c r="R76" s="12" t="s">
        <v>74</v>
      </c>
      <c r="S76" s="12" t="s">
        <v>78</v>
      </c>
      <c r="T76" s="11">
        <v>44175</v>
      </c>
      <c r="U76" s="9" t="s">
        <v>76</v>
      </c>
      <c r="V76" s="9" t="s">
        <v>78</v>
      </c>
      <c r="W76" s="13">
        <v>44175</v>
      </c>
      <c r="X76" s="14" t="s">
        <v>208</v>
      </c>
      <c r="Y76" s="14" t="s">
        <v>78</v>
      </c>
      <c r="Z76" s="14" t="s">
        <v>134</v>
      </c>
      <c r="AA76" s="13">
        <v>44207</v>
      </c>
      <c r="AB76" s="13">
        <v>44182</v>
      </c>
      <c r="AC76" s="14" t="s">
        <v>78</v>
      </c>
      <c r="AD76" s="13">
        <v>44196</v>
      </c>
      <c r="AE76" s="13">
        <v>44211</v>
      </c>
      <c r="AF76" s="14" t="s">
        <v>108</v>
      </c>
      <c r="AG76" s="14"/>
      <c r="AH76" s="14" t="s">
        <v>78</v>
      </c>
      <c r="AI76" s="14" t="s">
        <v>79</v>
      </c>
      <c r="AJ76" s="14" t="s">
        <v>203</v>
      </c>
      <c r="AK76" s="14" t="s">
        <v>82</v>
      </c>
      <c r="AL76" s="14" t="s">
        <v>9</v>
      </c>
      <c r="AM76" s="14" t="s">
        <v>88</v>
      </c>
      <c r="AN76" s="13" t="e">
        <f>#REF!</f>
        <v>#REF!</v>
      </c>
      <c r="AO76" s="13" t="e">
        <f>#REF!</f>
        <v>#REF!</v>
      </c>
      <c r="AP76" s="13">
        <v>44229</v>
      </c>
      <c r="AQ76" s="14" t="s">
        <v>10</v>
      </c>
      <c r="AR76" s="14" t="s">
        <v>2</v>
      </c>
      <c r="AS76" s="14">
        <v>12</v>
      </c>
      <c r="AT76" s="14"/>
      <c r="AU76" s="15"/>
    </row>
    <row r="77" spans="1:47" ht="114">
      <c r="A77" s="10" t="s">
        <v>378</v>
      </c>
      <c r="B77" s="10"/>
      <c r="C77" s="10"/>
      <c r="D77" s="10" t="s">
        <v>276</v>
      </c>
      <c r="E77" s="10" t="s">
        <v>379</v>
      </c>
      <c r="F77" s="10" t="s">
        <v>129</v>
      </c>
      <c r="G77" s="10" t="s">
        <v>375</v>
      </c>
      <c r="H77" s="12" t="s">
        <v>380</v>
      </c>
      <c r="I77" s="11" t="s">
        <v>381</v>
      </c>
      <c r="J77" s="12"/>
      <c r="K77" s="12" t="s">
        <v>758</v>
      </c>
      <c r="L77" s="11" t="s">
        <v>178</v>
      </c>
      <c r="M77" s="11" t="s">
        <v>78</v>
      </c>
      <c r="N77" s="12">
        <v>44175</v>
      </c>
      <c r="O77" s="12" t="s">
        <v>72</v>
      </c>
      <c r="P77" s="9" t="s">
        <v>78</v>
      </c>
      <c r="Q77" s="12">
        <v>44074</v>
      </c>
      <c r="R77" s="12" t="s">
        <v>74</v>
      </c>
      <c r="S77" s="12" t="s">
        <v>78</v>
      </c>
      <c r="T77" s="11">
        <v>44175</v>
      </c>
      <c r="U77" s="9" t="s">
        <v>76</v>
      </c>
      <c r="V77" s="9" t="s">
        <v>78</v>
      </c>
      <c r="W77" s="13">
        <v>44175</v>
      </c>
      <c r="X77" s="14" t="s">
        <v>208</v>
      </c>
      <c r="Y77" s="14" t="s">
        <v>78</v>
      </c>
      <c r="Z77" s="14" t="s">
        <v>134</v>
      </c>
      <c r="AA77" s="13">
        <v>44207</v>
      </c>
      <c r="AB77" s="13">
        <v>44182</v>
      </c>
      <c r="AC77" s="14" t="s">
        <v>78</v>
      </c>
      <c r="AD77" s="13">
        <v>44196</v>
      </c>
      <c r="AE77" s="13">
        <v>44211</v>
      </c>
      <c r="AF77" s="14" t="s">
        <v>108</v>
      </c>
      <c r="AG77" s="14"/>
      <c r="AH77" s="14" t="s">
        <v>78</v>
      </c>
      <c r="AI77" s="14" t="s">
        <v>79</v>
      </c>
      <c r="AJ77" s="14" t="s">
        <v>203</v>
      </c>
      <c r="AK77" s="14" t="s">
        <v>82</v>
      </c>
      <c r="AL77" s="14" t="s">
        <v>9</v>
      </c>
      <c r="AM77" s="14" t="s">
        <v>88</v>
      </c>
      <c r="AN77" s="13" t="e">
        <f>#REF!</f>
        <v>#REF!</v>
      </c>
      <c r="AO77" s="13" t="e">
        <f>#REF!</f>
        <v>#REF!</v>
      </c>
      <c r="AP77" s="13">
        <v>44229</v>
      </c>
      <c r="AQ77" s="14" t="s">
        <v>10</v>
      </c>
      <c r="AR77" s="14" t="s">
        <v>2</v>
      </c>
      <c r="AS77" s="14">
        <v>12</v>
      </c>
      <c r="AT77" s="14"/>
      <c r="AU77" s="15"/>
    </row>
    <row r="78" spans="1:47" ht="28.5">
      <c r="A78" s="10" t="s">
        <v>507</v>
      </c>
      <c r="B78" s="10"/>
      <c r="C78" s="10"/>
      <c r="D78" s="10" t="s">
        <v>183</v>
      </c>
      <c r="E78" s="10"/>
      <c r="F78" s="10" t="s">
        <v>220</v>
      </c>
      <c r="G78" s="10" t="s">
        <v>245</v>
      </c>
      <c r="H78" s="12" t="s">
        <v>508</v>
      </c>
      <c r="I78" s="11" t="s">
        <v>509</v>
      </c>
      <c r="J78" s="12" t="s">
        <v>71</v>
      </c>
      <c r="K78" s="12" t="s">
        <v>229</v>
      </c>
      <c r="L78" s="12" t="s">
        <v>178</v>
      </c>
      <c r="M78" s="11" t="s">
        <v>78</v>
      </c>
      <c r="N78" s="12">
        <v>44175</v>
      </c>
      <c r="O78" s="12" t="s">
        <v>72</v>
      </c>
      <c r="P78" s="9" t="s">
        <v>78</v>
      </c>
      <c r="Q78" s="12">
        <v>44175</v>
      </c>
      <c r="R78" s="12" t="s">
        <v>74</v>
      </c>
      <c r="S78" s="12" t="s">
        <v>78</v>
      </c>
      <c r="T78" s="12">
        <v>44175</v>
      </c>
      <c r="U78" s="9" t="s">
        <v>188</v>
      </c>
      <c r="V78" s="9" t="s">
        <v>78</v>
      </c>
      <c r="W78" s="13">
        <v>44175</v>
      </c>
      <c r="X78" s="14" t="s">
        <v>189</v>
      </c>
      <c r="Y78" s="14" t="s">
        <v>78</v>
      </c>
      <c r="Z78" s="14" t="s">
        <v>134</v>
      </c>
      <c r="AA78" s="13">
        <v>44176</v>
      </c>
      <c r="AB78" s="13">
        <v>44182</v>
      </c>
      <c r="AC78" s="14" t="s">
        <v>78</v>
      </c>
      <c r="AD78" s="13">
        <v>44196</v>
      </c>
      <c r="AE78" s="13">
        <v>44211</v>
      </c>
      <c r="AF78" s="14" t="s">
        <v>108</v>
      </c>
      <c r="AG78" s="14"/>
      <c r="AH78" s="14" t="s">
        <v>78</v>
      </c>
      <c r="AI78" s="14" t="s">
        <v>190</v>
      </c>
      <c r="AJ78" s="14" t="s">
        <v>6</v>
      </c>
      <c r="AK78" s="14" t="s">
        <v>148</v>
      </c>
      <c r="AL78" s="14" t="s">
        <v>9</v>
      </c>
      <c r="AM78" s="14" t="s">
        <v>88</v>
      </c>
      <c r="AN78" s="13" t="e">
        <f>#REF!</f>
        <v>#REF!</v>
      </c>
      <c r="AO78" s="13" t="e">
        <f>#REF!</f>
        <v>#REF!</v>
      </c>
      <c r="AP78" s="13">
        <v>44229</v>
      </c>
      <c r="AQ78" s="14" t="s">
        <v>6</v>
      </c>
      <c r="AR78" s="14" t="s">
        <v>4</v>
      </c>
      <c r="AS78" s="14">
        <v>0</v>
      </c>
      <c r="AT78" s="14"/>
      <c r="AU78" s="15"/>
    </row>
    <row r="79" spans="1:47" ht="28.5">
      <c r="A79" s="9" t="s">
        <v>525</v>
      </c>
      <c r="B79" s="9"/>
      <c r="C79" s="17"/>
      <c r="D79" s="9" t="s">
        <v>183</v>
      </c>
      <c r="E79" s="10"/>
      <c r="F79" s="10" t="s">
        <v>220</v>
      </c>
      <c r="G79" s="10" t="s">
        <v>248</v>
      </c>
      <c r="H79" s="12" t="s">
        <v>526</v>
      </c>
      <c r="I79" s="11" t="s">
        <v>527</v>
      </c>
      <c r="J79" s="12" t="s">
        <v>71</v>
      </c>
      <c r="K79" s="12" t="s">
        <v>229</v>
      </c>
      <c r="L79" s="12" t="s">
        <v>178</v>
      </c>
      <c r="M79" s="11" t="s">
        <v>78</v>
      </c>
      <c r="N79" s="12">
        <v>44175</v>
      </c>
      <c r="O79" s="12" t="s">
        <v>72</v>
      </c>
      <c r="P79" s="10" t="s">
        <v>78</v>
      </c>
      <c r="Q79" s="12">
        <v>44175</v>
      </c>
      <c r="R79" s="12" t="s">
        <v>74</v>
      </c>
      <c r="S79" s="12" t="s">
        <v>78</v>
      </c>
      <c r="T79" s="12">
        <v>44175</v>
      </c>
      <c r="U79" s="9" t="s">
        <v>188</v>
      </c>
      <c r="V79" s="9" t="s">
        <v>78</v>
      </c>
      <c r="W79" s="13">
        <v>44175</v>
      </c>
      <c r="X79" s="14" t="s">
        <v>189</v>
      </c>
      <c r="Y79" s="14" t="s">
        <v>78</v>
      </c>
      <c r="Z79" s="14" t="s">
        <v>134</v>
      </c>
      <c r="AA79" s="13">
        <v>44176</v>
      </c>
      <c r="AB79" s="13">
        <v>44182</v>
      </c>
      <c r="AC79" s="14" t="s">
        <v>78</v>
      </c>
      <c r="AD79" s="13">
        <v>44196</v>
      </c>
      <c r="AE79" s="13">
        <v>44211</v>
      </c>
      <c r="AF79" s="14" t="s">
        <v>108</v>
      </c>
      <c r="AG79" s="14"/>
      <c r="AH79" s="14" t="s">
        <v>78</v>
      </c>
      <c r="AI79" s="14" t="s">
        <v>190</v>
      </c>
      <c r="AJ79" s="14" t="s">
        <v>6</v>
      </c>
      <c r="AK79" s="14" t="s">
        <v>148</v>
      </c>
      <c r="AL79" s="14" t="s">
        <v>9</v>
      </c>
      <c r="AM79" s="14" t="s">
        <v>88</v>
      </c>
      <c r="AN79" s="13" t="e">
        <f>#REF!</f>
        <v>#REF!</v>
      </c>
      <c r="AO79" s="13" t="e">
        <f>#REF!</f>
        <v>#REF!</v>
      </c>
      <c r="AP79" s="13">
        <v>44229</v>
      </c>
      <c r="AQ79" s="14" t="s">
        <v>6</v>
      </c>
      <c r="AR79" s="14" t="s">
        <v>4</v>
      </c>
      <c r="AS79" s="14">
        <v>20</v>
      </c>
      <c r="AT79" s="14"/>
      <c r="AU79" s="15"/>
    </row>
    <row r="80" spans="1:47" ht="42.75">
      <c r="A80" s="9" t="s">
        <v>605</v>
      </c>
      <c r="B80" s="9"/>
      <c r="C80" s="9" t="s">
        <v>62</v>
      </c>
      <c r="D80" s="9" t="s">
        <v>63</v>
      </c>
      <c r="E80" s="10"/>
      <c r="F80" s="10" t="s">
        <v>165</v>
      </c>
      <c r="G80" s="10" t="s">
        <v>166</v>
      </c>
      <c r="H80" s="12" t="s">
        <v>606</v>
      </c>
      <c r="I80" s="11" t="s">
        <v>607</v>
      </c>
      <c r="J80" s="12" t="s">
        <v>757</v>
      </c>
      <c r="K80" s="12" t="s">
        <v>215</v>
      </c>
      <c r="L80" s="11" t="s">
        <v>178</v>
      </c>
      <c r="M80" s="11" t="s">
        <v>78</v>
      </c>
      <c r="N80" s="12">
        <v>44175</v>
      </c>
      <c r="O80" s="12" t="s">
        <v>72</v>
      </c>
      <c r="P80" s="9" t="s">
        <v>78</v>
      </c>
      <c r="Q80" s="12">
        <v>44074</v>
      </c>
      <c r="R80" s="12" t="s">
        <v>74</v>
      </c>
      <c r="S80" s="12" t="s">
        <v>78</v>
      </c>
      <c r="T80" s="12">
        <v>44175</v>
      </c>
      <c r="U80" s="9" t="s">
        <v>71</v>
      </c>
      <c r="V80" s="9" t="s">
        <v>71</v>
      </c>
      <c r="W80" s="13">
        <v>44175</v>
      </c>
      <c r="X80" s="14" t="s">
        <v>62</v>
      </c>
      <c r="Y80" s="14" t="s">
        <v>78</v>
      </c>
      <c r="Z80" s="14" t="s">
        <v>77</v>
      </c>
      <c r="AA80" s="13" t="s">
        <v>84</v>
      </c>
      <c r="AB80" s="13">
        <v>44182</v>
      </c>
      <c r="AC80" s="14" t="s">
        <v>78</v>
      </c>
      <c r="AD80" s="13">
        <v>44196</v>
      </c>
      <c r="AE80" s="13">
        <v>44211</v>
      </c>
      <c r="AF80" s="14" t="s">
        <v>108</v>
      </c>
      <c r="AG80" s="14"/>
      <c r="AH80" s="14" t="s">
        <v>78</v>
      </c>
      <c r="AI80" s="14" t="s">
        <v>79</v>
      </c>
      <c r="AJ80" s="14" t="s">
        <v>80</v>
      </c>
      <c r="AK80" s="14" t="s">
        <v>16</v>
      </c>
      <c r="AL80" s="14" t="s">
        <v>16</v>
      </c>
      <c r="AM80" s="14" t="s">
        <v>88</v>
      </c>
      <c r="AN80" s="13" t="e">
        <f>#REF!</f>
        <v>#REF!</v>
      </c>
      <c r="AO80" s="13" t="e">
        <f>#REF!</f>
        <v>#REF!</v>
      </c>
      <c r="AP80" s="13">
        <v>44229</v>
      </c>
      <c r="AQ80" s="14" t="s">
        <v>10</v>
      </c>
      <c r="AR80" s="14" t="s">
        <v>2</v>
      </c>
      <c r="AS80" s="14">
        <v>15</v>
      </c>
      <c r="AT80" s="14"/>
      <c r="AU80" s="15"/>
    </row>
    <row r="81" spans="1:47" ht="71.25">
      <c r="A81" s="9" t="s">
        <v>613</v>
      </c>
      <c r="B81" s="9" t="s">
        <v>103</v>
      </c>
      <c r="C81" s="9" t="s">
        <v>62</v>
      </c>
      <c r="D81" s="9" t="s">
        <v>63</v>
      </c>
      <c r="E81" s="10" t="s">
        <v>64</v>
      </c>
      <c r="F81" s="10" t="s">
        <v>65</v>
      </c>
      <c r="G81" s="10" t="s">
        <v>66</v>
      </c>
      <c r="H81" s="12" t="s">
        <v>614</v>
      </c>
      <c r="I81" s="11" t="s">
        <v>615</v>
      </c>
      <c r="J81" s="12" t="s">
        <v>69</v>
      </c>
      <c r="K81" s="12" t="s">
        <v>70</v>
      </c>
      <c r="L81" s="11" t="s">
        <v>71</v>
      </c>
      <c r="M81" s="11" t="s">
        <v>71</v>
      </c>
      <c r="N81" s="12">
        <v>44175</v>
      </c>
      <c r="O81" s="12" t="s">
        <v>72</v>
      </c>
      <c r="P81" s="9" t="s">
        <v>78</v>
      </c>
      <c r="Q81" s="12">
        <v>44074</v>
      </c>
      <c r="R81" s="12" t="s">
        <v>74</v>
      </c>
      <c r="S81" s="12" t="s">
        <v>78</v>
      </c>
      <c r="T81" s="12">
        <v>44175</v>
      </c>
      <c r="U81" s="9" t="s">
        <v>71</v>
      </c>
      <c r="V81" s="9" t="s">
        <v>71</v>
      </c>
      <c r="W81" s="13">
        <v>44175</v>
      </c>
      <c r="X81" s="14" t="s">
        <v>62</v>
      </c>
      <c r="Y81" s="14" t="s">
        <v>78</v>
      </c>
      <c r="Z81" s="14" t="s">
        <v>77</v>
      </c>
      <c r="AA81" s="13" t="s">
        <v>84</v>
      </c>
      <c r="AB81" s="13">
        <v>44182</v>
      </c>
      <c r="AC81" s="14" t="s">
        <v>78</v>
      </c>
      <c r="AD81" s="13">
        <v>44196</v>
      </c>
      <c r="AE81" s="13">
        <v>44211</v>
      </c>
      <c r="AF81" s="14" t="s">
        <v>108</v>
      </c>
      <c r="AG81" s="14"/>
      <c r="AH81" s="14" t="s">
        <v>78</v>
      </c>
      <c r="AI81" s="14" t="s">
        <v>79</v>
      </c>
      <c r="AJ81" s="14" t="s">
        <v>80</v>
      </c>
      <c r="AK81" s="14" t="s">
        <v>16</v>
      </c>
      <c r="AL81" s="14" t="s">
        <v>9</v>
      </c>
      <c r="AM81" s="14" t="s">
        <v>88</v>
      </c>
      <c r="AN81" s="13" t="e">
        <f>#REF!</f>
        <v>#REF!</v>
      </c>
      <c r="AO81" s="13" t="e">
        <f>#REF!</f>
        <v>#REF!</v>
      </c>
      <c r="AP81" s="13">
        <v>44229</v>
      </c>
      <c r="AQ81" s="14" t="s">
        <v>10</v>
      </c>
      <c r="AR81" s="14" t="s">
        <v>2</v>
      </c>
      <c r="AS81" s="14">
        <v>4</v>
      </c>
      <c r="AT81" s="14"/>
      <c r="AU81" s="15"/>
    </row>
    <row r="82" spans="1:47" ht="85.5">
      <c r="A82" s="9" t="s">
        <v>631</v>
      </c>
      <c r="B82" s="9"/>
      <c r="C82" s="9"/>
      <c r="D82" s="9" t="s">
        <v>276</v>
      </c>
      <c r="E82" s="10"/>
      <c r="F82" s="10" t="s">
        <v>231</v>
      </c>
      <c r="G82" s="10" t="s">
        <v>232</v>
      </c>
      <c r="H82" s="12" t="s">
        <v>632</v>
      </c>
      <c r="I82" s="11" t="s">
        <v>633</v>
      </c>
      <c r="J82" s="12"/>
      <c r="K82" s="12" t="s">
        <v>215</v>
      </c>
      <c r="L82" s="11" t="s">
        <v>178</v>
      </c>
      <c r="M82" s="11"/>
      <c r="N82" s="12">
        <v>44175</v>
      </c>
      <c r="O82" s="12" t="s">
        <v>72</v>
      </c>
      <c r="P82" s="9" t="s">
        <v>78</v>
      </c>
      <c r="Q82" s="12">
        <v>44175</v>
      </c>
      <c r="R82" s="12" t="s">
        <v>74</v>
      </c>
      <c r="S82" s="12" t="s">
        <v>78</v>
      </c>
      <c r="T82" s="12">
        <v>44175</v>
      </c>
      <c r="U82" s="9" t="s">
        <v>76</v>
      </c>
      <c r="V82" s="9" t="s">
        <v>78</v>
      </c>
      <c r="W82" s="13">
        <v>44175</v>
      </c>
      <c r="X82" s="14" t="s">
        <v>208</v>
      </c>
      <c r="Y82" s="14" t="s">
        <v>78</v>
      </c>
      <c r="Z82" s="14" t="s">
        <v>134</v>
      </c>
      <c r="AA82" s="13">
        <v>44176</v>
      </c>
      <c r="AB82" s="13">
        <v>44182</v>
      </c>
      <c r="AC82" s="14" t="s">
        <v>78</v>
      </c>
      <c r="AD82" s="13">
        <v>44196</v>
      </c>
      <c r="AE82" s="13">
        <v>44211</v>
      </c>
      <c r="AF82" s="14" t="s">
        <v>108</v>
      </c>
      <c r="AG82" s="14"/>
      <c r="AH82" s="14" t="s">
        <v>78</v>
      </c>
      <c r="AI82" s="14" t="s">
        <v>79</v>
      </c>
      <c r="AJ82" s="14" t="s">
        <v>6</v>
      </c>
      <c r="AK82" s="14" t="s">
        <v>16</v>
      </c>
      <c r="AL82" s="14" t="s">
        <v>148</v>
      </c>
      <c r="AM82" s="14" t="s">
        <v>88</v>
      </c>
      <c r="AN82" s="13" t="e">
        <f>#REF!</f>
        <v>#REF!</v>
      </c>
      <c r="AO82" s="13" t="e">
        <f>#REF!</f>
        <v>#REF!</v>
      </c>
      <c r="AP82" s="13">
        <v>44229</v>
      </c>
      <c r="AQ82" s="14" t="s">
        <v>6</v>
      </c>
      <c r="AR82" s="14" t="s">
        <v>3</v>
      </c>
      <c r="AS82" s="14">
        <v>120</v>
      </c>
      <c r="AT82" s="14"/>
      <c r="AU82" s="15"/>
    </row>
    <row r="83" spans="1:47" ht="71.25">
      <c r="A83" s="9" t="s">
        <v>634</v>
      </c>
      <c r="B83" s="9"/>
      <c r="C83" s="9" t="s">
        <v>62</v>
      </c>
      <c r="D83" s="9" t="s">
        <v>63</v>
      </c>
      <c r="E83" s="10"/>
      <c r="F83" s="10" t="s">
        <v>231</v>
      </c>
      <c r="G83" s="10" t="s">
        <v>231</v>
      </c>
      <c r="H83" s="12" t="s">
        <v>635</v>
      </c>
      <c r="I83" s="11" t="s">
        <v>636</v>
      </c>
      <c r="J83" s="12"/>
      <c r="K83" s="12" t="s">
        <v>70</v>
      </c>
      <c r="L83" s="11" t="s">
        <v>71</v>
      </c>
      <c r="M83" s="11" t="s">
        <v>71</v>
      </c>
      <c r="N83" s="12">
        <v>44175</v>
      </c>
      <c r="O83" s="12" t="s">
        <v>72</v>
      </c>
      <c r="P83" s="9" t="s">
        <v>78</v>
      </c>
      <c r="Q83" s="12">
        <v>44074</v>
      </c>
      <c r="R83" s="12" t="s">
        <v>74</v>
      </c>
      <c r="S83" s="12" t="s">
        <v>78</v>
      </c>
      <c r="T83" s="12">
        <v>44175</v>
      </c>
      <c r="U83" s="9" t="s">
        <v>71</v>
      </c>
      <c r="V83" s="9" t="s">
        <v>71</v>
      </c>
      <c r="W83" s="13">
        <v>44175</v>
      </c>
      <c r="X83" s="14" t="s">
        <v>62</v>
      </c>
      <c r="Y83" s="14" t="s">
        <v>78</v>
      </c>
      <c r="Z83" s="14" t="s">
        <v>77</v>
      </c>
      <c r="AA83" s="13" t="s">
        <v>84</v>
      </c>
      <c r="AB83" s="13">
        <v>44182</v>
      </c>
      <c r="AC83" s="14" t="s">
        <v>78</v>
      </c>
      <c r="AD83" s="13">
        <v>44196</v>
      </c>
      <c r="AE83" s="13">
        <v>44211</v>
      </c>
      <c r="AF83" s="14" t="s">
        <v>108</v>
      </c>
      <c r="AG83" s="14"/>
      <c r="AH83" s="14" t="s">
        <v>78</v>
      </c>
      <c r="AI83" s="14" t="s">
        <v>79</v>
      </c>
      <c r="AJ83" s="14" t="s">
        <v>80</v>
      </c>
      <c r="AK83" s="14" t="s">
        <v>16</v>
      </c>
      <c r="AL83" s="14" t="s">
        <v>16</v>
      </c>
      <c r="AM83" s="14" t="s">
        <v>88</v>
      </c>
      <c r="AN83" s="13" t="e">
        <f>#REF!</f>
        <v>#REF!</v>
      </c>
      <c r="AO83" s="13" t="e">
        <f>#REF!</f>
        <v>#REF!</v>
      </c>
      <c r="AP83" s="13">
        <v>44229</v>
      </c>
      <c r="AQ83" s="14" t="s">
        <v>10</v>
      </c>
      <c r="AR83" s="14" t="s">
        <v>2</v>
      </c>
      <c r="AS83" s="14">
        <v>8</v>
      </c>
      <c r="AT83" s="14" t="s">
        <v>637</v>
      </c>
      <c r="AU83" s="15"/>
    </row>
    <row r="84" spans="1:47">
      <c r="A84" s="9" t="s">
        <v>693</v>
      </c>
      <c r="B84" s="9"/>
      <c r="C84" s="9" t="s">
        <v>62</v>
      </c>
      <c r="D84" s="9" t="s">
        <v>210</v>
      </c>
      <c r="E84" s="10"/>
      <c r="F84" s="10" t="s">
        <v>231</v>
      </c>
      <c r="G84" s="10" t="s">
        <v>231</v>
      </c>
      <c r="H84" s="9" t="s">
        <v>694</v>
      </c>
      <c r="I84" s="10" t="s">
        <v>759</v>
      </c>
      <c r="J84" s="9"/>
      <c r="K84" s="9" t="s">
        <v>215</v>
      </c>
      <c r="L84" s="9" t="s">
        <v>178</v>
      </c>
      <c r="M84" s="9"/>
      <c r="N84" s="9">
        <v>44175</v>
      </c>
      <c r="O84" s="9" t="s">
        <v>72</v>
      </c>
      <c r="P84" s="9" t="s">
        <v>78</v>
      </c>
      <c r="Q84" s="12">
        <v>44074</v>
      </c>
      <c r="R84" s="9" t="s">
        <v>74</v>
      </c>
      <c r="S84" s="9" t="s">
        <v>78</v>
      </c>
      <c r="T84" s="9">
        <v>44175</v>
      </c>
      <c r="U84" s="9" t="s">
        <v>71</v>
      </c>
      <c r="V84" s="9" t="s">
        <v>71</v>
      </c>
      <c r="W84" s="13">
        <v>44175</v>
      </c>
      <c r="X84" s="14" t="s">
        <v>62</v>
      </c>
      <c r="Y84" s="14" t="s">
        <v>78</v>
      </c>
      <c r="Z84" s="14" t="s">
        <v>134</v>
      </c>
      <c r="AA84" s="13">
        <v>44207</v>
      </c>
      <c r="AB84" s="13">
        <v>44182</v>
      </c>
      <c r="AC84" s="14" t="s">
        <v>78</v>
      </c>
      <c r="AD84" s="13">
        <v>44196</v>
      </c>
      <c r="AE84" s="13">
        <v>44211</v>
      </c>
      <c r="AF84" s="14" t="s">
        <v>108</v>
      </c>
      <c r="AG84" s="14"/>
      <c r="AH84" s="14" t="s">
        <v>78</v>
      </c>
      <c r="AI84" s="14" t="s">
        <v>79</v>
      </c>
      <c r="AJ84" s="14" t="s">
        <v>80</v>
      </c>
      <c r="AK84" s="14" t="s">
        <v>7</v>
      </c>
      <c r="AL84" s="14" t="s">
        <v>16</v>
      </c>
      <c r="AM84" s="14" t="s">
        <v>88</v>
      </c>
      <c r="AN84" s="13" t="e">
        <f>#REF!</f>
        <v>#REF!</v>
      </c>
      <c r="AO84" s="13" t="e">
        <f>#REF!</f>
        <v>#REF!</v>
      </c>
      <c r="AP84" s="13">
        <v>44229</v>
      </c>
      <c r="AQ84" s="14" t="s">
        <v>10</v>
      </c>
      <c r="AR84" s="14" t="s">
        <v>1</v>
      </c>
      <c r="AS84" s="14">
        <v>2</v>
      </c>
      <c r="AT84" s="14"/>
      <c r="AU84" s="15"/>
    </row>
    <row r="85" spans="1:47">
      <c r="A85" s="9" t="s">
        <v>695</v>
      </c>
      <c r="B85" s="9"/>
      <c r="C85" s="9" t="s">
        <v>62</v>
      </c>
      <c r="D85" s="9" t="s">
        <v>63</v>
      </c>
      <c r="E85" s="10"/>
      <c r="F85" s="10" t="s">
        <v>231</v>
      </c>
      <c r="G85" s="10" t="s">
        <v>231</v>
      </c>
      <c r="H85" s="9" t="s">
        <v>696</v>
      </c>
      <c r="I85" s="10" t="s">
        <v>697</v>
      </c>
      <c r="J85" s="9"/>
      <c r="K85" s="9" t="s">
        <v>70</v>
      </c>
      <c r="L85" s="9" t="s">
        <v>71</v>
      </c>
      <c r="M85" s="9" t="s">
        <v>71</v>
      </c>
      <c r="N85" s="9">
        <v>44175</v>
      </c>
      <c r="O85" s="9" t="s">
        <v>72</v>
      </c>
      <c r="P85" s="9" t="s">
        <v>78</v>
      </c>
      <c r="Q85" s="12">
        <v>44074</v>
      </c>
      <c r="R85" s="9" t="s">
        <v>74</v>
      </c>
      <c r="S85" s="9" t="s">
        <v>78</v>
      </c>
      <c r="T85" s="9">
        <v>44175</v>
      </c>
      <c r="U85" s="9" t="s">
        <v>71</v>
      </c>
      <c r="V85" s="9" t="s">
        <v>71</v>
      </c>
      <c r="W85" s="13">
        <v>44175</v>
      </c>
      <c r="X85" s="14" t="s">
        <v>62</v>
      </c>
      <c r="Y85" s="14" t="s">
        <v>78</v>
      </c>
      <c r="Z85" s="14" t="s">
        <v>77</v>
      </c>
      <c r="AA85" s="13" t="s">
        <v>84</v>
      </c>
      <c r="AB85" s="13">
        <v>44182</v>
      </c>
      <c r="AC85" s="14" t="s">
        <v>78</v>
      </c>
      <c r="AD85" s="13">
        <v>44196</v>
      </c>
      <c r="AE85" s="13">
        <v>44211</v>
      </c>
      <c r="AF85" s="14" t="s">
        <v>108</v>
      </c>
      <c r="AG85" s="14"/>
      <c r="AH85" s="14" t="s">
        <v>78</v>
      </c>
      <c r="AI85" s="14" t="s">
        <v>79</v>
      </c>
      <c r="AJ85" s="14" t="s">
        <v>80</v>
      </c>
      <c r="AK85" s="14" t="s">
        <v>7</v>
      </c>
      <c r="AL85" s="14" t="s">
        <v>16</v>
      </c>
      <c r="AM85" s="14" t="s">
        <v>88</v>
      </c>
      <c r="AN85" s="13" t="e">
        <f>#REF!</f>
        <v>#REF!</v>
      </c>
      <c r="AO85" s="13" t="e">
        <f>#REF!</f>
        <v>#REF!</v>
      </c>
      <c r="AP85" s="13">
        <v>44229</v>
      </c>
      <c r="AQ85" s="14" t="s">
        <v>10</v>
      </c>
      <c r="AR85" s="14" t="s">
        <v>1</v>
      </c>
      <c r="AS85" s="14">
        <v>6</v>
      </c>
      <c r="AT85" s="14"/>
      <c r="AU85" s="15"/>
    </row>
    <row r="86" spans="1:47" ht="99.75">
      <c r="A86" s="9" t="s">
        <v>120</v>
      </c>
      <c r="B86" s="9"/>
      <c r="C86" s="9" t="s">
        <v>62</v>
      </c>
      <c r="D86" s="9" t="s">
        <v>63</v>
      </c>
      <c r="E86" s="10"/>
      <c r="F86" s="10" t="s">
        <v>121</v>
      </c>
      <c r="G86" s="10" t="s">
        <v>122</v>
      </c>
      <c r="H86" s="11" t="s">
        <v>123</v>
      </c>
      <c r="I86" s="11" t="s">
        <v>124</v>
      </c>
      <c r="J86" s="9" t="s">
        <v>760</v>
      </c>
      <c r="K86" s="12" t="s">
        <v>70</v>
      </c>
      <c r="L86" s="10" t="s">
        <v>71</v>
      </c>
      <c r="M86" s="11" t="s">
        <v>71</v>
      </c>
      <c r="N86" s="12">
        <v>44193</v>
      </c>
      <c r="O86" s="12" t="s">
        <v>72</v>
      </c>
      <c r="P86" s="10" t="s">
        <v>78</v>
      </c>
      <c r="Q86" s="12">
        <v>44193</v>
      </c>
      <c r="R86" s="12" t="s">
        <v>74</v>
      </c>
      <c r="S86" s="12" t="s">
        <v>78</v>
      </c>
      <c r="T86" s="12">
        <v>44193</v>
      </c>
      <c r="U86" s="10" t="s">
        <v>71</v>
      </c>
      <c r="V86" s="10" t="s">
        <v>71</v>
      </c>
      <c r="W86" s="13">
        <v>44193</v>
      </c>
      <c r="X86" s="14" t="s">
        <v>62</v>
      </c>
      <c r="Y86" s="14" t="s">
        <v>78</v>
      </c>
      <c r="Z86" s="14" t="s">
        <v>77</v>
      </c>
      <c r="AA86" s="13" t="s">
        <v>84</v>
      </c>
      <c r="AB86" s="13">
        <v>44558</v>
      </c>
      <c r="AC86" s="14" t="s">
        <v>78</v>
      </c>
      <c r="AD86" s="13">
        <v>44200</v>
      </c>
      <c r="AE86" s="13">
        <v>44211</v>
      </c>
      <c r="AF86" s="14" t="s">
        <v>108</v>
      </c>
      <c r="AG86" s="14"/>
      <c r="AH86" s="14" t="s">
        <v>78</v>
      </c>
      <c r="AI86" s="14" t="s">
        <v>79</v>
      </c>
      <c r="AJ86" s="14" t="s">
        <v>80</v>
      </c>
      <c r="AK86" s="14" t="s">
        <v>8</v>
      </c>
      <c r="AL86" s="14" t="s">
        <v>7</v>
      </c>
      <c r="AM86" s="14" t="s">
        <v>333</v>
      </c>
      <c r="AN86" s="13" t="e">
        <f>#REF!</f>
        <v>#REF!</v>
      </c>
      <c r="AO86" s="13" t="e">
        <f>#REF!</f>
        <v>#REF!</v>
      </c>
      <c r="AP86" s="13">
        <v>44244</v>
      </c>
      <c r="AQ86" s="14" t="s">
        <v>10</v>
      </c>
      <c r="AR86" s="14" t="s">
        <v>2</v>
      </c>
      <c r="AS86" s="14">
        <v>8</v>
      </c>
      <c r="AT86" s="14"/>
      <c r="AU86" s="15"/>
    </row>
    <row r="87" spans="1:47" ht="57">
      <c r="A87" s="9" t="s">
        <v>159</v>
      </c>
      <c r="B87" s="9"/>
      <c r="C87" s="9" t="s">
        <v>62</v>
      </c>
      <c r="D87" s="10" t="s">
        <v>160</v>
      </c>
      <c r="E87" s="10"/>
      <c r="F87" s="10" t="s">
        <v>129</v>
      </c>
      <c r="G87" s="10" t="s">
        <v>161</v>
      </c>
      <c r="H87" s="10" t="s">
        <v>162</v>
      </c>
      <c r="I87" s="10" t="s">
        <v>163</v>
      </c>
      <c r="J87" s="9"/>
      <c r="K87" s="9" t="s">
        <v>758</v>
      </c>
      <c r="L87" s="10" t="s">
        <v>178</v>
      </c>
      <c r="M87" s="10" t="s">
        <v>78</v>
      </c>
      <c r="N87" s="9">
        <v>44193</v>
      </c>
      <c r="O87" s="9" t="s">
        <v>72</v>
      </c>
      <c r="P87" s="9" t="s">
        <v>78</v>
      </c>
      <c r="Q87" s="12">
        <v>44193</v>
      </c>
      <c r="R87" s="12" t="s">
        <v>74</v>
      </c>
      <c r="S87" s="12" t="s">
        <v>78</v>
      </c>
      <c r="T87" s="9">
        <v>44193</v>
      </c>
      <c r="U87" s="9" t="s">
        <v>71</v>
      </c>
      <c r="V87" s="9" t="s">
        <v>75</v>
      </c>
      <c r="W87" s="13">
        <v>44193</v>
      </c>
      <c r="X87" s="14" t="s">
        <v>62</v>
      </c>
      <c r="Y87" s="14" t="s">
        <v>78</v>
      </c>
      <c r="Z87" s="14" t="s">
        <v>134</v>
      </c>
      <c r="AA87" s="13">
        <v>44195</v>
      </c>
      <c r="AB87" s="13">
        <v>44558</v>
      </c>
      <c r="AC87" s="14" t="s">
        <v>78</v>
      </c>
      <c r="AD87" s="13">
        <v>44200</v>
      </c>
      <c r="AE87" s="13">
        <v>44211</v>
      </c>
      <c r="AF87" s="14" t="s">
        <v>108</v>
      </c>
      <c r="AG87" s="14"/>
      <c r="AH87" s="14" t="s">
        <v>78</v>
      </c>
      <c r="AI87" s="14" t="s">
        <v>79</v>
      </c>
      <c r="AJ87" s="14" t="s">
        <v>80</v>
      </c>
      <c r="AK87" s="14" t="s">
        <v>8</v>
      </c>
      <c r="AL87" s="14" t="s">
        <v>7</v>
      </c>
      <c r="AM87" s="14" t="s">
        <v>333</v>
      </c>
      <c r="AN87" s="13" t="e">
        <f>#REF!</f>
        <v>#REF!</v>
      </c>
      <c r="AO87" s="13" t="e">
        <f>#REF!</f>
        <v>#REF!</v>
      </c>
      <c r="AP87" s="13">
        <v>44244</v>
      </c>
      <c r="AQ87" s="14" t="s">
        <v>10</v>
      </c>
      <c r="AR87" s="14" t="s">
        <v>1</v>
      </c>
      <c r="AS87" s="14">
        <v>12</v>
      </c>
      <c r="AT87" s="14"/>
      <c r="AU87" s="15"/>
    </row>
    <row r="88" spans="1:47" ht="28.5">
      <c r="A88" s="9" t="s">
        <v>204</v>
      </c>
      <c r="B88" s="9"/>
      <c r="C88" s="9"/>
      <c r="D88" s="10" t="s">
        <v>63</v>
      </c>
      <c r="E88" s="10" t="s">
        <v>64</v>
      </c>
      <c r="F88" s="10" t="s">
        <v>205</v>
      </c>
      <c r="G88" s="10" t="s">
        <v>206</v>
      </c>
      <c r="H88" s="12" t="s">
        <v>206</v>
      </c>
      <c r="I88" s="11" t="s">
        <v>207</v>
      </c>
      <c r="J88" s="12" t="s">
        <v>69</v>
      </c>
      <c r="K88" s="12" t="s">
        <v>70</v>
      </c>
      <c r="L88" s="10" t="s">
        <v>71</v>
      </c>
      <c r="M88" s="11" t="s">
        <v>71</v>
      </c>
      <c r="N88" s="12">
        <v>44193</v>
      </c>
      <c r="O88" s="12" t="s">
        <v>72</v>
      </c>
      <c r="P88" s="10" t="s">
        <v>78</v>
      </c>
      <c r="Q88" s="12">
        <v>44193</v>
      </c>
      <c r="R88" s="12" t="s">
        <v>74</v>
      </c>
      <c r="S88" s="12" t="s">
        <v>78</v>
      </c>
      <c r="T88" s="12">
        <v>44193</v>
      </c>
      <c r="U88" s="9" t="s">
        <v>76</v>
      </c>
      <c r="V88" s="9"/>
      <c r="W88" s="13">
        <v>44193</v>
      </c>
      <c r="X88" s="14" t="s">
        <v>208</v>
      </c>
      <c r="Y88" s="14" t="s">
        <v>78</v>
      </c>
      <c r="Z88" s="14" t="s">
        <v>77</v>
      </c>
      <c r="AA88" s="13" t="s">
        <v>84</v>
      </c>
      <c r="AB88" s="13">
        <v>44558</v>
      </c>
      <c r="AC88" s="14" t="s">
        <v>78</v>
      </c>
      <c r="AD88" s="13">
        <v>44200</v>
      </c>
      <c r="AE88" s="13">
        <v>44211</v>
      </c>
      <c r="AF88" s="14" t="s">
        <v>108</v>
      </c>
      <c r="AG88" s="14"/>
      <c r="AH88" s="14" t="s">
        <v>78</v>
      </c>
      <c r="AI88" s="14" t="s">
        <v>79</v>
      </c>
      <c r="AJ88" s="14" t="s">
        <v>203</v>
      </c>
      <c r="AK88" s="14" t="s">
        <v>9</v>
      </c>
      <c r="AL88" s="14" t="s">
        <v>8</v>
      </c>
      <c r="AM88" s="14" t="s">
        <v>333</v>
      </c>
      <c r="AN88" s="13" t="e">
        <f>#REF!</f>
        <v>#REF!</v>
      </c>
      <c r="AO88" s="13" t="e">
        <f>#REF!</f>
        <v>#REF!</v>
      </c>
      <c r="AP88" s="13">
        <v>44244</v>
      </c>
      <c r="AQ88" s="14" t="s">
        <v>10</v>
      </c>
      <c r="AR88" s="14" t="s">
        <v>1</v>
      </c>
      <c r="AS88" s="14">
        <v>5</v>
      </c>
      <c r="AT88" s="14"/>
      <c r="AU88" s="15"/>
    </row>
    <row r="89" spans="1:47" ht="28.5">
      <c r="A89" s="9" t="s">
        <v>295</v>
      </c>
      <c r="B89" s="9"/>
      <c r="C89" s="9" t="s">
        <v>62</v>
      </c>
      <c r="D89" s="10" t="s">
        <v>296</v>
      </c>
      <c r="E89" s="10"/>
      <c r="F89" s="10" t="s">
        <v>129</v>
      </c>
      <c r="G89" s="10" t="s">
        <v>297</v>
      </c>
      <c r="H89" s="11" t="s">
        <v>298</v>
      </c>
      <c r="I89" s="11" t="s">
        <v>299</v>
      </c>
      <c r="J89" s="12"/>
      <c r="K89" s="12" t="s">
        <v>758</v>
      </c>
      <c r="L89" s="10" t="s">
        <v>178</v>
      </c>
      <c r="M89" s="11" t="s">
        <v>78</v>
      </c>
      <c r="N89" s="12">
        <v>44193</v>
      </c>
      <c r="O89" s="12" t="s">
        <v>72</v>
      </c>
      <c r="P89" s="9" t="s">
        <v>78</v>
      </c>
      <c r="Q89" s="12">
        <v>44193</v>
      </c>
      <c r="R89" s="12" t="s">
        <v>74</v>
      </c>
      <c r="S89" s="12" t="s">
        <v>78</v>
      </c>
      <c r="T89" s="12">
        <v>44193</v>
      </c>
      <c r="U89" s="9" t="s">
        <v>71</v>
      </c>
      <c r="V89" s="9" t="s">
        <v>71</v>
      </c>
      <c r="W89" s="13">
        <v>44193</v>
      </c>
      <c r="X89" s="14" t="s">
        <v>62</v>
      </c>
      <c r="Y89" s="14" t="s">
        <v>78</v>
      </c>
      <c r="Z89" s="14" t="s">
        <v>134</v>
      </c>
      <c r="AA89" s="13">
        <v>44195</v>
      </c>
      <c r="AB89" s="13">
        <v>44558</v>
      </c>
      <c r="AC89" s="14" t="s">
        <v>78</v>
      </c>
      <c r="AD89" s="13">
        <v>44200</v>
      </c>
      <c r="AE89" s="13">
        <v>44211</v>
      </c>
      <c r="AF89" s="14" t="s">
        <v>108</v>
      </c>
      <c r="AG89" s="14"/>
      <c r="AH89" s="14" t="s">
        <v>78</v>
      </c>
      <c r="AI89" s="14" t="s">
        <v>79</v>
      </c>
      <c r="AJ89" s="14" t="s">
        <v>80</v>
      </c>
      <c r="AK89" s="14" t="s">
        <v>11</v>
      </c>
      <c r="AL89" s="14" t="s">
        <v>9</v>
      </c>
      <c r="AM89" s="14" t="s">
        <v>333</v>
      </c>
      <c r="AN89" s="13" t="e">
        <f>#REF!</f>
        <v>#REF!</v>
      </c>
      <c r="AO89" s="13" t="e">
        <f>#REF!</f>
        <v>#REF!</v>
      </c>
      <c r="AP89" s="13">
        <v>44244</v>
      </c>
      <c r="AQ89" s="14" t="s">
        <v>10</v>
      </c>
      <c r="AR89" s="14" t="s">
        <v>2</v>
      </c>
      <c r="AS89" s="14">
        <v>4</v>
      </c>
      <c r="AT89" s="14"/>
      <c r="AU89" s="15"/>
    </row>
    <row r="90" spans="1:47" ht="99.75">
      <c r="A90" s="10" t="s">
        <v>324</v>
      </c>
      <c r="B90" s="10"/>
      <c r="C90" s="10" t="s">
        <v>62</v>
      </c>
      <c r="D90" s="10" t="s">
        <v>63</v>
      </c>
      <c r="E90" s="10"/>
      <c r="F90" s="10" t="s">
        <v>231</v>
      </c>
      <c r="G90" s="10" t="s">
        <v>231</v>
      </c>
      <c r="H90" s="12" t="s">
        <v>325</v>
      </c>
      <c r="I90" s="11" t="s">
        <v>326</v>
      </c>
      <c r="J90" s="12" t="s">
        <v>327</v>
      </c>
      <c r="K90" s="12" t="s">
        <v>70</v>
      </c>
      <c r="L90" s="11" t="s">
        <v>178</v>
      </c>
      <c r="M90" s="11" t="s">
        <v>17</v>
      </c>
      <c r="N90" s="12">
        <v>44193</v>
      </c>
      <c r="O90" s="12" t="s">
        <v>72</v>
      </c>
      <c r="P90" s="9" t="s">
        <v>78</v>
      </c>
      <c r="Q90" s="12">
        <v>44193</v>
      </c>
      <c r="R90" s="12" t="s">
        <v>74</v>
      </c>
      <c r="S90" s="12" t="s">
        <v>78</v>
      </c>
      <c r="T90" s="12">
        <v>44193</v>
      </c>
      <c r="U90" s="9" t="s">
        <v>71</v>
      </c>
      <c r="V90" s="9" t="s">
        <v>71</v>
      </c>
      <c r="W90" s="13">
        <v>44193</v>
      </c>
      <c r="X90" s="14" t="s">
        <v>62</v>
      </c>
      <c r="Y90" s="14" t="s">
        <v>78</v>
      </c>
      <c r="Z90" s="14" t="s">
        <v>77</v>
      </c>
      <c r="AA90" s="13" t="s">
        <v>84</v>
      </c>
      <c r="AB90" s="13">
        <v>44558</v>
      </c>
      <c r="AC90" s="14" t="s">
        <v>78</v>
      </c>
      <c r="AD90" s="13">
        <v>44200</v>
      </c>
      <c r="AE90" s="13">
        <v>44211</v>
      </c>
      <c r="AF90" s="14" t="s">
        <v>108</v>
      </c>
      <c r="AG90" s="14" t="s">
        <v>328</v>
      </c>
      <c r="AH90" s="14" t="s">
        <v>78</v>
      </c>
      <c r="AI90" s="14" t="s">
        <v>79</v>
      </c>
      <c r="AJ90" s="14" t="s">
        <v>80</v>
      </c>
      <c r="AK90" s="14" t="s">
        <v>139</v>
      </c>
      <c r="AL90" s="14" t="s">
        <v>7</v>
      </c>
      <c r="AM90" s="14" t="s">
        <v>333</v>
      </c>
      <c r="AN90" s="13" t="e">
        <f>#REF!</f>
        <v>#REF!</v>
      </c>
      <c r="AO90" s="13" t="e">
        <f>#REF!</f>
        <v>#REF!</v>
      </c>
      <c r="AP90" s="13">
        <v>44244</v>
      </c>
      <c r="AQ90" s="14" t="s">
        <v>10</v>
      </c>
      <c r="AR90" s="14" t="s">
        <v>1</v>
      </c>
      <c r="AS90" s="14">
        <v>1</v>
      </c>
      <c r="AT90" s="14" t="s">
        <v>329</v>
      </c>
      <c r="AU90" s="15"/>
    </row>
    <row r="91" spans="1:47" ht="42.75">
      <c r="A91" s="9" t="s">
        <v>368</v>
      </c>
      <c r="B91" s="9"/>
      <c r="C91" s="9" t="s">
        <v>62</v>
      </c>
      <c r="D91" s="9" t="s">
        <v>63</v>
      </c>
      <c r="E91" s="10"/>
      <c r="F91" s="10" t="s">
        <v>129</v>
      </c>
      <c r="G91" s="10" t="s">
        <v>297</v>
      </c>
      <c r="H91" s="12" t="s">
        <v>369</v>
      </c>
      <c r="I91" s="11" t="s">
        <v>370</v>
      </c>
      <c r="J91" s="12" t="s">
        <v>761</v>
      </c>
      <c r="K91" s="12" t="s">
        <v>70</v>
      </c>
      <c r="L91" s="10" t="s">
        <v>71</v>
      </c>
      <c r="M91" s="11" t="s">
        <v>71</v>
      </c>
      <c r="N91" s="12">
        <v>44193</v>
      </c>
      <c r="O91" s="12" t="s">
        <v>72</v>
      </c>
      <c r="P91" s="10" t="s">
        <v>78</v>
      </c>
      <c r="Q91" s="12">
        <v>44193</v>
      </c>
      <c r="R91" s="12" t="s">
        <v>74</v>
      </c>
      <c r="S91" s="12" t="s">
        <v>78</v>
      </c>
      <c r="T91" s="11">
        <v>44193</v>
      </c>
      <c r="U91" s="9" t="s">
        <v>71</v>
      </c>
      <c r="V91" s="9" t="s">
        <v>71</v>
      </c>
      <c r="W91" s="13">
        <v>44193</v>
      </c>
      <c r="X91" s="14" t="s">
        <v>62</v>
      </c>
      <c r="Y91" s="14" t="s">
        <v>78</v>
      </c>
      <c r="Z91" s="14" t="s">
        <v>77</v>
      </c>
      <c r="AA91" s="13" t="s">
        <v>84</v>
      </c>
      <c r="AB91" s="13">
        <v>44558</v>
      </c>
      <c r="AC91" s="14" t="s">
        <v>78</v>
      </c>
      <c r="AD91" s="13">
        <v>44200</v>
      </c>
      <c r="AE91" s="13">
        <v>44211</v>
      </c>
      <c r="AF91" s="14" t="s">
        <v>108</v>
      </c>
      <c r="AG91" s="14"/>
      <c r="AH91" s="14" t="s">
        <v>78</v>
      </c>
      <c r="AI91" s="14" t="s">
        <v>79</v>
      </c>
      <c r="AJ91" s="14" t="s">
        <v>80</v>
      </c>
      <c r="AK91" s="14" t="s">
        <v>139</v>
      </c>
      <c r="AL91" s="14" t="s">
        <v>9</v>
      </c>
      <c r="AM91" s="14" t="s">
        <v>333</v>
      </c>
      <c r="AN91" s="13" t="e">
        <f>#REF!</f>
        <v>#REF!</v>
      </c>
      <c r="AO91" s="13" t="e">
        <f>#REF!</f>
        <v>#REF!</v>
      </c>
      <c r="AP91" s="13">
        <v>44244</v>
      </c>
      <c r="AQ91" s="14" t="s">
        <v>10</v>
      </c>
      <c r="AR91" s="14" t="s">
        <v>2</v>
      </c>
      <c r="AS91" s="14">
        <v>4</v>
      </c>
      <c r="AT91" s="14"/>
      <c r="AU91" s="15"/>
    </row>
    <row r="92" spans="1:47" ht="71.25">
      <c r="A92" s="9" t="s">
        <v>371</v>
      </c>
      <c r="B92" s="9"/>
      <c r="C92" s="9" t="s">
        <v>62</v>
      </c>
      <c r="D92" s="9" t="s">
        <v>63</v>
      </c>
      <c r="E92" s="10"/>
      <c r="F92" s="10" t="s">
        <v>129</v>
      </c>
      <c r="G92" s="10" t="s">
        <v>297</v>
      </c>
      <c r="H92" s="12" t="s">
        <v>372</v>
      </c>
      <c r="I92" s="11" t="s">
        <v>373</v>
      </c>
      <c r="J92" s="12" t="s">
        <v>761</v>
      </c>
      <c r="K92" s="12" t="s">
        <v>70</v>
      </c>
      <c r="L92" s="11" t="s">
        <v>71</v>
      </c>
      <c r="M92" s="11" t="s">
        <v>71</v>
      </c>
      <c r="N92" s="12">
        <v>44193</v>
      </c>
      <c r="O92" s="12" t="s">
        <v>72</v>
      </c>
      <c r="P92" s="9" t="s">
        <v>78</v>
      </c>
      <c r="Q92" s="12">
        <v>44193</v>
      </c>
      <c r="R92" s="12" t="s">
        <v>74</v>
      </c>
      <c r="S92" s="12" t="s">
        <v>78</v>
      </c>
      <c r="T92" s="11">
        <v>44193</v>
      </c>
      <c r="U92" s="9" t="s">
        <v>71</v>
      </c>
      <c r="V92" s="9" t="s">
        <v>71</v>
      </c>
      <c r="W92" s="13">
        <v>44193</v>
      </c>
      <c r="X92" s="14" t="s">
        <v>62</v>
      </c>
      <c r="Y92" s="14" t="s">
        <v>78</v>
      </c>
      <c r="Z92" s="14" t="s">
        <v>77</v>
      </c>
      <c r="AA92" s="13" t="s">
        <v>84</v>
      </c>
      <c r="AB92" s="13">
        <v>44558</v>
      </c>
      <c r="AC92" s="14" t="s">
        <v>78</v>
      </c>
      <c r="AD92" s="13">
        <v>44200</v>
      </c>
      <c r="AE92" s="13">
        <v>44211</v>
      </c>
      <c r="AF92" s="14" t="s">
        <v>108</v>
      </c>
      <c r="AG92" s="14"/>
      <c r="AH92" s="14" t="s">
        <v>78</v>
      </c>
      <c r="AI92" s="14" t="s">
        <v>79</v>
      </c>
      <c r="AJ92" s="14" t="s">
        <v>80</v>
      </c>
      <c r="AK92" s="14" t="s">
        <v>82</v>
      </c>
      <c r="AL92" s="14" t="s">
        <v>9</v>
      </c>
      <c r="AM92" s="14" t="s">
        <v>333</v>
      </c>
      <c r="AN92" s="13" t="e">
        <f>#REF!</f>
        <v>#REF!</v>
      </c>
      <c r="AO92" s="13" t="e">
        <f>#REF!</f>
        <v>#REF!</v>
      </c>
      <c r="AP92" s="13">
        <v>44244</v>
      </c>
      <c r="AQ92" s="14" t="s">
        <v>10</v>
      </c>
      <c r="AR92" s="14" t="s">
        <v>2</v>
      </c>
      <c r="AS92" s="14">
        <v>6</v>
      </c>
      <c r="AT92" s="14"/>
      <c r="AU92" s="15"/>
    </row>
    <row r="93" spans="1:47" ht="71.25">
      <c r="A93" s="10" t="s">
        <v>382</v>
      </c>
      <c r="B93" s="10"/>
      <c r="C93" s="10"/>
      <c r="D93" s="10" t="s">
        <v>383</v>
      </c>
      <c r="E93" s="10"/>
      <c r="F93" s="10" t="s">
        <v>384</v>
      </c>
      <c r="G93" s="10" t="s">
        <v>385</v>
      </c>
      <c r="H93" s="12" t="s">
        <v>386</v>
      </c>
      <c r="I93" s="11" t="s">
        <v>387</v>
      </c>
      <c r="J93" s="12" t="s">
        <v>71</v>
      </c>
      <c r="K93" s="12" t="s">
        <v>388</v>
      </c>
      <c r="L93" s="11">
        <v>44183</v>
      </c>
      <c r="M93" s="11" t="s">
        <v>78</v>
      </c>
      <c r="N93" s="12">
        <v>44193</v>
      </c>
      <c r="O93" s="12" t="s">
        <v>72</v>
      </c>
      <c r="P93" s="9" t="s">
        <v>78</v>
      </c>
      <c r="Q93" s="12">
        <v>44193</v>
      </c>
      <c r="R93" s="12" t="s">
        <v>74</v>
      </c>
      <c r="S93" s="12" t="s">
        <v>78</v>
      </c>
      <c r="T93" s="11">
        <v>44193</v>
      </c>
      <c r="U93" s="9" t="s">
        <v>188</v>
      </c>
      <c r="V93" s="9"/>
      <c r="W93" s="13">
        <v>44193</v>
      </c>
      <c r="X93" s="14" t="s">
        <v>389</v>
      </c>
      <c r="Y93" s="14" t="s">
        <v>390</v>
      </c>
      <c r="Z93" s="14" t="s">
        <v>134</v>
      </c>
      <c r="AA93" s="13">
        <v>44195</v>
      </c>
      <c r="AB93" s="13">
        <v>44558</v>
      </c>
      <c r="AC93" s="14" t="s">
        <v>78</v>
      </c>
      <c r="AD93" s="13">
        <v>44200</v>
      </c>
      <c r="AE93" s="13">
        <v>44211</v>
      </c>
      <c r="AF93" s="14" t="s">
        <v>108</v>
      </c>
      <c r="AG93" s="14"/>
      <c r="AH93" s="14" t="s">
        <v>78</v>
      </c>
      <c r="AI93" s="14" t="s">
        <v>190</v>
      </c>
      <c r="AJ93" s="14" t="s">
        <v>6</v>
      </c>
      <c r="AK93" s="14" t="s">
        <v>82</v>
      </c>
      <c r="AL93" s="14" t="s">
        <v>259</v>
      </c>
      <c r="AM93" s="14" t="s">
        <v>333</v>
      </c>
      <c r="AN93" s="13" t="e">
        <f>#REF!</f>
        <v>#REF!</v>
      </c>
      <c r="AO93" s="13" t="e">
        <f>#REF!</f>
        <v>#REF!</v>
      </c>
      <c r="AP93" s="13">
        <v>44244</v>
      </c>
      <c r="AQ93" s="14" t="s">
        <v>6</v>
      </c>
      <c r="AR93" s="14" t="s">
        <v>4</v>
      </c>
      <c r="AS93" s="14">
        <v>10</v>
      </c>
      <c r="AT93" s="14"/>
      <c r="AU93" s="15"/>
    </row>
    <row r="94" spans="1:47" ht="71.25">
      <c r="A94" s="9" t="s">
        <v>391</v>
      </c>
      <c r="B94" s="9"/>
      <c r="C94" s="9"/>
      <c r="D94" s="9" t="s">
        <v>383</v>
      </c>
      <c r="E94" s="10"/>
      <c r="F94" s="10" t="s">
        <v>384</v>
      </c>
      <c r="G94" s="10" t="s">
        <v>392</v>
      </c>
      <c r="H94" s="12" t="s">
        <v>393</v>
      </c>
      <c r="I94" s="11" t="s">
        <v>394</v>
      </c>
      <c r="J94" s="12" t="s">
        <v>71</v>
      </c>
      <c r="K94" s="12" t="s">
        <v>388</v>
      </c>
      <c r="L94" s="10" t="s">
        <v>178</v>
      </c>
      <c r="M94" s="11" t="s">
        <v>78</v>
      </c>
      <c r="N94" s="12">
        <v>44193</v>
      </c>
      <c r="O94" s="12" t="s">
        <v>72</v>
      </c>
      <c r="P94" s="10" t="s">
        <v>78</v>
      </c>
      <c r="Q94" s="12">
        <v>44193</v>
      </c>
      <c r="R94" s="12" t="s">
        <v>74</v>
      </c>
      <c r="S94" s="12" t="s">
        <v>78</v>
      </c>
      <c r="T94" s="11">
        <v>44193</v>
      </c>
      <c r="U94" s="9" t="s">
        <v>188</v>
      </c>
      <c r="V94" s="9"/>
      <c r="W94" s="13">
        <v>44193</v>
      </c>
      <c r="X94" s="14" t="s">
        <v>389</v>
      </c>
      <c r="Y94" s="14" t="s">
        <v>390</v>
      </c>
      <c r="Z94" s="14" t="s">
        <v>134</v>
      </c>
      <c r="AA94" s="13">
        <v>44195</v>
      </c>
      <c r="AB94" s="13">
        <v>44558</v>
      </c>
      <c r="AC94" s="14" t="s">
        <v>78</v>
      </c>
      <c r="AD94" s="13">
        <v>44200</v>
      </c>
      <c r="AE94" s="13">
        <v>44211</v>
      </c>
      <c r="AF94" s="14" t="s">
        <v>108</v>
      </c>
      <c r="AG94" s="14"/>
      <c r="AH94" s="14" t="s">
        <v>78</v>
      </c>
      <c r="AI94" s="14" t="s">
        <v>190</v>
      </c>
      <c r="AJ94" s="14" t="s">
        <v>6</v>
      </c>
      <c r="AK94" s="14" t="s">
        <v>82</v>
      </c>
      <c r="AL94" s="14" t="s">
        <v>259</v>
      </c>
      <c r="AM94" s="14" t="s">
        <v>333</v>
      </c>
      <c r="AN94" s="13" t="e">
        <f>#REF!</f>
        <v>#REF!</v>
      </c>
      <c r="AO94" s="13" t="e">
        <f>#REF!</f>
        <v>#REF!</v>
      </c>
      <c r="AP94" s="13">
        <v>44244</v>
      </c>
      <c r="AQ94" s="14" t="s">
        <v>6</v>
      </c>
      <c r="AR94" s="14" t="s">
        <v>4</v>
      </c>
      <c r="AS94" s="14">
        <v>15</v>
      </c>
      <c r="AT94" s="14"/>
      <c r="AU94" s="15"/>
    </row>
    <row r="95" spans="1:47" ht="99.75">
      <c r="A95" s="9" t="s">
        <v>395</v>
      </c>
      <c r="B95" s="9"/>
      <c r="C95" s="9"/>
      <c r="D95" s="9" t="s">
        <v>276</v>
      </c>
      <c r="E95" s="10"/>
      <c r="F95" s="10" t="s">
        <v>396</v>
      </c>
      <c r="G95" s="10" t="s">
        <v>397</v>
      </c>
      <c r="H95" s="12" t="s">
        <v>398</v>
      </c>
      <c r="I95" s="11" t="s">
        <v>399</v>
      </c>
      <c r="J95" s="12" t="s">
        <v>71</v>
      </c>
      <c r="K95" s="12" t="s">
        <v>125</v>
      </c>
      <c r="L95" s="10" t="s">
        <v>178</v>
      </c>
      <c r="M95" s="11" t="s">
        <v>78</v>
      </c>
      <c r="N95" s="12">
        <v>44193</v>
      </c>
      <c r="O95" s="12" t="s">
        <v>72</v>
      </c>
      <c r="P95" s="10" t="s">
        <v>78</v>
      </c>
      <c r="Q95" s="12">
        <v>44193</v>
      </c>
      <c r="R95" s="12" t="s">
        <v>74</v>
      </c>
      <c r="S95" s="12" t="s">
        <v>78</v>
      </c>
      <c r="T95" s="11">
        <v>44193</v>
      </c>
      <c r="U95" s="9" t="s">
        <v>188</v>
      </c>
      <c r="V95" s="9"/>
      <c r="W95" s="13">
        <v>44193</v>
      </c>
      <c r="X95" s="14" t="s">
        <v>389</v>
      </c>
      <c r="Y95" s="14" t="s">
        <v>390</v>
      </c>
      <c r="Z95" s="14" t="s">
        <v>134</v>
      </c>
      <c r="AA95" s="13">
        <v>44195</v>
      </c>
      <c r="AB95" s="13">
        <v>44558</v>
      </c>
      <c r="AC95" s="14" t="s">
        <v>78</v>
      </c>
      <c r="AD95" s="13">
        <v>44200</v>
      </c>
      <c r="AE95" s="13">
        <v>44211</v>
      </c>
      <c r="AF95" s="14" t="s">
        <v>108</v>
      </c>
      <c r="AG95" s="14"/>
      <c r="AH95" s="14" t="s">
        <v>78</v>
      </c>
      <c r="AI95" s="14" t="s">
        <v>190</v>
      </c>
      <c r="AJ95" s="14" t="s">
        <v>6</v>
      </c>
      <c r="AK95" s="14" t="s">
        <v>251</v>
      </c>
      <c r="AL95" s="14" t="s">
        <v>259</v>
      </c>
      <c r="AM95" s="14" t="s">
        <v>333</v>
      </c>
      <c r="AN95" s="13" t="e">
        <f>#REF!</f>
        <v>#REF!</v>
      </c>
      <c r="AO95" s="13" t="e">
        <f>#REF!</f>
        <v>#REF!</v>
      </c>
      <c r="AP95" s="13">
        <v>44244</v>
      </c>
      <c r="AQ95" s="14" t="s">
        <v>6</v>
      </c>
      <c r="AR95" s="14" t="s">
        <v>3</v>
      </c>
      <c r="AS95" s="14">
        <v>40</v>
      </c>
      <c r="AT95" s="14"/>
      <c r="AU95" s="15"/>
    </row>
    <row r="96" spans="1:47" ht="85.5">
      <c r="A96" s="9" t="s">
        <v>412</v>
      </c>
      <c r="B96" s="9"/>
      <c r="C96" s="9" t="s">
        <v>62</v>
      </c>
      <c r="D96" s="9" t="s">
        <v>63</v>
      </c>
      <c r="E96" s="10"/>
      <c r="F96" s="10" t="s">
        <v>129</v>
      </c>
      <c r="G96" s="10" t="s">
        <v>297</v>
      </c>
      <c r="H96" s="12" t="s">
        <v>413</v>
      </c>
      <c r="I96" s="11" t="s">
        <v>762</v>
      </c>
      <c r="J96" s="12" t="s">
        <v>761</v>
      </c>
      <c r="K96" s="12" t="s">
        <v>70</v>
      </c>
      <c r="L96" s="11" t="s">
        <v>71</v>
      </c>
      <c r="M96" s="11" t="s">
        <v>71</v>
      </c>
      <c r="N96" s="12">
        <v>44193</v>
      </c>
      <c r="O96" s="12" t="s">
        <v>72</v>
      </c>
      <c r="P96" s="10" t="s">
        <v>78</v>
      </c>
      <c r="Q96" s="12">
        <v>44193</v>
      </c>
      <c r="R96" s="12" t="s">
        <v>74</v>
      </c>
      <c r="S96" s="12" t="s">
        <v>78</v>
      </c>
      <c r="T96" s="12">
        <v>44193</v>
      </c>
      <c r="U96" s="9" t="s">
        <v>71</v>
      </c>
      <c r="V96" s="9" t="s">
        <v>71</v>
      </c>
      <c r="W96" s="13">
        <v>44193</v>
      </c>
      <c r="X96" s="14" t="s">
        <v>62</v>
      </c>
      <c r="Y96" s="14" t="s">
        <v>78</v>
      </c>
      <c r="Z96" s="14" t="s">
        <v>77</v>
      </c>
      <c r="AA96" s="13" t="s">
        <v>84</v>
      </c>
      <c r="AB96" s="13">
        <v>44558</v>
      </c>
      <c r="AC96" s="14" t="s">
        <v>78</v>
      </c>
      <c r="AD96" s="13">
        <v>44200</v>
      </c>
      <c r="AE96" s="13">
        <v>44211</v>
      </c>
      <c r="AF96" s="14" t="s">
        <v>108</v>
      </c>
      <c r="AG96" s="14"/>
      <c r="AH96" s="14" t="s">
        <v>78</v>
      </c>
      <c r="AI96" s="14" t="s">
        <v>79</v>
      </c>
      <c r="AJ96" s="14" t="s">
        <v>80</v>
      </c>
      <c r="AK96" s="14" t="s">
        <v>88</v>
      </c>
      <c r="AL96" s="14" t="s">
        <v>9</v>
      </c>
      <c r="AM96" s="14" t="s">
        <v>333</v>
      </c>
      <c r="AN96" s="13" t="e">
        <f>#REF!</f>
        <v>#REF!</v>
      </c>
      <c r="AO96" s="13" t="e">
        <f>#REF!</f>
        <v>#REF!</v>
      </c>
      <c r="AP96" s="13">
        <v>44244</v>
      </c>
      <c r="AQ96" s="14" t="s">
        <v>10</v>
      </c>
      <c r="AR96" s="14" t="s">
        <v>1</v>
      </c>
      <c r="AS96" s="14">
        <v>10</v>
      </c>
      <c r="AT96" s="14"/>
      <c r="AU96" s="15"/>
    </row>
    <row r="97" spans="1:47" ht="71.25">
      <c r="A97" s="9" t="s">
        <v>414</v>
      </c>
      <c r="B97" s="9"/>
      <c r="C97" s="9"/>
      <c r="D97" s="9" t="s">
        <v>276</v>
      </c>
      <c r="E97" s="10" t="s">
        <v>415</v>
      </c>
      <c r="F97" s="10" t="s">
        <v>129</v>
      </c>
      <c r="G97" s="10" t="s">
        <v>297</v>
      </c>
      <c r="H97" s="12" t="s">
        <v>416</v>
      </c>
      <c r="I97" s="11" t="s">
        <v>417</v>
      </c>
      <c r="J97" s="12"/>
      <c r="K97" s="12" t="s">
        <v>758</v>
      </c>
      <c r="L97" s="10" t="s">
        <v>178</v>
      </c>
      <c r="M97" s="11" t="s">
        <v>78</v>
      </c>
      <c r="N97" s="12">
        <v>44193</v>
      </c>
      <c r="O97" s="12" t="s">
        <v>72</v>
      </c>
      <c r="P97" s="9" t="s">
        <v>78</v>
      </c>
      <c r="Q97" s="12">
        <v>44193</v>
      </c>
      <c r="R97" s="12" t="s">
        <v>74</v>
      </c>
      <c r="S97" s="12" t="s">
        <v>78</v>
      </c>
      <c r="T97" s="12">
        <v>44193</v>
      </c>
      <c r="U97" s="9" t="s">
        <v>76</v>
      </c>
      <c r="V97" s="9" t="s">
        <v>78</v>
      </c>
      <c r="W97" s="13">
        <v>44193</v>
      </c>
      <c r="X97" s="14" t="s">
        <v>208</v>
      </c>
      <c r="Y97" s="14" t="s">
        <v>78</v>
      </c>
      <c r="Z97" s="14" t="s">
        <v>134</v>
      </c>
      <c r="AA97" s="13">
        <v>44195</v>
      </c>
      <c r="AB97" s="13">
        <v>44558</v>
      </c>
      <c r="AC97" s="14" t="s">
        <v>78</v>
      </c>
      <c r="AD97" s="13">
        <v>44200</v>
      </c>
      <c r="AE97" s="13">
        <v>44211</v>
      </c>
      <c r="AF97" s="14" t="s">
        <v>108</v>
      </c>
      <c r="AG97" s="14"/>
      <c r="AH97" s="14" t="s">
        <v>78</v>
      </c>
      <c r="AI97" s="14" t="s">
        <v>79</v>
      </c>
      <c r="AJ97" s="14" t="s">
        <v>203</v>
      </c>
      <c r="AK97" s="14" t="s">
        <v>88</v>
      </c>
      <c r="AL97" s="14" t="s">
        <v>9</v>
      </c>
      <c r="AM97" s="14" t="s">
        <v>333</v>
      </c>
      <c r="AN97" s="13" t="e">
        <f>#REF!</f>
        <v>#REF!</v>
      </c>
      <c r="AO97" s="13" t="e">
        <f>#REF!</f>
        <v>#REF!</v>
      </c>
      <c r="AP97" s="13">
        <v>44244</v>
      </c>
      <c r="AQ97" s="14" t="s">
        <v>10</v>
      </c>
      <c r="AR97" s="14" t="s">
        <v>2</v>
      </c>
      <c r="AS97" s="14">
        <v>8</v>
      </c>
      <c r="AT97" s="14"/>
      <c r="AU97" s="15"/>
    </row>
    <row r="98" spans="1:47" ht="114">
      <c r="A98" s="10" t="s">
        <v>434</v>
      </c>
      <c r="B98" s="10"/>
      <c r="C98" s="10" t="s">
        <v>62</v>
      </c>
      <c r="D98" s="10" t="s">
        <v>63</v>
      </c>
      <c r="E98" s="10"/>
      <c r="F98" s="10" t="s">
        <v>129</v>
      </c>
      <c r="G98" s="10" t="s">
        <v>261</v>
      </c>
      <c r="H98" s="12" t="s">
        <v>435</v>
      </c>
      <c r="I98" s="11" t="s">
        <v>436</v>
      </c>
      <c r="J98" s="12"/>
      <c r="K98" s="12" t="s">
        <v>70</v>
      </c>
      <c r="L98" s="11" t="s">
        <v>71</v>
      </c>
      <c r="M98" s="11" t="s">
        <v>71</v>
      </c>
      <c r="N98" s="12">
        <v>44193</v>
      </c>
      <c r="O98" s="12" t="s">
        <v>72</v>
      </c>
      <c r="P98" s="9" t="s">
        <v>78</v>
      </c>
      <c r="Q98" s="12">
        <v>44193</v>
      </c>
      <c r="R98" s="12" t="s">
        <v>74</v>
      </c>
      <c r="S98" s="12" t="s">
        <v>78</v>
      </c>
      <c r="T98" s="12">
        <v>44193</v>
      </c>
      <c r="U98" s="9" t="s">
        <v>71</v>
      </c>
      <c r="V98" s="9" t="s">
        <v>71</v>
      </c>
      <c r="W98" s="13">
        <v>44193</v>
      </c>
      <c r="X98" s="14" t="s">
        <v>62</v>
      </c>
      <c r="Y98" s="14" t="s">
        <v>78</v>
      </c>
      <c r="Z98" s="14" t="s">
        <v>77</v>
      </c>
      <c r="AA98" s="13" t="s">
        <v>84</v>
      </c>
      <c r="AB98" s="13">
        <v>44558</v>
      </c>
      <c r="AC98" s="14" t="s">
        <v>78</v>
      </c>
      <c r="AD98" s="13">
        <v>44200</v>
      </c>
      <c r="AE98" s="13">
        <v>44211</v>
      </c>
      <c r="AF98" s="14" t="s">
        <v>108</v>
      </c>
      <c r="AG98" s="14"/>
      <c r="AH98" s="14" t="s">
        <v>78</v>
      </c>
      <c r="AI98" s="14" t="s">
        <v>79</v>
      </c>
      <c r="AJ98" s="14" t="s">
        <v>80</v>
      </c>
      <c r="AK98" s="14" t="s">
        <v>88</v>
      </c>
      <c r="AL98" s="14" t="s">
        <v>7</v>
      </c>
      <c r="AM98" s="14" t="s">
        <v>333</v>
      </c>
      <c r="AN98" s="13" t="e">
        <f>#REF!</f>
        <v>#REF!</v>
      </c>
      <c r="AO98" s="13" t="e">
        <f>#REF!</f>
        <v>#REF!</v>
      </c>
      <c r="AP98" s="13">
        <v>44244</v>
      </c>
      <c r="AQ98" s="14" t="s">
        <v>10</v>
      </c>
      <c r="AR98" s="14" t="s">
        <v>2</v>
      </c>
      <c r="AS98" s="14">
        <v>6</v>
      </c>
      <c r="AT98" s="14"/>
      <c r="AU98" s="15"/>
    </row>
    <row r="99" spans="1:47" ht="42.75">
      <c r="A99" s="9" t="s">
        <v>503</v>
      </c>
      <c r="B99" s="9"/>
      <c r="C99" s="9" t="s">
        <v>62</v>
      </c>
      <c r="D99" s="9" t="s">
        <v>63</v>
      </c>
      <c r="E99" s="10" t="s">
        <v>64</v>
      </c>
      <c r="F99" s="10" t="s">
        <v>205</v>
      </c>
      <c r="G99" s="10" t="s">
        <v>504</v>
      </c>
      <c r="H99" s="12" t="s">
        <v>505</v>
      </c>
      <c r="I99" s="11" t="s">
        <v>506</v>
      </c>
      <c r="J99" s="12" t="s">
        <v>69</v>
      </c>
      <c r="K99" s="12" t="s">
        <v>70</v>
      </c>
      <c r="L99" s="11" t="s">
        <v>71</v>
      </c>
      <c r="M99" s="11" t="s">
        <v>71</v>
      </c>
      <c r="N99" s="12">
        <v>44193</v>
      </c>
      <c r="O99" s="12" t="s">
        <v>72</v>
      </c>
      <c r="P99" s="9" t="s">
        <v>78</v>
      </c>
      <c r="Q99" s="12">
        <v>44193</v>
      </c>
      <c r="R99" s="12" t="s">
        <v>74</v>
      </c>
      <c r="S99" s="12" t="s">
        <v>78</v>
      </c>
      <c r="T99" s="12">
        <v>44193</v>
      </c>
      <c r="U99" s="9" t="s">
        <v>76</v>
      </c>
      <c r="V99" s="9" t="s">
        <v>78</v>
      </c>
      <c r="W99" s="13">
        <v>44193</v>
      </c>
      <c r="X99" s="14" t="s">
        <v>62</v>
      </c>
      <c r="Y99" s="14" t="s">
        <v>78</v>
      </c>
      <c r="Z99" s="14" t="s">
        <v>77</v>
      </c>
      <c r="AA99" s="13" t="s">
        <v>84</v>
      </c>
      <c r="AB99" s="13">
        <v>44558</v>
      </c>
      <c r="AC99" s="14" t="s">
        <v>78</v>
      </c>
      <c r="AD99" s="13">
        <v>44200</v>
      </c>
      <c r="AE99" s="13">
        <v>44211</v>
      </c>
      <c r="AF99" s="14" t="s">
        <v>108</v>
      </c>
      <c r="AG99" s="14"/>
      <c r="AH99" s="14" t="s">
        <v>78</v>
      </c>
      <c r="AI99" s="14" t="s">
        <v>79</v>
      </c>
      <c r="AJ99" s="14" t="s">
        <v>203</v>
      </c>
      <c r="AK99" s="14" t="s">
        <v>148</v>
      </c>
      <c r="AL99" s="14" t="s">
        <v>8</v>
      </c>
      <c r="AM99" s="14" t="s">
        <v>333</v>
      </c>
      <c r="AN99" s="13" t="e">
        <f>#REF!</f>
        <v>#REF!</v>
      </c>
      <c r="AO99" s="13" t="e">
        <f>#REF!</f>
        <v>#REF!</v>
      </c>
      <c r="AP99" s="13">
        <v>44244</v>
      </c>
      <c r="AQ99" s="14" t="s">
        <v>10</v>
      </c>
      <c r="AR99" s="14" t="s">
        <v>1</v>
      </c>
      <c r="AS99" s="14">
        <v>6</v>
      </c>
      <c r="AT99" s="14"/>
      <c r="AU99" s="15"/>
    </row>
    <row r="100" spans="1:47" ht="128.25">
      <c r="A100" s="9" t="s">
        <v>518</v>
      </c>
      <c r="B100" s="9"/>
      <c r="C100" s="17"/>
      <c r="D100" s="9" t="s">
        <v>519</v>
      </c>
      <c r="E100" s="10"/>
      <c r="F100" s="10" t="s">
        <v>445</v>
      </c>
      <c r="G100" s="10" t="s">
        <v>520</v>
      </c>
      <c r="H100" s="12" t="s">
        <v>521</v>
      </c>
      <c r="I100" s="11" t="s">
        <v>522</v>
      </c>
      <c r="J100" s="12" t="s">
        <v>71</v>
      </c>
      <c r="K100" s="12" t="s">
        <v>229</v>
      </c>
      <c r="L100" s="12" t="s">
        <v>178</v>
      </c>
      <c r="M100" s="11" t="s">
        <v>78</v>
      </c>
      <c r="N100" s="12">
        <v>44193</v>
      </c>
      <c r="O100" s="12" t="s">
        <v>72</v>
      </c>
      <c r="P100" s="10" t="s">
        <v>78</v>
      </c>
      <c r="Q100" s="12">
        <v>44193</v>
      </c>
      <c r="R100" s="12" t="s">
        <v>74</v>
      </c>
      <c r="S100" s="12" t="s">
        <v>78</v>
      </c>
      <c r="T100" s="12">
        <v>44193</v>
      </c>
      <c r="U100" s="9" t="s">
        <v>188</v>
      </c>
      <c r="V100" s="9" t="s">
        <v>78</v>
      </c>
      <c r="W100" s="13">
        <v>44193</v>
      </c>
      <c r="X100" s="14" t="s">
        <v>189</v>
      </c>
      <c r="Y100" s="14" t="s">
        <v>78</v>
      </c>
      <c r="Z100" s="14" t="s">
        <v>134</v>
      </c>
      <c r="AA100" s="13">
        <v>44195</v>
      </c>
      <c r="AB100" s="13">
        <v>44558</v>
      </c>
      <c r="AC100" s="14" t="s">
        <v>78</v>
      </c>
      <c r="AD100" s="13">
        <v>44200</v>
      </c>
      <c r="AE100" s="13">
        <v>44211</v>
      </c>
      <c r="AF100" s="14" t="s">
        <v>108</v>
      </c>
      <c r="AG100" s="14"/>
      <c r="AH100" s="14" t="s">
        <v>78</v>
      </c>
      <c r="AI100" s="14" t="s">
        <v>190</v>
      </c>
      <c r="AJ100" s="14" t="s">
        <v>6</v>
      </c>
      <c r="AK100" s="14" t="s">
        <v>148</v>
      </c>
      <c r="AL100" s="14" t="s">
        <v>259</v>
      </c>
      <c r="AM100" s="14" t="s">
        <v>333</v>
      </c>
      <c r="AN100" s="13" t="e">
        <f>#REF!</f>
        <v>#REF!</v>
      </c>
      <c r="AO100" s="13" t="e">
        <f>#REF!</f>
        <v>#REF!</v>
      </c>
      <c r="AP100" s="13">
        <v>44244</v>
      </c>
      <c r="AQ100" s="14" t="s">
        <v>6</v>
      </c>
      <c r="AR100" s="14" t="s">
        <v>4</v>
      </c>
      <c r="AS100" s="14">
        <v>0</v>
      </c>
      <c r="AT100" s="14"/>
      <c r="AU100" s="15"/>
    </row>
    <row r="101" spans="1:47" ht="99.75">
      <c r="A101" s="10" t="s">
        <v>556</v>
      </c>
      <c r="B101" s="10"/>
      <c r="C101" s="10" t="s">
        <v>62</v>
      </c>
      <c r="D101" s="10" t="s">
        <v>160</v>
      </c>
      <c r="E101" s="10"/>
      <c r="F101" s="10" t="s">
        <v>121</v>
      </c>
      <c r="G101" s="10" t="s">
        <v>122</v>
      </c>
      <c r="H101" s="12" t="s">
        <v>557</v>
      </c>
      <c r="I101" s="11" t="s">
        <v>124</v>
      </c>
      <c r="J101" s="12"/>
      <c r="K101" s="12" t="s">
        <v>612</v>
      </c>
      <c r="L101" s="12" t="s">
        <v>178</v>
      </c>
      <c r="M101" s="11" t="s">
        <v>78</v>
      </c>
      <c r="N101" s="12">
        <v>44193</v>
      </c>
      <c r="O101" s="12" t="s">
        <v>72</v>
      </c>
      <c r="P101" s="9" t="s">
        <v>78</v>
      </c>
      <c r="Q101" s="12">
        <v>44193</v>
      </c>
      <c r="R101" s="12" t="s">
        <v>74</v>
      </c>
      <c r="S101" s="12" t="s">
        <v>78</v>
      </c>
      <c r="T101" s="12">
        <v>44193</v>
      </c>
      <c r="U101" s="9" t="s">
        <v>71</v>
      </c>
      <c r="V101" s="9" t="s">
        <v>71</v>
      </c>
      <c r="W101" s="13">
        <v>44193</v>
      </c>
      <c r="X101" s="14" t="s">
        <v>62</v>
      </c>
      <c r="Y101" s="14" t="s">
        <v>78</v>
      </c>
      <c r="Z101" s="14" t="s">
        <v>134</v>
      </c>
      <c r="AA101" s="13">
        <v>44195</v>
      </c>
      <c r="AB101" s="13">
        <v>44558</v>
      </c>
      <c r="AC101" s="14" t="s">
        <v>78</v>
      </c>
      <c r="AD101" s="13">
        <v>44200</v>
      </c>
      <c r="AE101" s="13">
        <v>44211</v>
      </c>
      <c r="AF101" s="14" t="s">
        <v>108</v>
      </c>
      <c r="AG101" s="14"/>
      <c r="AH101" s="14" t="s">
        <v>78</v>
      </c>
      <c r="AI101" s="14" t="s">
        <v>79</v>
      </c>
      <c r="AJ101" s="14" t="s">
        <v>80</v>
      </c>
      <c r="AK101" s="14" t="s">
        <v>259</v>
      </c>
      <c r="AL101" s="14" t="s">
        <v>7</v>
      </c>
      <c r="AM101" s="14" t="s">
        <v>333</v>
      </c>
      <c r="AN101" s="13" t="e">
        <f>#REF!</f>
        <v>#REF!</v>
      </c>
      <c r="AO101" s="13" t="e">
        <f>#REF!</f>
        <v>#REF!</v>
      </c>
      <c r="AP101" s="13">
        <v>44244</v>
      </c>
      <c r="AQ101" s="14" t="s">
        <v>10</v>
      </c>
      <c r="AR101" s="14" t="s">
        <v>1</v>
      </c>
      <c r="AS101" s="14">
        <v>6</v>
      </c>
      <c r="AT101" s="14"/>
      <c r="AU101" s="15"/>
    </row>
    <row r="102" spans="1:47" ht="42.75">
      <c r="A102" s="10" t="s">
        <v>561</v>
      </c>
      <c r="B102" s="10"/>
      <c r="C102" s="10" t="s">
        <v>62</v>
      </c>
      <c r="D102" s="10" t="s">
        <v>63</v>
      </c>
      <c r="E102" s="10"/>
      <c r="F102" s="10" t="s">
        <v>129</v>
      </c>
      <c r="G102" s="10" t="s">
        <v>261</v>
      </c>
      <c r="H102" s="12" t="s">
        <v>562</v>
      </c>
      <c r="I102" s="11" t="s">
        <v>563</v>
      </c>
      <c r="J102" s="12"/>
      <c r="K102" s="12" t="s">
        <v>70</v>
      </c>
      <c r="L102" s="11" t="s">
        <v>71</v>
      </c>
      <c r="M102" s="11" t="s">
        <v>71</v>
      </c>
      <c r="N102" s="12">
        <v>44193</v>
      </c>
      <c r="O102" s="12" t="s">
        <v>72</v>
      </c>
      <c r="P102" s="9" t="s">
        <v>78</v>
      </c>
      <c r="Q102" s="12">
        <v>44193</v>
      </c>
      <c r="R102" s="12" t="s">
        <v>74</v>
      </c>
      <c r="S102" s="12" t="s">
        <v>78</v>
      </c>
      <c r="T102" s="12">
        <v>44193</v>
      </c>
      <c r="U102" s="9" t="s">
        <v>71</v>
      </c>
      <c r="V102" s="9" t="s">
        <v>71</v>
      </c>
      <c r="W102" s="13">
        <v>44193</v>
      </c>
      <c r="X102" s="14" t="s">
        <v>62</v>
      </c>
      <c r="Y102" s="14" t="s">
        <v>78</v>
      </c>
      <c r="Z102" s="14" t="s">
        <v>77</v>
      </c>
      <c r="AA102" s="13" t="s">
        <v>84</v>
      </c>
      <c r="AB102" s="13">
        <v>44558</v>
      </c>
      <c r="AC102" s="14" t="s">
        <v>78</v>
      </c>
      <c r="AD102" s="13">
        <v>44200</v>
      </c>
      <c r="AE102" s="13">
        <v>44211</v>
      </c>
      <c r="AF102" s="14" t="s">
        <v>108</v>
      </c>
      <c r="AG102" s="14"/>
      <c r="AH102" s="14" t="s">
        <v>78</v>
      </c>
      <c r="AI102" s="14" t="s">
        <v>79</v>
      </c>
      <c r="AJ102" s="14" t="s">
        <v>80</v>
      </c>
      <c r="AK102" s="14" t="s">
        <v>259</v>
      </c>
      <c r="AL102" s="14" t="s">
        <v>11</v>
      </c>
      <c r="AM102" s="14" t="s">
        <v>333</v>
      </c>
      <c r="AN102" s="13" t="e">
        <f>#REF!</f>
        <v>#REF!</v>
      </c>
      <c r="AO102" s="13" t="e">
        <f>#REF!</f>
        <v>#REF!</v>
      </c>
      <c r="AP102" s="13">
        <v>44244</v>
      </c>
      <c r="AQ102" s="14" t="s">
        <v>10</v>
      </c>
      <c r="AR102" s="14" t="s">
        <v>1</v>
      </c>
      <c r="AS102" s="14">
        <v>4</v>
      </c>
      <c r="AT102" s="14"/>
      <c r="AU102" s="15"/>
    </row>
    <row r="103" spans="1:47" ht="28.5">
      <c r="A103" s="9" t="s">
        <v>571</v>
      </c>
      <c r="B103" s="9"/>
      <c r="C103" s="9" t="s">
        <v>62</v>
      </c>
      <c r="D103" s="9" t="s">
        <v>572</v>
      </c>
      <c r="E103" s="10"/>
      <c r="F103" s="10" t="s">
        <v>165</v>
      </c>
      <c r="G103" s="10" t="s">
        <v>573</v>
      </c>
      <c r="H103" s="12" t="s">
        <v>574</v>
      </c>
      <c r="I103" s="11" t="s">
        <v>575</v>
      </c>
      <c r="J103" s="12" t="s">
        <v>224</v>
      </c>
      <c r="K103" s="12" t="s">
        <v>70</v>
      </c>
      <c r="L103" s="11" t="s">
        <v>178</v>
      </c>
      <c r="M103" s="11" t="s">
        <v>78</v>
      </c>
      <c r="N103" s="12">
        <v>44193</v>
      </c>
      <c r="O103" s="12" t="s">
        <v>72</v>
      </c>
      <c r="P103" s="9" t="s">
        <v>78</v>
      </c>
      <c r="Q103" s="12">
        <v>44193</v>
      </c>
      <c r="R103" s="12" t="s">
        <v>74</v>
      </c>
      <c r="S103" s="12" t="s">
        <v>78</v>
      </c>
      <c r="T103" s="12">
        <v>44193</v>
      </c>
      <c r="U103" s="9" t="s">
        <v>71</v>
      </c>
      <c r="V103" s="9" t="s">
        <v>71</v>
      </c>
      <c r="W103" s="13">
        <v>44193</v>
      </c>
      <c r="X103" s="14" t="s">
        <v>62</v>
      </c>
      <c r="Y103" s="14" t="s">
        <v>78</v>
      </c>
      <c r="Z103" s="14" t="s">
        <v>77</v>
      </c>
      <c r="AA103" s="13" t="s">
        <v>84</v>
      </c>
      <c r="AB103" s="13">
        <v>44558</v>
      </c>
      <c r="AC103" s="14" t="s">
        <v>78</v>
      </c>
      <c r="AD103" s="13">
        <v>44200</v>
      </c>
      <c r="AE103" s="13">
        <v>44211</v>
      </c>
      <c r="AF103" s="14" t="s">
        <v>108</v>
      </c>
      <c r="AG103" s="14"/>
      <c r="AH103" s="14" t="s">
        <v>78</v>
      </c>
      <c r="AI103" s="14" t="s">
        <v>79</v>
      </c>
      <c r="AJ103" s="14" t="s">
        <v>80</v>
      </c>
      <c r="AK103" s="14" t="s">
        <v>259</v>
      </c>
      <c r="AL103" s="14" t="s">
        <v>7</v>
      </c>
      <c r="AM103" s="14" t="s">
        <v>333</v>
      </c>
      <c r="AN103" s="13" t="e">
        <f>#REF!</f>
        <v>#REF!</v>
      </c>
      <c r="AO103" s="13" t="e">
        <f>#REF!</f>
        <v>#REF!</v>
      </c>
      <c r="AP103" s="13">
        <v>44244</v>
      </c>
      <c r="AQ103" s="14" t="s">
        <v>10</v>
      </c>
      <c r="AR103" s="14" t="s">
        <v>2</v>
      </c>
      <c r="AS103" s="14">
        <v>8</v>
      </c>
      <c r="AT103" s="14" t="s">
        <v>576</v>
      </c>
      <c r="AU103" s="15"/>
    </row>
    <row r="104" spans="1:47" ht="128.25">
      <c r="A104" s="9" t="s">
        <v>580</v>
      </c>
      <c r="B104" s="9"/>
      <c r="C104" s="9" t="s">
        <v>62</v>
      </c>
      <c r="D104" s="9" t="s">
        <v>581</v>
      </c>
      <c r="E104" s="10"/>
      <c r="F104" s="10" t="s">
        <v>231</v>
      </c>
      <c r="G104" s="10" t="s">
        <v>231</v>
      </c>
      <c r="H104" s="12" t="s">
        <v>582</v>
      </c>
      <c r="I104" s="11" t="s">
        <v>583</v>
      </c>
      <c r="J104" s="12"/>
      <c r="K104" s="12" t="s">
        <v>215</v>
      </c>
      <c r="L104" s="11" t="s">
        <v>178</v>
      </c>
      <c r="M104" s="11" t="s">
        <v>78</v>
      </c>
      <c r="N104" s="12">
        <v>44193</v>
      </c>
      <c r="O104" s="12" t="s">
        <v>72</v>
      </c>
      <c r="P104" s="9" t="s">
        <v>78</v>
      </c>
      <c r="Q104" s="12">
        <v>44193</v>
      </c>
      <c r="R104" s="12" t="s">
        <v>74</v>
      </c>
      <c r="S104" s="12" t="s">
        <v>78</v>
      </c>
      <c r="T104" s="12">
        <v>44193</v>
      </c>
      <c r="U104" s="9" t="s">
        <v>71</v>
      </c>
      <c r="V104" s="9" t="s">
        <v>71</v>
      </c>
      <c r="W104" s="13">
        <v>44193</v>
      </c>
      <c r="X104" s="14" t="s">
        <v>62</v>
      </c>
      <c r="Y104" s="14" t="s">
        <v>78</v>
      </c>
      <c r="Z104" s="14" t="s">
        <v>134</v>
      </c>
      <c r="AA104" s="13">
        <v>44195</v>
      </c>
      <c r="AB104" s="13">
        <v>44558</v>
      </c>
      <c r="AC104" s="14" t="s">
        <v>78</v>
      </c>
      <c r="AD104" s="13">
        <v>44200</v>
      </c>
      <c r="AE104" s="13">
        <v>44211</v>
      </c>
      <c r="AF104" s="14" t="s">
        <v>108</v>
      </c>
      <c r="AG104" s="14"/>
      <c r="AH104" s="14" t="s">
        <v>78</v>
      </c>
      <c r="AI104" s="14" t="s">
        <v>79</v>
      </c>
      <c r="AJ104" s="14" t="s">
        <v>80</v>
      </c>
      <c r="AK104" s="14" t="s">
        <v>259</v>
      </c>
      <c r="AL104" s="14" t="s">
        <v>8</v>
      </c>
      <c r="AM104" s="14" t="s">
        <v>333</v>
      </c>
      <c r="AN104" s="13" t="e">
        <f>#REF!</f>
        <v>#REF!</v>
      </c>
      <c r="AO104" s="13" t="e">
        <f>#REF!</f>
        <v>#REF!</v>
      </c>
      <c r="AP104" s="13">
        <v>44244</v>
      </c>
      <c r="AQ104" s="14" t="s">
        <v>10</v>
      </c>
      <c r="AR104" s="14" t="s">
        <v>2</v>
      </c>
      <c r="AS104" s="14">
        <v>12</v>
      </c>
      <c r="AT104" s="14"/>
      <c r="AU104" s="15"/>
    </row>
    <row r="105" spans="1:47" ht="28.5">
      <c r="A105" s="9" t="s">
        <v>593</v>
      </c>
      <c r="B105" s="9"/>
      <c r="C105" s="9" t="s">
        <v>62</v>
      </c>
      <c r="D105" s="9" t="s">
        <v>63</v>
      </c>
      <c r="E105" s="10"/>
      <c r="F105" s="10" t="s">
        <v>165</v>
      </c>
      <c r="G105" s="10" t="s">
        <v>573</v>
      </c>
      <c r="H105" s="12" t="s">
        <v>594</v>
      </c>
      <c r="I105" s="11" t="s">
        <v>595</v>
      </c>
      <c r="J105" s="12" t="s">
        <v>224</v>
      </c>
      <c r="K105" s="12" t="s">
        <v>70</v>
      </c>
      <c r="L105" s="11" t="s">
        <v>178</v>
      </c>
      <c r="M105" s="11" t="s">
        <v>78</v>
      </c>
      <c r="N105" s="12">
        <v>44193</v>
      </c>
      <c r="O105" s="12" t="s">
        <v>72</v>
      </c>
      <c r="P105" s="9" t="s">
        <v>78</v>
      </c>
      <c r="Q105" s="12">
        <v>44193</v>
      </c>
      <c r="R105" s="12" t="s">
        <v>74</v>
      </c>
      <c r="S105" s="12" t="s">
        <v>78</v>
      </c>
      <c r="T105" s="12">
        <v>44193</v>
      </c>
      <c r="U105" s="9" t="s">
        <v>71</v>
      </c>
      <c r="V105" s="9" t="s">
        <v>71</v>
      </c>
      <c r="W105" s="13">
        <v>44193</v>
      </c>
      <c r="X105" s="14" t="s">
        <v>62</v>
      </c>
      <c r="Y105" s="14" t="s">
        <v>78</v>
      </c>
      <c r="Z105" s="14" t="s">
        <v>77</v>
      </c>
      <c r="AA105" s="13" t="s">
        <v>84</v>
      </c>
      <c r="AB105" s="13">
        <v>44558</v>
      </c>
      <c r="AC105" s="14" t="s">
        <v>78</v>
      </c>
      <c r="AD105" s="13">
        <v>44200</v>
      </c>
      <c r="AE105" s="13">
        <v>44211</v>
      </c>
      <c r="AF105" s="14" t="s">
        <v>108</v>
      </c>
      <c r="AG105" s="14"/>
      <c r="AH105" s="14" t="s">
        <v>78</v>
      </c>
      <c r="AI105" s="14" t="s">
        <v>79</v>
      </c>
      <c r="AJ105" s="14" t="s">
        <v>80</v>
      </c>
      <c r="AK105" s="14" t="s">
        <v>16</v>
      </c>
      <c r="AL105" s="14" t="s">
        <v>7</v>
      </c>
      <c r="AM105" s="14" t="s">
        <v>333</v>
      </c>
      <c r="AN105" s="13" t="e">
        <f>#REF!</f>
        <v>#REF!</v>
      </c>
      <c r="AO105" s="13" t="e">
        <f>#REF!</f>
        <v>#REF!</v>
      </c>
      <c r="AP105" s="13">
        <v>44244</v>
      </c>
      <c r="AQ105" s="14" t="s">
        <v>10</v>
      </c>
      <c r="AR105" s="14" t="s">
        <v>1</v>
      </c>
      <c r="AS105" s="14">
        <v>8</v>
      </c>
      <c r="AT105" s="14" t="s">
        <v>576</v>
      </c>
      <c r="AU105" s="15"/>
    </row>
    <row r="106" spans="1:47" ht="42.75">
      <c r="A106" s="9" t="s">
        <v>596</v>
      </c>
      <c r="B106" s="9"/>
      <c r="C106" s="9" t="s">
        <v>62</v>
      </c>
      <c r="D106" s="9" t="s">
        <v>63</v>
      </c>
      <c r="E106" s="10"/>
      <c r="F106" s="10" t="s">
        <v>165</v>
      </c>
      <c r="G106" s="10" t="s">
        <v>573</v>
      </c>
      <c r="H106" s="12" t="s">
        <v>597</v>
      </c>
      <c r="I106" s="11" t="s">
        <v>598</v>
      </c>
      <c r="J106" s="12" t="s">
        <v>224</v>
      </c>
      <c r="K106" s="12" t="s">
        <v>70</v>
      </c>
      <c r="L106" s="11" t="s">
        <v>178</v>
      </c>
      <c r="M106" s="11" t="s">
        <v>78</v>
      </c>
      <c r="N106" s="12">
        <v>44193</v>
      </c>
      <c r="O106" s="12" t="s">
        <v>72</v>
      </c>
      <c r="P106" s="9" t="s">
        <v>78</v>
      </c>
      <c r="Q106" s="12">
        <v>44193</v>
      </c>
      <c r="R106" s="12" t="s">
        <v>74</v>
      </c>
      <c r="S106" s="12" t="s">
        <v>78</v>
      </c>
      <c r="T106" s="12">
        <v>44193</v>
      </c>
      <c r="U106" s="9" t="s">
        <v>71</v>
      </c>
      <c r="V106" s="9" t="s">
        <v>71</v>
      </c>
      <c r="W106" s="13">
        <v>44193</v>
      </c>
      <c r="X106" s="14" t="s">
        <v>62</v>
      </c>
      <c r="Y106" s="14" t="s">
        <v>78</v>
      </c>
      <c r="Z106" s="14" t="s">
        <v>77</v>
      </c>
      <c r="AA106" s="13" t="s">
        <v>84</v>
      </c>
      <c r="AB106" s="13">
        <v>44558</v>
      </c>
      <c r="AC106" s="14" t="s">
        <v>78</v>
      </c>
      <c r="AD106" s="13">
        <v>44200</v>
      </c>
      <c r="AE106" s="13">
        <v>44211</v>
      </c>
      <c r="AF106" s="14" t="s">
        <v>108</v>
      </c>
      <c r="AG106" s="14"/>
      <c r="AH106" s="14" t="s">
        <v>78</v>
      </c>
      <c r="AI106" s="14" t="s">
        <v>79</v>
      </c>
      <c r="AJ106" s="14" t="s">
        <v>80</v>
      </c>
      <c r="AK106" s="14" t="s">
        <v>16</v>
      </c>
      <c r="AL106" s="14" t="s">
        <v>7</v>
      </c>
      <c r="AM106" s="14" t="s">
        <v>333</v>
      </c>
      <c r="AN106" s="13" t="e">
        <f>#REF!</f>
        <v>#REF!</v>
      </c>
      <c r="AO106" s="13" t="e">
        <f>#REF!</f>
        <v>#REF!</v>
      </c>
      <c r="AP106" s="13">
        <v>44244</v>
      </c>
      <c r="AQ106" s="14" t="s">
        <v>10</v>
      </c>
      <c r="AR106" s="14" t="s">
        <v>1</v>
      </c>
      <c r="AS106" s="14">
        <v>8</v>
      </c>
      <c r="AT106" s="14" t="s">
        <v>576</v>
      </c>
      <c r="AU106" s="15"/>
    </row>
    <row r="107" spans="1:47" ht="42.75">
      <c r="A107" s="10" t="s">
        <v>641</v>
      </c>
      <c r="B107" s="10"/>
      <c r="C107" s="10" t="s">
        <v>62</v>
      </c>
      <c r="D107" s="10" t="s">
        <v>160</v>
      </c>
      <c r="E107" s="10"/>
      <c r="F107" s="10" t="s">
        <v>121</v>
      </c>
      <c r="G107" s="10" t="s">
        <v>642</v>
      </c>
      <c r="H107" s="12" t="s">
        <v>643</v>
      </c>
      <c r="I107" s="11" t="s">
        <v>644</v>
      </c>
      <c r="J107" s="12"/>
      <c r="K107" s="12" t="s">
        <v>612</v>
      </c>
      <c r="L107" s="11" t="s">
        <v>178</v>
      </c>
      <c r="M107" s="11" t="s">
        <v>78</v>
      </c>
      <c r="N107" s="12">
        <v>44193</v>
      </c>
      <c r="O107" s="12" t="s">
        <v>72</v>
      </c>
      <c r="P107" s="9" t="s">
        <v>78</v>
      </c>
      <c r="Q107" s="12">
        <v>44193</v>
      </c>
      <c r="R107" s="12" t="s">
        <v>74</v>
      </c>
      <c r="S107" s="12" t="s">
        <v>78</v>
      </c>
      <c r="T107" s="12">
        <v>44193</v>
      </c>
      <c r="U107" s="9" t="s">
        <v>71</v>
      </c>
      <c r="V107" s="9" t="s">
        <v>71</v>
      </c>
      <c r="W107" s="13">
        <v>44193</v>
      </c>
      <c r="X107" s="14" t="s">
        <v>62</v>
      </c>
      <c r="Y107" s="14" t="s">
        <v>78</v>
      </c>
      <c r="Z107" s="14" t="s">
        <v>134</v>
      </c>
      <c r="AA107" s="13">
        <v>44195</v>
      </c>
      <c r="AB107" s="13">
        <v>44558</v>
      </c>
      <c r="AC107" s="14" t="s">
        <v>78</v>
      </c>
      <c r="AD107" s="13">
        <v>44200</v>
      </c>
      <c r="AE107" s="13">
        <v>44211</v>
      </c>
      <c r="AF107" s="14" t="s">
        <v>108</v>
      </c>
      <c r="AG107" s="14"/>
      <c r="AH107" s="14" t="s">
        <v>78</v>
      </c>
      <c r="AI107" s="14" t="s">
        <v>79</v>
      </c>
      <c r="AJ107" s="14" t="s">
        <v>80</v>
      </c>
      <c r="AK107" s="14" t="s">
        <v>7</v>
      </c>
      <c r="AL107" s="14" t="s">
        <v>7</v>
      </c>
      <c r="AM107" s="14" t="s">
        <v>333</v>
      </c>
      <c r="AN107" s="13" t="e">
        <f>#REF!</f>
        <v>#REF!</v>
      </c>
      <c r="AO107" s="13" t="e">
        <f>#REF!</f>
        <v>#REF!</v>
      </c>
      <c r="AP107" s="13">
        <v>44244</v>
      </c>
      <c r="AQ107" s="14" t="s">
        <v>10</v>
      </c>
      <c r="AR107" s="14" t="s">
        <v>1</v>
      </c>
      <c r="AS107" s="14">
        <v>4</v>
      </c>
      <c r="AT107" s="14"/>
      <c r="AU107" s="15"/>
    </row>
    <row r="108" spans="1:47" ht="99.75">
      <c r="A108" s="9" t="s">
        <v>645</v>
      </c>
      <c r="B108" s="9"/>
      <c r="C108" s="9" t="s">
        <v>62</v>
      </c>
      <c r="D108" s="9" t="s">
        <v>160</v>
      </c>
      <c r="E108" s="10"/>
      <c r="F108" s="10" t="s">
        <v>121</v>
      </c>
      <c r="G108" s="10" t="s">
        <v>122</v>
      </c>
      <c r="H108" s="12" t="s">
        <v>646</v>
      </c>
      <c r="I108" s="11" t="s">
        <v>124</v>
      </c>
      <c r="J108" s="12"/>
      <c r="K108" s="12" t="s">
        <v>612</v>
      </c>
      <c r="L108" s="11" t="s">
        <v>178</v>
      </c>
      <c r="M108" s="11" t="s">
        <v>78</v>
      </c>
      <c r="N108" s="12">
        <v>44193</v>
      </c>
      <c r="O108" s="12" t="s">
        <v>72</v>
      </c>
      <c r="P108" s="9" t="s">
        <v>78</v>
      </c>
      <c r="Q108" s="12">
        <v>44193</v>
      </c>
      <c r="R108" s="12" t="s">
        <v>74</v>
      </c>
      <c r="S108" s="12" t="s">
        <v>78</v>
      </c>
      <c r="T108" s="12">
        <v>44193</v>
      </c>
      <c r="U108" s="9" t="s">
        <v>71</v>
      </c>
      <c r="V108" s="9" t="s">
        <v>71</v>
      </c>
      <c r="W108" s="13">
        <v>44193</v>
      </c>
      <c r="X108" s="14" t="s">
        <v>62</v>
      </c>
      <c r="Y108" s="14" t="s">
        <v>78</v>
      </c>
      <c r="Z108" s="14" t="s">
        <v>134</v>
      </c>
      <c r="AA108" s="13">
        <v>44195</v>
      </c>
      <c r="AB108" s="13">
        <v>44558</v>
      </c>
      <c r="AC108" s="14" t="s">
        <v>78</v>
      </c>
      <c r="AD108" s="13">
        <v>44200</v>
      </c>
      <c r="AE108" s="13">
        <v>44211</v>
      </c>
      <c r="AF108" s="14" t="s">
        <v>108</v>
      </c>
      <c r="AG108" s="14"/>
      <c r="AH108" s="14" t="s">
        <v>78</v>
      </c>
      <c r="AI108" s="14" t="s">
        <v>79</v>
      </c>
      <c r="AJ108" s="14" t="s">
        <v>80</v>
      </c>
      <c r="AK108" s="14" t="s">
        <v>7</v>
      </c>
      <c r="AL108" s="14" t="s">
        <v>7</v>
      </c>
      <c r="AM108" s="14" t="s">
        <v>333</v>
      </c>
      <c r="AN108" s="13" t="e">
        <f>#REF!</f>
        <v>#REF!</v>
      </c>
      <c r="AO108" s="13" t="e">
        <f>#REF!</f>
        <v>#REF!</v>
      </c>
      <c r="AP108" s="13">
        <v>44244</v>
      </c>
      <c r="AQ108" s="14" t="s">
        <v>10</v>
      </c>
      <c r="AR108" s="14" t="s">
        <v>2</v>
      </c>
      <c r="AS108" s="14">
        <v>6</v>
      </c>
      <c r="AT108" s="14"/>
      <c r="AU108" s="15"/>
    </row>
    <row r="109" spans="1:47" ht="57">
      <c r="A109" s="10" t="s">
        <v>651</v>
      </c>
      <c r="B109" s="10"/>
      <c r="C109" s="10" t="s">
        <v>62</v>
      </c>
      <c r="D109" s="10" t="s">
        <v>63</v>
      </c>
      <c r="E109" s="10"/>
      <c r="F109" s="10" t="s">
        <v>129</v>
      </c>
      <c r="G109" s="10" t="s">
        <v>568</v>
      </c>
      <c r="H109" s="11" t="s">
        <v>652</v>
      </c>
      <c r="I109" s="11" t="s">
        <v>653</v>
      </c>
      <c r="J109" s="18"/>
      <c r="K109" s="12" t="s">
        <v>70</v>
      </c>
      <c r="L109" s="11" t="s">
        <v>71</v>
      </c>
      <c r="M109" s="11" t="s">
        <v>71</v>
      </c>
      <c r="N109" s="12">
        <v>44193</v>
      </c>
      <c r="O109" s="12" t="s">
        <v>72</v>
      </c>
      <c r="P109" s="9" t="s">
        <v>78</v>
      </c>
      <c r="Q109" s="12">
        <v>44193</v>
      </c>
      <c r="R109" s="12" t="s">
        <v>74</v>
      </c>
      <c r="S109" s="12" t="s">
        <v>78</v>
      </c>
      <c r="T109" s="12">
        <v>44193</v>
      </c>
      <c r="U109" s="9" t="s">
        <v>71</v>
      </c>
      <c r="V109" s="9" t="s">
        <v>71</v>
      </c>
      <c r="W109" s="13">
        <v>44193</v>
      </c>
      <c r="X109" s="14" t="s">
        <v>62</v>
      </c>
      <c r="Y109" s="14" t="s">
        <v>78</v>
      </c>
      <c r="Z109" s="14" t="s">
        <v>77</v>
      </c>
      <c r="AA109" s="13" t="s">
        <v>84</v>
      </c>
      <c r="AB109" s="13">
        <v>44558</v>
      </c>
      <c r="AC109" s="14" t="s">
        <v>78</v>
      </c>
      <c r="AD109" s="13">
        <v>44200</v>
      </c>
      <c r="AE109" s="13">
        <v>44211</v>
      </c>
      <c r="AF109" s="14" t="s">
        <v>108</v>
      </c>
      <c r="AG109" s="14"/>
      <c r="AH109" s="14" t="s">
        <v>78</v>
      </c>
      <c r="AI109" s="14" t="s">
        <v>79</v>
      </c>
      <c r="AJ109" s="14" t="s">
        <v>80</v>
      </c>
      <c r="AK109" s="14" t="s">
        <v>7</v>
      </c>
      <c r="AL109" s="14" t="s">
        <v>8</v>
      </c>
      <c r="AM109" s="14" t="s">
        <v>333</v>
      </c>
      <c r="AN109" s="13" t="e">
        <f>#REF!</f>
        <v>#REF!</v>
      </c>
      <c r="AO109" s="13" t="e">
        <f>#REF!</f>
        <v>#REF!</v>
      </c>
      <c r="AP109" s="13">
        <v>44244</v>
      </c>
      <c r="AQ109" s="14" t="s">
        <v>10</v>
      </c>
      <c r="AR109" s="14" t="s">
        <v>2</v>
      </c>
      <c r="AS109" s="14">
        <v>10</v>
      </c>
      <c r="AT109" s="14"/>
      <c r="AU109" s="15"/>
    </row>
    <row r="110" spans="1:47" ht="57">
      <c r="A110" s="10" t="s">
        <v>654</v>
      </c>
      <c r="B110" s="10"/>
      <c r="C110" s="10" t="s">
        <v>62</v>
      </c>
      <c r="D110" s="10" t="s">
        <v>63</v>
      </c>
      <c r="E110" s="10"/>
      <c r="F110" s="10" t="s">
        <v>129</v>
      </c>
      <c r="G110" s="10" t="s">
        <v>568</v>
      </c>
      <c r="H110" s="11" t="s">
        <v>655</v>
      </c>
      <c r="I110" s="11" t="s">
        <v>656</v>
      </c>
      <c r="J110" s="18" t="s">
        <v>763</v>
      </c>
      <c r="K110" s="12" t="s">
        <v>70</v>
      </c>
      <c r="L110" s="11" t="s">
        <v>71</v>
      </c>
      <c r="M110" s="11" t="s">
        <v>71</v>
      </c>
      <c r="N110" s="12">
        <v>44193</v>
      </c>
      <c r="O110" s="12" t="s">
        <v>72</v>
      </c>
      <c r="P110" s="9" t="s">
        <v>78</v>
      </c>
      <c r="Q110" s="12">
        <v>44193</v>
      </c>
      <c r="R110" s="12" t="s">
        <v>74</v>
      </c>
      <c r="S110" s="12" t="s">
        <v>78</v>
      </c>
      <c r="T110" s="12">
        <v>44193</v>
      </c>
      <c r="U110" s="9" t="s">
        <v>71</v>
      </c>
      <c r="V110" s="9" t="s">
        <v>71</v>
      </c>
      <c r="W110" s="13">
        <v>44193</v>
      </c>
      <c r="X110" s="14" t="s">
        <v>62</v>
      </c>
      <c r="Y110" s="14" t="s">
        <v>78</v>
      </c>
      <c r="Z110" s="14" t="s">
        <v>77</v>
      </c>
      <c r="AA110" s="13" t="s">
        <v>84</v>
      </c>
      <c r="AB110" s="13">
        <v>44558</v>
      </c>
      <c r="AC110" s="14" t="s">
        <v>78</v>
      </c>
      <c r="AD110" s="13">
        <v>44200</v>
      </c>
      <c r="AE110" s="13">
        <v>44211</v>
      </c>
      <c r="AF110" s="14" t="s">
        <v>108</v>
      </c>
      <c r="AG110" s="14"/>
      <c r="AH110" s="14" t="s">
        <v>78</v>
      </c>
      <c r="AI110" s="14" t="s">
        <v>79</v>
      </c>
      <c r="AJ110" s="14" t="s">
        <v>80</v>
      </c>
      <c r="AK110" s="14" t="s">
        <v>7</v>
      </c>
      <c r="AL110" s="14" t="s">
        <v>8</v>
      </c>
      <c r="AM110" s="14" t="s">
        <v>333</v>
      </c>
      <c r="AN110" s="13" t="e">
        <f>#REF!</f>
        <v>#REF!</v>
      </c>
      <c r="AO110" s="13" t="e">
        <f>#REF!</f>
        <v>#REF!</v>
      </c>
      <c r="AP110" s="13">
        <v>44244</v>
      </c>
      <c r="AQ110" s="14" t="s">
        <v>10</v>
      </c>
      <c r="AR110" s="14" t="s">
        <v>2</v>
      </c>
      <c r="AS110" s="14">
        <v>12</v>
      </c>
      <c r="AT110" s="14"/>
      <c r="AU110" s="15"/>
    </row>
    <row r="111" spans="1:47" ht="99.75">
      <c r="A111" s="9" t="s">
        <v>698</v>
      </c>
      <c r="B111" s="9"/>
      <c r="C111" s="9" t="s">
        <v>62</v>
      </c>
      <c r="D111" s="9" t="s">
        <v>63</v>
      </c>
      <c r="E111" s="10"/>
      <c r="F111" s="10" t="s">
        <v>129</v>
      </c>
      <c r="G111" s="10" t="s">
        <v>161</v>
      </c>
      <c r="H111" s="9" t="s">
        <v>699</v>
      </c>
      <c r="I111" s="10" t="s">
        <v>700</v>
      </c>
      <c r="J111" s="9" t="s">
        <v>763</v>
      </c>
      <c r="K111" s="9" t="s">
        <v>70</v>
      </c>
      <c r="L111" s="9" t="s">
        <v>178</v>
      </c>
      <c r="M111" s="9" t="s">
        <v>78</v>
      </c>
      <c r="N111" s="9">
        <v>44193</v>
      </c>
      <c r="O111" s="9" t="s">
        <v>72</v>
      </c>
      <c r="P111" s="9" t="s">
        <v>78</v>
      </c>
      <c r="Q111" s="12">
        <v>44193</v>
      </c>
      <c r="R111" s="9" t="s">
        <v>74</v>
      </c>
      <c r="S111" s="9" t="s">
        <v>78</v>
      </c>
      <c r="T111" s="9">
        <v>44193</v>
      </c>
      <c r="U111" s="9" t="s">
        <v>71</v>
      </c>
      <c r="V111" s="9" t="s">
        <v>71</v>
      </c>
      <c r="W111" s="13">
        <v>44193</v>
      </c>
      <c r="X111" s="14" t="s">
        <v>62</v>
      </c>
      <c r="Y111" s="14" t="s">
        <v>78</v>
      </c>
      <c r="Z111" s="14" t="s">
        <v>77</v>
      </c>
      <c r="AA111" s="13" t="s">
        <v>84</v>
      </c>
      <c r="AB111" s="13">
        <v>44558</v>
      </c>
      <c r="AC111" s="14" t="s">
        <v>78</v>
      </c>
      <c r="AD111" s="13">
        <v>44200</v>
      </c>
      <c r="AE111" s="13">
        <v>44211</v>
      </c>
      <c r="AF111" s="14" t="s">
        <v>108</v>
      </c>
      <c r="AG111" s="14"/>
      <c r="AH111" s="14" t="s">
        <v>78</v>
      </c>
      <c r="AI111" s="14" t="s">
        <v>79</v>
      </c>
      <c r="AJ111" s="14" t="s">
        <v>80</v>
      </c>
      <c r="AK111" s="14"/>
      <c r="AL111" s="14" t="s">
        <v>9</v>
      </c>
      <c r="AM111" s="14" t="s">
        <v>333</v>
      </c>
      <c r="AN111" s="13" t="e">
        <f>#REF!</f>
        <v>#REF!</v>
      </c>
      <c r="AO111" s="13" t="e">
        <f>#REF!</f>
        <v>#REF!</v>
      </c>
      <c r="AP111" s="13">
        <v>44244</v>
      </c>
      <c r="AQ111" s="14" t="s">
        <v>10</v>
      </c>
      <c r="AR111" s="14" t="s">
        <v>2</v>
      </c>
      <c r="AS111" s="14"/>
      <c r="AT111" s="14"/>
      <c r="AU111" s="15"/>
    </row>
    <row r="112" spans="1:47" ht="28.5">
      <c r="A112" s="9" t="s">
        <v>764</v>
      </c>
      <c r="B112" s="9"/>
      <c r="C112" s="9" t="s">
        <v>189</v>
      </c>
      <c r="D112" s="9" t="s">
        <v>276</v>
      </c>
      <c r="E112" s="10"/>
      <c r="F112" s="10" t="s">
        <v>743</v>
      </c>
      <c r="G112" s="10" t="s">
        <v>744</v>
      </c>
      <c r="H112" s="9" t="s">
        <v>745</v>
      </c>
      <c r="I112" s="10" t="s">
        <v>765</v>
      </c>
      <c r="J112" s="9"/>
      <c r="K112" s="9" t="s">
        <v>612</v>
      </c>
      <c r="L112" s="10" t="s">
        <v>178</v>
      </c>
      <c r="M112" s="9" t="s">
        <v>78</v>
      </c>
      <c r="N112" s="9">
        <v>44193</v>
      </c>
      <c r="O112" s="9" t="s">
        <v>72</v>
      </c>
      <c r="P112" s="9" t="s">
        <v>78</v>
      </c>
      <c r="Q112" s="12">
        <v>44193</v>
      </c>
      <c r="R112" s="9" t="s">
        <v>74</v>
      </c>
      <c r="S112" s="9" t="s">
        <v>78</v>
      </c>
      <c r="T112" s="9">
        <v>44193</v>
      </c>
      <c r="U112" s="9" t="s">
        <v>188</v>
      </c>
      <c r="V112" s="9" t="s">
        <v>78</v>
      </c>
      <c r="W112" s="13">
        <v>44193</v>
      </c>
      <c r="X112" s="14" t="s">
        <v>208</v>
      </c>
      <c r="Y112" s="14" t="s">
        <v>78</v>
      </c>
      <c r="Z112" s="14" t="s">
        <v>134</v>
      </c>
      <c r="AA112" s="13">
        <v>44195</v>
      </c>
      <c r="AB112" s="13">
        <v>44558</v>
      </c>
      <c r="AC112" s="14" t="s">
        <v>78</v>
      </c>
      <c r="AD112" s="13">
        <v>44200</v>
      </c>
      <c r="AE112" s="13">
        <v>44211</v>
      </c>
      <c r="AF112" s="14" t="s">
        <v>108</v>
      </c>
      <c r="AG112" s="14"/>
      <c r="AH112" s="14" t="s">
        <v>78</v>
      </c>
      <c r="AI112" s="14" t="s">
        <v>79</v>
      </c>
      <c r="AJ112" s="14" t="s">
        <v>6</v>
      </c>
      <c r="AK112" s="14" t="s">
        <v>82</v>
      </c>
      <c r="AL112" s="14" t="s">
        <v>333</v>
      </c>
      <c r="AM112" s="14" t="s">
        <v>333</v>
      </c>
      <c r="AN112" s="13" t="e">
        <f>#REF!</f>
        <v>#REF!</v>
      </c>
      <c r="AO112" s="13" t="e">
        <f>#REF!</f>
        <v>#REF!</v>
      </c>
      <c r="AP112" s="13">
        <v>44244</v>
      </c>
      <c r="AQ112" s="14" t="s">
        <v>6</v>
      </c>
      <c r="AR112" s="14" t="s">
        <v>4</v>
      </c>
      <c r="AS112" s="14">
        <v>10</v>
      </c>
      <c r="AT112" s="14"/>
      <c r="AU112" s="15"/>
    </row>
    <row r="113" spans="1:47" ht="42.75">
      <c r="A113" s="9" t="s">
        <v>143</v>
      </c>
      <c r="B113" s="9"/>
      <c r="C113" s="9" t="s">
        <v>62</v>
      </c>
      <c r="D113" s="9" t="s">
        <v>144</v>
      </c>
      <c r="E113" s="10" t="s">
        <v>145</v>
      </c>
      <c r="F113" s="10" t="s">
        <v>129</v>
      </c>
      <c r="G113" s="10" t="s">
        <v>130</v>
      </c>
      <c r="H113" s="11" t="s">
        <v>146</v>
      </c>
      <c r="I113" s="11" t="s">
        <v>147</v>
      </c>
      <c r="J113" s="9"/>
      <c r="K113" s="12" t="s">
        <v>70</v>
      </c>
      <c r="L113" s="10" t="s">
        <v>71</v>
      </c>
      <c r="M113" s="11" t="s">
        <v>71</v>
      </c>
      <c r="N113" s="12">
        <v>44204</v>
      </c>
      <c r="O113" s="12" t="s">
        <v>72</v>
      </c>
      <c r="P113" s="10" t="s">
        <v>78</v>
      </c>
      <c r="Q113" s="12">
        <v>44204</v>
      </c>
      <c r="R113" s="12" t="s">
        <v>74</v>
      </c>
      <c r="S113" s="12" t="s">
        <v>78</v>
      </c>
      <c r="T113" s="12" t="s">
        <v>75</v>
      </c>
      <c r="U113" s="9" t="s">
        <v>71</v>
      </c>
      <c r="V113" s="10" t="s">
        <v>75</v>
      </c>
      <c r="W113" s="13">
        <v>44204</v>
      </c>
      <c r="X113" s="14" t="s">
        <v>62</v>
      </c>
      <c r="Y113" s="14" t="s">
        <v>78</v>
      </c>
      <c r="Z113" s="14" t="s">
        <v>77</v>
      </c>
      <c r="AA113" s="13" t="s">
        <v>84</v>
      </c>
      <c r="AB113" s="13">
        <v>44211</v>
      </c>
      <c r="AC113" s="14" t="s">
        <v>78</v>
      </c>
      <c r="AD113" s="13">
        <v>44225</v>
      </c>
      <c r="AE113" s="13">
        <v>44239</v>
      </c>
      <c r="AF113" s="14" t="s">
        <v>108</v>
      </c>
      <c r="AG113" s="14"/>
      <c r="AH113" s="14" t="s">
        <v>78</v>
      </c>
      <c r="AI113" s="14" t="s">
        <v>79</v>
      </c>
      <c r="AJ113" s="14" t="s">
        <v>80</v>
      </c>
      <c r="AK113" s="14" t="s">
        <v>8</v>
      </c>
      <c r="AL113" s="14" t="s">
        <v>148</v>
      </c>
      <c r="AM113" s="14" t="s">
        <v>148</v>
      </c>
      <c r="AN113" s="13" t="e">
        <f>#REF!</f>
        <v>#REF!</v>
      </c>
      <c r="AO113" s="13" t="e">
        <f>#REF!</f>
        <v>#REF!</v>
      </c>
      <c r="AP113" s="13">
        <v>44258</v>
      </c>
      <c r="AQ113" s="14" t="s">
        <v>10</v>
      </c>
      <c r="AR113" s="14" t="s">
        <v>1</v>
      </c>
      <c r="AS113" s="14">
        <v>4</v>
      </c>
      <c r="AT113" s="14"/>
      <c r="AU113" s="15"/>
    </row>
    <row r="114" spans="1:47" ht="142.5">
      <c r="A114" s="9" t="s">
        <v>191</v>
      </c>
      <c r="B114" s="9"/>
      <c r="C114" s="9" t="s">
        <v>62</v>
      </c>
      <c r="D114" s="10" t="s">
        <v>63</v>
      </c>
      <c r="E114" s="16"/>
      <c r="F114" s="10" t="s">
        <v>129</v>
      </c>
      <c r="G114" s="10" t="s">
        <v>192</v>
      </c>
      <c r="H114" s="12" t="s">
        <v>193</v>
      </c>
      <c r="I114" s="11" t="s">
        <v>194</v>
      </c>
      <c r="J114" s="12"/>
      <c r="K114" s="12" t="s">
        <v>70</v>
      </c>
      <c r="L114" s="11" t="s">
        <v>71</v>
      </c>
      <c r="M114" s="11" t="s">
        <v>71</v>
      </c>
      <c r="N114" s="12">
        <v>44204</v>
      </c>
      <c r="O114" s="12" t="s">
        <v>72</v>
      </c>
      <c r="P114" s="10" t="s">
        <v>78</v>
      </c>
      <c r="Q114" s="12">
        <v>44204</v>
      </c>
      <c r="R114" s="12" t="s">
        <v>74</v>
      </c>
      <c r="S114" s="12" t="s">
        <v>78</v>
      </c>
      <c r="T114" s="12">
        <v>44204</v>
      </c>
      <c r="U114" s="9" t="s">
        <v>71</v>
      </c>
      <c r="V114" s="9" t="s">
        <v>71</v>
      </c>
      <c r="W114" s="13">
        <v>44204</v>
      </c>
      <c r="X114" s="14" t="s">
        <v>62</v>
      </c>
      <c r="Y114" s="14" t="s">
        <v>78</v>
      </c>
      <c r="Z114" s="14" t="s">
        <v>77</v>
      </c>
      <c r="AA114" s="13" t="s">
        <v>84</v>
      </c>
      <c r="AB114" s="13">
        <v>44211</v>
      </c>
      <c r="AC114" s="14" t="s">
        <v>78</v>
      </c>
      <c r="AD114" s="13">
        <v>44225</v>
      </c>
      <c r="AE114" s="13">
        <v>44239</v>
      </c>
      <c r="AF114" s="14" t="s">
        <v>108</v>
      </c>
      <c r="AG114" s="14"/>
      <c r="AH114" s="14" t="s">
        <v>78</v>
      </c>
      <c r="AI114" s="14" t="s">
        <v>190</v>
      </c>
      <c r="AJ114" s="14" t="s">
        <v>80</v>
      </c>
      <c r="AK114" s="14" t="s">
        <v>8</v>
      </c>
      <c r="AL114" s="14" t="s">
        <v>11</v>
      </c>
      <c r="AM114" s="14" t="s">
        <v>148</v>
      </c>
      <c r="AN114" s="13" t="e">
        <f>#REF!</f>
        <v>#REF!</v>
      </c>
      <c r="AO114" s="13" t="e">
        <f>#REF!</f>
        <v>#REF!</v>
      </c>
      <c r="AP114" s="13">
        <v>44258</v>
      </c>
      <c r="AQ114" s="14" t="s">
        <v>10</v>
      </c>
      <c r="AR114" s="14" t="s">
        <v>1</v>
      </c>
      <c r="AS114" s="14">
        <v>5</v>
      </c>
      <c r="AT114" s="14"/>
      <c r="AU114" s="15"/>
    </row>
    <row r="115" spans="1:47" ht="42.75">
      <c r="A115" s="9" t="s">
        <v>195</v>
      </c>
      <c r="B115" s="9"/>
      <c r="C115" s="9" t="s">
        <v>62</v>
      </c>
      <c r="D115" s="10" t="s">
        <v>63</v>
      </c>
      <c r="E115" s="16"/>
      <c r="F115" s="10" t="s">
        <v>129</v>
      </c>
      <c r="G115" s="10" t="s">
        <v>196</v>
      </c>
      <c r="H115" s="12" t="s">
        <v>197</v>
      </c>
      <c r="I115" s="11" t="s">
        <v>198</v>
      </c>
      <c r="J115" s="12"/>
      <c r="K115" s="12" t="s">
        <v>70</v>
      </c>
      <c r="L115" s="11" t="s">
        <v>71</v>
      </c>
      <c r="M115" s="11" t="s">
        <v>71</v>
      </c>
      <c r="N115" s="12">
        <v>44204</v>
      </c>
      <c r="O115" s="12" t="s">
        <v>72</v>
      </c>
      <c r="P115" s="10" t="s">
        <v>78</v>
      </c>
      <c r="Q115" s="12">
        <v>44204</v>
      </c>
      <c r="R115" s="12" t="s">
        <v>74</v>
      </c>
      <c r="S115" s="12" t="s">
        <v>78</v>
      </c>
      <c r="T115" s="12">
        <v>44204</v>
      </c>
      <c r="U115" s="9" t="s">
        <v>71</v>
      </c>
      <c r="V115" s="9" t="s">
        <v>71</v>
      </c>
      <c r="W115" s="13">
        <v>44204</v>
      </c>
      <c r="X115" s="14" t="s">
        <v>62</v>
      </c>
      <c r="Y115" s="14" t="s">
        <v>78</v>
      </c>
      <c r="Z115" s="14" t="s">
        <v>77</v>
      </c>
      <c r="AA115" s="13" t="s">
        <v>84</v>
      </c>
      <c r="AB115" s="13">
        <v>44211</v>
      </c>
      <c r="AC115" s="14" t="s">
        <v>78</v>
      </c>
      <c r="AD115" s="13">
        <v>44225</v>
      </c>
      <c r="AE115" s="13">
        <v>44239</v>
      </c>
      <c r="AF115" s="14" t="s">
        <v>108</v>
      </c>
      <c r="AG115" s="14"/>
      <c r="AH115" s="14" t="s">
        <v>78</v>
      </c>
      <c r="AI115" s="14" t="s">
        <v>79</v>
      </c>
      <c r="AJ115" s="14" t="s">
        <v>80</v>
      </c>
      <c r="AK115" s="14" t="s">
        <v>9</v>
      </c>
      <c r="AL115" s="14" t="s">
        <v>11</v>
      </c>
      <c r="AM115" s="14" t="s">
        <v>148</v>
      </c>
      <c r="AN115" s="13" t="e">
        <f>#REF!</f>
        <v>#REF!</v>
      </c>
      <c r="AO115" s="13" t="e">
        <f>#REF!</f>
        <v>#REF!</v>
      </c>
      <c r="AP115" s="13">
        <v>44258</v>
      </c>
      <c r="AQ115" s="14" t="s">
        <v>10</v>
      </c>
      <c r="AR115" s="14" t="s">
        <v>2</v>
      </c>
      <c r="AS115" s="14">
        <v>5</v>
      </c>
      <c r="AT115" s="14"/>
      <c r="AU115" s="15"/>
    </row>
    <row r="116" spans="1:47" ht="42.75">
      <c r="A116" s="9" t="s">
        <v>230</v>
      </c>
      <c r="B116" s="9"/>
      <c r="C116" s="9" t="s">
        <v>62</v>
      </c>
      <c r="D116" s="9" t="s">
        <v>63</v>
      </c>
      <c r="E116" s="10"/>
      <c r="F116" s="10" t="s">
        <v>231</v>
      </c>
      <c r="G116" s="10" t="s">
        <v>232</v>
      </c>
      <c r="H116" s="12" t="s">
        <v>766</v>
      </c>
      <c r="I116" s="11" t="s">
        <v>767</v>
      </c>
      <c r="J116" s="12" t="s">
        <v>768</v>
      </c>
      <c r="K116" s="12" t="s">
        <v>125</v>
      </c>
      <c r="L116" s="10" t="s">
        <v>71</v>
      </c>
      <c r="M116" s="11" t="s">
        <v>71</v>
      </c>
      <c r="N116" s="12">
        <v>44204</v>
      </c>
      <c r="O116" s="12" t="s">
        <v>72</v>
      </c>
      <c r="P116" s="10" t="s">
        <v>78</v>
      </c>
      <c r="Q116" s="12">
        <v>44204</v>
      </c>
      <c r="R116" s="12" t="s">
        <v>74</v>
      </c>
      <c r="S116" s="12" t="s">
        <v>78</v>
      </c>
      <c r="T116" s="12">
        <v>44204</v>
      </c>
      <c r="U116" s="9" t="s">
        <v>71</v>
      </c>
      <c r="V116" s="9" t="s">
        <v>71</v>
      </c>
      <c r="W116" s="13">
        <v>44204</v>
      </c>
      <c r="X116" s="14" t="s">
        <v>62</v>
      </c>
      <c r="Y116" s="14" t="s">
        <v>78</v>
      </c>
      <c r="Z116" s="14" t="s">
        <v>77</v>
      </c>
      <c r="AA116" s="13" t="s">
        <v>84</v>
      </c>
      <c r="AB116" s="13">
        <v>44211</v>
      </c>
      <c r="AC116" s="14" t="s">
        <v>78</v>
      </c>
      <c r="AD116" s="13">
        <v>44225</v>
      </c>
      <c r="AE116" s="13">
        <v>44239</v>
      </c>
      <c r="AF116" s="14" t="s">
        <v>108</v>
      </c>
      <c r="AG116" s="14"/>
      <c r="AH116" s="14" t="s">
        <v>78</v>
      </c>
      <c r="AI116" s="14" t="s">
        <v>79</v>
      </c>
      <c r="AJ116" s="14" t="s">
        <v>80</v>
      </c>
      <c r="AK116" s="14" t="s">
        <v>9</v>
      </c>
      <c r="AL116" s="14" t="s">
        <v>148</v>
      </c>
      <c r="AM116" s="14" t="s">
        <v>148</v>
      </c>
      <c r="AN116" s="13" t="e">
        <f>#REF!</f>
        <v>#REF!</v>
      </c>
      <c r="AO116" s="13" t="e">
        <f>#REF!</f>
        <v>#REF!</v>
      </c>
      <c r="AP116" s="13">
        <v>44258</v>
      </c>
      <c r="AQ116" s="14" t="s">
        <v>10</v>
      </c>
      <c r="AR116" s="14" t="s">
        <v>1</v>
      </c>
      <c r="AS116" s="14">
        <v>5</v>
      </c>
      <c r="AT116" s="14"/>
      <c r="AU116" s="15"/>
    </row>
    <row r="117" spans="1:47" ht="256.5">
      <c r="A117" s="9" t="s">
        <v>244</v>
      </c>
      <c r="B117" s="9"/>
      <c r="C117" s="9"/>
      <c r="D117" s="10" t="s">
        <v>183</v>
      </c>
      <c r="E117" s="10"/>
      <c r="F117" s="10" t="s">
        <v>220</v>
      </c>
      <c r="G117" s="10" t="s">
        <v>245</v>
      </c>
      <c r="H117" s="12" t="s">
        <v>246</v>
      </c>
      <c r="I117" s="11" t="s">
        <v>769</v>
      </c>
      <c r="J117" s="12" t="s">
        <v>71</v>
      </c>
      <c r="K117" s="12" t="s">
        <v>229</v>
      </c>
      <c r="L117" s="11" t="s">
        <v>178</v>
      </c>
      <c r="M117" s="11"/>
      <c r="N117" s="12">
        <v>44204</v>
      </c>
      <c r="O117" s="12" t="s">
        <v>72</v>
      </c>
      <c r="P117" s="10" t="s">
        <v>78</v>
      </c>
      <c r="Q117" s="12">
        <v>44204</v>
      </c>
      <c r="R117" s="12" t="s">
        <v>74</v>
      </c>
      <c r="S117" s="12" t="s">
        <v>78</v>
      </c>
      <c r="T117" s="12">
        <v>44204</v>
      </c>
      <c r="U117" s="9" t="s">
        <v>188</v>
      </c>
      <c r="V117" s="9" t="s">
        <v>78</v>
      </c>
      <c r="W117" s="13">
        <v>44204</v>
      </c>
      <c r="X117" s="14" t="s">
        <v>189</v>
      </c>
      <c r="Y117" s="14" t="s">
        <v>78</v>
      </c>
      <c r="Z117" s="14" t="s">
        <v>134</v>
      </c>
      <c r="AA117" s="13">
        <v>44204</v>
      </c>
      <c r="AB117" s="13">
        <v>44211</v>
      </c>
      <c r="AC117" s="14" t="s">
        <v>78</v>
      </c>
      <c r="AD117" s="13">
        <v>44225</v>
      </c>
      <c r="AE117" s="13">
        <v>44239</v>
      </c>
      <c r="AF117" s="14" t="s">
        <v>108</v>
      </c>
      <c r="AG117" s="14"/>
      <c r="AH117" s="14" t="s">
        <v>78</v>
      </c>
      <c r="AI117" s="14" t="s">
        <v>190</v>
      </c>
      <c r="AJ117" s="14" t="s">
        <v>6</v>
      </c>
      <c r="AK117" s="14" t="s">
        <v>11</v>
      </c>
      <c r="AL117" s="14" t="s">
        <v>16</v>
      </c>
      <c r="AM117" s="14" t="s">
        <v>148</v>
      </c>
      <c r="AN117" s="13" t="e">
        <f>#REF!</f>
        <v>#REF!</v>
      </c>
      <c r="AO117" s="13" t="e">
        <f>#REF!</f>
        <v>#REF!</v>
      </c>
      <c r="AP117" s="13">
        <v>44258</v>
      </c>
      <c r="AQ117" s="14" t="s">
        <v>6</v>
      </c>
      <c r="AR117" s="14" t="s">
        <v>4</v>
      </c>
      <c r="AS117" s="14">
        <v>10</v>
      </c>
      <c r="AT117" s="14"/>
      <c r="AU117" s="15"/>
    </row>
    <row r="118" spans="1:47">
      <c r="A118" s="9" t="s">
        <v>281</v>
      </c>
      <c r="B118" s="9"/>
      <c r="C118" s="9"/>
      <c r="D118" s="9" t="s">
        <v>63</v>
      </c>
      <c r="E118" s="10"/>
      <c r="F118" s="10" t="s">
        <v>261</v>
      </c>
      <c r="G118" s="10" t="s">
        <v>278</v>
      </c>
      <c r="H118" s="11" t="s">
        <v>282</v>
      </c>
      <c r="I118" s="11" t="s">
        <v>283</v>
      </c>
      <c r="J118" s="12"/>
      <c r="K118" s="12" t="s">
        <v>70</v>
      </c>
      <c r="L118" s="11" t="s">
        <v>71</v>
      </c>
      <c r="M118" s="11" t="s">
        <v>71</v>
      </c>
      <c r="N118" s="12">
        <v>44204</v>
      </c>
      <c r="O118" s="12" t="s">
        <v>72</v>
      </c>
      <c r="P118" s="10" t="s">
        <v>78</v>
      </c>
      <c r="Q118" s="12">
        <v>44204</v>
      </c>
      <c r="R118" s="12" t="s">
        <v>74</v>
      </c>
      <c r="S118" s="12" t="s">
        <v>78</v>
      </c>
      <c r="T118" s="12">
        <v>44204</v>
      </c>
      <c r="U118" s="9" t="s">
        <v>76</v>
      </c>
      <c r="V118" s="9" t="s">
        <v>78</v>
      </c>
      <c r="W118" s="13">
        <v>44204</v>
      </c>
      <c r="X118" s="14" t="s">
        <v>62</v>
      </c>
      <c r="Y118" s="14" t="s">
        <v>78</v>
      </c>
      <c r="Z118" s="14" t="s">
        <v>77</v>
      </c>
      <c r="AA118" s="13" t="s">
        <v>84</v>
      </c>
      <c r="AB118" s="13">
        <v>44211</v>
      </c>
      <c r="AC118" s="14" t="s">
        <v>78</v>
      </c>
      <c r="AD118" s="13">
        <v>44225</v>
      </c>
      <c r="AE118" s="13">
        <v>44239</v>
      </c>
      <c r="AF118" s="14" t="s">
        <v>108</v>
      </c>
      <c r="AG118" s="14"/>
      <c r="AH118" s="14" t="s">
        <v>78</v>
      </c>
      <c r="AI118" s="14" t="s">
        <v>79</v>
      </c>
      <c r="AJ118" s="14" t="s">
        <v>203</v>
      </c>
      <c r="AK118" s="14" t="s">
        <v>139</v>
      </c>
      <c r="AL118" s="14" t="s">
        <v>148</v>
      </c>
      <c r="AM118" s="14" t="s">
        <v>148</v>
      </c>
      <c r="AN118" s="13" t="e">
        <f>#REF!</f>
        <v>#REF!</v>
      </c>
      <c r="AO118" s="13" t="e">
        <f>#REF!</f>
        <v>#REF!</v>
      </c>
      <c r="AP118" s="13">
        <v>44258</v>
      </c>
      <c r="AQ118" s="14" t="s">
        <v>10</v>
      </c>
      <c r="AR118" s="14" t="s">
        <v>2</v>
      </c>
      <c r="AS118" s="14">
        <v>3</v>
      </c>
      <c r="AT118" s="14"/>
      <c r="AU118" s="15"/>
    </row>
    <row r="119" spans="1:47" ht="28.5">
      <c r="A119" s="9" t="s">
        <v>356</v>
      </c>
      <c r="B119" s="9"/>
      <c r="C119" s="9" t="s">
        <v>62</v>
      </c>
      <c r="D119" s="9" t="s">
        <v>210</v>
      </c>
      <c r="E119" s="10"/>
      <c r="F119" s="10" t="s">
        <v>344</v>
      </c>
      <c r="G119" s="10" t="s">
        <v>348</v>
      </c>
      <c r="H119" s="12" t="s">
        <v>357</v>
      </c>
      <c r="I119" s="11" t="s">
        <v>770</v>
      </c>
      <c r="J119" s="12"/>
      <c r="K119" s="12" t="s">
        <v>358</v>
      </c>
      <c r="L119" s="10" t="s">
        <v>178</v>
      </c>
      <c r="M119" s="11" t="s">
        <v>78</v>
      </c>
      <c r="N119" s="12">
        <v>44204</v>
      </c>
      <c r="O119" s="12" t="s">
        <v>72</v>
      </c>
      <c r="P119" s="10" t="s">
        <v>78</v>
      </c>
      <c r="Q119" s="12">
        <v>44204</v>
      </c>
      <c r="R119" s="12" t="s">
        <v>74</v>
      </c>
      <c r="S119" s="12" t="s">
        <v>78</v>
      </c>
      <c r="T119" s="11">
        <v>44204</v>
      </c>
      <c r="U119" s="9" t="s">
        <v>71</v>
      </c>
      <c r="V119" s="9" t="s">
        <v>71</v>
      </c>
      <c r="W119" s="13">
        <v>44204</v>
      </c>
      <c r="X119" s="14" t="s">
        <v>62</v>
      </c>
      <c r="Y119" s="14" t="s">
        <v>78</v>
      </c>
      <c r="Z119" s="14" t="s">
        <v>134</v>
      </c>
      <c r="AA119" s="13">
        <v>44221</v>
      </c>
      <c r="AB119" s="13">
        <v>44211</v>
      </c>
      <c r="AC119" s="14" t="s">
        <v>78</v>
      </c>
      <c r="AD119" s="13">
        <v>44225</v>
      </c>
      <c r="AE119" s="13">
        <v>44239</v>
      </c>
      <c r="AF119" s="14" t="s">
        <v>108</v>
      </c>
      <c r="AG119" s="14"/>
      <c r="AH119" s="14" t="s">
        <v>78</v>
      </c>
      <c r="AI119" s="14" t="s">
        <v>79</v>
      </c>
      <c r="AJ119" s="14" t="s">
        <v>80</v>
      </c>
      <c r="AK119" s="14" t="s">
        <v>82</v>
      </c>
      <c r="AL119" s="14" t="s">
        <v>8</v>
      </c>
      <c r="AM119" s="14" t="s">
        <v>148</v>
      </c>
      <c r="AN119" s="13" t="e">
        <f>#REF!</f>
        <v>#REF!</v>
      </c>
      <c r="AO119" s="13" t="e">
        <f>#REF!</f>
        <v>#REF!</v>
      </c>
      <c r="AP119" s="13">
        <v>44258</v>
      </c>
      <c r="AQ119" s="14" t="s">
        <v>10</v>
      </c>
      <c r="AR119" s="14" t="s">
        <v>1</v>
      </c>
      <c r="AS119" s="14">
        <v>8</v>
      </c>
      <c r="AT119" s="14"/>
      <c r="AU119" s="15"/>
    </row>
    <row r="120" spans="1:47" ht="42.75">
      <c r="A120" s="9" t="s">
        <v>400</v>
      </c>
      <c r="B120" s="9"/>
      <c r="C120" s="9" t="s">
        <v>62</v>
      </c>
      <c r="D120" s="9" t="s">
        <v>63</v>
      </c>
      <c r="E120" s="10"/>
      <c r="F120" s="10" t="s">
        <v>743</v>
      </c>
      <c r="G120" s="10" t="s">
        <v>332</v>
      </c>
      <c r="H120" s="12" t="s">
        <v>401</v>
      </c>
      <c r="I120" s="11" t="s">
        <v>771</v>
      </c>
      <c r="J120" s="12" t="s">
        <v>405</v>
      </c>
      <c r="K120" s="12" t="s">
        <v>125</v>
      </c>
      <c r="L120" s="11" t="s">
        <v>71</v>
      </c>
      <c r="M120" s="11" t="s">
        <v>71</v>
      </c>
      <c r="N120" s="12">
        <v>44204</v>
      </c>
      <c r="O120" s="12" t="s">
        <v>72</v>
      </c>
      <c r="P120" s="9" t="s">
        <v>78</v>
      </c>
      <c r="Q120" s="12">
        <v>44204</v>
      </c>
      <c r="R120" s="12" t="s">
        <v>74</v>
      </c>
      <c r="S120" s="12" t="s">
        <v>78</v>
      </c>
      <c r="T120" s="11">
        <v>44204</v>
      </c>
      <c r="U120" s="9" t="s">
        <v>71</v>
      </c>
      <c r="V120" s="9" t="s">
        <v>71</v>
      </c>
      <c r="W120" s="13">
        <v>44204</v>
      </c>
      <c r="X120" s="14" t="s">
        <v>62</v>
      </c>
      <c r="Y120" s="14" t="s">
        <v>78</v>
      </c>
      <c r="Z120" s="14" t="s">
        <v>77</v>
      </c>
      <c r="AA120" s="13" t="s">
        <v>84</v>
      </c>
      <c r="AB120" s="13">
        <v>44211</v>
      </c>
      <c r="AC120" s="14" t="s">
        <v>78</v>
      </c>
      <c r="AD120" s="13">
        <v>44225</v>
      </c>
      <c r="AE120" s="13">
        <v>44239</v>
      </c>
      <c r="AF120" s="14" t="s">
        <v>108</v>
      </c>
      <c r="AG120" s="14"/>
      <c r="AH120" s="14" t="s">
        <v>78</v>
      </c>
      <c r="AI120" s="14" t="s">
        <v>79</v>
      </c>
      <c r="AJ120" s="14" t="s">
        <v>80</v>
      </c>
      <c r="AK120" s="14" t="s">
        <v>82</v>
      </c>
      <c r="AL120" s="14" t="s">
        <v>333</v>
      </c>
      <c r="AM120" s="14" t="s">
        <v>148</v>
      </c>
      <c r="AN120" s="13" t="e">
        <f>#REF!</f>
        <v>#REF!</v>
      </c>
      <c r="AO120" s="13" t="e">
        <f>#REF!</f>
        <v>#REF!</v>
      </c>
      <c r="AP120" s="13">
        <v>44258</v>
      </c>
      <c r="AQ120" s="14" t="s">
        <v>10</v>
      </c>
      <c r="AR120" s="14" t="s">
        <v>1</v>
      </c>
      <c r="AS120" s="14">
        <v>4</v>
      </c>
      <c r="AT120" s="14"/>
      <c r="AU120" s="15"/>
    </row>
    <row r="121" spans="1:47" ht="71.25">
      <c r="A121" s="9" t="s">
        <v>402</v>
      </c>
      <c r="B121" s="9"/>
      <c r="C121" s="9" t="s">
        <v>62</v>
      </c>
      <c r="D121" s="9" t="s">
        <v>63</v>
      </c>
      <c r="E121" s="10"/>
      <c r="F121" s="10" t="s">
        <v>743</v>
      </c>
      <c r="G121" s="10" t="s">
        <v>332</v>
      </c>
      <c r="H121" s="12" t="s">
        <v>772</v>
      </c>
      <c r="I121" s="11" t="s">
        <v>773</v>
      </c>
      <c r="J121" s="12" t="s">
        <v>774</v>
      </c>
      <c r="K121" s="12" t="s">
        <v>125</v>
      </c>
      <c r="L121" s="10" t="s">
        <v>71</v>
      </c>
      <c r="M121" s="11" t="s">
        <v>71</v>
      </c>
      <c r="N121" s="12">
        <v>44204</v>
      </c>
      <c r="O121" s="12" t="s">
        <v>72</v>
      </c>
      <c r="P121" s="10" t="s">
        <v>78</v>
      </c>
      <c r="Q121" s="12">
        <v>44204</v>
      </c>
      <c r="R121" s="12" t="s">
        <v>74</v>
      </c>
      <c r="S121" s="12" t="s">
        <v>78</v>
      </c>
      <c r="T121" s="11">
        <v>44204</v>
      </c>
      <c r="U121" s="9" t="s">
        <v>71</v>
      </c>
      <c r="V121" s="9" t="s">
        <v>71</v>
      </c>
      <c r="W121" s="13">
        <v>44204</v>
      </c>
      <c r="X121" s="14" t="s">
        <v>62</v>
      </c>
      <c r="Y121" s="14" t="s">
        <v>78</v>
      </c>
      <c r="Z121" s="14" t="s">
        <v>77</v>
      </c>
      <c r="AA121" s="13" t="s">
        <v>84</v>
      </c>
      <c r="AB121" s="13">
        <v>44211</v>
      </c>
      <c r="AC121" s="14" t="s">
        <v>78</v>
      </c>
      <c r="AD121" s="13">
        <v>44225</v>
      </c>
      <c r="AE121" s="13">
        <v>44239</v>
      </c>
      <c r="AF121" s="14" t="s">
        <v>108</v>
      </c>
      <c r="AG121" s="14"/>
      <c r="AH121" s="14" t="s">
        <v>78</v>
      </c>
      <c r="AI121" s="14" t="s">
        <v>79</v>
      </c>
      <c r="AJ121" s="14" t="s">
        <v>80</v>
      </c>
      <c r="AK121" s="14" t="s">
        <v>82</v>
      </c>
      <c r="AL121" s="14" t="s">
        <v>333</v>
      </c>
      <c r="AM121" s="14" t="s">
        <v>148</v>
      </c>
      <c r="AN121" s="13" t="e">
        <f>#REF!</f>
        <v>#REF!</v>
      </c>
      <c r="AO121" s="13" t="e">
        <f>#REF!</f>
        <v>#REF!</v>
      </c>
      <c r="AP121" s="13">
        <v>44258</v>
      </c>
      <c r="AQ121" s="14" t="s">
        <v>10</v>
      </c>
      <c r="AR121" s="14" t="s">
        <v>1</v>
      </c>
      <c r="AS121" s="14">
        <v>4</v>
      </c>
      <c r="AT121" s="14"/>
      <c r="AU121" s="15"/>
    </row>
    <row r="122" spans="1:47" ht="85.5">
      <c r="A122" s="10" t="s">
        <v>485</v>
      </c>
      <c r="B122" s="10"/>
      <c r="C122" s="10"/>
      <c r="D122" s="10" t="s">
        <v>276</v>
      </c>
      <c r="E122" s="10"/>
      <c r="F122" s="10" t="s">
        <v>184</v>
      </c>
      <c r="G122" s="10" t="s">
        <v>486</v>
      </c>
      <c r="H122" s="12" t="s">
        <v>487</v>
      </c>
      <c r="I122" s="11" t="s">
        <v>488</v>
      </c>
      <c r="J122" s="12"/>
      <c r="K122" s="12" t="s">
        <v>215</v>
      </c>
      <c r="L122" s="12" t="s">
        <v>178</v>
      </c>
      <c r="M122" s="11" t="s">
        <v>78</v>
      </c>
      <c r="N122" s="12">
        <v>44204</v>
      </c>
      <c r="O122" s="12" t="s">
        <v>72</v>
      </c>
      <c r="P122" s="9" t="s">
        <v>78</v>
      </c>
      <c r="Q122" s="12">
        <v>44204</v>
      </c>
      <c r="R122" s="12" t="s">
        <v>74</v>
      </c>
      <c r="S122" s="12" t="s">
        <v>78</v>
      </c>
      <c r="T122" s="12">
        <v>44204</v>
      </c>
      <c r="U122" s="9" t="s">
        <v>76</v>
      </c>
      <c r="V122" s="9" t="s">
        <v>78</v>
      </c>
      <c r="W122" s="13">
        <v>44204</v>
      </c>
      <c r="X122" s="14" t="s">
        <v>208</v>
      </c>
      <c r="Y122" s="14" t="s">
        <v>78</v>
      </c>
      <c r="Z122" s="14" t="s">
        <v>134</v>
      </c>
      <c r="AA122" s="13">
        <v>44221</v>
      </c>
      <c r="AB122" s="13">
        <v>44211</v>
      </c>
      <c r="AC122" s="14" t="s">
        <v>78</v>
      </c>
      <c r="AD122" s="13">
        <v>44225</v>
      </c>
      <c r="AE122" s="13">
        <v>44239</v>
      </c>
      <c r="AF122" s="14" t="s">
        <v>108</v>
      </c>
      <c r="AG122" s="14"/>
      <c r="AH122" s="14" t="s">
        <v>78</v>
      </c>
      <c r="AI122" s="14" t="s">
        <v>79</v>
      </c>
      <c r="AJ122" s="14" t="s">
        <v>203</v>
      </c>
      <c r="AK122" s="14" t="s">
        <v>333</v>
      </c>
      <c r="AL122" s="14" t="s">
        <v>148</v>
      </c>
      <c r="AM122" s="14" t="s">
        <v>148</v>
      </c>
      <c r="AN122" s="13" t="e">
        <f>#REF!</f>
        <v>#REF!</v>
      </c>
      <c r="AO122" s="13" t="e">
        <f>#REF!</f>
        <v>#REF!</v>
      </c>
      <c r="AP122" s="13">
        <v>44258</v>
      </c>
      <c r="AQ122" s="14" t="s">
        <v>10</v>
      </c>
      <c r="AR122" s="14" t="s">
        <v>2</v>
      </c>
      <c r="AS122" s="14">
        <v>12</v>
      </c>
      <c r="AT122" s="14"/>
      <c r="AU122" s="15"/>
    </row>
    <row r="123" spans="1:47" ht="28.5">
      <c r="A123" s="10" t="s">
        <v>510</v>
      </c>
      <c r="B123" s="10"/>
      <c r="C123" s="10"/>
      <c r="D123" s="10" t="s">
        <v>183</v>
      </c>
      <c r="E123" s="10"/>
      <c r="F123" s="10" t="s">
        <v>220</v>
      </c>
      <c r="G123" s="10" t="s">
        <v>245</v>
      </c>
      <c r="H123" s="12" t="s">
        <v>511</v>
      </c>
      <c r="I123" s="11" t="s">
        <v>512</v>
      </c>
      <c r="J123" s="12" t="s">
        <v>71</v>
      </c>
      <c r="K123" s="12" t="s">
        <v>229</v>
      </c>
      <c r="L123" s="12" t="s">
        <v>178</v>
      </c>
      <c r="M123" s="11" t="s">
        <v>78</v>
      </c>
      <c r="N123" s="12">
        <v>44204</v>
      </c>
      <c r="O123" s="12" t="s">
        <v>72</v>
      </c>
      <c r="P123" s="9" t="s">
        <v>78</v>
      </c>
      <c r="Q123" s="12">
        <v>44204</v>
      </c>
      <c r="R123" s="12" t="s">
        <v>74</v>
      </c>
      <c r="S123" s="12" t="s">
        <v>78</v>
      </c>
      <c r="T123" s="12">
        <v>44204</v>
      </c>
      <c r="U123" s="9" t="s">
        <v>188</v>
      </c>
      <c r="V123" s="9" t="s">
        <v>78</v>
      </c>
      <c r="W123" s="13">
        <v>44204</v>
      </c>
      <c r="X123" s="14" t="s">
        <v>189</v>
      </c>
      <c r="Y123" s="14" t="s">
        <v>78</v>
      </c>
      <c r="Z123" s="14" t="s">
        <v>134</v>
      </c>
      <c r="AA123" s="13">
        <v>44204</v>
      </c>
      <c r="AB123" s="13">
        <v>44211</v>
      </c>
      <c r="AC123" s="14" t="s">
        <v>78</v>
      </c>
      <c r="AD123" s="13">
        <v>44225</v>
      </c>
      <c r="AE123" s="13">
        <v>44239</v>
      </c>
      <c r="AF123" s="14" t="s">
        <v>108</v>
      </c>
      <c r="AG123" s="14"/>
      <c r="AH123" s="14" t="s">
        <v>78</v>
      </c>
      <c r="AI123" s="14" t="s">
        <v>190</v>
      </c>
      <c r="AJ123" s="14" t="s">
        <v>6</v>
      </c>
      <c r="AK123" s="14" t="s">
        <v>148</v>
      </c>
      <c r="AL123" s="14" t="s">
        <v>16</v>
      </c>
      <c r="AM123" s="14" t="s">
        <v>148</v>
      </c>
      <c r="AN123" s="13" t="e">
        <f>#REF!</f>
        <v>#REF!</v>
      </c>
      <c r="AO123" s="13" t="e">
        <f>#REF!</f>
        <v>#REF!</v>
      </c>
      <c r="AP123" s="13">
        <v>44258</v>
      </c>
      <c r="AQ123" s="14" t="s">
        <v>6</v>
      </c>
      <c r="AR123" s="14" t="s">
        <v>4</v>
      </c>
      <c r="AS123" s="14">
        <v>50</v>
      </c>
      <c r="AT123" s="14"/>
      <c r="AU123" s="15"/>
    </row>
    <row r="124" spans="1:47" ht="28.5">
      <c r="A124" s="9" t="s">
        <v>515</v>
      </c>
      <c r="B124" s="9"/>
      <c r="C124" s="17"/>
      <c r="D124" s="9" t="s">
        <v>183</v>
      </c>
      <c r="E124" s="10"/>
      <c r="F124" s="10" t="s">
        <v>220</v>
      </c>
      <c r="G124" s="10" t="s">
        <v>245</v>
      </c>
      <c r="H124" s="12" t="s">
        <v>516</v>
      </c>
      <c r="I124" s="11" t="s">
        <v>517</v>
      </c>
      <c r="J124" s="12" t="s">
        <v>71</v>
      </c>
      <c r="K124" s="12" t="s">
        <v>229</v>
      </c>
      <c r="L124" s="12" t="s">
        <v>178</v>
      </c>
      <c r="M124" s="11" t="s">
        <v>78</v>
      </c>
      <c r="N124" s="12">
        <v>44204</v>
      </c>
      <c r="O124" s="12" t="s">
        <v>72</v>
      </c>
      <c r="P124" s="10" t="s">
        <v>78</v>
      </c>
      <c r="Q124" s="12">
        <v>44204</v>
      </c>
      <c r="R124" s="12" t="s">
        <v>74</v>
      </c>
      <c r="S124" s="12" t="s">
        <v>78</v>
      </c>
      <c r="T124" s="12">
        <v>44204</v>
      </c>
      <c r="U124" s="9" t="s">
        <v>188</v>
      </c>
      <c r="V124" s="9" t="s">
        <v>78</v>
      </c>
      <c r="W124" s="13">
        <v>44204</v>
      </c>
      <c r="X124" s="14" t="s">
        <v>189</v>
      </c>
      <c r="Y124" s="14" t="s">
        <v>78</v>
      </c>
      <c r="Z124" s="14" t="s">
        <v>134</v>
      </c>
      <c r="AA124" s="13">
        <v>44204</v>
      </c>
      <c r="AB124" s="13">
        <v>44211</v>
      </c>
      <c r="AC124" s="14" t="s">
        <v>78</v>
      </c>
      <c r="AD124" s="13">
        <v>44225</v>
      </c>
      <c r="AE124" s="13">
        <v>44239</v>
      </c>
      <c r="AF124" s="14" t="s">
        <v>108</v>
      </c>
      <c r="AG124" s="14"/>
      <c r="AH124" s="14" t="s">
        <v>78</v>
      </c>
      <c r="AI124" s="14" t="s">
        <v>190</v>
      </c>
      <c r="AJ124" s="14" t="s">
        <v>6</v>
      </c>
      <c r="AK124" s="14" t="s">
        <v>148</v>
      </c>
      <c r="AL124" s="14" t="s">
        <v>16</v>
      </c>
      <c r="AM124" s="14" t="s">
        <v>148</v>
      </c>
      <c r="AN124" s="13" t="e">
        <f>#REF!</f>
        <v>#REF!</v>
      </c>
      <c r="AO124" s="13" t="e">
        <f>#REF!</f>
        <v>#REF!</v>
      </c>
      <c r="AP124" s="13">
        <v>44258</v>
      </c>
      <c r="AQ124" s="14" t="s">
        <v>6</v>
      </c>
      <c r="AR124" s="14" t="s">
        <v>4</v>
      </c>
      <c r="AS124" s="14">
        <v>30</v>
      </c>
      <c r="AT124" s="14"/>
      <c r="AU124" s="15"/>
    </row>
    <row r="125" spans="1:47" ht="142.5">
      <c r="A125" s="9" t="s">
        <v>531</v>
      </c>
      <c r="B125" s="9"/>
      <c r="C125" s="9"/>
      <c r="D125" s="9" t="s">
        <v>276</v>
      </c>
      <c r="E125" s="10"/>
      <c r="F125" s="10" t="s">
        <v>184</v>
      </c>
      <c r="G125" s="10" t="s">
        <v>185</v>
      </c>
      <c r="H125" s="12" t="s">
        <v>532</v>
      </c>
      <c r="I125" s="11" t="s">
        <v>533</v>
      </c>
      <c r="J125" s="12"/>
      <c r="K125" s="12" t="s">
        <v>775</v>
      </c>
      <c r="L125" s="10" t="s">
        <v>178</v>
      </c>
      <c r="M125" s="11" t="s">
        <v>78</v>
      </c>
      <c r="N125" s="12">
        <v>44204</v>
      </c>
      <c r="O125" s="12" t="s">
        <v>72</v>
      </c>
      <c r="P125" s="10" t="s">
        <v>78</v>
      </c>
      <c r="Q125" s="12">
        <v>44204</v>
      </c>
      <c r="R125" s="12" t="s">
        <v>74</v>
      </c>
      <c r="S125" s="12" t="s">
        <v>78</v>
      </c>
      <c r="T125" s="12">
        <v>44204</v>
      </c>
      <c r="U125" s="9" t="s">
        <v>71</v>
      </c>
      <c r="V125" s="9" t="s">
        <v>71</v>
      </c>
      <c r="W125" s="13">
        <v>44204</v>
      </c>
      <c r="X125" s="14" t="s">
        <v>208</v>
      </c>
      <c r="Y125" s="14" t="s">
        <v>78</v>
      </c>
      <c r="Z125" s="14" t="s">
        <v>134</v>
      </c>
      <c r="AA125" s="13">
        <v>44204</v>
      </c>
      <c r="AB125" s="13">
        <v>44211</v>
      </c>
      <c r="AC125" s="14" t="s">
        <v>78</v>
      </c>
      <c r="AD125" s="13">
        <v>44225</v>
      </c>
      <c r="AE125" s="13">
        <v>44239</v>
      </c>
      <c r="AF125" s="14" t="s">
        <v>108</v>
      </c>
      <c r="AG125" s="14"/>
      <c r="AH125" s="14" t="s">
        <v>78</v>
      </c>
      <c r="AI125" s="14" t="s">
        <v>79</v>
      </c>
      <c r="AJ125" s="14" t="s">
        <v>203</v>
      </c>
      <c r="AK125" s="14" t="s">
        <v>148</v>
      </c>
      <c r="AL125" s="14" t="s">
        <v>148</v>
      </c>
      <c r="AM125" s="14" t="s">
        <v>148</v>
      </c>
      <c r="AN125" s="13" t="e">
        <f>#REF!</f>
        <v>#REF!</v>
      </c>
      <c r="AO125" s="13" t="e">
        <f>#REF!</f>
        <v>#REF!</v>
      </c>
      <c r="AP125" s="13">
        <v>44258</v>
      </c>
      <c r="AQ125" s="14" t="s">
        <v>10</v>
      </c>
      <c r="AR125" s="14" t="s">
        <v>1</v>
      </c>
      <c r="AS125" s="14">
        <v>5</v>
      </c>
      <c r="AT125" s="14"/>
      <c r="AU125" s="15"/>
    </row>
    <row r="126" spans="1:47" ht="85.5">
      <c r="A126" s="9" t="s">
        <v>534</v>
      </c>
      <c r="B126" s="9"/>
      <c r="C126" s="9"/>
      <c r="D126" s="9" t="s">
        <v>276</v>
      </c>
      <c r="E126" s="10"/>
      <c r="F126" s="10" t="s">
        <v>184</v>
      </c>
      <c r="G126" s="10" t="s">
        <v>185</v>
      </c>
      <c r="H126" s="12" t="s">
        <v>535</v>
      </c>
      <c r="I126" s="11" t="s">
        <v>536</v>
      </c>
      <c r="J126" s="12"/>
      <c r="K126" s="12" t="s">
        <v>775</v>
      </c>
      <c r="L126" s="10" t="s">
        <v>178</v>
      </c>
      <c r="M126" s="11" t="s">
        <v>78</v>
      </c>
      <c r="N126" s="12">
        <v>44204</v>
      </c>
      <c r="O126" s="12" t="s">
        <v>72</v>
      </c>
      <c r="P126" s="10" t="s">
        <v>78</v>
      </c>
      <c r="Q126" s="12">
        <v>44204</v>
      </c>
      <c r="R126" s="12" t="s">
        <v>74</v>
      </c>
      <c r="S126" s="12" t="s">
        <v>78</v>
      </c>
      <c r="T126" s="12">
        <v>44204</v>
      </c>
      <c r="U126" s="9" t="s">
        <v>71</v>
      </c>
      <c r="V126" s="9" t="s">
        <v>71</v>
      </c>
      <c r="W126" s="13">
        <v>44204</v>
      </c>
      <c r="X126" s="14" t="s">
        <v>208</v>
      </c>
      <c r="Y126" s="14" t="s">
        <v>78</v>
      </c>
      <c r="Z126" s="14" t="s">
        <v>134</v>
      </c>
      <c r="AA126" s="13">
        <v>44204</v>
      </c>
      <c r="AB126" s="13">
        <v>44211</v>
      </c>
      <c r="AC126" s="14" t="s">
        <v>78</v>
      </c>
      <c r="AD126" s="13">
        <v>44225</v>
      </c>
      <c r="AE126" s="13">
        <v>44239</v>
      </c>
      <c r="AF126" s="14" t="s">
        <v>108</v>
      </c>
      <c r="AG126" s="14"/>
      <c r="AH126" s="14" t="s">
        <v>78</v>
      </c>
      <c r="AI126" s="14" t="s">
        <v>79</v>
      </c>
      <c r="AJ126" s="14" t="s">
        <v>203</v>
      </c>
      <c r="AK126" s="14" t="s">
        <v>148</v>
      </c>
      <c r="AL126" s="14" t="s">
        <v>148</v>
      </c>
      <c r="AM126" s="14" t="s">
        <v>148</v>
      </c>
      <c r="AN126" s="13" t="e">
        <f>#REF!</f>
        <v>#REF!</v>
      </c>
      <c r="AO126" s="13" t="e">
        <f>#REF!</f>
        <v>#REF!</v>
      </c>
      <c r="AP126" s="13">
        <v>44258</v>
      </c>
      <c r="AQ126" s="14" t="s">
        <v>10</v>
      </c>
      <c r="AR126" s="14" t="s">
        <v>1</v>
      </c>
      <c r="AS126" s="14">
        <v>8</v>
      </c>
      <c r="AT126" s="14"/>
      <c r="AU126" s="15"/>
    </row>
    <row r="127" spans="1:47" ht="57">
      <c r="A127" s="9" t="s">
        <v>537</v>
      </c>
      <c r="B127" s="9"/>
      <c r="C127" s="9"/>
      <c r="D127" s="9" t="s">
        <v>276</v>
      </c>
      <c r="E127" s="10"/>
      <c r="F127" s="10" t="s">
        <v>184</v>
      </c>
      <c r="G127" s="10" t="s">
        <v>185</v>
      </c>
      <c r="H127" s="12" t="s">
        <v>538</v>
      </c>
      <c r="I127" s="11" t="s">
        <v>539</v>
      </c>
      <c r="J127" s="12"/>
      <c r="K127" s="12" t="s">
        <v>775</v>
      </c>
      <c r="L127" s="10" t="s">
        <v>178</v>
      </c>
      <c r="M127" s="11" t="s">
        <v>78</v>
      </c>
      <c r="N127" s="12">
        <v>44204</v>
      </c>
      <c r="O127" s="12" t="s">
        <v>72</v>
      </c>
      <c r="P127" s="10" t="s">
        <v>78</v>
      </c>
      <c r="Q127" s="12">
        <v>44204</v>
      </c>
      <c r="R127" s="12" t="s">
        <v>74</v>
      </c>
      <c r="S127" s="12" t="s">
        <v>78</v>
      </c>
      <c r="T127" s="12">
        <v>44204</v>
      </c>
      <c r="U127" s="9" t="s">
        <v>71</v>
      </c>
      <c r="V127" s="9" t="s">
        <v>71</v>
      </c>
      <c r="W127" s="13">
        <v>44204</v>
      </c>
      <c r="X127" s="14" t="s">
        <v>208</v>
      </c>
      <c r="Y127" s="14" t="s">
        <v>78</v>
      </c>
      <c r="Z127" s="14" t="s">
        <v>134</v>
      </c>
      <c r="AA127" s="13">
        <v>44204</v>
      </c>
      <c r="AB127" s="13">
        <v>44211</v>
      </c>
      <c r="AC127" s="14" t="s">
        <v>78</v>
      </c>
      <c r="AD127" s="13">
        <v>44225</v>
      </c>
      <c r="AE127" s="13">
        <v>44239</v>
      </c>
      <c r="AF127" s="14" t="s">
        <v>108</v>
      </c>
      <c r="AG127" s="14"/>
      <c r="AH127" s="14" t="s">
        <v>78</v>
      </c>
      <c r="AI127" s="14" t="s">
        <v>79</v>
      </c>
      <c r="AJ127" s="14" t="s">
        <v>203</v>
      </c>
      <c r="AK127" s="14" t="s">
        <v>148</v>
      </c>
      <c r="AL127" s="14" t="s">
        <v>148</v>
      </c>
      <c r="AM127" s="14" t="s">
        <v>148</v>
      </c>
      <c r="AN127" s="13" t="e">
        <f>#REF!</f>
        <v>#REF!</v>
      </c>
      <c r="AO127" s="13" t="e">
        <f>#REF!</f>
        <v>#REF!</v>
      </c>
      <c r="AP127" s="13">
        <v>44258</v>
      </c>
      <c r="AQ127" s="14" t="s">
        <v>10</v>
      </c>
      <c r="AR127" s="14" t="s">
        <v>1</v>
      </c>
      <c r="AS127" s="14">
        <v>12</v>
      </c>
      <c r="AT127" s="14"/>
      <c r="AU127" s="15"/>
    </row>
    <row r="128" spans="1:47" ht="42.75">
      <c r="A128" s="9" t="s">
        <v>540</v>
      </c>
      <c r="B128" s="9"/>
      <c r="C128" s="17"/>
      <c r="D128" s="9" t="s">
        <v>276</v>
      </c>
      <c r="E128" s="10"/>
      <c r="F128" s="10" t="s">
        <v>184</v>
      </c>
      <c r="G128" s="10" t="s">
        <v>185</v>
      </c>
      <c r="H128" s="12" t="s">
        <v>541</v>
      </c>
      <c r="I128" s="11" t="s">
        <v>542</v>
      </c>
      <c r="J128" s="12"/>
      <c r="K128" s="12" t="s">
        <v>775</v>
      </c>
      <c r="L128" s="12" t="s">
        <v>178</v>
      </c>
      <c r="M128" s="11" t="s">
        <v>78</v>
      </c>
      <c r="N128" s="12">
        <v>44204</v>
      </c>
      <c r="O128" s="12" t="s">
        <v>72</v>
      </c>
      <c r="P128" s="10" t="s">
        <v>78</v>
      </c>
      <c r="Q128" s="12">
        <v>44204</v>
      </c>
      <c r="R128" s="12" t="s">
        <v>74</v>
      </c>
      <c r="S128" s="12" t="s">
        <v>78</v>
      </c>
      <c r="T128" s="12">
        <v>44204</v>
      </c>
      <c r="U128" s="9" t="s">
        <v>71</v>
      </c>
      <c r="V128" s="9" t="s">
        <v>71</v>
      </c>
      <c r="W128" s="13">
        <v>44204</v>
      </c>
      <c r="X128" s="14" t="s">
        <v>208</v>
      </c>
      <c r="Y128" s="14" t="s">
        <v>78</v>
      </c>
      <c r="Z128" s="14" t="s">
        <v>134</v>
      </c>
      <c r="AA128" s="13">
        <v>44204</v>
      </c>
      <c r="AB128" s="13">
        <v>44211</v>
      </c>
      <c r="AC128" s="14" t="s">
        <v>78</v>
      </c>
      <c r="AD128" s="13">
        <v>44225</v>
      </c>
      <c r="AE128" s="13">
        <v>44239</v>
      </c>
      <c r="AF128" s="14" t="s">
        <v>108</v>
      </c>
      <c r="AG128" s="14"/>
      <c r="AH128" s="14" t="s">
        <v>78</v>
      </c>
      <c r="AI128" s="14" t="s">
        <v>79</v>
      </c>
      <c r="AJ128" s="14" t="s">
        <v>203</v>
      </c>
      <c r="AK128" s="14" t="s">
        <v>148</v>
      </c>
      <c r="AL128" s="14" t="s">
        <v>148</v>
      </c>
      <c r="AM128" s="14" t="s">
        <v>148</v>
      </c>
      <c r="AN128" s="13" t="e">
        <f>#REF!</f>
        <v>#REF!</v>
      </c>
      <c r="AO128" s="13" t="e">
        <f>#REF!</f>
        <v>#REF!</v>
      </c>
      <c r="AP128" s="13">
        <v>44258</v>
      </c>
      <c r="AQ128" s="14" t="s">
        <v>10</v>
      </c>
      <c r="AR128" s="14" t="s">
        <v>1</v>
      </c>
      <c r="AS128" s="14">
        <v>8</v>
      </c>
      <c r="AT128" s="14"/>
      <c r="AU128" s="15"/>
    </row>
    <row r="129" spans="1:47" ht="57">
      <c r="A129" s="10" t="s">
        <v>543</v>
      </c>
      <c r="B129" s="10"/>
      <c r="C129" s="10"/>
      <c r="D129" s="10" t="s">
        <v>276</v>
      </c>
      <c r="E129" s="10"/>
      <c r="F129" s="10" t="s">
        <v>184</v>
      </c>
      <c r="G129" s="10" t="s">
        <v>185</v>
      </c>
      <c r="H129" s="12" t="s">
        <v>544</v>
      </c>
      <c r="I129" s="11" t="s">
        <v>545</v>
      </c>
      <c r="J129" s="12"/>
      <c r="K129" s="12" t="s">
        <v>775</v>
      </c>
      <c r="L129" s="12" t="s">
        <v>178</v>
      </c>
      <c r="M129" s="11" t="s">
        <v>78</v>
      </c>
      <c r="N129" s="12">
        <v>44204</v>
      </c>
      <c r="O129" s="12" t="s">
        <v>72</v>
      </c>
      <c r="P129" s="9" t="s">
        <v>78</v>
      </c>
      <c r="Q129" s="12">
        <v>44204</v>
      </c>
      <c r="R129" s="12" t="s">
        <v>74</v>
      </c>
      <c r="S129" s="12" t="s">
        <v>78</v>
      </c>
      <c r="T129" s="12">
        <v>44204</v>
      </c>
      <c r="U129" s="9" t="s">
        <v>71</v>
      </c>
      <c r="V129" s="9" t="s">
        <v>71</v>
      </c>
      <c r="W129" s="13">
        <v>44204</v>
      </c>
      <c r="X129" s="14" t="s">
        <v>208</v>
      </c>
      <c r="Y129" s="14" t="s">
        <v>78</v>
      </c>
      <c r="Z129" s="14" t="s">
        <v>134</v>
      </c>
      <c r="AA129" s="13">
        <v>44204</v>
      </c>
      <c r="AB129" s="13">
        <v>44211</v>
      </c>
      <c r="AC129" s="14" t="s">
        <v>78</v>
      </c>
      <c r="AD129" s="13">
        <v>44225</v>
      </c>
      <c r="AE129" s="13">
        <v>44239</v>
      </c>
      <c r="AF129" s="14" t="s">
        <v>108</v>
      </c>
      <c r="AG129" s="14"/>
      <c r="AH129" s="14" t="s">
        <v>78</v>
      </c>
      <c r="AI129" s="14" t="s">
        <v>79</v>
      </c>
      <c r="AJ129" s="14" t="s">
        <v>203</v>
      </c>
      <c r="AK129" s="14" t="s">
        <v>148</v>
      </c>
      <c r="AL129" s="14" t="s">
        <v>148</v>
      </c>
      <c r="AM129" s="14" t="s">
        <v>148</v>
      </c>
      <c r="AN129" s="13" t="e">
        <f>#REF!</f>
        <v>#REF!</v>
      </c>
      <c r="AO129" s="13" t="e">
        <f>#REF!</f>
        <v>#REF!</v>
      </c>
      <c r="AP129" s="13">
        <v>44258</v>
      </c>
      <c r="AQ129" s="14" t="s">
        <v>10</v>
      </c>
      <c r="AR129" s="14" t="s">
        <v>1</v>
      </c>
      <c r="AS129" s="14">
        <v>6</v>
      </c>
      <c r="AT129" s="14"/>
      <c r="AU129" s="15"/>
    </row>
    <row r="130" spans="1:47" ht="42.75">
      <c r="A130" s="10" t="s">
        <v>552</v>
      </c>
      <c r="B130" s="10"/>
      <c r="C130" s="10" t="s">
        <v>62</v>
      </c>
      <c r="D130" s="10" t="s">
        <v>63</v>
      </c>
      <c r="E130" s="10"/>
      <c r="F130" s="10" t="s">
        <v>184</v>
      </c>
      <c r="G130" s="10" t="s">
        <v>486</v>
      </c>
      <c r="H130" s="12" t="s">
        <v>553</v>
      </c>
      <c r="I130" s="11" t="s">
        <v>554</v>
      </c>
      <c r="J130" s="12"/>
      <c r="K130" s="12" t="s">
        <v>70</v>
      </c>
      <c r="L130" s="12" t="s">
        <v>178</v>
      </c>
      <c r="M130" s="11" t="s">
        <v>78</v>
      </c>
      <c r="N130" s="12">
        <v>44204</v>
      </c>
      <c r="O130" s="12" t="s">
        <v>72</v>
      </c>
      <c r="P130" s="9" t="s">
        <v>78</v>
      </c>
      <c r="Q130" s="12">
        <v>44204</v>
      </c>
      <c r="R130" s="12" t="s">
        <v>74</v>
      </c>
      <c r="S130" s="12" t="s">
        <v>78</v>
      </c>
      <c r="T130" s="12">
        <v>44204</v>
      </c>
      <c r="U130" s="9" t="s">
        <v>71</v>
      </c>
      <c r="V130" s="9" t="s">
        <v>71</v>
      </c>
      <c r="W130" s="13">
        <v>44204</v>
      </c>
      <c r="X130" s="14" t="s">
        <v>62</v>
      </c>
      <c r="Y130" s="14" t="s">
        <v>78</v>
      </c>
      <c r="Z130" s="14" t="s">
        <v>77</v>
      </c>
      <c r="AA130" s="13" t="s">
        <v>84</v>
      </c>
      <c r="AB130" s="13">
        <v>44211</v>
      </c>
      <c r="AC130" s="14" t="s">
        <v>78</v>
      </c>
      <c r="AD130" s="13">
        <v>44225</v>
      </c>
      <c r="AE130" s="13">
        <v>44239</v>
      </c>
      <c r="AF130" s="14" t="s">
        <v>108</v>
      </c>
      <c r="AG130" s="14"/>
      <c r="AH130" s="14" t="s">
        <v>78</v>
      </c>
      <c r="AI130" s="14" t="s">
        <v>79</v>
      </c>
      <c r="AJ130" s="14" t="s">
        <v>80</v>
      </c>
      <c r="AK130" s="14" t="s">
        <v>148</v>
      </c>
      <c r="AL130" s="14" t="s">
        <v>88</v>
      </c>
      <c r="AM130" s="14" t="s">
        <v>148</v>
      </c>
      <c r="AN130" s="13" t="e">
        <f>#REF!</f>
        <v>#REF!</v>
      </c>
      <c r="AO130" s="13" t="e">
        <f>#REF!</f>
        <v>#REF!</v>
      </c>
      <c r="AP130" s="13">
        <v>44258</v>
      </c>
      <c r="AQ130" s="14" t="s">
        <v>10</v>
      </c>
      <c r="AR130" s="14" t="s">
        <v>2</v>
      </c>
      <c r="AS130" s="14">
        <v>8</v>
      </c>
      <c r="AT130" s="14" t="s">
        <v>555</v>
      </c>
      <c r="AU130" s="15"/>
    </row>
    <row r="131" spans="1:47" ht="99.75">
      <c r="A131" s="10" t="s">
        <v>558</v>
      </c>
      <c r="B131" s="10"/>
      <c r="C131" s="10" t="s">
        <v>62</v>
      </c>
      <c r="D131" s="10" t="s">
        <v>63</v>
      </c>
      <c r="E131" s="10"/>
      <c r="F131" s="10" t="s">
        <v>129</v>
      </c>
      <c r="G131" s="10" t="s">
        <v>261</v>
      </c>
      <c r="H131" s="12" t="s">
        <v>559</v>
      </c>
      <c r="I131" s="11" t="s">
        <v>560</v>
      </c>
      <c r="J131" s="12"/>
      <c r="K131" s="12" t="s">
        <v>70</v>
      </c>
      <c r="L131" s="11" t="s">
        <v>71</v>
      </c>
      <c r="M131" s="11" t="s">
        <v>71</v>
      </c>
      <c r="N131" s="12">
        <v>44204</v>
      </c>
      <c r="O131" s="12" t="s">
        <v>72</v>
      </c>
      <c r="P131" s="9" t="s">
        <v>78</v>
      </c>
      <c r="Q131" s="12">
        <v>44204</v>
      </c>
      <c r="R131" s="12" t="s">
        <v>74</v>
      </c>
      <c r="S131" s="12" t="s">
        <v>78</v>
      </c>
      <c r="T131" s="12">
        <v>44204</v>
      </c>
      <c r="U131" s="9" t="s">
        <v>71</v>
      </c>
      <c r="V131" s="9" t="s">
        <v>71</v>
      </c>
      <c r="W131" s="13">
        <v>44204</v>
      </c>
      <c r="X131" s="14" t="s">
        <v>62</v>
      </c>
      <c r="Y131" s="14" t="s">
        <v>78</v>
      </c>
      <c r="Z131" s="14" t="s">
        <v>77</v>
      </c>
      <c r="AA131" s="13" t="s">
        <v>84</v>
      </c>
      <c r="AB131" s="13">
        <v>44211</v>
      </c>
      <c r="AC131" s="14" t="s">
        <v>78</v>
      </c>
      <c r="AD131" s="13">
        <v>44225</v>
      </c>
      <c r="AE131" s="13">
        <v>44239</v>
      </c>
      <c r="AF131" s="14" t="s">
        <v>108</v>
      </c>
      <c r="AG131" s="14"/>
      <c r="AH131" s="14" t="s">
        <v>78</v>
      </c>
      <c r="AI131" s="14" t="s">
        <v>79</v>
      </c>
      <c r="AJ131" s="14" t="s">
        <v>80</v>
      </c>
      <c r="AK131" s="14" t="s">
        <v>259</v>
      </c>
      <c r="AL131" s="14" t="s">
        <v>11</v>
      </c>
      <c r="AM131" s="14" t="s">
        <v>148</v>
      </c>
      <c r="AN131" s="13" t="e">
        <f>#REF!</f>
        <v>#REF!</v>
      </c>
      <c r="AO131" s="13" t="e">
        <f>#REF!</f>
        <v>#REF!</v>
      </c>
      <c r="AP131" s="13">
        <v>44258</v>
      </c>
      <c r="AQ131" s="14" t="s">
        <v>10</v>
      </c>
      <c r="AR131" s="14" t="s">
        <v>1</v>
      </c>
      <c r="AS131" s="14">
        <v>8</v>
      </c>
      <c r="AT131" s="14"/>
      <c r="AU131" s="15"/>
    </row>
    <row r="132" spans="1:47" ht="128.25">
      <c r="A132" s="9" t="s">
        <v>564</v>
      </c>
      <c r="B132" s="9"/>
      <c r="C132" s="9" t="s">
        <v>62</v>
      </c>
      <c r="D132" s="10" t="s">
        <v>63</v>
      </c>
      <c r="E132" s="10"/>
      <c r="F132" s="10" t="s">
        <v>129</v>
      </c>
      <c r="G132" s="10" t="s">
        <v>261</v>
      </c>
      <c r="H132" s="12" t="s">
        <v>565</v>
      </c>
      <c r="I132" s="11" t="s">
        <v>566</v>
      </c>
      <c r="J132" s="12"/>
      <c r="K132" s="12" t="s">
        <v>70</v>
      </c>
      <c r="L132" s="11" t="s">
        <v>71</v>
      </c>
      <c r="M132" s="11" t="s">
        <v>71</v>
      </c>
      <c r="N132" s="12">
        <v>44204</v>
      </c>
      <c r="O132" s="12" t="s">
        <v>72</v>
      </c>
      <c r="P132" s="10" t="s">
        <v>78</v>
      </c>
      <c r="Q132" s="12">
        <v>44204</v>
      </c>
      <c r="R132" s="12" t="s">
        <v>74</v>
      </c>
      <c r="S132" s="12" t="s">
        <v>78</v>
      </c>
      <c r="T132" s="12">
        <v>44204</v>
      </c>
      <c r="U132" s="9" t="s">
        <v>71</v>
      </c>
      <c r="V132" s="9" t="s">
        <v>71</v>
      </c>
      <c r="W132" s="13">
        <v>44204</v>
      </c>
      <c r="X132" s="14" t="s">
        <v>62</v>
      </c>
      <c r="Y132" s="14" t="s">
        <v>78</v>
      </c>
      <c r="Z132" s="14" t="s">
        <v>77</v>
      </c>
      <c r="AA132" s="13" t="s">
        <v>84</v>
      </c>
      <c r="AB132" s="13">
        <v>44211</v>
      </c>
      <c r="AC132" s="14" t="s">
        <v>78</v>
      </c>
      <c r="AD132" s="13">
        <v>44225</v>
      </c>
      <c r="AE132" s="13">
        <v>44239</v>
      </c>
      <c r="AF132" s="14" t="s">
        <v>108</v>
      </c>
      <c r="AG132" s="14"/>
      <c r="AH132" s="14" t="s">
        <v>78</v>
      </c>
      <c r="AI132" s="14" t="s">
        <v>79</v>
      </c>
      <c r="AJ132" s="14" t="s">
        <v>80</v>
      </c>
      <c r="AK132" s="14" t="s">
        <v>259</v>
      </c>
      <c r="AL132" s="14" t="s">
        <v>11</v>
      </c>
      <c r="AM132" s="14" t="s">
        <v>148</v>
      </c>
      <c r="AN132" s="13" t="e">
        <f>#REF!</f>
        <v>#REF!</v>
      </c>
      <c r="AO132" s="13" t="e">
        <f>#REF!</f>
        <v>#REF!</v>
      </c>
      <c r="AP132" s="13">
        <v>44258</v>
      </c>
      <c r="AQ132" s="14" t="s">
        <v>10</v>
      </c>
      <c r="AR132" s="14" t="s">
        <v>1</v>
      </c>
      <c r="AS132" s="14">
        <v>12</v>
      </c>
      <c r="AT132" s="14"/>
      <c r="AU132" s="15"/>
    </row>
    <row r="133" spans="1:47" ht="57">
      <c r="A133" s="9" t="s">
        <v>567</v>
      </c>
      <c r="B133" s="9"/>
      <c r="C133" s="9" t="s">
        <v>62</v>
      </c>
      <c r="D133" s="10" t="s">
        <v>63</v>
      </c>
      <c r="E133" s="10"/>
      <c r="F133" s="10" t="s">
        <v>129</v>
      </c>
      <c r="G133" s="10" t="s">
        <v>568</v>
      </c>
      <c r="H133" s="12" t="s">
        <v>569</v>
      </c>
      <c r="I133" s="11" t="s">
        <v>570</v>
      </c>
      <c r="J133" s="12"/>
      <c r="K133" s="12" t="s">
        <v>70</v>
      </c>
      <c r="L133" s="11" t="s">
        <v>71</v>
      </c>
      <c r="M133" s="11" t="s">
        <v>71</v>
      </c>
      <c r="N133" s="12">
        <v>44204</v>
      </c>
      <c r="O133" s="12" t="s">
        <v>72</v>
      </c>
      <c r="P133" s="9" t="s">
        <v>78</v>
      </c>
      <c r="Q133" s="12">
        <v>44204</v>
      </c>
      <c r="R133" s="12" t="s">
        <v>74</v>
      </c>
      <c r="S133" s="12" t="s">
        <v>78</v>
      </c>
      <c r="T133" s="12">
        <v>44204</v>
      </c>
      <c r="U133" s="9" t="s">
        <v>71</v>
      </c>
      <c r="V133" s="9" t="s">
        <v>71</v>
      </c>
      <c r="W133" s="13">
        <v>44204</v>
      </c>
      <c r="X133" s="14" t="s">
        <v>62</v>
      </c>
      <c r="Y133" s="14" t="s">
        <v>78</v>
      </c>
      <c r="Z133" s="14" t="s">
        <v>77</v>
      </c>
      <c r="AA133" s="13" t="s">
        <v>84</v>
      </c>
      <c r="AB133" s="13">
        <v>44211</v>
      </c>
      <c r="AC133" s="14" t="s">
        <v>78</v>
      </c>
      <c r="AD133" s="13">
        <v>44225</v>
      </c>
      <c r="AE133" s="13">
        <v>44239</v>
      </c>
      <c r="AF133" s="14" t="s">
        <v>108</v>
      </c>
      <c r="AG133" s="14"/>
      <c r="AH133" s="14" t="s">
        <v>78</v>
      </c>
      <c r="AI133" s="14" t="s">
        <v>79</v>
      </c>
      <c r="AJ133" s="14" t="s">
        <v>80</v>
      </c>
      <c r="AK133" s="14" t="s">
        <v>259</v>
      </c>
      <c r="AL133" s="14" t="s">
        <v>11</v>
      </c>
      <c r="AM133" s="14" t="s">
        <v>148</v>
      </c>
      <c r="AN133" s="13" t="e">
        <f>#REF!</f>
        <v>#REF!</v>
      </c>
      <c r="AO133" s="13" t="e">
        <f>#REF!</f>
        <v>#REF!</v>
      </c>
      <c r="AP133" s="13">
        <v>44258</v>
      </c>
      <c r="AQ133" s="14" t="s">
        <v>10</v>
      </c>
      <c r="AR133" s="14" t="s">
        <v>2</v>
      </c>
      <c r="AS133" s="14">
        <v>4</v>
      </c>
      <c r="AT133" s="14"/>
      <c r="AU133" s="15"/>
    </row>
    <row r="134" spans="1:47" ht="128.25">
      <c r="A134" s="9" t="s">
        <v>590</v>
      </c>
      <c r="B134" s="9"/>
      <c r="C134" s="9"/>
      <c r="D134" s="9" t="s">
        <v>276</v>
      </c>
      <c r="E134" s="10"/>
      <c r="F134" s="10" t="s">
        <v>184</v>
      </c>
      <c r="G134" s="10" t="s">
        <v>185</v>
      </c>
      <c r="H134" s="12" t="s">
        <v>591</v>
      </c>
      <c r="I134" s="11" t="s">
        <v>592</v>
      </c>
      <c r="J134" s="12"/>
      <c r="K134" s="12" t="s">
        <v>775</v>
      </c>
      <c r="L134" s="11" t="s">
        <v>178</v>
      </c>
      <c r="M134" s="11" t="s">
        <v>78</v>
      </c>
      <c r="N134" s="12">
        <v>44204</v>
      </c>
      <c r="O134" s="12" t="s">
        <v>72</v>
      </c>
      <c r="P134" s="9" t="s">
        <v>78</v>
      </c>
      <c r="Q134" s="12">
        <v>44204</v>
      </c>
      <c r="R134" s="12" t="s">
        <v>74</v>
      </c>
      <c r="S134" s="12" t="s">
        <v>78</v>
      </c>
      <c r="T134" s="12">
        <v>44204</v>
      </c>
      <c r="U134" s="9" t="s">
        <v>71</v>
      </c>
      <c r="V134" s="9" t="s">
        <v>71</v>
      </c>
      <c r="W134" s="13">
        <v>44204</v>
      </c>
      <c r="X134" s="14" t="s">
        <v>208</v>
      </c>
      <c r="Y134" s="14" t="s">
        <v>78</v>
      </c>
      <c r="Z134" s="14" t="s">
        <v>134</v>
      </c>
      <c r="AA134" s="13">
        <v>44204</v>
      </c>
      <c r="AB134" s="13">
        <v>44211</v>
      </c>
      <c r="AC134" s="14" t="s">
        <v>78</v>
      </c>
      <c r="AD134" s="13">
        <v>44225</v>
      </c>
      <c r="AE134" s="13">
        <v>44239</v>
      </c>
      <c r="AF134" s="14" t="s">
        <v>108</v>
      </c>
      <c r="AG134" s="14"/>
      <c r="AH134" s="14" t="s">
        <v>78</v>
      </c>
      <c r="AI134" s="14" t="s">
        <v>79</v>
      </c>
      <c r="AJ134" s="14" t="s">
        <v>203</v>
      </c>
      <c r="AK134" s="14" t="s">
        <v>259</v>
      </c>
      <c r="AL134" s="14" t="s">
        <v>148</v>
      </c>
      <c r="AM134" s="14" t="s">
        <v>148</v>
      </c>
      <c r="AN134" s="13" t="e">
        <f>#REF!</f>
        <v>#REF!</v>
      </c>
      <c r="AO134" s="13" t="e">
        <f>#REF!</f>
        <v>#REF!</v>
      </c>
      <c r="AP134" s="13">
        <v>44258</v>
      </c>
      <c r="AQ134" s="14" t="s">
        <v>10</v>
      </c>
      <c r="AR134" s="14" t="s">
        <v>1</v>
      </c>
      <c r="AS134" s="14">
        <v>15</v>
      </c>
      <c r="AT134" s="14"/>
      <c r="AU134" s="15"/>
    </row>
    <row r="135" spans="1:47" ht="42.75">
      <c r="A135" s="10" t="s">
        <v>678</v>
      </c>
      <c r="B135" s="10"/>
      <c r="C135" s="10"/>
      <c r="D135" s="10" t="s">
        <v>183</v>
      </c>
      <c r="E135" s="10"/>
      <c r="F135" s="10" t="s">
        <v>184</v>
      </c>
      <c r="G135" s="10" t="s">
        <v>486</v>
      </c>
      <c r="H135" s="11" t="s">
        <v>679</v>
      </c>
      <c r="I135" s="11" t="s">
        <v>680</v>
      </c>
      <c r="J135" s="18" t="s">
        <v>71</v>
      </c>
      <c r="K135" s="12" t="s">
        <v>229</v>
      </c>
      <c r="L135" s="11" t="s">
        <v>178</v>
      </c>
      <c r="M135" s="11" t="s">
        <v>78</v>
      </c>
      <c r="N135" s="12">
        <v>44204</v>
      </c>
      <c r="O135" s="12" t="s">
        <v>72</v>
      </c>
      <c r="P135" s="9" t="s">
        <v>78</v>
      </c>
      <c r="Q135" s="12">
        <v>44204</v>
      </c>
      <c r="R135" s="12" t="s">
        <v>74</v>
      </c>
      <c r="S135" s="12" t="s">
        <v>78</v>
      </c>
      <c r="T135" s="12">
        <v>44204</v>
      </c>
      <c r="U135" s="9" t="s">
        <v>188</v>
      </c>
      <c r="V135" s="9" t="s">
        <v>78</v>
      </c>
      <c r="W135" s="13">
        <v>44204</v>
      </c>
      <c r="X135" s="14" t="s">
        <v>389</v>
      </c>
      <c r="Y135" s="14" t="s">
        <v>78</v>
      </c>
      <c r="Z135" s="14" t="s">
        <v>134</v>
      </c>
      <c r="AA135" s="13">
        <v>44204</v>
      </c>
      <c r="AB135" s="13">
        <v>44211</v>
      </c>
      <c r="AC135" s="14" t="s">
        <v>78</v>
      </c>
      <c r="AD135" s="13">
        <v>44225</v>
      </c>
      <c r="AE135" s="13">
        <v>44239</v>
      </c>
      <c r="AF135" s="14" t="s">
        <v>108</v>
      </c>
      <c r="AG135" s="14"/>
      <c r="AH135" s="14" t="s">
        <v>78</v>
      </c>
      <c r="AI135" s="14" t="s">
        <v>190</v>
      </c>
      <c r="AJ135" s="14" t="s">
        <v>6</v>
      </c>
      <c r="AK135" s="14" t="s">
        <v>7</v>
      </c>
      <c r="AL135" s="14" t="s">
        <v>9</v>
      </c>
      <c r="AM135" s="14" t="s">
        <v>148</v>
      </c>
      <c r="AN135" s="13" t="e">
        <f>#REF!</f>
        <v>#REF!</v>
      </c>
      <c r="AO135" s="13" t="e">
        <f>#REF!</f>
        <v>#REF!</v>
      </c>
      <c r="AP135" s="13">
        <v>44258</v>
      </c>
      <c r="AQ135" s="14" t="s">
        <v>6</v>
      </c>
      <c r="AR135" s="14" t="s">
        <v>4</v>
      </c>
      <c r="AS135" s="14">
        <v>3</v>
      </c>
      <c r="AT135" s="14"/>
      <c r="AU135" s="15"/>
    </row>
    <row r="136" spans="1:47" ht="57">
      <c r="A136" s="9" t="s">
        <v>685</v>
      </c>
      <c r="B136" s="9"/>
      <c r="C136" s="9" t="s">
        <v>62</v>
      </c>
      <c r="D136" s="9" t="s">
        <v>63</v>
      </c>
      <c r="E136" s="10"/>
      <c r="F136" s="10" t="s">
        <v>231</v>
      </c>
      <c r="G136" s="10" t="s">
        <v>232</v>
      </c>
      <c r="H136" s="9" t="s">
        <v>686</v>
      </c>
      <c r="I136" s="10" t="s">
        <v>776</v>
      </c>
      <c r="J136" s="9"/>
      <c r="K136" s="9" t="s">
        <v>70</v>
      </c>
      <c r="L136" s="9" t="s">
        <v>178</v>
      </c>
      <c r="M136" s="9" t="s">
        <v>78</v>
      </c>
      <c r="N136" s="9">
        <v>44204</v>
      </c>
      <c r="O136" s="9" t="s">
        <v>72</v>
      </c>
      <c r="P136" s="9" t="s">
        <v>78</v>
      </c>
      <c r="Q136" s="12">
        <v>44204</v>
      </c>
      <c r="R136" s="9" t="s">
        <v>74</v>
      </c>
      <c r="S136" s="9" t="s">
        <v>78</v>
      </c>
      <c r="T136" s="9">
        <v>44204</v>
      </c>
      <c r="U136" s="9" t="s">
        <v>71</v>
      </c>
      <c r="V136" s="9" t="s">
        <v>71</v>
      </c>
      <c r="W136" s="13">
        <v>44204</v>
      </c>
      <c r="X136" s="14" t="s">
        <v>62</v>
      </c>
      <c r="Y136" s="14" t="s">
        <v>78</v>
      </c>
      <c r="Z136" s="14" t="s">
        <v>77</v>
      </c>
      <c r="AA136" s="13" t="s">
        <v>84</v>
      </c>
      <c r="AB136" s="13">
        <v>44211</v>
      </c>
      <c r="AC136" s="14" t="s">
        <v>78</v>
      </c>
      <c r="AD136" s="13">
        <v>44225</v>
      </c>
      <c r="AE136" s="13">
        <v>44239</v>
      </c>
      <c r="AF136" s="14" t="s">
        <v>108</v>
      </c>
      <c r="AG136" s="14" t="s">
        <v>687</v>
      </c>
      <c r="AH136" s="14" t="s">
        <v>78</v>
      </c>
      <c r="AI136" s="14" t="s">
        <v>79</v>
      </c>
      <c r="AJ136" s="14" t="s">
        <v>80</v>
      </c>
      <c r="AK136" s="14" t="s">
        <v>7</v>
      </c>
      <c r="AL136" s="14" t="s">
        <v>148</v>
      </c>
      <c r="AM136" s="14" t="s">
        <v>148</v>
      </c>
      <c r="AN136" s="13" t="e">
        <f>#REF!</f>
        <v>#REF!</v>
      </c>
      <c r="AO136" s="13" t="e">
        <f>#REF!</f>
        <v>#REF!</v>
      </c>
      <c r="AP136" s="13">
        <v>44258</v>
      </c>
      <c r="AQ136" s="14" t="s">
        <v>10</v>
      </c>
      <c r="AR136" s="14" t="s">
        <v>1</v>
      </c>
      <c r="AS136" s="14">
        <v>15</v>
      </c>
      <c r="AT136" s="14"/>
      <c r="AU136" s="15"/>
    </row>
    <row r="137" spans="1:47">
      <c r="A137" s="9" t="s">
        <v>690</v>
      </c>
      <c r="B137" s="9"/>
      <c r="C137" s="9" t="s">
        <v>62</v>
      </c>
      <c r="D137" s="9" t="s">
        <v>63</v>
      </c>
      <c r="E137" s="10"/>
      <c r="F137" s="10" t="s">
        <v>231</v>
      </c>
      <c r="G137" s="10" t="s">
        <v>232</v>
      </c>
      <c r="H137" s="9" t="s">
        <v>691</v>
      </c>
      <c r="I137" s="10" t="s">
        <v>692</v>
      </c>
      <c r="J137" s="9"/>
      <c r="K137" s="9" t="s">
        <v>70</v>
      </c>
      <c r="L137" s="9" t="s">
        <v>71</v>
      </c>
      <c r="M137" s="9" t="s">
        <v>71</v>
      </c>
      <c r="N137" s="9">
        <v>44204</v>
      </c>
      <c r="O137" s="9" t="s">
        <v>72</v>
      </c>
      <c r="P137" s="9" t="s">
        <v>78</v>
      </c>
      <c r="Q137" s="12">
        <v>44204</v>
      </c>
      <c r="R137" s="9" t="s">
        <v>74</v>
      </c>
      <c r="S137" s="9" t="s">
        <v>78</v>
      </c>
      <c r="T137" s="9">
        <v>44204</v>
      </c>
      <c r="U137" s="9" t="s">
        <v>71</v>
      </c>
      <c r="V137" s="9" t="s">
        <v>71</v>
      </c>
      <c r="W137" s="13">
        <v>44204</v>
      </c>
      <c r="X137" s="14" t="s">
        <v>62</v>
      </c>
      <c r="Y137" s="14" t="s">
        <v>78</v>
      </c>
      <c r="Z137" s="14" t="s">
        <v>77</v>
      </c>
      <c r="AA137" s="13" t="s">
        <v>84</v>
      </c>
      <c r="AB137" s="13">
        <v>44211</v>
      </c>
      <c r="AC137" s="14" t="s">
        <v>78</v>
      </c>
      <c r="AD137" s="13">
        <v>44225</v>
      </c>
      <c r="AE137" s="13">
        <v>44239</v>
      </c>
      <c r="AF137" s="14" t="s">
        <v>108</v>
      </c>
      <c r="AG137" s="14"/>
      <c r="AH137" s="14" t="s">
        <v>78</v>
      </c>
      <c r="AI137" s="14" t="s">
        <v>79</v>
      </c>
      <c r="AJ137" s="14" t="s">
        <v>80</v>
      </c>
      <c r="AK137" s="14" t="s">
        <v>7</v>
      </c>
      <c r="AL137" s="14" t="s">
        <v>148</v>
      </c>
      <c r="AM137" s="14" t="s">
        <v>148</v>
      </c>
      <c r="AN137" s="13" t="e">
        <f>#REF!</f>
        <v>#REF!</v>
      </c>
      <c r="AO137" s="13" t="e">
        <f>#REF!</f>
        <v>#REF!</v>
      </c>
      <c r="AP137" s="13">
        <v>44258</v>
      </c>
      <c r="AQ137" s="14" t="s">
        <v>10</v>
      </c>
      <c r="AR137" s="14" t="s">
        <v>1</v>
      </c>
      <c r="AS137" s="14">
        <v>10</v>
      </c>
      <c r="AT137" s="14"/>
      <c r="AU137" s="15"/>
    </row>
    <row r="138" spans="1:47" ht="42.75">
      <c r="A138" s="9" t="s">
        <v>701</v>
      </c>
      <c r="B138" s="9"/>
      <c r="C138" s="9"/>
      <c r="D138" s="9" t="s">
        <v>183</v>
      </c>
      <c r="E138" s="10"/>
      <c r="F138" s="10" t="s">
        <v>220</v>
      </c>
      <c r="G138" s="10" t="s">
        <v>245</v>
      </c>
      <c r="H138" s="9" t="s">
        <v>702</v>
      </c>
      <c r="I138" s="10" t="s">
        <v>703</v>
      </c>
      <c r="J138" s="9" t="s">
        <v>71</v>
      </c>
      <c r="K138" s="9" t="s">
        <v>229</v>
      </c>
      <c r="L138" s="9" t="s">
        <v>178</v>
      </c>
      <c r="M138" s="9" t="s">
        <v>78</v>
      </c>
      <c r="N138" s="9">
        <v>44204</v>
      </c>
      <c r="O138" s="9" t="s">
        <v>72</v>
      </c>
      <c r="P138" s="9" t="s">
        <v>78</v>
      </c>
      <c r="Q138" s="12">
        <v>44204</v>
      </c>
      <c r="R138" s="9" t="s">
        <v>74</v>
      </c>
      <c r="S138" s="9" t="s">
        <v>78</v>
      </c>
      <c r="T138" s="9">
        <v>44204</v>
      </c>
      <c r="U138" s="9" t="s">
        <v>188</v>
      </c>
      <c r="V138" s="9" t="s">
        <v>78</v>
      </c>
      <c r="W138" s="13">
        <v>44204</v>
      </c>
      <c r="X138" s="14" t="s">
        <v>189</v>
      </c>
      <c r="Y138" s="14" t="s">
        <v>78</v>
      </c>
      <c r="Z138" s="14" t="s">
        <v>134</v>
      </c>
      <c r="AA138" s="13">
        <v>44204</v>
      </c>
      <c r="AB138" s="13">
        <v>44211</v>
      </c>
      <c r="AC138" s="14" t="s">
        <v>78</v>
      </c>
      <c r="AD138" s="13">
        <v>44225</v>
      </c>
      <c r="AE138" s="13">
        <v>44239</v>
      </c>
      <c r="AF138" s="14" t="s">
        <v>108</v>
      </c>
      <c r="AG138" s="14"/>
      <c r="AH138" s="14" t="s">
        <v>78</v>
      </c>
      <c r="AI138" s="14" t="s">
        <v>190</v>
      </c>
      <c r="AJ138" s="14" t="s">
        <v>6</v>
      </c>
      <c r="AK138" s="14"/>
      <c r="AL138" s="14" t="s">
        <v>16</v>
      </c>
      <c r="AM138" s="14" t="s">
        <v>148</v>
      </c>
      <c r="AN138" s="13" t="e">
        <f>#REF!</f>
        <v>#REF!</v>
      </c>
      <c r="AO138" s="13" t="e">
        <f>#REF!</f>
        <v>#REF!</v>
      </c>
      <c r="AP138" s="13">
        <v>44258</v>
      </c>
      <c r="AQ138" s="14" t="s">
        <v>6</v>
      </c>
      <c r="AR138" s="14" t="s">
        <v>3</v>
      </c>
      <c r="AS138" s="14">
        <v>20</v>
      </c>
      <c r="AT138" s="14"/>
      <c r="AU138" s="15"/>
    </row>
    <row r="139" spans="1:47" ht="299.25">
      <c r="A139" s="9" t="s">
        <v>704</v>
      </c>
      <c r="B139" s="9"/>
      <c r="C139" s="9"/>
      <c r="D139" s="9" t="s">
        <v>705</v>
      </c>
      <c r="E139" s="10"/>
      <c r="F139" s="10" t="s">
        <v>240</v>
      </c>
      <c r="G139" s="10" t="s">
        <v>706</v>
      </c>
      <c r="H139" s="9" t="s">
        <v>707</v>
      </c>
      <c r="I139" s="10" t="s">
        <v>708</v>
      </c>
      <c r="J139" s="9" t="s">
        <v>71</v>
      </c>
      <c r="K139" s="9" t="s">
        <v>229</v>
      </c>
      <c r="L139" s="9" t="s">
        <v>178</v>
      </c>
      <c r="M139" s="9" t="s">
        <v>78</v>
      </c>
      <c r="N139" s="9">
        <v>44204</v>
      </c>
      <c r="O139" s="9" t="s">
        <v>72</v>
      </c>
      <c r="P139" s="9" t="s">
        <v>78</v>
      </c>
      <c r="Q139" s="12">
        <v>44204</v>
      </c>
      <c r="R139" s="9" t="s">
        <v>74</v>
      </c>
      <c r="S139" s="9" t="s">
        <v>78</v>
      </c>
      <c r="T139" s="9">
        <v>44204</v>
      </c>
      <c r="U139" s="9" t="s">
        <v>188</v>
      </c>
      <c r="V139" s="9" t="s">
        <v>78</v>
      </c>
      <c r="W139" s="13">
        <v>44204</v>
      </c>
      <c r="X139" s="14" t="s">
        <v>389</v>
      </c>
      <c r="Y139" s="14" t="s">
        <v>78</v>
      </c>
      <c r="Z139" s="14" t="s">
        <v>134</v>
      </c>
      <c r="AA139" s="13">
        <v>44204</v>
      </c>
      <c r="AB139" s="13">
        <v>44211</v>
      </c>
      <c r="AC139" s="14" t="s">
        <v>78</v>
      </c>
      <c r="AD139" s="13">
        <v>44225</v>
      </c>
      <c r="AE139" s="13">
        <v>44239</v>
      </c>
      <c r="AF139" s="14" t="s">
        <v>108</v>
      </c>
      <c r="AG139" s="14"/>
      <c r="AH139" s="14" t="s">
        <v>78</v>
      </c>
      <c r="AI139" s="14" t="s">
        <v>190</v>
      </c>
      <c r="AJ139" s="14" t="s">
        <v>6</v>
      </c>
      <c r="AK139" s="14"/>
      <c r="AL139" s="14" t="s">
        <v>16</v>
      </c>
      <c r="AM139" s="14" t="s">
        <v>148</v>
      </c>
      <c r="AN139" s="13" t="e">
        <f>#REF!</f>
        <v>#REF!</v>
      </c>
      <c r="AO139" s="13" t="e">
        <f>#REF!</f>
        <v>#REF!</v>
      </c>
      <c r="AP139" s="13">
        <v>44258</v>
      </c>
      <c r="AQ139" s="14" t="s">
        <v>6</v>
      </c>
      <c r="AR139" s="14" t="s">
        <v>3</v>
      </c>
      <c r="AS139" s="14">
        <v>20</v>
      </c>
      <c r="AT139" s="14"/>
      <c r="AU139" s="15"/>
    </row>
    <row r="140" spans="1:47" ht="42.75">
      <c r="A140" s="9" t="s">
        <v>225</v>
      </c>
      <c r="B140" s="9"/>
      <c r="C140" s="9"/>
      <c r="D140" s="9" t="s">
        <v>183</v>
      </c>
      <c r="E140" s="10"/>
      <c r="F140" s="10" t="s">
        <v>184</v>
      </c>
      <c r="G140" s="10" t="s">
        <v>226</v>
      </c>
      <c r="H140" s="12" t="s">
        <v>227</v>
      </c>
      <c r="I140" s="11" t="s">
        <v>228</v>
      </c>
      <c r="J140" s="12" t="s">
        <v>71</v>
      </c>
      <c r="K140" s="12" t="s">
        <v>229</v>
      </c>
      <c r="L140" s="10" t="s">
        <v>178</v>
      </c>
      <c r="M140" s="11" t="s">
        <v>78</v>
      </c>
      <c r="N140" s="12">
        <v>44211</v>
      </c>
      <c r="O140" s="12" t="s">
        <v>72</v>
      </c>
      <c r="P140" s="10" t="s">
        <v>78</v>
      </c>
      <c r="Q140" s="12">
        <v>44211</v>
      </c>
      <c r="R140" s="12" t="s">
        <v>74</v>
      </c>
      <c r="S140" s="12" t="s">
        <v>78</v>
      </c>
      <c r="T140" s="12">
        <v>44211</v>
      </c>
      <c r="U140" s="9" t="s">
        <v>188</v>
      </c>
      <c r="V140" s="9" t="s">
        <v>78</v>
      </c>
      <c r="W140" s="13">
        <v>44211</v>
      </c>
      <c r="X140" s="14" t="s">
        <v>189</v>
      </c>
      <c r="Y140" s="14" t="s">
        <v>78</v>
      </c>
      <c r="Z140" s="14" t="s">
        <v>134</v>
      </c>
      <c r="AA140" s="13">
        <v>44214</v>
      </c>
      <c r="AB140" s="13">
        <v>44218</v>
      </c>
      <c r="AC140" s="14" t="s">
        <v>78</v>
      </c>
      <c r="AD140" s="13">
        <v>44232</v>
      </c>
      <c r="AE140" s="13">
        <v>44246</v>
      </c>
      <c r="AF140" s="14" t="s">
        <v>108</v>
      </c>
      <c r="AG140" s="14"/>
      <c r="AH140" s="14" t="s">
        <v>78</v>
      </c>
      <c r="AI140" s="14" t="s">
        <v>190</v>
      </c>
      <c r="AJ140" s="14" t="s">
        <v>6</v>
      </c>
      <c r="AK140" s="14" t="s">
        <v>9</v>
      </c>
      <c r="AL140" s="14" t="s">
        <v>7</v>
      </c>
      <c r="AM140" s="14" t="s">
        <v>259</v>
      </c>
      <c r="AN140" s="13" t="e">
        <f>#REF!</f>
        <v>#REF!</v>
      </c>
      <c r="AO140" s="13" t="e">
        <f>#REF!</f>
        <v>#REF!</v>
      </c>
      <c r="AP140" s="13">
        <v>44272</v>
      </c>
      <c r="AQ140" s="14" t="s">
        <v>6</v>
      </c>
      <c r="AR140" s="14" t="s">
        <v>3</v>
      </c>
      <c r="AS140" s="14">
        <v>150</v>
      </c>
      <c r="AT140" s="14"/>
      <c r="AU140" s="15"/>
    </row>
    <row r="141" spans="1:47" ht="42.75">
      <c r="A141" s="9" t="s">
        <v>247</v>
      </c>
      <c r="B141" s="9"/>
      <c r="C141" s="9"/>
      <c r="D141" s="9" t="s">
        <v>183</v>
      </c>
      <c r="E141" s="10"/>
      <c r="F141" s="10" t="s">
        <v>220</v>
      </c>
      <c r="G141" s="10" t="s">
        <v>248</v>
      </c>
      <c r="H141" s="12" t="s">
        <v>249</v>
      </c>
      <c r="I141" s="11" t="s">
        <v>250</v>
      </c>
      <c r="J141" s="12" t="s">
        <v>71</v>
      </c>
      <c r="K141" s="12" t="s">
        <v>229</v>
      </c>
      <c r="L141" s="10" t="s">
        <v>178</v>
      </c>
      <c r="M141" s="11" t="s">
        <v>78</v>
      </c>
      <c r="N141" s="12">
        <v>44211</v>
      </c>
      <c r="O141" s="12" t="s">
        <v>72</v>
      </c>
      <c r="P141" s="10" t="s">
        <v>78</v>
      </c>
      <c r="Q141" s="12">
        <v>44211</v>
      </c>
      <c r="R141" s="12" t="s">
        <v>74</v>
      </c>
      <c r="S141" s="12" t="s">
        <v>78</v>
      </c>
      <c r="T141" s="12">
        <v>44211</v>
      </c>
      <c r="U141" s="9" t="s">
        <v>188</v>
      </c>
      <c r="V141" s="9" t="s">
        <v>78</v>
      </c>
      <c r="W141" s="13">
        <v>44211</v>
      </c>
      <c r="X141" s="14" t="s">
        <v>189</v>
      </c>
      <c r="Y141" s="14" t="s">
        <v>78</v>
      </c>
      <c r="Z141" s="14" t="s">
        <v>134</v>
      </c>
      <c r="AA141" s="13">
        <v>44214</v>
      </c>
      <c r="AB141" s="13">
        <v>44218</v>
      </c>
      <c r="AC141" s="14" t="s">
        <v>78</v>
      </c>
      <c r="AD141" s="13">
        <v>44232</v>
      </c>
      <c r="AE141" s="13">
        <v>44246</v>
      </c>
      <c r="AF141" s="14" t="s">
        <v>108</v>
      </c>
      <c r="AG141" s="14"/>
      <c r="AH141" s="14" t="s">
        <v>78</v>
      </c>
      <c r="AI141" s="14" t="s">
        <v>190</v>
      </c>
      <c r="AJ141" s="14" t="s">
        <v>6</v>
      </c>
      <c r="AK141" s="14" t="s">
        <v>251</v>
      </c>
      <c r="AL141" s="14" t="s">
        <v>9</v>
      </c>
      <c r="AM141" s="14" t="s">
        <v>259</v>
      </c>
      <c r="AN141" s="13" t="e">
        <f>#REF!</f>
        <v>#REF!</v>
      </c>
      <c r="AO141" s="13" t="e">
        <f>#REF!</f>
        <v>#REF!</v>
      </c>
      <c r="AP141" s="13">
        <v>44272</v>
      </c>
      <c r="AQ141" s="14" t="s">
        <v>6</v>
      </c>
      <c r="AR141" s="14" t="s">
        <v>4</v>
      </c>
      <c r="AS141" s="14">
        <v>15</v>
      </c>
      <c r="AT141" s="14"/>
      <c r="AU141" s="15"/>
    </row>
    <row r="142" spans="1:47" ht="57">
      <c r="A142" s="9" t="s">
        <v>330</v>
      </c>
      <c r="B142" s="9"/>
      <c r="C142" s="9" t="s">
        <v>62</v>
      </c>
      <c r="D142" s="9" t="s">
        <v>331</v>
      </c>
      <c r="E142" s="10"/>
      <c r="F142" s="10" t="s">
        <v>743</v>
      </c>
      <c r="G142" s="10" t="s">
        <v>332</v>
      </c>
      <c r="H142" s="12" t="s">
        <v>777</v>
      </c>
      <c r="I142" s="11" t="s">
        <v>778</v>
      </c>
      <c r="J142" s="9" t="s">
        <v>405</v>
      </c>
      <c r="K142" s="12" t="s">
        <v>125</v>
      </c>
      <c r="L142" s="10" t="s">
        <v>178</v>
      </c>
      <c r="M142" s="11" t="s">
        <v>78</v>
      </c>
      <c r="N142" s="12">
        <v>44211</v>
      </c>
      <c r="O142" s="12" t="s">
        <v>72</v>
      </c>
      <c r="P142" s="10" t="s">
        <v>78</v>
      </c>
      <c r="Q142" s="12">
        <v>44211</v>
      </c>
      <c r="R142" s="12" t="s">
        <v>74</v>
      </c>
      <c r="S142" s="12" t="s">
        <v>78</v>
      </c>
      <c r="T142" s="11">
        <v>44211</v>
      </c>
      <c r="U142" s="9" t="s">
        <v>71</v>
      </c>
      <c r="V142" s="9" t="s">
        <v>71</v>
      </c>
      <c r="W142" s="13">
        <v>44211</v>
      </c>
      <c r="X142" s="14" t="s">
        <v>62</v>
      </c>
      <c r="Y142" s="14" t="s">
        <v>78</v>
      </c>
      <c r="Z142" s="14" t="s">
        <v>134</v>
      </c>
      <c r="AA142" s="13">
        <v>44214</v>
      </c>
      <c r="AB142" s="13">
        <v>44218</v>
      </c>
      <c r="AC142" s="14" t="s">
        <v>78</v>
      </c>
      <c r="AD142" s="13">
        <v>44232</v>
      </c>
      <c r="AE142" s="13">
        <v>44246</v>
      </c>
      <c r="AF142" s="14" t="s">
        <v>108</v>
      </c>
      <c r="AG142" s="14"/>
      <c r="AH142" s="14" t="s">
        <v>78</v>
      </c>
      <c r="AI142" s="14" t="s">
        <v>79</v>
      </c>
      <c r="AJ142" s="14" t="s">
        <v>80</v>
      </c>
      <c r="AK142" s="14" t="s">
        <v>82</v>
      </c>
      <c r="AL142" s="14" t="s">
        <v>333</v>
      </c>
      <c r="AM142" s="14" t="s">
        <v>259</v>
      </c>
      <c r="AN142" s="13" t="e">
        <f>#REF!</f>
        <v>#REF!</v>
      </c>
      <c r="AO142" s="13" t="e">
        <f>#REF!</f>
        <v>#REF!</v>
      </c>
      <c r="AP142" s="13">
        <v>44272</v>
      </c>
      <c r="AQ142" s="14" t="s">
        <v>10</v>
      </c>
      <c r="AR142" s="14" t="s">
        <v>1</v>
      </c>
      <c r="AS142" s="14">
        <v>5</v>
      </c>
      <c r="AT142" s="14"/>
      <c r="AU142" s="15"/>
    </row>
    <row r="143" spans="1:47" ht="28.5">
      <c r="A143" s="9" t="s">
        <v>403</v>
      </c>
      <c r="B143" s="9"/>
      <c r="C143" s="9"/>
      <c r="D143" s="9" t="s">
        <v>404</v>
      </c>
      <c r="E143" s="10"/>
      <c r="F143" s="10" t="s">
        <v>743</v>
      </c>
      <c r="G143" s="10" t="s">
        <v>332</v>
      </c>
      <c r="H143" s="12" t="s">
        <v>779</v>
      </c>
      <c r="I143" s="11" t="s">
        <v>779</v>
      </c>
      <c r="J143" s="12" t="s">
        <v>405</v>
      </c>
      <c r="K143" s="12" t="s">
        <v>125</v>
      </c>
      <c r="L143" s="11" t="s">
        <v>178</v>
      </c>
      <c r="M143" s="11" t="s">
        <v>78</v>
      </c>
      <c r="N143" s="12">
        <v>44211</v>
      </c>
      <c r="O143" s="12" t="s">
        <v>72</v>
      </c>
      <c r="P143" s="10" t="s">
        <v>78</v>
      </c>
      <c r="Q143" s="12">
        <v>44211</v>
      </c>
      <c r="R143" s="12" t="s">
        <v>74</v>
      </c>
      <c r="S143" s="12" t="s">
        <v>78</v>
      </c>
      <c r="T143" s="11">
        <v>44211</v>
      </c>
      <c r="U143" s="9" t="s">
        <v>76</v>
      </c>
      <c r="V143" s="9" t="s">
        <v>78</v>
      </c>
      <c r="W143" s="13">
        <v>44211</v>
      </c>
      <c r="X143" s="14" t="s">
        <v>208</v>
      </c>
      <c r="Y143" s="14" t="s">
        <v>78</v>
      </c>
      <c r="Z143" s="14" t="s">
        <v>134</v>
      </c>
      <c r="AA143" s="13">
        <v>44214</v>
      </c>
      <c r="AB143" s="13">
        <v>44218</v>
      </c>
      <c r="AC143" s="14" t="s">
        <v>78</v>
      </c>
      <c r="AD143" s="13">
        <v>44232</v>
      </c>
      <c r="AE143" s="13">
        <v>44246</v>
      </c>
      <c r="AF143" s="14" t="s">
        <v>108</v>
      </c>
      <c r="AG143" s="14"/>
      <c r="AH143" s="14" t="s">
        <v>78</v>
      </c>
      <c r="AI143" s="14" t="s">
        <v>79</v>
      </c>
      <c r="AJ143" s="14" t="s">
        <v>203</v>
      </c>
      <c r="AK143" s="14" t="s">
        <v>82</v>
      </c>
      <c r="AL143" s="14" t="s">
        <v>333</v>
      </c>
      <c r="AM143" s="14" t="s">
        <v>259</v>
      </c>
      <c r="AN143" s="13" t="e">
        <f>#REF!</f>
        <v>#REF!</v>
      </c>
      <c r="AO143" s="13" t="e">
        <f>#REF!</f>
        <v>#REF!</v>
      </c>
      <c r="AP143" s="13">
        <v>44272</v>
      </c>
      <c r="AQ143" s="14" t="s">
        <v>10</v>
      </c>
      <c r="AR143" s="14" t="s">
        <v>1</v>
      </c>
      <c r="AS143" s="14">
        <v>9</v>
      </c>
      <c r="AT143" s="14"/>
      <c r="AU143" s="15"/>
    </row>
    <row r="144" spans="1:47" ht="85.5">
      <c r="A144" s="9" t="s">
        <v>441</v>
      </c>
      <c r="B144" s="9"/>
      <c r="C144" s="9"/>
      <c r="D144" s="9" t="s">
        <v>276</v>
      </c>
      <c r="E144" s="10"/>
      <c r="F144" s="10" t="s">
        <v>220</v>
      </c>
      <c r="G144" s="10" t="s">
        <v>397</v>
      </c>
      <c r="H144" s="12" t="s">
        <v>442</v>
      </c>
      <c r="I144" s="11" t="s">
        <v>443</v>
      </c>
      <c r="J144" s="12"/>
      <c r="K144" s="12" t="s">
        <v>358</v>
      </c>
      <c r="L144" s="10" t="s">
        <v>178</v>
      </c>
      <c r="M144" s="11" t="s">
        <v>78</v>
      </c>
      <c r="N144" s="12">
        <v>44211</v>
      </c>
      <c r="O144" s="12" t="s">
        <v>72</v>
      </c>
      <c r="P144" s="10" t="s">
        <v>78</v>
      </c>
      <c r="Q144" s="12">
        <v>44211</v>
      </c>
      <c r="R144" s="12" t="s">
        <v>74</v>
      </c>
      <c r="S144" s="12" t="s">
        <v>78</v>
      </c>
      <c r="T144" s="12">
        <v>44211</v>
      </c>
      <c r="U144" s="9" t="s">
        <v>76</v>
      </c>
      <c r="V144" s="9" t="s">
        <v>78</v>
      </c>
      <c r="W144" s="13">
        <v>44211</v>
      </c>
      <c r="X144" s="14" t="s">
        <v>208</v>
      </c>
      <c r="Y144" s="14" t="s">
        <v>78</v>
      </c>
      <c r="Z144" s="14" t="s">
        <v>134</v>
      </c>
      <c r="AA144" s="13">
        <v>44214</v>
      </c>
      <c r="AB144" s="13">
        <v>44218</v>
      </c>
      <c r="AC144" s="14" t="s">
        <v>78</v>
      </c>
      <c r="AD144" s="13">
        <v>44232</v>
      </c>
      <c r="AE144" s="13">
        <v>44246</v>
      </c>
      <c r="AF144" s="14" t="s">
        <v>108</v>
      </c>
      <c r="AG144" s="14"/>
      <c r="AH144" s="14" t="s">
        <v>78</v>
      </c>
      <c r="AI144" s="14" t="s">
        <v>79</v>
      </c>
      <c r="AJ144" s="14" t="s">
        <v>203</v>
      </c>
      <c r="AK144" s="14" t="s">
        <v>88</v>
      </c>
      <c r="AL144" s="14" t="s">
        <v>259</v>
      </c>
      <c r="AM144" s="14" t="s">
        <v>259</v>
      </c>
      <c r="AN144" s="13" t="e">
        <f>#REF!</f>
        <v>#REF!</v>
      </c>
      <c r="AO144" s="13" t="e">
        <f>#REF!</f>
        <v>#REF!</v>
      </c>
      <c r="AP144" s="13">
        <v>44272</v>
      </c>
      <c r="AQ144" s="14" t="s">
        <v>10</v>
      </c>
      <c r="AR144" s="14" t="s">
        <v>1</v>
      </c>
      <c r="AS144" s="14">
        <v>24</v>
      </c>
      <c r="AT144" s="14"/>
      <c r="AU144" s="15"/>
    </row>
    <row r="145" spans="1:47" ht="28.5">
      <c r="A145" s="9" t="s">
        <v>444</v>
      </c>
      <c r="B145" s="9"/>
      <c r="C145" s="9"/>
      <c r="D145" s="9" t="s">
        <v>276</v>
      </c>
      <c r="E145" s="10"/>
      <c r="F145" s="10" t="s">
        <v>445</v>
      </c>
      <c r="G145" s="10" t="s">
        <v>446</v>
      </c>
      <c r="H145" s="12" t="s">
        <v>447</v>
      </c>
      <c r="I145" s="11" t="s">
        <v>448</v>
      </c>
      <c r="J145" s="12"/>
      <c r="K145" s="12" t="s">
        <v>125</v>
      </c>
      <c r="L145" s="10" t="s">
        <v>178</v>
      </c>
      <c r="M145" s="11" t="s">
        <v>78</v>
      </c>
      <c r="N145" s="12">
        <v>44211</v>
      </c>
      <c r="O145" s="12" t="s">
        <v>72</v>
      </c>
      <c r="P145" s="9" t="s">
        <v>78</v>
      </c>
      <c r="Q145" s="12">
        <v>44211</v>
      </c>
      <c r="R145" s="12" t="s">
        <v>74</v>
      </c>
      <c r="S145" s="12" t="s">
        <v>78</v>
      </c>
      <c r="T145" s="12">
        <v>44211</v>
      </c>
      <c r="U145" s="9" t="s">
        <v>76</v>
      </c>
      <c r="V145" s="9" t="s">
        <v>78</v>
      </c>
      <c r="W145" s="13">
        <v>44211</v>
      </c>
      <c r="X145" s="14" t="s">
        <v>208</v>
      </c>
      <c r="Y145" s="14" t="s">
        <v>78</v>
      </c>
      <c r="Z145" s="14" t="s">
        <v>134</v>
      </c>
      <c r="AA145" s="13">
        <v>44214</v>
      </c>
      <c r="AB145" s="13">
        <v>44218</v>
      </c>
      <c r="AC145" s="14" t="s">
        <v>78</v>
      </c>
      <c r="AD145" s="13">
        <v>44232</v>
      </c>
      <c r="AE145" s="13">
        <v>44246</v>
      </c>
      <c r="AF145" s="14" t="s">
        <v>108</v>
      </c>
      <c r="AG145" s="14"/>
      <c r="AH145" s="14" t="s">
        <v>78</v>
      </c>
      <c r="AI145" s="14" t="s">
        <v>79</v>
      </c>
      <c r="AJ145" s="14" t="s">
        <v>203</v>
      </c>
      <c r="AK145" s="14" t="s">
        <v>82</v>
      </c>
      <c r="AL145" s="14" t="s">
        <v>259</v>
      </c>
      <c r="AM145" s="14" t="s">
        <v>259</v>
      </c>
      <c r="AN145" s="13" t="e">
        <f>#REF!</f>
        <v>#REF!</v>
      </c>
      <c r="AO145" s="13" t="e">
        <f>#REF!</f>
        <v>#REF!</v>
      </c>
      <c r="AP145" s="13">
        <v>44272</v>
      </c>
      <c r="AQ145" s="14" t="s">
        <v>10</v>
      </c>
      <c r="AR145" s="14" t="s">
        <v>1</v>
      </c>
      <c r="AS145" s="14">
        <v>12</v>
      </c>
      <c r="AT145" s="14"/>
      <c r="AU145" s="15"/>
    </row>
    <row r="146" spans="1:47" ht="71.25">
      <c r="A146" s="10" t="s">
        <v>449</v>
      </c>
      <c r="B146" s="10"/>
      <c r="C146" s="10"/>
      <c r="D146" s="10" t="s">
        <v>276</v>
      </c>
      <c r="E146" s="10"/>
      <c r="F146" s="10" t="s">
        <v>445</v>
      </c>
      <c r="G146" s="10" t="s">
        <v>397</v>
      </c>
      <c r="H146" s="12" t="s">
        <v>450</v>
      </c>
      <c r="I146" s="11" t="s">
        <v>451</v>
      </c>
      <c r="J146" s="12"/>
      <c r="K146" s="12" t="s">
        <v>125</v>
      </c>
      <c r="L146" s="11" t="s">
        <v>178</v>
      </c>
      <c r="M146" s="11" t="s">
        <v>78</v>
      </c>
      <c r="N146" s="12">
        <v>44211</v>
      </c>
      <c r="O146" s="12" t="s">
        <v>72</v>
      </c>
      <c r="P146" s="9" t="s">
        <v>78</v>
      </c>
      <c r="Q146" s="12">
        <v>44211</v>
      </c>
      <c r="R146" s="12" t="s">
        <v>74</v>
      </c>
      <c r="S146" s="12" t="s">
        <v>78</v>
      </c>
      <c r="T146" s="12">
        <v>44211</v>
      </c>
      <c r="U146" s="9" t="s">
        <v>76</v>
      </c>
      <c r="V146" s="9" t="s">
        <v>78</v>
      </c>
      <c r="W146" s="13">
        <v>44211</v>
      </c>
      <c r="X146" s="14" t="s">
        <v>208</v>
      </c>
      <c r="Y146" s="14" t="s">
        <v>78</v>
      </c>
      <c r="Z146" s="14" t="s">
        <v>134</v>
      </c>
      <c r="AA146" s="13">
        <v>44214</v>
      </c>
      <c r="AB146" s="13">
        <v>44218</v>
      </c>
      <c r="AC146" s="14" t="s">
        <v>78</v>
      </c>
      <c r="AD146" s="13">
        <v>44232</v>
      </c>
      <c r="AE146" s="13">
        <v>44246</v>
      </c>
      <c r="AF146" s="14" t="s">
        <v>108</v>
      </c>
      <c r="AG146" s="14"/>
      <c r="AH146" s="14" t="s">
        <v>78</v>
      </c>
      <c r="AI146" s="14" t="s">
        <v>79</v>
      </c>
      <c r="AJ146" s="14" t="s">
        <v>203</v>
      </c>
      <c r="AK146" s="14" t="s">
        <v>333</v>
      </c>
      <c r="AL146" s="14" t="s">
        <v>259</v>
      </c>
      <c r="AM146" s="14" t="s">
        <v>259</v>
      </c>
      <c r="AN146" s="13" t="e">
        <f>#REF!</f>
        <v>#REF!</v>
      </c>
      <c r="AO146" s="13" t="e">
        <f>#REF!</f>
        <v>#REF!</v>
      </c>
      <c r="AP146" s="13">
        <v>44272</v>
      </c>
      <c r="AQ146" s="14" t="s">
        <v>10</v>
      </c>
      <c r="AR146" s="14" t="s">
        <v>1</v>
      </c>
      <c r="AS146" s="14">
        <v>10</v>
      </c>
      <c r="AT146" s="14"/>
      <c r="AU146" s="15"/>
    </row>
    <row r="147" spans="1:47" ht="71.25">
      <c r="A147" s="9" t="s">
        <v>452</v>
      </c>
      <c r="B147" s="9"/>
      <c r="C147" s="9"/>
      <c r="D147" s="9" t="s">
        <v>276</v>
      </c>
      <c r="E147" s="10"/>
      <c r="F147" s="10" t="s">
        <v>445</v>
      </c>
      <c r="G147" s="10" t="s">
        <v>397</v>
      </c>
      <c r="H147" s="12" t="s">
        <v>450</v>
      </c>
      <c r="I147" s="11" t="s">
        <v>453</v>
      </c>
      <c r="J147" s="12"/>
      <c r="K147" s="12" t="s">
        <v>125</v>
      </c>
      <c r="L147" s="11" t="s">
        <v>178</v>
      </c>
      <c r="M147" s="11" t="s">
        <v>78</v>
      </c>
      <c r="N147" s="12">
        <v>44211</v>
      </c>
      <c r="O147" s="12" t="s">
        <v>72</v>
      </c>
      <c r="P147" s="10" t="s">
        <v>78</v>
      </c>
      <c r="Q147" s="12">
        <v>44211</v>
      </c>
      <c r="R147" s="12" t="s">
        <v>74</v>
      </c>
      <c r="S147" s="12" t="s">
        <v>78</v>
      </c>
      <c r="T147" s="12">
        <v>44211</v>
      </c>
      <c r="U147" s="9" t="s">
        <v>76</v>
      </c>
      <c r="V147" s="9" t="s">
        <v>78</v>
      </c>
      <c r="W147" s="13">
        <v>44211</v>
      </c>
      <c r="X147" s="14" t="s">
        <v>208</v>
      </c>
      <c r="Y147" s="14" t="s">
        <v>78</v>
      </c>
      <c r="Z147" s="14" t="s">
        <v>134</v>
      </c>
      <c r="AA147" s="13">
        <v>44214</v>
      </c>
      <c r="AB147" s="13">
        <v>44218</v>
      </c>
      <c r="AC147" s="14" t="s">
        <v>78</v>
      </c>
      <c r="AD147" s="13">
        <v>44232</v>
      </c>
      <c r="AE147" s="13">
        <v>44246</v>
      </c>
      <c r="AF147" s="14" t="s">
        <v>108</v>
      </c>
      <c r="AG147" s="14"/>
      <c r="AH147" s="14" t="s">
        <v>78</v>
      </c>
      <c r="AI147" s="14" t="s">
        <v>79</v>
      </c>
      <c r="AJ147" s="14" t="s">
        <v>203</v>
      </c>
      <c r="AK147" s="14" t="s">
        <v>333</v>
      </c>
      <c r="AL147" s="14" t="s">
        <v>259</v>
      </c>
      <c r="AM147" s="14" t="s">
        <v>259</v>
      </c>
      <c r="AN147" s="13" t="e">
        <f>#REF!</f>
        <v>#REF!</v>
      </c>
      <c r="AO147" s="13" t="e">
        <f>#REF!</f>
        <v>#REF!</v>
      </c>
      <c r="AP147" s="13">
        <v>44272</v>
      </c>
      <c r="AQ147" s="14" t="s">
        <v>10</v>
      </c>
      <c r="AR147" s="14" t="s">
        <v>1</v>
      </c>
      <c r="AS147" s="14">
        <v>5</v>
      </c>
      <c r="AT147" s="14"/>
      <c r="AU147" s="15"/>
    </row>
    <row r="148" spans="1:47">
      <c r="A148" s="9" t="s">
        <v>454</v>
      </c>
      <c r="B148" s="9"/>
      <c r="C148" s="9"/>
      <c r="D148" s="9" t="s">
        <v>276</v>
      </c>
      <c r="E148" s="10"/>
      <c r="F148" s="10" t="s">
        <v>445</v>
      </c>
      <c r="G148" s="10" t="s">
        <v>397</v>
      </c>
      <c r="H148" s="12" t="s">
        <v>450</v>
      </c>
      <c r="I148" s="11" t="s">
        <v>455</v>
      </c>
      <c r="J148" s="12"/>
      <c r="K148" s="12" t="s">
        <v>125</v>
      </c>
      <c r="L148" s="10" t="s">
        <v>178</v>
      </c>
      <c r="M148" s="11" t="s">
        <v>78</v>
      </c>
      <c r="N148" s="12">
        <v>44211</v>
      </c>
      <c r="O148" s="12" t="s">
        <v>72</v>
      </c>
      <c r="P148" s="10" t="s">
        <v>78</v>
      </c>
      <c r="Q148" s="12">
        <v>44211</v>
      </c>
      <c r="R148" s="12" t="s">
        <v>74</v>
      </c>
      <c r="S148" s="12" t="s">
        <v>78</v>
      </c>
      <c r="T148" s="12">
        <v>44211</v>
      </c>
      <c r="U148" s="9" t="s">
        <v>76</v>
      </c>
      <c r="V148" s="9" t="s">
        <v>78</v>
      </c>
      <c r="W148" s="13">
        <v>44211</v>
      </c>
      <c r="X148" s="14" t="s">
        <v>208</v>
      </c>
      <c r="Y148" s="14" t="s">
        <v>78</v>
      </c>
      <c r="Z148" s="14" t="s">
        <v>134</v>
      </c>
      <c r="AA148" s="13">
        <v>44214</v>
      </c>
      <c r="AB148" s="13">
        <v>44218</v>
      </c>
      <c r="AC148" s="14" t="s">
        <v>78</v>
      </c>
      <c r="AD148" s="13">
        <v>44232</v>
      </c>
      <c r="AE148" s="13">
        <v>44246</v>
      </c>
      <c r="AF148" s="14" t="s">
        <v>108</v>
      </c>
      <c r="AG148" s="14"/>
      <c r="AH148" s="14" t="s">
        <v>78</v>
      </c>
      <c r="AI148" s="14" t="s">
        <v>79</v>
      </c>
      <c r="AJ148" s="14" t="s">
        <v>203</v>
      </c>
      <c r="AK148" s="14" t="s">
        <v>333</v>
      </c>
      <c r="AL148" s="14" t="s">
        <v>259</v>
      </c>
      <c r="AM148" s="14" t="s">
        <v>259</v>
      </c>
      <c r="AN148" s="13" t="e">
        <f>#REF!</f>
        <v>#REF!</v>
      </c>
      <c r="AO148" s="13" t="e">
        <f>#REF!</f>
        <v>#REF!</v>
      </c>
      <c r="AP148" s="13">
        <v>44272</v>
      </c>
      <c r="AQ148" s="14" t="s">
        <v>10</v>
      </c>
      <c r="AR148" s="14" t="s">
        <v>1</v>
      </c>
      <c r="AS148" s="14">
        <v>2</v>
      </c>
      <c r="AT148" s="14"/>
      <c r="AU148" s="15"/>
    </row>
    <row r="149" spans="1:47">
      <c r="A149" s="9" t="s">
        <v>456</v>
      </c>
      <c r="B149" s="9"/>
      <c r="C149" s="9"/>
      <c r="D149" s="9" t="s">
        <v>276</v>
      </c>
      <c r="E149" s="10"/>
      <c r="F149" s="10" t="s">
        <v>445</v>
      </c>
      <c r="G149" s="10" t="s">
        <v>397</v>
      </c>
      <c r="H149" s="12" t="s">
        <v>450</v>
      </c>
      <c r="I149" s="11" t="s">
        <v>457</v>
      </c>
      <c r="J149" s="12"/>
      <c r="K149" s="12" t="s">
        <v>125</v>
      </c>
      <c r="L149" s="10" t="s">
        <v>178</v>
      </c>
      <c r="M149" s="11" t="s">
        <v>78</v>
      </c>
      <c r="N149" s="12">
        <v>44211</v>
      </c>
      <c r="O149" s="12" t="s">
        <v>72</v>
      </c>
      <c r="P149" s="10" t="s">
        <v>78</v>
      </c>
      <c r="Q149" s="12">
        <v>44211</v>
      </c>
      <c r="R149" s="12" t="s">
        <v>74</v>
      </c>
      <c r="S149" s="12" t="s">
        <v>78</v>
      </c>
      <c r="T149" s="12">
        <v>44211</v>
      </c>
      <c r="U149" s="9" t="s">
        <v>76</v>
      </c>
      <c r="V149" s="9" t="s">
        <v>78</v>
      </c>
      <c r="W149" s="13">
        <v>44211</v>
      </c>
      <c r="X149" s="14" t="s">
        <v>208</v>
      </c>
      <c r="Y149" s="14" t="s">
        <v>78</v>
      </c>
      <c r="Z149" s="14" t="s">
        <v>134</v>
      </c>
      <c r="AA149" s="13">
        <v>44214</v>
      </c>
      <c r="AB149" s="13">
        <v>44218</v>
      </c>
      <c r="AC149" s="14" t="s">
        <v>78</v>
      </c>
      <c r="AD149" s="13">
        <v>44232</v>
      </c>
      <c r="AE149" s="13">
        <v>44246</v>
      </c>
      <c r="AF149" s="14" t="s">
        <v>108</v>
      </c>
      <c r="AG149" s="14"/>
      <c r="AH149" s="14" t="s">
        <v>78</v>
      </c>
      <c r="AI149" s="14" t="s">
        <v>79</v>
      </c>
      <c r="AJ149" s="14" t="s">
        <v>203</v>
      </c>
      <c r="AK149" s="14" t="s">
        <v>333</v>
      </c>
      <c r="AL149" s="14" t="s">
        <v>259</v>
      </c>
      <c r="AM149" s="14" t="s">
        <v>259</v>
      </c>
      <c r="AN149" s="13" t="e">
        <f>#REF!</f>
        <v>#REF!</v>
      </c>
      <c r="AO149" s="13" t="e">
        <f>#REF!</f>
        <v>#REF!</v>
      </c>
      <c r="AP149" s="13">
        <v>44272</v>
      </c>
      <c r="AQ149" s="14" t="s">
        <v>10</v>
      </c>
      <c r="AR149" s="14" t="s">
        <v>1</v>
      </c>
      <c r="AS149" s="14">
        <v>1</v>
      </c>
      <c r="AT149" s="14"/>
      <c r="AU149" s="15"/>
    </row>
    <row r="150" spans="1:47">
      <c r="A150" s="9" t="s">
        <v>458</v>
      </c>
      <c r="B150" s="9"/>
      <c r="C150" s="9"/>
      <c r="D150" s="9" t="s">
        <v>276</v>
      </c>
      <c r="E150" s="10"/>
      <c r="F150" s="10" t="s">
        <v>445</v>
      </c>
      <c r="G150" s="10" t="s">
        <v>397</v>
      </c>
      <c r="H150" s="12" t="s">
        <v>450</v>
      </c>
      <c r="I150" s="11" t="s">
        <v>459</v>
      </c>
      <c r="J150" s="12"/>
      <c r="K150" s="12" t="s">
        <v>125</v>
      </c>
      <c r="L150" s="11" t="s">
        <v>178</v>
      </c>
      <c r="M150" s="11" t="s">
        <v>78</v>
      </c>
      <c r="N150" s="12">
        <v>44211</v>
      </c>
      <c r="O150" s="12" t="s">
        <v>72</v>
      </c>
      <c r="P150" s="10" t="s">
        <v>78</v>
      </c>
      <c r="Q150" s="12">
        <v>44211</v>
      </c>
      <c r="R150" s="12" t="s">
        <v>74</v>
      </c>
      <c r="S150" s="12" t="s">
        <v>78</v>
      </c>
      <c r="T150" s="12">
        <v>44211</v>
      </c>
      <c r="U150" s="9" t="s">
        <v>76</v>
      </c>
      <c r="V150" s="9" t="s">
        <v>78</v>
      </c>
      <c r="W150" s="13">
        <v>44211</v>
      </c>
      <c r="X150" s="14" t="s">
        <v>208</v>
      </c>
      <c r="Y150" s="14" t="s">
        <v>78</v>
      </c>
      <c r="Z150" s="14" t="s">
        <v>134</v>
      </c>
      <c r="AA150" s="13">
        <v>44214</v>
      </c>
      <c r="AB150" s="13">
        <v>44218</v>
      </c>
      <c r="AC150" s="14" t="s">
        <v>78</v>
      </c>
      <c r="AD150" s="13">
        <v>44232</v>
      </c>
      <c r="AE150" s="13">
        <v>44246</v>
      </c>
      <c r="AF150" s="14" t="s">
        <v>108</v>
      </c>
      <c r="AG150" s="14"/>
      <c r="AH150" s="14" t="s">
        <v>78</v>
      </c>
      <c r="AI150" s="14" t="s">
        <v>79</v>
      </c>
      <c r="AJ150" s="14" t="s">
        <v>203</v>
      </c>
      <c r="AK150" s="14" t="s">
        <v>333</v>
      </c>
      <c r="AL150" s="14" t="s">
        <v>259</v>
      </c>
      <c r="AM150" s="14" t="s">
        <v>259</v>
      </c>
      <c r="AN150" s="13" t="e">
        <f>#REF!</f>
        <v>#REF!</v>
      </c>
      <c r="AO150" s="13" t="e">
        <f>#REF!</f>
        <v>#REF!</v>
      </c>
      <c r="AP150" s="13">
        <v>44272</v>
      </c>
      <c r="AQ150" s="14" t="s">
        <v>10</v>
      </c>
      <c r="AR150" s="14" t="s">
        <v>1</v>
      </c>
      <c r="AS150" s="14">
        <v>1</v>
      </c>
      <c r="AT150" s="14"/>
      <c r="AU150" s="15"/>
    </row>
    <row r="151" spans="1:47">
      <c r="A151" s="9" t="s">
        <v>460</v>
      </c>
      <c r="B151" s="9"/>
      <c r="C151" s="9"/>
      <c r="D151" s="9" t="s">
        <v>276</v>
      </c>
      <c r="E151" s="10"/>
      <c r="F151" s="10" t="s">
        <v>445</v>
      </c>
      <c r="G151" s="10" t="s">
        <v>397</v>
      </c>
      <c r="H151" s="12" t="s">
        <v>450</v>
      </c>
      <c r="I151" s="11" t="s">
        <v>461</v>
      </c>
      <c r="J151" s="12"/>
      <c r="K151" s="12" t="s">
        <v>125</v>
      </c>
      <c r="L151" s="10" t="s">
        <v>178</v>
      </c>
      <c r="M151" s="11" t="s">
        <v>78</v>
      </c>
      <c r="N151" s="12">
        <v>44211</v>
      </c>
      <c r="O151" s="12" t="s">
        <v>72</v>
      </c>
      <c r="P151" s="10" t="s">
        <v>78</v>
      </c>
      <c r="Q151" s="12">
        <v>44211</v>
      </c>
      <c r="R151" s="12" t="s">
        <v>74</v>
      </c>
      <c r="S151" s="12" t="s">
        <v>78</v>
      </c>
      <c r="T151" s="12">
        <v>44211</v>
      </c>
      <c r="U151" s="9" t="s">
        <v>76</v>
      </c>
      <c r="V151" s="9" t="s">
        <v>78</v>
      </c>
      <c r="W151" s="13">
        <v>44211</v>
      </c>
      <c r="X151" s="14" t="s">
        <v>208</v>
      </c>
      <c r="Y151" s="14" t="s">
        <v>78</v>
      </c>
      <c r="Z151" s="14" t="s">
        <v>134</v>
      </c>
      <c r="AA151" s="13">
        <v>44214</v>
      </c>
      <c r="AB151" s="13">
        <v>44218</v>
      </c>
      <c r="AC151" s="14" t="s">
        <v>78</v>
      </c>
      <c r="AD151" s="13">
        <v>44232</v>
      </c>
      <c r="AE151" s="13">
        <v>44246</v>
      </c>
      <c r="AF151" s="14" t="s">
        <v>108</v>
      </c>
      <c r="AG151" s="14"/>
      <c r="AH151" s="14" t="s">
        <v>78</v>
      </c>
      <c r="AI151" s="14" t="s">
        <v>79</v>
      </c>
      <c r="AJ151" s="14" t="s">
        <v>203</v>
      </c>
      <c r="AK151" s="14" t="s">
        <v>333</v>
      </c>
      <c r="AL151" s="14" t="s">
        <v>259</v>
      </c>
      <c r="AM151" s="14" t="s">
        <v>259</v>
      </c>
      <c r="AN151" s="13" t="e">
        <f>#REF!</f>
        <v>#REF!</v>
      </c>
      <c r="AO151" s="13" t="e">
        <f>#REF!</f>
        <v>#REF!</v>
      </c>
      <c r="AP151" s="13">
        <v>44272</v>
      </c>
      <c r="AQ151" s="14" t="s">
        <v>10</v>
      </c>
      <c r="AR151" s="14" t="s">
        <v>1</v>
      </c>
      <c r="AS151" s="14">
        <v>2</v>
      </c>
      <c r="AT151" s="14"/>
      <c r="AU151" s="15"/>
    </row>
    <row r="152" spans="1:47">
      <c r="A152" s="9" t="s">
        <v>462</v>
      </c>
      <c r="B152" s="9"/>
      <c r="C152" s="9"/>
      <c r="D152" s="9" t="s">
        <v>276</v>
      </c>
      <c r="E152" s="10"/>
      <c r="F152" s="10" t="s">
        <v>445</v>
      </c>
      <c r="G152" s="10" t="s">
        <v>397</v>
      </c>
      <c r="H152" s="12" t="s">
        <v>450</v>
      </c>
      <c r="I152" s="11" t="s">
        <v>463</v>
      </c>
      <c r="J152" s="12"/>
      <c r="K152" s="12" t="s">
        <v>125</v>
      </c>
      <c r="L152" s="10" t="s">
        <v>178</v>
      </c>
      <c r="M152" s="11" t="s">
        <v>78</v>
      </c>
      <c r="N152" s="12">
        <v>44211</v>
      </c>
      <c r="O152" s="12" t="s">
        <v>72</v>
      </c>
      <c r="P152" s="10" t="s">
        <v>78</v>
      </c>
      <c r="Q152" s="12">
        <v>44211</v>
      </c>
      <c r="R152" s="12" t="s">
        <v>74</v>
      </c>
      <c r="S152" s="12" t="s">
        <v>78</v>
      </c>
      <c r="T152" s="12">
        <v>44211</v>
      </c>
      <c r="U152" s="9" t="s">
        <v>76</v>
      </c>
      <c r="V152" s="9" t="s">
        <v>78</v>
      </c>
      <c r="W152" s="13">
        <v>44211</v>
      </c>
      <c r="X152" s="14" t="s">
        <v>208</v>
      </c>
      <c r="Y152" s="14" t="s">
        <v>78</v>
      </c>
      <c r="Z152" s="14" t="s">
        <v>134</v>
      </c>
      <c r="AA152" s="13">
        <v>44214</v>
      </c>
      <c r="AB152" s="13">
        <v>44218</v>
      </c>
      <c r="AC152" s="14" t="s">
        <v>78</v>
      </c>
      <c r="AD152" s="13">
        <v>44232</v>
      </c>
      <c r="AE152" s="13">
        <v>44246</v>
      </c>
      <c r="AF152" s="14" t="s">
        <v>108</v>
      </c>
      <c r="AG152" s="14"/>
      <c r="AH152" s="14" t="s">
        <v>78</v>
      </c>
      <c r="AI152" s="14" t="s">
        <v>79</v>
      </c>
      <c r="AJ152" s="14" t="s">
        <v>203</v>
      </c>
      <c r="AK152" s="14" t="s">
        <v>333</v>
      </c>
      <c r="AL152" s="14" t="s">
        <v>259</v>
      </c>
      <c r="AM152" s="14" t="s">
        <v>259</v>
      </c>
      <c r="AN152" s="13" t="e">
        <f>#REF!</f>
        <v>#REF!</v>
      </c>
      <c r="AO152" s="13" t="e">
        <f>#REF!</f>
        <v>#REF!</v>
      </c>
      <c r="AP152" s="13">
        <v>44272</v>
      </c>
      <c r="AQ152" s="14" t="s">
        <v>10</v>
      </c>
      <c r="AR152" s="14" t="s">
        <v>1</v>
      </c>
      <c r="AS152" s="14">
        <v>1</v>
      </c>
      <c r="AT152" s="14"/>
      <c r="AU152" s="15"/>
    </row>
    <row r="153" spans="1:47">
      <c r="A153" s="9" t="s">
        <v>464</v>
      </c>
      <c r="B153" s="9"/>
      <c r="C153" s="9"/>
      <c r="D153" s="9" t="s">
        <v>276</v>
      </c>
      <c r="E153" s="10"/>
      <c r="F153" s="10" t="s">
        <v>445</v>
      </c>
      <c r="G153" s="10" t="s">
        <v>397</v>
      </c>
      <c r="H153" s="12" t="s">
        <v>450</v>
      </c>
      <c r="I153" s="11" t="s">
        <v>465</v>
      </c>
      <c r="J153" s="12"/>
      <c r="K153" s="12" t="s">
        <v>125</v>
      </c>
      <c r="L153" s="11" t="s">
        <v>178</v>
      </c>
      <c r="M153" s="11" t="s">
        <v>78</v>
      </c>
      <c r="N153" s="12">
        <v>44211</v>
      </c>
      <c r="O153" s="12" t="s">
        <v>72</v>
      </c>
      <c r="P153" s="10" t="s">
        <v>78</v>
      </c>
      <c r="Q153" s="12">
        <v>44211</v>
      </c>
      <c r="R153" s="12" t="s">
        <v>74</v>
      </c>
      <c r="S153" s="12" t="s">
        <v>78</v>
      </c>
      <c r="T153" s="12">
        <v>44211</v>
      </c>
      <c r="U153" s="9" t="s">
        <v>76</v>
      </c>
      <c r="V153" s="9" t="s">
        <v>78</v>
      </c>
      <c r="W153" s="13">
        <v>44211</v>
      </c>
      <c r="X153" s="14" t="s">
        <v>208</v>
      </c>
      <c r="Y153" s="14" t="s">
        <v>78</v>
      </c>
      <c r="Z153" s="14" t="s">
        <v>134</v>
      </c>
      <c r="AA153" s="13">
        <v>44214</v>
      </c>
      <c r="AB153" s="13">
        <v>44218</v>
      </c>
      <c r="AC153" s="14" t="s">
        <v>78</v>
      </c>
      <c r="AD153" s="13">
        <v>44232</v>
      </c>
      <c r="AE153" s="13">
        <v>44246</v>
      </c>
      <c r="AF153" s="14" t="s">
        <v>108</v>
      </c>
      <c r="AG153" s="14"/>
      <c r="AH153" s="14" t="s">
        <v>78</v>
      </c>
      <c r="AI153" s="14" t="s">
        <v>79</v>
      </c>
      <c r="AJ153" s="14" t="s">
        <v>203</v>
      </c>
      <c r="AK153" s="14" t="s">
        <v>333</v>
      </c>
      <c r="AL153" s="14" t="s">
        <v>259</v>
      </c>
      <c r="AM153" s="14" t="s">
        <v>259</v>
      </c>
      <c r="AN153" s="13" t="e">
        <f>#REF!</f>
        <v>#REF!</v>
      </c>
      <c r="AO153" s="13" t="e">
        <f>#REF!</f>
        <v>#REF!</v>
      </c>
      <c r="AP153" s="13">
        <v>44272</v>
      </c>
      <c r="AQ153" s="14" t="s">
        <v>10</v>
      </c>
      <c r="AR153" s="14" t="s">
        <v>1</v>
      </c>
      <c r="AS153" s="14">
        <v>2</v>
      </c>
      <c r="AT153" s="14"/>
      <c r="AU153" s="15"/>
    </row>
    <row r="154" spans="1:47">
      <c r="A154" s="9" t="s">
        <v>466</v>
      </c>
      <c r="B154" s="9"/>
      <c r="C154" s="9"/>
      <c r="D154" s="9" t="s">
        <v>276</v>
      </c>
      <c r="E154" s="10"/>
      <c r="F154" s="10" t="s">
        <v>445</v>
      </c>
      <c r="G154" s="10" t="s">
        <v>397</v>
      </c>
      <c r="H154" s="12" t="s">
        <v>450</v>
      </c>
      <c r="I154" s="11" t="s">
        <v>467</v>
      </c>
      <c r="J154" s="12"/>
      <c r="K154" s="12" t="s">
        <v>125</v>
      </c>
      <c r="L154" s="11" t="s">
        <v>178</v>
      </c>
      <c r="M154" s="11" t="s">
        <v>78</v>
      </c>
      <c r="N154" s="12">
        <v>44211</v>
      </c>
      <c r="O154" s="12" t="s">
        <v>72</v>
      </c>
      <c r="P154" s="10" t="s">
        <v>78</v>
      </c>
      <c r="Q154" s="12">
        <v>44211</v>
      </c>
      <c r="R154" s="12" t="s">
        <v>74</v>
      </c>
      <c r="S154" s="12" t="s">
        <v>78</v>
      </c>
      <c r="T154" s="12">
        <v>44211</v>
      </c>
      <c r="U154" s="9" t="s">
        <v>76</v>
      </c>
      <c r="V154" s="9" t="s">
        <v>78</v>
      </c>
      <c r="W154" s="13">
        <v>44211</v>
      </c>
      <c r="X154" s="14" t="s">
        <v>208</v>
      </c>
      <c r="Y154" s="14" t="s">
        <v>78</v>
      </c>
      <c r="Z154" s="14" t="s">
        <v>134</v>
      </c>
      <c r="AA154" s="13">
        <v>44214</v>
      </c>
      <c r="AB154" s="13">
        <v>44218</v>
      </c>
      <c r="AC154" s="14" t="s">
        <v>78</v>
      </c>
      <c r="AD154" s="13">
        <v>44232</v>
      </c>
      <c r="AE154" s="13">
        <v>44246</v>
      </c>
      <c r="AF154" s="14" t="s">
        <v>108</v>
      </c>
      <c r="AG154" s="14"/>
      <c r="AH154" s="14" t="s">
        <v>78</v>
      </c>
      <c r="AI154" s="14" t="s">
        <v>79</v>
      </c>
      <c r="AJ154" s="14" t="s">
        <v>203</v>
      </c>
      <c r="AK154" s="14" t="s">
        <v>333</v>
      </c>
      <c r="AL154" s="14" t="s">
        <v>259</v>
      </c>
      <c r="AM154" s="14" t="s">
        <v>259</v>
      </c>
      <c r="AN154" s="13" t="e">
        <f>#REF!</f>
        <v>#REF!</v>
      </c>
      <c r="AO154" s="13" t="e">
        <f>#REF!</f>
        <v>#REF!</v>
      </c>
      <c r="AP154" s="13">
        <v>44272</v>
      </c>
      <c r="AQ154" s="14" t="s">
        <v>10</v>
      </c>
      <c r="AR154" s="14" t="s">
        <v>1</v>
      </c>
      <c r="AS154" s="14">
        <v>2</v>
      </c>
      <c r="AT154" s="14"/>
      <c r="AU154" s="15"/>
    </row>
    <row r="155" spans="1:47" ht="28.5">
      <c r="A155" s="9" t="s">
        <v>468</v>
      </c>
      <c r="B155" s="9"/>
      <c r="C155" s="9"/>
      <c r="D155" s="9" t="s">
        <v>276</v>
      </c>
      <c r="E155" s="10"/>
      <c r="F155" s="10" t="s">
        <v>220</v>
      </c>
      <c r="G155" s="10" t="s">
        <v>397</v>
      </c>
      <c r="H155" s="12" t="s">
        <v>450</v>
      </c>
      <c r="I155" s="11" t="s">
        <v>469</v>
      </c>
      <c r="J155" s="12"/>
      <c r="K155" s="12" t="s">
        <v>358</v>
      </c>
      <c r="L155" s="10" t="s">
        <v>178</v>
      </c>
      <c r="M155" s="11" t="s">
        <v>78</v>
      </c>
      <c r="N155" s="12">
        <v>44211</v>
      </c>
      <c r="O155" s="12" t="s">
        <v>72</v>
      </c>
      <c r="P155" s="10" t="s">
        <v>78</v>
      </c>
      <c r="Q155" s="12">
        <v>44211</v>
      </c>
      <c r="R155" s="12" t="s">
        <v>74</v>
      </c>
      <c r="S155" s="12" t="s">
        <v>78</v>
      </c>
      <c r="T155" s="12">
        <v>44211</v>
      </c>
      <c r="U155" s="9" t="s">
        <v>76</v>
      </c>
      <c r="V155" s="9" t="s">
        <v>78</v>
      </c>
      <c r="W155" s="13">
        <v>44211</v>
      </c>
      <c r="X155" s="14" t="s">
        <v>208</v>
      </c>
      <c r="Y155" s="14" t="s">
        <v>78</v>
      </c>
      <c r="Z155" s="14" t="s">
        <v>134</v>
      </c>
      <c r="AA155" s="13">
        <v>44214</v>
      </c>
      <c r="AB155" s="13">
        <v>44218</v>
      </c>
      <c r="AC155" s="14" t="s">
        <v>78</v>
      </c>
      <c r="AD155" s="13">
        <v>44232</v>
      </c>
      <c r="AE155" s="13">
        <v>44246</v>
      </c>
      <c r="AF155" s="14" t="s">
        <v>108</v>
      </c>
      <c r="AG155" s="14"/>
      <c r="AH155" s="14" t="s">
        <v>78</v>
      </c>
      <c r="AI155" s="14" t="s">
        <v>79</v>
      </c>
      <c r="AJ155" s="14" t="s">
        <v>203</v>
      </c>
      <c r="AK155" s="14" t="s">
        <v>333</v>
      </c>
      <c r="AL155" s="14" t="s">
        <v>259</v>
      </c>
      <c r="AM155" s="14" t="s">
        <v>259</v>
      </c>
      <c r="AN155" s="13" t="e">
        <f>#REF!</f>
        <v>#REF!</v>
      </c>
      <c r="AO155" s="13" t="e">
        <f>#REF!</f>
        <v>#REF!</v>
      </c>
      <c r="AP155" s="13">
        <v>44272</v>
      </c>
      <c r="AQ155" s="14" t="s">
        <v>10</v>
      </c>
      <c r="AR155" s="14" t="s">
        <v>1</v>
      </c>
      <c r="AS155" s="14">
        <v>2</v>
      </c>
      <c r="AT155" s="14"/>
      <c r="AU155" s="15"/>
    </row>
    <row r="156" spans="1:47" ht="28.5">
      <c r="A156" s="9" t="s">
        <v>470</v>
      </c>
      <c r="B156" s="9"/>
      <c r="C156" s="9"/>
      <c r="D156" s="9" t="s">
        <v>276</v>
      </c>
      <c r="E156" s="10"/>
      <c r="F156" s="10" t="s">
        <v>220</v>
      </c>
      <c r="G156" s="10" t="s">
        <v>397</v>
      </c>
      <c r="H156" s="12" t="s">
        <v>450</v>
      </c>
      <c r="I156" s="11" t="s">
        <v>471</v>
      </c>
      <c r="J156" s="12"/>
      <c r="K156" s="12" t="s">
        <v>358</v>
      </c>
      <c r="L156" s="10" t="s">
        <v>178</v>
      </c>
      <c r="M156" s="11" t="s">
        <v>78</v>
      </c>
      <c r="N156" s="12">
        <v>44211</v>
      </c>
      <c r="O156" s="12" t="s">
        <v>72</v>
      </c>
      <c r="P156" s="10" t="s">
        <v>78</v>
      </c>
      <c r="Q156" s="12">
        <v>44211</v>
      </c>
      <c r="R156" s="12" t="s">
        <v>74</v>
      </c>
      <c r="S156" s="12" t="s">
        <v>78</v>
      </c>
      <c r="T156" s="12">
        <v>44211</v>
      </c>
      <c r="U156" s="9" t="s">
        <v>76</v>
      </c>
      <c r="V156" s="9" t="s">
        <v>78</v>
      </c>
      <c r="W156" s="13">
        <v>44211</v>
      </c>
      <c r="X156" s="14" t="s">
        <v>208</v>
      </c>
      <c r="Y156" s="14" t="s">
        <v>78</v>
      </c>
      <c r="Z156" s="14" t="s">
        <v>134</v>
      </c>
      <c r="AA156" s="13">
        <v>44214</v>
      </c>
      <c r="AB156" s="13">
        <v>44218</v>
      </c>
      <c r="AC156" s="14" t="s">
        <v>78</v>
      </c>
      <c r="AD156" s="13">
        <v>44232</v>
      </c>
      <c r="AE156" s="13">
        <v>44246</v>
      </c>
      <c r="AF156" s="14" t="s">
        <v>108</v>
      </c>
      <c r="AG156" s="14"/>
      <c r="AH156" s="14" t="s">
        <v>78</v>
      </c>
      <c r="AI156" s="14" t="s">
        <v>79</v>
      </c>
      <c r="AJ156" s="14" t="s">
        <v>203</v>
      </c>
      <c r="AK156" s="14" t="s">
        <v>333</v>
      </c>
      <c r="AL156" s="14" t="s">
        <v>259</v>
      </c>
      <c r="AM156" s="14" t="s">
        <v>259</v>
      </c>
      <c r="AN156" s="13" t="e">
        <f>#REF!</f>
        <v>#REF!</v>
      </c>
      <c r="AO156" s="13" t="e">
        <f>#REF!</f>
        <v>#REF!</v>
      </c>
      <c r="AP156" s="13">
        <v>44272</v>
      </c>
      <c r="AQ156" s="14" t="s">
        <v>10</v>
      </c>
      <c r="AR156" s="14" t="s">
        <v>1</v>
      </c>
      <c r="AS156" s="14">
        <v>1</v>
      </c>
      <c r="AT156" s="14"/>
      <c r="AU156" s="15"/>
    </row>
    <row r="157" spans="1:47" ht="28.5">
      <c r="A157" s="9" t="s">
        <v>472</v>
      </c>
      <c r="B157" s="9"/>
      <c r="C157" s="9"/>
      <c r="D157" s="9" t="s">
        <v>276</v>
      </c>
      <c r="E157" s="10"/>
      <c r="F157" s="10" t="s">
        <v>220</v>
      </c>
      <c r="G157" s="10" t="s">
        <v>397</v>
      </c>
      <c r="H157" s="12" t="s">
        <v>450</v>
      </c>
      <c r="I157" s="11" t="s">
        <v>780</v>
      </c>
      <c r="J157" s="12"/>
      <c r="K157" s="12" t="s">
        <v>358</v>
      </c>
      <c r="L157" s="10" t="s">
        <v>178</v>
      </c>
      <c r="M157" s="11" t="s">
        <v>78</v>
      </c>
      <c r="N157" s="12">
        <v>44211</v>
      </c>
      <c r="O157" s="12" t="s">
        <v>72</v>
      </c>
      <c r="P157" s="10" t="s">
        <v>78</v>
      </c>
      <c r="Q157" s="12">
        <v>44211</v>
      </c>
      <c r="R157" s="12" t="s">
        <v>74</v>
      </c>
      <c r="S157" s="12" t="s">
        <v>78</v>
      </c>
      <c r="T157" s="12">
        <v>44211</v>
      </c>
      <c r="U157" s="9" t="s">
        <v>76</v>
      </c>
      <c r="V157" s="9" t="s">
        <v>78</v>
      </c>
      <c r="W157" s="13">
        <v>44211</v>
      </c>
      <c r="X157" s="14" t="s">
        <v>208</v>
      </c>
      <c r="Y157" s="14" t="s">
        <v>78</v>
      </c>
      <c r="Z157" s="14" t="s">
        <v>134</v>
      </c>
      <c r="AA157" s="13">
        <v>44214</v>
      </c>
      <c r="AB157" s="13">
        <v>44218</v>
      </c>
      <c r="AC157" s="14" t="s">
        <v>78</v>
      </c>
      <c r="AD157" s="13">
        <v>44232</v>
      </c>
      <c r="AE157" s="13">
        <v>44246</v>
      </c>
      <c r="AF157" s="14" t="s">
        <v>108</v>
      </c>
      <c r="AG157" s="14"/>
      <c r="AH157" s="14" t="s">
        <v>78</v>
      </c>
      <c r="AI157" s="14" t="s">
        <v>79</v>
      </c>
      <c r="AJ157" s="14" t="s">
        <v>203</v>
      </c>
      <c r="AK157" s="14" t="s">
        <v>333</v>
      </c>
      <c r="AL157" s="14" t="s">
        <v>259</v>
      </c>
      <c r="AM157" s="14" t="s">
        <v>259</v>
      </c>
      <c r="AN157" s="13" t="e">
        <f>#REF!</f>
        <v>#REF!</v>
      </c>
      <c r="AO157" s="13" t="e">
        <f>#REF!</f>
        <v>#REF!</v>
      </c>
      <c r="AP157" s="13">
        <v>44272</v>
      </c>
      <c r="AQ157" s="14" t="s">
        <v>10</v>
      </c>
      <c r="AR157" s="14" t="s">
        <v>1</v>
      </c>
      <c r="AS157" s="14">
        <v>1</v>
      </c>
      <c r="AT157" s="14"/>
      <c r="AU157" s="15"/>
    </row>
    <row r="158" spans="1:47" ht="28.5">
      <c r="A158" s="10" t="s">
        <v>473</v>
      </c>
      <c r="B158" s="10"/>
      <c r="C158" s="10"/>
      <c r="D158" s="10" t="s">
        <v>276</v>
      </c>
      <c r="E158" s="10"/>
      <c r="F158" s="10" t="s">
        <v>220</v>
      </c>
      <c r="G158" s="10" t="s">
        <v>397</v>
      </c>
      <c r="H158" s="12" t="s">
        <v>450</v>
      </c>
      <c r="I158" s="11" t="s">
        <v>474</v>
      </c>
      <c r="J158" s="12"/>
      <c r="K158" s="12" t="s">
        <v>358</v>
      </c>
      <c r="L158" s="11" t="s">
        <v>178</v>
      </c>
      <c r="M158" s="11" t="s">
        <v>78</v>
      </c>
      <c r="N158" s="12">
        <v>44211</v>
      </c>
      <c r="O158" s="12" t="s">
        <v>72</v>
      </c>
      <c r="P158" s="10" t="s">
        <v>78</v>
      </c>
      <c r="Q158" s="12">
        <v>44211</v>
      </c>
      <c r="R158" s="12" t="s">
        <v>74</v>
      </c>
      <c r="S158" s="12" t="s">
        <v>78</v>
      </c>
      <c r="T158" s="12">
        <v>44211</v>
      </c>
      <c r="U158" s="9" t="s">
        <v>76</v>
      </c>
      <c r="V158" s="9" t="s">
        <v>78</v>
      </c>
      <c r="W158" s="13">
        <v>44211</v>
      </c>
      <c r="X158" s="14" t="s">
        <v>208</v>
      </c>
      <c r="Y158" s="14" t="s">
        <v>78</v>
      </c>
      <c r="Z158" s="14" t="s">
        <v>134</v>
      </c>
      <c r="AA158" s="13">
        <v>44214</v>
      </c>
      <c r="AB158" s="13">
        <v>44218</v>
      </c>
      <c r="AC158" s="14" t="s">
        <v>78</v>
      </c>
      <c r="AD158" s="13">
        <v>44232</v>
      </c>
      <c r="AE158" s="13">
        <v>44246</v>
      </c>
      <c r="AF158" s="14" t="s">
        <v>108</v>
      </c>
      <c r="AG158" s="14"/>
      <c r="AH158" s="14" t="s">
        <v>78</v>
      </c>
      <c r="AI158" s="14" t="s">
        <v>79</v>
      </c>
      <c r="AJ158" s="14" t="s">
        <v>203</v>
      </c>
      <c r="AK158" s="14" t="s">
        <v>333</v>
      </c>
      <c r="AL158" s="14" t="s">
        <v>259</v>
      </c>
      <c r="AM158" s="14" t="s">
        <v>259</v>
      </c>
      <c r="AN158" s="13" t="e">
        <f>#REF!</f>
        <v>#REF!</v>
      </c>
      <c r="AO158" s="13" t="e">
        <f>#REF!</f>
        <v>#REF!</v>
      </c>
      <c r="AP158" s="13">
        <v>44272</v>
      </c>
      <c r="AQ158" s="14" t="s">
        <v>10</v>
      </c>
      <c r="AR158" s="14" t="s">
        <v>1</v>
      </c>
      <c r="AS158" s="14">
        <v>2</v>
      </c>
      <c r="AT158" s="14"/>
      <c r="AU158" s="15"/>
    </row>
    <row r="159" spans="1:47" ht="28.5">
      <c r="A159" s="9" t="s">
        <v>475</v>
      </c>
      <c r="B159" s="9"/>
      <c r="C159" s="9"/>
      <c r="D159" s="9" t="s">
        <v>276</v>
      </c>
      <c r="E159" s="10"/>
      <c r="F159" s="10" t="s">
        <v>220</v>
      </c>
      <c r="G159" s="10" t="s">
        <v>397</v>
      </c>
      <c r="H159" s="12" t="s">
        <v>450</v>
      </c>
      <c r="I159" s="11" t="s">
        <v>476</v>
      </c>
      <c r="J159" s="9"/>
      <c r="K159" s="12" t="s">
        <v>358</v>
      </c>
      <c r="L159" s="10" t="s">
        <v>178</v>
      </c>
      <c r="M159" s="11" t="s">
        <v>78</v>
      </c>
      <c r="N159" s="12">
        <v>44211</v>
      </c>
      <c r="O159" s="12" t="s">
        <v>72</v>
      </c>
      <c r="P159" s="10" t="s">
        <v>78</v>
      </c>
      <c r="Q159" s="12">
        <v>44211</v>
      </c>
      <c r="R159" s="12" t="s">
        <v>74</v>
      </c>
      <c r="S159" s="12" t="s">
        <v>78</v>
      </c>
      <c r="T159" s="12">
        <v>44211</v>
      </c>
      <c r="U159" s="9" t="s">
        <v>76</v>
      </c>
      <c r="V159" s="9" t="s">
        <v>78</v>
      </c>
      <c r="W159" s="13">
        <v>44211</v>
      </c>
      <c r="X159" s="14" t="s">
        <v>208</v>
      </c>
      <c r="Y159" s="14" t="s">
        <v>78</v>
      </c>
      <c r="Z159" s="14" t="s">
        <v>134</v>
      </c>
      <c r="AA159" s="13">
        <v>44214</v>
      </c>
      <c r="AB159" s="13">
        <v>44218</v>
      </c>
      <c r="AC159" s="14" t="s">
        <v>78</v>
      </c>
      <c r="AD159" s="13">
        <v>44232</v>
      </c>
      <c r="AE159" s="13">
        <v>44246</v>
      </c>
      <c r="AF159" s="14" t="s">
        <v>108</v>
      </c>
      <c r="AG159" s="14"/>
      <c r="AH159" s="14" t="s">
        <v>78</v>
      </c>
      <c r="AI159" s="14" t="s">
        <v>79</v>
      </c>
      <c r="AJ159" s="14" t="s">
        <v>203</v>
      </c>
      <c r="AK159" s="14" t="s">
        <v>333</v>
      </c>
      <c r="AL159" s="14" t="s">
        <v>259</v>
      </c>
      <c r="AM159" s="14" t="s">
        <v>259</v>
      </c>
      <c r="AN159" s="13" t="e">
        <f>#REF!</f>
        <v>#REF!</v>
      </c>
      <c r="AO159" s="13" t="e">
        <f>#REF!</f>
        <v>#REF!</v>
      </c>
      <c r="AP159" s="13">
        <v>44272</v>
      </c>
      <c r="AQ159" s="14" t="s">
        <v>10</v>
      </c>
      <c r="AR159" s="14" t="s">
        <v>1</v>
      </c>
      <c r="AS159" s="14">
        <v>2</v>
      </c>
      <c r="AT159" s="14"/>
      <c r="AU159" s="15"/>
    </row>
    <row r="160" spans="1:47" ht="28.5">
      <c r="A160" s="9" t="s">
        <v>477</v>
      </c>
      <c r="B160" s="9"/>
      <c r="C160" s="9"/>
      <c r="D160" s="9" t="s">
        <v>276</v>
      </c>
      <c r="E160" s="10"/>
      <c r="F160" s="10" t="s">
        <v>220</v>
      </c>
      <c r="G160" s="10" t="s">
        <v>397</v>
      </c>
      <c r="H160" s="12" t="s">
        <v>478</v>
      </c>
      <c r="I160" s="11"/>
      <c r="J160" s="12"/>
      <c r="K160" s="12" t="s">
        <v>358</v>
      </c>
      <c r="L160" s="10" t="s">
        <v>178</v>
      </c>
      <c r="M160" s="11" t="s">
        <v>78</v>
      </c>
      <c r="N160" s="12">
        <v>44211</v>
      </c>
      <c r="O160" s="12" t="s">
        <v>72</v>
      </c>
      <c r="P160" s="10" t="s">
        <v>78</v>
      </c>
      <c r="Q160" s="12">
        <v>44211</v>
      </c>
      <c r="R160" s="12" t="s">
        <v>74</v>
      </c>
      <c r="S160" s="12" t="s">
        <v>78</v>
      </c>
      <c r="T160" s="12">
        <v>44211</v>
      </c>
      <c r="U160" s="9" t="s">
        <v>76</v>
      </c>
      <c r="V160" s="9" t="s">
        <v>78</v>
      </c>
      <c r="W160" s="13">
        <v>44211</v>
      </c>
      <c r="X160" s="14" t="s">
        <v>208</v>
      </c>
      <c r="Y160" s="14" t="s">
        <v>78</v>
      </c>
      <c r="Z160" s="14" t="s">
        <v>134</v>
      </c>
      <c r="AA160" s="13">
        <v>44214</v>
      </c>
      <c r="AB160" s="13">
        <v>44218</v>
      </c>
      <c r="AC160" s="14" t="s">
        <v>78</v>
      </c>
      <c r="AD160" s="13">
        <v>44232</v>
      </c>
      <c r="AE160" s="13">
        <v>44246</v>
      </c>
      <c r="AF160" s="14" t="s">
        <v>108</v>
      </c>
      <c r="AG160" s="14"/>
      <c r="AH160" s="14" t="s">
        <v>78</v>
      </c>
      <c r="AI160" s="14" t="s">
        <v>79</v>
      </c>
      <c r="AJ160" s="14" t="s">
        <v>203</v>
      </c>
      <c r="AK160" s="14" t="s">
        <v>333</v>
      </c>
      <c r="AL160" s="14" t="s">
        <v>259</v>
      </c>
      <c r="AM160" s="14" t="s">
        <v>259</v>
      </c>
      <c r="AN160" s="13" t="e">
        <f>#REF!</f>
        <v>#REF!</v>
      </c>
      <c r="AO160" s="13" t="e">
        <f>#REF!</f>
        <v>#REF!</v>
      </c>
      <c r="AP160" s="13">
        <v>44272</v>
      </c>
      <c r="AQ160" s="14" t="s">
        <v>10</v>
      </c>
      <c r="AR160" s="14" t="s">
        <v>1</v>
      </c>
      <c r="AS160" s="14">
        <v>10</v>
      </c>
      <c r="AT160" s="14"/>
      <c r="AU160" s="15"/>
    </row>
    <row r="161" spans="1:47" ht="42.75">
      <c r="A161" s="9" t="s">
        <v>479</v>
      </c>
      <c r="B161" s="9"/>
      <c r="C161" s="9"/>
      <c r="D161" s="9" t="s">
        <v>276</v>
      </c>
      <c r="E161" s="10"/>
      <c r="F161" s="10" t="s">
        <v>220</v>
      </c>
      <c r="G161" s="10" t="s">
        <v>397</v>
      </c>
      <c r="H161" s="12" t="s">
        <v>480</v>
      </c>
      <c r="I161" s="11" t="s">
        <v>481</v>
      </c>
      <c r="J161" s="12"/>
      <c r="K161" s="12" t="s">
        <v>358</v>
      </c>
      <c r="L161" s="10" t="s">
        <v>178</v>
      </c>
      <c r="M161" s="11" t="s">
        <v>78</v>
      </c>
      <c r="N161" s="12">
        <v>44211</v>
      </c>
      <c r="O161" s="12" t="s">
        <v>72</v>
      </c>
      <c r="P161" s="10" t="s">
        <v>78</v>
      </c>
      <c r="Q161" s="12">
        <v>44211</v>
      </c>
      <c r="R161" s="12" t="s">
        <v>74</v>
      </c>
      <c r="S161" s="12" t="s">
        <v>78</v>
      </c>
      <c r="T161" s="12">
        <v>44211</v>
      </c>
      <c r="U161" s="9" t="s">
        <v>76</v>
      </c>
      <c r="V161" s="9" t="s">
        <v>78</v>
      </c>
      <c r="W161" s="13">
        <v>44211</v>
      </c>
      <c r="X161" s="14" t="s">
        <v>208</v>
      </c>
      <c r="Y161" s="14" t="s">
        <v>78</v>
      </c>
      <c r="Z161" s="14" t="s">
        <v>134</v>
      </c>
      <c r="AA161" s="13">
        <v>44214</v>
      </c>
      <c r="AB161" s="13">
        <v>44218</v>
      </c>
      <c r="AC161" s="14" t="s">
        <v>78</v>
      </c>
      <c r="AD161" s="13">
        <v>44232</v>
      </c>
      <c r="AE161" s="13">
        <v>44246</v>
      </c>
      <c r="AF161" s="14" t="s">
        <v>108</v>
      </c>
      <c r="AG161" s="14"/>
      <c r="AH161" s="14" t="s">
        <v>78</v>
      </c>
      <c r="AI161" s="14" t="s">
        <v>79</v>
      </c>
      <c r="AJ161" s="14" t="s">
        <v>203</v>
      </c>
      <c r="AK161" s="14" t="s">
        <v>333</v>
      </c>
      <c r="AL161" s="14" t="s">
        <v>259</v>
      </c>
      <c r="AM161" s="14" t="s">
        <v>259</v>
      </c>
      <c r="AN161" s="13" t="e">
        <f>#REF!</f>
        <v>#REF!</v>
      </c>
      <c r="AO161" s="13" t="e">
        <f>#REF!</f>
        <v>#REF!</v>
      </c>
      <c r="AP161" s="13">
        <v>44272</v>
      </c>
      <c r="AQ161" s="14" t="s">
        <v>10</v>
      </c>
      <c r="AR161" s="14" t="s">
        <v>1</v>
      </c>
      <c r="AS161" s="14">
        <v>4</v>
      </c>
      <c r="AT161" s="14"/>
      <c r="AU161" s="15"/>
    </row>
    <row r="162" spans="1:47" ht="42.75">
      <c r="A162" s="9" t="s">
        <v>482</v>
      </c>
      <c r="B162" s="9"/>
      <c r="C162" s="9"/>
      <c r="D162" s="9" t="s">
        <v>276</v>
      </c>
      <c r="E162" s="10"/>
      <c r="F162" s="10" t="s">
        <v>220</v>
      </c>
      <c r="G162" s="10" t="s">
        <v>397</v>
      </c>
      <c r="H162" s="12" t="s">
        <v>483</v>
      </c>
      <c r="I162" s="11" t="s">
        <v>484</v>
      </c>
      <c r="J162" s="12"/>
      <c r="K162" s="12" t="s">
        <v>358</v>
      </c>
      <c r="L162" s="10" t="s">
        <v>178</v>
      </c>
      <c r="M162" s="11" t="s">
        <v>78</v>
      </c>
      <c r="N162" s="12">
        <v>44211</v>
      </c>
      <c r="O162" s="12" t="s">
        <v>72</v>
      </c>
      <c r="P162" s="10" t="s">
        <v>78</v>
      </c>
      <c r="Q162" s="12">
        <v>44211</v>
      </c>
      <c r="R162" s="12" t="s">
        <v>74</v>
      </c>
      <c r="S162" s="12" t="s">
        <v>78</v>
      </c>
      <c r="T162" s="12">
        <v>44211</v>
      </c>
      <c r="U162" s="9" t="s">
        <v>76</v>
      </c>
      <c r="V162" s="9" t="s">
        <v>78</v>
      </c>
      <c r="W162" s="13">
        <v>44211</v>
      </c>
      <c r="X162" s="14" t="s">
        <v>208</v>
      </c>
      <c r="Y162" s="14" t="s">
        <v>78</v>
      </c>
      <c r="Z162" s="14" t="s">
        <v>134</v>
      </c>
      <c r="AA162" s="13">
        <v>44214</v>
      </c>
      <c r="AB162" s="13">
        <v>44218</v>
      </c>
      <c r="AC162" s="14" t="s">
        <v>78</v>
      </c>
      <c r="AD162" s="13">
        <v>44232</v>
      </c>
      <c r="AE162" s="13">
        <v>44246</v>
      </c>
      <c r="AF162" s="14" t="s">
        <v>108</v>
      </c>
      <c r="AG162" s="14"/>
      <c r="AH162" s="14" t="s">
        <v>78</v>
      </c>
      <c r="AI162" s="14" t="s">
        <v>79</v>
      </c>
      <c r="AJ162" s="14" t="s">
        <v>203</v>
      </c>
      <c r="AK162" s="14" t="s">
        <v>333</v>
      </c>
      <c r="AL162" s="14" t="s">
        <v>259</v>
      </c>
      <c r="AM162" s="14" t="s">
        <v>259</v>
      </c>
      <c r="AN162" s="13" t="e">
        <f>#REF!</f>
        <v>#REF!</v>
      </c>
      <c r="AO162" s="13" t="e">
        <f>#REF!</f>
        <v>#REF!</v>
      </c>
      <c r="AP162" s="13">
        <v>44272</v>
      </c>
      <c r="AQ162" s="14" t="s">
        <v>10</v>
      </c>
      <c r="AR162" s="14" t="s">
        <v>1</v>
      </c>
      <c r="AS162" s="14">
        <v>8</v>
      </c>
      <c r="AT162" s="14"/>
      <c r="AU162" s="15"/>
    </row>
    <row r="163" spans="1:47" ht="42.75">
      <c r="A163" s="9" t="s">
        <v>513</v>
      </c>
      <c r="B163" s="9"/>
      <c r="C163" s="17"/>
      <c r="D163" s="9" t="s">
        <v>183</v>
      </c>
      <c r="E163" s="10"/>
      <c r="F163" s="10" t="s">
        <v>220</v>
      </c>
      <c r="G163" s="10" t="s">
        <v>245</v>
      </c>
      <c r="H163" s="12" t="s">
        <v>508</v>
      </c>
      <c r="I163" s="11" t="s">
        <v>514</v>
      </c>
      <c r="J163" s="12" t="s">
        <v>71</v>
      </c>
      <c r="K163" s="12" t="s">
        <v>229</v>
      </c>
      <c r="L163" s="12" t="s">
        <v>178</v>
      </c>
      <c r="M163" s="11" t="s">
        <v>78</v>
      </c>
      <c r="N163" s="12">
        <v>44211</v>
      </c>
      <c r="O163" s="12" t="s">
        <v>72</v>
      </c>
      <c r="P163" s="10" t="s">
        <v>78</v>
      </c>
      <c r="Q163" s="12">
        <v>44211</v>
      </c>
      <c r="R163" s="12" t="s">
        <v>74</v>
      </c>
      <c r="S163" s="12" t="s">
        <v>78</v>
      </c>
      <c r="T163" s="12">
        <v>44211</v>
      </c>
      <c r="U163" s="9" t="s">
        <v>188</v>
      </c>
      <c r="V163" s="9" t="s">
        <v>78</v>
      </c>
      <c r="W163" s="13">
        <v>44211</v>
      </c>
      <c r="X163" s="14" t="s">
        <v>189</v>
      </c>
      <c r="Y163" s="14" t="s">
        <v>78</v>
      </c>
      <c r="Z163" s="14" t="s">
        <v>134</v>
      </c>
      <c r="AA163" s="13">
        <v>44214</v>
      </c>
      <c r="AB163" s="13">
        <v>44218</v>
      </c>
      <c r="AC163" s="14" t="s">
        <v>78</v>
      </c>
      <c r="AD163" s="13">
        <v>44232</v>
      </c>
      <c r="AE163" s="13">
        <v>44246</v>
      </c>
      <c r="AF163" s="14" t="s">
        <v>108</v>
      </c>
      <c r="AG163" s="14"/>
      <c r="AH163" s="14" t="s">
        <v>78</v>
      </c>
      <c r="AI163" s="14" t="s">
        <v>190</v>
      </c>
      <c r="AJ163" s="14" t="s">
        <v>6</v>
      </c>
      <c r="AK163" s="14" t="s">
        <v>148</v>
      </c>
      <c r="AL163" s="14" t="s">
        <v>8</v>
      </c>
      <c r="AM163" s="14" t="s">
        <v>259</v>
      </c>
      <c r="AN163" s="13" t="e">
        <f>#REF!</f>
        <v>#REF!</v>
      </c>
      <c r="AO163" s="13" t="e">
        <f>#REF!</f>
        <v>#REF!</v>
      </c>
      <c r="AP163" s="13">
        <v>44272</v>
      </c>
      <c r="AQ163" s="14" t="s">
        <v>6</v>
      </c>
      <c r="AR163" s="14" t="s">
        <v>4</v>
      </c>
      <c r="AS163" s="14">
        <v>0</v>
      </c>
      <c r="AT163" s="14"/>
      <c r="AU163" s="15"/>
    </row>
    <row r="164" spans="1:47" ht="42.75">
      <c r="A164" s="9" t="s">
        <v>528</v>
      </c>
      <c r="B164" s="9"/>
      <c r="C164" s="9"/>
      <c r="D164" s="9" t="s">
        <v>276</v>
      </c>
      <c r="E164" s="10"/>
      <c r="F164" s="10" t="s">
        <v>220</v>
      </c>
      <c r="G164" s="10" t="s">
        <v>397</v>
      </c>
      <c r="H164" s="12" t="s">
        <v>529</v>
      </c>
      <c r="I164" s="11" t="s">
        <v>530</v>
      </c>
      <c r="J164" s="12"/>
      <c r="K164" s="12" t="s">
        <v>358</v>
      </c>
      <c r="L164" s="10" t="s">
        <v>178</v>
      </c>
      <c r="M164" s="11" t="s">
        <v>78</v>
      </c>
      <c r="N164" s="12">
        <v>44211</v>
      </c>
      <c r="O164" s="12" t="s">
        <v>72</v>
      </c>
      <c r="P164" s="10" t="s">
        <v>78</v>
      </c>
      <c r="Q164" s="12">
        <v>44211</v>
      </c>
      <c r="R164" s="12" t="s">
        <v>74</v>
      </c>
      <c r="S164" s="12" t="s">
        <v>78</v>
      </c>
      <c r="T164" s="12">
        <v>44211</v>
      </c>
      <c r="U164" s="9" t="s">
        <v>76</v>
      </c>
      <c r="V164" s="9" t="s">
        <v>78</v>
      </c>
      <c r="W164" s="13">
        <v>44211</v>
      </c>
      <c r="X164" s="14" t="s">
        <v>208</v>
      </c>
      <c r="Y164" s="14" t="s">
        <v>78</v>
      </c>
      <c r="Z164" s="14" t="s">
        <v>134</v>
      </c>
      <c r="AA164" s="13">
        <v>44214</v>
      </c>
      <c r="AB164" s="13">
        <v>44218</v>
      </c>
      <c r="AC164" s="14" t="s">
        <v>78</v>
      </c>
      <c r="AD164" s="13">
        <v>44232</v>
      </c>
      <c r="AE164" s="13">
        <v>44225</v>
      </c>
      <c r="AF164" s="14" t="s">
        <v>108</v>
      </c>
      <c r="AG164" s="14"/>
      <c r="AH164" s="14" t="s">
        <v>78</v>
      </c>
      <c r="AI164" s="14" t="s">
        <v>79</v>
      </c>
      <c r="AJ164" s="14" t="s">
        <v>203</v>
      </c>
      <c r="AK164" s="14" t="s">
        <v>148</v>
      </c>
      <c r="AL164" s="14" t="s">
        <v>259</v>
      </c>
      <c r="AM164" s="14" t="s">
        <v>259</v>
      </c>
      <c r="AN164" s="13" t="e">
        <f>#REF!</f>
        <v>#REF!</v>
      </c>
      <c r="AO164" s="13" t="e">
        <f>#REF!</f>
        <v>#REF!</v>
      </c>
      <c r="AP164" s="13">
        <v>44272</v>
      </c>
      <c r="AQ164" s="14" t="s">
        <v>10</v>
      </c>
      <c r="AR164" s="14" t="s">
        <v>1</v>
      </c>
      <c r="AS164" s="14">
        <v>10</v>
      </c>
      <c r="AT164" s="14"/>
      <c r="AU164" s="15"/>
    </row>
    <row r="165" spans="1:47" ht="99.75">
      <c r="A165" s="9" t="s">
        <v>219</v>
      </c>
      <c r="B165" s="9"/>
      <c r="C165" s="9"/>
      <c r="D165" s="9" t="s">
        <v>183</v>
      </c>
      <c r="E165" s="10"/>
      <c r="F165" s="10" t="s">
        <v>220</v>
      </c>
      <c r="G165" s="10" t="s">
        <v>221</v>
      </c>
      <c r="H165" s="12" t="s">
        <v>222</v>
      </c>
      <c r="I165" s="11" t="s">
        <v>223</v>
      </c>
      <c r="J165" s="12" t="s">
        <v>71</v>
      </c>
      <c r="K165" s="12" t="s">
        <v>229</v>
      </c>
      <c r="L165" s="10" t="s">
        <v>178</v>
      </c>
      <c r="M165" s="11" t="s">
        <v>78</v>
      </c>
      <c r="N165" s="12">
        <v>44232</v>
      </c>
      <c r="O165" s="12" t="s">
        <v>72</v>
      </c>
      <c r="P165" s="10" t="s">
        <v>78</v>
      </c>
      <c r="Q165" s="12">
        <v>44232</v>
      </c>
      <c r="R165" s="12" t="s">
        <v>74</v>
      </c>
      <c r="S165" s="12" t="s">
        <v>78</v>
      </c>
      <c r="T165" s="12">
        <v>44232</v>
      </c>
      <c r="U165" s="9" t="s">
        <v>188</v>
      </c>
      <c r="V165" s="9" t="s">
        <v>78</v>
      </c>
      <c r="W165" s="13">
        <v>44232</v>
      </c>
      <c r="X165" s="14" t="s">
        <v>189</v>
      </c>
      <c r="Y165" s="14" t="s">
        <v>78</v>
      </c>
      <c r="Z165" s="14" t="s">
        <v>134</v>
      </c>
      <c r="AA165" s="13">
        <v>44235</v>
      </c>
      <c r="AB165" s="13">
        <v>44239</v>
      </c>
      <c r="AC165" s="14" t="s">
        <v>78</v>
      </c>
      <c r="AD165" s="13">
        <v>44253</v>
      </c>
      <c r="AE165" s="13">
        <v>44267</v>
      </c>
      <c r="AF165" s="14" t="s">
        <v>108</v>
      </c>
      <c r="AG165" s="14"/>
      <c r="AH165" s="14">
        <v>44242</v>
      </c>
      <c r="AI165" s="14" t="s">
        <v>190</v>
      </c>
      <c r="AJ165" s="14" t="s">
        <v>6</v>
      </c>
      <c r="AK165" s="14" t="s">
        <v>9</v>
      </c>
      <c r="AL165" s="14" t="s">
        <v>8</v>
      </c>
      <c r="AM165" s="14" t="s">
        <v>16</v>
      </c>
      <c r="AN165" s="13" t="e">
        <f>#REF!</f>
        <v>#REF!</v>
      </c>
      <c r="AO165" s="13" t="e">
        <f>#REF!</f>
        <v>#REF!</v>
      </c>
      <c r="AP165" s="13">
        <v>44276</v>
      </c>
      <c r="AQ165" s="14" t="s">
        <v>6</v>
      </c>
      <c r="AR165" s="14" t="s">
        <v>3</v>
      </c>
      <c r="AS165" s="14">
        <v>40</v>
      </c>
      <c r="AT165" s="14"/>
      <c r="AU165" s="15"/>
    </row>
    <row r="166" spans="1:47" ht="71.25">
      <c r="A166" s="9" t="s">
        <v>439</v>
      </c>
      <c r="B166" s="9"/>
      <c r="C166" s="9"/>
      <c r="D166" s="9" t="s">
        <v>183</v>
      </c>
      <c r="E166" s="10"/>
      <c r="F166" s="10" t="s">
        <v>220</v>
      </c>
      <c r="G166" s="10" t="s">
        <v>248</v>
      </c>
      <c r="H166" s="12" t="s">
        <v>248</v>
      </c>
      <c r="I166" s="11" t="s">
        <v>440</v>
      </c>
      <c r="J166" s="12" t="s">
        <v>71</v>
      </c>
      <c r="K166" s="12" t="s">
        <v>229</v>
      </c>
      <c r="L166" s="11" t="s">
        <v>178</v>
      </c>
      <c r="M166" s="11" t="s">
        <v>78</v>
      </c>
      <c r="N166" s="12">
        <v>44232</v>
      </c>
      <c r="O166" s="12" t="s">
        <v>72</v>
      </c>
      <c r="P166" s="9" t="s">
        <v>78</v>
      </c>
      <c r="Q166" s="12">
        <v>44232</v>
      </c>
      <c r="R166" s="12" t="s">
        <v>74</v>
      </c>
      <c r="S166" s="12" t="s">
        <v>78</v>
      </c>
      <c r="T166" s="12">
        <v>44232</v>
      </c>
      <c r="U166" s="9" t="s">
        <v>188</v>
      </c>
      <c r="V166" s="9" t="s">
        <v>78</v>
      </c>
      <c r="W166" s="13">
        <v>44232</v>
      </c>
      <c r="X166" s="14" t="s">
        <v>189</v>
      </c>
      <c r="Y166" s="14" t="s">
        <v>78</v>
      </c>
      <c r="Z166" s="14" t="s">
        <v>134</v>
      </c>
      <c r="AA166" s="13">
        <v>44235</v>
      </c>
      <c r="AB166" s="13">
        <v>44239</v>
      </c>
      <c r="AC166" s="14" t="s">
        <v>78</v>
      </c>
      <c r="AD166" s="13">
        <v>44253</v>
      </c>
      <c r="AE166" s="13">
        <v>44267</v>
      </c>
      <c r="AF166" s="14" t="s">
        <v>108</v>
      </c>
      <c r="AG166" s="14"/>
      <c r="AH166" s="14">
        <v>44242</v>
      </c>
      <c r="AI166" s="14" t="s">
        <v>190</v>
      </c>
      <c r="AJ166" s="14" t="s">
        <v>6</v>
      </c>
      <c r="AK166" s="14" t="s">
        <v>88</v>
      </c>
      <c r="AL166" s="14" t="s">
        <v>8</v>
      </c>
      <c r="AM166" s="14" t="s">
        <v>16</v>
      </c>
      <c r="AN166" s="13" t="e">
        <f>#REF!</f>
        <v>#REF!</v>
      </c>
      <c r="AO166" s="13" t="e">
        <f>#REF!</f>
        <v>#REF!</v>
      </c>
      <c r="AP166" s="13">
        <v>44276</v>
      </c>
      <c r="AQ166" s="14" t="s">
        <v>6</v>
      </c>
      <c r="AR166" s="14" t="s">
        <v>4</v>
      </c>
      <c r="AS166" s="14">
        <v>40</v>
      </c>
      <c r="AT166" s="14"/>
      <c r="AU166" s="15"/>
    </row>
    <row r="167" spans="1:47" ht="57">
      <c r="A167" s="9" t="s">
        <v>523</v>
      </c>
      <c r="B167" s="9"/>
      <c r="C167" s="17"/>
      <c r="D167" s="9" t="s">
        <v>183</v>
      </c>
      <c r="E167" s="10"/>
      <c r="F167" s="10" t="s">
        <v>220</v>
      </c>
      <c r="G167" s="10" t="s">
        <v>248</v>
      </c>
      <c r="H167" s="12" t="s">
        <v>248</v>
      </c>
      <c r="I167" s="11" t="s">
        <v>524</v>
      </c>
      <c r="J167" s="12" t="s">
        <v>71</v>
      </c>
      <c r="K167" s="12" t="s">
        <v>229</v>
      </c>
      <c r="L167" s="12" t="s">
        <v>178</v>
      </c>
      <c r="M167" s="11" t="s">
        <v>78</v>
      </c>
      <c r="N167" s="12">
        <v>44232</v>
      </c>
      <c r="O167" s="12" t="s">
        <v>72</v>
      </c>
      <c r="P167" s="10" t="s">
        <v>78</v>
      </c>
      <c r="Q167" s="12">
        <v>44232</v>
      </c>
      <c r="R167" s="12" t="s">
        <v>74</v>
      </c>
      <c r="S167" s="12" t="s">
        <v>78</v>
      </c>
      <c r="T167" s="12">
        <v>44232</v>
      </c>
      <c r="U167" s="9" t="s">
        <v>188</v>
      </c>
      <c r="V167" s="9" t="s">
        <v>78</v>
      </c>
      <c r="W167" s="13">
        <v>44232</v>
      </c>
      <c r="X167" s="14" t="s">
        <v>189</v>
      </c>
      <c r="Y167" s="14" t="s">
        <v>78</v>
      </c>
      <c r="Z167" s="14" t="s">
        <v>134</v>
      </c>
      <c r="AA167" s="13">
        <v>44235</v>
      </c>
      <c r="AB167" s="13">
        <v>44239</v>
      </c>
      <c r="AC167" s="14" t="s">
        <v>78</v>
      </c>
      <c r="AD167" s="13">
        <v>44253</v>
      </c>
      <c r="AE167" s="13">
        <v>44267</v>
      </c>
      <c r="AF167" s="14" t="s">
        <v>108</v>
      </c>
      <c r="AG167" s="14"/>
      <c r="AH167" s="14">
        <v>44242</v>
      </c>
      <c r="AI167" s="14" t="s">
        <v>190</v>
      </c>
      <c r="AJ167" s="14" t="s">
        <v>6</v>
      </c>
      <c r="AK167" s="14" t="s">
        <v>148</v>
      </c>
      <c r="AL167" s="14" t="s">
        <v>8</v>
      </c>
      <c r="AM167" s="14" t="s">
        <v>16</v>
      </c>
      <c r="AN167" s="13" t="e">
        <f>#REF!</f>
        <v>#REF!</v>
      </c>
      <c r="AO167" s="13" t="e">
        <f>#REF!</f>
        <v>#REF!</v>
      </c>
      <c r="AP167" s="13">
        <v>44276</v>
      </c>
      <c r="AQ167" s="14" t="s">
        <v>6</v>
      </c>
      <c r="AR167" s="14" t="s">
        <v>4</v>
      </c>
      <c r="AS167" s="14">
        <v>20</v>
      </c>
      <c r="AT167" s="14"/>
      <c r="AU167" s="15"/>
    </row>
    <row r="168" spans="1:47" ht="28.5">
      <c r="A168" s="9" t="s">
        <v>584</v>
      </c>
      <c r="B168" s="9"/>
      <c r="C168" s="9"/>
      <c r="D168" s="9" t="s">
        <v>183</v>
      </c>
      <c r="E168" s="10"/>
      <c r="F168" s="10" t="s">
        <v>220</v>
      </c>
      <c r="G168" s="10" t="s">
        <v>245</v>
      </c>
      <c r="H168" s="12" t="s">
        <v>585</v>
      </c>
      <c r="I168" s="11" t="s">
        <v>586</v>
      </c>
      <c r="J168" s="12" t="s">
        <v>71</v>
      </c>
      <c r="K168" s="12" t="s">
        <v>229</v>
      </c>
      <c r="L168" s="11" t="s">
        <v>178</v>
      </c>
      <c r="M168" s="11" t="s">
        <v>78</v>
      </c>
      <c r="N168" s="12">
        <v>44232</v>
      </c>
      <c r="O168" s="12" t="s">
        <v>72</v>
      </c>
      <c r="P168" s="9" t="s">
        <v>78</v>
      </c>
      <c r="Q168" s="12">
        <v>44232</v>
      </c>
      <c r="R168" s="12" t="s">
        <v>74</v>
      </c>
      <c r="S168" s="12" t="s">
        <v>78</v>
      </c>
      <c r="T168" s="12">
        <v>44232</v>
      </c>
      <c r="U168" s="9" t="s">
        <v>188</v>
      </c>
      <c r="V168" s="9" t="s">
        <v>78</v>
      </c>
      <c r="W168" s="13">
        <v>44232</v>
      </c>
      <c r="X168" s="14" t="s">
        <v>189</v>
      </c>
      <c r="Y168" s="14" t="s">
        <v>78</v>
      </c>
      <c r="Z168" s="14" t="s">
        <v>134</v>
      </c>
      <c r="AA168" s="13">
        <v>44235</v>
      </c>
      <c r="AB168" s="13">
        <v>44239</v>
      </c>
      <c r="AC168" s="14" t="s">
        <v>78</v>
      </c>
      <c r="AD168" s="13">
        <v>44253</v>
      </c>
      <c r="AE168" s="13">
        <v>44267</v>
      </c>
      <c r="AF168" s="14" t="s">
        <v>108</v>
      </c>
      <c r="AG168" s="14"/>
      <c r="AH168" s="14">
        <v>44242</v>
      </c>
      <c r="AI168" s="14" t="s">
        <v>190</v>
      </c>
      <c r="AJ168" s="14" t="s">
        <v>6</v>
      </c>
      <c r="AK168" s="14" t="s">
        <v>259</v>
      </c>
      <c r="AL168" s="14" t="s">
        <v>8</v>
      </c>
      <c r="AM168" s="14" t="s">
        <v>16</v>
      </c>
      <c r="AN168" s="13" t="e">
        <f>#REF!</f>
        <v>#REF!</v>
      </c>
      <c r="AO168" s="13" t="e">
        <f>#REF!</f>
        <v>#REF!</v>
      </c>
      <c r="AP168" s="13">
        <v>44276</v>
      </c>
      <c r="AQ168" s="14" t="s">
        <v>6</v>
      </c>
      <c r="AR168" s="14" t="s">
        <v>4</v>
      </c>
      <c r="AS168" s="14">
        <v>50</v>
      </c>
      <c r="AT168" s="14"/>
      <c r="AU168" s="15"/>
    </row>
    <row r="169" spans="1:47" ht="28.5">
      <c r="A169" s="9" t="s">
        <v>587</v>
      </c>
      <c r="B169" s="9"/>
      <c r="C169" s="9"/>
      <c r="D169" s="9" t="s">
        <v>183</v>
      </c>
      <c r="E169" s="10"/>
      <c r="F169" s="10" t="s">
        <v>220</v>
      </c>
      <c r="G169" s="10" t="s">
        <v>245</v>
      </c>
      <c r="H169" s="12" t="s">
        <v>588</v>
      </c>
      <c r="I169" s="11" t="s">
        <v>589</v>
      </c>
      <c r="J169" s="12" t="s">
        <v>71</v>
      </c>
      <c r="K169" s="12" t="s">
        <v>229</v>
      </c>
      <c r="L169" s="11" t="s">
        <v>178</v>
      </c>
      <c r="M169" s="11" t="s">
        <v>78</v>
      </c>
      <c r="N169" s="12">
        <v>44232</v>
      </c>
      <c r="O169" s="12" t="s">
        <v>72</v>
      </c>
      <c r="P169" s="9" t="s">
        <v>78</v>
      </c>
      <c r="Q169" s="12">
        <v>44232</v>
      </c>
      <c r="R169" s="12" t="s">
        <v>74</v>
      </c>
      <c r="S169" s="12" t="s">
        <v>78</v>
      </c>
      <c r="T169" s="12">
        <v>44232</v>
      </c>
      <c r="U169" s="9" t="s">
        <v>188</v>
      </c>
      <c r="V169" s="9" t="s">
        <v>78</v>
      </c>
      <c r="W169" s="13">
        <v>44232</v>
      </c>
      <c r="X169" s="14" t="s">
        <v>189</v>
      </c>
      <c r="Y169" s="14" t="s">
        <v>78</v>
      </c>
      <c r="Z169" s="14" t="s">
        <v>134</v>
      </c>
      <c r="AA169" s="13">
        <v>44235</v>
      </c>
      <c r="AB169" s="13">
        <v>44239</v>
      </c>
      <c r="AC169" s="14" t="s">
        <v>78</v>
      </c>
      <c r="AD169" s="13">
        <v>44253</v>
      </c>
      <c r="AE169" s="13">
        <v>44267</v>
      </c>
      <c r="AF169" s="14" t="s">
        <v>108</v>
      </c>
      <c r="AG169" s="14"/>
      <c r="AH169" s="14">
        <v>44242</v>
      </c>
      <c r="AI169" s="14" t="s">
        <v>190</v>
      </c>
      <c r="AJ169" s="14" t="s">
        <v>6</v>
      </c>
      <c r="AK169" s="14" t="s">
        <v>259</v>
      </c>
      <c r="AL169" s="14" t="s">
        <v>8</v>
      </c>
      <c r="AM169" s="14" t="s">
        <v>16</v>
      </c>
      <c r="AN169" s="13" t="e">
        <f>#REF!</f>
        <v>#REF!</v>
      </c>
      <c r="AO169" s="13" t="e">
        <f>#REF!</f>
        <v>#REF!</v>
      </c>
      <c r="AP169" s="13">
        <v>44276</v>
      </c>
      <c r="AQ169" s="14" t="s">
        <v>6</v>
      </c>
      <c r="AR169" s="14" t="s">
        <v>4</v>
      </c>
      <c r="AS169" s="14">
        <v>50</v>
      </c>
      <c r="AT169" s="14"/>
      <c r="AU169" s="15"/>
    </row>
    <row r="170" spans="1:47" ht="71.25">
      <c r="A170" s="9" t="s">
        <v>608</v>
      </c>
      <c r="B170" s="9"/>
      <c r="C170" s="9"/>
      <c r="D170" s="9" t="s">
        <v>183</v>
      </c>
      <c r="E170" s="10" t="s">
        <v>609</v>
      </c>
      <c r="F170" s="10" t="s">
        <v>610</v>
      </c>
      <c r="G170" s="10" t="s">
        <v>232</v>
      </c>
      <c r="H170" s="12" t="s">
        <v>611</v>
      </c>
      <c r="I170" s="11" t="s">
        <v>781</v>
      </c>
      <c r="J170" s="12" t="s">
        <v>71</v>
      </c>
      <c r="K170" s="12" t="s">
        <v>612</v>
      </c>
      <c r="L170" s="11" t="s">
        <v>178</v>
      </c>
      <c r="M170" s="11" t="s">
        <v>78</v>
      </c>
      <c r="N170" s="12">
        <v>44232</v>
      </c>
      <c r="O170" s="12" t="s">
        <v>72</v>
      </c>
      <c r="P170" s="9" t="s">
        <v>78</v>
      </c>
      <c r="Q170" s="12">
        <v>44232</v>
      </c>
      <c r="R170" s="12" t="s">
        <v>74</v>
      </c>
      <c r="S170" s="12" t="s">
        <v>78</v>
      </c>
      <c r="T170" s="12">
        <v>44232</v>
      </c>
      <c r="U170" s="9" t="s">
        <v>188</v>
      </c>
      <c r="V170" s="9" t="s">
        <v>78</v>
      </c>
      <c r="W170" s="13">
        <v>44232</v>
      </c>
      <c r="X170" s="14" t="s">
        <v>389</v>
      </c>
      <c r="Y170" s="14" t="s">
        <v>78</v>
      </c>
      <c r="Z170" s="14" t="s">
        <v>134</v>
      </c>
      <c r="AA170" s="13">
        <v>44235</v>
      </c>
      <c r="AB170" s="13">
        <v>44239</v>
      </c>
      <c r="AC170" s="14" t="s">
        <v>78</v>
      </c>
      <c r="AD170" s="13">
        <v>44253</v>
      </c>
      <c r="AE170" s="13">
        <v>44267</v>
      </c>
      <c r="AF170" s="14" t="s">
        <v>108</v>
      </c>
      <c r="AG170" s="14"/>
      <c r="AH170" s="14" t="s">
        <v>78</v>
      </c>
      <c r="AI170" s="14" t="s">
        <v>190</v>
      </c>
      <c r="AJ170" s="14" t="s">
        <v>6</v>
      </c>
      <c r="AK170" s="14" t="s">
        <v>16</v>
      </c>
      <c r="AL170" s="14" t="s">
        <v>9</v>
      </c>
      <c r="AM170" s="14" t="s">
        <v>16</v>
      </c>
      <c r="AN170" s="13" t="e">
        <f>#REF!</f>
        <v>#REF!</v>
      </c>
      <c r="AO170" s="13" t="e">
        <f>#REF!</f>
        <v>#REF!</v>
      </c>
      <c r="AP170" s="13">
        <v>44276</v>
      </c>
      <c r="AQ170" s="14" t="s">
        <v>6</v>
      </c>
      <c r="AR170" s="14" t="s">
        <v>3</v>
      </c>
      <c r="AS170" s="14">
        <v>10</v>
      </c>
      <c r="AT170" s="14"/>
      <c r="AU170" s="15"/>
    </row>
    <row r="171" spans="1:47" ht="370.5">
      <c r="A171" s="10" t="s">
        <v>662</v>
      </c>
      <c r="B171" s="10"/>
      <c r="C171" s="10"/>
      <c r="D171" s="10" t="s">
        <v>183</v>
      </c>
      <c r="E171" s="10"/>
      <c r="F171" s="10" t="s">
        <v>610</v>
      </c>
      <c r="G171" s="10" t="s">
        <v>232</v>
      </c>
      <c r="H171" s="11" t="s">
        <v>663</v>
      </c>
      <c r="I171" s="11" t="s">
        <v>664</v>
      </c>
      <c r="J171" s="18" t="s">
        <v>71</v>
      </c>
      <c r="K171" s="12" t="s">
        <v>612</v>
      </c>
      <c r="L171" s="11" t="s">
        <v>178</v>
      </c>
      <c r="M171" s="11" t="s">
        <v>78</v>
      </c>
      <c r="N171" s="12">
        <v>44232</v>
      </c>
      <c r="O171" s="12" t="s">
        <v>72</v>
      </c>
      <c r="P171" s="9" t="s">
        <v>78</v>
      </c>
      <c r="Q171" s="12">
        <v>44232</v>
      </c>
      <c r="R171" s="12" t="s">
        <v>74</v>
      </c>
      <c r="S171" s="12" t="s">
        <v>78</v>
      </c>
      <c r="T171" s="12">
        <v>44232</v>
      </c>
      <c r="U171" s="9" t="s">
        <v>188</v>
      </c>
      <c r="V171" s="9" t="s">
        <v>78</v>
      </c>
      <c r="W171" s="13">
        <v>44232</v>
      </c>
      <c r="X171" s="14" t="s">
        <v>389</v>
      </c>
      <c r="Y171" s="14" t="s">
        <v>78</v>
      </c>
      <c r="Z171" s="14" t="s">
        <v>134</v>
      </c>
      <c r="AA171" s="13">
        <v>44235</v>
      </c>
      <c r="AB171" s="13">
        <v>44239</v>
      </c>
      <c r="AC171" s="14" t="s">
        <v>78</v>
      </c>
      <c r="AD171" s="13">
        <v>44253</v>
      </c>
      <c r="AE171" s="13">
        <v>44267</v>
      </c>
      <c r="AF171" s="14" t="s">
        <v>108</v>
      </c>
      <c r="AG171" s="14"/>
      <c r="AH171" s="14">
        <v>44242</v>
      </c>
      <c r="AI171" s="14" t="s">
        <v>190</v>
      </c>
      <c r="AJ171" s="14" t="s">
        <v>6</v>
      </c>
      <c r="AK171" s="14" t="s">
        <v>7</v>
      </c>
      <c r="AL171" s="14" t="s">
        <v>9</v>
      </c>
      <c r="AM171" s="14" t="s">
        <v>16</v>
      </c>
      <c r="AN171" s="13" t="e">
        <f>#REF!</f>
        <v>#REF!</v>
      </c>
      <c r="AO171" s="13" t="e">
        <f>#REF!</f>
        <v>#REF!</v>
      </c>
      <c r="AP171" s="13">
        <v>44276</v>
      </c>
      <c r="AQ171" s="14" t="s">
        <v>6</v>
      </c>
      <c r="AR171" s="14" t="s">
        <v>3</v>
      </c>
      <c r="AS171" s="14">
        <v>50</v>
      </c>
      <c r="AT171" s="14"/>
      <c r="AU171" s="15"/>
    </row>
    <row r="172" spans="1:47" ht="270.75">
      <c r="A172" s="10" t="s">
        <v>665</v>
      </c>
      <c r="B172" s="10"/>
      <c r="C172" s="10"/>
      <c r="D172" s="10" t="s">
        <v>183</v>
      </c>
      <c r="E172" s="10"/>
      <c r="F172" s="10" t="s">
        <v>610</v>
      </c>
      <c r="G172" s="10" t="s">
        <v>232</v>
      </c>
      <c r="H172" s="11" t="s">
        <v>666</v>
      </c>
      <c r="I172" s="11" t="s">
        <v>667</v>
      </c>
      <c r="J172" s="18" t="s">
        <v>71</v>
      </c>
      <c r="K172" s="12" t="s">
        <v>612</v>
      </c>
      <c r="L172" s="11" t="s">
        <v>178</v>
      </c>
      <c r="M172" s="11" t="s">
        <v>78</v>
      </c>
      <c r="N172" s="12">
        <v>44232</v>
      </c>
      <c r="O172" s="12" t="s">
        <v>72</v>
      </c>
      <c r="P172" s="9" t="s">
        <v>78</v>
      </c>
      <c r="Q172" s="12">
        <v>44232</v>
      </c>
      <c r="R172" s="12" t="s">
        <v>74</v>
      </c>
      <c r="S172" s="12" t="s">
        <v>78</v>
      </c>
      <c r="T172" s="12">
        <v>44232</v>
      </c>
      <c r="U172" s="9" t="s">
        <v>188</v>
      </c>
      <c r="V172" s="9" t="s">
        <v>78</v>
      </c>
      <c r="W172" s="13">
        <v>44232</v>
      </c>
      <c r="X172" s="14" t="s">
        <v>389</v>
      </c>
      <c r="Y172" s="14" t="s">
        <v>78</v>
      </c>
      <c r="Z172" s="14" t="s">
        <v>134</v>
      </c>
      <c r="AA172" s="13">
        <v>44235</v>
      </c>
      <c r="AB172" s="13">
        <v>44239</v>
      </c>
      <c r="AC172" s="14" t="s">
        <v>78</v>
      </c>
      <c r="AD172" s="13">
        <v>44253</v>
      </c>
      <c r="AE172" s="13">
        <v>44267</v>
      </c>
      <c r="AF172" s="14" t="s">
        <v>108</v>
      </c>
      <c r="AG172" s="14"/>
      <c r="AH172" s="14">
        <v>44242</v>
      </c>
      <c r="AI172" s="14" t="s">
        <v>190</v>
      </c>
      <c r="AJ172" s="14" t="s">
        <v>6</v>
      </c>
      <c r="AK172" s="14" t="s">
        <v>7</v>
      </c>
      <c r="AL172" s="14" t="s">
        <v>9</v>
      </c>
      <c r="AM172" s="14" t="s">
        <v>16</v>
      </c>
      <c r="AN172" s="13" t="e">
        <f>#REF!</f>
        <v>#REF!</v>
      </c>
      <c r="AO172" s="13" t="e">
        <f>#REF!</f>
        <v>#REF!</v>
      </c>
      <c r="AP172" s="13">
        <v>44276</v>
      </c>
      <c r="AQ172" s="14" t="s">
        <v>6</v>
      </c>
      <c r="AR172" s="14" t="s">
        <v>3</v>
      </c>
      <c r="AS172" s="14">
        <v>50</v>
      </c>
      <c r="AT172" s="14"/>
      <c r="AU172" s="15"/>
    </row>
    <row r="173" spans="1:47" ht="299.25">
      <c r="A173" s="9" t="s">
        <v>709</v>
      </c>
      <c r="B173" s="9" t="s">
        <v>610</v>
      </c>
      <c r="C173" s="9"/>
      <c r="D173" s="9" t="s">
        <v>183</v>
      </c>
      <c r="E173" s="10"/>
      <c r="F173" s="10" t="s">
        <v>610</v>
      </c>
      <c r="G173" s="10" t="s">
        <v>232</v>
      </c>
      <c r="H173" s="9" t="s">
        <v>710</v>
      </c>
      <c r="I173" s="10" t="s">
        <v>711</v>
      </c>
      <c r="J173" s="9" t="s">
        <v>71</v>
      </c>
      <c r="K173" s="9" t="s">
        <v>612</v>
      </c>
      <c r="L173" s="10" t="s">
        <v>178</v>
      </c>
      <c r="M173" s="9" t="s">
        <v>78</v>
      </c>
      <c r="N173" s="9">
        <v>44232</v>
      </c>
      <c r="O173" s="9" t="s">
        <v>72</v>
      </c>
      <c r="P173" s="9" t="s">
        <v>78</v>
      </c>
      <c r="Q173" s="12">
        <v>44232</v>
      </c>
      <c r="R173" s="9" t="s">
        <v>74</v>
      </c>
      <c r="S173" s="9" t="s">
        <v>78</v>
      </c>
      <c r="T173" s="9">
        <v>44232</v>
      </c>
      <c r="U173" s="9" t="s">
        <v>188</v>
      </c>
      <c r="V173" s="9" t="s">
        <v>78</v>
      </c>
      <c r="W173" s="13">
        <v>44232</v>
      </c>
      <c r="X173" s="14" t="s">
        <v>389</v>
      </c>
      <c r="Y173" s="14" t="s">
        <v>78</v>
      </c>
      <c r="Z173" s="14" t="s">
        <v>134</v>
      </c>
      <c r="AA173" s="13">
        <v>44235</v>
      </c>
      <c r="AB173" s="13">
        <v>44239</v>
      </c>
      <c r="AC173" s="14" t="s">
        <v>78</v>
      </c>
      <c r="AD173" s="13">
        <v>44253</v>
      </c>
      <c r="AE173" s="13">
        <v>44267</v>
      </c>
      <c r="AF173" s="14" t="s">
        <v>108</v>
      </c>
      <c r="AG173" s="14"/>
      <c r="AH173" s="14" t="s">
        <v>78</v>
      </c>
      <c r="AI173" s="14" t="s">
        <v>190</v>
      </c>
      <c r="AJ173" s="14" t="s">
        <v>6</v>
      </c>
      <c r="AK173" s="14"/>
      <c r="AL173" s="14" t="s">
        <v>259</v>
      </c>
      <c r="AM173" s="14" t="s">
        <v>16</v>
      </c>
      <c r="AN173" s="13" t="e">
        <f>#REF!</f>
        <v>#REF!</v>
      </c>
      <c r="AO173" s="13" t="e">
        <f>#REF!</f>
        <v>#REF!</v>
      </c>
      <c r="AP173" s="13">
        <v>44276</v>
      </c>
      <c r="AQ173" s="14" t="s">
        <v>6</v>
      </c>
      <c r="AR173" s="14" t="s">
        <v>3</v>
      </c>
      <c r="AS173" s="14">
        <v>100</v>
      </c>
      <c r="AT173" s="14"/>
      <c r="AU173" s="15"/>
    </row>
    <row r="174" spans="1:47" ht="42.75">
      <c r="A174" s="9" t="s">
        <v>135</v>
      </c>
      <c r="B174" s="9"/>
      <c r="C174" s="9"/>
      <c r="D174" s="9" t="s">
        <v>75</v>
      </c>
      <c r="E174" s="10"/>
      <c r="F174" s="10" t="s">
        <v>129</v>
      </c>
      <c r="G174" s="10" t="s">
        <v>130</v>
      </c>
      <c r="H174" s="11" t="s">
        <v>136</v>
      </c>
      <c r="I174" s="11" t="s">
        <v>137</v>
      </c>
      <c r="J174" s="9"/>
      <c r="K174" s="12" t="s">
        <v>75</v>
      </c>
      <c r="L174" s="10" t="s">
        <v>75</v>
      </c>
      <c r="M174" s="11" t="s">
        <v>75</v>
      </c>
      <c r="N174" s="12" t="s">
        <v>75</v>
      </c>
      <c r="O174" s="12" t="s">
        <v>75</v>
      </c>
      <c r="P174" s="10" t="s">
        <v>75</v>
      </c>
      <c r="Q174" s="12" t="s">
        <v>75</v>
      </c>
      <c r="R174" s="12" t="s">
        <v>74</v>
      </c>
      <c r="S174" s="12"/>
      <c r="T174" s="12" t="s">
        <v>75</v>
      </c>
      <c r="U174" s="9" t="s">
        <v>75</v>
      </c>
      <c r="V174" s="10" t="s">
        <v>75</v>
      </c>
      <c r="W174" s="13" t="s">
        <v>75</v>
      </c>
      <c r="X174" s="14" t="s">
        <v>75</v>
      </c>
      <c r="Y174" s="14" t="s">
        <v>75</v>
      </c>
      <c r="Z174" s="14" t="s">
        <v>75</v>
      </c>
      <c r="AA174" s="13" t="s">
        <v>75</v>
      </c>
      <c r="AB174" s="13" t="s">
        <v>75</v>
      </c>
      <c r="AC174" s="14" t="s">
        <v>75</v>
      </c>
      <c r="AD174" s="13" t="s">
        <v>71</v>
      </c>
      <c r="AE174" s="13" t="s">
        <v>75</v>
      </c>
      <c r="AF174" s="14" t="s">
        <v>75</v>
      </c>
      <c r="AG174" s="14" t="s">
        <v>75</v>
      </c>
      <c r="AH174" s="14" t="s">
        <v>75</v>
      </c>
      <c r="AI174" s="14" t="s">
        <v>79</v>
      </c>
      <c r="AJ174" s="14" t="s">
        <v>138</v>
      </c>
      <c r="AK174" s="14" t="s">
        <v>8</v>
      </c>
      <c r="AL174" s="14" t="s">
        <v>139</v>
      </c>
      <c r="AM174" s="14" t="s">
        <v>782</v>
      </c>
      <c r="AN174" s="13" t="e">
        <v>#N/A</v>
      </c>
      <c r="AO174" s="13" t="e">
        <v>#N/A</v>
      </c>
      <c r="AP174" s="13" t="s">
        <v>78</v>
      </c>
      <c r="AQ174" s="14" t="s">
        <v>10</v>
      </c>
      <c r="AR174" s="14" t="s">
        <v>1</v>
      </c>
      <c r="AS174" s="14">
        <v>4</v>
      </c>
      <c r="AT174" s="14"/>
      <c r="AU174" s="15"/>
    </row>
    <row r="175" spans="1:47" ht="99.75">
      <c r="A175" s="9" t="s">
        <v>260</v>
      </c>
      <c r="B175" s="9"/>
      <c r="C175" s="9"/>
      <c r="D175" s="9" t="s">
        <v>75</v>
      </c>
      <c r="E175" s="16"/>
      <c r="F175" s="10" t="s">
        <v>261</v>
      </c>
      <c r="G175" s="10" t="s">
        <v>262</v>
      </c>
      <c r="H175" s="11" t="s">
        <v>263</v>
      </c>
      <c r="I175" s="11" t="s">
        <v>264</v>
      </c>
      <c r="J175" s="12"/>
      <c r="K175" s="12"/>
      <c r="L175" s="10" t="s">
        <v>75</v>
      </c>
      <c r="M175" s="11" t="s">
        <v>75</v>
      </c>
      <c r="N175" s="12" t="s">
        <v>75</v>
      </c>
      <c r="O175" s="12" t="s">
        <v>75</v>
      </c>
      <c r="P175" s="10" t="s">
        <v>75</v>
      </c>
      <c r="Q175" s="12" t="s">
        <v>75</v>
      </c>
      <c r="R175" s="12" t="s">
        <v>74</v>
      </c>
      <c r="S175" s="12" t="s">
        <v>75</v>
      </c>
      <c r="T175" s="12" t="s">
        <v>75</v>
      </c>
      <c r="U175" s="9" t="s">
        <v>75</v>
      </c>
      <c r="V175" s="9" t="s">
        <v>75</v>
      </c>
      <c r="W175" s="13" t="s">
        <v>75</v>
      </c>
      <c r="X175" s="14" t="s">
        <v>75</v>
      </c>
      <c r="Y175" s="14" t="s">
        <v>75</v>
      </c>
      <c r="Z175" s="14" t="s">
        <v>134</v>
      </c>
      <c r="AA175" s="13" t="s">
        <v>75</v>
      </c>
      <c r="AB175" s="13" t="s">
        <v>75</v>
      </c>
      <c r="AC175" s="14" t="s">
        <v>75</v>
      </c>
      <c r="AD175" s="13" t="s">
        <v>265</v>
      </c>
      <c r="AE175" s="13" t="s">
        <v>75</v>
      </c>
      <c r="AF175" s="14" t="s">
        <v>75</v>
      </c>
      <c r="AG175" s="14" t="s">
        <v>75</v>
      </c>
      <c r="AH175" s="14" t="s">
        <v>75</v>
      </c>
      <c r="AI175" s="14" t="s">
        <v>79</v>
      </c>
      <c r="AJ175" s="14" t="s">
        <v>138</v>
      </c>
      <c r="AK175" s="14" t="s">
        <v>139</v>
      </c>
      <c r="AL175" s="14" t="s">
        <v>139</v>
      </c>
      <c r="AM175" s="14" t="s">
        <v>782</v>
      </c>
      <c r="AN175" s="13" t="e">
        <v>#N/A</v>
      </c>
      <c r="AO175" s="13" t="e">
        <v>#N/A</v>
      </c>
      <c r="AP175" s="13" t="s">
        <v>78</v>
      </c>
      <c r="AQ175" s="14" t="s">
        <v>10</v>
      </c>
      <c r="AR175" s="14" t="s">
        <v>2</v>
      </c>
      <c r="AS175" s="14">
        <v>5</v>
      </c>
      <c r="AT175" s="14"/>
      <c r="AU175" s="15"/>
    </row>
    <row r="176" spans="1:47" ht="99.75">
      <c r="A176" s="9" t="s">
        <v>266</v>
      </c>
      <c r="B176" s="9"/>
      <c r="C176" s="9"/>
      <c r="D176" s="9" t="s">
        <v>75</v>
      </c>
      <c r="E176" s="10"/>
      <c r="F176" s="10" t="s">
        <v>261</v>
      </c>
      <c r="G176" s="10" t="s">
        <v>262</v>
      </c>
      <c r="H176" s="11" t="s">
        <v>267</v>
      </c>
      <c r="I176" s="11" t="s">
        <v>268</v>
      </c>
      <c r="J176" s="12"/>
      <c r="K176" s="12"/>
      <c r="L176" s="10" t="s">
        <v>75</v>
      </c>
      <c r="M176" s="11" t="s">
        <v>75</v>
      </c>
      <c r="N176" s="12" t="s">
        <v>75</v>
      </c>
      <c r="O176" s="12" t="s">
        <v>75</v>
      </c>
      <c r="P176" s="10" t="s">
        <v>75</v>
      </c>
      <c r="Q176" s="12" t="s">
        <v>75</v>
      </c>
      <c r="R176" s="12" t="s">
        <v>74</v>
      </c>
      <c r="S176" s="12" t="s">
        <v>75</v>
      </c>
      <c r="T176" s="12" t="s">
        <v>75</v>
      </c>
      <c r="U176" s="9" t="s">
        <v>75</v>
      </c>
      <c r="V176" s="9" t="s">
        <v>75</v>
      </c>
      <c r="W176" s="13" t="s">
        <v>75</v>
      </c>
      <c r="X176" s="14" t="s">
        <v>75</v>
      </c>
      <c r="Y176" s="14" t="s">
        <v>75</v>
      </c>
      <c r="Z176" s="14" t="s">
        <v>134</v>
      </c>
      <c r="AA176" s="13" t="s">
        <v>75</v>
      </c>
      <c r="AB176" s="13" t="s">
        <v>75</v>
      </c>
      <c r="AC176" s="14" t="s">
        <v>75</v>
      </c>
      <c r="AD176" s="13" t="s">
        <v>265</v>
      </c>
      <c r="AE176" s="13" t="s">
        <v>75</v>
      </c>
      <c r="AF176" s="14" t="s">
        <v>75</v>
      </c>
      <c r="AG176" s="14" t="s">
        <v>75</v>
      </c>
      <c r="AH176" s="14" t="s">
        <v>75</v>
      </c>
      <c r="AI176" s="14" t="s">
        <v>79</v>
      </c>
      <c r="AJ176" s="14" t="s">
        <v>138</v>
      </c>
      <c r="AK176" s="14" t="s">
        <v>139</v>
      </c>
      <c r="AL176" s="14" t="s">
        <v>139</v>
      </c>
      <c r="AM176" s="14" t="s">
        <v>782</v>
      </c>
      <c r="AN176" s="13" t="e">
        <v>#N/A</v>
      </c>
      <c r="AO176" s="13" t="e">
        <v>#N/A</v>
      </c>
      <c r="AP176" s="13" t="s">
        <v>78</v>
      </c>
      <c r="AQ176" s="14" t="s">
        <v>10</v>
      </c>
      <c r="AR176" s="14" t="s">
        <v>2</v>
      </c>
      <c r="AS176" s="14">
        <v>5</v>
      </c>
      <c r="AT176" s="14"/>
      <c r="AU176" s="15"/>
    </row>
    <row r="177" spans="1:47" ht="28.5">
      <c r="A177" s="9" t="s">
        <v>269</v>
      </c>
      <c r="B177" s="9"/>
      <c r="C177" s="9"/>
      <c r="D177" s="9" t="s">
        <v>75</v>
      </c>
      <c r="E177" s="10"/>
      <c r="F177" s="10" t="s">
        <v>261</v>
      </c>
      <c r="G177" s="10" t="s">
        <v>262</v>
      </c>
      <c r="H177" s="11" t="s">
        <v>270</v>
      </c>
      <c r="I177" s="11" t="s">
        <v>271</v>
      </c>
      <c r="J177" s="12"/>
      <c r="K177" s="12"/>
      <c r="L177" s="10" t="s">
        <v>75</v>
      </c>
      <c r="M177" s="11" t="s">
        <v>75</v>
      </c>
      <c r="N177" s="12" t="s">
        <v>75</v>
      </c>
      <c r="O177" s="12" t="s">
        <v>75</v>
      </c>
      <c r="P177" s="10" t="s">
        <v>75</v>
      </c>
      <c r="Q177" s="12" t="s">
        <v>75</v>
      </c>
      <c r="R177" s="12" t="s">
        <v>74</v>
      </c>
      <c r="S177" s="12" t="s">
        <v>75</v>
      </c>
      <c r="T177" s="12" t="s">
        <v>75</v>
      </c>
      <c r="U177" s="9" t="s">
        <v>75</v>
      </c>
      <c r="V177" s="9" t="s">
        <v>75</v>
      </c>
      <c r="W177" s="13" t="s">
        <v>75</v>
      </c>
      <c r="X177" s="14" t="s">
        <v>75</v>
      </c>
      <c r="Y177" s="14" t="s">
        <v>75</v>
      </c>
      <c r="Z177" s="14" t="s">
        <v>134</v>
      </c>
      <c r="AA177" s="13" t="s">
        <v>75</v>
      </c>
      <c r="AB177" s="13" t="s">
        <v>75</v>
      </c>
      <c r="AC177" s="14" t="s">
        <v>75</v>
      </c>
      <c r="AD177" s="13" t="s">
        <v>265</v>
      </c>
      <c r="AE177" s="13" t="s">
        <v>75</v>
      </c>
      <c r="AF177" s="14" t="s">
        <v>75</v>
      </c>
      <c r="AG177" s="14" t="s">
        <v>75</v>
      </c>
      <c r="AH177" s="14" t="s">
        <v>75</v>
      </c>
      <c r="AI177" s="14" t="s">
        <v>79</v>
      </c>
      <c r="AJ177" s="14" t="s">
        <v>138</v>
      </c>
      <c r="AK177" s="14" t="s">
        <v>139</v>
      </c>
      <c r="AL177" s="14" t="s">
        <v>139</v>
      </c>
      <c r="AM177" s="14" t="s">
        <v>782</v>
      </c>
      <c r="AN177" s="13" t="e">
        <v>#N/A</v>
      </c>
      <c r="AO177" s="13" t="e">
        <v>#N/A</v>
      </c>
      <c r="AP177" s="13" t="s">
        <v>78</v>
      </c>
      <c r="AQ177" s="14" t="s">
        <v>10</v>
      </c>
      <c r="AR177" s="14" t="s">
        <v>2</v>
      </c>
      <c r="AS177" s="14">
        <v>12</v>
      </c>
      <c r="AT177" s="14"/>
      <c r="AU177" s="15"/>
    </row>
    <row r="178" spans="1:47">
      <c r="A178" s="9" t="s">
        <v>272</v>
      </c>
      <c r="B178" s="9"/>
      <c r="C178" s="9"/>
      <c r="D178" s="9" t="s">
        <v>75</v>
      </c>
      <c r="E178" s="10"/>
      <c r="F178" s="10" t="s">
        <v>261</v>
      </c>
      <c r="G178" s="10" t="s">
        <v>262</v>
      </c>
      <c r="H178" s="11" t="s">
        <v>273</v>
      </c>
      <c r="I178" s="11" t="s">
        <v>274</v>
      </c>
      <c r="J178" s="12"/>
      <c r="K178" s="12"/>
      <c r="L178" s="10" t="s">
        <v>75</v>
      </c>
      <c r="M178" s="11" t="s">
        <v>75</v>
      </c>
      <c r="N178" s="12" t="s">
        <v>75</v>
      </c>
      <c r="O178" s="12" t="s">
        <v>75</v>
      </c>
      <c r="P178" s="10" t="s">
        <v>75</v>
      </c>
      <c r="Q178" s="12" t="s">
        <v>75</v>
      </c>
      <c r="R178" s="12" t="s">
        <v>74</v>
      </c>
      <c r="S178" s="12" t="s">
        <v>75</v>
      </c>
      <c r="T178" s="12" t="s">
        <v>75</v>
      </c>
      <c r="U178" s="9" t="s">
        <v>75</v>
      </c>
      <c r="V178" s="9" t="s">
        <v>75</v>
      </c>
      <c r="W178" s="13" t="s">
        <v>75</v>
      </c>
      <c r="X178" s="14" t="s">
        <v>75</v>
      </c>
      <c r="Y178" s="14" t="s">
        <v>75</v>
      </c>
      <c r="Z178" s="14" t="s">
        <v>134</v>
      </c>
      <c r="AA178" s="13" t="s">
        <v>75</v>
      </c>
      <c r="AB178" s="13" t="s">
        <v>75</v>
      </c>
      <c r="AC178" s="14" t="s">
        <v>75</v>
      </c>
      <c r="AD178" s="13" t="s">
        <v>265</v>
      </c>
      <c r="AE178" s="13" t="s">
        <v>75</v>
      </c>
      <c r="AF178" s="14" t="s">
        <v>75</v>
      </c>
      <c r="AG178" s="14" t="s">
        <v>75</v>
      </c>
      <c r="AH178" s="14" t="s">
        <v>75</v>
      </c>
      <c r="AI178" s="14" t="s">
        <v>79</v>
      </c>
      <c r="AJ178" s="14" t="s">
        <v>138</v>
      </c>
      <c r="AK178" s="14" t="s">
        <v>139</v>
      </c>
      <c r="AL178" s="14" t="s">
        <v>139</v>
      </c>
      <c r="AM178" s="14" t="s">
        <v>782</v>
      </c>
      <c r="AN178" s="13" t="e">
        <v>#N/A</v>
      </c>
      <c r="AO178" s="13" t="e">
        <v>#N/A</v>
      </c>
      <c r="AP178" s="13" t="s">
        <v>78</v>
      </c>
      <c r="AQ178" s="14" t="s">
        <v>10</v>
      </c>
      <c r="AR178" s="14" t="s">
        <v>2</v>
      </c>
      <c r="AS178" s="14">
        <v>6</v>
      </c>
      <c r="AT178" s="14"/>
      <c r="AU178" s="15"/>
    </row>
    <row r="179" spans="1:47" ht="42.75">
      <c r="A179" s="9" t="s">
        <v>284</v>
      </c>
      <c r="B179" s="9"/>
      <c r="C179" s="9"/>
      <c r="D179" s="9" t="s">
        <v>75</v>
      </c>
      <c r="E179" s="10"/>
      <c r="F179" s="10" t="s">
        <v>261</v>
      </c>
      <c r="G179" s="10" t="s">
        <v>285</v>
      </c>
      <c r="H179" s="11" t="s">
        <v>286</v>
      </c>
      <c r="I179" s="11" t="s">
        <v>287</v>
      </c>
      <c r="J179" s="12"/>
      <c r="K179" s="12"/>
      <c r="L179" s="10" t="s">
        <v>75</v>
      </c>
      <c r="M179" s="11" t="s">
        <v>75</v>
      </c>
      <c r="N179" s="12" t="s">
        <v>75</v>
      </c>
      <c r="O179" s="12" t="s">
        <v>75</v>
      </c>
      <c r="P179" s="10" t="s">
        <v>75</v>
      </c>
      <c r="Q179" s="12" t="s">
        <v>75</v>
      </c>
      <c r="R179" s="12" t="s">
        <v>74</v>
      </c>
      <c r="S179" s="12" t="s">
        <v>75</v>
      </c>
      <c r="T179" s="12" t="s">
        <v>75</v>
      </c>
      <c r="U179" s="9" t="s">
        <v>75</v>
      </c>
      <c r="V179" s="9" t="s">
        <v>75</v>
      </c>
      <c r="W179" s="13" t="s">
        <v>75</v>
      </c>
      <c r="X179" s="14" t="s">
        <v>75</v>
      </c>
      <c r="Y179" s="14" t="s">
        <v>75</v>
      </c>
      <c r="Z179" s="14" t="s">
        <v>134</v>
      </c>
      <c r="AA179" s="13" t="s">
        <v>75</v>
      </c>
      <c r="AB179" s="13" t="s">
        <v>75</v>
      </c>
      <c r="AC179" s="14" t="s">
        <v>75</v>
      </c>
      <c r="AD179" s="13" t="s">
        <v>265</v>
      </c>
      <c r="AE179" s="13" t="s">
        <v>75</v>
      </c>
      <c r="AF179" s="14" t="s">
        <v>75</v>
      </c>
      <c r="AG179" s="14" t="s">
        <v>75</v>
      </c>
      <c r="AH179" s="14" t="s">
        <v>75</v>
      </c>
      <c r="AI179" s="14" t="s">
        <v>79</v>
      </c>
      <c r="AJ179" s="14" t="s">
        <v>138</v>
      </c>
      <c r="AK179" s="14" t="s">
        <v>139</v>
      </c>
      <c r="AL179" s="14" t="s">
        <v>139</v>
      </c>
      <c r="AM179" s="14" t="s">
        <v>782</v>
      </c>
      <c r="AN179" s="13" t="e">
        <v>#N/A</v>
      </c>
      <c r="AO179" s="13" t="e">
        <v>#N/A</v>
      </c>
      <c r="AP179" s="13" t="s">
        <v>78</v>
      </c>
      <c r="AQ179" s="14" t="s">
        <v>10</v>
      </c>
      <c r="AR179" s="14" t="s">
        <v>2</v>
      </c>
      <c r="AS179" s="14">
        <v>1</v>
      </c>
      <c r="AT179" s="14"/>
      <c r="AU179" s="15"/>
    </row>
    <row r="180" spans="1:47" ht="28.5">
      <c r="A180" s="9" t="s">
        <v>288</v>
      </c>
      <c r="B180" s="9"/>
      <c r="C180" s="9"/>
      <c r="D180" s="9" t="s">
        <v>75</v>
      </c>
      <c r="E180" s="10"/>
      <c r="F180" s="10" t="s">
        <v>261</v>
      </c>
      <c r="G180" s="10" t="s">
        <v>285</v>
      </c>
      <c r="H180" s="11" t="s">
        <v>289</v>
      </c>
      <c r="I180" s="11" t="s">
        <v>290</v>
      </c>
      <c r="J180" s="12"/>
      <c r="K180" s="12"/>
      <c r="L180" s="11" t="s">
        <v>75</v>
      </c>
      <c r="M180" s="11" t="s">
        <v>75</v>
      </c>
      <c r="N180" s="12" t="s">
        <v>75</v>
      </c>
      <c r="O180" s="12" t="s">
        <v>75</v>
      </c>
      <c r="P180" s="9" t="s">
        <v>75</v>
      </c>
      <c r="Q180" s="12" t="s">
        <v>75</v>
      </c>
      <c r="R180" s="12" t="s">
        <v>74</v>
      </c>
      <c r="S180" s="12" t="s">
        <v>75</v>
      </c>
      <c r="T180" s="12" t="s">
        <v>75</v>
      </c>
      <c r="U180" s="9" t="s">
        <v>75</v>
      </c>
      <c r="V180" s="9" t="s">
        <v>75</v>
      </c>
      <c r="W180" s="13" t="s">
        <v>75</v>
      </c>
      <c r="X180" s="14" t="s">
        <v>75</v>
      </c>
      <c r="Y180" s="14" t="s">
        <v>75</v>
      </c>
      <c r="Z180" s="14" t="s">
        <v>134</v>
      </c>
      <c r="AA180" s="13" t="s">
        <v>75</v>
      </c>
      <c r="AB180" s="13" t="s">
        <v>75</v>
      </c>
      <c r="AC180" s="14" t="s">
        <v>75</v>
      </c>
      <c r="AD180" s="13" t="s">
        <v>265</v>
      </c>
      <c r="AE180" s="13" t="s">
        <v>75</v>
      </c>
      <c r="AF180" s="14" t="s">
        <v>75</v>
      </c>
      <c r="AG180" s="14" t="s">
        <v>75</v>
      </c>
      <c r="AH180" s="14" t="s">
        <v>75</v>
      </c>
      <c r="AI180" s="14" t="s">
        <v>79</v>
      </c>
      <c r="AJ180" s="14" t="s">
        <v>138</v>
      </c>
      <c r="AK180" s="14" t="s">
        <v>139</v>
      </c>
      <c r="AL180" s="14" t="s">
        <v>139</v>
      </c>
      <c r="AM180" s="14" t="s">
        <v>782</v>
      </c>
      <c r="AN180" s="13" t="e">
        <v>#N/A</v>
      </c>
      <c r="AO180" s="13" t="e">
        <v>#N/A</v>
      </c>
      <c r="AP180" s="13" t="s">
        <v>78</v>
      </c>
      <c r="AQ180" s="14" t="s">
        <v>10</v>
      </c>
      <c r="AR180" s="14" t="s">
        <v>2</v>
      </c>
      <c r="AS180" s="14">
        <v>1</v>
      </c>
      <c r="AT180" s="14"/>
      <c r="AU180" s="15"/>
    </row>
    <row r="181" spans="1:47" ht="42.75">
      <c r="A181" s="9" t="s">
        <v>291</v>
      </c>
      <c r="B181" s="9"/>
      <c r="C181" s="9"/>
      <c r="D181" s="10" t="s">
        <v>75</v>
      </c>
      <c r="E181" s="10"/>
      <c r="F181" s="10" t="s">
        <v>292</v>
      </c>
      <c r="G181" s="10" t="s">
        <v>292</v>
      </c>
      <c r="H181" s="11" t="s">
        <v>293</v>
      </c>
      <c r="I181" s="11" t="s">
        <v>294</v>
      </c>
      <c r="J181" s="12"/>
      <c r="K181" s="12"/>
      <c r="L181" s="11" t="s">
        <v>75</v>
      </c>
      <c r="M181" s="11" t="s">
        <v>75</v>
      </c>
      <c r="N181" s="12" t="s">
        <v>75</v>
      </c>
      <c r="O181" s="12" t="s">
        <v>75</v>
      </c>
      <c r="P181" s="10" t="s">
        <v>75</v>
      </c>
      <c r="Q181" s="12" t="s">
        <v>75</v>
      </c>
      <c r="R181" s="12" t="s">
        <v>74</v>
      </c>
      <c r="S181" s="12" t="s">
        <v>75</v>
      </c>
      <c r="T181" s="12" t="s">
        <v>75</v>
      </c>
      <c r="U181" s="9" t="s">
        <v>75</v>
      </c>
      <c r="V181" s="9" t="s">
        <v>75</v>
      </c>
      <c r="W181" s="13" t="s">
        <v>75</v>
      </c>
      <c r="X181" s="14" t="s">
        <v>75</v>
      </c>
      <c r="Y181" s="14" t="s">
        <v>75</v>
      </c>
      <c r="Z181" s="14" t="s">
        <v>134</v>
      </c>
      <c r="AA181" s="13" t="s">
        <v>75</v>
      </c>
      <c r="AB181" s="13" t="s">
        <v>75</v>
      </c>
      <c r="AC181" s="14" t="s">
        <v>75</v>
      </c>
      <c r="AD181" s="13" t="s">
        <v>265</v>
      </c>
      <c r="AE181" s="13" t="s">
        <v>75</v>
      </c>
      <c r="AF181" s="14" t="s">
        <v>75</v>
      </c>
      <c r="AG181" s="14" t="s">
        <v>75</v>
      </c>
      <c r="AH181" s="14" t="s">
        <v>75</v>
      </c>
      <c r="AI181" s="14" t="s">
        <v>79</v>
      </c>
      <c r="AJ181" s="14" t="s">
        <v>138</v>
      </c>
      <c r="AK181" s="14" t="s">
        <v>139</v>
      </c>
      <c r="AL181" s="14" t="s">
        <v>139</v>
      </c>
      <c r="AM181" s="14" t="s">
        <v>782</v>
      </c>
      <c r="AN181" s="13" t="e">
        <v>#N/A</v>
      </c>
      <c r="AO181" s="13" t="e">
        <v>#N/A</v>
      </c>
      <c r="AP181" s="13" t="s">
        <v>78</v>
      </c>
      <c r="AQ181" s="14" t="s">
        <v>10</v>
      </c>
      <c r="AR181" s="14" t="s">
        <v>2</v>
      </c>
      <c r="AS181" s="14">
        <v>6</v>
      </c>
      <c r="AT181" s="14"/>
      <c r="AU181" s="15"/>
    </row>
    <row r="182" spans="1:47">
      <c r="A182" s="9" t="s">
        <v>300</v>
      </c>
      <c r="B182" s="9"/>
      <c r="C182" s="9"/>
      <c r="D182" s="9" t="s">
        <v>75</v>
      </c>
      <c r="E182" s="10"/>
      <c r="F182" s="10" t="s">
        <v>231</v>
      </c>
      <c r="G182" s="10" t="s">
        <v>231</v>
      </c>
      <c r="H182" s="11" t="s">
        <v>231</v>
      </c>
      <c r="I182" s="11" t="s">
        <v>301</v>
      </c>
      <c r="J182" s="12"/>
      <c r="K182" s="12"/>
      <c r="L182" s="10" t="s">
        <v>75</v>
      </c>
      <c r="M182" s="11" t="s">
        <v>75</v>
      </c>
      <c r="N182" s="12" t="s">
        <v>75</v>
      </c>
      <c r="O182" s="12" t="s">
        <v>75</v>
      </c>
      <c r="P182" s="10" t="s">
        <v>75</v>
      </c>
      <c r="Q182" s="12" t="s">
        <v>75</v>
      </c>
      <c r="R182" s="12" t="s">
        <v>74</v>
      </c>
      <c r="S182" s="12" t="s">
        <v>75</v>
      </c>
      <c r="T182" s="12" t="s">
        <v>75</v>
      </c>
      <c r="U182" s="9" t="s">
        <v>75</v>
      </c>
      <c r="V182" s="9" t="s">
        <v>75</v>
      </c>
      <c r="W182" s="13" t="s">
        <v>75</v>
      </c>
      <c r="X182" s="14" t="s">
        <v>75</v>
      </c>
      <c r="Y182" s="14" t="s">
        <v>75</v>
      </c>
      <c r="Z182" s="14" t="s">
        <v>134</v>
      </c>
      <c r="AA182" s="13" t="s">
        <v>75</v>
      </c>
      <c r="AB182" s="13" t="s">
        <v>75</v>
      </c>
      <c r="AC182" s="14" t="s">
        <v>75</v>
      </c>
      <c r="AD182" s="13" t="s">
        <v>265</v>
      </c>
      <c r="AE182" s="13" t="s">
        <v>75</v>
      </c>
      <c r="AF182" s="14" t="s">
        <v>75</v>
      </c>
      <c r="AG182" s="14" t="s">
        <v>75</v>
      </c>
      <c r="AH182" s="14" t="s">
        <v>75</v>
      </c>
      <c r="AI182" s="14" t="s">
        <v>79</v>
      </c>
      <c r="AJ182" s="14" t="s">
        <v>138</v>
      </c>
      <c r="AK182" s="14" t="s">
        <v>139</v>
      </c>
      <c r="AL182" s="14" t="s">
        <v>139</v>
      </c>
      <c r="AM182" s="14" t="s">
        <v>782</v>
      </c>
      <c r="AN182" s="13" t="e">
        <v>#N/A</v>
      </c>
      <c r="AO182" s="13" t="e">
        <v>#N/A</v>
      </c>
      <c r="AP182" s="13" t="s">
        <v>78</v>
      </c>
      <c r="AQ182" s="14" t="s">
        <v>10</v>
      </c>
      <c r="AR182" s="14" t="s">
        <v>1</v>
      </c>
      <c r="AS182" s="14">
        <v>4</v>
      </c>
      <c r="AT182" s="14"/>
      <c r="AU182" s="15"/>
    </row>
    <row r="183" spans="1:47" ht="57">
      <c r="A183" s="9" t="s">
        <v>339</v>
      </c>
      <c r="B183" s="9"/>
      <c r="C183" s="9"/>
      <c r="D183" s="9" t="s">
        <v>75</v>
      </c>
      <c r="E183" s="10"/>
      <c r="F183" s="10" t="s">
        <v>261</v>
      </c>
      <c r="G183" s="10" t="s">
        <v>340</v>
      </c>
      <c r="H183" s="12" t="s">
        <v>341</v>
      </c>
      <c r="I183" s="11" t="s">
        <v>342</v>
      </c>
      <c r="J183" s="9"/>
      <c r="K183" s="12"/>
      <c r="L183" s="10" t="s">
        <v>75</v>
      </c>
      <c r="M183" s="11"/>
      <c r="N183" s="12"/>
      <c r="O183" s="12"/>
      <c r="P183" s="10"/>
      <c r="Q183" s="12" t="s">
        <v>75</v>
      </c>
      <c r="R183" s="12" t="s">
        <v>74</v>
      </c>
      <c r="S183" s="12"/>
      <c r="T183" s="11" t="s">
        <v>75</v>
      </c>
      <c r="U183" s="9" t="s">
        <v>75</v>
      </c>
      <c r="V183" s="9" t="s">
        <v>75</v>
      </c>
      <c r="W183" s="13" t="s">
        <v>75</v>
      </c>
      <c r="X183" s="14" t="s">
        <v>75</v>
      </c>
      <c r="Y183" s="14" t="s">
        <v>75</v>
      </c>
      <c r="Z183" s="14" t="s">
        <v>134</v>
      </c>
      <c r="AA183" s="13"/>
      <c r="AB183" s="13" t="s">
        <v>75</v>
      </c>
      <c r="AC183" s="14" t="s">
        <v>75</v>
      </c>
      <c r="AD183" s="13" t="s">
        <v>265</v>
      </c>
      <c r="AE183" s="13" t="s">
        <v>75</v>
      </c>
      <c r="AF183" s="14" t="s">
        <v>75</v>
      </c>
      <c r="AG183" s="14" t="s">
        <v>75</v>
      </c>
      <c r="AH183" s="14" t="s">
        <v>75</v>
      </c>
      <c r="AI183" s="14" t="s">
        <v>79</v>
      </c>
      <c r="AJ183" s="14" t="s">
        <v>138</v>
      </c>
      <c r="AK183" s="14" t="s">
        <v>139</v>
      </c>
      <c r="AL183" s="14"/>
      <c r="AM183" s="14" t="s">
        <v>782</v>
      </c>
      <c r="AN183" s="13" t="e">
        <v>#N/A</v>
      </c>
      <c r="AO183" s="13" t="e">
        <v>#N/A</v>
      </c>
      <c r="AP183" s="13" t="s">
        <v>78</v>
      </c>
      <c r="AQ183" s="14" t="s">
        <v>10</v>
      </c>
      <c r="AR183" s="14" t="s">
        <v>1</v>
      </c>
      <c r="AS183" s="14">
        <v>8</v>
      </c>
      <c r="AT183" s="14"/>
      <c r="AU183" s="15"/>
    </row>
    <row r="184" spans="1:47" ht="42.75">
      <c r="A184" s="9" t="s">
        <v>638</v>
      </c>
      <c r="B184" s="9"/>
      <c r="C184" s="9"/>
      <c r="D184" s="9" t="s">
        <v>75</v>
      </c>
      <c r="E184" s="10"/>
      <c r="F184" s="10" t="s">
        <v>121</v>
      </c>
      <c r="G184" s="10" t="s">
        <v>639</v>
      </c>
      <c r="H184" s="12" t="s">
        <v>639</v>
      </c>
      <c r="I184" s="11" t="s">
        <v>640</v>
      </c>
      <c r="J184" s="12"/>
      <c r="K184" s="12"/>
      <c r="L184" s="11" t="s">
        <v>75</v>
      </c>
      <c r="M184" s="11"/>
      <c r="N184" s="12"/>
      <c r="O184" s="12"/>
      <c r="P184" s="9"/>
      <c r="Q184" s="12" t="s">
        <v>75</v>
      </c>
      <c r="R184" s="12" t="s">
        <v>74</v>
      </c>
      <c r="S184" s="12"/>
      <c r="T184" s="12" t="s">
        <v>75</v>
      </c>
      <c r="U184" s="9" t="s">
        <v>75</v>
      </c>
      <c r="V184" s="9" t="s">
        <v>75</v>
      </c>
      <c r="W184" s="13" t="s">
        <v>75</v>
      </c>
      <c r="X184" s="14" t="s">
        <v>75</v>
      </c>
      <c r="Y184" s="14" t="s">
        <v>75</v>
      </c>
      <c r="Z184" s="14" t="s">
        <v>134</v>
      </c>
      <c r="AA184" s="13"/>
      <c r="AB184" s="13" t="s">
        <v>75</v>
      </c>
      <c r="AC184" s="14" t="s">
        <v>75</v>
      </c>
      <c r="AD184" s="13" t="s">
        <v>265</v>
      </c>
      <c r="AE184" s="13" t="s">
        <v>75</v>
      </c>
      <c r="AF184" s="14" t="s">
        <v>75</v>
      </c>
      <c r="AG184" s="14" t="s">
        <v>75</v>
      </c>
      <c r="AH184" s="14" t="s">
        <v>75</v>
      </c>
      <c r="AI184" s="14" t="s">
        <v>79</v>
      </c>
      <c r="AJ184" s="14" t="s">
        <v>138</v>
      </c>
      <c r="AK184" s="14" t="s">
        <v>7</v>
      </c>
      <c r="AL184" s="14" t="s">
        <v>139</v>
      </c>
      <c r="AM184" s="14" t="s">
        <v>782</v>
      </c>
      <c r="AN184" s="13" t="e">
        <v>#N/A</v>
      </c>
      <c r="AO184" s="13" t="e">
        <v>#N/A</v>
      </c>
      <c r="AP184" s="13" t="s">
        <v>78</v>
      </c>
      <c r="AQ184" s="14" t="s">
        <v>10</v>
      </c>
      <c r="AR184" s="14" t="s">
        <v>1</v>
      </c>
      <c r="AS184" s="14">
        <v>8</v>
      </c>
      <c r="AT184" s="14"/>
      <c r="AU184" s="15"/>
    </row>
    <row r="185" spans="1:47" ht="71.25">
      <c r="A185" s="10" t="s">
        <v>647</v>
      </c>
      <c r="B185" s="10"/>
      <c r="C185" s="10"/>
      <c r="D185" s="10" t="s">
        <v>75</v>
      </c>
      <c r="E185" s="10"/>
      <c r="F185" s="10" t="s">
        <v>648</v>
      </c>
      <c r="G185" s="10" t="s">
        <v>648</v>
      </c>
      <c r="H185" s="11" t="s">
        <v>649</v>
      </c>
      <c r="I185" s="11" t="s">
        <v>650</v>
      </c>
      <c r="J185" s="18"/>
      <c r="K185" s="12"/>
      <c r="L185" s="11" t="s">
        <v>75</v>
      </c>
      <c r="M185" s="11"/>
      <c r="N185" s="12"/>
      <c r="O185" s="12"/>
      <c r="P185" s="9"/>
      <c r="Q185" s="12" t="s">
        <v>75</v>
      </c>
      <c r="R185" s="12" t="s">
        <v>74</v>
      </c>
      <c r="S185" s="12"/>
      <c r="T185" s="12" t="s">
        <v>75</v>
      </c>
      <c r="U185" s="9" t="s">
        <v>75</v>
      </c>
      <c r="V185" s="9" t="s">
        <v>75</v>
      </c>
      <c r="W185" s="13" t="s">
        <v>75</v>
      </c>
      <c r="X185" s="14" t="s">
        <v>75</v>
      </c>
      <c r="Y185" s="14" t="s">
        <v>75</v>
      </c>
      <c r="Z185" s="14" t="s">
        <v>134</v>
      </c>
      <c r="AA185" s="13"/>
      <c r="AB185" s="13" t="s">
        <v>75</v>
      </c>
      <c r="AC185" s="14" t="s">
        <v>75</v>
      </c>
      <c r="AD185" s="13" t="s">
        <v>265</v>
      </c>
      <c r="AE185" s="13" t="s">
        <v>75</v>
      </c>
      <c r="AF185" s="14" t="s">
        <v>75</v>
      </c>
      <c r="AG185" s="14" t="s">
        <v>75</v>
      </c>
      <c r="AH185" s="14" t="s">
        <v>75</v>
      </c>
      <c r="AI185" s="14" t="s">
        <v>79</v>
      </c>
      <c r="AJ185" s="14" t="s">
        <v>138</v>
      </c>
      <c r="AK185" s="14" t="s">
        <v>7</v>
      </c>
      <c r="AL185" s="14" t="s">
        <v>139</v>
      </c>
      <c r="AM185" s="14" t="s">
        <v>782</v>
      </c>
      <c r="AN185" s="13" t="e">
        <v>#N/A</v>
      </c>
      <c r="AO185" s="13" t="e">
        <v>#N/A</v>
      </c>
      <c r="AP185" s="13" t="s">
        <v>78</v>
      </c>
      <c r="AQ185" s="14" t="s">
        <v>10</v>
      </c>
      <c r="AR185" s="14" t="s">
        <v>1</v>
      </c>
      <c r="AS185" s="14">
        <v>3</v>
      </c>
      <c r="AT185" s="14"/>
      <c r="AU185" s="15"/>
    </row>
    <row r="186" spans="1:47" ht="42.75">
      <c r="A186" s="9" t="s">
        <v>127</v>
      </c>
      <c r="B186" s="9"/>
      <c r="C186" s="9" t="s">
        <v>62</v>
      </c>
      <c r="D186" s="9" t="s">
        <v>128</v>
      </c>
      <c r="E186" s="10"/>
      <c r="F186" s="10" t="s">
        <v>129</v>
      </c>
      <c r="G186" s="10" t="s">
        <v>130</v>
      </c>
      <c r="H186" s="11" t="s">
        <v>131</v>
      </c>
      <c r="I186" s="11" t="s">
        <v>132</v>
      </c>
      <c r="J186" s="9"/>
      <c r="K186" s="12" t="s">
        <v>19</v>
      </c>
      <c r="L186" s="10" t="s">
        <v>178</v>
      </c>
      <c r="M186" s="11" t="s">
        <v>19</v>
      </c>
      <c r="N186" s="12" t="s">
        <v>19</v>
      </c>
      <c r="O186" s="12" t="s">
        <v>19</v>
      </c>
      <c r="P186" s="10" t="s">
        <v>133</v>
      </c>
      <c r="Q186" s="12" t="s">
        <v>19</v>
      </c>
      <c r="R186" s="12" t="s">
        <v>74</v>
      </c>
      <c r="S186" s="12"/>
      <c r="T186" s="12" t="s">
        <v>19</v>
      </c>
      <c r="U186" s="9" t="s">
        <v>71</v>
      </c>
      <c r="V186" s="10" t="s">
        <v>19</v>
      </c>
      <c r="W186" s="13" t="s">
        <v>19</v>
      </c>
      <c r="X186" s="14" t="s">
        <v>126</v>
      </c>
      <c r="Y186" s="14" t="s">
        <v>19</v>
      </c>
      <c r="Z186" s="14" t="s">
        <v>134</v>
      </c>
      <c r="AA186" s="13" t="s">
        <v>19</v>
      </c>
      <c r="AB186" s="13" t="s">
        <v>19</v>
      </c>
      <c r="AC186" s="14" t="s">
        <v>19</v>
      </c>
      <c r="AD186" s="13" t="s">
        <v>783</v>
      </c>
      <c r="AE186" s="13" t="s">
        <v>19</v>
      </c>
      <c r="AF186" s="14" t="s">
        <v>108</v>
      </c>
      <c r="AG186" s="14"/>
      <c r="AH186" s="14" t="s">
        <v>19</v>
      </c>
      <c r="AI186" s="14" t="s">
        <v>79</v>
      </c>
      <c r="AJ186" s="14" t="s">
        <v>80</v>
      </c>
      <c r="AK186" s="14" t="s">
        <v>8</v>
      </c>
      <c r="AL186" s="14" t="s">
        <v>8</v>
      </c>
      <c r="AM186" s="14" t="s">
        <v>784</v>
      </c>
      <c r="AN186" s="13" t="e">
        <v>#N/A</v>
      </c>
      <c r="AO186" s="13" t="e">
        <v>#N/A</v>
      </c>
      <c r="AP186" s="13" t="s">
        <v>19</v>
      </c>
      <c r="AQ186" s="14" t="s">
        <v>18</v>
      </c>
      <c r="AR186" s="14" t="s">
        <v>1</v>
      </c>
      <c r="AS186" s="14">
        <v>6</v>
      </c>
      <c r="AT186" s="14"/>
      <c r="AU186" s="15"/>
    </row>
    <row r="187" spans="1:47" ht="57">
      <c r="A187" s="9" t="s">
        <v>199</v>
      </c>
      <c r="B187" s="9"/>
      <c r="C187" s="9"/>
      <c r="D187" s="10" t="s">
        <v>200</v>
      </c>
      <c r="E187" s="16" t="s">
        <v>64</v>
      </c>
      <c r="F187" s="10" t="s">
        <v>65</v>
      </c>
      <c r="G187" s="10" t="s">
        <v>201</v>
      </c>
      <c r="H187" s="12" t="s">
        <v>202</v>
      </c>
      <c r="I187" s="11" t="s">
        <v>785</v>
      </c>
      <c r="J187" s="12" t="s">
        <v>69</v>
      </c>
      <c r="K187" s="12" t="s">
        <v>19</v>
      </c>
      <c r="L187" s="11" t="s">
        <v>71</v>
      </c>
      <c r="M187" s="11" t="s">
        <v>71</v>
      </c>
      <c r="N187" s="12" t="s">
        <v>19</v>
      </c>
      <c r="O187" s="12" t="s">
        <v>72</v>
      </c>
      <c r="P187" s="10" t="s">
        <v>19</v>
      </c>
      <c r="Q187" s="12" t="s">
        <v>19</v>
      </c>
      <c r="R187" s="12" t="s">
        <v>74</v>
      </c>
      <c r="S187" s="12" t="s">
        <v>19</v>
      </c>
      <c r="T187" s="12" t="s">
        <v>19</v>
      </c>
      <c r="U187" s="9" t="s">
        <v>76</v>
      </c>
      <c r="V187" s="9" t="s">
        <v>19</v>
      </c>
      <c r="W187" s="13" t="s">
        <v>19</v>
      </c>
      <c r="X187" s="14" t="s">
        <v>126</v>
      </c>
      <c r="Y187" s="14" t="s">
        <v>19</v>
      </c>
      <c r="Z187" s="14" t="s">
        <v>134</v>
      </c>
      <c r="AA187" s="13" t="s">
        <v>19</v>
      </c>
      <c r="AB187" s="13" t="s">
        <v>71</v>
      </c>
      <c r="AC187" s="14" t="s">
        <v>78</v>
      </c>
      <c r="AD187" s="13" t="s">
        <v>265</v>
      </c>
      <c r="AE187" s="13" t="s">
        <v>19</v>
      </c>
      <c r="AF187" s="14" t="s">
        <v>108</v>
      </c>
      <c r="AG187" s="14"/>
      <c r="AH187" s="14" t="s">
        <v>19</v>
      </c>
      <c r="AI187" s="14" t="s">
        <v>79</v>
      </c>
      <c r="AJ187" s="14" t="s">
        <v>203</v>
      </c>
      <c r="AK187" s="14" t="s">
        <v>9</v>
      </c>
      <c r="AL187" s="14" t="s">
        <v>8</v>
      </c>
      <c r="AM187" s="14" t="s">
        <v>784</v>
      </c>
      <c r="AN187" s="13" t="e">
        <v>#N/A</v>
      </c>
      <c r="AO187" s="13" t="e">
        <v>#N/A</v>
      </c>
      <c r="AP187" s="13" t="s">
        <v>19</v>
      </c>
      <c r="AQ187" s="14" t="s">
        <v>18</v>
      </c>
      <c r="AR187" s="14" t="s">
        <v>1</v>
      </c>
      <c r="AS187" s="14">
        <v>8</v>
      </c>
      <c r="AT187" s="14"/>
      <c r="AU187" s="15"/>
    </row>
    <row r="188" spans="1:47" ht="42.75">
      <c r="A188" s="9" t="s">
        <v>681</v>
      </c>
      <c r="B188" s="9"/>
      <c r="C188" s="9"/>
      <c r="D188" s="9" t="s">
        <v>682</v>
      </c>
      <c r="E188" s="10"/>
      <c r="F188" s="10" t="s">
        <v>231</v>
      </c>
      <c r="G188" s="9" t="s">
        <v>232</v>
      </c>
      <c r="H188" s="9" t="s">
        <v>683</v>
      </c>
      <c r="I188" s="10" t="s">
        <v>684</v>
      </c>
      <c r="J188" s="9"/>
      <c r="K188" s="9" t="s">
        <v>19</v>
      </c>
      <c r="L188" s="9" t="s">
        <v>178</v>
      </c>
      <c r="M188" s="9" t="s">
        <v>19</v>
      </c>
      <c r="N188" s="9" t="s">
        <v>19</v>
      </c>
      <c r="O188" s="9"/>
      <c r="P188" s="9"/>
      <c r="Q188" s="12" t="s">
        <v>19</v>
      </c>
      <c r="R188" s="9" t="s">
        <v>74</v>
      </c>
      <c r="S188" s="9"/>
      <c r="T188" s="9" t="s">
        <v>19</v>
      </c>
      <c r="U188" s="9" t="s">
        <v>76</v>
      </c>
      <c r="V188" s="9" t="s">
        <v>19</v>
      </c>
      <c r="W188" s="13" t="s">
        <v>19</v>
      </c>
      <c r="X188" s="14" t="s">
        <v>126</v>
      </c>
      <c r="Y188" s="14" t="s">
        <v>19</v>
      </c>
      <c r="Z188" s="14" t="s">
        <v>134</v>
      </c>
      <c r="AA188" s="13" t="s">
        <v>19</v>
      </c>
      <c r="AB188" s="13" t="s">
        <v>19</v>
      </c>
      <c r="AC188" s="14" t="s">
        <v>19</v>
      </c>
      <c r="AD188" s="13" t="s">
        <v>265</v>
      </c>
      <c r="AE188" s="13" t="s">
        <v>19</v>
      </c>
      <c r="AF188" s="14" t="s">
        <v>108</v>
      </c>
      <c r="AG188" s="14"/>
      <c r="AH188" s="14" t="s">
        <v>19</v>
      </c>
      <c r="AI188" s="14" t="s">
        <v>79</v>
      </c>
      <c r="AJ188" s="14" t="s">
        <v>203</v>
      </c>
      <c r="AK188" s="14" t="s">
        <v>7</v>
      </c>
      <c r="AL188" s="14" t="s">
        <v>148</v>
      </c>
      <c r="AM188" s="14" t="s">
        <v>784</v>
      </c>
      <c r="AN188" s="13" t="e">
        <v>#N/A</v>
      </c>
      <c r="AO188" s="13" t="e">
        <v>#N/A</v>
      </c>
      <c r="AP188" s="13" t="s">
        <v>19</v>
      </c>
      <c r="AQ188" s="14" t="s">
        <v>18</v>
      </c>
      <c r="AR188" s="14" t="s">
        <v>4</v>
      </c>
      <c r="AS188" s="14">
        <v>6</v>
      </c>
      <c r="AT188" s="14"/>
      <c r="AU188" s="15"/>
    </row>
    <row r="189" spans="1:47">
      <c r="A189" s="2"/>
      <c r="B189" s="2"/>
      <c r="C189" s="2"/>
      <c r="D189" s="2"/>
      <c r="E189" s="3"/>
      <c r="F189" s="3"/>
      <c r="G189" s="2"/>
      <c r="H189" s="2"/>
      <c r="I189" s="3"/>
      <c r="J189" s="2"/>
      <c r="K189" s="2"/>
      <c r="L189" s="3"/>
      <c r="M189" s="2"/>
      <c r="N189" s="2"/>
      <c r="O189" s="2"/>
      <c r="P189" s="3"/>
      <c r="Q189" s="4"/>
      <c r="R189" s="2"/>
      <c r="S189" s="2"/>
      <c r="T189" s="2"/>
      <c r="U189" s="2"/>
      <c r="V189" s="2"/>
    </row>
    <row r="190" spans="1:47">
      <c r="A190" s="3"/>
      <c r="B190" s="3"/>
      <c r="C190" s="3"/>
      <c r="D190" s="3"/>
      <c r="E190" s="3"/>
      <c r="F190" s="3"/>
      <c r="G190" s="2"/>
      <c r="H190" s="2"/>
      <c r="I190" s="3"/>
      <c r="J190" s="2"/>
      <c r="K190" s="2"/>
      <c r="L190" s="2"/>
      <c r="M190" s="2"/>
      <c r="N190" s="2"/>
      <c r="O190" s="2"/>
      <c r="P190" s="2"/>
      <c r="Q190" s="4"/>
      <c r="R190" s="2"/>
      <c r="S190" s="2"/>
      <c r="T190" s="2"/>
      <c r="U190" s="2"/>
      <c r="V190" s="2"/>
    </row>
    <row r="191" spans="1:47">
      <c r="A191" s="2"/>
      <c r="B191" s="2"/>
      <c r="C191" s="2"/>
      <c r="D191" s="2"/>
      <c r="E191" s="3"/>
      <c r="F191" s="3"/>
      <c r="G191" s="2"/>
      <c r="H191" s="2"/>
      <c r="I191" s="3"/>
      <c r="J191" s="2"/>
      <c r="K191" s="2"/>
      <c r="L191" s="3"/>
      <c r="M191" s="2"/>
      <c r="N191" s="2"/>
      <c r="O191" s="2"/>
      <c r="P191" s="2"/>
      <c r="Q191" s="4"/>
      <c r="R191" s="2"/>
      <c r="S191" s="2"/>
      <c r="T191" s="2"/>
      <c r="U191" s="2"/>
      <c r="V191" s="2"/>
    </row>
    <row r="192" spans="1:47">
      <c r="E192" s="5"/>
    </row>
    <row r="193" spans="5:5">
      <c r="E193" s="5"/>
    </row>
    <row r="194" spans="5:5">
      <c r="E194" s="3"/>
    </row>
    <row r="195" spans="5:5">
      <c r="E195" s="3"/>
    </row>
    <row r="196" spans="5:5">
      <c r="E196" s="3"/>
    </row>
    <row r="197" spans="5:5">
      <c r="E197" s="3"/>
    </row>
    <row r="198" spans="5:5">
      <c r="E198" s="3"/>
    </row>
    <row r="199" spans="5:5">
      <c r="E199" s="3"/>
    </row>
    <row r="200" spans="5:5">
      <c r="E200" s="3"/>
    </row>
    <row r="201" spans="5:5">
      <c r="E201" s="3"/>
    </row>
    <row r="202" spans="5:5">
      <c r="E202" s="3"/>
    </row>
    <row r="203" spans="5:5">
      <c r="E203" s="3"/>
    </row>
    <row r="204" spans="5:5">
      <c r="E204" s="3"/>
    </row>
    <row r="205" spans="5:5">
      <c r="E205" s="3"/>
    </row>
    <row r="206" spans="5:5">
      <c r="E206" s="3"/>
    </row>
    <row r="207" spans="5:5">
      <c r="E207" s="3"/>
    </row>
    <row r="208" spans="5:5">
      <c r="E208" s="3"/>
    </row>
    <row r="209" spans="5:5">
      <c r="E209" s="3"/>
    </row>
    <row r="210" spans="5:5">
      <c r="E210" s="3"/>
    </row>
    <row r="211" spans="5:5">
      <c r="E211" s="3"/>
    </row>
    <row r="212" spans="5:5">
      <c r="E212" s="3"/>
    </row>
    <row r="213" spans="5:5">
      <c r="E213" s="3"/>
    </row>
    <row r="214" spans="5:5">
      <c r="E214" s="3"/>
    </row>
    <row r="215" spans="5:5">
      <c r="E215" s="3"/>
    </row>
    <row r="216" spans="5:5">
      <c r="E216" s="3"/>
    </row>
    <row r="217" spans="5:5">
      <c r="E217" s="3"/>
    </row>
    <row r="218" spans="5:5">
      <c r="E218" s="3"/>
    </row>
    <row r="219" spans="5:5">
      <c r="E219" s="3"/>
    </row>
    <row r="220" spans="5:5">
      <c r="E220" s="3"/>
    </row>
    <row r="221" spans="5:5">
      <c r="E221" s="3"/>
    </row>
    <row r="222" spans="5:5">
      <c r="E222" s="3"/>
    </row>
    <row r="223" spans="5:5">
      <c r="E223" s="3"/>
    </row>
    <row r="224" spans="5:5">
      <c r="E224" s="3"/>
    </row>
    <row r="225" spans="5:21">
      <c r="E225" s="3"/>
    </row>
    <row r="226" spans="5:21">
      <c r="E226" s="3"/>
    </row>
    <row r="227" spans="5:21">
      <c r="E227" s="3"/>
    </row>
    <row r="228" spans="5:21">
      <c r="E228" s="3"/>
    </row>
    <row r="229" spans="5:21">
      <c r="E229" s="3"/>
    </row>
    <row r="230" spans="5:21">
      <c r="E230" s="3"/>
    </row>
    <row r="231" spans="5:21">
      <c r="E231" s="3"/>
    </row>
    <row r="232" spans="5:21">
      <c r="F232" s="3"/>
    </row>
    <row r="233" spans="5:21">
      <c r="U233" s="3"/>
    </row>
    <row r="234" spans="5:21">
      <c r="E234" s="3"/>
    </row>
    <row r="235" spans="5:21">
      <c r="F235" s="3"/>
    </row>
    <row r="236" spans="5:21">
      <c r="F236" s="3"/>
    </row>
    <row r="237" spans="5:21">
      <c r="F237" s="3"/>
    </row>
    <row r="238" spans="5:21">
      <c r="F238" s="3"/>
    </row>
    <row r="239" spans="5:21">
      <c r="E239" s="3"/>
    </row>
    <row r="240" spans="5:21">
      <c r="E240" s="3"/>
    </row>
    <row r="241" spans="5:6">
      <c r="E241" s="3"/>
    </row>
    <row r="242" spans="5:6">
      <c r="E242" s="3"/>
    </row>
    <row r="243" spans="5:6">
      <c r="E243" s="3"/>
    </row>
    <row r="244" spans="5:6">
      <c r="F244" s="3"/>
    </row>
    <row r="245" spans="5:6">
      <c r="E245" s="3"/>
    </row>
    <row r="246" spans="5:6">
      <c r="E246" s="3"/>
    </row>
    <row r="247" spans="5:6">
      <c r="E247" s="3"/>
    </row>
    <row r="248" spans="5:6">
      <c r="E248" s="3"/>
    </row>
    <row r="249" spans="5:6">
      <c r="E249" s="3"/>
    </row>
    <row r="250" spans="5:6">
      <c r="E250" s="3"/>
    </row>
    <row r="251" spans="5:6">
      <c r="E251" s="3"/>
    </row>
    <row r="252" spans="5:6">
      <c r="E252" s="3"/>
    </row>
    <row r="253" spans="5:6">
      <c r="E253" s="3"/>
    </row>
    <row r="254" spans="5:6">
      <c r="E254" s="3"/>
    </row>
    <row r="255" spans="5:6">
      <c r="E255" s="3"/>
    </row>
    <row r="256" spans="5:6">
      <c r="E256" s="3"/>
    </row>
    <row r="257" spans="5:5">
      <c r="E257" s="3"/>
    </row>
    <row r="258" spans="5:5">
      <c r="E258" s="3"/>
    </row>
    <row r="259" spans="5:5">
      <c r="E259" s="3"/>
    </row>
    <row r="260" spans="5:5">
      <c r="E260" s="3"/>
    </row>
    <row r="261" spans="5:5">
      <c r="E261" s="3"/>
    </row>
    <row r="262" spans="5:5">
      <c r="E262" s="3"/>
    </row>
    <row r="263" spans="5:5">
      <c r="E263" s="3"/>
    </row>
    <row r="264" spans="5:5">
      <c r="E264" s="3"/>
    </row>
    <row r="265" spans="5:5">
      <c r="E265" s="3"/>
    </row>
    <row r="266" spans="5:5">
      <c r="E266" s="3"/>
    </row>
    <row r="267" spans="5:5">
      <c r="E267" s="3"/>
    </row>
    <row r="268" spans="5:5">
      <c r="E268" s="3"/>
    </row>
    <row r="269" spans="5:5">
      <c r="E269" s="3"/>
    </row>
    <row r="270" spans="5:5">
      <c r="E270" s="3"/>
    </row>
    <row r="271" spans="5:5">
      <c r="E271" s="3"/>
    </row>
    <row r="272" spans="5:5">
      <c r="E272" s="3"/>
    </row>
    <row r="273" spans="5:5">
      <c r="E273" s="3"/>
    </row>
    <row r="274" spans="5:5">
      <c r="E274" s="3"/>
    </row>
    <row r="275" spans="5:5">
      <c r="E275" s="3"/>
    </row>
    <row r="276" spans="5:5">
      <c r="E276" s="3"/>
    </row>
    <row r="277" spans="5:5">
      <c r="E277" s="3"/>
    </row>
    <row r="278" spans="5:5">
      <c r="E278" s="3"/>
    </row>
    <row r="279" spans="5:5">
      <c r="E279" s="3"/>
    </row>
    <row r="280" spans="5:5">
      <c r="E280" s="3"/>
    </row>
    <row r="281" spans="5:5">
      <c r="E281" s="3"/>
    </row>
    <row r="282" spans="5:5">
      <c r="E282" s="3"/>
    </row>
    <row r="283" spans="5:5">
      <c r="E283" s="3"/>
    </row>
    <row r="284" spans="5:5">
      <c r="E284" s="3"/>
    </row>
    <row r="285" spans="5:5">
      <c r="E285" s="3"/>
    </row>
    <row r="286" spans="5:5">
      <c r="E286" s="3"/>
    </row>
    <row r="287" spans="5:5">
      <c r="E287" s="3"/>
    </row>
  </sheetData>
  <sortState xmlns:xlrd2="http://schemas.microsoft.com/office/spreadsheetml/2017/richdata2" ref="A2:AV288">
    <sortCondition ref="AM2:AM288"/>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0129BF-1D54-46B4-909A-75188346ABBC}"/>
</file>

<file path=customXml/itemProps2.xml><?xml version="1.0" encoding="utf-8"?>
<ds:datastoreItem xmlns:ds="http://schemas.openxmlformats.org/officeDocument/2006/customXml" ds:itemID="{76CFE0A1-EFE9-4907-BAE5-AD7C8329BA99}">
  <ds:schemaRefs>
    <ds:schemaRef ds:uri="http://purl.org/dc/terms/"/>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schemas.microsoft.com/sharepoint/v4"/>
    <ds:schemaRef ds:uri="http://purl.org/dc/dcmitype/"/>
    <ds:schemaRef ds:uri="http://purl.org/dc/elements/1.1/"/>
  </ds:schemaRefs>
</ds:datastoreItem>
</file>

<file path=customXml/itemProps3.xml><?xml version="1.0" encoding="utf-8"?>
<ds:datastoreItem xmlns:ds="http://schemas.openxmlformats.org/officeDocument/2006/customXml" ds:itemID="{2229D8E3-E236-4A47-95F1-FEFC20B64342}">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 Status Dashboard</vt:lpstr>
      <vt:lpstr>DBX Sprint</vt:lpstr>
      <vt:lpstr>PM Dashboard</vt:lpstr>
      <vt:lpstr>Formatted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Sunil Prashar</dc:creator>
  <cp:keywords/>
  <dc:description/>
  <cp:lastModifiedBy>Jerry Naraine</cp:lastModifiedBy>
  <cp:revision/>
  <dcterms:created xsi:type="dcterms:W3CDTF">2020-11-20T06:38:28Z</dcterms:created>
  <dcterms:modified xsi:type="dcterms:W3CDTF">2021-05-31T19:41:56Z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