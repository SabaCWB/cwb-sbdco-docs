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Test Summary Reporting\"/>
    </mc:Choice>
  </mc:AlternateContent>
  <bookViews>
    <workbookView xWindow="0" yWindow="0" windowWidth="28800" windowHeight="12300" activeTab="1"/>
  </bookViews>
  <sheets>
    <sheet name="Digital Banking - Test Summary" sheetId="1" r:id="rId1"/>
    <sheet name="Created vs. Resolved Defects" sheetId="4" r:id="rId2"/>
    <sheet name="CWB - Defect Summary Report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7" i="1"/>
  <c r="L7" i="4" l="1"/>
  <c r="D30" i="1" l="1"/>
</calcChain>
</file>

<file path=xl/comments1.xml><?xml version="1.0" encoding="utf-8"?>
<comments xmlns="http://schemas.openxmlformats.org/spreadsheetml/2006/main">
  <authors>
    <author>Chix Dela Luna</author>
  </authors>
  <commentList>
    <comment ref="J7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Started with Sprints 1 to 9
1. This is to quantify catch up work for CWB QA Team - for test case development and execution
2. Will increase after a Sprint 10 is done, it will increase after every sprint
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Goal is to match count completed by Temenos
</t>
        </r>
      </text>
    </comment>
    <comment ref="K12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Goal is to match stories with developed test cases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Number will change every reporting time. We are writing test cases and executin at the same time. 
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Chix Dela Luna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Chix Dela Luna</t>
        </r>
      </text>
    </comment>
  </commentList>
</comments>
</file>

<file path=xl/sharedStrings.xml><?xml version="1.0" encoding="utf-8"?>
<sst xmlns="http://schemas.openxmlformats.org/spreadsheetml/2006/main" count="256" uniqueCount="143">
  <si>
    <t>Test Execution</t>
  </si>
  <si>
    <t>% Failed</t>
  </si>
  <si>
    <t>Summary</t>
  </si>
  <si>
    <t>Status</t>
  </si>
  <si>
    <t>Passed Tests</t>
  </si>
  <si>
    <t>Failed Tests</t>
  </si>
  <si>
    <t>Blocked Tests</t>
  </si>
  <si>
    <t>-</t>
  </si>
  <si>
    <t>INFINITY-1467</t>
  </si>
  <si>
    <t>INFINITY-1469</t>
  </si>
  <si>
    <t>INFINITY-1545</t>
  </si>
  <si>
    <t>INFINITY-1547</t>
  </si>
  <si>
    <t>INFINITY-1548</t>
  </si>
  <si>
    <t>INFINITY-1549</t>
  </si>
  <si>
    <t>INFINITY-1550</t>
  </si>
  <si>
    <t>INFINITY-1551</t>
  </si>
  <si>
    <t>INFINITY-1552</t>
  </si>
  <si>
    <t>INFINITY-1590</t>
  </si>
  <si>
    <t>MOB - Device deregistration screen - Text below button doesn't match AC.</t>
  </si>
  <si>
    <t>MOB - Device deregistration - Logged out screen text doesn't match AC or mock up.</t>
  </si>
  <si>
    <t>MOB - Account Dashboard Retail - No advertising banner displays.</t>
  </si>
  <si>
    <t>MOB - Account Dashboard Retail - CDIC logo is NOT a link.</t>
  </si>
  <si>
    <t>OLB - MOB - Account Dashboard Retail - Incorrect capitalisation in header</t>
  </si>
  <si>
    <t>MOB - Account Details - Account summary section heading on screen doesn't match AC.</t>
  </si>
  <si>
    <t>MOB - Account Details - Interest detail section heading on screen doesn't match AC.</t>
  </si>
  <si>
    <t>OLB - MOB - Device Registration - Verify Unregistered Device - ACs are wrong on user story INFINITY-564</t>
  </si>
  <si>
    <t>OLB - MOB - Device Registration - selecting Touch ID when it isn't already enabled on the phone causes app to freeze</t>
  </si>
  <si>
    <t>MOB - Account Details - AC heading for balance on Chequing Accounts doesn't match screen.</t>
  </si>
  <si>
    <t>High</t>
  </si>
  <si>
    <t>% Passed</t>
  </si>
  <si>
    <t>% Blocked</t>
  </si>
  <si>
    <t>Issue key</t>
  </si>
  <si>
    <t>Priority</t>
  </si>
  <si>
    <t>Reporter</t>
  </si>
  <si>
    <t>INFINITY-1722</t>
  </si>
  <si>
    <t>MOB - Quick Balance - ACs do not match Mock Ups or do not have enough details in them.</t>
  </si>
  <si>
    <t>Medium</t>
  </si>
  <si>
    <t>To Do</t>
  </si>
  <si>
    <t>INFINITY-1717</t>
  </si>
  <si>
    <t>MOB Account Details - inconsistencies in ACs</t>
  </si>
  <si>
    <t>INFINITY-1716</t>
  </si>
  <si>
    <t>MOB - Device Registration - ACs do not match Mock Ups or do not have enough details in them.</t>
  </si>
  <si>
    <t>INFINITY-1715</t>
  </si>
  <si>
    <t>OLB Account Details - inconsistencies in ACs</t>
  </si>
  <si>
    <t>INFINITY-1663</t>
  </si>
  <si>
    <t>OLB - SPOTLIGHT - Initial login page display issue</t>
  </si>
  <si>
    <t>Additional notes:</t>
  </si>
  <si>
    <t>1. Report is just for defects the CWB QA Team has logged</t>
  </si>
  <si>
    <t>Test Case Development</t>
  </si>
  <si>
    <t>CWB 
Assignee</t>
  </si>
  <si>
    <t>Temenos 
Assignee</t>
  </si>
  <si>
    <t>INFINITY-1776</t>
  </si>
  <si>
    <t>OLB - Account Dashboard Retail - AC/MU mismatch.</t>
  </si>
  <si>
    <t>INFINITY-1736</t>
  </si>
  <si>
    <t>MOB - Secure Msg and Notfcn_Mobile_017 (2.1.17) - incorrect ACs - INFINITY-85</t>
  </si>
  <si>
    <t>Date 
Created</t>
  </si>
  <si>
    <t>INFINITY-1781</t>
  </si>
  <si>
    <t>MOB - Feedback_001 - ACs don't match mockups - INFINITY-227 (Confluence 3.2.1)</t>
  </si>
  <si>
    <t>INFINITY-1780</t>
  </si>
  <si>
    <t>MOB - Stop Cheque - AC/MU mismatch.</t>
  </si>
  <si>
    <t>INFINITY-1779</t>
  </si>
  <si>
    <t>Business Banking: User Management - SOW 309, SOW 31 - incorrect and incomplete ACs - INFINITY-1059</t>
  </si>
  <si>
    <t>INFINITY-1803</t>
  </si>
  <si>
    <t>UX - "sign in" should be "log in"</t>
  </si>
  <si>
    <t>INFINITY-1802</t>
  </si>
  <si>
    <t xml:space="preserve">UX - Missing grey background </t>
  </si>
  <si>
    <t>INFINITY-1794</t>
  </si>
  <si>
    <t>UX - "Remember me" switch - Password page - "on" looks different from mock up</t>
  </si>
  <si>
    <t>INFINITY-1793</t>
  </si>
  <si>
    <t>UX - Font used is not CWB's font</t>
  </si>
  <si>
    <t>Mobile defects</t>
  </si>
  <si>
    <t>OLB defects</t>
  </si>
  <si>
    <t>- includes defects logged by CWB QA Team</t>
  </si>
  <si>
    <t>Anil</t>
  </si>
  <si>
    <t>Chix</t>
  </si>
  <si>
    <t>Adrian</t>
  </si>
  <si>
    <t>Susan</t>
  </si>
  <si>
    <r>
      <rPr>
        <b/>
        <sz val="11"/>
        <color theme="1"/>
        <rFont val="Calibri"/>
        <family val="2"/>
        <scheme val="minor"/>
      </rPr>
      <t>created/opened</t>
    </r>
    <r>
      <rPr>
        <sz val="11"/>
        <color theme="1"/>
        <rFont val="Calibri"/>
        <family val="2"/>
        <scheme val="minor"/>
      </rPr>
      <t xml:space="preserve"> defects</t>
    </r>
  </si>
  <si>
    <r>
      <rPr>
        <b/>
        <sz val="11"/>
        <color theme="1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 xml:space="preserve"> defects</t>
    </r>
  </si>
  <si>
    <r>
      <rPr>
        <b/>
        <sz val="11"/>
        <color theme="1"/>
        <rFont val="Calibri"/>
        <family val="2"/>
        <scheme val="minor"/>
      </rPr>
      <t>outstanding</t>
    </r>
    <r>
      <rPr>
        <sz val="11"/>
        <color theme="1"/>
        <rFont val="Calibri"/>
        <family val="2"/>
        <scheme val="minor"/>
      </rPr>
      <t xml:space="preserve"> defects</t>
    </r>
  </si>
  <si>
    <t>created/opened defects</t>
  </si>
  <si>
    <t>closed defects</t>
  </si>
  <si>
    <t>outstanding defects</t>
  </si>
  <si>
    <t>3. CWB's Defect Triage is scheduled twice a week (Wednesdays and Fridays - 3pm-4pm).
- Damanpreet Singh and Dino are both attendees to the triage session</t>
  </si>
  <si>
    <t>2. Defects logged so far just uses the default Priority of "Medium"
 - final priorization will be done/reviewed with business team.</t>
  </si>
  <si>
    <t>For Temenos to address (functional, non-UX items)</t>
  </si>
  <si>
    <t>OLB - Feedback_001 and 002 - ACs don't match mockups - INFINITY-230/231 (Confluence 3.2.4 and 3.2.5)</t>
  </si>
  <si>
    <t>INFINITY-1844</t>
  </si>
  <si>
    <t>- only defects reported/logged by CWB Team (QA and UX Team)</t>
  </si>
  <si>
    <t xml:space="preserve">    Test Cases impacted Due Temenos Defect</t>
  </si>
  <si>
    <t>Assigned to Temenos</t>
  </si>
  <si>
    <t>Satya</t>
  </si>
  <si>
    <t>TBD</t>
  </si>
  <si>
    <t xml:space="preserve">Stories completed by Temenos </t>
  </si>
  <si>
    <t xml:space="preserve">Dev Status=Dev completed and QA Status=Done (passed), CWB QA Team can write test cases for </t>
  </si>
  <si>
    <t>Stories CWB QA Team has developed test cases for</t>
  </si>
  <si>
    <t>Issues with Acceptance Criteria (associated defect logged)</t>
  </si>
  <si>
    <t>Stories CWB QA Team has completed test execution for</t>
  </si>
  <si>
    <t>- Stories CWB QA Team cannot write test cases for</t>
  </si>
  <si>
    <t>- Stories CWB QA Team has logged defects for</t>
  </si>
  <si>
    <t>Total Test Cases Developed</t>
  </si>
  <si>
    <t xml:space="preserve">    Test Cases Impacted Due to AC/Mock issue</t>
  </si>
  <si>
    <t>Total Tests Cases Developed</t>
  </si>
  <si>
    <t>Active/Unexecuted</t>
  </si>
  <si>
    <t>% Unexecuted</t>
  </si>
  <si>
    <t xml:space="preserve">USER STORIES  </t>
  </si>
  <si>
    <t>Total # of defects logged</t>
  </si>
  <si>
    <t>Total # of defects deferred</t>
  </si>
  <si>
    <t>Notes/Updates</t>
  </si>
  <si>
    <t>Project Name:  Digital Program - Digital Banking stream - SIT Phase</t>
  </si>
  <si>
    <t>Defects logged by CWB QA Team - items being reviewed with CWB BA and UX Teams</t>
  </si>
  <si>
    <t>CWB QA Team to confirm</t>
  </si>
  <si>
    <t>CWB QA Team in the process of reviewing with Temenos</t>
  </si>
  <si>
    <t>User Stories for CURRENT Sprint - Sprint 11</t>
  </si>
  <si>
    <t>User Stories for PREVIOUS prints - Sprint 1 - 10</t>
  </si>
  <si>
    <t>Temenos original plan for Sprint 11 (22 SOWS)</t>
  </si>
  <si>
    <r>
      <t>Dev Status=</t>
    </r>
    <r>
      <rPr>
        <b/>
        <sz val="12"/>
        <color theme="1"/>
        <rFont val="Calibri"/>
        <family val="2"/>
        <scheme val="minor"/>
      </rPr>
      <t xml:space="preserve">Dev completed </t>
    </r>
    <r>
      <rPr>
        <sz val="12"/>
        <color theme="1"/>
        <rFont val="Calibri"/>
        <family val="2"/>
        <scheme val="minor"/>
      </rPr>
      <t xml:space="preserve">and QA Status = </t>
    </r>
    <r>
      <rPr>
        <b/>
        <sz val="12"/>
        <color theme="1"/>
        <rFont val="Calibri"/>
        <family val="2"/>
        <scheme val="minor"/>
      </rPr>
      <t>Done</t>
    </r>
    <r>
      <rPr>
        <sz val="12"/>
        <color theme="1"/>
        <rFont val="Calibri"/>
        <family val="2"/>
        <scheme val="minor"/>
      </rPr>
      <t xml:space="preserve"> (as per Temenos' Release Notes)</t>
    </r>
  </si>
  <si>
    <r>
      <t xml:space="preserve">Dev Status and/or QA Status is </t>
    </r>
    <r>
      <rPr>
        <b/>
        <sz val="12"/>
        <color rgb="FFFF0000"/>
        <rFont val="Calibri"/>
        <family val="2"/>
        <scheme val="minor"/>
      </rPr>
      <t>not</t>
    </r>
    <r>
      <rPr>
        <sz val="12"/>
        <color theme="1"/>
        <rFont val="Calibri"/>
        <family val="2"/>
        <scheme val="minor"/>
      </rPr>
      <t xml:space="preserve"> completed/ </t>
    </r>
    <r>
      <rPr>
        <b/>
        <sz val="12"/>
        <color rgb="FFFF0000"/>
        <rFont val="Calibri"/>
        <family val="2"/>
        <scheme val="minor"/>
      </rPr>
      <t xml:space="preserve">not </t>
    </r>
    <r>
      <rPr>
        <sz val="12"/>
        <color theme="1"/>
        <rFont val="Calibri"/>
        <family val="2"/>
        <scheme val="minor"/>
      </rPr>
      <t>done</t>
    </r>
  </si>
  <si>
    <r>
      <t xml:space="preserve">Stories </t>
    </r>
    <r>
      <rPr>
        <b/>
        <sz val="12"/>
        <rFont val="Calibri"/>
        <family val="2"/>
        <scheme val="minor"/>
      </rPr>
      <t>moved</t>
    </r>
    <r>
      <rPr>
        <sz val="12"/>
        <rFont val="Calibri"/>
        <family val="2"/>
        <scheme val="minor"/>
      </rPr>
      <t xml:space="preserve"> out of Sprint 11</t>
    </r>
  </si>
  <si>
    <r>
      <t xml:space="preserve">Stories </t>
    </r>
    <r>
      <rPr>
        <b/>
        <sz val="12"/>
        <color theme="1"/>
        <rFont val="Calibri"/>
        <family val="2"/>
        <scheme val="minor"/>
      </rPr>
      <t>originally planned</t>
    </r>
  </si>
  <si>
    <r>
      <t xml:space="preserve">Stories </t>
    </r>
    <r>
      <rPr>
        <b/>
        <sz val="12"/>
        <color theme="1"/>
        <rFont val="Calibri"/>
        <family val="2"/>
        <scheme val="minor"/>
      </rPr>
      <t>delivered/</t>
    </r>
    <r>
      <rPr>
        <b/>
        <sz val="12"/>
        <color theme="9" tint="-0.499984740745262"/>
        <rFont val="Calibri"/>
        <family val="2"/>
        <scheme val="minor"/>
      </rPr>
      <t>completed</t>
    </r>
    <r>
      <rPr>
        <b/>
        <sz val="12"/>
        <color theme="1"/>
        <rFont val="Calibri"/>
        <family val="2"/>
        <scheme val="minor"/>
      </rPr>
      <t xml:space="preserve"> </t>
    </r>
  </si>
  <si>
    <r>
      <t>Stories</t>
    </r>
    <r>
      <rPr>
        <b/>
        <sz val="12"/>
        <rFont val="Calibri"/>
        <family val="2"/>
        <scheme val="minor"/>
      </rPr>
      <t xml:space="preserve"> delivered/</t>
    </r>
    <r>
      <rPr>
        <b/>
        <sz val="12"/>
        <color rgb="FFFF0000"/>
        <rFont val="Calibri"/>
        <family val="2"/>
        <scheme val="minor"/>
      </rPr>
      <t>incomplete</t>
    </r>
    <r>
      <rPr>
        <b/>
        <sz val="12"/>
        <rFont val="Calibri"/>
        <family val="2"/>
        <scheme val="minor"/>
      </rPr>
      <t/>
    </r>
  </si>
  <si>
    <r>
      <t xml:space="preserve">Stories </t>
    </r>
    <r>
      <rPr>
        <b/>
        <sz val="12"/>
        <rFont val="Calibri"/>
        <family val="2"/>
        <scheme val="minor"/>
      </rPr>
      <t>delivered</t>
    </r>
    <r>
      <rPr>
        <sz val="12"/>
        <rFont val="Calibri"/>
        <family val="2"/>
        <scheme val="minor"/>
      </rPr>
      <t xml:space="preserve"> with </t>
    </r>
    <r>
      <rPr>
        <b/>
        <sz val="12"/>
        <color rgb="FFFF0000"/>
        <rFont val="Calibri"/>
        <family val="2"/>
        <scheme val="minor"/>
      </rPr>
      <t>defects</t>
    </r>
  </si>
  <si>
    <t>Out of scope for R1</t>
  </si>
  <si>
    <r>
      <t xml:space="preserve">Stories with </t>
    </r>
    <r>
      <rPr>
        <b/>
        <sz val="12"/>
        <color rgb="FFFF0000"/>
        <rFont val="Calibri"/>
        <family val="2"/>
        <scheme val="minor"/>
      </rPr>
      <t>outstanding defects</t>
    </r>
  </si>
  <si>
    <t xml:space="preserve">Test Case Development for CURRENT Sprint - Sprint 11 </t>
  </si>
  <si>
    <t>Test Case Development for PREVIOUS Sprints 1-10</t>
  </si>
  <si>
    <t>Test Execution for PREVIOUS Sprints 1 to 10</t>
  </si>
  <si>
    <t>Test Execution for CURRENT Sprint - Sprint 11</t>
  </si>
  <si>
    <t>+9</t>
  </si>
  <si>
    <t>resolved for CWB to validate</t>
  </si>
  <si>
    <t>UX issues</t>
  </si>
  <si>
    <t>AC/Mock-up mismatch issues</t>
  </si>
  <si>
    <t>from last report (outstanding defects)</t>
  </si>
  <si>
    <t>no change from last report (outstanding defects)</t>
  </si>
  <si>
    <t>CWB QA Test Status Report - As of Feb 3, 2021</t>
  </si>
  <si>
    <t>CWB QA Team - Defect Summary Report - as of Feb 3, 2021 (Total - 25)</t>
  </si>
  <si>
    <t>Daman</t>
  </si>
  <si>
    <t>Items assigned to Temenos/Daman is for Temenos to address
Items assigned to CWB is for CWB to validate</t>
  </si>
  <si>
    <t>Srinag</t>
  </si>
  <si>
    <t>Client Review</t>
  </si>
  <si>
    <t>Status of Defects logged/managed by Temenos Team - Feb 3, 2021</t>
  </si>
  <si>
    <t>Status of Defects logged CWB QA Team - Feb 3,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</si>
</sst>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b/>
      <sz val="12"/>
      <color theme="9" tint="-0.499984740745262"/>
      <name val="Calibri"/>
      <family val="2"/>
      <scheme val="minor"/>
    </font>
    <font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0" xfId="0" applyBorder="1"/>
    <xf numFmtId="0" fontId="0" fillId="0" borderId="4" xfId="0" applyBorder="1"/>
    <xf numFmtId="0" fontId="10" fillId="0" borderId="4" xfId="0" applyFont="1" applyBorder="1"/>
    <xf numFmtId="0" fontId="0" fillId="0" borderId="0" xfId="0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12" fillId="0" borderId="0" xfId="0" applyFont="1"/>
    <xf numFmtId="0" fontId="0" fillId="0" borderId="0" xfId="0" applyAlignment="1">
      <alignment horizontal="left" vertical="top" wrapText="1"/>
    </xf>
    <xf numFmtId="0" fontId="7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/>
    </xf>
    <xf numFmtId="0" fontId="13" fillId="0" borderId="0" xfId="0" quotePrefix="1" applyFont="1" applyFill="1" applyBorder="1" applyAlignment="1">
      <alignment horizontal="left" vertical="top"/>
    </xf>
    <xf numFmtId="0" fontId="0" fillId="0" borderId="0" xfId="0" applyAlignment="1"/>
    <xf numFmtId="0" fontId="0" fillId="0" borderId="0" xfId="0" applyFill="1" applyBorder="1" applyAlignment="1">
      <alignment vertical="top" wrapText="1"/>
    </xf>
    <xf numFmtId="0" fontId="7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5" fillId="0" borderId="0" xfId="0" quotePrefix="1" applyFont="1"/>
    <xf numFmtId="0" fontId="6" fillId="0" borderId="1" xfId="0" applyFont="1" applyBorder="1"/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top"/>
    </xf>
    <xf numFmtId="0" fontId="17" fillId="6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6" fillId="0" borderId="0" xfId="0" applyFont="1"/>
    <xf numFmtId="0" fontId="0" fillId="7" borderId="0" xfId="0" applyFill="1"/>
    <xf numFmtId="0" fontId="16" fillId="7" borderId="0" xfId="0" applyFont="1" applyFill="1"/>
    <xf numFmtId="0" fontId="0" fillId="0" borderId="0" xfId="0" applyFill="1"/>
    <xf numFmtId="0" fontId="18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6" fillId="0" borderId="0" xfId="0" quotePrefix="1" applyFont="1" applyAlignment="1">
      <alignment horizontal="center" vertical="center"/>
    </xf>
    <xf numFmtId="0" fontId="5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/>
    </xf>
    <xf numFmtId="0" fontId="7" fillId="0" borderId="0" xfId="0" applyFont="1" applyFill="1"/>
    <xf numFmtId="0" fontId="14" fillId="0" borderId="1" xfId="0" applyFont="1" applyFill="1" applyBorder="1" applyAlignment="1">
      <alignment horizontal="left" vertical="top"/>
    </xf>
    <xf numFmtId="0" fontId="7" fillId="0" borderId="4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19" fillId="6" borderId="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top"/>
    </xf>
    <xf numFmtId="0" fontId="2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top"/>
    </xf>
    <xf numFmtId="0" fontId="11" fillId="0" borderId="7" xfId="0" applyFont="1" applyFill="1" applyBorder="1" applyAlignment="1">
      <alignment horizontal="left" vertical="top"/>
    </xf>
    <xf numFmtId="0" fontId="19" fillId="0" borderId="7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top"/>
    </xf>
    <xf numFmtId="0" fontId="0" fillId="6" borderId="1" xfId="0" applyFont="1" applyFill="1" applyBorder="1" applyAlignment="1">
      <alignment horizontal="left" vertical="top"/>
    </xf>
    <xf numFmtId="0" fontId="0" fillId="0" borderId="7" xfId="0" applyFont="1" applyBorder="1" applyAlignment="1"/>
    <xf numFmtId="0" fontId="0" fillId="0" borderId="7" xfId="0" applyFont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4" borderId="1" xfId="0" quotePrefix="1" applyFont="1" applyFill="1" applyBorder="1" applyAlignment="1">
      <alignment horizontal="left" vertical="top" indent="1"/>
    </xf>
    <xf numFmtId="0" fontId="0" fillId="0" borderId="1" xfId="0" applyFont="1" applyBorder="1" applyAlignment="1">
      <alignment vertical="top"/>
    </xf>
    <xf numFmtId="0" fontId="0" fillId="0" borderId="1" xfId="0" quotePrefix="1" applyFont="1" applyBorder="1" applyAlignment="1">
      <alignment horizontal="center" vertical="top"/>
    </xf>
    <xf numFmtId="0" fontId="25" fillId="0" borderId="12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left" vertical="top"/>
    </xf>
    <xf numFmtId="0" fontId="19" fillId="0" borderId="0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center" vertical="top" wrapText="1"/>
    </xf>
    <xf numFmtId="0" fontId="0" fillId="4" borderId="13" xfId="0" applyFont="1" applyFill="1" applyBorder="1" applyAlignment="1">
      <alignment horizontal="left" vertical="top"/>
    </xf>
    <xf numFmtId="0" fontId="0" fillId="4" borderId="14" xfId="0" applyFont="1" applyFill="1" applyBorder="1" applyAlignment="1">
      <alignment horizontal="left" vertical="top"/>
    </xf>
    <xf numFmtId="0" fontId="0" fillId="4" borderId="15" xfId="0" applyFont="1" applyFill="1" applyBorder="1" applyAlignment="1">
      <alignment horizontal="left" vertical="top"/>
    </xf>
    <xf numFmtId="0" fontId="17" fillId="5" borderId="1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6" fillId="6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/>
    </xf>
    <xf numFmtId="0" fontId="17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12" borderId="1" xfId="0" applyFont="1" applyFill="1" applyBorder="1" applyAlignment="1">
      <alignment horizontal="left" vertical="top"/>
    </xf>
    <xf numFmtId="0" fontId="6" fillId="12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top"/>
    </xf>
    <xf numFmtId="16" fontId="6" fillId="12" borderId="1" xfId="0" applyNumberFormat="1" applyFont="1" applyFill="1" applyBorder="1" applyAlignment="1">
      <alignment horizontal="left" vertical="top"/>
    </xf>
    <xf numFmtId="0" fontId="6" fillId="12" borderId="1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wrapText="1"/>
    </xf>
    <xf numFmtId="0" fontId="17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vertical="top" wrapText="1"/>
    </xf>
    <xf numFmtId="16" fontId="6" fillId="12" borderId="1" xfId="0" applyNumberFormat="1" applyFont="1" applyFill="1" applyBorder="1" applyAlignment="1">
      <alignment horizontal="left" vertical="top" wrapText="1"/>
    </xf>
    <xf numFmtId="16" fontId="6" fillId="6" borderId="1" xfId="0" applyNumberFormat="1" applyFont="1" applyFill="1" applyBorder="1" applyAlignment="1">
      <alignment horizontal="left" vertical="top" wrapText="1"/>
    </xf>
    <xf numFmtId="16" fontId="6" fillId="8" borderId="1" xfId="0" applyNumberFormat="1" applyFont="1" applyFill="1" applyBorder="1" applyAlignment="1">
      <alignment horizontal="left" vertical="top" wrapText="1"/>
    </xf>
    <xf numFmtId="16" fontId="6" fillId="8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top"/>
    </xf>
    <xf numFmtId="0" fontId="25" fillId="5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top"/>
    </xf>
    <xf numFmtId="0" fontId="8" fillId="2" borderId="14" xfId="0" applyFont="1" applyFill="1" applyBorder="1" applyAlignment="1">
      <alignment horizontal="center" vertical="top"/>
    </xf>
    <xf numFmtId="0" fontId="8" fillId="2" borderId="15" xfId="0" applyFont="1" applyFill="1" applyBorder="1" applyAlignment="1">
      <alignment horizontal="center" vertical="top"/>
    </xf>
    <xf numFmtId="0" fontId="25" fillId="11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left" vertical="top"/>
    </xf>
    <xf numFmtId="0" fontId="0" fillId="4" borderId="14" xfId="0" applyFont="1" applyFill="1" applyBorder="1" applyAlignment="1">
      <alignment horizontal="left" vertical="top"/>
    </xf>
    <xf numFmtId="0" fontId="0" fillId="4" borderId="15" xfId="0" applyFont="1" applyFill="1" applyBorder="1" applyAlignment="1">
      <alignment horizontal="left" vertical="top"/>
    </xf>
    <xf numFmtId="0" fontId="0" fillId="4" borderId="13" xfId="0" applyFont="1" applyFill="1" applyBorder="1" applyAlignment="1">
      <alignment horizontal="center" vertical="top"/>
    </xf>
    <xf numFmtId="0" fontId="0" fillId="4" borderId="14" xfId="0" applyFont="1" applyFill="1" applyBorder="1" applyAlignment="1">
      <alignment horizontal="center" vertical="top"/>
    </xf>
    <xf numFmtId="0" fontId="0" fillId="4" borderId="15" xfId="0" applyFont="1" applyFill="1" applyBorder="1" applyAlignment="1">
      <alignment horizontal="center" vertical="top"/>
    </xf>
    <xf numFmtId="0" fontId="8" fillId="8" borderId="13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top" wrapText="1"/>
    </xf>
    <xf numFmtId="0" fontId="0" fillId="6" borderId="13" xfId="0" applyFont="1" applyFill="1" applyBorder="1" applyAlignment="1">
      <alignment horizontal="left" vertical="top"/>
    </xf>
    <xf numFmtId="0" fontId="0" fillId="6" borderId="14" xfId="0" applyFont="1" applyFill="1" applyBorder="1" applyAlignment="1">
      <alignment horizontal="left" vertical="top"/>
    </xf>
    <xf numFmtId="0" fontId="0" fillId="6" borderId="15" xfId="0" applyFont="1" applyFill="1" applyBorder="1" applyAlignment="1">
      <alignment horizontal="left" vertical="top"/>
    </xf>
    <xf numFmtId="0" fontId="27" fillId="0" borderId="8" xfId="0" applyFont="1" applyFill="1" applyBorder="1" applyAlignment="1">
      <alignment horizontal="left" vertical="top" wrapText="1"/>
    </xf>
    <xf numFmtId="0" fontId="27" fillId="0" borderId="9" xfId="0" applyFont="1" applyFill="1" applyBorder="1" applyAlignment="1">
      <alignment horizontal="left" vertical="top"/>
    </xf>
    <xf numFmtId="0" fontId="27" fillId="0" borderId="10" xfId="0" applyFont="1" applyFill="1" applyBorder="1" applyAlignment="1">
      <alignment horizontal="left" vertical="top"/>
    </xf>
    <xf numFmtId="0" fontId="27" fillId="0" borderId="4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 vertical="top"/>
    </xf>
    <xf numFmtId="0" fontId="27" fillId="0" borderId="3" xfId="0" applyFont="1" applyFill="1" applyBorder="1" applyAlignment="1">
      <alignment horizontal="left" vertical="top"/>
    </xf>
    <xf numFmtId="0" fontId="27" fillId="0" borderId="12" xfId="0" applyFont="1" applyFill="1" applyBorder="1" applyAlignment="1">
      <alignment horizontal="left" vertical="top"/>
    </xf>
    <xf numFmtId="0" fontId="27" fillId="0" borderId="5" xfId="0" applyFont="1" applyFill="1" applyBorder="1" applyAlignment="1">
      <alignment horizontal="left" vertical="top"/>
    </xf>
    <xf numFmtId="0" fontId="27" fillId="0" borderId="6" xfId="0" applyFont="1" applyFill="1" applyBorder="1" applyAlignment="1">
      <alignment horizontal="left" vertical="top"/>
    </xf>
    <xf numFmtId="0" fontId="0" fillId="0" borderId="13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left" vertical="top" wrapText="1"/>
    </xf>
    <xf numFmtId="0" fontId="6" fillId="8" borderId="7" xfId="0" applyFont="1" applyFill="1" applyBorder="1" applyAlignment="1">
      <alignment horizontal="left" vertical="top" wrapText="1"/>
    </xf>
    <xf numFmtId="0" fontId="6" fillId="8" borderId="11" xfId="0" applyFont="1" applyFill="1" applyBorder="1" applyAlignment="1">
      <alignment horizontal="left" vertical="top" wrapText="1"/>
    </xf>
    <xf numFmtId="0" fontId="12" fillId="8" borderId="13" xfId="0" applyFont="1" applyFill="1" applyBorder="1" applyAlignment="1">
      <alignment horizontal="center" vertical="top"/>
    </xf>
    <xf numFmtId="0" fontId="12" fillId="8" borderId="1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3</xdr:row>
      <xdr:rowOff>180975</xdr:rowOff>
    </xdr:from>
    <xdr:to>
      <xdr:col>11</xdr:col>
      <xdr:colOff>28575</xdr:colOff>
      <xdr:row>5</xdr:row>
      <xdr:rowOff>19050</xdr:rowOff>
    </xdr:to>
    <xdr:sp macro="" textlink="">
      <xdr:nvSpPr>
        <xdr:cNvPr id="2" name="Minus 1"/>
        <xdr:cNvSpPr/>
      </xdr:nvSpPr>
      <xdr:spPr>
        <a:xfrm>
          <a:off x="6486525" y="838200"/>
          <a:ext cx="2952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314325</xdr:colOff>
      <xdr:row>4</xdr:row>
      <xdr:rowOff>190500</xdr:rowOff>
    </xdr:from>
    <xdr:to>
      <xdr:col>11</xdr:col>
      <xdr:colOff>28575</xdr:colOff>
      <xdr:row>6</xdr:row>
      <xdr:rowOff>28575</xdr:rowOff>
    </xdr:to>
    <xdr:sp macro="" textlink="">
      <xdr:nvSpPr>
        <xdr:cNvPr id="5" name="Minus 4"/>
        <xdr:cNvSpPr/>
      </xdr:nvSpPr>
      <xdr:spPr>
        <a:xfrm>
          <a:off x="6486525" y="1047750"/>
          <a:ext cx="2952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314325</xdr:colOff>
      <xdr:row>6</xdr:row>
      <xdr:rowOff>0</xdr:rowOff>
    </xdr:from>
    <xdr:to>
      <xdr:col>11</xdr:col>
      <xdr:colOff>28575</xdr:colOff>
      <xdr:row>7</xdr:row>
      <xdr:rowOff>38100</xdr:rowOff>
    </xdr:to>
    <xdr:sp macro="" textlink="">
      <xdr:nvSpPr>
        <xdr:cNvPr id="6" name="Minus 5"/>
        <xdr:cNvSpPr/>
      </xdr:nvSpPr>
      <xdr:spPr>
        <a:xfrm>
          <a:off x="6486525" y="1257300"/>
          <a:ext cx="295275" cy="238125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0</xdr:colOff>
      <xdr:row>2</xdr:row>
      <xdr:rowOff>161925</xdr:rowOff>
    </xdr:from>
    <xdr:to>
      <xdr:col>9</xdr:col>
      <xdr:colOff>281436</xdr:colOff>
      <xdr:row>27</xdr:row>
      <xdr:rowOff>122899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9125"/>
          <a:ext cx="6453636" cy="5523574"/>
        </a:xfrm>
        <a:prstGeom prst="rect">
          <a:avLst/>
        </a:prstGeom>
      </xdr:spPr>
    </xdr:pic>
    <xdr:clientData/>
  </xdr:twoCellAnchor>
  <xdr:twoCellAnchor>
    <xdr:from>
      <xdr:col>25</xdr:col>
      <xdr:colOff>76200</xdr:colOff>
      <xdr:row>3</xdr:row>
      <xdr:rowOff>180975</xdr:rowOff>
    </xdr:from>
    <xdr:to>
      <xdr:col>26</xdr:col>
      <xdr:colOff>0</xdr:colOff>
      <xdr:row>5</xdr:row>
      <xdr:rowOff>19050</xdr:rowOff>
    </xdr:to>
    <xdr:sp macro="" textlink="">
      <xdr:nvSpPr>
        <xdr:cNvPr id="16" name="Minus 15"/>
        <xdr:cNvSpPr/>
      </xdr:nvSpPr>
      <xdr:spPr>
        <a:xfrm>
          <a:off x="15354300" y="838200"/>
          <a:ext cx="266700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25</xdr:col>
      <xdr:colOff>76200</xdr:colOff>
      <xdr:row>4</xdr:row>
      <xdr:rowOff>190500</xdr:rowOff>
    </xdr:from>
    <xdr:to>
      <xdr:col>26</xdr:col>
      <xdr:colOff>0</xdr:colOff>
      <xdr:row>6</xdr:row>
      <xdr:rowOff>28575</xdr:rowOff>
    </xdr:to>
    <xdr:sp macro="" textlink="">
      <xdr:nvSpPr>
        <xdr:cNvPr id="17" name="Minus 16"/>
        <xdr:cNvSpPr/>
      </xdr:nvSpPr>
      <xdr:spPr>
        <a:xfrm>
          <a:off x="15354300" y="1047750"/>
          <a:ext cx="266700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25</xdr:col>
      <xdr:colOff>76200</xdr:colOff>
      <xdr:row>6</xdr:row>
      <xdr:rowOff>0</xdr:rowOff>
    </xdr:from>
    <xdr:to>
      <xdr:col>26</xdr:col>
      <xdr:colOff>0</xdr:colOff>
      <xdr:row>7</xdr:row>
      <xdr:rowOff>38100</xdr:rowOff>
    </xdr:to>
    <xdr:sp macro="" textlink="">
      <xdr:nvSpPr>
        <xdr:cNvPr id="18" name="Minus 17"/>
        <xdr:cNvSpPr/>
      </xdr:nvSpPr>
      <xdr:spPr>
        <a:xfrm>
          <a:off x="15354300" y="1257300"/>
          <a:ext cx="266700" cy="238125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14</xdr:col>
      <xdr:colOff>19050</xdr:colOff>
      <xdr:row>2</xdr:row>
      <xdr:rowOff>170583</xdr:rowOff>
    </xdr:from>
    <xdr:to>
      <xdr:col>24</xdr:col>
      <xdr:colOff>304800</xdr:colOff>
      <xdr:row>28</xdr:row>
      <xdr:rowOff>103845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627783"/>
          <a:ext cx="6629400" cy="5695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4"/>
  <sheetViews>
    <sheetView zoomScale="90" zoomScaleNormal="90" workbookViewId="0">
      <selection activeCell="A12" sqref="A12"/>
    </sheetView>
  </sheetViews>
  <sheetFormatPr defaultColWidth="11" defaultRowHeight="15.75" x14ac:dyDescent="0.25"/>
  <cols>
    <col min="1" max="1" width="39.125" customWidth="1"/>
    <col min="2" max="2" width="6.25" customWidth="1"/>
    <col min="3" max="3" width="11.875" customWidth="1"/>
    <col min="4" max="4" width="6.125" customWidth="1"/>
    <col min="8" max="8" width="25.75" customWidth="1"/>
    <col min="9" max="9" width="1.75" customWidth="1"/>
    <col min="10" max="10" width="46.625" customWidth="1"/>
    <col min="11" max="11" width="6.625" customWidth="1"/>
    <col min="12" max="12" width="14.375" customWidth="1"/>
    <col min="18" max="18" width="15.875" customWidth="1"/>
  </cols>
  <sheetData>
    <row r="1" spans="1:18" ht="21.75" customHeight="1" x14ac:dyDescent="0.25">
      <c r="A1" s="114" t="s">
        <v>135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</row>
    <row r="2" spans="1:18" ht="15.75" customHeight="1" x14ac:dyDescent="0.25">
      <c r="A2" s="2"/>
      <c r="B2" s="1"/>
      <c r="C2" s="1"/>
      <c r="D2" s="1"/>
      <c r="E2" s="1"/>
      <c r="F2" s="1"/>
      <c r="G2" s="1"/>
      <c r="H2" s="1"/>
    </row>
    <row r="3" spans="1:18" ht="20.25" customHeight="1" x14ac:dyDescent="0.25">
      <c r="A3" s="115" t="s">
        <v>109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</row>
    <row r="4" spans="1:18" ht="15.75" customHeight="1" x14ac:dyDescent="0.25">
      <c r="A4" s="3"/>
      <c r="B4" s="1"/>
      <c r="C4" s="1"/>
      <c r="D4" s="1"/>
      <c r="E4" s="1"/>
      <c r="F4" s="1"/>
      <c r="G4" s="1"/>
      <c r="H4" s="1"/>
    </row>
    <row r="5" spans="1:18" ht="22.5" customHeight="1" x14ac:dyDescent="0.25">
      <c r="A5" s="116" t="s">
        <v>105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</row>
    <row r="6" spans="1:18" s="33" customFormat="1" ht="4.5" customHeight="1" x14ac:dyDescent="0.25">
      <c r="A6" s="76"/>
      <c r="B6" s="77"/>
      <c r="C6" s="77"/>
      <c r="D6" s="77"/>
      <c r="E6" s="77"/>
      <c r="F6" s="77"/>
      <c r="G6" s="77"/>
      <c r="H6" s="78"/>
      <c r="I6" s="79"/>
      <c r="J6" s="76"/>
      <c r="K6" s="77"/>
      <c r="L6" s="77"/>
      <c r="M6" s="77"/>
      <c r="N6" s="77"/>
      <c r="O6" s="77"/>
      <c r="P6" s="77"/>
      <c r="Q6" s="77"/>
      <c r="R6" s="78"/>
    </row>
    <row r="7" spans="1:18" ht="18" x14ac:dyDescent="0.25">
      <c r="A7" s="125" t="s">
        <v>113</v>
      </c>
      <c r="B7" s="126"/>
      <c r="C7" s="126"/>
      <c r="D7" s="126"/>
      <c r="E7" s="126"/>
      <c r="F7" s="126"/>
      <c r="G7" s="126"/>
      <c r="H7" s="127"/>
      <c r="J7" s="125" t="s">
        <v>114</v>
      </c>
      <c r="K7" s="126"/>
      <c r="L7" s="126"/>
      <c r="M7" s="126"/>
      <c r="N7" s="126"/>
      <c r="O7" s="126"/>
      <c r="P7" s="126"/>
      <c r="Q7" s="126"/>
      <c r="R7" s="127"/>
    </row>
    <row r="8" spans="1:18" x14ac:dyDescent="0.25">
      <c r="A8" s="57" t="s">
        <v>119</v>
      </c>
      <c r="B8" s="58">
        <v>62</v>
      </c>
      <c r="C8" s="128" t="s">
        <v>115</v>
      </c>
      <c r="D8" s="129"/>
      <c r="E8" s="129"/>
      <c r="F8" s="129"/>
      <c r="G8" s="129"/>
      <c r="H8" s="130"/>
      <c r="J8" s="57" t="s">
        <v>93</v>
      </c>
      <c r="K8" s="58" t="s">
        <v>92</v>
      </c>
      <c r="L8" s="128" t="s">
        <v>94</v>
      </c>
      <c r="M8" s="129"/>
      <c r="N8" s="129"/>
      <c r="O8" s="129"/>
      <c r="P8" s="129"/>
      <c r="Q8" s="129"/>
      <c r="R8" s="130"/>
    </row>
    <row r="9" spans="1:18" x14ac:dyDescent="0.25">
      <c r="A9" s="57" t="s">
        <v>120</v>
      </c>
      <c r="B9" s="60">
        <v>18</v>
      </c>
      <c r="C9" s="128" t="s">
        <v>116</v>
      </c>
      <c r="D9" s="129"/>
      <c r="E9" s="129"/>
      <c r="F9" s="129"/>
      <c r="G9" s="129"/>
      <c r="H9" s="130"/>
      <c r="J9" s="57" t="s">
        <v>95</v>
      </c>
      <c r="K9" s="58" t="s">
        <v>92</v>
      </c>
      <c r="L9" s="128"/>
      <c r="M9" s="129"/>
      <c r="N9" s="129"/>
      <c r="O9" s="129"/>
      <c r="P9" s="129"/>
      <c r="Q9" s="129"/>
      <c r="R9" s="130"/>
    </row>
    <row r="10" spans="1:18" x14ac:dyDescent="0.25">
      <c r="A10" s="61" t="s">
        <v>121</v>
      </c>
      <c r="B10" s="59">
        <v>21</v>
      </c>
      <c r="C10" s="128" t="s">
        <v>117</v>
      </c>
      <c r="D10" s="129"/>
      <c r="E10" s="129"/>
      <c r="F10" s="129"/>
      <c r="G10" s="129"/>
      <c r="H10" s="130"/>
      <c r="J10" s="73" t="s">
        <v>98</v>
      </c>
      <c r="K10" s="60" t="s">
        <v>92</v>
      </c>
      <c r="L10" s="128" t="s">
        <v>96</v>
      </c>
      <c r="M10" s="129"/>
      <c r="N10" s="129"/>
      <c r="O10" s="129"/>
      <c r="P10" s="129"/>
      <c r="Q10" s="129"/>
      <c r="R10" s="130"/>
    </row>
    <row r="11" spans="1:18" x14ac:dyDescent="0.25">
      <c r="A11" s="61" t="s">
        <v>122</v>
      </c>
      <c r="B11" s="59">
        <v>21</v>
      </c>
      <c r="C11" s="86" t="s">
        <v>124</v>
      </c>
      <c r="D11" s="87"/>
      <c r="E11" s="87"/>
      <c r="F11" s="87"/>
      <c r="G11" s="87"/>
      <c r="H11" s="88"/>
      <c r="J11" s="73"/>
      <c r="K11" s="60"/>
      <c r="L11" s="86"/>
      <c r="M11" s="87"/>
      <c r="N11" s="87"/>
      <c r="O11" s="87"/>
      <c r="P11" s="87"/>
      <c r="Q11" s="87"/>
      <c r="R11" s="88"/>
    </row>
    <row r="12" spans="1:18" x14ac:dyDescent="0.25">
      <c r="A12" s="61" t="s">
        <v>118</v>
      </c>
      <c r="B12" s="60">
        <v>2</v>
      </c>
      <c r="C12" s="128" t="s">
        <v>123</v>
      </c>
      <c r="D12" s="129"/>
      <c r="E12" s="129"/>
      <c r="F12" s="129"/>
      <c r="G12" s="129"/>
      <c r="H12" s="130"/>
      <c r="J12" s="57" t="s">
        <v>97</v>
      </c>
      <c r="K12" s="58" t="s">
        <v>92</v>
      </c>
      <c r="L12" s="131"/>
      <c r="M12" s="132"/>
      <c r="N12" s="132"/>
      <c r="O12" s="132"/>
      <c r="P12" s="132"/>
      <c r="Q12" s="132"/>
      <c r="R12" s="133"/>
    </row>
    <row r="13" spans="1:18" x14ac:dyDescent="0.25">
      <c r="A13" s="61"/>
      <c r="B13" s="59"/>
      <c r="C13" s="128"/>
      <c r="D13" s="129"/>
      <c r="E13" s="129"/>
      <c r="F13" s="129"/>
      <c r="G13" s="129"/>
      <c r="H13" s="130"/>
      <c r="J13" s="73" t="s">
        <v>99</v>
      </c>
      <c r="K13" s="58" t="s">
        <v>92</v>
      </c>
      <c r="L13" s="131"/>
      <c r="M13" s="132"/>
      <c r="N13" s="132"/>
      <c r="O13" s="132"/>
      <c r="P13" s="132"/>
      <c r="Q13" s="132"/>
      <c r="R13" s="133"/>
    </row>
    <row r="14" spans="1:18" s="33" customFormat="1" ht="17.25" customHeight="1" x14ac:dyDescent="0.25">
      <c r="A14" s="47"/>
      <c r="B14" s="47"/>
      <c r="C14" s="48"/>
      <c r="D14" s="12"/>
      <c r="E14" s="12"/>
      <c r="F14" s="12"/>
      <c r="G14" s="12"/>
      <c r="H14" s="12"/>
      <c r="J14" s="51"/>
      <c r="K14" s="52"/>
      <c r="L14" s="53"/>
      <c r="M14" s="53"/>
      <c r="N14" s="53"/>
      <c r="O14" s="53"/>
      <c r="P14" s="53"/>
      <c r="Q14" s="53"/>
      <c r="R14" s="53"/>
    </row>
    <row r="15" spans="1:18" s="33" customFormat="1" ht="24" customHeight="1" x14ac:dyDescent="0.25">
      <c r="A15" s="117" t="s">
        <v>48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</row>
    <row r="16" spans="1:18" s="33" customFormat="1" ht="4.5" customHeight="1" x14ac:dyDescent="0.25">
      <c r="A16" s="80"/>
      <c r="B16" s="80"/>
      <c r="C16" s="80"/>
      <c r="D16" s="80"/>
      <c r="E16" s="80"/>
      <c r="F16" s="80"/>
      <c r="G16" s="80"/>
      <c r="H16" s="80"/>
      <c r="I16" s="79"/>
      <c r="J16" s="80"/>
      <c r="K16" s="80"/>
      <c r="L16" s="80"/>
      <c r="M16" s="80"/>
      <c r="N16" s="80"/>
      <c r="O16" s="80"/>
      <c r="P16" s="80"/>
      <c r="Q16" s="80"/>
      <c r="R16" s="80"/>
    </row>
    <row r="17" spans="1:18" ht="24" customHeight="1" x14ac:dyDescent="0.25">
      <c r="A17" s="134" t="s">
        <v>125</v>
      </c>
      <c r="B17" s="135"/>
      <c r="C17" s="135"/>
      <c r="D17" s="135"/>
      <c r="E17" s="135"/>
      <c r="F17" s="135"/>
      <c r="G17" s="135"/>
      <c r="H17" s="136"/>
      <c r="I17" s="33"/>
      <c r="J17" s="134" t="s">
        <v>126</v>
      </c>
      <c r="K17" s="135"/>
      <c r="L17" s="135"/>
      <c r="M17" s="135"/>
      <c r="N17" s="135"/>
      <c r="O17" s="135"/>
      <c r="P17" s="135"/>
      <c r="Q17" s="135"/>
      <c r="R17" s="136"/>
    </row>
    <row r="18" spans="1:18" ht="20.25" customHeight="1" x14ac:dyDescent="0.25">
      <c r="A18" s="62" t="s">
        <v>100</v>
      </c>
      <c r="B18" s="50" t="s">
        <v>92</v>
      </c>
      <c r="C18" s="138"/>
      <c r="D18" s="139"/>
      <c r="E18" s="139"/>
      <c r="F18" s="139"/>
      <c r="G18" s="139"/>
      <c r="H18" s="140"/>
      <c r="J18" s="62" t="s">
        <v>100</v>
      </c>
      <c r="K18" s="50" t="s">
        <v>92</v>
      </c>
      <c r="L18" s="137" t="s">
        <v>112</v>
      </c>
      <c r="M18" s="137"/>
      <c r="N18" s="137"/>
      <c r="O18" s="137"/>
      <c r="P18" s="137"/>
      <c r="Q18" s="137"/>
      <c r="R18" s="137"/>
    </row>
    <row r="19" spans="1:18" ht="18.75" customHeight="1" x14ac:dyDescent="0.25">
      <c r="A19" s="62" t="s">
        <v>101</v>
      </c>
      <c r="B19" s="50" t="s">
        <v>92</v>
      </c>
      <c r="C19" s="138" t="s">
        <v>110</v>
      </c>
      <c r="D19" s="139"/>
      <c r="E19" s="139"/>
      <c r="F19" s="139"/>
      <c r="G19" s="139"/>
      <c r="H19" s="140"/>
      <c r="J19" s="62" t="s">
        <v>101</v>
      </c>
      <c r="K19" s="50" t="s">
        <v>92</v>
      </c>
      <c r="L19" s="138" t="s">
        <v>110</v>
      </c>
      <c r="M19" s="139"/>
      <c r="N19" s="139"/>
      <c r="O19" s="139"/>
      <c r="P19" s="139"/>
      <c r="Q19" s="139"/>
      <c r="R19" s="140"/>
    </row>
    <row r="20" spans="1:18" ht="22.5" customHeight="1" x14ac:dyDescent="0.25">
      <c r="A20" s="62" t="s">
        <v>89</v>
      </c>
      <c r="B20" s="50" t="s">
        <v>92</v>
      </c>
      <c r="C20" s="137" t="s">
        <v>111</v>
      </c>
      <c r="D20" s="137"/>
      <c r="E20" s="137"/>
      <c r="F20" s="137"/>
      <c r="G20" s="137"/>
      <c r="H20" s="137"/>
      <c r="J20" s="62" t="s">
        <v>89</v>
      </c>
      <c r="K20" s="50" t="s">
        <v>92</v>
      </c>
      <c r="L20" s="137" t="s">
        <v>112</v>
      </c>
      <c r="M20" s="137"/>
      <c r="N20" s="137"/>
      <c r="O20" s="137"/>
      <c r="P20" s="137"/>
      <c r="Q20" s="137"/>
      <c r="R20" s="137"/>
    </row>
    <row r="21" spans="1:18" s="33" customFormat="1" ht="4.5" customHeight="1" x14ac:dyDescent="0.25">
      <c r="A21" s="84"/>
      <c r="B21" s="55"/>
      <c r="C21" s="85"/>
      <c r="D21" s="85"/>
      <c r="E21" s="85"/>
      <c r="F21" s="85"/>
      <c r="G21" s="85"/>
      <c r="H21" s="85"/>
      <c r="J21" s="53"/>
      <c r="K21" s="82"/>
      <c r="L21" s="85"/>
      <c r="M21" s="85"/>
      <c r="N21" s="85"/>
      <c r="O21" s="85"/>
      <c r="P21" s="85"/>
      <c r="Q21" s="85"/>
      <c r="R21" s="85"/>
    </row>
    <row r="22" spans="1:18" s="46" customFormat="1" ht="14.25" customHeight="1" x14ac:dyDescent="0.25">
      <c r="A22" s="54"/>
      <c r="B22" s="55"/>
      <c r="C22" s="56"/>
      <c r="D22" s="56"/>
      <c r="E22" s="56"/>
      <c r="F22" s="56"/>
      <c r="G22" s="56"/>
      <c r="H22" s="56"/>
    </row>
    <row r="23" spans="1:18" s="46" customFormat="1" ht="24" customHeight="1" x14ac:dyDescent="0.25">
      <c r="A23" s="121" t="s">
        <v>0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</row>
    <row r="24" spans="1:18" s="46" customFormat="1" ht="3.75" customHeight="1" x14ac:dyDescent="0.25">
      <c r="A24" s="81"/>
      <c r="B24" s="82"/>
      <c r="C24" s="56"/>
      <c r="D24" s="56"/>
      <c r="E24" s="56"/>
      <c r="F24" s="56"/>
      <c r="G24" s="56"/>
      <c r="H24" s="56"/>
    </row>
    <row r="25" spans="1:18" ht="18.75" customHeight="1" x14ac:dyDescent="0.25">
      <c r="A25" s="118" t="s">
        <v>128</v>
      </c>
      <c r="B25" s="119"/>
      <c r="C25" s="119"/>
      <c r="D25" s="119"/>
      <c r="E25" s="119"/>
      <c r="F25" s="119"/>
      <c r="G25" s="119"/>
      <c r="H25" s="120"/>
      <c r="J25" s="122" t="s">
        <v>127</v>
      </c>
      <c r="K25" s="123"/>
      <c r="L25" s="123"/>
      <c r="M25" s="123"/>
      <c r="N25" s="123"/>
      <c r="O25" s="123"/>
      <c r="P25" s="123"/>
      <c r="Q25" s="123"/>
      <c r="R25" s="124"/>
    </row>
    <row r="26" spans="1:18" ht="18.75" customHeight="1" x14ac:dyDescent="0.25">
      <c r="A26" s="63" t="s">
        <v>102</v>
      </c>
      <c r="B26" s="64">
        <v>6</v>
      </c>
      <c r="C26" s="150"/>
      <c r="D26" s="151"/>
      <c r="E26" s="141"/>
      <c r="F26" s="142"/>
      <c r="G26" s="142"/>
      <c r="H26" s="143"/>
      <c r="J26" s="63" t="s">
        <v>102</v>
      </c>
      <c r="K26" s="64" t="s">
        <v>92</v>
      </c>
      <c r="L26" s="150"/>
      <c r="M26" s="151"/>
    </row>
    <row r="27" spans="1:18" ht="18.75" customHeight="1" x14ac:dyDescent="0.25">
      <c r="A27" s="66" t="s">
        <v>4</v>
      </c>
      <c r="B27" s="67">
        <v>0</v>
      </c>
      <c r="C27" s="68" t="s">
        <v>29</v>
      </c>
      <c r="D27" s="69">
        <f>B27/B26*100</f>
        <v>0</v>
      </c>
      <c r="E27" s="144"/>
      <c r="F27" s="145"/>
      <c r="G27" s="145"/>
      <c r="H27" s="146"/>
      <c r="J27" s="66" t="s">
        <v>4</v>
      </c>
      <c r="K27" s="67">
        <v>0</v>
      </c>
      <c r="L27" s="68" t="s">
        <v>29</v>
      </c>
      <c r="M27" s="69">
        <v>0</v>
      </c>
    </row>
    <row r="28" spans="1:18" ht="18.75" customHeight="1" x14ac:dyDescent="0.25">
      <c r="A28" s="66" t="s">
        <v>5</v>
      </c>
      <c r="B28" s="67">
        <v>0</v>
      </c>
      <c r="C28" s="68" t="s">
        <v>1</v>
      </c>
      <c r="D28" s="69">
        <f>B28/B26*100</f>
        <v>0</v>
      </c>
      <c r="E28" s="144"/>
      <c r="F28" s="145"/>
      <c r="G28" s="145"/>
      <c r="H28" s="146"/>
      <c r="J28" s="66" t="s">
        <v>5</v>
      </c>
      <c r="K28" s="67">
        <v>0</v>
      </c>
      <c r="L28" s="68" t="s">
        <v>1</v>
      </c>
      <c r="M28" s="69">
        <v>0</v>
      </c>
    </row>
    <row r="29" spans="1:18" ht="18.75" customHeight="1" x14ac:dyDescent="0.25">
      <c r="A29" s="66" t="s">
        <v>6</v>
      </c>
      <c r="B29" s="67">
        <v>0</v>
      </c>
      <c r="C29" s="68" t="s">
        <v>30</v>
      </c>
      <c r="D29" s="69">
        <f>B29/B26*100</f>
        <v>0</v>
      </c>
      <c r="E29" s="144"/>
      <c r="F29" s="145"/>
      <c r="G29" s="145"/>
      <c r="H29" s="146"/>
      <c r="J29" s="66" t="s">
        <v>6</v>
      </c>
      <c r="K29" s="67">
        <v>0</v>
      </c>
      <c r="L29" s="68" t="s">
        <v>30</v>
      </c>
      <c r="M29" s="69">
        <v>0</v>
      </c>
    </row>
    <row r="30" spans="1:18" ht="18.75" customHeight="1" x14ac:dyDescent="0.25">
      <c r="A30" s="68" t="s">
        <v>103</v>
      </c>
      <c r="B30" s="70">
        <v>0</v>
      </c>
      <c r="C30" s="68" t="s">
        <v>104</v>
      </c>
      <c r="D30" s="71">
        <f>B30/B26*100</f>
        <v>0</v>
      </c>
      <c r="E30" s="144"/>
      <c r="F30" s="145"/>
      <c r="G30" s="145"/>
      <c r="H30" s="146"/>
      <c r="J30" s="68" t="s">
        <v>103</v>
      </c>
      <c r="K30" s="70">
        <v>0</v>
      </c>
      <c r="L30" s="68" t="s">
        <v>104</v>
      </c>
      <c r="M30" s="71">
        <v>0</v>
      </c>
    </row>
    <row r="31" spans="1:18" ht="18.75" customHeight="1" x14ac:dyDescent="0.25">
      <c r="A31" s="68" t="s">
        <v>106</v>
      </c>
      <c r="B31" s="72">
        <v>25</v>
      </c>
      <c r="C31" s="68"/>
      <c r="D31" s="71"/>
      <c r="E31" s="144"/>
      <c r="F31" s="145"/>
      <c r="G31" s="145"/>
      <c r="H31" s="146"/>
      <c r="M31" s="83"/>
    </row>
    <row r="32" spans="1:18" ht="64.5" customHeight="1" x14ac:dyDescent="0.25">
      <c r="A32" s="74" t="s">
        <v>107</v>
      </c>
      <c r="B32" s="75" t="s">
        <v>7</v>
      </c>
      <c r="C32" s="65"/>
      <c r="D32" s="65"/>
      <c r="E32" s="147"/>
      <c r="F32" s="148"/>
      <c r="G32" s="148"/>
      <c r="H32" s="149"/>
    </row>
    <row r="33" spans="1:8" ht="15.75" customHeight="1" x14ac:dyDescent="0.25"/>
    <row r="34" spans="1:8" ht="18.75" customHeight="1" x14ac:dyDescent="0.25">
      <c r="A34" s="19"/>
      <c r="B34" s="18"/>
      <c r="C34" s="18"/>
      <c r="D34" s="18"/>
      <c r="E34" s="18"/>
      <c r="F34" s="18"/>
      <c r="G34" s="18"/>
      <c r="H34" s="18"/>
    </row>
    <row r="35" spans="1:8" ht="16.5" customHeight="1" x14ac:dyDescent="0.25">
      <c r="A35" s="5"/>
      <c r="B35" s="17"/>
      <c r="C35" s="17"/>
      <c r="D35" s="17"/>
      <c r="E35" s="17"/>
      <c r="F35" s="17"/>
      <c r="G35" s="6"/>
      <c r="H35" s="5"/>
    </row>
    <row r="36" spans="1:8" s="4" customFormat="1" ht="15.75" customHeight="1" x14ac:dyDescent="0.25">
      <c r="A36" s="7"/>
      <c r="B36" s="16"/>
      <c r="C36" s="16"/>
      <c r="D36" s="16"/>
      <c r="E36" s="16"/>
      <c r="F36" s="16"/>
      <c r="G36" s="7"/>
      <c r="H36" s="7"/>
    </row>
    <row r="37" spans="1:8" s="4" customFormat="1" ht="15.75" customHeight="1" x14ac:dyDescent="0.25">
      <c r="A37" s="7"/>
      <c r="B37" s="7"/>
      <c r="C37" s="7"/>
      <c r="D37" s="7"/>
      <c r="E37" s="7"/>
      <c r="F37" s="7"/>
      <c r="G37" s="7"/>
      <c r="H37" s="7"/>
    </row>
    <row r="38" spans="1:8" s="4" customFormat="1" ht="15.75" customHeight="1" x14ac:dyDescent="0.25">
      <c r="A38" s="7"/>
      <c r="B38" s="16"/>
      <c r="C38" s="16"/>
      <c r="D38" s="16"/>
      <c r="E38" s="16"/>
      <c r="F38" s="16"/>
      <c r="G38" s="7"/>
      <c r="H38" s="7"/>
    </row>
    <row r="39" spans="1:8" s="4" customFormat="1" ht="16.5" customHeight="1" x14ac:dyDescent="0.25">
      <c r="A39" s="7"/>
      <c r="B39" s="16"/>
      <c r="C39" s="16"/>
      <c r="D39" s="16"/>
      <c r="E39" s="16"/>
      <c r="F39" s="16"/>
      <c r="G39" s="7"/>
      <c r="H39" s="7"/>
    </row>
    <row r="40" spans="1:8" s="4" customFormat="1" x14ac:dyDescent="0.25">
      <c r="A40" s="7"/>
      <c r="B40" s="16"/>
      <c r="C40" s="16"/>
      <c r="D40" s="16"/>
      <c r="E40" s="16"/>
      <c r="F40" s="16"/>
      <c r="G40" s="7"/>
      <c r="H40" s="7"/>
    </row>
    <row r="41" spans="1:8" s="4" customFormat="1" x14ac:dyDescent="0.25">
      <c r="A41" s="7"/>
      <c r="B41" s="16"/>
      <c r="C41" s="16"/>
      <c r="D41" s="16"/>
      <c r="E41" s="16"/>
      <c r="F41" s="16"/>
      <c r="G41" s="7"/>
      <c r="H41" s="7"/>
    </row>
    <row r="42" spans="1:8" s="4" customFormat="1" x14ac:dyDescent="0.25">
      <c r="A42" s="7"/>
      <c r="B42" s="16"/>
      <c r="C42" s="16"/>
      <c r="D42" s="16"/>
      <c r="E42" s="16"/>
      <c r="F42" s="16"/>
      <c r="G42" s="7"/>
      <c r="H42" s="7"/>
    </row>
    <row r="43" spans="1:8" s="4" customFormat="1" x14ac:dyDescent="0.25">
      <c r="A43" s="7"/>
      <c r="B43" s="16"/>
      <c r="C43" s="16"/>
      <c r="D43" s="16"/>
      <c r="E43" s="16"/>
      <c r="F43" s="16"/>
      <c r="G43" s="7"/>
      <c r="H43" s="7"/>
    </row>
    <row r="44" spans="1:8" s="4" customFormat="1" x14ac:dyDescent="0.25">
      <c r="A44" s="7"/>
      <c r="B44" s="16"/>
      <c r="C44" s="16"/>
      <c r="D44" s="16"/>
      <c r="E44" s="16"/>
      <c r="F44" s="16"/>
      <c r="G44" s="7"/>
      <c r="H44" s="7"/>
    </row>
    <row r="45" spans="1:8" s="4" customFormat="1" x14ac:dyDescent="0.25">
      <c r="A45" s="7"/>
      <c r="B45" s="16"/>
      <c r="C45" s="16"/>
      <c r="D45" s="16"/>
      <c r="E45" s="16"/>
      <c r="F45" s="16"/>
      <c r="G45" s="7"/>
      <c r="H45" s="7"/>
    </row>
    <row r="46" spans="1:8" x14ac:dyDescent="0.25">
      <c r="A46" s="8"/>
      <c r="B46" s="8"/>
      <c r="C46" s="8"/>
      <c r="D46" s="8"/>
      <c r="E46" s="8"/>
      <c r="F46" s="8"/>
      <c r="G46" s="8"/>
      <c r="H46" s="9"/>
    </row>
    <row r="47" spans="1:8" x14ac:dyDescent="0.25">
      <c r="A47" s="8"/>
      <c r="B47" s="8"/>
      <c r="C47" s="8"/>
      <c r="D47" s="8"/>
      <c r="E47" s="8"/>
      <c r="F47" s="8"/>
      <c r="G47" s="8"/>
      <c r="H47" s="8"/>
    </row>
    <row r="48" spans="1:8" x14ac:dyDescent="0.25">
      <c r="A48" s="8"/>
      <c r="B48" s="8"/>
      <c r="C48" s="8"/>
      <c r="D48" s="8"/>
      <c r="E48" s="8"/>
      <c r="F48" s="8"/>
      <c r="G48" s="8"/>
      <c r="H48" s="8"/>
    </row>
    <row r="49" spans="1:8" x14ac:dyDescent="0.25">
      <c r="A49" s="8"/>
      <c r="B49" s="8"/>
      <c r="C49" s="8"/>
      <c r="D49" s="8"/>
      <c r="E49" s="8"/>
      <c r="F49" s="8"/>
      <c r="G49" s="8"/>
      <c r="H49" s="8"/>
    </row>
    <row r="50" spans="1:8" x14ac:dyDescent="0.25">
      <c r="A50" s="8"/>
      <c r="B50" s="8"/>
      <c r="C50" s="8"/>
      <c r="D50" s="8"/>
      <c r="E50" s="8"/>
      <c r="F50" s="8"/>
      <c r="G50" s="8"/>
      <c r="H50" s="8"/>
    </row>
    <row r="51" spans="1:8" x14ac:dyDescent="0.25">
      <c r="A51" s="8"/>
      <c r="B51" s="8"/>
      <c r="C51" s="8"/>
      <c r="D51" s="8"/>
      <c r="E51" s="8"/>
      <c r="F51" s="8"/>
      <c r="G51" s="8"/>
      <c r="H51" s="8"/>
    </row>
    <row r="52" spans="1:8" x14ac:dyDescent="0.25">
      <c r="A52" s="8"/>
      <c r="B52" s="8"/>
      <c r="C52" s="8"/>
      <c r="D52" s="8"/>
      <c r="E52" s="8"/>
      <c r="F52" s="8"/>
      <c r="G52" s="8"/>
      <c r="H52" s="8"/>
    </row>
    <row r="53" spans="1:8" x14ac:dyDescent="0.25">
      <c r="A53" s="8"/>
      <c r="B53" s="8"/>
      <c r="C53" s="8"/>
      <c r="D53" s="8"/>
      <c r="E53" s="8"/>
      <c r="F53" s="8"/>
      <c r="G53" s="8"/>
      <c r="H53" s="8"/>
    </row>
    <row r="54" spans="1:8" x14ac:dyDescent="0.25">
      <c r="A54" s="8"/>
      <c r="B54" s="8"/>
      <c r="C54" s="8"/>
      <c r="D54" s="8"/>
      <c r="E54" s="8"/>
      <c r="F54" s="8"/>
      <c r="G54" s="8"/>
      <c r="H54" s="8"/>
    </row>
  </sheetData>
  <mergeCells count="30">
    <mergeCell ref="A7:H7"/>
    <mergeCell ref="A17:H17"/>
    <mergeCell ref="C18:H18"/>
    <mergeCell ref="C8:H8"/>
    <mergeCell ref="C9:H9"/>
    <mergeCell ref="C10:H10"/>
    <mergeCell ref="C12:H12"/>
    <mergeCell ref="L20:R20"/>
    <mergeCell ref="E26:H32"/>
    <mergeCell ref="C13:H13"/>
    <mergeCell ref="C19:H19"/>
    <mergeCell ref="C20:H20"/>
    <mergeCell ref="C26:D26"/>
    <mergeCell ref="L26:M26"/>
    <mergeCell ref="A1:R1"/>
    <mergeCell ref="A3:R3"/>
    <mergeCell ref="A5:R5"/>
    <mergeCell ref="A15:R15"/>
    <mergeCell ref="A25:H25"/>
    <mergeCell ref="A23:R23"/>
    <mergeCell ref="J25:R25"/>
    <mergeCell ref="J7:R7"/>
    <mergeCell ref="L8:R8"/>
    <mergeCell ref="L9:R9"/>
    <mergeCell ref="L10:R10"/>
    <mergeCell ref="L12:R12"/>
    <mergeCell ref="L13:R13"/>
    <mergeCell ref="J17:R17"/>
    <mergeCell ref="L18:R18"/>
    <mergeCell ref="L19:R19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Views>
    <sheetView tabSelected="1" workbookViewId="0">
      <selection activeCell="AA10" sqref="AA10"/>
    </sheetView>
  </sheetViews>
  <sheetFormatPr defaultRowHeight="15.75" x14ac:dyDescent="0.25"/>
  <cols>
    <col min="1" max="1" width="9" customWidth="1"/>
    <col min="10" max="10" width="3.875" customWidth="1"/>
    <col min="11" max="11" width="3.125" customWidth="1"/>
    <col min="12" max="12" width="4.375" customWidth="1"/>
    <col min="13" max="13" width="19.875" bestFit="1" customWidth="1"/>
    <col min="14" max="14" width="0.625" style="31" customWidth="1"/>
    <col min="24" max="24" width="2.25" customWidth="1"/>
    <col min="25" max="25" width="4.375" customWidth="1"/>
    <col min="26" max="26" width="4.5" customWidth="1"/>
    <col min="27" max="27" width="3" style="21" customWidth="1"/>
    <col min="28" max="28" width="26.875" customWidth="1"/>
  </cols>
  <sheetData>
    <row r="1" spans="1:28" ht="18.75" x14ac:dyDescent="0.3">
      <c r="A1" s="10" t="s">
        <v>141</v>
      </c>
      <c r="O1" s="10" t="s">
        <v>142</v>
      </c>
    </row>
    <row r="2" spans="1:28" ht="17.25" x14ac:dyDescent="0.3">
      <c r="A2" s="22" t="s">
        <v>72</v>
      </c>
      <c r="O2" s="22" t="s">
        <v>88</v>
      </c>
    </row>
    <row r="5" spans="1:28" x14ac:dyDescent="0.25">
      <c r="L5" s="29">
        <v>694</v>
      </c>
      <c r="M5" s="30" t="s">
        <v>77</v>
      </c>
      <c r="Y5" s="33"/>
      <c r="Z5" s="33"/>
      <c r="AA5" s="29">
        <v>25</v>
      </c>
      <c r="AB5" s="36" t="s">
        <v>80</v>
      </c>
    </row>
    <row r="6" spans="1:28" x14ac:dyDescent="0.25">
      <c r="L6" s="29">
        <v>615</v>
      </c>
      <c r="M6" s="30" t="s">
        <v>78</v>
      </c>
      <c r="Y6" s="33"/>
      <c r="Z6" s="33"/>
      <c r="AA6" s="29">
        <v>0</v>
      </c>
      <c r="AB6" s="36" t="s">
        <v>81</v>
      </c>
    </row>
    <row r="7" spans="1:28" x14ac:dyDescent="0.25">
      <c r="L7" s="29">
        <f>L5-L6</f>
        <v>79</v>
      </c>
      <c r="M7" s="30" t="s">
        <v>79</v>
      </c>
      <c r="Y7" s="33"/>
      <c r="Z7" s="33"/>
      <c r="AA7" s="29">
        <v>25</v>
      </c>
      <c r="AB7" s="36" t="s">
        <v>82</v>
      </c>
    </row>
    <row r="8" spans="1:28" x14ac:dyDescent="0.25">
      <c r="L8" s="35">
        <v>65</v>
      </c>
      <c r="M8" s="34" t="s">
        <v>70</v>
      </c>
      <c r="N8" s="32"/>
      <c r="AA8" s="35">
        <v>4</v>
      </c>
      <c r="AB8" s="34" t="s">
        <v>131</v>
      </c>
    </row>
    <row r="9" spans="1:28" ht="30" x14ac:dyDescent="0.25">
      <c r="L9" s="35">
        <v>14</v>
      </c>
      <c r="M9" s="40" t="s">
        <v>71</v>
      </c>
      <c r="N9" s="32"/>
      <c r="AA9" s="35">
        <v>3</v>
      </c>
      <c r="AB9" s="39" t="s">
        <v>85</v>
      </c>
    </row>
    <row r="10" spans="1:28" x14ac:dyDescent="0.25">
      <c r="L10" s="35"/>
      <c r="M10" s="40"/>
      <c r="N10" s="32"/>
      <c r="AA10" s="37">
        <v>17</v>
      </c>
      <c r="AB10" s="38" t="s">
        <v>132</v>
      </c>
    </row>
    <row r="11" spans="1:28" ht="30" x14ac:dyDescent="0.25">
      <c r="L11" s="41" t="s">
        <v>129</v>
      </c>
      <c r="M11" s="93" t="s">
        <v>133</v>
      </c>
      <c r="AA11" s="35">
        <v>1</v>
      </c>
      <c r="AB11" s="94" t="s">
        <v>130</v>
      </c>
    </row>
    <row r="13" spans="1:28" ht="31.5" x14ac:dyDescent="0.25">
      <c r="AA13" s="41">
        <v>0</v>
      </c>
      <c r="AB13" s="92" t="s">
        <v>134</v>
      </c>
    </row>
    <row r="16" spans="1:28" x14ac:dyDescent="0.25">
      <c r="K16" s="33"/>
    </row>
    <row r="17" spans="11:11" x14ac:dyDescent="0.25">
      <c r="K17" s="33"/>
    </row>
    <row r="18" spans="11:11" x14ac:dyDescent="0.25">
      <c r="K18" s="3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zoomScaleNormal="100" workbookViewId="0"/>
  </sheetViews>
  <sheetFormatPr defaultRowHeight="15.75" x14ac:dyDescent="0.25"/>
  <cols>
    <col min="1" max="1" width="2.875" bestFit="1" customWidth="1"/>
    <col min="2" max="2" width="11.625" style="20" bestFit="1" customWidth="1"/>
    <col min="3" max="3" width="53.125" style="15" customWidth="1"/>
    <col min="4" max="4" width="7.375" bestFit="1" customWidth="1"/>
    <col min="5" max="5" width="7.75" bestFit="1" customWidth="1"/>
    <col min="6" max="6" width="7.875" bestFit="1" customWidth="1"/>
    <col min="7" max="7" width="8" bestFit="1" customWidth="1"/>
    <col min="8" max="8" width="10.75" customWidth="1"/>
    <col min="9" max="9" width="7" bestFit="1" customWidth="1"/>
    <col min="10" max="10" width="39" customWidth="1"/>
    <col min="11" max="11" width="1.375" customWidth="1"/>
    <col min="12" max="12" width="85.875" customWidth="1"/>
  </cols>
  <sheetData>
    <row r="1" spans="1:12" ht="18.75" x14ac:dyDescent="0.3">
      <c r="A1" s="10" t="s">
        <v>136</v>
      </c>
      <c r="J1" s="11"/>
    </row>
    <row r="2" spans="1:12" x14ac:dyDescent="0.25">
      <c r="J2" s="11"/>
    </row>
    <row r="3" spans="1:12" ht="30" x14ac:dyDescent="0.25">
      <c r="A3" s="23"/>
      <c r="B3" s="24" t="s">
        <v>31</v>
      </c>
      <c r="C3" s="24" t="s">
        <v>2</v>
      </c>
      <c r="D3" s="24" t="s">
        <v>32</v>
      </c>
      <c r="E3" s="24" t="s">
        <v>33</v>
      </c>
      <c r="F3" s="25" t="s">
        <v>49</v>
      </c>
      <c r="G3" s="25" t="s">
        <v>50</v>
      </c>
      <c r="H3" s="24" t="s">
        <v>3</v>
      </c>
      <c r="I3" s="25" t="s">
        <v>55</v>
      </c>
      <c r="J3" s="89" t="s">
        <v>108</v>
      </c>
    </row>
    <row r="4" spans="1:12" s="20" customFormat="1" x14ac:dyDescent="0.25">
      <c r="A4" s="26">
        <v>1</v>
      </c>
      <c r="B4" s="27" t="s">
        <v>62</v>
      </c>
      <c r="C4" s="90" t="s">
        <v>63</v>
      </c>
      <c r="D4" s="27" t="s">
        <v>36</v>
      </c>
      <c r="E4" s="27" t="s">
        <v>74</v>
      </c>
      <c r="F4" s="49" t="s">
        <v>74</v>
      </c>
      <c r="G4" s="90"/>
      <c r="H4" s="27" t="s">
        <v>37</v>
      </c>
      <c r="I4" s="111">
        <v>44223</v>
      </c>
      <c r="J4" s="95"/>
    </row>
    <row r="5" spans="1:12" s="20" customFormat="1" x14ac:dyDescent="0.25">
      <c r="A5" s="26">
        <v>2</v>
      </c>
      <c r="B5" s="27" t="s">
        <v>68</v>
      </c>
      <c r="C5" s="90" t="s">
        <v>69</v>
      </c>
      <c r="D5" s="27" t="s">
        <v>36</v>
      </c>
      <c r="E5" s="27" t="s">
        <v>74</v>
      </c>
      <c r="F5" s="28"/>
      <c r="G5" s="49" t="s">
        <v>91</v>
      </c>
      <c r="H5" s="27" t="s">
        <v>37</v>
      </c>
      <c r="I5" s="111">
        <v>44223</v>
      </c>
      <c r="J5" s="95"/>
      <c r="L5" s="14"/>
    </row>
    <row r="6" spans="1:12" s="20" customFormat="1" ht="30" x14ac:dyDescent="0.25">
      <c r="A6" s="26">
        <v>3</v>
      </c>
      <c r="B6" s="43" t="s">
        <v>87</v>
      </c>
      <c r="C6" s="42" t="s">
        <v>86</v>
      </c>
      <c r="D6" s="43" t="s">
        <v>36</v>
      </c>
      <c r="E6" s="43" t="s">
        <v>75</v>
      </c>
      <c r="F6" s="42"/>
      <c r="G6" s="96" t="s">
        <v>137</v>
      </c>
      <c r="H6" s="45"/>
      <c r="I6" s="112">
        <v>44224</v>
      </c>
      <c r="J6" s="152" t="s">
        <v>138</v>
      </c>
      <c r="L6" s="14"/>
    </row>
    <row r="7" spans="1:12" ht="30" customHeight="1" x14ac:dyDescent="0.25">
      <c r="A7" s="26">
        <v>4</v>
      </c>
      <c r="B7" s="45" t="s">
        <v>56</v>
      </c>
      <c r="C7" s="44" t="s">
        <v>57</v>
      </c>
      <c r="D7" s="45" t="s">
        <v>36</v>
      </c>
      <c r="E7" s="45" t="s">
        <v>75</v>
      </c>
      <c r="F7" s="45" t="s">
        <v>75</v>
      </c>
      <c r="G7" s="91"/>
      <c r="H7" s="45" t="s">
        <v>37</v>
      </c>
      <c r="I7" s="113">
        <v>44222</v>
      </c>
      <c r="J7" s="153"/>
    </row>
    <row r="8" spans="1:12" x14ac:dyDescent="0.25">
      <c r="A8" s="26">
        <v>5</v>
      </c>
      <c r="B8" s="45" t="s">
        <v>58</v>
      </c>
      <c r="C8" s="44" t="s">
        <v>59</v>
      </c>
      <c r="D8" s="45" t="s">
        <v>36</v>
      </c>
      <c r="E8" s="45" t="s">
        <v>76</v>
      </c>
      <c r="F8" s="99" t="s">
        <v>76</v>
      </c>
      <c r="G8" s="98"/>
      <c r="H8" s="45" t="s">
        <v>37</v>
      </c>
      <c r="I8" s="113">
        <v>44222</v>
      </c>
      <c r="J8" s="153"/>
    </row>
    <row r="9" spans="1:12" ht="30" x14ac:dyDescent="0.25">
      <c r="A9" s="26">
        <v>6</v>
      </c>
      <c r="B9" s="45" t="s">
        <v>60</v>
      </c>
      <c r="C9" s="44" t="s">
        <v>61</v>
      </c>
      <c r="D9" s="45" t="s">
        <v>36</v>
      </c>
      <c r="E9" s="45" t="s">
        <v>75</v>
      </c>
      <c r="F9" s="45" t="s">
        <v>74</v>
      </c>
      <c r="G9" s="98"/>
      <c r="H9" s="45" t="s">
        <v>37</v>
      </c>
      <c r="I9" s="113">
        <v>44222</v>
      </c>
      <c r="J9" s="153"/>
    </row>
    <row r="10" spans="1:12" x14ac:dyDescent="0.25">
      <c r="A10" s="26">
        <v>7</v>
      </c>
      <c r="B10" s="45" t="s">
        <v>51</v>
      </c>
      <c r="C10" s="44" t="s">
        <v>52</v>
      </c>
      <c r="D10" s="45" t="s">
        <v>36</v>
      </c>
      <c r="E10" s="45" t="s">
        <v>76</v>
      </c>
      <c r="F10" s="97" t="s">
        <v>76</v>
      </c>
      <c r="G10" s="45"/>
      <c r="H10" s="45" t="s">
        <v>37</v>
      </c>
      <c r="I10" s="113">
        <v>44208</v>
      </c>
      <c r="J10" s="153"/>
    </row>
    <row r="11" spans="1:12" ht="30" x14ac:dyDescent="0.25">
      <c r="A11" s="26">
        <v>8</v>
      </c>
      <c r="B11" s="45" t="s">
        <v>53</v>
      </c>
      <c r="C11" s="44" t="s">
        <v>54</v>
      </c>
      <c r="D11" s="45" t="s">
        <v>36</v>
      </c>
      <c r="E11" s="45" t="s">
        <v>75</v>
      </c>
      <c r="F11" s="45"/>
      <c r="G11" s="99" t="s">
        <v>137</v>
      </c>
      <c r="H11" s="45" t="s">
        <v>37</v>
      </c>
      <c r="I11" s="113">
        <v>44218</v>
      </c>
      <c r="J11" s="153"/>
    </row>
    <row r="12" spans="1:12" ht="30" x14ac:dyDescent="0.25">
      <c r="A12" s="26">
        <v>9</v>
      </c>
      <c r="B12" s="45" t="s">
        <v>34</v>
      </c>
      <c r="C12" s="44" t="s">
        <v>35</v>
      </c>
      <c r="D12" s="45" t="s">
        <v>36</v>
      </c>
      <c r="E12" s="45" t="s">
        <v>76</v>
      </c>
      <c r="F12" s="45"/>
      <c r="G12" s="99" t="s">
        <v>137</v>
      </c>
      <c r="H12" s="45" t="s">
        <v>37</v>
      </c>
      <c r="I12" s="113">
        <v>44207</v>
      </c>
      <c r="J12" s="153"/>
    </row>
    <row r="13" spans="1:12" x14ac:dyDescent="0.25">
      <c r="A13" s="26">
        <v>10</v>
      </c>
      <c r="B13" s="45" t="s">
        <v>38</v>
      </c>
      <c r="C13" s="44" t="s">
        <v>39</v>
      </c>
      <c r="D13" s="45" t="s">
        <v>36</v>
      </c>
      <c r="E13" s="45" t="s">
        <v>76</v>
      </c>
      <c r="F13" s="45"/>
      <c r="G13" s="99" t="s">
        <v>137</v>
      </c>
      <c r="H13" s="45" t="s">
        <v>37</v>
      </c>
      <c r="I13" s="113">
        <v>44217</v>
      </c>
      <c r="J13" s="153"/>
    </row>
    <row r="14" spans="1:12" ht="30" x14ac:dyDescent="0.25">
      <c r="A14" s="26">
        <v>11</v>
      </c>
      <c r="B14" s="45" t="s">
        <v>40</v>
      </c>
      <c r="C14" s="44" t="s">
        <v>41</v>
      </c>
      <c r="D14" s="45" t="s">
        <v>36</v>
      </c>
      <c r="E14" s="45" t="s">
        <v>76</v>
      </c>
      <c r="F14" s="45"/>
      <c r="G14" s="99" t="s">
        <v>137</v>
      </c>
      <c r="H14" s="45" t="s">
        <v>37</v>
      </c>
      <c r="I14" s="113">
        <v>44207</v>
      </c>
      <c r="J14" s="153"/>
    </row>
    <row r="15" spans="1:12" x14ac:dyDescent="0.25">
      <c r="A15" s="26">
        <v>12</v>
      </c>
      <c r="B15" s="45" t="s">
        <v>42</v>
      </c>
      <c r="C15" s="44" t="s">
        <v>43</v>
      </c>
      <c r="D15" s="45" t="s">
        <v>36</v>
      </c>
      <c r="E15" s="45" t="s">
        <v>75</v>
      </c>
      <c r="F15" s="45"/>
      <c r="G15" s="99" t="s">
        <v>137</v>
      </c>
      <c r="H15" s="45" t="s">
        <v>37</v>
      </c>
      <c r="I15" s="113">
        <v>44217</v>
      </c>
      <c r="J15" s="153"/>
    </row>
    <row r="16" spans="1:12" ht="30" x14ac:dyDescent="0.25">
      <c r="A16" s="26">
        <v>13</v>
      </c>
      <c r="B16" s="45" t="s">
        <v>17</v>
      </c>
      <c r="C16" s="44" t="s">
        <v>27</v>
      </c>
      <c r="D16" s="45" t="s">
        <v>36</v>
      </c>
      <c r="E16" s="45" t="s">
        <v>76</v>
      </c>
      <c r="F16" s="45"/>
      <c r="G16" s="99" t="s">
        <v>137</v>
      </c>
      <c r="H16" s="45" t="s">
        <v>37</v>
      </c>
      <c r="I16" s="113">
        <v>44208</v>
      </c>
      <c r="J16" s="153"/>
    </row>
    <row r="17" spans="1:10" ht="30" x14ac:dyDescent="0.25">
      <c r="A17" s="26">
        <v>14</v>
      </c>
      <c r="B17" s="45" t="s">
        <v>15</v>
      </c>
      <c r="C17" s="44" t="s">
        <v>25</v>
      </c>
      <c r="D17" s="45" t="s">
        <v>36</v>
      </c>
      <c r="E17" s="45" t="s">
        <v>75</v>
      </c>
      <c r="F17" s="43" t="s">
        <v>75</v>
      </c>
      <c r="G17" s="45"/>
      <c r="H17" s="45" t="s">
        <v>37</v>
      </c>
      <c r="I17" s="113">
        <v>44208</v>
      </c>
      <c r="J17" s="153"/>
    </row>
    <row r="18" spans="1:10" ht="30" x14ac:dyDescent="0.25">
      <c r="A18" s="26">
        <v>15</v>
      </c>
      <c r="B18" s="45" t="s">
        <v>14</v>
      </c>
      <c r="C18" s="44" t="s">
        <v>24</v>
      </c>
      <c r="D18" s="45" t="s">
        <v>36</v>
      </c>
      <c r="E18" s="45" t="s">
        <v>76</v>
      </c>
      <c r="F18" s="45"/>
      <c r="G18" s="99" t="s">
        <v>137</v>
      </c>
      <c r="H18" s="45" t="s">
        <v>37</v>
      </c>
      <c r="I18" s="113">
        <v>44208</v>
      </c>
      <c r="J18" s="153"/>
    </row>
    <row r="19" spans="1:10" ht="30" x14ac:dyDescent="0.25">
      <c r="A19" s="26">
        <v>16</v>
      </c>
      <c r="B19" s="45" t="s">
        <v>13</v>
      </c>
      <c r="C19" s="44" t="s">
        <v>23</v>
      </c>
      <c r="D19" s="45" t="s">
        <v>36</v>
      </c>
      <c r="E19" s="45" t="s">
        <v>76</v>
      </c>
      <c r="F19" s="45"/>
      <c r="G19" s="99" t="s">
        <v>137</v>
      </c>
      <c r="H19" s="45" t="s">
        <v>37</v>
      </c>
      <c r="I19" s="113">
        <v>44208</v>
      </c>
      <c r="J19" s="153"/>
    </row>
    <row r="20" spans="1:10" ht="30" x14ac:dyDescent="0.25">
      <c r="A20" s="26">
        <v>17</v>
      </c>
      <c r="B20" s="45" t="s">
        <v>9</v>
      </c>
      <c r="C20" s="44" t="s">
        <v>19</v>
      </c>
      <c r="D20" s="45" t="s">
        <v>36</v>
      </c>
      <c r="E20" s="45" t="s">
        <v>76</v>
      </c>
      <c r="F20" s="45" t="s">
        <v>76</v>
      </c>
      <c r="G20" s="45"/>
      <c r="H20" s="45" t="s">
        <v>37</v>
      </c>
      <c r="I20" s="113">
        <v>44207</v>
      </c>
      <c r="J20" s="154"/>
    </row>
    <row r="21" spans="1:10" ht="18.75" x14ac:dyDescent="0.25">
      <c r="A21" s="26"/>
      <c r="B21" s="155" t="s">
        <v>90</v>
      </c>
      <c r="C21" s="156"/>
      <c r="D21" s="156"/>
      <c r="E21" s="156"/>
      <c r="F21" s="156"/>
      <c r="G21" s="156"/>
      <c r="H21" s="156"/>
      <c r="I21" s="156"/>
      <c r="J21" s="156"/>
    </row>
    <row r="22" spans="1:10" ht="30" x14ac:dyDescent="0.25">
      <c r="A22" s="26">
        <v>18</v>
      </c>
      <c r="B22" s="101" t="s">
        <v>8</v>
      </c>
      <c r="C22" s="102" t="s">
        <v>18</v>
      </c>
      <c r="D22" s="101" t="s">
        <v>36</v>
      </c>
      <c r="E22" s="101" t="s">
        <v>76</v>
      </c>
      <c r="F22" s="101"/>
      <c r="G22" s="103" t="s">
        <v>76</v>
      </c>
      <c r="H22" s="101" t="s">
        <v>37</v>
      </c>
      <c r="I22" s="104">
        <v>44207</v>
      </c>
      <c r="J22" s="105"/>
    </row>
    <row r="23" spans="1:10" x14ac:dyDescent="0.25">
      <c r="A23" s="26">
        <v>19</v>
      </c>
      <c r="B23" s="101" t="s">
        <v>10</v>
      </c>
      <c r="C23" s="102" t="s">
        <v>20</v>
      </c>
      <c r="D23" s="101" t="s">
        <v>36</v>
      </c>
      <c r="E23" s="101" t="s">
        <v>76</v>
      </c>
      <c r="F23" s="101"/>
      <c r="G23" s="103" t="s">
        <v>139</v>
      </c>
      <c r="H23" s="101" t="s">
        <v>37</v>
      </c>
      <c r="I23" s="104">
        <v>44207</v>
      </c>
      <c r="J23" s="105"/>
    </row>
    <row r="24" spans="1:10" s="20" customFormat="1" ht="30" x14ac:dyDescent="0.25">
      <c r="A24" s="100">
        <v>20</v>
      </c>
      <c r="B24" s="101" t="s">
        <v>44</v>
      </c>
      <c r="C24" s="102" t="s">
        <v>45</v>
      </c>
      <c r="D24" s="101" t="s">
        <v>36</v>
      </c>
      <c r="E24" s="101" t="s">
        <v>75</v>
      </c>
      <c r="F24" s="103" t="s">
        <v>75</v>
      </c>
      <c r="G24" s="101"/>
      <c r="H24" s="106" t="s">
        <v>140</v>
      </c>
      <c r="I24" s="104">
        <v>44215</v>
      </c>
      <c r="J24" s="102"/>
    </row>
    <row r="25" spans="1:10" ht="30" x14ac:dyDescent="0.25">
      <c r="A25" s="26">
        <v>21</v>
      </c>
      <c r="B25" s="101" t="s">
        <v>16</v>
      </c>
      <c r="C25" s="102" t="s">
        <v>26</v>
      </c>
      <c r="D25" s="101" t="s">
        <v>28</v>
      </c>
      <c r="E25" s="101" t="s">
        <v>75</v>
      </c>
      <c r="F25" s="101"/>
      <c r="G25" s="101" t="s">
        <v>73</v>
      </c>
      <c r="H25" s="101" t="s">
        <v>37</v>
      </c>
      <c r="I25" s="104">
        <v>44208</v>
      </c>
      <c r="J25" s="107"/>
    </row>
    <row r="26" spans="1:10" x14ac:dyDescent="0.25">
      <c r="A26" s="26">
        <v>22</v>
      </c>
      <c r="B26" s="101" t="s">
        <v>11</v>
      </c>
      <c r="C26" s="102" t="s">
        <v>21</v>
      </c>
      <c r="D26" s="101" t="s">
        <v>36</v>
      </c>
      <c r="E26" s="101" t="s">
        <v>76</v>
      </c>
      <c r="F26" s="101"/>
      <c r="G26" s="103" t="s">
        <v>139</v>
      </c>
      <c r="H26" s="101" t="s">
        <v>37</v>
      </c>
      <c r="I26" s="104">
        <v>44208</v>
      </c>
      <c r="J26" s="107"/>
    </row>
    <row r="27" spans="1:10" ht="30" x14ac:dyDescent="0.25">
      <c r="A27" s="26">
        <v>23</v>
      </c>
      <c r="B27" s="101" t="s">
        <v>12</v>
      </c>
      <c r="C27" s="102" t="s">
        <v>22</v>
      </c>
      <c r="D27" s="101" t="s">
        <v>36</v>
      </c>
      <c r="E27" s="101" t="s">
        <v>75</v>
      </c>
      <c r="F27" s="101"/>
      <c r="G27" s="103" t="s">
        <v>73</v>
      </c>
      <c r="H27" s="101" t="s">
        <v>37</v>
      </c>
      <c r="I27" s="104">
        <v>44208</v>
      </c>
      <c r="J27" s="107"/>
    </row>
    <row r="28" spans="1:10" x14ac:dyDescent="0.25">
      <c r="A28" s="26">
        <v>24</v>
      </c>
      <c r="B28" s="101" t="s">
        <v>64</v>
      </c>
      <c r="C28" s="102" t="s">
        <v>65</v>
      </c>
      <c r="D28" s="101" t="s">
        <v>36</v>
      </c>
      <c r="E28" s="101" t="s">
        <v>74</v>
      </c>
      <c r="F28" s="108"/>
      <c r="G28" s="102" t="s">
        <v>73</v>
      </c>
      <c r="H28" s="101" t="s">
        <v>37</v>
      </c>
      <c r="I28" s="110">
        <v>44223</v>
      </c>
      <c r="J28" s="109"/>
    </row>
    <row r="29" spans="1:10" ht="30" x14ac:dyDescent="0.25">
      <c r="A29" s="26">
        <v>25</v>
      </c>
      <c r="B29" s="101" t="s">
        <v>66</v>
      </c>
      <c r="C29" s="102" t="s">
        <v>67</v>
      </c>
      <c r="D29" s="101" t="s">
        <v>36</v>
      </c>
      <c r="E29" s="101" t="s">
        <v>74</v>
      </c>
      <c r="F29" s="108"/>
      <c r="G29" s="102" t="s">
        <v>73</v>
      </c>
      <c r="H29" s="101" t="s">
        <v>37</v>
      </c>
      <c r="I29" s="110">
        <v>44223</v>
      </c>
      <c r="J29" s="109"/>
    </row>
    <row r="30" spans="1:10" x14ac:dyDescent="0.25">
      <c r="J30" s="11"/>
    </row>
    <row r="31" spans="1:10" x14ac:dyDescent="0.25">
      <c r="B31" s="12" t="s">
        <v>46</v>
      </c>
      <c r="J31" s="11"/>
    </row>
    <row r="32" spans="1:10" x14ac:dyDescent="0.25">
      <c r="B32" s="13" t="s">
        <v>47</v>
      </c>
      <c r="C32" s="20"/>
    </row>
    <row r="33" spans="2:3" x14ac:dyDescent="0.25">
      <c r="B33" s="53" t="s">
        <v>84</v>
      </c>
      <c r="C33" s="20"/>
    </row>
    <row r="34" spans="2:3" x14ac:dyDescent="0.25">
      <c r="B34" s="53" t="s">
        <v>83</v>
      </c>
      <c r="C34" s="20"/>
    </row>
  </sheetData>
  <mergeCells count="2">
    <mergeCell ref="J6:J20"/>
    <mergeCell ref="B21:J2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EA48D0AF-1F8B-4F80-896F-5A2393262684}"/>
</file>

<file path=customXml/itemProps2.xml><?xml version="1.0" encoding="utf-8"?>
<ds:datastoreItem xmlns:ds="http://schemas.openxmlformats.org/officeDocument/2006/customXml" ds:itemID="{38633421-DCEE-425A-A2FB-543B0910CB31}"/>
</file>

<file path=customXml/itemProps3.xml><?xml version="1.0" encoding="utf-8"?>
<ds:datastoreItem xmlns:ds="http://schemas.openxmlformats.org/officeDocument/2006/customXml" ds:itemID="{4EEDC712-570D-48F8-9C39-BB3BBAE77DD1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 Banking - Test Summary</vt:lpstr>
      <vt:lpstr>Created vs. Resolved Defects</vt:lpstr>
      <vt:lpstr>CWB - Defect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Joanne Klausner</dc:creator>
  <cp:lastModifiedBy>Chix Dela Luna</cp:lastModifiedBy>
  <dcterms:created xsi:type="dcterms:W3CDTF">2019-08-28T17:18:17Z</dcterms:created>
  <dcterms:modified xsi:type="dcterms:W3CDTF">2021-02-04T05:39:38Z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530400</vt:r8>
  </property>
  <property fmtid="{D5CDD505-2E9C-101B-9397-08002B2CF9AE}" pid="4" name="URL">
    <vt:lpwstr/>
  </property>
</Properties>
</file>