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2" Type="http://schemas.openxmlformats.org/package/2006/relationships/metadata/thumbnail" Target="docProps/thumbnail.wmf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Relationship Id="rId6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cwb.local\shared\UsersMyDocs\lunac\Documents\DIGITAL\Test Summary Reporting\"/>
    </mc:Choice>
  </mc:AlternateContent>
  <bookViews>
    <workbookView xWindow="0" yWindow="0" windowWidth="28800" windowHeight="12300"/>
  </bookViews>
  <sheets>
    <sheet name="Digital Banking - Test Summary" sheetId="1" r:id="rId1"/>
    <sheet name="Created vs. Resolved Defects" sheetId="4" r:id="rId2"/>
    <sheet name="CWB - Defect Summary Report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7" i="4" l="1"/>
  <c r="B21" i="1" l="1"/>
  <c r="B24" i="1" l="1"/>
  <c r="B23" i="1" l="1"/>
  <c r="B22" i="1"/>
</calcChain>
</file>

<file path=xl/sharedStrings.xml><?xml version="1.0" encoding="utf-8"?>
<sst xmlns="http://schemas.openxmlformats.org/spreadsheetml/2006/main" count="212" uniqueCount="118">
  <si>
    <t>Test Execution</t>
  </si>
  <si>
    <t>% Failed</t>
  </si>
  <si>
    <t># of defects active</t>
  </si>
  <si>
    <t># of defects deferred</t>
  </si>
  <si>
    <t>Summary</t>
  </si>
  <si>
    <t>Status</t>
  </si>
  <si>
    <t>Total Tests created</t>
  </si>
  <si>
    <t>Passed Tests</t>
  </si>
  <si>
    <t>Failed Tests</t>
  </si>
  <si>
    <t>Blocked Tests</t>
  </si>
  <si>
    <t>Remaining % Tests</t>
  </si>
  <si>
    <t xml:space="preserve">CWB QA Test Status Report </t>
  </si>
  <si>
    <t xml:space="preserve">As of </t>
  </si>
  <si>
    <t>-</t>
  </si>
  <si>
    <t>INFINITY-1467</t>
  </si>
  <si>
    <t>INFINITY-1469</t>
  </si>
  <si>
    <t>INFINITY-1545</t>
  </si>
  <si>
    <t>INFINITY-1547</t>
  </si>
  <si>
    <t>INFINITY-1548</t>
  </si>
  <si>
    <t>INFINITY-1549</t>
  </si>
  <si>
    <t>INFINITY-1550</t>
  </si>
  <si>
    <t>INFINITY-1551</t>
  </si>
  <si>
    <t>INFINITY-1552</t>
  </si>
  <si>
    <t>INFINITY-1590</t>
  </si>
  <si>
    <t>MOB - Device deregistration screen - Text below button doesn't match AC.</t>
  </si>
  <si>
    <t>MOB - Device deregistration - Logged out screen text doesn't match AC or mock up.</t>
  </si>
  <si>
    <t>MOB - Account Dashboard Retail - No advertising banner displays.</t>
  </si>
  <si>
    <t>MOB - Account Dashboard Retail - CDIC logo is NOT a link.</t>
  </si>
  <si>
    <t>OLB - MOB - Account Dashboard Retail - Incorrect capitalisation in header</t>
  </si>
  <si>
    <t>MOB - Account Details - Account summary section heading on screen doesn't match AC.</t>
  </si>
  <si>
    <t>MOB - Account Details - Interest detail section heading on screen doesn't match AC.</t>
  </si>
  <si>
    <t>OLB - MOB - Device Registration - Verify Unregistered Device - ACs are wrong on user story INFINITY-564</t>
  </si>
  <si>
    <t>OLB - MOB - Device Registration - selecting Touch ID when it isn't already enabled on the phone causes app to freeze</t>
  </si>
  <si>
    <t>MOB - Account Details - AC heading for balance on Chequing Accounts doesn't match screen.</t>
  </si>
  <si>
    <t>High</t>
  </si>
  <si>
    <t>% Passed</t>
  </si>
  <si>
    <t>% Blocked</t>
  </si>
  <si>
    <t>Project Name:  Digital Program - Digital Banking stream - SIT Phase - Sprint 10</t>
  </si>
  <si>
    <t>Issue key</t>
  </si>
  <si>
    <t>Priority</t>
  </si>
  <si>
    <t>Reporter</t>
  </si>
  <si>
    <t>Notes</t>
  </si>
  <si>
    <t>INFINITY-1722</t>
  </si>
  <si>
    <t>MOB - Quick Balance - ACs do not match Mock Ups or do not have enough details in them.</t>
  </si>
  <si>
    <t>Medium</t>
  </si>
  <si>
    <t>To Do</t>
  </si>
  <si>
    <t>INFINITY-1717</t>
  </si>
  <si>
    <t>MOB Account Details - inconsistencies in ACs</t>
  </si>
  <si>
    <t>INFINITY-1716</t>
  </si>
  <si>
    <t>MOB - Device Registration - ACs do not match Mock Ups or do not have enough details in them.</t>
  </si>
  <si>
    <t>INFINITY-1715</t>
  </si>
  <si>
    <t>OLB Account Details - inconsistencies in ACs</t>
  </si>
  <si>
    <t>INFINITY-1663</t>
  </si>
  <si>
    <t>OLB - SPOTLIGHT - Initial login page display issue</t>
  </si>
  <si>
    <t>Additional notes:</t>
  </si>
  <si>
    <t>1. Report is just for defects the CWB QA Team has logged</t>
  </si>
  <si>
    <t>Stories that can be tested by CWB QA Team</t>
  </si>
  <si>
    <t>Stories with defects</t>
  </si>
  <si>
    <r>
      <t xml:space="preserve">Stories </t>
    </r>
    <r>
      <rPr>
        <b/>
        <sz val="14"/>
        <color theme="1"/>
        <rFont val="Calibri"/>
        <family val="2"/>
        <scheme val="minor"/>
      </rPr>
      <t>planned</t>
    </r>
    <r>
      <rPr>
        <sz val="14"/>
        <color theme="1"/>
        <rFont val="Calibri"/>
        <family val="2"/>
        <scheme val="minor"/>
      </rPr>
      <t xml:space="preserve"> for Sprint 10</t>
    </r>
  </si>
  <si>
    <r>
      <t xml:space="preserve">Stories </t>
    </r>
    <r>
      <rPr>
        <b/>
        <sz val="14"/>
        <color theme="1"/>
        <rFont val="Calibri"/>
        <family val="2"/>
        <scheme val="minor"/>
      </rPr>
      <t>delivered</t>
    </r>
    <r>
      <rPr>
        <sz val="14"/>
        <color theme="1"/>
        <rFont val="Calibri"/>
        <family val="2"/>
        <scheme val="minor"/>
      </rPr>
      <t xml:space="preserve"> in Sprint 10 build</t>
    </r>
  </si>
  <si>
    <r>
      <t xml:space="preserve">Stories </t>
    </r>
    <r>
      <rPr>
        <b/>
        <u/>
        <sz val="14"/>
        <color rgb="FFFF0000"/>
        <rFont val="Calibri"/>
        <family val="2"/>
        <scheme val="minor"/>
      </rPr>
      <t>moved</t>
    </r>
    <r>
      <rPr>
        <b/>
        <sz val="14"/>
        <color rgb="FFFF0000"/>
        <rFont val="Calibri"/>
        <family val="2"/>
        <scheme val="minor"/>
      </rPr>
      <t xml:space="preserve"> from Sprint 10 to Sprint 11</t>
    </r>
  </si>
  <si>
    <t>Test Case Development</t>
  </si>
  <si>
    <t>CWB 
Assignee</t>
  </si>
  <si>
    <t>Temenos 
Assignee</t>
  </si>
  <si>
    <t>INFINITY-1776</t>
  </si>
  <si>
    <t>OLB - Account Dashboard Retail - AC/MU mismatch.</t>
  </si>
  <si>
    <t>INFINITY-1736</t>
  </si>
  <si>
    <t>MOB - Secure Msg and Notfcn_Mobile_017 (2.1.17) - incorrect ACs - INFINITY-85</t>
  </si>
  <si>
    <t xml:space="preserve">Assigned to Temenos. </t>
  </si>
  <si>
    <t>Date 
Created</t>
  </si>
  <si>
    <t>INFINITY-1781</t>
  </si>
  <si>
    <t>MOB - Feedback_001 - ACs don't match mockups - INFINITY-227 (Confluence 3.2.1)</t>
  </si>
  <si>
    <t>INFINITY-1780</t>
  </si>
  <si>
    <t>MOB - Stop Cheque - AC/MU mismatch.</t>
  </si>
  <si>
    <t>INFINITY-1779</t>
  </si>
  <si>
    <t>Business Banking: User Management - SOW 309, SOW 31 - incorrect and incomplete ACs - INFINITY-1059</t>
  </si>
  <si>
    <t>INFINITY-1803</t>
  </si>
  <si>
    <t>UX - "sign in" should be "log in"</t>
  </si>
  <si>
    <t>INFINITY-1802</t>
  </si>
  <si>
    <t xml:space="preserve">UX - Missing grey background </t>
  </si>
  <si>
    <t>INFINITY-1794</t>
  </si>
  <si>
    <t>UX - "Remember me" switch - Password page - "on" looks different from mock up</t>
  </si>
  <si>
    <t>INFINITY-1793</t>
  </si>
  <si>
    <t>UX - Font used is not CWB's font</t>
  </si>
  <si>
    <t>UX issues, logged for the UX Team, observed from Jan 19 Demo for Sprint 10</t>
  </si>
  <si>
    <t xml:space="preserve">Assigned back to Temenos, confirmed by CWB Business Team - needs to be fixed. </t>
  </si>
  <si>
    <t xml:space="preserve">Assigned back to Temenos, confirmed by CWB Business Team - AC needs to be corrected to match the mock up. </t>
  </si>
  <si>
    <t>Mobile defects</t>
  </si>
  <si>
    <t>OLB defects</t>
  </si>
  <si>
    <t>- includes defects logged by CWB QA Team</t>
  </si>
  <si>
    <t>Anil</t>
  </si>
  <si>
    <t>Santiago</t>
  </si>
  <si>
    <t>Chix</t>
  </si>
  <si>
    <t>Adrian</t>
  </si>
  <si>
    <t>Susan</t>
  </si>
  <si>
    <t>Status of Defects logged CWB QA Team</t>
  </si>
  <si>
    <r>
      <rPr>
        <b/>
        <sz val="11"/>
        <color theme="1"/>
        <rFont val="Calibri"/>
        <family val="2"/>
        <scheme val="minor"/>
      </rPr>
      <t>created/opened</t>
    </r>
    <r>
      <rPr>
        <sz val="11"/>
        <color theme="1"/>
        <rFont val="Calibri"/>
        <family val="2"/>
        <scheme val="minor"/>
      </rPr>
      <t xml:space="preserve"> defects</t>
    </r>
  </si>
  <si>
    <r>
      <rPr>
        <b/>
        <sz val="11"/>
        <color theme="1"/>
        <rFont val="Calibri"/>
        <family val="2"/>
        <scheme val="minor"/>
      </rPr>
      <t>closed</t>
    </r>
    <r>
      <rPr>
        <sz val="11"/>
        <color theme="1"/>
        <rFont val="Calibri"/>
        <family val="2"/>
        <scheme val="minor"/>
      </rPr>
      <t xml:space="preserve"> defects</t>
    </r>
  </si>
  <si>
    <r>
      <rPr>
        <b/>
        <sz val="11"/>
        <color theme="1"/>
        <rFont val="Calibri"/>
        <family val="2"/>
        <scheme val="minor"/>
      </rPr>
      <t>outstanding</t>
    </r>
    <r>
      <rPr>
        <sz val="11"/>
        <color theme="1"/>
        <rFont val="Calibri"/>
        <family val="2"/>
        <scheme val="minor"/>
      </rPr>
      <t xml:space="preserve"> defects</t>
    </r>
  </si>
  <si>
    <t>created/opened defects</t>
  </si>
  <si>
    <t>closed defects</t>
  </si>
  <si>
    <t>outstanding defects</t>
  </si>
  <si>
    <t>UX issues, for Temenos address</t>
  </si>
  <si>
    <t>AC/Mock-up mismatch issues,
CWB Team to review and address</t>
  </si>
  <si>
    <t>3. CWB's Defect Triage is scheduled twice a week (Wednesdays and Fridays - 3pm-4pm).
- Damanpreet Singh and Dino are both attendees to the triage session</t>
  </si>
  <si>
    <t>2. Defects logged so far just uses the default Priority of "Medium"
 - final priorization will be done/reviewed with business team.</t>
  </si>
  <si>
    <t>For Temenos to address (functional, non-UX items)</t>
  </si>
  <si>
    <t xml:space="preserve">+15 </t>
  </si>
  <si>
    <t>from last report</t>
  </si>
  <si>
    <t>+1</t>
  </si>
  <si>
    <r>
      <t xml:space="preserve">Notes:
</t>
    </r>
    <r>
      <rPr>
        <sz val="12"/>
        <color theme="1"/>
        <rFont val="Calibri"/>
        <family val="2"/>
        <scheme val="minor"/>
      </rPr>
      <t>1. CWB QA Team is only able to complete test case development for 4 stories
2. Test case development for the rest will continue and will be tracked along with the test case development for stories from Sprints 1-7.
3. Refer to "CWB - Defect Summary Report" tab for information on defects.
- 1 defect added from last report</t>
    </r>
  </si>
  <si>
    <t>OLB - Feedback_001 and 002 - ACs don't match mockups - INFINITY-230/231 (Confluence 3.2.4 and 3.2.5)</t>
  </si>
  <si>
    <t>INFINITY-1844</t>
  </si>
  <si>
    <t>CWB QA Team - Defect Summary Report - as of Jan 28, 2021 (Total - 25)</t>
  </si>
  <si>
    <t>Issue with AC and mock-up not being the same.
Chix needs to review with business team, which one should we follow? 
- reviewed daily during "BA and UX Review session"
- each issue is reviewed and the team decides on how to address discrepancy (either AC is corrected/update or mock-up is updated).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</si>
  <si>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color theme="1"/>
        <rFont val="Calibri"/>
        <family val="2"/>
        <scheme val="minor"/>
      </rPr>
      <t xml:space="preserve">1.  QA Team continuing to work on:
- test cases for Sprints 1-7 (113 stories)
- E2E test structure and test scenarios
- statistics for test case development will be included in report next week
2. Report for future sprints will also include defects delivered in a sprint to help track defects logged by both Temenos and CWB teams.
</t>
    </r>
    <r>
      <rPr>
        <b/>
        <u/>
        <sz val="16"/>
        <color theme="1"/>
        <rFont val="Calibri"/>
        <family val="2"/>
        <scheme val="minor"/>
      </rPr>
      <t xml:space="preserve">Issues:
</t>
    </r>
    <r>
      <rPr>
        <b/>
        <sz val="11"/>
        <color rgb="FFFF0000"/>
        <rFont val="Calibri"/>
        <family val="2"/>
        <scheme val="minor"/>
      </rPr>
      <t xml:space="preserve">1. </t>
    </r>
    <r>
      <rPr>
        <b/>
        <u/>
        <sz val="11"/>
        <color rgb="FFFF0000"/>
        <rFont val="Calibri"/>
        <family val="2"/>
        <scheme val="minor"/>
      </rPr>
      <t>Lack of traceability</t>
    </r>
    <r>
      <rPr>
        <b/>
        <sz val="11"/>
        <color rgb="FFFF0000"/>
        <rFont val="Calibri"/>
        <family val="2"/>
        <scheme val="minor"/>
      </rPr>
      <t xml:space="preserve"> between JIRA and Confluence (between stories/SOWs/epics and sprint deliverables)</t>
    </r>
    <r>
      <rPr>
        <b/>
        <u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 xml:space="preserve">    a. Impact on </t>
    </r>
    <r>
      <rPr>
        <b/>
        <u/>
        <sz val="11"/>
        <color rgb="FFFF0000"/>
        <rFont val="Calibri"/>
        <family val="2"/>
        <scheme val="minor"/>
      </rPr>
      <t xml:space="preserve">test planning for future sprints </t>
    </r>
    <r>
      <rPr>
        <sz val="11"/>
        <color theme="1"/>
        <rFont val="Calibri"/>
        <family val="2"/>
        <scheme val="minor"/>
      </rPr>
      <t xml:space="preserve">
        </t>
    </r>
    <r>
      <rPr>
        <b/>
        <sz val="11"/>
        <color rgb="FFFF0000"/>
        <rFont val="Calibri"/>
        <family val="2"/>
        <scheme val="minor"/>
      </rPr>
      <t xml:space="preserve"> - CWB QA Team is unable to plan and prepare test cases for future sprints</t>
    </r>
    <r>
      <rPr>
        <sz val="11"/>
        <color theme="1"/>
        <rFont val="Calibri"/>
        <family val="2"/>
        <scheme val="minor"/>
      </rPr>
      <t xml:space="preserve"> because there is no consistent way for us
            to identify or trace back which stories are planned for which sprint. 
    </t>
    </r>
    <r>
      <rPr>
        <b/>
        <sz val="11"/>
        <color rgb="FFFF0000"/>
        <rFont val="Calibri"/>
        <family val="2"/>
        <scheme val="minor"/>
      </rPr>
      <t xml:space="preserve">b. Impact on </t>
    </r>
    <r>
      <rPr>
        <b/>
        <u/>
        <sz val="11"/>
        <color rgb="FFFF0000"/>
        <rFont val="Calibri"/>
        <family val="2"/>
        <scheme val="minor"/>
      </rPr>
      <t>test execution</t>
    </r>
    <r>
      <rPr>
        <b/>
        <sz val="11"/>
        <color rgb="FFFF0000"/>
        <rFont val="Calibri"/>
        <family val="2"/>
        <scheme val="minor"/>
      </rPr>
      <t xml:space="preserve"> for sprint delivered for CWB QA Team's testing</t>
    </r>
    <r>
      <rPr>
        <sz val="11"/>
        <color theme="1"/>
        <rFont val="Calibri"/>
        <family val="2"/>
        <scheme val="minor"/>
      </rPr>
      <t xml:space="preserve">
         - CWB QA Team only knows which stories are included in a sprint after the sprint demo and when we receive a copy
            of their Sprint Release notes. We have to use time to write test cases first then execute instead of using the whole
            time for test execution. 
    </t>
    </r>
    <r>
      <rPr>
        <b/>
        <sz val="11"/>
        <color rgb="FFFF0000"/>
        <rFont val="Calibri"/>
        <family val="2"/>
        <scheme val="minor"/>
      </rPr>
      <t xml:space="preserve">b. Impact on </t>
    </r>
    <r>
      <rPr>
        <b/>
        <u/>
        <sz val="11"/>
        <color rgb="FFFF0000"/>
        <rFont val="Calibri"/>
        <family val="2"/>
        <scheme val="minor"/>
      </rPr>
      <t>test case development</t>
    </r>
    <r>
      <rPr>
        <b/>
        <sz val="11"/>
        <color rgb="FFFF0000"/>
        <rFont val="Calibri"/>
        <family val="2"/>
        <scheme val="minor"/>
      </rPr>
      <t xml:space="preserve"> for stories </t>
    </r>
    <r>
      <rPr>
        <sz val="11"/>
        <color theme="1"/>
        <rFont val="Calibri"/>
        <family val="2"/>
        <scheme val="minor"/>
      </rPr>
      <t xml:space="preserve">
         - Because of the issue above (1.a), it is not easy to confirm which story we can write test cases for. 
</t>
    </r>
    <r>
      <rPr>
        <b/>
        <sz val="11"/>
        <color rgb="FFFF0000"/>
        <rFont val="Calibri"/>
        <family val="2"/>
        <scheme val="minor"/>
      </rPr>
      <t>2. Discrepancies between acceptance criteria (AC) and mock-up (AC and mock-up not matching)
    a.  Impacts test case development and test execution - not sure which to base our expected results on: AC or mock-up?
          Which one is the source of truth?</t>
    </r>
    <r>
      <rPr>
        <sz val="11"/>
        <color theme="1"/>
        <rFont val="Calibri"/>
        <family val="2"/>
        <scheme val="minor"/>
      </rPr>
      <t xml:space="preserve">
     b. For current defects logged (17 as of this reporting, relating to AC/mock-up mismatch issue):  QA Lead to review these
          issues/defects during BA and UX Team's "DBX Internal User Stories Review" daily session - to review and get decision
          on how to address.
          - QA Team will continue to review these issues with the BA and UX teams for stories from previous sprints (1-7) and
             future sprints
</t>
    </r>
    <r>
      <rPr>
        <b/>
        <sz val="11"/>
        <color rgb="FFFF0000"/>
        <rFont val="Calibri"/>
        <family val="2"/>
        <scheme val="minor"/>
      </rPr>
      <t>3. Blocked CWB test cases are related to:</t>
    </r>
    <r>
      <rPr>
        <sz val="11"/>
        <color theme="1"/>
        <rFont val="Calibri"/>
        <family val="2"/>
        <scheme val="minor"/>
      </rPr>
      <t xml:space="preserve">
- defects logged by the Temenos team 
- defects logged by CWB QA Team
</t>
    </r>
    <r>
      <rPr>
        <b/>
        <sz val="11"/>
        <color rgb="FFFF0000"/>
        <rFont val="Calibri"/>
        <family val="2"/>
        <scheme val="minor"/>
      </rPr>
      <t>4. Test cases that Temenos have completed provide no evidence of actual test results</t>
    </r>
    <r>
      <rPr>
        <sz val="11"/>
        <color theme="1"/>
        <rFont val="Calibri"/>
        <family val="2"/>
        <scheme val="minor"/>
      </rPr>
      <t xml:space="preserve">
a. it just has a pass/fail result, no screenshot or other form of evidence of their actual test result is provided
b. have informed Temenos, will follow up
</t>
    </r>
    <r>
      <rPr>
        <sz val="11"/>
        <color rgb="FFFF0000"/>
        <rFont val="Calibri"/>
        <family val="2"/>
        <scheme val="minor"/>
      </rPr>
      <t/>
    </r>
  </si>
  <si>
    <t>- only defects reported/logged by CWB Team (QA and UX Team)</t>
  </si>
  <si>
    <t>Status of Defects logged/managed by Temenos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</si>
</sst>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Border="1"/>
    <xf numFmtId="0" fontId="4" fillId="0" borderId="0" xfId="0" applyFont="1" applyFill="1" applyBorder="1" applyAlignment="1">
      <alignment horizontal="center"/>
    </xf>
    <xf numFmtId="0" fontId="8" fillId="0" borderId="2" xfId="0" applyFont="1" applyBorder="1"/>
    <xf numFmtId="0" fontId="8" fillId="0" borderId="1" xfId="0" applyFont="1" applyBorder="1"/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7" fillId="0" borderId="4" xfId="0" applyFont="1" applyBorder="1"/>
    <xf numFmtId="0" fontId="8" fillId="0" borderId="7" xfId="0" applyFont="1" applyBorder="1" applyAlignment="1"/>
    <xf numFmtId="0" fontId="8" fillId="0" borderId="7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0" fillId="0" borderId="0" xfId="0" applyAlignment="1">
      <alignment vertical="top"/>
    </xf>
    <xf numFmtId="0" fontId="10" fillId="0" borderId="4" xfId="0" applyFont="1" applyFill="1" applyBorder="1" applyAlignment="1">
      <alignment horizontal="right"/>
    </xf>
    <xf numFmtId="15" fontId="10" fillId="4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10" fillId="0" borderId="0" xfId="0" applyFont="1"/>
    <xf numFmtId="0" fontId="0" fillId="0" borderId="0" xfId="0" applyAlignment="1">
      <alignment horizontal="left" vertical="top" wrapText="1"/>
    </xf>
    <xf numFmtId="0" fontId="4" fillId="0" borderId="0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0" fontId="14" fillId="0" borderId="0" xfId="0" quotePrefix="1" applyFont="1" applyFill="1" applyBorder="1" applyAlignment="1">
      <alignment horizontal="left" vertical="top"/>
    </xf>
    <xf numFmtId="0" fontId="0" fillId="0" borderId="0" xfId="0" applyAlignment="1"/>
    <xf numFmtId="0" fontId="0" fillId="0" borderId="0" xfId="0" applyFill="1" applyBorder="1" applyAlignment="1">
      <alignment vertical="top" wrapText="1"/>
    </xf>
    <xf numFmtId="0" fontId="4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8" fillId="8" borderId="7" xfId="0" applyFont="1" applyFill="1" applyBorder="1" applyAlignment="1">
      <alignment horizontal="left" vertical="top"/>
    </xf>
    <xf numFmtId="0" fontId="5" fillId="8" borderId="7" xfId="0" applyFont="1" applyFill="1" applyBorder="1" applyAlignment="1">
      <alignment horizontal="left" vertical="top"/>
    </xf>
    <xf numFmtId="0" fontId="5" fillId="8" borderId="0" xfId="0" applyFont="1" applyFill="1" applyBorder="1" applyAlignment="1">
      <alignment horizontal="left" vertical="top"/>
    </xf>
    <xf numFmtId="0" fontId="5" fillId="8" borderId="3" xfId="0" applyFont="1" applyFill="1" applyBorder="1" applyAlignment="1">
      <alignment horizontal="left" vertical="top"/>
    </xf>
    <xf numFmtId="0" fontId="8" fillId="6" borderId="1" xfId="0" applyFont="1" applyFill="1" applyBorder="1" applyAlignment="1">
      <alignment horizontal="left" vertical="top"/>
    </xf>
    <xf numFmtId="0" fontId="15" fillId="6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 indent="1"/>
    </xf>
    <xf numFmtId="0" fontId="7" fillId="6" borderId="1" xfId="0" applyFont="1" applyFill="1" applyBorder="1" applyAlignment="1">
      <alignment horizontal="left" vertical="top"/>
    </xf>
    <xf numFmtId="0" fontId="17" fillId="6" borderId="1" xfId="0" applyFont="1" applyFill="1" applyBorder="1" applyAlignment="1">
      <alignment horizontal="left" vertical="top" indent="1"/>
    </xf>
    <xf numFmtId="0" fontId="17" fillId="6" borderId="1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20" fillId="0" borderId="0" xfId="0" quotePrefix="1" applyFont="1"/>
    <xf numFmtId="0" fontId="3" fillId="0" borderId="1" xfId="0" applyFont="1" applyBorder="1"/>
    <xf numFmtId="0" fontId="22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 wrapText="1"/>
    </xf>
    <xf numFmtId="0" fontId="22" fillId="6" borderId="1" xfId="0" applyFont="1" applyFill="1" applyBorder="1" applyAlignment="1">
      <alignment horizontal="left" vertical="top" wrapText="1"/>
    </xf>
    <xf numFmtId="16" fontId="3" fillId="6" borderId="1" xfId="0" applyNumberFormat="1" applyFont="1" applyFill="1" applyBorder="1" applyAlignment="1">
      <alignment horizontal="right" wrapText="1"/>
    </xf>
    <xf numFmtId="0" fontId="3" fillId="10" borderId="1" xfId="0" applyFont="1" applyFill="1" applyBorder="1"/>
    <xf numFmtId="0" fontId="3" fillId="10" borderId="1" xfId="0" applyFont="1" applyFill="1" applyBorder="1" applyAlignment="1">
      <alignment wrapText="1"/>
    </xf>
    <xf numFmtId="0" fontId="22" fillId="10" borderId="1" xfId="0" applyFont="1" applyFill="1" applyBorder="1" applyAlignment="1">
      <alignment horizontal="center" vertical="center" wrapText="1"/>
    </xf>
    <xf numFmtId="16" fontId="3" fillId="10" borderId="1" xfId="0" applyNumberFormat="1" applyFont="1" applyFill="1" applyBorder="1"/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16" fontId="3" fillId="0" borderId="1" xfId="0" applyNumberFormat="1" applyFont="1" applyFill="1" applyBorder="1" applyAlignment="1">
      <alignment horizontal="left" vertical="top"/>
    </xf>
    <xf numFmtId="0" fontId="3" fillId="0" borderId="19" xfId="0" applyFont="1" applyFill="1" applyBorder="1" applyAlignment="1">
      <alignment horizontal="left" vertical="top" wrapText="1"/>
    </xf>
    <xf numFmtId="0" fontId="3" fillId="9" borderId="1" xfId="0" applyFont="1" applyFill="1" applyBorder="1"/>
    <xf numFmtId="0" fontId="3" fillId="9" borderId="1" xfId="0" applyFont="1" applyFill="1" applyBorder="1" applyAlignment="1">
      <alignment wrapText="1"/>
    </xf>
    <xf numFmtId="16" fontId="3" fillId="9" borderId="1" xfId="0" applyNumberFormat="1" applyFont="1" applyFill="1" applyBorder="1"/>
    <xf numFmtId="0" fontId="4" fillId="0" borderId="0" xfId="0" applyFont="1" applyAlignment="1">
      <alignment horizontal="center" vertical="center"/>
    </xf>
    <xf numFmtId="0" fontId="3" fillId="0" borderId="0" xfId="0" applyFont="1"/>
    <xf numFmtId="0" fontId="0" fillId="7" borderId="0" xfId="0" applyFill="1"/>
    <xf numFmtId="0" fontId="21" fillId="7" borderId="0" xfId="0" applyFont="1" applyFill="1"/>
    <xf numFmtId="0" fontId="0" fillId="0" borderId="0" xfId="0" applyFill="1"/>
    <xf numFmtId="0" fontId="23" fillId="0" borderId="0" xfId="0" applyFont="1"/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23" fillId="0" borderId="0" xfId="0" applyFont="1" applyAlignment="1">
      <alignment wrapText="1"/>
    </xf>
    <xf numFmtId="0" fontId="23" fillId="0" borderId="0" xfId="0" applyFont="1" applyAlignment="1">
      <alignment vertical="center"/>
    </xf>
    <xf numFmtId="0" fontId="21" fillId="0" borderId="0" xfId="0" quotePrefix="1" applyFont="1" applyAlignment="1">
      <alignment horizontal="center" vertical="center"/>
    </xf>
    <xf numFmtId="0" fontId="21" fillId="0" borderId="0" xfId="0" applyFont="1"/>
    <xf numFmtId="0" fontId="2" fillId="10" borderId="1" xfId="0" applyFont="1" applyFill="1" applyBorder="1"/>
    <xf numFmtId="0" fontId="2" fillId="10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/>
    </xf>
    <xf numFmtId="16" fontId="3" fillId="10" borderId="1" xfId="0" applyNumberFormat="1" applyFont="1" applyFill="1" applyBorder="1" applyAlignment="1">
      <alignment horizontal="right" wrapText="1"/>
    </xf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9" fillId="6" borderId="8" xfId="0" applyFont="1" applyFill="1" applyBorder="1" applyAlignment="1">
      <alignment horizontal="left" vertical="top" wrapText="1"/>
    </xf>
    <xf numFmtId="0" fontId="9" fillId="6" borderId="9" xfId="0" applyFont="1" applyFill="1" applyBorder="1" applyAlignment="1">
      <alignment horizontal="left" vertical="top" wrapText="1"/>
    </xf>
    <xf numFmtId="0" fontId="9" fillId="6" borderId="10" xfId="0" applyFont="1" applyFill="1" applyBorder="1" applyAlignment="1">
      <alignment horizontal="left" vertical="top" wrapText="1"/>
    </xf>
    <xf numFmtId="0" fontId="9" fillId="6" borderId="11" xfId="0" applyFont="1" applyFill="1" applyBorder="1" applyAlignment="1">
      <alignment horizontal="left" vertical="top" wrapText="1"/>
    </xf>
    <xf numFmtId="0" fontId="9" fillId="6" borderId="0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left" vertical="top" wrapText="1"/>
    </xf>
    <xf numFmtId="0" fontId="9" fillId="6" borderId="13" xfId="0" applyFont="1" applyFill="1" applyBorder="1" applyAlignment="1">
      <alignment horizontal="left" vertical="top" wrapText="1"/>
    </xf>
    <xf numFmtId="0" fontId="9" fillId="6" borderId="14" xfId="0" applyFont="1" applyFill="1" applyBorder="1" applyAlignment="1">
      <alignment horizontal="left" vertical="top" wrapText="1"/>
    </xf>
    <xf numFmtId="0" fontId="9" fillId="6" borderId="15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4" fillId="6" borderId="16" xfId="0" applyFont="1" applyFill="1" applyBorder="1" applyAlignment="1">
      <alignment horizontal="left" vertical="top" wrapText="1"/>
    </xf>
    <xf numFmtId="0" fontId="4" fillId="6" borderId="17" xfId="0" applyFont="1" applyFill="1" applyBorder="1" applyAlignment="1">
      <alignment horizontal="left" vertical="top"/>
    </xf>
    <xf numFmtId="0" fontId="4" fillId="6" borderId="18" xfId="0" applyFont="1" applyFill="1" applyBorder="1" applyAlignment="1">
      <alignment horizontal="left" vertical="top"/>
    </xf>
    <xf numFmtId="0" fontId="4" fillId="6" borderId="4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4" fillId="6" borderId="3" xfId="0" applyFont="1" applyFill="1" applyBorder="1" applyAlignment="1">
      <alignment horizontal="left" vertical="top"/>
    </xf>
    <xf numFmtId="0" fontId="3" fillId="6" borderId="2" xfId="0" applyFont="1" applyFill="1" applyBorder="1" applyAlignment="1">
      <alignment horizontal="left" vertical="top" wrapText="1"/>
    </xf>
    <xf numFmtId="0" fontId="3" fillId="6" borderId="7" xfId="0" applyFont="1" applyFill="1" applyBorder="1" applyAlignment="1">
      <alignment horizontal="left" vertical="top" wrapText="1"/>
    </xf>
    <xf numFmtId="0" fontId="3" fillId="6" borderId="19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  <xf numFmtId="0" fontId="3" fillId="10" borderId="7" xfId="0" applyFont="1" applyFill="1" applyBorder="1" applyAlignment="1">
      <alignment horizontal="left" vertical="top" wrapText="1"/>
    </xf>
    <xf numFmtId="0" fontId="3" fillId="10" borderId="1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rgbClr val="00B0F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A8A-1647-A08B-544428A8343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80DE-46C7-8363-B16EEB11565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0DE-46C7-8363-B16EEB11565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40-4689-AB29-556E8D4D1F8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61-460F-BD24-F9ECD67C0FC8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80DE-46C7-8363-B16EEB1156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'Digital Banking - Test Summary'!$A$17:$A$26</c15:sqref>
                  </c15:fullRef>
                </c:ext>
              </c:extLst>
              <c:f>'Digital Banking - Test Summary'!$A$21:$A$26</c:f>
              <c:strCache>
                <c:ptCount val="6"/>
                <c:pt idx="0">
                  <c:v>Remaining % Tests</c:v>
                </c:pt>
                <c:pt idx="1">
                  <c:v>% Passed</c:v>
                </c:pt>
                <c:pt idx="2">
                  <c:v>% Failed</c:v>
                </c:pt>
                <c:pt idx="3">
                  <c:v>% Blocked</c:v>
                </c:pt>
                <c:pt idx="4">
                  <c:v># of defects active</c:v>
                </c:pt>
                <c:pt idx="5">
                  <c:v># of defects deferred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'Digital Banking - Test Summary'!$B$17:$B$25</c15:sqref>
                  </c15:fullRef>
                </c:ext>
              </c:extLst>
              <c:f>'Digital Banking - Test Summary'!$B$21:$B$25</c:f>
              <c:numCache>
                <c:formatCode>General</c:formatCode>
                <c:ptCount val="5"/>
                <c:pt idx="0" formatCode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50</c:v>
                </c:pt>
                <c:pt idx="4">
                  <c:v>25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'Digital Banking - Test Summary'!$B$17</c15:sqref>
                  <c15:bubble3D val="0"/>
                </c15:categoryFilterException>
                <c15:categoryFilterException>
                  <c15:sqref>'Digital Banking - Test Summary'!$B$18</c15:sqref>
                  <c15:bubble3D val="0"/>
                </c15:categoryFilterException>
                <c15:categoryFilterException>
                  <c15:sqref>'Digital Banking - Test Summary'!$B$19</c15:sqref>
                  <c15:bubble3D val="0"/>
                </c15:categoryFilterException>
                <c15:categoryFilterException>
                  <c15:sqref>'Digital Banking - Test Summary'!$B$20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C8C3-7F44-B787-60CF58869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16</xdr:row>
      <xdr:rowOff>111125</xdr:rowOff>
    </xdr:from>
    <xdr:to>
      <xdr:col>8</xdr:col>
      <xdr:colOff>133350</xdr:colOff>
      <xdr:row>25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07FB28-670C-CC48-975B-611A805BB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3</xdr:row>
      <xdr:rowOff>180975</xdr:rowOff>
    </xdr:from>
    <xdr:to>
      <xdr:col>11</xdr:col>
      <xdr:colOff>28575</xdr:colOff>
      <xdr:row>5</xdr:row>
      <xdr:rowOff>19050</xdr:rowOff>
    </xdr:to>
    <xdr:sp macro="" textlink="">
      <xdr:nvSpPr>
        <xdr:cNvPr id="2" name="Minus 1"/>
        <xdr:cNvSpPr/>
      </xdr:nvSpPr>
      <xdr:spPr>
        <a:xfrm>
          <a:off x="6486525" y="838200"/>
          <a:ext cx="2952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314325</xdr:colOff>
      <xdr:row>4</xdr:row>
      <xdr:rowOff>190500</xdr:rowOff>
    </xdr:from>
    <xdr:to>
      <xdr:col>11</xdr:col>
      <xdr:colOff>28575</xdr:colOff>
      <xdr:row>6</xdr:row>
      <xdr:rowOff>28575</xdr:rowOff>
    </xdr:to>
    <xdr:sp macro="" textlink="">
      <xdr:nvSpPr>
        <xdr:cNvPr id="5" name="Minus 4"/>
        <xdr:cNvSpPr/>
      </xdr:nvSpPr>
      <xdr:spPr>
        <a:xfrm>
          <a:off x="6486525" y="1047750"/>
          <a:ext cx="2952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314325</xdr:colOff>
      <xdr:row>6</xdr:row>
      <xdr:rowOff>0</xdr:rowOff>
    </xdr:from>
    <xdr:to>
      <xdr:col>11</xdr:col>
      <xdr:colOff>28575</xdr:colOff>
      <xdr:row>7</xdr:row>
      <xdr:rowOff>38100</xdr:rowOff>
    </xdr:to>
    <xdr:sp macro="" textlink="">
      <xdr:nvSpPr>
        <xdr:cNvPr id="6" name="Minus 5"/>
        <xdr:cNvSpPr/>
      </xdr:nvSpPr>
      <xdr:spPr>
        <a:xfrm>
          <a:off x="6486525" y="1257300"/>
          <a:ext cx="295275" cy="238125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23</xdr:col>
      <xdr:colOff>161925</xdr:colOff>
      <xdr:row>3</xdr:row>
      <xdr:rowOff>180975</xdr:rowOff>
    </xdr:from>
    <xdr:to>
      <xdr:col>25</xdr:col>
      <xdr:colOff>38100</xdr:colOff>
      <xdr:row>5</xdr:row>
      <xdr:rowOff>19050</xdr:rowOff>
    </xdr:to>
    <xdr:sp macro="" textlink="">
      <xdr:nvSpPr>
        <xdr:cNvPr id="7" name="Minus 6"/>
        <xdr:cNvSpPr/>
      </xdr:nvSpPr>
      <xdr:spPr>
        <a:xfrm>
          <a:off x="15592425" y="838200"/>
          <a:ext cx="2952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23</xdr:col>
      <xdr:colOff>161925</xdr:colOff>
      <xdr:row>4</xdr:row>
      <xdr:rowOff>190500</xdr:rowOff>
    </xdr:from>
    <xdr:to>
      <xdr:col>25</xdr:col>
      <xdr:colOff>38100</xdr:colOff>
      <xdr:row>6</xdr:row>
      <xdr:rowOff>28575</xdr:rowOff>
    </xdr:to>
    <xdr:sp macro="" textlink="">
      <xdr:nvSpPr>
        <xdr:cNvPr id="8" name="Minus 7"/>
        <xdr:cNvSpPr/>
      </xdr:nvSpPr>
      <xdr:spPr>
        <a:xfrm>
          <a:off x="15592425" y="1047750"/>
          <a:ext cx="2952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23</xdr:col>
      <xdr:colOff>161925</xdr:colOff>
      <xdr:row>6</xdr:row>
      <xdr:rowOff>0</xdr:rowOff>
    </xdr:from>
    <xdr:to>
      <xdr:col>25</xdr:col>
      <xdr:colOff>38100</xdr:colOff>
      <xdr:row>7</xdr:row>
      <xdr:rowOff>38100</xdr:rowOff>
    </xdr:to>
    <xdr:sp macro="" textlink="">
      <xdr:nvSpPr>
        <xdr:cNvPr id="9" name="Minus 8"/>
        <xdr:cNvSpPr/>
      </xdr:nvSpPr>
      <xdr:spPr>
        <a:xfrm>
          <a:off x="15592425" y="1257300"/>
          <a:ext cx="295275" cy="238125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0</xdr:col>
      <xdr:colOff>0</xdr:colOff>
      <xdr:row>2</xdr:row>
      <xdr:rowOff>190500</xdr:rowOff>
    </xdr:from>
    <xdr:to>
      <xdr:col>9</xdr:col>
      <xdr:colOff>140610</xdr:colOff>
      <xdr:row>27</xdr:row>
      <xdr:rowOff>171451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7700"/>
          <a:ext cx="6312810" cy="5324476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47624</xdr:colOff>
      <xdr:row>3</xdr:row>
      <xdr:rowOff>7683</xdr:rowOff>
    </xdr:from>
    <xdr:to>
      <xdr:col>23</xdr:col>
      <xdr:colOff>123825</xdr:colOff>
      <xdr:row>28</xdr:row>
      <xdr:rowOff>3915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24874" y="664908"/>
          <a:ext cx="6296026" cy="5339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zoomScaleNormal="100" workbookViewId="0">
      <selection sqref="A1:I2"/>
    </sheetView>
  </sheetViews>
  <sheetFormatPr defaultColWidth="11" defaultRowHeight="15.75" x14ac:dyDescent="0.25"/>
  <cols>
    <col min="1" max="1" width="45.125" customWidth="1"/>
    <col min="2" max="2" width="10.75" customWidth="1"/>
    <col min="8" max="8" width="10.875" customWidth="1"/>
    <col min="10" max="10" width="1.125" customWidth="1"/>
    <col min="17" max="17" width="31.375" customWidth="1"/>
  </cols>
  <sheetData>
    <row r="1" spans="1:17" ht="15.75" customHeight="1" thickBot="1" x14ac:dyDescent="0.3">
      <c r="A1" s="89" t="s">
        <v>11</v>
      </c>
      <c r="B1" s="89"/>
      <c r="C1" s="89"/>
      <c r="D1" s="89"/>
      <c r="E1" s="89"/>
      <c r="F1" s="89"/>
      <c r="G1" s="89"/>
      <c r="H1" s="89"/>
      <c r="I1" s="89"/>
    </row>
    <row r="2" spans="1:17" ht="6" customHeight="1" x14ac:dyDescent="0.25">
      <c r="A2" s="89"/>
      <c r="B2" s="89"/>
      <c r="C2" s="89"/>
      <c r="D2" s="89"/>
      <c r="E2" s="89"/>
      <c r="F2" s="89"/>
      <c r="G2" s="89"/>
      <c r="H2" s="89"/>
      <c r="I2" s="89"/>
      <c r="K2" s="96" t="s">
        <v>115</v>
      </c>
      <c r="L2" s="97"/>
      <c r="M2" s="97"/>
      <c r="N2" s="97"/>
      <c r="O2" s="97"/>
      <c r="P2" s="97"/>
      <c r="Q2" s="98"/>
    </row>
    <row r="3" spans="1:17" ht="21" customHeight="1" x14ac:dyDescent="0.3">
      <c r="A3" s="14" t="s">
        <v>12</v>
      </c>
      <c r="B3" s="15">
        <v>44224</v>
      </c>
      <c r="C3" s="2"/>
      <c r="D3" s="2"/>
      <c r="E3" s="2"/>
      <c r="F3" s="2"/>
      <c r="G3" s="2"/>
      <c r="H3" s="2"/>
      <c r="I3" s="7"/>
      <c r="K3" s="99"/>
      <c r="L3" s="100"/>
      <c r="M3" s="100"/>
      <c r="N3" s="100"/>
      <c r="O3" s="100"/>
      <c r="P3" s="100"/>
      <c r="Q3" s="101"/>
    </row>
    <row r="4" spans="1:17" ht="15.75" customHeight="1" x14ac:dyDescent="0.25">
      <c r="A4" s="8"/>
      <c r="B4" s="1"/>
      <c r="C4" s="1"/>
      <c r="D4" s="1"/>
      <c r="E4" s="1"/>
      <c r="F4" s="1"/>
      <c r="G4" s="1"/>
      <c r="H4" s="1"/>
      <c r="I4" s="7"/>
      <c r="K4" s="99"/>
      <c r="L4" s="100"/>
      <c r="M4" s="100"/>
      <c r="N4" s="100"/>
      <c r="O4" s="100"/>
      <c r="P4" s="100"/>
      <c r="Q4" s="101"/>
    </row>
    <row r="5" spans="1:17" ht="15.75" customHeight="1" x14ac:dyDescent="0.25">
      <c r="A5" s="90" t="s">
        <v>37</v>
      </c>
      <c r="B5" s="90"/>
      <c r="C5" s="90"/>
      <c r="D5" s="90"/>
      <c r="E5" s="90"/>
      <c r="F5" s="90"/>
      <c r="G5" s="90"/>
      <c r="H5" s="90"/>
      <c r="I5" s="90"/>
      <c r="K5" s="99"/>
      <c r="L5" s="100"/>
      <c r="M5" s="100"/>
      <c r="N5" s="100"/>
      <c r="O5" s="100"/>
      <c r="P5" s="100"/>
      <c r="Q5" s="101"/>
    </row>
    <row r="6" spans="1:17" ht="5.25" customHeight="1" x14ac:dyDescent="0.25">
      <c r="A6" s="90"/>
      <c r="B6" s="90"/>
      <c r="C6" s="90"/>
      <c r="D6" s="90"/>
      <c r="E6" s="90"/>
      <c r="F6" s="90"/>
      <c r="G6" s="90"/>
      <c r="H6" s="90"/>
      <c r="I6" s="90"/>
      <c r="K6" s="99"/>
      <c r="L6" s="100"/>
      <c r="M6" s="100"/>
      <c r="N6" s="100"/>
      <c r="O6" s="100"/>
      <c r="P6" s="100"/>
      <c r="Q6" s="101"/>
    </row>
    <row r="7" spans="1:17" ht="15.75" customHeight="1" x14ac:dyDescent="0.25">
      <c r="A7" s="9"/>
      <c r="B7" s="1"/>
      <c r="C7" s="1"/>
      <c r="D7" s="1"/>
      <c r="E7" s="1"/>
      <c r="F7" s="1"/>
      <c r="G7" s="1"/>
      <c r="H7" s="1"/>
      <c r="I7" s="7"/>
      <c r="K7" s="99"/>
      <c r="L7" s="100"/>
      <c r="M7" s="100"/>
      <c r="N7" s="100"/>
      <c r="O7" s="100"/>
      <c r="P7" s="100"/>
      <c r="Q7" s="101"/>
    </row>
    <row r="8" spans="1:17" ht="4.5" customHeight="1" x14ac:dyDescent="0.25">
      <c r="A8" s="91" t="s">
        <v>61</v>
      </c>
      <c r="B8" s="91"/>
      <c r="C8" s="91"/>
      <c r="D8" s="91"/>
      <c r="E8" s="91"/>
      <c r="F8" s="91"/>
      <c r="G8" s="91"/>
      <c r="H8" s="91"/>
      <c r="I8" s="91"/>
      <c r="K8" s="99"/>
      <c r="L8" s="100"/>
      <c r="M8" s="100"/>
      <c r="N8" s="100"/>
      <c r="O8" s="100"/>
      <c r="P8" s="100"/>
      <c r="Q8" s="101"/>
    </row>
    <row r="9" spans="1:17" ht="16.5" customHeight="1" x14ac:dyDescent="0.25">
      <c r="A9" s="91"/>
      <c r="B9" s="91"/>
      <c r="C9" s="91"/>
      <c r="D9" s="91"/>
      <c r="E9" s="91"/>
      <c r="F9" s="91"/>
      <c r="G9" s="91"/>
      <c r="H9" s="91"/>
      <c r="I9" s="91"/>
      <c r="K9" s="99"/>
      <c r="L9" s="100"/>
      <c r="M9" s="100"/>
      <c r="N9" s="100"/>
      <c r="O9" s="100"/>
      <c r="P9" s="100"/>
      <c r="Q9" s="101"/>
    </row>
    <row r="10" spans="1:17" ht="22.5" customHeight="1" x14ac:dyDescent="0.25">
      <c r="A10" s="36" t="s">
        <v>58</v>
      </c>
      <c r="B10" s="38">
        <v>14</v>
      </c>
      <c r="C10" s="106" t="s">
        <v>110</v>
      </c>
      <c r="D10" s="107"/>
      <c r="E10" s="107"/>
      <c r="F10" s="107"/>
      <c r="G10" s="107"/>
      <c r="H10" s="107"/>
      <c r="I10" s="108"/>
      <c r="K10" s="99"/>
      <c r="L10" s="100"/>
      <c r="M10" s="100"/>
      <c r="N10" s="100"/>
      <c r="O10" s="100"/>
      <c r="P10" s="100"/>
      <c r="Q10" s="101"/>
    </row>
    <row r="11" spans="1:17" ht="20.25" customHeight="1" x14ac:dyDescent="0.25">
      <c r="A11" s="36" t="s">
        <v>59</v>
      </c>
      <c r="B11" s="38">
        <v>6</v>
      </c>
      <c r="C11" s="109"/>
      <c r="D11" s="110"/>
      <c r="E11" s="110"/>
      <c r="F11" s="110"/>
      <c r="G11" s="110"/>
      <c r="H11" s="110"/>
      <c r="I11" s="111"/>
      <c r="K11" s="99"/>
      <c r="L11" s="100"/>
      <c r="M11" s="100"/>
      <c r="N11" s="100"/>
      <c r="O11" s="100"/>
      <c r="P11" s="100"/>
      <c r="Q11" s="101"/>
    </row>
    <row r="12" spans="1:17" x14ac:dyDescent="0.25">
      <c r="A12" s="39" t="s">
        <v>57</v>
      </c>
      <c r="B12" s="40">
        <v>2</v>
      </c>
      <c r="C12" s="109"/>
      <c r="D12" s="110"/>
      <c r="E12" s="110"/>
      <c r="F12" s="110"/>
      <c r="G12" s="110"/>
      <c r="H12" s="110"/>
      <c r="I12" s="111"/>
      <c r="K12" s="99"/>
      <c r="L12" s="100"/>
      <c r="M12" s="100"/>
      <c r="N12" s="100"/>
      <c r="O12" s="100"/>
      <c r="P12" s="100"/>
      <c r="Q12" s="101"/>
    </row>
    <row r="13" spans="1:17" x14ac:dyDescent="0.25">
      <c r="A13" s="41" t="s">
        <v>56</v>
      </c>
      <c r="B13" s="42">
        <v>4</v>
      </c>
      <c r="C13" s="109"/>
      <c r="D13" s="110"/>
      <c r="E13" s="110"/>
      <c r="F13" s="110"/>
      <c r="G13" s="110"/>
      <c r="H13" s="110"/>
      <c r="I13" s="111"/>
      <c r="K13" s="99"/>
      <c r="L13" s="100"/>
      <c r="M13" s="100"/>
      <c r="N13" s="100"/>
      <c r="O13" s="100"/>
      <c r="P13" s="100"/>
      <c r="Q13" s="101"/>
    </row>
    <row r="14" spans="1:17" ht="24" customHeight="1" x14ac:dyDescent="0.25">
      <c r="A14" s="37" t="s">
        <v>60</v>
      </c>
      <c r="B14" s="37">
        <v>8</v>
      </c>
      <c r="C14" s="109"/>
      <c r="D14" s="110"/>
      <c r="E14" s="110"/>
      <c r="F14" s="110"/>
      <c r="G14" s="110"/>
      <c r="H14" s="110"/>
      <c r="I14" s="111"/>
      <c r="K14" s="99"/>
      <c r="L14" s="100"/>
      <c r="M14" s="100"/>
      <c r="N14" s="100"/>
      <c r="O14" s="100"/>
      <c r="P14" s="100"/>
      <c r="Q14" s="101"/>
    </row>
    <row r="15" spans="1:17" ht="5.25" customHeight="1" x14ac:dyDescent="0.25">
      <c r="A15" s="32"/>
      <c r="B15" s="33"/>
      <c r="C15" s="34"/>
      <c r="D15" s="34"/>
      <c r="E15" s="34"/>
      <c r="F15" s="34"/>
      <c r="G15" s="34"/>
      <c r="H15" s="34"/>
      <c r="I15" s="35"/>
      <c r="K15" s="99"/>
      <c r="L15" s="100"/>
      <c r="M15" s="100"/>
      <c r="N15" s="100"/>
      <c r="O15" s="100"/>
      <c r="P15" s="100"/>
      <c r="Q15" s="101"/>
    </row>
    <row r="16" spans="1:17" ht="16.5" customHeight="1" x14ac:dyDescent="0.25">
      <c r="A16" s="105" t="s">
        <v>0</v>
      </c>
      <c r="B16" s="105"/>
      <c r="C16" s="30"/>
      <c r="D16" s="30"/>
      <c r="E16" s="30"/>
      <c r="F16" s="30"/>
      <c r="G16" s="30"/>
      <c r="H16" s="30"/>
      <c r="I16" s="31"/>
      <c r="K16" s="99"/>
      <c r="L16" s="100"/>
      <c r="M16" s="100"/>
      <c r="N16" s="100"/>
      <c r="O16" s="100"/>
      <c r="P16" s="100"/>
      <c r="Q16" s="101"/>
    </row>
    <row r="17" spans="1:17" ht="18.75" customHeight="1" x14ac:dyDescent="0.3">
      <c r="A17" s="10" t="s">
        <v>6</v>
      </c>
      <c r="B17" s="11">
        <v>12</v>
      </c>
      <c r="C17" s="92"/>
      <c r="D17" s="92"/>
      <c r="E17" s="92"/>
      <c r="F17" s="92"/>
      <c r="G17" s="92"/>
      <c r="H17" s="92"/>
      <c r="I17" s="93"/>
      <c r="K17" s="99"/>
      <c r="L17" s="100"/>
      <c r="M17" s="100"/>
      <c r="N17" s="100"/>
      <c r="O17" s="100"/>
      <c r="P17" s="100"/>
      <c r="Q17" s="101"/>
    </row>
    <row r="18" spans="1:17" ht="18.75" customHeight="1" x14ac:dyDescent="0.3">
      <c r="A18" s="3" t="s">
        <v>7</v>
      </c>
      <c r="B18" s="5">
        <v>6</v>
      </c>
      <c r="C18" s="92"/>
      <c r="D18" s="92"/>
      <c r="E18" s="92"/>
      <c r="F18" s="92"/>
      <c r="G18" s="92"/>
      <c r="H18" s="92"/>
      <c r="I18" s="93"/>
      <c r="K18" s="99"/>
      <c r="L18" s="100"/>
      <c r="M18" s="100"/>
      <c r="N18" s="100"/>
      <c r="O18" s="100"/>
      <c r="P18" s="100"/>
      <c r="Q18" s="101"/>
    </row>
    <row r="19" spans="1:17" ht="18.75" customHeight="1" x14ac:dyDescent="0.3">
      <c r="A19" s="3" t="s">
        <v>8</v>
      </c>
      <c r="B19" s="5">
        <v>0</v>
      </c>
      <c r="C19" s="92"/>
      <c r="D19" s="92"/>
      <c r="E19" s="92"/>
      <c r="F19" s="92"/>
      <c r="G19" s="92"/>
      <c r="H19" s="92"/>
      <c r="I19" s="93"/>
      <c r="K19" s="99"/>
      <c r="L19" s="100"/>
      <c r="M19" s="100"/>
      <c r="N19" s="100"/>
      <c r="O19" s="100"/>
      <c r="P19" s="100"/>
      <c r="Q19" s="101"/>
    </row>
    <row r="20" spans="1:17" ht="18.75" customHeight="1" x14ac:dyDescent="0.3">
      <c r="A20" s="3" t="s">
        <v>9</v>
      </c>
      <c r="B20" s="5">
        <v>6</v>
      </c>
      <c r="C20" s="92"/>
      <c r="D20" s="92"/>
      <c r="E20" s="92"/>
      <c r="F20" s="92"/>
      <c r="G20" s="92"/>
      <c r="H20" s="92"/>
      <c r="I20" s="93"/>
      <c r="K20" s="99"/>
      <c r="L20" s="100"/>
      <c r="M20" s="100"/>
      <c r="N20" s="100"/>
      <c r="O20" s="100"/>
      <c r="P20" s="100"/>
      <c r="Q20" s="101"/>
    </row>
    <row r="21" spans="1:17" ht="18.75" customHeight="1" x14ac:dyDescent="0.3">
      <c r="A21" s="4" t="s">
        <v>10</v>
      </c>
      <c r="B21" s="45">
        <f>(B17-(B18+B19+B20))/B17*100</f>
        <v>0</v>
      </c>
      <c r="C21" s="92"/>
      <c r="D21" s="92"/>
      <c r="E21" s="92"/>
      <c r="F21" s="92"/>
      <c r="G21" s="92"/>
      <c r="H21" s="92"/>
      <c r="I21" s="93"/>
      <c r="K21" s="99"/>
      <c r="L21" s="100"/>
      <c r="M21" s="100"/>
      <c r="N21" s="100"/>
      <c r="O21" s="100"/>
      <c r="P21" s="100"/>
      <c r="Q21" s="101"/>
    </row>
    <row r="22" spans="1:17" ht="18.75" customHeight="1" x14ac:dyDescent="0.3">
      <c r="A22" s="4" t="s">
        <v>35</v>
      </c>
      <c r="B22" s="6">
        <f>ROUND((B18/B17)*100,0)</f>
        <v>50</v>
      </c>
      <c r="C22" s="92"/>
      <c r="D22" s="92"/>
      <c r="E22" s="92"/>
      <c r="F22" s="92"/>
      <c r="G22" s="92"/>
      <c r="H22" s="92"/>
      <c r="I22" s="93"/>
      <c r="K22" s="99"/>
      <c r="L22" s="100"/>
      <c r="M22" s="100"/>
      <c r="N22" s="100"/>
      <c r="O22" s="100"/>
      <c r="P22" s="100"/>
      <c r="Q22" s="101"/>
    </row>
    <row r="23" spans="1:17" ht="18.75" customHeight="1" x14ac:dyDescent="0.3">
      <c r="A23" s="4" t="s">
        <v>1</v>
      </c>
      <c r="B23" s="6">
        <f>ROUND((B19/B17)*100,0)</f>
        <v>0</v>
      </c>
      <c r="C23" s="92"/>
      <c r="D23" s="92"/>
      <c r="E23" s="92"/>
      <c r="F23" s="92"/>
      <c r="G23" s="92"/>
      <c r="H23" s="92"/>
      <c r="I23" s="93"/>
      <c r="K23" s="99"/>
      <c r="L23" s="100"/>
      <c r="M23" s="100"/>
      <c r="N23" s="100"/>
      <c r="O23" s="100"/>
      <c r="P23" s="100"/>
      <c r="Q23" s="101"/>
    </row>
    <row r="24" spans="1:17" ht="18.75" customHeight="1" x14ac:dyDescent="0.3">
      <c r="A24" s="4" t="s">
        <v>36</v>
      </c>
      <c r="B24" s="6">
        <f>ROUND((B20/B17)*100,0)</f>
        <v>50</v>
      </c>
      <c r="C24" s="92"/>
      <c r="D24" s="92"/>
      <c r="E24" s="92"/>
      <c r="F24" s="92"/>
      <c r="G24" s="92"/>
      <c r="H24" s="92"/>
      <c r="I24" s="93"/>
      <c r="K24" s="99"/>
      <c r="L24" s="100"/>
      <c r="M24" s="100"/>
      <c r="N24" s="100"/>
      <c r="O24" s="100"/>
      <c r="P24" s="100"/>
      <c r="Q24" s="101"/>
    </row>
    <row r="25" spans="1:17" ht="18.75" customHeight="1" x14ac:dyDescent="0.3">
      <c r="A25" s="4" t="s">
        <v>2</v>
      </c>
      <c r="B25" s="44">
        <v>25</v>
      </c>
      <c r="C25" s="92"/>
      <c r="D25" s="92"/>
      <c r="E25" s="92"/>
      <c r="F25" s="92"/>
      <c r="G25" s="92"/>
      <c r="H25" s="92"/>
      <c r="I25" s="93"/>
      <c r="K25" s="99"/>
      <c r="L25" s="100"/>
      <c r="M25" s="100"/>
      <c r="N25" s="100"/>
      <c r="O25" s="100"/>
      <c r="P25" s="100"/>
      <c r="Q25" s="101"/>
    </row>
    <row r="26" spans="1:17" ht="18.75" customHeight="1" x14ac:dyDescent="0.3">
      <c r="A26" s="4" t="s">
        <v>3</v>
      </c>
      <c r="B26" s="12" t="s">
        <v>13</v>
      </c>
      <c r="C26" s="94"/>
      <c r="D26" s="94"/>
      <c r="E26" s="94"/>
      <c r="F26" s="94"/>
      <c r="G26" s="94"/>
      <c r="H26" s="94"/>
      <c r="I26" s="95"/>
      <c r="K26" s="99"/>
      <c r="L26" s="100"/>
      <c r="M26" s="100"/>
      <c r="N26" s="100"/>
      <c r="O26" s="100"/>
      <c r="P26" s="100"/>
      <c r="Q26" s="101"/>
    </row>
    <row r="27" spans="1:17" ht="15.75" customHeight="1" x14ac:dyDescent="0.25">
      <c r="K27" s="99"/>
      <c r="L27" s="100"/>
      <c r="M27" s="100"/>
      <c r="N27" s="100"/>
      <c r="O27" s="100"/>
      <c r="P27" s="100"/>
      <c r="Q27" s="101"/>
    </row>
    <row r="28" spans="1:17" ht="18.75" customHeight="1" x14ac:dyDescent="0.25">
      <c r="A28" s="43"/>
      <c r="B28" s="29"/>
      <c r="C28" s="29"/>
      <c r="D28" s="29"/>
      <c r="E28" s="29"/>
      <c r="F28" s="29"/>
      <c r="G28" s="29"/>
      <c r="H28" s="29"/>
      <c r="I28" s="29"/>
      <c r="K28" s="99"/>
      <c r="L28" s="100"/>
      <c r="M28" s="100"/>
      <c r="N28" s="100"/>
      <c r="O28" s="100"/>
      <c r="P28" s="100"/>
      <c r="Q28" s="101"/>
    </row>
    <row r="29" spans="1:17" ht="16.5" customHeight="1" x14ac:dyDescent="0.25">
      <c r="A29" s="16"/>
      <c r="B29" s="28"/>
      <c r="C29" s="28"/>
      <c r="D29" s="28"/>
      <c r="E29" s="28"/>
      <c r="F29" s="28"/>
      <c r="G29" s="17"/>
      <c r="H29" s="16"/>
      <c r="I29" s="16"/>
      <c r="K29" s="99"/>
      <c r="L29" s="100"/>
      <c r="M29" s="100"/>
      <c r="N29" s="100"/>
      <c r="O29" s="100"/>
      <c r="P29" s="100"/>
      <c r="Q29" s="101"/>
    </row>
    <row r="30" spans="1:17" s="13" customFormat="1" x14ac:dyDescent="0.25">
      <c r="A30" s="18"/>
      <c r="B30" s="27"/>
      <c r="C30" s="27"/>
      <c r="D30" s="27"/>
      <c r="E30" s="27"/>
      <c r="F30" s="27"/>
      <c r="G30" s="18"/>
      <c r="H30" s="18"/>
      <c r="I30" s="18"/>
      <c r="K30" s="99"/>
      <c r="L30" s="100"/>
      <c r="M30" s="100"/>
      <c r="N30" s="100"/>
      <c r="O30" s="100"/>
      <c r="P30" s="100"/>
      <c r="Q30" s="101"/>
    </row>
    <row r="31" spans="1:17" s="13" customFormat="1" x14ac:dyDescent="0.25">
      <c r="A31" s="18"/>
      <c r="B31" s="18"/>
      <c r="C31" s="18"/>
      <c r="D31" s="18"/>
      <c r="E31" s="18"/>
      <c r="F31" s="18"/>
      <c r="G31" s="18"/>
      <c r="H31" s="18"/>
      <c r="I31" s="18"/>
      <c r="K31" s="99"/>
      <c r="L31" s="100"/>
      <c r="M31" s="100"/>
      <c r="N31" s="100"/>
      <c r="O31" s="100"/>
      <c r="P31" s="100"/>
      <c r="Q31" s="101"/>
    </row>
    <row r="32" spans="1:17" s="13" customFormat="1" x14ac:dyDescent="0.25">
      <c r="A32" s="18"/>
      <c r="B32" s="27"/>
      <c r="C32" s="27"/>
      <c r="D32" s="27"/>
      <c r="E32" s="27"/>
      <c r="F32" s="27"/>
      <c r="G32" s="18"/>
      <c r="H32" s="18"/>
      <c r="I32" s="18"/>
      <c r="K32" s="99"/>
      <c r="L32" s="100"/>
      <c r="M32" s="100"/>
      <c r="N32" s="100"/>
      <c r="O32" s="100"/>
      <c r="P32" s="100"/>
      <c r="Q32" s="101"/>
    </row>
    <row r="33" spans="1:17" s="13" customFormat="1" ht="16.5" thickBot="1" x14ac:dyDescent="0.3">
      <c r="A33" s="18"/>
      <c r="B33" s="27"/>
      <c r="C33" s="27"/>
      <c r="D33" s="27"/>
      <c r="E33" s="27"/>
      <c r="F33" s="27"/>
      <c r="G33" s="18"/>
      <c r="H33" s="18"/>
      <c r="I33" s="18"/>
      <c r="K33" s="102"/>
      <c r="L33" s="103"/>
      <c r="M33" s="103"/>
      <c r="N33" s="103"/>
      <c r="O33" s="103"/>
      <c r="P33" s="103"/>
      <c r="Q33" s="104"/>
    </row>
    <row r="34" spans="1:17" s="13" customFormat="1" x14ac:dyDescent="0.25">
      <c r="A34" s="18"/>
      <c r="B34" s="27"/>
      <c r="C34" s="27"/>
      <c r="D34" s="27"/>
      <c r="E34" s="27"/>
      <c r="F34" s="27"/>
      <c r="G34" s="18"/>
      <c r="H34" s="18"/>
      <c r="I34" s="18"/>
    </row>
    <row r="35" spans="1:17" s="13" customFormat="1" x14ac:dyDescent="0.25">
      <c r="A35" s="18"/>
      <c r="B35" s="27"/>
      <c r="C35" s="27"/>
      <c r="D35" s="27"/>
      <c r="E35" s="27"/>
      <c r="F35" s="27"/>
      <c r="G35" s="18"/>
      <c r="H35" s="18"/>
      <c r="I35" s="18"/>
    </row>
    <row r="36" spans="1:17" s="13" customFormat="1" x14ac:dyDescent="0.25">
      <c r="A36" s="18"/>
      <c r="B36" s="27"/>
      <c r="C36" s="27"/>
      <c r="D36" s="27"/>
      <c r="E36" s="27"/>
      <c r="F36" s="27"/>
      <c r="G36" s="18"/>
      <c r="H36" s="18"/>
      <c r="I36" s="18"/>
    </row>
    <row r="37" spans="1:17" s="13" customFormat="1" x14ac:dyDescent="0.25">
      <c r="A37" s="18"/>
      <c r="B37" s="27"/>
      <c r="C37" s="27"/>
      <c r="D37" s="27"/>
      <c r="E37" s="27"/>
      <c r="F37" s="27"/>
      <c r="G37" s="18"/>
      <c r="H37" s="18"/>
      <c r="I37" s="18"/>
    </row>
    <row r="38" spans="1:17" s="13" customFormat="1" x14ac:dyDescent="0.25">
      <c r="A38" s="18"/>
      <c r="B38" s="27"/>
      <c r="C38" s="27"/>
      <c r="D38" s="27"/>
      <c r="E38" s="27"/>
      <c r="F38" s="27"/>
      <c r="G38" s="18"/>
      <c r="H38" s="18"/>
      <c r="I38" s="18"/>
    </row>
    <row r="39" spans="1:17" s="13" customFormat="1" x14ac:dyDescent="0.25">
      <c r="A39" s="18"/>
      <c r="B39" s="27"/>
      <c r="C39" s="27"/>
      <c r="D39" s="27"/>
      <c r="E39" s="27"/>
      <c r="F39" s="27"/>
      <c r="G39" s="18"/>
      <c r="H39" s="18"/>
      <c r="I39" s="18"/>
    </row>
    <row r="40" spans="1:17" x14ac:dyDescent="0.25">
      <c r="A40" s="19"/>
      <c r="B40" s="19"/>
      <c r="C40" s="19"/>
      <c r="D40" s="19"/>
      <c r="E40" s="19"/>
      <c r="F40" s="19"/>
      <c r="G40" s="19"/>
      <c r="H40" s="20"/>
      <c r="I40" s="19"/>
    </row>
    <row r="41" spans="1:17" x14ac:dyDescent="0.25">
      <c r="A41" s="19"/>
      <c r="B41" s="19"/>
      <c r="C41" s="19"/>
      <c r="D41" s="19"/>
      <c r="E41" s="19"/>
      <c r="F41" s="19"/>
      <c r="G41" s="19"/>
      <c r="H41" s="19"/>
      <c r="I41" s="19"/>
    </row>
    <row r="42" spans="1:17" x14ac:dyDescent="0.25">
      <c r="A42" s="19"/>
      <c r="B42" s="19"/>
      <c r="C42" s="19"/>
      <c r="D42" s="19"/>
      <c r="E42" s="19"/>
      <c r="F42" s="19"/>
      <c r="G42" s="19"/>
      <c r="H42" s="19"/>
      <c r="I42" s="19"/>
    </row>
    <row r="43" spans="1:17" x14ac:dyDescent="0.25">
      <c r="A43" s="19"/>
      <c r="B43" s="19"/>
      <c r="C43" s="19"/>
      <c r="D43" s="19"/>
      <c r="E43" s="19"/>
      <c r="F43" s="19"/>
      <c r="G43" s="19"/>
      <c r="H43" s="19"/>
      <c r="I43" s="19"/>
    </row>
    <row r="44" spans="1:17" x14ac:dyDescent="0.25">
      <c r="A44" s="19"/>
      <c r="B44" s="19"/>
      <c r="C44" s="19"/>
      <c r="D44" s="19"/>
      <c r="E44" s="19"/>
      <c r="F44" s="19"/>
      <c r="G44" s="19"/>
      <c r="H44" s="19"/>
      <c r="I44" s="19"/>
    </row>
    <row r="45" spans="1:17" x14ac:dyDescent="0.25">
      <c r="A45" s="19"/>
      <c r="B45" s="19"/>
      <c r="C45" s="19"/>
      <c r="D45" s="19"/>
      <c r="E45" s="19"/>
      <c r="F45" s="19"/>
      <c r="G45" s="19"/>
      <c r="H45" s="19"/>
      <c r="I45" s="19"/>
    </row>
    <row r="46" spans="1:17" x14ac:dyDescent="0.25">
      <c r="A46" s="19"/>
      <c r="B46" s="19"/>
      <c r="C46" s="19"/>
      <c r="D46" s="19"/>
      <c r="E46" s="19"/>
      <c r="F46" s="19"/>
      <c r="G46" s="19"/>
      <c r="H46" s="19"/>
      <c r="I46" s="19"/>
    </row>
    <row r="47" spans="1:17" x14ac:dyDescent="0.25">
      <c r="A47" s="19"/>
      <c r="B47" s="19"/>
      <c r="C47" s="19"/>
      <c r="D47" s="19"/>
      <c r="E47" s="19"/>
      <c r="F47" s="19"/>
      <c r="G47" s="19"/>
      <c r="H47" s="19"/>
      <c r="I47" s="19"/>
    </row>
    <row r="48" spans="1:17" x14ac:dyDescent="0.25">
      <c r="A48" s="19"/>
      <c r="B48" s="19"/>
      <c r="C48" s="19"/>
      <c r="D48" s="19"/>
      <c r="E48" s="19"/>
      <c r="F48" s="19"/>
      <c r="G48" s="19"/>
      <c r="H48" s="19"/>
      <c r="I48" s="19"/>
    </row>
  </sheetData>
  <mergeCells count="7">
    <mergeCell ref="A1:I2"/>
    <mergeCell ref="A5:I6"/>
    <mergeCell ref="A8:I9"/>
    <mergeCell ref="C17:I26"/>
    <mergeCell ref="K2:Q33"/>
    <mergeCell ref="A16:B16"/>
    <mergeCell ref="C10:I1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workbookViewId="0">
      <selection activeCell="A30" sqref="A30"/>
    </sheetView>
  </sheetViews>
  <sheetFormatPr defaultRowHeight="15.75" x14ac:dyDescent="0.25"/>
  <cols>
    <col min="1" max="1" width="9" customWidth="1"/>
    <col min="10" max="10" width="2.875" customWidth="1"/>
    <col min="11" max="11" width="3.125" customWidth="1"/>
    <col min="12" max="12" width="4.375" customWidth="1"/>
    <col min="13" max="13" width="19.875" bestFit="1" customWidth="1"/>
    <col min="14" max="14" width="0.625" style="70" customWidth="1"/>
    <col min="24" max="24" width="2.25" customWidth="1"/>
    <col min="25" max="25" width="2.875" customWidth="1"/>
    <col min="26" max="26" width="3" style="47" customWidth="1"/>
    <col min="27" max="27" width="26.875" customWidth="1"/>
  </cols>
  <sheetData>
    <row r="1" spans="1:27" ht="18.75" x14ac:dyDescent="0.3">
      <c r="A1" s="21" t="s">
        <v>117</v>
      </c>
      <c r="O1" s="21" t="s">
        <v>95</v>
      </c>
    </row>
    <row r="2" spans="1:27" ht="17.25" x14ac:dyDescent="0.3">
      <c r="A2" s="48" t="s">
        <v>89</v>
      </c>
      <c r="O2" s="48" t="s">
        <v>116</v>
      </c>
    </row>
    <row r="5" spans="1:27" x14ac:dyDescent="0.25">
      <c r="L5" s="68">
        <v>651</v>
      </c>
      <c r="M5" s="69" t="s">
        <v>96</v>
      </c>
      <c r="Y5" s="72"/>
      <c r="Z5" s="68">
        <v>25</v>
      </c>
      <c r="AA5" s="75" t="s">
        <v>99</v>
      </c>
    </row>
    <row r="6" spans="1:27" x14ac:dyDescent="0.25">
      <c r="L6" s="68">
        <v>572</v>
      </c>
      <c r="M6" s="69" t="s">
        <v>97</v>
      </c>
      <c r="Y6" s="72"/>
      <c r="Z6" s="68">
        <v>0</v>
      </c>
      <c r="AA6" s="75" t="s">
        <v>100</v>
      </c>
    </row>
    <row r="7" spans="1:27" x14ac:dyDescent="0.25">
      <c r="L7" s="68">
        <f>L5-L6</f>
        <v>79</v>
      </c>
      <c r="M7" s="69" t="s">
        <v>98</v>
      </c>
      <c r="Y7" s="72"/>
      <c r="Z7" s="68">
        <v>25</v>
      </c>
      <c r="AA7" s="75" t="s">
        <v>101</v>
      </c>
    </row>
    <row r="8" spans="1:27" x14ac:dyDescent="0.25">
      <c r="L8" s="74">
        <v>55</v>
      </c>
      <c r="M8" s="73" t="s">
        <v>87</v>
      </c>
      <c r="N8" s="71"/>
      <c r="Z8" s="74">
        <v>4</v>
      </c>
      <c r="AA8" s="73" t="s">
        <v>102</v>
      </c>
    </row>
    <row r="9" spans="1:27" ht="30" x14ac:dyDescent="0.25">
      <c r="L9" s="74">
        <v>24</v>
      </c>
      <c r="M9" s="80" t="s">
        <v>88</v>
      </c>
      <c r="N9" s="71"/>
      <c r="Z9" s="74">
        <v>5</v>
      </c>
      <c r="AA9" s="79" t="s">
        <v>106</v>
      </c>
    </row>
    <row r="10" spans="1:27" ht="28.5" customHeight="1" x14ac:dyDescent="0.25">
      <c r="L10" s="81" t="s">
        <v>107</v>
      </c>
      <c r="M10" s="80" t="s">
        <v>108</v>
      </c>
      <c r="Z10" s="76">
        <v>16</v>
      </c>
      <c r="AA10" s="77" t="s">
        <v>103</v>
      </c>
    </row>
    <row r="11" spans="1:27" x14ac:dyDescent="0.25">
      <c r="Z11" s="81" t="s">
        <v>109</v>
      </c>
      <c r="AA11" s="82" t="s">
        <v>108</v>
      </c>
    </row>
    <row r="15" spans="1:27" x14ac:dyDescent="0.25">
      <c r="K15" s="72"/>
    </row>
    <row r="16" spans="1:27" x14ac:dyDescent="0.25">
      <c r="K16" s="72"/>
    </row>
    <row r="17" spans="11:11" x14ac:dyDescent="0.25">
      <c r="K17" s="7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Normal="100" workbookViewId="0">
      <selection activeCell="A2" sqref="A2"/>
    </sheetView>
  </sheetViews>
  <sheetFormatPr defaultRowHeight="15.75" x14ac:dyDescent="0.25"/>
  <cols>
    <col min="1" max="1" width="2.875" bestFit="1" customWidth="1"/>
    <col min="2" max="2" width="11.625" bestFit="1" customWidth="1"/>
    <col min="3" max="3" width="53.125" style="26" customWidth="1"/>
    <col min="4" max="4" width="7.375" bestFit="1" customWidth="1"/>
    <col min="5" max="5" width="7.75" bestFit="1" customWidth="1"/>
    <col min="6" max="6" width="7.875" bestFit="1" customWidth="1"/>
    <col min="7" max="7" width="8" bestFit="1" customWidth="1"/>
    <col min="8" max="8" width="5.625" bestFit="1" customWidth="1"/>
    <col min="9" max="9" width="7" bestFit="1" customWidth="1"/>
    <col min="10" max="10" width="39" customWidth="1"/>
    <col min="11" max="11" width="0.875" customWidth="1"/>
    <col min="12" max="12" width="1.375" customWidth="1"/>
    <col min="13" max="13" width="85.875" customWidth="1"/>
  </cols>
  <sheetData>
    <row r="1" spans="1:13" ht="18.75" x14ac:dyDescent="0.3">
      <c r="A1" s="21" t="s">
        <v>113</v>
      </c>
      <c r="J1" s="22"/>
    </row>
    <row r="2" spans="1:13" x14ac:dyDescent="0.25">
      <c r="J2" s="22"/>
    </row>
    <row r="3" spans="1:13" ht="30" x14ac:dyDescent="0.25">
      <c r="A3" s="49"/>
      <c r="B3" s="50" t="s">
        <v>38</v>
      </c>
      <c r="C3" s="50" t="s">
        <v>4</v>
      </c>
      <c r="D3" s="50" t="s">
        <v>39</v>
      </c>
      <c r="E3" s="50" t="s">
        <v>40</v>
      </c>
      <c r="F3" s="51" t="s">
        <v>62</v>
      </c>
      <c r="G3" s="51" t="s">
        <v>63</v>
      </c>
      <c r="H3" s="50" t="s">
        <v>5</v>
      </c>
      <c r="I3" s="51" t="s">
        <v>69</v>
      </c>
      <c r="J3" s="50" t="s">
        <v>41</v>
      </c>
      <c r="M3" s="23" t="s">
        <v>54</v>
      </c>
    </row>
    <row r="4" spans="1:13" s="46" customFormat="1" x14ac:dyDescent="0.25">
      <c r="A4" s="52">
        <v>1</v>
      </c>
      <c r="B4" s="53" t="s">
        <v>76</v>
      </c>
      <c r="C4" s="54" t="s">
        <v>77</v>
      </c>
      <c r="D4" s="53" t="s">
        <v>44</v>
      </c>
      <c r="E4" s="53" t="s">
        <v>92</v>
      </c>
      <c r="F4" s="55"/>
      <c r="G4" s="54" t="s">
        <v>90</v>
      </c>
      <c r="H4" s="53" t="s">
        <v>45</v>
      </c>
      <c r="I4" s="56">
        <v>44223</v>
      </c>
      <c r="J4" s="112" t="s">
        <v>84</v>
      </c>
      <c r="M4" s="24" t="s">
        <v>55</v>
      </c>
    </row>
    <row r="5" spans="1:13" s="46" customFormat="1" ht="31.5" x14ac:dyDescent="0.25">
      <c r="A5" s="52">
        <v>2</v>
      </c>
      <c r="B5" s="53" t="s">
        <v>78</v>
      </c>
      <c r="C5" s="54" t="s">
        <v>79</v>
      </c>
      <c r="D5" s="53" t="s">
        <v>44</v>
      </c>
      <c r="E5" s="53" t="s">
        <v>92</v>
      </c>
      <c r="F5" s="55"/>
      <c r="G5" s="54" t="s">
        <v>90</v>
      </c>
      <c r="H5" s="53" t="s">
        <v>45</v>
      </c>
      <c r="I5" s="56">
        <v>44223</v>
      </c>
      <c r="J5" s="113"/>
      <c r="M5" s="78" t="s">
        <v>105</v>
      </c>
    </row>
    <row r="6" spans="1:13" s="46" customFormat="1" ht="31.5" x14ac:dyDescent="0.25">
      <c r="A6" s="52">
        <v>3</v>
      </c>
      <c r="B6" s="53" t="s">
        <v>80</v>
      </c>
      <c r="C6" s="54" t="s">
        <v>81</v>
      </c>
      <c r="D6" s="53" t="s">
        <v>44</v>
      </c>
      <c r="E6" s="53" t="s">
        <v>92</v>
      </c>
      <c r="F6" s="55"/>
      <c r="G6" s="54" t="s">
        <v>90</v>
      </c>
      <c r="H6" s="53" t="s">
        <v>45</v>
      </c>
      <c r="I6" s="56">
        <v>44223</v>
      </c>
      <c r="J6" s="113"/>
      <c r="M6" s="78" t="s">
        <v>104</v>
      </c>
    </row>
    <row r="7" spans="1:13" s="46" customFormat="1" x14ac:dyDescent="0.25">
      <c r="A7" s="52">
        <v>4</v>
      </c>
      <c r="B7" s="53" t="s">
        <v>82</v>
      </c>
      <c r="C7" s="54" t="s">
        <v>83</v>
      </c>
      <c r="D7" s="53" t="s">
        <v>44</v>
      </c>
      <c r="E7" s="53" t="s">
        <v>92</v>
      </c>
      <c r="F7" s="55"/>
      <c r="G7" s="54" t="s">
        <v>90</v>
      </c>
      <c r="H7" s="53" t="s">
        <v>45</v>
      </c>
      <c r="I7" s="56">
        <v>44223</v>
      </c>
      <c r="J7" s="114"/>
      <c r="M7" s="25"/>
    </row>
    <row r="8" spans="1:13" s="46" customFormat="1" ht="30" x14ac:dyDescent="0.25">
      <c r="A8" s="52">
        <v>5</v>
      </c>
      <c r="B8" s="83" t="s">
        <v>112</v>
      </c>
      <c r="C8" s="84" t="s">
        <v>111</v>
      </c>
      <c r="D8" s="85" t="s">
        <v>44</v>
      </c>
      <c r="E8" s="85" t="s">
        <v>93</v>
      </c>
      <c r="F8" s="84" t="s">
        <v>92</v>
      </c>
      <c r="G8" s="86"/>
      <c r="H8" s="87"/>
      <c r="I8" s="88"/>
      <c r="J8" s="115" t="s">
        <v>114</v>
      </c>
      <c r="M8" s="25"/>
    </row>
    <row r="9" spans="1:13" ht="30" customHeight="1" x14ac:dyDescent="0.25">
      <c r="A9" s="52">
        <v>6</v>
      </c>
      <c r="B9" s="57" t="s">
        <v>70</v>
      </c>
      <c r="C9" s="58" t="s">
        <v>71</v>
      </c>
      <c r="D9" s="57" t="s">
        <v>44</v>
      </c>
      <c r="E9" s="57" t="s">
        <v>93</v>
      </c>
      <c r="F9" s="57" t="s">
        <v>92</v>
      </c>
      <c r="G9" s="59"/>
      <c r="H9" s="57" t="s">
        <v>45</v>
      </c>
      <c r="I9" s="60">
        <v>44222</v>
      </c>
      <c r="J9" s="116"/>
    </row>
    <row r="10" spans="1:13" x14ac:dyDescent="0.25">
      <c r="A10" s="52">
        <v>7</v>
      </c>
      <c r="B10" s="57" t="s">
        <v>72</v>
      </c>
      <c r="C10" s="58" t="s">
        <v>73</v>
      </c>
      <c r="D10" s="57" t="s">
        <v>44</v>
      </c>
      <c r="E10" s="57" t="s">
        <v>94</v>
      </c>
      <c r="F10" s="57" t="s">
        <v>92</v>
      </c>
      <c r="G10" s="59"/>
      <c r="H10" s="57" t="s">
        <v>45</v>
      </c>
      <c r="I10" s="60">
        <v>44222</v>
      </c>
      <c r="J10" s="116"/>
    </row>
    <row r="11" spans="1:13" ht="30" x14ac:dyDescent="0.25">
      <c r="A11" s="52">
        <v>8</v>
      </c>
      <c r="B11" s="57" t="s">
        <v>74</v>
      </c>
      <c r="C11" s="58" t="s">
        <v>75</v>
      </c>
      <c r="D11" s="57" t="s">
        <v>44</v>
      </c>
      <c r="E11" s="57" t="s">
        <v>93</v>
      </c>
      <c r="F11" s="57" t="s">
        <v>92</v>
      </c>
      <c r="G11" s="59"/>
      <c r="H11" s="57" t="s">
        <v>45</v>
      </c>
      <c r="I11" s="60">
        <v>44222</v>
      </c>
      <c r="J11" s="116"/>
    </row>
    <row r="12" spans="1:13" ht="15.75" customHeight="1" x14ac:dyDescent="0.25">
      <c r="A12" s="52">
        <v>9</v>
      </c>
      <c r="B12" s="57" t="s">
        <v>64</v>
      </c>
      <c r="C12" s="58" t="s">
        <v>65</v>
      </c>
      <c r="D12" s="57" t="s">
        <v>44</v>
      </c>
      <c r="E12" s="57" t="s">
        <v>94</v>
      </c>
      <c r="F12" s="57" t="s">
        <v>92</v>
      </c>
      <c r="G12" s="57"/>
      <c r="H12" s="57" t="s">
        <v>45</v>
      </c>
      <c r="I12" s="60">
        <v>44208</v>
      </c>
      <c r="J12" s="116"/>
    </row>
    <row r="13" spans="1:13" ht="30" x14ac:dyDescent="0.25">
      <c r="A13" s="52">
        <v>10</v>
      </c>
      <c r="B13" s="57" t="s">
        <v>66</v>
      </c>
      <c r="C13" s="58" t="s">
        <v>67</v>
      </c>
      <c r="D13" s="57" t="s">
        <v>44</v>
      </c>
      <c r="E13" s="57" t="s">
        <v>93</v>
      </c>
      <c r="F13" s="57" t="s">
        <v>92</v>
      </c>
      <c r="G13" s="57"/>
      <c r="H13" s="57" t="s">
        <v>45</v>
      </c>
      <c r="I13" s="60">
        <v>44218</v>
      </c>
      <c r="J13" s="116"/>
    </row>
    <row r="14" spans="1:13" ht="30" x14ac:dyDescent="0.25">
      <c r="A14" s="52">
        <v>11</v>
      </c>
      <c r="B14" s="57" t="s">
        <v>42</v>
      </c>
      <c r="C14" s="58" t="s">
        <v>43</v>
      </c>
      <c r="D14" s="57" t="s">
        <v>44</v>
      </c>
      <c r="E14" s="57" t="s">
        <v>94</v>
      </c>
      <c r="F14" s="57" t="s">
        <v>92</v>
      </c>
      <c r="G14" s="57"/>
      <c r="H14" s="57" t="s">
        <v>45</v>
      </c>
      <c r="I14" s="60">
        <v>44207</v>
      </c>
      <c r="J14" s="116"/>
    </row>
    <row r="15" spans="1:13" x14ac:dyDescent="0.25">
      <c r="A15" s="52">
        <v>12</v>
      </c>
      <c r="B15" s="57" t="s">
        <v>46</v>
      </c>
      <c r="C15" s="58" t="s">
        <v>47</v>
      </c>
      <c r="D15" s="57" t="s">
        <v>44</v>
      </c>
      <c r="E15" s="57" t="s">
        <v>94</v>
      </c>
      <c r="F15" s="57" t="s">
        <v>92</v>
      </c>
      <c r="G15" s="57"/>
      <c r="H15" s="57" t="s">
        <v>45</v>
      </c>
      <c r="I15" s="60">
        <v>44217</v>
      </c>
      <c r="J15" s="116"/>
    </row>
    <row r="16" spans="1:13" ht="30" x14ac:dyDescent="0.25">
      <c r="A16" s="52">
        <v>13</v>
      </c>
      <c r="B16" s="57" t="s">
        <v>48</v>
      </c>
      <c r="C16" s="58" t="s">
        <v>49</v>
      </c>
      <c r="D16" s="57" t="s">
        <v>44</v>
      </c>
      <c r="E16" s="57" t="s">
        <v>94</v>
      </c>
      <c r="F16" s="57" t="s">
        <v>92</v>
      </c>
      <c r="G16" s="57"/>
      <c r="H16" s="57" t="s">
        <v>45</v>
      </c>
      <c r="I16" s="60">
        <v>44207</v>
      </c>
      <c r="J16" s="116"/>
    </row>
    <row r="17" spans="1:10" x14ac:dyDescent="0.25">
      <c r="A17" s="52">
        <v>14</v>
      </c>
      <c r="B17" s="57" t="s">
        <v>50</v>
      </c>
      <c r="C17" s="58" t="s">
        <v>51</v>
      </c>
      <c r="D17" s="57" t="s">
        <v>44</v>
      </c>
      <c r="E17" s="57" t="s">
        <v>93</v>
      </c>
      <c r="F17" s="57" t="s">
        <v>92</v>
      </c>
      <c r="G17" s="57"/>
      <c r="H17" s="57" t="s">
        <v>45</v>
      </c>
      <c r="I17" s="60">
        <v>44217</v>
      </c>
      <c r="J17" s="116"/>
    </row>
    <row r="18" spans="1:10" ht="30" x14ac:dyDescent="0.25">
      <c r="A18" s="52">
        <v>15</v>
      </c>
      <c r="B18" s="57" t="s">
        <v>23</v>
      </c>
      <c r="C18" s="58" t="s">
        <v>33</v>
      </c>
      <c r="D18" s="57" t="s">
        <v>44</v>
      </c>
      <c r="E18" s="57" t="s">
        <v>94</v>
      </c>
      <c r="F18" s="57" t="s">
        <v>92</v>
      </c>
      <c r="G18" s="57"/>
      <c r="H18" s="57" t="s">
        <v>45</v>
      </c>
      <c r="I18" s="60">
        <v>44208</v>
      </c>
      <c r="J18" s="116"/>
    </row>
    <row r="19" spans="1:10" ht="30" x14ac:dyDescent="0.25">
      <c r="A19" s="52">
        <v>16</v>
      </c>
      <c r="B19" s="57" t="s">
        <v>21</v>
      </c>
      <c r="C19" s="58" t="s">
        <v>31</v>
      </c>
      <c r="D19" s="57" t="s">
        <v>44</v>
      </c>
      <c r="E19" s="57" t="s">
        <v>93</v>
      </c>
      <c r="F19" s="83" t="s">
        <v>93</v>
      </c>
      <c r="G19" s="57"/>
      <c r="H19" s="57" t="s">
        <v>45</v>
      </c>
      <c r="I19" s="60">
        <v>44208</v>
      </c>
      <c r="J19" s="116"/>
    </row>
    <row r="20" spans="1:10" ht="30" x14ac:dyDescent="0.25">
      <c r="A20" s="52">
        <v>17</v>
      </c>
      <c r="B20" s="57" t="s">
        <v>20</v>
      </c>
      <c r="C20" s="58" t="s">
        <v>30</v>
      </c>
      <c r="D20" s="57" t="s">
        <v>44</v>
      </c>
      <c r="E20" s="57" t="s">
        <v>94</v>
      </c>
      <c r="F20" s="57" t="s">
        <v>92</v>
      </c>
      <c r="G20" s="57"/>
      <c r="H20" s="57" t="s">
        <v>45</v>
      </c>
      <c r="I20" s="60">
        <v>44208</v>
      </c>
      <c r="J20" s="116"/>
    </row>
    <row r="21" spans="1:10" ht="30" x14ac:dyDescent="0.25">
      <c r="A21" s="52">
        <v>18</v>
      </c>
      <c r="B21" s="57" t="s">
        <v>19</v>
      </c>
      <c r="C21" s="58" t="s">
        <v>29</v>
      </c>
      <c r="D21" s="57" t="s">
        <v>44</v>
      </c>
      <c r="E21" s="57" t="s">
        <v>94</v>
      </c>
      <c r="F21" s="57" t="s">
        <v>92</v>
      </c>
      <c r="G21" s="57"/>
      <c r="H21" s="57" t="s">
        <v>45</v>
      </c>
      <c r="I21" s="60">
        <v>44208</v>
      </c>
      <c r="J21" s="116"/>
    </row>
    <row r="22" spans="1:10" ht="30" x14ac:dyDescent="0.25">
      <c r="A22" s="52">
        <v>19</v>
      </c>
      <c r="B22" s="57" t="s">
        <v>18</v>
      </c>
      <c r="C22" s="58" t="s">
        <v>28</v>
      </c>
      <c r="D22" s="57" t="s">
        <v>44</v>
      </c>
      <c r="E22" s="57" t="s">
        <v>93</v>
      </c>
      <c r="F22" s="57" t="s">
        <v>92</v>
      </c>
      <c r="G22" s="57"/>
      <c r="H22" s="57" t="s">
        <v>45</v>
      </c>
      <c r="I22" s="60">
        <v>44208</v>
      </c>
      <c r="J22" s="116"/>
    </row>
    <row r="23" spans="1:10" ht="30" x14ac:dyDescent="0.25">
      <c r="A23" s="52">
        <v>20</v>
      </c>
      <c r="B23" s="57" t="s">
        <v>15</v>
      </c>
      <c r="C23" s="58" t="s">
        <v>25</v>
      </c>
      <c r="D23" s="57" t="s">
        <v>44</v>
      </c>
      <c r="E23" s="57" t="s">
        <v>94</v>
      </c>
      <c r="F23" s="57" t="s">
        <v>94</v>
      </c>
      <c r="G23" s="57"/>
      <c r="H23" s="57" t="s">
        <v>45</v>
      </c>
      <c r="I23" s="60">
        <v>44207</v>
      </c>
      <c r="J23" s="117"/>
    </row>
    <row r="24" spans="1:10" ht="45" x14ac:dyDescent="0.25">
      <c r="A24" s="52">
        <v>21</v>
      </c>
      <c r="B24" s="61" t="s">
        <v>14</v>
      </c>
      <c r="C24" s="62" t="s">
        <v>24</v>
      </c>
      <c r="D24" s="61" t="s">
        <v>44</v>
      </c>
      <c r="E24" s="61" t="s">
        <v>94</v>
      </c>
      <c r="F24" s="61"/>
      <c r="G24" s="61" t="s">
        <v>91</v>
      </c>
      <c r="H24" s="61" t="s">
        <v>45</v>
      </c>
      <c r="I24" s="63">
        <v>44207</v>
      </c>
      <c r="J24" s="64" t="s">
        <v>86</v>
      </c>
    </row>
    <row r="25" spans="1:10" ht="30" x14ac:dyDescent="0.25">
      <c r="A25" s="52">
        <v>22</v>
      </c>
      <c r="B25" s="61" t="s">
        <v>16</v>
      </c>
      <c r="C25" s="62" t="s">
        <v>26</v>
      </c>
      <c r="D25" s="61" t="s">
        <v>44</v>
      </c>
      <c r="E25" s="61" t="s">
        <v>94</v>
      </c>
      <c r="F25" s="61"/>
      <c r="G25" s="61" t="s">
        <v>90</v>
      </c>
      <c r="H25" s="61" t="s">
        <v>45</v>
      </c>
      <c r="I25" s="63">
        <v>44207</v>
      </c>
      <c r="J25" s="64" t="s">
        <v>85</v>
      </c>
    </row>
    <row r="26" spans="1:10" x14ac:dyDescent="0.25">
      <c r="A26" s="52">
        <v>23</v>
      </c>
      <c r="B26" s="65" t="s">
        <v>52</v>
      </c>
      <c r="C26" s="66" t="s">
        <v>53</v>
      </c>
      <c r="D26" s="65" t="s">
        <v>44</v>
      </c>
      <c r="E26" s="65" t="s">
        <v>93</v>
      </c>
      <c r="F26" s="65"/>
      <c r="G26" s="65" t="s">
        <v>90</v>
      </c>
      <c r="H26" s="65" t="s">
        <v>45</v>
      </c>
      <c r="I26" s="67">
        <v>44215</v>
      </c>
      <c r="J26" s="66" t="s">
        <v>68</v>
      </c>
    </row>
    <row r="27" spans="1:10" ht="30" x14ac:dyDescent="0.25">
      <c r="A27" s="52">
        <v>24</v>
      </c>
      <c r="B27" s="65" t="s">
        <v>22</v>
      </c>
      <c r="C27" s="66" t="s">
        <v>32</v>
      </c>
      <c r="D27" s="65" t="s">
        <v>34</v>
      </c>
      <c r="E27" s="65" t="s">
        <v>93</v>
      </c>
      <c r="F27" s="65"/>
      <c r="G27" s="65" t="s">
        <v>90</v>
      </c>
      <c r="H27" s="65" t="s">
        <v>45</v>
      </c>
      <c r="I27" s="67">
        <v>44208</v>
      </c>
      <c r="J27" s="66" t="s">
        <v>68</v>
      </c>
    </row>
    <row r="28" spans="1:10" x14ac:dyDescent="0.25">
      <c r="A28" s="52">
        <v>25</v>
      </c>
      <c r="B28" s="65" t="s">
        <v>17</v>
      </c>
      <c r="C28" s="66" t="s">
        <v>27</v>
      </c>
      <c r="D28" s="65" t="s">
        <v>44</v>
      </c>
      <c r="E28" s="65" t="s">
        <v>94</v>
      </c>
      <c r="F28" s="65"/>
      <c r="G28" s="65" t="s">
        <v>90</v>
      </c>
      <c r="H28" s="65" t="s">
        <v>45</v>
      </c>
      <c r="I28" s="67">
        <v>44208</v>
      </c>
      <c r="J28" s="66" t="s">
        <v>68</v>
      </c>
    </row>
    <row r="29" spans="1:10" x14ac:dyDescent="0.25">
      <c r="J29" s="22"/>
    </row>
    <row r="30" spans="1:10" x14ac:dyDescent="0.25">
      <c r="J30" s="22"/>
    </row>
    <row r="31" spans="1:10" x14ac:dyDescent="0.25">
      <c r="J31" s="22"/>
    </row>
    <row r="32" spans="1:10" x14ac:dyDescent="0.25">
      <c r="J32" s="22"/>
    </row>
    <row r="33" spans="10:10" x14ac:dyDescent="0.25">
      <c r="J33" s="22"/>
    </row>
    <row r="34" spans="10:10" x14ac:dyDescent="0.25">
      <c r="J34" s="22"/>
    </row>
  </sheetData>
  <mergeCells count="2">
    <mergeCell ref="J4:J7"/>
    <mergeCell ref="J8:J2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EDC712-570D-48F8-9C39-BB3BBAE77DD1}"/>
</file>

<file path=customXml/itemProps2.xml><?xml version="1.0" encoding="utf-8"?>
<ds:datastoreItem xmlns:ds="http://schemas.openxmlformats.org/officeDocument/2006/customXml" ds:itemID="{EAB3FF3C-2473-4533-98E5-D35DCFCEE9E3}"/>
</file>

<file path=customXml/itemProps3.xml><?xml version="1.0" encoding="utf-8"?>
<ds:datastoreItem xmlns:ds="http://schemas.openxmlformats.org/officeDocument/2006/customXml" ds:itemID="{EA48D0AF-1F8B-4F80-896F-5A2393262684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 Banking - Test Summary</vt:lpstr>
      <vt:lpstr>Created vs. Resolved Defects</vt:lpstr>
      <vt:lpstr>CWB - Defect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Joanne Klausner</dc:creator>
  <cp:lastModifiedBy>Chix Dela Luna</cp:lastModifiedBy>
  <dcterms:created xsi:type="dcterms:W3CDTF">2019-08-28T17:18:17Z</dcterms:created>
  <dcterms:modified xsi:type="dcterms:W3CDTF">2021-01-29T03:37:38Z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524400</vt:r8>
  </property>
  <property fmtid="{D5CDD505-2E9C-101B-9397-08002B2CF9AE}" pid="4" name="URL">
    <vt:lpwstr/>
  </property>
</Properties>
</file>