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sp.cwb.local/projects/pmo2/Digital Program/Digital Program SharePoint/3 Digital Online Banking/Test and Defect Summary Reports/"/>
    </mc:Choice>
  </mc:AlternateContent>
  <xr:revisionPtr revIDLastSave="0" documentId="13_ncr:1_{4416CD81-E629-43FB-8C4D-EC5F435DCBA9}" xr6:coauthVersionLast="47" xr6:coauthVersionMax="47" xr10:uidLastSave="{00000000-0000-0000-0000-000000000000}"/>
  <bookViews>
    <workbookView xWindow="28680" yWindow="-120" windowWidth="29040" windowHeight="15840" tabRatio="477" xr2:uid="{00000000-000D-0000-FFFF-FFFF00000000}"/>
  </bookViews>
  <sheets>
    <sheet name="Digital" sheetId="56" r:id="rId1"/>
    <sheet name="Defets to Test Cases" sheetId="58" r:id="rId2"/>
    <sheet name="Outstanding defects" sheetId="59" r:id="rId3"/>
  </sheets>
  <calcPr calcId="191029"/>
  <pivotCaches>
    <pivotCache cacheId="45" r:id="rId4"/>
    <pivotCache cacheId="4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56" l="1"/>
  <c r="H8" i="56"/>
  <c r="J9" i="56" l="1"/>
  <c r="J10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J46" i="56"/>
  <c r="J47" i="56"/>
  <c r="J48" i="56"/>
  <c r="J49" i="56"/>
  <c r="J50" i="56"/>
  <c r="J51" i="56"/>
  <c r="J52" i="56"/>
  <c r="J53" i="56"/>
  <c r="J54" i="56"/>
  <c r="J55" i="56"/>
  <c r="J56" i="56"/>
  <c r="J57" i="56"/>
  <c r="J58" i="56"/>
  <c r="J59" i="56"/>
  <c r="J8" i="56"/>
  <c r="S9" i="56"/>
  <c r="S10" i="56"/>
  <c r="S11" i="56"/>
  <c r="S8" i="56"/>
  <c r="R9" i="56"/>
  <c r="R10" i="56"/>
  <c r="R11" i="56"/>
  <c r="R8" i="56"/>
  <c r="S46" i="56"/>
  <c r="S47" i="56"/>
  <c r="S48" i="56"/>
  <c r="R46" i="56"/>
  <c r="R47" i="56"/>
  <c r="R48" i="56"/>
  <c r="P8" i="56"/>
  <c r="R45" i="56"/>
  <c r="P9" i="56" l="1"/>
  <c r="P10" i="56"/>
  <c r="P11" i="56"/>
  <c r="H9" i="56" l="1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4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58" i="56"/>
  <c r="I59" i="56"/>
  <c r="K9" i="56"/>
  <c r="K10" i="56"/>
  <c r="K11" i="56"/>
  <c r="K12" i="56"/>
  <c r="K13" i="56"/>
  <c r="K14" i="56"/>
  <c r="K15" i="56"/>
  <c r="K16" i="56"/>
  <c r="K17" i="56"/>
  <c r="K18" i="56"/>
  <c r="K19" i="56"/>
  <c r="K20" i="56"/>
  <c r="K21" i="56"/>
  <c r="K22" i="56"/>
  <c r="K23" i="56"/>
  <c r="K24" i="56"/>
  <c r="K25" i="56"/>
  <c r="K26" i="56"/>
  <c r="K27" i="56"/>
  <c r="K28" i="56"/>
  <c r="K29" i="56"/>
  <c r="K30" i="56"/>
  <c r="K31" i="56"/>
  <c r="K32" i="56"/>
  <c r="K33" i="56"/>
  <c r="K34" i="56"/>
  <c r="K35" i="56"/>
  <c r="K36" i="56"/>
  <c r="K37" i="56"/>
  <c r="K38" i="56"/>
  <c r="K39" i="56"/>
  <c r="K40" i="56"/>
  <c r="K41" i="56"/>
  <c r="K42" i="56"/>
  <c r="K43" i="56"/>
  <c r="K44" i="56"/>
  <c r="K45" i="56"/>
  <c r="K46" i="56"/>
  <c r="K47" i="56"/>
  <c r="K48" i="56"/>
  <c r="K49" i="56"/>
  <c r="K50" i="56"/>
  <c r="K51" i="56"/>
  <c r="K52" i="56"/>
  <c r="K53" i="56"/>
  <c r="K54" i="56"/>
  <c r="K55" i="56"/>
  <c r="K56" i="56"/>
  <c r="K57" i="56"/>
  <c r="K58" i="56"/>
  <c r="K59" i="56"/>
  <c r="K8" i="56"/>
  <c r="S45" i="56" l="1"/>
  <c r="Q9" i="56" l="1"/>
  <c r="T9" i="56" l="1"/>
  <c r="T46" i="56"/>
  <c r="U46" i="56"/>
  <c r="Q10" i="56" l="1"/>
  <c r="V10" i="56"/>
  <c r="U9" i="56"/>
  <c r="V9" i="56"/>
  <c r="U10" i="56"/>
  <c r="T47" i="56" l="1"/>
  <c r="U47" i="56"/>
  <c r="T10" i="56"/>
  <c r="Q11" i="56" l="1"/>
  <c r="U48" i="56" l="1"/>
  <c r="T48" i="56"/>
  <c r="T11" i="56"/>
  <c r="V11" i="56"/>
  <c r="V8" i="56"/>
  <c r="U8" i="56" l="1"/>
  <c r="U11" i="56"/>
  <c r="Q8" i="56"/>
  <c r="T45" i="56" l="1"/>
  <c r="U45" i="56"/>
  <c r="T8" i="56"/>
  <c r="S53" i="56"/>
  <c r="P16" i="56"/>
  <c r="R53" i="56"/>
  <c r="S16" i="56"/>
  <c r="R16" i="56"/>
  <c r="Q16" i="56"/>
  <c r="V16" i="56" l="1"/>
  <c r="S20" i="56" s="1"/>
  <c r="T53" i="56"/>
  <c r="S57" i="56" s="1"/>
  <c r="U53" i="56"/>
  <c r="T57" i="56" s="1"/>
  <c r="U16" i="56"/>
  <c r="T16" i="56"/>
  <c r="R20" i="5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honeyt\Documents\My Data Sources\DB05_AIR TFSCube Team System.odc" keepAlive="1" name="C:\Users\honeyt\Documents\My Data Sources\DB05_AIR TFSCube Team System" type="5" refreshedVersion="4" background="1">
    <dbPr connection="Provider=MSOLAP.4;Integrated Security=SSPI;Persist Security Info=True;Initial Catalog=TFSCube;Data Source=DB05\AIR;MDX Compatibility=1;Safety Options=2;MDX Missing Member Mode=Error" command="Team System" commandType="1"/>
    <olapPr sendLocale="1" rowDrillCount="1000"/>
  </connection>
  <connection id="2" xr16:uid="{00000000-0015-0000-FFFF-FFFF01000000}" odcFile="C:\Users\honeyt\Documents\My Data Sources\DB05_AIR TFSCube Team System.odc" keepAlive="1" name="DB05_AIR TFSCube Team System" type="5" refreshedVersion="4" background="1">
    <dbPr connection="Provider=MSOLAP.4;Integrated Security=SSPI;Persist Security Info=True;Initial Catalog=TFSCube;Data Source=DB05\AIR;MDX Compatibility=1;Safety Options=2;MDX Missing Member Mode=Error" command="Team System" commandType="1"/>
    <olapPr sendLocale="1" rowDrillCount="1000"/>
  </connection>
  <connection id="3" xr16:uid="{00000000-0015-0000-FFFF-FFFF02000000}" odcFile="C:\Users\honeyt\Documents\My Data Sources\DB05_AIR TFSCube Team System.odc" keepAlive="1" name="DB05_AIR TFSCube Team System1" type="5" refreshedVersion="7" background="1">
    <dbPr connection="Provider=MSOLAP.8;Integrated Security=SSPI;Persist Security Info=True;Initial Catalog=TFSCube;Data Source=DB05\AIR;MDX Compatibility=1;Safety Options=2;MDX Missing Member Mode=Error;Update Isolation Level=2" command="Team System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{[Team Project].[Team Project Hierarchy].&amp;[{FA87FDF7-D2B5-4A1C-A3BD-413358241E89}]}"/>
    <s v="DB05_AIR TFSCube Team System1"/>
    <s v="{[Test Plan].[Test Plan Name].&amp;[T24 User Acceptance Testing - Execution]}"/>
    <s v="{[Test Case].[Area Path].&amp;[\Core Banking\User Acceptance Testing]}"/>
    <s v="{[Test Plan].[Test Plan Name].&amp;[DIGITAL]}"/>
    <s v="{[Test Case].[Area Path].&amp;[\Core Banking\Digital]}"/>
  </metadataStrings>
  <mdxMetadata count="5">
    <mdx n="1" f="s">
      <ms ns="0" c="0"/>
    </mdx>
    <mdx n="1" f="s">
      <ms ns="2" c="0"/>
    </mdx>
    <mdx n="1" f="s">
      <ms ns="3" c="0"/>
    </mdx>
    <mdx n="1" f="s">
      <ms ns="4" c="0"/>
    </mdx>
    <mdx n="1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<sst xmlns="http://schemas.openxmlformats.org/spreadsheetml/2006/main" count="1140" uniqueCount="375">
  <si>
    <t>Row Labels</t>
  </si>
  <si>
    <t>Column Labels</t>
  </si>
  <si>
    <t>Core Banking</t>
  </si>
  <si>
    <t>Area Path</t>
  </si>
  <si>
    <t>Team Project Hierarchy</t>
  </si>
  <si>
    <t>Blocked</t>
  </si>
  <si>
    <t>Test Plan Name</t>
  </si>
  <si>
    <t>Point Count Trend</t>
  </si>
  <si>
    <t>Total</t>
  </si>
  <si>
    <t>CREATED</t>
  </si>
  <si>
    <t>EXECUTED</t>
  </si>
  <si>
    <t>%Failed</t>
  </si>
  <si>
    <t>T24 User Acceptance Testing - Execution</t>
  </si>
  <si>
    <t>PASSED</t>
  </si>
  <si>
    <t>FAILED</t>
  </si>
  <si>
    <t>BLOCKED</t>
  </si>
  <si>
    <t>% PASSED</t>
  </si>
  <si>
    <t>% FAILED</t>
  </si>
  <si>
    <t>AREA</t>
  </si>
  <si>
    <t>\Core Banking\User Acceptance Testing</t>
  </si>
  <si>
    <t>% BLOCKED</t>
  </si>
  <si>
    <t>% EXECUTED</t>
  </si>
  <si>
    <t>% PASS</t>
  </si>
  <si>
    <t>% FAIL</t>
  </si>
  <si>
    <t>Never Run</t>
  </si>
  <si>
    <t>Passed</t>
  </si>
  <si>
    <t>Grand Total</t>
  </si>
  <si>
    <t>2021</t>
  </si>
  <si>
    <t>Failed</t>
  </si>
  <si>
    <t>2. Projects</t>
  </si>
  <si>
    <t>3. Digital Banking Enhancements</t>
  </si>
  <si>
    <t>2.2 Cash Deposits Form-AML01_FINTRAC</t>
  </si>
  <si>
    <t>DIGITAL</t>
  </si>
  <si>
    <t>\Core Banking\Digital</t>
  </si>
  <si>
    <t>In Progress</t>
  </si>
  <si>
    <t>5 - Digital Online Banking</t>
  </si>
  <si>
    <t>15 - E2E - Ret - Bld 23 - 08/10/21</t>
  </si>
  <si>
    <t>15 - E2E - SB - Bld 23 - 08/10/21</t>
  </si>
  <si>
    <t>4 - Fraud (Navaera)</t>
  </si>
  <si>
    <t>DM E2E - Cycle 3</t>
  </si>
  <si>
    <t>%Passed</t>
  </si>
  <si>
    <t>%Never Run</t>
  </si>
  <si>
    <t>Account Dashboard/Accounts</t>
  </si>
  <si>
    <t>Alerts</t>
  </si>
  <si>
    <t>Bill Payments</t>
  </si>
  <si>
    <t>COB-Ret-MOB-runs</t>
  </si>
  <si>
    <t>COB-Ret-OLB-runs</t>
  </si>
  <si>
    <t>CRA Direct Deposit</t>
  </si>
  <si>
    <t>e-Transfers</t>
  </si>
  <si>
    <t>Feedback</t>
  </si>
  <si>
    <t>Fund Transfer</t>
  </si>
  <si>
    <t>Login-Logout</t>
  </si>
  <si>
    <t>Pay Business Taxes</t>
  </si>
  <si>
    <t>RDC-Ret-MOB</t>
  </si>
  <si>
    <t>Stop Cheques</t>
  </si>
  <si>
    <t>Acct Dbrd-SB-MOB</t>
  </si>
  <si>
    <t>COB-SB-MOB runs</t>
  </si>
  <si>
    <t>COB-SB-OLB runs</t>
  </si>
  <si>
    <t>RDC-SB-MOB</t>
  </si>
  <si>
    <t>Stop PAP</t>
  </si>
  <si>
    <t>User Mgmt SB-OLB</t>
  </si>
  <si>
    <t>Event Testing</t>
  </si>
  <si>
    <t>ORT004 Multi-Time Zones per User per Day</t>
  </si>
  <si>
    <t>ORT005 Inverse IP Geo Mismatch</t>
  </si>
  <si>
    <t>ORT006 Login from Multiple Countries</t>
  </si>
  <si>
    <t>ORT017 High Velocity ATO EMT Rule</t>
  </si>
  <si>
    <t>ORT021 Mobile Device Usage Rule</t>
  </si>
  <si>
    <t>ORT025 EMT Account Take Over Rule</t>
  </si>
  <si>
    <t>ORT028 Online IP Blacklist</t>
  </si>
  <si>
    <t>ORT029 High Risk eTransfers</t>
  </si>
  <si>
    <t>ORT030 High Risk Outbound Specified Transaction Party Rule</t>
  </si>
  <si>
    <t>ORT031 Money Request E-Transfer Rule</t>
  </si>
  <si>
    <t>ORT032 New Same IP E-Transfer Rule</t>
  </si>
  <si>
    <t>ORT033 Bill Beneficiary Rule</t>
  </si>
  <si>
    <t>ORTXXX Access to Service from Known Proxy IP</t>
  </si>
  <si>
    <t>(DM E2E - Cycle 3)</t>
  </si>
  <si>
    <t>Digital Online Banking</t>
  </si>
  <si>
    <t>Fraud</t>
  </si>
  <si>
    <t>Data Migration</t>
  </si>
  <si>
    <t>Personal DCO</t>
  </si>
  <si>
    <t>Business DCO</t>
  </si>
  <si>
    <t>NEVER RUN/IN PROGRESS</t>
  </si>
  <si>
    <t>%NEVER RUN/IN PROGRESS</t>
  </si>
  <si>
    <t xml:space="preserve"> REMAINING</t>
  </si>
  <si>
    <t>DO NOT USE BELOW</t>
  </si>
  <si>
    <t>JIRA ID</t>
  </si>
  <si>
    <t>TFS</t>
  </si>
  <si>
    <t>Status</t>
  </si>
  <si>
    <t>Test Cases ID</t>
  </si>
  <si>
    <t>Title</t>
  </si>
  <si>
    <t>Tester</t>
  </si>
  <si>
    <t>Work Item Type</t>
  </si>
  <si>
    <t>Created by</t>
  </si>
  <si>
    <t>Priority</t>
  </si>
  <si>
    <t>OLB-E2E-AD-12 - V1 - Accounts - Verify cheque images can be displayed</t>
  </si>
  <si>
    <t>Adrian Crisp</t>
  </si>
  <si>
    <t>Test Case</t>
  </si>
  <si>
    <t>MOB-E2E-AD-12 - V1 - Accounts - Verify cheque images can be displayed</t>
  </si>
  <si>
    <t>MOB-E2E-AL-01 - V1 - Alerts - Verify Alert can be configured and received - "Interac e-Transfers Recipient Added" - SMS/Text</t>
  </si>
  <si>
    <t>MOB-E2E-AL-03 - V1 - Alerts - Verify Alert can be configured and received - "Interac e-Transfers Recipient Added" - Push Notification</t>
  </si>
  <si>
    <t>MOB-E2E-AL-05 - V1 - Alerts - Verify Alert can be configured and received - "Registered Bill Payee Added" - SMS/Text</t>
  </si>
  <si>
    <t>MOB-E2E-AL-07 - V1 - Alerts - Verify Alert can be configured and received - "Registered Bill Payee Added" - Push Notification</t>
  </si>
  <si>
    <t>OLB-E2E-AL-01 - V1 - Alerts - Verify Alert can be configured and received - "Interac e-Transfers Recipient Added" - SMS/Text</t>
  </si>
  <si>
    <t>Alka Patnaik</t>
  </si>
  <si>
    <t>OLB-E2E-AL-07 - V1 - Alerts - Verify Alert can be configured and received - "Registered Bill Payee Added" - Push Notification</t>
  </si>
  <si>
    <t>OLB-E2E-CRADD-01 - V1 - CRA Direct Deposit for Individuals - Verify Direct Deposit can be setup and processed by CRA</t>
  </si>
  <si>
    <t>7071, 6892</t>
  </si>
  <si>
    <t>MOB-E2E-AL-09 - V1 - Alerts - Verify Alert can be configured and received - "Transaction Pending Approval" - SMS/Text - SB ONLY</t>
  </si>
  <si>
    <t>MOB-E2E-AL-11 - V1 - Alerts - Verify Alert can be configured and received - "Transaction Pending Approval" - Push Notification - SB ONLY</t>
  </si>
  <si>
    <t>MOB-E2E-AL-13 - V1 - Alerts - Verify Alert can be configured and received - "Transaction Due to Expire" - SMS/Text - SB ONLY</t>
  </si>
  <si>
    <t>MOB-E2E-AL-15 - V1 - Alerts - Verify Alert can be configured and received - "Transaction Due to Expire" - Push Notification - SB ONLY</t>
  </si>
  <si>
    <t>OLB-E2E-AL-11 - V1 - Alerts - Verify Alert can be configured and received - "Transaction Pending Approval" - Push Notification - SB ONLY</t>
  </si>
  <si>
    <t>OLB-E2E-AL-13 - V1 - Alerts - Verify Alert can be configured and received - "Transaction Due to Expire" - SMS/Text - SB ONLY</t>
  </si>
  <si>
    <t>OLB-E2E-AL-15 - V1 - Alerts - Verify Alert can be configured and received - "Transaction Due to Expire" - Push Notification - SB ONLY</t>
  </si>
  <si>
    <t>OLB-E2E-AL-16 - V1 - Alerts - Verify Alert can be configured and received - "Transaction Due to Expire" - Email - SB ONLY</t>
  </si>
  <si>
    <t>MOB - E2E - BP - 17 - V1 - Verify bill payment - Once - Current date - SB - One Approval</t>
  </si>
  <si>
    <t>Susan Bako</t>
  </si>
  <si>
    <t>MOB - E2E - BP - 18 - V1 - Verify bill payment - Once - Future date - SB - One Approval</t>
  </si>
  <si>
    <t>MOB - E2E - BP - 18 - V1 - Verify bill payment - Once - Future date - Existing Payees - 1 Approval</t>
  </si>
  <si>
    <t>MOB - E2E - BP - 19 - V1 - Verify bill payment - Reject - SB - One Approval</t>
  </si>
  <si>
    <t>OLB - E2E - BP - 24 - V1 - Verify bill payment - Once - Current date - SB - 1 Approval</t>
  </si>
  <si>
    <t>OLB - E2E - BP - 24 - V1 - Verify bill payment - Once - Future date - SB - 1 Approval</t>
  </si>
  <si>
    <t>OLB - E2E - BP - 25 - V1 - Bill Payment - Recall - 1 Approver</t>
  </si>
  <si>
    <t>OLB-E2E-CRADD-02 - V1 - CRA Direct Deposit for Businesses - Verify Direct Deposit can be setup and processed by CRA</t>
  </si>
  <si>
    <t>OLB-E2E-IeT-12 - V1 - Verify user can send an Interac e-Transfer to a recipient (email and mobile number) - New recipient with Autodeposit</t>
  </si>
  <si>
    <t>MOB-E2E-FB-01 - V1 - Feedback - Verify Feedback can be entered, submitted by the client and viewable by CWB</t>
  </si>
  <si>
    <t>OLB-E2E-FB-01 - V1 - Feedback - Verify Feedback can be entered, submitted by the client and viewable by CWB</t>
  </si>
  <si>
    <t>MOB-E2E-FT-02b - V1 - Fund Transfer - Beneficiary management - Setup account recipients - View Activity - SB</t>
  </si>
  <si>
    <t>MOB-E2E-FT-23 - V1 - Fund Transfer - Transfer with 1 approval</t>
  </si>
  <si>
    <t>MOB-E2E-FT-26 - V1 - Fund Transfer - Recall - 1 Approver</t>
  </si>
  <si>
    <t>OLB-E2E-PBT-68 - V1 - Pay CRA Taxes - Verify user can pay the amount owing - Today - One Approval Required - Forms (RC159, T1191, T305A-P, PD7D, RC155, PD67A, NR92, T305A_PQ, RC159-Q)</t>
  </si>
  <si>
    <t>OLB-E2E-PBT-69 - V1 - Pay CRA Taxes - Verify user can pay the amount owing - Today - One approval required - Forms (RC158, RC160, RC177, NR93, PD10, PD101, RC160-Q, RC158-Q)</t>
  </si>
  <si>
    <t>OLB-E2E-PBT-70 - V1 - Pay CRA Taxes - Verify user can pay the amount owing - Today - One approval required - Forms (GST 34, GST 34-2, GST 34 NETFILE, GST 62 -1, GST 62 -2, GST 62 -3, GST 62 -4, GST 62 -5, GST 62 - 6)</t>
  </si>
  <si>
    <t>OLB-E2E-PBT-71 - V1 - Pay CRA Taxes - Verify user can pay the amount owing - Today - One approval required - Forms (PD7A, RC107, W1, PD7A-TM, PD7A-RB, W1-B, W1-RB)</t>
  </si>
  <si>
    <t>OLB-E2E-PBT-72 - V1 - Pay CRA Taxes - Verify user can file only - Today - Amount Owing - Payment - One approval required - Form GST34 NETFILE</t>
  </si>
  <si>
    <t>OLB-E2E-PBT-73 - V1 - Pay CRA Taxes - Verify user can pay the amount owing - Future - One Approval Required - Forms (RC159, T1191, T305A-P, PD7D, RC155, PD67A, NR92, T305A_PQ, RC159-Q)</t>
  </si>
  <si>
    <t>OLB-E2E-PBT-74 - V1 - Pay CRA Taxes - Verify user can pay the amount owing - Future - One approval required - Forms (RC158, RC160, RC177, NR93, PD10, PD101, RC160-Q, RC158-Q)</t>
  </si>
  <si>
    <t>OLB-E2E-PBT-75 - V1 - Pay CRA Taxes - Verify user can pay the amount owing - Future - One approval required - Forms (GST 34, GST 34-2, GST 34 NETFILE, GST 62 -1, GST 62 -2, GST 62 -3, GST 62 -4, GST 62 -5, GST 62 - 6)</t>
  </si>
  <si>
    <t>OLB-E2E-PBT-76 - V1 - Pay CRA Taxes - Verify user can pay the amount owing - Future - One approval required - Forms (PD7A, RC107, W1, PD7A-TM, PD7A-RB, W1-B, W1-RB)</t>
  </si>
  <si>
    <t>OLB-E2E-PBT-77 - V1 - Pay CRA Taxes - Verify user can file only - Future - Amount Owing - Payment - One approval required - Form GST34 NETFILE</t>
  </si>
  <si>
    <t>OLB-E2E-PBT-78 - V1 - Pay CRA Taxes - Verify user can pay the amount owing - Today - Two Approvals Required - Forms (RC159, T1191, T305A-P, PD7D, RC155, PD67A, NR92, T305A_PQ, RC159-Q)</t>
  </si>
  <si>
    <t>OLB-E2E-PBT-29 - V1 - Pay PROV Taxes - Verify user can pay the amount owing - Today - One approval required - Form(s) AT1 , AT2054 , AT2059 , AT2095 , AT252 , AT300 , AT317 , AT360 , AT362 , AT363 , AT4990 , AT5100 , ATCLID</t>
  </si>
  <si>
    <t>OLB-E2E-PBT-30 - V1 - Pay PROV Taxes - Verify user can pay the amount owing - Future - One approval required - Form(s) AT1 , AT2054 , AT2059 , AT2095 , AT252 , AT300 , AT317 , AT360 , AT362 , AT363 , AT4990 , AT5100 , ATCLID</t>
  </si>
  <si>
    <t>OLB-E2E-PBT-31 - V1 - Pay PROV Taxes - Verify user can pay the amount owing - Today - Two approvals required - Form(s) AT1 , AT2054 , AT2059 , AT2095 , AT252 , AT300 , AT317 , AT360 , AT362 , AT363 , AT4990 , AT5100 , ATCLID</t>
  </si>
  <si>
    <t>OLB-E2E-PBT-32 - V1 - Pay PROV Taxes - Verify user can pay the amount owing - Future - Two approvals required - Form(s) AT1 , AT2054 , AT2059 , AT2095 , AT252 , AT300 , AT317 , AT360 , AT362 , AT363 , AT4990 , AT5100 , ATCLID</t>
  </si>
  <si>
    <t>MOB-E2E-RDC-01 - V1 - Remote Data Capture - Verify cheque can be scanned - successful scan</t>
  </si>
  <si>
    <t>OLB-FRAUD-23 - V12 - Navera Field Validation - Small Business Customer - OLB - Validate Navera field transferReferenceNumber = Infinity field MONEY MOVEMENT REFID</t>
  </si>
  <si>
    <t>Reddy Ganapati</t>
  </si>
  <si>
    <t>OLB-FRAUD-43 - V12 - Navaera Field Validation - Small Business Customer - Mobile iOS - Validate Navaera field HTTP_LOCAL_TIME = Infinity field To be mapped</t>
  </si>
  <si>
    <t>OLB-FRAUD-01 - V10 - ORT005 - Personal Customer - OLB - Login from India - Triggering the rule Positive Scenario 1</t>
  </si>
  <si>
    <t>OLB-FRAUD-02 - V10 - ORT005 - Small Business Customer - Mobile IOS - Login from India - Triggering the rule Positive Scenario 2</t>
  </si>
  <si>
    <t>OLB-FRAUD-03 - V10 - ORT005 - Personal Customer - OLB - Login from Seatle MST - False positive Scenario 3</t>
  </si>
  <si>
    <t>OLB-FRAUD-02 - V10 - ORT005 - Small Business Customer - Mobile IOS - Login from Vancouver - False Positive Scenario 2</t>
  </si>
  <si>
    <t>OLB-FRAUD-01 - V10 - ORT006 - Personal Customer - OLB - Triggering the rule Positive Scenario 1</t>
  </si>
  <si>
    <t>OLB-FRAUD-03 - V10 - ORT006 - Personal Customer - OLB - Only transaction in last 24 hours - False Positive Scenario 1</t>
  </si>
  <si>
    <t>OLB-FRAUD-01 - V10 - ORT006 - Personal Customer - OLB - 2 transactions are more than 24 hours apart - False Positive Scenario 1</t>
  </si>
  <si>
    <t>OLB-FRAUD-02 - V10 - ORT029 - Small Business Customer - Mobile IOS - Flow 1(Login-Benificiary added for Etransfer + Etransfer within 70mins) Triggering the rule Positive Scenario 2</t>
  </si>
  <si>
    <t>OLB-FRAUD-03 - V10 - ORT029 - Personal Customer - OLB - Flow 1(Login-Benificiary added for eTransfer  + Bill payment within 70mins)- Triggering the rule Positive Scenario 3</t>
  </si>
  <si>
    <t>OLB-FRAUD-04 - V10 - ORT029 - Small Business Customer - Mobile Android - Flow 1(Login-Benificiary added for Bill Payment + Etransfer within 70mins) Triggering the rule Positive Scenario 4</t>
  </si>
  <si>
    <t>OLB-FRAUD-06 - V10 - ORT029 - Small Business Customer - OLB - Flow 2(Login from new Ip – Modify or add etransfer recipient in past 48 hours – Etransfer Payment for Transaction Amt &gt; $805 Then Event Score 150)- Triggering the rule Positive Scenario 2</t>
  </si>
  <si>
    <t>OLB-FRAUD-07 - V10 - ORT029 - Personal Customer - MOB IOS - Flow 2(Login from new Ip – Modify or add etransfer recipient in past 48 hours – Etransfer or Bill Payment for Transaction Amt &gt; $805 Then Event Score 150)- Triggering the rule Positive Scenario 3</t>
  </si>
  <si>
    <t>OLB-FRAUD-08 - V10 - ORT029 - Small Business Customer - MOBAndroid- Flow 2(Login from new Ip – Modify or add etransfer recipient in past 48 hours – Etransfer Payment for Transaction Amt &gt; $805 Then Event Score 150)- Triggering the rule Positive Scenario 4</t>
  </si>
  <si>
    <t>OLB-FRAUD-10 - V10 - ORT029 - Small Business Customer - OLB - Flow 3(Login Existing Ip – No eTransfer recipient in past 48 hours – No Err - 3 Etransfer Sum &gt; $4500 Then Event Score 120)- Triggering the rule Positive Scenario 2</t>
  </si>
  <si>
    <t>OLB-FRAUD-09 - V10 - ORT029 - Personal Customer - MOB IOS - Flow 3(Login Existing Ip – No eTransfer recipient in past 48 hours – No Err - 3 Etransfer Sum &gt; $4500 Then Event Score 120)- Triggering the rule Positive Scenario 3</t>
  </si>
  <si>
    <t>OLB-FRAUD-09 - V10 - ORT029 - Small Business Customer - MOB Android- Flow 3(Login Existing Ip – No eTransfer recipient in past 48 hours – No Err - 3 Etransfer Sum &gt; $4500 Then Event Score 120)- Triggering the rule Positive Scenario 4</t>
  </si>
  <si>
    <t>OLB-FRAUD-02 - V10 - ORT030 - Personal Customer - OLB - Triggering the rule Positive Scenario 1 condition 2</t>
  </si>
  <si>
    <t>OLB-FRAUD-03 - V10 - ORT030 - Personal Customer - OLB - Triggering the rule Positive Scenario 1 condition 3</t>
  </si>
  <si>
    <t>OLB-FRAUD-04 - V10 - ORT030 - Personal Customer - OLB - Triggering the rule Positive Scenario 4</t>
  </si>
  <si>
    <t>OLB-FRAUD-02 - V10 - ORT031 - Small Business - OLB - Logic TBD Triggering the rule Positive Scenario 1</t>
  </si>
  <si>
    <t>OLB-FRAUD-03 - V10 - ORT031 - Personal Customer - IOS- Logic TBD Triggering the rule Positive Scenario 1</t>
  </si>
  <si>
    <t>OLB-FRAUD-04 - V10 - ORT031 - Small Business - Android - Logic TBD Triggering the rule Positive Scenario 1</t>
  </si>
  <si>
    <t>OLB-FRAUD-05 - V10 - ORT031 - Personal Customer - OLB - Logic False Positive Scenario 2</t>
  </si>
  <si>
    <t>OLB-FRAUD-06 - V10 - ORT031 - Small Business - OLB - Logic false Positive Scenario 3</t>
  </si>
  <si>
    <t>OLB-FRAUD-03 - V10 - ORT031 - Personal Customer - IOS- Logic false Positive Scenario 4</t>
  </si>
  <si>
    <t>OLB-FRAUD-08 - V10 - ORT031 - Small Business - Android - Logic TBD Triggering the rule Positive Scenario 5</t>
  </si>
  <si>
    <t>OLB-FRAUD-01 - V10 - ORT032 - Small Business Customer - Mobile IOS - Triggering the rule Positive Scenario 1</t>
  </si>
  <si>
    <t>OLB-FRAUD-03 - V10 - ORT032 - Small Business Customer - OLB - Triggering the rule Positive Scenario 3</t>
  </si>
  <si>
    <t>OLB-FRAUD-04 - V10 - ORT032 - Small Business Customer - Mobile Android- Triggering the rule Positive Scenario 4</t>
  </si>
  <si>
    <t>OLB-FRAUD-02 - V10 - ORT033 - Personal Customer - OLB - Logic Triggering the rule Positive Scenario 2</t>
  </si>
  <si>
    <t>OLB-FRAUD-03 - V10 - ORT033 - Small Business - MOB IOS- Logic Triggering the rule Positive Scenario 1</t>
  </si>
  <si>
    <t>OLB-FRAUD-02 - V10 - ORT033 - Small Business - Android- Logic Triggering the rule Positive Scenario 2</t>
  </si>
  <si>
    <t>MOB-E2E-IeT-06 - V1 - Verify user can send an Interac e-Transfer to a recipient (email and mobile number) - existing recipient with Autodeposit.</t>
  </si>
  <si>
    <t>MOB-E2E-IeT-11 - V1 - Verify user can send an Interac e-Transfer to a recipient (Mobile Number) - New recipient with Autodeposit.</t>
  </si>
  <si>
    <t>MOB-E2E-Login - 01 - V1 - Verify first time login</t>
  </si>
  <si>
    <t>no test cases</t>
  </si>
  <si>
    <t>OLB-E2E-Login - 01 - V2 - Verify first time login</t>
  </si>
  <si>
    <t>OLB-E2E-PBT-56 - V1 - Pay CRA Taxes - Verify user can File and Remit - Future - No approvals - Form GST62-3</t>
  </si>
  <si>
    <t>OLB-E2E-PBT-18 - V1 - Pay PROV Taxes - Verify user can pay the amount owing - Future - No approvals - Form AT4990</t>
  </si>
  <si>
    <t>MOB-E2E-AD-05 - V1 - Accounts - Verify Account Details - Mortgage</t>
  </si>
  <si>
    <t>OLB-E2E-AD-01 - V1 - Account Dashboard - Verify all accounts for the client from T24 are displayed with the correct balances</t>
  </si>
  <si>
    <t xml:space="preserve"> </t>
  </si>
  <si>
    <t>MOB - E2E - BP - 20 - V1 - Verify bill payment - Cancel - Once - Current date - No Approvals</t>
  </si>
  <si>
    <t>OLB-E2E-FT-05 - V1 - Fund Transfer - Transfer between own and other CWB account - same currency - recurring - future dated - no approvals</t>
  </si>
  <si>
    <t>OLB - E2E - BP - 12 - V1 - Verify bill payment - Recurring - Monthly - Number of Recurrences - No Approvals</t>
  </si>
  <si>
    <t>OLB-CRADD-11 - V1 - CRA Direct Deposit for Businesses - Verify Date of Birth field</t>
  </si>
  <si>
    <t>MOB-E2E-IeT-05 - V1 - Verify user can send an Interac e-Transfer to a recipient (mobile number) - existing recipient with Autodeposit.</t>
  </si>
  <si>
    <t>OLB-E2E-IeT-05 - V1 - Verify user can send an Interac e-Transfer to a recipient (mobile number) - existing recipient with auto deposit</t>
  </si>
  <si>
    <t>OLB-E2E-IeT-06 - V1 - Verify user can send an Interac e-Transfer to a recipient (email and mobile number) - existing recipient with auto deposit</t>
  </si>
  <si>
    <t>OLB-E2E-IeT-11 - V1 - Verify user can send an Interac e-Transfer to a recipient (mobile number) - New recipient with Autodeposit</t>
  </si>
  <si>
    <t>MOB-E2E-FT-02a - V1 - Fund Transfer - Beneficiary management - Setup account recipients - valid account - SB</t>
  </si>
  <si>
    <t>MOB-E2E-FT-24 - V1 - Fund Transfer - Transfer with 2 approvals</t>
  </si>
  <si>
    <t>MOB-E2E-FT-25 - V1 - Fund Transfer - Transfer with rejection</t>
  </si>
  <si>
    <t>OLB-E2E-FT-04 - V1 - Fund Transfer - Transfer between own and other CWB account - same currency - once - future dated - no approvals</t>
  </si>
  <si>
    <t>OLB-E2E-FT-07 - V1 - Fund Transfer - Transfer between own and other CWB account - cross currency - once - future dated - no approvals</t>
  </si>
  <si>
    <t>OLB-E2E-FT-09 - V1 - Fund Transfer - Transfer between own accounts - same currency - recurring - future dated - no approvals</t>
  </si>
  <si>
    <t>OLB-E2E-FT-12 - V1 - Fund Transfer - Transfer between own accounts - cross currency - recurring - future dated - no approvals</t>
  </si>
  <si>
    <t>OLB-E2E-FT-15 - V1 - Fund Transfer - Ensure user can't transfer when there are customer restrictions - retail</t>
  </si>
  <si>
    <t>OLB-E2E-FT-17 - V1 - Fund Transfer - Ensure user can't transfer when there are customer restrictions - Ret</t>
  </si>
  <si>
    <t>OLB-E2E-FT-26 - V1 - Fund Transfer - Recall - 1 Approver</t>
  </si>
  <si>
    <t>OLB-E2E-FT-23 - V1 - Fund Transfer - Transfer with 1 approval</t>
  </si>
  <si>
    <t>OLB-E2E-FT-24 - V1 - Fund Transfer - Transfer with 2 approvals</t>
  </si>
  <si>
    <t>OLB-E2E-FT-25 - V1 - Fund Transfer - Transfer with rejection</t>
  </si>
  <si>
    <t>OLB-E2E-FT-19 - V1 - Fund Transfer - Ensure transfer can't occur to an invalid account</t>
  </si>
  <si>
    <t>OLB-E2E-PBT-115 - V1 - Pay CRA Taxes - Verify user can pay current year - Future - No approvals - Form PD4R - Payroll Tax</t>
  </si>
  <si>
    <t>SOW3 - OLB - 710 - Pay Business Taxes - AB Template - Verify form's filing fields - AT4990, AT362, AT363, AT360, AT300, AT317, AT5100</t>
  </si>
  <si>
    <t>OLB-E2E-PBT-17 - V1 - Pay PROV Taxes - Verify user can pay the amount owing - Future - No approvals - Form ATCLID</t>
  </si>
  <si>
    <t>OLB-E2E-SC-04 - V1 - Stop Cheque Payment - Verify Series of Cheques Stop Request - Without payee - no approvals</t>
  </si>
  <si>
    <t>OLB-FRAUD-69 - V12 - Navaera Field Validation - Personal Customer  - Android - Validate Navaera field HTTP_LOCAL_TIME = Infinity field To be mapped</t>
  </si>
  <si>
    <t>OLB-FRAUD-75 - V12 - Navaera Field Validation - Personal Customer  - Android - Validate Navaera field transferReferenceNumber = Infinity field MONEY MOVEMENT REFID</t>
  </si>
  <si>
    <t>OLB-FRAUD-02 - V10 - ORT006 - Small Business Customer - OLB/MOB - Triggering the rule Positive Scenario 2</t>
  </si>
  <si>
    <t>OLB-FRAUD-01 - V10 - ORT029 - Personal Customer - OLB - Flow 1(Login-Benificiary added for Bill Payment  + Bill payment within 70mins)- Triggering the rule Positive Scenario 1</t>
  </si>
  <si>
    <t>OLB-FRAUD-05 - V10 - ORT029 - Personal Customer - OLB - Flow 2(Login from new Ip – Modify or add etransfer recipient in past 48 hours – Etransfer or Bill Payment for Transaction Amt &gt; $805 Then Event Score 150)- Triggering the rule Positive Scenario 1</t>
  </si>
  <si>
    <t>OLB-FRAUD-09 - V10 - ORT029 - Personal Customer - OLB - Flow 3(Login Existing Ip – No eTransfer recipient in past 48 hours – No Err - 3 Etransfer Sum &gt; $4500 Then Event Score 120)- Triggering the rule Positive Scenario 1</t>
  </si>
  <si>
    <t>OLB-FRAUD-01 - V10 - ORT030 - Personal Customer - OLB - Triggering the rule Positive Scenario 1 condition 1</t>
  </si>
  <si>
    <t>OLB-FRAUD-01 - V10 - ORT031 - Personal Customer - OLB - Logic Triggering the rule Positive Scenario 1</t>
  </si>
  <si>
    <t>OLB-FRAUD-01 - V10 - ORT032 - Personal Customer - OLB - Triggering the rule Positive Scenario 2</t>
  </si>
  <si>
    <t>OLB-FRAUD-01 - V10 - ORT033 - Personal Customer - OLB - Logic Triggering the rule Positive Scenario 1</t>
  </si>
  <si>
    <t>OLB - DM - E2E-02 - V1 - Verify successful data migration - SB</t>
  </si>
  <si>
    <t>OLB - DM - E2E-03 - V1 - Verify successful data migration - Consolidated 1 retail and 1 SB</t>
  </si>
  <si>
    <t># Blocked Tests</t>
  </si>
  <si>
    <t>Severity</t>
  </si>
  <si>
    <t>Assigned To</t>
  </si>
  <si>
    <t>State</t>
  </si>
  <si>
    <t>Created Date</t>
  </si>
  <si>
    <t>Fraud/Navaera ORT004 is not generated for the two transactions ids.</t>
  </si>
  <si>
    <t>3 - Medium</t>
  </si>
  <si>
    <t>New</t>
  </si>
  <si>
    <t>OLB MOB - Mortgage Account details is using the Renewal Date as the Maturity Date</t>
  </si>
  <si>
    <t>Janice Casey</t>
  </si>
  <si>
    <t>INFINITY-7108</t>
  </si>
  <si>
    <t>OLB - Contact details were not displayed for the migrated user to verify/confirm after initial login  - RETAIL users</t>
  </si>
  <si>
    <t>1 - Critical</t>
  </si>
  <si>
    <t>INFINITY-7118</t>
  </si>
  <si>
    <t>INFINITY-7118 OLB - CRA Direct Deposit for Individuals : consentInformationText variable in API payload contains the variable name instead of actual information</t>
  </si>
  <si>
    <t>Azfar Karimuddin</t>
  </si>
  <si>
    <t>INFINITY-7117</t>
  </si>
  <si>
    <t>INFINITY-7117 OLB - Pay Business Taxes - Unable to submit PD4R tax form payment for both current and future date.</t>
  </si>
  <si>
    <t>R1.1</t>
  </si>
  <si>
    <t>OLB - Spotlight - The SL application does not log out and displays a blank error on the bottom of the page.</t>
  </si>
  <si>
    <t>Fraud/Navaera - ADMIN USER and ADMIN USER ROLE columns are Null</t>
  </si>
  <si>
    <t>INFINITY-7098</t>
  </si>
  <si>
    <t>Fraud/Navaera - MONEY MOVEMENT REFID sent is Null for all transaction events Transfer Reference Number</t>
  </si>
  <si>
    <t>INFINITY-7076</t>
  </si>
  <si>
    <t>INFINITY-7076 OLB &amp; MOB - Pay Bills - User is unable to cancel the same day scheduled recurring bill payment.</t>
  </si>
  <si>
    <t>2 - High</t>
  </si>
  <si>
    <t>Anil Kumar</t>
  </si>
  <si>
    <t>INFINITY-7063</t>
  </si>
  <si>
    <t>OLB - Interac e-Transfer - SEND_MONEY - Unsuccessful Etransfer events are contributing towards a P2P daily limit</t>
  </si>
  <si>
    <t>INFINITY-7062</t>
  </si>
  <si>
    <t>OLB - Interac e-Transfer - SEND_MONEY - Send an Interac e-Transfer® page Date field timezone is not equivalent to MST</t>
  </si>
  <si>
    <t>INFINITY-7052</t>
  </si>
  <si>
    <t>Fraud/Navaera - Successful Transactions made during the night(may be COB time) are not sent to Navaera - Money is deducted from the accounts</t>
  </si>
  <si>
    <t>INFINITY-7047</t>
  </si>
  <si>
    <t>MOB - IOS -  Bill Payments - REGISTERED_BILL_PAYMENT - Bill payment confirmation page made using IOS does not have payee account number</t>
  </si>
  <si>
    <t>INFINITY-7031</t>
  </si>
  <si>
    <t>OLB - Etransfer - Add Etransfer Recipient - After Adding the etransfer recipient, send money in the create etransfer wizard and we cannot find the added recipient</t>
  </si>
  <si>
    <t>INFINITY-7026</t>
  </si>
  <si>
    <t>Fraud/Navaera ORT029 High Risk eTransfers – Score 120 failed Client Care Issue Logged: NOD-33244</t>
  </si>
  <si>
    <t>INFINITY-7025</t>
  </si>
  <si>
    <t>INFINITY-7025 OLB - Interac e-Transfer -  Autodeposit fails for recipient where the method of transfer is Mobile Number</t>
  </si>
  <si>
    <t>Mark Doubinin</t>
  </si>
  <si>
    <t>INFINITY-6958</t>
  </si>
  <si>
    <t>INFINITY-6958 OLB - Pay Business Taxes - Provincial and CRA - When Payment Date is next year an error message is displayed upon submit</t>
  </si>
  <si>
    <t>OLB - Pay Business Taxes - Provincial - AB Template - Payment Amount error message not as per spec</t>
  </si>
  <si>
    <t>INFINITY-6945</t>
  </si>
  <si>
    <t>OLB - FT and BP - SB - The Effective Date on the Transaction Approval Acknowledgement page is backdated by 1 day.</t>
  </si>
  <si>
    <t>INFINITY-6939</t>
  </si>
  <si>
    <t>INFINITY-6939 Fraud/Navaera - ORT004 Multi-Time Zones per User per Day failed</t>
  </si>
  <si>
    <t>INFINITY-6937</t>
  </si>
  <si>
    <t>INFINITY-6937 Fraud/Navaera - ORT021 Mobile Device Usage Rule – not working as expected - Client Care Issue Logged: NOD-33208</t>
  </si>
  <si>
    <t>INFINITY-6931</t>
  </si>
  <si>
    <t>INFINITY-6931 OLB - MOB - Login - App behaviour gives 400 error message if you don't remove app from phone after logout.</t>
  </si>
  <si>
    <t>Infinity-6921</t>
  </si>
  <si>
    <t>Infinity-6921 OLB - e-transfers - MOB - SMS not received when recipient set up for both email and mobile.</t>
  </si>
  <si>
    <t>INFINITY-6909</t>
  </si>
  <si>
    <t>INFINITY-6909 OLB - DM - Business CIF with a combined Personal CIF not created</t>
  </si>
  <si>
    <t>Not fixed</t>
  </si>
  <si>
    <t>INFINITY-5276</t>
  </si>
  <si>
    <t>INFINITY-5276 OLB - MOB - Unable to access QA02 URL from a tablet or mobile phone - get 403 error</t>
  </si>
  <si>
    <t>Harish Pocharam</t>
  </si>
  <si>
    <t>OLB_SB_Alerts_No SMS/Text is recived after adding a new recipient</t>
  </si>
  <si>
    <t>Pooja Walia</t>
  </si>
  <si>
    <t>INFINITY-6885</t>
  </si>
  <si>
    <t>INFINITY-6885 OLB Inconsistent email and text sent for sender reminder vs system generated e-Transfer reminder</t>
  </si>
  <si>
    <t>SBDCO - Resume Business Form' Page - displays an X that is not in latest FS</t>
  </si>
  <si>
    <t>OLB_SB_Mobile_Login Screen_improper display for cards</t>
  </si>
  <si>
    <t>INFINITY-6871</t>
  </si>
  <si>
    <t>INFINITY-6871 Fraud/Navaera - ORT017 High Velocity ATO EMT Rule - Rule failed - Client Care Issue Logged: NOD-33138</t>
  </si>
  <si>
    <t>INFINITY-6869</t>
  </si>
  <si>
    <t>INFINITY-6869 OLB Transaction output different when downloaded from different areas</t>
  </si>
  <si>
    <t>Ready For Release</t>
  </si>
  <si>
    <t>INFINITY-6867</t>
  </si>
  <si>
    <t>INFINITY-6867 OLB - CRA Direct Deposit for Businesses: Date of Birth allows Corporate Officer to be under 18</t>
  </si>
  <si>
    <t>Chix Dela Luna</t>
  </si>
  <si>
    <t>OLB - Account Dashboard - Available Balance on Accounts dashboard displays Working Balance</t>
  </si>
  <si>
    <t>INFINITY-6847</t>
  </si>
  <si>
    <t>INFINITY-6847 OLB - Feedback - Feedback cannot be found and viewed in Spotlight.</t>
  </si>
  <si>
    <t>NOD-33107</t>
  </si>
  <si>
    <t>Fraud Navaera - Navaera Tuple is accepting duplicates</t>
  </si>
  <si>
    <t>SBDCO - Authorized Signer - Name &amp; Address - Address field line should be the same as applicant</t>
  </si>
  <si>
    <t>SBDCO - Previously Submitted - Displays extra text, should not</t>
  </si>
  <si>
    <t>INFINITY-6834</t>
  </si>
  <si>
    <t>INFINITY-6834 OLB e-Transfer "Request" declined AC needs to be revised</t>
  </si>
  <si>
    <t>INFINITY-6829</t>
  </si>
  <si>
    <t>INFINITY-6829 OLB Interac e-Transfer History Declined transactions are getting set to expired</t>
  </si>
  <si>
    <t>INFINITY-6828</t>
  </si>
  <si>
    <t>INFINITY-6828 OLB - Pay Business Taxes - The Provincial tax acknowledgement screen for future dated txns has incorrect success message.</t>
  </si>
  <si>
    <t>OLB Retail  - MOB - Log in - returning user -  cropped features and blue line issue</t>
  </si>
  <si>
    <t>SBDCO - Non-Signing Owners - Residential address - Manual - allows special characters - specifically  \</t>
  </si>
  <si>
    <t>OLB - 'Notes' field in Transfer between accounts is limited to only 30 characters.</t>
  </si>
  <si>
    <t>Raj Sanghamreddy</t>
  </si>
  <si>
    <t>INFINITY-6765</t>
  </si>
  <si>
    <t>INFINITY-6765 OLB - OLB and MOBILE - Bill Payment - Scheduled Payments screen - sort order defaults to date descending when ascending makes more sense</t>
  </si>
  <si>
    <t>OLB MOB - e-Transfer recipient with "+" in the email address hangs the app and you have to force stop</t>
  </si>
  <si>
    <t>OLB - Notes field is displaying default text 'Online Transfer Out followed by To Account Number'</t>
  </si>
  <si>
    <t>INFINITY-6740</t>
  </si>
  <si>
    <t>INFINITY-6740 OLB e-Transfer History Calendar pop up for "From" appears below "To"</t>
  </si>
  <si>
    <t>OLB - Retail - Mobile - Support &amp; About Us - empty phone number and email address</t>
  </si>
  <si>
    <t>SBDCO - ID Scan page - Back button - Modal not displayed s per Figma</t>
  </si>
  <si>
    <t>INFINITY-6609</t>
  </si>
  <si>
    <t>INFINITY-6609 OLB - Bill Payment - Recurring Scheduled BP -  UI issue on Acknowledgement screen-Overlapping left and right screen panel.</t>
  </si>
  <si>
    <t>PACS00915812</t>
  </si>
  <si>
    <t>DCO Process causes Error in QADIG T24 Transact Environment</t>
  </si>
  <si>
    <t>INFINITY-6433</t>
  </si>
  <si>
    <t>INFINITY-6433 OLB - User Management - Activation Security Code received is 3 digits not 6 digits.</t>
  </si>
  <si>
    <t>INFINITY-6337</t>
  </si>
  <si>
    <t>INFINITY-6337 OLB - Account Details – Transactions tab :  Mortgage transactions are showing the incorrect Balance</t>
  </si>
  <si>
    <t>INFINITY-6286</t>
  </si>
  <si>
    <t>INFINITY-6286 OLB - Pay Business Taxes - The GST34 Netfile does not display the "I wish to make my GST34 NETFILE  tax payment" on a new screen.</t>
  </si>
  <si>
    <t>OLB-FRAUD - QA02 environment is not configured, json request is not sent to mule</t>
  </si>
  <si>
    <t>OLB and SBB_Contact US_Design issues</t>
  </si>
  <si>
    <t>OLB Retail_Move Money_FX calculator Widget_Incorrect number formatting at Amount form</t>
  </si>
  <si>
    <t>INFINITY-5729</t>
  </si>
  <si>
    <t>INFINITY-5729 Survey pop up displays on session timeout and log out screens</t>
  </si>
  <si>
    <t>INFINITY-5723</t>
  </si>
  <si>
    <t>INFINITY-5723 OLB Retail_Menu Navigation_Feedback_Survey link is not available</t>
  </si>
  <si>
    <t>OLB - Pay Business Taxes - File and Remit - Submit doesn't work on acknowledgement page for all tax forms</t>
  </si>
  <si>
    <t>OLB - Pay Business Taxes - File and Remit - Modify doesn't work on acknowledgement page for all tax forms</t>
  </si>
  <si>
    <t>OLB - Pay Business Taxes - File and Remit - Cancel dialogue too wide on acknowledgement page</t>
  </si>
  <si>
    <t>INFINITY-5027</t>
  </si>
  <si>
    <t>INFINITY-5027 OLB - Stop PAP Request : Cancel button on the initial Stop PAP Request doesn't have a confirmation modal</t>
  </si>
  <si>
    <t>INFINITY-4950</t>
  </si>
  <si>
    <t>INFINITY-4950 OLB - Bill Payments - One time payment - Clicking cancel on the 1st entry page does not bring up cancel dialogue.</t>
  </si>
  <si>
    <t>INFINITY-4951</t>
  </si>
  <si>
    <t>INFINITY-4951 OLB - Bill Payments - Recurring - Clicking cancel on the 1st entry page does not bring up cancel dialogue.</t>
  </si>
  <si>
    <t>INFINITY-4945</t>
  </si>
  <si>
    <t>INFINITY-4945 OLB - Stop Cheque Request : Cancel button on the initial Stop Cheque Request doesn't have a confirmation modal</t>
  </si>
  <si>
    <t>INFINITY-4899</t>
  </si>
  <si>
    <t>INFINITY-4899 OLB - Statements - Statements are shown for every year and month going back 7 years prior to the customer even being created</t>
  </si>
  <si>
    <t>NA - for  now - need other acct types 1st - OLB - Stop Cheques Requests page - Only chequing or savings accounts can have a stop cheque created but all account types display in dropdown list.</t>
  </si>
  <si>
    <t>INFINITY-4739</t>
  </si>
  <si>
    <t>INFINITY-4739 OLB - Stop Cheques Requests page - Usability - Need to display all stop cheques at once and have a filter.</t>
  </si>
  <si>
    <t>INFINITY-4470</t>
  </si>
  <si>
    <t>INFINITY-4470 OLB - Interac e-Transfer - Add New Recipient - The Request anInterac e-Transfer button is highlighted on the Acknowledgement screen of Add Recipient.</t>
  </si>
  <si>
    <t>INFINITY-4310</t>
  </si>
  <si>
    <t>INFINITY-4310 OLB - BP - One time current dated BP process does not match AC or Mockup stories for retail customer.</t>
  </si>
  <si>
    <t>JIRA</t>
  </si>
  <si>
    <t>1B 2F</t>
  </si>
  <si>
    <t>14B</t>
  </si>
  <si>
    <t>5F</t>
  </si>
  <si>
    <t>1F</t>
  </si>
  <si>
    <t>Linked to 8 bugs</t>
  </si>
  <si>
    <t>Retail</t>
  </si>
  <si>
    <t>Business</t>
  </si>
  <si>
    <t>AS of 12:51pm Aug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</si>
</sst>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i/>
      <sz val="14"/>
      <color rgb="FF000000"/>
      <name val="Calibri"/>
      <family val="2"/>
    </font>
    <font>
      <b/>
      <i/>
      <sz val="15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9" fontId="0" fillId="0" borderId="0" xfId="2" applyNumberFormat="1" applyFont="1" applyAlignment="1">
      <alignment vertical="center"/>
    </xf>
    <xf numFmtId="0" fontId="3" fillId="0" borderId="0" xfId="0" pivotButton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9" fontId="0" fillId="0" borderId="0" xfId="2" applyNumberFormat="1" applyFont="1" applyBorder="1" applyAlignment="1">
      <alignment vertical="center"/>
    </xf>
    <xf numFmtId="0" fontId="1" fillId="9" borderId="0" xfId="0" applyFont="1" applyFill="1" applyAlignment="1">
      <alignment vertical="center"/>
    </xf>
    <xf numFmtId="9" fontId="3" fillId="0" borderId="0" xfId="2" applyNumberFormat="1" applyFont="1" applyFill="1" applyAlignment="1">
      <alignment vertical="center"/>
    </xf>
    <xf numFmtId="9" fontId="1" fillId="3" borderId="1" xfId="2" applyNumberFormat="1" applyFont="1" applyFill="1" applyBorder="1" applyAlignment="1">
      <alignment horizontal="center" vertical="center"/>
    </xf>
    <xf numFmtId="9" fontId="1" fillId="0" borderId="0" xfId="2" applyNumberFormat="1" applyFont="1" applyFill="1" applyBorder="1" applyAlignment="1">
      <alignment horizontal="center" vertical="center"/>
    </xf>
    <xf numFmtId="9" fontId="1" fillId="0" borderId="1" xfId="2" applyNumberFormat="1" applyFont="1" applyFill="1" applyBorder="1" applyAlignment="1">
      <alignment horizontal="center" vertical="center"/>
    </xf>
    <xf numFmtId="9" fontId="3" fillId="0" borderId="0" xfId="2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vertical="center"/>
    </xf>
    <xf numFmtId="9" fontId="7" fillId="0" borderId="10" xfId="0" applyNumberFormat="1" applyFont="1" applyBorder="1" applyAlignment="1">
      <alignment vertical="center"/>
    </xf>
    <xf numFmtId="9" fontId="7" fillId="0" borderId="1" xfId="2" applyFont="1" applyBorder="1" applyAlignment="1">
      <alignment vertical="center"/>
    </xf>
    <xf numFmtId="9" fontId="7" fillId="0" borderId="10" xfId="2" applyFont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7" borderId="0" xfId="0" applyFill="1" applyAlignment="1">
      <alignment vertical="center"/>
    </xf>
    <xf numFmtId="9" fontId="5" fillId="4" borderId="1" xfId="0" applyNumberFormat="1" applyFont="1" applyFill="1" applyBorder="1" applyAlignment="1">
      <alignment horizontal="center" vertical="center"/>
    </xf>
    <xf numFmtId="9" fontId="8" fillId="0" borderId="0" xfId="0" applyNumberFormat="1" applyFont="1" applyFill="1" applyBorder="1" applyAlignment="1">
      <alignment vertical="center" wrapText="1"/>
    </xf>
    <xf numFmtId="0" fontId="3" fillId="7" borderId="0" xfId="0" applyFont="1" applyFill="1" applyBorder="1" applyAlignment="1">
      <alignment vertical="center"/>
    </xf>
    <xf numFmtId="9" fontId="10" fillId="10" borderId="1" xfId="2" applyFont="1" applyFill="1" applyBorder="1" applyAlignment="1">
      <alignment horizontal="center" vertical="center" wrapText="1"/>
    </xf>
    <xf numFmtId="9" fontId="9" fillId="0" borderId="0" xfId="2" quotePrefix="1" applyFont="1" applyFill="1" applyBorder="1" applyAlignment="1">
      <alignment vertical="center"/>
    </xf>
    <xf numFmtId="0" fontId="0" fillId="7" borderId="0" xfId="0" applyFill="1" applyBorder="1" applyAlignment="1">
      <alignment vertical="center"/>
    </xf>
    <xf numFmtId="9" fontId="5" fillId="4" borderId="0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center" vertical="center" wrapText="1"/>
    </xf>
    <xf numFmtId="9" fontId="5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9" fontId="10" fillId="2" borderId="0" xfId="2" applyFont="1" applyFill="1" applyBorder="1" applyAlignment="1">
      <alignment horizontal="center" vertical="center" wrapText="1"/>
    </xf>
    <xf numFmtId="9" fontId="10" fillId="8" borderId="0" xfId="2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5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center" vertical="center" wrapText="1"/>
    </xf>
    <xf numFmtId="9" fontId="5" fillId="5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vertical="center"/>
    </xf>
    <xf numFmtId="9" fontId="0" fillId="0" borderId="0" xfId="2" applyNumberFormat="1" applyFont="1" applyFill="1" applyBorder="1" applyAlignment="1">
      <alignment vertical="center"/>
    </xf>
    <xf numFmtId="165" fontId="6" fillId="0" borderId="0" xfId="1" applyNumberFormat="1" applyFont="1" applyFill="1" applyBorder="1" applyAlignment="1">
      <alignment horizontal="right" vertical="center" wrapText="1"/>
    </xf>
    <xf numFmtId="9" fontId="6" fillId="0" borderId="0" xfId="2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right" vertical="center" wrapText="1"/>
    </xf>
    <xf numFmtId="9" fontId="5" fillId="0" borderId="0" xfId="2" applyFont="1" applyFill="1" applyBorder="1" applyAlignment="1">
      <alignment horizontal="center" vertical="center" wrapText="1"/>
    </xf>
    <xf numFmtId="9" fontId="0" fillId="0" borderId="0" xfId="2" applyFont="1" applyBorder="1" applyAlignment="1">
      <alignment vertical="center"/>
    </xf>
    <xf numFmtId="9" fontId="0" fillId="0" borderId="0" xfId="0" applyNumberForma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center" vertical="center"/>
    </xf>
    <xf numFmtId="10" fontId="3" fillId="0" borderId="0" xfId="2" applyNumberFormat="1" applyFont="1" applyFill="1" applyBorder="1" applyAlignment="1">
      <alignment horizontal="center" vertical="center"/>
    </xf>
    <xf numFmtId="9" fontId="0" fillId="0" borderId="0" xfId="0" applyNumberFormat="1" applyBorder="1" applyAlignment="1">
      <alignment vertical="center"/>
    </xf>
    <xf numFmtId="0" fontId="3" fillId="0" borderId="0" xfId="0" applyFont="1" applyBorder="1" applyAlignment="1">
      <alignment vertical="center"/>
    </xf>
    <xf numFmtId="9" fontId="1" fillId="5" borderId="0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Fill="1" applyBorder="1" applyAlignment="1">
      <alignment vertical="center"/>
    </xf>
    <xf numFmtId="9" fontId="13" fillId="0" borderId="0" xfId="2" applyNumberFormat="1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pivotButton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64" fontId="3" fillId="11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9" fontId="14" fillId="4" borderId="1" xfId="0" applyNumberFormat="1" applyFont="1" applyFill="1" applyBorder="1" applyAlignment="1">
      <alignment horizontal="center" vertical="center" wrapText="1"/>
    </xf>
    <xf numFmtId="9" fontId="14" fillId="4" borderId="10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left" vertical="center" wrapText="1"/>
    </xf>
    <xf numFmtId="165" fontId="14" fillId="4" borderId="11" xfId="0" applyNumberFormat="1" applyFont="1" applyFill="1" applyBorder="1" applyAlignment="1">
      <alignment horizontal="right" vertical="center" wrapText="1"/>
    </xf>
    <xf numFmtId="165" fontId="14" fillId="4" borderId="11" xfId="0" applyNumberFormat="1" applyFont="1" applyFill="1" applyBorder="1" applyAlignment="1">
      <alignment horizontal="center" vertical="center" wrapText="1"/>
    </xf>
    <xf numFmtId="9" fontId="14" fillId="4" borderId="11" xfId="2" applyNumberFormat="1" applyFont="1" applyFill="1" applyBorder="1" applyAlignment="1">
      <alignment horizontal="center" vertical="center" wrapText="1"/>
    </xf>
    <xf numFmtId="9" fontId="14" fillId="4" borderId="5" xfId="2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5" fillId="4" borderId="9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9" fontId="2" fillId="0" borderId="0" xfId="2" applyNumberFormat="1" applyFont="1" applyBorder="1" applyAlignment="1">
      <alignment vertical="center"/>
    </xf>
    <xf numFmtId="0" fontId="0" fillId="5" borderId="0" xfId="0" applyFont="1" applyFill="1" applyAlignment="1">
      <alignment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4" fillId="13" borderId="12" xfId="0" applyFont="1" applyFill="1" applyBorder="1" applyAlignment="1">
      <alignment horizontal="left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left" vertical="center"/>
    </xf>
    <xf numFmtId="164" fontId="17" fillId="13" borderId="1" xfId="0" applyNumberFormat="1" applyFont="1" applyFill="1" applyBorder="1" applyAlignment="1">
      <alignment horizontal="center" vertical="center"/>
    </xf>
    <xf numFmtId="9" fontId="4" fillId="12" borderId="1" xfId="2" applyFont="1" applyFill="1" applyBorder="1" applyAlignment="1">
      <alignment horizontal="center" vertical="center"/>
    </xf>
    <xf numFmtId="18" fontId="0" fillId="0" borderId="0" xfId="0" applyNumberFormat="1" applyAlignment="1">
      <alignment vertical="center"/>
    </xf>
    <xf numFmtId="0" fontId="16" fillId="0" borderId="1" xfId="0" applyFont="1" applyBorder="1" applyAlignment="1">
      <alignment vertical="center"/>
    </xf>
    <xf numFmtId="164" fontId="3" fillId="0" borderId="13" xfId="0" applyNumberFormat="1" applyFont="1" applyFill="1" applyBorder="1" applyAlignment="1">
      <alignment horizontal="center" vertical="center"/>
    </xf>
    <xf numFmtId="20" fontId="0" fillId="0" borderId="0" xfId="0" applyNumberFormat="1" applyFill="1" applyAlignment="1">
      <alignment vertical="center"/>
    </xf>
    <xf numFmtId="20" fontId="0" fillId="0" borderId="0" xfId="0" applyNumberFormat="1" applyFill="1" applyAlignment="1">
      <alignment horizontal="left" vertical="top"/>
    </xf>
    <xf numFmtId="20" fontId="0" fillId="0" borderId="0" xfId="0" applyNumberFormat="1"/>
    <xf numFmtId="0" fontId="0" fillId="0" borderId="1" xfId="0" applyBorder="1"/>
    <xf numFmtId="0" fontId="19" fillId="14" borderId="1" xfId="0" applyFont="1" applyFill="1" applyBorder="1" applyAlignment="1">
      <alignment horizontal="left" vertical="top"/>
    </xf>
    <xf numFmtId="0" fontId="19" fillId="14" borderId="1" xfId="0" applyFont="1" applyFill="1" applyBorder="1" applyAlignment="1">
      <alignment horizontal="left" vertical="top" wrapText="1"/>
    </xf>
    <xf numFmtId="0" fontId="19" fillId="14" borderId="0" xfId="0" applyFont="1" applyFill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16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21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22" fontId="0" fillId="0" borderId="1" xfId="0" applyNumberFormat="1" applyBorder="1"/>
    <xf numFmtId="0" fontId="0" fillId="5" borderId="1" xfId="0" applyFill="1" applyBorder="1"/>
    <xf numFmtId="22" fontId="0" fillId="5" borderId="1" xfId="0" applyNumberFormat="1" applyFill="1" applyBorder="1"/>
    <xf numFmtId="0" fontId="0" fillId="15" borderId="1" xfId="0" applyFill="1" applyBorder="1"/>
    <xf numFmtId="22" fontId="0" fillId="15" borderId="1" xfId="0" applyNumberFormat="1" applyFill="1" applyBorder="1"/>
    <xf numFmtId="20" fontId="0" fillId="0" borderId="0" xfId="0" applyNumberFormat="1" applyAlignment="1">
      <alignment vertical="center"/>
    </xf>
    <xf numFmtId="0" fontId="18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099"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</border>
    </dxf>
    <dxf>
      <border>
        <left/>
        <right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bottom/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  <horizontal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</border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left style="thin">
          <color indexed="64"/>
        </left>
        <vertical style="thin">
          <color indexed="64"/>
        </vertical>
      </border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i/>
      </font>
    </dxf>
    <dxf>
      <font>
        <i/>
      </font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alignment indent="6" readingOrder="0"/>
    </dxf>
    <dxf>
      <font>
        <b val="0"/>
      </font>
    </dxf>
    <dxf>
      <font>
        <b val="0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vertical style="thin">
          <color indexed="64"/>
        </vertic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i/>
      </font>
    </dxf>
    <dxf>
      <font>
        <b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i/>
      </font>
    </dxf>
    <dxf>
      <font>
        <b/>
      </font>
    </dxf>
    <dxf>
      <font>
        <b val="0"/>
      </font>
    </dxf>
    <dxf>
      <border>
        <bottom style="thin">
          <color indexed="64"/>
        </bottom>
        <vertical style="thin">
          <color indexed="64"/>
        </vertical>
      </border>
    </dxf>
    <dxf>
      <font>
        <b val="0"/>
      </font>
    </dxf>
    <dxf>
      <alignment indent="6" readingOrder="0"/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font>
        <b val="0"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alignment vertical="top" readingOrder="0"/>
    </dxf>
    <dxf>
      <alignment horizontal="center" indent="0" readingOrder="0"/>
    </dxf>
    <dxf>
      <border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i/>
      </font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ont>
        <i val="0"/>
      </font>
    </dxf>
    <dxf>
      <font>
        <i/>
      </font>
    </dxf>
    <dxf>
      <font>
        <i val="0"/>
      </font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ont>
        <b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 val="0"/>
      </font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 val="0"/>
      </font>
    </dxf>
    <dxf>
      <font>
        <b val="0"/>
      </font>
    </dxf>
    <dxf>
      <alignment wrapText="1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3" tint="0.59999389629810485"/>
      </font>
    </dxf>
    <dxf>
      <font>
        <color theme="3" tint="0.59999389629810485"/>
      </font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</border>
    </dxf>
    <dxf>
      <border>
        <left/>
        <right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bottom/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  <horizontal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</border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599993896298104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/>
      </font>
    </dxf>
    <dxf>
      <font>
        <i val="0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relativeIndent="1"/>
    </dxf>
    <dxf>
      <alignment relativeIndent="1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</border>
    </dxf>
    <dxf>
      <border>
        <left/>
        <right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bottom/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  <horizontal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</border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599993896298104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/>
      </font>
    </dxf>
    <dxf>
      <font>
        <i val="0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relativeIndent="1"/>
    </dxf>
    <dxf>
      <alignment relativeIndent="1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</border>
    </dxf>
    <dxf>
      <border>
        <left/>
        <right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bottom/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  <horizontal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</border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599993896298104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-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alignment relativeIndent="1" readingOrder="0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/>
      </font>
    </dxf>
    <dxf>
      <font>
        <i val="0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relativeIndent="1"/>
    </dxf>
    <dxf>
      <alignment relativeIndent="1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</border>
    </dxf>
    <dxf>
      <border>
        <left/>
        <right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bottom/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  <horizontal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</border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left style="thin">
          <color indexed="64"/>
        </left>
        <vertical style="thin">
          <color indexed="64"/>
        </vertical>
      </border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i/>
      </font>
    </dxf>
    <dxf>
      <font>
        <i/>
      </font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alignment indent="6" readingOrder="0"/>
    </dxf>
    <dxf>
      <font>
        <b val="0"/>
      </font>
    </dxf>
    <dxf>
      <font>
        <b val="0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vertical style="thin">
          <color indexed="64"/>
        </vertic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i/>
      </font>
    </dxf>
    <dxf>
      <font>
        <b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i/>
      </font>
    </dxf>
    <dxf>
      <font>
        <b/>
      </font>
    </dxf>
    <dxf>
      <font>
        <b val="0"/>
      </font>
    </dxf>
    <dxf>
      <border>
        <bottom style="thin">
          <color indexed="64"/>
        </bottom>
        <vertical style="thin">
          <color indexed="64"/>
        </vertical>
      </border>
    </dxf>
    <dxf>
      <font>
        <b val="0"/>
      </font>
    </dxf>
    <dxf>
      <alignment indent="6" readingOrder="0"/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font>
        <b val="0"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alignment vertical="top" readingOrder="0"/>
    </dxf>
    <dxf>
      <alignment horizontal="center" indent="0" readingOrder="0"/>
    </dxf>
    <dxf>
      <border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i/>
      </font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ont>
        <i val="0"/>
      </font>
    </dxf>
    <dxf>
      <font>
        <i/>
      </font>
    </dxf>
    <dxf>
      <font>
        <i val="0"/>
      </font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ont>
        <b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 val="0"/>
      </font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 val="0"/>
      </font>
    </dxf>
    <dxf>
      <font>
        <b val="0"/>
      </font>
    </dxf>
    <dxf>
      <alignment wrapText="1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3" tint="0.59999389629810485"/>
      </font>
    </dxf>
    <dxf>
      <font>
        <color theme="3" tint="0.59999389629810485"/>
      </font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ont>
        <color theme="3" tint="0.59999389629810485"/>
      </font>
    </dxf>
    <dxf>
      <font>
        <color theme="3" tint="0.59999389629810485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50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wrapText="1"/>
    </dxf>
    <dxf>
      <font>
        <b val="0"/>
      </font>
    </dxf>
    <dxf>
      <font>
        <b val="0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/>
      </font>
    </dxf>
    <dxf>
      <font>
        <b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font>
        <i val="0"/>
      </font>
    </dxf>
    <dxf>
      <font>
        <i/>
      </font>
    </dxf>
    <dxf>
      <font>
        <i val="0"/>
      </font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ont>
        <i/>
      </font>
    </dxf>
    <dxf>
      <font>
        <b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alignment horizontal="center" indent="0" readingOrder="0"/>
    </dxf>
    <dxf>
      <alignment vertical="top" readingOrder="0"/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</border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indent="6" readingOrder="0"/>
    </dxf>
    <dxf>
      <font>
        <b val="0"/>
      </font>
    </dxf>
    <dxf>
      <border>
        <bottom style="thin">
          <color indexed="64"/>
        </bottom>
        <vertical style="thin">
          <color indexed="64"/>
        </vertical>
      </border>
    </dxf>
    <dxf>
      <font>
        <b val="0"/>
      </font>
    </dxf>
    <dxf>
      <font>
        <b/>
      </font>
    </dxf>
    <dxf>
      <font>
        <i/>
      </font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i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vertical style="thin">
          <color indexed="64"/>
        </vertical>
      </border>
    </dxf>
    <dxf>
      <border>
        <left style="thin">
          <color indexed="64"/>
        </left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alignment indent="6" readingOrder="0"/>
    </dxf>
    <dxf>
      <font>
        <b val="0"/>
      </font>
    </dxf>
    <dxf>
      <font>
        <b val="0"/>
      </font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i/>
      </font>
    </dxf>
    <dxf>
      <font>
        <i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border>
        <left style="thin">
          <color indexed="64"/>
        </left>
        <vertical style="thin">
          <color indexed="64"/>
        </vertical>
      </border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59999389629810485"/>
        </patternFill>
      </fill>
    </dxf>
    <dxf>
      <font>
        <sz val="14"/>
      </font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border>
        <bottom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/>
        <horizontal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bottom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top/>
        <horizontal/>
      </border>
    </dxf>
    <dxf>
      <border>
        <left/>
        <right/>
      </border>
    </dxf>
    <dxf>
      <border>
        <left/>
        <right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599387985146391"/>
          <c:y val="0.10956926783693548"/>
          <c:w val="0.46390008146822526"/>
          <c:h val="0.80637961243306777"/>
        </c:manualLayout>
      </c:layout>
      <c:pieChart>
        <c:varyColors val="1"/>
        <c:ser>
          <c:idx val="0"/>
          <c:order val="0"/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357F-426C-8BFC-81C5229A2635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57F-426C-8BFC-81C5229A2635}"/>
              </c:ext>
            </c:extLst>
          </c:dPt>
          <c:dLbls>
            <c:dLbl>
              <c:idx val="0"/>
              <c:layout>
                <c:manualLayout>
                  <c:x val="-0.17222405429180432"/>
                  <c:y val="-0.2183385736228338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baseline="0">
                        <a:solidFill>
                          <a:schemeClr val="bg2"/>
                        </a:solidFill>
                        <a:latin typeface="Arial" panose="020B0604020202020204" pitchFamily="34" charset="0"/>
                      </a:rPr>
                      <a:t>Executed</a:t>
                    </a:r>
                    <a:r>
                      <a:rPr lang="en-US" sz="1200" baseline="0">
                        <a:latin typeface="Arial" panose="020B0604020202020204" pitchFamily="34" charset="0"/>
                      </a:rPr>
                      <a:t> </a:t>
                    </a:r>
                    <a:fld id="{CCBF7C87-EC4A-4204-AAFA-E7982EFF39B6}" type="VALUE">
                      <a:rPr lang="en-US" sz="1600" b="1" baseline="0">
                        <a:solidFill>
                          <a:schemeClr val="bg2"/>
                        </a:solidFill>
                        <a:latin typeface="Arial" panose="020B0604020202020204" pitchFamily="34" charset="0"/>
                      </a:rPr>
                      <a:pPr>
                        <a:defRPr/>
                      </a:pPr>
                      <a:t>[VALUE]</a:t>
                    </a:fld>
                    <a:endParaRPr lang="en-US" sz="1200" baseline="0">
                      <a:latin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95295217055031"/>
                      <c:h val="0.2253565992035677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357F-426C-8BFC-81C5229A2635}"/>
                </c:ext>
              </c:extLst>
            </c:dLbl>
            <c:dLbl>
              <c:idx val="1"/>
              <c:layout>
                <c:manualLayout>
                  <c:x val="0.16867285350441943"/>
                  <c:y val="0.1941653744003057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baseline="0">
                        <a:solidFill>
                          <a:schemeClr val="bg2"/>
                        </a:solidFill>
                        <a:latin typeface="Arial" panose="020B0604020202020204" pitchFamily="34" charset="0"/>
                      </a:rPr>
                      <a:t>Remaining</a:t>
                    </a:r>
                    <a:r>
                      <a:rPr lang="en-US" sz="1200" baseline="0">
                        <a:latin typeface="Arial" panose="020B0604020202020204" pitchFamily="34" charset="0"/>
                      </a:rPr>
                      <a:t>   </a:t>
                    </a:r>
                  </a:p>
                  <a:p>
                    <a:pPr>
                      <a:defRPr/>
                    </a:pPr>
                    <a:fld id="{CB845B0C-11E9-444A-9574-0E35F830B3DB}" type="VALUE">
                      <a:rPr lang="en-US" sz="1600" b="1" baseline="0">
                        <a:solidFill>
                          <a:schemeClr val="bg2"/>
                        </a:solidFill>
                        <a:latin typeface="Arial" panose="020B0604020202020204" pitchFamily="34" charset="0"/>
                      </a:rPr>
                      <a:pPr>
                        <a:defRPr/>
                      </a:pPr>
                      <a:t>[VALUE]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26162518795198"/>
                      <c:h val="0.1388009503745157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57F-426C-8BFC-81C5229A26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Digital!$R$19:$S$19</c:f>
              <c:strCache>
                <c:ptCount val="2"/>
                <c:pt idx="0">
                  <c:v>% EXECUTED</c:v>
                </c:pt>
                <c:pt idx="1">
                  <c:v> REMAINING</c:v>
                </c:pt>
              </c:strCache>
            </c:strRef>
          </c:cat>
          <c:val>
            <c:numRef>
              <c:f>Digital!$R$20:$S$20</c:f>
              <c:numCache>
                <c:formatCode>0%</c:formatCode>
                <c:ptCount val="2"/>
                <c:pt idx="0">
                  <c:v>0.15683962264150944</c:v>
                </c:pt>
                <c:pt idx="1">
                  <c:v>1.179245283018868E-2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F-426C-8BFC-81C5229A2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425262880315251"/>
          <c:y val="7.9692162312868978E-2"/>
          <c:w val="0.41887761386940875"/>
          <c:h val="0.847169345031151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5C2-45D8-9F3F-969C19A49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58-41BA-B476-7A5DBF46CFFA}"/>
              </c:ext>
            </c:extLst>
          </c:dPt>
          <c:dLbls>
            <c:dLbl>
              <c:idx val="0"/>
              <c:layout>
                <c:manualLayout>
                  <c:x val="-0.12735620429732789"/>
                  <c:y val="-0.3381527284964444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>
                        <a:solidFill>
                          <a:schemeClr val="bg2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Passed</a:t>
                    </a:r>
                    <a:r>
                      <a:rPr lang="en-US" sz="1600" b="1">
                        <a:solidFill>
                          <a:schemeClr val="bg2"/>
                        </a:solidFill>
                      </a:rPr>
                      <a:t> </a:t>
                    </a:r>
                    <a:fld id="{344B0CCA-6982-4AB2-8A50-5209B3596A03}" type="VALUE">
                      <a:rPr lang="en-US" sz="1600" b="0">
                        <a:solidFill>
                          <a:schemeClr val="bg2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/>
                      </a:pPr>
                      <a:t>[VALUE]</a:t>
                    </a:fld>
                    <a:endParaRPr lang="en-US" sz="1600" b="1">
                      <a:solidFill>
                        <a:schemeClr val="bg2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13818587667111"/>
                      <c:h val="9.380806666745121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A5C2-45D8-9F3F-969C19A4909D}"/>
                </c:ext>
              </c:extLst>
            </c:dLbl>
            <c:dLbl>
              <c:idx val="1"/>
              <c:layout>
                <c:manualLayout>
                  <c:x val="8.5690285607461364E-2"/>
                  <c:y val="0.1574067559335198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>
                        <a:solidFill>
                          <a:schemeClr val="bg2"/>
                        </a:solidFill>
                        <a:latin typeface="Arial" panose="020B0604020202020204" pitchFamily="34" charset="0"/>
                      </a:rPr>
                      <a:t>Failed</a:t>
                    </a:r>
                    <a:r>
                      <a:rPr lang="en-US" sz="1600" b="1" baseline="0">
                        <a:solidFill>
                          <a:schemeClr val="bg2"/>
                        </a:solidFill>
                        <a:latin typeface="Arial" panose="020B0604020202020204" pitchFamily="34" charset="0"/>
                      </a:rPr>
                      <a:t> </a:t>
                    </a:r>
                    <a:fld id="{F5F9E2B5-7B92-4E64-AB27-E64931D004D8}" type="VALUE">
                      <a:rPr lang="en-US" sz="1400" b="1" baseline="0">
                        <a:solidFill>
                          <a:schemeClr val="bg2"/>
                        </a:solidFill>
                        <a:latin typeface="Arial" panose="020B0604020202020204" pitchFamily="34" charset="0"/>
                      </a:rPr>
                      <a:pPr>
                        <a:defRPr/>
                      </a:pPr>
                      <a:t>[VALUE]</a:t>
                    </a:fld>
                    <a:endParaRPr lang="en-US" sz="1600" b="1" baseline="0">
                      <a:solidFill>
                        <a:schemeClr val="bg2"/>
                      </a:solidFill>
                      <a:latin typeface="Arial" panose="020B060402020202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66784258936568"/>
                      <c:h val="0.1415070836170026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F58-41BA-B476-7A5DBF46CF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Digital!$S$56:$T$56</c:f>
              <c:strCache>
                <c:ptCount val="2"/>
                <c:pt idx="0">
                  <c:v>% PASS</c:v>
                </c:pt>
                <c:pt idx="1">
                  <c:v>% FAIL</c:v>
                </c:pt>
              </c:strCache>
            </c:strRef>
          </c:cat>
          <c:val>
            <c:numRef>
              <c:f>Digital!$S$57:$T$57</c:f>
              <c:numCache>
                <c:formatCode>0%</c:formatCode>
                <c:ptCount val="2"/>
                <c:pt idx="0">
                  <c:v>0.91729323308270672</c:v>
                </c:pt>
                <c:pt idx="1">
                  <c:v>8.2706766917293228E-2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2-45D8-9F3F-969C19A49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230424</xdr:colOff>
      <xdr:row>21</xdr:row>
      <xdr:rowOff>96818</xdr:rowOff>
    </xdr:from>
    <xdr:to>
      <xdr:col>20</xdr:col>
      <xdr:colOff>692749</xdr:colOff>
      <xdr:row>39</xdr:row>
      <xdr:rowOff>173170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712886</xdr:colOff>
      <xdr:row>58</xdr:row>
      <xdr:rowOff>35634</xdr:rowOff>
    </xdr:from>
    <xdr:to>
      <xdr:col>21</xdr:col>
      <xdr:colOff>495973</xdr:colOff>
      <xdr:row>74</xdr:row>
      <xdr:rowOff>71268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2715004</xdr:colOff>
      <xdr:row>81</xdr:row>
      <xdr:rowOff>110333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5DC09E-487E-49E4-9EF6-224924061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889816"/>
          <a:ext cx="2715004" cy="3696216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mela Pucci" refreshedDate="44436.516415625003" backgroundQuery="1" createdVersion="4" refreshedVersion="7" minRefreshableVersion="3" recordCount="0" supportSubquery="1" supportAdvancedDrill="1" xr:uid="{00000000-000A-0000-FFFF-FFFF19000000}">
  <cacheSource type="external" connectionId="3"/>
  <cacheFields count="78">
    <cacheField name="[Work Item].[Area Path].[Area Path]" caption="Area Path" numFmtId="0" hierarchy="189" level="1">
      <sharedItems count="1">
        <s v="[Work Item].[Area Path].&amp;[\Core Banking]" c="\Core Banking"/>
      </sharedItems>
    </cacheField>
    <cacheField name="[Work Item].[System_WorkItemType].[System_WorkItemType]" caption="Work Item Type" numFmtId="0" hierarchy="303" level="1">
      <sharedItems containsSemiMixedTypes="0" containsString="0"/>
    </cacheField>
    <cacheField name="[Work Item Category].[Name].[Name]" caption="Name" numFmtId="0" hierarchy="304" level="1">
      <sharedItems count="1">
        <s v="[Work Item Category].[Name].&amp;[Requirement Category]" c="Requirement Category"/>
      </sharedItems>
    </cacheField>
    <cacheField name="[Work Item].[CWB_PBIType].[CWB_PBIType]" caption="PBI Type" numFmtId="0" hierarchy="218" level="1">
      <sharedItems containsSemiMixedTypes="0" containsString="0"/>
    </cacheField>
    <cacheField name="[Work Item].[Area Hierarchy].[Team Project Collection]" caption="Team Project Collection" numFmtId="0" hierarchy="188" level="1">
      <sharedItems containsSemiMixedTypes="0" containsString="0"/>
    </cacheField>
    <cacheField name="[Work Item].[Area Hierarchy].[Area0]" caption="Area0" numFmtId="0" hierarchy="188" level="2">
      <sharedItems containsSemiMixedTypes="0" containsString="0"/>
    </cacheField>
    <cacheField name="[Work Item].[Area Hierarchy].[Area1]" caption="Area1" numFmtId="0" hierarchy="188" level="3">
      <sharedItems count="1">
        <s v="[Work Item].[Area Hierarchy].[Area1].&amp;[4186314621262154822]&amp;[-7461898663782412389]" c="Business Requirements"/>
      </sharedItems>
    </cacheField>
    <cacheField name="[Work Item].[Area Hierarchy].[Area2]" caption="Area2" numFmtId="0" hierarchy="188" level="4">
      <sharedItems containsSemiMixedTypes="0" containsString="0"/>
    </cacheField>
    <cacheField name="[Work Item].[Area Hierarchy].[Area3]" caption="Area3" numFmtId="0" hierarchy="188" level="5">
      <sharedItems containsSemiMixedTypes="0" containsString="0"/>
    </cacheField>
    <cacheField name="[Work Item].[Area Hierarchy].[Area4]" caption="Area4" numFmtId="0" hierarchy="188" level="6">
      <sharedItems containsSemiMixedTypes="0" containsString="0"/>
    </cacheField>
    <cacheField name="[Work Item].[Area Hierarchy].[Area5]" caption="Area5" numFmtId="0" hierarchy="188" level="7">
      <sharedItems containsSemiMixedTypes="0" containsString="0"/>
    </cacheField>
    <cacheField name="[Work Item].[Area Hierarchy].[Area6]" caption="Area6" numFmtId="0" hierarchy="188" level="8">
      <sharedItems containsSemiMixedTypes="0" containsString="0"/>
    </cacheField>
    <cacheField name="[Work Item].[Area Hierarchy].[Area7]" caption="Area7" numFmtId="0" hierarchy="188" level="9">
      <sharedItems containsSemiMixedTypes="0" containsString="0"/>
    </cacheField>
    <cacheField name="[Work Item].[Area Hierarchy].[Area8]" caption="Area8" numFmtId="0" hierarchy="188" level="10">
      <sharedItems containsSemiMixedTypes="0" containsString="0"/>
    </cacheField>
    <cacheField name="[Work Item].[Area Hierarchy].[Area9]" caption="Area9" numFmtId="0" hierarchy="188" level="11">
      <sharedItems containsSemiMixedTypes="0" containsString="0"/>
    </cacheField>
    <cacheField name="[Work Item].[Area Hierarchy].[Area10]" caption="Area10" numFmtId="0" hierarchy="188" level="12">
      <sharedItems containsSemiMixedTypes="0" containsString="0"/>
    </cacheField>
    <cacheField name="[Work Item].[Area Hierarchy].[Area11]" caption="Area11" numFmtId="0" hierarchy="188" level="13">
      <sharedItems containsSemiMixedTypes="0" containsString="0"/>
    </cacheField>
    <cacheField name="[Work Item].[Area Hierarchy].[Area12]" caption="Area12" numFmtId="0" hierarchy="188" level="14">
      <sharedItems containsSemiMixedTypes="0" containsString="0"/>
    </cacheField>
    <cacheField name="[Work Item].[Area Hierarchy].[Area13]" caption="Area13" numFmtId="0" hierarchy="188" level="15">
      <sharedItems containsSemiMixedTypes="0" containsString="0"/>
    </cacheField>
    <cacheField name="[Work Item].[Area Hierarchy].[Area0].[Area Team Project Collection]" caption="Team Project Collection" propertyName="Area Team Project Collection" numFmtId="0" hierarchy="188" level="2" memberPropertyField="1">
      <sharedItems containsSemiMixedTypes="0" containsString="0"/>
    </cacheField>
    <cacheField name="[Work Item].[Area Hierarchy].[Area1].[Area0]" caption="Area0" propertyName="Area0" numFmtId="0" hierarchy="188" level="3" memberPropertyField="1">
      <sharedItems containsSemiMixedTypes="0" containsString="0"/>
    </cacheField>
    <cacheField name="[Work Item].[Area Hierarchy].[Area2].[Area1]" caption="Area1" propertyName="Area1" numFmtId="0" hierarchy="188" level="4" memberPropertyField="1">
      <sharedItems containsSemiMixedTypes="0" containsString="0"/>
    </cacheField>
    <cacheField name="[Work Item].[Area Hierarchy].[Area3].[Area2]" caption="Area2" propertyName="Area2" numFmtId="0" hierarchy="188" level="5" memberPropertyField="1">
      <sharedItems containsSemiMixedTypes="0" containsString="0"/>
    </cacheField>
    <cacheField name="[Work Item].[Area Hierarchy].[Area4].[Area3]" caption="Area3" propertyName="Area3" numFmtId="0" hierarchy="188" level="6" memberPropertyField="1">
      <sharedItems containsSemiMixedTypes="0" containsString="0"/>
    </cacheField>
    <cacheField name="[Work Item].[Area Hierarchy].[Area5].[Area4]" caption="Area4" propertyName="Area4" numFmtId="0" hierarchy="188" level="7" memberPropertyField="1">
      <sharedItems containsSemiMixedTypes="0" containsString="0"/>
    </cacheField>
    <cacheField name="[Work Item].[Area Hierarchy].[Area6].[Area5]" caption="Area5" propertyName="Area5" numFmtId="0" hierarchy="188" level="8" memberPropertyField="1">
      <sharedItems containsSemiMixedTypes="0" containsString="0"/>
    </cacheField>
    <cacheField name="[Work Item].[Area Hierarchy].[Area7].[Area6]" caption="Area6" propertyName="Area6" numFmtId="0" hierarchy="188" level="9" memberPropertyField="1">
      <sharedItems containsSemiMixedTypes="0" containsString="0"/>
    </cacheField>
    <cacheField name="[Work Item].[Area Hierarchy].[Area8].[Area7]" caption="Area7" propertyName="Area7" numFmtId="0" hierarchy="188" level="10" memberPropertyField="1">
      <sharedItems containsSemiMixedTypes="0" containsString="0"/>
    </cacheField>
    <cacheField name="[Work Item].[Area Hierarchy].[Area9].[Area8]" caption="Area8" propertyName="Area8" numFmtId="0" hierarchy="188" level="11" memberPropertyField="1">
      <sharedItems containsSemiMixedTypes="0" containsString="0"/>
    </cacheField>
    <cacheField name="[Work Item].[Area Hierarchy].[Area10].[Area9]" caption="Area9" propertyName="Area9" numFmtId="0" hierarchy="188" level="12" memberPropertyField="1">
      <sharedItems containsSemiMixedTypes="0" containsString="0"/>
    </cacheField>
    <cacheField name="[Work Item].[Area Hierarchy].[Area11].[Area10]" caption="Area10" propertyName="Area10" numFmtId="0" hierarchy="188" level="13" memberPropertyField="1">
      <sharedItems containsSemiMixedTypes="0" containsString="0"/>
    </cacheField>
    <cacheField name="[Work Item].[Area Hierarchy].[Area12].[Area11]" caption="Area11" propertyName="Area11" numFmtId="0" hierarchy="188" level="14" memberPropertyField="1">
      <sharedItems containsSemiMixedTypes="0" containsString="0"/>
    </cacheField>
    <cacheField name="[Work Item].[Area Hierarchy].[Area13].[Area12]" caption="Area12" propertyName="Area12" numFmtId="0" hierarchy="188" level="15" memberPropertyField="1">
      <sharedItems containsSemiMixedTypes="0" containsString="0"/>
    </cacheField>
    <cacheField name="[Work Item Linked].[CWB_PBIType].[CWB_PBIType]" caption="PBI Type" numFmtId="0" hierarchy="348" level="1">
      <sharedItems containsSemiMixedTypes="0" containsString="0"/>
    </cacheField>
    <cacheField name="[Test Case].[Area Path].[Area Path]" caption="Area Path" numFmtId="0" hierarchy="25" level="1">
      <sharedItems containsSemiMixedTypes="0" containsString="0"/>
    </cacheField>
    <cacheField name="[Team Project].[Team Project Hierarchy].[Collection]" caption="Collection" numFmtId="0" hierarchy="23" level="1">
      <sharedItems containsSemiMixedTypes="0" containsString="0"/>
    </cacheField>
    <cacheField name="[Team Project].[Team Project Hierarchy].[Team Project]" caption="Team Project" numFmtId="0" hierarchy="23" level="2">
      <sharedItems containsSemiMixedTypes="0" containsString="0"/>
    </cacheField>
    <cacheField name="[Team Project].[Team Project Hierarchy].[Is Deleted]" caption="Is Deleted" propertyName="Is Deleted" numFmtId="0" hierarchy="23" level="32767" memberPropertyField="1">
      <sharedItems containsSemiMixedTypes="0" containsString="0"/>
    </cacheField>
    <cacheField name="[Team Project].[Team Project Hierarchy].[Project Node Name]" caption="Name" propertyName="Project Node Name" numFmtId="0" hierarchy="23" level="32767" memberPropertyField="1">
      <sharedItems containsSemiMixedTypes="0" containsString="0"/>
    </cacheField>
    <cacheField name="[Team Project].[Team Project Hierarchy].[Project Node Type]" caption="Project Node Type Name" propertyName="Project Node Type" numFmtId="0" hierarchy="23" level="32767" memberPropertyField="1">
      <sharedItems containsSemiMixedTypes="0" containsString="0"/>
    </cacheField>
    <cacheField name="[Team Project].[Team Project Hierarchy].[Project Path]" caption="Project Path" propertyName="Project Path" numFmtId="0" hierarchy="23" level="32767" memberPropertyField="1">
      <sharedItems containsSemiMixedTypes="0" containsString="0"/>
    </cacheField>
    <cacheField name="[Team Project].[Team Project Hierarchy].[ProjectNodeSk]" caption="Name" propertyName="ProjectNodeSk" numFmtId="0" hierarchy="23" level="32767" memberPropertyField="1">
      <sharedItems containsSemiMixedTypes="0" containsString="0"/>
    </cacheField>
    <cacheField name="[Team Project].[Team Project Hierarchy].[Team Project Hierarchy]" caption="Team Project Hierarchy" propertyName="Team Project Hierarchy" numFmtId="0" hierarchy="23" level="32767" memberPropertyField="1">
      <sharedItems containsSemiMixedTypes="0" containsString="0"/>
    </cacheField>
    <cacheField name="[Test Case].[Iteration Path].[Iteration Path]" caption="Iteration Path" numFmtId="0" hierarchy="101" level="1">
      <sharedItems containsSemiMixedTypes="0" containsString="0"/>
    </cacheField>
    <cacheField name="[Test Plan].[Test Plan Name].[Test Plan Name]" caption="Test Plan Name" numFmtId="0" hierarchy="153" level="1">
      <sharedItems containsSemiMixedTypes="0" containsString="0"/>
    </cacheField>
    <cacheField name="[Measures].[Point Count Trend]" caption="Point Count Trend" numFmtId="0" hierarchy="782" level="32767"/>
    <cacheField name="[Test Suite].[Test Suite Hierarchy].[Team Project Collection]" caption="Team Project Collection" numFmtId="0" hierarchy="181" level="1">
      <sharedItems count="1">
        <s v="[Test Suite].[Test Suite Hierarchy].[Team Project Collection].&amp;[Core Banking]" c="Core Banking"/>
      </sharedItems>
    </cacheField>
    <cacheField name="[Test Suite].[Test Suite Hierarchy].[Team Project]" caption="Team Project" numFmtId="0" hierarchy="181" level="2" mappingCount="1">
      <sharedItems count="1">
        <s v="[Test Suite].[Test Suite Hierarchy].[Team Project].&amp;[Core Banking]" c="Core Banking" cp="1">
          <x/>
        </s>
      </sharedItems>
      <mpMap v="62"/>
    </cacheField>
    <cacheField name="[Test Suite].[Test Suite Hierarchy].[Suite0]" caption="Suite0" numFmtId="0" hierarchy="181" level="3" mappingCount="1">
      <sharedItems count="17">
        <s v="[Test Suite].[Test Suite Hierarchy].[Suite0].&amp;[-577155666371535798]&amp;[-6648085786151084407]&amp;[6625]" c="T24 User Acceptance Testing - Execution" cp="1">
          <x/>
        </s>
        <s v="[Test Suite].[Test Suite Hierarchy].[Suite0].&amp;[-577155666371535798]&amp;[-6648085786151084407]&amp;[6570]" u="1" c="T24 User Acceptance Testing - Core"/>
        <s v="[Test Suite].[Test Suite Hierarchy].[Suite0].&amp;[-577155666371535798]&amp;[-6648085786151084407]&amp;[4626]" u="1" c="System Integration Test - Execution"/>
        <s v="[Test Suite].[Test Suite Hierarchy].[Suite0].&amp;[-577155666371535798]&amp;[-6648085786151084407]&amp;[4999]" u="1" c="SIT - Regression Testing"/>
        <s v="[Test Suite].[Test Suite Hierarchy].[Suite0].&amp;[-577155666371535798]&amp;[-6648085786151084407]&amp;[3894]" u="1" c="System Integration Test - Preparation"/>
        <s v="[Test Suite].[Test Suite Hierarchy].[Suite0].&amp;[-577155666371535798]&amp;[-6648085786151084407]&amp;[220]" u="1" c="Functional Testing Plan - Iteration #01"/>
        <s v="[Test Suite].[Test Suite Hierarchy].[Suite0].&amp;[-577155666371535798]&amp;[-6648085786151084407]&amp;[734]" u="1" c="Functional Testing Plan - Iteration #02"/>
        <s v="[Test Suite].[Test Suite Hierarchy].[Suite0].&amp;[-577155666371535798]&amp;[-6648085786151084407]&amp;[1486]" u="1" c="Functional Testing Plan - Iteration #03"/>
        <s v="[Test Suite].[Test Suite Hierarchy].[Suite0].&amp;[-577155666371535798]&amp;[-6648085786151084407]&amp;[1658]" u="1" c="Functional Testing Plan - Iteration #04"/>
        <s v="[Test Suite].[Test Suite Hierarchy].[Suite0].&amp;[-577155666371535798]&amp;[-6648085786151084407]&amp;[2077]" u="1" c="Functional Testing Plan - Iteration #05"/>
        <s v="[Test Suite].[Test Suite Hierarchy].[Suite0].&amp;[-577155666371535798]&amp;[-6648085786151084407]&amp;[2481]" u="1" c="Functional Testing Plan - Iteration #06"/>
        <s v="[Test Suite].[Test Suite Hierarchy].[Suite0].&amp;[-577155666371535798]&amp;[-6648085786151084407]&amp;[2578]" u="1" c="Functional Testing Plan - Iteration #07"/>
        <s v="[Test Suite].[Test Suite Hierarchy].[Suite0].&amp;[-577155666371535798]&amp;[-6648085786151084407]&amp;[3035]" u="1" c="Functional Testing Plan - Iteration #08"/>
        <s v="[Test Suite].[Test Suite Hierarchy].[Suite0].&amp;[-577155666371535798]&amp;[-6648085786151084407]&amp;[3036]" u="1" c="Functional Testing Plan - Iteration #09"/>
        <s v="[Test Suite].[Test Suite Hierarchy].[Suite0].&amp;[-577155666371535798]&amp;[-6648085786151084407]&amp;[3037]" u="1" c="Functional Testing Plan - Iteration #10"/>
        <s v="[Test Suite].[Test Suite Hierarchy].[Suite0].&amp;[-577155666371535798]&amp;[-6648085786151084407]&amp;[3038]" u="1" c="Functional Testing Plan - Iteration #11"/>
        <s v="[Test Suite].[Test Suite Hierarchy].[Suite0].&amp;[-577155666371535798]&amp;[-6648085786151084407]&amp;[3662]" u="1" c="Functional Testing With Migrated Data"/>
      </sharedItems>
      <mpMap v="63"/>
    </cacheField>
    <cacheField name="[Test Suite].[Test Suite Hierarchy].[Suite1]" caption="Suite1" numFmtId="0" hierarchy="181" level="4" mappingCount="1">
      <sharedItems count="44">
        <s v="[Test Suite].[Test Suite Hierarchy].[Suite1].&amp;[-577155666371535798]&amp;[-6648085786151084407]&amp;[21067]" c="2021" cp="1">
          <x/>
        </s>
        <s v="[Test Suite].[Test Suite Hierarchy].[Suite1].&amp;[-577155666371535798]&amp;[-6648085786151084407]&amp;[14304]" u="1" c="2020"/>
        <s v="[Test Suite].[Test Suite Hierarchy].[Suite1].&amp;[-577155666371535798]&amp;[-6648085786151084407]&amp;[12971]" u="1" c="2019"/>
        <s v="[Test Suite].[Test Suite Hierarchy].[Suite1].&amp;[-577155666371535798]&amp;[-6648085786151084407]&amp;[8612]" u="1" c="2018"/>
        <s v="[Test Suite].[Test Suite Hierarchy].[Suite1].&amp;[-577155666371535798]&amp;[-6648085786151084407]&amp;[8611]" u="1" c="2017"/>
        <s v="[Test Suite].[Test Suite Hierarchy].[Suite1].&amp;[-577155666371535798]&amp;[-6648085786151084407]&amp;[6583]" u="1" c="Channels/Cards"/>
        <s v="[Test Suite].[Test Suite Hierarchy].[Suite1].&amp;[-577155666371535798]&amp;[-6648085786151084407]&amp;[6573]" u="1" c="Customer"/>
        <s v="[Test Suite].[Test Suite Hierarchy].[Suite1].&amp;[-577155666371535798]&amp;[-6648085786151084407]&amp;[6595]" u="1" c="Funds Transfer/ Cash Mgt/TFS"/>
        <s v="[Test Suite].[Test Suite Hierarchy].[Suite1].&amp;[-577155666371535798]&amp;[-6648085786151084407]&amp;[6578]" u="1" c="Interfaces"/>
        <s v="[Test Suite].[Test Suite Hierarchy].[Suite1].&amp;[-577155666371535798]&amp;[-6648085786151084407]&amp;[6574]" u="1" c="Investments (Deposits, Registered and Broker)"/>
        <s v="[Test Suite].[Test Suite Hierarchy].[Suite1].&amp;[-577155666371535798]&amp;[-6648085786151084407]&amp;[6577]" u="1" c="Lending"/>
        <s v="[Test Suite].[Test Suite Hierarchy].[Suite1].&amp;[-577155666371535798]&amp;[-6648085786151084407]&amp;[6584]" u="1" c="Teller"/>
        <s v="[Test Suite].[Test Suite Hierarchy].[Suite1].&amp;[-577155666371535798]&amp;[-6648085786151084407]&amp;[6585]" u="1" c="Year End"/>
        <s v="[Test Suite].[Test Suite Hierarchy].[Suite1].&amp;[-577155666371535798]&amp;[-6648085786151084407]&amp;[4627]" u="1" c="Batch 1 - Customer"/>
        <s v="[Test Suite].[Test Suite Hierarchy].[Suite1].&amp;[-577155666371535798]&amp;[-6648085786151084407]&amp;[4628]" u="1" c="Batch 2 - Payments"/>
        <s v="[Test Suite].[Test Suite Hierarchy].[Suite1].&amp;[-577155666371535798]&amp;[-6648085786151084407]&amp;[4629]" u="1" c="Batch 3 - Channels"/>
        <s v="[Test Suite].[Test Suite Hierarchy].[Suite1].&amp;[-577155666371535798]&amp;[-6648085786151084407]&amp;[4630]" u="1" c="Batch 4 - Investments"/>
        <s v="[Test Suite].[Test Suite Hierarchy].[Suite1].&amp;[-577155666371535798]&amp;[-6648085786151084407]&amp;[4631]" u="1" c="Batch 5 - Lending"/>
        <s v="[Test Suite].[Test Suite Hierarchy].[Suite1].&amp;[-577155666371535798]&amp;[-6648085786151084407]&amp;[4632]" u="1" c="Batch 6 - Finance/Treasury"/>
        <s v="[Test Suite].[Test Suite Hierarchy].[Suite1].&amp;[-577155666371535798]&amp;[-6648085786151084407]&amp;[4633]" u="1" c="Batch 7 - Regulatory"/>
        <s v="[Test Suite].[Test Suite Hierarchy].[Suite1].&amp;[-577155666371535798]&amp;[-6648085786151084407]&amp;[5128]" u="1" c="Regression - Active"/>
        <s v="[Test Suite].[Test Suite Hierarchy].[Suite1].&amp;[-577155666371535798]&amp;[-6648085786151084407]&amp;[5216]" u="1" c="Regression - Outcome"/>
        <s v="[Test Suite].[Test Suite Hierarchy].[Suite1].&amp;[-577155666371535798]&amp;[-6648085786151084407]&amp;[5121]" u="1" c="Batch 1 - Customer"/>
        <s v="[Test Suite].[Test Suite Hierarchy].[Suite1].&amp;[-577155666371535798]&amp;[-6648085786151084407]&amp;[5123]" u="1" c="Batch 3 - Channels"/>
        <s v="[Test Suite].[Test Suite Hierarchy].[Suite1].&amp;[-577155666371535798]&amp;[-6648085786151084407]&amp;[5124]" u="1" c="Batch 4 - Investments"/>
        <s v="[Test Suite].[Test Suite Hierarchy].[Suite1].&amp;[-577155666371535798]&amp;[-6648085786151084407]&amp;[5126]" u="1" c="Batch 6 - Finance/Treasury"/>
        <s v="[Test Suite].[Test Suite Hierarchy].[Suite1].&amp;[-577155666371535798]&amp;[-6648085786151084407]&amp;[3904]" u="1" c="Batch 1 - Customer"/>
        <s v="[Test Suite].[Test Suite Hierarchy].[Suite1].&amp;[-577155666371535798]&amp;[-6648085786151084407]&amp;[3905]" u="1" c="Batch 2 - Payments"/>
        <s v="[Test Suite].[Test Suite Hierarchy].[Suite1].&amp;[-577155666371535798]&amp;[-6648085786151084407]&amp;[3906]" u="1" c="Batch 3 - Channels"/>
        <s v="[Test Suite].[Test Suite Hierarchy].[Suite1].&amp;[-577155666371535798]&amp;[-6648085786151084407]&amp;[3907]" u="1" c="Batch 4- Investments"/>
        <s v="[Test Suite].[Test Suite Hierarchy].[Suite1].&amp;[-577155666371535798]&amp;[-6648085786151084407]&amp;[3908]" u="1" c="Batch 5 - Lending"/>
        <s v="[Test Suite].[Test Suite Hierarchy].[Suite1].&amp;[-577155666371535798]&amp;[-6648085786151084407]&amp;[3909]" u="1" c="Batch 6 - Finance and Treasury"/>
        <s v="[Test Suite].[Test Suite Hierarchy].[Suite1].&amp;[-577155666371535798]&amp;[-6648085786151084407]&amp;[3910]" u="1" c="Batch 7 - Regulatory"/>
        <s v="[Test Suite].[Test Suite Hierarchy].[Suite1].&amp;[-577155666371535798]&amp;[-6648085786151084407]&amp;[3919]" u="1" c="Deferred Test Cases from Iteration 1"/>
        <s v="[Test Suite].[Test Suite Hierarchy].[Suite1].&amp;[-577155666371535798]&amp;[-6648085786151084407]&amp;[3950]" u="1" c="Deferred Test cases from Iteration 7 - INT-031"/>
        <s v="[Test Suite].[Test Suite Hierarchy].[Suite1].&amp;[-577155666371535798]&amp;[-6648085786151084407]&amp;[3360]" u="1" c="INT-004-CANNEX ORDERS"/>
        <s v="[Test Suite].[Test Suite Hierarchy].[Suite1].&amp;[-577155666371535798]&amp;[-6648085786151084407]&amp;[3366]" u="1" c="INT-013-RBC RETURNED ITEMS"/>
        <s v="[Test Suite].[Test Suite Hierarchy].[Suite1].&amp;[-577155666371535798]&amp;[-6648085786151084407]&amp;[3387]" u="1" c="INT-022-CENTRAL 1 ONLINE BANKING"/>
        <s v="[Test Suite].[Test Suite Hierarchy].[Suite1].&amp;[-577155666371535798]&amp;[-6648085786151084407]&amp;[3379]" u="1" c="INT-050 Me-to-Me Transfer"/>
        <s v="[Test Suite].[Test Suite Hierarchy].[Suite1].&amp;[-577155666371535798]&amp;[-6648085786151084407]&amp;[3371]" u="1" c="INT-052-CLEARING INTERFACE- INCOMING EFT + PEN TXN + EMPLOYEE EXPENSES"/>
        <s v="[Test Suite].[Test Suite Hierarchy].[Suite1].&amp;[-577155666371535798]&amp;[-6648085786151084407]&amp;[3079]" u="1" c="Investment"/>
        <s v="[Test Suite].[Test Suite Hierarchy].[Suite1].&amp;[-577155666371535798]&amp;[-6648085786151084407]&amp;[3518]" u="1" c="SDB"/>
        <s v="[Test Suite].[Test Suite Hierarchy].[Suite1].&amp;[-577155666371535798]&amp;[-6648085786151084407]&amp;[3241]" u="1" c="Treasury"/>
        <s v="[Test Suite].[Test Suite Hierarchy].[Suite1].&amp;[-577155666371535798]&amp;[-6648085786151084407]&amp;[3923]" u="1" c="Deferrred Test cases from Iteration 1"/>
      </sharedItems>
      <mpMap v="64"/>
    </cacheField>
    <cacheField name="[Test Suite].[Test Suite Hierarchy].[Suite2]" caption="Suite2" numFmtId="0" hierarchy="181" level="5" mappingCount="1">
      <sharedItems count="36">
        <s v="[Test Suite].[Test Suite Hierarchy].[Suite2].&amp;[-577155666371535798]&amp;[-6648085786151084407]&amp;[21100]" c="2. Projects" cp="1">
          <x/>
        </s>
        <s v="[Test Suite].[Test Suite Hierarchy].[Suite2].&amp;[-577155666371535798]&amp;[-6648085786151084407]&amp;[25374]" c="3. Digital Banking Enhancements" cp="1">
          <x/>
        </s>
        <s v="[Test Suite].[Test Suite Hierarchy].[Suite2].&amp;[-577155666371535798]&amp;[-6648085786151084407]&amp;[21099]" u="1" c="1. T24 Enhancements/BRDs"/>
        <s v="[Test Suite].[Test Suite Hierarchy].[Suite2].&amp;[-577155666371535798]&amp;[-6648085786151084407]&amp;[17058]" u="1" c="4. Year End 2020"/>
        <s v="[Test Suite].[Test Suite Hierarchy].[Suite2].&amp;[-577155666371535798]&amp;[-6648085786151084407]&amp;[17056]" u="1" c="2. Enhancements/BRDs"/>
        <s v="[Test Suite].[Test Suite Hierarchy].[Suite2].&amp;[-577155666371535798]&amp;[-6648085786151084407]&amp;[13644]" u="1" c="2. Enhancements/BRDs"/>
        <s v="[Test Suite].[Test Suite Hierarchy].[Suite2].&amp;[-577155666371535798]&amp;[-6648085786151084407]&amp;[13677]" u="1" c="3. Year End Remaining 2018"/>
        <s v="[Test Suite].[Test Suite Hierarchy].[Suite2].&amp;[-577155666371535798]&amp;[-6648085786151084407]&amp;[13678]" u="1" c="4. Year End 2019"/>
        <s v="[Test Suite].[Test Suite Hierarchy].[Suite2].&amp;[-577155666371535798]&amp;[-6648085786151084407]&amp;[14863]" u="1" c="5. Reports"/>
        <s v="[Test Suite].[Test Suite Hierarchy].[Suite2].&amp;[-577155666371535798]&amp;[-6648085786151084407]&amp;[8614]" u="1" c="2. Enhancements/BRD's"/>
        <s v="[Test Suite].[Test Suite Hierarchy].[Suite2].&amp;[-577155666371535798]&amp;[-6648085786151084407]&amp;[8618]" u="1" c="6. Year End"/>
        <s v="[Test Suite].[Test Suite Hierarchy].[Suite2].&amp;[-577155666371535798]&amp;[-6648085786151084407]&amp;[8616]" u="1" c="4. Forms"/>
        <s v="[Test Suite].[Test Suite Hierarchy].[Suite2].&amp;[-577155666371535798]&amp;[-6648085786151084407]&amp;[6924]" u="1" c="2. Enhancements/BRD's"/>
        <s v="[Test Suite].[Test Suite Hierarchy].[Suite2].&amp;[-577155666371535798]&amp;[-6648085786151084407]&amp;[6919]" u="1" c="3. Reports"/>
        <s v="[Test Suite].[Test Suite Hierarchy].[Suite2].&amp;[-577155666371535798]&amp;[-6648085786151084407]&amp;[7496]" u="1" c="4. Forms"/>
        <s v="[Test Suite].[Test Suite Hierarchy].[Suite2].&amp;[-577155666371535798]&amp;[-6648085786151084407]&amp;[6616]" u="1" c="Cards Creation/Access"/>
        <s v="[Test Suite].[Test Suite Hierarchy].[Suite2].&amp;[-577155666371535798]&amp;[-6648085786151084407]&amp;[6588]" u="1" c="Centralized Services - Clearing"/>
        <s v="[Test Suite].[Test Suite Hierarchy].[Suite2].&amp;[-577155666371535798]&amp;[-6648085786151084407]&amp;[6591]" u="1" c="Mobile Banking"/>
        <s v="[Test Suite].[Test Suite Hierarchy].[Suite2].&amp;[-577155666371535798]&amp;[-6648085786151084407]&amp;[6579]" u="1" c="Online Banking"/>
        <s v="[Test Suite].[Test Suite Hierarchy].[Suite2].&amp;[-577155666371535798]&amp;[-6648085786151084407]&amp;[6582]" u="1" c="Telephone Banking"/>
        <s v="[Test Suite].[Test Suite Hierarchy].[Suite2].&amp;[-577155666371535798]&amp;[-6648085786151084407]&amp;[6602]" u="1" c="Annual Statement Validation"/>
        <s v="[Test Suite].[Test Suite Hierarchy].[Suite2].&amp;[-577155666371535798]&amp;[-6648085786151084407]&amp;[6601]" u="1" c="CRA Slips Validations"/>
        <s v="[Test Suite].[Test Suite Hierarchy].[Suite2].&amp;[-577155666371535798]&amp;[-6648085786151084407]&amp;[4317]" u="1" c="SIT-PAY-01-RBC Certification"/>
        <s v="[Test Suite].[Test Suite Hierarchy].[Suite2].&amp;[-577155666371535798]&amp;[-6648085786151084407]&amp;[4318]" u="1" c="SIT-PAY-02 -CUPS/CAFT/MECAFT"/>
        <s v="[Test Suite].[Test Suite Hierarchy].[Suite2].&amp;[-577155666371535798]&amp;[-6648085786151084407]&amp;[3949]" u="1" c="Everlink Pre-Certification"/>
        <s v="[Test Suite].[Test Suite Hierarchy].[Suite2].&amp;[-577155666371535798]&amp;[-6648085786151084407]&amp;[4395]" u="1" c="Everlink Pre-Certification 2"/>
        <s v="[Test Suite].[Test Suite Hierarchy].[Suite2].&amp;[-577155666371535798]&amp;[-6648085786151084407]&amp;[3961]" u="1" c="SIT-CHL-01 -Real Time Channels"/>
        <s v="[Test Suite].[Test Suite Hierarchy].[Suite2].&amp;[-577155666371535798]&amp;[-6648085786151084407]&amp;[3962]" u="1" c="SIT-CHL-02-Cards Update (FHM Real Time &amp; CAF Batch)"/>
        <s v="[Test Suite].[Test Suite Hierarchy].[Suite2].&amp;[-577155666371535798]&amp;[-6648085786151084407]&amp;[3963]" u="1" c="SIT-CHL-03-Security( Macing)"/>
        <s v="[Test Suite].[Test Suite Hierarchy].[Suite2].&amp;[-577155666371535798]&amp;[-6648085786151084407]&amp;[3955]" u="1" c="SIT-FIN-01-Treasury"/>
        <s v="[Test Suite].[Test Suite Hierarchy].[Suite2].&amp;[-577155666371535798]&amp;[-6648085786151084407]&amp;[4336]" u="1" c="Deferred Test Cases INT-018 from FT Iteration 7"/>
        <s v="[Test Suite].[Test Suite Hierarchy].[Suite2].&amp;[-577155666371535798]&amp;[-6648085786151084407]&amp;[4432]" u="1" c="Deferred Test Cases INT-022 from FT Iteration 8"/>
        <s v="[Test Suite].[Test Suite Hierarchy].[Suite2].&amp;[-577155666371535798]&amp;[-6648085786151084407]&amp;[4442]" u="1" c="Deferred Test Cases from FTMD"/>
        <s v="[Test Suite].[Test Suite Hierarchy].[Suite2].&amp;[-577155666371535798]&amp;[-6648085786151084407]&amp;[3923]" u="1" c="(Deferrred Test cases from Iteration 1)"/>
        <s v="[Test Suite].[Test Suite Hierarchy].[Suite2].&amp;[-577155666371535798]&amp;[-6648085786151084407]&amp;[3075]" u="1" c="BRD -TEL-001 -End of Day - EOD Balancing"/>
        <s v="[Test Suite].[Test Suite Hierarchy].[Suite2].&amp;[-577155666371535798]&amp;[-6648085786151084407]&amp;[3691]" u="1" c="Teller Application"/>
      </sharedItems>
      <mpMap v="65"/>
    </cacheField>
    <cacheField name="[Test Suite].[Test Suite Hierarchy].[Suite3]" caption="Suite3" numFmtId="0" hierarchy="181" level="6" mappingCount="1">
      <sharedItems count="48">
        <s v="[Test Suite].[Test Suite Hierarchy].[Suite3].&amp;[-577155666371535798]&amp;[-6648085786151084407]&amp;[24509]" c="2.2 Cash Deposits Form-AML01_FINTRAC" cp="1">
          <x/>
        </s>
        <s v="[Test Suite].[Test Suite Hierarchy].[Suite3].&amp;[-577155666371535798]&amp;[-6648085786151084407]&amp;[24653]" u="1" c="2.3 FileNet - Consentia Digital"/>
        <s v="[Test Suite].[Test Suite Hierarchy].[Suite3].&amp;[-577155666371535798]&amp;[-6648085786151084407]&amp;[26012]" u="1" c="1.7 ENHC0011417 - AgriInvest Account"/>
        <s v="[Test Suite].[Test Suite Hierarchy].[Suite3].&amp;[-577155666371535798]&amp;[-6648085786151084407]&amp;[26013]" u="1" c="1.8 ENHC0011469 - Servicing Accounts"/>
        <s v="[Test Suite].[Test Suite Hierarchy].[Suite3].&amp;[-577155666371535798]&amp;[-6648085786151084407]&amp;[26014]" u="1" c="1.9 ENHC0011198 - Country and Role"/>
        <s v="[Test Suite].[Test Suite Hierarchy].[Suite3].&amp;[-577155666371535798]&amp;[-6648085786151084407]&amp;[26522]" u="1" c="2.0 ENHC0011425 - Campaign Mandatory Field"/>
        <s v="[Test Suite].[Test Suite Hierarchy].[Suite3].&amp;[-577155666371535798]&amp;[-6648085786151084407]&amp;[23352]" u="1" c="2.1 Personal Credit Card"/>
        <s v="[Test Suite].[Test Suite Hierarchy].[Suite3].&amp;[-577155666371535798]&amp;[-6648085786151084407]&amp;[22635]" u="1" c="1.2 ENHC0011275 - CWB Prestige Package"/>
        <s v="[Test Suite].[Test Suite Hierarchy].[Suite3].&amp;[-577155666371535798]&amp;[-6648085786151084407]&amp;[24490]" u="1" c="1.4 ENHC0011361 - Maximum Rate Validation on Accounts"/>
        <s v="[Test Suite].[Test Suite Hierarchy].[Suite3].&amp;[-577155666371535798]&amp;[-6648085786151084407]&amp;[24491]" u="1" c="1.4.1 ENHC0011396 - Update Rate Field from Negotiable to Non-Negotiable"/>
        <s v="[Test Suite].[Test Suite Hierarchy].[Suite3].&amp;[-577155666371535798]&amp;[-6648085786151084407]&amp;[24492]" u="1" c="1.4.2 ENHC0011408 - Update Rate Field from Non-Negotiable to Negotiable"/>
        <s v="[Test Suite].[Test Suite Hierarchy].[Suite3].&amp;[-577155666371535798]&amp;[-6648085786151084407]&amp;[17286]" u="1" c="RSP Contribution Receipts"/>
        <s v="[Test Suite].[Test Suite Hierarchy].[Suite3].&amp;[-577155666371535798]&amp;[-6648085786151084407]&amp;[17063]" u="1" c="1.3 ENHC0010594 - Debit Card Issuance"/>
        <s v="[Test Suite].[Test Suite Hierarchy].[Suite3].&amp;[-577155666371535798]&amp;[-6648085786151084407]&amp;[17746]" u="1" c="1.4 ENHC0010830 - Additional CRA and AB Tax Billers"/>
        <s v="[Test Suite].[Test Suite Hierarchy].[Suite3].&amp;[-577155666371535798]&amp;[-6648085786151084407]&amp;[17064]" u="1" c="1.5 ENHC0010910 - BPR009-Retail Mortgage Renewals (Project)"/>
        <s v="[Test Suite].[Test Suite Hierarchy].[Suite3].&amp;[-577155666371535798]&amp;[-6648085786151084407]&amp;[13742]" u="1" c="1.2 ENHC0010581-Addt'n of Owner Names to Form 4159-Statement of Account (AA-02)"/>
        <s v="[Test Suite].[Test Suite Hierarchy].[Suite3].&amp;[-577155666371535798]&amp;[-6648085786151084407]&amp;[13809]" u="1" c="1.3 ENHC0010599-Transaction Narratives (TELL-06)"/>
        <s v="[Test Suite].[Test Suite Hierarchy].[Suite3].&amp;[-577155666371535798]&amp;[-6648085786151084407]&amp;[15602]" u="1" c="1.6 ENHC0010807-Maximum Transaction Amount"/>
        <s v="[Test Suite].[Test Suite Hierarchy].[Suite3].&amp;[-577155666371535798]&amp;[-6648085786151084407]&amp;[15380]" u="1" c="1.8 ENHC0010688 - Single View of Client Holdings (BRD CUS 10)"/>
        <s v="[Test Suite].[Test Suite Hierarchy].[Suite3].&amp;[-577155666371535798]&amp;[-6648085786151084407]&amp;[15988]" u="1" c="1.9 ENHC0010818-New Motive RRIF Products"/>
        <s v="[Test Suite].[Test Suite Hierarchy].[Suite3].&amp;[-577155666371535798]&amp;[-6648085786151084407]&amp;[15987]" u="1" c="2.0 ENHC0010793-Remove Written Off Loan Balance from Exposure"/>
        <s v="[Test Suite].[Test Suite Hierarchy].[Suite3].&amp;[-577155666371535798]&amp;[-6648085786151084407]&amp;[15600]" u="1" c="2.1 ENHC0010802-Search and Add Ebill Vendors through CCV"/>
        <s v="[Test Suite].[Test Suite Hierarchy].[Suite3].&amp;[-577155666371535798]&amp;[-6648085786151084407]&amp;[16346]" u="1" c="2.3 ENHC0010835-Add Hold Type to Basic Details Tab"/>
        <s v="[Test Suite].[Test Suite Hierarchy].[Suite3].&amp;[-577155666371535798]&amp;[-6648085786151084407]&amp;[14242]" u="1" c="Annual Statements Validation for Year ending 2019"/>
        <s v="[Test Suite].[Test Suite Hierarchy].[Suite3].&amp;[-577155666371535798]&amp;[-6648085786151084407]&amp;[14231]" u="1" c="CRA Slips Validation for Year ending 2019"/>
        <s v="[Test Suite].[Test Suite Hierarchy].[Suite3].&amp;[-577155666371535798]&amp;[-6648085786151084407]&amp;[14689]" u="1" c="5.1 BRD-Deposit Acknowledgement and Maturity Advices"/>
        <s v="[Test Suite].[Test Suite Hierarchy].[Suite3].&amp;[-577155666371535798]&amp;[-6648085786151084407]&amp;[16783]" u="1" c="2.5 ENHC0010808-Regulatory Gaps on Personal LOC Statements and ENHC 0010809-Change Personal Statement Cycle"/>
        <s v="[Test Suite].[Test Suite Hierarchy].[Suite3].&amp;[-577155666371535798]&amp;[-6648085786151084407]&amp;[12973]" u="1" c="Annual Statements Validation for year 2019"/>
        <s v="[Test Suite].[Test Suite Hierarchy].[Suite3].&amp;[-577155666371535798]&amp;[-6648085786151084407]&amp;[12974]" u="1" c="CRA Slips Validation for 2019"/>
        <s v="[Test Suite].[Test Suite Hierarchy].[Suite3].&amp;[-577155666371535798]&amp;[-6648085786151084407]&amp;[11191]" u="1" c="2.6 ENHC0010544 CMA XL Account"/>
        <s v="[Test Suite].[Test Suite Hierarchy].[Suite3].&amp;[-577155666371535798]&amp;[-6648085786151084407]&amp;[11584]" u="1" c="2.4 ENHC0010410 Revised Loan Write Off Functionality in T24"/>
        <s v="[Test Suite].[Test Suite Hierarchy].[Suite3].&amp;[-577155666371535798]&amp;[-6648085786151084407]&amp;[7889]" u="1" c="2.5 ENHC0010374 - Remove Authorization on DAO Updates"/>
        <s v="[Test Suite].[Test Suite Hierarchy].[Suite3].&amp;[-577155666371535798]&amp;[-6648085786151084407]&amp;[11594]" u="1" c="2.2 ENHC0010238 - CUS09 - CCV Updates to Loan Tabs"/>
        <s v="[Test Suite].[Test Suite Hierarchy].[Suite3].&amp;[-577155666371535798]&amp;[-6648085786151084407]&amp;[11265]" u="1" c="2.3 ENHC0010555 - Personal Savings - US Dollar"/>
        <s v="[Test Suite].[Test Suite Hierarchy].[Suite3].&amp;[-577155666371535798]&amp;[-6648085786151084407]&amp;[11266]" u="1" c="2.1 ENHC0010570 -Expand US Dollar GIC Offerings"/>
        <s v="[Test Suite].[Test Suite Hierarchy].[Suite3].&amp;[-577155666371535798]&amp;[-6648085786151084407]&amp;[9473]" u="1" c="CRA Slips Validation for 2018"/>
        <s v="[Test Suite].[Test Suite Hierarchy].[Suite3].&amp;[-577155666371535798]&amp;[-6648085786151084407]&amp;[9431]" u="1" c="Annual Statements Validation for year 2017"/>
        <s v="[Test Suite].[Test Suite Hierarchy].[Suite3].&amp;[-577155666371535798]&amp;[-6648085786151084407]&amp;[10926]" u="1" c="ENHC0010249-BRD-CUS-08 - CCV Upgrade to Lower Tabs - Acct, Deposits, Registered"/>
        <s v="[Test Suite].[Test Suite Hierarchy].[Suite3].&amp;[-577155666371535798]&amp;[-6648085786151084407]&amp;[6603]" u="1" c="Mortgage"/>
        <s v="[Test Suite].[Test Suite Hierarchy].[Suite3].&amp;[-577155666371535798]&amp;[-6648085786151084407]&amp;[6604]" u="1" c="RRIF"/>
        <s v="[Test Suite].[Test Suite Hierarchy].[Suite3].&amp;[-577155666371535798]&amp;[-6648085786151084407]&amp;[6605]" u="1" c="RRSP"/>
        <s v="[Test Suite].[Test Suite Hierarchy].[Suite3].&amp;[-577155666371535798]&amp;[-6648085786151084407]&amp;[6606]" u="1" c="TFSA"/>
        <s v="[Test Suite].[Test Suite Hierarchy].[Suite3].&amp;[-577155666371535798]&amp;[-6648085786151084407]&amp;[6610]" u="1" c="NR4"/>
        <s v="[Test Suite].[Test Suite Hierarchy].[Suite3].&amp;[-577155666371535798]&amp;[-6648085786151084407]&amp;[6613]" u="1" c="RSP Receipts"/>
        <s v="[Test Suite].[Test Suite Hierarchy].[Suite3].&amp;[-577155666371535798]&amp;[-6648085786151084407]&amp;[6608]" u="1" c="T4-RRIF"/>
        <s v="[Test Suite].[Test Suite Hierarchy].[Suite3].&amp;[-577155666371535798]&amp;[-6648085786151084407]&amp;[6609]" u="1" c="T4-RSP"/>
        <s v="[Test Suite].[Test Suite Hierarchy].[Suite3].&amp;[-577155666371535798]&amp;[-6648085786151084407]&amp;[6607]" u="1" c="T5"/>
        <s v="[Test Suite].[Test Suite Hierarchy].[Suite3].&amp;[-577155666371535798]&amp;[-6648085786151084407]&amp;[4634]" u="1" c="(SIT-CUST-01 Customer &amp; CCV)"/>
      </sharedItems>
      <mpMap v="66"/>
    </cacheField>
    <cacheField name="[Test Suite].[Test Suite Hierarchy].[Suite4]" caption="Suite4" numFmtId="0" hierarchy="181" level="7">
      <sharedItems count="24">
        <s v="[Test Suite].[Test Suite Hierarchy].[Suite4].&amp;[-577155666371535798]&amp;[-6648085786151084407]&amp;[23354]" c="Reports"/>
        <s v="[Test Suite].[Test Suite Hierarchy].[Suite4].&amp;[-577155666371535798]&amp;[-6648085786151084407]&amp;[23148]" u="1" c="Test Cases_Debit Card"/>
        <s v="[Test Suite].[Test Suite Hierarchy].[Suite4].&amp;[-577155666371535798]&amp;[-6648085786151084407]&amp;[24490]" u="1" c="(1.4 ENHC0011361 - Maximum Rate Validation on Accounts)"/>
        <s v="[Test Suite].[Test Suite Hierarchy].[Suite4].&amp;[-577155666371535798]&amp;[-6648085786151084407]&amp;[24491]" u="1" c="(1.4.1 ENHC0011396 - Update Rate Field from Negotiable to Non-Negotiable)"/>
        <s v="[Test Suite].[Test Suite Hierarchy].[Suite4].&amp;[-577155666371535798]&amp;[-6648085786151084407]&amp;[24492]" u="1" c="(1.4.2 ENHC0011408 - Update Rate Field from Non-Negotiable to Negotiable)"/>
        <s v="[Test Suite].[Test Suite Hierarchy].[Suite4].&amp;[-577155666371535798]&amp;[-6648085786151084407]&amp;[13878]" u="1" c="Mortgage"/>
        <s v="[Test Suite].[Test Suite Hierarchy].[Suite4].&amp;[-577155666371535798]&amp;[-6648085786151084407]&amp;[14248]" u="1" c="RRIF"/>
        <s v="[Test Suite].[Test Suite Hierarchy].[Suite4].&amp;[-577155666371535798]&amp;[-6648085786151084407]&amp;[14247]" u="1" c="RRSP"/>
        <s v="[Test Suite].[Test Suite Hierarchy].[Suite4].&amp;[-577155666371535798]&amp;[-6648085786151084407]&amp;[14249]" u="1" c="TFSA"/>
        <s v="[Test Suite].[Test Suite Hierarchy].[Suite4].&amp;[-577155666371535798]&amp;[-6648085786151084407]&amp;[14232]" u="1" c="NR4"/>
        <s v="[Test Suite].[Test Suite Hierarchy].[Suite4].&amp;[-577155666371535798]&amp;[-6648085786151084407]&amp;[14233]" u="1" c="Releve 2"/>
        <s v="[Test Suite].[Test Suite Hierarchy].[Suite4].&amp;[-577155666371535798]&amp;[-6648085786151084407]&amp;[14234]" u="1" c="Releve 3"/>
        <s v="[Test Suite].[Test Suite Hierarchy].[Suite4].&amp;[-577155666371535798]&amp;[-6648085786151084407]&amp;[14229]" u="1" c="RSP Contribution Receipts"/>
        <s v="[Test Suite].[Test Suite Hierarchy].[Suite4].&amp;[-577155666371535798]&amp;[-6648085786151084407]&amp;[14235]" u="1" c="T4-RRIF"/>
        <s v="[Test Suite].[Test Suite Hierarchy].[Suite4].&amp;[-577155666371535798]&amp;[-6648085786151084407]&amp;[14236]" u="1" c="T4-RRSP"/>
        <s v="[Test Suite].[Test Suite Hierarchy].[Suite4].&amp;[-577155666371535798]&amp;[-6648085786151084407]&amp;[14237]" u="1" c="T5"/>
        <s v="[Test Suite].[Test Suite Hierarchy].[Suite4].&amp;[-577155666371535798]&amp;[-6648085786151084407]&amp;[15380]" u="1" c="(1.8 ENHC0010688-Single View of Client Holdings (BRD CUS-10))"/>
        <s v="[Test Suite].[Test Suite Hierarchy].[Suite4].&amp;[-577155666371535798]&amp;[-6648085786151084407]&amp;[13880]" u="1" c="Cycle 2-TC_Transaction Receipts"/>
        <s v="[Test Suite].[Test Suite Hierarchy].[Suite4].&amp;[-577155666371535798]&amp;[-6648085786151084407]&amp;[13879]" u="1" c="Cycle 1-TC_Statement and CWBdirect"/>
        <s v="[Test Suite].[Test Suite Hierarchy].[Suite4].&amp;[-577155666371535798]&amp;[-6648085786151084407]&amp;[13116]" u="1" c="Mortgage"/>
        <s v="[Test Suite].[Test Suite Hierarchy].[Suite4].&amp;[-577155666371535798]&amp;[-6648085786151084407]&amp;[13118]" u="1" c="RRIF"/>
        <s v="[Test Suite].[Test Suite Hierarchy].[Suite4].&amp;[-577155666371535798]&amp;[-6648085786151084407]&amp;[13119]" u="1" c="RRSP"/>
        <s v="[Test Suite].[Test Suite Hierarchy].[Suite4].&amp;[-577155666371535798]&amp;[-6648085786151084407]&amp;[13120]" u="1" c="TFSA"/>
        <s v="[Test Suite].[Test Suite Hierarchy].[Suite4].&amp;[-577155666371535798]&amp;[-6648085786151084407]&amp;[9482]" u="1" c="RSP Receipts"/>
      </sharedItems>
    </cacheField>
    <cacheField name="[Test Suite].[Test Suite Hierarchy].[Suite5]" caption="Suite5" numFmtId="0" hierarchy="181" level="8">
      <sharedItems containsSemiMixedTypes="0" containsString="0"/>
    </cacheField>
    <cacheField name="[Test Suite].[Test Suite Hierarchy].[Suite6]" caption="Suite6" numFmtId="0" hierarchy="181" level="9">
      <sharedItems containsSemiMixedTypes="0" containsString="0"/>
    </cacheField>
    <cacheField name="[Test Suite].[Test Suite Hierarchy].[Suite7]" caption="Suite7" numFmtId="0" hierarchy="181" level="10">
      <sharedItems containsSemiMixedTypes="0" containsString="0"/>
    </cacheField>
    <cacheField name="[Test Suite].[Test Suite Hierarchy].[Suite8]" caption="Suite8" numFmtId="0" hierarchy="181" level="11">
      <sharedItems containsSemiMixedTypes="0" containsString="0"/>
    </cacheField>
    <cacheField name="[Test Suite].[Test Suite Hierarchy].[Suite9]" caption="Suite9" numFmtId="0" hierarchy="181" level="12">
      <sharedItems containsSemiMixedTypes="0" containsString="0"/>
    </cacheField>
    <cacheField name="[Test Suite].[Test Suite Hierarchy].[Suite10]" caption="Suite10" numFmtId="0" hierarchy="181" level="13">
      <sharedItems containsSemiMixedTypes="0" containsString="0"/>
    </cacheField>
    <cacheField name="[Test Suite].[Test Suite Hierarchy].[Suite11]" caption="Suite11" numFmtId="0" hierarchy="181" level="14">
      <sharedItems containsSemiMixedTypes="0" containsString="0"/>
    </cacheField>
    <cacheField name="[Test Suite].[Test Suite Hierarchy].[Suite12]" caption="Suite12" numFmtId="0" hierarchy="181" level="15">
      <sharedItems containsSemiMixedTypes="0" containsString="0"/>
    </cacheField>
    <cacheField name="[Test Suite].[Test Suite Hierarchy].[Suite13]" caption="Suite13" numFmtId="0" hierarchy="181" level="16">
      <sharedItems containsSemiMixedTypes="0" containsString="0"/>
    </cacheField>
    <cacheField name="[Test Suite].[Test Suite Hierarchy].[Team Project].[Team Project Collection]" caption="Team Project Collection" propertyName="Team Project Collection" numFmtId="0" hierarchy="181" level="2" memberPropertyField="1">
      <sharedItems count="1">
        <s v="Core Banking"/>
      </sharedItems>
    </cacheField>
    <cacheField name="[Test Suite].[Test Suite Hierarchy].[Suite0].[Team Project]" caption="Team Project" propertyName="Team Project" numFmtId="0" hierarchy="181" level="3" memberPropertyField="1">
      <sharedItems count="1">
        <s v="Core Banking"/>
      </sharedItems>
    </cacheField>
    <cacheField name="[Test Suite].[Test Suite Hierarchy].[Suite1].[Suite0]" caption="Suite0" propertyName="Suite0" numFmtId="0" hierarchy="181" level="4" memberPropertyField="1">
      <sharedItems count="1">
        <s v="T24 User Acceptance Testing - Execution"/>
      </sharedItems>
    </cacheField>
    <cacheField name="[Test Suite].[Test Suite Hierarchy].[Suite2].[Suite1]" caption="Suite1" propertyName="Suite1" numFmtId="0" hierarchy="181" level="5" memberPropertyField="1">
      <sharedItems count="1">
        <s v="2021"/>
      </sharedItems>
    </cacheField>
    <cacheField name="[Test Suite].[Test Suite Hierarchy].[Suite3].[Suite2]" caption="Suite2" propertyName="Suite2" numFmtId="0" hierarchy="181" level="6" memberPropertyField="1">
      <sharedItems count="1">
        <s v="2. Projects"/>
      </sharedItems>
    </cacheField>
    <cacheField name="[Test Suite].[Test Suite Hierarchy].[Suite4].[Suite3]" caption="Suite3" propertyName="Suite3" numFmtId="0" hierarchy="181" level="7" memberPropertyField="1">
      <sharedItems containsSemiMixedTypes="0" containsString="0"/>
    </cacheField>
    <cacheField name="[Test Suite].[Test Suite Hierarchy].[Suite5].[Suite4]" caption="Suite4" propertyName="Suite4" numFmtId="0" hierarchy="181" level="8" memberPropertyField="1">
      <sharedItems containsSemiMixedTypes="0" containsString="0"/>
    </cacheField>
    <cacheField name="[Test Suite].[Test Suite Hierarchy].[Suite6].[Suite5]" caption="Suite5" propertyName="Suite5" numFmtId="0" hierarchy="181" level="9" memberPropertyField="1">
      <sharedItems containsSemiMixedTypes="0" containsString="0"/>
    </cacheField>
    <cacheField name="[Test Suite].[Test Suite Hierarchy].[Suite7].[Suite6]" caption="Suite6" propertyName="Suite6" numFmtId="0" hierarchy="181" level="10" memberPropertyField="1">
      <sharedItems containsSemiMixedTypes="0" containsString="0"/>
    </cacheField>
    <cacheField name="[Test Suite].[Test Suite Hierarchy].[Suite8].[Suite7]" caption="Suite7" propertyName="Suite7" numFmtId="0" hierarchy="181" level="11" memberPropertyField="1">
      <sharedItems containsSemiMixedTypes="0" containsString="0"/>
    </cacheField>
    <cacheField name="[Test Suite].[Test Suite Hierarchy].[Suite9].[Suite8]" caption="Suite8" propertyName="Suite8" numFmtId="0" hierarchy="181" level="12" memberPropertyField="1">
      <sharedItems containsSemiMixedTypes="0" containsString="0"/>
    </cacheField>
    <cacheField name="[Test Suite].[Test Suite Hierarchy].[Suite10].[Suite9]" caption="Suite9" propertyName="Suite9" numFmtId="0" hierarchy="181" level="13" memberPropertyField="1">
      <sharedItems containsSemiMixedTypes="0" containsString="0"/>
    </cacheField>
    <cacheField name="[Test Suite].[Test Suite Hierarchy].[Suite11].[Suite10]" caption="Suite10" propertyName="Suite10" numFmtId="0" hierarchy="181" level="14" memberPropertyField="1">
      <sharedItems containsSemiMixedTypes="0" containsString="0"/>
    </cacheField>
    <cacheField name="[Test Suite].[Test Suite Hierarchy].[Suite12].[Suite11]" caption="Suite11" propertyName="Suite11" numFmtId="0" hierarchy="181" level="15" memberPropertyField="1">
      <sharedItems containsSemiMixedTypes="0" containsString="0"/>
    </cacheField>
    <cacheField name="[Test Suite].[Test Suite Hierarchy].[Suite13].[Suite12]" caption="Suite12" propertyName="Suite12" numFmtId="0" hierarchy="181" level="16" memberPropertyField="1">
      <sharedItems containsSemiMixedTypes="0" containsString="0"/>
    </cacheField>
    <cacheField name="[Test Result].[Outcome].[Outcome]" caption="Outcome" numFmtId="0" hierarchy="159" level="1">
      <sharedItems count="4">
        <s v="[Test Result].[Outcome].&amp;[Never Run]" c="Never Run"/>
        <s v="[Test Result].[Outcome].&amp;[Passed]" u="1" c="Passed"/>
        <s v="[Test Result].[Outcome].&amp;[Blocked]" u="1" c="Blocked"/>
        <s v="[Test Result].[Outcome].&amp;[Failed]" u="1" c="Failed"/>
      </sharedItems>
    </cacheField>
  </cacheFields>
  <cacheHierarchies count="838">
    <cacheHierarchy uniqueName="[Assembly].[Assembly]" caption="Assembly" attribute="1" defaultMemberUniqueName="[Assembly].[Assembly].[All]" allUniqueName="[Assembly].[Assembly].[All]" dimensionUniqueName="[Assembly]" displayFolder="" count="0" unbalanced="0"/>
    <cacheHierarchy uniqueName="[Build].[Build]" caption="Build Name" attribute="1" keyAttribute="1" defaultMemberUniqueName="[Build].[Build].[All]" allUniqueName="[Build].[Build].[All]" dimensionUniqueName="[Build]" displayFolder="" count="0" unbalanced="0"/>
    <cacheHierarchy uniqueName="[Build].[Build Definition Name]" caption="Build Definition Name" attribute="1" defaultMemberUniqueName="[Build].[Build Definition Name].[All]" allUniqueName="[Build].[Build Definition Name].[All]" dimensionUniqueName="[Build]" displayFolder="" count="0" unbalanced="0"/>
    <cacheHierarchy uniqueName="[Build].[Build ID]" caption="Build ID" attribute="1" defaultMemberUniqueName="[Build].[Build ID].[All]" allUniqueName="[Build].[Build ID].[All]" dimensionUniqueName="[Build]" displayFolder="" count="0" unbalanced="0"/>
    <cacheHierarchy uniqueName="[Build].[Build Start Time]" caption="Build Start Time" attribute="1" defaultMemberUniqueName="[Build].[Build Start Time].[All]" allUniqueName="[Build].[Build Start Time].[All]" dimensionUniqueName="[Build]" displayFolder="" count="0" unbalanced="0"/>
    <cacheHierarchy uniqueName="[Build].[Build Type]" caption="Build Type" attribute="1" defaultMemberUniqueName="[Build].[Build Type].[All]" allUniqueName="[Build].[Build Type].[All]" dimensionUniqueName="[Build]" displayFolder="" count="0" unbalanced="0"/>
    <cacheHierarchy uniqueName="[Build].[Drop Location]" caption="Drop Location" attribute="1" defaultMemberUniqueName="[Build].[Drop Location].[All]" allUniqueName="[Build].[Drop Location].[All]" dimensionUniqueName="[Build]" displayFolder="" count="0" unbalanced="0"/>
    <cacheHierarchy uniqueName="[Build Flavor].[Build Flavor]" caption="Build Flavor" attribute="1" defaultMemberUniqueName="[Build Flavor].[Build Flavor].[All]" allUniqueName="[Build Flavor].[Build Flavor].[All]" dimensionUniqueName="[Build Flavor]" displayFolder="" count="0" unbalanced="0"/>
    <cacheHierarchy uniqueName="[Build Platform].[Build Platform]" caption="Build Platform" attribute="1" defaultMemberUniqueName="[Build Platform].[Build Platform].[All]" allUniqueName="[Build Platform].[Build Platform].[All]" dimensionUniqueName="[Build Platform]" displayFolder="" count="0" unbalanced="0"/>
    <cacheHierarchy uniqueName="[Build Quality].[Build Quality]" caption="Build Quality" attribute="1" defaultMemberUniqueName="[Build Quality].[Build Quality].[All]" allUniqueName="[Build Quality].[Build Quality].[All]" dimensionUniqueName="[Build Quality]" displayFolder="" count="0" unbalanced="0"/>
    <cacheHierarchy uniqueName="[Build Source Project File].[File Extension]" caption="Build Source Project File.File Extension" attribute="1" defaultMemberUniqueName="[Build Source Project File].[File Extension].[All]" allUniqueName="[Build Source Project File].[File Extension].[All]" dimensionUniqueName="[Build Source Project File]" displayFolder="" count="0" unbalanced="0"/>
    <cacheHierarchy uniqueName="[Build Source Project File].[File Hierarchy]" caption="Build Source Project File.File Hierarchy" defaultMemberUniqueName="[Build Source Project File].[File Hierarchy].[All]" allUniqueName="[Build Source Project File].[File Hierarchy].[All]" dimensionUniqueName="[Build Source Project File]" displayFolder="" count="0" unbalanced="1"/>
    <cacheHierarchy uniqueName="[Build Status].[Build Status]" caption="Build Status Name" attribute="1" defaultMemberUniqueName="[Build Status].[Build Status].[All]" allUniqueName="[Build Status].[Build Status].[All]" dimensionUniqueName="[Build Status]" displayFolder="" count="0" unbalanced="0"/>
    <cacheHierarchy uniqueName="[Date].[Date]" caption="Date" attribute="1" time="1" defaultMemberUniqueName="[Date].[Date].[All]" allUniqueName="[Date].[Date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unbalanced="0"/>
    <cacheHierarchy uniqueName="[Date].[Week]" caption="Week" attribute="1" time="1" defaultMemberUniqueName="[Date].[Week].[All]" allUniqueName="[Date].[Week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0" unbalanced="0"/>
    <cacheHierarchy uniqueName="[Date].[Year - Month - Date Hierarchy]" caption="Year Month Date" time="1" defaultMemberUniqueName="[Date].[Year - Month - Date Hierarchy].[All]" allUniqueName="[Date].[Year - Month - Date Hierarchy].[All]" dimensionUniqueName="[Date]" displayFolder="" count="0" unbalanced="0"/>
    <cacheHierarchy uniqueName="[Date].[Year - Week - Date Hierarchy]" caption="Year Week Date" time="1" defaultMemberUniqueName="[Date].[Year - Week - Date Hierarchy].[All]" allUniqueName="[Date].[Year - Week - Date Hierarchy].[All]" dimensionUniqueName="[Date]" displayFolder="" count="0" unbalanced="0"/>
    <cacheHierarchy uniqueName="[Team Project].[Is Deleted]" caption="Is Deleted" attribute="1" defaultMemberUniqueName="[Team Project].[Is Deleted].[All]" allUniqueName="[Team Project].[Is Deleted].[All]" dimensionUniqueName="[Team Project]" displayFolder="" count="0" unbalanced="0"/>
    <cacheHierarchy uniqueName="[Team Project].[Project Node Name]" caption="Name" attribute="1" defaultMemberUniqueName="[Team Project].[Project Node Name].[All]" allUniqueName="[Team Project].[Project Node Name].[All]" dimensionUniqueName="[Team Project]" displayFolder="" count="0" unbalanced="0"/>
    <cacheHierarchy uniqueName="[Team Project].[Project Node Type]" caption="Project Node Type Name" attribute="1" defaultMemberUniqueName="[Team Project].[Project Node Type].[All]" allUniqueName="[Team Project].[Project Node Type].[All]" dimensionUniqueName="[Team Project]" displayFolder="" count="0" unbalanced="0"/>
    <cacheHierarchy uniqueName="[Team Project].[Project Path]" caption="Project Path" attribute="1" defaultMemberUniqueName="[Team Project].[Project Path].[All]" allUniqueName="[Team Project].[Project Path].[All]" dimensionUniqueName="[Team Project]" displayFolder="" count="0" unbalanced="0"/>
    <cacheHierarchy uniqueName="[Team Project].[Team Project Hierarchy]" caption="Team Project Hierarchy" defaultMemberUniqueName="[Team Project].[Team Project Hierarchy].[All]" allUniqueName="[Team Project].[Team Project Hierarchy].[All]" dimensionUniqueName="[Team Project]" displayFolder="" count="3" unbalanced="1">
      <fieldsUsage count="3">
        <fieldUsage x="-1"/>
        <fieldUsage x="35"/>
        <fieldUsage x="36"/>
      </fieldsUsage>
    </cacheHierarchy>
    <cacheHierarchy uniqueName="[Test Case].[Area Hierarchy]" caption="Area Hierarchy" defaultMemberUniqueName="[Test Case].[Area Hierarchy].[All]" allUniqueName="[Test Case].[Area Hierarchy].[All]" dimensionUniqueName="[Test Case]" displayFolder="" count="0" unbalanced="0"/>
    <cacheHierarchy uniqueName="[Test Case].[Area Path]" caption="Area Path" attribute="1" defaultMemberUniqueName="[Test Case].[Area Path].[All]" allUniqueName="[Test Case].[Area Path].[All]" dimensionUniqueName="[Test Case]" displayFolder="\" count="2" unbalanced="0">
      <fieldsUsage count="2">
        <fieldUsage x="-1"/>
        <fieldUsage x="34"/>
      </fieldsUsage>
    </cacheHierarchy>
    <cacheHierarchy uniqueName="[Test Case].[CWB_ARISProcessFlow]" caption="ARIS Process Flow" attribute="1" defaultMemberUniqueName="[Test Case].[CWB_ARISProcessFlow].[All]" allUniqueName="[Test Case].[CWB_ARISProcessFlow].[All]" dimensionUniqueName="[Test Case]" displayFolder="CWB" count="0" unbalanced="0"/>
    <cacheHierarchy uniqueName="[Test Case].[CWB_BugPriority]" caption="Bug Priority" attribute="1" defaultMemberUniqueName="[Test Case].[CWB_BugPriority].[All]" allUniqueName="[Test Case].[CWB_BugPriority].[All]" dimensionUniqueName="[Test Case]" displayFolder="CWB" count="0" unbalanced="0"/>
    <cacheHierarchy uniqueName="[Test Case].[CWB_BusinessOwner]" caption="Business Owner" attribute="1" defaultMemberUniqueName="[Test Case].[CWB_BusinessOwner].[All]" allUniqueName="[Test Case].[CWB_BusinessOwner].[All]" dimensionUniqueName="[Test Case]" displayFolder="CWB" count="0" unbalanced="0"/>
    <cacheHierarchy uniqueName="[Test Case].[CWB_BussinessRequiredDate]" caption="Business Required Date" attribute="1" defaultMemberUniqueName="[Test Case].[CWB_BussinessRequiredDate].[All]" allUniqueName="[Test Case].[CWB_BussinessRequiredDate].[All]" dimensionUniqueName="[Test Case]" displayFolder="CWB" count="0" unbalanced="0"/>
    <cacheHierarchy uniqueName="[Test Case].[CWB_BussinessRequiredDate__HierarchyByMonth]" caption="Business Required Date Hierarchy By Month" defaultMemberUniqueName="[Test Case].[CWB_BussinessRequiredDate__HierarchyByMonth].[All]" allUniqueName="[Test Case].[CWB_BussinessRequiredDate__HierarchyByMonth].[All]" dimensionUniqueName="[Test Case]" displayFolder="CWB" count="0" unbalanced="0"/>
    <cacheHierarchy uniqueName="[Test Case].[CWB_BussinessRequiredDate__HierarchyByWeek]" caption="Business Required Date Hierarchy By Week" defaultMemberUniqueName="[Test Case].[CWB_BussinessRequiredDate__HierarchyByWeek].[All]" allUniqueName="[Test Case].[CWB_BussinessRequiredDate__HierarchyByWeek].[All]" dimensionUniqueName="[Test Case]" displayFolder="CWB" count="0" unbalanced="0"/>
    <cacheHierarchy uniqueName="[Test Case].[CWB_CodeReviewed_ReviewedBy]" caption="Code Reviewed By" attribute="1" defaultMemberUniqueName="[Test Case].[CWB_CodeReviewed_ReviewedBy].[All]" allUniqueName="[Test Case].[CWB_CodeReviewed_ReviewedBy].[All]" dimensionUniqueName="[Test Case]" displayFolder="CWB" count="0" unbalanced="0"/>
    <cacheHierarchy uniqueName="[Test Case].[CWB_EstimationBuckets]" caption="Estimation Buckets" attribute="1" defaultMemberUniqueName="[Test Case].[CWB_EstimationBuckets].[All]" allUniqueName="[Test Case].[CWB_EstimationBuckets].[All]" dimensionUniqueName="[Test Case]" displayFolder="CWB" count="0" unbalanced="0"/>
    <cacheHierarchy uniqueName="[Test Case].[CWB_FailedFixes]" caption="Failed Fixes" attribute="1" defaultMemberUniqueName="[Test Case].[CWB_FailedFixes].[All]" allUniqueName="[Test Case].[CWB_FailedFixes].[All]" dimensionUniqueName="[Test Case]" displayFolder="CWB" count="0" unbalanced="0"/>
    <cacheHierarchy uniqueName="[Test Case].[CWB_GoalsAchieved]" caption="Goals Achieved" attribute="1" defaultMemberUniqueName="[Test Case].[CWB_GoalsAchieved].[All]" allUniqueName="[Test Case].[CWB_GoalsAchieved].[All]" dimensionUniqueName="[Test Case]" displayFolder="CWB" count="0" unbalanced="0"/>
    <cacheHierarchy uniqueName="[Test Case].[CWB_iINSDEV]" caption="iINSDEV" attribute="1" defaultMemberUniqueName="[Test Case].[CWB_iINSDEV].[All]" allUniqueName="[Test Case].[CWB_iINSDEV].[All]" dimensionUniqueName="[Test Case]" displayFolder="CWB" count="0" unbalanced="0"/>
    <cacheHierarchy uniqueName="[Test Case].[CWB_IMEnvBuild]" caption="IMBuild" attribute="1" defaultMemberUniqueName="[Test Case].[CWB_IMEnvBuild].[All]" allUniqueName="[Test Case].[CWB_IMEnvBuild].[All]" dimensionUniqueName="[Test Case]" displayFolder="CWB" count="0" unbalanced="0"/>
    <cacheHierarchy uniqueName="[Test Case].[CWB_IMEnvDevelopment]" caption="IMDevelopment" attribute="1" defaultMemberUniqueName="[Test Case].[CWB_IMEnvDevelopment].[All]" allUniqueName="[Test Case].[CWB_IMEnvDevelopment].[All]" dimensionUniqueName="[Test Case]" displayFolder="CWB" count="0" unbalanced="0"/>
    <cacheHierarchy uniqueName="[Test Case].[CWB_IMEnvProduction]" caption="IMProduction" attribute="1" defaultMemberUniqueName="[Test Case].[CWB_IMEnvProduction].[All]" allUniqueName="[Test Case].[CWB_IMEnvProduction].[All]" dimensionUniqueName="[Test Case]" displayFolder="CWB" count="0" unbalanced="0"/>
    <cacheHierarchy uniqueName="[Test Case].[CWB_IMEnvTest]" caption="IMTest" attribute="1" defaultMemberUniqueName="[Test Case].[CWB_IMEnvTest].[All]" allUniqueName="[Test Case].[CWB_IMEnvTest].[All]" dimensionUniqueName="[Test Case]" displayFolder="CWB" count="0" unbalanced="0"/>
    <cacheHierarchy uniqueName="[Test Case].[CWB_IMEnvUATA]" caption="IMUATA" attribute="1" defaultMemberUniqueName="[Test Case].[CWB_IMEnvUATA].[All]" allUniqueName="[Test Case].[CWB_IMEnvUATA].[All]" dimensionUniqueName="[Test Case]" displayFolder="CWB" count="0" unbalanced="0"/>
    <cacheHierarchy uniqueName="[Test Case].[CWB_IMEnvUATB]" caption="IMUATB" attribute="1" defaultMemberUniqueName="[Test Case].[CWB_IMEnvUATB].[All]" allUniqueName="[Test Case].[CWB_IMEnvUATB].[All]" dimensionUniqueName="[Test Case]" displayFolder="CWB" count="0" unbalanced="0"/>
    <cacheHierarchy uniqueName="[Test Case].[CWB_ImpedimentType]" caption="Impediment Type" attribute="1" defaultMemberUniqueName="[Test Case].[CWB_ImpedimentType].[All]" allUniqueName="[Test Case].[CWB_ImpedimentType].[All]" dimensionUniqueName="[Test Case]" displayFolder="CWB" count="0" unbalanced="0"/>
    <cacheHierarchy uniqueName="[Test Case].[CWB_IMReleasePackageDate]" caption="IMPackageDate" attribute="1" defaultMemberUniqueName="[Test Case].[CWB_IMReleasePackageDate].[All]" allUniqueName="[Test Case].[CWB_IMReleasePackageDate].[All]" dimensionUniqueName="[Test Case]" displayFolder="CWB" count="0" unbalanced="0"/>
    <cacheHierarchy uniqueName="[Test Case].[CWB_IMReleasePackageDate__HierarchyByMonth]" caption="IMPackageDate Hierarchy By Month" defaultMemberUniqueName="[Test Case].[CWB_IMReleasePackageDate__HierarchyByMonth].[All]" allUniqueName="[Test Case].[CWB_IMReleasePackageDate__HierarchyByMonth].[All]" dimensionUniqueName="[Test Case]" displayFolder="CWB" count="0" unbalanced="0"/>
    <cacheHierarchy uniqueName="[Test Case].[CWB_IMReleasePackageDate__HierarchyByWeek]" caption="IMPackageDate Hierarchy By Week" defaultMemberUniqueName="[Test Case].[CWB_IMReleasePackageDate__HierarchyByWeek].[All]" allUniqueName="[Test Case].[CWB_IMReleasePackageDate__HierarchyByWeek].[All]" dimensionUniqueName="[Test Case]" displayFolder="CWB" count="0" unbalanced="0"/>
    <cacheHierarchy uniqueName="[Test Case].[CWB_INSQA]" caption="INSQA" attribute="1" defaultMemberUniqueName="[Test Case].[CWB_INSQA].[All]" allUniqueName="[Test Case].[CWB_INSQA].[All]" dimensionUniqueName="[Test Case]" displayFolder="CWB" count="0" unbalanced="0"/>
    <cacheHierarchy uniqueName="[Test Case].[CWB_IssueType]" caption="Issue Type" attribute="1" defaultMemberUniqueName="[Test Case].[CWB_IssueType].[All]" allUniqueName="[Test Case].[CWB_IssueType].[All]" dimensionUniqueName="[Test Case]" displayFolder="CWB" count="0" unbalanced="0"/>
    <cacheHierarchy uniqueName="[Test Case].[CWB_ObjectiveCompleted]" caption="Objective Completed" attribute="1" defaultMemberUniqueName="[Test Case].[CWB_ObjectiveCompleted].[All]" allUniqueName="[Test Case].[CWB_ObjectiveCompleted].[All]" dimensionUniqueName="[Test Case]" displayFolder="CWB" count="0" unbalanced="0"/>
    <cacheHierarchy uniqueName="[Test Case].[CWB_ObjectiveCount]" caption="Objective Count" attribute="1" defaultMemberUniqueName="[Test Case].[CWB_ObjectiveCount].[All]" allUniqueName="[Test Case].[CWB_ObjectiveCount].[All]" dimensionUniqueName="[Test Case]" displayFolder="CWB" count="0" unbalanced="0"/>
    <cacheHierarchy uniqueName="[Test Case].[CWB_OLDDEV]" caption="OLDDEV" attribute="1" defaultMemberUniqueName="[Test Case].[CWB_OLDDEV].[All]" allUniqueName="[Test Case].[CWB_OLDDEV].[All]" dimensionUniqueName="[Test Case]" displayFolder="CWB" count="0" unbalanced="0"/>
    <cacheHierarchy uniqueName="[Test Case].[CWB_OriginationSource]" caption="Origination Source" attribute="1" defaultMemberUniqueName="[Test Case].[CWB_OriginationSource].[All]" allUniqueName="[Test Case].[CWB_OriginationSource].[All]" dimensionUniqueName="[Test Case]" displayFolder="CWB" count="0" unbalanced="0"/>
    <cacheHierarchy uniqueName="[Test Case].[CWB_PBIPriority]" caption="PBI Priority" attribute="1" defaultMemberUniqueName="[Test Case].[CWB_PBIPriority].[All]" allUniqueName="[Test Case].[CWB_PBIPriority].[All]" dimensionUniqueName="[Test Case]" displayFolder="CWB" count="0" unbalanced="0"/>
    <cacheHierarchy uniqueName="[Test Case].[CWB_PBIType]" caption="PBI Type" attribute="1" defaultMemberUniqueName="[Test Case].[CWB_PBIType].[All]" allUniqueName="[Test Case].[CWB_PBIType].[All]" dimensionUniqueName="[Test Case]" displayFolder="CWB" count="0" unbalanced="0"/>
    <cacheHierarchy uniqueName="[Test Case].[CWB_PlannedCompletionDate]" caption="Planned Completion Date" attribute="1" defaultMemberUniqueName="[Test Case].[CWB_PlannedCompletionDate].[All]" allUniqueName="[Test Case].[CWB_PlannedCompletionDate].[All]" dimensionUniqueName="[Test Case]" displayFolder="CWB" count="0" unbalanced="0"/>
    <cacheHierarchy uniqueName="[Test Case].[CWB_PlannedCompletionDate__HierarchyByMonth]" caption="Planned Completion Date Hierarchy By Month" defaultMemberUniqueName="[Test Case].[CWB_PlannedCompletionDate__HierarchyByMonth].[All]" allUniqueName="[Test Case].[CWB_PlannedCompletionDate__HierarchyByMonth].[All]" dimensionUniqueName="[Test Case]" displayFolder="CWB" count="0" unbalanced="0"/>
    <cacheHierarchy uniqueName="[Test Case].[CWB_PlannedCompletionDate__HierarchyByWeek]" caption="Planned Completion Date Hierarchy By Week" defaultMemberUniqueName="[Test Case].[CWB_PlannedCompletionDate__HierarchyByWeek].[All]" allUniqueName="[Test Case].[CWB_PlannedCompletionDate__HierarchyByWeek].[All]" dimensionUniqueName="[Test Case]" displayFolder="CWB" count="0" unbalanced="0"/>
    <cacheHierarchy uniqueName="[Test Case].[CWB_PlannedStartDate]" caption="Planned Start Date" attribute="1" defaultMemberUniqueName="[Test Case].[CWB_PlannedStartDate].[All]" allUniqueName="[Test Case].[CWB_PlannedStartDate].[All]" dimensionUniqueName="[Test Case]" displayFolder="CWB" count="0" unbalanced="0"/>
    <cacheHierarchy uniqueName="[Test Case].[CWB_PlannedStartDate__HierarchyByMonth]" caption="Planned Start Date Hierarchy By Month" defaultMemberUniqueName="[Test Case].[CWB_PlannedStartDate__HierarchyByMonth].[All]" allUniqueName="[Test Case].[CWB_PlannedStartDate__HierarchyByMonth].[All]" dimensionUniqueName="[Test Case]" displayFolder="CWB" count="0" unbalanced="0"/>
    <cacheHierarchy uniqueName="[Test Case].[CWB_PlannedStartDate__HierarchyByWeek]" caption="Planned Start Date Hierarchy By Week" defaultMemberUniqueName="[Test Case].[CWB_PlannedStartDate__HierarchyByWeek].[All]" allUniqueName="[Test Case].[CWB_PlannedStartDate__HierarchyByWeek].[All]" dimensionUniqueName="[Test Case]" displayFolder="CWB" count="0" unbalanced="0"/>
    <cacheHierarchy uniqueName="[Test Case].[CWB_ProjectName]" caption="Project Name" attribute="1" defaultMemberUniqueName="[Test Case].[CWB_ProjectName].[All]" allUniqueName="[Test Case].[CWB_ProjectName].[All]" dimensionUniqueName="[Test Case]" displayFolder="CWB" count="0" unbalanced="0"/>
    <cacheHierarchy uniqueName="[Test Case].[CWB_ReferenceNum]" caption="Reference #" attribute="1" defaultMemberUniqueName="[Test Case].[CWB_ReferenceNum].[All]" allUniqueName="[Test Case].[CWB_ReferenceNum].[All]" dimensionUniqueName="[Test Case]" displayFolder="CWB" count="0" unbalanced="0"/>
    <cacheHierarchy uniqueName="[Test Case].[CWB_RegulatoryRequirement]" caption="Regulatory Requirement?" attribute="1" defaultMemberUniqueName="[Test Case].[CWB_RegulatoryRequirement].[All]" allUniqueName="[Test Case].[CWB_RegulatoryRequirement].[All]" dimensionUniqueName="[Test Case]" displayFolder="CWB" count="0" unbalanced="0"/>
    <cacheHierarchy uniqueName="[Test Case].[CWB_RequirementMet]" caption="Met?" attribute="1" defaultMemberUniqueName="[Test Case].[CWB_RequirementMet].[All]" allUniqueName="[Test Case].[CWB_RequirementMet].[All]" dimensionUniqueName="[Test Case]" displayFolder="CWB" count="0" unbalanced="0"/>
    <cacheHierarchy uniqueName="[Test Case].[CWB_RequirementSource]" caption="Requirement Source" attribute="1" defaultMemberUniqueName="[Test Case].[CWB_RequirementSource].[All]" allUniqueName="[Test Case].[CWB_RequirementSource].[All]" dimensionUniqueName="[Test Case]" displayFolder="CWB" count="0" unbalanced="0"/>
    <cacheHierarchy uniqueName="[Test Case].[CWB_ResourceSchedule]" caption="In Resource Schedule" attribute="1" defaultMemberUniqueName="[Test Case].[CWB_ResourceSchedule].[All]" allUniqueName="[Test Case].[CWB_ResourceSchedule].[All]" dimensionUniqueName="[Test Case]" displayFolder="CWB" count="0" unbalanced="0"/>
    <cacheHierarchy uniqueName="[Test Case].[CWB_Scope]" caption="Scope" attribute="1" defaultMemberUniqueName="[Test Case].[CWB_Scope].[All]" allUniqueName="[Test Case].[CWB_Scope].[All]" dimensionUniqueName="[Test Case]" displayFolder="CWB" count="0" unbalanced="0"/>
    <cacheHierarchy uniqueName="[Test Case].[CWB_T24BUILD]" caption="T24BUILD" attribute="1" defaultMemberUniqueName="[Test Case].[CWB_T24BUILD].[All]" allUniqueName="[Test Case].[CWB_T24BUILD].[All]" dimensionUniqueName="[Test Case]" displayFolder="CWB" count="0" unbalanced="0"/>
    <cacheHierarchy uniqueName="[Test Case].[CWB_T24COB]" caption="T24COB" attribute="1" defaultMemberUniqueName="[Test Case].[CWB_T24COB].[All]" allUniqueName="[Test Case].[CWB_T24COB].[All]" dimensionUniqueName="[Test Case]" displayFolder="CWB" count="0" unbalanced="0"/>
    <cacheHierarchy uniqueName="[Test Case].[CWB_T24DEV]" caption="T24DEV" attribute="1" defaultMemberUniqueName="[Test Case].[CWB_T24DEV].[All]" allUniqueName="[Test Case].[CWB_T24DEV].[All]" dimensionUniqueName="[Test Case]" displayFolder="CWB" count="0" unbalanced="0"/>
    <cacheHierarchy uniqueName="[Test Case].[CWB_T24DEV1]" caption="T24DEV1" attribute="1" defaultMemberUniqueName="[Test Case].[CWB_T24DEV1].[All]" allUniqueName="[Test Case].[CWB_T24DEV1].[All]" dimensionUniqueName="[Test Case]" displayFolder="CWB" count="0" unbalanced="0"/>
    <cacheHierarchy uniqueName="[Test Case].[CWB_T24DEV2]" caption="T24DEV2" attribute="1" defaultMemberUniqueName="[Test Case].[CWB_T24DEV2].[All]" allUniqueName="[Test Case].[CWB_T24DEV2].[All]" dimensionUniqueName="[Test Case]" displayFolder="CWB" count="0" unbalanced="0"/>
    <cacheHierarchy uniqueName="[Test Case].[CWB_T24DMQA]" caption="T24DMQA" attribute="1" defaultMemberUniqueName="[Test Case].[CWB_T24DMQA].[All]" allUniqueName="[Test Case].[CWB_T24DMQA].[All]" dimensionUniqueName="[Test Case]" displayFolder="CWB" count="0" unbalanced="0"/>
    <cacheHierarchy uniqueName="[Test Case].[CWB_T24DMTST]" caption="T24DMTST" attribute="1" defaultMemberUniqueName="[Test Case].[CWB_T24DMTST].[All]" allUniqueName="[Test Case].[CWB_T24DMTST].[All]" dimensionUniqueName="[Test Case]" displayFolder="CWB" count="0" unbalanced="0"/>
    <cacheHierarchy uniqueName="[Test Case].[CWB_T24INSDEV]" caption="T24INSDEV" attribute="1" defaultMemberUniqueName="[Test Case].[CWB_T24INSDEV].[All]" allUniqueName="[Test Case].[CWB_T24INSDEV].[All]" dimensionUniqueName="[Test Case]" displayFolder="CWB" count="0" unbalanced="0"/>
    <cacheHierarchy uniqueName="[Test Case].[CWB_T24MASTR]" caption="T24MASTR" attribute="1" defaultMemberUniqueName="[Test Case].[CWB_T24MASTR].[All]" allUniqueName="[Test Case].[CWB_T24MASTR].[All]" dimensionUniqueName="[Test Case]" displayFolder="CWB" count="0" unbalanced="0"/>
    <cacheHierarchy uniqueName="[Test Case].[CWB_T24PROD]" caption="T24PROD" attribute="1" defaultMemberUniqueName="[Test Case].[CWB_T24PROD].[All]" allUniqueName="[Test Case].[CWB_T24PROD].[All]" dimensionUniqueName="[Test Case]" displayFolder="CWB" count="0" unbalanced="0"/>
    <cacheHierarchy uniqueName="[Test Case].[CWB_T24QA]" caption="T24QA" attribute="1" defaultMemberUniqueName="[Test Case].[CWB_T24QA].[All]" allUniqueName="[Test Case].[CWB_T24QA].[All]" dimensionUniqueName="[Test Case]" displayFolder="CWB" count="0" unbalanced="0"/>
    <cacheHierarchy uniqueName="[Test Case].[CWB_T24SIT]" caption="T24SIT" attribute="1" defaultMemberUniqueName="[Test Case].[CWB_T24SIT].[All]" allUniqueName="[Test Case].[CWB_T24SIT].[All]" dimensionUniqueName="[Test Case]" displayFolder="CWB" count="0" unbalanced="0"/>
    <cacheHierarchy uniqueName="[Test Case].[CWB_T24SIT1]" caption="T24SIT1" attribute="1" defaultMemberUniqueName="[Test Case].[CWB_T24SIT1].[All]" allUniqueName="[Test Case].[CWB_T24SIT1].[All]" dimensionUniqueName="[Test Case]" displayFolder="CWB" count="0" unbalanced="0"/>
    <cacheHierarchy uniqueName="[Test Case].[CWB_T24SIT2]" caption="T24SIT2" attribute="1" defaultMemberUniqueName="[Test Case].[CWB_T24SIT2].[All]" allUniqueName="[Test Case].[CWB_T24SIT2].[All]" dimensionUniqueName="[Test Case]" displayFolder="CWB" count="0" unbalanced="0"/>
    <cacheHierarchy uniqueName="[Test Case].[CWB_T24STG]" caption="T24STG" attribute="1" defaultMemberUniqueName="[Test Case].[CWB_T24STG].[All]" allUniqueName="[Test Case].[CWB_T24STG].[All]" dimensionUniqueName="[Test Case]" displayFolder="CWB" count="0" unbalanced="0"/>
    <cacheHierarchy uniqueName="[Test Case].[CWB_T24TRN1]" caption="T24TRN1" attribute="1" defaultMemberUniqueName="[Test Case].[CWB_T24TRN1].[All]" allUniqueName="[Test Case].[CWB_T24TRN1].[All]" dimensionUniqueName="[Test Case]" displayFolder="CWB" count="0" unbalanced="0"/>
    <cacheHierarchy uniqueName="[Test Case].[CWB_T24TRN2]" caption="T24TRN2" attribute="1" defaultMemberUniqueName="[Test Case].[CWB_T24TRN2].[All]" allUniqueName="[Test Case].[CWB_T24TRN2].[All]" dimensionUniqueName="[Test Case]" displayFolder="CWB" count="0" unbalanced="0"/>
    <cacheHierarchy uniqueName="[Test Case].[CWB_T24TRN3]" caption="T24TRN3" attribute="1" defaultMemberUniqueName="[Test Case].[CWB_T24TRN3].[All]" allUniqueName="[Test Case].[CWB_T24TRN3].[All]" dimensionUniqueName="[Test Case]" displayFolder="CWB" count="0" unbalanced="0"/>
    <cacheHierarchy uniqueName="[Test Case].[CWB_T24TRN4]" caption="T24TRN4" attribute="1" defaultMemberUniqueName="[Test Case].[CWB_T24TRN4].[All]" allUniqueName="[Test Case].[CWB_T24TRN4].[All]" dimensionUniqueName="[Test Case]" displayFolder="CWB" count="0" unbalanced="0"/>
    <cacheHierarchy uniqueName="[Test Case].[CWB_T24TST]" caption="T24TST" attribute="1" defaultMemberUniqueName="[Test Case].[CWB_T24TST].[All]" allUniqueName="[Test Case].[CWB_T24TST].[All]" dimensionUniqueName="[Test Case]" displayFolder="CWB" count="0" unbalanced="0"/>
    <cacheHierarchy uniqueName="[Test Case].[CWB_T24TST1]" caption="T24TST1" attribute="1" defaultMemberUniqueName="[Test Case].[CWB_T24TST1].[All]" allUniqueName="[Test Case].[CWB_T24TST1].[All]" dimensionUniqueName="[Test Case]" displayFolder="CWB" count="0" unbalanced="0"/>
    <cacheHierarchy uniqueName="[Test Case].[CWB_T24TST2]" caption="T24TST2" attribute="1" defaultMemberUniqueName="[Test Case].[CWB_T24TST2].[All]" allUniqueName="[Test Case].[CWB_T24TST2].[All]" dimensionUniqueName="[Test Case]" displayFolder="CWB" count="0" unbalanced="0"/>
    <cacheHierarchy uniqueName="[Test Case].[CWB_T24TST3]" caption="T24TST3" attribute="1" defaultMemberUniqueName="[Test Case].[CWB_T24TST3].[All]" allUniqueName="[Test Case].[CWB_T24TST3].[All]" dimensionUniqueName="[Test Case]" displayFolder="CWB" count="0" unbalanced="0"/>
    <cacheHierarchy uniqueName="[Test Case].[CWB_T24UAT]" caption="T24UAT" attribute="1" defaultMemberUniqueName="[Test Case].[CWB_T24UAT].[All]" allUniqueName="[Test Case].[CWB_T24UAT].[All]" dimensionUniqueName="[Test Case]" displayFolder="CWB" count="0" unbalanced="0"/>
    <cacheHierarchy uniqueName="[Test Case].[CWB_TargetResolution]" caption="Target Resolution" attribute="1" defaultMemberUniqueName="[Test Case].[CWB_TargetResolution].[All]" allUniqueName="[Test Case].[CWB_TargetResolution].[All]" dimensionUniqueName="[Test Case]" displayFolder="CWB" count="0" unbalanced="0"/>
    <cacheHierarchy uniqueName="[Test Case].[CWB_TargetResolution__HierarchyByMonth]" caption="Target Resolution Hierarchy By Month" defaultMemberUniqueName="[Test Case].[CWB_TargetResolution__HierarchyByMonth].[All]" allUniqueName="[Test Case].[CWB_TargetResolution__HierarchyByMonth].[All]" dimensionUniqueName="[Test Case]" displayFolder="CWB" count="0" unbalanced="0"/>
    <cacheHierarchy uniqueName="[Test Case].[CWB_TargetResolution__HierarchyByWeek]" caption="Target Resolution Hierarchy By Week" defaultMemberUniqueName="[Test Case].[CWB_TargetResolution__HierarchyByWeek].[All]" allUniqueName="[Test Case].[CWB_TargetResolution__HierarchyByWeek].[All]" dimensionUniqueName="[Test Case]" displayFolder="CWB" count="0" unbalanced="0"/>
    <cacheHierarchy uniqueName="[Test Case].[CWB_TemenosIssueType]" caption="Temenos Issue Type" attribute="1" defaultMemberUniqueName="[Test Case].[CWB_TemenosIssueType].[All]" allUniqueName="[Test Case].[CWB_TemenosIssueType].[All]" dimensionUniqueName="[Test Case]" displayFolder="CWB" count="0" unbalanced="0"/>
    <cacheHierarchy uniqueName="[Test Case].[CWB_TemenosStatus]" caption="Temenos Status" attribute="1" defaultMemberUniqueName="[Test Case].[CWB_TemenosStatus].[All]" allUniqueName="[Test Case].[CWB_TemenosStatus].[All]" dimensionUniqueName="[Test Case]" displayFolder="CWB" count="0" unbalanced="0"/>
    <cacheHierarchy uniqueName="[Test Case].[CWB_ThirdParty]" caption="Third Party" attribute="1" defaultMemberUniqueName="[Test Case].[CWB_ThirdParty].[All]" allUniqueName="[Test Case].[CWB_ThirdParty].[All]" dimensionUniqueName="[Test Case]" displayFolder="CWB" count="0" unbalanced="0"/>
    <cacheHierarchy uniqueName="[Test Case].[CWB_ThirdPartyStatus]" caption="Third Party Status" attribute="1" defaultMemberUniqueName="[Test Case].[CWB_ThirdPartyStatus].[All]" allUniqueName="[Test Case].[CWB_ThirdPartyStatus].[All]" dimensionUniqueName="[Test Case]" displayFolder="CWB" count="0" unbalanced="0"/>
    <cacheHierarchy uniqueName="[Test Case].[CWB_WorkOrderNumber]" caption="Work Order Number" attribute="1" defaultMemberUniqueName="[Test Case].[CWB_WorkOrderNumber].[All]" allUniqueName="[Test Case].[CWB_WorkOrderNumber].[All]" dimensionUniqueName="[Test Case]" displayFolder="CWB" count="0" unbalanced="0"/>
    <cacheHierarchy uniqueName="[Test Case].[Iteration Hierarchy]" caption="Iteration Hierarchy" defaultMemberUniqueName="[Test Case].[Iteration Hierarchy].[All]" allUniqueName="[Test Case].[Iteration Hierarchy].[All]" dimensionUniqueName="[Test Case]" displayFolder="" count="0" unbalanced="0"/>
    <cacheHierarchy uniqueName="[Test Case].[Iteration Path]" caption="Iteration Path" attribute="1" defaultMemberUniqueName="[Test Case].[Iteration Path].[All]" allUniqueName="[Test Case].[Iteration Path].[All]" dimensionUniqueName="[Test Case]" displayFolder="\" count="2" unbalanced="0">
      <fieldsUsage count="2">
        <fieldUsage x="-1"/>
        <fieldUsage x="43"/>
      </fieldsUsage>
    </cacheHierarchy>
    <cacheHierarchy uniqueName="[Test Case].[Microsoft_VSTS_Build_FoundIn]" caption="Found In" attribute="1" defaultMemberUniqueName="[Test Case].[Microsoft_VSTS_Build_FoundIn].[All]" allUniqueName="[Test Case].[Microsoft_VSTS_Build_FoundIn].[All]" dimensionUniqueName="[Test Case]" displayFolder="Microsoft.VSTS.Build" count="0" unbalanced="0"/>
    <cacheHierarchy uniqueName="[Test Case].[Microsoft_VSTS_Build_IntegrationBuild]" caption="Integration Build" attribute="1" defaultMemberUniqueName="[Test Case].[Microsoft_VSTS_Build_IntegrationBuild].[All]" allUniqueName="[Test Case].[Microsoft_VSTS_Build_IntegrationBuild].[All]" dimensionUniqueName="[Test Case]" displayFolder="Microsoft.VSTS.Build" count="0" unbalanced="0"/>
    <cacheHierarchy uniqueName="[Test Case].[Microsoft_VSTS_CMMI_Blocked]" caption="Blocked" attribute="1" defaultMemberUniqueName="[Test Case].[Microsoft_VSTS_CMMI_Blocked].[All]" allUniqueName="[Test Case].[Microsoft_VSTS_CMMI_Blocked].[All]" dimensionUniqueName="[Test Case]" displayFolder="Microsoft.VSTS.CMMI" count="0" unbalanced="0"/>
    <cacheHierarchy uniqueName="[Test Case].[Microsoft_VSTS_CodeReview_AcceptedBy]" caption="Accepted By" attribute="1" defaultMemberUniqueName="[Test Case].[Microsoft_VSTS_CodeReview_AcceptedBy].[All]" allUniqueName="[Test Case].[Microsoft_VSTS_CodeReview_AcceptedBy].[All]" dimensionUniqueName="[Test Case]" displayFolder="Microsoft.VSTS.CodeReview" count="0" unbalanced="0"/>
    <cacheHierarchy uniqueName="[Test Case].[Microsoft_VSTS_CodeReview_AcceptedDate]" caption="Accepted Date" attribute="1" defaultMemberUniqueName="[Test Case].[Microsoft_VSTS_CodeReview_AcceptedDate].[All]" allUniqueName="[Test Case].[Microsoft_VSTS_CodeReview_AcceptedDate].[All]" dimensionUniqueName="[Test Case]" displayFolder="Microsoft.VSTS.CodeReview" count="0" unbalanced="0"/>
    <cacheHierarchy uniqueName="[Test Case].[Microsoft_VSTS_CodeReview_AcceptedDate__HierarchyByMonth]" caption="Accepted Date Hierarchy By Month" defaultMemberUniqueName="[Test Case].[Microsoft_VSTS_CodeReview_AcceptedDate__HierarchyByMonth].[All]" allUniqueName="[Test Case].[Microsoft_VSTS_CodeReview_AcceptedDate__HierarchyByMonth].[All]" dimensionUniqueName="[Test Case]" displayFolder="Microsoft.VSTS.CodeReview" count="0" unbalanced="0"/>
    <cacheHierarchy uniqueName="[Test Case].[Microsoft_VSTS_CodeReview_AcceptedDate__HierarchyByWeek]" caption="Accepted Date Hierarchy By Week" defaultMemberUniqueName="[Test Case].[Microsoft_VSTS_CodeReview_AcceptedDate__HierarchyByWeek].[All]" allUniqueName="[Test Case].[Microsoft_VSTS_CodeReview_AcceptedDate__HierarchyByWeek].[All]" dimensionUniqueName="[Test Case]" displayFolder="Microsoft.VSTS.CodeReview" count="0" unbalanced="0"/>
    <cacheHierarchy uniqueName="[Test Case].[Microsoft_VSTS_CodeReview_ClosedStatus]" caption="Closed Status" attribute="1" defaultMemberUniqueName="[Test Case].[Microsoft_VSTS_CodeReview_ClosedStatus].[All]" allUniqueName="[Test Case].[Microsoft_VSTS_CodeReview_ClosedStatus].[All]" dimensionUniqueName="[Test Case]" displayFolder="Microsoft.VSTS.CodeReview" count="0" unbalanced="0"/>
    <cacheHierarchy uniqueName="[Test Case].[Microsoft_VSTS_Common_ActivatedBy]" caption="Activated By" attribute="1" defaultMemberUniqueName="[Test Case].[Microsoft_VSTS_Common_ActivatedBy].[All]" allUniqueName="[Test Case].[Microsoft_VSTS_Common_ActivatedBy].[All]" dimensionUniqueName="[Test Case]" displayFolder="Microsoft.VSTS.Common" count="0" unbalanced="0"/>
    <cacheHierarchy uniqueName="[Test Case].[Microsoft_VSTS_Common_ActivatedDate]" caption="Activated Date" attribute="1" defaultMemberUniqueName="[Test Case].[Microsoft_VSTS_Common_ActivatedDate].[All]" allUniqueName="[Test Case].[Microsoft_VSTS_Common_ActivatedDate].[All]" dimensionUniqueName="[Test Case]" displayFolder="Microsoft.VSTS.Common" count="0" unbalanced="0"/>
    <cacheHierarchy uniqueName="[Test Case].[Microsoft_VSTS_Common_ActivatedDate__HierarchyByMonth]" caption="Activated Date Hierarchy By Month" defaultMemberUniqueName="[Test Case].[Microsoft_VSTS_Common_ActivatedDate__HierarchyByMonth].[All]" allUniqueName="[Test Case].[Microsoft_VSTS_Common_ActivatedDate__HierarchyByMonth].[All]" dimensionUniqueName="[Test Case]" displayFolder="Microsoft.VSTS.Common" count="0" unbalanced="0"/>
    <cacheHierarchy uniqueName="[Test Case].[Microsoft_VSTS_Common_ActivatedDate__HierarchyByWeek]" caption="Activated Date Hierarchy By Week" defaultMemberUniqueName="[Test Case].[Microsoft_VSTS_Common_ActivatedDate__HierarchyByWeek].[All]" allUniqueName="[Test Case].[Microsoft_VSTS_Common_ActivatedDate__HierarchyByWeek].[All]" dimensionUniqueName="[Test Case]" displayFolder="Microsoft.VSTS.Common" count="0" unbalanced="0"/>
    <cacheHierarchy uniqueName="[Test Case].[Microsoft_VSTS_Common_Activity]" caption="Activity" attribute="1" defaultMemberUniqueName="[Test Case].[Microsoft_VSTS_Common_Activity].[All]" allUniqueName="[Test Case].[Microsoft_VSTS_Common_Activity].[All]" dimensionUniqueName="[Test Case]" displayFolder="Microsoft.VSTS.Common" count="0" unbalanced="0"/>
    <cacheHierarchy uniqueName="[Test Case].[Microsoft_VSTS_Common_ClosedBy]" caption="Closed By" attribute="1" defaultMemberUniqueName="[Test Case].[Microsoft_VSTS_Common_ClosedBy].[All]" allUniqueName="[Test Case].[Microsoft_VSTS_Common_ClosedBy].[All]" dimensionUniqueName="[Test Case]" displayFolder="Microsoft.VSTS.Common" count="0" unbalanced="0"/>
    <cacheHierarchy uniqueName="[Test Case].[Microsoft_VSTS_Common_ClosedDate]" caption="Closed Date" attribute="1" defaultMemberUniqueName="[Test Case].[Microsoft_VSTS_Common_ClosedDate].[All]" allUniqueName="[Test Case].[Microsoft_VSTS_Common_ClosedDate].[All]" dimensionUniqueName="[Test Case]" displayFolder="Microsoft.VSTS.Common" count="0" unbalanced="0"/>
    <cacheHierarchy uniqueName="[Test Case].[Microsoft_VSTS_Common_ClosedDate__HierarchyByMonth]" caption="Closed Date Hierarchy By Month" defaultMemberUniqueName="[Test Case].[Microsoft_VSTS_Common_ClosedDate__HierarchyByMonth].[All]" allUniqueName="[Test Case].[Microsoft_VSTS_Common_ClosedDate__HierarchyByMonth].[All]" dimensionUniqueName="[Test Case]" displayFolder="Microsoft.VSTS.Common" count="0" unbalanced="0"/>
    <cacheHierarchy uniqueName="[Test Case].[Microsoft_VSTS_Common_ClosedDate__HierarchyByWeek]" caption="Closed Date Hierarchy By Week" defaultMemberUniqueName="[Test Case].[Microsoft_VSTS_Common_ClosedDate__HierarchyByWeek].[All]" allUniqueName="[Test Case].[Microsoft_VSTS_Common_ClosedDate__HierarchyByWeek].[All]" dimensionUniqueName="[Test Case]" displayFolder="Microsoft.VSTS.Common" count="0" unbalanced="0"/>
    <cacheHierarchy uniqueName="[Test Case].[Microsoft_VSTS_Common_Issue]" caption="Issue" attribute="1" defaultMemberUniqueName="[Test Case].[Microsoft_VSTS_Common_Issue].[All]" allUniqueName="[Test Case].[Microsoft_VSTS_Common_Issue].[All]" dimensionUniqueName="[Test Case]" displayFolder="Microsoft.VSTS.Common" count="0" unbalanced="0"/>
    <cacheHierarchy uniqueName="[Test Case].[Microsoft_VSTS_Common_Priority]" caption="Priority" attribute="1" defaultMemberUniqueName="[Test Case].[Microsoft_VSTS_Common_Priority].[All]" allUniqueName="[Test Case].[Microsoft_VSTS_Common_Priority].[All]" dimensionUniqueName="[Test Case]" displayFolder="Microsoft.VSTS.Common" count="0" unbalanced="0"/>
    <cacheHierarchy uniqueName="[Test Case].[Microsoft_VSTS_Common_Rating]" caption="Rating" attribute="1" defaultMemberUniqueName="[Test Case].[Microsoft_VSTS_Common_Rating].[All]" allUniqueName="[Test Case].[Microsoft_VSTS_Common_Rating].[All]" dimensionUniqueName="[Test Case]" displayFolder="Microsoft.VSTS.Common" count="0" unbalanced="0"/>
    <cacheHierarchy uniqueName="[Test Case].[Microsoft_VSTS_Common_Severity]" caption="Severity" attribute="1" defaultMemberUniqueName="[Test Case].[Microsoft_VSTS_Common_Severity].[All]" allUniqueName="[Test Case].[Microsoft_VSTS_Common_Severity].[All]" dimensionUniqueName="[Test Case]" displayFolder="Microsoft.VSTS.Common" count="0" unbalanced="0"/>
    <cacheHierarchy uniqueName="[Test Case].[Microsoft_VSTS_TCM_AutomationStatus]" caption="Automation status" attribute="1" defaultMemberUniqueName="[Test Case].[Microsoft_VSTS_TCM_AutomationStatus].[All]" allUniqueName="[Test Case].[Microsoft_VSTS_TCM_AutomationStatus].[All]" dimensionUniqueName="[Test Case]" displayFolder="Microsoft.VSTS.TCM" count="0" unbalanced="0"/>
    <cacheHierarchy uniqueName="[Test Case].[Previous State]" caption="Previous State" attribute="1" defaultMemberUniqueName="[Test Case].[Previous State].[All]" allUniqueName="[Test Case].[Previous State].[All]" dimensionUniqueName="[Test Case]" displayFolder="" count="0" unbalanced="0"/>
    <cacheHierarchy uniqueName="[Test Case].[System_AssignedTo]" caption="Assigned To" attribute="1" defaultMemberUniqueName="[Test Case].[System_AssignedTo].[All]" allUniqueName="[Test Case].[System_AssignedTo].[All]" dimensionUniqueName="[Test Case]" displayFolder="\" count="0" unbalanced="0"/>
    <cacheHierarchy uniqueName="[Test Case].[System_ChangedBy]" caption="Changed By" attribute="1" defaultMemberUniqueName="[Test Case].[System_ChangedBy].[All]" allUniqueName="[Test Case].[System_ChangedBy].[All]" dimensionUniqueName="[Test Case]" displayFolder="\" count="0" unbalanced="0"/>
    <cacheHierarchy uniqueName="[Test Case].[System_ChangedDate]" caption="Changed Date" attribute="1" defaultMemberUniqueName="[Test Case].[System_ChangedDate].[All]" allUniqueName="[Test Case].[System_ChangedDate].[All]" dimensionUniqueName="[Test Case]" displayFolder="\" count="0" unbalanced="0"/>
    <cacheHierarchy uniqueName="[Test Case].[System_ChangedDate__HierarchyByMonth]" caption="Changed Date Hierarchy By Month" defaultMemberUniqueName="[Test Case].[System_ChangedDate__HierarchyByMonth].[All]" allUniqueName="[Test Case].[System_ChangedDate__HierarchyByMonth].[All]" dimensionUniqueName="[Test Case]" displayFolder="\" count="0" unbalanced="0"/>
    <cacheHierarchy uniqueName="[Test Case].[System_ChangedDate__HierarchyByWeek]" caption="Changed Date Hierarchy By Week" defaultMemberUniqueName="[Test Case].[System_ChangedDate__HierarchyByWeek].[All]" allUniqueName="[Test Case].[System_ChangedDate__HierarchyByWeek].[All]" dimensionUniqueName="[Test Case]" displayFolder="\" count="0" unbalanced="0"/>
    <cacheHierarchy uniqueName="[Test Case].[System_CreatedBy]" caption="Created By" attribute="1" defaultMemberUniqueName="[Test Case].[System_CreatedBy].[All]" allUniqueName="[Test Case].[System_CreatedBy].[All]" dimensionUniqueName="[Test Case]" displayFolder="\" count="0" unbalanced="0"/>
    <cacheHierarchy uniqueName="[Test Case].[System_CreatedDate]" caption="Created Date" attribute="1" defaultMemberUniqueName="[Test Case].[System_CreatedDate].[All]" allUniqueName="[Test Case].[System_CreatedDate].[All]" dimensionUniqueName="[Test Case]" displayFolder="\" count="0" unbalanced="0"/>
    <cacheHierarchy uniqueName="[Test Case].[System_CreatedDate__HierarchyByMonth]" caption="Created Date Hierarchy By Month" defaultMemberUniqueName="[Test Case].[System_CreatedDate__HierarchyByMonth].[All]" allUniqueName="[Test Case].[System_CreatedDate__HierarchyByMonth].[All]" dimensionUniqueName="[Test Case]" displayFolder="\" count="0" unbalanced="0"/>
    <cacheHierarchy uniqueName="[Test Case].[System_CreatedDate__HierarchyByWeek]" caption="Created Date Hierarchy By Week" defaultMemberUniqueName="[Test Case].[System_CreatedDate__HierarchyByWeek].[All]" allUniqueName="[Test Case].[System_CreatedDate__HierarchyByWeek].[All]" dimensionUniqueName="[Test Case]" displayFolder="\" count="0" unbalanced="0"/>
    <cacheHierarchy uniqueName="[Test Case].[System_Id]" caption="ID" attribute="1" defaultMemberUniqueName="[Test Case].[System_Id].[All]" allUniqueName="[Test Case].[System_Id].[All]" dimensionUniqueName="[Test Case]" displayFolder="\" count="0" unbalanced="0"/>
    <cacheHierarchy uniqueName="[Test Case].[System_Reason]" caption="Reason" attribute="1" defaultMemberUniqueName="[Test Case].[System_Reason].[All]" allUniqueName="[Test Case].[System_Reason].[All]" dimensionUniqueName="[Test Case]" displayFolder="\" count="0" unbalanced="0"/>
    <cacheHierarchy uniqueName="[Test Case].[System_Revision]" caption="Rev" attribute="1" defaultMemberUniqueName="[Test Case].[System_Revision].[All]" allUniqueName="[Test Case].[System_Revision].[All]" dimensionUniqueName="[Test Case]" displayFolder="\" count="0" unbalanced="0"/>
    <cacheHierarchy uniqueName="[Test Case].[System_State]" caption="State" attribute="1" defaultMemberUniqueName="[Test Case].[System_State].[All]" allUniqueName="[Test Case].[System_State].[All]" dimensionUniqueName="[Test Case]" displayFolder="\" count="0" unbalanced="0"/>
    <cacheHierarchy uniqueName="[Test Case].[System_Title]" caption="Title" attribute="1" defaultMemberUniqueName="[Test Case].[System_Title].[All]" allUniqueName="[Test Case].[System_Title].[All]" dimensionUniqueName="[Test Case]" displayFolder="\" count="0" unbalanced="0"/>
    <cacheHierarchy uniqueName="[Test Case].[System_WorkItemType]" caption="Work Item Type" attribute="1" defaultMemberUniqueName="[Test Case].[System_WorkItemType].[All]" allUniqueName="[Test Case].[System_WorkItemType].[All]" dimensionUniqueName="[Test Case]" displayFolder="\" count="0" unbalanced="0"/>
    <cacheHierarchy uniqueName="[Test Configuration].[Configuration ID]" caption="Configuration Id" attribute="1" defaultMemberUniqueName="[Test Configuration].[Configuration ID].[All]" allUniqueName="[Test Configuration].[Configuration ID].[All]" dimensionUniqueName="[Test Configuration]" displayFolder="" count="0" unbalanced="0"/>
    <cacheHierarchy uniqueName="[Test Configuration].[Configuration Name]" caption="Configuration Name" attribute="1" defaultMemberUniqueName="[Test Configuration].[Configuration Name].[All]" allUniqueName="[Test Configuration].[Configuration Name].[All]" dimensionUniqueName="[Test Configuration]" displayFolder="" count="0" unbalanced="0"/>
    <cacheHierarchy uniqueName="[Test Plan].[Area Hierarchy]" caption="Area Hierarchy" defaultMemberUniqueName="[Test Plan].[Area Hierarchy].[All]" allUniqueName="[Test Plan].[Area Hierarchy].[All]" dimensionUniqueName="[Test Plan]" displayFolder="" count="0" unbalanced="0"/>
    <cacheHierarchy uniqueName="[Test Plan].[Area Path]" caption="Area Path" attribute="1" defaultMemberUniqueName="[Test Plan].[Area Path].[All]" allUniqueName="[Test Plan].[Area Path].[All]" dimensionUniqueName="[Test Plan]" displayFolder="\" count="0" unbalanced="0"/>
    <cacheHierarchy uniqueName="[Test Plan].[End Date]" caption="End Date" attribute="1" defaultMemberUniqueName="[Test Plan].[End Date].[All]" allUniqueName="[Test Plan].[End Date].[All]" dimensionUniqueName="[Test Plan]" displayFolder="" count="0" unbalanced="0"/>
    <cacheHierarchy uniqueName="[Test Plan].[End Date Hierarchy By Month]" caption="End Date Hierarchy By Month" defaultMemberUniqueName="[Test Plan].[End Date Hierarchy By Month].[All]" allUniqueName="[Test Plan].[End Date Hierarchy By Month].[All]" dimensionUniqueName="[Test Plan]" displayFolder="" count="0" unbalanced="0"/>
    <cacheHierarchy uniqueName="[Test Plan].[End Date Hierarchy By Week]" caption="End Date Hierarchy By Week" defaultMemberUniqueName="[Test Plan].[End Date Hierarchy By Week].[All]" allUniqueName="[Test Plan].[End Date Hierarchy By Week].[All]" dimensionUniqueName="[Test Plan]" displayFolder="" count="0" unbalanced="0"/>
    <cacheHierarchy uniqueName="[Test Plan].[Iteration Hierarchy]" caption="Iteration Hierarchy" defaultMemberUniqueName="[Test Plan].[Iteration Hierarchy].[All]" allUniqueName="[Test Plan].[Iteration Hierarchy].[All]" dimensionUniqueName="[Test Plan]" displayFolder="" count="0" unbalanced="0"/>
    <cacheHierarchy uniqueName="[Test Plan].[Iteration Path]" caption="Iteration Path" attribute="1" defaultMemberUniqueName="[Test Plan].[Iteration Path].[All]" allUniqueName="[Test Plan].[Iteration Path].[All]" dimensionUniqueName="[Test Plan]" displayFolder="\" count="0" unbalanced="0"/>
    <cacheHierarchy uniqueName="[Test Plan].[Start Date]" caption="Start Date" attribute="1" defaultMemberUniqueName="[Test Plan].[Start Date].[All]" allUniqueName="[Test Plan].[Start Date].[All]" dimensionUniqueName="[Test Plan]" displayFolder="" count="0" unbalanced="0"/>
    <cacheHierarchy uniqueName="[Test Plan].[Start Date Hierarchy By Month]" caption="Start Date Hierarchy By Month" defaultMemberUniqueName="[Test Plan].[Start Date Hierarchy By Month].[All]" allUniqueName="[Test Plan].[Start Date Hierarchy By Month].[All]" dimensionUniqueName="[Test Plan]" displayFolder="" count="0" unbalanced="0"/>
    <cacheHierarchy uniqueName="[Test Plan].[Start Date Hierarchy By Week]" caption="Start Date Hierarchy By Week" defaultMemberUniqueName="[Test Plan].[Start Date Hierarchy By Week].[All]" allUniqueName="[Test Plan].[Start Date Hierarchy By Week].[All]" dimensionUniqueName="[Test Plan]" displayFolder="" count="0" unbalanced="0"/>
    <cacheHierarchy uniqueName="[Test Plan].[Test Plan ID]" caption="Test Plan Id" attribute="1" defaultMemberUniqueName="[Test Plan].[Test Plan ID].[All]" allUniqueName="[Test Plan].[Test Plan ID].[All]" dimensionUniqueName="[Test Plan]" displayFolder="" count="0" unbalanced="0"/>
    <cacheHierarchy uniqueName="[Test Plan].[Test Plan Name]" caption="Test Plan Name" attribute="1" defaultMemberUniqueName="[Test Plan].[Test Plan Name].[All]" allUniqueName="[Test Plan].[Test Plan Name].[All]" dimensionUniqueName="[Test Plan]" displayFolder="" count="2" unbalanced="0">
      <fieldsUsage count="2">
        <fieldUsage x="-1"/>
        <fieldUsage x="44"/>
      </fieldsUsage>
    </cacheHierarchy>
    <cacheHierarchy uniqueName="[Test Plan].[Test Plan Owner]" caption="Test Plan Owner" attribute="1" defaultMemberUniqueName="[Test Plan].[Test Plan Owner].[All]" allUniqueName="[Test Plan].[Test Plan Owner].[All]" dimensionUniqueName="[Test Plan]" displayFolder="" count="0" unbalanced="0"/>
    <cacheHierarchy uniqueName="[Test Plan].[Test Plan State]" caption="Test Plan State" attribute="1" defaultMemberUniqueName="[Test Plan].[Test Plan State].[All]" allUniqueName="[Test Plan].[Test Plan State].[All]" dimensionUniqueName="[Test Plan]" displayFolder="" count="0" unbalanced="0"/>
    <cacheHierarchy uniqueName="[Test Plan].[Test Plan State ID]" caption="Test Plan State Id" attribute="1" defaultMemberUniqueName="[Test Plan].[Test Plan State ID].[All]" allUniqueName="[Test Plan].[Test Plan State ID].[All]" dimensionUniqueName="[Test Plan]" displayFolder="" count="0" unbalanced="0"/>
    <cacheHierarchy uniqueName="[Test Result].[Failure Type]" caption="Failure Type" attribute="1" defaultMemberUniqueName="[Test Result].[Failure Type].[All]" allUniqueName="[Test Result].[Failure Type].[All]" dimensionUniqueName="[Test Result]" displayFolder="" count="0" unbalanced="0"/>
    <cacheHierarchy uniqueName="[Test Result].[Failure Type Id]" caption="Failure Type Id" attribute="1" defaultMemberUniqueName="[Test Result].[Failure Type Id].[All]" allUniqueName="[Test Result].[Failure Type Id].[All]" dimensionUniqueName="[Test Result]" displayFolder="" count="0" unbalanced="0"/>
    <cacheHierarchy uniqueName="[Test Result].[Outcome]" caption="Outcome" attribute="1" defaultMemberUniqueName="[Test Result].[Outcome].[All]" allUniqueName="[Test Result].[Outcome].[All]" dimensionUniqueName="[Test Result]" displayFolder="" count="2" unbalanced="0">
      <fieldsUsage count="2">
        <fieldUsage x="-1"/>
        <fieldUsage x="77"/>
      </fieldsUsage>
    </cacheHierarchy>
    <cacheHierarchy uniqueName="[Test Result].[Outcome Id]" caption="Outcome Id" attribute="1" defaultMemberUniqueName="[Test Result].[Outcome Id].[All]" allUniqueName="[Test Result].[Outcome Id].[All]" dimensionUniqueName="[Test Result]" displayFolder="" count="0" unbalanced="0"/>
    <cacheHierarchy uniqueName="[Test Result].[Readiness State]" caption="Readiness State" attribute="1" defaultMemberUniqueName="[Test Result].[Readiness State].[All]" allUniqueName="[Test Result].[Readiness State].[All]" dimensionUniqueName="[Test Result]" displayFolder="" count="0" unbalanced="0"/>
    <cacheHierarchy uniqueName="[Test Result].[Readiness State Id]" caption="Readiness State Id" attribute="1" defaultMemberUniqueName="[Test Result].[Readiness State Id].[All]" allUniqueName="[Test Result].[Readiness State Id].[All]" dimensionUniqueName="[Test Result]" displayFolder="" count="0" unbalanced="0"/>
    <cacheHierarchy uniqueName="[Test Result].[Resolution State]" caption="Resolution State" attribute="1" defaultMemberUniqueName="[Test Result].[Resolution State].[All]" allUniqueName="[Test Result].[Resolution State].[All]" dimensionUniqueName="[Test Result]" displayFolder="" count="0" unbalanced="0"/>
    <cacheHierarchy uniqueName="[Test Result].[Test Result Executed By]" caption="Test Result Executed By" attribute="1" defaultMemberUniqueName="[Test Result].[Test Result Executed By].[All]" allUniqueName="[Test Result].[Test Result Executed By].[All]" dimensionUniqueName="[Test Result]" displayFolder="" count="0" unbalanced="0"/>
    <cacheHierarchy uniqueName="[Test Result].[Test Result Owner]" caption="Test Result Owner" attribute="1" defaultMemberUniqueName="[Test Result].[Test Result Owner].[All]" allUniqueName="[Test Result].[Test Result Owner].[All]" dimensionUniqueName="[Test Result]" displayFolder="" count="0" unbalanced="0"/>
    <cacheHierarchy uniqueName="[Test Result].[Test Result Priority]" caption="Test Result Priority" attribute="1" defaultMemberUniqueName="[Test Result].[Test Result Priority].[All]" allUniqueName="[Test Result].[Test Result Priority].[All]" dimensionUniqueName="[Test Result]" displayFolder="" count="0" unbalanced="0"/>
    <cacheHierarchy uniqueName="[Test Run].[Complete Date Hierarchy By Month]" caption="Complete Date Hierarchy By Month" defaultMemberUniqueName="[Test Run].[Complete Date Hierarchy By Month].[All]" allUniqueName="[Test Run].[Complete Date Hierarchy By Month].[All]" dimensionUniqueName="[Test Run]" displayFolder="" count="0" unbalanced="0"/>
    <cacheHierarchy uniqueName="[Test Run].[Complete Date Hierarchy By Week]" caption="Complete Date Hierarchy By Week" defaultMemberUniqueName="[Test Run].[Complete Date Hierarchy By Week].[All]" allUniqueName="[Test Run].[Complete Date Hierarchy By Week].[All]" dimensionUniqueName="[Test Run]" displayFolder="" count="0" unbalanced="0"/>
    <cacheHierarchy uniqueName="[Test Run].[Creation Date Hierarchy By Month]" caption="Creation Date Hierarchy By Month" defaultMemberUniqueName="[Test Run].[Creation Date Hierarchy By Month].[All]" allUniqueName="[Test Run].[Creation Date Hierarchy By Month].[All]" dimensionUniqueName="[Test Run]" displayFolder="" count="0" unbalanced="0"/>
    <cacheHierarchy uniqueName="[Test Run].[Creation Date Hierarchy By Week]" caption="Creation Date Hierarchy By Week" defaultMemberUniqueName="[Test Run].[Creation Date Hierarchy By Week].[All]" allUniqueName="[Test Run].[Creation Date Hierarchy By Week].[All]" dimensionUniqueName="[Test Run]" displayFolder="" count="0" unbalanced="0"/>
    <cacheHierarchy uniqueName="[Test Run].[Is Automated]" caption="Is Automated" attribute="1" defaultMemberUniqueName="[Test Run].[Is Automated].[All]" allUniqueName="[Test Run].[Is Automated].[All]" dimensionUniqueName="[Test Run]" displayFolder="" count="0" unbalanced="0"/>
    <cacheHierarchy uniqueName="[Test Run].[Is Build Verification Run]" caption="Is Build Verification Run" attribute="1" defaultMemberUniqueName="[Test Run].[Is Build Verification Run].[All]" allUniqueName="[Test Run].[Is Build Verification Run].[All]" dimensionUniqueName="[Test Run]" displayFolder="" count="0" unbalanced="0"/>
    <cacheHierarchy uniqueName="[Test Run].[Start Date Hierarchy By Month]" caption="Start Date Hierarchy By Month" defaultMemberUniqueName="[Test Run].[Start Date Hierarchy By Month].[All]" allUniqueName="[Test Run].[Start Date Hierarchy By Month].[All]" dimensionUniqueName="[Test Run]" displayFolder="" count="0" unbalanced="0"/>
    <cacheHierarchy uniqueName="[Test Run].[Start Date Hierarchy By Week]" caption="Start Date Hierarchy By Week" defaultMemberUniqueName="[Test Run].[Start Date Hierarchy By Week].[All]" allUniqueName="[Test Run].[Start Date Hierarchy By Week].[All]" dimensionUniqueName="[Test Run]" displayFolder="" count="0" unbalanced="0"/>
    <cacheHierarchy uniqueName="[Test Run].[Test Run ID]" caption="Test Run Id" attribute="1" defaultMemberUniqueName="[Test Run].[Test Run ID].[All]" allUniqueName="[Test Run].[Test Run ID].[All]" dimensionUniqueName="[Test Run]" displayFolder="" count="0" unbalanced="0"/>
    <cacheHierarchy uniqueName="[Test Run].[Test Run Owner]" caption="Test Run Owner" attribute="1" defaultMemberUniqueName="[Test Run].[Test Run Owner].[All]" allUniqueName="[Test Run].[Test Run Owner].[All]" dimensionUniqueName="[Test Run]" displayFolder="" count="0" unbalanced="0"/>
    <cacheHierarchy uniqueName="[Test Run].[Test Run State]" caption="Test Run State" attribute="1" defaultMemberUniqueName="[Test Run].[Test Run State].[All]" allUniqueName="[Test Run].[Test Run State].[All]" dimensionUniqueName="[Test Run]" displayFolder="" count="0" unbalanced="0"/>
    <cacheHierarchy uniqueName="[Test Run].[Test Run State Id]" caption="Test Run State Id" attribute="1" defaultMemberUniqueName="[Test Run].[Test Run State Id].[All]" allUniqueName="[Test Run].[Test Run State Id].[All]" dimensionUniqueName="[Test Run]" displayFolder="" count="0" unbalanced="0"/>
    <cacheHierarchy uniqueName="[Test Run].[Test Run Title]" caption="Test Run Title" attribute="1" defaultMemberUniqueName="[Test Run].[Test Run Title].[All]" allUniqueName="[Test Run].[Test Run Title].[All]" dimensionUniqueName="[Test Run]" displayFolder="" count="0" unbalanced="0"/>
    <cacheHierarchy uniqueName="[Test Suite].[Suite Path]" caption="Suite Path" attribute="1" defaultMemberUniqueName="[Test Suite].[Suite Path].[All]" allUniqueName="[Test Suite].[Suite Path].[All]" dimensionUniqueName="[Test Suite]" displayFolder="" count="0" unbalanced="0"/>
    <cacheHierarchy uniqueName="[Test Suite].[Test Suite Hierarchy]" caption="Test Suite Hierarchy" defaultMemberUniqueName="[Test Suite].[Test Suite Hierarchy].[All]" allUniqueName="[Test Suite].[Test Suite Hierarchy].[All]" dimensionUniqueName="[Test Suite]" displayFolder="" count="17" unbalanced="0">
      <fieldsUsage count="17">
        <fieldUsage x="-1"/>
        <fieldUsage x="46"/>
        <fieldUsage x="47"/>
        <fieldUsage x="48"/>
        <fieldUsage x="49"/>
        <fieldUsage x="50"/>
        <fieldUsage x="51"/>
        <fieldUsage x="52"/>
        <fieldUsage x="53"/>
        <fieldUsage x="54"/>
        <fieldUsage x="55"/>
        <fieldUsage x="56"/>
        <fieldUsage x="57"/>
        <fieldUsage x="58"/>
        <fieldUsage x="59"/>
        <fieldUsage x="60"/>
        <fieldUsage x="61"/>
      </fieldsUsage>
    </cacheHierarchy>
    <cacheHierarchy uniqueName="[Version Control Changeset].[Changeset ID]" caption="Changeset ID" attribute="1" defaultMemberUniqueName="[Version Control Changeset].[Changeset ID].[All]" allUniqueName="[Version Control Changeset].[Changeset ID].[All]" dimensionUniqueName="[Version Control Changeset]" displayFolder="" count="0" unbalanced="0"/>
    <cacheHierarchy uniqueName="[Version Control Changeset].[Changeset Title]" caption="Description" attribute="1" defaultMemberUniqueName="[Version Control Changeset].[Changeset Title].[All]" allUniqueName="[Version Control Changeset].[Changeset Title].[All]" dimensionUniqueName="[Version Control Changeset]" displayFolder="" count="0" unbalanced="0"/>
    <cacheHierarchy uniqueName="[Version Control Changeset].[Checked In By]" caption="Checked In By" attribute="1" defaultMemberUniqueName="[Version Control Changeset].[Checked In By].[All]" allUniqueName="[Version Control Changeset].[Checked In By].[All]" dimensionUniqueName="[Version Control Changeset]" displayFolder="" count="0" unbalanced="0"/>
    <cacheHierarchy uniqueName="[Version Control Changeset].[Policy Override Comment]" caption="Policy Override Comment" attribute="1" defaultMemberUniqueName="[Version Control Changeset].[Policy Override Comment].[All]" allUniqueName="[Version Control Changeset].[Policy Override Comment].[All]" dimensionUniqueName="[Version Control Changeset]" displayFolder="" count="0" unbalanced="0"/>
    <cacheHierarchy uniqueName="[Version Control File].[File Extension]" caption="Version Control File.File Extension" attribute="1" defaultMemberUniqueName="[Version Control File].[File Extension].[All]" allUniqueName="[Version Control File].[File Extension].[All]" dimensionUniqueName="[Version Control File]" displayFolder="" count="0" unbalanced="0"/>
    <cacheHierarchy uniqueName="[Version Control File].[File Hierarchy]" caption="Version Control File.File Hierarchy" defaultMemberUniqueName="[Version Control File].[File Hierarchy].[All]" allUniqueName="[Version Control File].[File Hierarchy].[All]" dimensionUniqueName="[Version Control File]" displayFolder="" count="0" unbalanced="1"/>
    <cacheHierarchy uniqueName="[Work Item].[Area Hierarchy]" caption="Work Item.Area Hierarchy" defaultMemberUniqueName="[Work Item].[Area Hierarchy].[All]" allUniqueName="[Work Item].[Area Hierarchy].[All]" dimensionUniqueName="[Work Item]" displayFolder="" count="16" unbalanced="0">
      <fieldsUsage count="16">
        <fieldUsage x="-1"/>
        <fieldUsage x="4"/>
        <fieldUsage x="5"/>
        <fieldUsage x="6"/>
        <fieldUsage x="7"/>
        <fieldUsage x="8"/>
        <fieldUsage x="9"/>
        <fieldUsage x="10"/>
        <fieldUsage x="11"/>
        <fieldUsage x="12"/>
        <fieldUsage x="13"/>
        <fieldUsage x="14"/>
        <fieldUsage x="15"/>
        <fieldUsage x="16"/>
        <fieldUsage x="17"/>
        <fieldUsage x="18"/>
      </fieldsUsage>
    </cacheHierarchy>
    <cacheHierarchy uniqueName="[Work Item].[Area Path]" caption="Work Item.Area Path" attribute="1" defaultMemberUniqueName="[Work Item].[Area Path].[All]" allUniqueName="[Work Item].[Area Path].[All]" dimensionUniqueName="[Work Item]" displayFolder="\" count="2" unbalanced="0">
      <fieldsUsage count="2">
        <fieldUsage x="-1"/>
        <fieldUsage x="0"/>
      </fieldsUsage>
    </cacheHierarchy>
    <cacheHierarchy uniqueName="[Work Item].[CWB_ARISProcessFlow]" caption="Work Item.ARIS Process Flow" attribute="1" defaultMemberUniqueName="[Work Item].[CWB_ARISProcessFlow].[All]" allUniqueName="[Work Item].[CWB_ARISProcessFlow].[All]" dimensionUniqueName="[Work Item]" displayFolder="CWB" count="0" unbalanced="0"/>
    <cacheHierarchy uniqueName="[Work Item].[CWB_BugPriority]" caption="Work Item.Bug Priority" attribute="1" defaultMemberUniqueName="[Work Item].[CWB_BugPriority].[All]" allUniqueName="[Work Item].[CWB_BugPriority].[All]" dimensionUniqueName="[Work Item]" displayFolder="CWB" count="0" unbalanced="0"/>
    <cacheHierarchy uniqueName="[Work Item].[CWB_BusinessOwner]" caption="Work Item.Business Owner" attribute="1" defaultMemberUniqueName="[Work Item].[CWB_BusinessOwner].[All]" allUniqueName="[Work Item].[CWB_BusinessOwner].[All]" dimensionUniqueName="[Work Item]" displayFolder="CWB" count="0" unbalanced="0"/>
    <cacheHierarchy uniqueName="[Work Item].[CWB_BussinessRequiredDate]" caption="Work Item.Business Required Date" attribute="1" defaultMemberUniqueName="[Work Item].[CWB_BussinessRequiredDate].[All]" allUniqueName="[Work Item].[CWB_BussinessRequiredDate].[All]" dimensionUniqueName="[Work Item]" displayFolder="CWB" count="0" unbalanced="0"/>
    <cacheHierarchy uniqueName="[Work Item].[CWB_BussinessRequiredDate__HierarchyByMonth]" caption="Work Item.Business Required Date Hierarchy By Month" defaultMemberUniqueName="[Work Item].[CWB_BussinessRequiredDate__HierarchyByMonth].[All]" allUniqueName="[Work Item].[CWB_BussinessRequiredDate__HierarchyByMonth].[All]" dimensionUniqueName="[Work Item]" displayFolder="CWB" count="0" unbalanced="0"/>
    <cacheHierarchy uniqueName="[Work Item].[CWB_BussinessRequiredDate__HierarchyByWeek]" caption="Work Item.Business Required Date Hierarchy By Week" defaultMemberUniqueName="[Work Item].[CWB_BussinessRequiredDate__HierarchyByWeek].[All]" allUniqueName="[Work Item].[CWB_BussinessRequiredDate__HierarchyByWeek].[All]" dimensionUniqueName="[Work Item]" displayFolder="CWB" count="0" unbalanced="0"/>
    <cacheHierarchy uniqueName="[Work Item].[CWB_CodeReviewed_ReviewedBy]" caption="Work Item.Code Reviewed By" attribute="1" defaultMemberUniqueName="[Work Item].[CWB_CodeReviewed_ReviewedBy].[All]" allUniqueName="[Work Item].[CWB_CodeReviewed_ReviewedBy].[All]" dimensionUniqueName="[Work Item]" displayFolder="CWB" count="0" unbalanced="0"/>
    <cacheHierarchy uniqueName="[Work Item].[CWB_EstimationBuckets]" caption="Work Item.Estimation Buckets" attribute="1" defaultMemberUniqueName="[Work Item].[CWB_EstimationBuckets].[All]" allUniqueName="[Work Item].[CWB_EstimationBuckets].[All]" dimensionUniqueName="[Work Item]" displayFolder="CWB" count="0" unbalanced="0"/>
    <cacheHierarchy uniqueName="[Work Item].[CWB_FailedFixes]" caption="Work Item.Failed Fixes" attribute="1" defaultMemberUniqueName="[Work Item].[CWB_FailedFixes].[All]" allUniqueName="[Work Item].[CWB_FailedFixes].[All]" dimensionUniqueName="[Work Item]" displayFolder="CWB" count="0" unbalanced="0"/>
    <cacheHierarchy uniqueName="[Work Item].[CWB_GoalsAchieved]" caption="Work Item.Goals Achieved" attribute="1" defaultMemberUniqueName="[Work Item].[CWB_GoalsAchieved].[All]" allUniqueName="[Work Item].[CWB_GoalsAchieved].[All]" dimensionUniqueName="[Work Item]" displayFolder="CWB" count="0" unbalanced="0"/>
    <cacheHierarchy uniqueName="[Work Item].[CWB_iINSDEV]" caption="Work Item.iINSDEV" attribute="1" defaultMemberUniqueName="[Work Item].[CWB_iINSDEV].[All]" allUniqueName="[Work Item].[CWB_iINSDEV].[All]" dimensionUniqueName="[Work Item]" displayFolder="CWB" count="0" unbalanced="0"/>
    <cacheHierarchy uniqueName="[Work Item].[CWB_IMEnvBuild]" caption="Work Item.IMBuild" attribute="1" defaultMemberUniqueName="[Work Item].[CWB_IMEnvBuild].[All]" allUniqueName="[Work Item].[CWB_IMEnvBuild].[All]" dimensionUniqueName="[Work Item]" displayFolder="CWB" count="0" unbalanced="0"/>
    <cacheHierarchy uniqueName="[Work Item].[CWB_IMEnvDevelopment]" caption="Work Item.IMDevelopment" attribute="1" defaultMemberUniqueName="[Work Item].[CWB_IMEnvDevelopment].[All]" allUniqueName="[Work Item].[CWB_IMEnvDevelopment].[All]" dimensionUniqueName="[Work Item]" displayFolder="CWB" count="0" unbalanced="0"/>
    <cacheHierarchy uniqueName="[Work Item].[CWB_IMEnvProduction]" caption="Work Item.IMProduction" attribute="1" defaultMemberUniqueName="[Work Item].[CWB_IMEnvProduction].[All]" allUniqueName="[Work Item].[CWB_IMEnvProduction].[All]" dimensionUniqueName="[Work Item]" displayFolder="CWB" count="0" unbalanced="0"/>
    <cacheHierarchy uniqueName="[Work Item].[CWB_IMEnvTest]" caption="Work Item.IMTest" attribute="1" defaultMemberUniqueName="[Work Item].[CWB_IMEnvTest].[All]" allUniqueName="[Work Item].[CWB_IMEnvTest].[All]" dimensionUniqueName="[Work Item]" displayFolder="CWB" count="0" unbalanced="0"/>
    <cacheHierarchy uniqueName="[Work Item].[CWB_IMEnvUATA]" caption="Work Item.IMUATA" attribute="1" defaultMemberUniqueName="[Work Item].[CWB_IMEnvUATA].[All]" allUniqueName="[Work Item].[CWB_IMEnvUATA].[All]" dimensionUniqueName="[Work Item]" displayFolder="CWB" count="0" unbalanced="0"/>
    <cacheHierarchy uniqueName="[Work Item].[CWB_IMEnvUATB]" caption="Work Item.IMUATB" attribute="1" defaultMemberUniqueName="[Work Item].[CWB_IMEnvUATB].[All]" allUniqueName="[Work Item].[CWB_IMEnvUATB].[All]" dimensionUniqueName="[Work Item]" displayFolder="CWB" count="0" unbalanced="0"/>
    <cacheHierarchy uniqueName="[Work Item].[CWB_ImpedimentType]" caption="Work Item.Impediment Type" attribute="1" defaultMemberUniqueName="[Work Item].[CWB_ImpedimentType].[All]" allUniqueName="[Work Item].[CWB_ImpedimentType].[All]" dimensionUniqueName="[Work Item]" displayFolder="CWB" count="0" unbalanced="0"/>
    <cacheHierarchy uniqueName="[Work Item].[CWB_IMReleasePackageDate]" caption="Work Item.IMPackageDate" attribute="1" defaultMemberUniqueName="[Work Item].[CWB_IMReleasePackageDate].[All]" allUniqueName="[Work Item].[CWB_IMReleasePackageDate].[All]" dimensionUniqueName="[Work Item]" displayFolder="CWB" count="0" unbalanced="0"/>
    <cacheHierarchy uniqueName="[Work Item].[CWB_IMReleasePackageDate__HierarchyByMonth]" caption="Work Item.IMPackageDate Hierarchy By Month" defaultMemberUniqueName="[Work Item].[CWB_IMReleasePackageDate__HierarchyByMonth].[All]" allUniqueName="[Work Item].[CWB_IMReleasePackageDate__HierarchyByMonth].[All]" dimensionUniqueName="[Work Item]" displayFolder="CWB" count="0" unbalanced="0"/>
    <cacheHierarchy uniqueName="[Work Item].[CWB_IMReleasePackageDate__HierarchyByWeek]" caption="Work Item.IMPackageDate Hierarchy By Week" defaultMemberUniqueName="[Work Item].[CWB_IMReleasePackageDate__HierarchyByWeek].[All]" allUniqueName="[Work Item].[CWB_IMReleasePackageDate__HierarchyByWeek].[All]" dimensionUniqueName="[Work Item]" displayFolder="CWB" count="0" unbalanced="0"/>
    <cacheHierarchy uniqueName="[Work Item].[CWB_INSQA]" caption="Work Item.INSQA" attribute="1" defaultMemberUniqueName="[Work Item].[CWB_INSQA].[All]" allUniqueName="[Work Item].[CWB_INSQA].[All]" dimensionUniqueName="[Work Item]" displayFolder="CWB" count="0" unbalanced="0"/>
    <cacheHierarchy uniqueName="[Work Item].[CWB_IssueType]" caption="Work Item.Issue Type" attribute="1" defaultMemberUniqueName="[Work Item].[CWB_IssueType].[All]" allUniqueName="[Work Item].[CWB_IssueType].[All]" dimensionUniqueName="[Work Item]" displayFolder="CWB" count="0" unbalanced="0"/>
    <cacheHierarchy uniqueName="[Work Item].[CWB_ObjectiveCompleted]" caption="Work Item.Objective Completed" attribute="1" defaultMemberUniqueName="[Work Item].[CWB_ObjectiveCompleted].[All]" allUniqueName="[Work Item].[CWB_ObjectiveCompleted].[All]" dimensionUniqueName="[Work Item]" displayFolder="CWB" count="0" unbalanced="0"/>
    <cacheHierarchy uniqueName="[Work Item].[CWB_ObjectiveCount]" caption="Work Item.Objective Count" attribute="1" defaultMemberUniqueName="[Work Item].[CWB_ObjectiveCount].[All]" allUniqueName="[Work Item].[CWB_ObjectiveCount].[All]" dimensionUniqueName="[Work Item]" displayFolder="CWB" count="0" unbalanced="0"/>
    <cacheHierarchy uniqueName="[Work Item].[CWB_OLDDEV]" caption="Work Item.OLDDEV" attribute="1" defaultMemberUniqueName="[Work Item].[CWB_OLDDEV].[All]" allUniqueName="[Work Item].[CWB_OLDDEV].[All]" dimensionUniqueName="[Work Item]" displayFolder="CWB" count="0" unbalanced="0"/>
    <cacheHierarchy uniqueName="[Work Item].[CWB_OriginationSource]" caption="Work Item.Origination Source" attribute="1" defaultMemberUniqueName="[Work Item].[CWB_OriginationSource].[All]" allUniqueName="[Work Item].[CWB_OriginationSource].[All]" dimensionUniqueName="[Work Item]" displayFolder="CWB" count="0" unbalanced="0"/>
    <cacheHierarchy uniqueName="[Work Item].[CWB_PBIPriority]" caption="Work Item.PBI Priority" attribute="1" defaultMemberUniqueName="[Work Item].[CWB_PBIPriority].[All]" allUniqueName="[Work Item].[CWB_PBIPriority].[All]" dimensionUniqueName="[Work Item]" displayFolder="CWB" count="0" unbalanced="0"/>
    <cacheHierarchy uniqueName="[Work Item].[CWB_PBIType]" caption="Work Item.PBI Type" attribute="1" defaultMemberUniqueName="[Work Item].[CWB_PBIType].[All]" allUniqueName="[Work Item].[CWB_PBIType].[All]" dimensionUniqueName="[Work Item]" displayFolder="CWB" count="2" unbalanced="0">
      <fieldsUsage count="2">
        <fieldUsage x="-1"/>
        <fieldUsage x="3"/>
      </fieldsUsage>
    </cacheHierarchy>
    <cacheHierarchy uniqueName="[Work Item].[CWB_PlannedCompletionDate]" caption="Work Item.Planned Completion Date" attribute="1" defaultMemberUniqueName="[Work Item].[CWB_PlannedCompletionDate].[All]" allUniqueName="[Work Item].[CWB_PlannedCompletionDate].[All]" dimensionUniqueName="[Work Item]" displayFolder="CWB" count="0" unbalanced="0"/>
    <cacheHierarchy uniqueName="[Work Item].[CWB_PlannedCompletionDate__HierarchyByMonth]" caption="Work Item.Planned Completion Date Hierarchy By Month" defaultMemberUniqueName="[Work Item].[CWB_PlannedCompletionDate__HierarchyByMonth].[All]" allUniqueName="[Work Item].[CWB_PlannedCompletionDate__HierarchyByMonth].[All]" dimensionUniqueName="[Work Item]" displayFolder="CWB" count="0" unbalanced="0"/>
    <cacheHierarchy uniqueName="[Work Item].[CWB_PlannedCompletionDate__HierarchyByWeek]" caption="Work Item.Planned Completion Date Hierarchy By Week" defaultMemberUniqueName="[Work Item].[CWB_PlannedCompletionDate__HierarchyByWeek].[All]" allUniqueName="[Work Item].[CWB_PlannedCompletionDate__HierarchyByWeek].[All]" dimensionUniqueName="[Work Item]" displayFolder="CWB" count="0" unbalanced="0"/>
    <cacheHierarchy uniqueName="[Work Item].[CWB_PlannedStartDate]" caption="Work Item.Planned Start Date" attribute="1" defaultMemberUniqueName="[Work Item].[CWB_PlannedStartDate].[All]" allUniqueName="[Work Item].[CWB_PlannedStartDate].[All]" dimensionUniqueName="[Work Item]" displayFolder="CWB" count="0" unbalanced="0"/>
    <cacheHierarchy uniqueName="[Work Item].[CWB_PlannedStartDate__HierarchyByMonth]" caption="Work Item.Planned Start Date Hierarchy By Month" defaultMemberUniqueName="[Work Item].[CWB_PlannedStartDate__HierarchyByMonth].[All]" allUniqueName="[Work Item].[CWB_PlannedStartDate__HierarchyByMonth].[All]" dimensionUniqueName="[Work Item]" displayFolder="CWB" count="0" unbalanced="0"/>
    <cacheHierarchy uniqueName="[Work Item].[CWB_PlannedStartDate__HierarchyByWeek]" caption="Work Item.Planned Start Date Hierarchy By Week" defaultMemberUniqueName="[Work Item].[CWB_PlannedStartDate__HierarchyByWeek].[All]" allUniqueName="[Work Item].[CWB_PlannedStartDate__HierarchyByWeek].[All]" dimensionUniqueName="[Work Item]" displayFolder="CWB" count="0" unbalanced="0"/>
    <cacheHierarchy uniqueName="[Work Item].[CWB_ProjectName]" caption="Work Item.Project Name" attribute="1" defaultMemberUniqueName="[Work Item].[CWB_ProjectName].[All]" allUniqueName="[Work Item].[CWB_ProjectName].[All]" dimensionUniqueName="[Work Item]" displayFolder="CWB" count="0" unbalanced="0"/>
    <cacheHierarchy uniqueName="[Work Item].[CWB_ReferenceNum]" caption="Work Item.Reference #" attribute="1" defaultMemberUniqueName="[Work Item].[CWB_ReferenceNum].[All]" allUniqueName="[Work Item].[CWB_ReferenceNum].[All]" dimensionUniqueName="[Work Item]" displayFolder="CWB" count="0" unbalanced="0"/>
    <cacheHierarchy uniqueName="[Work Item].[CWB_RegulatoryRequirement]" caption="Work Item.Regulatory Requirement?" attribute="1" defaultMemberUniqueName="[Work Item].[CWB_RegulatoryRequirement].[All]" allUniqueName="[Work Item].[CWB_RegulatoryRequirement].[All]" dimensionUniqueName="[Work Item]" displayFolder="CWB" count="0" unbalanced="0"/>
    <cacheHierarchy uniqueName="[Work Item].[CWB_RequirementMet]" caption="Work Item.Met?" attribute="1" defaultMemberUniqueName="[Work Item].[CWB_RequirementMet].[All]" allUniqueName="[Work Item].[CWB_RequirementMet].[All]" dimensionUniqueName="[Work Item]" displayFolder="CWB" count="0" unbalanced="0"/>
    <cacheHierarchy uniqueName="[Work Item].[CWB_RequirementSource]" caption="Work Item.Requirement Source" attribute="1" defaultMemberUniqueName="[Work Item].[CWB_RequirementSource].[All]" allUniqueName="[Work Item].[CWB_RequirementSource].[All]" dimensionUniqueName="[Work Item]" displayFolder="CWB" count="0" unbalanced="0"/>
    <cacheHierarchy uniqueName="[Work Item].[CWB_ResourceSchedule]" caption="Work Item.In Resource Schedule" attribute="1" defaultMemberUniqueName="[Work Item].[CWB_ResourceSchedule].[All]" allUniqueName="[Work Item].[CWB_ResourceSchedule].[All]" dimensionUniqueName="[Work Item]" displayFolder="CWB" count="0" unbalanced="0"/>
    <cacheHierarchy uniqueName="[Work Item].[CWB_Scope]" caption="Work Item.Scope" attribute="1" defaultMemberUniqueName="[Work Item].[CWB_Scope].[All]" allUniqueName="[Work Item].[CWB_Scope].[All]" dimensionUniqueName="[Work Item]" displayFolder="CWB" count="0" unbalanced="0"/>
    <cacheHierarchy uniqueName="[Work Item].[CWB_T24BUILD]" caption="Work Item.T24BUILD" attribute="1" defaultMemberUniqueName="[Work Item].[CWB_T24BUILD].[All]" allUniqueName="[Work Item].[CWB_T24BUILD].[All]" dimensionUniqueName="[Work Item]" displayFolder="CWB" count="0" unbalanced="0"/>
    <cacheHierarchy uniqueName="[Work Item].[CWB_T24COB]" caption="Work Item.T24COB" attribute="1" defaultMemberUniqueName="[Work Item].[CWB_T24COB].[All]" allUniqueName="[Work Item].[CWB_T24COB].[All]" dimensionUniqueName="[Work Item]" displayFolder="CWB" count="0" unbalanced="0"/>
    <cacheHierarchy uniqueName="[Work Item].[CWB_T24DEV]" caption="Work Item.T24DEV" attribute="1" defaultMemberUniqueName="[Work Item].[CWB_T24DEV].[All]" allUniqueName="[Work Item].[CWB_T24DEV].[All]" dimensionUniqueName="[Work Item]" displayFolder="CWB" count="0" unbalanced="0"/>
    <cacheHierarchy uniqueName="[Work Item].[CWB_T24DEV1]" caption="Work Item.T24DEV1" attribute="1" defaultMemberUniqueName="[Work Item].[CWB_T24DEV1].[All]" allUniqueName="[Work Item].[CWB_T24DEV1].[All]" dimensionUniqueName="[Work Item]" displayFolder="CWB" count="0" unbalanced="0"/>
    <cacheHierarchy uniqueName="[Work Item].[CWB_T24DEV2]" caption="Work Item.T24DEV2" attribute="1" defaultMemberUniqueName="[Work Item].[CWB_T24DEV2].[All]" allUniqueName="[Work Item].[CWB_T24DEV2].[All]" dimensionUniqueName="[Work Item]" displayFolder="CWB" count="0" unbalanced="0"/>
    <cacheHierarchy uniqueName="[Work Item].[CWB_T24DMQA]" caption="Work Item.T24DMQA" attribute="1" defaultMemberUniqueName="[Work Item].[CWB_T24DMQA].[All]" allUniqueName="[Work Item].[CWB_T24DMQA].[All]" dimensionUniqueName="[Work Item]" displayFolder="CWB" count="0" unbalanced="0"/>
    <cacheHierarchy uniqueName="[Work Item].[CWB_T24DMTST]" caption="Work Item.T24DMTST" attribute="1" defaultMemberUniqueName="[Work Item].[CWB_T24DMTST].[All]" allUniqueName="[Work Item].[CWB_T24DMTST].[All]" dimensionUniqueName="[Work Item]" displayFolder="CWB" count="0" unbalanced="0"/>
    <cacheHierarchy uniqueName="[Work Item].[CWB_T24INSDEV]" caption="Work Item.T24INSDEV" attribute="1" defaultMemberUniqueName="[Work Item].[CWB_T24INSDEV].[All]" allUniqueName="[Work Item].[CWB_T24INSDEV].[All]" dimensionUniqueName="[Work Item]" displayFolder="CWB" count="0" unbalanced="0"/>
    <cacheHierarchy uniqueName="[Work Item].[CWB_T24MASTR]" caption="Work Item.T24MASTR" attribute="1" defaultMemberUniqueName="[Work Item].[CWB_T24MASTR].[All]" allUniqueName="[Work Item].[CWB_T24MASTR].[All]" dimensionUniqueName="[Work Item]" displayFolder="CWB" count="0" unbalanced="0"/>
    <cacheHierarchy uniqueName="[Work Item].[CWB_T24PROD]" caption="Work Item.T24PROD" attribute="1" defaultMemberUniqueName="[Work Item].[CWB_T24PROD].[All]" allUniqueName="[Work Item].[CWB_T24PROD].[All]" dimensionUniqueName="[Work Item]" displayFolder="CWB" count="0" unbalanced="0"/>
    <cacheHierarchy uniqueName="[Work Item].[CWB_T24QA]" caption="Work Item.T24QA" attribute="1" defaultMemberUniqueName="[Work Item].[CWB_T24QA].[All]" allUniqueName="[Work Item].[CWB_T24QA].[All]" dimensionUniqueName="[Work Item]" displayFolder="CWB" count="0" unbalanced="0"/>
    <cacheHierarchy uniqueName="[Work Item].[CWB_T24SIT]" caption="Work Item.T24SIT" attribute="1" defaultMemberUniqueName="[Work Item].[CWB_T24SIT].[All]" allUniqueName="[Work Item].[CWB_T24SIT].[All]" dimensionUniqueName="[Work Item]" displayFolder="CWB" count="0" unbalanced="0"/>
    <cacheHierarchy uniqueName="[Work Item].[CWB_T24SIT1]" caption="Work Item.T24SIT1" attribute="1" defaultMemberUniqueName="[Work Item].[CWB_T24SIT1].[All]" allUniqueName="[Work Item].[CWB_T24SIT1].[All]" dimensionUniqueName="[Work Item]" displayFolder="CWB" count="0" unbalanced="0"/>
    <cacheHierarchy uniqueName="[Work Item].[CWB_T24SIT2]" caption="Work Item.T24SIT2" attribute="1" defaultMemberUniqueName="[Work Item].[CWB_T24SIT2].[All]" allUniqueName="[Work Item].[CWB_T24SIT2].[All]" dimensionUniqueName="[Work Item]" displayFolder="CWB" count="0" unbalanced="0"/>
    <cacheHierarchy uniqueName="[Work Item].[CWB_T24STG]" caption="Work Item.T24STG" attribute="1" defaultMemberUniqueName="[Work Item].[CWB_T24STG].[All]" allUniqueName="[Work Item].[CWB_T24STG].[All]" dimensionUniqueName="[Work Item]" displayFolder="CWB" count="0" unbalanced="0"/>
    <cacheHierarchy uniqueName="[Work Item].[CWB_T24TRN1]" caption="Work Item.T24TRN1" attribute="1" defaultMemberUniqueName="[Work Item].[CWB_T24TRN1].[All]" allUniqueName="[Work Item].[CWB_T24TRN1].[All]" dimensionUniqueName="[Work Item]" displayFolder="CWB" count="0" unbalanced="0"/>
    <cacheHierarchy uniqueName="[Work Item].[CWB_T24TRN2]" caption="Work Item.T24TRN2" attribute="1" defaultMemberUniqueName="[Work Item].[CWB_T24TRN2].[All]" allUniqueName="[Work Item].[CWB_T24TRN2].[All]" dimensionUniqueName="[Work Item]" displayFolder="CWB" count="0" unbalanced="0"/>
    <cacheHierarchy uniqueName="[Work Item].[CWB_T24TRN3]" caption="Work Item.T24TRN3" attribute="1" defaultMemberUniqueName="[Work Item].[CWB_T24TRN3].[All]" allUniqueName="[Work Item].[CWB_T24TRN3].[All]" dimensionUniqueName="[Work Item]" displayFolder="CWB" count="0" unbalanced="0"/>
    <cacheHierarchy uniqueName="[Work Item].[CWB_T24TRN4]" caption="Work Item.T24TRN4" attribute="1" defaultMemberUniqueName="[Work Item].[CWB_T24TRN4].[All]" allUniqueName="[Work Item].[CWB_T24TRN4].[All]" dimensionUniqueName="[Work Item]" displayFolder="CWB" count="0" unbalanced="0"/>
    <cacheHierarchy uniqueName="[Work Item].[CWB_T24TST]" caption="Work Item.T24TST" attribute="1" defaultMemberUniqueName="[Work Item].[CWB_T24TST].[All]" allUniqueName="[Work Item].[CWB_T24TST].[All]" dimensionUniqueName="[Work Item]" displayFolder="CWB" count="0" unbalanced="0"/>
    <cacheHierarchy uniqueName="[Work Item].[CWB_T24TST1]" caption="Work Item.T24TST1" attribute="1" defaultMemberUniqueName="[Work Item].[CWB_T24TST1].[All]" allUniqueName="[Work Item].[CWB_T24TST1].[All]" dimensionUniqueName="[Work Item]" displayFolder="CWB" count="0" unbalanced="0"/>
    <cacheHierarchy uniqueName="[Work Item].[CWB_T24TST2]" caption="Work Item.T24TST2" attribute="1" defaultMemberUniqueName="[Work Item].[CWB_T24TST2].[All]" allUniqueName="[Work Item].[CWB_T24TST2].[All]" dimensionUniqueName="[Work Item]" displayFolder="CWB" count="0" unbalanced="0"/>
    <cacheHierarchy uniqueName="[Work Item].[CWB_T24TST3]" caption="Work Item.T24TST3" attribute="1" defaultMemberUniqueName="[Work Item].[CWB_T24TST3].[All]" allUniqueName="[Work Item].[CWB_T24TST3].[All]" dimensionUniqueName="[Work Item]" displayFolder="CWB" count="0" unbalanced="0"/>
    <cacheHierarchy uniqueName="[Work Item].[CWB_T24UAT]" caption="Work Item.T24UAT" attribute="1" defaultMemberUniqueName="[Work Item].[CWB_T24UAT].[All]" allUniqueName="[Work Item].[CWB_T24UAT].[All]" dimensionUniqueName="[Work Item]" displayFolder="CWB" count="0" unbalanced="0"/>
    <cacheHierarchy uniqueName="[Work Item].[CWB_TargetResolution]" caption="Work Item.Target Resolution" attribute="1" defaultMemberUniqueName="[Work Item].[CWB_TargetResolution].[All]" allUniqueName="[Work Item].[CWB_TargetResolution].[All]" dimensionUniqueName="[Work Item]" displayFolder="CWB" count="0" unbalanced="0"/>
    <cacheHierarchy uniqueName="[Work Item].[CWB_TargetResolution__HierarchyByMonth]" caption="Work Item.Target Resolution Hierarchy By Month" defaultMemberUniqueName="[Work Item].[CWB_TargetResolution__HierarchyByMonth].[All]" allUniqueName="[Work Item].[CWB_TargetResolution__HierarchyByMonth].[All]" dimensionUniqueName="[Work Item]" displayFolder="CWB" count="0" unbalanced="0"/>
    <cacheHierarchy uniqueName="[Work Item].[CWB_TargetResolution__HierarchyByWeek]" caption="Work Item.Target Resolution Hierarchy By Week" defaultMemberUniqueName="[Work Item].[CWB_TargetResolution__HierarchyByWeek].[All]" allUniqueName="[Work Item].[CWB_TargetResolution__HierarchyByWeek].[All]" dimensionUniqueName="[Work Item]" displayFolder="CWB" count="0" unbalanced="0"/>
    <cacheHierarchy uniqueName="[Work Item].[CWB_TemenosIssueType]" caption="Work Item.Temenos Issue Type" attribute="1" defaultMemberUniqueName="[Work Item].[CWB_TemenosIssueType].[All]" allUniqueName="[Work Item].[CWB_TemenosIssueType].[All]" dimensionUniqueName="[Work Item]" displayFolder="CWB" count="0" unbalanced="0"/>
    <cacheHierarchy uniqueName="[Work Item].[CWB_TemenosStatus]" caption="Work Item.Temenos Status" attribute="1" defaultMemberUniqueName="[Work Item].[CWB_TemenosStatus].[All]" allUniqueName="[Work Item].[CWB_TemenosStatus].[All]" dimensionUniqueName="[Work Item]" displayFolder="CWB" count="0" unbalanced="0"/>
    <cacheHierarchy uniqueName="[Work Item].[CWB_ThirdParty]" caption="Work Item.Third Party" attribute="1" defaultMemberUniqueName="[Work Item].[CWB_ThirdParty].[All]" allUniqueName="[Work Item].[CWB_ThirdParty].[All]" dimensionUniqueName="[Work Item]" displayFolder="CWB" count="0" unbalanced="0"/>
    <cacheHierarchy uniqueName="[Work Item].[CWB_ThirdPartyStatus]" caption="Work Item.Third Party Status" attribute="1" defaultMemberUniqueName="[Work Item].[CWB_ThirdPartyStatus].[All]" allUniqueName="[Work Item].[CWB_ThirdPartyStatus].[All]" dimensionUniqueName="[Work Item]" displayFolder="CWB" count="0" unbalanced="0"/>
    <cacheHierarchy uniqueName="[Work Item].[CWB_WorkOrderNumber]" caption="Work Item.Work Order Number" attribute="1" defaultMemberUniqueName="[Work Item].[CWB_WorkOrderNumber].[All]" allUniqueName="[Work Item].[CWB_WorkOrderNumber].[All]" dimensionUniqueName="[Work Item]" displayFolder="CWB" count="0" unbalanced="0"/>
    <cacheHierarchy uniqueName="[Work Item].[Iteration Hierarchy]" caption="Work Item.Iteration Hierarchy" defaultMemberUniqueName="[Work Item].[Iteration Hierarchy].[All]" allUniqueName="[Work Item].[Iteration Hierarchy].[All]" dimensionUniqueName="[Work Item]" displayFolder="" count="0" unbalanced="0"/>
    <cacheHierarchy uniqueName="[Work Item].[Iteration Path]" caption="Work Item.Iteration Path" attribute="1" defaultMemberUniqueName="[Work Item].[Iteration Path].[All]" allUniqueName="[Work Item].[Iteration Path].[All]" dimensionUniqueName="[Work Item]" displayFolder="\" count="0" unbalanced="0"/>
    <cacheHierarchy uniqueName="[Work Item].[Microsoft_VSTS_Build_FoundIn]" caption="Work Item.Found In" attribute="1" defaultMemberUniqueName="[Work Item].[Microsoft_VSTS_Build_FoundIn].[All]" allUniqueName="[Work Item].[Microsoft_VSTS_Build_FoundIn].[All]" dimensionUniqueName="[Work Item]" displayFolder="Microsoft.VSTS.Build" count="0" unbalanced="0"/>
    <cacheHierarchy uniqueName="[Work Item].[Microsoft_VSTS_Build_IntegrationBuild]" caption="Work Item.Integration Build" attribute="1" defaultMemberUniqueName="[Work Item].[Microsoft_VSTS_Build_IntegrationBuild].[All]" allUniqueName="[Work Item].[Microsoft_VSTS_Build_IntegrationBuild].[All]" dimensionUniqueName="[Work Item]" displayFolder="Microsoft.VSTS.Build" count="0" unbalanced="0"/>
    <cacheHierarchy uniqueName="[Work Item].[Microsoft_VSTS_CMMI_Blocked]" caption="Work Item.Blocked" attribute="1" defaultMemberUniqueName="[Work Item].[Microsoft_VSTS_CMMI_Blocked].[All]" allUniqueName="[Work Item].[Microsoft_VSTS_CMMI_Blocked].[All]" dimensionUniqueName="[Work Item]" displayFolder="Microsoft.VSTS.CMMI" count="0" unbalanced="0"/>
    <cacheHierarchy uniqueName="[Work Item].[Microsoft_VSTS_CodeReview_AcceptedBy]" caption="Work Item.Accepted By" attribute="1" defaultMemberUniqueName="[Work Item].[Microsoft_VSTS_CodeReview_AcceptedBy].[All]" allUniqueName="[Work Item].[Microsoft_VSTS_CodeReview_AcceptedBy].[All]" dimensionUniqueName="[Work Item]" displayFolder="Microsoft.VSTS.CodeReview" count="0" unbalanced="0"/>
    <cacheHierarchy uniqueName="[Work Item].[Microsoft_VSTS_CodeReview_AcceptedDate]" caption="Work Item.Accepted Date" attribute="1" defaultMemberUniqueName="[Work Item].[Microsoft_VSTS_CodeReview_AcceptedDate].[All]" allUniqueName="[Work Item].[Microsoft_VSTS_CodeReview_AcceptedDate].[All]" dimensionUniqueName="[Work Item]" displayFolder="Microsoft.VSTS.CodeReview" count="0" unbalanced="0"/>
    <cacheHierarchy uniqueName="[Work Item].[Microsoft_VSTS_CodeReview_AcceptedDate__HierarchyByMonth]" caption="Work Item.Accepted Date Hierarchy By Month" defaultMemberUniqueName="[Work Item].[Microsoft_VSTS_CodeReview_AcceptedDate__HierarchyByMonth].[All]" allUniqueName="[Work Item].[Microsoft_VSTS_CodeReview_AcceptedDate__HierarchyByMonth].[All]" dimensionUniqueName="[Work Item]" displayFolder="Microsoft.VSTS.CodeReview" count="0" unbalanced="0"/>
    <cacheHierarchy uniqueName="[Work Item].[Microsoft_VSTS_CodeReview_AcceptedDate__HierarchyByWeek]" caption="Work Item.Accepted Date Hierarchy By Week" defaultMemberUniqueName="[Work Item].[Microsoft_VSTS_CodeReview_AcceptedDate__HierarchyByWeek].[All]" allUniqueName="[Work Item].[Microsoft_VSTS_CodeReview_AcceptedDate__HierarchyByWeek].[All]" dimensionUniqueName="[Work Item]" displayFolder="Microsoft.VSTS.CodeReview" count="0" unbalanced="0"/>
    <cacheHierarchy uniqueName="[Work Item].[Microsoft_VSTS_CodeReview_ClosedStatus]" caption="Work Item.Closed Status" attribute="1" defaultMemberUniqueName="[Work Item].[Microsoft_VSTS_CodeReview_ClosedStatus].[All]" allUniqueName="[Work Item].[Microsoft_VSTS_CodeReview_ClosedStatus].[All]" dimensionUniqueName="[Work Item]" displayFolder="Microsoft.VSTS.CodeReview" count="0" unbalanced="0"/>
    <cacheHierarchy uniqueName="[Work Item].[Microsoft_VSTS_Common_ActivatedBy]" caption="Work Item.Activated By" attribute="1" defaultMemberUniqueName="[Work Item].[Microsoft_VSTS_Common_ActivatedBy].[All]" allUniqueName="[Work Item].[Microsoft_VSTS_Common_ActivatedBy].[All]" dimensionUniqueName="[Work Item]" displayFolder="Microsoft.VSTS.Common" count="0" unbalanced="0"/>
    <cacheHierarchy uniqueName="[Work Item].[Microsoft_VSTS_Common_ActivatedDate]" caption="Work Item.Activated Date" attribute="1" defaultMemberUniqueName="[Work Item].[Microsoft_VSTS_Common_ActivatedDate].[All]" allUniqueName="[Work Item].[Microsoft_VSTS_Common_ActivatedDate].[All]" dimensionUniqueName="[Work Item]" displayFolder="Microsoft.VSTS.Common" count="0" unbalanced="0"/>
    <cacheHierarchy uniqueName="[Work Item].[Microsoft_VSTS_Common_ActivatedDate__HierarchyByMonth]" caption="Work Item.Activated Date Hierarchy By Month" defaultMemberUniqueName="[Work Item].[Microsoft_VSTS_Common_ActivatedDate__HierarchyByMonth].[All]" allUniqueName="[Work Item].[Microsoft_VSTS_Common_ActivatedDate__HierarchyByMonth].[All]" dimensionUniqueName="[Work Item]" displayFolder="Microsoft.VSTS.Common" count="0" unbalanced="0"/>
    <cacheHierarchy uniqueName="[Work Item].[Microsoft_VSTS_Common_ActivatedDate__HierarchyByWeek]" caption="Work Item.Activated Date Hierarchy By Week" defaultMemberUniqueName="[Work Item].[Microsoft_VSTS_Common_ActivatedDate__HierarchyByWeek].[All]" allUniqueName="[Work Item].[Microsoft_VSTS_Common_ActivatedDate__HierarchyByWeek].[All]" dimensionUniqueName="[Work Item]" displayFolder="Microsoft.VSTS.Common" count="0" unbalanced="0"/>
    <cacheHierarchy uniqueName="[Work Item].[Microsoft_VSTS_Common_Activity]" caption="Work Item.Activity" attribute="1" defaultMemberUniqueName="[Work Item].[Microsoft_VSTS_Common_Activity].[All]" allUniqueName="[Work Item].[Microsoft_VSTS_Common_Activity].[All]" dimensionUniqueName="[Work Item]" displayFolder="Microsoft.VSTS.Common" count="0" unbalanced="0"/>
    <cacheHierarchy uniqueName="[Work Item].[Microsoft_VSTS_Common_ClosedBy]" caption="Work Item.Closed By" attribute="1" defaultMemberUniqueName="[Work Item].[Microsoft_VSTS_Common_ClosedBy].[All]" allUniqueName="[Work Item].[Microsoft_VSTS_Common_ClosedBy].[All]" dimensionUniqueName="[Work Item]" displayFolder="Microsoft.VSTS.Common" count="0" unbalanced="0"/>
    <cacheHierarchy uniqueName="[Work Item].[Microsoft_VSTS_Common_ClosedDate]" caption="Work Item.Closed Date" attribute="1" defaultMemberUniqueName="[Work Item].[Microsoft_VSTS_Common_ClosedDate].[All]" allUniqueName="[Work Item].[Microsoft_VSTS_Common_ClosedDate].[All]" dimensionUniqueName="[Work Item]" displayFolder="Microsoft.VSTS.Common" count="0" unbalanced="0"/>
    <cacheHierarchy uniqueName="[Work Item].[Microsoft_VSTS_Common_ClosedDate__HierarchyByMonth]" caption="Work Item.Closed Date Hierarchy By Month" defaultMemberUniqueName="[Work Item].[Microsoft_VSTS_Common_ClosedDate__HierarchyByMonth].[All]" allUniqueName="[Work Item].[Microsoft_VSTS_Common_ClosedDate__HierarchyByMonth].[All]" dimensionUniqueName="[Work Item]" displayFolder="Microsoft.VSTS.Common" count="0" unbalanced="0"/>
    <cacheHierarchy uniqueName="[Work Item].[Microsoft_VSTS_Common_ClosedDate__HierarchyByWeek]" caption="Work Item.Closed Date Hierarchy By Week" defaultMemberUniqueName="[Work Item].[Microsoft_VSTS_Common_ClosedDate__HierarchyByWeek].[All]" allUniqueName="[Work Item].[Microsoft_VSTS_Common_ClosedDate__HierarchyByWeek].[All]" dimensionUniqueName="[Work Item]" displayFolder="Microsoft.VSTS.Common" count="0" unbalanced="0"/>
    <cacheHierarchy uniqueName="[Work Item].[Microsoft_VSTS_Common_Issue]" caption="Work Item.Issue" attribute="1" defaultMemberUniqueName="[Work Item].[Microsoft_VSTS_Common_Issue].[All]" allUniqueName="[Work Item].[Microsoft_VSTS_Common_Issue].[All]" dimensionUniqueName="[Work Item]" displayFolder="Microsoft.VSTS.Common" count="0" unbalanced="0"/>
    <cacheHierarchy uniqueName="[Work Item].[Microsoft_VSTS_Common_Priority]" caption="Work Item.Priority" attribute="1" defaultMemberUniqueName="[Work Item].[Microsoft_VSTS_Common_Priority].[All]" allUniqueName="[Work Item].[Microsoft_VSTS_Common_Priority].[All]" dimensionUniqueName="[Work Item]" displayFolder="Microsoft.VSTS.Common" count="0" unbalanced="0"/>
    <cacheHierarchy uniqueName="[Work Item].[Microsoft_VSTS_Common_Rating]" caption="Work Item.Rating" attribute="1" defaultMemberUniqueName="[Work Item].[Microsoft_VSTS_Common_Rating].[All]" allUniqueName="[Work Item].[Microsoft_VSTS_Common_Rating].[All]" dimensionUniqueName="[Work Item]" displayFolder="Microsoft.VSTS.Common" count="0" unbalanced="0"/>
    <cacheHierarchy uniqueName="[Work Item].[Microsoft_VSTS_Common_Severity]" caption="Work Item.Severity" attribute="1" defaultMemberUniqueName="[Work Item].[Microsoft_VSTS_Common_Severity].[All]" allUniqueName="[Work Item].[Microsoft_VSTS_Common_Severity].[All]" dimensionUniqueName="[Work Item]" displayFolder="Microsoft.VSTS.Common" count="0" unbalanced="0"/>
    <cacheHierarchy uniqueName="[Work Item].[Microsoft_VSTS_TCM_AutomationStatus]" caption="Work Item.Automation status" attribute="1" defaultMemberUniqueName="[Work Item].[Microsoft_VSTS_TCM_AutomationStatus].[All]" allUniqueName="[Work Item].[Microsoft_VSTS_TCM_AutomationStatus].[All]" dimensionUniqueName="[Work Item]" displayFolder="Microsoft.VSTS.TCM" count="0" unbalanced="0"/>
    <cacheHierarchy uniqueName="[Work Item].[Previous State]" caption="Work Item.Previous State" attribute="1" defaultMemberUniqueName="[Work Item].[Previous State].[All]" allUniqueName="[Work Item].[Previous State].[All]" dimensionUniqueName="[Work Item]" displayFolder="" count="0" unbalanced="0"/>
    <cacheHierarchy uniqueName="[Work Item].[System_AssignedTo]" caption="Work Item.Assigned To" attribute="1" defaultMemberUniqueName="[Work Item].[System_AssignedTo].[All]" allUniqueName="[Work Item].[System_AssignedTo].[All]" dimensionUniqueName="[Work Item]" displayFolder="\" count="0" unbalanced="0"/>
    <cacheHierarchy uniqueName="[Work Item].[System_ChangedBy]" caption="Work Item.Changed By" attribute="1" defaultMemberUniqueName="[Work Item].[System_ChangedBy].[All]" allUniqueName="[Work Item].[System_ChangedBy].[All]" dimensionUniqueName="[Work Item]" displayFolder="\" count="0" unbalanced="0"/>
    <cacheHierarchy uniqueName="[Work Item].[System_ChangedDate]" caption="Work Item.Changed Date" attribute="1" defaultMemberUniqueName="[Work Item].[System_ChangedDate].[All]" allUniqueName="[Work Item].[System_ChangedDate].[All]" dimensionUniqueName="[Work Item]" displayFolder="\" count="0" unbalanced="0"/>
    <cacheHierarchy uniqueName="[Work Item].[System_ChangedDate__HierarchyByMonth]" caption="Work Item.Changed Date Hierarchy By Month" defaultMemberUniqueName="[Work Item].[System_ChangedDate__HierarchyByMonth].[All]" allUniqueName="[Work Item].[System_ChangedDate__HierarchyByMonth].[All]" dimensionUniqueName="[Work Item]" displayFolder="\" count="0" unbalanced="0"/>
    <cacheHierarchy uniqueName="[Work Item].[System_ChangedDate__HierarchyByWeek]" caption="Work Item.Changed Date Hierarchy By Week" defaultMemberUniqueName="[Work Item].[System_ChangedDate__HierarchyByWeek].[All]" allUniqueName="[Work Item].[System_ChangedDate__HierarchyByWeek].[All]" dimensionUniqueName="[Work Item]" displayFolder="\" count="0" unbalanced="0"/>
    <cacheHierarchy uniqueName="[Work Item].[System_CreatedBy]" caption="Work Item.Created By" attribute="1" defaultMemberUniqueName="[Work Item].[System_CreatedBy].[All]" allUniqueName="[Work Item].[System_CreatedBy].[All]" dimensionUniqueName="[Work Item]" displayFolder="\" count="0" unbalanced="0"/>
    <cacheHierarchy uniqueName="[Work Item].[System_CreatedDate]" caption="Work Item.Created Date" attribute="1" defaultMemberUniqueName="[Work Item].[System_CreatedDate].[All]" allUniqueName="[Work Item].[System_CreatedDate].[All]" dimensionUniqueName="[Work Item]" displayFolder="\" count="0" unbalanced="0"/>
    <cacheHierarchy uniqueName="[Work Item].[System_CreatedDate__HierarchyByMonth]" caption="Work Item.Created Date Hierarchy By Month" defaultMemberUniqueName="[Work Item].[System_CreatedDate__HierarchyByMonth].[All]" allUniqueName="[Work Item].[System_CreatedDate__HierarchyByMonth].[All]" dimensionUniqueName="[Work Item]" displayFolder="\" count="0" unbalanced="0"/>
    <cacheHierarchy uniqueName="[Work Item].[System_CreatedDate__HierarchyByWeek]" caption="Work Item.Created Date Hierarchy By Week" defaultMemberUniqueName="[Work Item].[System_CreatedDate__HierarchyByWeek].[All]" allUniqueName="[Work Item].[System_CreatedDate__HierarchyByWeek].[All]" dimensionUniqueName="[Work Item]" displayFolder="\" count="0" unbalanced="0"/>
    <cacheHierarchy uniqueName="[Work Item].[System_Id]" caption="Work Item.ID" attribute="1" defaultMemberUniqueName="[Work Item].[System_Id].[All]" allUniqueName="[Work Item].[System_Id].[All]" dimensionUniqueName="[Work Item]" displayFolder="\" count="0" unbalanced="0"/>
    <cacheHierarchy uniqueName="[Work Item].[System_Reason]" caption="Work Item.Reason" attribute="1" defaultMemberUniqueName="[Work Item].[System_Reason].[All]" allUniqueName="[Work Item].[System_Reason].[All]" dimensionUniqueName="[Work Item]" displayFolder="\" count="0" unbalanced="0"/>
    <cacheHierarchy uniqueName="[Work Item].[System_Revision]" caption="Work Item.Rev" attribute="1" defaultMemberUniqueName="[Work Item].[System_Revision].[All]" allUniqueName="[Work Item].[System_Revision].[All]" dimensionUniqueName="[Work Item]" displayFolder="\" count="0" unbalanced="0"/>
    <cacheHierarchy uniqueName="[Work Item].[System_State]" caption="Work Item.State" attribute="1" defaultMemberUniqueName="[Work Item].[System_State].[All]" allUniqueName="[Work Item].[System_State].[All]" dimensionUniqueName="[Work Item]" displayFolder="\" count="0" unbalanced="0"/>
    <cacheHierarchy uniqueName="[Work Item].[System_Title]" caption="Work Item.Title" attribute="1" defaultMemberUniqueName="[Work Item].[System_Title].[All]" allUniqueName="[Work Item].[System_Title].[All]" dimensionUniqueName="[Work Item]" displayFolder="\" count="0" unbalanced="0"/>
    <cacheHierarchy uniqueName="[Work Item].[System_WorkItemType]" caption="Work Item.Work Item Type" attribute="1" defaultMemberUniqueName="[Work Item].[System_WorkItemType].[All]" allUniqueName="[Work Item].[System_WorkItemType].[All]" dimensionUniqueName="[Work Item]" displayFolder="\" count="2" unbalanced="0">
      <fieldsUsage count="2">
        <fieldUsage x="-1"/>
        <fieldUsage x="1"/>
      </fieldsUsage>
    </cacheHierarchy>
    <cacheHierarchy uniqueName="[Work Item Category].[Name]" caption="Name" attribute="1" defaultMemberUniqueName="[Work Item Category].[Name].[All]" allUniqueName="[Work Item Category].[Name].[All]" dimensionUniqueName="[Work Item Category]" displayFolder="" count="2" unbalanced="0">
      <fieldsUsage count="2">
        <fieldUsage x="-1"/>
        <fieldUsage x="2"/>
      </fieldsUsage>
    </cacheHierarchy>
    <cacheHierarchy uniqueName="[Work Item Category].[Reference Name]" caption="Reference Name" attribute="1" defaultMemberUniqueName="[Work Item Category].[Reference Name].[All]" allUniqueName="[Work Item Category].[Reference Name].[All]" dimensionUniqueName="[Work Item Category]" displayFolder="" count="0" unbalanced="0"/>
    <cacheHierarchy uniqueName="[Work Item Link Type].[Is Deleted]" caption="Is Deleted" attribute="1" defaultMemberUniqueName="[Work Item Link Type].[Is Deleted].[All]" allUniqueName="[Work Item Link Type].[Is Deleted].[All]" dimensionUniqueName="[Work Item Link Type]" displayFolder="" count="0" unbalanced="0"/>
    <cacheHierarchy uniqueName="[Work Item Link Type].[Is Deny Delete]" caption="Is Deny Delete" attribute="1" defaultMemberUniqueName="[Work Item Link Type].[Is Deny Delete].[All]" allUniqueName="[Work Item Link Type].[Is Deny Delete].[All]" dimensionUniqueName="[Work Item Link Type]" displayFolder="" count="0" unbalanced="0"/>
    <cacheHierarchy uniqueName="[Work Item Link Type].[Is Deny Edit]" caption="Is Deny Edit" attribute="1" defaultMemberUniqueName="[Work Item Link Type].[Is Deny Edit].[All]" allUniqueName="[Work Item Link Type].[Is Deny Edit].[All]" dimensionUniqueName="[Work Item Link Type]" displayFolder="" count="0" unbalanced="0"/>
    <cacheHierarchy uniqueName="[Work Item Link Type].[Is Directional]" caption="Is Directional" attribute="1" defaultMemberUniqueName="[Work Item Link Type].[Is Directional].[All]" allUniqueName="[Work Item Link Type].[Is Directional].[All]" dimensionUniqueName="[Work Item Link Type]" displayFolder="" count="0" unbalanced="0"/>
    <cacheHierarchy uniqueName="[Work Item Link Type].[Is Disabled]" caption="Is Disabled" attribute="1" defaultMemberUniqueName="[Work Item Link Type].[Is Disabled].[All]" allUniqueName="[Work Item Link Type].[Is Disabled].[All]" dimensionUniqueName="[Work Item Link Type]" displayFolder="" count="0" unbalanced="0"/>
    <cacheHierarchy uniqueName="[Work Item Link Type].[Is Non Circular]" caption="Is Non-Circular" attribute="1" defaultMemberUniqueName="[Work Item Link Type].[Is Non Circular].[All]" allUniqueName="[Work Item Link Type].[Is Non Circular].[All]" dimensionUniqueName="[Work Item Link Type]" displayFolder="" count="0" unbalanced="0"/>
    <cacheHierarchy uniqueName="[Work Item Link Type].[Is Single Target]" caption="Is Single Target" attribute="1" defaultMemberUniqueName="[Work Item Link Type].[Is Single Target].[All]" allUniqueName="[Work Item Link Type].[Is Single Target].[All]" dimensionUniqueName="[Work Item Link Type]" displayFolder="" count="0" unbalanced="0"/>
    <cacheHierarchy uniqueName="[Work Item Link Type].[Is Tree]" caption="Is Tree" attribute="1" defaultMemberUniqueName="[Work Item Link Type].[Is Tree].[All]" allUniqueName="[Work Item Link Type].[Is Tree].[All]" dimensionUniqueName="[Work Item Link Type]" displayFolder="" count="0" unbalanced="0"/>
    <cacheHierarchy uniqueName="[Work Item Link Type].[Link ID]" caption="Link ID" attribute="1" defaultMemberUniqueName="[Work Item Link Type].[Link ID].[All]" allUniqueName="[Work Item Link Type].[Link ID].[All]" dimensionUniqueName="[Work Item Link Type]" displayFolder="" count="0" unbalanced="0"/>
    <cacheHierarchy uniqueName="[Work Item Link Type].[Link Name]" caption="Link Name" attribute="1" defaultMemberUniqueName="[Work Item Link Type].[Link Name].[All]" allUniqueName="[Work Item Link Type].[Link Name].[All]" dimensionUniqueName="[Work Item Link Type]" displayFolder="" count="0" unbalanced="0"/>
    <cacheHierarchy uniqueName="[Work Item Link Type].[Reference Name]" caption="Reference Name" attribute="1" defaultMemberUniqueName="[Work Item Link Type].[Reference Name].[All]" allUniqueName="[Work Item Link Type].[Reference Name].[All]" dimensionUniqueName="[Work Item Link Type]" displayFolder="" count="0" unbalanced="0"/>
    <cacheHierarchy uniqueName="[Work Item Link Type].[Rules]" caption="Rules" attribute="1" defaultMemberUniqueName="[Work Item Link Type].[Rules].[All]" allUniqueName="[Work Item Link Type].[Rules].[All]" dimensionUniqueName="[Work Item Link Type]" displayFolder="" count="0" unbalanced="0"/>
    <cacheHierarchy uniqueName="[Work Item Linked].[Area Hierarchy]" caption="Work Item Linked.Area Hierarchy" defaultMemberUniqueName="[Work Item Linked].[Area Hierarchy].[All]" allUniqueName="[Work Item Linked].[Area Hierarchy].[All]" dimensionUniqueName="[Work Item Linked]" displayFolder="" count="0" unbalanced="0"/>
    <cacheHierarchy uniqueName="[Work Item Linked].[Area Path]" caption="Work Item Linked.Area Path" attribute="1" defaultMemberUniqueName="[Work Item Linked].[Area Path].[All]" allUniqueName="[Work Item Linked].[Area Path].[All]" dimensionUniqueName="[Work Item Linked]" displayFolder="\" count="0" unbalanced="0"/>
    <cacheHierarchy uniqueName="[Work Item Linked].[CWB_ARISProcessFlow]" caption="Work Item Linked.ARIS Process Flow" attribute="1" defaultMemberUniqueName="[Work Item Linked].[CWB_ARISProcessFlow].[All]" allUniqueName="[Work Item Linked].[CWB_ARISProcessFlow].[All]" dimensionUniqueName="[Work Item Linked]" displayFolder="CWB" count="0" unbalanced="0"/>
    <cacheHierarchy uniqueName="[Work Item Linked].[CWB_BugPriority]" caption="Work Item Linked.Bug Priority" attribute="1" defaultMemberUniqueName="[Work Item Linked].[CWB_BugPriority].[All]" allUniqueName="[Work Item Linked].[CWB_BugPriority].[All]" dimensionUniqueName="[Work Item Linked]" displayFolder="CWB" count="0" unbalanced="0"/>
    <cacheHierarchy uniqueName="[Work Item Linked].[CWB_BusinessOwner]" caption="Work Item Linked.Business Owner" attribute="1" defaultMemberUniqueName="[Work Item Linked].[CWB_BusinessOwner].[All]" allUniqueName="[Work Item Linked].[CWB_BusinessOwner].[All]" dimensionUniqueName="[Work Item Linked]" displayFolder="CWB" count="0" unbalanced="0"/>
    <cacheHierarchy uniqueName="[Work Item Linked].[CWB_BussinessRequiredDate]" caption="Work Item Linked.Business Required Date" attribute="1" defaultMemberUniqueName="[Work Item Linked].[CWB_BussinessRequiredDate].[All]" allUniqueName="[Work Item Linked].[CWB_BussinessRequiredDate].[All]" dimensionUniqueName="[Work Item Linked]" displayFolder="CWB" count="0" unbalanced="0"/>
    <cacheHierarchy uniqueName="[Work Item Linked].[CWB_BussinessRequiredDate__HierarchyByMonth]" caption="Work Item Linked.Business Required Date Hierarchy By Month" defaultMemberUniqueName="[Work Item Linked].[CWB_BussinessRequiredDate__HierarchyByMonth].[All]" allUniqueName="[Work Item Linked].[CWB_BussinessRequiredDate__HierarchyByMonth].[All]" dimensionUniqueName="[Work Item Linked]" displayFolder="CWB" count="0" unbalanced="0"/>
    <cacheHierarchy uniqueName="[Work Item Linked].[CWB_BussinessRequiredDate__HierarchyByWeek]" caption="Work Item Linked.Business Required Date Hierarchy By Week" defaultMemberUniqueName="[Work Item Linked].[CWB_BussinessRequiredDate__HierarchyByWeek].[All]" allUniqueName="[Work Item Linked].[CWB_BussinessRequiredDate__HierarchyByWeek].[All]" dimensionUniqueName="[Work Item Linked]" displayFolder="CWB" count="0" unbalanced="0"/>
    <cacheHierarchy uniqueName="[Work Item Linked].[CWB_CodeReviewed_ReviewedBy]" caption="Work Item Linked.Code Reviewed By" attribute="1" defaultMemberUniqueName="[Work Item Linked].[CWB_CodeReviewed_ReviewedBy].[All]" allUniqueName="[Work Item Linked].[CWB_CodeReviewed_ReviewedBy].[All]" dimensionUniqueName="[Work Item Linked]" displayFolder="CWB" count="0" unbalanced="0"/>
    <cacheHierarchy uniqueName="[Work Item Linked].[CWB_EstimationBuckets]" caption="Work Item Linked.Estimation Buckets" attribute="1" defaultMemberUniqueName="[Work Item Linked].[CWB_EstimationBuckets].[All]" allUniqueName="[Work Item Linked].[CWB_EstimationBuckets].[All]" dimensionUniqueName="[Work Item Linked]" displayFolder="CWB" count="0" unbalanced="0"/>
    <cacheHierarchy uniqueName="[Work Item Linked].[CWB_FailedFixes]" caption="Work Item Linked.Failed Fixes" attribute="1" defaultMemberUniqueName="[Work Item Linked].[CWB_FailedFixes].[All]" allUniqueName="[Work Item Linked].[CWB_FailedFixes].[All]" dimensionUniqueName="[Work Item Linked]" displayFolder="CWB" count="0" unbalanced="0"/>
    <cacheHierarchy uniqueName="[Work Item Linked].[CWB_GoalsAchieved]" caption="Work Item Linked.Goals Achieved" attribute="1" defaultMemberUniqueName="[Work Item Linked].[CWB_GoalsAchieved].[All]" allUniqueName="[Work Item Linked].[CWB_GoalsAchieved].[All]" dimensionUniqueName="[Work Item Linked]" displayFolder="CWB" count="0" unbalanced="0"/>
    <cacheHierarchy uniqueName="[Work Item Linked].[CWB_iINSDEV]" caption="Work Item Linked.iINSDEV" attribute="1" defaultMemberUniqueName="[Work Item Linked].[CWB_iINSDEV].[All]" allUniqueName="[Work Item Linked].[CWB_iINSDEV].[All]" dimensionUniqueName="[Work Item Linked]" displayFolder="CWB" count="0" unbalanced="0"/>
    <cacheHierarchy uniqueName="[Work Item Linked].[CWB_IMEnvBuild]" caption="Work Item Linked.IMBuild" attribute="1" defaultMemberUniqueName="[Work Item Linked].[CWB_IMEnvBuild].[All]" allUniqueName="[Work Item Linked].[CWB_IMEnvBuild].[All]" dimensionUniqueName="[Work Item Linked]" displayFolder="CWB" count="0" unbalanced="0"/>
    <cacheHierarchy uniqueName="[Work Item Linked].[CWB_IMEnvDevelopment]" caption="Work Item Linked.IMDevelopment" attribute="1" defaultMemberUniqueName="[Work Item Linked].[CWB_IMEnvDevelopment].[All]" allUniqueName="[Work Item Linked].[CWB_IMEnvDevelopment].[All]" dimensionUniqueName="[Work Item Linked]" displayFolder="CWB" count="0" unbalanced="0"/>
    <cacheHierarchy uniqueName="[Work Item Linked].[CWB_IMEnvProduction]" caption="Work Item Linked.IMProduction" attribute="1" defaultMemberUniqueName="[Work Item Linked].[CWB_IMEnvProduction].[All]" allUniqueName="[Work Item Linked].[CWB_IMEnvProduction].[All]" dimensionUniqueName="[Work Item Linked]" displayFolder="CWB" count="0" unbalanced="0"/>
    <cacheHierarchy uniqueName="[Work Item Linked].[CWB_IMEnvTest]" caption="Work Item Linked.IMTest" attribute="1" defaultMemberUniqueName="[Work Item Linked].[CWB_IMEnvTest].[All]" allUniqueName="[Work Item Linked].[CWB_IMEnvTest].[All]" dimensionUniqueName="[Work Item Linked]" displayFolder="CWB" count="0" unbalanced="0"/>
    <cacheHierarchy uniqueName="[Work Item Linked].[CWB_IMEnvUATA]" caption="Work Item Linked.IMUATA" attribute="1" defaultMemberUniqueName="[Work Item Linked].[CWB_IMEnvUATA].[All]" allUniqueName="[Work Item Linked].[CWB_IMEnvUATA].[All]" dimensionUniqueName="[Work Item Linked]" displayFolder="CWB" count="0" unbalanced="0"/>
    <cacheHierarchy uniqueName="[Work Item Linked].[CWB_IMEnvUATB]" caption="Work Item Linked.IMUATB" attribute="1" defaultMemberUniqueName="[Work Item Linked].[CWB_IMEnvUATB].[All]" allUniqueName="[Work Item Linked].[CWB_IMEnvUATB].[All]" dimensionUniqueName="[Work Item Linked]" displayFolder="CWB" count="0" unbalanced="0"/>
    <cacheHierarchy uniqueName="[Work Item Linked].[CWB_ImpedimentType]" caption="Work Item Linked.Impediment Type" attribute="1" defaultMemberUniqueName="[Work Item Linked].[CWB_ImpedimentType].[All]" allUniqueName="[Work Item Linked].[CWB_ImpedimentType].[All]" dimensionUniqueName="[Work Item Linked]" displayFolder="CWB" count="0" unbalanced="0"/>
    <cacheHierarchy uniqueName="[Work Item Linked].[CWB_IMReleasePackageDate]" caption="Work Item Linked.IMPackageDate" attribute="1" defaultMemberUniqueName="[Work Item Linked].[CWB_IMReleasePackageDate].[All]" allUniqueName="[Work Item Linked].[CWB_IMReleasePackageDate].[All]" dimensionUniqueName="[Work Item Linked]" displayFolder="CWB" count="0" unbalanced="0"/>
    <cacheHierarchy uniqueName="[Work Item Linked].[CWB_IMReleasePackageDate__HierarchyByMonth]" caption="Work Item Linked.IMPackageDate Hierarchy By Month" defaultMemberUniqueName="[Work Item Linked].[CWB_IMReleasePackageDate__HierarchyByMonth].[All]" allUniqueName="[Work Item Linked].[CWB_IMReleasePackageDate__HierarchyByMonth].[All]" dimensionUniqueName="[Work Item Linked]" displayFolder="CWB" count="0" unbalanced="0"/>
    <cacheHierarchy uniqueName="[Work Item Linked].[CWB_IMReleasePackageDate__HierarchyByWeek]" caption="Work Item Linked.IMPackageDate Hierarchy By Week" defaultMemberUniqueName="[Work Item Linked].[CWB_IMReleasePackageDate__HierarchyByWeek].[All]" allUniqueName="[Work Item Linked].[CWB_IMReleasePackageDate__HierarchyByWeek].[All]" dimensionUniqueName="[Work Item Linked]" displayFolder="CWB" count="0" unbalanced="0"/>
    <cacheHierarchy uniqueName="[Work Item Linked].[CWB_INSQA]" caption="Work Item Linked.INSQA" attribute="1" defaultMemberUniqueName="[Work Item Linked].[CWB_INSQA].[All]" allUniqueName="[Work Item Linked].[CWB_INSQA].[All]" dimensionUniqueName="[Work Item Linked]" displayFolder="CWB" count="0" unbalanced="0"/>
    <cacheHierarchy uniqueName="[Work Item Linked].[CWB_IssueType]" caption="Work Item Linked.Issue Type" attribute="1" defaultMemberUniqueName="[Work Item Linked].[CWB_IssueType].[All]" allUniqueName="[Work Item Linked].[CWB_IssueType].[All]" dimensionUniqueName="[Work Item Linked]" displayFolder="CWB" count="0" unbalanced="0"/>
    <cacheHierarchy uniqueName="[Work Item Linked].[CWB_ObjectiveCompleted]" caption="Work Item Linked.Objective Completed" attribute="1" defaultMemberUniqueName="[Work Item Linked].[CWB_ObjectiveCompleted].[All]" allUniqueName="[Work Item Linked].[CWB_ObjectiveCompleted].[All]" dimensionUniqueName="[Work Item Linked]" displayFolder="CWB" count="0" unbalanced="0"/>
    <cacheHierarchy uniqueName="[Work Item Linked].[CWB_ObjectiveCount]" caption="Work Item Linked.Objective Count" attribute="1" defaultMemberUniqueName="[Work Item Linked].[CWB_ObjectiveCount].[All]" allUniqueName="[Work Item Linked].[CWB_ObjectiveCount].[All]" dimensionUniqueName="[Work Item Linked]" displayFolder="CWB" count="0" unbalanced="0"/>
    <cacheHierarchy uniqueName="[Work Item Linked].[CWB_OLDDEV]" caption="Work Item Linked.OLDDEV" attribute="1" defaultMemberUniqueName="[Work Item Linked].[CWB_OLDDEV].[All]" allUniqueName="[Work Item Linked].[CWB_OLDDEV].[All]" dimensionUniqueName="[Work Item Linked]" displayFolder="CWB" count="0" unbalanced="0"/>
    <cacheHierarchy uniqueName="[Work Item Linked].[CWB_OriginationSource]" caption="Work Item Linked.Origination Source" attribute="1" defaultMemberUniqueName="[Work Item Linked].[CWB_OriginationSource].[All]" allUniqueName="[Work Item Linked].[CWB_OriginationSource].[All]" dimensionUniqueName="[Work Item Linked]" displayFolder="CWB" count="0" unbalanced="0"/>
    <cacheHierarchy uniqueName="[Work Item Linked].[CWB_PBIPriority]" caption="Work Item Linked.PBI Priority" attribute="1" defaultMemberUniqueName="[Work Item Linked].[CWB_PBIPriority].[All]" allUniqueName="[Work Item Linked].[CWB_PBIPriority].[All]" dimensionUniqueName="[Work Item Linked]" displayFolder="CWB" count="0" unbalanced="0"/>
    <cacheHierarchy uniqueName="[Work Item Linked].[CWB_PBIType]" caption="Work Item Linked.PBI Type" attribute="1" defaultMemberUniqueName="[Work Item Linked].[CWB_PBIType].[All]" allUniqueName="[Work Item Linked].[CWB_PBIType].[All]" dimensionUniqueName="[Work Item Linked]" displayFolder="CWB" count="2" unbalanced="0">
      <fieldsUsage count="2">
        <fieldUsage x="-1"/>
        <fieldUsage x="33"/>
      </fieldsUsage>
    </cacheHierarchy>
    <cacheHierarchy uniqueName="[Work Item Linked].[CWB_PlannedCompletionDate]" caption="Work Item Linked.Planned Completion Date" attribute="1" defaultMemberUniqueName="[Work Item Linked].[CWB_PlannedCompletionDate].[All]" allUniqueName="[Work Item Linked].[CWB_PlannedCompletionDate].[All]" dimensionUniqueName="[Work Item Linked]" displayFolder="CWB" count="0" unbalanced="0"/>
    <cacheHierarchy uniqueName="[Work Item Linked].[CWB_PlannedCompletionDate__HierarchyByMonth]" caption="Work Item Linked.Planned Completion Date Hierarchy By Month" defaultMemberUniqueName="[Work Item Linked].[CWB_PlannedCompletionDate__HierarchyByMonth].[All]" allUniqueName="[Work Item Linked].[CWB_PlannedCompletionDate__HierarchyByMonth].[All]" dimensionUniqueName="[Work Item Linked]" displayFolder="CWB" count="0" unbalanced="0"/>
    <cacheHierarchy uniqueName="[Work Item Linked].[CWB_PlannedCompletionDate__HierarchyByWeek]" caption="Work Item Linked.Planned Completion Date Hierarchy By Week" defaultMemberUniqueName="[Work Item Linked].[CWB_PlannedCompletionDate__HierarchyByWeek].[All]" allUniqueName="[Work Item Linked].[CWB_PlannedCompletionDate__HierarchyByWeek].[All]" dimensionUniqueName="[Work Item Linked]" displayFolder="CWB" count="0" unbalanced="0"/>
    <cacheHierarchy uniqueName="[Work Item Linked].[CWB_PlannedStartDate]" caption="Work Item Linked.Planned Start Date" attribute="1" defaultMemberUniqueName="[Work Item Linked].[CWB_PlannedStartDate].[All]" allUniqueName="[Work Item Linked].[CWB_PlannedStartDate].[All]" dimensionUniqueName="[Work Item Linked]" displayFolder="CWB" count="0" unbalanced="0"/>
    <cacheHierarchy uniqueName="[Work Item Linked].[CWB_PlannedStartDate__HierarchyByMonth]" caption="Work Item Linked.Planned Start Date Hierarchy By Month" defaultMemberUniqueName="[Work Item Linked].[CWB_PlannedStartDate__HierarchyByMonth].[All]" allUniqueName="[Work Item Linked].[CWB_PlannedStartDate__HierarchyByMonth].[All]" dimensionUniqueName="[Work Item Linked]" displayFolder="CWB" count="0" unbalanced="0"/>
    <cacheHierarchy uniqueName="[Work Item Linked].[CWB_PlannedStartDate__HierarchyByWeek]" caption="Work Item Linked.Planned Start Date Hierarchy By Week" defaultMemberUniqueName="[Work Item Linked].[CWB_PlannedStartDate__HierarchyByWeek].[All]" allUniqueName="[Work Item Linked].[CWB_PlannedStartDate__HierarchyByWeek].[All]" dimensionUniqueName="[Work Item Linked]" displayFolder="CWB" count="0" unbalanced="0"/>
    <cacheHierarchy uniqueName="[Work Item Linked].[CWB_ProjectName]" caption="Work Item Linked.Project Name" attribute="1" defaultMemberUniqueName="[Work Item Linked].[CWB_ProjectName].[All]" allUniqueName="[Work Item Linked].[CWB_ProjectName].[All]" dimensionUniqueName="[Work Item Linked]" displayFolder="CWB" count="0" unbalanced="0"/>
    <cacheHierarchy uniqueName="[Work Item Linked].[CWB_ReferenceNum]" caption="Work Item Linked.Reference #" attribute="1" defaultMemberUniqueName="[Work Item Linked].[CWB_ReferenceNum].[All]" allUniqueName="[Work Item Linked].[CWB_ReferenceNum].[All]" dimensionUniqueName="[Work Item Linked]" displayFolder="CWB" count="0" unbalanced="0"/>
    <cacheHierarchy uniqueName="[Work Item Linked].[CWB_RegulatoryRequirement]" caption="Work Item Linked.Regulatory Requirement?" attribute="1" defaultMemberUniqueName="[Work Item Linked].[CWB_RegulatoryRequirement].[All]" allUniqueName="[Work Item Linked].[CWB_RegulatoryRequirement].[All]" dimensionUniqueName="[Work Item Linked]" displayFolder="CWB" count="0" unbalanced="0"/>
    <cacheHierarchy uniqueName="[Work Item Linked].[CWB_RequirementMet]" caption="Work Item Linked.Met?" attribute="1" defaultMemberUniqueName="[Work Item Linked].[CWB_RequirementMet].[All]" allUniqueName="[Work Item Linked].[CWB_RequirementMet].[All]" dimensionUniqueName="[Work Item Linked]" displayFolder="CWB" count="0" unbalanced="0"/>
    <cacheHierarchy uniqueName="[Work Item Linked].[CWB_RequirementSource]" caption="Work Item Linked.Requirement Source" attribute="1" defaultMemberUniqueName="[Work Item Linked].[CWB_RequirementSource].[All]" allUniqueName="[Work Item Linked].[CWB_RequirementSource].[All]" dimensionUniqueName="[Work Item Linked]" displayFolder="CWB" count="0" unbalanced="0"/>
    <cacheHierarchy uniqueName="[Work Item Linked].[CWB_ResourceSchedule]" caption="Work Item Linked.In Resource Schedule" attribute="1" defaultMemberUniqueName="[Work Item Linked].[CWB_ResourceSchedule].[All]" allUniqueName="[Work Item Linked].[CWB_ResourceSchedule].[All]" dimensionUniqueName="[Work Item Linked]" displayFolder="CWB" count="0" unbalanced="0"/>
    <cacheHierarchy uniqueName="[Work Item Linked].[CWB_Scope]" caption="Work Item Linked.Scope" attribute="1" defaultMemberUniqueName="[Work Item Linked].[CWB_Scope].[All]" allUniqueName="[Work Item Linked].[CWB_Scope].[All]" dimensionUniqueName="[Work Item Linked]" displayFolder="CWB" count="0" unbalanced="0"/>
    <cacheHierarchy uniqueName="[Work Item Linked].[CWB_T24BUILD]" caption="Work Item Linked.T24BUILD" attribute="1" defaultMemberUniqueName="[Work Item Linked].[CWB_T24BUILD].[All]" allUniqueName="[Work Item Linked].[CWB_T24BUILD].[All]" dimensionUniqueName="[Work Item Linked]" displayFolder="CWB" count="0" unbalanced="0"/>
    <cacheHierarchy uniqueName="[Work Item Linked].[CWB_T24COB]" caption="Work Item Linked.T24COB" attribute="1" defaultMemberUniqueName="[Work Item Linked].[CWB_T24COB].[All]" allUniqueName="[Work Item Linked].[CWB_T24COB].[All]" dimensionUniqueName="[Work Item Linked]" displayFolder="CWB" count="0" unbalanced="0"/>
    <cacheHierarchy uniqueName="[Work Item Linked].[CWB_T24DEV]" caption="Work Item Linked.T24DEV" attribute="1" defaultMemberUniqueName="[Work Item Linked].[CWB_T24DEV].[All]" allUniqueName="[Work Item Linked].[CWB_T24DEV].[All]" dimensionUniqueName="[Work Item Linked]" displayFolder="CWB" count="0" unbalanced="0"/>
    <cacheHierarchy uniqueName="[Work Item Linked].[CWB_T24DEV1]" caption="Work Item Linked.T24DEV1" attribute="1" defaultMemberUniqueName="[Work Item Linked].[CWB_T24DEV1].[All]" allUniqueName="[Work Item Linked].[CWB_T24DEV1].[All]" dimensionUniqueName="[Work Item Linked]" displayFolder="CWB" count="0" unbalanced="0"/>
    <cacheHierarchy uniqueName="[Work Item Linked].[CWB_T24DEV2]" caption="Work Item Linked.T24DEV2" attribute="1" defaultMemberUniqueName="[Work Item Linked].[CWB_T24DEV2].[All]" allUniqueName="[Work Item Linked].[CWB_T24DEV2].[All]" dimensionUniqueName="[Work Item Linked]" displayFolder="CWB" count="0" unbalanced="0"/>
    <cacheHierarchy uniqueName="[Work Item Linked].[CWB_T24DMQA]" caption="Work Item Linked.T24DMQA" attribute="1" defaultMemberUniqueName="[Work Item Linked].[CWB_T24DMQA].[All]" allUniqueName="[Work Item Linked].[CWB_T24DMQA].[All]" dimensionUniqueName="[Work Item Linked]" displayFolder="CWB" count="0" unbalanced="0"/>
    <cacheHierarchy uniqueName="[Work Item Linked].[CWB_T24DMTST]" caption="Work Item Linked.T24DMTST" attribute="1" defaultMemberUniqueName="[Work Item Linked].[CWB_T24DMTST].[All]" allUniqueName="[Work Item Linked].[CWB_T24DMTST].[All]" dimensionUniqueName="[Work Item Linked]" displayFolder="CWB" count="0" unbalanced="0"/>
    <cacheHierarchy uniqueName="[Work Item Linked].[CWB_T24INSDEV]" caption="Work Item Linked.T24INSDEV" attribute="1" defaultMemberUniqueName="[Work Item Linked].[CWB_T24INSDEV].[All]" allUniqueName="[Work Item Linked].[CWB_T24INSDEV].[All]" dimensionUniqueName="[Work Item Linked]" displayFolder="CWB" count="0" unbalanced="0"/>
    <cacheHierarchy uniqueName="[Work Item Linked].[CWB_T24MASTR]" caption="Work Item Linked.T24MASTR" attribute="1" defaultMemberUniqueName="[Work Item Linked].[CWB_T24MASTR].[All]" allUniqueName="[Work Item Linked].[CWB_T24MASTR].[All]" dimensionUniqueName="[Work Item Linked]" displayFolder="CWB" count="0" unbalanced="0"/>
    <cacheHierarchy uniqueName="[Work Item Linked].[CWB_T24PROD]" caption="Work Item Linked.T24PROD" attribute="1" defaultMemberUniqueName="[Work Item Linked].[CWB_T24PROD].[All]" allUniqueName="[Work Item Linked].[CWB_T24PROD].[All]" dimensionUniqueName="[Work Item Linked]" displayFolder="CWB" count="0" unbalanced="0"/>
    <cacheHierarchy uniqueName="[Work Item Linked].[CWB_T24QA]" caption="Work Item Linked.T24QA" attribute="1" defaultMemberUniqueName="[Work Item Linked].[CWB_T24QA].[All]" allUniqueName="[Work Item Linked].[CWB_T24QA].[All]" dimensionUniqueName="[Work Item Linked]" displayFolder="CWB" count="0" unbalanced="0"/>
    <cacheHierarchy uniqueName="[Work Item Linked].[CWB_T24SIT]" caption="Work Item Linked.T24SIT" attribute="1" defaultMemberUniqueName="[Work Item Linked].[CWB_T24SIT].[All]" allUniqueName="[Work Item Linked].[CWB_T24SIT].[All]" dimensionUniqueName="[Work Item Linked]" displayFolder="CWB" count="0" unbalanced="0"/>
    <cacheHierarchy uniqueName="[Work Item Linked].[CWB_T24SIT1]" caption="Work Item Linked.T24SIT1" attribute="1" defaultMemberUniqueName="[Work Item Linked].[CWB_T24SIT1].[All]" allUniqueName="[Work Item Linked].[CWB_T24SIT1].[All]" dimensionUniqueName="[Work Item Linked]" displayFolder="CWB" count="0" unbalanced="0"/>
    <cacheHierarchy uniqueName="[Work Item Linked].[CWB_T24SIT2]" caption="Work Item Linked.T24SIT2" attribute="1" defaultMemberUniqueName="[Work Item Linked].[CWB_T24SIT2].[All]" allUniqueName="[Work Item Linked].[CWB_T24SIT2].[All]" dimensionUniqueName="[Work Item Linked]" displayFolder="CWB" count="0" unbalanced="0"/>
    <cacheHierarchy uniqueName="[Work Item Linked].[CWB_T24STG]" caption="Work Item Linked.T24STG" attribute="1" defaultMemberUniqueName="[Work Item Linked].[CWB_T24STG].[All]" allUniqueName="[Work Item Linked].[CWB_T24STG].[All]" dimensionUniqueName="[Work Item Linked]" displayFolder="CWB" count="0" unbalanced="0"/>
    <cacheHierarchy uniqueName="[Work Item Linked].[CWB_T24TRN1]" caption="Work Item Linked.T24TRN1" attribute="1" defaultMemberUniqueName="[Work Item Linked].[CWB_T24TRN1].[All]" allUniqueName="[Work Item Linked].[CWB_T24TRN1].[All]" dimensionUniqueName="[Work Item Linked]" displayFolder="CWB" count="0" unbalanced="0"/>
    <cacheHierarchy uniqueName="[Work Item Linked].[CWB_T24TRN2]" caption="Work Item Linked.T24TRN2" attribute="1" defaultMemberUniqueName="[Work Item Linked].[CWB_T24TRN2].[All]" allUniqueName="[Work Item Linked].[CWB_T24TRN2].[All]" dimensionUniqueName="[Work Item Linked]" displayFolder="CWB" count="0" unbalanced="0"/>
    <cacheHierarchy uniqueName="[Work Item Linked].[CWB_T24TRN3]" caption="Work Item Linked.T24TRN3" attribute="1" defaultMemberUniqueName="[Work Item Linked].[CWB_T24TRN3].[All]" allUniqueName="[Work Item Linked].[CWB_T24TRN3].[All]" dimensionUniqueName="[Work Item Linked]" displayFolder="CWB" count="0" unbalanced="0"/>
    <cacheHierarchy uniqueName="[Work Item Linked].[CWB_T24TRN4]" caption="Work Item Linked.T24TRN4" attribute="1" defaultMemberUniqueName="[Work Item Linked].[CWB_T24TRN4].[All]" allUniqueName="[Work Item Linked].[CWB_T24TRN4].[All]" dimensionUniqueName="[Work Item Linked]" displayFolder="CWB" count="0" unbalanced="0"/>
    <cacheHierarchy uniqueName="[Work Item Linked].[CWB_T24TST]" caption="Work Item Linked.T24TST" attribute="1" defaultMemberUniqueName="[Work Item Linked].[CWB_T24TST].[All]" allUniqueName="[Work Item Linked].[CWB_T24TST].[All]" dimensionUniqueName="[Work Item Linked]" displayFolder="CWB" count="0" unbalanced="0"/>
    <cacheHierarchy uniqueName="[Work Item Linked].[CWB_T24TST1]" caption="Work Item Linked.T24TST1" attribute="1" defaultMemberUniqueName="[Work Item Linked].[CWB_T24TST1].[All]" allUniqueName="[Work Item Linked].[CWB_T24TST1].[All]" dimensionUniqueName="[Work Item Linked]" displayFolder="CWB" count="0" unbalanced="0"/>
    <cacheHierarchy uniqueName="[Work Item Linked].[CWB_T24TST2]" caption="Work Item Linked.T24TST2" attribute="1" defaultMemberUniqueName="[Work Item Linked].[CWB_T24TST2].[All]" allUniqueName="[Work Item Linked].[CWB_T24TST2].[All]" dimensionUniqueName="[Work Item Linked]" displayFolder="CWB" count="0" unbalanced="0"/>
    <cacheHierarchy uniqueName="[Work Item Linked].[CWB_T24TST3]" caption="Work Item Linked.T24TST3" attribute="1" defaultMemberUniqueName="[Work Item Linked].[CWB_T24TST3].[All]" allUniqueName="[Work Item Linked].[CWB_T24TST3].[All]" dimensionUniqueName="[Work Item Linked]" displayFolder="CWB" count="0" unbalanced="0"/>
    <cacheHierarchy uniqueName="[Work Item Linked].[CWB_T24UAT]" caption="Work Item Linked.T24UAT" attribute="1" defaultMemberUniqueName="[Work Item Linked].[CWB_T24UAT].[All]" allUniqueName="[Work Item Linked].[CWB_T24UAT].[All]" dimensionUniqueName="[Work Item Linked]" displayFolder="CWB" count="0" unbalanced="0"/>
    <cacheHierarchy uniqueName="[Work Item Linked].[CWB_TargetResolution]" caption="Work Item Linked.Target Resolution" attribute="1" defaultMemberUniqueName="[Work Item Linked].[CWB_TargetResolution].[All]" allUniqueName="[Work Item Linked].[CWB_TargetResolution].[All]" dimensionUniqueName="[Work Item Linked]" displayFolder="CWB" count="0" unbalanced="0"/>
    <cacheHierarchy uniqueName="[Work Item Linked].[CWB_TargetResolution__HierarchyByMonth]" caption="Work Item Linked.Target Resolution Hierarchy By Month" defaultMemberUniqueName="[Work Item Linked].[CWB_TargetResolution__HierarchyByMonth].[All]" allUniqueName="[Work Item Linked].[CWB_TargetResolution__HierarchyByMonth].[All]" dimensionUniqueName="[Work Item Linked]" displayFolder="CWB" count="0" unbalanced="0"/>
    <cacheHierarchy uniqueName="[Work Item Linked].[CWB_TargetResolution__HierarchyByWeek]" caption="Work Item Linked.Target Resolution Hierarchy By Week" defaultMemberUniqueName="[Work Item Linked].[CWB_TargetResolution__HierarchyByWeek].[All]" allUniqueName="[Work Item Linked].[CWB_TargetResolution__HierarchyByWeek].[All]" dimensionUniqueName="[Work Item Linked]" displayFolder="CWB" count="0" unbalanced="0"/>
    <cacheHierarchy uniqueName="[Work Item Linked].[CWB_TemenosIssueType]" caption="Work Item Linked.Temenos Issue Type" attribute="1" defaultMemberUniqueName="[Work Item Linked].[CWB_TemenosIssueType].[All]" allUniqueName="[Work Item Linked].[CWB_TemenosIssueType].[All]" dimensionUniqueName="[Work Item Linked]" displayFolder="CWB" count="0" unbalanced="0"/>
    <cacheHierarchy uniqueName="[Work Item Linked].[CWB_TemenosStatus]" caption="Work Item Linked.Temenos Status" attribute="1" defaultMemberUniqueName="[Work Item Linked].[CWB_TemenosStatus].[All]" allUniqueName="[Work Item Linked].[CWB_TemenosStatus].[All]" dimensionUniqueName="[Work Item Linked]" displayFolder="CWB" count="0" unbalanced="0"/>
    <cacheHierarchy uniqueName="[Work Item Linked].[CWB_ThirdParty]" caption="Work Item Linked.Third Party" attribute="1" defaultMemberUniqueName="[Work Item Linked].[CWB_ThirdParty].[All]" allUniqueName="[Work Item Linked].[CWB_ThirdParty].[All]" dimensionUniqueName="[Work Item Linked]" displayFolder="CWB" count="0" unbalanced="0"/>
    <cacheHierarchy uniqueName="[Work Item Linked].[CWB_ThirdPartyStatus]" caption="Work Item Linked.Third Party Status" attribute="1" defaultMemberUniqueName="[Work Item Linked].[CWB_ThirdPartyStatus].[All]" allUniqueName="[Work Item Linked].[CWB_ThirdPartyStatus].[All]" dimensionUniqueName="[Work Item Linked]" displayFolder="CWB" count="0" unbalanced="0"/>
    <cacheHierarchy uniqueName="[Work Item Linked].[CWB_WorkOrderNumber]" caption="Work Item Linked.Work Order Number" attribute="1" defaultMemberUniqueName="[Work Item Linked].[CWB_WorkOrderNumber].[All]" allUniqueName="[Work Item Linked].[CWB_WorkOrderNumber].[All]" dimensionUniqueName="[Work Item Linked]" displayFolder="CWB" count="0" unbalanced="0"/>
    <cacheHierarchy uniqueName="[Work Item Linked].[Iteration Hierarchy]" caption="Work Item Linked.Iteration Hierarchy" defaultMemberUniqueName="[Work Item Linked].[Iteration Hierarchy].[All]" allUniqueName="[Work Item Linked].[Iteration Hierarchy].[All]" dimensionUniqueName="[Work Item Linked]" displayFolder="" count="0" unbalanced="0"/>
    <cacheHierarchy uniqueName="[Work Item Linked].[Iteration Path]" caption="Work Item Linked.Iteration Path" attribute="1" defaultMemberUniqueName="[Work Item Linked].[Iteration Path].[All]" allUniqueName="[Work Item Linked].[Iteration Path].[All]" dimensionUniqueName="[Work Item Linked]" displayFolder="\" count="0" unbalanced="0"/>
    <cacheHierarchy uniqueName="[Work Item Linked].[Microsoft_VSTS_Build_FoundIn]" caption="Work Item Linked.Found In" attribute="1" defaultMemberUniqueName="[Work Item Linked].[Microsoft_VSTS_Build_FoundIn].[All]" allUniqueName="[Work Item Linked].[Microsoft_VSTS_Build_FoundIn].[All]" dimensionUniqueName="[Work Item Linked]" displayFolder="Microsoft.VSTS.Build" count="0" unbalanced="0"/>
    <cacheHierarchy uniqueName="[Work Item Linked].[Microsoft_VSTS_Build_IntegrationBuild]" caption="Work Item Linked.Integration Build" attribute="1" defaultMemberUniqueName="[Work Item Linked].[Microsoft_VSTS_Build_IntegrationBuild].[All]" allUniqueName="[Work Item Linked].[Microsoft_VSTS_Build_IntegrationBuild].[All]" dimensionUniqueName="[Work Item Linked]" displayFolder="Microsoft.VSTS.Build" count="0" unbalanced="0"/>
    <cacheHierarchy uniqueName="[Work Item Linked].[Microsoft_VSTS_CMMI_Blocked]" caption="Work Item Linked.Blocked" attribute="1" defaultMemberUniqueName="[Work Item Linked].[Microsoft_VSTS_CMMI_Blocked].[All]" allUniqueName="[Work Item Linked].[Microsoft_VSTS_CMMI_Blocked].[All]" dimensionUniqueName="[Work Item Linked]" displayFolder="Microsoft.VSTS.CMMI" count="0" unbalanced="0"/>
    <cacheHierarchy uniqueName="[Work Item Linked].[Microsoft_VSTS_CodeReview_AcceptedBy]" caption="Work Item Linked.Accepted By" attribute="1" defaultMemberUniqueName="[Work Item Linked].[Microsoft_VSTS_CodeReview_AcceptedBy].[All]" allUniqueName="[Work Item Linked].[Microsoft_VSTS_CodeReview_AcceptedBy].[All]" dimensionUniqueName="[Work Item Linked]" displayFolder="Microsoft.VSTS.CodeReview" count="0" unbalanced="0"/>
    <cacheHierarchy uniqueName="[Work Item Linked].[Microsoft_VSTS_CodeReview_AcceptedDate]" caption="Work Item Linked.Accepted Date" attribute="1" defaultMemberUniqueName="[Work Item Linked].[Microsoft_VSTS_CodeReview_AcceptedDate].[All]" allUniqueName="[Work Item Linked].[Microsoft_VSTS_CodeReview_AcceptedDate].[All]" dimensionUniqueName="[Work Item Linked]" displayFolder="Microsoft.VSTS.CodeReview" count="0" unbalanced="0"/>
    <cacheHierarchy uniqueName="[Work Item Linked].[Microsoft_VSTS_CodeReview_AcceptedDate__HierarchyByMonth]" caption="Work Item Linked.Accepted Date Hierarchy By Month" defaultMemberUniqueName="[Work Item Linked].[Microsoft_VSTS_CodeReview_AcceptedDate__HierarchyByMonth].[All]" allUniqueName="[Work Item Linked].[Microsoft_VSTS_CodeReview_AcceptedDate__HierarchyByMonth].[All]" dimensionUniqueName="[Work Item Linked]" displayFolder="Microsoft.VSTS.CodeReview" count="0" unbalanced="0"/>
    <cacheHierarchy uniqueName="[Work Item Linked].[Microsoft_VSTS_CodeReview_AcceptedDate__HierarchyByWeek]" caption="Work Item Linked.Accepted Date Hierarchy By Week" defaultMemberUniqueName="[Work Item Linked].[Microsoft_VSTS_CodeReview_AcceptedDate__HierarchyByWeek].[All]" allUniqueName="[Work Item Linked].[Microsoft_VSTS_CodeReview_AcceptedDate__HierarchyByWeek].[All]" dimensionUniqueName="[Work Item Linked]" displayFolder="Microsoft.VSTS.CodeReview" count="0" unbalanced="0"/>
    <cacheHierarchy uniqueName="[Work Item Linked].[Microsoft_VSTS_CodeReview_ClosedStatus]" caption="Work Item Linked.Closed Status" attribute="1" defaultMemberUniqueName="[Work Item Linked].[Microsoft_VSTS_CodeReview_ClosedStatus].[All]" allUniqueName="[Work Item Linked].[Microsoft_VSTS_CodeReview_ClosedStatus].[All]" dimensionUniqueName="[Work Item Linked]" displayFolder="Microsoft.VSTS.CodeReview" count="0" unbalanced="0"/>
    <cacheHierarchy uniqueName="[Work Item Linked].[Microsoft_VSTS_Common_ActivatedBy]" caption="Work Item Linked.Activated By" attribute="1" defaultMemberUniqueName="[Work Item Linked].[Microsoft_VSTS_Common_ActivatedBy].[All]" allUniqueName="[Work Item Linked].[Microsoft_VSTS_Common_ActivatedBy].[All]" dimensionUniqueName="[Work Item Linked]" displayFolder="Microsoft.VSTS.Common" count="0" unbalanced="0"/>
    <cacheHierarchy uniqueName="[Work Item Linked].[Microsoft_VSTS_Common_ActivatedDate]" caption="Work Item Linked.Activated Date" attribute="1" defaultMemberUniqueName="[Work Item Linked].[Microsoft_VSTS_Common_ActivatedDate].[All]" allUniqueName="[Work Item Linked].[Microsoft_VSTS_Common_ActivatedDate].[All]" dimensionUniqueName="[Work Item Linked]" displayFolder="Microsoft.VSTS.Common" count="0" unbalanced="0"/>
    <cacheHierarchy uniqueName="[Work Item Linked].[Microsoft_VSTS_Common_ActivatedDate__HierarchyByMonth]" caption="Work Item Linked.Activated Date Hierarchy By Month" defaultMemberUniqueName="[Work Item Linked].[Microsoft_VSTS_Common_ActivatedDate__HierarchyByMonth].[All]" allUniqueName="[Work Item Linked].[Microsoft_VSTS_Common_ActivatedDate__HierarchyByMonth].[All]" dimensionUniqueName="[Work Item Linked]" displayFolder="Microsoft.VSTS.Common" count="0" unbalanced="0"/>
    <cacheHierarchy uniqueName="[Work Item Linked].[Microsoft_VSTS_Common_ActivatedDate__HierarchyByWeek]" caption="Work Item Linked.Activated Date Hierarchy By Week" defaultMemberUniqueName="[Work Item Linked].[Microsoft_VSTS_Common_ActivatedDate__HierarchyByWeek].[All]" allUniqueName="[Work Item Linked].[Microsoft_VSTS_Common_ActivatedDate__HierarchyByWeek].[All]" dimensionUniqueName="[Work Item Linked]" displayFolder="Microsoft.VSTS.Common" count="0" unbalanced="0"/>
    <cacheHierarchy uniqueName="[Work Item Linked].[Microsoft_VSTS_Common_Activity]" caption="Work Item Linked.Activity" attribute="1" defaultMemberUniqueName="[Work Item Linked].[Microsoft_VSTS_Common_Activity].[All]" allUniqueName="[Work Item Linked].[Microsoft_VSTS_Common_Activity].[All]" dimensionUniqueName="[Work Item Linked]" displayFolder="Microsoft.VSTS.Common" count="0" unbalanced="0"/>
    <cacheHierarchy uniqueName="[Work Item Linked].[Microsoft_VSTS_Common_ClosedBy]" caption="Work Item Linked.Closed By" attribute="1" defaultMemberUniqueName="[Work Item Linked].[Microsoft_VSTS_Common_ClosedBy].[All]" allUniqueName="[Work Item Linked].[Microsoft_VSTS_Common_ClosedBy].[All]" dimensionUniqueName="[Work Item Linked]" displayFolder="Microsoft.VSTS.Common" count="0" unbalanced="0"/>
    <cacheHierarchy uniqueName="[Work Item Linked].[Microsoft_VSTS_Common_ClosedDate]" caption="Work Item Linked.Closed Date" attribute="1" defaultMemberUniqueName="[Work Item Linked].[Microsoft_VSTS_Common_ClosedDate].[All]" allUniqueName="[Work Item Linked].[Microsoft_VSTS_Common_ClosedDate].[All]" dimensionUniqueName="[Work Item Linked]" displayFolder="Microsoft.VSTS.Common" count="0" unbalanced="0"/>
    <cacheHierarchy uniqueName="[Work Item Linked].[Microsoft_VSTS_Common_ClosedDate__HierarchyByMonth]" caption="Work Item Linked.Closed Date Hierarchy By Month" defaultMemberUniqueName="[Work Item Linked].[Microsoft_VSTS_Common_ClosedDate__HierarchyByMonth].[All]" allUniqueName="[Work Item Linked].[Microsoft_VSTS_Common_ClosedDate__HierarchyByMonth].[All]" dimensionUniqueName="[Work Item Linked]" displayFolder="Microsoft.VSTS.Common" count="0" unbalanced="0"/>
    <cacheHierarchy uniqueName="[Work Item Linked].[Microsoft_VSTS_Common_ClosedDate__HierarchyByWeek]" caption="Work Item Linked.Closed Date Hierarchy By Week" defaultMemberUniqueName="[Work Item Linked].[Microsoft_VSTS_Common_ClosedDate__HierarchyByWeek].[All]" allUniqueName="[Work Item Linked].[Microsoft_VSTS_Common_ClosedDate__HierarchyByWeek].[All]" dimensionUniqueName="[Work Item Linked]" displayFolder="Microsoft.VSTS.Common" count="0" unbalanced="0"/>
    <cacheHierarchy uniqueName="[Work Item Linked].[Microsoft_VSTS_Common_Issue]" caption="Work Item Linked.Issue" attribute="1" defaultMemberUniqueName="[Work Item Linked].[Microsoft_VSTS_Common_Issue].[All]" allUniqueName="[Work Item Linked].[Microsoft_VSTS_Common_Issue].[All]" dimensionUniqueName="[Work Item Linked]" displayFolder="Microsoft.VSTS.Common" count="0" unbalanced="0"/>
    <cacheHierarchy uniqueName="[Work Item Linked].[Microsoft_VSTS_Common_Priority]" caption="Work Item Linked.Priority" attribute="1" defaultMemberUniqueName="[Work Item Linked].[Microsoft_VSTS_Common_Priority].[All]" allUniqueName="[Work Item Linked].[Microsoft_VSTS_Common_Priority].[All]" dimensionUniqueName="[Work Item Linked]" displayFolder="Microsoft.VSTS.Common" count="0" unbalanced="0"/>
    <cacheHierarchy uniqueName="[Work Item Linked].[Microsoft_VSTS_Common_Rating]" caption="Work Item Linked.Rating" attribute="1" defaultMemberUniqueName="[Work Item Linked].[Microsoft_VSTS_Common_Rating].[All]" allUniqueName="[Work Item Linked].[Microsoft_VSTS_Common_Rating].[All]" dimensionUniqueName="[Work Item Linked]" displayFolder="Microsoft.VSTS.Common" count="0" unbalanced="0"/>
    <cacheHierarchy uniqueName="[Work Item Linked].[Microsoft_VSTS_Common_Severity]" caption="Work Item Linked.Severity" attribute="1" defaultMemberUniqueName="[Work Item Linked].[Microsoft_VSTS_Common_Severity].[All]" allUniqueName="[Work Item Linked].[Microsoft_VSTS_Common_Severity].[All]" dimensionUniqueName="[Work Item Linked]" displayFolder="Microsoft.VSTS.Common" count="0" unbalanced="0"/>
    <cacheHierarchy uniqueName="[Work Item Linked].[Microsoft_VSTS_TCM_AutomationStatus]" caption="Work Item Linked.Automation status" attribute="1" defaultMemberUniqueName="[Work Item Linked].[Microsoft_VSTS_TCM_AutomationStatus].[All]" allUniqueName="[Work Item Linked].[Microsoft_VSTS_TCM_AutomationStatus].[All]" dimensionUniqueName="[Work Item Linked]" displayFolder="Microsoft.VSTS.TCM" count="0" unbalanced="0"/>
    <cacheHierarchy uniqueName="[Work Item Linked].[Previous State]" caption="Work Item Linked.Previous State" attribute="1" defaultMemberUniqueName="[Work Item Linked].[Previous State].[All]" allUniqueName="[Work Item Linked].[Previous State].[All]" dimensionUniqueName="[Work Item Linked]" displayFolder="" count="0" unbalanced="0"/>
    <cacheHierarchy uniqueName="[Work Item Linked].[System_AssignedTo]" caption="Work Item Linked.Assigned To" attribute="1" defaultMemberUniqueName="[Work Item Linked].[System_AssignedTo].[All]" allUniqueName="[Work Item Linked].[System_AssignedTo].[All]" dimensionUniqueName="[Work Item Linked]" displayFolder="\" count="0" unbalanced="0"/>
    <cacheHierarchy uniqueName="[Work Item Linked].[System_ChangedBy]" caption="Work Item Linked.Changed By" attribute="1" defaultMemberUniqueName="[Work Item Linked].[System_ChangedBy].[All]" allUniqueName="[Work Item Linked].[System_ChangedBy].[All]" dimensionUniqueName="[Work Item Linked]" displayFolder="\" count="0" unbalanced="0"/>
    <cacheHierarchy uniqueName="[Work Item Linked].[System_ChangedDate]" caption="Work Item Linked.Changed Date" attribute="1" defaultMemberUniqueName="[Work Item Linked].[System_ChangedDate].[All]" allUniqueName="[Work Item Linked].[System_ChangedDate].[All]" dimensionUniqueName="[Work Item Linked]" displayFolder="\" count="0" unbalanced="0"/>
    <cacheHierarchy uniqueName="[Work Item Linked].[System_ChangedDate__HierarchyByMonth]" caption="Work Item Linked.Changed Date Hierarchy By Month" defaultMemberUniqueName="[Work Item Linked].[System_ChangedDate__HierarchyByMonth].[All]" allUniqueName="[Work Item Linked].[System_ChangedDate__HierarchyByMonth].[All]" dimensionUniqueName="[Work Item Linked]" displayFolder="\" count="0" unbalanced="0"/>
    <cacheHierarchy uniqueName="[Work Item Linked].[System_ChangedDate__HierarchyByWeek]" caption="Work Item Linked.Changed Date Hierarchy By Week" defaultMemberUniqueName="[Work Item Linked].[System_ChangedDate__HierarchyByWeek].[All]" allUniqueName="[Work Item Linked].[System_ChangedDate__HierarchyByWeek].[All]" dimensionUniqueName="[Work Item Linked]" displayFolder="\" count="0" unbalanced="0"/>
    <cacheHierarchy uniqueName="[Work Item Linked].[System_CreatedBy]" caption="Work Item Linked.Created By" attribute="1" defaultMemberUniqueName="[Work Item Linked].[System_CreatedBy].[All]" allUniqueName="[Work Item Linked].[System_CreatedBy].[All]" dimensionUniqueName="[Work Item Linked]" displayFolder="\" count="0" unbalanced="0"/>
    <cacheHierarchy uniqueName="[Work Item Linked].[System_CreatedDate]" caption="Work Item Linked.Created Date" attribute="1" defaultMemberUniqueName="[Work Item Linked].[System_CreatedDate].[All]" allUniqueName="[Work Item Linked].[System_CreatedDate].[All]" dimensionUniqueName="[Work Item Linked]" displayFolder="\" count="0" unbalanced="0"/>
    <cacheHierarchy uniqueName="[Work Item Linked].[System_CreatedDate__HierarchyByMonth]" caption="Work Item Linked.Created Date Hierarchy By Month" defaultMemberUniqueName="[Work Item Linked].[System_CreatedDate__HierarchyByMonth].[All]" allUniqueName="[Work Item Linked].[System_CreatedDate__HierarchyByMonth].[All]" dimensionUniqueName="[Work Item Linked]" displayFolder="\" count="0" unbalanced="0"/>
    <cacheHierarchy uniqueName="[Work Item Linked].[System_CreatedDate__HierarchyByWeek]" caption="Work Item Linked.Created Date Hierarchy By Week" defaultMemberUniqueName="[Work Item Linked].[System_CreatedDate__HierarchyByWeek].[All]" allUniqueName="[Work Item Linked].[System_CreatedDate__HierarchyByWeek].[All]" dimensionUniqueName="[Work Item Linked]" displayFolder="\" count="0" unbalanced="0"/>
    <cacheHierarchy uniqueName="[Work Item Linked].[System_Id]" caption="Work Item Linked.ID" attribute="1" defaultMemberUniqueName="[Work Item Linked].[System_Id].[All]" allUniqueName="[Work Item Linked].[System_Id].[All]" dimensionUniqueName="[Work Item Linked]" displayFolder="\" count="0" unbalanced="0"/>
    <cacheHierarchy uniqueName="[Work Item Linked].[System_Reason]" caption="Work Item Linked.Reason" attribute="1" defaultMemberUniqueName="[Work Item Linked].[System_Reason].[All]" allUniqueName="[Work Item Linked].[System_Reason].[All]" dimensionUniqueName="[Work Item Linked]" displayFolder="\" count="0" unbalanced="0"/>
    <cacheHierarchy uniqueName="[Work Item Linked].[System_Revision]" caption="Work Item Linked.Rev" attribute="1" defaultMemberUniqueName="[Work Item Linked].[System_Revision].[All]" allUniqueName="[Work Item Linked].[System_Revision].[All]" dimensionUniqueName="[Work Item Linked]" displayFolder="\" count="0" unbalanced="0"/>
    <cacheHierarchy uniqueName="[Work Item Linked].[System_State]" caption="Work Item Linked.State" attribute="1" defaultMemberUniqueName="[Work Item Linked].[System_State].[All]" allUniqueName="[Work Item Linked].[System_State].[All]" dimensionUniqueName="[Work Item Linked]" displayFolder="\" count="0" unbalanced="0"/>
    <cacheHierarchy uniqueName="[Work Item Linked].[System_Title]" caption="Work Item Linked.Title" attribute="1" defaultMemberUniqueName="[Work Item Linked].[System_Title].[All]" allUniqueName="[Work Item Linked].[System_Title].[All]" dimensionUniqueName="[Work Item Linked]" displayFolder="\" count="0" unbalanced="0"/>
    <cacheHierarchy uniqueName="[Work Item Linked].[System_WorkItemType]" caption="Work Item Linked.Work Item Type" attribute="1" defaultMemberUniqueName="[Work Item Linked].[System_WorkItemType].[All]" allUniqueName="[Work Item Linked].[System_WorkItemType].[All]" dimensionUniqueName="[Work Item Linked]" displayFolder="\" count="0" unbalanced="0"/>
    <cacheHierarchy uniqueName="[Work Item Tree].[Tree Type Name]" caption="Tree Type Name" attribute="1" defaultMemberUniqueName="[Work Item Tree].[Tree Type Name].[All]" allUniqueName="[Work Item Tree].[Tree Type Name].[All]" dimensionUniqueName="[Work Item Tree]" displayFolder="" count="0" unbalanced="0"/>
    <cacheHierarchy uniqueName="[Work Item Tree].[Work Item Tree Hierarchy]" caption="Work Item Tree Hierarchy" defaultMemberUniqueName="[Work Item Tree].[Work Item Tree Hierarchy].[All]" allUniqueName="[Work Item Tree].[Work Item Tree Hierarchy].[All]" dimensionUniqueName="[Work Item Tree]" displayFolder="\" count="0" unbalanced="1"/>
    <cacheHierarchy uniqueName="[Assembly].[AssemblySK]" caption="AssemblySK" attribute="1" keyAttribute="1" defaultMemberUniqueName="[Assembly].[AssemblySK].[All]" allUniqueName="[Assembly].[AssemblySK].[All]" dimensionUniqueName="[Assembly]" displayFolder="" count="0" unbalanced="0" hidden="1"/>
    <cacheHierarchy uniqueName="[Build].[Build BK]" caption="Build BK" attribute="1" defaultMemberUniqueName="[Build].[Build BK].[All]" allUniqueName="[Build].[Build BK].[All]" dimensionUniqueName="[Build]" displayFolder="" count="0" unbalanced="0" hidden="1"/>
    <cacheHierarchy uniqueName="[Build].[TeamProjectCollectionSK]" caption="TeamProjectCollectionSK" attribute="1" defaultMemberUniqueName="[Build].[TeamProjectCollectionSK].[All]" allUniqueName="[Build].[TeamProjectCollectionSK].[All]" dimensionUniqueName="[Build]" displayFolder="" count="0" unbalanced="0" hidden="1"/>
    <cacheHierarchy uniqueName="[Build Flavor].[BuildFlavorSK]" caption="BuildFlavorSK" attribute="1" keyAttribute="1" defaultMemberUniqueName="[Build Flavor].[BuildFlavorSK].[All]" allUniqueName="[Build Flavor].[BuildFlavorSK].[All]" dimensionUniqueName="[Build Flavor]" displayFolder="" count="0" unbalanced="0" hidden="1"/>
    <cacheHierarchy uniqueName="[Build Platform].[BuildPlatformSK]" caption="BuildPlatformSK" attribute="1" keyAttribute="1" defaultMemberUniqueName="[Build Platform].[BuildPlatformSK].[All]" allUniqueName="[Build Platform].[BuildPlatformSK].[All]" dimensionUniqueName="[Build Platform]" displayFolder="" count="0" unbalanced="0" hidden="1"/>
    <cacheHierarchy uniqueName="[Build Quality].[BuildQualitySK]" caption="BuildQualitySK" attribute="1" keyAttribute="1" defaultMemberUniqueName="[Build Quality].[BuildQualitySK].[All]" allUniqueName="[Build Quality].[BuildQualitySK].[All]" dimensionUniqueName="[Build Quality]" displayFolder="" count="0" unbalanced="0" hidden="1"/>
    <cacheHierarchy uniqueName="[Build Source Project File].[File]" caption="Build Source Project File.File" attribute="1" keyAttribute="1" defaultMemberUniqueName="[Build Source Project File].[File].[All]" allUniqueName="[Build Source Project File].[File].[All]" dimensionUniqueName="[Build Source Project File]" displayFolder="" count="0" unbalanced="0" hidden="1"/>
    <cacheHierarchy uniqueName="[Build Status].[BuildStatusSK]" caption="BuildStatusSK" attribute="1" keyAttribute="1" defaultMemberUniqueName="[Build Status].[BuildStatusSK].[All]" allUniqueName="[Build Status].[BuildStatusSK].[All]" dimensionUniqueName="[Build Status]" displayFolder="" count="0" unbalanced="0" hidden="1"/>
    <cacheHierarchy uniqueName="[Date].[DateSK]" caption="DateSK" attribute="1" time="1" keyAttribute="1" defaultMemberUniqueName="[Date].[DateSK].[All]" allUniqueName="[Date].[DateSK].[All]" dimensionUniqueName="[Date]" displayFolder="" count="0" memberValueDatatype="7" unbalanced="0" hidden="1"/>
    <cacheHierarchy uniqueName="[Team Project].[Project Node GUID]" caption="Name" attribute="1" keyAttribute="1" defaultMemberUniqueName="[Team Project].[Project Node GUID].[All]" allUniqueName="[Team Project].[Project Node GUID].[All]" dimensionUniqueName="[Team Project]" displayFolder="" count="0" unbalanced="0" hidden="1"/>
    <cacheHierarchy uniqueName="[Team Project].[ProjectNodeSk]" caption="Name" attribute="1" defaultMemberUniqueName="[Team Project].[ProjectNodeSk].[All]" allUniqueName="[Team Project].[ProjectNodeSk].[All]" dimensionUniqueName="[Team Project]" displayFolder="" count="0" unbalanced="0" hidden="1"/>
    <cacheHierarchy uniqueName="[Team Project Reference].[Project Node GUID]" caption="GUID" attribute="1" defaultMemberUniqueName="[Team Project Reference].[Project Node GUID].[All]" allUniqueName="[Team Project Reference].[Project Node GUID].[All]" dimensionUniqueName="[Team Project Reference]" displayFolder="" count="0" unbalanced="0" hidden="1"/>
    <cacheHierarchy uniqueName="[Team Project Reference].[ProjectNodeSk]" caption="Name" attribute="1" keyAttribute="1" defaultMemberUniqueName="[Team Project Reference].[ProjectNodeSk].[All]" allUniqueName="[Team Project Reference].[ProjectNodeSk].[All]" dimensionUniqueName="[Team Project Reference]" displayFolder="" count="0" unbalanced="0" hidden="1"/>
    <cacheHierarchy uniqueName="[Test Case].[Area Team Project Collection]" caption="Team Project Collection" attribute="1" defaultMemberUniqueName="[Test Case].[Area Team Project Collection].[All]" allUniqueName="[Test Case].[Area Team Project Collection].[All]" dimensionUniqueName="[Test Case]" displayFolder="\" count="0" unbalanced="0" hidden="1"/>
    <cacheHierarchy uniqueName="[Test Case].[Area0]" caption="Area0" attribute="1" defaultMemberUniqueName="[Test Case].[Area0].[All]" allUniqueName="[Test Case].[Area0].[All]" dimensionUniqueName="[Test Case]" displayFolder="\" count="0" unbalanced="0" hidden="1"/>
    <cacheHierarchy uniqueName="[Test Case].[Area1]" caption="Area1" attribute="1" defaultMemberUniqueName="[Test Case].[Area1].[All]" allUniqueName="[Test Case].[Area1].[All]" dimensionUniqueName="[Test Case]" displayFolder="\" count="0" unbalanced="0" hidden="1"/>
    <cacheHierarchy uniqueName="[Test Case].[Area10]" caption="Area10" attribute="1" defaultMemberUniqueName="[Test Case].[Area10].[All]" allUniqueName="[Test Case].[Area10].[All]" dimensionUniqueName="[Test Case]" displayFolder="\" count="0" unbalanced="0" hidden="1"/>
    <cacheHierarchy uniqueName="[Test Case].[Area11]" caption="Area11" attribute="1" defaultMemberUniqueName="[Test Case].[Area11].[All]" allUniqueName="[Test Case].[Area11].[All]" dimensionUniqueName="[Test Case]" displayFolder="\" count="0" unbalanced="0" hidden="1"/>
    <cacheHierarchy uniqueName="[Test Case].[Area12]" caption="Area12" attribute="1" defaultMemberUniqueName="[Test Case].[Area12].[All]" allUniqueName="[Test Case].[Area12].[All]" dimensionUniqueName="[Test Case]" displayFolder="\" count="0" unbalanced="0" hidden="1"/>
    <cacheHierarchy uniqueName="[Test Case].[Area13]" caption="Area13" attribute="1" defaultMemberUniqueName="[Test Case].[Area13].[All]" allUniqueName="[Test Case].[Area13].[All]" dimensionUniqueName="[Test Case]" displayFolder="\" count="0" unbalanced="0" hidden="1"/>
    <cacheHierarchy uniqueName="[Test Case].[Area2]" caption="Area2" attribute="1" defaultMemberUniqueName="[Test Case].[Area2].[All]" allUniqueName="[Test Case].[Area2].[All]" dimensionUniqueName="[Test Case]" displayFolder="\" count="0" unbalanced="0" hidden="1"/>
    <cacheHierarchy uniqueName="[Test Case].[Area3]" caption="Area3" attribute="1" defaultMemberUniqueName="[Test Case].[Area3].[All]" allUniqueName="[Test Case].[Area3].[All]" dimensionUniqueName="[Test Case]" displayFolder="\" count="0" unbalanced="0" hidden="1"/>
    <cacheHierarchy uniqueName="[Test Case].[Area4]" caption="Area4" attribute="1" defaultMemberUniqueName="[Test Case].[Area4].[All]" allUniqueName="[Test Case].[Area4].[All]" dimensionUniqueName="[Test Case]" displayFolder="\" count="0" unbalanced="0" hidden="1"/>
    <cacheHierarchy uniqueName="[Test Case].[Area5]" caption="Area5" attribute="1" defaultMemberUniqueName="[Test Case].[Area5].[All]" allUniqueName="[Test Case].[Area5].[All]" dimensionUniqueName="[Test Case]" displayFolder="\" count="0" unbalanced="0" hidden="1"/>
    <cacheHierarchy uniqueName="[Test Case].[Area6]" caption="Area6" attribute="1" defaultMemberUniqueName="[Test Case].[Area6].[All]" allUniqueName="[Test Case].[Area6].[All]" dimensionUniqueName="[Test Case]" displayFolder="\" count="0" unbalanced="0" hidden="1"/>
    <cacheHierarchy uniqueName="[Test Case].[Area7]" caption="Area7" attribute="1" defaultMemberUniqueName="[Test Case].[Area7].[All]" allUniqueName="[Test Case].[Area7].[All]" dimensionUniqueName="[Test Case]" displayFolder="\" count="0" unbalanced="0" hidden="1"/>
    <cacheHierarchy uniqueName="[Test Case].[Area8]" caption="Area8" attribute="1" defaultMemberUniqueName="[Test Case].[Area8].[All]" allUniqueName="[Test Case].[Area8].[All]" dimensionUniqueName="[Test Case]" displayFolder="\" count="0" unbalanced="0" hidden="1"/>
    <cacheHierarchy uniqueName="[Test Case].[Area9]" caption="Area9" attribute="1" defaultMemberUniqueName="[Test Case].[Area9].[All]" allUniqueName="[Test Case].[Area9].[All]" dimensionUniqueName="[Test Case]" displayFolder="\" count="0" unbalanced="0" hidden="1"/>
    <cacheHierarchy uniqueName="[Test Case].[CWB_BussinessRequiredDate__Month]" caption="Business Required Date Month" attribute="1" defaultMemberUniqueName="[Test Case].[CWB_BussinessRequiredDate__Month].[All]" allUniqueName="[Test Case].[CWB_BussinessRequiredDate__Month].[All]" dimensionUniqueName="[Test Case]" displayFolder="" count="0" unbalanced="0" hidden="1"/>
    <cacheHierarchy uniqueName="[Test Case].[CWB_BussinessRequiredDate__Week]" caption="Business Required Date Week" attribute="1" defaultMemberUniqueName="[Test Case].[CWB_BussinessRequiredDate__Week].[All]" allUniqueName="[Test Case].[CWB_BussinessRequiredDate__Week].[All]" dimensionUniqueName="[Test Case]" displayFolder="" count="0" unbalanced="0" hidden="1"/>
    <cacheHierarchy uniqueName="[Test Case].[CWB_BussinessRequiredDate__Year]" caption="Business Required Date Year" attribute="1" defaultMemberUniqueName="[Test Case].[CWB_BussinessRequiredDate__Year].[All]" allUniqueName="[Test Case].[CWB_BussinessRequiredDate__Year].[All]" dimensionUniqueName="[Test Case]" displayFolder="" count="0" unbalanced="0" hidden="1"/>
    <cacheHierarchy uniqueName="[Test Case].[CWB_IMReleasePackageDate__Month]" caption="IMPackageDate Month" attribute="1" defaultMemberUniqueName="[Test Case].[CWB_IMReleasePackageDate__Month].[All]" allUniqueName="[Test Case].[CWB_IMReleasePackageDate__Month].[All]" dimensionUniqueName="[Test Case]" displayFolder="" count="0" unbalanced="0" hidden="1"/>
    <cacheHierarchy uniqueName="[Test Case].[CWB_IMReleasePackageDate__Week]" caption="IMPackageDate Week" attribute="1" defaultMemberUniqueName="[Test Case].[CWB_IMReleasePackageDate__Week].[All]" allUniqueName="[Test Case].[CWB_IMReleasePackageDate__Week].[All]" dimensionUniqueName="[Test Case]" displayFolder="" count="0" unbalanced="0" hidden="1"/>
    <cacheHierarchy uniqueName="[Test Case].[CWB_IMReleasePackageDate__Year]" caption="IMPackageDate Year" attribute="1" defaultMemberUniqueName="[Test Case].[CWB_IMReleasePackageDate__Year].[All]" allUniqueName="[Test Case].[CWB_IMReleasePackageDate__Year].[All]" dimensionUniqueName="[Test Case]" displayFolder="" count="0" unbalanced="0" hidden="1"/>
    <cacheHierarchy uniqueName="[Test Case].[CWB_PlannedCompletionDate__Month]" caption="Planned Completion Date Month" attribute="1" defaultMemberUniqueName="[Test Case].[CWB_PlannedCompletionDate__Month].[All]" allUniqueName="[Test Case].[CWB_PlannedCompletionDate__Month].[All]" dimensionUniqueName="[Test Case]" displayFolder="" count="0" unbalanced="0" hidden="1"/>
    <cacheHierarchy uniqueName="[Test Case].[CWB_PlannedCompletionDate__Week]" caption="Planned Completion Date Week" attribute="1" defaultMemberUniqueName="[Test Case].[CWB_PlannedCompletionDate__Week].[All]" allUniqueName="[Test Case].[CWB_PlannedCompletionDate__Week].[All]" dimensionUniqueName="[Test Case]" displayFolder="" count="0" unbalanced="0" hidden="1"/>
    <cacheHierarchy uniqueName="[Test Case].[CWB_PlannedCompletionDate__Year]" caption="Planned Completion Date Year" attribute="1" defaultMemberUniqueName="[Test Case].[CWB_PlannedCompletionDate__Year].[All]" allUniqueName="[Test Case].[CWB_PlannedCompletionDate__Year].[All]" dimensionUniqueName="[Test Case]" displayFolder="" count="0" unbalanced="0" hidden="1"/>
    <cacheHierarchy uniqueName="[Test Case].[CWB_PlannedStartDate__Month]" caption="Planned Start Date Month" attribute="1" defaultMemberUniqueName="[Test Case].[CWB_PlannedStartDate__Month].[All]" allUniqueName="[Test Case].[CWB_PlannedStartDate__Month].[All]" dimensionUniqueName="[Test Case]" displayFolder="" count="0" unbalanced="0" hidden="1"/>
    <cacheHierarchy uniqueName="[Test Case].[CWB_PlannedStartDate__Week]" caption="Planned Start Date Week" attribute="1" defaultMemberUniqueName="[Test Case].[CWB_PlannedStartDate__Week].[All]" allUniqueName="[Test Case].[CWB_PlannedStartDate__Week].[All]" dimensionUniqueName="[Test Case]" displayFolder="" count="0" unbalanced="0" hidden="1"/>
    <cacheHierarchy uniqueName="[Test Case].[CWB_PlannedStartDate__Year]" caption="Planned Start Date Year" attribute="1" defaultMemberUniqueName="[Test Case].[CWB_PlannedStartDate__Year].[All]" allUniqueName="[Test Case].[CWB_PlannedStartDate__Year].[All]" dimensionUniqueName="[Test Case]" displayFolder="" count="0" unbalanced="0" hidden="1"/>
    <cacheHierarchy uniqueName="[Test Case].[CWB_TargetResolution__Month]" caption="Target Resolution Month" attribute="1" defaultMemberUniqueName="[Test Case].[CWB_TargetResolution__Month].[All]" allUniqueName="[Test Case].[CWB_TargetResolution__Month].[All]" dimensionUniqueName="[Test Case]" displayFolder="" count="0" unbalanced="0" hidden="1"/>
    <cacheHierarchy uniqueName="[Test Case].[CWB_TargetResolution__Week]" caption="Target Resolution Week" attribute="1" defaultMemberUniqueName="[Test Case].[CWB_TargetResolution__Week].[All]" allUniqueName="[Test Case].[CWB_TargetResolution__Week].[All]" dimensionUniqueName="[Test Case]" displayFolder="" count="0" unbalanced="0" hidden="1"/>
    <cacheHierarchy uniqueName="[Test Case].[CWB_TargetResolution__Year]" caption="Target Resolution Year" attribute="1" defaultMemberUniqueName="[Test Case].[CWB_TargetResolution__Year].[All]" allUniqueName="[Test Case].[CWB_TargetResolution__Year].[All]" dimensionUniqueName="[Test Case]" displayFolder="" count="0" unbalanced="0" hidden="1"/>
    <cacheHierarchy uniqueName="[Test Case].[Iteration Team Project Collection]" caption="Team Project Collection" attribute="1" defaultMemberUniqueName="[Test Case].[Iteration Team Project Collection].[All]" allUniqueName="[Test Case].[Iteration Team Project Collection].[All]" dimensionUniqueName="[Test Case]" displayFolder="\" count="0" unbalanced="0" hidden="1"/>
    <cacheHierarchy uniqueName="[Test Case].[Iteration0]" caption="Iteration0" attribute="1" defaultMemberUniqueName="[Test Case].[Iteration0].[All]" allUniqueName="[Test Case].[Iteration0].[All]" dimensionUniqueName="[Test Case]" displayFolder="\" count="0" unbalanced="0" hidden="1"/>
    <cacheHierarchy uniqueName="[Test Case].[Iteration1]" caption="Iteration1" attribute="1" defaultMemberUniqueName="[Test Case].[Iteration1].[All]" allUniqueName="[Test Case].[Iteration1].[All]" dimensionUniqueName="[Test Case]" displayFolder="\" count="0" unbalanced="0" hidden="1"/>
    <cacheHierarchy uniqueName="[Test Case].[Iteration10]" caption="Iteration10" attribute="1" defaultMemberUniqueName="[Test Case].[Iteration10].[All]" allUniqueName="[Test Case].[Iteration10].[All]" dimensionUniqueName="[Test Case]" displayFolder="\" count="0" unbalanced="0" hidden="1"/>
    <cacheHierarchy uniqueName="[Test Case].[Iteration11]" caption="Iteration11" attribute="1" defaultMemberUniqueName="[Test Case].[Iteration11].[All]" allUniqueName="[Test Case].[Iteration11].[All]" dimensionUniqueName="[Test Case]" displayFolder="\" count="0" unbalanced="0" hidden="1"/>
    <cacheHierarchy uniqueName="[Test Case].[Iteration12]" caption="Iteration12" attribute="1" defaultMemberUniqueName="[Test Case].[Iteration12].[All]" allUniqueName="[Test Case].[Iteration12].[All]" dimensionUniqueName="[Test Case]" displayFolder="\" count="0" unbalanced="0" hidden="1"/>
    <cacheHierarchy uniqueName="[Test Case].[Iteration13]" caption="Iteration13" attribute="1" defaultMemberUniqueName="[Test Case].[Iteration13].[All]" allUniqueName="[Test Case].[Iteration13].[All]" dimensionUniqueName="[Test Case]" displayFolder="\" count="0" unbalanced="0" hidden="1"/>
    <cacheHierarchy uniqueName="[Test Case].[Iteration2]" caption="Iteration2" attribute="1" defaultMemberUniqueName="[Test Case].[Iteration2].[All]" allUniqueName="[Test Case].[Iteration2].[All]" dimensionUniqueName="[Test Case]" displayFolder="\" count="0" unbalanced="0" hidden="1"/>
    <cacheHierarchy uniqueName="[Test Case].[Iteration3]" caption="Iteration3" attribute="1" defaultMemberUniqueName="[Test Case].[Iteration3].[All]" allUniqueName="[Test Case].[Iteration3].[All]" dimensionUniqueName="[Test Case]" displayFolder="\" count="0" unbalanced="0" hidden="1"/>
    <cacheHierarchy uniqueName="[Test Case].[Iteration4]" caption="Iteration4" attribute="1" defaultMemberUniqueName="[Test Case].[Iteration4].[All]" allUniqueName="[Test Case].[Iteration4].[All]" dimensionUniqueName="[Test Case]" displayFolder="\" count="0" unbalanced="0" hidden="1"/>
    <cacheHierarchy uniqueName="[Test Case].[Iteration5]" caption="Iteration5" attribute="1" defaultMemberUniqueName="[Test Case].[Iteration5].[All]" allUniqueName="[Test Case].[Iteration5].[All]" dimensionUniqueName="[Test Case]" displayFolder="\" count="0" unbalanced="0" hidden="1"/>
    <cacheHierarchy uniqueName="[Test Case].[Iteration6]" caption="Iteration6" attribute="1" defaultMemberUniqueName="[Test Case].[Iteration6].[All]" allUniqueName="[Test Case].[Iteration6].[All]" dimensionUniqueName="[Test Case]" displayFolder="\" count="0" unbalanced="0" hidden="1"/>
    <cacheHierarchy uniqueName="[Test Case].[Iteration7]" caption="Iteration7" attribute="1" defaultMemberUniqueName="[Test Case].[Iteration7].[All]" allUniqueName="[Test Case].[Iteration7].[All]" dimensionUniqueName="[Test Case]" displayFolder="\" count="0" unbalanced="0" hidden="1"/>
    <cacheHierarchy uniqueName="[Test Case].[Iteration8]" caption="Iteration8" attribute="1" defaultMemberUniqueName="[Test Case].[Iteration8].[All]" allUniqueName="[Test Case].[Iteration8].[All]" dimensionUniqueName="[Test Case]" displayFolder="\" count="0" unbalanced="0" hidden="1"/>
    <cacheHierarchy uniqueName="[Test Case].[Iteration9]" caption="Iteration9" attribute="1" defaultMemberUniqueName="[Test Case].[Iteration9].[All]" allUniqueName="[Test Case].[Iteration9].[All]" dimensionUniqueName="[Test Case]" displayFolder="\" count="0" unbalanced="0" hidden="1"/>
    <cacheHierarchy uniqueName="[Test Case].[Microsoft_VSTS_CodeReview_AcceptedDate__Month]" caption="Accepted Date Month" attribute="1" defaultMemberUniqueName="[Test Case].[Microsoft_VSTS_CodeReview_AcceptedDate__Month].[All]" allUniqueName="[Test Case].[Microsoft_VSTS_CodeReview_AcceptedDate__Month].[All]" dimensionUniqueName="[Test Case]" displayFolder="" count="0" unbalanced="0" hidden="1"/>
    <cacheHierarchy uniqueName="[Test Case].[Microsoft_VSTS_CodeReview_AcceptedDate__Week]" caption="Accepted Date Week" attribute="1" defaultMemberUniqueName="[Test Case].[Microsoft_VSTS_CodeReview_AcceptedDate__Week].[All]" allUniqueName="[Test Case].[Microsoft_VSTS_CodeReview_AcceptedDate__Week].[All]" dimensionUniqueName="[Test Case]" displayFolder="" count="0" unbalanced="0" hidden="1"/>
    <cacheHierarchy uniqueName="[Test Case].[Microsoft_VSTS_CodeReview_AcceptedDate__Year]" caption="Accepted Date Year" attribute="1" defaultMemberUniqueName="[Test Case].[Microsoft_VSTS_CodeReview_AcceptedDate__Year].[All]" allUniqueName="[Test Case].[Microsoft_VSTS_CodeReview_AcceptedDate__Year].[All]" dimensionUniqueName="[Test Case]" displayFolder="" count="0" unbalanced="0" hidden="1"/>
    <cacheHierarchy uniqueName="[Test Case].[Microsoft_VSTS_Common_ActivatedDate__Month]" caption="Activated Date Month" attribute="1" defaultMemberUniqueName="[Test Case].[Microsoft_VSTS_Common_ActivatedDate__Month].[All]" allUniqueName="[Test Case].[Microsoft_VSTS_Common_ActivatedDate__Month].[All]" dimensionUniqueName="[Test Case]" displayFolder="" count="0" unbalanced="0" hidden="1"/>
    <cacheHierarchy uniqueName="[Test Case].[Microsoft_VSTS_Common_ActivatedDate__Week]" caption="Activated Date Week" attribute="1" defaultMemberUniqueName="[Test Case].[Microsoft_VSTS_Common_ActivatedDate__Week].[All]" allUniqueName="[Test Case].[Microsoft_VSTS_Common_ActivatedDate__Week].[All]" dimensionUniqueName="[Test Case]" displayFolder="" count="0" unbalanced="0" hidden="1"/>
    <cacheHierarchy uniqueName="[Test Case].[Microsoft_VSTS_Common_ActivatedDate__Year]" caption="Activated Date Year" attribute="1" defaultMemberUniqueName="[Test Case].[Microsoft_VSTS_Common_ActivatedDate__Year].[All]" allUniqueName="[Test Case].[Microsoft_VSTS_Common_ActivatedDate__Year].[All]" dimensionUniqueName="[Test Case]" displayFolder="" count="0" unbalanced="0" hidden="1"/>
    <cacheHierarchy uniqueName="[Test Case].[Microsoft_VSTS_Common_ClosedDate__Month]" caption="Closed Date Month" attribute="1" defaultMemberUniqueName="[Test Case].[Microsoft_VSTS_Common_ClosedDate__Month].[All]" allUniqueName="[Test Case].[Microsoft_VSTS_Common_ClosedDate__Month].[All]" dimensionUniqueName="[Test Case]" displayFolder="" count="0" unbalanced="0" hidden="1"/>
    <cacheHierarchy uniqueName="[Test Case].[Microsoft_VSTS_Common_ClosedDate__Week]" caption="Closed Date Week" attribute="1" defaultMemberUniqueName="[Test Case].[Microsoft_VSTS_Common_ClosedDate__Week].[All]" allUniqueName="[Test Case].[Microsoft_VSTS_Common_ClosedDate__Week].[All]" dimensionUniqueName="[Test Case]" displayFolder="" count="0" unbalanced="0" hidden="1"/>
    <cacheHierarchy uniqueName="[Test Case].[Microsoft_VSTS_Common_ClosedDate__Year]" caption="Closed Date Year" attribute="1" defaultMemberUniqueName="[Test Case].[Microsoft_VSTS_Common_ClosedDate__Year].[All]" allUniqueName="[Test Case].[Microsoft_VSTS_Common_ClosedDate__Year].[All]" dimensionUniqueName="[Test Case]" displayFolder="" count="0" unbalanced="0" hidden="1"/>
    <cacheHierarchy uniqueName="[Test Case].[System_ChangedDate__Month]" caption="Changed Date Month" attribute="1" defaultMemberUniqueName="[Test Case].[System_ChangedDate__Month].[All]" allUniqueName="[Test Case].[System_ChangedDate__Month].[All]" dimensionUniqueName="[Test Case]" displayFolder="" count="0" unbalanced="0" hidden="1"/>
    <cacheHierarchy uniqueName="[Test Case].[System_ChangedDate__Week]" caption="Changed Date Week" attribute="1" defaultMemberUniqueName="[Test Case].[System_ChangedDate__Week].[All]" allUniqueName="[Test Case].[System_ChangedDate__Week].[All]" dimensionUniqueName="[Test Case]" displayFolder="" count="0" unbalanced="0" hidden="1"/>
    <cacheHierarchy uniqueName="[Test Case].[System_ChangedDate__Year]" caption="Changed Date Year" attribute="1" defaultMemberUniqueName="[Test Case].[System_ChangedDate__Year].[All]" allUniqueName="[Test Case].[System_ChangedDate__Year].[All]" dimensionUniqueName="[Test Case]" displayFolder="" count="0" unbalanced="0" hidden="1"/>
    <cacheHierarchy uniqueName="[Test Case].[System_CreatedDate__Month]" caption="Created Date Month" attribute="1" defaultMemberUniqueName="[Test Case].[System_CreatedDate__Month].[All]" allUniqueName="[Test Case].[System_CreatedDate__Month].[All]" dimensionUniqueName="[Test Case]" displayFolder="" count="0" unbalanced="0" hidden="1"/>
    <cacheHierarchy uniqueName="[Test Case].[System_CreatedDate__Week]" caption="Created Date Week" attribute="1" defaultMemberUniqueName="[Test Case].[System_CreatedDate__Week].[All]" allUniqueName="[Test Case].[System_CreatedDate__Week].[All]" dimensionUniqueName="[Test Case]" displayFolder="" count="0" unbalanced="0" hidden="1"/>
    <cacheHierarchy uniqueName="[Test Case].[System_CreatedDate__Year]" caption="Created Date Year" attribute="1" defaultMemberUniqueName="[Test Case].[System_CreatedDate__Year].[All]" allUniqueName="[Test Case].[System_CreatedDate__Year].[All]" dimensionUniqueName="[Test Case]" displayFolder="" count="0" unbalanced="0" hidden="1"/>
    <cacheHierarchy uniqueName="[Test Case].[TeamProjectSK]" caption="TeamProjectSK" attribute="1" defaultMemberUniqueName="[Test Case].[TeamProjectSK].[All]" allUniqueName="[Test Case].[TeamProjectSK].[All]" dimensionUniqueName="[Test Case]" displayFolder="\" count="0" unbalanced="0" hidden="1"/>
    <cacheHierarchy uniqueName="[Test Case].[Test Case]" caption="Test Case" attribute="1" keyAttribute="1" defaultMemberUniqueName="[Test Case].[Test Case].[All]" allUniqueName="[Test Case].[Test Case].[All]" dimensionUniqueName="[Test Case]" displayFolder="" count="0" unbalanced="0" hidden="1"/>
    <cacheHierarchy uniqueName="[Test Configuration].[Configuration]" caption="Configuration" attribute="1" keyAttribute="1" defaultMemberUniqueName="[Test Configuration].[Configuration].[All]" allUniqueName="[Test Configuration].[Configuration].[All]" dimensionUniqueName="[Test Configuration]" displayFolder="" count="0" unbalanced="0" hidden="1"/>
    <cacheHierarchy uniqueName="[Test Plan].[Area Team Project Collection]" caption="Team Project Collection" attribute="1" defaultMemberUniqueName="[Test Plan].[Area Team Project Collection].[All]" allUniqueName="[Test Plan].[Area Team Project Collection].[All]" dimensionUniqueName="[Test Plan]" displayFolder="\" count="0" unbalanced="0" hidden="1"/>
    <cacheHierarchy uniqueName="[Test Plan].[Area0]" caption="Area0" attribute="1" defaultMemberUniqueName="[Test Plan].[Area0].[All]" allUniqueName="[Test Plan].[Area0].[All]" dimensionUniqueName="[Test Plan]" displayFolder="\" count="0" unbalanced="0" hidden="1"/>
    <cacheHierarchy uniqueName="[Test Plan].[Area1]" caption="Area1" attribute="1" defaultMemberUniqueName="[Test Plan].[Area1].[All]" allUniqueName="[Test Plan].[Area1].[All]" dimensionUniqueName="[Test Plan]" displayFolder="\" count="0" unbalanced="0" hidden="1"/>
    <cacheHierarchy uniqueName="[Test Plan].[Area10]" caption="Area10" attribute="1" defaultMemberUniqueName="[Test Plan].[Area10].[All]" allUniqueName="[Test Plan].[Area10].[All]" dimensionUniqueName="[Test Plan]" displayFolder="\" count="0" unbalanced="0" hidden="1"/>
    <cacheHierarchy uniqueName="[Test Plan].[Area11]" caption="Area11" attribute="1" defaultMemberUniqueName="[Test Plan].[Area11].[All]" allUniqueName="[Test Plan].[Area11].[All]" dimensionUniqueName="[Test Plan]" displayFolder="\" count="0" unbalanced="0" hidden="1"/>
    <cacheHierarchy uniqueName="[Test Plan].[Area12]" caption="Area12" attribute="1" defaultMemberUniqueName="[Test Plan].[Area12].[All]" allUniqueName="[Test Plan].[Area12].[All]" dimensionUniqueName="[Test Plan]" displayFolder="\" count="0" unbalanced="0" hidden="1"/>
    <cacheHierarchy uniqueName="[Test Plan].[Area13]" caption="Area13" attribute="1" defaultMemberUniqueName="[Test Plan].[Area13].[All]" allUniqueName="[Test Plan].[Area13].[All]" dimensionUniqueName="[Test Plan]" displayFolder="\" count="0" unbalanced="0" hidden="1"/>
    <cacheHierarchy uniqueName="[Test Plan].[Area2]" caption="Area2" attribute="1" defaultMemberUniqueName="[Test Plan].[Area2].[All]" allUniqueName="[Test Plan].[Area2].[All]" dimensionUniqueName="[Test Plan]" displayFolder="\" count="0" unbalanced="0" hidden="1"/>
    <cacheHierarchy uniqueName="[Test Plan].[Area3]" caption="Area3" attribute="1" defaultMemberUniqueName="[Test Plan].[Area3].[All]" allUniqueName="[Test Plan].[Area3].[All]" dimensionUniqueName="[Test Plan]" displayFolder="\" count="0" unbalanced="0" hidden="1"/>
    <cacheHierarchy uniqueName="[Test Plan].[Area4]" caption="Area4" attribute="1" defaultMemberUniqueName="[Test Plan].[Area4].[All]" allUniqueName="[Test Plan].[Area4].[All]" dimensionUniqueName="[Test Plan]" displayFolder="\" count="0" unbalanced="0" hidden="1"/>
    <cacheHierarchy uniqueName="[Test Plan].[Area5]" caption="Area5" attribute="1" defaultMemberUniqueName="[Test Plan].[Area5].[All]" allUniqueName="[Test Plan].[Area5].[All]" dimensionUniqueName="[Test Plan]" displayFolder="\" count="0" unbalanced="0" hidden="1"/>
    <cacheHierarchy uniqueName="[Test Plan].[Area6]" caption="Area6" attribute="1" defaultMemberUniqueName="[Test Plan].[Area6].[All]" allUniqueName="[Test Plan].[Area6].[All]" dimensionUniqueName="[Test Plan]" displayFolder="\" count="0" unbalanced="0" hidden="1"/>
    <cacheHierarchy uniqueName="[Test Plan].[Area7]" caption="Area7" attribute="1" defaultMemberUniqueName="[Test Plan].[Area7].[All]" allUniqueName="[Test Plan].[Area7].[All]" dimensionUniqueName="[Test Plan]" displayFolder="\" count="0" unbalanced="0" hidden="1"/>
    <cacheHierarchy uniqueName="[Test Plan].[Area8]" caption="Area8" attribute="1" defaultMemberUniqueName="[Test Plan].[Area8].[All]" allUniqueName="[Test Plan].[Area8].[All]" dimensionUniqueName="[Test Plan]" displayFolder="\" count="0" unbalanced="0" hidden="1"/>
    <cacheHierarchy uniqueName="[Test Plan].[Area9]" caption="Area9" attribute="1" defaultMemberUniqueName="[Test Plan].[Area9].[All]" allUniqueName="[Test Plan].[Area9].[All]" dimensionUniqueName="[Test Plan]" displayFolder="\" count="0" unbalanced="0" hidden="1"/>
    <cacheHierarchy uniqueName="[Test Plan].[EndDate__Month]" caption="End Date Month" attribute="1" defaultMemberUniqueName="[Test Plan].[EndDate__Month].[All]" allUniqueName="[Test Plan].[EndDate__Month].[All]" dimensionUniqueName="[Test Plan]" displayFolder="" count="0" unbalanced="0" hidden="1"/>
    <cacheHierarchy uniqueName="[Test Plan].[EndDate__Week]" caption="End Date Week" attribute="1" defaultMemberUniqueName="[Test Plan].[EndDate__Week].[All]" allUniqueName="[Test Plan].[EndDate__Week].[All]" dimensionUniqueName="[Test Plan]" displayFolder="" count="0" unbalanced="0" hidden="1"/>
    <cacheHierarchy uniqueName="[Test Plan].[EndDate__Year]" caption="Start Date Year" attribute="1" defaultMemberUniqueName="[Test Plan].[EndDate__Year].[All]" allUniqueName="[Test Plan].[EndDate__Year].[All]" dimensionUniqueName="[Test Plan]" displayFolder="" count="0" unbalanced="0" hidden="1"/>
    <cacheHierarchy uniqueName="[Test Plan].[Iteration Team Project Collection]" caption="Team Project Collection" attribute="1" defaultMemberUniqueName="[Test Plan].[Iteration Team Project Collection].[All]" allUniqueName="[Test Plan].[Iteration Team Project Collection].[All]" dimensionUniqueName="[Test Plan]" displayFolder="\" count="0" unbalanced="0" hidden="1"/>
    <cacheHierarchy uniqueName="[Test Plan].[Iteration0]" caption="Iteration0" attribute="1" defaultMemberUniqueName="[Test Plan].[Iteration0].[All]" allUniqueName="[Test Plan].[Iteration0].[All]" dimensionUniqueName="[Test Plan]" displayFolder="\" count="0" unbalanced="0" hidden="1"/>
    <cacheHierarchy uniqueName="[Test Plan].[Iteration1]" caption="Iteration1" attribute="1" defaultMemberUniqueName="[Test Plan].[Iteration1].[All]" allUniqueName="[Test Plan].[Iteration1].[All]" dimensionUniqueName="[Test Plan]" displayFolder="\" count="0" unbalanced="0" hidden="1"/>
    <cacheHierarchy uniqueName="[Test Plan].[Iteration10]" caption="Iteration10" attribute="1" defaultMemberUniqueName="[Test Plan].[Iteration10].[All]" allUniqueName="[Test Plan].[Iteration10].[All]" dimensionUniqueName="[Test Plan]" displayFolder="\" count="0" unbalanced="0" hidden="1"/>
    <cacheHierarchy uniqueName="[Test Plan].[Iteration11]" caption="Iteration11" attribute="1" defaultMemberUniqueName="[Test Plan].[Iteration11].[All]" allUniqueName="[Test Plan].[Iteration11].[All]" dimensionUniqueName="[Test Plan]" displayFolder="\" count="0" unbalanced="0" hidden="1"/>
    <cacheHierarchy uniqueName="[Test Plan].[Iteration12]" caption="Iteration12" attribute="1" defaultMemberUniqueName="[Test Plan].[Iteration12].[All]" allUniqueName="[Test Plan].[Iteration12].[All]" dimensionUniqueName="[Test Plan]" displayFolder="\" count="0" unbalanced="0" hidden="1"/>
    <cacheHierarchy uniqueName="[Test Plan].[Iteration13]" caption="Iteration13" attribute="1" defaultMemberUniqueName="[Test Plan].[Iteration13].[All]" allUniqueName="[Test Plan].[Iteration13].[All]" dimensionUniqueName="[Test Plan]" displayFolder="\" count="0" unbalanced="0" hidden="1"/>
    <cacheHierarchy uniqueName="[Test Plan].[Iteration2]" caption="Iteration2" attribute="1" defaultMemberUniqueName="[Test Plan].[Iteration2].[All]" allUniqueName="[Test Plan].[Iteration2].[All]" dimensionUniqueName="[Test Plan]" displayFolder="\" count="0" unbalanced="0" hidden="1"/>
    <cacheHierarchy uniqueName="[Test Plan].[Iteration3]" caption="Iteration3" attribute="1" defaultMemberUniqueName="[Test Plan].[Iteration3].[All]" allUniqueName="[Test Plan].[Iteration3].[All]" dimensionUniqueName="[Test Plan]" displayFolder="\" count="0" unbalanced="0" hidden="1"/>
    <cacheHierarchy uniqueName="[Test Plan].[Iteration4]" caption="Iteration4" attribute="1" defaultMemberUniqueName="[Test Plan].[Iteration4].[All]" allUniqueName="[Test Plan].[Iteration4].[All]" dimensionUniqueName="[Test Plan]" displayFolder="\" count="0" unbalanced="0" hidden="1"/>
    <cacheHierarchy uniqueName="[Test Plan].[Iteration5]" caption="Iteration5" attribute="1" defaultMemberUniqueName="[Test Plan].[Iteration5].[All]" allUniqueName="[Test Plan].[Iteration5].[All]" dimensionUniqueName="[Test Plan]" displayFolder="\" count="0" unbalanced="0" hidden="1"/>
    <cacheHierarchy uniqueName="[Test Plan].[Iteration6]" caption="Iteration6" attribute="1" defaultMemberUniqueName="[Test Plan].[Iteration6].[All]" allUniqueName="[Test Plan].[Iteration6].[All]" dimensionUniqueName="[Test Plan]" displayFolder="\" count="0" unbalanced="0" hidden="1"/>
    <cacheHierarchy uniqueName="[Test Plan].[Iteration7]" caption="Iteration7" attribute="1" defaultMemberUniqueName="[Test Plan].[Iteration7].[All]" allUniqueName="[Test Plan].[Iteration7].[All]" dimensionUniqueName="[Test Plan]" displayFolder="\" count="0" unbalanced="0" hidden="1"/>
    <cacheHierarchy uniqueName="[Test Plan].[Iteration8]" caption="Iteration8" attribute="1" defaultMemberUniqueName="[Test Plan].[Iteration8].[All]" allUniqueName="[Test Plan].[Iteration8].[All]" dimensionUniqueName="[Test Plan]" displayFolder="\" count="0" unbalanced="0" hidden="1"/>
    <cacheHierarchy uniqueName="[Test Plan].[Iteration9]" caption="Iteration9" attribute="1" defaultMemberUniqueName="[Test Plan].[Iteration9].[All]" allUniqueName="[Test Plan].[Iteration9].[All]" dimensionUniqueName="[Test Plan]" displayFolder="\" count="0" unbalanced="0" hidden="1"/>
    <cacheHierarchy uniqueName="[Test Plan].[StartDate__Month]" caption="Start Date Month" attribute="1" defaultMemberUniqueName="[Test Plan].[StartDate__Month].[All]" allUniqueName="[Test Plan].[StartDate__Month].[All]" dimensionUniqueName="[Test Plan]" displayFolder="" count="0" unbalanced="0" hidden="1"/>
    <cacheHierarchy uniqueName="[Test Plan].[StartDate__Week]" caption="Start Date Week" attribute="1" defaultMemberUniqueName="[Test Plan].[StartDate__Week].[All]" allUniqueName="[Test Plan].[StartDate__Week].[All]" dimensionUniqueName="[Test Plan]" displayFolder="" count="0" unbalanced="0" hidden="1"/>
    <cacheHierarchy uniqueName="[Test Plan].[StartDate__Year]" caption="Start Date Year" attribute="1" defaultMemberUniqueName="[Test Plan].[StartDate__Year].[All]" allUniqueName="[Test Plan].[StartDate__Year].[All]" dimensionUniqueName="[Test Plan]" displayFolder="" count="0" unbalanced="0" hidden="1"/>
    <cacheHierarchy uniqueName="[Test Plan].[Test Plan]" caption="Test Plan" attribute="1" keyAttribute="1" defaultMemberUniqueName="[Test Plan].[Test Plan].[All]" allUniqueName="[Test Plan].[Test Plan].[All]" dimensionUniqueName="[Test Plan]" displayFolder="" count="0" unbalanced="0" hidden="1"/>
    <cacheHierarchy uniqueName="[Test Result].[Test Result]" caption="Test Result" attribute="1" keyAttribute="1" defaultMemberUniqueName="[Test Result].[Test Result].[All]" allUniqueName="[Test Result].[Test Result].[All]" dimensionUniqueName="[Test Result]" displayFolder="" count="0" unbalanced="0" hidden="1"/>
    <cacheHierarchy uniqueName="[Test Run].[Complete Date]" caption="Complete Date" attribute="1" defaultMemberUniqueName="[Test Run].[Complete Date].[All]" allUniqueName="[Test Run].[Complete Date].[All]" dimensionUniqueName="[Test Run]" displayFolder="" count="0" unbalanced="0" hidden="1"/>
    <cacheHierarchy uniqueName="[Test Run].[CompleteDate__Month]" caption="Complete Date Month" attribute="1" defaultMemberUniqueName="[Test Run].[CompleteDate__Month].[All]" allUniqueName="[Test Run].[CompleteDate__Month].[All]" dimensionUniqueName="[Test Run]" displayFolder="" count="0" unbalanced="0" hidden="1"/>
    <cacheHierarchy uniqueName="[Test Run].[CompleteDate__Week]" caption="Complete Date Week" attribute="1" defaultMemberUniqueName="[Test Run].[CompleteDate__Week].[All]" allUniqueName="[Test Run].[CompleteDate__Week].[All]" dimensionUniqueName="[Test Run]" displayFolder="" count="0" unbalanced="0" hidden="1"/>
    <cacheHierarchy uniqueName="[Test Run].[CompleteDate__Year]" caption="Complete Date Year" attribute="1" defaultMemberUniqueName="[Test Run].[CompleteDate__Year].[All]" allUniqueName="[Test Run].[CompleteDate__Year].[All]" dimensionUniqueName="[Test Run]" displayFolder="" count="0" unbalanced="0" hidden="1"/>
    <cacheHierarchy uniqueName="[Test Run].[Creation Date]" caption="Creation Date" attribute="1" defaultMemberUniqueName="[Test Run].[Creation Date].[All]" allUniqueName="[Test Run].[Creation Date].[All]" dimensionUniqueName="[Test Run]" displayFolder="" count="0" unbalanced="0" hidden="1"/>
    <cacheHierarchy uniqueName="[Test Run].[CreationDate__Month]" caption="Creation Date Month" attribute="1" defaultMemberUniqueName="[Test Run].[CreationDate__Month].[All]" allUniqueName="[Test Run].[CreationDate__Month].[All]" dimensionUniqueName="[Test Run]" displayFolder="" count="0" unbalanced="0" hidden="1"/>
    <cacheHierarchy uniqueName="[Test Run].[CreationDate__Week]" caption="Creation Date Week" attribute="1" defaultMemberUniqueName="[Test Run].[CreationDate__Week].[All]" allUniqueName="[Test Run].[CreationDate__Week].[All]" dimensionUniqueName="[Test Run]" displayFolder="" count="0" unbalanced="0" hidden="1"/>
    <cacheHierarchy uniqueName="[Test Run].[CreationDate__Year]" caption="Creation Date Year" attribute="1" defaultMemberUniqueName="[Test Run].[CreationDate__Year].[All]" allUniqueName="[Test Run].[CreationDate__Year].[All]" dimensionUniqueName="[Test Run]" displayFolder="" count="0" unbalanced="0" hidden="1"/>
    <cacheHierarchy uniqueName="[Test Run].[Start Date]" caption="Start Date" attribute="1" defaultMemberUniqueName="[Test Run].[Start Date].[All]" allUniqueName="[Test Run].[Start Date].[All]" dimensionUniqueName="[Test Run]" displayFolder="" count="0" unbalanced="0" hidden="1"/>
    <cacheHierarchy uniqueName="[Test Run].[StartDate__Month]" caption="Start Date Month" attribute="1" defaultMemberUniqueName="[Test Run].[StartDate__Month].[All]" allUniqueName="[Test Run].[StartDate__Month].[All]" dimensionUniqueName="[Test Run]" displayFolder="" count="0" unbalanced="0" hidden="1"/>
    <cacheHierarchy uniqueName="[Test Run].[StartDate__Week]" caption="Start Date Week" attribute="1" defaultMemberUniqueName="[Test Run].[StartDate__Week].[All]" allUniqueName="[Test Run].[StartDate__Week].[All]" dimensionUniqueName="[Test Run]" displayFolder="" count="0" unbalanced="0" hidden="1"/>
    <cacheHierarchy uniqueName="[Test Run].[StartDate__Year]" caption="Start Date Year" attribute="1" defaultMemberUniqueName="[Test Run].[StartDate__Year].[All]" allUniqueName="[Test Run].[StartDate__Year].[All]" dimensionUniqueName="[Test Run]" displayFolder="" count="0" unbalanced="0" hidden="1"/>
    <cacheHierarchy uniqueName="[Test Run].[Test Run]" caption="Test Run" attribute="1" keyAttribute="1" defaultMemberUniqueName="[Test Run].[Test Run].[All]" allUniqueName="[Test Run].[Test Run].[All]" dimensionUniqueName="[Test Run]" displayFolder="" count="0" unbalanced="0" hidden="1"/>
    <cacheHierarchy uniqueName="[Test Suite].[Suite0]" caption="Suite0" attribute="1" defaultMemberUniqueName="[Test Suite].[Suite0].[All]" allUniqueName="[Test Suite].[Suite0].[All]" dimensionUniqueName="[Test Suite]" displayFolder="" count="0" unbalanced="0" hidden="1"/>
    <cacheHierarchy uniqueName="[Test Suite].[Suite1]" caption="Suite1" attribute="1" defaultMemberUniqueName="[Test Suite].[Suite1].[All]" allUniqueName="[Test Suite].[Suite1].[All]" dimensionUniqueName="[Test Suite]" displayFolder="" count="0" unbalanced="0" hidden="1"/>
    <cacheHierarchy uniqueName="[Test Suite].[Suite10]" caption="Suite10" attribute="1" defaultMemberUniqueName="[Test Suite].[Suite10].[All]" allUniqueName="[Test Suite].[Suite10].[All]" dimensionUniqueName="[Test Suite]" displayFolder="" count="0" unbalanced="0" hidden="1"/>
    <cacheHierarchy uniqueName="[Test Suite].[Suite11]" caption="Suite11" attribute="1" defaultMemberUniqueName="[Test Suite].[Suite11].[All]" allUniqueName="[Test Suite].[Suite11].[All]" dimensionUniqueName="[Test Suite]" displayFolder="" count="0" unbalanced="0" hidden="1"/>
    <cacheHierarchy uniqueName="[Test Suite].[Suite12]" caption="Suite12" attribute="1" defaultMemberUniqueName="[Test Suite].[Suite12].[All]" allUniqueName="[Test Suite].[Suite12].[All]" dimensionUniqueName="[Test Suite]" displayFolder="" count="0" unbalanced="0" hidden="1"/>
    <cacheHierarchy uniqueName="[Test Suite].[Suite13]" caption="Suite13" attribute="1" defaultMemberUniqueName="[Test Suite].[Suite13].[All]" allUniqueName="[Test Suite].[Suite13].[All]" dimensionUniqueName="[Test Suite]" displayFolder="" count="0" unbalanced="0" hidden="1"/>
    <cacheHierarchy uniqueName="[Test Suite].[Suite2]" caption="Suite2" attribute="1" defaultMemberUniqueName="[Test Suite].[Suite2].[All]" allUniqueName="[Test Suite].[Suite2].[All]" dimensionUniqueName="[Test Suite]" displayFolder="" count="0" unbalanced="0" hidden="1"/>
    <cacheHierarchy uniqueName="[Test Suite].[Suite3]" caption="Suite3" attribute="1" defaultMemberUniqueName="[Test Suite].[Suite3].[All]" allUniqueName="[Test Suite].[Suite3].[All]" dimensionUniqueName="[Test Suite]" displayFolder="" count="0" unbalanced="0" hidden="1"/>
    <cacheHierarchy uniqueName="[Test Suite].[Suite4]" caption="Suite4" attribute="1" defaultMemberUniqueName="[Test Suite].[Suite4].[All]" allUniqueName="[Test Suite].[Suite4].[All]" dimensionUniqueName="[Test Suite]" displayFolder="" count="0" unbalanced="0" hidden="1"/>
    <cacheHierarchy uniqueName="[Test Suite].[Suite5]" caption="Suite5" attribute="1" defaultMemberUniqueName="[Test Suite].[Suite5].[All]" allUniqueName="[Test Suite].[Suite5].[All]" dimensionUniqueName="[Test Suite]" displayFolder="" count="0" unbalanced="0" hidden="1"/>
    <cacheHierarchy uniqueName="[Test Suite].[Suite6]" caption="Suite6" attribute="1" defaultMemberUniqueName="[Test Suite].[Suite6].[All]" allUniqueName="[Test Suite].[Suite6].[All]" dimensionUniqueName="[Test Suite]" displayFolder="" count="0" unbalanced="0" hidden="1"/>
    <cacheHierarchy uniqueName="[Test Suite].[Suite7]" caption="Suite7" attribute="1" defaultMemberUniqueName="[Test Suite].[Suite7].[All]" allUniqueName="[Test Suite].[Suite7].[All]" dimensionUniqueName="[Test Suite]" displayFolder="" count="0" unbalanced="0" hidden="1"/>
    <cacheHierarchy uniqueName="[Test Suite].[Suite8]" caption="Suite8" attribute="1" defaultMemberUniqueName="[Test Suite].[Suite8].[All]" allUniqueName="[Test Suite].[Suite8].[All]" dimensionUniqueName="[Test Suite]" displayFolder="" count="0" unbalanced="0" hidden="1"/>
    <cacheHierarchy uniqueName="[Test Suite].[Suite9]" caption="Suite9" attribute="1" defaultMemberUniqueName="[Test Suite].[Suite9].[All]" allUniqueName="[Test Suite].[Suite9].[All]" dimensionUniqueName="[Test Suite]" displayFolder="" count="0" unbalanced="0" hidden="1"/>
    <cacheHierarchy uniqueName="[Test Suite].[Team Project]" caption="Team Project" attribute="1" defaultMemberUniqueName="[Test Suite].[Team Project].[All]" allUniqueName="[Test Suite].[Team Project].[All]" dimensionUniqueName="[Test Suite]" displayFolder="" count="0" unbalanced="0" hidden="1"/>
    <cacheHierarchy uniqueName="[Test Suite].[Team Project Collection]" caption="Team Project Collection" attribute="1" defaultMemberUniqueName="[Test Suite].[Team Project Collection].[All]" allUniqueName="[Test Suite].[Team Project Collection].[All]" dimensionUniqueName="[Test Suite]" displayFolder="" count="0" unbalanced="0" hidden="1"/>
    <cacheHierarchy uniqueName="[Test Suite].[TestSuiteSK]" caption="TestSuiteSK" attribute="1" keyAttribute="1" defaultMemberUniqueName="[Test Suite].[TestSuiteSK].[All]" allUniqueName="[Test Suite].[TestSuiteSK].[All]" dimensionUniqueName="[Test Suite]" displayFolder="" count="0" unbalanced="0" hidden="1"/>
    <cacheHierarchy uniqueName="[Today].[Date]" caption="Date" attribute="1" defaultMemberUniqueName="[Today].[Date].[All]" allUniqueName="[Today].[Date].[All]" dimensionUniqueName="[Today]" displayFolder="" count="0" unbalanced="0" hidden="1"/>
    <cacheHierarchy uniqueName="[Today].[Day Of Month]" caption="Day Of Month" attribute="1" defaultMemberUniqueName="[Today].[Day Of Month].[All]" allUniqueName="[Today].[Day Of Month].[All]" dimensionUniqueName="[Today]" displayFolder="" count="0" unbalanced="0" hidden="1"/>
    <cacheHierarchy uniqueName="[Today].[Day Of Week]" caption="Day Of Week" attribute="1" defaultMemberUniqueName="[Today].[Day Of Week].[All]" allUniqueName="[Today].[Day Of Week].[All]" dimensionUniqueName="[Today]" displayFolder="" count="0" unbalanced="0" hidden="1"/>
    <cacheHierarchy uniqueName="[Today].[Day Of Year]" caption="Day Of Year" attribute="1" defaultMemberUniqueName="[Today].[Day Of Year].[All]" allUniqueName="[Today].[Day Of Year].[All]" dimensionUniqueName="[Today]" displayFolder="" count="0" unbalanced="0" hidden="1"/>
    <cacheHierarchy uniqueName="[Today].[Month]" caption="Month" attribute="1" defaultMemberUniqueName="[Today].[Month].[All]" allUniqueName="[Today].[Month].[All]" dimensionUniqueName="[Today]" displayFolder="" count="0" unbalanced="0" hidden="1"/>
    <cacheHierarchy uniqueName="[Today].[Month Of Year]" caption="Month Of Year" attribute="1" defaultMemberUniqueName="[Today].[Month Of Year].[All]" allUniqueName="[Today].[Month Of Year].[All]" dimensionUniqueName="[Today]" displayFolder="" count="0" unbalanced="0" hidden="1"/>
    <cacheHierarchy uniqueName="[Today].[Today]" caption="Today" attribute="1" keyAttribute="1" defaultMemberUniqueName="[Today].[Today].[All]" allUniqueName="[Today].[Today].[All]" dimensionUniqueName="[Today]" displayFolder="" count="0" unbalanced="0" hidden="1"/>
    <cacheHierarchy uniqueName="[Today].[Week]" caption="Week" attribute="1" defaultMemberUniqueName="[Today].[Week].[All]" allUniqueName="[Today].[Week].[All]" dimensionUniqueName="[Today]" displayFolder="" count="0" unbalanced="0" hidden="1"/>
    <cacheHierarchy uniqueName="[Today].[Week Of Year]" caption="Week Of Year" attribute="1" defaultMemberUniqueName="[Today].[Week Of Year].[All]" allUniqueName="[Today].[Week Of Year].[All]" dimensionUniqueName="[Today]" displayFolder="" count="0" unbalanced="0" hidden="1"/>
    <cacheHierarchy uniqueName="[Today].[Year]" caption="Year" attribute="1" defaultMemberUniqueName="[Today].[Year].[All]" allUniqueName="[Today].[Year].[All]" dimensionUniqueName="[Today]" displayFolder="" count="0" unbalanced="0" hidden="1"/>
    <cacheHierarchy uniqueName="[Tool Artifact Display Url].[TeamProjectCollectionSK]" caption="TeamProjectCollectionSK" attribute="1" defaultMemberUniqueName="[Tool Artifact Display Url].[TeamProjectCollectionSK].[All]" allUniqueName="[Tool Artifact Display Url].[TeamProjectCollectionSK].[All]" dimensionUniqueName="[Tool Artifact Display Url]" displayFolder="" count="0" unbalanced="0" hidden="1"/>
    <cacheHierarchy uniqueName="[Tool Artifact Display Url].[Tool Artifact Display Url]" caption="Tool Artifact Display Url" attribute="1" keyAttribute="1" defaultMemberUniqueName="[Tool Artifact Display Url].[Tool Artifact Display Url].[All]" allUniqueName="[Tool Artifact Display Url].[Tool Artifact Display Url].[All]" dimensionUniqueName="[Tool Artifact Display Url]" displayFolder="" count="0" unbalanced="0" hidden="1"/>
    <cacheHierarchy uniqueName="[Tool Artifact Display Url].[Tool Type]" caption="Tool Type" attribute="1" defaultMemberUniqueName="[Tool Artifact Display Url].[Tool Type].[All]" allUniqueName="[Tool Artifact Display Url].[Tool Type].[All]" dimensionUniqueName="[Tool Artifact Display Url]" displayFolder="" count="0" unbalanced="0" hidden="1"/>
    <cacheHierarchy uniqueName="[Version Control Changeset].[Changeset]" caption="Changeset" attribute="1" keyAttribute="1" defaultMemberUniqueName="[Version Control Changeset].[Changeset].[All]" allUniqueName="[Version Control Changeset].[Changeset].[All]" dimensionUniqueName="[Version Control Changeset]" displayFolder="" count="0" unbalanced="0" hidden="1"/>
    <cacheHierarchy uniqueName="[Version Control File].[File]" caption="Version Control File.File" attribute="1" keyAttribute="1" defaultMemberUniqueName="[Version Control File].[File].[All]" allUniqueName="[Version Control File].[File].[All]" dimensionUniqueName="[Version Control File]" displayFolder="" count="0" unbalanced="0" hidden="1"/>
    <cacheHierarchy uniqueName="[Work Item].[Area Team Project Collection]" caption="Work Item.Team Project Collection" attribute="1" defaultMemberUniqueName="[Work Item].[Area Team Project Collection].[All]" allUniqueName="[Work Item].[Area Team Project Collection].[All]" dimensionUniqueName="[Work Item]" displayFolder="\" count="0" unbalanced="0" hidden="1"/>
    <cacheHierarchy uniqueName="[Work Item].[Area0]" caption="Work Item.Area0" attribute="1" defaultMemberUniqueName="[Work Item].[Area0].[All]" allUniqueName="[Work Item].[Area0].[All]" dimensionUniqueName="[Work Item]" displayFolder="\" count="0" unbalanced="0" hidden="1"/>
    <cacheHierarchy uniqueName="[Work Item].[Area1]" caption="Work Item.Area1" attribute="1" defaultMemberUniqueName="[Work Item].[Area1].[All]" allUniqueName="[Work Item].[Area1].[All]" dimensionUniqueName="[Work Item]" displayFolder="\" count="0" unbalanced="0" hidden="1"/>
    <cacheHierarchy uniqueName="[Work Item].[Area10]" caption="Work Item.Area10" attribute="1" defaultMemberUniqueName="[Work Item].[Area10].[All]" allUniqueName="[Work Item].[Area10].[All]" dimensionUniqueName="[Work Item]" displayFolder="\" count="0" unbalanced="0" hidden="1"/>
    <cacheHierarchy uniqueName="[Work Item].[Area11]" caption="Work Item.Area11" attribute="1" defaultMemberUniqueName="[Work Item].[Area11].[All]" allUniqueName="[Work Item].[Area11].[All]" dimensionUniqueName="[Work Item]" displayFolder="\" count="0" unbalanced="0" hidden="1"/>
    <cacheHierarchy uniqueName="[Work Item].[Area12]" caption="Work Item.Area12" attribute="1" defaultMemberUniqueName="[Work Item].[Area12].[All]" allUniqueName="[Work Item].[Area12].[All]" dimensionUniqueName="[Work Item]" displayFolder="\" count="0" unbalanced="0" hidden="1"/>
    <cacheHierarchy uniqueName="[Work Item].[Area13]" caption="Work Item.Area13" attribute="1" defaultMemberUniqueName="[Work Item].[Area13].[All]" allUniqueName="[Work Item].[Area13].[All]" dimensionUniqueName="[Work Item]" displayFolder="\" count="0" unbalanced="0" hidden="1"/>
    <cacheHierarchy uniqueName="[Work Item].[Area2]" caption="Work Item.Area2" attribute="1" defaultMemberUniqueName="[Work Item].[Area2].[All]" allUniqueName="[Work Item].[Area2].[All]" dimensionUniqueName="[Work Item]" displayFolder="\" count="0" unbalanced="0" hidden="1"/>
    <cacheHierarchy uniqueName="[Work Item].[Area3]" caption="Work Item.Area3" attribute="1" defaultMemberUniqueName="[Work Item].[Area3].[All]" allUniqueName="[Work Item].[Area3].[All]" dimensionUniqueName="[Work Item]" displayFolder="\" count="0" unbalanced="0" hidden="1"/>
    <cacheHierarchy uniqueName="[Work Item].[Area4]" caption="Work Item.Area4" attribute="1" defaultMemberUniqueName="[Work Item].[Area4].[All]" allUniqueName="[Work Item].[Area4].[All]" dimensionUniqueName="[Work Item]" displayFolder="\" count="0" unbalanced="0" hidden="1"/>
    <cacheHierarchy uniqueName="[Work Item].[Area5]" caption="Work Item.Area5" attribute="1" defaultMemberUniqueName="[Work Item].[Area5].[All]" allUniqueName="[Work Item].[Area5].[All]" dimensionUniqueName="[Work Item]" displayFolder="\" count="0" unbalanced="0" hidden="1"/>
    <cacheHierarchy uniqueName="[Work Item].[Area6]" caption="Work Item.Area6" attribute="1" defaultMemberUniqueName="[Work Item].[Area6].[All]" allUniqueName="[Work Item].[Area6].[All]" dimensionUniqueName="[Work Item]" displayFolder="\" count="0" unbalanced="0" hidden="1"/>
    <cacheHierarchy uniqueName="[Work Item].[Area7]" caption="Work Item.Area7" attribute="1" defaultMemberUniqueName="[Work Item].[Area7].[All]" allUniqueName="[Work Item].[Area7].[All]" dimensionUniqueName="[Work Item]" displayFolder="\" count="0" unbalanced="0" hidden="1"/>
    <cacheHierarchy uniqueName="[Work Item].[Area8]" caption="Work Item.Area8" attribute="1" defaultMemberUniqueName="[Work Item].[Area8].[All]" allUniqueName="[Work Item].[Area8].[All]" dimensionUniqueName="[Work Item]" displayFolder="\" count="0" unbalanced="0" hidden="1"/>
    <cacheHierarchy uniqueName="[Work Item].[Area9]" caption="Work Item.Area9" attribute="1" defaultMemberUniqueName="[Work Item].[Area9].[All]" allUniqueName="[Work Item].[Area9].[All]" dimensionUniqueName="[Work Item]" displayFolder="\" count="0" unbalanced="0" hidden="1"/>
    <cacheHierarchy uniqueName="[Work Item].[CWB_BussinessRequiredDate__Month]" caption="Work Item.Business Required Date Month" attribute="1" defaultMemberUniqueName="[Work Item].[CWB_BussinessRequiredDate__Month].[All]" allUniqueName="[Work Item].[CWB_BussinessRequiredDate__Month].[All]" dimensionUniqueName="[Work Item]" displayFolder="" count="0" unbalanced="0" hidden="1"/>
    <cacheHierarchy uniqueName="[Work Item].[CWB_BussinessRequiredDate__Week]" caption="Work Item.Business Required Date Week" attribute="1" defaultMemberUniqueName="[Work Item].[CWB_BussinessRequiredDate__Week].[All]" allUniqueName="[Work Item].[CWB_BussinessRequiredDate__Week].[All]" dimensionUniqueName="[Work Item]" displayFolder="" count="0" unbalanced="0" hidden="1"/>
    <cacheHierarchy uniqueName="[Work Item].[CWB_BussinessRequiredDate__Year]" caption="Work Item.Business Required Date Year" attribute="1" defaultMemberUniqueName="[Work Item].[CWB_BussinessRequiredDate__Year].[All]" allUniqueName="[Work Item].[CWB_BussinessRequiredDate__Year].[All]" dimensionUniqueName="[Work Item]" displayFolder="" count="0" unbalanced="0" hidden="1"/>
    <cacheHierarchy uniqueName="[Work Item].[CWB_IMReleasePackageDate__Month]" caption="Work Item.IMPackageDate Month" attribute="1" defaultMemberUniqueName="[Work Item].[CWB_IMReleasePackageDate__Month].[All]" allUniqueName="[Work Item].[CWB_IMReleasePackageDate__Month].[All]" dimensionUniqueName="[Work Item]" displayFolder="" count="0" unbalanced="0" hidden="1"/>
    <cacheHierarchy uniqueName="[Work Item].[CWB_IMReleasePackageDate__Week]" caption="Work Item.IMPackageDate Week" attribute="1" defaultMemberUniqueName="[Work Item].[CWB_IMReleasePackageDate__Week].[All]" allUniqueName="[Work Item].[CWB_IMReleasePackageDate__Week].[All]" dimensionUniqueName="[Work Item]" displayFolder="" count="0" unbalanced="0" hidden="1"/>
    <cacheHierarchy uniqueName="[Work Item].[CWB_IMReleasePackageDate__Year]" caption="Work Item.IMPackageDate Year" attribute="1" defaultMemberUniqueName="[Work Item].[CWB_IMReleasePackageDate__Year].[All]" allUniqueName="[Work Item].[CWB_IMReleasePackageDate__Year].[All]" dimensionUniqueName="[Work Item]" displayFolder="" count="0" unbalanced="0" hidden="1"/>
    <cacheHierarchy uniqueName="[Work Item].[CWB_PlannedCompletionDate__Month]" caption="Work Item.Planned Completion Date Month" attribute="1" defaultMemberUniqueName="[Work Item].[CWB_PlannedCompletionDate__Month].[All]" allUniqueName="[Work Item].[CWB_PlannedCompletionDate__Month].[All]" dimensionUniqueName="[Work Item]" displayFolder="" count="0" unbalanced="0" hidden="1"/>
    <cacheHierarchy uniqueName="[Work Item].[CWB_PlannedCompletionDate__Week]" caption="Work Item.Planned Completion Date Week" attribute="1" defaultMemberUniqueName="[Work Item].[CWB_PlannedCompletionDate__Week].[All]" allUniqueName="[Work Item].[CWB_PlannedCompletionDate__Week].[All]" dimensionUniqueName="[Work Item]" displayFolder="" count="0" unbalanced="0" hidden="1"/>
    <cacheHierarchy uniqueName="[Work Item].[CWB_PlannedCompletionDate__Year]" caption="Work Item.Planned Completion Date Year" attribute="1" defaultMemberUniqueName="[Work Item].[CWB_PlannedCompletionDate__Year].[All]" allUniqueName="[Work Item].[CWB_PlannedCompletionDate__Year].[All]" dimensionUniqueName="[Work Item]" displayFolder="" count="0" unbalanced="0" hidden="1"/>
    <cacheHierarchy uniqueName="[Work Item].[CWB_PlannedStartDate__Month]" caption="Work Item.Planned Start Date Month" attribute="1" defaultMemberUniqueName="[Work Item].[CWB_PlannedStartDate__Month].[All]" allUniqueName="[Work Item].[CWB_PlannedStartDate__Month].[All]" dimensionUniqueName="[Work Item]" displayFolder="" count="0" unbalanced="0" hidden="1"/>
    <cacheHierarchy uniqueName="[Work Item].[CWB_PlannedStartDate__Week]" caption="Work Item.Planned Start Date Week" attribute="1" defaultMemberUniqueName="[Work Item].[CWB_PlannedStartDate__Week].[All]" allUniqueName="[Work Item].[CWB_PlannedStartDate__Week].[All]" dimensionUniqueName="[Work Item]" displayFolder="" count="0" unbalanced="0" hidden="1"/>
    <cacheHierarchy uniqueName="[Work Item].[CWB_PlannedStartDate__Year]" caption="Work Item.Planned Start Date Year" attribute="1" defaultMemberUniqueName="[Work Item].[CWB_PlannedStartDate__Year].[All]" allUniqueName="[Work Item].[CWB_PlannedStartDate__Year].[All]" dimensionUniqueName="[Work Item]" displayFolder="" count="0" unbalanced="0" hidden="1"/>
    <cacheHierarchy uniqueName="[Work Item].[CWB_TargetResolution__Month]" caption="Work Item.Target Resolution Month" attribute="1" defaultMemberUniqueName="[Work Item].[CWB_TargetResolution__Month].[All]" allUniqueName="[Work Item].[CWB_TargetResolution__Month].[All]" dimensionUniqueName="[Work Item]" displayFolder="" count="0" unbalanced="0" hidden="1"/>
    <cacheHierarchy uniqueName="[Work Item].[CWB_TargetResolution__Week]" caption="Work Item.Target Resolution Week" attribute="1" defaultMemberUniqueName="[Work Item].[CWB_TargetResolution__Week].[All]" allUniqueName="[Work Item].[CWB_TargetResolution__Week].[All]" dimensionUniqueName="[Work Item]" displayFolder="" count="0" unbalanced="0" hidden="1"/>
    <cacheHierarchy uniqueName="[Work Item].[CWB_TargetResolution__Year]" caption="Work Item.Target Resolution Year" attribute="1" defaultMemberUniqueName="[Work Item].[CWB_TargetResolution__Year].[All]" allUniqueName="[Work Item].[CWB_TargetResolution__Year].[All]" dimensionUniqueName="[Work Item]" displayFolder="" count="0" unbalanced="0" hidden="1"/>
    <cacheHierarchy uniqueName="[Work Item].[Iteration Team Project Collection]" caption="Work Item.Team Project Collection" attribute="1" defaultMemberUniqueName="[Work Item].[Iteration Team Project Collection].[All]" allUniqueName="[Work Item].[Iteration Team Project Collection].[All]" dimensionUniqueName="[Work Item]" displayFolder="\" count="0" unbalanced="0" hidden="1"/>
    <cacheHierarchy uniqueName="[Work Item].[Iteration0]" caption="Work Item.Iteration0" attribute="1" defaultMemberUniqueName="[Work Item].[Iteration0].[All]" allUniqueName="[Work Item].[Iteration0].[All]" dimensionUniqueName="[Work Item]" displayFolder="\" count="0" unbalanced="0" hidden="1"/>
    <cacheHierarchy uniqueName="[Work Item].[Iteration1]" caption="Work Item.Iteration1" attribute="1" defaultMemberUniqueName="[Work Item].[Iteration1].[All]" allUniqueName="[Work Item].[Iteration1].[All]" dimensionUniqueName="[Work Item]" displayFolder="\" count="0" unbalanced="0" hidden="1"/>
    <cacheHierarchy uniqueName="[Work Item].[Iteration10]" caption="Work Item.Iteration10" attribute="1" defaultMemberUniqueName="[Work Item].[Iteration10].[All]" allUniqueName="[Work Item].[Iteration10].[All]" dimensionUniqueName="[Work Item]" displayFolder="\" count="0" unbalanced="0" hidden="1"/>
    <cacheHierarchy uniqueName="[Work Item].[Iteration11]" caption="Work Item.Iteration11" attribute="1" defaultMemberUniqueName="[Work Item].[Iteration11].[All]" allUniqueName="[Work Item].[Iteration11].[All]" dimensionUniqueName="[Work Item]" displayFolder="\" count="0" unbalanced="0" hidden="1"/>
    <cacheHierarchy uniqueName="[Work Item].[Iteration12]" caption="Work Item.Iteration12" attribute="1" defaultMemberUniqueName="[Work Item].[Iteration12].[All]" allUniqueName="[Work Item].[Iteration12].[All]" dimensionUniqueName="[Work Item]" displayFolder="\" count="0" unbalanced="0" hidden="1"/>
    <cacheHierarchy uniqueName="[Work Item].[Iteration13]" caption="Work Item.Iteration13" attribute="1" defaultMemberUniqueName="[Work Item].[Iteration13].[All]" allUniqueName="[Work Item].[Iteration13].[All]" dimensionUniqueName="[Work Item]" displayFolder="\" count="0" unbalanced="0" hidden="1"/>
    <cacheHierarchy uniqueName="[Work Item].[Iteration2]" caption="Work Item.Iteration2" attribute="1" defaultMemberUniqueName="[Work Item].[Iteration2].[All]" allUniqueName="[Work Item].[Iteration2].[All]" dimensionUniqueName="[Work Item]" displayFolder="\" count="0" unbalanced="0" hidden="1"/>
    <cacheHierarchy uniqueName="[Work Item].[Iteration3]" caption="Work Item.Iteration3" attribute="1" defaultMemberUniqueName="[Work Item].[Iteration3].[All]" allUniqueName="[Work Item].[Iteration3].[All]" dimensionUniqueName="[Work Item]" displayFolder="\" count="0" unbalanced="0" hidden="1"/>
    <cacheHierarchy uniqueName="[Work Item].[Iteration4]" caption="Work Item.Iteration4" attribute="1" defaultMemberUniqueName="[Work Item].[Iteration4].[All]" allUniqueName="[Work Item].[Iteration4].[All]" dimensionUniqueName="[Work Item]" displayFolder="\" count="0" unbalanced="0" hidden="1"/>
    <cacheHierarchy uniqueName="[Work Item].[Iteration5]" caption="Work Item.Iteration5" attribute="1" defaultMemberUniqueName="[Work Item].[Iteration5].[All]" allUniqueName="[Work Item].[Iteration5].[All]" dimensionUniqueName="[Work Item]" displayFolder="\" count="0" unbalanced="0" hidden="1"/>
    <cacheHierarchy uniqueName="[Work Item].[Iteration6]" caption="Work Item.Iteration6" attribute="1" defaultMemberUniqueName="[Work Item].[Iteration6].[All]" allUniqueName="[Work Item].[Iteration6].[All]" dimensionUniqueName="[Work Item]" displayFolder="\" count="0" unbalanced="0" hidden="1"/>
    <cacheHierarchy uniqueName="[Work Item].[Iteration7]" caption="Work Item.Iteration7" attribute="1" defaultMemberUniqueName="[Work Item].[Iteration7].[All]" allUniqueName="[Work Item].[Iteration7].[All]" dimensionUniqueName="[Work Item]" displayFolder="\" count="0" unbalanced="0" hidden="1"/>
    <cacheHierarchy uniqueName="[Work Item].[Iteration8]" caption="Work Item.Iteration8" attribute="1" defaultMemberUniqueName="[Work Item].[Iteration8].[All]" allUniqueName="[Work Item].[Iteration8].[All]" dimensionUniqueName="[Work Item]" displayFolder="\" count="0" unbalanced="0" hidden="1"/>
    <cacheHierarchy uniqueName="[Work Item].[Iteration9]" caption="Work Item.Iteration9" attribute="1" defaultMemberUniqueName="[Work Item].[Iteration9].[All]" allUniqueName="[Work Item].[Iteration9].[All]" dimensionUniqueName="[Work Item]" displayFolder="\" count="0" unbalanced="0" hidden="1"/>
    <cacheHierarchy uniqueName="[Work Item].[Microsoft_VSTS_CodeReview_AcceptedDate__Month]" caption="Work Item.Accepted Date Month" attribute="1" defaultMemberUniqueName="[Work Item].[Microsoft_VSTS_CodeReview_AcceptedDate__Month].[All]" allUniqueName="[Work Item].[Microsoft_VSTS_CodeReview_AcceptedDate__Month].[All]" dimensionUniqueName="[Work Item]" displayFolder="" count="0" unbalanced="0" hidden="1"/>
    <cacheHierarchy uniqueName="[Work Item].[Microsoft_VSTS_CodeReview_AcceptedDate__Week]" caption="Work Item.Accepted Date Week" attribute="1" defaultMemberUniqueName="[Work Item].[Microsoft_VSTS_CodeReview_AcceptedDate__Week].[All]" allUniqueName="[Work Item].[Microsoft_VSTS_CodeReview_AcceptedDate__Week].[All]" dimensionUniqueName="[Work Item]" displayFolder="" count="0" unbalanced="0" hidden="1"/>
    <cacheHierarchy uniqueName="[Work Item].[Microsoft_VSTS_CodeReview_AcceptedDate__Year]" caption="Work Item.Accepted Date Year" attribute="1" defaultMemberUniqueName="[Work Item].[Microsoft_VSTS_CodeReview_AcceptedDate__Year].[All]" allUniqueName="[Work Item].[Microsoft_VSTS_CodeReview_AcceptedDate__Year].[All]" dimensionUniqueName="[Work Item]" displayFolder="" count="0" unbalanced="0" hidden="1"/>
    <cacheHierarchy uniqueName="[Work Item].[Microsoft_VSTS_Common_ActivatedDate__Month]" caption="Work Item.Activated Date Month" attribute="1" defaultMemberUniqueName="[Work Item].[Microsoft_VSTS_Common_ActivatedDate__Month].[All]" allUniqueName="[Work Item].[Microsoft_VSTS_Common_ActivatedDate__Month].[All]" dimensionUniqueName="[Work Item]" displayFolder="" count="0" unbalanced="0" hidden="1"/>
    <cacheHierarchy uniqueName="[Work Item].[Microsoft_VSTS_Common_ActivatedDate__Week]" caption="Work Item.Activated Date Week" attribute="1" defaultMemberUniqueName="[Work Item].[Microsoft_VSTS_Common_ActivatedDate__Week].[All]" allUniqueName="[Work Item].[Microsoft_VSTS_Common_ActivatedDate__Week].[All]" dimensionUniqueName="[Work Item]" displayFolder="" count="0" unbalanced="0" hidden="1"/>
    <cacheHierarchy uniqueName="[Work Item].[Microsoft_VSTS_Common_ActivatedDate__Year]" caption="Work Item.Activated Date Year" attribute="1" defaultMemberUniqueName="[Work Item].[Microsoft_VSTS_Common_ActivatedDate__Year].[All]" allUniqueName="[Work Item].[Microsoft_VSTS_Common_ActivatedDate__Year].[All]" dimensionUniqueName="[Work Item]" displayFolder="" count="0" unbalanced="0" hidden="1"/>
    <cacheHierarchy uniqueName="[Work Item].[Microsoft_VSTS_Common_ClosedDate__Month]" caption="Work Item.Closed Date Month" attribute="1" defaultMemberUniqueName="[Work Item].[Microsoft_VSTS_Common_ClosedDate__Month].[All]" allUniqueName="[Work Item].[Microsoft_VSTS_Common_ClosedDate__Month].[All]" dimensionUniqueName="[Work Item]" displayFolder="" count="0" unbalanced="0" hidden="1"/>
    <cacheHierarchy uniqueName="[Work Item].[Microsoft_VSTS_Common_ClosedDate__Week]" caption="Work Item.Closed Date Week" attribute="1" defaultMemberUniqueName="[Work Item].[Microsoft_VSTS_Common_ClosedDate__Week].[All]" allUniqueName="[Work Item].[Microsoft_VSTS_Common_ClosedDate__Week].[All]" dimensionUniqueName="[Work Item]" displayFolder="" count="0" unbalanced="0" hidden="1"/>
    <cacheHierarchy uniqueName="[Work Item].[Microsoft_VSTS_Common_ClosedDate__Year]" caption="Work Item.Closed Date Year" attribute="1" defaultMemberUniqueName="[Work Item].[Microsoft_VSTS_Common_ClosedDate__Year].[All]" allUniqueName="[Work Item].[Microsoft_VSTS_Common_ClosedDate__Year].[All]" dimensionUniqueName="[Work Item]" displayFolder="" count="0" unbalanced="0" hidden="1"/>
    <cacheHierarchy uniqueName="[Work Item].[System_ChangedDate__Month]" caption="Work Item.Changed Date Month" attribute="1" defaultMemberUniqueName="[Work Item].[System_ChangedDate__Month].[All]" allUniqueName="[Work Item].[System_ChangedDate__Month].[All]" dimensionUniqueName="[Work Item]" displayFolder="" count="0" unbalanced="0" hidden="1"/>
    <cacheHierarchy uniqueName="[Work Item].[System_ChangedDate__Week]" caption="Work Item.Changed Date Week" attribute="1" defaultMemberUniqueName="[Work Item].[System_ChangedDate__Week].[All]" allUniqueName="[Work Item].[System_ChangedDate__Week].[All]" dimensionUniqueName="[Work Item]" displayFolder="" count="0" unbalanced="0" hidden="1"/>
    <cacheHierarchy uniqueName="[Work Item].[System_ChangedDate__Year]" caption="Work Item.Changed Date Year" attribute="1" defaultMemberUniqueName="[Work Item].[System_ChangedDate__Year].[All]" allUniqueName="[Work Item].[System_ChangedDate__Year].[All]" dimensionUniqueName="[Work Item]" displayFolder="" count="0" unbalanced="0" hidden="1"/>
    <cacheHierarchy uniqueName="[Work Item].[System_CreatedDate__Month]" caption="Work Item.Created Date Month" attribute="1" defaultMemberUniqueName="[Work Item].[System_CreatedDate__Month].[All]" allUniqueName="[Work Item].[System_CreatedDate__Month].[All]" dimensionUniqueName="[Work Item]" displayFolder="" count="0" unbalanced="0" hidden="1"/>
    <cacheHierarchy uniqueName="[Work Item].[System_CreatedDate__Week]" caption="Work Item.Created Date Week" attribute="1" defaultMemberUniqueName="[Work Item].[System_CreatedDate__Week].[All]" allUniqueName="[Work Item].[System_CreatedDate__Week].[All]" dimensionUniqueName="[Work Item]" displayFolder="" count="0" unbalanced="0" hidden="1"/>
    <cacheHierarchy uniqueName="[Work Item].[System_CreatedDate__Year]" caption="Work Item.Created Date Year" attribute="1" defaultMemberUniqueName="[Work Item].[System_CreatedDate__Year].[All]" allUniqueName="[Work Item].[System_CreatedDate__Year].[All]" dimensionUniqueName="[Work Item]" displayFolder="" count="0" unbalanced="0" hidden="1"/>
    <cacheHierarchy uniqueName="[Work Item].[TeamProjectCollectionSK]" caption="Work Item.TeamProjectCollectionSK" attribute="1" defaultMemberUniqueName="[Work Item].[TeamProjectCollectionSK].[All]" allUniqueName="[Work Item].[TeamProjectCollectionSK].[All]" dimensionUniqueName="[Work Item]" displayFolder="\" count="0" unbalanced="0" hidden="1"/>
    <cacheHierarchy uniqueName="[Work Item].[TeamProjectSK]" caption="Work Item.TeamProjectSK" attribute="1" defaultMemberUniqueName="[Work Item].[TeamProjectSK].[All]" allUniqueName="[Work Item].[TeamProjectSK].[All]" dimensionUniqueName="[Work Item]" displayFolder="\" count="0" unbalanced="0" hidden="1"/>
    <cacheHierarchy uniqueName="[Work Item].[Work Item]" caption="Work Item.Work Item" attribute="1" keyAttribute="1" defaultMemberUniqueName="[Work Item].[Work Item].[All]" allUniqueName="[Work Item].[Work Item].[All]" dimensionUniqueName="[Work Item]" displayFolder="" count="0" unbalanced="0" hidden="1"/>
    <cacheHierarchy uniqueName="[Work Item Category].[WorkItemCategoryBK]" caption="WorkItemCategoryBK" attribute="1" defaultMemberUniqueName="[Work Item Category].[WorkItemCategoryBK].[All]" allUniqueName="[Work Item Category].[WorkItemCategoryBK].[All]" dimensionUniqueName="[Work Item Category]" displayFolder="" count="0" unbalanced="0" hidden="1"/>
    <cacheHierarchy uniqueName="[Work Item Category].[WorkItemCategorySK]" caption="WorkItemCategorySK" attribute="1" keyAttribute="1" defaultMemberUniqueName="[Work Item Category].[WorkItemCategorySK].[All]" allUniqueName="[Work Item Category].[WorkItemCategorySK].[All]" dimensionUniqueName="[Work Item Category]" displayFolder="" count="0" unbalanced="0" hidden="1"/>
    <cacheHierarchy uniqueName="[Work Item Link Type].[TeamProjectCollectionSK]" caption="TeamProjectCollectionSK" attribute="1" defaultMemberUniqueName="[Work Item Link Type].[TeamProjectCollectionSK].[All]" allUniqueName="[Work Item Link Type].[TeamProjectCollectionSK].[All]" dimensionUniqueName="[Work Item Link Type]" displayFolder="" count="0" unbalanced="0" hidden="1"/>
    <cacheHierarchy uniqueName="[Work Item Link Type].[WorkItemLinkTypeBK]" caption="WorkItemLinkTypeBK" attribute="1" defaultMemberUniqueName="[Work Item Link Type].[WorkItemLinkTypeBK].[All]" allUniqueName="[Work Item Link Type].[WorkItemLinkTypeBK].[All]" dimensionUniqueName="[Work Item Link Type]" displayFolder="" count="0" unbalanced="0" hidden="1"/>
    <cacheHierarchy uniqueName="[Work Item Link Type].[WorkItemLinkTypeSK]" caption="WorkItemLinkTypeSK" attribute="1" keyAttribute="1" defaultMemberUniqueName="[Work Item Link Type].[WorkItemLinkTypeSK].[All]" allUniqueName="[Work Item Link Type].[WorkItemLinkTypeSK].[All]" dimensionUniqueName="[Work Item Link Type]" displayFolder="" count="0" unbalanced="0" hidden="1"/>
    <cacheHierarchy uniqueName="[Work Item Linked].[Area Team Project Collection]" caption="Work Item Linked.Team Project Collection" attribute="1" defaultMemberUniqueName="[Work Item Linked].[Area Team Project Collection].[All]" allUniqueName="[Work Item Linked].[Area Team Project Collection].[All]" dimensionUniqueName="[Work Item Linked]" displayFolder="\" count="0" unbalanced="0" hidden="1"/>
    <cacheHierarchy uniqueName="[Work Item Linked].[Area0]" caption="Work Item Linked.Area0" attribute="1" defaultMemberUniqueName="[Work Item Linked].[Area0].[All]" allUniqueName="[Work Item Linked].[Area0].[All]" dimensionUniqueName="[Work Item Linked]" displayFolder="\" count="0" unbalanced="0" hidden="1"/>
    <cacheHierarchy uniqueName="[Work Item Linked].[Area1]" caption="Work Item Linked.Area1" attribute="1" defaultMemberUniqueName="[Work Item Linked].[Area1].[All]" allUniqueName="[Work Item Linked].[Area1].[All]" dimensionUniqueName="[Work Item Linked]" displayFolder="\" count="0" unbalanced="0" hidden="1"/>
    <cacheHierarchy uniqueName="[Work Item Linked].[Area10]" caption="Work Item Linked.Area10" attribute="1" defaultMemberUniqueName="[Work Item Linked].[Area10].[All]" allUniqueName="[Work Item Linked].[Area10].[All]" dimensionUniqueName="[Work Item Linked]" displayFolder="\" count="0" unbalanced="0" hidden="1"/>
    <cacheHierarchy uniqueName="[Work Item Linked].[Area11]" caption="Work Item Linked.Area11" attribute="1" defaultMemberUniqueName="[Work Item Linked].[Area11].[All]" allUniqueName="[Work Item Linked].[Area11].[All]" dimensionUniqueName="[Work Item Linked]" displayFolder="\" count="0" unbalanced="0" hidden="1"/>
    <cacheHierarchy uniqueName="[Work Item Linked].[Area12]" caption="Work Item Linked.Area12" attribute="1" defaultMemberUniqueName="[Work Item Linked].[Area12].[All]" allUniqueName="[Work Item Linked].[Area12].[All]" dimensionUniqueName="[Work Item Linked]" displayFolder="\" count="0" unbalanced="0" hidden="1"/>
    <cacheHierarchy uniqueName="[Work Item Linked].[Area13]" caption="Work Item Linked.Area13" attribute="1" defaultMemberUniqueName="[Work Item Linked].[Area13].[All]" allUniqueName="[Work Item Linked].[Area13].[All]" dimensionUniqueName="[Work Item Linked]" displayFolder="\" count="0" unbalanced="0" hidden="1"/>
    <cacheHierarchy uniqueName="[Work Item Linked].[Area2]" caption="Work Item Linked.Area2" attribute="1" defaultMemberUniqueName="[Work Item Linked].[Area2].[All]" allUniqueName="[Work Item Linked].[Area2].[All]" dimensionUniqueName="[Work Item Linked]" displayFolder="\" count="0" unbalanced="0" hidden="1"/>
    <cacheHierarchy uniqueName="[Work Item Linked].[Area3]" caption="Work Item Linked.Area3" attribute="1" defaultMemberUniqueName="[Work Item Linked].[Area3].[All]" allUniqueName="[Work Item Linked].[Area3].[All]" dimensionUniqueName="[Work Item Linked]" displayFolder="\" count="0" unbalanced="0" hidden="1"/>
    <cacheHierarchy uniqueName="[Work Item Linked].[Area4]" caption="Work Item Linked.Area4" attribute="1" defaultMemberUniqueName="[Work Item Linked].[Area4].[All]" allUniqueName="[Work Item Linked].[Area4].[All]" dimensionUniqueName="[Work Item Linked]" displayFolder="\" count="0" unbalanced="0" hidden="1"/>
    <cacheHierarchy uniqueName="[Work Item Linked].[Area5]" caption="Work Item Linked.Area5" attribute="1" defaultMemberUniqueName="[Work Item Linked].[Area5].[All]" allUniqueName="[Work Item Linked].[Area5].[All]" dimensionUniqueName="[Work Item Linked]" displayFolder="\" count="0" unbalanced="0" hidden="1"/>
    <cacheHierarchy uniqueName="[Work Item Linked].[Area6]" caption="Work Item Linked.Area6" attribute="1" defaultMemberUniqueName="[Work Item Linked].[Area6].[All]" allUniqueName="[Work Item Linked].[Area6].[All]" dimensionUniqueName="[Work Item Linked]" displayFolder="\" count="0" unbalanced="0" hidden="1"/>
    <cacheHierarchy uniqueName="[Work Item Linked].[Area7]" caption="Work Item Linked.Area7" attribute="1" defaultMemberUniqueName="[Work Item Linked].[Area7].[All]" allUniqueName="[Work Item Linked].[Area7].[All]" dimensionUniqueName="[Work Item Linked]" displayFolder="\" count="0" unbalanced="0" hidden="1"/>
    <cacheHierarchy uniqueName="[Work Item Linked].[Area8]" caption="Work Item Linked.Area8" attribute="1" defaultMemberUniqueName="[Work Item Linked].[Area8].[All]" allUniqueName="[Work Item Linked].[Area8].[All]" dimensionUniqueName="[Work Item Linked]" displayFolder="\" count="0" unbalanced="0" hidden="1"/>
    <cacheHierarchy uniqueName="[Work Item Linked].[Area9]" caption="Work Item Linked.Area9" attribute="1" defaultMemberUniqueName="[Work Item Linked].[Area9].[All]" allUniqueName="[Work Item Linked].[Area9].[All]" dimensionUniqueName="[Work Item Linked]" displayFolder="\" count="0" unbalanced="0" hidden="1"/>
    <cacheHierarchy uniqueName="[Work Item Linked].[CWB_BussinessRequiredDate__Month]" caption="Work Item Linked.Business Required Date Month" attribute="1" defaultMemberUniqueName="[Work Item Linked].[CWB_BussinessRequiredDate__Month].[All]" allUniqueName="[Work Item Linked].[CWB_BussinessRequiredDate__Month].[All]" dimensionUniqueName="[Work Item Linked]" displayFolder="" count="0" unbalanced="0" hidden="1"/>
    <cacheHierarchy uniqueName="[Work Item Linked].[CWB_BussinessRequiredDate__Week]" caption="Work Item Linked.Business Required Date Week" attribute="1" defaultMemberUniqueName="[Work Item Linked].[CWB_BussinessRequiredDate__Week].[All]" allUniqueName="[Work Item Linked].[CWB_BussinessRequiredDate__Week].[All]" dimensionUniqueName="[Work Item Linked]" displayFolder="" count="0" unbalanced="0" hidden="1"/>
    <cacheHierarchy uniqueName="[Work Item Linked].[CWB_BussinessRequiredDate__Year]" caption="Work Item Linked.Business Required Date Year" attribute="1" defaultMemberUniqueName="[Work Item Linked].[CWB_BussinessRequiredDate__Year].[All]" allUniqueName="[Work Item Linked].[CWB_BussinessRequiredDate__Year].[All]" dimensionUniqueName="[Work Item Linked]" displayFolder="" count="0" unbalanced="0" hidden="1"/>
    <cacheHierarchy uniqueName="[Work Item Linked].[CWB_IMReleasePackageDate__Month]" caption="Work Item Linked.IMPackageDate Month" attribute="1" defaultMemberUniqueName="[Work Item Linked].[CWB_IMReleasePackageDate__Month].[All]" allUniqueName="[Work Item Linked].[CWB_IMReleasePackageDate__Month].[All]" dimensionUniqueName="[Work Item Linked]" displayFolder="" count="0" unbalanced="0" hidden="1"/>
    <cacheHierarchy uniqueName="[Work Item Linked].[CWB_IMReleasePackageDate__Week]" caption="Work Item Linked.IMPackageDate Week" attribute="1" defaultMemberUniqueName="[Work Item Linked].[CWB_IMReleasePackageDate__Week].[All]" allUniqueName="[Work Item Linked].[CWB_IMReleasePackageDate__Week].[All]" dimensionUniqueName="[Work Item Linked]" displayFolder="" count="0" unbalanced="0" hidden="1"/>
    <cacheHierarchy uniqueName="[Work Item Linked].[CWB_IMReleasePackageDate__Year]" caption="Work Item Linked.IMPackageDate Year" attribute="1" defaultMemberUniqueName="[Work Item Linked].[CWB_IMReleasePackageDate__Year].[All]" allUniqueName="[Work Item Linked].[CWB_IMReleasePackageDate__Year].[All]" dimensionUniqueName="[Work Item Linked]" displayFolder="" count="0" unbalanced="0" hidden="1"/>
    <cacheHierarchy uniqueName="[Work Item Linked].[CWB_PlannedCompletionDate__Month]" caption="Work Item Linked.Planned Completion Date Month" attribute="1" defaultMemberUniqueName="[Work Item Linked].[CWB_PlannedCompletionDate__Month].[All]" allUniqueName="[Work Item Linked].[CWB_PlannedCompletionDate__Month].[All]" dimensionUniqueName="[Work Item Linked]" displayFolder="" count="0" unbalanced="0" hidden="1"/>
    <cacheHierarchy uniqueName="[Work Item Linked].[CWB_PlannedCompletionDate__Week]" caption="Work Item Linked.Planned Completion Date Week" attribute="1" defaultMemberUniqueName="[Work Item Linked].[CWB_PlannedCompletionDate__Week].[All]" allUniqueName="[Work Item Linked].[CWB_PlannedCompletionDate__Week].[All]" dimensionUniqueName="[Work Item Linked]" displayFolder="" count="0" unbalanced="0" hidden="1"/>
    <cacheHierarchy uniqueName="[Work Item Linked].[CWB_PlannedCompletionDate__Year]" caption="Work Item Linked.Planned Completion Date Year" attribute="1" defaultMemberUniqueName="[Work Item Linked].[CWB_PlannedCompletionDate__Year].[All]" allUniqueName="[Work Item Linked].[CWB_PlannedCompletionDate__Year].[All]" dimensionUniqueName="[Work Item Linked]" displayFolder="" count="0" unbalanced="0" hidden="1"/>
    <cacheHierarchy uniqueName="[Work Item Linked].[CWB_PlannedStartDate__Month]" caption="Work Item Linked.Planned Start Date Month" attribute="1" defaultMemberUniqueName="[Work Item Linked].[CWB_PlannedStartDate__Month].[All]" allUniqueName="[Work Item Linked].[CWB_PlannedStartDate__Month].[All]" dimensionUniqueName="[Work Item Linked]" displayFolder="" count="0" unbalanced="0" hidden="1"/>
    <cacheHierarchy uniqueName="[Work Item Linked].[CWB_PlannedStartDate__Week]" caption="Work Item Linked.Planned Start Date Week" attribute="1" defaultMemberUniqueName="[Work Item Linked].[CWB_PlannedStartDate__Week].[All]" allUniqueName="[Work Item Linked].[CWB_PlannedStartDate__Week].[All]" dimensionUniqueName="[Work Item Linked]" displayFolder="" count="0" unbalanced="0" hidden="1"/>
    <cacheHierarchy uniqueName="[Work Item Linked].[CWB_PlannedStartDate__Year]" caption="Work Item Linked.Planned Start Date Year" attribute="1" defaultMemberUniqueName="[Work Item Linked].[CWB_PlannedStartDate__Year].[All]" allUniqueName="[Work Item Linked].[CWB_PlannedStartDate__Year].[All]" dimensionUniqueName="[Work Item Linked]" displayFolder="" count="0" unbalanced="0" hidden="1"/>
    <cacheHierarchy uniqueName="[Work Item Linked].[CWB_TargetResolution__Month]" caption="Work Item Linked.Target Resolution Month" attribute="1" defaultMemberUniqueName="[Work Item Linked].[CWB_TargetResolution__Month].[All]" allUniqueName="[Work Item Linked].[CWB_TargetResolution__Month].[All]" dimensionUniqueName="[Work Item Linked]" displayFolder="" count="0" unbalanced="0" hidden="1"/>
    <cacheHierarchy uniqueName="[Work Item Linked].[CWB_TargetResolution__Week]" caption="Work Item Linked.Target Resolution Week" attribute="1" defaultMemberUniqueName="[Work Item Linked].[CWB_TargetResolution__Week].[All]" allUniqueName="[Work Item Linked].[CWB_TargetResolution__Week].[All]" dimensionUniqueName="[Work Item Linked]" displayFolder="" count="0" unbalanced="0" hidden="1"/>
    <cacheHierarchy uniqueName="[Work Item Linked].[CWB_TargetResolution__Year]" caption="Work Item Linked.Target Resolution Year" attribute="1" defaultMemberUniqueName="[Work Item Linked].[CWB_TargetResolution__Year].[All]" allUniqueName="[Work Item Linked].[CWB_TargetResolution__Year].[All]" dimensionUniqueName="[Work Item Linked]" displayFolder="" count="0" unbalanced="0" hidden="1"/>
    <cacheHierarchy uniqueName="[Work Item Linked].[Iteration Team Project Collection]" caption="Work Item Linked.Team Project Collection" attribute="1" defaultMemberUniqueName="[Work Item Linked].[Iteration Team Project Collection].[All]" allUniqueName="[Work Item Linked].[Iteration Team Project Collection].[All]" dimensionUniqueName="[Work Item Linked]" displayFolder="\" count="0" unbalanced="0" hidden="1"/>
    <cacheHierarchy uniqueName="[Work Item Linked].[Iteration0]" caption="Work Item Linked.Iteration0" attribute="1" defaultMemberUniqueName="[Work Item Linked].[Iteration0].[All]" allUniqueName="[Work Item Linked].[Iteration0].[All]" dimensionUniqueName="[Work Item Linked]" displayFolder="\" count="0" unbalanced="0" hidden="1"/>
    <cacheHierarchy uniqueName="[Work Item Linked].[Iteration1]" caption="Work Item Linked.Iteration1" attribute="1" defaultMemberUniqueName="[Work Item Linked].[Iteration1].[All]" allUniqueName="[Work Item Linked].[Iteration1].[All]" dimensionUniqueName="[Work Item Linked]" displayFolder="\" count="0" unbalanced="0" hidden="1"/>
    <cacheHierarchy uniqueName="[Work Item Linked].[Iteration10]" caption="Work Item Linked.Iteration10" attribute="1" defaultMemberUniqueName="[Work Item Linked].[Iteration10].[All]" allUniqueName="[Work Item Linked].[Iteration10].[All]" dimensionUniqueName="[Work Item Linked]" displayFolder="\" count="0" unbalanced="0" hidden="1"/>
    <cacheHierarchy uniqueName="[Work Item Linked].[Iteration11]" caption="Work Item Linked.Iteration11" attribute="1" defaultMemberUniqueName="[Work Item Linked].[Iteration11].[All]" allUniqueName="[Work Item Linked].[Iteration11].[All]" dimensionUniqueName="[Work Item Linked]" displayFolder="\" count="0" unbalanced="0" hidden="1"/>
    <cacheHierarchy uniqueName="[Work Item Linked].[Iteration12]" caption="Work Item Linked.Iteration12" attribute="1" defaultMemberUniqueName="[Work Item Linked].[Iteration12].[All]" allUniqueName="[Work Item Linked].[Iteration12].[All]" dimensionUniqueName="[Work Item Linked]" displayFolder="\" count="0" unbalanced="0" hidden="1"/>
    <cacheHierarchy uniqueName="[Work Item Linked].[Iteration13]" caption="Work Item Linked.Iteration13" attribute="1" defaultMemberUniqueName="[Work Item Linked].[Iteration13].[All]" allUniqueName="[Work Item Linked].[Iteration13].[All]" dimensionUniqueName="[Work Item Linked]" displayFolder="\" count="0" unbalanced="0" hidden="1"/>
    <cacheHierarchy uniqueName="[Work Item Linked].[Iteration2]" caption="Work Item Linked.Iteration2" attribute="1" defaultMemberUniqueName="[Work Item Linked].[Iteration2].[All]" allUniqueName="[Work Item Linked].[Iteration2].[All]" dimensionUniqueName="[Work Item Linked]" displayFolder="\" count="0" unbalanced="0" hidden="1"/>
    <cacheHierarchy uniqueName="[Work Item Linked].[Iteration3]" caption="Work Item Linked.Iteration3" attribute="1" defaultMemberUniqueName="[Work Item Linked].[Iteration3].[All]" allUniqueName="[Work Item Linked].[Iteration3].[All]" dimensionUniqueName="[Work Item Linked]" displayFolder="\" count="0" unbalanced="0" hidden="1"/>
    <cacheHierarchy uniqueName="[Work Item Linked].[Iteration4]" caption="Work Item Linked.Iteration4" attribute="1" defaultMemberUniqueName="[Work Item Linked].[Iteration4].[All]" allUniqueName="[Work Item Linked].[Iteration4].[All]" dimensionUniqueName="[Work Item Linked]" displayFolder="\" count="0" unbalanced="0" hidden="1"/>
    <cacheHierarchy uniqueName="[Work Item Linked].[Iteration5]" caption="Work Item Linked.Iteration5" attribute="1" defaultMemberUniqueName="[Work Item Linked].[Iteration5].[All]" allUniqueName="[Work Item Linked].[Iteration5].[All]" dimensionUniqueName="[Work Item Linked]" displayFolder="\" count="0" unbalanced="0" hidden="1"/>
    <cacheHierarchy uniqueName="[Work Item Linked].[Iteration6]" caption="Work Item Linked.Iteration6" attribute="1" defaultMemberUniqueName="[Work Item Linked].[Iteration6].[All]" allUniqueName="[Work Item Linked].[Iteration6].[All]" dimensionUniqueName="[Work Item Linked]" displayFolder="\" count="0" unbalanced="0" hidden="1"/>
    <cacheHierarchy uniqueName="[Work Item Linked].[Iteration7]" caption="Work Item Linked.Iteration7" attribute="1" defaultMemberUniqueName="[Work Item Linked].[Iteration7].[All]" allUniqueName="[Work Item Linked].[Iteration7].[All]" dimensionUniqueName="[Work Item Linked]" displayFolder="\" count="0" unbalanced="0" hidden="1"/>
    <cacheHierarchy uniqueName="[Work Item Linked].[Iteration8]" caption="Work Item Linked.Iteration8" attribute="1" defaultMemberUniqueName="[Work Item Linked].[Iteration8].[All]" allUniqueName="[Work Item Linked].[Iteration8].[All]" dimensionUniqueName="[Work Item Linked]" displayFolder="\" count="0" unbalanced="0" hidden="1"/>
    <cacheHierarchy uniqueName="[Work Item Linked].[Iteration9]" caption="Work Item Linked.Iteration9" attribute="1" defaultMemberUniqueName="[Work Item Linked].[Iteration9].[All]" allUniqueName="[Work Item Linked].[Iteration9].[All]" dimensionUniqueName="[Work Item Linked]" displayFolder="\" count="0" unbalanced="0" hidden="1"/>
    <cacheHierarchy uniqueName="[Work Item Linked].[Microsoft_VSTS_CodeReview_AcceptedDate__Month]" caption="Work Item Linked.Accepted Date Month" attribute="1" defaultMemberUniqueName="[Work Item Linked].[Microsoft_VSTS_CodeReview_AcceptedDate__Month].[All]" allUniqueName="[Work Item Linked].[Microsoft_VSTS_CodeReview_AcceptedDate__Month].[All]" dimensionUniqueName="[Work Item Linked]" displayFolder="" count="0" unbalanced="0" hidden="1"/>
    <cacheHierarchy uniqueName="[Work Item Linked].[Microsoft_VSTS_CodeReview_AcceptedDate__Week]" caption="Work Item Linked.Accepted Date Week" attribute="1" defaultMemberUniqueName="[Work Item Linked].[Microsoft_VSTS_CodeReview_AcceptedDate__Week].[All]" allUniqueName="[Work Item Linked].[Microsoft_VSTS_CodeReview_AcceptedDate__Week].[All]" dimensionUniqueName="[Work Item Linked]" displayFolder="" count="0" unbalanced="0" hidden="1"/>
    <cacheHierarchy uniqueName="[Work Item Linked].[Microsoft_VSTS_CodeReview_AcceptedDate__Year]" caption="Work Item Linked.Accepted Date Year" attribute="1" defaultMemberUniqueName="[Work Item Linked].[Microsoft_VSTS_CodeReview_AcceptedDate__Year].[All]" allUniqueName="[Work Item Linked].[Microsoft_VSTS_CodeReview_AcceptedDate__Year].[All]" dimensionUniqueName="[Work Item Linked]" displayFolder="" count="0" unbalanced="0" hidden="1"/>
    <cacheHierarchy uniqueName="[Work Item Linked].[Microsoft_VSTS_Common_ActivatedDate__Month]" caption="Work Item Linked.Activated Date Month" attribute="1" defaultMemberUniqueName="[Work Item Linked].[Microsoft_VSTS_Common_ActivatedDate__Month].[All]" allUniqueName="[Work Item Linked].[Microsoft_VSTS_Common_ActivatedDate__Month].[All]" dimensionUniqueName="[Work Item Linked]" displayFolder="" count="0" unbalanced="0" hidden="1"/>
    <cacheHierarchy uniqueName="[Work Item Linked].[Microsoft_VSTS_Common_ActivatedDate__Week]" caption="Work Item Linked.Activated Date Week" attribute="1" defaultMemberUniqueName="[Work Item Linked].[Microsoft_VSTS_Common_ActivatedDate__Week].[All]" allUniqueName="[Work Item Linked].[Microsoft_VSTS_Common_ActivatedDate__Week].[All]" dimensionUniqueName="[Work Item Linked]" displayFolder="" count="0" unbalanced="0" hidden="1"/>
    <cacheHierarchy uniqueName="[Work Item Linked].[Microsoft_VSTS_Common_ActivatedDate__Year]" caption="Work Item Linked.Activated Date Year" attribute="1" defaultMemberUniqueName="[Work Item Linked].[Microsoft_VSTS_Common_ActivatedDate__Year].[All]" allUniqueName="[Work Item Linked].[Microsoft_VSTS_Common_ActivatedDate__Year].[All]" dimensionUniqueName="[Work Item Linked]" displayFolder="" count="0" unbalanced="0" hidden="1"/>
    <cacheHierarchy uniqueName="[Work Item Linked].[Microsoft_VSTS_Common_ClosedDate__Month]" caption="Work Item Linked.Closed Date Month" attribute="1" defaultMemberUniqueName="[Work Item Linked].[Microsoft_VSTS_Common_ClosedDate__Month].[All]" allUniqueName="[Work Item Linked].[Microsoft_VSTS_Common_ClosedDate__Month].[All]" dimensionUniqueName="[Work Item Linked]" displayFolder="" count="0" unbalanced="0" hidden="1"/>
    <cacheHierarchy uniqueName="[Work Item Linked].[Microsoft_VSTS_Common_ClosedDate__Week]" caption="Work Item Linked.Closed Date Week" attribute="1" defaultMemberUniqueName="[Work Item Linked].[Microsoft_VSTS_Common_ClosedDate__Week].[All]" allUniqueName="[Work Item Linked].[Microsoft_VSTS_Common_ClosedDate__Week].[All]" dimensionUniqueName="[Work Item Linked]" displayFolder="" count="0" unbalanced="0" hidden="1"/>
    <cacheHierarchy uniqueName="[Work Item Linked].[Microsoft_VSTS_Common_ClosedDate__Year]" caption="Work Item Linked.Closed Date Year" attribute="1" defaultMemberUniqueName="[Work Item Linked].[Microsoft_VSTS_Common_ClosedDate__Year].[All]" allUniqueName="[Work Item Linked].[Microsoft_VSTS_Common_ClosedDate__Year].[All]" dimensionUniqueName="[Work Item Linked]" displayFolder="" count="0" unbalanced="0" hidden="1"/>
    <cacheHierarchy uniqueName="[Work Item Linked].[System_ChangedDate__Month]" caption="Work Item Linked.Changed Date Month" attribute="1" defaultMemberUniqueName="[Work Item Linked].[System_ChangedDate__Month].[All]" allUniqueName="[Work Item Linked].[System_ChangedDate__Month].[All]" dimensionUniqueName="[Work Item Linked]" displayFolder="" count="0" unbalanced="0" hidden="1"/>
    <cacheHierarchy uniqueName="[Work Item Linked].[System_ChangedDate__Week]" caption="Work Item Linked.Changed Date Week" attribute="1" defaultMemberUniqueName="[Work Item Linked].[System_ChangedDate__Week].[All]" allUniqueName="[Work Item Linked].[System_ChangedDate__Week].[All]" dimensionUniqueName="[Work Item Linked]" displayFolder="" count="0" unbalanced="0" hidden="1"/>
    <cacheHierarchy uniqueName="[Work Item Linked].[System_ChangedDate__Year]" caption="Work Item Linked.Changed Date Year" attribute="1" defaultMemberUniqueName="[Work Item Linked].[System_ChangedDate__Year].[All]" allUniqueName="[Work Item Linked].[System_ChangedDate__Year].[All]" dimensionUniqueName="[Work Item Linked]" displayFolder="" count="0" unbalanced="0" hidden="1"/>
    <cacheHierarchy uniqueName="[Work Item Linked].[System_CreatedDate__Month]" caption="Work Item Linked.Created Date Month" attribute="1" defaultMemberUniqueName="[Work Item Linked].[System_CreatedDate__Month].[All]" allUniqueName="[Work Item Linked].[System_CreatedDate__Month].[All]" dimensionUniqueName="[Work Item Linked]" displayFolder="" count="0" unbalanced="0" hidden="1"/>
    <cacheHierarchy uniqueName="[Work Item Linked].[System_CreatedDate__Week]" caption="Work Item Linked.Created Date Week" attribute="1" defaultMemberUniqueName="[Work Item Linked].[System_CreatedDate__Week].[All]" allUniqueName="[Work Item Linked].[System_CreatedDate__Week].[All]" dimensionUniqueName="[Work Item Linked]" displayFolder="" count="0" unbalanced="0" hidden="1"/>
    <cacheHierarchy uniqueName="[Work Item Linked].[System_CreatedDate__Year]" caption="Work Item Linked.Created Date Year" attribute="1" defaultMemberUniqueName="[Work Item Linked].[System_CreatedDate__Year].[All]" allUniqueName="[Work Item Linked].[System_CreatedDate__Year].[All]" dimensionUniqueName="[Work Item Linked]" displayFolder="" count="0" unbalanced="0" hidden="1"/>
    <cacheHierarchy uniqueName="[Work Item Linked].[TeamProjectCollectionSK]" caption="Work Item Linked.TeamProjectCollectionSK" attribute="1" defaultMemberUniqueName="[Work Item Linked].[TeamProjectCollectionSK].[All]" allUniqueName="[Work Item Linked].[TeamProjectCollectionSK].[All]" dimensionUniqueName="[Work Item Linked]" displayFolder="\" count="0" unbalanced="0" hidden="1"/>
    <cacheHierarchy uniqueName="[Work Item Linked].[TeamProjectSK]" caption="Work Item Linked.TeamProjectSK" attribute="1" defaultMemberUniqueName="[Work Item Linked].[TeamProjectSK].[All]" allUniqueName="[Work Item Linked].[TeamProjectSK].[All]" dimensionUniqueName="[Work Item Linked]" displayFolder="\" count="0" unbalanced="0" hidden="1"/>
    <cacheHierarchy uniqueName="[Work Item Linked].[Work Item]" caption="Work Item Linked.Work Item" attribute="1" keyAttribute="1" defaultMemberUniqueName="[Work Item Linked].[Work Item].[All]" allUniqueName="[Work Item Linked].[Work Item].[All]" dimensionUniqueName="[Work Item Linked]" displayFolder="" count="0" unbalanced="0" hidden="1"/>
    <cacheHierarchy uniqueName="[Work Item Tree].[WorkItemTreeSK]" caption="WorkItemTreeSK" attribute="1" keyAttribute="1" defaultMemberUniqueName="[Work Item Tree].[WorkItemTreeSK].[All]" allUniqueName="[Work Item Tree].[WorkItemTreeSK].[All]" dimensionUniqueName="[Work Item Tree]" displayFolder="" count="0" unbalanced="0" hidden="1"/>
    <cacheHierarchy uniqueName="[Measures].[Revision Count]" caption="Revision Count" measure="1" displayFolder="" measureGroup="Work Item" count="0"/>
    <cacheHierarchy uniqueName="[Measures].[State Change Count]" caption="State Change Count" measure="1" displayFolder="" measureGroup="Work Item" count="0"/>
    <cacheHierarchy uniqueName="[Measures].[Compile Errors]" caption="Compile Errors" measure="1" displayFolder="" measureGroup="Build Project" count="0"/>
    <cacheHierarchy uniqueName="[Measures].[Compile Warnings]" caption="Compile Warnings" measure="1" displayFolder="" measureGroup="Build Project" count="0"/>
    <cacheHierarchy uniqueName="[Measures].[Static Analysis Errors]" caption="Static Analysis Errors" measure="1" displayFolder="" measureGroup="Build Project" count="0"/>
    <cacheHierarchy uniqueName="[Measures].[Static Analysis Warnings]" caption="Static Analysis Warnings" measure="1" displayFolder="" measureGroup="Build Project" count="0"/>
    <cacheHierarchy uniqueName="[Measures].[Build Project Count]" caption="Build Project Count" measure="1" displayFolder="" measureGroup="Build Project" count="0"/>
    <cacheHierarchy uniqueName="[Measures].[Build Duration]" caption="Build Duration" measure="1" displayFolder="" measureGroup="Build Details" count="0"/>
    <cacheHierarchy uniqueName="[Measures].[Build Details Count]" caption="Build Details Count" measure="1" displayFolder="" measureGroup="Build Details" count="0"/>
    <cacheHierarchy uniqueName="[Measures].[Lines Added]" caption="Lines Added" measure="1" displayFolder="" measureGroup="Code Churn" count="0"/>
    <cacheHierarchy uniqueName="[Measures].[Lines Modified]" caption="Lines Modified" measure="1" displayFolder="" measureGroup="Code Churn" count="0"/>
    <cacheHierarchy uniqueName="[Measures].[Lines Deleted]" caption="Lines Deleted" measure="1" displayFolder="" measureGroup="Code Churn" count="0"/>
    <cacheHierarchy uniqueName="[Measures].[Code Churn Count]" caption="Code Churn Count" measure="1" displayFolder="" measureGroup="Code Churn" count="0"/>
    <cacheHierarchy uniqueName="[Measures].[Result Count]" caption="Result Count" measure="1" displayFolder="" measureGroup="Test" count="0"/>
    <cacheHierarchy uniqueName="[Measures].[Result Transition Count]" caption="Result Transition Count" measure="1" displayFolder="" measureGroup="Test" count="0"/>
    <cacheHierarchy uniqueName="[Measures].[Build Changeset Count]" caption="Build Changeset Count" measure="1" displayFolder="" measureGroup="Build Changeset" count="0"/>
    <cacheHierarchy uniqueName="[Measures].[Lines Covered]" caption="Lines Covered" measure="1" displayFolder="" measureGroup="Build Coverage" count="0"/>
    <cacheHierarchy uniqueName="[Measures].[Lines Not Covered]" caption="Lines Not Covered" measure="1" displayFolder="" measureGroup="Build Coverage" count="0"/>
    <cacheHierarchy uniqueName="[Measures].[Lines Partially Covered]" caption="Lines Partially Covered" measure="1" displayFolder="" measureGroup="Build Coverage" count="0"/>
    <cacheHierarchy uniqueName="[Measures].[Blocks Covered]" caption="Blocks Covered" measure="1" displayFolder="" measureGroup="Build Coverage" count="0"/>
    <cacheHierarchy uniqueName="[Measures].[Blocks Not Covered]" caption="Blocks Not Covered" measure="1" displayFolder="" measureGroup="Build Coverage" count="0"/>
    <cacheHierarchy uniqueName="[Measures].[Build Coverage Count]" caption="Build Coverage" measure="1" displayFolder="" measureGroup="Build Coverage" count="0"/>
    <cacheHierarchy uniqueName="[Measures].[Run Coverage Lines Covered]" caption="Run Coverage Lines Covered" measure="1" displayFolder="" measureGroup="Run Coverage" count="0"/>
    <cacheHierarchy uniqueName="[Measures].[Run Coverage Lines Not Covered]" caption="Run Coverage Lines Not Covered" measure="1" displayFolder="" measureGroup="Run Coverage" count="0"/>
    <cacheHierarchy uniqueName="[Measures].[Run Coverage Lines Partially Covered]" caption="Run Coverage Lines Partially Covered" measure="1" displayFolder="" measureGroup="Run Coverage" count="0"/>
    <cacheHierarchy uniqueName="[Measures].[Run Coverage Blocks Covered]" caption="Run Coverage Blocks Covered" measure="1" displayFolder="" measureGroup="Run Coverage" count="0"/>
    <cacheHierarchy uniqueName="[Measures].[Run Coverage Blocks Not Covered]" caption="Run Coverage Blocks Not Covered" measure="1" displayFolder="" measureGroup="Run Coverage" count="0"/>
    <cacheHierarchy uniqueName="[Measures].[Run Coverage Count]" caption="Run Coverage" measure="1" displayFolder="" measureGroup="Run Coverage" count="0"/>
    <cacheHierarchy uniqueName="[Measures].[Microsoft_VSTS_Scheduling_RemainingWork]" caption="Remaining Work" measure="1" displayFolder="" measureGroup="Work Item" count="0"/>
    <cacheHierarchy uniqueName="[Measures].[Microsoft_VSTS_Scheduling_Effort]" caption="Effort" measure="1" displayFolder="" measureGroup="Work Item" count="0"/>
    <cacheHierarchy uniqueName="[Measures].[Microsoft_VSTS_Common_BusinessValue]" caption="Business Value" measure="1" displayFolder="" measureGroup="Work Item" count="0"/>
    <cacheHierarchy uniqueName="[Measures].[CWB_TimeSpent]" caption="Time Spent" measure="1" displayFolder="" measureGroup="Work Item" count="0"/>
    <cacheHierarchy uniqueName="[Measures].[CWB_HoursEstimate]" caption="Hours Estimate" measure="1" displayFolder="" measureGroup="Work Item" count="0"/>
    <cacheHierarchy uniqueName="[Measures].[CWB_HoursActual]" caption="Hours Actual" measure="1" displayFolder="" measureGroup="Work Item" count="0"/>
    <cacheHierarchy uniqueName="[Measures].[CWB_DurationDays]" caption="Duration Days" measure="1" displayFolder="" measureGroup="Work Item" count="0"/>
    <cacheHierarchy uniqueName="[Measures].[CWB_QAHoursEstimate]" caption="QA Hours Estimate" measure="1" displayFolder="" measureGroup="Work Item" count="0"/>
    <cacheHierarchy uniqueName="[Measures].[CWB_QAHoursActual]" caption="QA Hours Actual" measure="1" displayFolder="" measureGroup="Work Item" count="0"/>
    <cacheHierarchy uniqueName="[Measures].[System_ChangedDate]" caption="Changed Date" measure="1" displayFolder="Date Filters" count="0"/>
    <cacheHierarchy uniqueName="[Measures].[System_CreatedDate]" caption="Created Date" measure="1" displayFolder="Date Filters" count="0"/>
    <cacheHierarchy uniqueName="[Measures].[Microsoft_VSTS_Common_ClosedDate]" caption="Closed Date" measure="1" displayFolder="Date Filters" count="0"/>
    <cacheHierarchy uniqueName="[Measures].[Microsoft_VSTS_CodeReview_AcceptedDate]" caption="Accepted Date" measure="1" displayFolder="Date Filters" count="0"/>
    <cacheHierarchy uniqueName="[Measures].[Microsoft_VSTS_Common_ActivatedDate]" caption="Activated Date" measure="1" displayFolder="Date Filters" count="0"/>
    <cacheHierarchy uniqueName="[Measures].[CWB_TargetResolution]" caption="Target Resolution" measure="1" displayFolder="Date Filters" count="0"/>
    <cacheHierarchy uniqueName="[Measures].[CWB_BussinessRequiredDate]" caption="Business Required Date" measure="1" displayFolder="Date Filters" count="0"/>
    <cacheHierarchy uniqueName="[Measures].[CWB_PlannedStartDate]" caption="Planned Start Date" measure="1" displayFolder="Date Filters" count="0"/>
    <cacheHierarchy uniqueName="[Measures].[CWB_PlannedCompletionDate]" caption="Planned Completion Date" measure="1" displayFolder="Date Filters" count="0"/>
    <cacheHierarchy uniqueName="[Measures].[CWB_IMReleasePackageDate]" caption="IMPackageDate" measure="1" displayFolder="Date Filters" count="0"/>
    <cacheHierarchy uniqueName="[Measures].[System_Id]" caption="ID" measure="1" displayFolder="Numeric Filters" count="0"/>
    <cacheHierarchy uniqueName="[Measures].[System_Rev]" caption="Rev" measure="1" displayFolder="Numeric Filters" count="0"/>
    <cacheHierarchy uniqueName="[Measures].[Microsoft_VSTS_Common_Priority]" caption="Priority" measure="1" displayFolder="Numeric Filters" count="0"/>
    <cacheHierarchy uniqueName="[Measures].[CWB_ObjectiveCount]" caption="Objective Count" measure="1" displayFolder="Numeric Filters" count="0"/>
    <cacheHierarchy uniqueName="[Measures].[CWB_ObjectiveCompleted]" caption="Objective Completed" measure="1" displayFolder="Numeric Filters" count="0"/>
    <cacheHierarchy uniqueName="[Measures].[Total Lines]" caption="Total Lines" measure="1" displayFolder="" measureGroup="Code Churn" count="0"/>
    <cacheHierarchy uniqueName="[Measures].[Total Churn]" caption="Total Churn" measure="1" displayFolder="" measureGroup="Code Churn" count="0"/>
    <cacheHierarchy uniqueName="[Measures].[Build Result Count Trend]" caption="Build Result Count Trend" measure="1" displayFolder="" measureGroup="Test" count="0"/>
    <cacheHierarchy uniqueName="[Measures].[Point Count Trend]" caption="Point Count Trend" measure="1" displayFolder="" measureGroup="Test" count="0" oneField="1">
      <fieldsUsage count="1">
        <fieldUsage x="45"/>
      </fieldsUsage>
    </cacheHierarchy>
    <cacheHierarchy uniqueName="[Measures].[Result Count Trend]" caption="Result Count Trend" measure="1" displayFolder="" measureGroup="Test" count="0"/>
    <cacheHierarchy uniqueName="[Measures].[Work Item Count]" caption="Work Item Count" measure="1" displayFolder="" measureGroup="Work Item" count="0"/>
    <cacheHierarchy uniqueName="[Measures].[TestCompleteDate]" caption="Test Complete Date" measure="1" displayFolder="Date Filters" count="0"/>
    <cacheHierarchy uniqueName="[Measures].[TestCreationDate]" caption="Test Creation Date" measure="1" displayFolder="Date Filters" count="0"/>
    <cacheHierarchy uniqueName="[Measures].[TestEndDate]" caption="Test End Date" measure="1" displayFolder="Date Filters" count="0"/>
    <cacheHierarchy uniqueName="[Measures].[TestStartDate]" caption="Test Start Date" measure="1" displayFolder="Date Filters" count="0"/>
    <cacheHierarchy uniqueName="[Measures].[Test Case Count]" caption="Test Case Count" measure="1" displayFolder="" measureGroup="Test" count="0"/>
    <cacheHierarchy uniqueName="[Measures].[Current Work Item Count]" caption="Current Work Item Count" measure="1" displayFolder="" measureGroup="Current Work Item" count="0" hidden="1"/>
    <cacheHierarchy uniqueName="[Measures].[FactCurrentWorkItem Microsoft_VSTS_Scheduling_RemainingWork]" caption="Current Remaining Work" measure="1" displayFolder="" measureGroup="Current Work Item" count="0" hidden="1"/>
    <cacheHierarchy uniqueName="[Measures].[FactCurrentWorkItem Microsoft_VSTS_Scheduling_Effort]" caption="Current Effort" measure="1" displayFolder="" measureGroup="Current Work Item" count="0" hidden="1"/>
    <cacheHierarchy uniqueName="[Measures].[FactCurrentWorkItem Microsoft_VSTS_Common_BusinessValue]" caption="Current Business Value" measure="1" displayFolder="" measureGroup="Current Work Item" count="0" hidden="1"/>
    <cacheHierarchy uniqueName="[Measures].[FactCurrentWorkItem CWB_TimeSpent]" caption="Current Time Spent" measure="1" displayFolder="" measureGroup="Current Work Item" count="0" hidden="1"/>
    <cacheHierarchy uniqueName="[Measures].[FactCurrentWorkItem CWB_HoursEstimate]" caption="Current Hours Estimate" measure="1" displayFolder="" measureGroup="Current Work Item" count="0" hidden="1"/>
    <cacheHierarchy uniqueName="[Measures].[FactCurrentWorkItem CWB_HoursActual]" caption="Current Hours Actual" measure="1" displayFolder="" measureGroup="Current Work Item" count="0" hidden="1"/>
    <cacheHierarchy uniqueName="[Measures].[FactCurrentWorkItem CWB_DurationDays]" caption="Current Duration Days" measure="1" displayFolder="" measureGroup="Current Work Item" count="0" hidden="1"/>
    <cacheHierarchy uniqueName="[Measures].[FactCurrentWorkItem CWB_QAHoursEstimate]" caption="Current QA Hours Estimate" measure="1" displayFolder="" measureGroup="Current Work Item" count="0" hidden="1"/>
    <cacheHierarchy uniqueName="[Measures].[FactCurrentWorkItem CWB_QAHoursActual]" caption="Current QA Hours Actual" measure="1" displayFolder="" measureGroup="Current Work Item" count="0" hidden="1"/>
    <cacheHierarchy uniqueName="[Measures].[Record Count]" caption="Record Count" measure="1" displayFolder="" measureGroup="Work Item" count="0" hidden="1"/>
    <cacheHierarchy uniqueName="[Measures].[Lastchild Record Count]" caption="Lastchild Record Count" measure="1" displayFolder="" measureGroup="Work Item" count="0" hidden="1"/>
    <cacheHierarchy uniqueName="[Measures].[FactWorkItemHistory Microsoft_VSTS_Scheduling_RemainingWork]" caption="Remaining Work Trend" measure="1" displayFolder="" measureGroup="Work Item" count="0" hidden="1"/>
    <cacheHierarchy uniqueName="[Measures].[FactWorkItemHistory Microsoft_VSTS_Scheduling_Effort]" caption="Effort Trend" measure="1" displayFolder="" measureGroup="Work Item" count="0" hidden="1"/>
    <cacheHierarchy uniqueName="[Measures].[FactWorkItemHistory Microsoft_VSTS_Common_BusinessValue]" caption="Business Value Trend" measure="1" displayFolder="" measureGroup="Work Item" count="0" hidden="1"/>
    <cacheHierarchy uniqueName="[Measures].[FactWorkItemHistory CWB_TimeSpent]" caption="Time Spent Trend" measure="1" displayFolder="" measureGroup="Work Item" count="0" hidden="1"/>
    <cacheHierarchy uniqueName="[Measures].[LastChild Microsoft_VSTS_Scheduling_RemainingWork]" caption="LastChild Remaining Work" measure="1" displayFolder="" measureGroup="Work Item" count="0" hidden="1"/>
    <cacheHierarchy uniqueName="[Measures].[LastChild Microsoft_VSTS_Scheduling_Effort]" caption="LastChild Effort" measure="1" displayFolder="" measureGroup="Work Item" count="0" hidden="1"/>
    <cacheHierarchy uniqueName="[Measures].[LastChild Microsoft_VSTS_Common_BusinessValue]" caption="LastChild Business Value" measure="1" displayFolder="" measureGroup="Work Item" count="0" hidden="1"/>
    <cacheHierarchy uniqueName="[Measures].[LastChild CWB_TimeSpent]" caption="LastChild Time Spent" measure="1" displayFolder="" measureGroup="Work Item" count="0" hidden="1"/>
    <cacheHierarchy uniqueName="[Measures].[FactWorkItemHistory CWB_HoursEstimate]" caption="Hours Estimate Trend" measure="1" displayFolder="" measureGroup="Work Item" count="0" hidden="1"/>
    <cacheHierarchy uniqueName="[Measures].[FactWorkItemHistory CWB_HoursActual]" caption="Hours Actual Trend" measure="1" displayFolder="" measureGroup="Work Item" count="0" hidden="1"/>
    <cacheHierarchy uniqueName="[Measures].[FactWorkItemHistory CWB_DurationDays]" caption="Duration Days Trend" measure="1" displayFolder="" measureGroup="Work Item" count="0" hidden="1"/>
    <cacheHierarchy uniqueName="[Measures].[LastChild CWB_HoursEstimate]" caption="LastChild Hours Estimate" measure="1" displayFolder="" measureGroup="Work Item" count="0" hidden="1"/>
    <cacheHierarchy uniqueName="[Measures].[LastChild CWB_HoursActual]" caption="LastChild Hours Actual" measure="1" displayFolder="" measureGroup="Work Item" count="0" hidden="1"/>
    <cacheHierarchy uniqueName="[Measures].[LastChild CWB_DurationDays]" caption="LastChild Duration Days" measure="1" displayFolder="" measureGroup="Work Item" count="0" hidden="1"/>
    <cacheHierarchy uniqueName="[Measures].[FactWorkItemHistory CWB_QAHoursEstimate]" caption="QA Hours Estimate Trend" measure="1" displayFolder="" measureGroup="Work Item" count="0" hidden="1"/>
    <cacheHierarchy uniqueName="[Measures].[FactWorkItemHistory CWB_QAHoursActual]" caption="QA Hours Actual Trend" measure="1" displayFolder="" measureGroup="Work Item" count="0" hidden="1"/>
    <cacheHierarchy uniqueName="[Measures].[LastChild CWB_QAHoursEstimate]" caption="LastChild QA Hours Estimate" measure="1" displayFolder="" measureGroup="Work Item" count="0" hidden="1"/>
    <cacheHierarchy uniqueName="[Measures].[LastChild CWB_QAHoursActual]" caption="LastChild QA Hours Actual" measure="1" displayFolder="" measureGroup="Work Item" count="0" hidden="1"/>
    <cacheHierarchy uniqueName="[Measures].[Work Item To Tree Count]" caption="Work Item To Tree Count" measure="1" displayFolder="" measureGroup="Work Item To Tree" count="0" hidden="1"/>
    <cacheHierarchy uniqueName="[Measures].[Linked Current Work Item Count]" caption="Linked Current Work Item Count" measure="1" displayFolder="" measureGroup="Linked Current Work Item" count="0" hidden="1"/>
    <cacheHierarchy uniqueName="[Measures].[Work Item To Category Count]" caption="Work Item To Category Count" measure="1" displayFolder="" measureGroup="Work Item To Category" count="0" hidden="1"/>
    <cacheHierarchy uniqueName="[Measures].[Work Item Changeset Count]" caption="Work Item Changeset Count" measure="1" displayFolder="" measureGroup="Work Item Changeset" count="0" hidden="1"/>
    <cacheHierarchy uniqueName="[Measures].[Net Lines Added]" caption="Net Lines Added" measure="1" displayFolder="" measureGroup="Code Churn" count="0" hidden="1"/>
    <cacheHierarchy uniqueName="[Measures].[Lastchild Total Lines]" caption="Lastchild Total Lines" measure="1" displayFolder="" measureGroup="Code Churn" count="0" hidden="1"/>
    <cacheHierarchy uniqueName="[Measures].[Date Result Record Count]" caption="Date Result Record Count" measure="1" displayFolder="" measureGroup="Test" count="0" hidden="1"/>
    <cacheHierarchy uniqueName="[Measures].[Build Result Record Count]" caption="Build Result Record Count" measure="1" displayFolder="" measureGroup="Test" count="0" hidden="1"/>
    <cacheHierarchy uniqueName="[Measures].[Point Record Count]" caption="Point Record Count" measure="1" displayFolder="" measureGroup="Test" count="0" hidden="1"/>
    <cacheHierarchy uniqueName="[Measures].[Lastchild Result Record Count]" caption="Lastchild Result Record Count" measure="1" displayFolder="" measureGroup="Test" count="0" hidden="1"/>
    <cacheHierarchy uniqueName="[Measures].[Lastchild Point Record Count]" caption="Lastchild Point Record Count" measure="1" displayFolder="" measureGroup="Test" count="0" hidden="1"/>
    <cacheHierarchy uniqueName="[Measures].[Lastchild Build Result Record Count]" caption="Lastchild Build Result Record Count" measure="1" displayFolder="" measureGroup="Test" count="0" hidden="1"/>
    <cacheHierarchy uniqueName="[Measures].[Work Item With Result Link Count]" caption="Work Item With Result Link Count" measure="1" displayFolder="" measureGroup="Work Item With Result" count="0" hidden="1"/>
    <cacheHierarchy uniqueName="[Measures].[Linked Current Work Item Test Case Count]" caption="Linked Current Work Item Test Case Count" measure="1" displayFolder="" measureGroup="Linked Current Work Item Test Case" count="0" hidden="1"/>
    <cacheHierarchy uniqueName="[Measures].[***Start of TFS Calculation Block***]" caption="***Start of TFS Calculation Block***" measure="1" displayFolder="" count="0" hidden="1"/>
    <cacheHierarchy uniqueName="[Measures].[Build Url]" caption="Build Url" measure="1" displayFolder="" measureGroup="Build Details" count="0" hidden="1"/>
    <cacheHierarchy uniqueName="[Measures].[Work Item Url]" caption="Work Item Url" measure="1" displayFolder="" measureGroup="Current Work Item" count="0" hidden="1"/>
    <cacheHierarchy uniqueName="[Measures].[***End of TFS Calculation Block***]" caption="***End of TFS Calculation Block***" measure="1" displayFolder="" count="0" hidden="1"/>
  </cacheHierarchies>
  <kpis count="0"/>
  <dimensions count="23">
    <dimension name="Assembly" uniqueName="[Assembly]" caption="Assembly"/>
    <dimension name="Build" uniqueName="[Build]" caption="Build"/>
    <dimension name="Build Flavor" uniqueName="[Build Flavor]" caption="Build Flavor"/>
    <dimension name="Build Platform" uniqueName="[Build Platform]" caption="Build Platform"/>
    <dimension name="Build Quality" uniqueName="[Build Quality]" caption="Build Quality"/>
    <dimension name="Build Source Project File" uniqueName="[Build Source Project File]" caption="Build Source Project File"/>
    <dimension name="Build Status" uniqueName="[Build Status]" caption="Build Status"/>
    <dimension name="Date" uniqueName="[Date]" caption="Date"/>
    <dimension measure="1" name="Measures" uniqueName="[Measures]" caption="Measures"/>
    <dimension name="Team Project" uniqueName="[Team Project]" caption="Team Project"/>
    <dimension name="Test Case" uniqueName="[Test Case]" caption="Test Case"/>
    <dimension name="Test Configuration" uniqueName="[Test Configuration]" caption="Test Configuration"/>
    <dimension name="Test Plan" uniqueName="[Test Plan]" caption="Test Plan"/>
    <dimension name="Test Result" uniqueName="[Test Result]" caption="Test Result"/>
    <dimension name="Test Run" uniqueName="[Test Run]" caption="Test Run"/>
    <dimension name="Test Suite" uniqueName="[Test Suite]" caption="Test Suite"/>
    <dimension name="Version Control Changeset" uniqueName="[Version Control Changeset]" caption="Version Control Changeset"/>
    <dimension name="Version Control File" uniqueName="[Version Control File]" caption="Version Control File"/>
    <dimension name="Work Item" uniqueName="[Work Item]" caption="Work Item"/>
    <dimension name="Work Item Category" uniqueName="[Work Item Category]" caption="Work Item Category"/>
    <dimension name="Work Item Link Type" uniqueName="[Work Item Link Type]" caption="Work Item Link Type"/>
    <dimension name="Work Item Linked" uniqueName="[Work Item Linked]" caption="Work Item Linked"/>
    <dimension name="Work Item Tree" uniqueName="[Work Item Tree]" caption="Work Item Tree"/>
  </dimensions>
  <measureGroups count="15">
    <measureGroup name="Build Changeset" caption="Build Changeset"/>
    <measureGroup name="Build Coverage" caption="Build Coverage"/>
    <measureGroup name="Build Details" caption="Build Details"/>
    <measureGroup name="Build Project" caption="Build Project"/>
    <measureGroup name="Code Churn" caption="Code Churn"/>
    <measureGroup name="Current Work Item" caption="Current Work Item"/>
    <measureGroup name="Linked Current Work Item" caption="Linked Current Work Item"/>
    <measureGroup name="Linked Current Work Item Test Case" caption="Linked Current Work Item Test Case"/>
    <measureGroup name="Run Coverage" caption="Run Coverage"/>
    <measureGroup name="Test" caption="Test"/>
    <measureGroup name="Work Item" caption="Work Item"/>
    <measureGroup name="Work Item Changeset" caption="Work Item Changeset"/>
    <measureGroup name="Work Item To Category" caption="Work Item To Category"/>
    <measureGroup name="Work Item To Tree" caption="Work Item To Tree"/>
    <measureGroup name="Work Item With Result" caption="Work Item With Result"/>
  </measureGroups>
  <maps count="76">
    <map measureGroup="0" dimension="1"/>
    <map measureGroup="0" dimension="9"/>
    <map measureGroup="0" dimension="16"/>
    <map measureGroup="1" dimension="0"/>
    <map measureGroup="1" dimension="1"/>
    <map measureGroup="1" dimension="2"/>
    <map measureGroup="1" dimension="3"/>
    <map measureGroup="1" dimension="7"/>
    <map measureGroup="1" dimension="9"/>
    <map measureGroup="2" dimension="1"/>
    <map measureGroup="2" dimension="4"/>
    <map measureGroup="2" dimension="6"/>
    <map measureGroup="2" dimension="7"/>
    <map measureGroup="2" dimension="9"/>
    <map measureGroup="3" dimension="1"/>
    <map measureGroup="3" dimension="2"/>
    <map measureGroup="3" dimension="3"/>
    <map measureGroup="3" dimension="5"/>
    <map measureGroup="3" dimension="7"/>
    <map measureGroup="3" dimension="9"/>
    <map measureGroup="4" dimension="1"/>
    <map measureGroup="4" dimension="7"/>
    <map measureGroup="4" dimension="9"/>
    <map measureGroup="4" dimension="16"/>
    <map measureGroup="4" dimension="17"/>
    <map measureGroup="4" dimension="18"/>
    <map measureGroup="5" dimension="9"/>
    <map measureGroup="5" dimension="10"/>
    <map measureGroup="5" dimension="16"/>
    <map measureGroup="5" dimension="18"/>
    <map measureGroup="5" dimension="19"/>
    <map measureGroup="5" dimension="20"/>
    <map measureGroup="5" dimension="21"/>
    <map measureGroup="5" dimension="22"/>
    <map measureGroup="6" dimension="18"/>
    <map measureGroup="6" dimension="20"/>
    <map measureGroup="6" dimension="21"/>
    <map measureGroup="7" dimension="10"/>
    <map measureGroup="7" dimension="20"/>
    <map measureGroup="7" dimension="21"/>
    <map measureGroup="8" dimension="0"/>
    <map measureGroup="8" dimension="1"/>
    <map measureGroup="8" dimension="2"/>
    <map measureGroup="8" dimension="3"/>
    <map measureGroup="8" dimension="7"/>
    <map measureGroup="8" dimension="9"/>
    <map measureGroup="8" dimension="14"/>
    <map measureGroup="9" dimension="1"/>
    <map measureGroup="9" dimension="2"/>
    <map measureGroup="9" dimension="3"/>
    <map measureGroup="9" dimension="7"/>
    <map measureGroup="9" dimension="9"/>
    <map measureGroup="9" dimension="10"/>
    <map measureGroup="9" dimension="11"/>
    <map measureGroup="9" dimension="12"/>
    <map measureGroup="9" dimension="13"/>
    <map measureGroup="9" dimension="14"/>
    <map measureGroup="9" dimension="15"/>
    <map measureGroup="9" dimension="18"/>
    <map measureGroup="9" dimension="21"/>
    <map measureGroup="10" dimension="7"/>
    <map measureGroup="10" dimension="9"/>
    <map measureGroup="10" dimension="10"/>
    <map measureGroup="10" dimension="18"/>
    <map measureGroup="10" dimension="19"/>
    <map measureGroup="11" dimension="16"/>
    <map measureGroup="11" dimension="18"/>
    <map measureGroup="12" dimension="18"/>
    <map measureGroup="12" dimension="19"/>
    <map measureGroup="13" dimension="18"/>
    <map measureGroup="13" dimension="22"/>
    <map measureGroup="14" dimension="13"/>
    <map measureGroup="14" dimension="16"/>
    <map measureGroup="14" dimension="18"/>
    <map measureGroup="14" dimension="19"/>
    <map measureGroup="14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mela Pucci" refreshedDate="44436.516426273149" backgroundQuery="1" createdVersion="4" refreshedVersion="7" minRefreshableVersion="3" recordCount="0" supportSubquery="1" supportAdvancedDrill="1" xr:uid="{00000000-000A-0000-FFFF-FFFF25000000}">
  <cacheSource type="external" connectionId="3"/>
  <cacheFields count="78">
    <cacheField name="[Work Item].[Area Path].[Area Path]" caption="Area Path" numFmtId="0" hierarchy="189" level="1">
      <sharedItems count="1">
        <s v="[Work Item].[Area Path].&amp;[\Core Banking]" c="\Core Banking"/>
      </sharedItems>
    </cacheField>
    <cacheField name="[Work Item].[System_WorkItemType].[System_WorkItemType]" caption="Work Item Type" numFmtId="0" hierarchy="303" level="1">
      <sharedItems containsSemiMixedTypes="0" containsString="0"/>
    </cacheField>
    <cacheField name="[Work Item Category].[Name].[Name]" caption="Name" numFmtId="0" hierarchy="304" level="1">
      <sharedItems count="1">
        <s v="[Work Item Category].[Name].&amp;[Requirement Category]" c="Requirement Category"/>
      </sharedItems>
    </cacheField>
    <cacheField name="[Work Item].[CWB_PBIType].[CWB_PBIType]" caption="PBI Type" numFmtId="0" hierarchy="218" level="1">
      <sharedItems containsSemiMixedTypes="0" containsString="0"/>
    </cacheField>
    <cacheField name="[Work Item].[Area Hierarchy].[Team Project Collection]" caption="Team Project Collection" numFmtId="0" hierarchy="188" level="1">
      <sharedItems containsSemiMixedTypes="0" containsString="0"/>
    </cacheField>
    <cacheField name="[Work Item].[Area Hierarchy].[Area0]" caption="Area0" numFmtId="0" hierarchy="188" level="2">
      <sharedItems containsSemiMixedTypes="0" containsString="0"/>
    </cacheField>
    <cacheField name="[Work Item].[Area Hierarchy].[Area1]" caption="Area1" numFmtId="0" hierarchy="188" level="3">
      <sharedItems count="1">
        <s v="[Work Item].[Area Hierarchy].[Area1].&amp;[4186314621262154822]&amp;[-7461898663782412389]" c="Business Requirements"/>
      </sharedItems>
    </cacheField>
    <cacheField name="[Work Item].[Area Hierarchy].[Area2]" caption="Area2" numFmtId="0" hierarchy="188" level="4">
      <sharedItems containsSemiMixedTypes="0" containsString="0"/>
    </cacheField>
    <cacheField name="[Work Item].[Area Hierarchy].[Area3]" caption="Area3" numFmtId="0" hierarchy="188" level="5">
      <sharedItems containsSemiMixedTypes="0" containsString="0"/>
    </cacheField>
    <cacheField name="[Work Item].[Area Hierarchy].[Area4]" caption="Area4" numFmtId="0" hierarchy="188" level="6">
      <sharedItems containsSemiMixedTypes="0" containsString="0"/>
    </cacheField>
    <cacheField name="[Work Item].[Area Hierarchy].[Area5]" caption="Area5" numFmtId="0" hierarchy="188" level="7">
      <sharedItems containsSemiMixedTypes="0" containsString="0"/>
    </cacheField>
    <cacheField name="[Work Item].[Area Hierarchy].[Area6]" caption="Area6" numFmtId="0" hierarchy="188" level="8">
      <sharedItems containsSemiMixedTypes="0" containsString="0"/>
    </cacheField>
    <cacheField name="[Work Item].[Area Hierarchy].[Area7]" caption="Area7" numFmtId="0" hierarchy="188" level="9">
      <sharedItems containsSemiMixedTypes="0" containsString="0"/>
    </cacheField>
    <cacheField name="[Work Item].[Area Hierarchy].[Area8]" caption="Area8" numFmtId="0" hierarchy="188" level="10">
      <sharedItems containsSemiMixedTypes="0" containsString="0"/>
    </cacheField>
    <cacheField name="[Work Item].[Area Hierarchy].[Area9]" caption="Area9" numFmtId="0" hierarchy="188" level="11">
      <sharedItems containsSemiMixedTypes="0" containsString="0"/>
    </cacheField>
    <cacheField name="[Work Item].[Area Hierarchy].[Area10]" caption="Area10" numFmtId="0" hierarchy="188" level="12">
      <sharedItems containsSemiMixedTypes="0" containsString="0"/>
    </cacheField>
    <cacheField name="[Work Item].[Area Hierarchy].[Area11]" caption="Area11" numFmtId="0" hierarchy="188" level="13">
      <sharedItems containsSemiMixedTypes="0" containsString="0"/>
    </cacheField>
    <cacheField name="[Work Item].[Area Hierarchy].[Area12]" caption="Area12" numFmtId="0" hierarchy="188" level="14">
      <sharedItems containsSemiMixedTypes="0" containsString="0"/>
    </cacheField>
    <cacheField name="[Work Item].[Area Hierarchy].[Area13]" caption="Area13" numFmtId="0" hierarchy="188" level="15">
      <sharedItems containsSemiMixedTypes="0" containsString="0"/>
    </cacheField>
    <cacheField name="[Work Item].[Area Hierarchy].[Area0].[Area Team Project Collection]" caption="Team Project Collection" propertyName="Area Team Project Collection" numFmtId="0" hierarchy="188" level="2" memberPropertyField="1">
      <sharedItems containsSemiMixedTypes="0" containsString="0"/>
    </cacheField>
    <cacheField name="[Work Item].[Area Hierarchy].[Area1].[Area0]" caption="Area0" propertyName="Area0" numFmtId="0" hierarchy="188" level="3" memberPropertyField="1">
      <sharedItems containsSemiMixedTypes="0" containsString="0"/>
    </cacheField>
    <cacheField name="[Work Item].[Area Hierarchy].[Area2].[Area1]" caption="Area1" propertyName="Area1" numFmtId="0" hierarchy="188" level="4" memberPropertyField="1">
      <sharedItems containsSemiMixedTypes="0" containsString="0"/>
    </cacheField>
    <cacheField name="[Work Item].[Area Hierarchy].[Area3].[Area2]" caption="Area2" propertyName="Area2" numFmtId="0" hierarchy="188" level="5" memberPropertyField="1">
      <sharedItems containsSemiMixedTypes="0" containsString="0"/>
    </cacheField>
    <cacheField name="[Work Item].[Area Hierarchy].[Area4].[Area3]" caption="Area3" propertyName="Area3" numFmtId="0" hierarchy="188" level="6" memberPropertyField="1">
      <sharedItems containsSemiMixedTypes="0" containsString="0"/>
    </cacheField>
    <cacheField name="[Work Item].[Area Hierarchy].[Area5].[Area4]" caption="Area4" propertyName="Area4" numFmtId="0" hierarchy="188" level="7" memberPropertyField="1">
      <sharedItems containsSemiMixedTypes="0" containsString="0"/>
    </cacheField>
    <cacheField name="[Work Item].[Area Hierarchy].[Area6].[Area5]" caption="Area5" propertyName="Area5" numFmtId="0" hierarchy="188" level="8" memberPropertyField="1">
      <sharedItems containsSemiMixedTypes="0" containsString="0"/>
    </cacheField>
    <cacheField name="[Work Item].[Area Hierarchy].[Area7].[Area6]" caption="Area6" propertyName="Area6" numFmtId="0" hierarchy="188" level="9" memberPropertyField="1">
      <sharedItems containsSemiMixedTypes="0" containsString="0"/>
    </cacheField>
    <cacheField name="[Work Item].[Area Hierarchy].[Area8].[Area7]" caption="Area7" propertyName="Area7" numFmtId="0" hierarchy="188" level="10" memberPropertyField="1">
      <sharedItems containsSemiMixedTypes="0" containsString="0"/>
    </cacheField>
    <cacheField name="[Work Item].[Area Hierarchy].[Area9].[Area8]" caption="Area8" propertyName="Area8" numFmtId="0" hierarchy="188" level="11" memberPropertyField="1">
      <sharedItems containsSemiMixedTypes="0" containsString="0"/>
    </cacheField>
    <cacheField name="[Work Item].[Area Hierarchy].[Area10].[Area9]" caption="Area9" propertyName="Area9" numFmtId="0" hierarchy="188" level="12" memberPropertyField="1">
      <sharedItems containsSemiMixedTypes="0" containsString="0"/>
    </cacheField>
    <cacheField name="[Work Item].[Area Hierarchy].[Area11].[Area10]" caption="Area10" propertyName="Area10" numFmtId="0" hierarchy="188" level="13" memberPropertyField="1">
      <sharedItems containsSemiMixedTypes="0" containsString="0"/>
    </cacheField>
    <cacheField name="[Work Item].[Area Hierarchy].[Area12].[Area11]" caption="Area11" propertyName="Area11" numFmtId="0" hierarchy="188" level="14" memberPropertyField="1">
      <sharedItems containsSemiMixedTypes="0" containsString="0"/>
    </cacheField>
    <cacheField name="[Work Item].[Area Hierarchy].[Area13].[Area12]" caption="Area12" propertyName="Area12" numFmtId="0" hierarchy="188" level="15" memberPropertyField="1">
      <sharedItems containsSemiMixedTypes="0" containsString="0"/>
    </cacheField>
    <cacheField name="[Work Item Linked].[CWB_PBIType].[CWB_PBIType]" caption="PBI Type" numFmtId="0" hierarchy="348" level="1">
      <sharedItems containsSemiMixedTypes="0" containsString="0"/>
    </cacheField>
    <cacheField name="[Test Case].[Area Path].[Area Path]" caption="Area Path" numFmtId="0" hierarchy="25" level="1">
      <sharedItems containsSemiMixedTypes="0" containsString="0"/>
    </cacheField>
    <cacheField name="[Team Project].[Team Project Hierarchy].[Collection]" caption="Collection" numFmtId="0" hierarchy="23" level="1">
      <sharedItems containsSemiMixedTypes="0" containsString="0"/>
    </cacheField>
    <cacheField name="[Team Project].[Team Project Hierarchy].[Team Project]" caption="Team Project" numFmtId="0" hierarchy="23" level="2">
      <sharedItems containsSemiMixedTypes="0" containsString="0"/>
    </cacheField>
    <cacheField name="[Team Project].[Team Project Hierarchy].[Is Deleted]" caption="Is Deleted" propertyName="Is Deleted" numFmtId="0" hierarchy="23" level="32767" memberPropertyField="1">
      <sharedItems containsSemiMixedTypes="0" containsString="0"/>
    </cacheField>
    <cacheField name="[Team Project].[Team Project Hierarchy].[Project Node Name]" caption="Name" propertyName="Project Node Name" numFmtId="0" hierarchy="23" level="32767" memberPropertyField="1">
      <sharedItems containsSemiMixedTypes="0" containsString="0"/>
    </cacheField>
    <cacheField name="[Team Project].[Team Project Hierarchy].[Project Node Type]" caption="Project Node Type Name" propertyName="Project Node Type" numFmtId="0" hierarchy="23" level="32767" memberPropertyField="1">
      <sharedItems containsSemiMixedTypes="0" containsString="0"/>
    </cacheField>
    <cacheField name="[Team Project].[Team Project Hierarchy].[Project Path]" caption="Project Path" propertyName="Project Path" numFmtId="0" hierarchy="23" level="32767" memberPropertyField="1">
      <sharedItems containsSemiMixedTypes="0" containsString="0"/>
    </cacheField>
    <cacheField name="[Team Project].[Team Project Hierarchy].[ProjectNodeSk]" caption="Name" propertyName="ProjectNodeSk" numFmtId="0" hierarchy="23" level="32767" memberPropertyField="1">
      <sharedItems containsSemiMixedTypes="0" containsString="0"/>
    </cacheField>
    <cacheField name="[Team Project].[Team Project Hierarchy].[Team Project Hierarchy]" caption="Team Project Hierarchy" propertyName="Team Project Hierarchy" numFmtId="0" hierarchy="23" level="32767" memberPropertyField="1">
      <sharedItems containsSemiMixedTypes="0" containsString="0"/>
    </cacheField>
    <cacheField name="[Test Case].[Iteration Path].[Iteration Path]" caption="Iteration Path" numFmtId="0" hierarchy="101" level="1">
      <sharedItems containsSemiMixedTypes="0" containsString="0"/>
    </cacheField>
    <cacheField name="[Test Plan].[Test Plan Name].[Test Plan Name]" caption="Test Plan Name" numFmtId="0" hierarchy="153" level="1">
      <sharedItems containsSemiMixedTypes="0" containsString="0"/>
    </cacheField>
    <cacheField name="[Measures].[Point Count Trend]" caption="Point Count Trend" numFmtId="0" hierarchy="782" level="32767"/>
    <cacheField name="[Test Suite].[Test Suite Hierarchy].[Team Project Collection]" caption="Team Project Collection" numFmtId="0" hierarchy="181" level="1">
      <sharedItems count="1">
        <s v="[Test Suite].[Test Suite Hierarchy].[Team Project Collection].&amp;[Core Banking]" c="Core Banking"/>
      </sharedItems>
    </cacheField>
    <cacheField name="[Test Suite].[Test Suite Hierarchy].[Team Project]" caption="Team Project" numFmtId="0" hierarchy="181" level="2" mappingCount="1">
      <sharedItems count="1">
        <s v="[Test Suite].[Test Suite Hierarchy].[Team Project].&amp;[Core Banking]" c="Core Banking" cp="1">
          <x/>
        </s>
      </sharedItems>
      <mpMap v="62"/>
    </cacheField>
    <cacheField name="[Test Suite].[Test Suite Hierarchy].[Suite0]" caption="Suite0" numFmtId="0" hierarchy="181" level="3" mappingCount="1">
      <sharedItems count="18">
        <s v="[Test Suite].[Test Suite Hierarchy].[Suite0].&amp;[-577155666371535798]&amp;[-6648085786151084407]&amp;[17292]" c="DIGITAL" cp="1">
          <x/>
        </s>
        <s v="[Test Suite].[Test Suite Hierarchy].[Suite0].&amp;[-577155666371535798]&amp;[-6648085786151084407]&amp;[6625]" u="1" c="T24 User Acceptance Testing - Execution"/>
        <s v="[Test Suite].[Test Suite Hierarchy].[Suite0].&amp;[-577155666371535798]&amp;[-6648085786151084407]&amp;[6570]" u="1" c="T24 User Acceptance Testing - Core"/>
        <s v="[Test Suite].[Test Suite Hierarchy].[Suite0].&amp;[-577155666371535798]&amp;[-6648085786151084407]&amp;[4626]" u="1" c="System Integration Test - Execution"/>
        <s v="[Test Suite].[Test Suite Hierarchy].[Suite0].&amp;[-577155666371535798]&amp;[-6648085786151084407]&amp;[4999]" u="1" c="SIT - Regression Testing"/>
        <s v="[Test Suite].[Test Suite Hierarchy].[Suite0].&amp;[-577155666371535798]&amp;[-6648085786151084407]&amp;[3894]" u="1" c="System Integration Test - Preparation"/>
        <s v="[Test Suite].[Test Suite Hierarchy].[Suite0].&amp;[-577155666371535798]&amp;[-6648085786151084407]&amp;[220]" u="1" c="Functional Testing Plan - Iteration #01"/>
        <s v="[Test Suite].[Test Suite Hierarchy].[Suite0].&amp;[-577155666371535798]&amp;[-6648085786151084407]&amp;[734]" u="1" c="Functional Testing Plan - Iteration #02"/>
        <s v="[Test Suite].[Test Suite Hierarchy].[Suite0].&amp;[-577155666371535798]&amp;[-6648085786151084407]&amp;[1486]" u="1" c="Functional Testing Plan - Iteration #03"/>
        <s v="[Test Suite].[Test Suite Hierarchy].[Suite0].&amp;[-577155666371535798]&amp;[-6648085786151084407]&amp;[1658]" u="1" c="Functional Testing Plan - Iteration #04"/>
        <s v="[Test Suite].[Test Suite Hierarchy].[Suite0].&amp;[-577155666371535798]&amp;[-6648085786151084407]&amp;[2077]" u="1" c="Functional Testing Plan - Iteration #05"/>
        <s v="[Test Suite].[Test Suite Hierarchy].[Suite0].&amp;[-577155666371535798]&amp;[-6648085786151084407]&amp;[2481]" u="1" c="Functional Testing Plan - Iteration #06"/>
        <s v="[Test Suite].[Test Suite Hierarchy].[Suite0].&amp;[-577155666371535798]&amp;[-6648085786151084407]&amp;[2578]" u="1" c="Functional Testing Plan - Iteration #07"/>
        <s v="[Test Suite].[Test Suite Hierarchy].[Suite0].&amp;[-577155666371535798]&amp;[-6648085786151084407]&amp;[3035]" u="1" c="Functional Testing Plan - Iteration #08"/>
        <s v="[Test Suite].[Test Suite Hierarchy].[Suite0].&amp;[-577155666371535798]&amp;[-6648085786151084407]&amp;[3036]" u="1" c="Functional Testing Plan - Iteration #09"/>
        <s v="[Test Suite].[Test Suite Hierarchy].[Suite0].&amp;[-577155666371535798]&amp;[-6648085786151084407]&amp;[3037]" u="1" c="Functional Testing Plan - Iteration #10"/>
        <s v="[Test Suite].[Test Suite Hierarchy].[Suite0].&amp;[-577155666371535798]&amp;[-6648085786151084407]&amp;[3038]" u="1" c="Functional Testing Plan - Iteration #11"/>
        <s v="[Test Suite].[Test Suite Hierarchy].[Suite0].&amp;[-577155666371535798]&amp;[-6648085786151084407]&amp;[3662]" u="1" c="Functional Testing With Migrated Data"/>
      </sharedItems>
      <mpMap v="63"/>
    </cacheField>
    <cacheField name="[Test Suite].[Test Suite Hierarchy].[Suite1]" caption="Suite1" numFmtId="0" hierarchy="181" level="4" mappingCount="1">
      <sharedItems count="45">
        <s v="[Test Suite].[Test Suite Hierarchy].[Suite1].&amp;[-577155666371535798]&amp;[-6648085786151084407]&amp;[21643]" c="5 - Digital Online Banking" cp="1">
          <x/>
        </s>
        <s v="[Test Suite].[Test Suite Hierarchy].[Suite1].&amp;[-577155666371535798]&amp;[-6648085786151084407]&amp;[21067]" u="1" c="2021"/>
        <s v="[Test Suite].[Test Suite Hierarchy].[Suite1].&amp;[-577155666371535798]&amp;[-6648085786151084407]&amp;[14304]" u="1" c="2020"/>
        <s v="[Test Suite].[Test Suite Hierarchy].[Suite1].&amp;[-577155666371535798]&amp;[-6648085786151084407]&amp;[12971]" u="1" c="2019"/>
        <s v="[Test Suite].[Test Suite Hierarchy].[Suite1].&amp;[-577155666371535798]&amp;[-6648085786151084407]&amp;[8612]" u="1" c="2018"/>
        <s v="[Test Suite].[Test Suite Hierarchy].[Suite1].&amp;[-577155666371535798]&amp;[-6648085786151084407]&amp;[8611]" u="1" c="2017"/>
        <s v="[Test Suite].[Test Suite Hierarchy].[Suite1].&amp;[-577155666371535798]&amp;[-6648085786151084407]&amp;[6583]" u="1" c="Channels/Cards"/>
        <s v="[Test Suite].[Test Suite Hierarchy].[Suite1].&amp;[-577155666371535798]&amp;[-6648085786151084407]&amp;[6573]" u="1" c="Customer"/>
        <s v="[Test Suite].[Test Suite Hierarchy].[Suite1].&amp;[-577155666371535798]&amp;[-6648085786151084407]&amp;[6595]" u="1" c="Funds Transfer/ Cash Mgt/TFS"/>
        <s v="[Test Suite].[Test Suite Hierarchy].[Suite1].&amp;[-577155666371535798]&amp;[-6648085786151084407]&amp;[6578]" u="1" c="Interfaces"/>
        <s v="[Test Suite].[Test Suite Hierarchy].[Suite1].&amp;[-577155666371535798]&amp;[-6648085786151084407]&amp;[6574]" u="1" c="Investments (Deposits, Registered and Broker)"/>
        <s v="[Test Suite].[Test Suite Hierarchy].[Suite1].&amp;[-577155666371535798]&amp;[-6648085786151084407]&amp;[6577]" u="1" c="Lending"/>
        <s v="[Test Suite].[Test Suite Hierarchy].[Suite1].&amp;[-577155666371535798]&amp;[-6648085786151084407]&amp;[6584]" u="1" c="Teller"/>
        <s v="[Test Suite].[Test Suite Hierarchy].[Suite1].&amp;[-577155666371535798]&amp;[-6648085786151084407]&amp;[6585]" u="1" c="Year End"/>
        <s v="[Test Suite].[Test Suite Hierarchy].[Suite1].&amp;[-577155666371535798]&amp;[-6648085786151084407]&amp;[4627]" u="1" c="Batch 1 - Customer"/>
        <s v="[Test Suite].[Test Suite Hierarchy].[Suite1].&amp;[-577155666371535798]&amp;[-6648085786151084407]&amp;[4628]" u="1" c="Batch 2 - Payments"/>
        <s v="[Test Suite].[Test Suite Hierarchy].[Suite1].&amp;[-577155666371535798]&amp;[-6648085786151084407]&amp;[4629]" u="1" c="Batch 3 - Channels"/>
        <s v="[Test Suite].[Test Suite Hierarchy].[Suite1].&amp;[-577155666371535798]&amp;[-6648085786151084407]&amp;[4630]" u="1" c="Batch 4 - Investments"/>
        <s v="[Test Suite].[Test Suite Hierarchy].[Suite1].&amp;[-577155666371535798]&amp;[-6648085786151084407]&amp;[4631]" u="1" c="Batch 5 - Lending"/>
        <s v="[Test Suite].[Test Suite Hierarchy].[Suite1].&amp;[-577155666371535798]&amp;[-6648085786151084407]&amp;[4632]" u="1" c="Batch 6 - Finance/Treasury"/>
        <s v="[Test Suite].[Test Suite Hierarchy].[Suite1].&amp;[-577155666371535798]&amp;[-6648085786151084407]&amp;[4633]" u="1" c="Batch 7 - Regulatory"/>
        <s v="[Test Suite].[Test Suite Hierarchy].[Suite1].&amp;[-577155666371535798]&amp;[-6648085786151084407]&amp;[5128]" u="1" c="Regression - Active"/>
        <s v="[Test Suite].[Test Suite Hierarchy].[Suite1].&amp;[-577155666371535798]&amp;[-6648085786151084407]&amp;[5216]" u="1" c="Regression - Outcome"/>
        <s v="[Test Suite].[Test Suite Hierarchy].[Suite1].&amp;[-577155666371535798]&amp;[-6648085786151084407]&amp;[5121]" u="1" c="Batch 1 - Customer"/>
        <s v="[Test Suite].[Test Suite Hierarchy].[Suite1].&amp;[-577155666371535798]&amp;[-6648085786151084407]&amp;[5123]" u="1" c="Batch 3 - Channels"/>
        <s v="[Test Suite].[Test Suite Hierarchy].[Suite1].&amp;[-577155666371535798]&amp;[-6648085786151084407]&amp;[5124]" u="1" c="Batch 4 - Investments"/>
        <s v="[Test Suite].[Test Suite Hierarchy].[Suite1].&amp;[-577155666371535798]&amp;[-6648085786151084407]&amp;[5126]" u="1" c="Batch 6 - Finance/Treasury"/>
        <s v="[Test Suite].[Test Suite Hierarchy].[Suite1].&amp;[-577155666371535798]&amp;[-6648085786151084407]&amp;[3904]" u="1" c="Batch 1 - Customer"/>
        <s v="[Test Suite].[Test Suite Hierarchy].[Suite1].&amp;[-577155666371535798]&amp;[-6648085786151084407]&amp;[3905]" u="1" c="Batch 2 - Payments"/>
        <s v="[Test Suite].[Test Suite Hierarchy].[Suite1].&amp;[-577155666371535798]&amp;[-6648085786151084407]&amp;[3906]" u="1" c="Batch 3 - Channels"/>
        <s v="[Test Suite].[Test Suite Hierarchy].[Suite1].&amp;[-577155666371535798]&amp;[-6648085786151084407]&amp;[3907]" u="1" c="Batch 4- Investments"/>
        <s v="[Test Suite].[Test Suite Hierarchy].[Suite1].&amp;[-577155666371535798]&amp;[-6648085786151084407]&amp;[3908]" u="1" c="Batch 5 - Lending"/>
        <s v="[Test Suite].[Test Suite Hierarchy].[Suite1].&amp;[-577155666371535798]&amp;[-6648085786151084407]&amp;[3909]" u="1" c="Batch 6 - Finance and Treasury"/>
        <s v="[Test Suite].[Test Suite Hierarchy].[Suite1].&amp;[-577155666371535798]&amp;[-6648085786151084407]&amp;[3910]" u="1" c="Batch 7 - Regulatory"/>
        <s v="[Test Suite].[Test Suite Hierarchy].[Suite1].&amp;[-577155666371535798]&amp;[-6648085786151084407]&amp;[3919]" u="1" c="Deferred Test Cases from Iteration 1"/>
        <s v="[Test Suite].[Test Suite Hierarchy].[Suite1].&amp;[-577155666371535798]&amp;[-6648085786151084407]&amp;[3950]" u="1" c="Deferred Test cases from Iteration 7 - INT-031"/>
        <s v="[Test Suite].[Test Suite Hierarchy].[Suite1].&amp;[-577155666371535798]&amp;[-6648085786151084407]&amp;[3360]" u="1" c="INT-004-CANNEX ORDERS"/>
        <s v="[Test Suite].[Test Suite Hierarchy].[Suite1].&amp;[-577155666371535798]&amp;[-6648085786151084407]&amp;[3366]" u="1" c="INT-013-RBC RETURNED ITEMS"/>
        <s v="[Test Suite].[Test Suite Hierarchy].[Suite1].&amp;[-577155666371535798]&amp;[-6648085786151084407]&amp;[3387]" u="1" c="INT-022-CENTRAL 1 ONLINE BANKING"/>
        <s v="[Test Suite].[Test Suite Hierarchy].[Suite1].&amp;[-577155666371535798]&amp;[-6648085786151084407]&amp;[3379]" u="1" c="INT-050 Me-to-Me Transfer"/>
        <s v="[Test Suite].[Test Suite Hierarchy].[Suite1].&amp;[-577155666371535798]&amp;[-6648085786151084407]&amp;[3371]" u="1" c="INT-052-CLEARING INTERFACE- INCOMING EFT + PEN TXN + EMPLOYEE EXPENSES"/>
        <s v="[Test Suite].[Test Suite Hierarchy].[Suite1].&amp;[-577155666371535798]&amp;[-6648085786151084407]&amp;[3079]" u="1" c="Investment"/>
        <s v="[Test Suite].[Test Suite Hierarchy].[Suite1].&amp;[-577155666371535798]&amp;[-6648085786151084407]&amp;[3518]" u="1" c="SDB"/>
        <s v="[Test Suite].[Test Suite Hierarchy].[Suite1].&amp;[-577155666371535798]&amp;[-6648085786151084407]&amp;[3241]" u="1" c="Treasury"/>
        <s v="[Test Suite].[Test Suite Hierarchy].[Suite1].&amp;[-577155666371535798]&amp;[-6648085786151084407]&amp;[3923]" u="1" c="Deferrred Test cases from Iteration 1"/>
      </sharedItems>
      <mpMap v="64"/>
    </cacheField>
    <cacheField name="[Test Suite].[Test Suite Hierarchy].[Suite2]" caption="Suite2" numFmtId="0" hierarchy="181" level="5" mappingCount="1">
      <sharedItems count="46">
        <s v="[Test Suite].[Test Suite Hierarchy].[Suite2].&amp;[-577155666371535798]&amp;[-6648085786151084407]&amp;[28545]" c="15 - E2E - Ret - Bld 23 - 08/10/21" cp="1">
          <x/>
        </s>
        <s v="[Test Suite].[Test Suite Hierarchy].[Suite2].&amp;[-577155666371535798]&amp;[-6648085786151084407]&amp;[28546]" c="15 - E2E - SB - Bld 23 - 08/10/21" cp="1">
          <x/>
        </s>
        <s v="[Test Suite].[Test Suite Hierarchy].[Suite2].&amp;[-577155666371535798]&amp;[-6648085786151084407]&amp;[25068]" c="4 - Fraud (Navaera)" cp="1">
          <x/>
        </s>
        <s v="[Test Suite].[Test Suite Hierarchy].[Suite2].&amp;[-577155666371535798]&amp;[-6648085786151084407]&amp;[28537]" c="DM E2E - Cycle 3" cp="1">
          <x/>
        </s>
        <s v="[Test Suite].[Test Suite Hierarchy].[Suite2].&amp;[-577155666371535798]&amp;[-6648085786151084407]&amp;[21099]" u="1" c="1. T24 Enhancements/BRDs"/>
        <s v="[Test Suite].[Test Suite Hierarchy].[Suite2].&amp;[-577155666371535798]&amp;[-6648085786151084407]&amp;[21100]" u="1" c="2. Projects"/>
        <s v="[Test Suite].[Test Suite Hierarchy].[Suite2].&amp;[-577155666371535798]&amp;[-6648085786151084407]&amp;[17056]" u="1" c="2. Enhancements/BRDs"/>
        <s v="[Test Suite].[Test Suite Hierarchy].[Suite2].&amp;[-577155666371535798]&amp;[-6648085786151084407]&amp;[17058]" u="1" c="4. Year End 2020"/>
        <s v="[Test Suite].[Test Suite Hierarchy].[Suite2].&amp;[-577155666371535798]&amp;[-6648085786151084407]&amp;[17966]" u="1" c="6. Projects"/>
        <s v="[Test Suite].[Test Suite Hierarchy].[Suite2].&amp;[-577155666371535798]&amp;[-6648085786151084407]&amp;[13644]" u="1" c="2. Enhancements/BRDs"/>
        <s v="[Test Suite].[Test Suite Hierarchy].[Suite2].&amp;[-577155666371535798]&amp;[-6648085786151084407]&amp;[13677]" u="1" c="3. Year End Remaining 2018"/>
        <s v="[Test Suite].[Test Suite Hierarchy].[Suite2].&amp;[-577155666371535798]&amp;[-6648085786151084407]&amp;[13678]" u="1" c="4. Year End 2019"/>
        <s v="[Test Suite].[Test Suite Hierarchy].[Suite2].&amp;[-577155666371535798]&amp;[-6648085786151084407]&amp;[14863]" u="1" c="5. Reports"/>
        <s v="[Test Suite].[Test Suite Hierarchy].[Suite2].&amp;[-577155666371535798]&amp;[-6648085786151084407]&amp;[8613]" u="1" c="1. Defects - Maintenance Items"/>
        <s v="[Test Suite].[Test Suite Hierarchy].[Suite2].&amp;[-577155666371535798]&amp;[-6648085786151084407]&amp;[8614]" u="1" c="2. Enhancements/BRD's"/>
        <s v="[Test Suite].[Test Suite Hierarchy].[Suite2].&amp;[-577155666371535798]&amp;[-6648085786151084407]&amp;[8618]" u="1" c="6. Year End 2017"/>
        <s v="[Test Suite].[Test Suite Hierarchy].[Suite2].&amp;[-577155666371535798]&amp;[-6648085786151084407]&amp;[8619]" u="1" c="7. Invalid Test Cases"/>
        <s v="[Test Suite].[Test Suite Hierarchy].[Suite2].&amp;[-577155666371535798]&amp;[-6648085786151084407]&amp;[13669]" u="1" c="8. Year End 2018"/>
        <s v="[Test Suite].[Test Suite Hierarchy].[Suite2].&amp;[-577155666371535798]&amp;[-6648085786151084407]&amp;[7171]" u="1" c="1. Defects"/>
        <s v="[Test Suite].[Test Suite Hierarchy].[Suite2].&amp;[-577155666371535798]&amp;[-6648085786151084407]&amp;[6924]" u="1" c="2. Enhancements/BRD's"/>
        <s v="[Test Suite].[Test Suite Hierarchy].[Suite2].&amp;[-577155666371535798]&amp;[-6648085786151084407]&amp;[6919]" u="1" c="3. Reports"/>
        <s v="[Test Suite].[Test Suite Hierarchy].[Suite2].&amp;[-577155666371535798]&amp;[-6648085786151084407]&amp;[7496]" u="1" c="4. Forms"/>
        <s v="[Test Suite].[Test Suite Hierarchy].[Suite2].&amp;[-577155666371535798]&amp;[-6648085786151084407]&amp;[7580]" u="1" c="5. Operational Requirement"/>
        <s v="[Test Suite].[Test Suite Hierarchy].[Suite2].&amp;[-577155666371535798]&amp;[-6648085786151084407]&amp;[6741]" u="1" c="6. Year End"/>
        <s v="[Test Suite].[Test Suite Hierarchy].[Suite2].&amp;[-577155666371535798]&amp;[-6648085786151084407]&amp;[7259]" u="1" c="7. Invalid Test Cases"/>
        <s v="[Test Suite].[Test Suite Hierarchy].[Suite2].&amp;[-577155666371535798]&amp;[-6648085786151084407]&amp;[6616]" u="1" c="Cards Creation/Access"/>
        <s v="[Test Suite].[Test Suite Hierarchy].[Suite2].&amp;[-577155666371535798]&amp;[-6648085786151084407]&amp;[6588]" u="1" c="Centralized Services - Clearing"/>
        <s v="[Test Suite].[Test Suite Hierarchy].[Suite2].&amp;[-577155666371535798]&amp;[-6648085786151084407]&amp;[6591]" u="1" c="Mobile Banking"/>
        <s v="[Test Suite].[Test Suite Hierarchy].[Suite2].&amp;[-577155666371535798]&amp;[-6648085786151084407]&amp;[6579]" u="1" c="Online Banking"/>
        <s v="[Test Suite].[Test Suite Hierarchy].[Suite2].&amp;[-577155666371535798]&amp;[-6648085786151084407]&amp;[6582]" u="1" c="Telephone Banking"/>
        <s v="[Test Suite].[Test Suite Hierarchy].[Suite2].&amp;[-577155666371535798]&amp;[-6648085786151084407]&amp;[6602]" u="1" c="Annual Statement Validation"/>
        <s v="[Test Suite].[Test Suite Hierarchy].[Suite2].&amp;[-577155666371535798]&amp;[-6648085786151084407]&amp;[6601]" u="1" c="CRA Slips Validations"/>
        <s v="[Test Suite].[Test Suite Hierarchy].[Suite2].&amp;[-577155666371535798]&amp;[-6648085786151084407]&amp;[4317]" u="1" c="SIT-PAY-01-RBC Certification"/>
        <s v="[Test Suite].[Test Suite Hierarchy].[Suite2].&amp;[-577155666371535798]&amp;[-6648085786151084407]&amp;[4318]" u="1" c="SIT-PAY-02 -CUPS/CAFT/MECAFT"/>
        <s v="[Test Suite].[Test Suite Hierarchy].[Suite2].&amp;[-577155666371535798]&amp;[-6648085786151084407]&amp;[3949]" u="1" c="Everlink Pre-Certification"/>
        <s v="[Test Suite].[Test Suite Hierarchy].[Suite2].&amp;[-577155666371535798]&amp;[-6648085786151084407]&amp;[4395]" u="1" c="Everlink Pre-Certification 2"/>
        <s v="[Test Suite].[Test Suite Hierarchy].[Suite2].&amp;[-577155666371535798]&amp;[-6648085786151084407]&amp;[3961]" u="1" c="SIT-CHL-01 -Real Time Channels"/>
        <s v="[Test Suite].[Test Suite Hierarchy].[Suite2].&amp;[-577155666371535798]&amp;[-6648085786151084407]&amp;[3962]" u="1" c="SIT-CHL-02-Cards Update (FHM Real Time &amp; CAF Batch)"/>
        <s v="[Test Suite].[Test Suite Hierarchy].[Suite2].&amp;[-577155666371535798]&amp;[-6648085786151084407]&amp;[3963]" u="1" c="SIT-CHL-03-Security( Macing)"/>
        <s v="[Test Suite].[Test Suite Hierarchy].[Suite2].&amp;[-577155666371535798]&amp;[-6648085786151084407]&amp;[3955]" u="1" c="SIT-FIN-01-Treasury"/>
        <s v="[Test Suite].[Test Suite Hierarchy].[Suite2].&amp;[-577155666371535798]&amp;[-6648085786151084407]&amp;[4336]" u="1" c="Deferred Test Cases INT-018 from FT Iteration 7"/>
        <s v="[Test Suite].[Test Suite Hierarchy].[Suite2].&amp;[-577155666371535798]&amp;[-6648085786151084407]&amp;[4432]" u="1" c="Deferred Test Cases INT-022 from FT Iteration 8"/>
        <s v="[Test Suite].[Test Suite Hierarchy].[Suite2].&amp;[-577155666371535798]&amp;[-6648085786151084407]&amp;[4442]" u="1" c="Deferred Test Cases from FTMD"/>
        <s v="[Test Suite].[Test Suite Hierarchy].[Suite2].&amp;[-577155666371535798]&amp;[-6648085786151084407]&amp;[3923]" u="1" c="(Deferrred Test cases from Iteration 1)"/>
        <s v="[Test Suite].[Test Suite Hierarchy].[Suite2].&amp;[-577155666371535798]&amp;[-6648085786151084407]&amp;[3075]" u="1" c="BRD -TEL-001 -End of Day - EOD Balancing"/>
        <s v="[Test Suite].[Test Suite Hierarchy].[Suite2].&amp;[-577155666371535798]&amp;[-6648085786151084407]&amp;[3691]" u="1" c="Teller Application"/>
      </sharedItems>
      <mpMap v="65"/>
    </cacheField>
    <cacheField name="[Test Suite].[Test Suite Hierarchy].[Suite3]" caption="Suite3" numFmtId="0" hierarchy="181" level="6" mappingCount="1">
      <sharedItems count="172">
        <s v="[Test Suite].[Test Suite Hierarchy].[Suite3].&amp;[-577155666371535798]&amp;[-6648085786151084407]&amp;[28547]" c="Account Dashboard/Accounts" cp="1">
          <x/>
        </s>
        <s v="[Test Suite].[Test Suite Hierarchy].[Suite3].&amp;[-577155666371535798]&amp;[-6648085786151084407]&amp;[28550]" c="Alerts" cp="1">
          <x/>
        </s>
        <s v="[Test Suite].[Test Suite Hierarchy].[Suite3].&amp;[-577155666371535798]&amp;[-6648085786151084407]&amp;[28553]" c="Bill Payments" cp="1">
          <x/>
        </s>
        <s v="[Test Suite].[Test Suite Hierarchy].[Suite3].&amp;[-577155666371535798]&amp;[-6648085786151084407]&amp;[28556]" c="COB-Ret-MOB-runs" cp="1">
          <x/>
        </s>
        <s v="[Test Suite].[Test Suite Hierarchy].[Suite3].&amp;[-577155666371535798]&amp;[-6648085786151084407]&amp;[28557]" c="COB-Ret-OLB-runs" cp="1">
          <x/>
        </s>
        <s v="[Test Suite].[Test Suite Hierarchy].[Suite3].&amp;[-577155666371535798]&amp;[-6648085786151084407]&amp;[28558]" c="CRA Direct Deposit" cp="1">
          <x/>
        </s>
        <s v="[Test Suite].[Test Suite Hierarchy].[Suite3].&amp;[-577155666371535798]&amp;[-6648085786151084407]&amp;[28562]" c="e-Transfers" cp="1">
          <x/>
        </s>
        <s v="[Test Suite].[Test Suite Hierarchy].[Suite3].&amp;[-577155666371535798]&amp;[-6648085786151084407]&amp;[28565]" c="Feedback" cp="1">
          <x/>
        </s>
        <s v="[Test Suite].[Test Suite Hierarchy].[Suite3].&amp;[-577155666371535798]&amp;[-6648085786151084407]&amp;[28568]" c="Fund Transfer" cp="1">
          <x/>
        </s>
        <s v="[Test Suite].[Test Suite Hierarchy].[Suite3].&amp;[-577155666371535798]&amp;[-6648085786151084407]&amp;[28571]" c="Login-Logout" cp="1">
          <x/>
        </s>
        <s v="[Test Suite].[Test Suite Hierarchy].[Suite3].&amp;[-577155666371535798]&amp;[-6648085786151084407]&amp;[28574]" c="Pay Business Taxes" cp="1">
          <x/>
        </s>
        <s v="[Test Suite].[Test Suite Hierarchy].[Suite3].&amp;[-577155666371535798]&amp;[-6648085786151084407]&amp;[28580]" c="RDC-Ret-MOB" cp="1">
          <x/>
        </s>
        <s v="[Test Suite].[Test Suite Hierarchy].[Suite3].&amp;[-577155666371535798]&amp;[-6648085786151084407]&amp;[28581]" c="Stop Cheques" cp="1">
          <x/>
        </s>
        <s v="[Test Suite].[Test Suite Hierarchy].[Suite3].&amp;[-577155666371535798]&amp;[-6648085786151084407]&amp;[28587]" c="Acct Dbrd-SB-MOB" cp="1">
          <x v="1"/>
        </s>
        <s v="[Test Suite].[Test Suite Hierarchy].[Suite3].&amp;[-577155666371535798]&amp;[-6648085786151084407]&amp;[28590]" c="Alerts" cp="1">
          <x v="1"/>
        </s>
        <s v="[Test Suite].[Test Suite Hierarchy].[Suite3].&amp;[-577155666371535798]&amp;[-6648085786151084407]&amp;[28593]" c="Bill Payments" cp="1">
          <x v="1"/>
        </s>
        <s v="[Test Suite].[Test Suite Hierarchy].[Suite3].&amp;[-577155666371535798]&amp;[-6648085786151084407]&amp;[28596]" c="COB-SB-MOB runs" cp="1">
          <x v="1"/>
        </s>
        <s v="[Test Suite].[Test Suite Hierarchy].[Suite3].&amp;[-577155666371535798]&amp;[-6648085786151084407]&amp;[28597]" c="COB-SB-OLB runs" cp="1">
          <x v="1"/>
        </s>
        <s v="[Test Suite].[Test Suite Hierarchy].[Suite3].&amp;[-577155666371535798]&amp;[-6648085786151084407]&amp;[28598]" c="CRA Direct Deposit" cp="1">
          <x v="1"/>
        </s>
        <s v="[Test Suite].[Test Suite Hierarchy].[Suite3].&amp;[-577155666371535798]&amp;[-6648085786151084407]&amp;[28601]" c="e-Transfers" cp="1">
          <x v="1"/>
        </s>
        <s v="[Test Suite].[Test Suite Hierarchy].[Suite3].&amp;[-577155666371535798]&amp;[-6648085786151084407]&amp;[28604]" c="Feedback" cp="1">
          <x v="1"/>
        </s>
        <s v="[Test Suite].[Test Suite Hierarchy].[Suite3].&amp;[-577155666371535798]&amp;[-6648085786151084407]&amp;[28607]" c="Fund Transfer" cp="1">
          <x v="1"/>
        </s>
        <s v="[Test Suite].[Test Suite Hierarchy].[Suite3].&amp;[-577155666371535798]&amp;[-6648085786151084407]&amp;[28610]" c="Login-Logout" cp="1">
          <x v="1"/>
        </s>
        <s v="[Test Suite].[Test Suite Hierarchy].[Suite3].&amp;[-577155666371535798]&amp;[-6648085786151084407]&amp;[28613]" c="Pay Business Taxes" cp="1">
          <x v="1"/>
        </s>
        <s v="[Test Suite].[Test Suite Hierarchy].[Suite3].&amp;[-577155666371535798]&amp;[-6648085786151084407]&amp;[28619]" c="RDC-SB-MOB" cp="1">
          <x v="1"/>
        </s>
        <s v="[Test Suite].[Test Suite Hierarchy].[Suite3].&amp;[-577155666371535798]&amp;[-6648085786151084407]&amp;[28620]" c="Stop Cheques" cp="1">
          <x v="1"/>
        </s>
        <s v="[Test Suite].[Test Suite Hierarchy].[Suite3].&amp;[-577155666371535798]&amp;[-6648085786151084407]&amp;[28623]" c="Stop PAP" cp="1">
          <x v="1"/>
        </s>
        <s v="[Test Suite].[Test Suite Hierarchy].[Suite3].&amp;[-577155666371535798]&amp;[-6648085786151084407]&amp;[28626]" c="User Mgmt SB-OLB" cp="1">
          <x v="1"/>
        </s>
        <s v="[Test Suite].[Test Suite Hierarchy].[Suite3].&amp;[-577155666371535798]&amp;[-6648085786151084407]&amp;[27340]" c="Event Testing" cp="1">
          <x v="2"/>
        </s>
        <s v="[Test Suite].[Test Suite Hierarchy].[Suite3].&amp;[-577155666371535798]&amp;[-6648085786151084407]&amp;[26977]" c="ORT004 Multi-Time Zones per User per Day" cp="1">
          <x v="2"/>
        </s>
        <s v="[Test Suite].[Test Suite Hierarchy].[Suite3].&amp;[-577155666371535798]&amp;[-6648085786151084407]&amp;[27017]" c="ORT005 Inverse IP Geo Mismatch" cp="1">
          <x v="2"/>
        </s>
        <s v="[Test Suite].[Test Suite Hierarchy].[Suite3].&amp;[-577155666371535798]&amp;[-6648085786151084407]&amp;[27020]" c="ORT006 Login from Multiple Countries" cp="1">
          <x v="2"/>
        </s>
        <s v="[Test Suite].[Test Suite Hierarchy].[Suite3].&amp;[-577155666371535798]&amp;[-6648085786151084407]&amp;[26883]" c="ORT017 High Velocity ATO EMT Rule" cp="1">
          <x v="2"/>
        </s>
        <s v="[Test Suite].[Test Suite Hierarchy].[Suite3].&amp;[-577155666371535798]&amp;[-6648085786151084407]&amp;[26961]" c="ORT021 Mobile Device Usage Rule" cp="1">
          <x v="2"/>
        </s>
        <s v="[Test Suite].[Test Suite Hierarchy].[Suite3].&amp;[-577155666371535798]&amp;[-6648085786151084407]&amp;[27114]" c="ORT025 EMT Account Take Over Rule" cp="1">
          <x v="2"/>
        </s>
        <s v="[Test Suite].[Test Suite Hierarchy].[Suite3].&amp;[-577155666371535798]&amp;[-6648085786151084407]&amp;[27027]" c="ORT028 Online IP Blacklist" cp="1">
          <x v="2"/>
        </s>
        <s v="[Test Suite].[Test Suite Hierarchy].[Suite3].&amp;[-577155666371535798]&amp;[-6648085786151084407]&amp;[27028]" c="ORT029 High Risk eTransfers" cp="1">
          <x v="2"/>
        </s>
        <s v="[Test Suite].[Test Suite Hierarchy].[Suite3].&amp;[-577155666371535798]&amp;[-6648085786151084407]&amp;[29152]" c="ORT030 High Risk Outbound Specified Transaction Party Rule" cp="1">
          <x v="2"/>
        </s>
        <s v="[Test Suite].[Test Suite Hierarchy].[Suite3].&amp;[-577155666371535798]&amp;[-6648085786151084407]&amp;[27194]" c="ORT031 Money Request E-Transfer Rule" cp="1">
          <x v="2"/>
        </s>
        <s v="[Test Suite].[Test Suite Hierarchy].[Suite3].&amp;[-577155666371535798]&amp;[-6648085786151084407]&amp;[27200]" c="ORT032 New Same IP E-Transfer Rule" cp="1">
          <x v="2"/>
        </s>
        <s v="[Test Suite].[Test Suite Hierarchy].[Suite3].&amp;[-577155666371535798]&amp;[-6648085786151084407]&amp;[27197]" c="ORT033 Bill Beneficiary Rule" cp="1">
          <x v="2"/>
        </s>
        <s v="[Test Suite].[Test Suite Hierarchy].[Suite3].&amp;[-577155666371535798]&amp;[-6648085786151084407]&amp;[29149]" c="ORTXXX Access to Service from Known Proxy IP" cp="1">
          <x v="2"/>
        </s>
        <s v="[Test Suite].[Test Suite Hierarchy].[Suite3].&amp;[-577155666371535798]&amp;[-6648085786151084407]&amp;[28537]" c="(DM E2E - Cycle 3)" cp="1">
          <x v="3"/>
        </s>
        <s v="[Test Suite].[Test Suite Hierarchy].[Suite3].&amp;[-577155666371535798]&amp;[-6648085786151084407]&amp;[22145]" u="1" c="1.1 ENHC0010915 - Update Client Holdings Summary to Include Maturity or Renewal Date for Deposits"/>
        <s v="[Test Suite].[Test Suite Hierarchy].[Suite3].&amp;[-577155666371535798]&amp;[-6648085786151084407]&amp;[22536]" u="1" c="1.2 ENHC0011171 - Introduction of CWT and VTC TFSA Products"/>
        <s v="[Test Suite].[Test Suite Hierarchy].[Suite3].&amp;[-577155666371535798]&amp;[-6648085786151084407]&amp;[22635]" u="1" c="1.3 ENHC0011275 - CWB Prestige Package"/>
        <s v="[Test Suite].[Test Suite Hierarchy].[Suite3].&amp;[-577155666371535798]&amp;[-6648085786151084407]&amp;[22839]" u="1" c="1.4 ENHC0011325 - Addt'n of Update DAO activity to SDB Servicing Account"/>
        <s v="[Test Suite].[Test Suite Hierarchy].[Suite3].&amp;[-577155666371535798]&amp;[-6648085786151084407]&amp;[24490]" u="1" c="1.5 ENHC0011361 - Maximum Rate Validation on Accounts"/>
        <s v="[Test Suite].[Test Suite Hierarchy].[Suite3].&amp;[-577155666371535798]&amp;[-6648085786151084407]&amp;[24491]" u="1" c="1.5.1 ENHC0011396 - Update Rate Field from Negotiable to Non-Negotiable"/>
        <s v="[Test Suite].[Test Suite Hierarchy].[Suite3].&amp;[-577155666371535798]&amp;[-6648085786151084407]&amp;[24492]" u="1" c="1.5.2 ENHC0011408 - Update Rate Field from Non-Negotiable to Negotiable"/>
        <s v="[Test Suite].[Test Suite Hierarchy].[Suite3].&amp;[-577155666371535798]&amp;[-6648085786151084407]&amp;[25287]" u="1" c="1.6 ENHC0011436 - Updates to LCTR Thresholds - Interim Solution"/>
        <s v="[Test Suite].[Test Suite Hierarchy].[Suite3].&amp;[-577155666371535798]&amp;[-6648085786151084407]&amp;[26012]" u="1" c="1.7 ENHC0011417 - AgriInvest Account"/>
        <s v="[Test Suite].[Test Suite Hierarchy].[Suite3].&amp;[-577155666371535798]&amp;[-6648085786151084407]&amp;[26013]" u="1" c="1.8 ENHC0011469 - Servicing Accounts"/>
        <s v="[Test Suite].[Test Suite Hierarchy].[Suite3].&amp;[-577155666371535798]&amp;[-6648085786151084407]&amp;[26014]" u="1" c="1.9 ENHC0011198 - Country and Role"/>
        <s v="[Test Suite].[Test Suite Hierarchy].[Suite3].&amp;[-577155666371535798]&amp;[-6648085786151084407]&amp;[26522]" u="1" c="2.0 ENHC0011425 - Campaign Mandatory Field"/>
        <s v="[Test Suite].[Test Suite Hierarchy].[Suite3].&amp;[-577155666371535798]&amp;[-6648085786151084407]&amp;[22146]" u="1" c="2.0 FATCA CRS App"/>
        <s v="[Test Suite].[Test Suite Hierarchy].[Suite3].&amp;[-577155666371535798]&amp;[-6648085786151084407]&amp;[23352]" u="1" c="2.1 Personal Credit Card"/>
        <s v="[Test Suite].[Test Suite Hierarchy].[Suite3].&amp;[-577155666371535798]&amp;[-6648085786151084407]&amp;[24653]" u="1" c="2.3 FileNet - Consentia Digital"/>
        <s v="[Test Suite].[Test Suite Hierarchy].[Suite3].&amp;[-577155666371535798]&amp;[-6648085786151084407]&amp;[17060]" u="1" c="1.1 ENHC0010694 - CCV Dropdown Updates"/>
        <s v="[Test Suite].[Test Suite Hierarchy].[Suite3].&amp;[-577155666371535798]&amp;[-6648085786151084407]&amp;[16783]" u="1" c="1.2 ENHC0010808-Regulatory Gaps on Personal LOC Statements and ENHC 0010809-Change Personal Statement Cycle"/>
        <s v="[Test Suite].[Test Suite Hierarchy].[Suite3].&amp;[-577155666371535798]&amp;[-6648085786151084407]&amp;[17063]" u="1" c="1.3 ENHC0010594 - Debit Card Issuance"/>
        <s v="[Test Suite].[Test Suite Hierarchy].[Suite3].&amp;[-577155666371535798]&amp;[-6648085786151084407]&amp;[17746]" u="1" c="1.4 ENHC0010830 - Additional CRA and AB Tax Billers"/>
        <s v="[Test Suite].[Test Suite Hierarchy].[Suite3].&amp;[-577155666371535798]&amp;[-6648085786151084407]&amp;[18034]" u="1" c="1.5 ENHC0010797 - Email as a Mandatory Field and ENHC0010421 - Contact Fields as Mandatory on Non-Personal CIF"/>
        <s v="[Test Suite].[Test Suite Hierarchy].[Suite3].&amp;[-577155666371535798]&amp;[-6648085786151084407]&amp;[17065]" u="1" c="1.6 ENHC0010869 - Updates to Trust Fund Investment Account (TFIA)"/>
        <s v="[Test Suite].[Test Suite Hierarchy].[Suite3].&amp;[-577155666371535798]&amp;[-6648085786151084407]&amp;[17747]" u="1" c="1.7 ENHC0010900 - Increase Length of Deposit Products to Allow for up to 10 Year Terms"/>
        <s v="[Test Suite].[Test Suite Hierarchy].[Suite3].&amp;[-577155666371535798]&amp;[-6648085786151084407]&amp;[17748]" u="1" c="1.8 ENHC0010780 - Discretionary Rate Guarantee (AD-06)"/>
        <s v="[Test Suite].[Test Suite Hierarchy].[Suite3].&amp;[-577155666371535798]&amp;[-6648085786151084407]&amp;[18918]" u="1" c="1.9 ENHC0010827 - New Activity List Clean-up"/>
        <s v="[Test Suite].[Test Suite Hierarchy].[Suite3].&amp;[-577155666371535798]&amp;[-6648085786151084407]&amp;[18919]" u="1" c="2.0 ENHC0011087 - Update Change Activity for Schedule and Change Product Type Lending Activities"/>
        <s v="[Test Suite].[Test Suite Hierarchy].[Suite3].&amp;[-577155666371535798]&amp;[-6648085786151084407]&amp;[19144]" u="1" c="2.1 ENHC0011090 - ACH (EFT) Extract Enquiry Updates"/>
        <s v="[Test Suite].[Test Suite Hierarchy].[Suite3].&amp;[-577155666371535798]&amp;[-6648085786151084407]&amp;[19394]" u="1" c="2.2 ENHC0011135 - Updated Renewal Product for Homewokrs Interim Mortgage"/>
        <s v="[Test Suite].[Test Suite Hierarchy].[Suite3].&amp;[-577155666371535798]&amp;[-6648085786151084407]&amp;[19395]" u="1" c="2.3 ENHC0010914 - Addition of New Portfolio Programs to T24 and WAVE"/>
        <s v="[Test Suite].[Test Suite Hierarchy].[Suite3].&amp;[-577155666371535798]&amp;[-6648085786151084407]&amp;[18035]" u="1" c="6.1 BRD AL18 - Loan Payment Schedule Enquiry (BPR009-Retail Renewals)"/>
        <s v="[Test Suite].[Test Suite Hierarchy].[Suite3].&amp;[-577155666371535798]&amp;[-6648085786151084407]&amp;[17064]" u="1" c="6.2 ENHC0010910 - BPR009-Retail Mortgage Renewals (Project)"/>
        <s v="[Test Suite].[Test Suite Hierarchy].[Suite3].&amp;[-577155666371535798]&amp;[-6648085786151084407]&amp;[18506]" u="1" c="6.3 Loan Amortization Schedule (C19 related)"/>
        <s v="[Test Suite].[Test Suite Hierarchy].[Suite3].&amp;[-577155666371535798]&amp;[-6648085786151084407]&amp;[13649]" u="1" c="1.1 CH-27 MDB Change Product Display"/>
        <s v="[Test Suite].[Test Suite Hierarchy].[Suite3].&amp;[-577155666371535798]&amp;[-6648085786151084407]&amp;[13742]" u="1" c="1.2 ENHC0010581-Addt'n of Owner Names to Form 4159-Statement of Account (AA-02)"/>
        <s v="[Test Suite].[Test Suite Hierarchy].[Suite3].&amp;[-577155666371535798]&amp;[-6648085786151084407]&amp;[13809]" u="1" c="1.3 ENHC0010599-Transaction Narratives (TELL-06)"/>
        <s v="[Test Suite].[Test Suite Hierarchy].[Suite3].&amp;[-577155666371535798]&amp;[-6648085786151084407]&amp;[14651]" u="1" c="1.4 ENHC0010779-Reverse and Replay of Account Interest and Charges"/>
        <s v="[Test Suite].[Test Suite Hierarchy].[Suite3].&amp;[-577155666371535798]&amp;[-6648085786151084407]&amp;[15377]" u="1" c="1.5 ENHC0010787-New USD Products"/>
        <s v="[Test Suite].[Test Suite Hierarchy].[Suite3].&amp;[-577155666371535798]&amp;[-6648085786151084407]&amp;[15602]" u="1" c="1.6 ENHC0010807-Maximum Transaction Amount"/>
        <s v="[Test Suite].[Test Suite Hierarchy].[Suite3].&amp;[-577155666371535798]&amp;[-6648085786151084407]&amp;[15603]" u="1" c="1.7 ENHC0010810-Maximum Effective Rate on Deposits"/>
        <s v="[Test Suite].[Test Suite Hierarchy].[Suite3].&amp;[-577155666371535798]&amp;[-6648085786151084407]&amp;[15380]" u="1" c="1.8 ENHC0010688 - Single View of Client Holdings (BRD CUS 10)"/>
        <s v="[Test Suite].[Test Suite Hierarchy].[Suite3].&amp;[-577155666371535798]&amp;[-6648085786151084407]&amp;[15988]" u="1" c="1.9 ENHC0010818-New Motive RRIF Products"/>
        <s v="[Test Suite].[Test Suite Hierarchy].[Suite3].&amp;[-577155666371535798]&amp;[-6648085786151084407]&amp;[15987]" u="1" c="2.0 ENHC0010793-Remove Written Off Loan Balance from Exposure"/>
        <s v="[Test Suite].[Test Suite Hierarchy].[Suite3].&amp;[-577155666371535798]&amp;[-6648085786151084407]&amp;[15600]" u="1" c="2.1 ENHC0010802-Search and Add Ebill Vendors through CCV"/>
        <s v="[Test Suite].[Test Suite Hierarchy].[Suite3].&amp;[-577155666371535798]&amp;[-6648085786151084407]&amp;[15601]" u="1" c="2.2 ENHC0010803-Modify Recurring Ebill Payments"/>
        <s v="[Test Suite].[Test Suite Hierarchy].[Suite3].&amp;[-577155666371535798]&amp;[-6648085786151084407]&amp;[16346]" u="1" c="2.3 ENHC0010835-Add Hold Type to Basic Details Tab"/>
        <s v="[Test Suite].[Test Suite Hierarchy].[Suite3].&amp;[-577155666371535798]&amp;[-6648085786151084407]&amp;[16732]" u="1" c="2.4 ENHC0010445-Addition of Statement Options Tab to CCV"/>
        <s v="[Test Suite].[Test Suite Hierarchy].[Suite3].&amp;[-577155666371535798]&amp;[-6648085786151084407]&amp;[13116]" u="1" c="Mortgage 2018"/>
        <s v="[Test Suite].[Test Suite Hierarchy].[Suite3].&amp;[-577155666371535798]&amp;[-6648085786151084407]&amp;[13679]" u="1" c="RRIF Payment Validation Only 2018"/>
        <s v="[Test Suite].[Test Suite Hierarchy].[Suite3].&amp;[-577155666371535798]&amp;[-6648085786151084407]&amp;[14231]" u="1" c="CRA Slips Validation for Year ending 2019"/>
        <s v="[Test Suite].[Test Suite Hierarchy].[Suite3].&amp;[-577155666371535798]&amp;[-6648085786151084407]&amp;[14689]" u="1" c="5.1 BRD-Deposit Acknowledgement and Maturity Advices"/>
        <s v="[Test Suite].[Test Suite Hierarchy].[Suite3].&amp;[-577155666371535798]&amp;[-6648085786151084407]&amp;[12078]" u="1" c="1.1 Broker Number field on CWB Mortgages"/>
        <s v="[Test Suite].[Test Suite Hierarchy].[Suite3].&amp;[-577155666371535798]&amp;[-6648085786151084407]&amp;[10335]" u="1" c="1.1 ENHC0010466 - User Menu Updates for Optimum Mortgage Users"/>
        <s v="[Test Suite].[Test Suite Hierarchy].[Suite3].&amp;[-577155666371535798]&amp;[-6648085786151084407]&amp;[10444]" u="1" c="1.2 ENHC0010459 - Movement of CWB Intercompany Accounts to Branch 92"/>
        <s v="[Test Suite].[Test Suite Hierarchy].[Suite3].&amp;[-577155666371535798]&amp;[-6648085786151084407]&amp;[11264]" u="1" c="1.3 STMT-06 Statements with month end value dated Transactions and SUNGL"/>
        <s v="[Test Suite].[Test Suite Hierarchy].[Suite3].&amp;[-577155666371535798]&amp;[-6648085786151084407]&amp;[10555]" u="1" c="1.4 ENHC0010477 - User menu updates for CLPG"/>
        <s v="[Test Suite].[Test Suite Hierarchy].[Suite3].&amp;[-577155666371535798]&amp;[-6648085786151084407]&amp;[10556]" u="1" c="1.5 ENHC0010477 - User menu updates for Finance"/>
        <s v="[Test Suite].[Test Suite Hierarchy].[Suite3].&amp;[-577155666371535798]&amp;[-6648085786151084407]&amp;[11030]" u="1" c="1.6 ENHC0010528 - Allow View Access to CIF from Basic Details of CCV2"/>
        <s v="[Test Suite].[Test Suite Hierarchy].[Suite3].&amp;[-577155666371535798]&amp;[-6648085786151084407]&amp;[11032]" u="1" c="1.7 ENHC0010462-BRD CUS-07 - Enhanced CIF Validation Logic"/>
        <s v="[Test Suite].[Test Suite Hierarchy].[Suite3].&amp;[-577155666371535798]&amp;[-6648085786151084407]&amp;[10926]" u="1" c="1.8 ENHC0010249-BRD-CUS-08 - CCV Upgrade to Lower Tabs - Acct, Deposits, Registered"/>
        <s v="[Test Suite].[Test Suite Hierarchy].[Suite3].&amp;[-577155666371535798]&amp;[-6648085786151084407]&amp;[11221]" u="1" c="1.9 ENHC0010556 Updates to Rates and Fees on USD Products"/>
        <s v="[Test Suite].[Test Suite Hierarchy].[Suite3].&amp;[-577155666371535798]&amp;[-6648085786151084407]&amp;[11182]" u="1" c="2.0 ENHC0010537 - New Lending Staff POP"/>
        <s v="[Test Suite].[Test Suite Hierarchy].[Suite3].&amp;[-577155666371535798]&amp;[-6648085786151084407]&amp;[11266]" u="1" c="2.1 ENHC0010570 -Expand US Dollar GIC Offerings"/>
        <s v="[Test Suite].[Test Suite Hierarchy].[Suite3].&amp;[-577155666371535798]&amp;[-6648085786151084407]&amp;[11594]" u="1" c="2.2 ENHC0010238 - CUS09 - CCV Updates to Loan Tabs"/>
        <s v="[Test Suite].[Test Suite Hierarchy].[Suite3].&amp;[-577155666371535798]&amp;[-6648085786151084407]&amp;[11265]" u="1" c="2.3 ENHC0010555 - Personal Savings - US Dollar"/>
        <s v="[Test Suite].[Test Suite Hierarchy].[Suite3].&amp;[-577155666371535798]&amp;[-6648085786151084407]&amp;[11584]" u="1" c="2.4 ENHC0010410 Revised Loan Write Off Functionality in T24"/>
        <s v="[Test Suite].[Test Suite Hierarchy].[Suite3].&amp;[-577155666371535798]&amp;[-6648085786151084407]&amp;[7889]" u="1" c="2.5 ENHC0010374 - Remove Authorization on DAO Updates"/>
        <s v="[Test Suite].[Test Suite Hierarchy].[Suite3].&amp;[-577155666371535798]&amp;[-6648085786151084407]&amp;[11191]" u="1" c="2.6 ENHC0010544 CMA XL Account"/>
        <s v="[Test Suite].[Test Suite Hierarchy].[Suite3].&amp;[-577155666371535798]&amp;[-6648085786151084407]&amp;[12168]" u="1" c="2.7 ENH 0010533 - Add New Lending Programs"/>
        <s v="[Test Suite].[Test Suite Hierarchy].[Suite3].&amp;[-577155666371535798]&amp;[-6648085786151084407]&amp;[12191]" u="1" c="2.8 ENHC0010460 – Mortgage Backed Securities – Introduction of Debt Instrument"/>
        <s v="[Test Suite].[Test Suite Hierarchy].[Suite3].&amp;[-577155666371535798]&amp;[-6648085786151084407]&amp;[12192]" u="1" c="2.9 ENHC0010441 - E-Statements to be available via DOXIM by default"/>
        <s v="[Test Suite].[Test Suite Hierarchy].[Suite3].&amp;[-577155666371535798]&amp;[-6648085786151084407]&amp;[12193]" u="1" c="3.0 ENHC0010443 - BRD AC-04 - New T24 fields to capture est. transaction detail for Non-Personal accounts (AML)"/>
        <s v="[Test Suite].[Test Suite Hierarchy].[Suite3].&amp;[-577155666371535798]&amp;[-6648085786151084407]&amp;[12371]" u="1" c="3.1 ENHC0010561 – New Branch 83 for Ontario EFG"/>
        <s v="[Test Suite].[Test Suite Hierarchy].[Suite3].&amp;[-577155666371535798]&amp;[-6648085786151084407]&amp;[12818]" u="1" c="3.2 BRD-CH-26 - Western Union Auto Settlement"/>
        <s v="[Test Suite].[Test Suite Hierarchy].[Suite3].&amp;[-577155666371535798]&amp;[-6648085786151084407]&amp;[12819]" u="1" c="3.3 ENHC0010703 - New Motive Financial Demand Account"/>
        <s v="[Test Suite].[Test Suite Hierarchy].[Suite3].&amp;[-577155666371535798]&amp;[-6648085786151084407]&amp;[12820]" u="1" c="3.4 ENHC0010579 - Notice Products"/>
        <s v="[Test Suite].[Test Suite Hierarchy].[Suite3].&amp;[-577155666371535798]&amp;[-6648085786151084407]&amp;[13270]" u="1" c="3.6 ENHC0010535 - Enable Automated Calculation of USD FX Market Rates into T24"/>
        <s v="[Test Suite].[Test Suite Hierarchy].[Suite3].&amp;[-577155666371535798]&amp;[-6648085786151084407]&amp;[13419]" u="1" c="3.7 New Transaction Types for Manual Adjustment"/>
        <s v="[Test Suite].[Test Suite Hierarchy].[Suite3].&amp;[-577155666371535798]&amp;[-6648085786151084407]&amp;[9431]" u="1" c="Annual Statements Validation for year 2017"/>
        <s v="[Test Suite].[Test Suite Hierarchy].[Suite3].&amp;[-577155666371535798]&amp;[-6648085786151084407]&amp;[9473]" u="1" c="CRA Slips Validation for year 2017"/>
        <s v="[Test Suite].[Test Suite Hierarchy].[Suite3].&amp;[-577155666371535798]&amp;[-6648085786151084407]&amp;[13185]" u="1" c="BRD-CH-26 Western Union Auto Settlement"/>
        <s v="[Test Suite].[Test Suite Hierarchy].[Suite3].&amp;[-577155666371535798]&amp;[-6648085786151084407]&amp;[12081]" u="1" c="Broker Number field on CWB Mortgages"/>
        <s v="[Test Suite].[Test Suite Hierarchy].[Suite3].&amp;[-577155666371535798]&amp;[-6648085786151084407]&amp;[11010]" u="1" c="ENHC0010249-BRD-CUS-08 - CCV Upgrade to Lower Tabs"/>
        <s v="[Test Suite].[Test Suite Hierarchy].[Suite3].&amp;[-577155666371535798]&amp;[-6648085786151084407]&amp;[12107]" u="1" c="ENHC0010410 Revised Loan Write Off Functionality in T24"/>
        <s v="[Test Suite].[Test Suite Hierarchy].[Suite3].&amp;[-577155666371535798]&amp;[-6648085786151084407]&amp;[11033]" u="1" c="ENHC0010462-BRD CUS-07 - Enhanced CIF Validation Logic"/>
        <s v="[Test Suite].[Test Suite Hierarchy].[Suite3].&amp;[-577155666371535798]&amp;[-6648085786151084407]&amp;[10770]" u="1" c="ENHC0010466 - User Menu Updates for Optimum Mortgage Users"/>
        <s v="[Test Suite].[Test Suite Hierarchy].[Suite3].&amp;[-577155666371535798]&amp;[-6648085786151084407]&amp;[10771]" u="1" c="ENHC0010477 - User menu updates for CLPG"/>
        <s v="[Test Suite].[Test Suite Hierarchy].[Suite3].&amp;[-577155666371535798]&amp;[-6648085786151084407]&amp;[11469]" u="1" c="ENHC0010537 - New Lending Staff POP"/>
        <s v="[Test Suite].[Test Suite Hierarchy].[Suite3].&amp;[-577155666371535798]&amp;[-6648085786151084407]&amp;[13293]" u="1" c="ENHC0010579 - Notice Products"/>
        <s v="[Test Suite].[Test Suite Hierarchy].[Suite3].&amp;[-577155666371535798]&amp;[-6648085786151084407]&amp;[13109]" u="1" c="ENHC0010703 - New Motive Financial Demand Account"/>
        <s v="[Test Suite].[Test Suite Hierarchy].[Suite3].&amp;[-577155666371535798]&amp;[-6648085786151084407]&amp;[12973]" u="1" c="Annual Statements Validation for Year ending 2018"/>
        <s v="[Test Suite].[Test Suite Hierarchy].[Suite3].&amp;[-577155666371535798]&amp;[-6648085786151084407]&amp;[12974]" u="1" c="CRA Slips Validation for Year ending 2018"/>
        <s v="[Test Suite].[Test Suite Hierarchy].[Suite3].&amp;[-577155666371535798]&amp;[-6648085786151084407]&amp;[7172]" u="1" c="Defect 90369 - LOC.TO.AC Cover draft - Global/Available Limit"/>
        <s v="[Test Suite].[Test Suite Hierarchy].[Suite3].&amp;[-577155666371535798]&amp;[-6648085786151084407]&amp;[7446]" u="1" c="1.1 BRD-AL14 - Minimizing Coverdraft Sweeps"/>
        <s v="[Test Suite].[Test Suite Hierarchy].[Suite3].&amp;[-577155666371535798]&amp;[-6648085786151084407]&amp;[6923]" u="1" c="1.2 ENHC0010229 - Authorization Removal - Payout Deposit with a Balance"/>
        <s v="[Test Suite].[Test Suite Hierarchy].[Suite3].&amp;[-577155666371535798]&amp;[-6648085786151084407]&amp;[6922]" u="1" c="1.3 ENHC0010161 - GICs held as collateral"/>
        <s v="[Test Suite].[Test Suite Hierarchy].[Suite3].&amp;[-577155666371535798]&amp;[-6648085786151084407]&amp;[7031]" u="1" c="1.4 ENHC0010252 - CCV Changes to Customer Info Tabs"/>
        <s v="[Test Suite].[Test Suite Hierarchy].[Suite3].&amp;[-577155666371535798]&amp;[-6648085786151084407]&amp;[7604]" u="1" c="1.5 ENHC0010416 - Track Customer consent to share Personal information for marketing purposes in T24"/>
        <s v="[Test Suite].[Test Suite Hierarchy].[Suite3].&amp;[-577155666371535798]&amp;[-6648085786151084407]&amp;[7890]" u="1" c="1.6 BRD-AL16 - Loan Pool Data Fields"/>
        <s v="[Test Suite].[Test Suite Hierarchy].[Suite3].&amp;[-577155666371535798]&amp;[-6648085786151084407]&amp;[7030]" u="1" c="1.7 ENHC0010250 - CS.Auth Privilege Set require access to BNK,CWT,VTC to ammend/create tax slips"/>
        <s v="[Test Suite].[Test Suite Hierarchy].[Suite3].&amp;[-577155666371535798]&amp;[-6648085786151084407]&amp;[7891]" u="1" c="1.8 ENHC0010440 - CCV Search Must Indicate Customer Status"/>
        <s v="[Test Suite].[Test Suite Hierarchy].[Suite3].&amp;[-577155666371535798]&amp;[-6648085786151084407]&amp;[7919]" u="1" c="1.9 ENHC0010448 - Add Flash Debit Cards to T24"/>
        <s v="[Test Suite].[Test Suite Hierarchy].[Suite3].&amp;[-577155666371535798]&amp;[-6648085786151084407]&amp;[8786]" u="1" c="2.1 ENHC0010393– Updates Required to per item Fees (Business and Personal Accounts)"/>
        <s v="[Test Suite].[Test Suite Hierarchy].[Suite3].&amp;[-577155666371535798]&amp;[-6648085786151084407]&amp;[7361]" u="1" c="2.3 ENHC0010347 – BRD-CUS-06-AML Regulatory Changes for Client Identity"/>
        <s v="[Test Suite].[Test Suite Hierarchy].[Suite3].&amp;[-577155666371535798]&amp;[-6648085786151084407]&amp;[6921]" u="1" c="1. PBI-64699 Master Delinquency Report - New LOC Delinquency Calculation"/>
        <s v="[Test Suite].[Test Suite Hierarchy].[Suite3].&amp;[-577155666371535798]&amp;[-6648085786151084407]&amp;[7675]" u="1" c="2. BUG89071 INSIGHT - Account Based LOC Solution"/>
        <s v="[Test Suite].[Test Suite Hierarchy].[Suite3].&amp;[-577155666371535798]&amp;[-6648085786151084407]&amp;[7705]" u="1" c="3. PBI-99249 BI1707832 Non-Revolving LOC Report"/>
        <s v="[Test Suite].[Test Suite Hierarchy].[Suite3].&amp;[-577155666371535798]&amp;[-6648085786151084407]&amp;[7920]" u="1" c="4. PBI-74891 - Cycle1-Loan Principle &amp; Interest Stmt"/>
        <s v="[Test Suite].[Test Suite Hierarchy].[Suite3].&amp;[-577155666371535798]&amp;[-6648085786151084407]&amp;[7554]" u="1" c="PBI100033 - Modify Personal Account Application Form (AUTOFORM)- Updated Release"/>
        <s v="[Test Suite].[Test Suite Hierarchy].[Suite3].&amp;[-577155666371535798]&amp;[-6648085786151084407]&amp;[7946]" u="1" c="PBI100925 - Modify Form 4197 (Deposit Acknowledgement)"/>
        <s v="[Test Suite].[Test Suite Hierarchy].[Suite3].&amp;[-577155666371535798]&amp;[-6648085786151084407]&amp;[7959]" u="1" c="PBI100925 - Modify Personal Account Application Form - In-Trust for"/>
        <s v="[Test Suite].[Test Suite Hierarchy].[Suite3].&amp;[-577155666371535798]&amp;[-6648085786151084407]&amp;[7497]" u="1" c="PBI97663/102372 - Modify Form 4246 (Update Debit Card)"/>
        <s v="[Test Suite].[Test Suite Hierarchy].[Suite3].&amp;[-577155666371535798]&amp;[-6648085786151084407]&amp;[7552]" u="1" c="PBI99956 - Modify Business Account Application Form 4238 and 4010 (AUTOFORM)"/>
        <s v="[Test Suite].[Test Suite Hierarchy].[Suite3].&amp;[-577155666371535798]&amp;[-6648085786151084407]&amp;[7575]" u="1" c="PBI100204 - Transfer Portfolio from Branch 32 to 31"/>
        <s v="[Test Suite].[Test Suite Hierarchy].[Suite3].&amp;[-577155666371535798]&amp;[-6648085786151084407]&amp;[6742]" u="1" c="CRA Slips Validation for year 2016"/>
        <s v="[Test Suite].[Test Suite Hierarchy].[Suite3].&amp;[-577155666371535798]&amp;[-6648085786151084407]&amp;[7447]" u="1" c="BRD-AL14 - Minimizing Coverdraft Sweeps"/>
        <s v="[Test Suite].[Test Suite Hierarchy].[Suite3].&amp;[-577155666371535798]&amp;[-6648085786151084407]&amp;[7261]" u="1" c="ENHC0010161 - GICs held as collateral"/>
        <s v="[Test Suite].[Test Suite Hierarchy].[Suite3].&amp;[-577155666371535798]&amp;[-6648085786151084407]&amp;[7263]" u="1" c="ENHC0010229 - Authorization Removal - Payout Deposit with a Balance"/>
        <s v="[Test Suite].[Test Suite Hierarchy].[Suite3].&amp;[-577155666371535798]&amp;[-6648085786151084407]&amp;[7405]" u="1" c="ENHC0010252 CCV Changes to Cust info Tabs"/>
        <s v="[Test Suite].[Test Suite Hierarchy].[Suite3].&amp;[-577155666371535798]&amp;[-6648085786151084407]&amp;[7610]" u="1" c="PBI100204 - Transfer Portfolio from Branch 32 to 31"/>
        <s v="[Test Suite].[Test Suite Hierarchy].[Suite3].&amp;[-577155666371535798]&amp;[-6648085786151084407]&amp;[7260]" u="1" c="PBI-64699 Master Delinquency Report - New LOC Delinquency Calculation"/>
        <s v="[Test Suite].[Test Suite Hierarchy].[Suite3].&amp;[-577155666371535798]&amp;[-6648085786151084407]&amp;[6603]" u="1" c="Mortgage"/>
        <s v="[Test Suite].[Test Suite Hierarchy].[Suite3].&amp;[-577155666371535798]&amp;[-6648085786151084407]&amp;[6604]" u="1" c="RRIF"/>
        <s v="[Test Suite].[Test Suite Hierarchy].[Suite3].&amp;[-577155666371535798]&amp;[-6648085786151084407]&amp;[6605]" u="1" c="RRSP"/>
        <s v="[Test Suite].[Test Suite Hierarchy].[Suite3].&amp;[-577155666371535798]&amp;[-6648085786151084407]&amp;[6606]" u="1" c="TFSA"/>
        <s v="[Test Suite].[Test Suite Hierarchy].[Suite3].&amp;[-577155666371535798]&amp;[-6648085786151084407]&amp;[6610]" u="1" c="NR4"/>
        <s v="[Test Suite].[Test Suite Hierarchy].[Suite3].&amp;[-577155666371535798]&amp;[-6648085786151084407]&amp;[6613]" u="1" c="RSP Receipts"/>
        <s v="[Test Suite].[Test Suite Hierarchy].[Suite3].&amp;[-577155666371535798]&amp;[-6648085786151084407]&amp;[6608]" u="1" c="T4-RRIF"/>
        <s v="[Test Suite].[Test Suite Hierarchy].[Suite3].&amp;[-577155666371535798]&amp;[-6648085786151084407]&amp;[6609]" u="1" c="T4-RSP"/>
        <s v="[Test Suite].[Test Suite Hierarchy].[Suite3].&amp;[-577155666371535798]&amp;[-6648085786151084407]&amp;[6607]" u="1" c="T5"/>
        <s v="[Test Suite].[Test Suite Hierarchy].[Suite3].&amp;[-577155666371535798]&amp;[-6648085786151084407]&amp;[4634]" u="1" c="(SIT-CUST-01 Customer &amp; CCV)"/>
      </sharedItems>
      <mpMap v="66"/>
    </cacheField>
    <cacheField name="[Test Suite].[Test Suite Hierarchy].[Suite4]" caption="Suite4" numFmtId="0" hierarchy="181" level="7">
      <sharedItems count="35">
        <s v="[Test Suite].[Test Suite Hierarchy].[Suite4].&amp;[-577155666371535798]&amp;[-6648085786151084407]&amp;[28597]" c="(COB-SB-OLB runs)"/>
        <s v="[Test Suite].[Test Suite Hierarchy].[Suite4].&amp;[-577155666371535798]&amp;[-6648085786151084407]&amp;[22636]" u="1" c="Amelie"/>
        <s v="[Test Suite].[Test Suite Hierarchy].[Suite4].&amp;[-577155666371535798]&amp;[-6648085786151084407]&amp;[22637]" u="1" c="Robbie"/>
        <s v="[Test Suite].[Test Suite Hierarchy].[Suite4].&amp;[-577155666371535798]&amp;[-6648085786151084407]&amp;[22536]" u="1" c="(1.1 ENHC0011171 - Introduction of CWT and VTC TFSA Products)"/>
        <s v="[Test Suite].[Test Suite Hierarchy].[Suite4].&amp;[-577155666371535798]&amp;[-6648085786151084407]&amp;[17748]" u="1" c="(1.8 ENHC0010780 - Discretionary Rate Guarantee (AD-06))"/>
        <s v="[Test Suite].[Test Suite Hierarchy].[Suite4].&amp;[-577155666371535798]&amp;[-6648085786151084407]&amp;[14229]" u="1" c="RSP Contribution Receipts"/>
        <s v="[Test Suite].[Test Suite Hierarchy].[Suite4].&amp;[-577155666371535798]&amp;[-6648085786151084407]&amp;[13879]" u="1" c="Part 1-TC_Statement and CWBdirect"/>
        <s v="[Test Suite].[Test Suite Hierarchy].[Suite4].&amp;[-577155666371535798]&amp;[-6648085786151084407]&amp;[13880]" u="1" c="Part 2-TC_Transaction Receipts"/>
        <s v="[Test Suite].[Test Suite Hierarchy].[Suite4].&amp;[-577155666371535798]&amp;[-6648085786151084407]&amp;[13679]" u="1" c="(RRIF Payment Validation Only)"/>
        <s v="[Test Suite].[Test Suite Hierarchy].[Suite4].&amp;[-577155666371535798]&amp;[-6648085786151084407]&amp;[9432]" u="1" c="Mortgage Cycle 1"/>
        <s v="[Test Suite].[Test Suite Hierarchy].[Suite4].&amp;[-577155666371535798]&amp;[-6648085786151084407]&amp;[10439]" u="1" c="Mortgage Cycle 2"/>
        <s v="[Test Suite].[Test Suite Hierarchy].[Suite4].&amp;[-577155666371535798]&amp;[-6648085786151084407]&amp;[9433]" u="1" c="RRIF"/>
        <s v="[Test Suite].[Test Suite Hierarchy].[Suite4].&amp;[-577155666371535798]&amp;[-6648085786151084407]&amp;[9434]" u="1" c="RRSP"/>
        <s v="[Test Suite].[Test Suite Hierarchy].[Suite4].&amp;[-577155666371535798]&amp;[-6648085786151084407]&amp;[9435]" u="1" c="TFSA"/>
        <s v="[Test Suite].[Test Suite Hierarchy].[Suite4].&amp;[-577155666371535798]&amp;[-6648085786151084407]&amp;[9481]" u="1" c="NR4"/>
        <s v="[Test Suite].[Test Suite Hierarchy].[Suite4].&amp;[-577155666371535798]&amp;[-6648085786151084407]&amp;[9482]" u="1" c="RSP Receipts"/>
        <s v="[Test Suite].[Test Suite Hierarchy].[Suite4].&amp;[-577155666371535798]&amp;[-6648085786151084407]&amp;[9485]" u="1" c="T4-RRIF"/>
        <s v="[Test Suite].[Test Suite Hierarchy].[Suite4].&amp;[-577155666371535798]&amp;[-6648085786151084407]&amp;[9486]" u="1" c="T4-RSP"/>
        <s v="[Test Suite].[Test Suite Hierarchy].[Suite4].&amp;[-577155666371535798]&amp;[-6648085786151084407]&amp;[9487]" u="1" c="T5"/>
        <s v="[Test Suite].[Test Suite Hierarchy].[Suite4].&amp;[-577155666371535798]&amp;[-6648085786151084407]&amp;[12821]" u="1" c="Motive Cha-Ching Chequing"/>
        <s v="[Test Suite].[Test Suite Hierarchy].[Suite4].&amp;[-577155666371535798]&amp;[-6648085786151084407]&amp;[12822]" u="1" c="Motive Savvy Savings"/>
        <s v="[Test Suite].[Test Suite Hierarchy].[Suite4].&amp;[-577155666371535798]&amp;[-6648085786151084407]&amp;[11184]" u="1" c="CAP Loans"/>
        <s v="[Test Suite].[Test Suite Hierarchy].[Suite4].&amp;[-577155666371535798]&amp;[-6648085786151084407]&amp;[11185]" u="1" c="CLPG"/>
        <s v="[Test Suite].[Test Suite Hierarchy].[Suite4].&amp;[-577155666371535798]&amp;[-6648085786151084407]&amp;[11253]" u="1" c="USD BSA"/>
        <s v="[Test Suite].[Test Suite Hierarchy].[Suite4].&amp;[-577155666371535798]&amp;[-6648085786151084407]&amp;[11254]" u="1" c="USD Business Chequing"/>
        <s v="[Test Suite].[Test Suite Hierarchy].[Suite4].&amp;[-577155666371535798]&amp;[-6648085786151084407]&amp;[10902]" u="1" c="ENHC0010462-BRD CUS-07 - Enhanced CIF Validation Logic - Cycle 1"/>
        <s v="[Test Suite].[Test Suite Hierarchy].[Suite4].&amp;[-577155666371535798]&amp;[-6648085786151084407]&amp;[11031]" u="1" c="ENHC0010462-BRD CUS-07 - Enhanced CIF Validation Logic - Cycle 2"/>
        <s v="[Test Suite].[Test Suite Hierarchy].[Suite4].&amp;[-577155666371535798]&amp;[-6648085786151084407]&amp;[10925]" u="1" c="ENHC0010528 - Allow View Access to CIF from Basic Details of CCV - Cycle 1"/>
        <s v="[Test Suite].[Test Suite Hierarchy].[Suite4].&amp;[-577155666371535798]&amp;[-6648085786151084407]&amp;[11029]" u="1" c="ENHC0010528 - Allow View Access to CIF from Basic Details of CCV - Cycle 2"/>
        <s v="[Test Suite].[Test Suite Hierarchy].[Suite4].&amp;[-577155666371535798]&amp;[-6648085786151084407]&amp;[10931]" u="1" c="ENHC0010249-BRD-CUS-08 - CCV Upgrade to Lower Tabs - Accounts"/>
        <s v="[Test Suite].[Test Suite Hierarchy].[Suite4].&amp;[-577155666371535798]&amp;[-6648085786151084407]&amp;[10932]" u="1" c="ENHC0010249-BRD-CUS-08 - CCV Upgrade to Lower Tabs - Deposits"/>
        <s v="[Test Suite].[Test Suite Hierarchy].[Suite4].&amp;[-577155666371535798]&amp;[-6648085786151084407]&amp;[10933]" u="1" c="ENHC0010249-BRD-CUS-08 - CCV Upgrade to Lower Tabs - Registered"/>
        <s v="[Test Suite].[Test Suite Hierarchy].[Suite4].&amp;[-577155666371535798]&amp;[-6648085786151084407]&amp;[10444]" u="1" c="(ENHC0010459 - Movement of CWB Intercompany Accounts to Branch 92)"/>
        <s v="[Test Suite].[Test Suite Hierarchy].[Suite4].&amp;[-577155666371535798]&amp;[-6648085786151084407]&amp;[7889]" u="1" c="(ENHC0010374 - Remove Authorization on DAO Updates)"/>
        <s v="[Test Suite].[Test Suite Hierarchy].[Suite4].&amp;[-577155666371535798]&amp;[-6648085786151084407]&amp;[7675]" u="1" c="(2. BUG89071 INSIGHT - Account Based LOC Solution)"/>
      </sharedItems>
    </cacheField>
    <cacheField name="[Test Suite].[Test Suite Hierarchy].[Suite5]" caption="Suite5" numFmtId="0" hierarchy="181" level="8">
      <sharedItems containsSemiMixedTypes="0" containsString="0"/>
    </cacheField>
    <cacheField name="[Test Suite].[Test Suite Hierarchy].[Suite6]" caption="Suite6" numFmtId="0" hierarchy="181" level="9">
      <sharedItems containsSemiMixedTypes="0" containsString="0"/>
    </cacheField>
    <cacheField name="[Test Suite].[Test Suite Hierarchy].[Suite7]" caption="Suite7" numFmtId="0" hierarchy="181" level="10">
      <sharedItems containsSemiMixedTypes="0" containsString="0"/>
    </cacheField>
    <cacheField name="[Test Suite].[Test Suite Hierarchy].[Suite8]" caption="Suite8" numFmtId="0" hierarchy="181" level="11">
      <sharedItems containsSemiMixedTypes="0" containsString="0"/>
    </cacheField>
    <cacheField name="[Test Suite].[Test Suite Hierarchy].[Suite9]" caption="Suite9" numFmtId="0" hierarchy="181" level="12">
      <sharedItems containsSemiMixedTypes="0" containsString="0"/>
    </cacheField>
    <cacheField name="[Test Suite].[Test Suite Hierarchy].[Suite10]" caption="Suite10" numFmtId="0" hierarchy="181" level="13">
      <sharedItems containsSemiMixedTypes="0" containsString="0"/>
    </cacheField>
    <cacheField name="[Test Suite].[Test Suite Hierarchy].[Suite11]" caption="Suite11" numFmtId="0" hierarchy="181" level="14">
      <sharedItems containsSemiMixedTypes="0" containsString="0"/>
    </cacheField>
    <cacheField name="[Test Suite].[Test Suite Hierarchy].[Suite12]" caption="Suite12" numFmtId="0" hierarchy="181" level="15">
      <sharedItems containsSemiMixedTypes="0" containsString="0"/>
    </cacheField>
    <cacheField name="[Test Suite].[Test Suite Hierarchy].[Suite13]" caption="Suite13" numFmtId="0" hierarchy="181" level="16">
      <sharedItems containsSemiMixedTypes="0" containsString="0"/>
    </cacheField>
    <cacheField name="[Test Suite].[Test Suite Hierarchy].[Team Project].[Team Project Collection]" caption="Team Project Collection" propertyName="Team Project Collection" numFmtId="0" hierarchy="181" level="2" memberPropertyField="1">
      <sharedItems count="1">
        <s v="Core Banking"/>
      </sharedItems>
    </cacheField>
    <cacheField name="[Test Suite].[Test Suite Hierarchy].[Suite0].[Team Project]" caption="Team Project" propertyName="Team Project" numFmtId="0" hierarchy="181" level="3" memberPropertyField="1">
      <sharedItems count="1">
        <s v="Core Banking"/>
      </sharedItems>
    </cacheField>
    <cacheField name="[Test Suite].[Test Suite Hierarchy].[Suite1].[Suite0]" caption="Suite0" propertyName="Suite0" numFmtId="0" hierarchy="181" level="4" memberPropertyField="1">
      <sharedItems count="1">
        <s v="DIGITAL"/>
      </sharedItems>
    </cacheField>
    <cacheField name="[Test Suite].[Test Suite Hierarchy].[Suite2].[Suite1]" caption="Suite1" propertyName="Suite1" numFmtId="0" hierarchy="181" level="5" memberPropertyField="1">
      <sharedItems count="1">
        <s v="5 - Digital Online Banking"/>
      </sharedItems>
    </cacheField>
    <cacheField name="[Test Suite].[Test Suite Hierarchy].[Suite3].[Suite2]" caption="Suite2" propertyName="Suite2" numFmtId="0" hierarchy="181" level="6" memberPropertyField="1">
      <sharedItems count="4">
        <s v="15 - E2E - Ret - Bld 23 - 08/10/21"/>
        <s v="15 - E2E - SB - Bld 23 - 08/10/21"/>
        <s v="4 - Fraud (Navaera)"/>
        <s v="DM E2E - Cycle 3"/>
      </sharedItems>
    </cacheField>
    <cacheField name="[Test Suite].[Test Suite Hierarchy].[Suite4].[Suite3]" caption="Suite3" propertyName="Suite3" numFmtId="0" hierarchy="181" level="7" memberPropertyField="1">
      <sharedItems containsSemiMixedTypes="0" containsString="0"/>
    </cacheField>
    <cacheField name="[Test Suite].[Test Suite Hierarchy].[Suite5].[Suite4]" caption="Suite4" propertyName="Suite4" numFmtId="0" hierarchy="181" level="8" memberPropertyField="1">
      <sharedItems containsSemiMixedTypes="0" containsString="0"/>
    </cacheField>
    <cacheField name="[Test Suite].[Test Suite Hierarchy].[Suite6].[Suite5]" caption="Suite5" propertyName="Suite5" numFmtId="0" hierarchy="181" level="9" memberPropertyField="1">
      <sharedItems containsSemiMixedTypes="0" containsString="0"/>
    </cacheField>
    <cacheField name="[Test Suite].[Test Suite Hierarchy].[Suite7].[Suite6]" caption="Suite6" propertyName="Suite6" numFmtId="0" hierarchy="181" level="10" memberPropertyField="1">
      <sharedItems containsSemiMixedTypes="0" containsString="0"/>
    </cacheField>
    <cacheField name="[Test Suite].[Test Suite Hierarchy].[Suite8].[Suite7]" caption="Suite7" propertyName="Suite7" numFmtId="0" hierarchy="181" level="11" memberPropertyField="1">
      <sharedItems containsSemiMixedTypes="0" containsString="0"/>
    </cacheField>
    <cacheField name="[Test Suite].[Test Suite Hierarchy].[Suite9].[Suite8]" caption="Suite8" propertyName="Suite8" numFmtId="0" hierarchy="181" level="12" memberPropertyField="1">
      <sharedItems containsSemiMixedTypes="0" containsString="0"/>
    </cacheField>
    <cacheField name="[Test Suite].[Test Suite Hierarchy].[Suite10].[Suite9]" caption="Suite9" propertyName="Suite9" numFmtId="0" hierarchy="181" level="13" memberPropertyField="1">
      <sharedItems containsSemiMixedTypes="0" containsString="0"/>
    </cacheField>
    <cacheField name="[Test Suite].[Test Suite Hierarchy].[Suite11].[Suite10]" caption="Suite10" propertyName="Suite10" numFmtId="0" hierarchy="181" level="14" memberPropertyField="1">
      <sharedItems containsSemiMixedTypes="0" containsString="0"/>
    </cacheField>
    <cacheField name="[Test Suite].[Test Suite Hierarchy].[Suite12].[Suite11]" caption="Suite11" propertyName="Suite11" numFmtId="0" hierarchy="181" level="15" memberPropertyField="1">
      <sharedItems containsSemiMixedTypes="0" containsString="0"/>
    </cacheField>
    <cacheField name="[Test Suite].[Test Suite Hierarchy].[Suite13].[Suite12]" caption="Suite12" propertyName="Suite12" numFmtId="0" hierarchy="181" level="16" memberPropertyField="1">
      <sharedItems containsSemiMixedTypes="0" containsString="0"/>
    </cacheField>
    <cacheField name="[Test Result].[Outcome].[Outcome]" caption="Outcome" numFmtId="0" hierarchy="159" level="1">
      <sharedItems count="5">
        <s v="[Test Result].[Outcome].&amp;[Blocked]" c="Blocked"/>
        <s v="[Test Result].[Outcome].&amp;[Failed]" c="Failed"/>
        <s v="[Test Result].[Outcome].&amp;[In Progress]" c="In Progress"/>
        <s v="[Test Result].[Outcome].&amp;[Never Run]" c="Never Run"/>
        <s v="[Test Result].[Outcome].&amp;[Passed]" c="Passed"/>
      </sharedItems>
    </cacheField>
  </cacheFields>
  <cacheHierarchies count="838">
    <cacheHierarchy uniqueName="[Assembly].[Assembly]" caption="Assembly" attribute="1" defaultMemberUniqueName="[Assembly].[Assembly].[All]" allUniqueName="[Assembly].[Assembly].[All]" dimensionUniqueName="[Assembly]" displayFolder="" count="0" unbalanced="0"/>
    <cacheHierarchy uniqueName="[Build].[Build]" caption="Build Name" attribute="1" keyAttribute="1" defaultMemberUniqueName="[Build].[Build].[All]" allUniqueName="[Build].[Build].[All]" dimensionUniqueName="[Build]" displayFolder="" count="0" unbalanced="0"/>
    <cacheHierarchy uniqueName="[Build].[Build Definition Name]" caption="Build Definition Name" attribute="1" defaultMemberUniqueName="[Build].[Build Definition Name].[All]" allUniqueName="[Build].[Build Definition Name].[All]" dimensionUniqueName="[Build]" displayFolder="" count="0" unbalanced="0"/>
    <cacheHierarchy uniqueName="[Build].[Build ID]" caption="Build ID" attribute="1" defaultMemberUniqueName="[Build].[Build ID].[All]" allUniqueName="[Build].[Build ID].[All]" dimensionUniqueName="[Build]" displayFolder="" count="0" unbalanced="0"/>
    <cacheHierarchy uniqueName="[Build].[Build Start Time]" caption="Build Start Time" attribute="1" defaultMemberUniqueName="[Build].[Build Start Time].[All]" allUniqueName="[Build].[Build Start Time].[All]" dimensionUniqueName="[Build]" displayFolder="" count="0" unbalanced="0"/>
    <cacheHierarchy uniqueName="[Build].[Build Type]" caption="Build Type" attribute="1" defaultMemberUniqueName="[Build].[Build Type].[All]" allUniqueName="[Build].[Build Type].[All]" dimensionUniqueName="[Build]" displayFolder="" count="0" unbalanced="0"/>
    <cacheHierarchy uniqueName="[Build].[Drop Location]" caption="Drop Location" attribute="1" defaultMemberUniqueName="[Build].[Drop Location].[All]" allUniqueName="[Build].[Drop Location].[All]" dimensionUniqueName="[Build]" displayFolder="" count="0" unbalanced="0"/>
    <cacheHierarchy uniqueName="[Build Flavor].[Build Flavor]" caption="Build Flavor" attribute="1" defaultMemberUniqueName="[Build Flavor].[Build Flavor].[All]" allUniqueName="[Build Flavor].[Build Flavor].[All]" dimensionUniqueName="[Build Flavor]" displayFolder="" count="0" unbalanced="0"/>
    <cacheHierarchy uniqueName="[Build Platform].[Build Platform]" caption="Build Platform" attribute="1" defaultMemberUniqueName="[Build Platform].[Build Platform].[All]" allUniqueName="[Build Platform].[Build Platform].[All]" dimensionUniqueName="[Build Platform]" displayFolder="" count="0" unbalanced="0"/>
    <cacheHierarchy uniqueName="[Build Quality].[Build Quality]" caption="Build Quality" attribute="1" defaultMemberUniqueName="[Build Quality].[Build Quality].[All]" allUniqueName="[Build Quality].[Build Quality].[All]" dimensionUniqueName="[Build Quality]" displayFolder="" count="0" unbalanced="0"/>
    <cacheHierarchy uniqueName="[Build Source Project File].[File Extension]" caption="Build Source Project File.File Extension" attribute="1" defaultMemberUniqueName="[Build Source Project File].[File Extension].[All]" allUniqueName="[Build Source Project File].[File Extension].[All]" dimensionUniqueName="[Build Source Project File]" displayFolder="" count="0" unbalanced="0"/>
    <cacheHierarchy uniqueName="[Build Source Project File].[File Hierarchy]" caption="Build Source Project File.File Hierarchy" defaultMemberUniqueName="[Build Source Project File].[File Hierarchy].[All]" allUniqueName="[Build Source Project File].[File Hierarchy].[All]" dimensionUniqueName="[Build Source Project File]" displayFolder="" count="0" unbalanced="1"/>
    <cacheHierarchy uniqueName="[Build Status].[Build Status]" caption="Build Status Name" attribute="1" defaultMemberUniqueName="[Build Status].[Build Status].[All]" allUniqueName="[Build Status].[Build Status].[All]" dimensionUniqueName="[Build Status]" displayFolder="" count="0" unbalanced="0"/>
    <cacheHierarchy uniqueName="[Date].[Date]" caption="Date" attribute="1" time="1" defaultMemberUniqueName="[Date].[Date].[All]" allUniqueName="[Date].[Date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unbalanced="0"/>
    <cacheHierarchy uniqueName="[Date].[Week]" caption="Week" attribute="1" time="1" defaultMemberUniqueName="[Date].[Week].[All]" allUniqueName="[Date].[Week].[All]" dimensionUniqueName="[Date]" displayFolder="" count="0" unbalanced="0"/>
    <cacheHierarchy uniqueName="[Date].[Year]" caption="Year" attribute="1" time="1" defaultMemberUniqueName="[Date].[Year].[All]" allUniqueName="[Date].[Year].[All]" dimensionUniqueName="[Date]" displayFolder="" count="0" unbalanced="0"/>
    <cacheHierarchy uniqueName="[Date].[Year - Month - Date Hierarchy]" caption="Year Month Date" time="1" defaultMemberUniqueName="[Date].[Year - Month - Date Hierarchy].[All]" allUniqueName="[Date].[Year - Month - Date Hierarchy].[All]" dimensionUniqueName="[Date]" displayFolder="" count="0" unbalanced="0"/>
    <cacheHierarchy uniqueName="[Date].[Year - Week - Date Hierarchy]" caption="Year Week Date" time="1" defaultMemberUniqueName="[Date].[Year - Week - Date Hierarchy].[All]" allUniqueName="[Date].[Year - Week - Date Hierarchy].[All]" dimensionUniqueName="[Date]" displayFolder="" count="0" unbalanced="0"/>
    <cacheHierarchy uniqueName="[Team Project].[Is Deleted]" caption="Is Deleted" attribute="1" defaultMemberUniqueName="[Team Project].[Is Deleted].[All]" allUniqueName="[Team Project].[Is Deleted].[All]" dimensionUniqueName="[Team Project]" displayFolder="" count="0" unbalanced="0"/>
    <cacheHierarchy uniqueName="[Team Project].[Project Node Name]" caption="Name" attribute="1" defaultMemberUniqueName="[Team Project].[Project Node Name].[All]" allUniqueName="[Team Project].[Project Node Name].[All]" dimensionUniqueName="[Team Project]" displayFolder="" count="0" unbalanced="0"/>
    <cacheHierarchy uniqueName="[Team Project].[Project Node Type]" caption="Project Node Type Name" attribute="1" defaultMemberUniqueName="[Team Project].[Project Node Type].[All]" allUniqueName="[Team Project].[Project Node Type].[All]" dimensionUniqueName="[Team Project]" displayFolder="" count="0" unbalanced="0"/>
    <cacheHierarchy uniqueName="[Team Project].[Project Path]" caption="Project Path" attribute="1" defaultMemberUniqueName="[Team Project].[Project Path].[All]" allUniqueName="[Team Project].[Project Path].[All]" dimensionUniqueName="[Team Project]" displayFolder="" count="0" unbalanced="0"/>
    <cacheHierarchy uniqueName="[Team Project].[Team Project Hierarchy]" caption="Team Project Hierarchy" defaultMemberUniqueName="[Team Project].[Team Project Hierarchy].[All]" allUniqueName="[Team Project].[Team Project Hierarchy].[All]" dimensionUniqueName="[Team Project]" displayFolder="" count="3" unbalanced="1">
      <fieldsUsage count="3">
        <fieldUsage x="-1"/>
        <fieldUsage x="35"/>
        <fieldUsage x="36"/>
      </fieldsUsage>
    </cacheHierarchy>
    <cacheHierarchy uniqueName="[Test Case].[Area Hierarchy]" caption="Area Hierarchy" defaultMemberUniqueName="[Test Case].[Area Hierarchy].[All]" allUniqueName="[Test Case].[Area Hierarchy].[All]" dimensionUniqueName="[Test Case]" displayFolder="" count="0" unbalanced="0"/>
    <cacheHierarchy uniqueName="[Test Case].[Area Path]" caption="Area Path" attribute="1" defaultMemberUniqueName="[Test Case].[Area Path].[All]" allUniqueName="[Test Case].[Area Path].[All]" dimensionUniqueName="[Test Case]" displayFolder="\" count="2" unbalanced="0">
      <fieldsUsage count="2">
        <fieldUsage x="-1"/>
        <fieldUsage x="34"/>
      </fieldsUsage>
    </cacheHierarchy>
    <cacheHierarchy uniqueName="[Test Case].[CWB_ARISProcessFlow]" caption="ARIS Process Flow" attribute="1" defaultMemberUniqueName="[Test Case].[CWB_ARISProcessFlow].[All]" allUniqueName="[Test Case].[CWB_ARISProcessFlow].[All]" dimensionUniqueName="[Test Case]" displayFolder="CWB" count="0" unbalanced="0"/>
    <cacheHierarchy uniqueName="[Test Case].[CWB_BugPriority]" caption="Bug Priority" attribute="1" defaultMemberUniqueName="[Test Case].[CWB_BugPriority].[All]" allUniqueName="[Test Case].[CWB_BugPriority].[All]" dimensionUniqueName="[Test Case]" displayFolder="CWB" count="0" unbalanced="0"/>
    <cacheHierarchy uniqueName="[Test Case].[CWB_BusinessOwner]" caption="Business Owner" attribute="1" defaultMemberUniqueName="[Test Case].[CWB_BusinessOwner].[All]" allUniqueName="[Test Case].[CWB_BusinessOwner].[All]" dimensionUniqueName="[Test Case]" displayFolder="CWB" count="0" unbalanced="0"/>
    <cacheHierarchy uniqueName="[Test Case].[CWB_BussinessRequiredDate]" caption="Business Required Date" attribute="1" defaultMemberUniqueName="[Test Case].[CWB_BussinessRequiredDate].[All]" allUniqueName="[Test Case].[CWB_BussinessRequiredDate].[All]" dimensionUniqueName="[Test Case]" displayFolder="CWB" count="0" unbalanced="0"/>
    <cacheHierarchy uniqueName="[Test Case].[CWB_BussinessRequiredDate__HierarchyByMonth]" caption="Business Required Date Hierarchy By Month" defaultMemberUniqueName="[Test Case].[CWB_BussinessRequiredDate__HierarchyByMonth].[All]" allUniqueName="[Test Case].[CWB_BussinessRequiredDate__HierarchyByMonth].[All]" dimensionUniqueName="[Test Case]" displayFolder="CWB" count="0" unbalanced="0"/>
    <cacheHierarchy uniqueName="[Test Case].[CWB_BussinessRequiredDate__HierarchyByWeek]" caption="Business Required Date Hierarchy By Week" defaultMemberUniqueName="[Test Case].[CWB_BussinessRequiredDate__HierarchyByWeek].[All]" allUniqueName="[Test Case].[CWB_BussinessRequiredDate__HierarchyByWeek].[All]" dimensionUniqueName="[Test Case]" displayFolder="CWB" count="0" unbalanced="0"/>
    <cacheHierarchy uniqueName="[Test Case].[CWB_CodeReviewed_ReviewedBy]" caption="Code Reviewed By" attribute="1" defaultMemberUniqueName="[Test Case].[CWB_CodeReviewed_ReviewedBy].[All]" allUniqueName="[Test Case].[CWB_CodeReviewed_ReviewedBy].[All]" dimensionUniqueName="[Test Case]" displayFolder="CWB" count="0" unbalanced="0"/>
    <cacheHierarchy uniqueName="[Test Case].[CWB_EstimationBuckets]" caption="Estimation Buckets" attribute="1" defaultMemberUniqueName="[Test Case].[CWB_EstimationBuckets].[All]" allUniqueName="[Test Case].[CWB_EstimationBuckets].[All]" dimensionUniqueName="[Test Case]" displayFolder="CWB" count="0" unbalanced="0"/>
    <cacheHierarchy uniqueName="[Test Case].[CWB_FailedFixes]" caption="Failed Fixes" attribute="1" defaultMemberUniqueName="[Test Case].[CWB_FailedFixes].[All]" allUniqueName="[Test Case].[CWB_FailedFixes].[All]" dimensionUniqueName="[Test Case]" displayFolder="CWB" count="0" unbalanced="0"/>
    <cacheHierarchy uniqueName="[Test Case].[CWB_GoalsAchieved]" caption="Goals Achieved" attribute="1" defaultMemberUniqueName="[Test Case].[CWB_GoalsAchieved].[All]" allUniqueName="[Test Case].[CWB_GoalsAchieved].[All]" dimensionUniqueName="[Test Case]" displayFolder="CWB" count="0" unbalanced="0"/>
    <cacheHierarchy uniqueName="[Test Case].[CWB_iINSDEV]" caption="iINSDEV" attribute="1" defaultMemberUniqueName="[Test Case].[CWB_iINSDEV].[All]" allUniqueName="[Test Case].[CWB_iINSDEV].[All]" dimensionUniqueName="[Test Case]" displayFolder="CWB" count="0" unbalanced="0"/>
    <cacheHierarchy uniqueName="[Test Case].[CWB_IMEnvBuild]" caption="IMBuild" attribute="1" defaultMemberUniqueName="[Test Case].[CWB_IMEnvBuild].[All]" allUniqueName="[Test Case].[CWB_IMEnvBuild].[All]" dimensionUniqueName="[Test Case]" displayFolder="CWB" count="0" unbalanced="0"/>
    <cacheHierarchy uniqueName="[Test Case].[CWB_IMEnvDevelopment]" caption="IMDevelopment" attribute="1" defaultMemberUniqueName="[Test Case].[CWB_IMEnvDevelopment].[All]" allUniqueName="[Test Case].[CWB_IMEnvDevelopment].[All]" dimensionUniqueName="[Test Case]" displayFolder="CWB" count="0" unbalanced="0"/>
    <cacheHierarchy uniqueName="[Test Case].[CWB_IMEnvProduction]" caption="IMProduction" attribute="1" defaultMemberUniqueName="[Test Case].[CWB_IMEnvProduction].[All]" allUniqueName="[Test Case].[CWB_IMEnvProduction].[All]" dimensionUniqueName="[Test Case]" displayFolder="CWB" count="0" unbalanced="0"/>
    <cacheHierarchy uniqueName="[Test Case].[CWB_IMEnvTest]" caption="IMTest" attribute="1" defaultMemberUniqueName="[Test Case].[CWB_IMEnvTest].[All]" allUniqueName="[Test Case].[CWB_IMEnvTest].[All]" dimensionUniqueName="[Test Case]" displayFolder="CWB" count="0" unbalanced="0"/>
    <cacheHierarchy uniqueName="[Test Case].[CWB_IMEnvUATA]" caption="IMUATA" attribute="1" defaultMemberUniqueName="[Test Case].[CWB_IMEnvUATA].[All]" allUniqueName="[Test Case].[CWB_IMEnvUATA].[All]" dimensionUniqueName="[Test Case]" displayFolder="CWB" count="0" unbalanced="0"/>
    <cacheHierarchy uniqueName="[Test Case].[CWB_IMEnvUATB]" caption="IMUATB" attribute="1" defaultMemberUniqueName="[Test Case].[CWB_IMEnvUATB].[All]" allUniqueName="[Test Case].[CWB_IMEnvUATB].[All]" dimensionUniqueName="[Test Case]" displayFolder="CWB" count="0" unbalanced="0"/>
    <cacheHierarchy uniqueName="[Test Case].[CWB_ImpedimentType]" caption="Impediment Type" attribute="1" defaultMemberUniqueName="[Test Case].[CWB_ImpedimentType].[All]" allUniqueName="[Test Case].[CWB_ImpedimentType].[All]" dimensionUniqueName="[Test Case]" displayFolder="CWB" count="0" unbalanced="0"/>
    <cacheHierarchy uniqueName="[Test Case].[CWB_IMReleasePackageDate]" caption="IMPackageDate" attribute="1" defaultMemberUniqueName="[Test Case].[CWB_IMReleasePackageDate].[All]" allUniqueName="[Test Case].[CWB_IMReleasePackageDate].[All]" dimensionUniqueName="[Test Case]" displayFolder="CWB" count="0" unbalanced="0"/>
    <cacheHierarchy uniqueName="[Test Case].[CWB_IMReleasePackageDate__HierarchyByMonth]" caption="IMPackageDate Hierarchy By Month" defaultMemberUniqueName="[Test Case].[CWB_IMReleasePackageDate__HierarchyByMonth].[All]" allUniqueName="[Test Case].[CWB_IMReleasePackageDate__HierarchyByMonth].[All]" dimensionUniqueName="[Test Case]" displayFolder="CWB" count="0" unbalanced="0"/>
    <cacheHierarchy uniqueName="[Test Case].[CWB_IMReleasePackageDate__HierarchyByWeek]" caption="IMPackageDate Hierarchy By Week" defaultMemberUniqueName="[Test Case].[CWB_IMReleasePackageDate__HierarchyByWeek].[All]" allUniqueName="[Test Case].[CWB_IMReleasePackageDate__HierarchyByWeek].[All]" dimensionUniqueName="[Test Case]" displayFolder="CWB" count="0" unbalanced="0"/>
    <cacheHierarchy uniqueName="[Test Case].[CWB_INSQA]" caption="INSQA" attribute="1" defaultMemberUniqueName="[Test Case].[CWB_INSQA].[All]" allUniqueName="[Test Case].[CWB_INSQA].[All]" dimensionUniqueName="[Test Case]" displayFolder="CWB" count="0" unbalanced="0"/>
    <cacheHierarchy uniqueName="[Test Case].[CWB_IssueType]" caption="Issue Type" attribute="1" defaultMemberUniqueName="[Test Case].[CWB_IssueType].[All]" allUniqueName="[Test Case].[CWB_IssueType].[All]" dimensionUniqueName="[Test Case]" displayFolder="CWB" count="0" unbalanced="0"/>
    <cacheHierarchy uniqueName="[Test Case].[CWB_ObjectiveCompleted]" caption="Objective Completed" attribute="1" defaultMemberUniqueName="[Test Case].[CWB_ObjectiveCompleted].[All]" allUniqueName="[Test Case].[CWB_ObjectiveCompleted].[All]" dimensionUniqueName="[Test Case]" displayFolder="CWB" count="0" unbalanced="0"/>
    <cacheHierarchy uniqueName="[Test Case].[CWB_ObjectiveCount]" caption="Objective Count" attribute="1" defaultMemberUniqueName="[Test Case].[CWB_ObjectiveCount].[All]" allUniqueName="[Test Case].[CWB_ObjectiveCount].[All]" dimensionUniqueName="[Test Case]" displayFolder="CWB" count="0" unbalanced="0"/>
    <cacheHierarchy uniqueName="[Test Case].[CWB_OLDDEV]" caption="OLDDEV" attribute="1" defaultMemberUniqueName="[Test Case].[CWB_OLDDEV].[All]" allUniqueName="[Test Case].[CWB_OLDDEV].[All]" dimensionUniqueName="[Test Case]" displayFolder="CWB" count="0" unbalanced="0"/>
    <cacheHierarchy uniqueName="[Test Case].[CWB_OriginationSource]" caption="Origination Source" attribute="1" defaultMemberUniqueName="[Test Case].[CWB_OriginationSource].[All]" allUniqueName="[Test Case].[CWB_OriginationSource].[All]" dimensionUniqueName="[Test Case]" displayFolder="CWB" count="0" unbalanced="0"/>
    <cacheHierarchy uniqueName="[Test Case].[CWB_PBIPriority]" caption="PBI Priority" attribute="1" defaultMemberUniqueName="[Test Case].[CWB_PBIPriority].[All]" allUniqueName="[Test Case].[CWB_PBIPriority].[All]" dimensionUniqueName="[Test Case]" displayFolder="CWB" count="0" unbalanced="0"/>
    <cacheHierarchy uniqueName="[Test Case].[CWB_PBIType]" caption="PBI Type" attribute="1" defaultMemberUniqueName="[Test Case].[CWB_PBIType].[All]" allUniqueName="[Test Case].[CWB_PBIType].[All]" dimensionUniqueName="[Test Case]" displayFolder="CWB" count="0" unbalanced="0"/>
    <cacheHierarchy uniqueName="[Test Case].[CWB_PlannedCompletionDate]" caption="Planned Completion Date" attribute="1" defaultMemberUniqueName="[Test Case].[CWB_PlannedCompletionDate].[All]" allUniqueName="[Test Case].[CWB_PlannedCompletionDate].[All]" dimensionUniqueName="[Test Case]" displayFolder="CWB" count="0" unbalanced="0"/>
    <cacheHierarchy uniqueName="[Test Case].[CWB_PlannedCompletionDate__HierarchyByMonth]" caption="Planned Completion Date Hierarchy By Month" defaultMemberUniqueName="[Test Case].[CWB_PlannedCompletionDate__HierarchyByMonth].[All]" allUniqueName="[Test Case].[CWB_PlannedCompletionDate__HierarchyByMonth].[All]" dimensionUniqueName="[Test Case]" displayFolder="CWB" count="0" unbalanced="0"/>
    <cacheHierarchy uniqueName="[Test Case].[CWB_PlannedCompletionDate__HierarchyByWeek]" caption="Planned Completion Date Hierarchy By Week" defaultMemberUniqueName="[Test Case].[CWB_PlannedCompletionDate__HierarchyByWeek].[All]" allUniqueName="[Test Case].[CWB_PlannedCompletionDate__HierarchyByWeek].[All]" dimensionUniqueName="[Test Case]" displayFolder="CWB" count="0" unbalanced="0"/>
    <cacheHierarchy uniqueName="[Test Case].[CWB_PlannedStartDate]" caption="Planned Start Date" attribute="1" defaultMemberUniqueName="[Test Case].[CWB_PlannedStartDate].[All]" allUniqueName="[Test Case].[CWB_PlannedStartDate].[All]" dimensionUniqueName="[Test Case]" displayFolder="CWB" count="0" unbalanced="0"/>
    <cacheHierarchy uniqueName="[Test Case].[CWB_PlannedStartDate__HierarchyByMonth]" caption="Planned Start Date Hierarchy By Month" defaultMemberUniqueName="[Test Case].[CWB_PlannedStartDate__HierarchyByMonth].[All]" allUniqueName="[Test Case].[CWB_PlannedStartDate__HierarchyByMonth].[All]" dimensionUniqueName="[Test Case]" displayFolder="CWB" count="0" unbalanced="0"/>
    <cacheHierarchy uniqueName="[Test Case].[CWB_PlannedStartDate__HierarchyByWeek]" caption="Planned Start Date Hierarchy By Week" defaultMemberUniqueName="[Test Case].[CWB_PlannedStartDate__HierarchyByWeek].[All]" allUniqueName="[Test Case].[CWB_PlannedStartDate__HierarchyByWeek].[All]" dimensionUniqueName="[Test Case]" displayFolder="CWB" count="0" unbalanced="0"/>
    <cacheHierarchy uniqueName="[Test Case].[CWB_ProjectName]" caption="Project Name" attribute="1" defaultMemberUniqueName="[Test Case].[CWB_ProjectName].[All]" allUniqueName="[Test Case].[CWB_ProjectName].[All]" dimensionUniqueName="[Test Case]" displayFolder="CWB" count="0" unbalanced="0"/>
    <cacheHierarchy uniqueName="[Test Case].[CWB_ReferenceNum]" caption="Reference #" attribute="1" defaultMemberUniqueName="[Test Case].[CWB_ReferenceNum].[All]" allUniqueName="[Test Case].[CWB_ReferenceNum].[All]" dimensionUniqueName="[Test Case]" displayFolder="CWB" count="0" unbalanced="0"/>
    <cacheHierarchy uniqueName="[Test Case].[CWB_RegulatoryRequirement]" caption="Regulatory Requirement?" attribute="1" defaultMemberUniqueName="[Test Case].[CWB_RegulatoryRequirement].[All]" allUniqueName="[Test Case].[CWB_RegulatoryRequirement].[All]" dimensionUniqueName="[Test Case]" displayFolder="CWB" count="0" unbalanced="0"/>
    <cacheHierarchy uniqueName="[Test Case].[CWB_RequirementMet]" caption="Met?" attribute="1" defaultMemberUniqueName="[Test Case].[CWB_RequirementMet].[All]" allUniqueName="[Test Case].[CWB_RequirementMet].[All]" dimensionUniqueName="[Test Case]" displayFolder="CWB" count="0" unbalanced="0"/>
    <cacheHierarchy uniqueName="[Test Case].[CWB_RequirementSource]" caption="Requirement Source" attribute="1" defaultMemberUniqueName="[Test Case].[CWB_RequirementSource].[All]" allUniqueName="[Test Case].[CWB_RequirementSource].[All]" dimensionUniqueName="[Test Case]" displayFolder="CWB" count="0" unbalanced="0"/>
    <cacheHierarchy uniqueName="[Test Case].[CWB_ResourceSchedule]" caption="In Resource Schedule" attribute="1" defaultMemberUniqueName="[Test Case].[CWB_ResourceSchedule].[All]" allUniqueName="[Test Case].[CWB_ResourceSchedule].[All]" dimensionUniqueName="[Test Case]" displayFolder="CWB" count="0" unbalanced="0"/>
    <cacheHierarchy uniqueName="[Test Case].[CWB_Scope]" caption="Scope" attribute="1" defaultMemberUniqueName="[Test Case].[CWB_Scope].[All]" allUniqueName="[Test Case].[CWB_Scope].[All]" dimensionUniqueName="[Test Case]" displayFolder="CWB" count="0" unbalanced="0"/>
    <cacheHierarchy uniqueName="[Test Case].[CWB_T24BUILD]" caption="T24BUILD" attribute="1" defaultMemberUniqueName="[Test Case].[CWB_T24BUILD].[All]" allUniqueName="[Test Case].[CWB_T24BUILD].[All]" dimensionUniqueName="[Test Case]" displayFolder="CWB" count="0" unbalanced="0"/>
    <cacheHierarchy uniqueName="[Test Case].[CWB_T24COB]" caption="T24COB" attribute="1" defaultMemberUniqueName="[Test Case].[CWB_T24COB].[All]" allUniqueName="[Test Case].[CWB_T24COB].[All]" dimensionUniqueName="[Test Case]" displayFolder="CWB" count="0" unbalanced="0"/>
    <cacheHierarchy uniqueName="[Test Case].[CWB_T24DEV]" caption="T24DEV" attribute="1" defaultMemberUniqueName="[Test Case].[CWB_T24DEV].[All]" allUniqueName="[Test Case].[CWB_T24DEV].[All]" dimensionUniqueName="[Test Case]" displayFolder="CWB" count="0" unbalanced="0"/>
    <cacheHierarchy uniqueName="[Test Case].[CWB_T24DEV1]" caption="T24DEV1" attribute="1" defaultMemberUniqueName="[Test Case].[CWB_T24DEV1].[All]" allUniqueName="[Test Case].[CWB_T24DEV1].[All]" dimensionUniqueName="[Test Case]" displayFolder="CWB" count="0" unbalanced="0"/>
    <cacheHierarchy uniqueName="[Test Case].[CWB_T24DEV2]" caption="T24DEV2" attribute="1" defaultMemberUniqueName="[Test Case].[CWB_T24DEV2].[All]" allUniqueName="[Test Case].[CWB_T24DEV2].[All]" dimensionUniqueName="[Test Case]" displayFolder="CWB" count="0" unbalanced="0"/>
    <cacheHierarchy uniqueName="[Test Case].[CWB_T24DMQA]" caption="T24DMQA" attribute="1" defaultMemberUniqueName="[Test Case].[CWB_T24DMQA].[All]" allUniqueName="[Test Case].[CWB_T24DMQA].[All]" dimensionUniqueName="[Test Case]" displayFolder="CWB" count="0" unbalanced="0"/>
    <cacheHierarchy uniqueName="[Test Case].[CWB_T24DMTST]" caption="T24DMTST" attribute="1" defaultMemberUniqueName="[Test Case].[CWB_T24DMTST].[All]" allUniqueName="[Test Case].[CWB_T24DMTST].[All]" dimensionUniqueName="[Test Case]" displayFolder="CWB" count="0" unbalanced="0"/>
    <cacheHierarchy uniqueName="[Test Case].[CWB_T24INSDEV]" caption="T24INSDEV" attribute="1" defaultMemberUniqueName="[Test Case].[CWB_T24INSDEV].[All]" allUniqueName="[Test Case].[CWB_T24INSDEV].[All]" dimensionUniqueName="[Test Case]" displayFolder="CWB" count="0" unbalanced="0"/>
    <cacheHierarchy uniqueName="[Test Case].[CWB_T24MASTR]" caption="T24MASTR" attribute="1" defaultMemberUniqueName="[Test Case].[CWB_T24MASTR].[All]" allUniqueName="[Test Case].[CWB_T24MASTR].[All]" dimensionUniqueName="[Test Case]" displayFolder="CWB" count="0" unbalanced="0"/>
    <cacheHierarchy uniqueName="[Test Case].[CWB_T24PROD]" caption="T24PROD" attribute="1" defaultMemberUniqueName="[Test Case].[CWB_T24PROD].[All]" allUniqueName="[Test Case].[CWB_T24PROD].[All]" dimensionUniqueName="[Test Case]" displayFolder="CWB" count="0" unbalanced="0"/>
    <cacheHierarchy uniqueName="[Test Case].[CWB_T24QA]" caption="T24QA" attribute="1" defaultMemberUniqueName="[Test Case].[CWB_T24QA].[All]" allUniqueName="[Test Case].[CWB_T24QA].[All]" dimensionUniqueName="[Test Case]" displayFolder="CWB" count="0" unbalanced="0"/>
    <cacheHierarchy uniqueName="[Test Case].[CWB_T24SIT]" caption="T24SIT" attribute="1" defaultMemberUniqueName="[Test Case].[CWB_T24SIT].[All]" allUniqueName="[Test Case].[CWB_T24SIT].[All]" dimensionUniqueName="[Test Case]" displayFolder="CWB" count="0" unbalanced="0"/>
    <cacheHierarchy uniqueName="[Test Case].[CWB_T24SIT1]" caption="T24SIT1" attribute="1" defaultMemberUniqueName="[Test Case].[CWB_T24SIT1].[All]" allUniqueName="[Test Case].[CWB_T24SIT1].[All]" dimensionUniqueName="[Test Case]" displayFolder="CWB" count="0" unbalanced="0"/>
    <cacheHierarchy uniqueName="[Test Case].[CWB_T24SIT2]" caption="T24SIT2" attribute="1" defaultMemberUniqueName="[Test Case].[CWB_T24SIT2].[All]" allUniqueName="[Test Case].[CWB_T24SIT2].[All]" dimensionUniqueName="[Test Case]" displayFolder="CWB" count="0" unbalanced="0"/>
    <cacheHierarchy uniqueName="[Test Case].[CWB_T24STG]" caption="T24STG" attribute="1" defaultMemberUniqueName="[Test Case].[CWB_T24STG].[All]" allUniqueName="[Test Case].[CWB_T24STG].[All]" dimensionUniqueName="[Test Case]" displayFolder="CWB" count="0" unbalanced="0"/>
    <cacheHierarchy uniqueName="[Test Case].[CWB_T24TRN1]" caption="T24TRN1" attribute="1" defaultMemberUniqueName="[Test Case].[CWB_T24TRN1].[All]" allUniqueName="[Test Case].[CWB_T24TRN1].[All]" dimensionUniqueName="[Test Case]" displayFolder="CWB" count="0" unbalanced="0"/>
    <cacheHierarchy uniqueName="[Test Case].[CWB_T24TRN2]" caption="T24TRN2" attribute="1" defaultMemberUniqueName="[Test Case].[CWB_T24TRN2].[All]" allUniqueName="[Test Case].[CWB_T24TRN2].[All]" dimensionUniqueName="[Test Case]" displayFolder="CWB" count="0" unbalanced="0"/>
    <cacheHierarchy uniqueName="[Test Case].[CWB_T24TRN3]" caption="T24TRN3" attribute="1" defaultMemberUniqueName="[Test Case].[CWB_T24TRN3].[All]" allUniqueName="[Test Case].[CWB_T24TRN3].[All]" dimensionUniqueName="[Test Case]" displayFolder="CWB" count="0" unbalanced="0"/>
    <cacheHierarchy uniqueName="[Test Case].[CWB_T24TRN4]" caption="T24TRN4" attribute="1" defaultMemberUniqueName="[Test Case].[CWB_T24TRN4].[All]" allUniqueName="[Test Case].[CWB_T24TRN4].[All]" dimensionUniqueName="[Test Case]" displayFolder="CWB" count="0" unbalanced="0"/>
    <cacheHierarchy uniqueName="[Test Case].[CWB_T24TST]" caption="T24TST" attribute="1" defaultMemberUniqueName="[Test Case].[CWB_T24TST].[All]" allUniqueName="[Test Case].[CWB_T24TST].[All]" dimensionUniqueName="[Test Case]" displayFolder="CWB" count="0" unbalanced="0"/>
    <cacheHierarchy uniqueName="[Test Case].[CWB_T24TST1]" caption="T24TST1" attribute="1" defaultMemberUniqueName="[Test Case].[CWB_T24TST1].[All]" allUniqueName="[Test Case].[CWB_T24TST1].[All]" dimensionUniqueName="[Test Case]" displayFolder="CWB" count="0" unbalanced="0"/>
    <cacheHierarchy uniqueName="[Test Case].[CWB_T24TST2]" caption="T24TST2" attribute="1" defaultMemberUniqueName="[Test Case].[CWB_T24TST2].[All]" allUniqueName="[Test Case].[CWB_T24TST2].[All]" dimensionUniqueName="[Test Case]" displayFolder="CWB" count="0" unbalanced="0"/>
    <cacheHierarchy uniqueName="[Test Case].[CWB_T24TST3]" caption="T24TST3" attribute="1" defaultMemberUniqueName="[Test Case].[CWB_T24TST3].[All]" allUniqueName="[Test Case].[CWB_T24TST3].[All]" dimensionUniqueName="[Test Case]" displayFolder="CWB" count="0" unbalanced="0"/>
    <cacheHierarchy uniqueName="[Test Case].[CWB_T24UAT]" caption="T24UAT" attribute="1" defaultMemberUniqueName="[Test Case].[CWB_T24UAT].[All]" allUniqueName="[Test Case].[CWB_T24UAT].[All]" dimensionUniqueName="[Test Case]" displayFolder="CWB" count="0" unbalanced="0"/>
    <cacheHierarchy uniqueName="[Test Case].[CWB_TargetResolution]" caption="Target Resolution" attribute="1" defaultMemberUniqueName="[Test Case].[CWB_TargetResolution].[All]" allUniqueName="[Test Case].[CWB_TargetResolution].[All]" dimensionUniqueName="[Test Case]" displayFolder="CWB" count="0" unbalanced="0"/>
    <cacheHierarchy uniqueName="[Test Case].[CWB_TargetResolution__HierarchyByMonth]" caption="Target Resolution Hierarchy By Month" defaultMemberUniqueName="[Test Case].[CWB_TargetResolution__HierarchyByMonth].[All]" allUniqueName="[Test Case].[CWB_TargetResolution__HierarchyByMonth].[All]" dimensionUniqueName="[Test Case]" displayFolder="CWB" count="0" unbalanced="0"/>
    <cacheHierarchy uniqueName="[Test Case].[CWB_TargetResolution__HierarchyByWeek]" caption="Target Resolution Hierarchy By Week" defaultMemberUniqueName="[Test Case].[CWB_TargetResolution__HierarchyByWeek].[All]" allUniqueName="[Test Case].[CWB_TargetResolution__HierarchyByWeek].[All]" dimensionUniqueName="[Test Case]" displayFolder="CWB" count="0" unbalanced="0"/>
    <cacheHierarchy uniqueName="[Test Case].[CWB_TemenosIssueType]" caption="Temenos Issue Type" attribute="1" defaultMemberUniqueName="[Test Case].[CWB_TemenosIssueType].[All]" allUniqueName="[Test Case].[CWB_TemenosIssueType].[All]" dimensionUniqueName="[Test Case]" displayFolder="CWB" count="0" unbalanced="0"/>
    <cacheHierarchy uniqueName="[Test Case].[CWB_TemenosStatus]" caption="Temenos Status" attribute="1" defaultMemberUniqueName="[Test Case].[CWB_TemenosStatus].[All]" allUniqueName="[Test Case].[CWB_TemenosStatus].[All]" dimensionUniqueName="[Test Case]" displayFolder="CWB" count="0" unbalanced="0"/>
    <cacheHierarchy uniqueName="[Test Case].[CWB_ThirdParty]" caption="Third Party" attribute="1" defaultMemberUniqueName="[Test Case].[CWB_ThirdParty].[All]" allUniqueName="[Test Case].[CWB_ThirdParty].[All]" dimensionUniqueName="[Test Case]" displayFolder="CWB" count="0" unbalanced="0"/>
    <cacheHierarchy uniqueName="[Test Case].[CWB_ThirdPartyStatus]" caption="Third Party Status" attribute="1" defaultMemberUniqueName="[Test Case].[CWB_ThirdPartyStatus].[All]" allUniqueName="[Test Case].[CWB_ThirdPartyStatus].[All]" dimensionUniqueName="[Test Case]" displayFolder="CWB" count="0" unbalanced="0"/>
    <cacheHierarchy uniqueName="[Test Case].[CWB_WorkOrderNumber]" caption="Work Order Number" attribute="1" defaultMemberUniqueName="[Test Case].[CWB_WorkOrderNumber].[All]" allUniqueName="[Test Case].[CWB_WorkOrderNumber].[All]" dimensionUniqueName="[Test Case]" displayFolder="CWB" count="0" unbalanced="0"/>
    <cacheHierarchy uniqueName="[Test Case].[Iteration Hierarchy]" caption="Iteration Hierarchy" defaultMemberUniqueName="[Test Case].[Iteration Hierarchy].[All]" allUniqueName="[Test Case].[Iteration Hierarchy].[All]" dimensionUniqueName="[Test Case]" displayFolder="" count="0" unbalanced="0"/>
    <cacheHierarchy uniqueName="[Test Case].[Iteration Path]" caption="Iteration Path" attribute="1" defaultMemberUniqueName="[Test Case].[Iteration Path].[All]" allUniqueName="[Test Case].[Iteration Path].[All]" dimensionUniqueName="[Test Case]" displayFolder="\" count="2" unbalanced="0">
      <fieldsUsage count="2">
        <fieldUsage x="-1"/>
        <fieldUsage x="43"/>
      </fieldsUsage>
    </cacheHierarchy>
    <cacheHierarchy uniqueName="[Test Case].[Microsoft_VSTS_Build_FoundIn]" caption="Found In" attribute="1" defaultMemberUniqueName="[Test Case].[Microsoft_VSTS_Build_FoundIn].[All]" allUniqueName="[Test Case].[Microsoft_VSTS_Build_FoundIn].[All]" dimensionUniqueName="[Test Case]" displayFolder="Microsoft.VSTS.Build" count="0" unbalanced="0"/>
    <cacheHierarchy uniqueName="[Test Case].[Microsoft_VSTS_Build_IntegrationBuild]" caption="Integration Build" attribute="1" defaultMemberUniqueName="[Test Case].[Microsoft_VSTS_Build_IntegrationBuild].[All]" allUniqueName="[Test Case].[Microsoft_VSTS_Build_IntegrationBuild].[All]" dimensionUniqueName="[Test Case]" displayFolder="Microsoft.VSTS.Build" count="0" unbalanced="0"/>
    <cacheHierarchy uniqueName="[Test Case].[Microsoft_VSTS_CMMI_Blocked]" caption="Blocked" attribute="1" defaultMemberUniqueName="[Test Case].[Microsoft_VSTS_CMMI_Blocked].[All]" allUniqueName="[Test Case].[Microsoft_VSTS_CMMI_Blocked].[All]" dimensionUniqueName="[Test Case]" displayFolder="Microsoft.VSTS.CMMI" count="0" unbalanced="0"/>
    <cacheHierarchy uniqueName="[Test Case].[Microsoft_VSTS_CodeReview_AcceptedBy]" caption="Accepted By" attribute="1" defaultMemberUniqueName="[Test Case].[Microsoft_VSTS_CodeReview_AcceptedBy].[All]" allUniqueName="[Test Case].[Microsoft_VSTS_CodeReview_AcceptedBy].[All]" dimensionUniqueName="[Test Case]" displayFolder="Microsoft.VSTS.CodeReview" count="0" unbalanced="0"/>
    <cacheHierarchy uniqueName="[Test Case].[Microsoft_VSTS_CodeReview_AcceptedDate]" caption="Accepted Date" attribute="1" defaultMemberUniqueName="[Test Case].[Microsoft_VSTS_CodeReview_AcceptedDate].[All]" allUniqueName="[Test Case].[Microsoft_VSTS_CodeReview_AcceptedDate].[All]" dimensionUniqueName="[Test Case]" displayFolder="Microsoft.VSTS.CodeReview" count="0" unbalanced="0"/>
    <cacheHierarchy uniqueName="[Test Case].[Microsoft_VSTS_CodeReview_AcceptedDate__HierarchyByMonth]" caption="Accepted Date Hierarchy By Month" defaultMemberUniqueName="[Test Case].[Microsoft_VSTS_CodeReview_AcceptedDate__HierarchyByMonth].[All]" allUniqueName="[Test Case].[Microsoft_VSTS_CodeReview_AcceptedDate__HierarchyByMonth].[All]" dimensionUniqueName="[Test Case]" displayFolder="Microsoft.VSTS.CodeReview" count="0" unbalanced="0"/>
    <cacheHierarchy uniqueName="[Test Case].[Microsoft_VSTS_CodeReview_AcceptedDate__HierarchyByWeek]" caption="Accepted Date Hierarchy By Week" defaultMemberUniqueName="[Test Case].[Microsoft_VSTS_CodeReview_AcceptedDate__HierarchyByWeek].[All]" allUniqueName="[Test Case].[Microsoft_VSTS_CodeReview_AcceptedDate__HierarchyByWeek].[All]" dimensionUniqueName="[Test Case]" displayFolder="Microsoft.VSTS.CodeReview" count="0" unbalanced="0"/>
    <cacheHierarchy uniqueName="[Test Case].[Microsoft_VSTS_CodeReview_ClosedStatus]" caption="Closed Status" attribute="1" defaultMemberUniqueName="[Test Case].[Microsoft_VSTS_CodeReview_ClosedStatus].[All]" allUniqueName="[Test Case].[Microsoft_VSTS_CodeReview_ClosedStatus].[All]" dimensionUniqueName="[Test Case]" displayFolder="Microsoft.VSTS.CodeReview" count="0" unbalanced="0"/>
    <cacheHierarchy uniqueName="[Test Case].[Microsoft_VSTS_Common_ActivatedBy]" caption="Activated By" attribute="1" defaultMemberUniqueName="[Test Case].[Microsoft_VSTS_Common_ActivatedBy].[All]" allUniqueName="[Test Case].[Microsoft_VSTS_Common_ActivatedBy].[All]" dimensionUniqueName="[Test Case]" displayFolder="Microsoft.VSTS.Common" count="0" unbalanced="0"/>
    <cacheHierarchy uniqueName="[Test Case].[Microsoft_VSTS_Common_ActivatedDate]" caption="Activated Date" attribute="1" defaultMemberUniqueName="[Test Case].[Microsoft_VSTS_Common_ActivatedDate].[All]" allUniqueName="[Test Case].[Microsoft_VSTS_Common_ActivatedDate].[All]" dimensionUniqueName="[Test Case]" displayFolder="Microsoft.VSTS.Common" count="0" unbalanced="0"/>
    <cacheHierarchy uniqueName="[Test Case].[Microsoft_VSTS_Common_ActivatedDate__HierarchyByMonth]" caption="Activated Date Hierarchy By Month" defaultMemberUniqueName="[Test Case].[Microsoft_VSTS_Common_ActivatedDate__HierarchyByMonth].[All]" allUniqueName="[Test Case].[Microsoft_VSTS_Common_ActivatedDate__HierarchyByMonth].[All]" dimensionUniqueName="[Test Case]" displayFolder="Microsoft.VSTS.Common" count="0" unbalanced="0"/>
    <cacheHierarchy uniqueName="[Test Case].[Microsoft_VSTS_Common_ActivatedDate__HierarchyByWeek]" caption="Activated Date Hierarchy By Week" defaultMemberUniqueName="[Test Case].[Microsoft_VSTS_Common_ActivatedDate__HierarchyByWeek].[All]" allUniqueName="[Test Case].[Microsoft_VSTS_Common_ActivatedDate__HierarchyByWeek].[All]" dimensionUniqueName="[Test Case]" displayFolder="Microsoft.VSTS.Common" count="0" unbalanced="0"/>
    <cacheHierarchy uniqueName="[Test Case].[Microsoft_VSTS_Common_Activity]" caption="Activity" attribute="1" defaultMemberUniqueName="[Test Case].[Microsoft_VSTS_Common_Activity].[All]" allUniqueName="[Test Case].[Microsoft_VSTS_Common_Activity].[All]" dimensionUniqueName="[Test Case]" displayFolder="Microsoft.VSTS.Common" count="0" unbalanced="0"/>
    <cacheHierarchy uniqueName="[Test Case].[Microsoft_VSTS_Common_ClosedBy]" caption="Closed By" attribute="1" defaultMemberUniqueName="[Test Case].[Microsoft_VSTS_Common_ClosedBy].[All]" allUniqueName="[Test Case].[Microsoft_VSTS_Common_ClosedBy].[All]" dimensionUniqueName="[Test Case]" displayFolder="Microsoft.VSTS.Common" count="0" unbalanced="0"/>
    <cacheHierarchy uniqueName="[Test Case].[Microsoft_VSTS_Common_ClosedDate]" caption="Closed Date" attribute="1" defaultMemberUniqueName="[Test Case].[Microsoft_VSTS_Common_ClosedDate].[All]" allUniqueName="[Test Case].[Microsoft_VSTS_Common_ClosedDate].[All]" dimensionUniqueName="[Test Case]" displayFolder="Microsoft.VSTS.Common" count="0" unbalanced="0"/>
    <cacheHierarchy uniqueName="[Test Case].[Microsoft_VSTS_Common_ClosedDate__HierarchyByMonth]" caption="Closed Date Hierarchy By Month" defaultMemberUniqueName="[Test Case].[Microsoft_VSTS_Common_ClosedDate__HierarchyByMonth].[All]" allUniqueName="[Test Case].[Microsoft_VSTS_Common_ClosedDate__HierarchyByMonth].[All]" dimensionUniqueName="[Test Case]" displayFolder="Microsoft.VSTS.Common" count="0" unbalanced="0"/>
    <cacheHierarchy uniqueName="[Test Case].[Microsoft_VSTS_Common_ClosedDate__HierarchyByWeek]" caption="Closed Date Hierarchy By Week" defaultMemberUniqueName="[Test Case].[Microsoft_VSTS_Common_ClosedDate__HierarchyByWeek].[All]" allUniqueName="[Test Case].[Microsoft_VSTS_Common_ClosedDate__HierarchyByWeek].[All]" dimensionUniqueName="[Test Case]" displayFolder="Microsoft.VSTS.Common" count="0" unbalanced="0"/>
    <cacheHierarchy uniqueName="[Test Case].[Microsoft_VSTS_Common_Issue]" caption="Issue" attribute="1" defaultMemberUniqueName="[Test Case].[Microsoft_VSTS_Common_Issue].[All]" allUniqueName="[Test Case].[Microsoft_VSTS_Common_Issue].[All]" dimensionUniqueName="[Test Case]" displayFolder="Microsoft.VSTS.Common" count="0" unbalanced="0"/>
    <cacheHierarchy uniqueName="[Test Case].[Microsoft_VSTS_Common_Priority]" caption="Priority" attribute="1" defaultMemberUniqueName="[Test Case].[Microsoft_VSTS_Common_Priority].[All]" allUniqueName="[Test Case].[Microsoft_VSTS_Common_Priority].[All]" dimensionUniqueName="[Test Case]" displayFolder="Microsoft.VSTS.Common" count="0" unbalanced="0"/>
    <cacheHierarchy uniqueName="[Test Case].[Microsoft_VSTS_Common_Rating]" caption="Rating" attribute="1" defaultMemberUniqueName="[Test Case].[Microsoft_VSTS_Common_Rating].[All]" allUniqueName="[Test Case].[Microsoft_VSTS_Common_Rating].[All]" dimensionUniqueName="[Test Case]" displayFolder="Microsoft.VSTS.Common" count="0" unbalanced="0"/>
    <cacheHierarchy uniqueName="[Test Case].[Microsoft_VSTS_Common_Severity]" caption="Severity" attribute="1" defaultMemberUniqueName="[Test Case].[Microsoft_VSTS_Common_Severity].[All]" allUniqueName="[Test Case].[Microsoft_VSTS_Common_Severity].[All]" dimensionUniqueName="[Test Case]" displayFolder="Microsoft.VSTS.Common" count="0" unbalanced="0"/>
    <cacheHierarchy uniqueName="[Test Case].[Microsoft_VSTS_TCM_AutomationStatus]" caption="Automation status" attribute="1" defaultMemberUniqueName="[Test Case].[Microsoft_VSTS_TCM_AutomationStatus].[All]" allUniqueName="[Test Case].[Microsoft_VSTS_TCM_AutomationStatus].[All]" dimensionUniqueName="[Test Case]" displayFolder="Microsoft.VSTS.TCM" count="0" unbalanced="0"/>
    <cacheHierarchy uniqueName="[Test Case].[Previous State]" caption="Previous State" attribute="1" defaultMemberUniqueName="[Test Case].[Previous State].[All]" allUniqueName="[Test Case].[Previous State].[All]" dimensionUniqueName="[Test Case]" displayFolder="" count="0" unbalanced="0"/>
    <cacheHierarchy uniqueName="[Test Case].[System_AssignedTo]" caption="Assigned To" attribute="1" defaultMemberUniqueName="[Test Case].[System_AssignedTo].[All]" allUniqueName="[Test Case].[System_AssignedTo].[All]" dimensionUniqueName="[Test Case]" displayFolder="\" count="0" unbalanced="0"/>
    <cacheHierarchy uniqueName="[Test Case].[System_ChangedBy]" caption="Changed By" attribute="1" defaultMemberUniqueName="[Test Case].[System_ChangedBy].[All]" allUniqueName="[Test Case].[System_ChangedBy].[All]" dimensionUniqueName="[Test Case]" displayFolder="\" count="0" unbalanced="0"/>
    <cacheHierarchy uniqueName="[Test Case].[System_ChangedDate]" caption="Changed Date" attribute="1" defaultMemberUniqueName="[Test Case].[System_ChangedDate].[All]" allUniqueName="[Test Case].[System_ChangedDate].[All]" dimensionUniqueName="[Test Case]" displayFolder="\" count="0" unbalanced="0"/>
    <cacheHierarchy uniqueName="[Test Case].[System_ChangedDate__HierarchyByMonth]" caption="Changed Date Hierarchy By Month" defaultMemberUniqueName="[Test Case].[System_ChangedDate__HierarchyByMonth].[All]" allUniqueName="[Test Case].[System_ChangedDate__HierarchyByMonth].[All]" dimensionUniqueName="[Test Case]" displayFolder="\" count="0" unbalanced="0"/>
    <cacheHierarchy uniqueName="[Test Case].[System_ChangedDate__HierarchyByWeek]" caption="Changed Date Hierarchy By Week" defaultMemberUniqueName="[Test Case].[System_ChangedDate__HierarchyByWeek].[All]" allUniqueName="[Test Case].[System_ChangedDate__HierarchyByWeek].[All]" dimensionUniqueName="[Test Case]" displayFolder="\" count="0" unbalanced="0"/>
    <cacheHierarchy uniqueName="[Test Case].[System_CreatedBy]" caption="Created By" attribute="1" defaultMemberUniqueName="[Test Case].[System_CreatedBy].[All]" allUniqueName="[Test Case].[System_CreatedBy].[All]" dimensionUniqueName="[Test Case]" displayFolder="\" count="0" unbalanced="0"/>
    <cacheHierarchy uniqueName="[Test Case].[System_CreatedDate]" caption="Created Date" attribute="1" defaultMemberUniqueName="[Test Case].[System_CreatedDate].[All]" allUniqueName="[Test Case].[System_CreatedDate].[All]" dimensionUniqueName="[Test Case]" displayFolder="\" count="0" unbalanced="0"/>
    <cacheHierarchy uniqueName="[Test Case].[System_CreatedDate__HierarchyByMonth]" caption="Created Date Hierarchy By Month" defaultMemberUniqueName="[Test Case].[System_CreatedDate__HierarchyByMonth].[All]" allUniqueName="[Test Case].[System_CreatedDate__HierarchyByMonth].[All]" dimensionUniqueName="[Test Case]" displayFolder="\" count="0" unbalanced="0"/>
    <cacheHierarchy uniqueName="[Test Case].[System_CreatedDate__HierarchyByWeek]" caption="Created Date Hierarchy By Week" defaultMemberUniqueName="[Test Case].[System_CreatedDate__HierarchyByWeek].[All]" allUniqueName="[Test Case].[System_CreatedDate__HierarchyByWeek].[All]" dimensionUniqueName="[Test Case]" displayFolder="\" count="0" unbalanced="0"/>
    <cacheHierarchy uniqueName="[Test Case].[System_Id]" caption="ID" attribute="1" defaultMemberUniqueName="[Test Case].[System_Id].[All]" allUniqueName="[Test Case].[System_Id].[All]" dimensionUniqueName="[Test Case]" displayFolder="\" count="0" unbalanced="0"/>
    <cacheHierarchy uniqueName="[Test Case].[System_Reason]" caption="Reason" attribute="1" defaultMemberUniqueName="[Test Case].[System_Reason].[All]" allUniqueName="[Test Case].[System_Reason].[All]" dimensionUniqueName="[Test Case]" displayFolder="\" count="0" unbalanced="0"/>
    <cacheHierarchy uniqueName="[Test Case].[System_Revision]" caption="Rev" attribute="1" defaultMemberUniqueName="[Test Case].[System_Revision].[All]" allUniqueName="[Test Case].[System_Revision].[All]" dimensionUniqueName="[Test Case]" displayFolder="\" count="0" unbalanced="0"/>
    <cacheHierarchy uniqueName="[Test Case].[System_State]" caption="State" attribute="1" defaultMemberUniqueName="[Test Case].[System_State].[All]" allUniqueName="[Test Case].[System_State].[All]" dimensionUniqueName="[Test Case]" displayFolder="\" count="0" unbalanced="0"/>
    <cacheHierarchy uniqueName="[Test Case].[System_Title]" caption="Title" attribute="1" defaultMemberUniqueName="[Test Case].[System_Title].[All]" allUniqueName="[Test Case].[System_Title].[All]" dimensionUniqueName="[Test Case]" displayFolder="\" count="0" unbalanced="0"/>
    <cacheHierarchy uniqueName="[Test Case].[System_WorkItemType]" caption="Work Item Type" attribute="1" defaultMemberUniqueName="[Test Case].[System_WorkItemType].[All]" allUniqueName="[Test Case].[System_WorkItemType].[All]" dimensionUniqueName="[Test Case]" displayFolder="\" count="0" unbalanced="0"/>
    <cacheHierarchy uniqueName="[Test Configuration].[Configuration ID]" caption="Configuration Id" attribute="1" defaultMemberUniqueName="[Test Configuration].[Configuration ID].[All]" allUniqueName="[Test Configuration].[Configuration ID].[All]" dimensionUniqueName="[Test Configuration]" displayFolder="" count="0" unbalanced="0"/>
    <cacheHierarchy uniqueName="[Test Configuration].[Configuration Name]" caption="Configuration Name" attribute="1" defaultMemberUniqueName="[Test Configuration].[Configuration Name].[All]" allUniqueName="[Test Configuration].[Configuration Name].[All]" dimensionUniqueName="[Test Configuration]" displayFolder="" count="0" unbalanced="0"/>
    <cacheHierarchy uniqueName="[Test Plan].[Area Hierarchy]" caption="Area Hierarchy" defaultMemberUniqueName="[Test Plan].[Area Hierarchy].[All]" allUniqueName="[Test Plan].[Area Hierarchy].[All]" dimensionUniqueName="[Test Plan]" displayFolder="" count="0" unbalanced="0"/>
    <cacheHierarchy uniqueName="[Test Plan].[Area Path]" caption="Area Path" attribute="1" defaultMemberUniqueName="[Test Plan].[Area Path].[All]" allUniqueName="[Test Plan].[Area Path].[All]" dimensionUniqueName="[Test Plan]" displayFolder="\" count="0" unbalanced="0"/>
    <cacheHierarchy uniqueName="[Test Plan].[End Date]" caption="End Date" attribute="1" defaultMemberUniqueName="[Test Plan].[End Date].[All]" allUniqueName="[Test Plan].[End Date].[All]" dimensionUniqueName="[Test Plan]" displayFolder="" count="0" unbalanced="0"/>
    <cacheHierarchy uniqueName="[Test Plan].[End Date Hierarchy By Month]" caption="End Date Hierarchy By Month" defaultMemberUniqueName="[Test Plan].[End Date Hierarchy By Month].[All]" allUniqueName="[Test Plan].[End Date Hierarchy By Month].[All]" dimensionUniqueName="[Test Plan]" displayFolder="" count="0" unbalanced="0"/>
    <cacheHierarchy uniqueName="[Test Plan].[End Date Hierarchy By Week]" caption="End Date Hierarchy By Week" defaultMemberUniqueName="[Test Plan].[End Date Hierarchy By Week].[All]" allUniqueName="[Test Plan].[End Date Hierarchy By Week].[All]" dimensionUniqueName="[Test Plan]" displayFolder="" count="0" unbalanced="0"/>
    <cacheHierarchy uniqueName="[Test Plan].[Iteration Hierarchy]" caption="Iteration Hierarchy" defaultMemberUniqueName="[Test Plan].[Iteration Hierarchy].[All]" allUniqueName="[Test Plan].[Iteration Hierarchy].[All]" dimensionUniqueName="[Test Plan]" displayFolder="" count="0" unbalanced="0"/>
    <cacheHierarchy uniqueName="[Test Plan].[Iteration Path]" caption="Iteration Path" attribute="1" defaultMemberUniqueName="[Test Plan].[Iteration Path].[All]" allUniqueName="[Test Plan].[Iteration Path].[All]" dimensionUniqueName="[Test Plan]" displayFolder="\" count="0" unbalanced="0"/>
    <cacheHierarchy uniqueName="[Test Plan].[Start Date]" caption="Start Date" attribute="1" defaultMemberUniqueName="[Test Plan].[Start Date].[All]" allUniqueName="[Test Plan].[Start Date].[All]" dimensionUniqueName="[Test Plan]" displayFolder="" count="0" unbalanced="0"/>
    <cacheHierarchy uniqueName="[Test Plan].[Start Date Hierarchy By Month]" caption="Start Date Hierarchy By Month" defaultMemberUniqueName="[Test Plan].[Start Date Hierarchy By Month].[All]" allUniqueName="[Test Plan].[Start Date Hierarchy By Month].[All]" dimensionUniqueName="[Test Plan]" displayFolder="" count="0" unbalanced="0"/>
    <cacheHierarchy uniqueName="[Test Plan].[Start Date Hierarchy By Week]" caption="Start Date Hierarchy By Week" defaultMemberUniqueName="[Test Plan].[Start Date Hierarchy By Week].[All]" allUniqueName="[Test Plan].[Start Date Hierarchy By Week].[All]" dimensionUniqueName="[Test Plan]" displayFolder="" count="0" unbalanced="0"/>
    <cacheHierarchy uniqueName="[Test Plan].[Test Plan ID]" caption="Test Plan Id" attribute="1" defaultMemberUniqueName="[Test Plan].[Test Plan ID].[All]" allUniqueName="[Test Plan].[Test Plan ID].[All]" dimensionUniqueName="[Test Plan]" displayFolder="" count="0" unbalanced="0"/>
    <cacheHierarchy uniqueName="[Test Plan].[Test Plan Name]" caption="Test Plan Name" attribute="1" defaultMemberUniqueName="[Test Plan].[Test Plan Name].[All]" allUniqueName="[Test Plan].[Test Plan Name].[All]" dimensionUniqueName="[Test Plan]" displayFolder="" count="2" unbalanced="0">
      <fieldsUsage count="2">
        <fieldUsage x="-1"/>
        <fieldUsage x="44"/>
      </fieldsUsage>
    </cacheHierarchy>
    <cacheHierarchy uniqueName="[Test Plan].[Test Plan Owner]" caption="Test Plan Owner" attribute="1" defaultMemberUniqueName="[Test Plan].[Test Plan Owner].[All]" allUniqueName="[Test Plan].[Test Plan Owner].[All]" dimensionUniqueName="[Test Plan]" displayFolder="" count="0" unbalanced="0"/>
    <cacheHierarchy uniqueName="[Test Plan].[Test Plan State]" caption="Test Plan State" attribute="1" defaultMemberUniqueName="[Test Plan].[Test Plan State].[All]" allUniqueName="[Test Plan].[Test Plan State].[All]" dimensionUniqueName="[Test Plan]" displayFolder="" count="0" unbalanced="0"/>
    <cacheHierarchy uniqueName="[Test Plan].[Test Plan State ID]" caption="Test Plan State Id" attribute="1" defaultMemberUniqueName="[Test Plan].[Test Plan State ID].[All]" allUniqueName="[Test Plan].[Test Plan State ID].[All]" dimensionUniqueName="[Test Plan]" displayFolder="" count="0" unbalanced="0"/>
    <cacheHierarchy uniqueName="[Test Result].[Failure Type]" caption="Failure Type" attribute="1" defaultMemberUniqueName="[Test Result].[Failure Type].[All]" allUniqueName="[Test Result].[Failure Type].[All]" dimensionUniqueName="[Test Result]" displayFolder="" count="0" unbalanced="0"/>
    <cacheHierarchy uniqueName="[Test Result].[Failure Type Id]" caption="Failure Type Id" attribute="1" defaultMemberUniqueName="[Test Result].[Failure Type Id].[All]" allUniqueName="[Test Result].[Failure Type Id].[All]" dimensionUniqueName="[Test Result]" displayFolder="" count="0" unbalanced="0"/>
    <cacheHierarchy uniqueName="[Test Result].[Outcome]" caption="Outcome" attribute="1" defaultMemberUniqueName="[Test Result].[Outcome].[All]" allUniqueName="[Test Result].[Outcome].[All]" dimensionUniqueName="[Test Result]" displayFolder="" count="2" unbalanced="0">
      <fieldsUsage count="2">
        <fieldUsage x="-1"/>
        <fieldUsage x="77"/>
      </fieldsUsage>
    </cacheHierarchy>
    <cacheHierarchy uniqueName="[Test Result].[Outcome Id]" caption="Outcome Id" attribute="1" defaultMemberUniqueName="[Test Result].[Outcome Id].[All]" allUniqueName="[Test Result].[Outcome Id].[All]" dimensionUniqueName="[Test Result]" displayFolder="" count="0" unbalanced="0"/>
    <cacheHierarchy uniqueName="[Test Result].[Readiness State]" caption="Readiness State" attribute="1" defaultMemberUniqueName="[Test Result].[Readiness State].[All]" allUniqueName="[Test Result].[Readiness State].[All]" dimensionUniqueName="[Test Result]" displayFolder="" count="0" unbalanced="0"/>
    <cacheHierarchy uniqueName="[Test Result].[Readiness State Id]" caption="Readiness State Id" attribute="1" defaultMemberUniqueName="[Test Result].[Readiness State Id].[All]" allUniqueName="[Test Result].[Readiness State Id].[All]" dimensionUniqueName="[Test Result]" displayFolder="" count="0" unbalanced="0"/>
    <cacheHierarchy uniqueName="[Test Result].[Resolution State]" caption="Resolution State" attribute="1" defaultMemberUniqueName="[Test Result].[Resolution State].[All]" allUniqueName="[Test Result].[Resolution State].[All]" dimensionUniqueName="[Test Result]" displayFolder="" count="0" unbalanced="0"/>
    <cacheHierarchy uniqueName="[Test Result].[Test Result Executed By]" caption="Test Result Executed By" attribute="1" defaultMemberUniqueName="[Test Result].[Test Result Executed By].[All]" allUniqueName="[Test Result].[Test Result Executed By].[All]" dimensionUniqueName="[Test Result]" displayFolder="" count="0" unbalanced="0"/>
    <cacheHierarchy uniqueName="[Test Result].[Test Result Owner]" caption="Test Result Owner" attribute="1" defaultMemberUniqueName="[Test Result].[Test Result Owner].[All]" allUniqueName="[Test Result].[Test Result Owner].[All]" dimensionUniqueName="[Test Result]" displayFolder="" count="0" unbalanced="0"/>
    <cacheHierarchy uniqueName="[Test Result].[Test Result Priority]" caption="Test Result Priority" attribute="1" defaultMemberUniqueName="[Test Result].[Test Result Priority].[All]" allUniqueName="[Test Result].[Test Result Priority].[All]" dimensionUniqueName="[Test Result]" displayFolder="" count="0" unbalanced="0"/>
    <cacheHierarchy uniqueName="[Test Run].[Complete Date Hierarchy By Month]" caption="Complete Date Hierarchy By Month" defaultMemberUniqueName="[Test Run].[Complete Date Hierarchy By Month].[All]" allUniqueName="[Test Run].[Complete Date Hierarchy By Month].[All]" dimensionUniqueName="[Test Run]" displayFolder="" count="0" unbalanced="0"/>
    <cacheHierarchy uniqueName="[Test Run].[Complete Date Hierarchy By Week]" caption="Complete Date Hierarchy By Week" defaultMemberUniqueName="[Test Run].[Complete Date Hierarchy By Week].[All]" allUniqueName="[Test Run].[Complete Date Hierarchy By Week].[All]" dimensionUniqueName="[Test Run]" displayFolder="" count="0" unbalanced="0"/>
    <cacheHierarchy uniqueName="[Test Run].[Creation Date Hierarchy By Month]" caption="Creation Date Hierarchy By Month" defaultMemberUniqueName="[Test Run].[Creation Date Hierarchy By Month].[All]" allUniqueName="[Test Run].[Creation Date Hierarchy By Month].[All]" dimensionUniqueName="[Test Run]" displayFolder="" count="0" unbalanced="0"/>
    <cacheHierarchy uniqueName="[Test Run].[Creation Date Hierarchy By Week]" caption="Creation Date Hierarchy By Week" defaultMemberUniqueName="[Test Run].[Creation Date Hierarchy By Week].[All]" allUniqueName="[Test Run].[Creation Date Hierarchy By Week].[All]" dimensionUniqueName="[Test Run]" displayFolder="" count="0" unbalanced="0"/>
    <cacheHierarchy uniqueName="[Test Run].[Is Automated]" caption="Is Automated" attribute="1" defaultMemberUniqueName="[Test Run].[Is Automated].[All]" allUniqueName="[Test Run].[Is Automated].[All]" dimensionUniqueName="[Test Run]" displayFolder="" count="0" unbalanced="0"/>
    <cacheHierarchy uniqueName="[Test Run].[Is Build Verification Run]" caption="Is Build Verification Run" attribute="1" defaultMemberUniqueName="[Test Run].[Is Build Verification Run].[All]" allUniqueName="[Test Run].[Is Build Verification Run].[All]" dimensionUniqueName="[Test Run]" displayFolder="" count="0" unbalanced="0"/>
    <cacheHierarchy uniqueName="[Test Run].[Start Date Hierarchy By Month]" caption="Start Date Hierarchy By Month" defaultMemberUniqueName="[Test Run].[Start Date Hierarchy By Month].[All]" allUniqueName="[Test Run].[Start Date Hierarchy By Month].[All]" dimensionUniqueName="[Test Run]" displayFolder="" count="0" unbalanced="0"/>
    <cacheHierarchy uniqueName="[Test Run].[Start Date Hierarchy By Week]" caption="Start Date Hierarchy By Week" defaultMemberUniqueName="[Test Run].[Start Date Hierarchy By Week].[All]" allUniqueName="[Test Run].[Start Date Hierarchy By Week].[All]" dimensionUniqueName="[Test Run]" displayFolder="" count="0" unbalanced="0"/>
    <cacheHierarchy uniqueName="[Test Run].[Test Run ID]" caption="Test Run Id" attribute="1" defaultMemberUniqueName="[Test Run].[Test Run ID].[All]" allUniqueName="[Test Run].[Test Run ID].[All]" dimensionUniqueName="[Test Run]" displayFolder="" count="0" unbalanced="0"/>
    <cacheHierarchy uniqueName="[Test Run].[Test Run Owner]" caption="Test Run Owner" attribute="1" defaultMemberUniqueName="[Test Run].[Test Run Owner].[All]" allUniqueName="[Test Run].[Test Run Owner].[All]" dimensionUniqueName="[Test Run]" displayFolder="" count="0" unbalanced="0"/>
    <cacheHierarchy uniqueName="[Test Run].[Test Run State]" caption="Test Run State" attribute="1" defaultMemberUniqueName="[Test Run].[Test Run State].[All]" allUniqueName="[Test Run].[Test Run State].[All]" dimensionUniqueName="[Test Run]" displayFolder="" count="0" unbalanced="0"/>
    <cacheHierarchy uniqueName="[Test Run].[Test Run State Id]" caption="Test Run State Id" attribute="1" defaultMemberUniqueName="[Test Run].[Test Run State Id].[All]" allUniqueName="[Test Run].[Test Run State Id].[All]" dimensionUniqueName="[Test Run]" displayFolder="" count="0" unbalanced="0"/>
    <cacheHierarchy uniqueName="[Test Run].[Test Run Title]" caption="Test Run Title" attribute="1" defaultMemberUniqueName="[Test Run].[Test Run Title].[All]" allUniqueName="[Test Run].[Test Run Title].[All]" dimensionUniqueName="[Test Run]" displayFolder="" count="0" unbalanced="0"/>
    <cacheHierarchy uniqueName="[Test Suite].[Suite Path]" caption="Suite Path" attribute="1" defaultMemberUniqueName="[Test Suite].[Suite Path].[All]" allUniqueName="[Test Suite].[Suite Path].[All]" dimensionUniqueName="[Test Suite]" displayFolder="" count="0" unbalanced="0"/>
    <cacheHierarchy uniqueName="[Test Suite].[Test Suite Hierarchy]" caption="Test Suite Hierarchy" defaultMemberUniqueName="[Test Suite].[Test Suite Hierarchy].[All]" allUniqueName="[Test Suite].[Test Suite Hierarchy].[All]" dimensionUniqueName="[Test Suite]" displayFolder="" count="17" unbalanced="0">
      <fieldsUsage count="17">
        <fieldUsage x="-1"/>
        <fieldUsage x="46"/>
        <fieldUsage x="47"/>
        <fieldUsage x="48"/>
        <fieldUsage x="49"/>
        <fieldUsage x="50"/>
        <fieldUsage x="51"/>
        <fieldUsage x="52"/>
        <fieldUsage x="53"/>
        <fieldUsage x="54"/>
        <fieldUsage x="55"/>
        <fieldUsage x="56"/>
        <fieldUsage x="57"/>
        <fieldUsage x="58"/>
        <fieldUsage x="59"/>
        <fieldUsage x="60"/>
        <fieldUsage x="61"/>
      </fieldsUsage>
    </cacheHierarchy>
    <cacheHierarchy uniqueName="[Version Control Changeset].[Changeset ID]" caption="Changeset ID" attribute="1" defaultMemberUniqueName="[Version Control Changeset].[Changeset ID].[All]" allUniqueName="[Version Control Changeset].[Changeset ID].[All]" dimensionUniqueName="[Version Control Changeset]" displayFolder="" count="0" unbalanced="0"/>
    <cacheHierarchy uniqueName="[Version Control Changeset].[Changeset Title]" caption="Description" attribute="1" defaultMemberUniqueName="[Version Control Changeset].[Changeset Title].[All]" allUniqueName="[Version Control Changeset].[Changeset Title].[All]" dimensionUniqueName="[Version Control Changeset]" displayFolder="" count="0" unbalanced="0"/>
    <cacheHierarchy uniqueName="[Version Control Changeset].[Checked In By]" caption="Checked In By" attribute="1" defaultMemberUniqueName="[Version Control Changeset].[Checked In By].[All]" allUniqueName="[Version Control Changeset].[Checked In By].[All]" dimensionUniqueName="[Version Control Changeset]" displayFolder="" count="0" unbalanced="0"/>
    <cacheHierarchy uniqueName="[Version Control Changeset].[Policy Override Comment]" caption="Policy Override Comment" attribute="1" defaultMemberUniqueName="[Version Control Changeset].[Policy Override Comment].[All]" allUniqueName="[Version Control Changeset].[Policy Override Comment].[All]" dimensionUniqueName="[Version Control Changeset]" displayFolder="" count="0" unbalanced="0"/>
    <cacheHierarchy uniqueName="[Version Control File].[File Extension]" caption="Version Control File.File Extension" attribute="1" defaultMemberUniqueName="[Version Control File].[File Extension].[All]" allUniqueName="[Version Control File].[File Extension].[All]" dimensionUniqueName="[Version Control File]" displayFolder="" count="0" unbalanced="0"/>
    <cacheHierarchy uniqueName="[Version Control File].[File Hierarchy]" caption="Version Control File.File Hierarchy" defaultMemberUniqueName="[Version Control File].[File Hierarchy].[All]" allUniqueName="[Version Control File].[File Hierarchy].[All]" dimensionUniqueName="[Version Control File]" displayFolder="" count="0" unbalanced="1"/>
    <cacheHierarchy uniqueName="[Work Item].[Area Hierarchy]" caption="Work Item.Area Hierarchy" defaultMemberUniqueName="[Work Item].[Area Hierarchy].[All]" allUniqueName="[Work Item].[Area Hierarchy].[All]" dimensionUniqueName="[Work Item]" displayFolder="" count="16" unbalanced="0">
      <fieldsUsage count="16">
        <fieldUsage x="-1"/>
        <fieldUsage x="4"/>
        <fieldUsage x="5"/>
        <fieldUsage x="6"/>
        <fieldUsage x="7"/>
        <fieldUsage x="8"/>
        <fieldUsage x="9"/>
        <fieldUsage x="10"/>
        <fieldUsage x="11"/>
        <fieldUsage x="12"/>
        <fieldUsage x="13"/>
        <fieldUsage x="14"/>
        <fieldUsage x="15"/>
        <fieldUsage x="16"/>
        <fieldUsage x="17"/>
        <fieldUsage x="18"/>
      </fieldsUsage>
    </cacheHierarchy>
    <cacheHierarchy uniqueName="[Work Item].[Area Path]" caption="Work Item.Area Path" attribute="1" defaultMemberUniqueName="[Work Item].[Area Path].[All]" allUniqueName="[Work Item].[Area Path].[All]" dimensionUniqueName="[Work Item]" displayFolder="\" count="2" unbalanced="0">
      <fieldsUsage count="2">
        <fieldUsage x="-1"/>
        <fieldUsage x="0"/>
      </fieldsUsage>
    </cacheHierarchy>
    <cacheHierarchy uniqueName="[Work Item].[CWB_ARISProcessFlow]" caption="Work Item.ARIS Process Flow" attribute="1" defaultMemberUniqueName="[Work Item].[CWB_ARISProcessFlow].[All]" allUniqueName="[Work Item].[CWB_ARISProcessFlow].[All]" dimensionUniqueName="[Work Item]" displayFolder="CWB" count="0" unbalanced="0"/>
    <cacheHierarchy uniqueName="[Work Item].[CWB_BugPriority]" caption="Work Item.Bug Priority" attribute="1" defaultMemberUniqueName="[Work Item].[CWB_BugPriority].[All]" allUniqueName="[Work Item].[CWB_BugPriority].[All]" dimensionUniqueName="[Work Item]" displayFolder="CWB" count="0" unbalanced="0"/>
    <cacheHierarchy uniqueName="[Work Item].[CWB_BusinessOwner]" caption="Work Item.Business Owner" attribute="1" defaultMemberUniqueName="[Work Item].[CWB_BusinessOwner].[All]" allUniqueName="[Work Item].[CWB_BusinessOwner].[All]" dimensionUniqueName="[Work Item]" displayFolder="CWB" count="0" unbalanced="0"/>
    <cacheHierarchy uniqueName="[Work Item].[CWB_BussinessRequiredDate]" caption="Work Item.Business Required Date" attribute="1" defaultMemberUniqueName="[Work Item].[CWB_BussinessRequiredDate].[All]" allUniqueName="[Work Item].[CWB_BussinessRequiredDate].[All]" dimensionUniqueName="[Work Item]" displayFolder="CWB" count="0" unbalanced="0"/>
    <cacheHierarchy uniqueName="[Work Item].[CWB_BussinessRequiredDate__HierarchyByMonth]" caption="Work Item.Business Required Date Hierarchy By Month" defaultMemberUniqueName="[Work Item].[CWB_BussinessRequiredDate__HierarchyByMonth].[All]" allUniqueName="[Work Item].[CWB_BussinessRequiredDate__HierarchyByMonth].[All]" dimensionUniqueName="[Work Item]" displayFolder="CWB" count="0" unbalanced="0"/>
    <cacheHierarchy uniqueName="[Work Item].[CWB_BussinessRequiredDate__HierarchyByWeek]" caption="Work Item.Business Required Date Hierarchy By Week" defaultMemberUniqueName="[Work Item].[CWB_BussinessRequiredDate__HierarchyByWeek].[All]" allUniqueName="[Work Item].[CWB_BussinessRequiredDate__HierarchyByWeek].[All]" dimensionUniqueName="[Work Item]" displayFolder="CWB" count="0" unbalanced="0"/>
    <cacheHierarchy uniqueName="[Work Item].[CWB_CodeReviewed_ReviewedBy]" caption="Work Item.Code Reviewed By" attribute="1" defaultMemberUniqueName="[Work Item].[CWB_CodeReviewed_ReviewedBy].[All]" allUniqueName="[Work Item].[CWB_CodeReviewed_ReviewedBy].[All]" dimensionUniqueName="[Work Item]" displayFolder="CWB" count="0" unbalanced="0"/>
    <cacheHierarchy uniqueName="[Work Item].[CWB_EstimationBuckets]" caption="Work Item.Estimation Buckets" attribute="1" defaultMemberUniqueName="[Work Item].[CWB_EstimationBuckets].[All]" allUniqueName="[Work Item].[CWB_EstimationBuckets].[All]" dimensionUniqueName="[Work Item]" displayFolder="CWB" count="0" unbalanced="0"/>
    <cacheHierarchy uniqueName="[Work Item].[CWB_FailedFixes]" caption="Work Item.Failed Fixes" attribute="1" defaultMemberUniqueName="[Work Item].[CWB_FailedFixes].[All]" allUniqueName="[Work Item].[CWB_FailedFixes].[All]" dimensionUniqueName="[Work Item]" displayFolder="CWB" count="0" unbalanced="0"/>
    <cacheHierarchy uniqueName="[Work Item].[CWB_GoalsAchieved]" caption="Work Item.Goals Achieved" attribute="1" defaultMemberUniqueName="[Work Item].[CWB_GoalsAchieved].[All]" allUniqueName="[Work Item].[CWB_GoalsAchieved].[All]" dimensionUniqueName="[Work Item]" displayFolder="CWB" count="0" unbalanced="0"/>
    <cacheHierarchy uniqueName="[Work Item].[CWB_iINSDEV]" caption="Work Item.iINSDEV" attribute="1" defaultMemberUniqueName="[Work Item].[CWB_iINSDEV].[All]" allUniqueName="[Work Item].[CWB_iINSDEV].[All]" dimensionUniqueName="[Work Item]" displayFolder="CWB" count="0" unbalanced="0"/>
    <cacheHierarchy uniqueName="[Work Item].[CWB_IMEnvBuild]" caption="Work Item.IMBuild" attribute="1" defaultMemberUniqueName="[Work Item].[CWB_IMEnvBuild].[All]" allUniqueName="[Work Item].[CWB_IMEnvBuild].[All]" dimensionUniqueName="[Work Item]" displayFolder="CWB" count="0" unbalanced="0"/>
    <cacheHierarchy uniqueName="[Work Item].[CWB_IMEnvDevelopment]" caption="Work Item.IMDevelopment" attribute="1" defaultMemberUniqueName="[Work Item].[CWB_IMEnvDevelopment].[All]" allUniqueName="[Work Item].[CWB_IMEnvDevelopment].[All]" dimensionUniqueName="[Work Item]" displayFolder="CWB" count="0" unbalanced="0"/>
    <cacheHierarchy uniqueName="[Work Item].[CWB_IMEnvProduction]" caption="Work Item.IMProduction" attribute="1" defaultMemberUniqueName="[Work Item].[CWB_IMEnvProduction].[All]" allUniqueName="[Work Item].[CWB_IMEnvProduction].[All]" dimensionUniqueName="[Work Item]" displayFolder="CWB" count="0" unbalanced="0"/>
    <cacheHierarchy uniqueName="[Work Item].[CWB_IMEnvTest]" caption="Work Item.IMTest" attribute="1" defaultMemberUniqueName="[Work Item].[CWB_IMEnvTest].[All]" allUniqueName="[Work Item].[CWB_IMEnvTest].[All]" dimensionUniqueName="[Work Item]" displayFolder="CWB" count="0" unbalanced="0"/>
    <cacheHierarchy uniqueName="[Work Item].[CWB_IMEnvUATA]" caption="Work Item.IMUATA" attribute="1" defaultMemberUniqueName="[Work Item].[CWB_IMEnvUATA].[All]" allUniqueName="[Work Item].[CWB_IMEnvUATA].[All]" dimensionUniqueName="[Work Item]" displayFolder="CWB" count="0" unbalanced="0"/>
    <cacheHierarchy uniqueName="[Work Item].[CWB_IMEnvUATB]" caption="Work Item.IMUATB" attribute="1" defaultMemberUniqueName="[Work Item].[CWB_IMEnvUATB].[All]" allUniqueName="[Work Item].[CWB_IMEnvUATB].[All]" dimensionUniqueName="[Work Item]" displayFolder="CWB" count="0" unbalanced="0"/>
    <cacheHierarchy uniqueName="[Work Item].[CWB_ImpedimentType]" caption="Work Item.Impediment Type" attribute="1" defaultMemberUniqueName="[Work Item].[CWB_ImpedimentType].[All]" allUniqueName="[Work Item].[CWB_ImpedimentType].[All]" dimensionUniqueName="[Work Item]" displayFolder="CWB" count="0" unbalanced="0"/>
    <cacheHierarchy uniqueName="[Work Item].[CWB_IMReleasePackageDate]" caption="Work Item.IMPackageDate" attribute="1" defaultMemberUniqueName="[Work Item].[CWB_IMReleasePackageDate].[All]" allUniqueName="[Work Item].[CWB_IMReleasePackageDate].[All]" dimensionUniqueName="[Work Item]" displayFolder="CWB" count="0" unbalanced="0"/>
    <cacheHierarchy uniqueName="[Work Item].[CWB_IMReleasePackageDate__HierarchyByMonth]" caption="Work Item.IMPackageDate Hierarchy By Month" defaultMemberUniqueName="[Work Item].[CWB_IMReleasePackageDate__HierarchyByMonth].[All]" allUniqueName="[Work Item].[CWB_IMReleasePackageDate__HierarchyByMonth].[All]" dimensionUniqueName="[Work Item]" displayFolder="CWB" count="0" unbalanced="0"/>
    <cacheHierarchy uniqueName="[Work Item].[CWB_IMReleasePackageDate__HierarchyByWeek]" caption="Work Item.IMPackageDate Hierarchy By Week" defaultMemberUniqueName="[Work Item].[CWB_IMReleasePackageDate__HierarchyByWeek].[All]" allUniqueName="[Work Item].[CWB_IMReleasePackageDate__HierarchyByWeek].[All]" dimensionUniqueName="[Work Item]" displayFolder="CWB" count="0" unbalanced="0"/>
    <cacheHierarchy uniqueName="[Work Item].[CWB_INSQA]" caption="Work Item.INSQA" attribute="1" defaultMemberUniqueName="[Work Item].[CWB_INSQA].[All]" allUniqueName="[Work Item].[CWB_INSQA].[All]" dimensionUniqueName="[Work Item]" displayFolder="CWB" count="0" unbalanced="0"/>
    <cacheHierarchy uniqueName="[Work Item].[CWB_IssueType]" caption="Work Item.Issue Type" attribute="1" defaultMemberUniqueName="[Work Item].[CWB_IssueType].[All]" allUniqueName="[Work Item].[CWB_IssueType].[All]" dimensionUniqueName="[Work Item]" displayFolder="CWB" count="0" unbalanced="0"/>
    <cacheHierarchy uniqueName="[Work Item].[CWB_ObjectiveCompleted]" caption="Work Item.Objective Completed" attribute="1" defaultMemberUniqueName="[Work Item].[CWB_ObjectiveCompleted].[All]" allUniqueName="[Work Item].[CWB_ObjectiveCompleted].[All]" dimensionUniqueName="[Work Item]" displayFolder="CWB" count="0" unbalanced="0"/>
    <cacheHierarchy uniqueName="[Work Item].[CWB_ObjectiveCount]" caption="Work Item.Objective Count" attribute="1" defaultMemberUniqueName="[Work Item].[CWB_ObjectiveCount].[All]" allUniqueName="[Work Item].[CWB_ObjectiveCount].[All]" dimensionUniqueName="[Work Item]" displayFolder="CWB" count="0" unbalanced="0"/>
    <cacheHierarchy uniqueName="[Work Item].[CWB_OLDDEV]" caption="Work Item.OLDDEV" attribute="1" defaultMemberUniqueName="[Work Item].[CWB_OLDDEV].[All]" allUniqueName="[Work Item].[CWB_OLDDEV].[All]" dimensionUniqueName="[Work Item]" displayFolder="CWB" count="0" unbalanced="0"/>
    <cacheHierarchy uniqueName="[Work Item].[CWB_OriginationSource]" caption="Work Item.Origination Source" attribute="1" defaultMemberUniqueName="[Work Item].[CWB_OriginationSource].[All]" allUniqueName="[Work Item].[CWB_OriginationSource].[All]" dimensionUniqueName="[Work Item]" displayFolder="CWB" count="0" unbalanced="0"/>
    <cacheHierarchy uniqueName="[Work Item].[CWB_PBIPriority]" caption="Work Item.PBI Priority" attribute="1" defaultMemberUniqueName="[Work Item].[CWB_PBIPriority].[All]" allUniqueName="[Work Item].[CWB_PBIPriority].[All]" dimensionUniqueName="[Work Item]" displayFolder="CWB" count="0" unbalanced="0"/>
    <cacheHierarchy uniqueName="[Work Item].[CWB_PBIType]" caption="Work Item.PBI Type" attribute="1" defaultMemberUniqueName="[Work Item].[CWB_PBIType].[All]" allUniqueName="[Work Item].[CWB_PBIType].[All]" dimensionUniqueName="[Work Item]" displayFolder="CWB" count="2" unbalanced="0">
      <fieldsUsage count="2">
        <fieldUsage x="-1"/>
        <fieldUsage x="3"/>
      </fieldsUsage>
    </cacheHierarchy>
    <cacheHierarchy uniqueName="[Work Item].[CWB_PlannedCompletionDate]" caption="Work Item.Planned Completion Date" attribute="1" defaultMemberUniqueName="[Work Item].[CWB_PlannedCompletionDate].[All]" allUniqueName="[Work Item].[CWB_PlannedCompletionDate].[All]" dimensionUniqueName="[Work Item]" displayFolder="CWB" count="0" unbalanced="0"/>
    <cacheHierarchy uniqueName="[Work Item].[CWB_PlannedCompletionDate__HierarchyByMonth]" caption="Work Item.Planned Completion Date Hierarchy By Month" defaultMemberUniqueName="[Work Item].[CWB_PlannedCompletionDate__HierarchyByMonth].[All]" allUniqueName="[Work Item].[CWB_PlannedCompletionDate__HierarchyByMonth].[All]" dimensionUniqueName="[Work Item]" displayFolder="CWB" count="0" unbalanced="0"/>
    <cacheHierarchy uniqueName="[Work Item].[CWB_PlannedCompletionDate__HierarchyByWeek]" caption="Work Item.Planned Completion Date Hierarchy By Week" defaultMemberUniqueName="[Work Item].[CWB_PlannedCompletionDate__HierarchyByWeek].[All]" allUniqueName="[Work Item].[CWB_PlannedCompletionDate__HierarchyByWeek].[All]" dimensionUniqueName="[Work Item]" displayFolder="CWB" count="0" unbalanced="0"/>
    <cacheHierarchy uniqueName="[Work Item].[CWB_PlannedStartDate]" caption="Work Item.Planned Start Date" attribute="1" defaultMemberUniqueName="[Work Item].[CWB_PlannedStartDate].[All]" allUniqueName="[Work Item].[CWB_PlannedStartDate].[All]" dimensionUniqueName="[Work Item]" displayFolder="CWB" count="0" unbalanced="0"/>
    <cacheHierarchy uniqueName="[Work Item].[CWB_PlannedStartDate__HierarchyByMonth]" caption="Work Item.Planned Start Date Hierarchy By Month" defaultMemberUniqueName="[Work Item].[CWB_PlannedStartDate__HierarchyByMonth].[All]" allUniqueName="[Work Item].[CWB_PlannedStartDate__HierarchyByMonth].[All]" dimensionUniqueName="[Work Item]" displayFolder="CWB" count="0" unbalanced="0"/>
    <cacheHierarchy uniqueName="[Work Item].[CWB_PlannedStartDate__HierarchyByWeek]" caption="Work Item.Planned Start Date Hierarchy By Week" defaultMemberUniqueName="[Work Item].[CWB_PlannedStartDate__HierarchyByWeek].[All]" allUniqueName="[Work Item].[CWB_PlannedStartDate__HierarchyByWeek].[All]" dimensionUniqueName="[Work Item]" displayFolder="CWB" count="0" unbalanced="0"/>
    <cacheHierarchy uniqueName="[Work Item].[CWB_ProjectName]" caption="Work Item.Project Name" attribute="1" defaultMemberUniqueName="[Work Item].[CWB_ProjectName].[All]" allUniqueName="[Work Item].[CWB_ProjectName].[All]" dimensionUniqueName="[Work Item]" displayFolder="CWB" count="0" unbalanced="0"/>
    <cacheHierarchy uniqueName="[Work Item].[CWB_ReferenceNum]" caption="Work Item.Reference #" attribute="1" defaultMemberUniqueName="[Work Item].[CWB_ReferenceNum].[All]" allUniqueName="[Work Item].[CWB_ReferenceNum].[All]" dimensionUniqueName="[Work Item]" displayFolder="CWB" count="0" unbalanced="0"/>
    <cacheHierarchy uniqueName="[Work Item].[CWB_RegulatoryRequirement]" caption="Work Item.Regulatory Requirement?" attribute="1" defaultMemberUniqueName="[Work Item].[CWB_RegulatoryRequirement].[All]" allUniqueName="[Work Item].[CWB_RegulatoryRequirement].[All]" dimensionUniqueName="[Work Item]" displayFolder="CWB" count="0" unbalanced="0"/>
    <cacheHierarchy uniqueName="[Work Item].[CWB_RequirementMet]" caption="Work Item.Met?" attribute="1" defaultMemberUniqueName="[Work Item].[CWB_RequirementMet].[All]" allUniqueName="[Work Item].[CWB_RequirementMet].[All]" dimensionUniqueName="[Work Item]" displayFolder="CWB" count="0" unbalanced="0"/>
    <cacheHierarchy uniqueName="[Work Item].[CWB_RequirementSource]" caption="Work Item.Requirement Source" attribute="1" defaultMemberUniqueName="[Work Item].[CWB_RequirementSource].[All]" allUniqueName="[Work Item].[CWB_RequirementSource].[All]" dimensionUniqueName="[Work Item]" displayFolder="CWB" count="0" unbalanced="0"/>
    <cacheHierarchy uniqueName="[Work Item].[CWB_ResourceSchedule]" caption="Work Item.In Resource Schedule" attribute="1" defaultMemberUniqueName="[Work Item].[CWB_ResourceSchedule].[All]" allUniqueName="[Work Item].[CWB_ResourceSchedule].[All]" dimensionUniqueName="[Work Item]" displayFolder="CWB" count="0" unbalanced="0"/>
    <cacheHierarchy uniqueName="[Work Item].[CWB_Scope]" caption="Work Item.Scope" attribute="1" defaultMemberUniqueName="[Work Item].[CWB_Scope].[All]" allUniqueName="[Work Item].[CWB_Scope].[All]" dimensionUniqueName="[Work Item]" displayFolder="CWB" count="0" unbalanced="0"/>
    <cacheHierarchy uniqueName="[Work Item].[CWB_T24BUILD]" caption="Work Item.T24BUILD" attribute="1" defaultMemberUniqueName="[Work Item].[CWB_T24BUILD].[All]" allUniqueName="[Work Item].[CWB_T24BUILD].[All]" dimensionUniqueName="[Work Item]" displayFolder="CWB" count="0" unbalanced="0"/>
    <cacheHierarchy uniqueName="[Work Item].[CWB_T24COB]" caption="Work Item.T24COB" attribute="1" defaultMemberUniqueName="[Work Item].[CWB_T24COB].[All]" allUniqueName="[Work Item].[CWB_T24COB].[All]" dimensionUniqueName="[Work Item]" displayFolder="CWB" count="0" unbalanced="0"/>
    <cacheHierarchy uniqueName="[Work Item].[CWB_T24DEV]" caption="Work Item.T24DEV" attribute="1" defaultMemberUniqueName="[Work Item].[CWB_T24DEV].[All]" allUniqueName="[Work Item].[CWB_T24DEV].[All]" dimensionUniqueName="[Work Item]" displayFolder="CWB" count="0" unbalanced="0"/>
    <cacheHierarchy uniqueName="[Work Item].[CWB_T24DEV1]" caption="Work Item.T24DEV1" attribute="1" defaultMemberUniqueName="[Work Item].[CWB_T24DEV1].[All]" allUniqueName="[Work Item].[CWB_T24DEV1].[All]" dimensionUniqueName="[Work Item]" displayFolder="CWB" count="0" unbalanced="0"/>
    <cacheHierarchy uniqueName="[Work Item].[CWB_T24DEV2]" caption="Work Item.T24DEV2" attribute="1" defaultMemberUniqueName="[Work Item].[CWB_T24DEV2].[All]" allUniqueName="[Work Item].[CWB_T24DEV2].[All]" dimensionUniqueName="[Work Item]" displayFolder="CWB" count="0" unbalanced="0"/>
    <cacheHierarchy uniqueName="[Work Item].[CWB_T24DMQA]" caption="Work Item.T24DMQA" attribute="1" defaultMemberUniqueName="[Work Item].[CWB_T24DMQA].[All]" allUniqueName="[Work Item].[CWB_T24DMQA].[All]" dimensionUniqueName="[Work Item]" displayFolder="CWB" count="0" unbalanced="0"/>
    <cacheHierarchy uniqueName="[Work Item].[CWB_T24DMTST]" caption="Work Item.T24DMTST" attribute="1" defaultMemberUniqueName="[Work Item].[CWB_T24DMTST].[All]" allUniqueName="[Work Item].[CWB_T24DMTST].[All]" dimensionUniqueName="[Work Item]" displayFolder="CWB" count="0" unbalanced="0"/>
    <cacheHierarchy uniqueName="[Work Item].[CWB_T24INSDEV]" caption="Work Item.T24INSDEV" attribute="1" defaultMemberUniqueName="[Work Item].[CWB_T24INSDEV].[All]" allUniqueName="[Work Item].[CWB_T24INSDEV].[All]" dimensionUniqueName="[Work Item]" displayFolder="CWB" count="0" unbalanced="0"/>
    <cacheHierarchy uniqueName="[Work Item].[CWB_T24MASTR]" caption="Work Item.T24MASTR" attribute="1" defaultMemberUniqueName="[Work Item].[CWB_T24MASTR].[All]" allUniqueName="[Work Item].[CWB_T24MASTR].[All]" dimensionUniqueName="[Work Item]" displayFolder="CWB" count="0" unbalanced="0"/>
    <cacheHierarchy uniqueName="[Work Item].[CWB_T24PROD]" caption="Work Item.T24PROD" attribute="1" defaultMemberUniqueName="[Work Item].[CWB_T24PROD].[All]" allUniqueName="[Work Item].[CWB_T24PROD].[All]" dimensionUniqueName="[Work Item]" displayFolder="CWB" count="0" unbalanced="0"/>
    <cacheHierarchy uniqueName="[Work Item].[CWB_T24QA]" caption="Work Item.T24QA" attribute="1" defaultMemberUniqueName="[Work Item].[CWB_T24QA].[All]" allUniqueName="[Work Item].[CWB_T24QA].[All]" dimensionUniqueName="[Work Item]" displayFolder="CWB" count="0" unbalanced="0"/>
    <cacheHierarchy uniqueName="[Work Item].[CWB_T24SIT]" caption="Work Item.T24SIT" attribute="1" defaultMemberUniqueName="[Work Item].[CWB_T24SIT].[All]" allUniqueName="[Work Item].[CWB_T24SIT].[All]" dimensionUniqueName="[Work Item]" displayFolder="CWB" count="0" unbalanced="0"/>
    <cacheHierarchy uniqueName="[Work Item].[CWB_T24SIT1]" caption="Work Item.T24SIT1" attribute="1" defaultMemberUniqueName="[Work Item].[CWB_T24SIT1].[All]" allUniqueName="[Work Item].[CWB_T24SIT1].[All]" dimensionUniqueName="[Work Item]" displayFolder="CWB" count="0" unbalanced="0"/>
    <cacheHierarchy uniqueName="[Work Item].[CWB_T24SIT2]" caption="Work Item.T24SIT2" attribute="1" defaultMemberUniqueName="[Work Item].[CWB_T24SIT2].[All]" allUniqueName="[Work Item].[CWB_T24SIT2].[All]" dimensionUniqueName="[Work Item]" displayFolder="CWB" count="0" unbalanced="0"/>
    <cacheHierarchy uniqueName="[Work Item].[CWB_T24STG]" caption="Work Item.T24STG" attribute="1" defaultMemberUniqueName="[Work Item].[CWB_T24STG].[All]" allUniqueName="[Work Item].[CWB_T24STG].[All]" dimensionUniqueName="[Work Item]" displayFolder="CWB" count="0" unbalanced="0"/>
    <cacheHierarchy uniqueName="[Work Item].[CWB_T24TRN1]" caption="Work Item.T24TRN1" attribute="1" defaultMemberUniqueName="[Work Item].[CWB_T24TRN1].[All]" allUniqueName="[Work Item].[CWB_T24TRN1].[All]" dimensionUniqueName="[Work Item]" displayFolder="CWB" count="0" unbalanced="0"/>
    <cacheHierarchy uniqueName="[Work Item].[CWB_T24TRN2]" caption="Work Item.T24TRN2" attribute="1" defaultMemberUniqueName="[Work Item].[CWB_T24TRN2].[All]" allUniqueName="[Work Item].[CWB_T24TRN2].[All]" dimensionUniqueName="[Work Item]" displayFolder="CWB" count="0" unbalanced="0"/>
    <cacheHierarchy uniqueName="[Work Item].[CWB_T24TRN3]" caption="Work Item.T24TRN3" attribute="1" defaultMemberUniqueName="[Work Item].[CWB_T24TRN3].[All]" allUniqueName="[Work Item].[CWB_T24TRN3].[All]" dimensionUniqueName="[Work Item]" displayFolder="CWB" count="0" unbalanced="0"/>
    <cacheHierarchy uniqueName="[Work Item].[CWB_T24TRN4]" caption="Work Item.T24TRN4" attribute="1" defaultMemberUniqueName="[Work Item].[CWB_T24TRN4].[All]" allUniqueName="[Work Item].[CWB_T24TRN4].[All]" dimensionUniqueName="[Work Item]" displayFolder="CWB" count="0" unbalanced="0"/>
    <cacheHierarchy uniqueName="[Work Item].[CWB_T24TST]" caption="Work Item.T24TST" attribute="1" defaultMemberUniqueName="[Work Item].[CWB_T24TST].[All]" allUniqueName="[Work Item].[CWB_T24TST].[All]" dimensionUniqueName="[Work Item]" displayFolder="CWB" count="0" unbalanced="0"/>
    <cacheHierarchy uniqueName="[Work Item].[CWB_T24TST1]" caption="Work Item.T24TST1" attribute="1" defaultMemberUniqueName="[Work Item].[CWB_T24TST1].[All]" allUniqueName="[Work Item].[CWB_T24TST1].[All]" dimensionUniqueName="[Work Item]" displayFolder="CWB" count="0" unbalanced="0"/>
    <cacheHierarchy uniqueName="[Work Item].[CWB_T24TST2]" caption="Work Item.T24TST2" attribute="1" defaultMemberUniqueName="[Work Item].[CWB_T24TST2].[All]" allUniqueName="[Work Item].[CWB_T24TST2].[All]" dimensionUniqueName="[Work Item]" displayFolder="CWB" count="0" unbalanced="0"/>
    <cacheHierarchy uniqueName="[Work Item].[CWB_T24TST3]" caption="Work Item.T24TST3" attribute="1" defaultMemberUniqueName="[Work Item].[CWB_T24TST3].[All]" allUniqueName="[Work Item].[CWB_T24TST3].[All]" dimensionUniqueName="[Work Item]" displayFolder="CWB" count="0" unbalanced="0"/>
    <cacheHierarchy uniqueName="[Work Item].[CWB_T24UAT]" caption="Work Item.T24UAT" attribute="1" defaultMemberUniqueName="[Work Item].[CWB_T24UAT].[All]" allUniqueName="[Work Item].[CWB_T24UAT].[All]" dimensionUniqueName="[Work Item]" displayFolder="CWB" count="0" unbalanced="0"/>
    <cacheHierarchy uniqueName="[Work Item].[CWB_TargetResolution]" caption="Work Item.Target Resolution" attribute="1" defaultMemberUniqueName="[Work Item].[CWB_TargetResolution].[All]" allUniqueName="[Work Item].[CWB_TargetResolution].[All]" dimensionUniqueName="[Work Item]" displayFolder="CWB" count="0" unbalanced="0"/>
    <cacheHierarchy uniqueName="[Work Item].[CWB_TargetResolution__HierarchyByMonth]" caption="Work Item.Target Resolution Hierarchy By Month" defaultMemberUniqueName="[Work Item].[CWB_TargetResolution__HierarchyByMonth].[All]" allUniqueName="[Work Item].[CWB_TargetResolution__HierarchyByMonth].[All]" dimensionUniqueName="[Work Item]" displayFolder="CWB" count="0" unbalanced="0"/>
    <cacheHierarchy uniqueName="[Work Item].[CWB_TargetResolution__HierarchyByWeek]" caption="Work Item.Target Resolution Hierarchy By Week" defaultMemberUniqueName="[Work Item].[CWB_TargetResolution__HierarchyByWeek].[All]" allUniqueName="[Work Item].[CWB_TargetResolution__HierarchyByWeek].[All]" dimensionUniqueName="[Work Item]" displayFolder="CWB" count="0" unbalanced="0"/>
    <cacheHierarchy uniqueName="[Work Item].[CWB_TemenosIssueType]" caption="Work Item.Temenos Issue Type" attribute="1" defaultMemberUniqueName="[Work Item].[CWB_TemenosIssueType].[All]" allUniqueName="[Work Item].[CWB_TemenosIssueType].[All]" dimensionUniqueName="[Work Item]" displayFolder="CWB" count="0" unbalanced="0"/>
    <cacheHierarchy uniqueName="[Work Item].[CWB_TemenosStatus]" caption="Work Item.Temenos Status" attribute="1" defaultMemberUniqueName="[Work Item].[CWB_TemenosStatus].[All]" allUniqueName="[Work Item].[CWB_TemenosStatus].[All]" dimensionUniqueName="[Work Item]" displayFolder="CWB" count="0" unbalanced="0"/>
    <cacheHierarchy uniqueName="[Work Item].[CWB_ThirdParty]" caption="Work Item.Third Party" attribute="1" defaultMemberUniqueName="[Work Item].[CWB_ThirdParty].[All]" allUniqueName="[Work Item].[CWB_ThirdParty].[All]" dimensionUniqueName="[Work Item]" displayFolder="CWB" count="0" unbalanced="0"/>
    <cacheHierarchy uniqueName="[Work Item].[CWB_ThirdPartyStatus]" caption="Work Item.Third Party Status" attribute="1" defaultMemberUniqueName="[Work Item].[CWB_ThirdPartyStatus].[All]" allUniqueName="[Work Item].[CWB_ThirdPartyStatus].[All]" dimensionUniqueName="[Work Item]" displayFolder="CWB" count="0" unbalanced="0"/>
    <cacheHierarchy uniqueName="[Work Item].[CWB_WorkOrderNumber]" caption="Work Item.Work Order Number" attribute="1" defaultMemberUniqueName="[Work Item].[CWB_WorkOrderNumber].[All]" allUniqueName="[Work Item].[CWB_WorkOrderNumber].[All]" dimensionUniqueName="[Work Item]" displayFolder="CWB" count="0" unbalanced="0"/>
    <cacheHierarchy uniqueName="[Work Item].[Iteration Hierarchy]" caption="Work Item.Iteration Hierarchy" defaultMemberUniqueName="[Work Item].[Iteration Hierarchy].[All]" allUniqueName="[Work Item].[Iteration Hierarchy].[All]" dimensionUniqueName="[Work Item]" displayFolder="" count="0" unbalanced="0"/>
    <cacheHierarchy uniqueName="[Work Item].[Iteration Path]" caption="Work Item.Iteration Path" attribute="1" defaultMemberUniqueName="[Work Item].[Iteration Path].[All]" allUniqueName="[Work Item].[Iteration Path].[All]" dimensionUniqueName="[Work Item]" displayFolder="\" count="0" unbalanced="0"/>
    <cacheHierarchy uniqueName="[Work Item].[Microsoft_VSTS_Build_FoundIn]" caption="Work Item.Found In" attribute="1" defaultMemberUniqueName="[Work Item].[Microsoft_VSTS_Build_FoundIn].[All]" allUniqueName="[Work Item].[Microsoft_VSTS_Build_FoundIn].[All]" dimensionUniqueName="[Work Item]" displayFolder="Microsoft.VSTS.Build" count="0" unbalanced="0"/>
    <cacheHierarchy uniqueName="[Work Item].[Microsoft_VSTS_Build_IntegrationBuild]" caption="Work Item.Integration Build" attribute="1" defaultMemberUniqueName="[Work Item].[Microsoft_VSTS_Build_IntegrationBuild].[All]" allUniqueName="[Work Item].[Microsoft_VSTS_Build_IntegrationBuild].[All]" dimensionUniqueName="[Work Item]" displayFolder="Microsoft.VSTS.Build" count="0" unbalanced="0"/>
    <cacheHierarchy uniqueName="[Work Item].[Microsoft_VSTS_CMMI_Blocked]" caption="Work Item.Blocked" attribute="1" defaultMemberUniqueName="[Work Item].[Microsoft_VSTS_CMMI_Blocked].[All]" allUniqueName="[Work Item].[Microsoft_VSTS_CMMI_Blocked].[All]" dimensionUniqueName="[Work Item]" displayFolder="Microsoft.VSTS.CMMI" count="0" unbalanced="0"/>
    <cacheHierarchy uniqueName="[Work Item].[Microsoft_VSTS_CodeReview_AcceptedBy]" caption="Work Item.Accepted By" attribute="1" defaultMemberUniqueName="[Work Item].[Microsoft_VSTS_CodeReview_AcceptedBy].[All]" allUniqueName="[Work Item].[Microsoft_VSTS_CodeReview_AcceptedBy].[All]" dimensionUniqueName="[Work Item]" displayFolder="Microsoft.VSTS.CodeReview" count="0" unbalanced="0"/>
    <cacheHierarchy uniqueName="[Work Item].[Microsoft_VSTS_CodeReview_AcceptedDate]" caption="Work Item.Accepted Date" attribute="1" defaultMemberUniqueName="[Work Item].[Microsoft_VSTS_CodeReview_AcceptedDate].[All]" allUniqueName="[Work Item].[Microsoft_VSTS_CodeReview_AcceptedDate].[All]" dimensionUniqueName="[Work Item]" displayFolder="Microsoft.VSTS.CodeReview" count="0" unbalanced="0"/>
    <cacheHierarchy uniqueName="[Work Item].[Microsoft_VSTS_CodeReview_AcceptedDate__HierarchyByMonth]" caption="Work Item.Accepted Date Hierarchy By Month" defaultMemberUniqueName="[Work Item].[Microsoft_VSTS_CodeReview_AcceptedDate__HierarchyByMonth].[All]" allUniqueName="[Work Item].[Microsoft_VSTS_CodeReview_AcceptedDate__HierarchyByMonth].[All]" dimensionUniqueName="[Work Item]" displayFolder="Microsoft.VSTS.CodeReview" count="0" unbalanced="0"/>
    <cacheHierarchy uniqueName="[Work Item].[Microsoft_VSTS_CodeReview_AcceptedDate__HierarchyByWeek]" caption="Work Item.Accepted Date Hierarchy By Week" defaultMemberUniqueName="[Work Item].[Microsoft_VSTS_CodeReview_AcceptedDate__HierarchyByWeek].[All]" allUniqueName="[Work Item].[Microsoft_VSTS_CodeReview_AcceptedDate__HierarchyByWeek].[All]" dimensionUniqueName="[Work Item]" displayFolder="Microsoft.VSTS.CodeReview" count="0" unbalanced="0"/>
    <cacheHierarchy uniqueName="[Work Item].[Microsoft_VSTS_CodeReview_ClosedStatus]" caption="Work Item.Closed Status" attribute="1" defaultMemberUniqueName="[Work Item].[Microsoft_VSTS_CodeReview_ClosedStatus].[All]" allUniqueName="[Work Item].[Microsoft_VSTS_CodeReview_ClosedStatus].[All]" dimensionUniqueName="[Work Item]" displayFolder="Microsoft.VSTS.CodeReview" count="0" unbalanced="0"/>
    <cacheHierarchy uniqueName="[Work Item].[Microsoft_VSTS_Common_ActivatedBy]" caption="Work Item.Activated By" attribute="1" defaultMemberUniqueName="[Work Item].[Microsoft_VSTS_Common_ActivatedBy].[All]" allUniqueName="[Work Item].[Microsoft_VSTS_Common_ActivatedBy].[All]" dimensionUniqueName="[Work Item]" displayFolder="Microsoft.VSTS.Common" count="0" unbalanced="0"/>
    <cacheHierarchy uniqueName="[Work Item].[Microsoft_VSTS_Common_ActivatedDate]" caption="Work Item.Activated Date" attribute="1" defaultMemberUniqueName="[Work Item].[Microsoft_VSTS_Common_ActivatedDate].[All]" allUniqueName="[Work Item].[Microsoft_VSTS_Common_ActivatedDate].[All]" dimensionUniqueName="[Work Item]" displayFolder="Microsoft.VSTS.Common" count="0" unbalanced="0"/>
    <cacheHierarchy uniqueName="[Work Item].[Microsoft_VSTS_Common_ActivatedDate__HierarchyByMonth]" caption="Work Item.Activated Date Hierarchy By Month" defaultMemberUniqueName="[Work Item].[Microsoft_VSTS_Common_ActivatedDate__HierarchyByMonth].[All]" allUniqueName="[Work Item].[Microsoft_VSTS_Common_ActivatedDate__HierarchyByMonth].[All]" dimensionUniqueName="[Work Item]" displayFolder="Microsoft.VSTS.Common" count="0" unbalanced="0"/>
    <cacheHierarchy uniqueName="[Work Item].[Microsoft_VSTS_Common_ActivatedDate__HierarchyByWeek]" caption="Work Item.Activated Date Hierarchy By Week" defaultMemberUniqueName="[Work Item].[Microsoft_VSTS_Common_ActivatedDate__HierarchyByWeek].[All]" allUniqueName="[Work Item].[Microsoft_VSTS_Common_ActivatedDate__HierarchyByWeek].[All]" dimensionUniqueName="[Work Item]" displayFolder="Microsoft.VSTS.Common" count="0" unbalanced="0"/>
    <cacheHierarchy uniqueName="[Work Item].[Microsoft_VSTS_Common_Activity]" caption="Work Item.Activity" attribute="1" defaultMemberUniqueName="[Work Item].[Microsoft_VSTS_Common_Activity].[All]" allUniqueName="[Work Item].[Microsoft_VSTS_Common_Activity].[All]" dimensionUniqueName="[Work Item]" displayFolder="Microsoft.VSTS.Common" count="0" unbalanced="0"/>
    <cacheHierarchy uniqueName="[Work Item].[Microsoft_VSTS_Common_ClosedBy]" caption="Work Item.Closed By" attribute="1" defaultMemberUniqueName="[Work Item].[Microsoft_VSTS_Common_ClosedBy].[All]" allUniqueName="[Work Item].[Microsoft_VSTS_Common_ClosedBy].[All]" dimensionUniqueName="[Work Item]" displayFolder="Microsoft.VSTS.Common" count="0" unbalanced="0"/>
    <cacheHierarchy uniqueName="[Work Item].[Microsoft_VSTS_Common_ClosedDate]" caption="Work Item.Closed Date" attribute="1" defaultMemberUniqueName="[Work Item].[Microsoft_VSTS_Common_ClosedDate].[All]" allUniqueName="[Work Item].[Microsoft_VSTS_Common_ClosedDate].[All]" dimensionUniqueName="[Work Item]" displayFolder="Microsoft.VSTS.Common" count="0" unbalanced="0"/>
    <cacheHierarchy uniqueName="[Work Item].[Microsoft_VSTS_Common_ClosedDate__HierarchyByMonth]" caption="Work Item.Closed Date Hierarchy By Month" defaultMemberUniqueName="[Work Item].[Microsoft_VSTS_Common_ClosedDate__HierarchyByMonth].[All]" allUniqueName="[Work Item].[Microsoft_VSTS_Common_ClosedDate__HierarchyByMonth].[All]" dimensionUniqueName="[Work Item]" displayFolder="Microsoft.VSTS.Common" count="0" unbalanced="0"/>
    <cacheHierarchy uniqueName="[Work Item].[Microsoft_VSTS_Common_ClosedDate__HierarchyByWeek]" caption="Work Item.Closed Date Hierarchy By Week" defaultMemberUniqueName="[Work Item].[Microsoft_VSTS_Common_ClosedDate__HierarchyByWeek].[All]" allUniqueName="[Work Item].[Microsoft_VSTS_Common_ClosedDate__HierarchyByWeek].[All]" dimensionUniqueName="[Work Item]" displayFolder="Microsoft.VSTS.Common" count="0" unbalanced="0"/>
    <cacheHierarchy uniqueName="[Work Item].[Microsoft_VSTS_Common_Issue]" caption="Work Item.Issue" attribute="1" defaultMemberUniqueName="[Work Item].[Microsoft_VSTS_Common_Issue].[All]" allUniqueName="[Work Item].[Microsoft_VSTS_Common_Issue].[All]" dimensionUniqueName="[Work Item]" displayFolder="Microsoft.VSTS.Common" count="0" unbalanced="0"/>
    <cacheHierarchy uniqueName="[Work Item].[Microsoft_VSTS_Common_Priority]" caption="Work Item.Priority" attribute="1" defaultMemberUniqueName="[Work Item].[Microsoft_VSTS_Common_Priority].[All]" allUniqueName="[Work Item].[Microsoft_VSTS_Common_Priority].[All]" dimensionUniqueName="[Work Item]" displayFolder="Microsoft.VSTS.Common" count="0" unbalanced="0"/>
    <cacheHierarchy uniqueName="[Work Item].[Microsoft_VSTS_Common_Rating]" caption="Work Item.Rating" attribute="1" defaultMemberUniqueName="[Work Item].[Microsoft_VSTS_Common_Rating].[All]" allUniqueName="[Work Item].[Microsoft_VSTS_Common_Rating].[All]" dimensionUniqueName="[Work Item]" displayFolder="Microsoft.VSTS.Common" count="0" unbalanced="0"/>
    <cacheHierarchy uniqueName="[Work Item].[Microsoft_VSTS_Common_Severity]" caption="Work Item.Severity" attribute="1" defaultMemberUniqueName="[Work Item].[Microsoft_VSTS_Common_Severity].[All]" allUniqueName="[Work Item].[Microsoft_VSTS_Common_Severity].[All]" dimensionUniqueName="[Work Item]" displayFolder="Microsoft.VSTS.Common" count="0" unbalanced="0"/>
    <cacheHierarchy uniqueName="[Work Item].[Microsoft_VSTS_TCM_AutomationStatus]" caption="Work Item.Automation status" attribute="1" defaultMemberUniqueName="[Work Item].[Microsoft_VSTS_TCM_AutomationStatus].[All]" allUniqueName="[Work Item].[Microsoft_VSTS_TCM_AutomationStatus].[All]" dimensionUniqueName="[Work Item]" displayFolder="Microsoft.VSTS.TCM" count="0" unbalanced="0"/>
    <cacheHierarchy uniqueName="[Work Item].[Previous State]" caption="Work Item.Previous State" attribute="1" defaultMemberUniqueName="[Work Item].[Previous State].[All]" allUniqueName="[Work Item].[Previous State].[All]" dimensionUniqueName="[Work Item]" displayFolder="" count="0" unbalanced="0"/>
    <cacheHierarchy uniqueName="[Work Item].[System_AssignedTo]" caption="Work Item.Assigned To" attribute="1" defaultMemberUniqueName="[Work Item].[System_AssignedTo].[All]" allUniqueName="[Work Item].[System_AssignedTo].[All]" dimensionUniqueName="[Work Item]" displayFolder="\" count="0" unbalanced="0"/>
    <cacheHierarchy uniqueName="[Work Item].[System_ChangedBy]" caption="Work Item.Changed By" attribute="1" defaultMemberUniqueName="[Work Item].[System_ChangedBy].[All]" allUniqueName="[Work Item].[System_ChangedBy].[All]" dimensionUniqueName="[Work Item]" displayFolder="\" count="0" unbalanced="0"/>
    <cacheHierarchy uniqueName="[Work Item].[System_ChangedDate]" caption="Work Item.Changed Date" attribute="1" defaultMemberUniqueName="[Work Item].[System_ChangedDate].[All]" allUniqueName="[Work Item].[System_ChangedDate].[All]" dimensionUniqueName="[Work Item]" displayFolder="\" count="0" unbalanced="0"/>
    <cacheHierarchy uniqueName="[Work Item].[System_ChangedDate__HierarchyByMonth]" caption="Work Item.Changed Date Hierarchy By Month" defaultMemberUniqueName="[Work Item].[System_ChangedDate__HierarchyByMonth].[All]" allUniqueName="[Work Item].[System_ChangedDate__HierarchyByMonth].[All]" dimensionUniqueName="[Work Item]" displayFolder="\" count="0" unbalanced="0"/>
    <cacheHierarchy uniqueName="[Work Item].[System_ChangedDate__HierarchyByWeek]" caption="Work Item.Changed Date Hierarchy By Week" defaultMemberUniqueName="[Work Item].[System_ChangedDate__HierarchyByWeek].[All]" allUniqueName="[Work Item].[System_ChangedDate__HierarchyByWeek].[All]" dimensionUniqueName="[Work Item]" displayFolder="\" count="0" unbalanced="0"/>
    <cacheHierarchy uniqueName="[Work Item].[System_CreatedBy]" caption="Work Item.Created By" attribute="1" defaultMemberUniqueName="[Work Item].[System_CreatedBy].[All]" allUniqueName="[Work Item].[System_CreatedBy].[All]" dimensionUniqueName="[Work Item]" displayFolder="\" count="0" unbalanced="0"/>
    <cacheHierarchy uniqueName="[Work Item].[System_CreatedDate]" caption="Work Item.Created Date" attribute="1" defaultMemberUniqueName="[Work Item].[System_CreatedDate].[All]" allUniqueName="[Work Item].[System_CreatedDate].[All]" dimensionUniqueName="[Work Item]" displayFolder="\" count="0" unbalanced="0"/>
    <cacheHierarchy uniqueName="[Work Item].[System_CreatedDate__HierarchyByMonth]" caption="Work Item.Created Date Hierarchy By Month" defaultMemberUniqueName="[Work Item].[System_CreatedDate__HierarchyByMonth].[All]" allUniqueName="[Work Item].[System_CreatedDate__HierarchyByMonth].[All]" dimensionUniqueName="[Work Item]" displayFolder="\" count="0" unbalanced="0"/>
    <cacheHierarchy uniqueName="[Work Item].[System_CreatedDate__HierarchyByWeek]" caption="Work Item.Created Date Hierarchy By Week" defaultMemberUniqueName="[Work Item].[System_CreatedDate__HierarchyByWeek].[All]" allUniqueName="[Work Item].[System_CreatedDate__HierarchyByWeek].[All]" dimensionUniqueName="[Work Item]" displayFolder="\" count="0" unbalanced="0"/>
    <cacheHierarchy uniqueName="[Work Item].[System_Id]" caption="Work Item.ID" attribute="1" defaultMemberUniqueName="[Work Item].[System_Id].[All]" allUniqueName="[Work Item].[System_Id].[All]" dimensionUniqueName="[Work Item]" displayFolder="\" count="0" unbalanced="0"/>
    <cacheHierarchy uniqueName="[Work Item].[System_Reason]" caption="Work Item.Reason" attribute="1" defaultMemberUniqueName="[Work Item].[System_Reason].[All]" allUniqueName="[Work Item].[System_Reason].[All]" dimensionUniqueName="[Work Item]" displayFolder="\" count="0" unbalanced="0"/>
    <cacheHierarchy uniqueName="[Work Item].[System_Revision]" caption="Work Item.Rev" attribute="1" defaultMemberUniqueName="[Work Item].[System_Revision].[All]" allUniqueName="[Work Item].[System_Revision].[All]" dimensionUniqueName="[Work Item]" displayFolder="\" count="0" unbalanced="0"/>
    <cacheHierarchy uniqueName="[Work Item].[System_State]" caption="Work Item.State" attribute="1" defaultMemberUniqueName="[Work Item].[System_State].[All]" allUniqueName="[Work Item].[System_State].[All]" dimensionUniqueName="[Work Item]" displayFolder="\" count="0" unbalanced="0"/>
    <cacheHierarchy uniqueName="[Work Item].[System_Title]" caption="Work Item.Title" attribute="1" defaultMemberUniqueName="[Work Item].[System_Title].[All]" allUniqueName="[Work Item].[System_Title].[All]" dimensionUniqueName="[Work Item]" displayFolder="\" count="0" unbalanced="0"/>
    <cacheHierarchy uniqueName="[Work Item].[System_WorkItemType]" caption="Work Item.Work Item Type" attribute="1" defaultMemberUniqueName="[Work Item].[System_WorkItemType].[All]" allUniqueName="[Work Item].[System_WorkItemType].[All]" dimensionUniqueName="[Work Item]" displayFolder="\" count="2" unbalanced="0">
      <fieldsUsage count="2">
        <fieldUsage x="-1"/>
        <fieldUsage x="1"/>
      </fieldsUsage>
    </cacheHierarchy>
    <cacheHierarchy uniqueName="[Work Item Category].[Name]" caption="Name" attribute="1" defaultMemberUniqueName="[Work Item Category].[Name].[All]" allUniqueName="[Work Item Category].[Name].[All]" dimensionUniqueName="[Work Item Category]" displayFolder="" count="2" unbalanced="0">
      <fieldsUsage count="2">
        <fieldUsage x="-1"/>
        <fieldUsage x="2"/>
      </fieldsUsage>
    </cacheHierarchy>
    <cacheHierarchy uniqueName="[Work Item Category].[Reference Name]" caption="Reference Name" attribute="1" defaultMemberUniqueName="[Work Item Category].[Reference Name].[All]" allUniqueName="[Work Item Category].[Reference Name].[All]" dimensionUniqueName="[Work Item Category]" displayFolder="" count="0" unbalanced="0"/>
    <cacheHierarchy uniqueName="[Work Item Link Type].[Is Deleted]" caption="Is Deleted" attribute="1" defaultMemberUniqueName="[Work Item Link Type].[Is Deleted].[All]" allUniqueName="[Work Item Link Type].[Is Deleted].[All]" dimensionUniqueName="[Work Item Link Type]" displayFolder="" count="0" unbalanced="0"/>
    <cacheHierarchy uniqueName="[Work Item Link Type].[Is Deny Delete]" caption="Is Deny Delete" attribute="1" defaultMemberUniqueName="[Work Item Link Type].[Is Deny Delete].[All]" allUniqueName="[Work Item Link Type].[Is Deny Delete].[All]" dimensionUniqueName="[Work Item Link Type]" displayFolder="" count="0" unbalanced="0"/>
    <cacheHierarchy uniqueName="[Work Item Link Type].[Is Deny Edit]" caption="Is Deny Edit" attribute="1" defaultMemberUniqueName="[Work Item Link Type].[Is Deny Edit].[All]" allUniqueName="[Work Item Link Type].[Is Deny Edit].[All]" dimensionUniqueName="[Work Item Link Type]" displayFolder="" count="0" unbalanced="0"/>
    <cacheHierarchy uniqueName="[Work Item Link Type].[Is Directional]" caption="Is Directional" attribute="1" defaultMemberUniqueName="[Work Item Link Type].[Is Directional].[All]" allUniqueName="[Work Item Link Type].[Is Directional].[All]" dimensionUniqueName="[Work Item Link Type]" displayFolder="" count="0" unbalanced="0"/>
    <cacheHierarchy uniqueName="[Work Item Link Type].[Is Disabled]" caption="Is Disabled" attribute="1" defaultMemberUniqueName="[Work Item Link Type].[Is Disabled].[All]" allUniqueName="[Work Item Link Type].[Is Disabled].[All]" dimensionUniqueName="[Work Item Link Type]" displayFolder="" count="0" unbalanced="0"/>
    <cacheHierarchy uniqueName="[Work Item Link Type].[Is Non Circular]" caption="Is Non-Circular" attribute="1" defaultMemberUniqueName="[Work Item Link Type].[Is Non Circular].[All]" allUniqueName="[Work Item Link Type].[Is Non Circular].[All]" dimensionUniqueName="[Work Item Link Type]" displayFolder="" count="0" unbalanced="0"/>
    <cacheHierarchy uniqueName="[Work Item Link Type].[Is Single Target]" caption="Is Single Target" attribute="1" defaultMemberUniqueName="[Work Item Link Type].[Is Single Target].[All]" allUniqueName="[Work Item Link Type].[Is Single Target].[All]" dimensionUniqueName="[Work Item Link Type]" displayFolder="" count="0" unbalanced="0"/>
    <cacheHierarchy uniqueName="[Work Item Link Type].[Is Tree]" caption="Is Tree" attribute="1" defaultMemberUniqueName="[Work Item Link Type].[Is Tree].[All]" allUniqueName="[Work Item Link Type].[Is Tree].[All]" dimensionUniqueName="[Work Item Link Type]" displayFolder="" count="0" unbalanced="0"/>
    <cacheHierarchy uniqueName="[Work Item Link Type].[Link ID]" caption="Link ID" attribute="1" defaultMemberUniqueName="[Work Item Link Type].[Link ID].[All]" allUniqueName="[Work Item Link Type].[Link ID].[All]" dimensionUniqueName="[Work Item Link Type]" displayFolder="" count="0" unbalanced="0"/>
    <cacheHierarchy uniqueName="[Work Item Link Type].[Link Name]" caption="Link Name" attribute="1" defaultMemberUniqueName="[Work Item Link Type].[Link Name].[All]" allUniqueName="[Work Item Link Type].[Link Name].[All]" dimensionUniqueName="[Work Item Link Type]" displayFolder="" count="0" unbalanced="0"/>
    <cacheHierarchy uniqueName="[Work Item Link Type].[Reference Name]" caption="Reference Name" attribute="1" defaultMemberUniqueName="[Work Item Link Type].[Reference Name].[All]" allUniqueName="[Work Item Link Type].[Reference Name].[All]" dimensionUniqueName="[Work Item Link Type]" displayFolder="" count="0" unbalanced="0"/>
    <cacheHierarchy uniqueName="[Work Item Link Type].[Rules]" caption="Rules" attribute="1" defaultMemberUniqueName="[Work Item Link Type].[Rules].[All]" allUniqueName="[Work Item Link Type].[Rules].[All]" dimensionUniqueName="[Work Item Link Type]" displayFolder="" count="0" unbalanced="0"/>
    <cacheHierarchy uniqueName="[Work Item Linked].[Area Hierarchy]" caption="Work Item Linked.Area Hierarchy" defaultMemberUniqueName="[Work Item Linked].[Area Hierarchy].[All]" allUniqueName="[Work Item Linked].[Area Hierarchy].[All]" dimensionUniqueName="[Work Item Linked]" displayFolder="" count="0" unbalanced="0"/>
    <cacheHierarchy uniqueName="[Work Item Linked].[Area Path]" caption="Work Item Linked.Area Path" attribute="1" defaultMemberUniqueName="[Work Item Linked].[Area Path].[All]" allUniqueName="[Work Item Linked].[Area Path].[All]" dimensionUniqueName="[Work Item Linked]" displayFolder="\" count="0" unbalanced="0"/>
    <cacheHierarchy uniqueName="[Work Item Linked].[CWB_ARISProcessFlow]" caption="Work Item Linked.ARIS Process Flow" attribute="1" defaultMemberUniqueName="[Work Item Linked].[CWB_ARISProcessFlow].[All]" allUniqueName="[Work Item Linked].[CWB_ARISProcessFlow].[All]" dimensionUniqueName="[Work Item Linked]" displayFolder="CWB" count="0" unbalanced="0"/>
    <cacheHierarchy uniqueName="[Work Item Linked].[CWB_BugPriority]" caption="Work Item Linked.Bug Priority" attribute="1" defaultMemberUniqueName="[Work Item Linked].[CWB_BugPriority].[All]" allUniqueName="[Work Item Linked].[CWB_BugPriority].[All]" dimensionUniqueName="[Work Item Linked]" displayFolder="CWB" count="0" unbalanced="0"/>
    <cacheHierarchy uniqueName="[Work Item Linked].[CWB_BusinessOwner]" caption="Work Item Linked.Business Owner" attribute="1" defaultMemberUniqueName="[Work Item Linked].[CWB_BusinessOwner].[All]" allUniqueName="[Work Item Linked].[CWB_BusinessOwner].[All]" dimensionUniqueName="[Work Item Linked]" displayFolder="CWB" count="0" unbalanced="0"/>
    <cacheHierarchy uniqueName="[Work Item Linked].[CWB_BussinessRequiredDate]" caption="Work Item Linked.Business Required Date" attribute="1" defaultMemberUniqueName="[Work Item Linked].[CWB_BussinessRequiredDate].[All]" allUniqueName="[Work Item Linked].[CWB_BussinessRequiredDate].[All]" dimensionUniqueName="[Work Item Linked]" displayFolder="CWB" count="0" unbalanced="0"/>
    <cacheHierarchy uniqueName="[Work Item Linked].[CWB_BussinessRequiredDate__HierarchyByMonth]" caption="Work Item Linked.Business Required Date Hierarchy By Month" defaultMemberUniqueName="[Work Item Linked].[CWB_BussinessRequiredDate__HierarchyByMonth].[All]" allUniqueName="[Work Item Linked].[CWB_BussinessRequiredDate__HierarchyByMonth].[All]" dimensionUniqueName="[Work Item Linked]" displayFolder="CWB" count="0" unbalanced="0"/>
    <cacheHierarchy uniqueName="[Work Item Linked].[CWB_BussinessRequiredDate__HierarchyByWeek]" caption="Work Item Linked.Business Required Date Hierarchy By Week" defaultMemberUniqueName="[Work Item Linked].[CWB_BussinessRequiredDate__HierarchyByWeek].[All]" allUniqueName="[Work Item Linked].[CWB_BussinessRequiredDate__HierarchyByWeek].[All]" dimensionUniqueName="[Work Item Linked]" displayFolder="CWB" count="0" unbalanced="0"/>
    <cacheHierarchy uniqueName="[Work Item Linked].[CWB_CodeReviewed_ReviewedBy]" caption="Work Item Linked.Code Reviewed By" attribute="1" defaultMemberUniqueName="[Work Item Linked].[CWB_CodeReviewed_ReviewedBy].[All]" allUniqueName="[Work Item Linked].[CWB_CodeReviewed_ReviewedBy].[All]" dimensionUniqueName="[Work Item Linked]" displayFolder="CWB" count="0" unbalanced="0"/>
    <cacheHierarchy uniqueName="[Work Item Linked].[CWB_EstimationBuckets]" caption="Work Item Linked.Estimation Buckets" attribute="1" defaultMemberUniqueName="[Work Item Linked].[CWB_EstimationBuckets].[All]" allUniqueName="[Work Item Linked].[CWB_EstimationBuckets].[All]" dimensionUniqueName="[Work Item Linked]" displayFolder="CWB" count="0" unbalanced="0"/>
    <cacheHierarchy uniqueName="[Work Item Linked].[CWB_FailedFixes]" caption="Work Item Linked.Failed Fixes" attribute="1" defaultMemberUniqueName="[Work Item Linked].[CWB_FailedFixes].[All]" allUniqueName="[Work Item Linked].[CWB_FailedFixes].[All]" dimensionUniqueName="[Work Item Linked]" displayFolder="CWB" count="0" unbalanced="0"/>
    <cacheHierarchy uniqueName="[Work Item Linked].[CWB_GoalsAchieved]" caption="Work Item Linked.Goals Achieved" attribute="1" defaultMemberUniqueName="[Work Item Linked].[CWB_GoalsAchieved].[All]" allUniqueName="[Work Item Linked].[CWB_GoalsAchieved].[All]" dimensionUniqueName="[Work Item Linked]" displayFolder="CWB" count="0" unbalanced="0"/>
    <cacheHierarchy uniqueName="[Work Item Linked].[CWB_iINSDEV]" caption="Work Item Linked.iINSDEV" attribute="1" defaultMemberUniqueName="[Work Item Linked].[CWB_iINSDEV].[All]" allUniqueName="[Work Item Linked].[CWB_iINSDEV].[All]" dimensionUniqueName="[Work Item Linked]" displayFolder="CWB" count="0" unbalanced="0"/>
    <cacheHierarchy uniqueName="[Work Item Linked].[CWB_IMEnvBuild]" caption="Work Item Linked.IMBuild" attribute="1" defaultMemberUniqueName="[Work Item Linked].[CWB_IMEnvBuild].[All]" allUniqueName="[Work Item Linked].[CWB_IMEnvBuild].[All]" dimensionUniqueName="[Work Item Linked]" displayFolder="CWB" count="0" unbalanced="0"/>
    <cacheHierarchy uniqueName="[Work Item Linked].[CWB_IMEnvDevelopment]" caption="Work Item Linked.IMDevelopment" attribute="1" defaultMemberUniqueName="[Work Item Linked].[CWB_IMEnvDevelopment].[All]" allUniqueName="[Work Item Linked].[CWB_IMEnvDevelopment].[All]" dimensionUniqueName="[Work Item Linked]" displayFolder="CWB" count="0" unbalanced="0"/>
    <cacheHierarchy uniqueName="[Work Item Linked].[CWB_IMEnvProduction]" caption="Work Item Linked.IMProduction" attribute="1" defaultMemberUniqueName="[Work Item Linked].[CWB_IMEnvProduction].[All]" allUniqueName="[Work Item Linked].[CWB_IMEnvProduction].[All]" dimensionUniqueName="[Work Item Linked]" displayFolder="CWB" count="0" unbalanced="0"/>
    <cacheHierarchy uniqueName="[Work Item Linked].[CWB_IMEnvTest]" caption="Work Item Linked.IMTest" attribute="1" defaultMemberUniqueName="[Work Item Linked].[CWB_IMEnvTest].[All]" allUniqueName="[Work Item Linked].[CWB_IMEnvTest].[All]" dimensionUniqueName="[Work Item Linked]" displayFolder="CWB" count="0" unbalanced="0"/>
    <cacheHierarchy uniqueName="[Work Item Linked].[CWB_IMEnvUATA]" caption="Work Item Linked.IMUATA" attribute="1" defaultMemberUniqueName="[Work Item Linked].[CWB_IMEnvUATA].[All]" allUniqueName="[Work Item Linked].[CWB_IMEnvUATA].[All]" dimensionUniqueName="[Work Item Linked]" displayFolder="CWB" count="0" unbalanced="0"/>
    <cacheHierarchy uniqueName="[Work Item Linked].[CWB_IMEnvUATB]" caption="Work Item Linked.IMUATB" attribute="1" defaultMemberUniqueName="[Work Item Linked].[CWB_IMEnvUATB].[All]" allUniqueName="[Work Item Linked].[CWB_IMEnvUATB].[All]" dimensionUniqueName="[Work Item Linked]" displayFolder="CWB" count="0" unbalanced="0"/>
    <cacheHierarchy uniqueName="[Work Item Linked].[CWB_ImpedimentType]" caption="Work Item Linked.Impediment Type" attribute="1" defaultMemberUniqueName="[Work Item Linked].[CWB_ImpedimentType].[All]" allUniqueName="[Work Item Linked].[CWB_ImpedimentType].[All]" dimensionUniqueName="[Work Item Linked]" displayFolder="CWB" count="0" unbalanced="0"/>
    <cacheHierarchy uniqueName="[Work Item Linked].[CWB_IMReleasePackageDate]" caption="Work Item Linked.IMPackageDate" attribute="1" defaultMemberUniqueName="[Work Item Linked].[CWB_IMReleasePackageDate].[All]" allUniqueName="[Work Item Linked].[CWB_IMReleasePackageDate].[All]" dimensionUniqueName="[Work Item Linked]" displayFolder="CWB" count="0" unbalanced="0"/>
    <cacheHierarchy uniqueName="[Work Item Linked].[CWB_IMReleasePackageDate__HierarchyByMonth]" caption="Work Item Linked.IMPackageDate Hierarchy By Month" defaultMemberUniqueName="[Work Item Linked].[CWB_IMReleasePackageDate__HierarchyByMonth].[All]" allUniqueName="[Work Item Linked].[CWB_IMReleasePackageDate__HierarchyByMonth].[All]" dimensionUniqueName="[Work Item Linked]" displayFolder="CWB" count="0" unbalanced="0"/>
    <cacheHierarchy uniqueName="[Work Item Linked].[CWB_IMReleasePackageDate__HierarchyByWeek]" caption="Work Item Linked.IMPackageDate Hierarchy By Week" defaultMemberUniqueName="[Work Item Linked].[CWB_IMReleasePackageDate__HierarchyByWeek].[All]" allUniqueName="[Work Item Linked].[CWB_IMReleasePackageDate__HierarchyByWeek].[All]" dimensionUniqueName="[Work Item Linked]" displayFolder="CWB" count="0" unbalanced="0"/>
    <cacheHierarchy uniqueName="[Work Item Linked].[CWB_INSQA]" caption="Work Item Linked.INSQA" attribute="1" defaultMemberUniqueName="[Work Item Linked].[CWB_INSQA].[All]" allUniqueName="[Work Item Linked].[CWB_INSQA].[All]" dimensionUniqueName="[Work Item Linked]" displayFolder="CWB" count="0" unbalanced="0"/>
    <cacheHierarchy uniqueName="[Work Item Linked].[CWB_IssueType]" caption="Work Item Linked.Issue Type" attribute="1" defaultMemberUniqueName="[Work Item Linked].[CWB_IssueType].[All]" allUniqueName="[Work Item Linked].[CWB_IssueType].[All]" dimensionUniqueName="[Work Item Linked]" displayFolder="CWB" count="0" unbalanced="0"/>
    <cacheHierarchy uniqueName="[Work Item Linked].[CWB_ObjectiveCompleted]" caption="Work Item Linked.Objective Completed" attribute="1" defaultMemberUniqueName="[Work Item Linked].[CWB_ObjectiveCompleted].[All]" allUniqueName="[Work Item Linked].[CWB_ObjectiveCompleted].[All]" dimensionUniqueName="[Work Item Linked]" displayFolder="CWB" count="0" unbalanced="0"/>
    <cacheHierarchy uniqueName="[Work Item Linked].[CWB_ObjectiveCount]" caption="Work Item Linked.Objective Count" attribute="1" defaultMemberUniqueName="[Work Item Linked].[CWB_ObjectiveCount].[All]" allUniqueName="[Work Item Linked].[CWB_ObjectiveCount].[All]" dimensionUniqueName="[Work Item Linked]" displayFolder="CWB" count="0" unbalanced="0"/>
    <cacheHierarchy uniqueName="[Work Item Linked].[CWB_OLDDEV]" caption="Work Item Linked.OLDDEV" attribute="1" defaultMemberUniqueName="[Work Item Linked].[CWB_OLDDEV].[All]" allUniqueName="[Work Item Linked].[CWB_OLDDEV].[All]" dimensionUniqueName="[Work Item Linked]" displayFolder="CWB" count="0" unbalanced="0"/>
    <cacheHierarchy uniqueName="[Work Item Linked].[CWB_OriginationSource]" caption="Work Item Linked.Origination Source" attribute="1" defaultMemberUniqueName="[Work Item Linked].[CWB_OriginationSource].[All]" allUniqueName="[Work Item Linked].[CWB_OriginationSource].[All]" dimensionUniqueName="[Work Item Linked]" displayFolder="CWB" count="0" unbalanced="0"/>
    <cacheHierarchy uniqueName="[Work Item Linked].[CWB_PBIPriority]" caption="Work Item Linked.PBI Priority" attribute="1" defaultMemberUniqueName="[Work Item Linked].[CWB_PBIPriority].[All]" allUniqueName="[Work Item Linked].[CWB_PBIPriority].[All]" dimensionUniqueName="[Work Item Linked]" displayFolder="CWB" count="0" unbalanced="0"/>
    <cacheHierarchy uniqueName="[Work Item Linked].[CWB_PBIType]" caption="Work Item Linked.PBI Type" attribute="1" defaultMemberUniqueName="[Work Item Linked].[CWB_PBIType].[All]" allUniqueName="[Work Item Linked].[CWB_PBIType].[All]" dimensionUniqueName="[Work Item Linked]" displayFolder="CWB" count="2" unbalanced="0">
      <fieldsUsage count="2">
        <fieldUsage x="-1"/>
        <fieldUsage x="33"/>
      </fieldsUsage>
    </cacheHierarchy>
    <cacheHierarchy uniqueName="[Work Item Linked].[CWB_PlannedCompletionDate]" caption="Work Item Linked.Planned Completion Date" attribute="1" defaultMemberUniqueName="[Work Item Linked].[CWB_PlannedCompletionDate].[All]" allUniqueName="[Work Item Linked].[CWB_PlannedCompletionDate].[All]" dimensionUniqueName="[Work Item Linked]" displayFolder="CWB" count="0" unbalanced="0"/>
    <cacheHierarchy uniqueName="[Work Item Linked].[CWB_PlannedCompletionDate__HierarchyByMonth]" caption="Work Item Linked.Planned Completion Date Hierarchy By Month" defaultMemberUniqueName="[Work Item Linked].[CWB_PlannedCompletionDate__HierarchyByMonth].[All]" allUniqueName="[Work Item Linked].[CWB_PlannedCompletionDate__HierarchyByMonth].[All]" dimensionUniqueName="[Work Item Linked]" displayFolder="CWB" count="0" unbalanced="0"/>
    <cacheHierarchy uniqueName="[Work Item Linked].[CWB_PlannedCompletionDate__HierarchyByWeek]" caption="Work Item Linked.Planned Completion Date Hierarchy By Week" defaultMemberUniqueName="[Work Item Linked].[CWB_PlannedCompletionDate__HierarchyByWeek].[All]" allUniqueName="[Work Item Linked].[CWB_PlannedCompletionDate__HierarchyByWeek].[All]" dimensionUniqueName="[Work Item Linked]" displayFolder="CWB" count="0" unbalanced="0"/>
    <cacheHierarchy uniqueName="[Work Item Linked].[CWB_PlannedStartDate]" caption="Work Item Linked.Planned Start Date" attribute="1" defaultMemberUniqueName="[Work Item Linked].[CWB_PlannedStartDate].[All]" allUniqueName="[Work Item Linked].[CWB_PlannedStartDate].[All]" dimensionUniqueName="[Work Item Linked]" displayFolder="CWB" count="0" unbalanced="0"/>
    <cacheHierarchy uniqueName="[Work Item Linked].[CWB_PlannedStartDate__HierarchyByMonth]" caption="Work Item Linked.Planned Start Date Hierarchy By Month" defaultMemberUniqueName="[Work Item Linked].[CWB_PlannedStartDate__HierarchyByMonth].[All]" allUniqueName="[Work Item Linked].[CWB_PlannedStartDate__HierarchyByMonth].[All]" dimensionUniqueName="[Work Item Linked]" displayFolder="CWB" count="0" unbalanced="0"/>
    <cacheHierarchy uniqueName="[Work Item Linked].[CWB_PlannedStartDate__HierarchyByWeek]" caption="Work Item Linked.Planned Start Date Hierarchy By Week" defaultMemberUniqueName="[Work Item Linked].[CWB_PlannedStartDate__HierarchyByWeek].[All]" allUniqueName="[Work Item Linked].[CWB_PlannedStartDate__HierarchyByWeek].[All]" dimensionUniqueName="[Work Item Linked]" displayFolder="CWB" count="0" unbalanced="0"/>
    <cacheHierarchy uniqueName="[Work Item Linked].[CWB_ProjectName]" caption="Work Item Linked.Project Name" attribute="1" defaultMemberUniqueName="[Work Item Linked].[CWB_ProjectName].[All]" allUniqueName="[Work Item Linked].[CWB_ProjectName].[All]" dimensionUniqueName="[Work Item Linked]" displayFolder="CWB" count="0" unbalanced="0"/>
    <cacheHierarchy uniqueName="[Work Item Linked].[CWB_ReferenceNum]" caption="Work Item Linked.Reference #" attribute="1" defaultMemberUniqueName="[Work Item Linked].[CWB_ReferenceNum].[All]" allUniqueName="[Work Item Linked].[CWB_ReferenceNum].[All]" dimensionUniqueName="[Work Item Linked]" displayFolder="CWB" count="0" unbalanced="0"/>
    <cacheHierarchy uniqueName="[Work Item Linked].[CWB_RegulatoryRequirement]" caption="Work Item Linked.Regulatory Requirement?" attribute="1" defaultMemberUniqueName="[Work Item Linked].[CWB_RegulatoryRequirement].[All]" allUniqueName="[Work Item Linked].[CWB_RegulatoryRequirement].[All]" dimensionUniqueName="[Work Item Linked]" displayFolder="CWB" count="0" unbalanced="0"/>
    <cacheHierarchy uniqueName="[Work Item Linked].[CWB_RequirementMet]" caption="Work Item Linked.Met?" attribute="1" defaultMemberUniqueName="[Work Item Linked].[CWB_RequirementMet].[All]" allUniqueName="[Work Item Linked].[CWB_RequirementMet].[All]" dimensionUniqueName="[Work Item Linked]" displayFolder="CWB" count="0" unbalanced="0"/>
    <cacheHierarchy uniqueName="[Work Item Linked].[CWB_RequirementSource]" caption="Work Item Linked.Requirement Source" attribute="1" defaultMemberUniqueName="[Work Item Linked].[CWB_RequirementSource].[All]" allUniqueName="[Work Item Linked].[CWB_RequirementSource].[All]" dimensionUniqueName="[Work Item Linked]" displayFolder="CWB" count="0" unbalanced="0"/>
    <cacheHierarchy uniqueName="[Work Item Linked].[CWB_ResourceSchedule]" caption="Work Item Linked.In Resource Schedule" attribute="1" defaultMemberUniqueName="[Work Item Linked].[CWB_ResourceSchedule].[All]" allUniqueName="[Work Item Linked].[CWB_ResourceSchedule].[All]" dimensionUniqueName="[Work Item Linked]" displayFolder="CWB" count="0" unbalanced="0"/>
    <cacheHierarchy uniqueName="[Work Item Linked].[CWB_Scope]" caption="Work Item Linked.Scope" attribute="1" defaultMemberUniqueName="[Work Item Linked].[CWB_Scope].[All]" allUniqueName="[Work Item Linked].[CWB_Scope].[All]" dimensionUniqueName="[Work Item Linked]" displayFolder="CWB" count="0" unbalanced="0"/>
    <cacheHierarchy uniqueName="[Work Item Linked].[CWB_T24BUILD]" caption="Work Item Linked.T24BUILD" attribute="1" defaultMemberUniqueName="[Work Item Linked].[CWB_T24BUILD].[All]" allUniqueName="[Work Item Linked].[CWB_T24BUILD].[All]" dimensionUniqueName="[Work Item Linked]" displayFolder="CWB" count="0" unbalanced="0"/>
    <cacheHierarchy uniqueName="[Work Item Linked].[CWB_T24COB]" caption="Work Item Linked.T24COB" attribute="1" defaultMemberUniqueName="[Work Item Linked].[CWB_T24COB].[All]" allUniqueName="[Work Item Linked].[CWB_T24COB].[All]" dimensionUniqueName="[Work Item Linked]" displayFolder="CWB" count="0" unbalanced="0"/>
    <cacheHierarchy uniqueName="[Work Item Linked].[CWB_T24DEV]" caption="Work Item Linked.T24DEV" attribute="1" defaultMemberUniqueName="[Work Item Linked].[CWB_T24DEV].[All]" allUniqueName="[Work Item Linked].[CWB_T24DEV].[All]" dimensionUniqueName="[Work Item Linked]" displayFolder="CWB" count="0" unbalanced="0"/>
    <cacheHierarchy uniqueName="[Work Item Linked].[CWB_T24DEV1]" caption="Work Item Linked.T24DEV1" attribute="1" defaultMemberUniqueName="[Work Item Linked].[CWB_T24DEV1].[All]" allUniqueName="[Work Item Linked].[CWB_T24DEV1].[All]" dimensionUniqueName="[Work Item Linked]" displayFolder="CWB" count="0" unbalanced="0"/>
    <cacheHierarchy uniqueName="[Work Item Linked].[CWB_T24DEV2]" caption="Work Item Linked.T24DEV2" attribute="1" defaultMemberUniqueName="[Work Item Linked].[CWB_T24DEV2].[All]" allUniqueName="[Work Item Linked].[CWB_T24DEV2].[All]" dimensionUniqueName="[Work Item Linked]" displayFolder="CWB" count="0" unbalanced="0"/>
    <cacheHierarchy uniqueName="[Work Item Linked].[CWB_T24DMQA]" caption="Work Item Linked.T24DMQA" attribute="1" defaultMemberUniqueName="[Work Item Linked].[CWB_T24DMQA].[All]" allUniqueName="[Work Item Linked].[CWB_T24DMQA].[All]" dimensionUniqueName="[Work Item Linked]" displayFolder="CWB" count="0" unbalanced="0"/>
    <cacheHierarchy uniqueName="[Work Item Linked].[CWB_T24DMTST]" caption="Work Item Linked.T24DMTST" attribute="1" defaultMemberUniqueName="[Work Item Linked].[CWB_T24DMTST].[All]" allUniqueName="[Work Item Linked].[CWB_T24DMTST].[All]" dimensionUniqueName="[Work Item Linked]" displayFolder="CWB" count="0" unbalanced="0"/>
    <cacheHierarchy uniqueName="[Work Item Linked].[CWB_T24INSDEV]" caption="Work Item Linked.T24INSDEV" attribute="1" defaultMemberUniqueName="[Work Item Linked].[CWB_T24INSDEV].[All]" allUniqueName="[Work Item Linked].[CWB_T24INSDEV].[All]" dimensionUniqueName="[Work Item Linked]" displayFolder="CWB" count="0" unbalanced="0"/>
    <cacheHierarchy uniqueName="[Work Item Linked].[CWB_T24MASTR]" caption="Work Item Linked.T24MASTR" attribute="1" defaultMemberUniqueName="[Work Item Linked].[CWB_T24MASTR].[All]" allUniqueName="[Work Item Linked].[CWB_T24MASTR].[All]" dimensionUniqueName="[Work Item Linked]" displayFolder="CWB" count="0" unbalanced="0"/>
    <cacheHierarchy uniqueName="[Work Item Linked].[CWB_T24PROD]" caption="Work Item Linked.T24PROD" attribute="1" defaultMemberUniqueName="[Work Item Linked].[CWB_T24PROD].[All]" allUniqueName="[Work Item Linked].[CWB_T24PROD].[All]" dimensionUniqueName="[Work Item Linked]" displayFolder="CWB" count="0" unbalanced="0"/>
    <cacheHierarchy uniqueName="[Work Item Linked].[CWB_T24QA]" caption="Work Item Linked.T24QA" attribute="1" defaultMemberUniqueName="[Work Item Linked].[CWB_T24QA].[All]" allUniqueName="[Work Item Linked].[CWB_T24QA].[All]" dimensionUniqueName="[Work Item Linked]" displayFolder="CWB" count="0" unbalanced="0"/>
    <cacheHierarchy uniqueName="[Work Item Linked].[CWB_T24SIT]" caption="Work Item Linked.T24SIT" attribute="1" defaultMemberUniqueName="[Work Item Linked].[CWB_T24SIT].[All]" allUniqueName="[Work Item Linked].[CWB_T24SIT].[All]" dimensionUniqueName="[Work Item Linked]" displayFolder="CWB" count="0" unbalanced="0"/>
    <cacheHierarchy uniqueName="[Work Item Linked].[CWB_T24SIT1]" caption="Work Item Linked.T24SIT1" attribute="1" defaultMemberUniqueName="[Work Item Linked].[CWB_T24SIT1].[All]" allUniqueName="[Work Item Linked].[CWB_T24SIT1].[All]" dimensionUniqueName="[Work Item Linked]" displayFolder="CWB" count="0" unbalanced="0"/>
    <cacheHierarchy uniqueName="[Work Item Linked].[CWB_T24SIT2]" caption="Work Item Linked.T24SIT2" attribute="1" defaultMemberUniqueName="[Work Item Linked].[CWB_T24SIT2].[All]" allUniqueName="[Work Item Linked].[CWB_T24SIT2].[All]" dimensionUniqueName="[Work Item Linked]" displayFolder="CWB" count="0" unbalanced="0"/>
    <cacheHierarchy uniqueName="[Work Item Linked].[CWB_T24STG]" caption="Work Item Linked.T24STG" attribute="1" defaultMemberUniqueName="[Work Item Linked].[CWB_T24STG].[All]" allUniqueName="[Work Item Linked].[CWB_T24STG].[All]" dimensionUniqueName="[Work Item Linked]" displayFolder="CWB" count="0" unbalanced="0"/>
    <cacheHierarchy uniqueName="[Work Item Linked].[CWB_T24TRN1]" caption="Work Item Linked.T24TRN1" attribute="1" defaultMemberUniqueName="[Work Item Linked].[CWB_T24TRN1].[All]" allUniqueName="[Work Item Linked].[CWB_T24TRN1].[All]" dimensionUniqueName="[Work Item Linked]" displayFolder="CWB" count="0" unbalanced="0"/>
    <cacheHierarchy uniqueName="[Work Item Linked].[CWB_T24TRN2]" caption="Work Item Linked.T24TRN2" attribute="1" defaultMemberUniqueName="[Work Item Linked].[CWB_T24TRN2].[All]" allUniqueName="[Work Item Linked].[CWB_T24TRN2].[All]" dimensionUniqueName="[Work Item Linked]" displayFolder="CWB" count="0" unbalanced="0"/>
    <cacheHierarchy uniqueName="[Work Item Linked].[CWB_T24TRN3]" caption="Work Item Linked.T24TRN3" attribute="1" defaultMemberUniqueName="[Work Item Linked].[CWB_T24TRN3].[All]" allUniqueName="[Work Item Linked].[CWB_T24TRN3].[All]" dimensionUniqueName="[Work Item Linked]" displayFolder="CWB" count="0" unbalanced="0"/>
    <cacheHierarchy uniqueName="[Work Item Linked].[CWB_T24TRN4]" caption="Work Item Linked.T24TRN4" attribute="1" defaultMemberUniqueName="[Work Item Linked].[CWB_T24TRN4].[All]" allUniqueName="[Work Item Linked].[CWB_T24TRN4].[All]" dimensionUniqueName="[Work Item Linked]" displayFolder="CWB" count="0" unbalanced="0"/>
    <cacheHierarchy uniqueName="[Work Item Linked].[CWB_T24TST]" caption="Work Item Linked.T24TST" attribute="1" defaultMemberUniqueName="[Work Item Linked].[CWB_T24TST].[All]" allUniqueName="[Work Item Linked].[CWB_T24TST].[All]" dimensionUniqueName="[Work Item Linked]" displayFolder="CWB" count="0" unbalanced="0"/>
    <cacheHierarchy uniqueName="[Work Item Linked].[CWB_T24TST1]" caption="Work Item Linked.T24TST1" attribute="1" defaultMemberUniqueName="[Work Item Linked].[CWB_T24TST1].[All]" allUniqueName="[Work Item Linked].[CWB_T24TST1].[All]" dimensionUniqueName="[Work Item Linked]" displayFolder="CWB" count="0" unbalanced="0"/>
    <cacheHierarchy uniqueName="[Work Item Linked].[CWB_T24TST2]" caption="Work Item Linked.T24TST2" attribute="1" defaultMemberUniqueName="[Work Item Linked].[CWB_T24TST2].[All]" allUniqueName="[Work Item Linked].[CWB_T24TST2].[All]" dimensionUniqueName="[Work Item Linked]" displayFolder="CWB" count="0" unbalanced="0"/>
    <cacheHierarchy uniqueName="[Work Item Linked].[CWB_T24TST3]" caption="Work Item Linked.T24TST3" attribute="1" defaultMemberUniqueName="[Work Item Linked].[CWB_T24TST3].[All]" allUniqueName="[Work Item Linked].[CWB_T24TST3].[All]" dimensionUniqueName="[Work Item Linked]" displayFolder="CWB" count="0" unbalanced="0"/>
    <cacheHierarchy uniqueName="[Work Item Linked].[CWB_T24UAT]" caption="Work Item Linked.T24UAT" attribute="1" defaultMemberUniqueName="[Work Item Linked].[CWB_T24UAT].[All]" allUniqueName="[Work Item Linked].[CWB_T24UAT].[All]" dimensionUniqueName="[Work Item Linked]" displayFolder="CWB" count="0" unbalanced="0"/>
    <cacheHierarchy uniqueName="[Work Item Linked].[CWB_TargetResolution]" caption="Work Item Linked.Target Resolution" attribute="1" defaultMemberUniqueName="[Work Item Linked].[CWB_TargetResolution].[All]" allUniqueName="[Work Item Linked].[CWB_TargetResolution].[All]" dimensionUniqueName="[Work Item Linked]" displayFolder="CWB" count="0" unbalanced="0"/>
    <cacheHierarchy uniqueName="[Work Item Linked].[CWB_TargetResolution__HierarchyByMonth]" caption="Work Item Linked.Target Resolution Hierarchy By Month" defaultMemberUniqueName="[Work Item Linked].[CWB_TargetResolution__HierarchyByMonth].[All]" allUniqueName="[Work Item Linked].[CWB_TargetResolution__HierarchyByMonth].[All]" dimensionUniqueName="[Work Item Linked]" displayFolder="CWB" count="0" unbalanced="0"/>
    <cacheHierarchy uniqueName="[Work Item Linked].[CWB_TargetResolution__HierarchyByWeek]" caption="Work Item Linked.Target Resolution Hierarchy By Week" defaultMemberUniqueName="[Work Item Linked].[CWB_TargetResolution__HierarchyByWeek].[All]" allUniqueName="[Work Item Linked].[CWB_TargetResolution__HierarchyByWeek].[All]" dimensionUniqueName="[Work Item Linked]" displayFolder="CWB" count="0" unbalanced="0"/>
    <cacheHierarchy uniqueName="[Work Item Linked].[CWB_TemenosIssueType]" caption="Work Item Linked.Temenos Issue Type" attribute="1" defaultMemberUniqueName="[Work Item Linked].[CWB_TemenosIssueType].[All]" allUniqueName="[Work Item Linked].[CWB_TemenosIssueType].[All]" dimensionUniqueName="[Work Item Linked]" displayFolder="CWB" count="0" unbalanced="0"/>
    <cacheHierarchy uniqueName="[Work Item Linked].[CWB_TemenosStatus]" caption="Work Item Linked.Temenos Status" attribute="1" defaultMemberUniqueName="[Work Item Linked].[CWB_TemenosStatus].[All]" allUniqueName="[Work Item Linked].[CWB_TemenosStatus].[All]" dimensionUniqueName="[Work Item Linked]" displayFolder="CWB" count="0" unbalanced="0"/>
    <cacheHierarchy uniqueName="[Work Item Linked].[CWB_ThirdParty]" caption="Work Item Linked.Third Party" attribute="1" defaultMemberUniqueName="[Work Item Linked].[CWB_ThirdParty].[All]" allUniqueName="[Work Item Linked].[CWB_ThirdParty].[All]" dimensionUniqueName="[Work Item Linked]" displayFolder="CWB" count="0" unbalanced="0"/>
    <cacheHierarchy uniqueName="[Work Item Linked].[CWB_ThirdPartyStatus]" caption="Work Item Linked.Third Party Status" attribute="1" defaultMemberUniqueName="[Work Item Linked].[CWB_ThirdPartyStatus].[All]" allUniqueName="[Work Item Linked].[CWB_ThirdPartyStatus].[All]" dimensionUniqueName="[Work Item Linked]" displayFolder="CWB" count="0" unbalanced="0"/>
    <cacheHierarchy uniqueName="[Work Item Linked].[CWB_WorkOrderNumber]" caption="Work Item Linked.Work Order Number" attribute="1" defaultMemberUniqueName="[Work Item Linked].[CWB_WorkOrderNumber].[All]" allUniqueName="[Work Item Linked].[CWB_WorkOrderNumber].[All]" dimensionUniqueName="[Work Item Linked]" displayFolder="CWB" count="0" unbalanced="0"/>
    <cacheHierarchy uniqueName="[Work Item Linked].[Iteration Hierarchy]" caption="Work Item Linked.Iteration Hierarchy" defaultMemberUniqueName="[Work Item Linked].[Iteration Hierarchy].[All]" allUniqueName="[Work Item Linked].[Iteration Hierarchy].[All]" dimensionUniqueName="[Work Item Linked]" displayFolder="" count="0" unbalanced="0"/>
    <cacheHierarchy uniqueName="[Work Item Linked].[Iteration Path]" caption="Work Item Linked.Iteration Path" attribute="1" defaultMemberUniqueName="[Work Item Linked].[Iteration Path].[All]" allUniqueName="[Work Item Linked].[Iteration Path].[All]" dimensionUniqueName="[Work Item Linked]" displayFolder="\" count="0" unbalanced="0"/>
    <cacheHierarchy uniqueName="[Work Item Linked].[Microsoft_VSTS_Build_FoundIn]" caption="Work Item Linked.Found In" attribute="1" defaultMemberUniqueName="[Work Item Linked].[Microsoft_VSTS_Build_FoundIn].[All]" allUniqueName="[Work Item Linked].[Microsoft_VSTS_Build_FoundIn].[All]" dimensionUniqueName="[Work Item Linked]" displayFolder="Microsoft.VSTS.Build" count="0" unbalanced="0"/>
    <cacheHierarchy uniqueName="[Work Item Linked].[Microsoft_VSTS_Build_IntegrationBuild]" caption="Work Item Linked.Integration Build" attribute="1" defaultMemberUniqueName="[Work Item Linked].[Microsoft_VSTS_Build_IntegrationBuild].[All]" allUniqueName="[Work Item Linked].[Microsoft_VSTS_Build_IntegrationBuild].[All]" dimensionUniqueName="[Work Item Linked]" displayFolder="Microsoft.VSTS.Build" count="0" unbalanced="0"/>
    <cacheHierarchy uniqueName="[Work Item Linked].[Microsoft_VSTS_CMMI_Blocked]" caption="Work Item Linked.Blocked" attribute="1" defaultMemberUniqueName="[Work Item Linked].[Microsoft_VSTS_CMMI_Blocked].[All]" allUniqueName="[Work Item Linked].[Microsoft_VSTS_CMMI_Blocked].[All]" dimensionUniqueName="[Work Item Linked]" displayFolder="Microsoft.VSTS.CMMI" count="0" unbalanced="0"/>
    <cacheHierarchy uniqueName="[Work Item Linked].[Microsoft_VSTS_CodeReview_AcceptedBy]" caption="Work Item Linked.Accepted By" attribute="1" defaultMemberUniqueName="[Work Item Linked].[Microsoft_VSTS_CodeReview_AcceptedBy].[All]" allUniqueName="[Work Item Linked].[Microsoft_VSTS_CodeReview_AcceptedBy].[All]" dimensionUniqueName="[Work Item Linked]" displayFolder="Microsoft.VSTS.CodeReview" count="0" unbalanced="0"/>
    <cacheHierarchy uniqueName="[Work Item Linked].[Microsoft_VSTS_CodeReview_AcceptedDate]" caption="Work Item Linked.Accepted Date" attribute="1" defaultMemberUniqueName="[Work Item Linked].[Microsoft_VSTS_CodeReview_AcceptedDate].[All]" allUniqueName="[Work Item Linked].[Microsoft_VSTS_CodeReview_AcceptedDate].[All]" dimensionUniqueName="[Work Item Linked]" displayFolder="Microsoft.VSTS.CodeReview" count="0" unbalanced="0"/>
    <cacheHierarchy uniqueName="[Work Item Linked].[Microsoft_VSTS_CodeReview_AcceptedDate__HierarchyByMonth]" caption="Work Item Linked.Accepted Date Hierarchy By Month" defaultMemberUniqueName="[Work Item Linked].[Microsoft_VSTS_CodeReview_AcceptedDate__HierarchyByMonth].[All]" allUniqueName="[Work Item Linked].[Microsoft_VSTS_CodeReview_AcceptedDate__HierarchyByMonth].[All]" dimensionUniqueName="[Work Item Linked]" displayFolder="Microsoft.VSTS.CodeReview" count="0" unbalanced="0"/>
    <cacheHierarchy uniqueName="[Work Item Linked].[Microsoft_VSTS_CodeReview_AcceptedDate__HierarchyByWeek]" caption="Work Item Linked.Accepted Date Hierarchy By Week" defaultMemberUniqueName="[Work Item Linked].[Microsoft_VSTS_CodeReview_AcceptedDate__HierarchyByWeek].[All]" allUniqueName="[Work Item Linked].[Microsoft_VSTS_CodeReview_AcceptedDate__HierarchyByWeek].[All]" dimensionUniqueName="[Work Item Linked]" displayFolder="Microsoft.VSTS.CodeReview" count="0" unbalanced="0"/>
    <cacheHierarchy uniqueName="[Work Item Linked].[Microsoft_VSTS_CodeReview_ClosedStatus]" caption="Work Item Linked.Closed Status" attribute="1" defaultMemberUniqueName="[Work Item Linked].[Microsoft_VSTS_CodeReview_ClosedStatus].[All]" allUniqueName="[Work Item Linked].[Microsoft_VSTS_CodeReview_ClosedStatus].[All]" dimensionUniqueName="[Work Item Linked]" displayFolder="Microsoft.VSTS.CodeReview" count="0" unbalanced="0"/>
    <cacheHierarchy uniqueName="[Work Item Linked].[Microsoft_VSTS_Common_ActivatedBy]" caption="Work Item Linked.Activated By" attribute="1" defaultMemberUniqueName="[Work Item Linked].[Microsoft_VSTS_Common_ActivatedBy].[All]" allUniqueName="[Work Item Linked].[Microsoft_VSTS_Common_ActivatedBy].[All]" dimensionUniqueName="[Work Item Linked]" displayFolder="Microsoft.VSTS.Common" count="0" unbalanced="0"/>
    <cacheHierarchy uniqueName="[Work Item Linked].[Microsoft_VSTS_Common_ActivatedDate]" caption="Work Item Linked.Activated Date" attribute="1" defaultMemberUniqueName="[Work Item Linked].[Microsoft_VSTS_Common_ActivatedDate].[All]" allUniqueName="[Work Item Linked].[Microsoft_VSTS_Common_ActivatedDate].[All]" dimensionUniqueName="[Work Item Linked]" displayFolder="Microsoft.VSTS.Common" count="0" unbalanced="0"/>
    <cacheHierarchy uniqueName="[Work Item Linked].[Microsoft_VSTS_Common_ActivatedDate__HierarchyByMonth]" caption="Work Item Linked.Activated Date Hierarchy By Month" defaultMemberUniqueName="[Work Item Linked].[Microsoft_VSTS_Common_ActivatedDate__HierarchyByMonth].[All]" allUniqueName="[Work Item Linked].[Microsoft_VSTS_Common_ActivatedDate__HierarchyByMonth].[All]" dimensionUniqueName="[Work Item Linked]" displayFolder="Microsoft.VSTS.Common" count="0" unbalanced="0"/>
    <cacheHierarchy uniqueName="[Work Item Linked].[Microsoft_VSTS_Common_ActivatedDate__HierarchyByWeek]" caption="Work Item Linked.Activated Date Hierarchy By Week" defaultMemberUniqueName="[Work Item Linked].[Microsoft_VSTS_Common_ActivatedDate__HierarchyByWeek].[All]" allUniqueName="[Work Item Linked].[Microsoft_VSTS_Common_ActivatedDate__HierarchyByWeek].[All]" dimensionUniqueName="[Work Item Linked]" displayFolder="Microsoft.VSTS.Common" count="0" unbalanced="0"/>
    <cacheHierarchy uniqueName="[Work Item Linked].[Microsoft_VSTS_Common_Activity]" caption="Work Item Linked.Activity" attribute="1" defaultMemberUniqueName="[Work Item Linked].[Microsoft_VSTS_Common_Activity].[All]" allUniqueName="[Work Item Linked].[Microsoft_VSTS_Common_Activity].[All]" dimensionUniqueName="[Work Item Linked]" displayFolder="Microsoft.VSTS.Common" count="0" unbalanced="0"/>
    <cacheHierarchy uniqueName="[Work Item Linked].[Microsoft_VSTS_Common_ClosedBy]" caption="Work Item Linked.Closed By" attribute="1" defaultMemberUniqueName="[Work Item Linked].[Microsoft_VSTS_Common_ClosedBy].[All]" allUniqueName="[Work Item Linked].[Microsoft_VSTS_Common_ClosedBy].[All]" dimensionUniqueName="[Work Item Linked]" displayFolder="Microsoft.VSTS.Common" count="0" unbalanced="0"/>
    <cacheHierarchy uniqueName="[Work Item Linked].[Microsoft_VSTS_Common_ClosedDate]" caption="Work Item Linked.Closed Date" attribute="1" defaultMemberUniqueName="[Work Item Linked].[Microsoft_VSTS_Common_ClosedDate].[All]" allUniqueName="[Work Item Linked].[Microsoft_VSTS_Common_ClosedDate].[All]" dimensionUniqueName="[Work Item Linked]" displayFolder="Microsoft.VSTS.Common" count="0" unbalanced="0"/>
    <cacheHierarchy uniqueName="[Work Item Linked].[Microsoft_VSTS_Common_ClosedDate__HierarchyByMonth]" caption="Work Item Linked.Closed Date Hierarchy By Month" defaultMemberUniqueName="[Work Item Linked].[Microsoft_VSTS_Common_ClosedDate__HierarchyByMonth].[All]" allUniqueName="[Work Item Linked].[Microsoft_VSTS_Common_ClosedDate__HierarchyByMonth].[All]" dimensionUniqueName="[Work Item Linked]" displayFolder="Microsoft.VSTS.Common" count="0" unbalanced="0"/>
    <cacheHierarchy uniqueName="[Work Item Linked].[Microsoft_VSTS_Common_ClosedDate__HierarchyByWeek]" caption="Work Item Linked.Closed Date Hierarchy By Week" defaultMemberUniqueName="[Work Item Linked].[Microsoft_VSTS_Common_ClosedDate__HierarchyByWeek].[All]" allUniqueName="[Work Item Linked].[Microsoft_VSTS_Common_ClosedDate__HierarchyByWeek].[All]" dimensionUniqueName="[Work Item Linked]" displayFolder="Microsoft.VSTS.Common" count="0" unbalanced="0"/>
    <cacheHierarchy uniqueName="[Work Item Linked].[Microsoft_VSTS_Common_Issue]" caption="Work Item Linked.Issue" attribute="1" defaultMemberUniqueName="[Work Item Linked].[Microsoft_VSTS_Common_Issue].[All]" allUniqueName="[Work Item Linked].[Microsoft_VSTS_Common_Issue].[All]" dimensionUniqueName="[Work Item Linked]" displayFolder="Microsoft.VSTS.Common" count="0" unbalanced="0"/>
    <cacheHierarchy uniqueName="[Work Item Linked].[Microsoft_VSTS_Common_Priority]" caption="Work Item Linked.Priority" attribute="1" defaultMemberUniqueName="[Work Item Linked].[Microsoft_VSTS_Common_Priority].[All]" allUniqueName="[Work Item Linked].[Microsoft_VSTS_Common_Priority].[All]" dimensionUniqueName="[Work Item Linked]" displayFolder="Microsoft.VSTS.Common" count="0" unbalanced="0"/>
    <cacheHierarchy uniqueName="[Work Item Linked].[Microsoft_VSTS_Common_Rating]" caption="Work Item Linked.Rating" attribute="1" defaultMemberUniqueName="[Work Item Linked].[Microsoft_VSTS_Common_Rating].[All]" allUniqueName="[Work Item Linked].[Microsoft_VSTS_Common_Rating].[All]" dimensionUniqueName="[Work Item Linked]" displayFolder="Microsoft.VSTS.Common" count="0" unbalanced="0"/>
    <cacheHierarchy uniqueName="[Work Item Linked].[Microsoft_VSTS_Common_Severity]" caption="Work Item Linked.Severity" attribute="1" defaultMemberUniqueName="[Work Item Linked].[Microsoft_VSTS_Common_Severity].[All]" allUniqueName="[Work Item Linked].[Microsoft_VSTS_Common_Severity].[All]" dimensionUniqueName="[Work Item Linked]" displayFolder="Microsoft.VSTS.Common" count="0" unbalanced="0"/>
    <cacheHierarchy uniqueName="[Work Item Linked].[Microsoft_VSTS_TCM_AutomationStatus]" caption="Work Item Linked.Automation status" attribute="1" defaultMemberUniqueName="[Work Item Linked].[Microsoft_VSTS_TCM_AutomationStatus].[All]" allUniqueName="[Work Item Linked].[Microsoft_VSTS_TCM_AutomationStatus].[All]" dimensionUniqueName="[Work Item Linked]" displayFolder="Microsoft.VSTS.TCM" count="0" unbalanced="0"/>
    <cacheHierarchy uniqueName="[Work Item Linked].[Previous State]" caption="Work Item Linked.Previous State" attribute="1" defaultMemberUniqueName="[Work Item Linked].[Previous State].[All]" allUniqueName="[Work Item Linked].[Previous State].[All]" dimensionUniqueName="[Work Item Linked]" displayFolder="" count="0" unbalanced="0"/>
    <cacheHierarchy uniqueName="[Work Item Linked].[System_AssignedTo]" caption="Work Item Linked.Assigned To" attribute="1" defaultMemberUniqueName="[Work Item Linked].[System_AssignedTo].[All]" allUniqueName="[Work Item Linked].[System_AssignedTo].[All]" dimensionUniqueName="[Work Item Linked]" displayFolder="\" count="0" unbalanced="0"/>
    <cacheHierarchy uniqueName="[Work Item Linked].[System_ChangedBy]" caption="Work Item Linked.Changed By" attribute="1" defaultMemberUniqueName="[Work Item Linked].[System_ChangedBy].[All]" allUniqueName="[Work Item Linked].[System_ChangedBy].[All]" dimensionUniqueName="[Work Item Linked]" displayFolder="\" count="0" unbalanced="0"/>
    <cacheHierarchy uniqueName="[Work Item Linked].[System_ChangedDate]" caption="Work Item Linked.Changed Date" attribute="1" defaultMemberUniqueName="[Work Item Linked].[System_ChangedDate].[All]" allUniqueName="[Work Item Linked].[System_ChangedDate].[All]" dimensionUniqueName="[Work Item Linked]" displayFolder="\" count="0" unbalanced="0"/>
    <cacheHierarchy uniqueName="[Work Item Linked].[System_ChangedDate__HierarchyByMonth]" caption="Work Item Linked.Changed Date Hierarchy By Month" defaultMemberUniqueName="[Work Item Linked].[System_ChangedDate__HierarchyByMonth].[All]" allUniqueName="[Work Item Linked].[System_ChangedDate__HierarchyByMonth].[All]" dimensionUniqueName="[Work Item Linked]" displayFolder="\" count="0" unbalanced="0"/>
    <cacheHierarchy uniqueName="[Work Item Linked].[System_ChangedDate__HierarchyByWeek]" caption="Work Item Linked.Changed Date Hierarchy By Week" defaultMemberUniqueName="[Work Item Linked].[System_ChangedDate__HierarchyByWeek].[All]" allUniqueName="[Work Item Linked].[System_ChangedDate__HierarchyByWeek].[All]" dimensionUniqueName="[Work Item Linked]" displayFolder="\" count="0" unbalanced="0"/>
    <cacheHierarchy uniqueName="[Work Item Linked].[System_CreatedBy]" caption="Work Item Linked.Created By" attribute="1" defaultMemberUniqueName="[Work Item Linked].[System_CreatedBy].[All]" allUniqueName="[Work Item Linked].[System_CreatedBy].[All]" dimensionUniqueName="[Work Item Linked]" displayFolder="\" count="0" unbalanced="0"/>
    <cacheHierarchy uniqueName="[Work Item Linked].[System_CreatedDate]" caption="Work Item Linked.Created Date" attribute="1" defaultMemberUniqueName="[Work Item Linked].[System_CreatedDate].[All]" allUniqueName="[Work Item Linked].[System_CreatedDate].[All]" dimensionUniqueName="[Work Item Linked]" displayFolder="\" count="0" unbalanced="0"/>
    <cacheHierarchy uniqueName="[Work Item Linked].[System_CreatedDate__HierarchyByMonth]" caption="Work Item Linked.Created Date Hierarchy By Month" defaultMemberUniqueName="[Work Item Linked].[System_CreatedDate__HierarchyByMonth].[All]" allUniqueName="[Work Item Linked].[System_CreatedDate__HierarchyByMonth].[All]" dimensionUniqueName="[Work Item Linked]" displayFolder="\" count="0" unbalanced="0"/>
    <cacheHierarchy uniqueName="[Work Item Linked].[System_CreatedDate__HierarchyByWeek]" caption="Work Item Linked.Created Date Hierarchy By Week" defaultMemberUniqueName="[Work Item Linked].[System_CreatedDate__HierarchyByWeek].[All]" allUniqueName="[Work Item Linked].[System_CreatedDate__HierarchyByWeek].[All]" dimensionUniqueName="[Work Item Linked]" displayFolder="\" count="0" unbalanced="0"/>
    <cacheHierarchy uniqueName="[Work Item Linked].[System_Id]" caption="Work Item Linked.ID" attribute="1" defaultMemberUniqueName="[Work Item Linked].[System_Id].[All]" allUniqueName="[Work Item Linked].[System_Id].[All]" dimensionUniqueName="[Work Item Linked]" displayFolder="\" count="0" unbalanced="0"/>
    <cacheHierarchy uniqueName="[Work Item Linked].[System_Reason]" caption="Work Item Linked.Reason" attribute="1" defaultMemberUniqueName="[Work Item Linked].[System_Reason].[All]" allUniqueName="[Work Item Linked].[System_Reason].[All]" dimensionUniqueName="[Work Item Linked]" displayFolder="\" count="0" unbalanced="0"/>
    <cacheHierarchy uniqueName="[Work Item Linked].[System_Revision]" caption="Work Item Linked.Rev" attribute="1" defaultMemberUniqueName="[Work Item Linked].[System_Revision].[All]" allUniqueName="[Work Item Linked].[System_Revision].[All]" dimensionUniqueName="[Work Item Linked]" displayFolder="\" count="0" unbalanced="0"/>
    <cacheHierarchy uniqueName="[Work Item Linked].[System_State]" caption="Work Item Linked.State" attribute="1" defaultMemberUniqueName="[Work Item Linked].[System_State].[All]" allUniqueName="[Work Item Linked].[System_State].[All]" dimensionUniqueName="[Work Item Linked]" displayFolder="\" count="0" unbalanced="0"/>
    <cacheHierarchy uniqueName="[Work Item Linked].[System_Title]" caption="Work Item Linked.Title" attribute="1" defaultMemberUniqueName="[Work Item Linked].[System_Title].[All]" allUniqueName="[Work Item Linked].[System_Title].[All]" dimensionUniqueName="[Work Item Linked]" displayFolder="\" count="0" unbalanced="0"/>
    <cacheHierarchy uniqueName="[Work Item Linked].[System_WorkItemType]" caption="Work Item Linked.Work Item Type" attribute="1" defaultMemberUniqueName="[Work Item Linked].[System_WorkItemType].[All]" allUniqueName="[Work Item Linked].[System_WorkItemType].[All]" dimensionUniqueName="[Work Item Linked]" displayFolder="\" count="0" unbalanced="0"/>
    <cacheHierarchy uniqueName="[Work Item Tree].[Tree Type Name]" caption="Tree Type Name" attribute="1" defaultMemberUniqueName="[Work Item Tree].[Tree Type Name].[All]" allUniqueName="[Work Item Tree].[Tree Type Name].[All]" dimensionUniqueName="[Work Item Tree]" displayFolder="" count="0" unbalanced="0"/>
    <cacheHierarchy uniqueName="[Work Item Tree].[Work Item Tree Hierarchy]" caption="Work Item Tree Hierarchy" defaultMemberUniqueName="[Work Item Tree].[Work Item Tree Hierarchy].[All]" allUniqueName="[Work Item Tree].[Work Item Tree Hierarchy].[All]" dimensionUniqueName="[Work Item Tree]" displayFolder="\" count="0" unbalanced="1"/>
    <cacheHierarchy uniqueName="[Assembly].[AssemblySK]" caption="AssemblySK" attribute="1" keyAttribute="1" defaultMemberUniqueName="[Assembly].[AssemblySK].[All]" allUniqueName="[Assembly].[AssemblySK].[All]" dimensionUniqueName="[Assembly]" displayFolder="" count="0" unbalanced="0" hidden="1"/>
    <cacheHierarchy uniqueName="[Build].[Build BK]" caption="Build BK" attribute="1" defaultMemberUniqueName="[Build].[Build BK].[All]" allUniqueName="[Build].[Build BK].[All]" dimensionUniqueName="[Build]" displayFolder="" count="0" unbalanced="0" hidden="1"/>
    <cacheHierarchy uniqueName="[Build].[TeamProjectCollectionSK]" caption="TeamProjectCollectionSK" attribute="1" defaultMemberUniqueName="[Build].[TeamProjectCollectionSK].[All]" allUniqueName="[Build].[TeamProjectCollectionSK].[All]" dimensionUniqueName="[Build]" displayFolder="" count="0" unbalanced="0" hidden="1"/>
    <cacheHierarchy uniqueName="[Build Flavor].[BuildFlavorSK]" caption="BuildFlavorSK" attribute="1" keyAttribute="1" defaultMemberUniqueName="[Build Flavor].[BuildFlavorSK].[All]" allUniqueName="[Build Flavor].[BuildFlavorSK].[All]" dimensionUniqueName="[Build Flavor]" displayFolder="" count="0" unbalanced="0" hidden="1"/>
    <cacheHierarchy uniqueName="[Build Platform].[BuildPlatformSK]" caption="BuildPlatformSK" attribute="1" keyAttribute="1" defaultMemberUniqueName="[Build Platform].[BuildPlatformSK].[All]" allUniqueName="[Build Platform].[BuildPlatformSK].[All]" dimensionUniqueName="[Build Platform]" displayFolder="" count="0" unbalanced="0" hidden="1"/>
    <cacheHierarchy uniqueName="[Build Quality].[BuildQualitySK]" caption="BuildQualitySK" attribute="1" keyAttribute="1" defaultMemberUniqueName="[Build Quality].[BuildQualitySK].[All]" allUniqueName="[Build Quality].[BuildQualitySK].[All]" dimensionUniqueName="[Build Quality]" displayFolder="" count="0" unbalanced="0" hidden="1"/>
    <cacheHierarchy uniqueName="[Build Source Project File].[File]" caption="Build Source Project File.File" attribute="1" keyAttribute="1" defaultMemberUniqueName="[Build Source Project File].[File].[All]" allUniqueName="[Build Source Project File].[File].[All]" dimensionUniqueName="[Build Source Project File]" displayFolder="" count="0" unbalanced="0" hidden="1"/>
    <cacheHierarchy uniqueName="[Build Status].[BuildStatusSK]" caption="BuildStatusSK" attribute="1" keyAttribute="1" defaultMemberUniqueName="[Build Status].[BuildStatusSK].[All]" allUniqueName="[Build Status].[BuildStatusSK].[All]" dimensionUniqueName="[Build Status]" displayFolder="" count="0" unbalanced="0" hidden="1"/>
    <cacheHierarchy uniqueName="[Date].[DateSK]" caption="DateSK" attribute="1" time="1" keyAttribute="1" defaultMemberUniqueName="[Date].[DateSK].[All]" allUniqueName="[Date].[DateSK].[All]" dimensionUniqueName="[Date]" displayFolder="" count="0" memberValueDatatype="7" unbalanced="0" hidden="1"/>
    <cacheHierarchy uniqueName="[Team Project].[Project Node GUID]" caption="Name" attribute="1" keyAttribute="1" defaultMemberUniqueName="[Team Project].[Project Node GUID].[All]" allUniqueName="[Team Project].[Project Node GUID].[All]" dimensionUniqueName="[Team Project]" displayFolder="" count="0" unbalanced="0" hidden="1"/>
    <cacheHierarchy uniqueName="[Team Project].[ProjectNodeSk]" caption="Name" attribute="1" defaultMemberUniqueName="[Team Project].[ProjectNodeSk].[All]" allUniqueName="[Team Project].[ProjectNodeSk].[All]" dimensionUniqueName="[Team Project]" displayFolder="" count="0" unbalanced="0" hidden="1"/>
    <cacheHierarchy uniqueName="[Team Project Reference].[Project Node GUID]" caption="GUID" attribute="1" defaultMemberUniqueName="[Team Project Reference].[Project Node GUID].[All]" allUniqueName="[Team Project Reference].[Project Node GUID].[All]" dimensionUniqueName="[Team Project Reference]" displayFolder="" count="0" unbalanced="0" hidden="1"/>
    <cacheHierarchy uniqueName="[Team Project Reference].[ProjectNodeSk]" caption="Name" attribute="1" keyAttribute="1" defaultMemberUniqueName="[Team Project Reference].[ProjectNodeSk].[All]" allUniqueName="[Team Project Reference].[ProjectNodeSk].[All]" dimensionUniqueName="[Team Project Reference]" displayFolder="" count="0" unbalanced="0" hidden="1"/>
    <cacheHierarchy uniqueName="[Test Case].[Area Team Project Collection]" caption="Team Project Collection" attribute="1" defaultMemberUniqueName="[Test Case].[Area Team Project Collection].[All]" allUniqueName="[Test Case].[Area Team Project Collection].[All]" dimensionUniqueName="[Test Case]" displayFolder="\" count="0" unbalanced="0" hidden="1"/>
    <cacheHierarchy uniqueName="[Test Case].[Area0]" caption="Area0" attribute="1" defaultMemberUniqueName="[Test Case].[Area0].[All]" allUniqueName="[Test Case].[Area0].[All]" dimensionUniqueName="[Test Case]" displayFolder="\" count="0" unbalanced="0" hidden="1"/>
    <cacheHierarchy uniqueName="[Test Case].[Area1]" caption="Area1" attribute="1" defaultMemberUniqueName="[Test Case].[Area1].[All]" allUniqueName="[Test Case].[Area1].[All]" dimensionUniqueName="[Test Case]" displayFolder="\" count="0" unbalanced="0" hidden="1"/>
    <cacheHierarchy uniqueName="[Test Case].[Area10]" caption="Area10" attribute="1" defaultMemberUniqueName="[Test Case].[Area10].[All]" allUniqueName="[Test Case].[Area10].[All]" dimensionUniqueName="[Test Case]" displayFolder="\" count="0" unbalanced="0" hidden="1"/>
    <cacheHierarchy uniqueName="[Test Case].[Area11]" caption="Area11" attribute="1" defaultMemberUniqueName="[Test Case].[Area11].[All]" allUniqueName="[Test Case].[Area11].[All]" dimensionUniqueName="[Test Case]" displayFolder="\" count="0" unbalanced="0" hidden="1"/>
    <cacheHierarchy uniqueName="[Test Case].[Area12]" caption="Area12" attribute="1" defaultMemberUniqueName="[Test Case].[Area12].[All]" allUniqueName="[Test Case].[Area12].[All]" dimensionUniqueName="[Test Case]" displayFolder="\" count="0" unbalanced="0" hidden="1"/>
    <cacheHierarchy uniqueName="[Test Case].[Area13]" caption="Area13" attribute="1" defaultMemberUniqueName="[Test Case].[Area13].[All]" allUniqueName="[Test Case].[Area13].[All]" dimensionUniqueName="[Test Case]" displayFolder="\" count="0" unbalanced="0" hidden="1"/>
    <cacheHierarchy uniqueName="[Test Case].[Area2]" caption="Area2" attribute="1" defaultMemberUniqueName="[Test Case].[Area2].[All]" allUniqueName="[Test Case].[Area2].[All]" dimensionUniqueName="[Test Case]" displayFolder="\" count="0" unbalanced="0" hidden="1"/>
    <cacheHierarchy uniqueName="[Test Case].[Area3]" caption="Area3" attribute="1" defaultMemberUniqueName="[Test Case].[Area3].[All]" allUniqueName="[Test Case].[Area3].[All]" dimensionUniqueName="[Test Case]" displayFolder="\" count="0" unbalanced="0" hidden="1"/>
    <cacheHierarchy uniqueName="[Test Case].[Area4]" caption="Area4" attribute="1" defaultMemberUniqueName="[Test Case].[Area4].[All]" allUniqueName="[Test Case].[Area4].[All]" dimensionUniqueName="[Test Case]" displayFolder="\" count="0" unbalanced="0" hidden="1"/>
    <cacheHierarchy uniqueName="[Test Case].[Area5]" caption="Area5" attribute="1" defaultMemberUniqueName="[Test Case].[Area5].[All]" allUniqueName="[Test Case].[Area5].[All]" dimensionUniqueName="[Test Case]" displayFolder="\" count="0" unbalanced="0" hidden="1"/>
    <cacheHierarchy uniqueName="[Test Case].[Area6]" caption="Area6" attribute="1" defaultMemberUniqueName="[Test Case].[Area6].[All]" allUniqueName="[Test Case].[Area6].[All]" dimensionUniqueName="[Test Case]" displayFolder="\" count="0" unbalanced="0" hidden="1"/>
    <cacheHierarchy uniqueName="[Test Case].[Area7]" caption="Area7" attribute="1" defaultMemberUniqueName="[Test Case].[Area7].[All]" allUniqueName="[Test Case].[Area7].[All]" dimensionUniqueName="[Test Case]" displayFolder="\" count="0" unbalanced="0" hidden="1"/>
    <cacheHierarchy uniqueName="[Test Case].[Area8]" caption="Area8" attribute="1" defaultMemberUniqueName="[Test Case].[Area8].[All]" allUniqueName="[Test Case].[Area8].[All]" dimensionUniqueName="[Test Case]" displayFolder="\" count="0" unbalanced="0" hidden="1"/>
    <cacheHierarchy uniqueName="[Test Case].[Area9]" caption="Area9" attribute="1" defaultMemberUniqueName="[Test Case].[Area9].[All]" allUniqueName="[Test Case].[Area9].[All]" dimensionUniqueName="[Test Case]" displayFolder="\" count="0" unbalanced="0" hidden="1"/>
    <cacheHierarchy uniqueName="[Test Case].[CWB_BussinessRequiredDate__Month]" caption="Business Required Date Month" attribute="1" defaultMemberUniqueName="[Test Case].[CWB_BussinessRequiredDate__Month].[All]" allUniqueName="[Test Case].[CWB_BussinessRequiredDate__Month].[All]" dimensionUniqueName="[Test Case]" displayFolder="" count="0" unbalanced="0" hidden="1"/>
    <cacheHierarchy uniqueName="[Test Case].[CWB_BussinessRequiredDate__Week]" caption="Business Required Date Week" attribute="1" defaultMemberUniqueName="[Test Case].[CWB_BussinessRequiredDate__Week].[All]" allUniqueName="[Test Case].[CWB_BussinessRequiredDate__Week].[All]" dimensionUniqueName="[Test Case]" displayFolder="" count="0" unbalanced="0" hidden="1"/>
    <cacheHierarchy uniqueName="[Test Case].[CWB_BussinessRequiredDate__Year]" caption="Business Required Date Year" attribute="1" defaultMemberUniqueName="[Test Case].[CWB_BussinessRequiredDate__Year].[All]" allUniqueName="[Test Case].[CWB_BussinessRequiredDate__Year].[All]" dimensionUniqueName="[Test Case]" displayFolder="" count="0" unbalanced="0" hidden="1"/>
    <cacheHierarchy uniqueName="[Test Case].[CWB_IMReleasePackageDate__Month]" caption="IMPackageDate Month" attribute="1" defaultMemberUniqueName="[Test Case].[CWB_IMReleasePackageDate__Month].[All]" allUniqueName="[Test Case].[CWB_IMReleasePackageDate__Month].[All]" dimensionUniqueName="[Test Case]" displayFolder="" count="0" unbalanced="0" hidden="1"/>
    <cacheHierarchy uniqueName="[Test Case].[CWB_IMReleasePackageDate__Week]" caption="IMPackageDate Week" attribute="1" defaultMemberUniqueName="[Test Case].[CWB_IMReleasePackageDate__Week].[All]" allUniqueName="[Test Case].[CWB_IMReleasePackageDate__Week].[All]" dimensionUniqueName="[Test Case]" displayFolder="" count="0" unbalanced="0" hidden="1"/>
    <cacheHierarchy uniqueName="[Test Case].[CWB_IMReleasePackageDate__Year]" caption="IMPackageDate Year" attribute="1" defaultMemberUniqueName="[Test Case].[CWB_IMReleasePackageDate__Year].[All]" allUniqueName="[Test Case].[CWB_IMReleasePackageDate__Year].[All]" dimensionUniqueName="[Test Case]" displayFolder="" count="0" unbalanced="0" hidden="1"/>
    <cacheHierarchy uniqueName="[Test Case].[CWB_PlannedCompletionDate__Month]" caption="Planned Completion Date Month" attribute="1" defaultMemberUniqueName="[Test Case].[CWB_PlannedCompletionDate__Month].[All]" allUniqueName="[Test Case].[CWB_PlannedCompletionDate__Month].[All]" dimensionUniqueName="[Test Case]" displayFolder="" count="0" unbalanced="0" hidden="1"/>
    <cacheHierarchy uniqueName="[Test Case].[CWB_PlannedCompletionDate__Week]" caption="Planned Completion Date Week" attribute="1" defaultMemberUniqueName="[Test Case].[CWB_PlannedCompletionDate__Week].[All]" allUniqueName="[Test Case].[CWB_PlannedCompletionDate__Week].[All]" dimensionUniqueName="[Test Case]" displayFolder="" count="0" unbalanced="0" hidden="1"/>
    <cacheHierarchy uniqueName="[Test Case].[CWB_PlannedCompletionDate__Year]" caption="Planned Completion Date Year" attribute="1" defaultMemberUniqueName="[Test Case].[CWB_PlannedCompletionDate__Year].[All]" allUniqueName="[Test Case].[CWB_PlannedCompletionDate__Year].[All]" dimensionUniqueName="[Test Case]" displayFolder="" count="0" unbalanced="0" hidden="1"/>
    <cacheHierarchy uniqueName="[Test Case].[CWB_PlannedStartDate__Month]" caption="Planned Start Date Month" attribute="1" defaultMemberUniqueName="[Test Case].[CWB_PlannedStartDate__Month].[All]" allUniqueName="[Test Case].[CWB_PlannedStartDate__Month].[All]" dimensionUniqueName="[Test Case]" displayFolder="" count="0" unbalanced="0" hidden="1"/>
    <cacheHierarchy uniqueName="[Test Case].[CWB_PlannedStartDate__Week]" caption="Planned Start Date Week" attribute="1" defaultMemberUniqueName="[Test Case].[CWB_PlannedStartDate__Week].[All]" allUniqueName="[Test Case].[CWB_PlannedStartDate__Week].[All]" dimensionUniqueName="[Test Case]" displayFolder="" count="0" unbalanced="0" hidden="1"/>
    <cacheHierarchy uniqueName="[Test Case].[CWB_PlannedStartDate__Year]" caption="Planned Start Date Year" attribute="1" defaultMemberUniqueName="[Test Case].[CWB_PlannedStartDate__Year].[All]" allUniqueName="[Test Case].[CWB_PlannedStartDate__Year].[All]" dimensionUniqueName="[Test Case]" displayFolder="" count="0" unbalanced="0" hidden="1"/>
    <cacheHierarchy uniqueName="[Test Case].[CWB_TargetResolution__Month]" caption="Target Resolution Month" attribute="1" defaultMemberUniqueName="[Test Case].[CWB_TargetResolution__Month].[All]" allUniqueName="[Test Case].[CWB_TargetResolution__Month].[All]" dimensionUniqueName="[Test Case]" displayFolder="" count="0" unbalanced="0" hidden="1"/>
    <cacheHierarchy uniqueName="[Test Case].[CWB_TargetResolution__Week]" caption="Target Resolution Week" attribute="1" defaultMemberUniqueName="[Test Case].[CWB_TargetResolution__Week].[All]" allUniqueName="[Test Case].[CWB_TargetResolution__Week].[All]" dimensionUniqueName="[Test Case]" displayFolder="" count="0" unbalanced="0" hidden="1"/>
    <cacheHierarchy uniqueName="[Test Case].[CWB_TargetResolution__Year]" caption="Target Resolution Year" attribute="1" defaultMemberUniqueName="[Test Case].[CWB_TargetResolution__Year].[All]" allUniqueName="[Test Case].[CWB_TargetResolution__Year].[All]" dimensionUniqueName="[Test Case]" displayFolder="" count="0" unbalanced="0" hidden="1"/>
    <cacheHierarchy uniqueName="[Test Case].[Iteration Team Project Collection]" caption="Team Project Collection" attribute="1" defaultMemberUniqueName="[Test Case].[Iteration Team Project Collection].[All]" allUniqueName="[Test Case].[Iteration Team Project Collection].[All]" dimensionUniqueName="[Test Case]" displayFolder="\" count="0" unbalanced="0" hidden="1"/>
    <cacheHierarchy uniqueName="[Test Case].[Iteration0]" caption="Iteration0" attribute="1" defaultMemberUniqueName="[Test Case].[Iteration0].[All]" allUniqueName="[Test Case].[Iteration0].[All]" dimensionUniqueName="[Test Case]" displayFolder="\" count="0" unbalanced="0" hidden="1"/>
    <cacheHierarchy uniqueName="[Test Case].[Iteration1]" caption="Iteration1" attribute="1" defaultMemberUniqueName="[Test Case].[Iteration1].[All]" allUniqueName="[Test Case].[Iteration1].[All]" dimensionUniqueName="[Test Case]" displayFolder="\" count="0" unbalanced="0" hidden="1"/>
    <cacheHierarchy uniqueName="[Test Case].[Iteration10]" caption="Iteration10" attribute="1" defaultMemberUniqueName="[Test Case].[Iteration10].[All]" allUniqueName="[Test Case].[Iteration10].[All]" dimensionUniqueName="[Test Case]" displayFolder="\" count="0" unbalanced="0" hidden="1"/>
    <cacheHierarchy uniqueName="[Test Case].[Iteration11]" caption="Iteration11" attribute="1" defaultMemberUniqueName="[Test Case].[Iteration11].[All]" allUniqueName="[Test Case].[Iteration11].[All]" dimensionUniqueName="[Test Case]" displayFolder="\" count="0" unbalanced="0" hidden="1"/>
    <cacheHierarchy uniqueName="[Test Case].[Iteration12]" caption="Iteration12" attribute="1" defaultMemberUniqueName="[Test Case].[Iteration12].[All]" allUniqueName="[Test Case].[Iteration12].[All]" dimensionUniqueName="[Test Case]" displayFolder="\" count="0" unbalanced="0" hidden="1"/>
    <cacheHierarchy uniqueName="[Test Case].[Iteration13]" caption="Iteration13" attribute="1" defaultMemberUniqueName="[Test Case].[Iteration13].[All]" allUniqueName="[Test Case].[Iteration13].[All]" dimensionUniqueName="[Test Case]" displayFolder="\" count="0" unbalanced="0" hidden="1"/>
    <cacheHierarchy uniqueName="[Test Case].[Iteration2]" caption="Iteration2" attribute="1" defaultMemberUniqueName="[Test Case].[Iteration2].[All]" allUniqueName="[Test Case].[Iteration2].[All]" dimensionUniqueName="[Test Case]" displayFolder="\" count="0" unbalanced="0" hidden="1"/>
    <cacheHierarchy uniqueName="[Test Case].[Iteration3]" caption="Iteration3" attribute="1" defaultMemberUniqueName="[Test Case].[Iteration3].[All]" allUniqueName="[Test Case].[Iteration3].[All]" dimensionUniqueName="[Test Case]" displayFolder="\" count="0" unbalanced="0" hidden="1"/>
    <cacheHierarchy uniqueName="[Test Case].[Iteration4]" caption="Iteration4" attribute="1" defaultMemberUniqueName="[Test Case].[Iteration4].[All]" allUniqueName="[Test Case].[Iteration4].[All]" dimensionUniqueName="[Test Case]" displayFolder="\" count="0" unbalanced="0" hidden="1"/>
    <cacheHierarchy uniqueName="[Test Case].[Iteration5]" caption="Iteration5" attribute="1" defaultMemberUniqueName="[Test Case].[Iteration5].[All]" allUniqueName="[Test Case].[Iteration5].[All]" dimensionUniqueName="[Test Case]" displayFolder="\" count="0" unbalanced="0" hidden="1"/>
    <cacheHierarchy uniqueName="[Test Case].[Iteration6]" caption="Iteration6" attribute="1" defaultMemberUniqueName="[Test Case].[Iteration6].[All]" allUniqueName="[Test Case].[Iteration6].[All]" dimensionUniqueName="[Test Case]" displayFolder="\" count="0" unbalanced="0" hidden="1"/>
    <cacheHierarchy uniqueName="[Test Case].[Iteration7]" caption="Iteration7" attribute="1" defaultMemberUniqueName="[Test Case].[Iteration7].[All]" allUniqueName="[Test Case].[Iteration7].[All]" dimensionUniqueName="[Test Case]" displayFolder="\" count="0" unbalanced="0" hidden="1"/>
    <cacheHierarchy uniqueName="[Test Case].[Iteration8]" caption="Iteration8" attribute="1" defaultMemberUniqueName="[Test Case].[Iteration8].[All]" allUniqueName="[Test Case].[Iteration8].[All]" dimensionUniqueName="[Test Case]" displayFolder="\" count="0" unbalanced="0" hidden="1"/>
    <cacheHierarchy uniqueName="[Test Case].[Iteration9]" caption="Iteration9" attribute="1" defaultMemberUniqueName="[Test Case].[Iteration9].[All]" allUniqueName="[Test Case].[Iteration9].[All]" dimensionUniqueName="[Test Case]" displayFolder="\" count="0" unbalanced="0" hidden="1"/>
    <cacheHierarchy uniqueName="[Test Case].[Microsoft_VSTS_CodeReview_AcceptedDate__Month]" caption="Accepted Date Month" attribute="1" defaultMemberUniqueName="[Test Case].[Microsoft_VSTS_CodeReview_AcceptedDate__Month].[All]" allUniqueName="[Test Case].[Microsoft_VSTS_CodeReview_AcceptedDate__Month].[All]" dimensionUniqueName="[Test Case]" displayFolder="" count="0" unbalanced="0" hidden="1"/>
    <cacheHierarchy uniqueName="[Test Case].[Microsoft_VSTS_CodeReview_AcceptedDate__Week]" caption="Accepted Date Week" attribute="1" defaultMemberUniqueName="[Test Case].[Microsoft_VSTS_CodeReview_AcceptedDate__Week].[All]" allUniqueName="[Test Case].[Microsoft_VSTS_CodeReview_AcceptedDate__Week].[All]" dimensionUniqueName="[Test Case]" displayFolder="" count="0" unbalanced="0" hidden="1"/>
    <cacheHierarchy uniqueName="[Test Case].[Microsoft_VSTS_CodeReview_AcceptedDate__Year]" caption="Accepted Date Year" attribute="1" defaultMemberUniqueName="[Test Case].[Microsoft_VSTS_CodeReview_AcceptedDate__Year].[All]" allUniqueName="[Test Case].[Microsoft_VSTS_CodeReview_AcceptedDate__Year].[All]" dimensionUniqueName="[Test Case]" displayFolder="" count="0" unbalanced="0" hidden="1"/>
    <cacheHierarchy uniqueName="[Test Case].[Microsoft_VSTS_Common_ActivatedDate__Month]" caption="Activated Date Month" attribute="1" defaultMemberUniqueName="[Test Case].[Microsoft_VSTS_Common_ActivatedDate__Month].[All]" allUniqueName="[Test Case].[Microsoft_VSTS_Common_ActivatedDate__Month].[All]" dimensionUniqueName="[Test Case]" displayFolder="" count="0" unbalanced="0" hidden="1"/>
    <cacheHierarchy uniqueName="[Test Case].[Microsoft_VSTS_Common_ActivatedDate__Week]" caption="Activated Date Week" attribute="1" defaultMemberUniqueName="[Test Case].[Microsoft_VSTS_Common_ActivatedDate__Week].[All]" allUniqueName="[Test Case].[Microsoft_VSTS_Common_ActivatedDate__Week].[All]" dimensionUniqueName="[Test Case]" displayFolder="" count="0" unbalanced="0" hidden="1"/>
    <cacheHierarchy uniqueName="[Test Case].[Microsoft_VSTS_Common_ActivatedDate__Year]" caption="Activated Date Year" attribute="1" defaultMemberUniqueName="[Test Case].[Microsoft_VSTS_Common_ActivatedDate__Year].[All]" allUniqueName="[Test Case].[Microsoft_VSTS_Common_ActivatedDate__Year].[All]" dimensionUniqueName="[Test Case]" displayFolder="" count="0" unbalanced="0" hidden="1"/>
    <cacheHierarchy uniqueName="[Test Case].[Microsoft_VSTS_Common_ClosedDate__Month]" caption="Closed Date Month" attribute="1" defaultMemberUniqueName="[Test Case].[Microsoft_VSTS_Common_ClosedDate__Month].[All]" allUniqueName="[Test Case].[Microsoft_VSTS_Common_ClosedDate__Month].[All]" dimensionUniqueName="[Test Case]" displayFolder="" count="0" unbalanced="0" hidden="1"/>
    <cacheHierarchy uniqueName="[Test Case].[Microsoft_VSTS_Common_ClosedDate__Week]" caption="Closed Date Week" attribute="1" defaultMemberUniqueName="[Test Case].[Microsoft_VSTS_Common_ClosedDate__Week].[All]" allUniqueName="[Test Case].[Microsoft_VSTS_Common_ClosedDate__Week].[All]" dimensionUniqueName="[Test Case]" displayFolder="" count="0" unbalanced="0" hidden="1"/>
    <cacheHierarchy uniqueName="[Test Case].[Microsoft_VSTS_Common_ClosedDate__Year]" caption="Closed Date Year" attribute="1" defaultMemberUniqueName="[Test Case].[Microsoft_VSTS_Common_ClosedDate__Year].[All]" allUniqueName="[Test Case].[Microsoft_VSTS_Common_ClosedDate__Year].[All]" dimensionUniqueName="[Test Case]" displayFolder="" count="0" unbalanced="0" hidden="1"/>
    <cacheHierarchy uniqueName="[Test Case].[System_ChangedDate__Month]" caption="Changed Date Month" attribute="1" defaultMemberUniqueName="[Test Case].[System_ChangedDate__Month].[All]" allUniqueName="[Test Case].[System_ChangedDate__Month].[All]" dimensionUniqueName="[Test Case]" displayFolder="" count="0" unbalanced="0" hidden="1"/>
    <cacheHierarchy uniqueName="[Test Case].[System_ChangedDate__Week]" caption="Changed Date Week" attribute="1" defaultMemberUniqueName="[Test Case].[System_ChangedDate__Week].[All]" allUniqueName="[Test Case].[System_ChangedDate__Week].[All]" dimensionUniqueName="[Test Case]" displayFolder="" count="0" unbalanced="0" hidden="1"/>
    <cacheHierarchy uniqueName="[Test Case].[System_ChangedDate__Year]" caption="Changed Date Year" attribute="1" defaultMemberUniqueName="[Test Case].[System_ChangedDate__Year].[All]" allUniqueName="[Test Case].[System_ChangedDate__Year].[All]" dimensionUniqueName="[Test Case]" displayFolder="" count="0" unbalanced="0" hidden="1"/>
    <cacheHierarchy uniqueName="[Test Case].[System_CreatedDate__Month]" caption="Created Date Month" attribute="1" defaultMemberUniqueName="[Test Case].[System_CreatedDate__Month].[All]" allUniqueName="[Test Case].[System_CreatedDate__Month].[All]" dimensionUniqueName="[Test Case]" displayFolder="" count="0" unbalanced="0" hidden="1"/>
    <cacheHierarchy uniqueName="[Test Case].[System_CreatedDate__Week]" caption="Created Date Week" attribute="1" defaultMemberUniqueName="[Test Case].[System_CreatedDate__Week].[All]" allUniqueName="[Test Case].[System_CreatedDate__Week].[All]" dimensionUniqueName="[Test Case]" displayFolder="" count="0" unbalanced="0" hidden="1"/>
    <cacheHierarchy uniqueName="[Test Case].[System_CreatedDate__Year]" caption="Created Date Year" attribute="1" defaultMemberUniqueName="[Test Case].[System_CreatedDate__Year].[All]" allUniqueName="[Test Case].[System_CreatedDate__Year].[All]" dimensionUniqueName="[Test Case]" displayFolder="" count="0" unbalanced="0" hidden="1"/>
    <cacheHierarchy uniqueName="[Test Case].[TeamProjectSK]" caption="TeamProjectSK" attribute="1" defaultMemberUniqueName="[Test Case].[TeamProjectSK].[All]" allUniqueName="[Test Case].[TeamProjectSK].[All]" dimensionUniqueName="[Test Case]" displayFolder="\" count="0" unbalanced="0" hidden="1"/>
    <cacheHierarchy uniqueName="[Test Case].[Test Case]" caption="Test Case" attribute="1" keyAttribute="1" defaultMemberUniqueName="[Test Case].[Test Case].[All]" allUniqueName="[Test Case].[Test Case].[All]" dimensionUniqueName="[Test Case]" displayFolder="" count="0" unbalanced="0" hidden="1"/>
    <cacheHierarchy uniqueName="[Test Configuration].[Configuration]" caption="Configuration" attribute="1" keyAttribute="1" defaultMemberUniqueName="[Test Configuration].[Configuration].[All]" allUniqueName="[Test Configuration].[Configuration].[All]" dimensionUniqueName="[Test Configuration]" displayFolder="" count="0" unbalanced="0" hidden="1"/>
    <cacheHierarchy uniqueName="[Test Plan].[Area Team Project Collection]" caption="Team Project Collection" attribute="1" defaultMemberUniqueName="[Test Plan].[Area Team Project Collection].[All]" allUniqueName="[Test Plan].[Area Team Project Collection].[All]" dimensionUniqueName="[Test Plan]" displayFolder="\" count="0" unbalanced="0" hidden="1"/>
    <cacheHierarchy uniqueName="[Test Plan].[Area0]" caption="Area0" attribute="1" defaultMemberUniqueName="[Test Plan].[Area0].[All]" allUniqueName="[Test Plan].[Area0].[All]" dimensionUniqueName="[Test Plan]" displayFolder="\" count="0" unbalanced="0" hidden="1"/>
    <cacheHierarchy uniqueName="[Test Plan].[Area1]" caption="Area1" attribute="1" defaultMemberUniqueName="[Test Plan].[Area1].[All]" allUniqueName="[Test Plan].[Area1].[All]" dimensionUniqueName="[Test Plan]" displayFolder="\" count="0" unbalanced="0" hidden="1"/>
    <cacheHierarchy uniqueName="[Test Plan].[Area10]" caption="Area10" attribute="1" defaultMemberUniqueName="[Test Plan].[Area10].[All]" allUniqueName="[Test Plan].[Area10].[All]" dimensionUniqueName="[Test Plan]" displayFolder="\" count="0" unbalanced="0" hidden="1"/>
    <cacheHierarchy uniqueName="[Test Plan].[Area11]" caption="Area11" attribute="1" defaultMemberUniqueName="[Test Plan].[Area11].[All]" allUniqueName="[Test Plan].[Area11].[All]" dimensionUniqueName="[Test Plan]" displayFolder="\" count="0" unbalanced="0" hidden="1"/>
    <cacheHierarchy uniqueName="[Test Plan].[Area12]" caption="Area12" attribute="1" defaultMemberUniqueName="[Test Plan].[Area12].[All]" allUniqueName="[Test Plan].[Area12].[All]" dimensionUniqueName="[Test Plan]" displayFolder="\" count="0" unbalanced="0" hidden="1"/>
    <cacheHierarchy uniqueName="[Test Plan].[Area13]" caption="Area13" attribute="1" defaultMemberUniqueName="[Test Plan].[Area13].[All]" allUniqueName="[Test Plan].[Area13].[All]" dimensionUniqueName="[Test Plan]" displayFolder="\" count="0" unbalanced="0" hidden="1"/>
    <cacheHierarchy uniqueName="[Test Plan].[Area2]" caption="Area2" attribute="1" defaultMemberUniqueName="[Test Plan].[Area2].[All]" allUniqueName="[Test Plan].[Area2].[All]" dimensionUniqueName="[Test Plan]" displayFolder="\" count="0" unbalanced="0" hidden="1"/>
    <cacheHierarchy uniqueName="[Test Plan].[Area3]" caption="Area3" attribute="1" defaultMemberUniqueName="[Test Plan].[Area3].[All]" allUniqueName="[Test Plan].[Area3].[All]" dimensionUniqueName="[Test Plan]" displayFolder="\" count="0" unbalanced="0" hidden="1"/>
    <cacheHierarchy uniqueName="[Test Plan].[Area4]" caption="Area4" attribute="1" defaultMemberUniqueName="[Test Plan].[Area4].[All]" allUniqueName="[Test Plan].[Area4].[All]" dimensionUniqueName="[Test Plan]" displayFolder="\" count="0" unbalanced="0" hidden="1"/>
    <cacheHierarchy uniqueName="[Test Plan].[Area5]" caption="Area5" attribute="1" defaultMemberUniqueName="[Test Plan].[Area5].[All]" allUniqueName="[Test Plan].[Area5].[All]" dimensionUniqueName="[Test Plan]" displayFolder="\" count="0" unbalanced="0" hidden="1"/>
    <cacheHierarchy uniqueName="[Test Plan].[Area6]" caption="Area6" attribute="1" defaultMemberUniqueName="[Test Plan].[Area6].[All]" allUniqueName="[Test Plan].[Area6].[All]" dimensionUniqueName="[Test Plan]" displayFolder="\" count="0" unbalanced="0" hidden="1"/>
    <cacheHierarchy uniqueName="[Test Plan].[Area7]" caption="Area7" attribute="1" defaultMemberUniqueName="[Test Plan].[Area7].[All]" allUniqueName="[Test Plan].[Area7].[All]" dimensionUniqueName="[Test Plan]" displayFolder="\" count="0" unbalanced="0" hidden="1"/>
    <cacheHierarchy uniqueName="[Test Plan].[Area8]" caption="Area8" attribute="1" defaultMemberUniqueName="[Test Plan].[Area8].[All]" allUniqueName="[Test Plan].[Area8].[All]" dimensionUniqueName="[Test Plan]" displayFolder="\" count="0" unbalanced="0" hidden="1"/>
    <cacheHierarchy uniqueName="[Test Plan].[Area9]" caption="Area9" attribute="1" defaultMemberUniqueName="[Test Plan].[Area9].[All]" allUniqueName="[Test Plan].[Area9].[All]" dimensionUniqueName="[Test Plan]" displayFolder="\" count="0" unbalanced="0" hidden="1"/>
    <cacheHierarchy uniqueName="[Test Plan].[EndDate__Month]" caption="End Date Month" attribute="1" defaultMemberUniqueName="[Test Plan].[EndDate__Month].[All]" allUniqueName="[Test Plan].[EndDate__Month].[All]" dimensionUniqueName="[Test Plan]" displayFolder="" count="0" unbalanced="0" hidden="1"/>
    <cacheHierarchy uniqueName="[Test Plan].[EndDate__Week]" caption="End Date Week" attribute="1" defaultMemberUniqueName="[Test Plan].[EndDate__Week].[All]" allUniqueName="[Test Plan].[EndDate__Week].[All]" dimensionUniqueName="[Test Plan]" displayFolder="" count="0" unbalanced="0" hidden="1"/>
    <cacheHierarchy uniqueName="[Test Plan].[EndDate__Year]" caption="Start Date Year" attribute="1" defaultMemberUniqueName="[Test Plan].[EndDate__Year].[All]" allUniqueName="[Test Plan].[EndDate__Year].[All]" dimensionUniqueName="[Test Plan]" displayFolder="" count="0" unbalanced="0" hidden="1"/>
    <cacheHierarchy uniqueName="[Test Plan].[Iteration Team Project Collection]" caption="Team Project Collection" attribute="1" defaultMemberUniqueName="[Test Plan].[Iteration Team Project Collection].[All]" allUniqueName="[Test Plan].[Iteration Team Project Collection].[All]" dimensionUniqueName="[Test Plan]" displayFolder="\" count="0" unbalanced="0" hidden="1"/>
    <cacheHierarchy uniqueName="[Test Plan].[Iteration0]" caption="Iteration0" attribute="1" defaultMemberUniqueName="[Test Plan].[Iteration0].[All]" allUniqueName="[Test Plan].[Iteration0].[All]" dimensionUniqueName="[Test Plan]" displayFolder="\" count="0" unbalanced="0" hidden="1"/>
    <cacheHierarchy uniqueName="[Test Plan].[Iteration1]" caption="Iteration1" attribute="1" defaultMemberUniqueName="[Test Plan].[Iteration1].[All]" allUniqueName="[Test Plan].[Iteration1].[All]" dimensionUniqueName="[Test Plan]" displayFolder="\" count="0" unbalanced="0" hidden="1"/>
    <cacheHierarchy uniqueName="[Test Plan].[Iteration10]" caption="Iteration10" attribute="1" defaultMemberUniqueName="[Test Plan].[Iteration10].[All]" allUniqueName="[Test Plan].[Iteration10].[All]" dimensionUniqueName="[Test Plan]" displayFolder="\" count="0" unbalanced="0" hidden="1"/>
    <cacheHierarchy uniqueName="[Test Plan].[Iteration11]" caption="Iteration11" attribute="1" defaultMemberUniqueName="[Test Plan].[Iteration11].[All]" allUniqueName="[Test Plan].[Iteration11].[All]" dimensionUniqueName="[Test Plan]" displayFolder="\" count="0" unbalanced="0" hidden="1"/>
    <cacheHierarchy uniqueName="[Test Plan].[Iteration12]" caption="Iteration12" attribute="1" defaultMemberUniqueName="[Test Plan].[Iteration12].[All]" allUniqueName="[Test Plan].[Iteration12].[All]" dimensionUniqueName="[Test Plan]" displayFolder="\" count="0" unbalanced="0" hidden="1"/>
    <cacheHierarchy uniqueName="[Test Plan].[Iteration13]" caption="Iteration13" attribute="1" defaultMemberUniqueName="[Test Plan].[Iteration13].[All]" allUniqueName="[Test Plan].[Iteration13].[All]" dimensionUniqueName="[Test Plan]" displayFolder="\" count="0" unbalanced="0" hidden="1"/>
    <cacheHierarchy uniqueName="[Test Plan].[Iteration2]" caption="Iteration2" attribute="1" defaultMemberUniqueName="[Test Plan].[Iteration2].[All]" allUniqueName="[Test Plan].[Iteration2].[All]" dimensionUniqueName="[Test Plan]" displayFolder="\" count="0" unbalanced="0" hidden="1"/>
    <cacheHierarchy uniqueName="[Test Plan].[Iteration3]" caption="Iteration3" attribute="1" defaultMemberUniqueName="[Test Plan].[Iteration3].[All]" allUniqueName="[Test Plan].[Iteration3].[All]" dimensionUniqueName="[Test Plan]" displayFolder="\" count="0" unbalanced="0" hidden="1"/>
    <cacheHierarchy uniqueName="[Test Plan].[Iteration4]" caption="Iteration4" attribute="1" defaultMemberUniqueName="[Test Plan].[Iteration4].[All]" allUniqueName="[Test Plan].[Iteration4].[All]" dimensionUniqueName="[Test Plan]" displayFolder="\" count="0" unbalanced="0" hidden="1"/>
    <cacheHierarchy uniqueName="[Test Plan].[Iteration5]" caption="Iteration5" attribute="1" defaultMemberUniqueName="[Test Plan].[Iteration5].[All]" allUniqueName="[Test Plan].[Iteration5].[All]" dimensionUniqueName="[Test Plan]" displayFolder="\" count="0" unbalanced="0" hidden="1"/>
    <cacheHierarchy uniqueName="[Test Plan].[Iteration6]" caption="Iteration6" attribute="1" defaultMemberUniqueName="[Test Plan].[Iteration6].[All]" allUniqueName="[Test Plan].[Iteration6].[All]" dimensionUniqueName="[Test Plan]" displayFolder="\" count="0" unbalanced="0" hidden="1"/>
    <cacheHierarchy uniqueName="[Test Plan].[Iteration7]" caption="Iteration7" attribute="1" defaultMemberUniqueName="[Test Plan].[Iteration7].[All]" allUniqueName="[Test Plan].[Iteration7].[All]" dimensionUniqueName="[Test Plan]" displayFolder="\" count="0" unbalanced="0" hidden="1"/>
    <cacheHierarchy uniqueName="[Test Plan].[Iteration8]" caption="Iteration8" attribute="1" defaultMemberUniqueName="[Test Plan].[Iteration8].[All]" allUniqueName="[Test Plan].[Iteration8].[All]" dimensionUniqueName="[Test Plan]" displayFolder="\" count="0" unbalanced="0" hidden="1"/>
    <cacheHierarchy uniqueName="[Test Plan].[Iteration9]" caption="Iteration9" attribute="1" defaultMemberUniqueName="[Test Plan].[Iteration9].[All]" allUniqueName="[Test Plan].[Iteration9].[All]" dimensionUniqueName="[Test Plan]" displayFolder="\" count="0" unbalanced="0" hidden="1"/>
    <cacheHierarchy uniqueName="[Test Plan].[StartDate__Month]" caption="Start Date Month" attribute="1" defaultMemberUniqueName="[Test Plan].[StartDate__Month].[All]" allUniqueName="[Test Plan].[StartDate__Month].[All]" dimensionUniqueName="[Test Plan]" displayFolder="" count="0" unbalanced="0" hidden="1"/>
    <cacheHierarchy uniqueName="[Test Plan].[StartDate__Week]" caption="Start Date Week" attribute="1" defaultMemberUniqueName="[Test Plan].[StartDate__Week].[All]" allUniqueName="[Test Plan].[StartDate__Week].[All]" dimensionUniqueName="[Test Plan]" displayFolder="" count="0" unbalanced="0" hidden="1"/>
    <cacheHierarchy uniqueName="[Test Plan].[StartDate__Year]" caption="Start Date Year" attribute="1" defaultMemberUniqueName="[Test Plan].[StartDate__Year].[All]" allUniqueName="[Test Plan].[StartDate__Year].[All]" dimensionUniqueName="[Test Plan]" displayFolder="" count="0" unbalanced="0" hidden="1"/>
    <cacheHierarchy uniqueName="[Test Plan].[Test Plan]" caption="Test Plan" attribute="1" keyAttribute="1" defaultMemberUniqueName="[Test Plan].[Test Plan].[All]" allUniqueName="[Test Plan].[Test Plan].[All]" dimensionUniqueName="[Test Plan]" displayFolder="" count="0" unbalanced="0" hidden="1"/>
    <cacheHierarchy uniqueName="[Test Result].[Test Result]" caption="Test Result" attribute="1" keyAttribute="1" defaultMemberUniqueName="[Test Result].[Test Result].[All]" allUniqueName="[Test Result].[Test Result].[All]" dimensionUniqueName="[Test Result]" displayFolder="" count="0" unbalanced="0" hidden="1"/>
    <cacheHierarchy uniqueName="[Test Run].[Complete Date]" caption="Complete Date" attribute="1" defaultMemberUniqueName="[Test Run].[Complete Date].[All]" allUniqueName="[Test Run].[Complete Date].[All]" dimensionUniqueName="[Test Run]" displayFolder="" count="0" unbalanced="0" hidden="1"/>
    <cacheHierarchy uniqueName="[Test Run].[CompleteDate__Month]" caption="Complete Date Month" attribute="1" defaultMemberUniqueName="[Test Run].[CompleteDate__Month].[All]" allUniqueName="[Test Run].[CompleteDate__Month].[All]" dimensionUniqueName="[Test Run]" displayFolder="" count="0" unbalanced="0" hidden="1"/>
    <cacheHierarchy uniqueName="[Test Run].[CompleteDate__Week]" caption="Complete Date Week" attribute="1" defaultMemberUniqueName="[Test Run].[CompleteDate__Week].[All]" allUniqueName="[Test Run].[CompleteDate__Week].[All]" dimensionUniqueName="[Test Run]" displayFolder="" count="0" unbalanced="0" hidden="1"/>
    <cacheHierarchy uniqueName="[Test Run].[CompleteDate__Year]" caption="Complete Date Year" attribute="1" defaultMemberUniqueName="[Test Run].[CompleteDate__Year].[All]" allUniqueName="[Test Run].[CompleteDate__Year].[All]" dimensionUniqueName="[Test Run]" displayFolder="" count="0" unbalanced="0" hidden="1"/>
    <cacheHierarchy uniqueName="[Test Run].[Creation Date]" caption="Creation Date" attribute="1" defaultMemberUniqueName="[Test Run].[Creation Date].[All]" allUniqueName="[Test Run].[Creation Date].[All]" dimensionUniqueName="[Test Run]" displayFolder="" count="0" unbalanced="0" hidden="1"/>
    <cacheHierarchy uniqueName="[Test Run].[CreationDate__Month]" caption="Creation Date Month" attribute="1" defaultMemberUniqueName="[Test Run].[CreationDate__Month].[All]" allUniqueName="[Test Run].[CreationDate__Month].[All]" dimensionUniqueName="[Test Run]" displayFolder="" count="0" unbalanced="0" hidden="1"/>
    <cacheHierarchy uniqueName="[Test Run].[CreationDate__Week]" caption="Creation Date Week" attribute="1" defaultMemberUniqueName="[Test Run].[CreationDate__Week].[All]" allUniqueName="[Test Run].[CreationDate__Week].[All]" dimensionUniqueName="[Test Run]" displayFolder="" count="0" unbalanced="0" hidden="1"/>
    <cacheHierarchy uniqueName="[Test Run].[CreationDate__Year]" caption="Creation Date Year" attribute="1" defaultMemberUniqueName="[Test Run].[CreationDate__Year].[All]" allUniqueName="[Test Run].[CreationDate__Year].[All]" dimensionUniqueName="[Test Run]" displayFolder="" count="0" unbalanced="0" hidden="1"/>
    <cacheHierarchy uniqueName="[Test Run].[Start Date]" caption="Start Date" attribute="1" defaultMemberUniqueName="[Test Run].[Start Date].[All]" allUniqueName="[Test Run].[Start Date].[All]" dimensionUniqueName="[Test Run]" displayFolder="" count="0" unbalanced="0" hidden="1"/>
    <cacheHierarchy uniqueName="[Test Run].[StartDate__Month]" caption="Start Date Month" attribute="1" defaultMemberUniqueName="[Test Run].[StartDate__Month].[All]" allUniqueName="[Test Run].[StartDate__Month].[All]" dimensionUniqueName="[Test Run]" displayFolder="" count="0" unbalanced="0" hidden="1"/>
    <cacheHierarchy uniqueName="[Test Run].[StartDate__Week]" caption="Start Date Week" attribute="1" defaultMemberUniqueName="[Test Run].[StartDate__Week].[All]" allUniqueName="[Test Run].[StartDate__Week].[All]" dimensionUniqueName="[Test Run]" displayFolder="" count="0" unbalanced="0" hidden="1"/>
    <cacheHierarchy uniqueName="[Test Run].[StartDate__Year]" caption="Start Date Year" attribute="1" defaultMemberUniqueName="[Test Run].[StartDate__Year].[All]" allUniqueName="[Test Run].[StartDate__Year].[All]" dimensionUniqueName="[Test Run]" displayFolder="" count="0" unbalanced="0" hidden="1"/>
    <cacheHierarchy uniqueName="[Test Run].[Test Run]" caption="Test Run" attribute="1" keyAttribute="1" defaultMemberUniqueName="[Test Run].[Test Run].[All]" allUniqueName="[Test Run].[Test Run].[All]" dimensionUniqueName="[Test Run]" displayFolder="" count="0" unbalanced="0" hidden="1"/>
    <cacheHierarchy uniqueName="[Test Suite].[Suite0]" caption="Suite0" attribute="1" defaultMemberUniqueName="[Test Suite].[Suite0].[All]" allUniqueName="[Test Suite].[Suite0].[All]" dimensionUniqueName="[Test Suite]" displayFolder="" count="0" unbalanced="0" hidden="1"/>
    <cacheHierarchy uniqueName="[Test Suite].[Suite1]" caption="Suite1" attribute="1" defaultMemberUniqueName="[Test Suite].[Suite1].[All]" allUniqueName="[Test Suite].[Suite1].[All]" dimensionUniqueName="[Test Suite]" displayFolder="" count="0" unbalanced="0" hidden="1"/>
    <cacheHierarchy uniqueName="[Test Suite].[Suite10]" caption="Suite10" attribute="1" defaultMemberUniqueName="[Test Suite].[Suite10].[All]" allUniqueName="[Test Suite].[Suite10].[All]" dimensionUniqueName="[Test Suite]" displayFolder="" count="0" unbalanced="0" hidden="1"/>
    <cacheHierarchy uniqueName="[Test Suite].[Suite11]" caption="Suite11" attribute="1" defaultMemberUniqueName="[Test Suite].[Suite11].[All]" allUniqueName="[Test Suite].[Suite11].[All]" dimensionUniqueName="[Test Suite]" displayFolder="" count="0" unbalanced="0" hidden="1"/>
    <cacheHierarchy uniqueName="[Test Suite].[Suite12]" caption="Suite12" attribute="1" defaultMemberUniqueName="[Test Suite].[Suite12].[All]" allUniqueName="[Test Suite].[Suite12].[All]" dimensionUniqueName="[Test Suite]" displayFolder="" count="0" unbalanced="0" hidden="1"/>
    <cacheHierarchy uniqueName="[Test Suite].[Suite13]" caption="Suite13" attribute="1" defaultMemberUniqueName="[Test Suite].[Suite13].[All]" allUniqueName="[Test Suite].[Suite13].[All]" dimensionUniqueName="[Test Suite]" displayFolder="" count="0" unbalanced="0" hidden="1"/>
    <cacheHierarchy uniqueName="[Test Suite].[Suite2]" caption="Suite2" attribute="1" defaultMemberUniqueName="[Test Suite].[Suite2].[All]" allUniqueName="[Test Suite].[Suite2].[All]" dimensionUniqueName="[Test Suite]" displayFolder="" count="0" unbalanced="0" hidden="1"/>
    <cacheHierarchy uniqueName="[Test Suite].[Suite3]" caption="Suite3" attribute="1" defaultMemberUniqueName="[Test Suite].[Suite3].[All]" allUniqueName="[Test Suite].[Suite3].[All]" dimensionUniqueName="[Test Suite]" displayFolder="" count="0" unbalanced="0" hidden="1"/>
    <cacheHierarchy uniqueName="[Test Suite].[Suite4]" caption="Suite4" attribute="1" defaultMemberUniqueName="[Test Suite].[Suite4].[All]" allUniqueName="[Test Suite].[Suite4].[All]" dimensionUniqueName="[Test Suite]" displayFolder="" count="0" unbalanced="0" hidden="1"/>
    <cacheHierarchy uniqueName="[Test Suite].[Suite5]" caption="Suite5" attribute="1" defaultMemberUniqueName="[Test Suite].[Suite5].[All]" allUniqueName="[Test Suite].[Suite5].[All]" dimensionUniqueName="[Test Suite]" displayFolder="" count="0" unbalanced="0" hidden="1"/>
    <cacheHierarchy uniqueName="[Test Suite].[Suite6]" caption="Suite6" attribute="1" defaultMemberUniqueName="[Test Suite].[Suite6].[All]" allUniqueName="[Test Suite].[Suite6].[All]" dimensionUniqueName="[Test Suite]" displayFolder="" count="0" unbalanced="0" hidden="1"/>
    <cacheHierarchy uniqueName="[Test Suite].[Suite7]" caption="Suite7" attribute="1" defaultMemberUniqueName="[Test Suite].[Suite7].[All]" allUniqueName="[Test Suite].[Suite7].[All]" dimensionUniqueName="[Test Suite]" displayFolder="" count="0" unbalanced="0" hidden="1"/>
    <cacheHierarchy uniqueName="[Test Suite].[Suite8]" caption="Suite8" attribute="1" defaultMemberUniqueName="[Test Suite].[Suite8].[All]" allUniqueName="[Test Suite].[Suite8].[All]" dimensionUniqueName="[Test Suite]" displayFolder="" count="0" unbalanced="0" hidden="1"/>
    <cacheHierarchy uniqueName="[Test Suite].[Suite9]" caption="Suite9" attribute="1" defaultMemberUniqueName="[Test Suite].[Suite9].[All]" allUniqueName="[Test Suite].[Suite9].[All]" dimensionUniqueName="[Test Suite]" displayFolder="" count="0" unbalanced="0" hidden="1"/>
    <cacheHierarchy uniqueName="[Test Suite].[Team Project]" caption="Team Project" attribute="1" defaultMemberUniqueName="[Test Suite].[Team Project].[All]" allUniqueName="[Test Suite].[Team Project].[All]" dimensionUniqueName="[Test Suite]" displayFolder="" count="0" unbalanced="0" hidden="1"/>
    <cacheHierarchy uniqueName="[Test Suite].[Team Project Collection]" caption="Team Project Collection" attribute="1" defaultMemberUniqueName="[Test Suite].[Team Project Collection].[All]" allUniqueName="[Test Suite].[Team Project Collection].[All]" dimensionUniqueName="[Test Suite]" displayFolder="" count="0" unbalanced="0" hidden="1"/>
    <cacheHierarchy uniqueName="[Test Suite].[TestSuiteSK]" caption="TestSuiteSK" attribute="1" keyAttribute="1" defaultMemberUniqueName="[Test Suite].[TestSuiteSK].[All]" allUniqueName="[Test Suite].[TestSuiteSK].[All]" dimensionUniqueName="[Test Suite]" displayFolder="" count="0" unbalanced="0" hidden="1"/>
    <cacheHierarchy uniqueName="[Today].[Date]" caption="Date" attribute="1" defaultMemberUniqueName="[Today].[Date].[All]" allUniqueName="[Today].[Date].[All]" dimensionUniqueName="[Today]" displayFolder="" count="0" unbalanced="0" hidden="1"/>
    <cacheHierarchy uniqueName="[Today].[Day Of Month]" caption="Day Of Month" attribute="1" defaultMemberUniqueName="[Today].[Day Of Month].[All]" allUniqueName="[Today].[Day Of Month].[All]" dimensionUniqueName="[Today]" displayFolder="" count="0" unbalanced="0" hidden="1"/>
    <cacheHierarchy uniqueName="[Today].[Day Of Week]" caption="Day Of Week" attribute="1" defaultMemberUniqueName="[Today].[Day Of Week].[All]" allUniqueName="[Today].[Day Of Week].[All]" dimensionUniqueName="[Today]" displayFolder="" count="0" unbalanced="0" hidden="1"/>
    <cacheHierarchy uniqueName="[Today].[Day Of Year]" caption="Day Of Year" attribute="1" defaultMemberUniqueName="[Today].[Day Of Year].[All]" allUniqueName="[Today].[Day Of Year].[All]" dimensionUniqueName="[Today]" displayFolder="" count="0" unbalanced="0" hidden="1"/>
    <cacheHierarchy uniqueName="[Today].[Month]" caption="Month" attribute="1" defaultMemberUniqueName="[Today].[Month].[All]" allUniqueName="[Today].[Month].[All]" dimensionUniqueName="[Today]" displayFolder="" count="0" unbalanced="0" hidden="1"/>
    <cacheHierarchy uniqueName="[Today].[Month Of Year]" caption="Month Of Year" attribute="1" defaultMemberUniqueName="[Today].[Month Of Year].[All]" allUniqueName="[Today].[Month Of Year].[All]" dimensionUniqueName="[Today]" displayFolder="" count="0" unbalanced="0" hidden="1"/>
    <cacheHierarchy uniqueName="[Today].[Today]" caption="Today" attribute="1" keyAttribute="1" defaultMemberUniqueName="[Today].[Today].[All]" allUniqueName="[Today].[Today].[All]" dimensionUniqueName="[Today]" displayFolder="" count="0" unbalanced="0" hidden="1"/>
    <cacheHierarchy uniqueName="[Today].[Week]" caption="Week" attribute="1" defaultMemberUniqueName="[Today].[Week].[All]" allUniqueName="[Today].[Week].[All]" dimensionUniqueName="[Today]" displayFolder="" count="0" unbalanced="0" hidden="1"/>
    <cacheHierarchy uniqueName="[Today].[Week Of Year]" caption="Week Of Year" attribute="1" defaultMemberUniqueName="[Today].[Week Of Year].[All]" allUniqueName="[Today].[Week Of Year].[All]" dimensionUniqueName="[Today]" displayFolder="" count="0" unbalanced="0" hidden="1"/>
    <cacheHierarchy uniqueName="[Today].[Year]" caption="Year" attribute="1" defaultMemberUniqueName="[Today].[Year].[All]" allUniqueName="[Today].[Year].[All]" dimensionUniqueName="[Today]" displayFolder="" count="0" unbalanced="0" hidden="1"/>
    <cacheHierarchy uniqueName="[Tool Artifact Display Url].[TeamProjectCollectionSK]" caption="TeamProjectCollectionSK" attribute="1" defaultMemberUniqueName="[Tool Artifact Display Url].[TeamProjectCollectionSK].[All]" allUniqueName="[Tool Artifact Display Url].[TeamProjectCollectionSK].[All]" dimensionUniqueName="[Tool Artifact Display Url]" displayFolder="" count="0" unbalanced="0" hidden="1"/>
    <cacheHierarchy uniqueName="[Tool Artifact Display Url].[Tool Artifact Display Url]" caption="Tool Artifact Display Url" attribute="1" keyAttribute="1" defaultMemberUniqueName="[Tool Artifact Display Url].[Tool Artifact Display Url].[All]" allUniqueName="[Tool Artifact Display Url].[Tool Artifact Display Url].[All]" dimensionUniqueName="[Tool Artifact Display Url]" displayFolder="" count="0" unbalanced="0" hidden="1"/>
    <cacheHierarchy uniqueName="[Tool Artifact Display Url].[Tool Type]" caption="Tool Type" attribute="1" defaultMemberUniqueName="[Tool Artifact Display Url].[Tool Type].[All]" allUniqueName="[Tool Artifact Display Url].[Tool Type].[All]" dimensionUniqueName="[Tool Artifact Display Url]" displayFolder="" count="0" unbalanced="0" hidden="1"/>
    <cacheHierarchy uniqueName="[Version Control Changeset].[Changeset]" caption="Changeset" attribute="1" keyAttribute="1" defaultMemberUniqueName="[Version Control Changeset].[Changeset].[All]" allUniqueName="[Version Control Changeset].[Changeset].[All]" dimensionUniqueName="[Version Control Changeset]" displayFolder="" count="0" unbalanced="0" hidden="1"/>
    <cacheHierarchy uniqueName="[Version Control File].[File]" caption="Version Control File.File" attribute="1" keyAttribute="1" defaultMemberUniqueName="[Version Control File].[File].[All]" allUniqueName="[Version Control File].[File].[All]" dimensionUniqueName="[Version Control File]" displayFolder="" count="0" unbalanced="0" hidden="1"/>
    <cacheHierarchy uniqueName="[Work Item].[Area Team Project Collection]" caption="Work Item.Team Project Collection" attribute="1" defaultMemberUniqueName="[Work Item].[Area Team Project Collection].[All]" allUniqueName="[Work Item].[Area Team Project Collection].[All]" dimensionUniqueName="[Work Item]" displayFolder="\" count="0" unbalanced="0" hidden="1"/>
    <cacheHierarchy uniqueName="[Work Item].[Area0]" caption="Work Item.Area0" attribute="1" defaultMemberUniqueName="[Work Item].[Area0].[All]" allUniqueName="[Work Item].[Area0].[All]" dimensionUniqueName="[Work Item]" displayFolder="\" count="0" unbalanced="0" hidden="1"/>
    <cacheHierarchy uniqueName="[Work Item].[Area1]" caption="Work Item.Area1" attribute="1" defaultMemberUniqueName="[Work Item].[Area1].[All]" allUniqueName="[Work Item].[Area1].[All]" dimensionUniqueName="[Work Item]" displayFolder="\" count="0" unbalanced="0" hidden="1"/>
    <cacheHierarchy uniqueName="[Work Item].[Area10]" caption="Work Item.Area10" attribute="1" defaultMemberUniqueName="[Work Item].[Area10].[All]" allUniqueName="[Work Item].[Area10].[All]" dimensionUniqueName="[Work Item]" displayFolder="\" count="0" unbalanced="0" hidden="1"/>
    <cacheHierarchy uniqueName="[Work Item].[Area11]" caption="Work Item.Area11" attribute="1" defaultMemberUniqueName="[Work Item].[Area11].[All]" allUniqueName="[Work Item].[Area11].[All]" dimensionUniqueName="[Work Item]" displayFolder="\" count="0" unbalanced="0" hidden="1"/>
    <cacheHierarchy uniqueName="[Work Item].[Area12]" caption="Work Item.Area12" attribute="1" defaultMemberUniqueName="[Work Item].[Area12].[All]" allUniqueName="[Work Item].[Area12].[All]" dimensionUniqueName="[Work Item]" displayFolder="\" count="0" unbalanced="0" hidden="1"/>
    <cacheHierarchy uniqueName="[Work Item].[Area13]" caption="Work Item.Area13" attribute="1" defaultMemberUniqueName="[Work Item].[Area13].[All]" allUniqueName="[Work Item].[Area13].[All]" dimensionUniqueName="[Work Item]" displayFolder="\" count="0" unbalanced="0" hidden="1"/>
    <cacheHierarchy uniqueName="[Work Item].[Area2]" caption="Work Item.Area2" attribute="1" defaultMemberUniqueName="[Work Item].[Area2].[All]" allUniqueName="[Work Item].[Area2].[All]" dimensionUniqueName="[Work Item]" displayFolder="\" count="0" unbalanced="0" hidden="1"/>
    <cacheHierarchy uniqueName="[Work Item].[Area3]" caption="Work Item.Area3" attribute="1" defaultMemberUniqueName="[Work Item].[Area3].[All]" allUniqueName="[Work Item].[Area3].[All]" dimensionUniqueName="[Work Item]" displayFolder="\" count="0" unbalanced="0" hidden="1"/>
    <cacheHierarchy uniqueName="[Work Item].[Area4]" caption="Work Item.Area4" attribute="1" defaultMemberUniqueName="[Work Item].[Area4].[All]" allUniqueName="[Work Item].[Area4].[All]" dimensionUniqueName="[Work Item]" displayFolder="\" count="0" unbalanced="0" hidden="1"/>
    <cacheHierarchy uniqueName="[Work Item].[Area5]" caption="Work Item.Area5" attribute="1" defaultMemberUniqueName="[Work Item].[Area5].[All]" allUniqueName="[Work Item].[Area5].[All]" dimensionUniqueName="[Work Item]" displayFolder="\" count="0" unbalanced="0" hidden="1"/>
    <cacheHierarchy uniqueName="[Work Item].[Area6]" caption="Work Item.Area6" attribute="1" defaultMemberUniqueName="[Work Item].[Area6].[All]" allUniqueName="[Work Item].[Area6].[All]" dimensionUniqueName="[Work Item]" displayFolder="\" count="0" unbalanced="0" hidden="1"/>
    <cacheHierarchy uniqueName="[Work Item].[Area7]" caption="Work Item.Area7" attribute="1" defaultMemberUniqueName="[Work Item].[Area7].[All]" allUniqueName="[Work Item].[Area7].[All]" dimensionUniqueName="[Work Item]" displayFolder="\" count="0" unbalanced="0" hidden="1"/>
    <cacheHierarchy uniqueName="[Work Item].[Area8]" caption="Work Item.Area8" attribute="1" defaultMemberUniqueName="[Work Item].[Area8].[All]" allUniqueName="[Work Item].[Area8].[All]" dimensionUniqueName="[Work Item]" displayFolder="\" count="0" unbalanced="0" hidden="1"/>
    <cacheHierarchy uniqueName="[Work Item].[Area9]" caption="Work Item.Area9" attribute="1" defaultMemberUniqueName="[Work Item].[Area9].[All]" allUniqueName="[Work Item].[Area9].[All]" dimensionUniqueName="[Work Item]" displayFolder="\" count="0" unbalanced="0" hidden="1"/>
    <cacheHierarchy uniqueName="[Work Item].[CWB_BussinessRequiredDate__Month]" caption="Work Item.Business Required Date Month" attribute="1" defaultMemberUniqueName="[Work Item].[CWB_BussinessRequiredDate__Month].[All]" allUniqueName="[Work Item].[CWB_BussinessRequiredDate__Month].[All]" dimensionUniqueName="[Work Item]" displayFolder="" count="0" unbalanced="0" hidden="1"/>
    <cacheHierarchy uniqueName="[Work Item].[CWB_BussinessRequiredDate__Week]" caption="Work Item.Business Required Date Week" attribute="1" defaultMemberUniqueName="[Work Item].[CWB_BussinessRequiredDate__Week].[All]" allUniqueName="[Work Item].[CWB_BussinessRequiredDate__Week].[All]" dimensionUniqueName="[Work Item]" displayFolder="" count="0" unbalanced="0" hidden="1"/>
    <cacheHierarchy uniqueName="[Work Item].[CWB_BussinessRequiredDate__Year]" caption="Work Item.Business Required Date Year" attribute="1" defaultMemberUniqueName="[Work Item].[CWB_BussinessRequiredDate__Year].[All]" allUniqueName="[Work Item].[CWB_BussinessRequiredDate__Year].[All]" dimensionUniqueName="[Work Item]" displayFolder="" count="0" unbalanced="0" hidden="1"/>
    <cacheHierarchy uniqueName="[Work Item].[CWB_IMReleasePackageDate__Month]" caption="Work Item.IMPackageDate Month" attribute="1" defaultMemberUniqueName="[Work Item].[CWB_IMReleasePackageDate__Month].[All]" allUniqueName="[Work Item].[CWB_IMReleasePackageDate__Month].[All]" dimensionUniqueName="[Work Item]" displayFolder="" count="0" unbalanced="0" hidden="1"/>
    <cacheHierarchy uniqueName="[Work Item].[CWB_IMReleasePackageDate__Week]" caption="Work Item.IMPackageDate Week" attribute="1" defaultMemberUniqueName="[Work Item].[CWB_IMReleasePackageDate__Week].[All]" allUniqueName="[Work Item].[CWB_IMReleasePackageDate__Week].[All]" dimensionUniqueName="[Work Item]" displayFolder="" count="0" unbalanced="0" hidden="1"/>
    <cacheHierarchy uniqueName="[Work Item].[CWB_IMReleasePackageDate__Year]" caption="Work Item.IMPackageDate Year" attribute="1" defaultMemberUniqueName="[Work Item].[CWB_IMReleasePackageDate__Year].[All]" allUniqueName="[Work Item].[CWB_IMReleasePackageDate__Year].[All]" dimensionUniqueName="[Work Item]" displayFolder="" count="0" unbalanced="0" hidden="1"/>
    <cacheHierarchy uniqueName="[Work Item].[CWB_PlannedCompletionDate__Month]" caption="Work Item.Planned Completion Date Month" attribute="1" defaultMemberUniqueName="[Work Item].[CWB_PlannedCompletionDate__Month].[All]" allUniqueName="[Work Item].[CWB_PlannedCompletionDate__Month].[All]" dimensionUniqueName="[Work Item]" displayFolder="" count="0" unbalanced="0" hidden="1"/>
    <cacheHierarchy uniqueName="[Work Item].[CWB_PlannedCompletionDate__Week]" caption="Work Item.Planned Completion Date Week" attribute="1" defaultMemberUniqueName="[Work Item].[CWB_PlannedCompletionDate__Week].[All]" allUniqueName="[Work Item].[CWB_PlannedCompletionDate__Week].[All]" dimensionUniqueName="[Work Item]" displayFolder="" count="0" unbalanced="0" hidden="1"/>
    <cacheHierarchy uniqueName="[Work Item].[CWB_PlannedCompletionDate__Year]" caption="Work Item.Planned Completion Date Year" attribute="1" defaultMemberUniqueName="[Work Item].[CWB_PlannedCompletionDate__Year].[All]" allUniqueName="[Work Item].[CWB_PlannedCompletionDate__Year].[All]" dimensionUniqueName="[Work Item]" displayFolder="" count="0" unbalanced="0" hidden="1"/>
    <cacheHierarchy uniqueName="[Work Item].[CWB_PlannedStartDate__Month]" caption="Work Item.Planned Start Date Month" attribute="1" defaultMemberUniqueName="[Work Item].[CWB_PlannedStartDate__Month].[All]" allUniqueName="[Work Item].[CWB_PlannedStartDate__Month].[All]" dimensionUniqueName="[Work Item]" displayFolder="" count="0" unbalanced="0" hidden="1"/>
    <cacheHierarchy uniqueName="[Work Item].[CWB_PlannedStartDate__Week]" caption="Work Item.Planned Start Date Week" attribute="1" defaultMemberUniqueName="[Work Item].[CWB_PlannedStartDate__Week].[All]" allUniqueName="[Work Item].[CWB_PlannedStartDate__Week].[All]" dimensionUniqueName="[Work Item]" displayFolder="" count="0" unbalanced="0" hidden="1"/>
    <cacheHierarchy uniqueName="[Work Item].[CWB_PlannedStartDate__Year]" caption="Work Item.Planned Start Date Year" attribute="1" defaultMemberUniqueName="[Work Item].[CWB_PlannedStartDate__Year].[All]" allUniqueName="[Work Item].[CWB_PlannedStartDate__Year].[All]" dimensionUniqueName="[Work Item]" displayFolder="" count="0" unbalanced="0" hidden="1"/>
    <cacheHierarchy uniqueName="[Work Item].[CWB_TargetResolution__Month]" caption="Work Item.Target Resolution Month" attribute="1" defaultMemberUniqueName="[Work Item].[CWB_TargetResolution__Month].[All]" allUniqueName="[Work Item].[CWB_TargetResolution__Month].[All]" dimensionUniqueName="[Work Item]" displayFolder="" count="0" unbalanced="0" hidden="1"/>
    <cacheHierarchy uniqueName="[Work Item].[CWB_TargetResolution__Week]" caption="Work Item.Target Resolution Week" attribute="1" defaultMemberUniqueName="[Work Item].[CWB_TargetResolution__Week].[All]" allUniqueName="[Work Item].[CWB_TargetResolution__Week].[All]" dimensionUniqueName="[Work Item]" displayFolder="" count="0" unbalanced="0" hidden="1"/>
    <cacheHierarchy uniqueName="[Work Item].[CWB_TargetResolution__Year]" caption="Work Item.Target Resolution Year" attribute="1" defaultMemberUniqueName="[Work Item].[CWB_TargetResolution__Year].[All]" allUniqueName="[Work Item].[CWB_TargetResolution__Year].[All]" dimensionUniqueName="[Work Item]" displayFolder="" count="0" unbalanced="0" hidden="1"/>
    <cacheHierarchy uniqueName="[Work Item].[Iteration Team Project Collection]" caption="Work Item.Team Project Collection" attribute="1" defaultMemberUniqueName="[Work Item].[Iteration Team Project Collection].[All]" allUniqueName="[Work Item].[Iteration Team Project Collection].[All]" dimensionUniqueName="[Work Item]" displayFolder="\" count="0" unbalanced="0" hidden="1"/>
    <cacheHierarchy uniqueName="[Work Item].[Iteration0]" caption="Work Item.Iteration0" attribute="1" defaultMemberUniqueName="[Work Item].[Iteration0].[All]" allUniqueName="[Work Item].[Iteration0].[All]" dimensionUniqueName="[Work Item]" displayFolder="\" count="0" unbalanced="0" hidden="1"/>
    <cacheHierarchy uniqueName="[Work Item].[Iteration1]" caption="Work Item.Iteration1" attribute="1" defaultMemberUniqueName="[Work Item].[Iteration1].[All]" allUniqueName="[Work Item].[Iteration1].[All]" dimensionUniqueName="[Work Item]" displayFolder="\" count="0" unbalanced="0" hidden="1"/>
    <cacheHierarchy uniqueName="[Work Item].[Iteration10]" caption="Work Item.Iteration10" attribute="1" defaultMemberUniqueName="[Work Item].[Iteration10].[All]" allUniqueName="[Work Item].[Iteration10].[All]" dimensionUniqueName="[Work Item]" displayFolder="\" count="0" unbalanced="0" hidden="1"/>
    <cacheHierarchy uniqueName="[Work Item].[Iteration11]" caption="Work Item.Iteration11" attribute="1" defaultMemberUniqueName="[Work Item].[Iteration11].[All]" allUniqueName="[Work Item].[Iteration11].[All]" dimensionUniqueName="[Work Item]" displayFolder="\" count="0" unbalanced="0" hidden="1"/>
    <cacheHierarchy uniqueName="[Work Item].[Iteration12]" caption="Work Item.Iteration12" attribute="1" defaultMemberUniqueName="[Work Item].[Iteration12].[All]" allUniqueName="[Work Item].[Iteration12].[All]" dimensionUniqueName="[Work Item]" displayFolder="\" count="0" unbalanced="0" hidden="1"/>
    <cacheHierarchy uniqueName="[Work Item].[Iteration13]" caption="Work Item.Iteration13" attribute="1" defaultMemberUniqueName="[Work Item].[Iteration13].[All]" allUniqueName="[Work Item].[Iteration13].[All]" dimensionUniqueName="[Work Item]" displayFolder="\" count="0" unbalanced="0" hidden="1"/>
    <cacheHierarchy uniqueName="[Work Item].[Iteration2]" caption="Work Item.Iteration2" attribute="1" defaultMemberUniqueName="[Work Item].[Iteration2].[All]" allUniqueName="[Work Item].[Iteration2].[All]" dimensionUniqueName="[Work Item]" displayFolder="\" count="0" unbalanced="0" hidden="1"/>
    <cacheHierarchy uniqueName="[Work Item].[Iteration3]" caption="Work Item.Iteration3" attribute="1" defaultMemberUniqueName="[Work Item].[Iteration3].[All]" allUniqueName="[Work Item].[Iteration3].[All]" dimensionUniqueName="[Work Item]" displayFolder="\" count="0" unbalanced="0" hidden="1"/>
    <cacheHierarchy uniqueName="[Work Item].[Iteration4]" caption="Work Item.Iteration4" attribute="1" defaultMemberUniqueName="[Work Item].[Iteration4].[All]" allUniqueName="[Work Item].[Iteration4].[All]" dimensionUniqueName="[Work Item]" displayFolder="\" count="0" unbalanced="0" hidden="1"/>
    <cacheHierarchy uniqueName="[Work Item].[Iteration5]" caption="Work Item.Iteration5" attribute="1" defaultMemberUniqueName="[Work Item].[Iteration5].[All]" allUniqueName="[Work Item].[Iteration5].[All]" dimensionUniqueName="[Work Item]" displayFolder="\" count="0" unbalanced="0" hidden="1"/>
    <cacheHierarchy uniqueName="[Work Item].[Iteration6]" caption="Work Item.Iteration6" attribute="1" defaultMemberUniqueName="[Work Item].[Iteration6].[All]" allUniqueName="[Work Item].[Iteration6].[All]" dimensionUniqueName="[Work Item]" displayFolder="\" count="0" unbalanced="0" hidden="1"/>
    <cacheHierarchy uniqueName="[Work Item].[Iteration7]" caption="Work Item.Iteration7" attribute="1" defaultMemberUniqueName="[Work Item].[Iteration7].[All]" allUniqueName="[Work Item].[Iteration7].[All]" dimensionUniqueName="[Work Item]" displayFolder="\" count="0" unbalanced="0" hidden="1"/>
    <cacheHierarchy uniqueName="[Work Item].[Iteration8]" caption="Work Item.Iteration8" attribute="1" defaultMemberUniqueName="[Work Item].[Iteration8].[All]" allUniqueName="[Work Item].[Iteration8].[All]" dimensionUniqueName="[Work Item]" displayFolder="\" count="0" unbalanced="0" hidden="1"/>
    <cacheHierarchy uniqueName="[Work Item].[Iteration9]" caption="Work Item.Iteration9" attribute="1" defaultMemberUniqueName="[Work Item].[Iteration9].[All]" allUniqueName="[Work Item].[Iteration9].[All]" dimensionUniqueName="[Work Item]" displayFolder="\" count="0" unbalanced="0" hidden="1"/>
    <cacheHierarchy uniqueName="[Work Item].[Microsoft_VSTS_CodeReview_AcceptedDate__Month]" caption="Work Item.Accepted Date Month" attribute="1" defaultMemberUniqueName="[Work Item].[Microsoft_VSTS_CodeReview_AcceptedDate__Month].[All]" allUniqueName="[Work Item].[Microsoft_VSTS_CodeReview_AcceptedDate__Month].[All]" dimensionUniqueName="[Work Item]" displayFolder="" count="0" unbalanced="0" hidden="1"/>
    <cacheHierarchy uniqueName="[Work Item].[Microsoft_VSTS_CodeReview_AcceptedDate__Week]" caption="Work Item.Accepted Date Week" attribute="1" defaultMemberUniqueName="[Work Item].[Microsoft_VSTS_CodeReview_AcceptedDate__Week].[All]" allUniqueName="[Work Item].[Microsoft_VSTS_CodeReview_AcceptedDate__Week].[All]" dimensionUniqueName="[Work Item]" displayFolder="" count="0" unbalanced="0" hidden="1"/>
    <cacheHierarchy uniqueName="[Work Item].[Microsoft_VSTS_CodeReview_AcceptedDate__Year]" caption="Work Item.Accepted Date Year" attribute="1" defaultMemberUniqueName="[Work Item].[Microsoft_VSTS_CodeReview_AcceptedDate__Year].[All]" allUniqueName="[Work Item].[Microsoft_VSTS_CodeReview_AcceptedDate__Year].[All]" dimensionUniqueName="[Work Item]" displayFolder="" count="0" unbalanced="0" hidden="1"/>
    <cacheHierarchy uniqueName="[Work Item].[Microsoft_VSTS_Common_ActivatedDate__Month]" caption="Work Item.Activated Date Month" attribute="1" defaultMemberUniqueName="[Work Item].[Microsoft_VSTS_Common_ActivatedDate__Month].[All]" allUniqueName="[Work Item].[Microsoft_VSTS_Common_ActivatedDate__Month].[All]" dimensionUniqueName="[Work Item]" displayFolder="" count="0" unbalanced="0" hidden="1"/>
    <cacheHierarchy uniqueName="[Work Item].[Microsoft_VSTS_Common_ActivatedDate__Week]" caption="Work Item.Activated Date Week" attribute="1" defaultMemberUniqueName="[Work Item].[Microsoft_VSTS_Common_ActivatedDate__Week].[All]" allUniqueName="[Work Item].[Microsoft_VSTS_Common_ActivatedDate__Week].[All]" dimensionUniqueName="[Work Item]" displayFolder="" count="0" unbalanced="0" hidden="1"/>
    <cacheHierarchy uniqueName="[Work Item].[Microsoft_VSTS_Common_ActivatedDate__Year]" caption="Work Item.Activated Date Year" attribute="1" defaultMemberUniqueName="[Work Item].[Microsoft_VSTS_Common_ActivatedDate__Year].[All]" allUniqueName="[Work Item].[Microsoft_VSTS_Common_ActivatedDate__Year].[All]" dimensionUniqueName="[Work Item]" displayFolder="" count="0" unbalanced="0" hidden="1"/>
    <cacheHierarchy uniqueName="[Work Item].[Microsoft_VSTS_Common_ClosedDate__Month]" caption="Work Item.Closed Date Month" attribute="1" defaultMemberUniqueName="[Work Item].[Microsoft_VSTS_Common_ClosedDate__Month].[All]" allUniqueName="[Work Item].[Microsoft_VSTS_Common_ClosedDate__Month].[All]" dimensionUniqueName="[Work Item]" displayFolder="" count="0" unbalanced="0" hidden="1"/>
    <cacheHierarchy uniqueName="[Work Item].[Microsoft_VSTS_Common_ClosedDate__Week]" caption="Work Item.Closed Date Week" attribute="1" defaultMemberUniqueName="[Work Item].[Microsoft_VSTS_Common_ClosedDate__Week].[All]" allUniqueName="[Work Item].[Microsoft_VSTS_Common_ClosedDate__Week].[All]" dimensionUniqueName="[Work Item]" displayFolder="" count="0" unbalanced="0" hidden="1"/>
    <cacheHierarchy uniqueName="[Work Item].[Microsoft_VSTS_Common_ClosedDate__Year]" caption="Work Item.Closed Date Year" attribute="1" defaultMemberUniqueName="[Work Item].[Microsoft_VSTS_Common_ClosedDate__Year].[All]" allUniqueName="[Work Item].[Microsoft_VSTS_Common_ClosedDate__Year].[All]" dimensionUniqueName="[Work Item]" displayFolder="" count="0" unbalanced="0" hidden="1"/>
    <cacheHierarchy uniqueName="[Work Item].[System_ChangedDate__Month]" caption="Work Item.Changed Date Month" attribute="1" defaultMemberUniqueName="[Work Item].[System_ChangedDate__Month].[All]" allUniqueName="[Work Item].[System_ChangedDate__Month].[All]" dimensionUniqueName="[Work Item]" displayFolder="" count="0" unbalanced="0" hidden="1"/>
    <cacheHierarchy uniqueName="[Work Item].[System_ChangedDate__Week]" caption="Work Item.Changed Date Week" attribute="1" defaultMemberUniqueName="[Work Item].[System_ChangedDate__Week].[All]" allUniqueName="[Work Item].[System_ChangedDate__Week].[All]" dimensionUniqueName="[Work Item]" displayFolder="" count="0" unbalanced="0" hidden="1"/>
    <cacheHierarchy uniqueName="[Work Item].[System_ChangedDate__Year]" caption="Work Item.Changed Date Year" attribute="1" defaultMemberUniqueName="[Work Item].[System_ChangedDate__Year].[All]" allUniqueName="[Work Item].[System_ChangedDate__Year].[All]" dimensionUniqueName="[Work Item]" displayFolder="" count="0" unbalanced="0" hidden="1"/>
    <cacheHierarchy uniqueName="[Work Item].[System_CreatedDate__Month]" caption="Work Item.Created Date Month" attribute="1" defaultMemberUniqueName="[Work Item].[System_CreatedDate__Month].[All]" allUniqueName="[Work Item].[System_CreatedDate__Month].[All]" dimensionUniqueName="[Work Item]" displayFolder="" count="0" unbalanced="0" hidden="1"/>
    <cacheHierarchy uniqueName="[Work Item].[System_CreatedDate__Week]" caption="Work Item.Created Date Week" attribute="1" defaultMemberUniqueName="[Work Item].[System_CreatedDate__Week].[All]" allUniqueName="[Work Item].[System_CreatedDate__Week].[All]" dimensionUniqueName="[Work Item]" displayFolder="" count="0" unbalanced="0" hidden="1"/>
    <cacheHierarchy uniqueName="[Work Item].[System_CreatedDate__Year]" caption="Work Item.Created Date Year" attribute="1" defaultMemberUniqueName="[Work Item].[System_CreatedDate__Year].[All]" allUniqueName="[Work Item].[System_CreatedDate__Year].[All]" dimensionUniqueName="[Work Item]" displayFolder="" count="0" unbalanced="0" hidden="1"/>
    <cacheHierarchy uniqueName="[Work Item].[TeamProjectCollectionSK]" caption="Work Item.TeamProjectCollectionSK" attribute="1" defaultMemberUniqueName="[Work Item].[TeamProjectCollectionSK].[All]" allUniqueName="[Work Item].[TeamProjectCollectionSK].[All]" dimensionUniqueName="[Work Item]" displayFolder="\" count="0" unbalanced="0" hidden="1"/>
    <cacheHierarchy uniqueName="[Work Item].[TeamProjectSK]" caption="Work Item.TeamProjectSK" attribute="1" defaultMemberUniqueName="[Work Item].[TeamProjectSK].[All]" allUniqueName="[Work Item].[TeamProjectSK].[All]" dimensionUniqueName="[Work Item]" displayFolder="\" count="0" unbalanced="0" hidden="1"/>
    <cacheHierarchy uniqueName="[Work Item].[Work Item]" caption="Work Item.Work Item" attribute="1" keyAttribute="1" defaultMemberUniqueName="[Work Item].[Work Item].[All]" allUniqueName="[Work Item].[Work Item].[All]" dimensionUniqueName="[Work Item]" displayFolder="" count="0" unbalanced="0" hidden="1"/>
    <cacheHierarchy uniqueName="[Work Item Category].[WorkItemCategoryBK]" caption="WorkItemCategoryBK" attribute="1" defaultMemberUniqueName="[Work Item Category].[WorkItemCategoryBK].[All]" allUniqueName="[Work Item Category].[WorkItemCategoryBK].[All]" dimensionUniqueName="[Work Item Category]" displayFolder="" count="0" unbalanced="0" hidden="1"/>
    <cacheHierarchy uniqueName="[Work Item Category].[WorkItemCategorySK]" caption="WorkItemCategorySK" attribute="1" keyAttribute="1" defaultMemberUniqueName="[Work Item Category].[WorkItemCategorySK].[All]" allUniqueName="[Work Item Category].[WorkItemCategorySK].[All]" dimensionUniqueName="[Work Item Category]" displayFolder="" count="0" unbalanced="0" hidden="1"/>
    <cacheHierarchy uniqueName="[Work Item Link Type].[TeamProjectCollectionSK]" caption="TeamProjectCollectionSK" attribute="1" defaultMemberUniqueName="[Work Item Link Type].[TeamProjectCollectionSK].[All]" allUniqueName="[Work Item Link Type].[TeamProjectCollectionSK].[All]" dimensionUniqueName="[Work Item Link Type]" displayFolder="" count="0" unbalanced="0" hidden="1"/>
    <cacheHierarchy uniqueName="[Work Item Link Type].[WorkItemLinkTypeBK]" caption="WorkItemLinkTypeBK" attribute="1" defaultMemberUniqueName="[Work Item Link Type].[WorkItemLinkTypeBK].[All]" allUniqueName="[Work Item Link Type].[WorkItemLinkTypeBK].[All]" dimensionUniqueName="[Work Item Link Type]" displayFolder="" count="0" unbalanced="0" hidden="1"/>
    <cacheHierarchy uniqueName="[Work Item Link Type].[WorkItemLinkTypeSK]" caption="WorkItemLinkTypeSK" attribute="1" keyAttribute="1" defaultMemberUniqueName="[Work Item Link Type].[WorkItemLinkTypeSK].[All]" allUniqueName="[Work Item Link Type].[WorkItemLinkTypeSK].[All]" dimensionUniqueName="[Work Item Link Type]" displayFolder="" count="0" unbalanced="0" hidden="1"/>
    <cacheHierarchy uniqueName="[Work Item Linked].[Area Team Project Collection]" caption="Work Item Linked.Team Project Collection" attribute="1" defaultMemberUniqueName="[Work Item Linked].[Area Team Project Collection].[All]" allUniqueName="[Work Item Linked].[Area Team Project Collection].[All]" dimensionUniqueName="[Work Item Linked]" displayFolder="\" count="0" unbalanced="0" hidden="1"/>
    <cacheHierarchy uniqueName="[Work Item Linked].[Area0]" caption="Work Item Linked.Area0" attribute="1" defaultMemberUniqueName="[Work Item Linked].[Area0].[All]" allUniqueName="[Work Item Linked].[Area0].[All]" dimensionUniqueName="[Work Item Linked]" displayFolder="\" count="0" unbalanced="0" hidden="1"/>
    <cacheHierarchy uniqueName="[Work Item Linked].[Area1]" caption="Work Item Linked.Area1" attribute="1" defaultMemberUniqueName="[Work Item Linked].[Area1].[All]" allUniqueName="[Work Item Linked].[Area1].[All]" dimensionUniqueName="[Work Item Linked]" displayFolder="\" count="0" unbalanced="0" hidden="1"/>
    <cacheHierarchy uniqueName="[Work Item Linked].[Area10]" caption="Work Item Linked.Area10" attribute="1" defaultMemberUniqueName="[Work Item Linked].[Area10].[All]" allUniqueName="[Work Item Linked].[Area10].[All]" dimensionUniqueName="[Work Item Linked]" displayFolder="\" count="0" unbalanced="0" hidden="1"/>
    <cacheHierarchy uniqueName="[Work Item Linked].[Area11]" caption="Work Item Linked.Area11" attribute="1" defaultMemberUniqueName="[Work Item Linked].[Area11].[All]" allUniqueName="[Work Item Linked].[Area11].[All]" dimensionUniqueName="[Work Item Linked]" displayFolder="\" count="0" unbalanced="0" hidden="1"/>
    <cacheHierarchy uniqueName="[Work Item Linked].[Area12]" caption="Work Item Linked.Area12" attribute="1" defaultMemberUniqueName="[Work Item Linked].[Area12].[All]" allUniqueName="[Work Item Linked].[Area12].[All]" dimensionUniqueName="[Work Item Linked]" displayFolder="\" count="0" unbalanced="0" hidden="1"/>
    <cacheHierarchy uniqueName="[Work Item Linked].[Area13]" caption="Work Item Linked.Area13" attribute="1" defaultMemberUniqueName="[Work Item Linked].[Area13].[All]" allUniqueName="[Work Item Linked].[Area13].[All]" dimensionUniqueName="[Work Item Linked]" displayFolder="\" count="0" unbalanced="0" hidden="1"/>
    <cacheHierarchy uniqueName="[Work Item Linked].[Area2]" caption="Work Item Linked.Area2" attribute="1" defaultMemberUniqueName="[Work Item Linked].[Area2].[All]" allUniqueName="[Work Item Linked].[Area2].[All]" dimensionUniqueName="[Work Item Linked]" displayFolder="\" count="0" unbalanced="0" hidden="1"/>
    <cacheHierarchy uniqueName="[Work Item Linked].[Area3]" caption="Work Item Linked.Area3" attribute="1" defaultMemberUniqueName="[Work Item Linked].[Area3].[All]" allUniqueName="[Work Item Linked].[Area3].[All]" dimensionUniqueName="[Work Item Linked]" displayFolder="\" count="0" unbalanced="0" hidden="1"/>
    <cacheHierarchy uniqueName="[Work Item Linked].[Area4]" caption="Work Item Linked.Area4" attribute="1" defaultMemberUniqueName="[Work Item Linked].[Area4].[All]" allUniqueName="[Work Item Linked].[Area4].[All]" dimensionUniqueName="[Work Item Linked]" displayFolder="\" count="0" unbalanced="0" hidden="1"/>
    <cacheHierarchy uniqueName="[Work Item Linked].[Area5]" caption="Work Item Linked.Area5" attribute="1" defaultMemberUniqueName="[Work Item Linked].[Area5].[All]" allUniqueName="[Work Item Linked].[Area5].[All]" dimensionUniqueName="[Work Item Linked]" displayFolder="\" count="0" unbalanced="0" hidden="1"/>
    <cacheHierarchy uniqueName="[Work Item Linked].[Area6]" caption="Work Item Linked.Area6" attribute="1" defaultMemberUniqueName="[Work Item Linked].[Area6].[All]" allUniqueName="[Work Item Linked].[Area6].[All]" dimensionUniqueName="[Work Item Linked]" displayFolder="\" count="0" unbalanced="0" hidden="1"/>
    <cacheHierarchy uniqueName="[Work Item Linked].[Area7]" caption="Work Item Linked.Area7" attribute="1" defaultMemberUniqueName="[Work Item Linked].[Area7].[All]" allUniqueName="[Work Item Linked].[Area7].[All]" dimensionUniqueName="[Work Item Linked]" displayFolder="\" count="0" unbalanced="0" hidden="1"/>
    <cacheHierarchy uniqueName="[Work Item Linked].[Area8]" caption="Work Item Linked.Area8" attribute="1" defaultMemberUniqueName="[Work Item Linked].[Area8].[All]" allUniqueName="[Work Item Linked].[Area8].[All]" dimensionUniqueName="[Work Item Linked]" displayFolder="\" count="0" unbalanced="0" hidden="1"/>
    <cacheHierarchy uniqueName="[Work Item Linked].[Area9]" caption="Work Item Linked.Area9" attribute="1" defaultMemberUniqueName="[Work Item Linked].[Area9].[All]" allUniqueName="[Work Item Linked].[Area9].[All]" dimensionUniqueName="[Work Item Linked]" displayFolder="\" count="0" unbalanced="0" hidden="1"/>
    <cacheHierarchy uniqueName="[Work Item Linked].[CWB_BussinessRequiredDate__Month]" caption="Work Item Linked.Business Required Date Month" attribute="1" defaultMemberUniqueName="[Work Item Linked].[CWB_BussinessRequiredDate__Month].[All]" allUniqueName="[Work Item Linked].[CWB_BussinessRequiredDate__Month].[All]" dimensionUniqueName="[Work Item Linked]" displayFolder="" count="0" unbalanced="0" hidden="1"/>
    <cacheHierarchy uniqueName="[Work Item Linked].[CWB_BussinessRequiredDate__Week]" caption="Work Item Linked.Business Required Date Week" attribute="1" defaultMemberUniqueName="[Work Item Linked].[CWB_BussinessRequiredDate__Week].[All]" allUniqueName="[Work Item Linked].[CWB_BussinessRequiredDate__Week].[All]" dimensionUniqueName="[Work Item Linked]" displayFolder="" count="0" unbalanced="0" hidden="1"/>
    <cacheHierarchy uniqueName="[Work Item Linked].[CWB_BussinessRequiredDate__Year]" caption="Work Item Linked.Business Required Date Year" attribute="1" defaultMemberUniqueName="[Work Item Linked].[CWB_BussinessRequiredDate__Year].[All]" allUniqueName="[Work Item Linked].[CWB_BussinessRequiredDate__Year].[All]" dimensionUniqueName="[Work Item Linked]" displayFolder="" count="0" unbalanced="0" hidden="1"/>
    <cacheHierarchy uniqueName="[Work Item Linked].[CWB_IMReleasePackageDate__Month]" caption="Work Item Linked.IMPackageDate Month" attribute="1" defaultMemberUniqueName="[Work Item Linked].[CWB_IMReleasePackageDate__Month].[All]" allUniqueName="[Work Item Linked].[CWB_IMReleasePackageDate__Month].[All]" dimensionUniqueName="[Work Item Linked]" displayFolder="" count="0" unbalanced="0" hidden="1"/>
    <cacheHierarchy uniqueName="[Work Item Linked].[CWB_IMReleasePackageDate__Week]" caption="Work Item Linked.IMPackageDate Week" attribute="1" defaultMemberUniqueName="[Work Item Linked].[CWB_IMReleasePackageDate__Week].[All]" allUniqueName="[Work Item Linked].[CWB_IMReleasePackageDate__Week].[All]" dimensionUniqueName="[Work Item Linked]" displayFolder="" count="0" unbalanced="0" hidden="1"/>
    <cacheHierarchy uniqueName="[Work Item Linked].[CWB_IMReleasePackageDate__Year]" caption="Work Item Linked.IMPackageDate Year" attribute="1" defaultMemberUniqueName="[Work Item Linked].[CWB_IMReleasePackageDate__Year].[All]" allUniqueName="[Work Item Linked].[CWB_IMReleasePackageDate__Year].[All]" dimensionUniqueName="[Work Item Linked]" displayFolder="" count="0" unbalanced="0" hidden="1"/>
    <cacheHierarchy uniqueName="[Work Item Linked].[CWB_PlannedCompletionDate__Month]" caption="Work Item Linked.Planned Completion Date Month" attribute="1" defaultMemberUniqueName="[Work Item Linked].[CWB_PlannedCompletionDate__Month].[All]" allUniqueName="[Work Item Linked].[CWB_PlannedCompletionDate__Month].[All]" dimensionUniqueName="[Work Item Linked]" displayFolder="" count="0" unbalanced="0" hidden="1"/>
    <cacheHierarchy uniqueName="[Work Item Linked].[CWB_PlannedCompletionDate__Week]" caption="Work Item Linked.Planned Completion Date Week" attribute="1" defaultMemberUniqueName="[Work Item Linked].[CWB_PlannedCompletionDate__Week].[All]" allUniqueName="[Work Item Linked].[CWB_PlannedCompletionDate__Week].[All]" dimensionUniqueName="[Work Item Linked]" displayFolder="" count="0" unbalanced="0" hidden="1"/>
    <cacheHierarchy uniqueName="[Work Item Linked].[CWB_PlannedCompletionDate__Year]" caption="Work Item Linked.Planned Completion Date Year" attribute="1" defaultMemberUniqueName="[Work Item Linked].[CWB_PlannedCompletionDate__Year].[All]" allUniqueName="[Work Item Linked].[CWB_PlannedCompletionDate__Year].[All]" dimensionUniqueName="[Work Item Linked]" displayFolder="" count="0" unbalanced="0" hidden="1"/>
    <cacheHierarchy uniqueName="[Work Item Linked].[CWB_PlannedStartDate__Month]" caption="Work Item Linked.Planned Start Date Month" attribute="1" defaultMemberUniqueName="[Work Item Linked].[CWB_PlannedStartDate__Month].[All]" allUniqueName="[Work Item Linked].[CWB_PlannedStartDate__Month].[All]" dimensionUniqueName="[Work Item Linked]" displayFolder="" count="0" unbalanced="0" hidden="1"/>
    <cacheHierarchy uniqueName="[Work Item Linked].[CWB_PlannedStartDate__Week]" caption="Work Item Linked.Planned Start Date Week" attribute="1" defaultMemberUniqueName="[Work Item Linked].[CWB_PlannedStartDate__Week].[All]" allUniqueName="[Work Item Linked].[CWB_PlannedStartDate__Week].[All]" dimensionUniqueName="[Work Item Linked]" displayFolder="" count="0" unbalanced="0" hidden="1"/>
    <cacheHierarchy uniqueName="[Work Item Linked].[CWB_PlannedStartDate__Year]" caption="Work Item Linked.Planned Start Date Year" attribute="1" defaultMemberUniqueName="[Work Item Linked].[CWB_PlannedStartDate__Year].[All]" allUniqueName="[Work Item Linked].[CWB_PlannedStartDate__Year].[All]" dimensionUniqueName="[Work Item Linked]" displayFolder="" count="0" unbalanced="0" hidden="1"/>
    <cacheHierarchy uniqueName="[Work Item Linked].[CWB_TargetResolution__Month]" caption="Work Item Linked.Target Resolution Month" attribute="1" defaultMemberUniqueName="[Work Item Linked].[CWB_TargetResolution__Month].[All]" allUniqueName="[Work Item Linked].[CWB_TargetResolution__Month].[All]" dimensionUniqueName="[Work Item Linked]" displayFolder="" count="0" unbalanced="0" hidden="1"/>
    <cacheHierarchy uniqueName="[Work Item Linked].[CWB_TargetResolution__Week]" caption="Work Item Linked.Target Resolution Week" attribute="1" defaultMemberUniqueName="[Work Item Linked].[CWB_TargetResolution__Week].[All]" allUniqueName="[Work Item Linked].[CWB_TargetResolution__Week].[All]" dimensionUniqueName="[Work Item Linked]" displayFolder="" count="0" unbalanced="0" hidden="1"/>
    <cacheHierarchy uniqueName="[Work Item Linked].[CWB_TargetResolution__Year]" caption="Work Item Linked.Target Resolution Year" attribute="1" defaultMemberUniqueName="[Work Item Linked].[CWB_TargetResolution__Year].[All]" allUniqueName="[Work Item Linked].[CWB_TargetResolution__Year].[All]" dimensionUniqueName="[Work Item Linked]" displayFolder="" count="0" unbalanced="0" hidden="1"/>
    <cacheHierarchy uniqueName="[Work Item Linked].[Iteration Team Project Collection]" caption="Work Item Linked.Team Project Collection" attribute="1" defaultMemberUniqueName="[Work Item Linked].[Iteration Team Project Collection].[All]" allUniqueName="[Work Item Linked].[Iteration Team Project Collection].[All]" dimensionUniqueName="[Work Item Linked]" displayFolder="\" count="0" unbalanced="0" hidden="1"/>
    <cacheHierarchy uniqueName="[Work Item Linked].[Iteration0]" caption="Work Item Linked.Iteration0" attribute="1" defaultMemberUniqueName="[Work Item Linked].[Iteration0].[All]" allUniqueName="[Work Item Linked].[Iteration0].[All]" dimensionUniqueName="[Work Item Linked]" displayFolder="\" count="0" unbalanced="0" hidden="1"/>
    <cacheHierarchy uniqueName="[Work Item Linked].[Iteration1]" caption="Work Item Linked.Iteration1" attribute="1" defaultMemberUniqueName="[Work Item Linked].[Iteration1].[All]" allUniqueName="[Work Item Linked].[Iteration1].[All]" dimensionUniqueName="[Work Item Linked]" displayFolder="\" count="0" unbalanced="0" hidden="1"/>
    <cacheHierarchy uniqueName="[Work Item Linked].[Iteration10]" caption="Work Item Linked.Iteration10" attribute="1" defaultMemberUniqueName="[Work Item Linked].[Iteration10].[All]" allUniqueName="[Work Item Linked].[Iteration10].[All]" dimensionUniqueName="[Work Item Linked]" displayFolder="\" count="0" unbalanced="0" hidden="1"/>
    <cacheHierarchy uniqueName="[Work Item Linked].[Iteration11]" caption="Work Item Linked.Iteration11" attribute="1" defaultMemberUniqueName="[Work Item Linked].[Iteration11].[All]" allUniqueName="[Work Item Linked].[Iteration11].[All]" dimensionUniqueName="[Work Item Linked]" displayFolder="\" count="0" unbalanced="0" hidden="1"/>
    <cacheHierarchy uniqueName="[Work Item Linked].[Iteration12]" caption="Work Item Linked.Iteration12" attribute="1" defaultMemberUniqueName="[Work Item Linked].[Iteration12].[All]" allUniqueName="[Work Item Linked].[Iteration12].[All]" dimensionUniqueName="[Work Item Linked]" displayFolder="\" count="0" unbalanced="0" hidden="1"/>
    <cacheHierarchy uniqueName="[Work Item Linked].[Iteration13]" caption="Work Item Linked.Iteration13" attribute="1" defaultMemberUniqueName="[Work Item Linked].[Iteration13].[All]" allUniqueName="[Work Item Linked].[Iteration13].[All]" dimensionUniqueName="[Work Item Linked]" displayFolder="\" count="0" unbalanced="0" hidden="1"/>
    <cacheHierarchy uniqueName="[Work Item Linked].[Iteration2]" caption="Work Item Linked.Iteration2" attribute="1" defaultMemberUniqueName="[Work Item Linked].[Iteration2].[All]" allUniqueName="[Work Item Linked].[Iteration2].[All]" dimensionUniqueName="[Work Item Linked]" displayFolder="\" count="0" unbalanced="0" hidden="1"/>
    <cacheHierarchy uniqueName="[Work Item Linked].[Iteration3]" caption="Work Item Linked.Iteration3" attribute="1" defaultMemberUniqueName="[Work Item Linked].[Iteration3].[All]" allUniqueName="[Work Item Linked].[Iteration3].[All]" dimensionUniqueName="[Work Item Linked]" displayFolder="\" count="0" unbalanced="0" hidden="1"/>
    <cacheHierarchy uniqueName="[Work Item Linked].[Iteration4]" caption="Work Item Linked.Iteration4" attribute="1" defaultMemberUniqueName="[Work Item Linked].[Iteration4].[All]" allUniqueName="[Work Item Linked].[Iteration4].[All]" dimensionUniqueName="[Work Item Linked]" displayFolder="\" count="0" unbalanced="0" hidden="1"/>
    <cacheHierarchy uniqueName="[Work Item Linked].[Iteration5]" caption="Work Item Linked.Iteration5" attribute="1" defaultMemberUniqueName="[Work Item Linked].[Iteration5].[All]" allUniqueName="[Work Item Linked].[Iteration5].[All]" dimensionUniqueName="[Work Item Linked]" displayFolder="\" count="0" unbalanced="0" hidden="1"/>
    <cacheHierarchy uniqueName="[Work Item Linked].[Iteration6]" caption="Work Item Linked.Iteration6" attribute="1" defaultMemberUniqueName="[Work Item Linked].[Iteration6].[All]" allUniqueName="[Work Item Linked].[Iteration6].[All]" dimensionUniqueName="[Work Item Linked]" displayFolder="\" count="0" unbalanced="0" hidden="1"/>
    <cacheHierarchy uniqueName="[Work Item Linked].[Iteration7]" caption="Work Item Linked.Iteration7" attribute="1" defaultMemberUniqueName="[Work Item Linked].[Iteration7].[All]" allUniqueName="[Work Item Linked].[Iteration7].[All]" dimensionUniqueName="[Work Item Linked]" displayFolder="\" count="0" unbalanced="0" hidden="1"/>
    <cacheHierarchy uniqueName="[Work Item Linked].[Iteration8]" caption="Work Item Linked.Iteration8" attribute="1" defaultMemberUniqueName="[Work Item Linked].[Iteration8].[All]" allUniqueName="[Work Item Linked].[Iteration8].[All]" dimensionUniqueName="[Work Item Linked]" displayFolder="\" count="0" unbalanced="0" hidden="1"/>
    <cacheHierarchy uniqueName="[Work Item Linked].[Iteration9]" caption="Work Item Linked.Iteration9" attribute="1" defaultMemberUniqueName="[Work Item Linked].[Iteration9].[All]" allUniqueName="[Work Item Linked].[Iteration9].[All]" dimensionUniqueName="[Work Item Linked]" displayFolder="\" count="0" unbalanced="0" hidden="1"/>
    <cacheHierarchy uniqueName="[Work Item Linked].[Microsoft_VSTS_CodeReview_AcceptedDate__Month]" caption="Work Item Linked.Accepted Date Month" attribute="1" defaultMemberUniqueName="[Work Item Linked].[Microsoft_VSTS_CodeReview_AcceptedDate__Month].[All]" allUniqueName="[Work Item Linked].[Microsoft_VSTS_CodeReview_AcceptedDate__Month].[All]" dimensionUniqueName="[Work Item Linked]" displayFolder="" count="0" unbalanced="0" hidden="1"/>
    <cacheHierarchy uniqueName="[Work Item Linked].[Microsoft_VSTS_CodeReview_AcceptedDate__Week]" caption="Work Item Linked.Accepted Date Week" attribute="1" defaultMemberUniqueName="[Work Item Linked].[Microsoft_VSTS_CodeReview_AcceptedDate__Week].[All]" allUniqueName="[Work Item Linked].[Microsoft_VSTS_CodeReview_AcceptedDate__Week].[All]" dimensionUniqueName="[Work Item Linked]" displayFolder="" count="0" unbalanced="0" hidden="1"/>
    <cacheHierarchy uniqueName="[Work Item Linked].[Microsoft_VSTS_CodeReview_AcceptedDate__Year]" caption="Work Item Linked.Accepted Date Year" attribute="1" defaultMemberUniqueName="[Work Item Linked].[Microsoft_VSTS_CodeReview_AcceptedDate__Year].[All]" allUniqueName="[Work Item Linked].[Microsoft_VSTS_CodeReview_AcceptedDate__Year].[All]" dimensionUniqueName="[Work Item Linked]" displayFolder="" count="0" unbalanced="0" hidden="1"/>
    <cacheHierarchy uniqueName="[Work Item Linked].[Microsoft_VSTS_Common_ActivatedDate__Month]" caption="Work Item Linked.Activated Date Month" attribute="1" defaultMemberUniqueName="[Work Item Linked].[Microsoft_VSTS_Common_ActivatedDate__Month].[All]" allUniqueName="[Work Item Linked].[Microsoft_VSTS_Common_ActivatedDate__Month].[All]" dimensionUniqueName="[Work Item Linked]" displayFolder="" count="0" unbalanced="0" hidden="1"/>
    <cacheHierarchy uniqueName="[Work Item Linked].[Microsoft_VSTS_Common_ActivatedDate__Week]" caption="Work Item Linked.Activated Date Week" attribute="1" defaultMemberUniqueName="[Work Item Linked].[Microsoft_VSTS_Common_ActivatedDate__Week].[All]" allUniqueName="[Work Item Linked].[Microsoft_VSTS_Common_ActivatedDate__Week].[All]" dimensionUniqueName="[Work Item Linked]" displayFolder="" count="0" unbalanced="0" hidden="1"/>
    <cacheHierarchy uniqueName="[Work Item Linked].[Microsoft_VSTS_Common_ActivatedDate__Year]" caption="Work Item Linked.Activated Date Year" attribute="1" defaultMemberUniqueName="[Work Item Linked].[Microsoft_VSTS_Common_ActivatedDate__Year].[All]" allUniqueName="[Work Item Linked].[Microsoft_VSTS_Common_ActivatedDate__Year].[All]" dimensionUniqueName="[Work Item Linked]" displayFolder="" count="0" unbalanced="0" hidden="1"/>
    <cacheHierarchy uniqueName="[Work Item Linked].[Microsoft_VSTS_Common_ClosedDate__Month]" caption="Work Item Linked.Closed Date Month" attribute="1" defaultMemberUniqueName="[Work Item Linked].[Microsoft_VSTS_Common_ClosedDate__Month].[All]" allUniqueName="[Work Item Linked].[Microsoft_VSTS_Common_ClosedDate__Month].[All]" dimensionUniqueName="[Work Item Linked]" displayFolder="" count="0" unbalanced="0" hidden="1"/>
    <cacheHierarchy uniqueName="[Work Item Linked].[Microsoft_VSTS_Common_ClosedDate__Week]" caption="Work Item Linked.Closed Date Week" attribute="1" defaultMemberUniqueName="[Work Item Linked].[Microsoft_VSTS_Common_ClosedDate__Week].[All]" allUniqueName="[Work Item Linked].[Microsoft_VSTS_Common_ClosedDate__Week].[All]" dimensionUniqueName="[Work Item Linked]" displayFolder="" count="0" unbalanced="0" hidden="1"/>
    <cacheHierarchy uniqueName="[Work Item Linked].[Microsoft_VSTS_Common_ClosedDate__Year]" caption="Work Item Linked.Closed Date Year" attribute="1" defaultMemberUniqueName="[Work Item Linked].[Microsoft_VSTS_Common_ClosedDate__Year].[All]" allUniqueName="[Work Item Linked].[Microsoft_VSTS_Common_ClosedDate__Year].[All]" dimensionUniqueName="[Work Item Linked]" displayFolder="" count="0" unbalanced="0" hidden="1"/>
    <cacheHierarchy uniqueName="[Work Item Linked].[System_ChangedDate__Month]" caption="Work Item Linked.Changed Date Month" attribute="1" defaultMemberUniqueName="[Work Item Linked].[System_ChangedDate__Month].[All]" allUniqueName="[Work Item Linked].[System_ChangedDate__Month].[All]" dimensionUniqueName="[Work Item Linked]" displayFolder="" count="0" unbalanced="0" hidden="1"/>
    <cacheHierarchy uniqueName="[Work Item Linked].[System_ChangedDate__Week]" caption="Work Item Linked.Changed Date Week" attribute="1" defaultMemberUniqueName="[Work Item Linked].[System_ChangedDate__Week].[All]" allUniqueName="[Work Item Linked].[System_ChangedDate__Week].[All]" dimensionUniqueName="[Work Item Linked]" displayFolder="" count="0" unbalanced="0" hidden="1"/>
    <cacheHierarchy uniqueName="[Work Item Linked].[System_ChangedDate__Year]" caption="Work Item Linked.Changed Date Year" attribute="1" defaultMemberUniqueName="[Work Item Linked].[System_ChangedDate__Year].[All]" allUniqueName="[Work Item Linked].[System_ChangedDate__Year].[All]" dimensionUniqueName="[Work Item Linked]" displayFolder="" count="0" unbalanced="0" hidden="1"/>
    <cacheHierarchy uniqueName="[Work Item Linked].[System_CreatedDate__Month]" caption="Work Item Linked.Created Date Month" attribute="1" defaultMemberUniqueName="[Work Item Linked].[System_CreatedDate__Month].[All]" allUniqueName="[Work Item Linked].[System_CreatedDate__Month].[All]" dimensionUniqueName="[Work Item Linked]" displayFolder="" count="0" unbalanced="0" hidden="1"/>
    <cacheHierarchy uniqueName="[Work Item Linked].[System_CreatedDate__Week]" caption="Work Item Linked.Created Date Week" attribute="1" defaultMemberUniqueName="[Work Item Linked].[System_CreatedDate__Week].[All]" allUniqueName="[Work Item Linked].[System_CreatedDate__Week].[All]" dimensionUniqueName="[Work Item Linked]" displayFolder="" count="0" unbalanced="0" hidden="1"/>
    <cacheHierarchy uniqueName="[Work Item Linked].[System_CreatedDate__Year]" caption="Work Item Linked.Created Date Year" attribute="1" defaultMemberUniqueName="[Work Item Linked].[System_CreatedDate__Year].[All]" allUniqueName="[Work Item Linked].[System_CreatedDate__Year].[All]" dimensionUniqueName="[Work Item Linked]" displayFolder="" count="0" unbalanced="0" hidden="1"/>
    <cacheHierarchy uniqueName="[Work Item Linked].[TeamProjectCollectionSK]" caption="Work Item Linked.TeamProjectCollectionSK" attribute="1" defaultMemberUniqueName="[Work Item Linked].[TeamProjectCollectionSK].[All]" allUniqueName="[Work Item Linked].[TeamProjectCollectionSK].[All]" dimensionUniqueName="[Work Item Linked]" displayFolder="\" count="0" unbalanced="0" hidden="1"/>
    <cacheHierarchy uniqueName="[Work Item Linked].[TeamProjectSK]" caption="Work Item Linked.TeamProjectSK" attribute="1" defaultMemberUniqueName="[Work Item Linked].[TeamProjectSK].[All]" allUniqueName="[Work Item Linked].[TeamProjectSK].[All]" dimensionUniqueName="[Work Item Linked]" displayFolder="\" count="0" unbalanced="0" hidden="1"/>
    <cacheHierarchy uniqueName="[Work Item Linked].[Work Item]" caption="Work Item Linked.Work Item" attribute="1" keyAttribute="1" defaultMemberUniqueName="[Work Item Linked].[Work Item].[All]" allUniqueName="[Work Item Linked].[Work Item].[All]" dimensionUniqueName="[Work Item Linked]" displayFolder="" count="0" unbalanced="0" hidden="1"/>
    <cacheHierarchy uniqueName="[Work Item Tree].[WorkItemTreeSK]" caption="WorkItemTreeSK" attribute="1" keyAttribute="1" defaultMemberUniqueName="[Work Item Tree].[WorkItemTreeSK].[All]" allUniqueName="[Work Item Tree].[WorkItemTreeSK].[All]" dimensionUniqueName="[Work Item Tree]" displayFolder="" count="0" unbalanced="0" hidden="1"/>
    <cacheHierarchy uniqueName="[Measures].[Revision Count]" caption="Revision Count" measure="1" displayFolder="" measureGroup="Work Item" count="0"/>
    <cacheHierarchy uniqueName="[Measures].[State Change Count]" caption="State Change Count" measure="1" displayFolder="" measureGroup="Work Item" count="0"/>
    <cacheHierarchy uniqueName="[Measures].[Compile Errors]" caption="Compile Errors" measure="1" displayFolder="" measureGroup="Build Project" count="0"/>
    <cacheHierarchy uniqueName="[Measures].[Compile Warnings]" caption="Compile Warnings" measure="1" displayFolder="" measureGroup="Build Project" count="0"/>
    <cacheHierarchy uniqueName="[Measures].[Static Analysis Errors]" caption="Static Analysis Errors" measure="1" displayFolder="" measureGroup="Build Project" count="0"/>
    <cacheHierarchy uniqueName="[Measures].[Static Analysis Warnings]" caption="Static Analysis Warnings" measure="1" displayFolder="" measureGroup="Build Project" count="0"/>
    <cacheHierarchy uniqueName="[Measures].[Build Project Count]" caption="Build Project Count" measure="1" displayFolder="" measureGroup="Build Project" count="0"/>
    <cacheHierarchy uniqueName="[Measures].[Build Duration]" caption="Build Duration" measure="1" displayFolder="" measureGroup="Build Details" count="0"/>
    <cacheHierarchy uniqueName="[Measures].[Build Details Count]" caption="Build Details Count" measure="1" displayFolder="" measureGroup="Build Details" count="0"/>
    <cacheHierarchy uniqueName="[Measures].[Lines Added]" caption="Lines Added" measure="1" displayFolder="" measureGroup="Code Churn" count="0"/>
    <cacheHierarchy uniqueName="[Measures].[Lines Modified]" caption="Lines Modified" measure="1" displayFolder="" measureGroup="Code Churn" count="0"/>
    <cacheHierarchy uniqueName="[Measures].[Lines Deleted]" caption="Lines Deleted" measure="1" displayFolder="" measureGroup="Code Churn" count="0"/>
    <cacheHierarchy uniqueName="[Measures].[Code Churn Count]" caption="Code Churn Count" measure="1" displayFolder="" measureGroup="Code Churn" count="0"/>
    <cacheHierarchy uniqueName="[Measures].[Result Count]" caption="Result Count" measure="1" displayFolder="" measureGroup="Test" count="0"/>
    <cacheHierarchy uniqueName="[Measures].[Result Transition Count]" caption="Result Transition Count" measure="1" displayFolder="" measureGroup="Test" count="0"/>
    <cacheHierarchy uniqueName="[Measures].[Build Changeset Count]" caption="Build Changeset Count" measure="1" displayFolder="" measureGroup="Build Changeset" count="0"/>
    <cacheHierarchy uniqueName="[Measures].[Lines Covered]" caption="Lines Covered" measure="1" displayFolder="" measureGroup="Build Coverage" count="0"/>
    <cacheHierarchy uniqueName="[Measures].[Lines Not Covered]" caption="Lines Not Covered" measure="1" displayFolder="" measureGroup="Build Coverage" count="0"/>
    <cacheHierarchy uniqueName="[Measures].[Lines Partially Covered]" caption="Lines Partially Covered" measure="1" displayFolder="" measureGroup="Build Coverage" count="0"/>
    <cacheHierarchy uniqueName="[Measures].[Blocks Covered]" caption="Blocks Covered" measure="1" displayFolder="" measureGroup="Build Coverage" count="0"/>
    <cacheHierarchy uniqueName="[Measures].[Blocks Not Covered]" caption="Blocks Not Covered" measure="1" displayFolder="" measureGroup="Build Coverage" count="0"/>
    <cacheHierarchy uniqueName="[Measures].[Build Coverage Count]" caption="Build Coverage" measure="1" displayFolder="" measureGroup="Build Coverage" count="0"/>
    <cacheHierarchy uniqueName="[Measures].[Run Coverage Lines Covered]" caption="Run Coverage Lines Covered" measure="1" displayFolder="" measureGroup="Run Coverage" count="0"/>
    <cacheHierarchy uniqueName="[Measures].[Run Coverage Lines Not Covered]" caption="Run Coverage Lines Not Covered" measure="1" displayFolder="" measureGroup="Run Coverage" count="0"/>
    <cacheHierarchy uniqueName="[Measures].[Run Coverage Lines Partially Covered]" caption="Run Coverage Lines Partially Covered" measure="1" displayFolder="" measureGroup="Run Coverage" count="0"/>
    <cacheHierarchy uniqueName="[Measures].[Run Coverage Blocks Covered]" caption="Run Coverage Blocks Covered" measure="1" displayFolder="" measureGroup="Run Coverage" count="0"/>
    <cacheHierarchy uniqueName="[Measures].[Run Coverage Blocks Not Covered]" caption="Run Coverage Blocks Not Covered" measure="1" displayFolder="" measureGroup="Run Coverage" count="0"/>
    <cacheHierarchy uniqueName="[Measures].[Run Coverage Count]" caption="Run Coverage" measure="1" displayFolder="" measureGroup="Run Coverage" count="0"/>
    <cacheHierarchy uniqueName="[Measures].[Microsoft_VSTS_Scheduling_RemainingWork]" caption="Remaining Work" measure="1" displayFolder="" measureGroup="Work Item" count="0"/>
    <cacheHierarchy uniqueName="[Measures].[Microsoft_VSTS_Scheduling_Effort]" caption="Effort" measure="1" displayFolder="" measureGroup="Work Item" count="0"/>
    <cacheHierarchy uniqueName="[Measures].[Microsoft_VSTS_Common_BusinessValue]" caption="Business Value" measure="1" displayFolder="" measureGroup="Work Item" count="0"/>
    <cacheHierarchy uniqueName="[Measures].[CWB_TimeSpent]" caption="Time Spent" measure="1" displayFolder="" measureGroup="Work Item" count="0"/>
    <cacheHierarchy uniqueName="[Measures].[CWB_HoursEstimate]" caption="Hours Estimate" measure="1" displayFolder="" measureGroup="Work Item" count="0"/>
    <cacheHierarchy uniqueName="[Measures].[CWB_HoursActual]" caption="Hours Actual" measure="1" displayFolder="" measureGroup="Work Item" count="0"/>
    <cacheHierarchy uniqueName="[Measures].[CWB_DurationDays]" caption="Duration Days" measure="1" displayFolder="" measureGroup="Work Item" count="0"/>
    <cacheHierarchy uniqueName="[Measures].[CWB_QAHoursEstimate]" caption="QA Hours Estimate" measure="1" displayFolder="" measureGroup="Work Item" count="0"/>
    <cacheHierarchy uniqueName="[Measures].[CWB_QAHoursActual]" caption="QA Hours Actual" measure="1" displayFolder="" measureGroup="Work Item" count="0"/>
    <cacheHierarchy uniqueName="[Measures].[System_ChangedDate]" caption="Changed Date" measure="1" displayFolder="Date Filters" count="0"/>
    <cacheHierarchy uniqueName="[Measures].[System_CreatedDate]" caption="Created Date" measure="1" displayFolder="Date Filters" count="0"/>
    <cacheHierarchy uniqueName="[Measures].[Microsoft_VSTS_Common_ClosedDate]" caption="Closed Date" measure="1" displayFolder="Date Filters" count="0"/>
    <cacheHierarchy uniqueName="[Measures].[Microsoft_VSTS_CodeReview_AcceptedDate]" caption="Accepted Date" measure="1" displayFolder="Date Filters" count="0"/>
    <cacheHierarchy uniqueName="[Measures].[Microsoft_VSTS_Common_ActivatedDate]" caption="Activated Date" measure="1" displayFolder="Date Filters" count="0"/>
    <cacheHierarchy uniqueName="[Measures].[CWB_TargetResolution]" caption="Target Resolution" measure="1" displayFolder="Date Filters" count="0"/>
    <cacheHierarchy uniqueName="[Measures].[CWB_BussinessRequiredDate]" caption="Business Required Date" measure="1" displayFolder="Date Filters" count="0"/>
    <cacheHierarchy uniqueName="[Measures].[CWB_PlannedStartDate]" caption="Planned Start Date" measure="1" displayFolder="Date Filters" count="0"/>
    <cacheHierarchy uniqueName="[Measures].[CWB_PlannedCompletionDate]" caption="Planned Completion Date" measure="1" displayFolder="Date Filters" count="0"/>
    <cacheHierarchy uniqueName="[Measures].[CWB_IMReleasePackageDate]" caption="IMPackageDate" measure="1" displayFolder="Date Filters" count="0"/>
    <cacheHierarchy uniqueName="[Measures].[System_Id]" caption="ID" measure="1" displayFolder="Numeric Filters" count="0"/>
    <cacheHierarchy uniqueName="[Measures].[System_Rev]" caption="Rev" measure="1" displayFolder="Numeric Filters" count="0"/>
    <cacheHierarchy uniqueName="[Measures].[Microsoft_VSTS_Common_Priority]" caption="Priority" measure="1" displayFolder="Numeric Filters" count="0"/>
    <cacheHierarchy uniqueName="[Measures].[CWB_ObjectiveCount]" caption="Objective Count" measure="1" displayFolder="Numeric Filters" count="0"/>
    <cacheHierarchy uniqueName="[Measures].[CWB_ObjectiveCompleted]" caption="Objective Completed" measure="1" displayFolder="Numeric Filters" count="0"/>
    <cacheHierarchy uniqueName="[Measures].[Total Lines]" caption="Total Lines" measure="1" displayFolder="" measureGroup="Code Churn" count="0"/>
    <cacheHierarchy uniqueName="[Measures].[Total Churn]" caption="Total Churn" measure="1" displayFolder="" measureGroup="Code Churn" count="0"/>
    <cacheHierarchy uniqueName="[Measures].[Build Result Count Trend]" caption="Build Result Count Trend" measure="1" displayFolder="" measureGroup="Test" count="0"/>
    <cacheHierarchy uniqueName="[Measures].[Point Count Trend]" caption="Point Count Trend" measure="1" displayFolder="" measureGroup="Test" count="0" oneField="1">
      <fieldsUsage count="1">
        <fieldUsage x="45"/>
      </fieldsUsage>
    </cacheHierarchy>
    <cacheHierarchy uniqueName="[Measures].[Result Count Trend]" caption="Result Count Trend" measure="1" displayFolder="" measureGroup="Test" count="0"/>
    <cacheHierarchy uniqueName="[Measures].[Work Item Count]" caption="Work Item Count" measure="1" displayFolder="" measureGroup="Work Item" count="0"/>
    <cacheHierarchy uniqueName="[Measures].[TestCompleteDate]" caption="Test Complete Date" measure="1" displayFolder="Date Filters" count="0"/>
    <cacheHierarchy uniqueName="[Measures].[TestCreationDate]" caption="Test Creation Date" measure="1" displayFolder="Date Filters" count="0"/>
    <cacheHierarchy uniqueName="[Measures].[TestEndDate]" caption="Test End Date" measure="1" displayFolder="Date Filters" count="0"/>
    <cacheHierarchy uniqueName="[Measures].[TestStartDate]" caption="Test Start Date" measure="1" displayFolder="Date Filters" count="0"/>
    <cacheHierarchy uniqueName="[Measures].[Test Case Count]" caption="Test Case Count" measure="1" displayFolder="" measureGroup="Test" count="0"/>
    <cacheHierarchy uniqueName="[Measures].[Current Work Item Count]" caption="Current Work Item Count" measure="1" displayFolder="" measureGroup="Current Work Item" count="0" hidden="1"/>
    <cacheHierarchy uniqueName="[Measures].[FactCurrentWorkItem Microsoft_VSTS_Scheduling_RemainingWork]" caption="Current Remaining Work" measure="1" displayFolder="" measureGroup="Current Work Item" count="0" hidden="1"/>
    <cacheHierarchy uniqueName="[Measures].[FactCurrentWorkItem Microsoft_VSTS_Scheduling_Effort]" caption="Current Effort" measure="1" displayFolder="" measureGroup="Current Work Item" count="0" hidden="1"/>
    <cacheHierarchy uniqueName="[Measures].[FactCurrentWorkItem Microsoft_VSTS_Common_BusinessValue]" caption="Current Business Value" measure="1" displayFolder="" measureGroup="Current Work Item" count="0" hidden="1"/>
    <cacheHierarchy uniqueName="[Measures].[FactCurrentWorkItem CWB_TimeSpent]" caption="Current Time Spent" measure="1" displayFolder="" measureGroup="Current Work Item" count="0" hidden="1"/>
    <cacheHierarchy uniqueName="[Measures].[FactCurrentWorkItem CWB_HoursEstimate]" caption="Current Hours Estimate" measure="1" displayFolder="" measureGroup="Current Work Item" count="0" hidden="1"/>
    <cacheHierarchy uniqueName="[Measures].[FactCurrentWorkItem CWB_HoursActual]" caption="Current Hours Actual" measure="1" displayFolder="" measureGroup="Current Work Item" count="0" hidden="1"/>
    <cacheHierarchy uniqueName="[Measures].[FactCurrentWorkItem CWB_DurationDays]" caption="Current Duration Days" measure="1" displayFolder="" measureGroup="Current Work Item" count="0" hidden="1"/>
    <cacheHierarchy uniqueName="[Measures].[FactCurrentWorkItem CWB_QAHoursEstimate]" caption="Current QA Hours Estimate" measure="1" displayFolder="" measureGroup="Current Work Item" count="0" hidden="1"/>
    <cacheHierarchy uniqueName="[Measures].[FactCurrentWorkItem CWB_QAHoursActual]" caption="Current QA Hours Actual" measure="1" displayFolder="" measureGroup="Current Work Item" count="0" hidden="1"/>
    <cacheHierarchy uniqueName="[Measures].[Record Count]" caption="Record Count" measure="1" displayFolder="" measureGroup="Work Item" count="0" hidden="1"/>
    <cacheHierarchy uniqueName="[Measures].[Lastchild Record Count]" caption="Lastchild Record Count" measure="1" displayFolder="" measureGroup="Work Item" count="0" hidden="1"/>
    <cacheHierarchy uniqueName="[Measures].[FactWorkItemHistory Microsoft_VSTS_Scheduling_RemainingWork]" caption="Remaining Work Trend" measure="1" displayFolder="" measureGroup="Work Item" count="0" hidden="1"/>
    <cacheHierarchy uniqueName="[Measures].[FactWorkItemHistory Microsoft_VSTS_Scheduling_Effort]" caption="Effort Trend" measure="1" displayFolder="" measureGroup="Work Item" count="0" hidden="1"/>
    <cacheHierarchy uniqueName="[Measures].[FactWorkItemHistory Microsoft_VSTS_Common_BusinessValue]" caption="Business Value Trend" measure="1" displayFolder="" measureGroup="Work Item" count="0" hidden="1"/>
    <cacheHierarchy uniqueName="[Measures].[FactWorkItemHistory CWB_TimeSpent]" caption="Time Spent Trend" measure="1" displayFolder="" measureGroup="Work Item" count="0" hidden="1"/>
    <cacheHierarchy uniqueName="[Measures].[LastChild Microsoft_VSTS_Scheduling_RemainingWork]" caption="LastChild Remaining Work" measure="1" displayFolder="" measureGroup="Work Item" count="0" hidden="1"/>
    <cacheHierarchy uniqueName="[Measures].[LastChild Microsoft_VSTS_Scheduling_Effort]" caption="LastChild Effort" measure="1" displayFolder="" measureGroup="Work Item" count="0" hidden="1"/>
    <cacheHierarchy uniqueName="[Measures].[LastChild Microsoft_VSTS_Common_BusinessValue]" caption="LastChild Business Value" measure="1" displayFolder="" measureGroup="Work Item" count="0" hidden="1"/>
    <cacheHierarchy uniqueName="[Measures].[LastChild CWB_TimeSpent]" caption="LastChild Time Spent" measure="1" displayFolder="" measureGroup="Work Item" count="0" hidden="1"/>
    <cacheHierarchy uniqueName="[Measures].[FactWorkItemHistory CWB_HoursEstimate]" caption="Hours Estimate Trend" measure="1" displayFolder="" measureGroup="Work Item" count="0" hidden="1"/>
    <cacheHierarchy uniqueName="[Measures].[FactWorkItemHistory CWB_HoursActual]" caption="Hours Actual Trend" measure="1" displayFolder="" measureGroup="Work Item" count="0" hidden="1"/>
    <cacheHierarchy uniqueName="[Measures].[FactWorkItemHistory CWB_DurationDays]" caption="Duration Days Trend" measure="1" displayFolder="" measureGroup="Work Item" count="0" hidden="1"/>
    <cacheHierarchy uniqueName="[Measures].[LastChild CWB_HoursEstimate]" caption="LastChild Hours Estimate" measure="1" displayFolder="" measureGroup="Work Item" count="0" hidden="1"/>
    <cacheHierarchy uniqueName="[Measures].[LastChild CWB_HoursActual]" caption="LastChild Hours Actual" measure="1" displayFolder="" measureGroup="Work Item" count="0" hidden="1"/>
    <cacheHierarchy uniqueName="[Measures].[LastChild CWB_DurationDays]" caption="LastChild Duration Days" measure="1" displayFolder="" measureGroup="Work Item" count="0" hidden="1"/>
    <cacheHierarchy uniqueName="[Measures].[FactWorkItemHistory CWB_QAHoursEstimate]" caption="QA Hours Estimate Trend" measure="1" displayFolder="" measureGroup="Work Item" count="0" hidden="1"/>
    <cacheHierarchy uniqueName="[Measures].[FactWorkItemHistory CWB_QAHoursActual]" caption="QA Hours Actual Trend" measure="1" displayFolder="" measureGroup="Work Item" count="0" hidden="1"/>
    <cacheHierarchy uniqueName="[Measures].[LastChild CWB_QAHoursEstimate]" caption="LastChild QA Hours Estimate" measure="1" displayFolder="" measureGroup="Work Item" count="0" hidden="1"/>
    <cacheHierarchy uniqueName="[Measures].[LastChild CWB_QAHoursActual]" caption="LastChild QA Hours Actual" measure="1" displayFolder="" measureGroup="Work Item" count="0" hidden="1"/>
    <cacheHierarchy uniqueName="[Measures].[Work Item To Tree Count]" caption="Work Item To Tree Count" measure="1" displayFolder="" measureGroup="Work Item To Tree" count="0" hidden="1"/>
    <cacheHierarchy uniqueName="[Measures].[Linked Current Work Item Count]" caption="Linked Current Work Item Count" measure="1" displayFolder="" measureGroup="Linked Current Work Item" count="0" hidden="1"/>
    <cacheHierarchy uniqueName="[Measures].[Work Item To Category Count]" caption="Work Item To Category Count" measure="1" displayFolder="" measureGroup="Work Item To Category" count="0" hidden="1"/>
    <cacheHierarchy uniqueName="[Measures].[Work Item Changeset Count]" caption="Work Item Changeset Count" measure="1" displayFolder="" measureGroup="Work Item Changeset" count="0" hidden="1"/>
    <cacheHierarchy uniqueName="[Measures].[Net Lines Added]" caption="Net Lines Added" measure="1" displayFolder="" measureGroup="Code Churn" count="0" hidden="1"/>
    <cacheHierarchy uniqueName="[Measures].[Lastchild Total Lines]" caption="Lastchild Total Lines" measure="1" displayFolder="" measureGroup="Code Churn" count="0" hidden="1"/>
    <cacheHierarchy uniqueName="[Measures].[Date Result Record Count]" caption="Date Result Record Count" measure="1" displayFolder="" measureGroup="Test" count="0" hidden="1"/>
    <cacheHierarchy uniqueName="[Measures].[Build Result Record Count]" caption="Build Result Record Count" measure="1" displayFolder="" measureGroup="Test" count="0" hidden="1"/>
    <cacheHierarchy uniqueName="[Measures].[Point Record Count]" caption="Point Record Count" measure="1" displayFolder="" measureGroup="Test" count="0" hidden="1"/>
    <cacheHierarchy uniqueName="[Measures].[Lastchild Result Record Count]" caption="Lastchild Result Record Count" measure="1" displayFolder="" measureGroup="Test" count="0" hidden="1"/>
    <cacheHierarchy uniqueName="[Measures].[Lastchild Point Record Count]" caption="Lastchild Point Record Count" measure="1" displayFolder="" measureGroup="Test" count="0" hidden="1"/>
    <cacheHierarchy uniqueName="[Measures].[Lastchild Build Result Record Count]" caption="Lastchild Build Result Record Count" measure="1" displayFolder="" measureGroup="Test" count="0" hidden="1"/>
    <cacheHierarchy uniqueName="[Measures].[Work Item With Result Link Count]" caption="Work Item With Result Link Count" measure="1" displayFolder="" measureGroup="Work Item With Result" count="0" hidden="1"/>
    <cacheHierarchy uniqueName="[Measures].[Linked Current Work Item Test Case Count]" caption="Linked Current Work Item Test Case Count" measure="1" displayFolder="" measureGroup="Linked Current Work Item Test Case" count="0" hidden="1"/>
    <cacheHierarchy uniqueName="[Measures].[***Start of TFS Calculation Block***]" caption="***Start of TFS Calculation Block***" measure="1" displayFolder="" count="0" hidden="1"/>
    <cacheHierarchy uniqueName="[Measures].[Build Url]" caption="Build Url" measure="1" displayFolder="" measureGroup="Build Details" count="0" hidden="1"/>
    <cacheHierarchy uniqueName="[Measures].[Work Item Url]" caption="Work Item Url" measure="1" displayFolder="" measureGroup="Current Work Item" count="0" hidden="1"/>
    <cacheHierarchy uniqueName="[Measures].[***End of TFS Calculation Block***]" caption="***End of TFS Calculation Block***" measure="1" displayFolder="" count="0" hidden="1"/>
  </cacheHierarchies>
  <kpis count="0"/>
  <dimensions count="23">
    <dimension name="Assembly" uniqueName="[Assembly]" caption="Assembly"/>
    <dimension name="Build" uniqueName="[Build]" caption="Build"/>
    <dimension name="Build Flavor" uniqueName="[Build Flavor]" caption="Build Flavor"/>
    <dimension name="Build Platform" uniqueName="[Build Platform]" caption="Build Platform"/>
    <dimension name="Build Quality" uniqueName="[Build Quality]" caption="Build Quality"/>
    <dimension name="Build Source Project File" uniqueName="[Build Source Project File]" caption="Build Source Project File"/>
    <dimension name="Build Status" uniqueName="[Build Status]" caption="Build Status"/>
    <dimension name="Date" uniqueName="[Date]" caption="Date"/>
    <dimension measure="1" name="Measures" uniqueName="[Measures]" caption="Measures"/>
    <dimension name="Team Project" uniqueName="[Team Project]" caption="Team Project"/>
    <dimension name="Test Case" uniqueName="[Test Case]" caption="Test Case"/>
    <dimension name="Test Configuration" uniqueName="[Test Configuration]" caption="Test Configuration"/>
    <dimension name="Test Plan" uniqueName="[Test Plan]" caption="Test Plan"/>
    <dimension name="Test Result" uniqueName="[Test Result]" caption="Test Result"/>
    <dimension name="Test Run" uniqueName="[Test Run]" caption="Test Run"/>
    <dimension name="Test Suite" uniqueName="[Test Suite]" caption="Test Suite"/>
    <dimension name="Version Control Changeset" uniqueName="[Version Control Changeset]" caption="Version Control Changeset"/>
    <dimension name="Version Control File" uniqueName="[Version Control File]" caption="Version Control File"/>
    <dimension name="Work Item" uniqueName="[Work Item]" caption="Work Item"/>
    <dimension name="Work Item Category" uniqueName="[Work Item Category]" caption="Work Item Category"/>
    <dimension name="Work Item Link Type" uniqueName="[Work Item Link Type]" caption="Work Item Link Type"/>
    <dimension name="Work Item Linked" uniqueName="[Work Item Linked]" caption="Work Item Linked"/>
    <dimension name="Work Item Tree" uniqueName="[Work Item Tree]" caption="Work Item Tree"/>
  </dimensions>
  <measureGroups count="15">
    <measureGroup name="Build Changeset" caption="Build Changeset"/>
    <measureGroup name="Build Coverage" caption="Build Coverage"/>
    <measureGroup name="Build Details" caption="Build Details"/>
    <measureGroup name="Build Project" caption="Build Project"/>
    <measureGroup name="Code Churn" caption="Code Churn"/>
    <measureGroup name="Current Work Item" caption="Current Work Item"/>
    <measureGroup name="Linked Current Work Item" caption="Linked Current Work Item"/>
    <measureGroup name="Linked Current Work Item Test Case" caption="Linked Current Work Item Test Case"/>
    <measureGroup name="Run Coverage" caption="Run Coverage"/>
    <measureGroup name="Test" caption="Test"/>
    <measureGroup name="Work Item" caption="Work Item"/>
    <measureGroup name="Work Item Changeset" caption="Work Item Changeset"/>
    <measureGroup name="Work Item To Category" caption="Work Item To Category"/>
    <measureGroup name="Work Item To Tree" caption="Work Item To Tree"/>
    <measureGroup name="Work Item With Result" caption="Work Item With Result"/>
  </measureGroups>
  <maps count="76">
    <map measureGroup="0" dimension="1"/>
    <map measureGroup="0" dimension="9"/>
    <map measureGroup="0" dimension="16"/>
    <map measureGroup="1" dimension="0"/>
    <map measureGroup="1" dimension="1"/>
    <map measureGroup="1" dimension="2"/>
    <map measureGroup="1" dimension="3"/>
    <map measureGroup="1" dimension="7"/>
    <map measureGroup="1" dimension="9"/>
    <map measureGroup="2" dimension="1"/>
    <map measureGroup="2" dimension="4"/>
    <map measureGroup="2" dimension="6"/>
    <map measureGroup="2" dimension="7"/>
    <map measureGroup="2" dimension="9"/>
    <map measureGroup="3" dimension="1"/>
    <map measureGroup="3" dimension="2"/>
    <map measureGroup="3" dimension="3"/>
    <map measureGroup="3" dimension="5"/>
    <map measureGroup="3" dimension="7"/>
    <map measureGroup="3" dimension="9"/>
    <map measureGroup="4" dimension="1"/>
    <map measureGroup="4" dimension="7"/>
    <map measureGroup="4" dimension="9"/>
    <map measureGroup="4" dimension="16"/>
    <map measureGroup="4" dimension="17"/>
    <map measureGroup="4" dimension="18"/>
    <map measureGroup="5" dimension="9"/>
    <map measureGroup="5" dimension="10"/>
    <map measureGroup="5" dimension="16"/>
    <map measureGroup="5" dimension="18"/>
    <map measureGroup="5" dimension="19"/>
    <map measureGroup="5" dimension="20"/>
    <map measureGroup="5" dimension="21"/>
    <map measureGroup="5" dimension="22"/>
    <map measureGroup="6" dimension="18"/>
    <map measureGroup="6" dimension="20"/>
    <map measureGroup="6" dimension="21"/>
    <map measureGroup="7" dimension="10"/>
    <map measureGroup="7" dimension="20"/>
    <map measureGroup="7" dimension="21"/>
    <map measureGroup="8" dimension="0"/>
    <map measureGroup="8" dimension="1"/>
    <map measureGroup="8" dimension="2"/>
    <map measureGroup="8" dimension="3"/>
    <map measureGroup="8" dimension="7"/>
    <map measureGroup="8" dimension="9"/>
    <map measureGroup="8" dimension="14"/>
    <map measureGroup="9" dimension="1"/>
    <map measureGroup="9" dimension="2"/>
    <map measureGroup="9" dimension="3"/>
    <map measureGroup="9" dimension="7"/>
    <map measureGroup="9" dimension="9"/>
    <map measureGroup="9" dimension="10"/>
    <map measureGroup="9" dimension="11"/>
    <map measureGroup="9" dimension="12"/>
    <map measureGroup="9" dimension="13"/>
    <map measureGroup="9" dimension="14"/>
    <map measureGroup="9" dimension="15"/>
    <map measureGroup="9" dimension="18"/>
    <map measureGroup="9" dimension="21"/>
    <map measureGroup="10" dimension="7"/>
    <map measureGroup="10" dimension="9"/>
    <map measureGroup="10" dimension="10"/>
    <map measureGroup="10" dimension="18"/>
    <map measureGroup="10" dimension="19"/>
    <map measureGroup="11" dimension="16"/>
    <map measureGroup="11" dimension="18"/>
    <map measureGroup="12" dimension="18"/>
    <map measureGroup="12" dimension="19"/>
    <map measureGroup="13" dimension="18"/>
    <map measureGroup="13" dimension="22"/>
    <map measureGroup="14" dimension="13"/>
    <map measureGroup="14" dimension="16"/>
    <map measureGroup="14" dimension="18"/>
    <map measureGroup="14" dimension="19"/>
    <map measureGroup="14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4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4" indent="0" outline="1" outlineData="1" multipleFieldFilters="0" chartFormat="1" fieldListSortAscending="1">
  <location ref="A97:C106" firstHeaderRow="1" firstDataRow="2" firstDataCol="1" rowPageCount="3" colPageCount="1"/>
  <pivotFields count="78">
    <pivotField allDrilled="1" showAll="0" dataSourceSort="1" defaultAttributeDrillState="1">
      <items count="2">
        <item s="1" x="0"/>
        <item t="default"/>
      </items>
    </pivotField>
    <pivotField allDrilled="1" showAll="0" dataSourceSort="1" defaultAttributeDrillState="1"/>
    <pivotField allDrilled="1" showAll="0" dataSourceSort="1" defaultAttributeDrillState="1">
      <items count="2">
        <item s="1" x="0"/>
        <item t="default"/>
      </items>
    </pivotField>
    <pivotField allDrilled="1" showAll="0" dataSourceSort="1" defaultAttributeDrillState="1"/>
    <pivotField allDrilled="1" showAll="0" dataSourceSort="1"/>
    <pivotField showAll="0" dataSourceSort="1"/>
    <pivotField showAll="0" dataSourceSort="1">
      <items count="2">
        <item s="1" c="1" x="0"/>
        <item t="default"/>
      </items>
    </pivotField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 defaultAttributeDrillState="1"/>
    <pivotField axis="axisPage" allDrilled="1" showAll="0" dataSourceSort="1" defaultAttributeDrillState="1">
      <items count="1">
        <item t="default"/>
      </items>
    </pivotField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 defaultAttributeDrillState="1"/>
    <pivotField axis="axisPage" allDrilled="1" showAll="0" dataSourceSort="1" defaultAttributeDrillState="1">
      <items count="1">
        <item t="default"/>
      </items>
    </pivotField>
    <pivotField dataField="1" showAll="0"/>
    <pivotField axis="axisRow" allDrilled="1" showAll="0" dataSourceSort="1">
      <items count="2">
        <item c="1" x="0" d="1"/>
        <item t="default"/>
      </items>
    </pivotField>
    <pivotField axis="axisRow" showAll="0" dataSourceSort="1">
      <items count="2">
        <item c="1" x="0" d="1"/>
        <item t="default"/>
      </items>
    </pivotField>
    <pivotField axis="axisRow" showAll="0">
      <items count="18">
        <item x="2" d="1"/>
        <item x="4" d="1"/>
        <item x="5" d="1"/>
        <item x="6" d="1"/>
        <item x="7" d="1"/>
        <item x="8" d="1"/>
        <item x="9" d="1"/>
        <item x="10" d="1"/>
        <item x="11" d="1"/>
        <item x="12" d="1"/>
        <item x="13" d="1"/>
        <item x="14" d="1"/>
        <item x="15" d="1"/>
        <item x="16" d="1"/>
        <item x="3" d="1"/>
        <item x="1" d="1"/>
        <item c="1" x="0" d="1"/>
        <item t="default"/>
      </items>
    </pivotField>
    <pivotField axis="axisRow" showAll="0" dataSourceSort="1">
      <items count="45">
        <item c="1" x="0" d="1"/>
        <item x="1" d="1"/>
        <item x="2" d="1"/>
        <item x="3" d="1"/>
        <item x="4" d="1"/>
        <item x="5" d="1"/>
        <item x="6"/>
        <item x="7"/>
        <item x="8" d="1"/>
        <item x="9"/>
        <item x="10"/>
        <item x="11"/>
        <item x="12" d="1"/>
        <item x="13" d="1"/>
        <item x="14" d="1"/>
        <item x="15" d="1"/>
        <item x="16" d="1"/>
        <item x="17" d="1"/>
        <item x="18" d="1"/>
        <item x="19" d="1"/>
        <item x="20" d="1"/>
        <item x="21" d="1"/>
        <item x="22"/>
        <item x="23"/>
        <item x="24"/>
        <item x="25"/>
        <item x="26" d="1"/>
        <item x="27" d="1"/>
        <item x="28" d="1"/>
        <item x="29" d="1"/>
        <item x="30"/>
        <item x="31" d="1"/>
        <item x="32"/>
        <item x="33"/>
        <item x="34"/>
        <item x="35"/>
        <item x="36"/>
        <item x="37"/>
        <item x="38"/>
        <item x="39"/>
        <item x="40"/>
        <item x="41"/>
        <item x="42"/>
        <item x="43" d="1"/>
        <item t="default"/>
      </items>
    </pivotField>
    <pivotField axis="axisRow" showAll="0" dataSourceSort="1">
      <items count="37">
        <item c="1" x="0" d="1"/>
        <item c="1" x="1"/>
        <item x="2" d="1"/>
        <item x="3" d="1"/>
        <item x="4" d="1"/>
        <item x="5" d="1"/>
        <item x="6" d="1"/>
        <item x="7" d="1"/>
        <item x="8" d="1"/>
        <item x="9" d="1"/>
        <item x="10" d="1"/>
        <item x="11" d="1"/>
        <item x="12" d="1"/>
        <item x="13" d="1"/>
        <item x="14" d="1"/>
        <item x="15"/>
        <item x="16"/>
        <item x="17"/>
        <item x="18"/>
        <item x="19"/>
        <item x="20" d="1"/>
        <item x="21" d="1"/>
        <item x="22"/>
        <item x="23"/>
        <item x="24"/>
        <item x="25"/>
        <item x="26"/>
        <item x="27"/>
        <item x="28"/>
        <item x="29"/>
        <item x="30"/>
        <item x="31"/>
        <item x="32"/>
        <item x="33" d="1"/>
        <item x="34"/>
        <item x="35"/>
        <item t="default"/>
      </items>
    </pivotField>
    <pivotField axis="axisRow" showAll="0" dataSourceSort="1">
      <items count="49">
        <item s="1" c="1" x="0"/>
        <item x="1"/>
        <item x="2"/>
        <item x="3"/>
        <item x="4"/>
        <item x="5"/>
        <item x="6" d="1"/>
        <item x="7" d="1"/>
        <item x="8" d="1"/>
        <item x="9" d="1"/>
        <item x="10" d="1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 d="1"/>
        <item x="24" d="1"/>
        <item x="25"/>
        <item x="26"/>
        <item x="27" d="1"/>
        <item x="28"/>
        <item x="29"/>
        <item x="30"/>
        <item x="31"/>
        <item x="32"/>
        <item x="33"/>
        <item x="34"/>
        <item x="35" d="1"/>
        <item x="36" d="1"/>
        <item x="37"/>
        <item x="38"/>
        <item x="39"/>
        <item x="40"/>
        <item x="41"/>
        <item x="42"/>
        <item x="43"/>
        <item x="44"/>
        <item x="45"/>
        <item x="46"/>
        <item x="47" d="1"/>
        <item t="default"/>
      </items>
    </pivotField>
    <pivotField axis="axisRow" showAll="0" dataSourceSort="1">
      <items count="25">
        <item c="1" x="0"/>
        <item x="1"/>
        <item x="2"/>
        <item x="3"/>
        <item x="4"/>
        <item x="5"/>
        <item x="6"/>
        <item x="7"/>
        <item x="8"/>
        <item x="9"/>
        <item x="10"/>
        <item x="11"/>
        <item x="12" d="1"/>
        <item x="13"/>
        <item x="14"/>
        <item x="15"/>
        <item x="16" d="1"/>
        <item x="17" d="1"/>
        <item x="18"/>
        <item x="19"/>
        <item x="20"/>
        <item x="21"/>
        <item x="22"/>
        <item x="23" d="1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6">
    <field x="46"/>
    <field x="47"/>
    <field x="48"/>
    <field x="49"/>
    <field x="50"/>
    <field x="51"/>
  </rowFields>
  <rowItems count="8">
    <i>
      <x/>
    </i>
    <i r="1">
      <x/>
    </i>
    <i r="2">
      <x v="16"/>
    </i>
    <i r="3">
      <x/>
    </i>
    <i r="4">
      <x/>
    </i>
    <i r="5">
      <x/>
    </i>
    <i r="4">
      <x v="1"/>
    </i>
    <i t="grand">
      <x/>
    </i>
  </rowItems>
  <colFields count="1">
    <field x="77"/>
  </colFields>
  <colItems count="2">
    <i>
      <x/>
    </i>
    <i t="grand">
      <x/>
    </i>
  </colItems>
  <pageFields count="3">
    <pageField fld="35" hier="23" name="[Team Project].[Team Project Hierarchy].&amp;[{FA87FDF7-D2B5-4A1C-A3BD-413358241E89}]" cap="Core Banking"/>
    <pageField fld="34" hier="25" name="[Test Case].[Area Path].&amp;[\Core Banking\User Acceptance Testing]" cap="\Core Banking\User Acceptance Testing"/>
    <pageField fld="44" hier="153" name="[Test Plan].[Test Plan Name].&amp;[T24 User Acceptance Testing - Execution]" cap="T24 User Acceptance Testing - Execution"/>
  </pageFields>
  <dataFields count="1">
    <dataField fld="45" baseField="0" baseItem="0"/>
  </dataFields>
  <formats count="479">
    <format dxfId="1033">
      <pivotArea outline="0" collapsedLevelsAreSubtotals="1" fieldPosition="0"/>
    </format>
    <format dxfId="1034">
      <pivotArea dataOnly="0" labelOnly="1" grandCol="1" outline="0" fieldPosition="0"/>
    </format>
    <format dxfId="1035">
      <pivotArea field="46" grandCol="1" collapsedLevelsAreSubtotals="1" axis="axisRow" fieldPosition="0">
        <references count="1">
          <reference field="46" count="0"/>
        </references>
      </pivotArea>
    </format>
    <format dxfId="1036">
      <pivotArea field="47" grandCol="1" collapsedLevelsAreSubtotals="1" axis="axisRow" fieldPosition="1">
        <references count="1">
          <reference field="47" count="0"/>
        </references>
      </pivotArea>
    </format>
    <format dxfId="1037">
      <pivotArea field="48" grandCol="1" collapsedLevelsAreSubtotals="1" axis="axisRow" fieldPosition="2">
        <references count="1">
          <reference field="48" count="0"/>
        </references>
      </pivotArea>
    </format>
    <format dxfId="1038">
      <pivotArea field="49" grandCol="1" collapsedLevelsAreSubtotals="1" axis="axisRow" fieldPosition="3">
        <references count="1">
          <reference field="49" count="1">
            <x v="35"/>
          </reference>
        </references>
      </pivotArea>
    </format>
    <format dxfId="1039">
      <pivotArea field="49" grandCol="1" collapsedLevelsAreSubtotals="1" axis="axisRow" fieldPosition="3">
        <references count="1">
          <reference field="49" count="1">
            <x v="36"/>
          </reference>
        </references>
      </pivotArea>
    </format>
    <format dxfId="1040">
      <pivotArea field="49" grandCol="1" collapsedLevelsAreSubtotals="1" axis="axisRow" fieldPosition="3">
        <references count="1">
          <reference field="49" count="1">
            <x v="37"/>
          </reference>
        </references>
      </pivotArea>
    </format>
    <format dxfId="1041">
      <pivotArea field="49" grandCol="1" collapsedLevelsAreSubtotals="1" axis="axisRow" fieldPosition="3">
        <references count="1">
          <reference field="49" count="1">
            <x v="38"/>
          </reference>
        </references>
      </pivotArea>
    </format>
    <format dxfId="1042">
      <pivotArea field="49" grandCol="1" collapsedLevelsAreSubtotals="1" axis="axisRow" fieldPosition="3">
        <references count="1">
          <reference field="49" count="1">
            <x v="39"/>
          </reference>
        </references>
      </pivotArea>
    </format>
    <format dxfId="1043">
      <pivotArea field="49" grandCol="1" collapsedLevelsAreSubtotals="1" axis="axisRow" fieldPosition="3">
        <references count="1">
          <reference field="49" count="1">
            <x v="40"/>
          </reference>
        </references>
      </pivotArea>
    </format>
    <format dxfId="1044">
      <pivotArea field="49" grandCol="1" collapsedLevelsAreSubtotals="1" axis="axisRow" fieldPosition="3">
        <references count="1">
          <reference field="49" count="1">
            <x v="41"/>
          </reference>
        </references>
      </pivotArea>
    </format>
    <format dxfId="1045">
      <pivotArea field="49" grandCol="1" collapsedLevelsAreSubtotals="1" axis="axisRow" fieldPosition="3">
        <references count="1">
          <reference field="49" count="1">
            <x v="42"/>
          </reference>
        </references>
      </pivotArea>
    </format>
    <format dxfId="1046">
      <pivotArea collapsedLevelsAreSubtotals="1" fieldPosition="0">
        <references count="1">
          <reference field="49" count="1">
            <x v="35"/>
          </reference>
        </references>
      </pivotArea>
    </format>
    <format dxfId="1047">
      <pivotArea dataOnly="0" labelOnly="1" fieldPosition="0">
        <references count="1">
          <reference field="49" count="1">
            <x v="35"/>
          </reference>
        </references>
      </pivotArea>
    </format>
    <format dxfId="1048">
      <pivotArea collapsedLevelsAreSubtotals="1" fieldPosition="0">
        <references count="1">
          <reference field="49" count="1">
            <x v="36"/>
          </reference>
        </references>
      </pivotArea>
    </format>
    <format dxfId="1049">
      <pivotArea dataOnly="0" labelOnly="1" fieldPosition="0">
        <references count="1">
          <reference field="49" count="1">
            <x v="36"/>
          </reference>
        </references>
      </pivotArea>
    </format>
    <format dxfId="1050">
      <pivotArea collapsedLevelsAreSubtotals="1" fieldPosition="0">
        <references count="1">
          <reference field="49" count="1">
            <x v="37"/>
          </reference>
        </references>
      </pivotArea>
    </format>
    <format dxfId="1051">
      <pivotArea dataOnly="0" labelOnly="1" fieldPosition="0">
        <references count="1">
          <reference field="49" count="1">
            <x v="37"/>
          </reference>
        </references>
      </pivotArea>
    </format>
    <format dxfId="1052">
      <pivotArea collapsedLevelsAreSubtotals="1" fieldPosition="0">
        <references count="1">
          <reference field="49" count="1">
            <x v="38"/>
          </reference>
        </references>
      </pivotArea>
    </format>
    <format dxfId="1053">
      <pivotArea dataOnly="0" labelOnly="1" fieldPosition="0">
        <references count="1">
          <reference field="49" count="1">
            <x v="38"/>
          </reference>
        </references>
      </pivotArea>
    </format>
    <format dxfId="1054">
      <pivotArea collapsedLevelsAreSubtotals="1" fieldPosition="0">
        <references count="1">
          <reference field="49" count="1">
            <x v="39"/>
          </reference>
        </references>
      </pivotArea>
    </format>
    <format dxfId="1055">
      <pivotArea dataOnly="0" labelOnly="1" fieldPosition="0">
        <references count="1">
          <reference field="49" count="1">
            <x v="39"/>
          </reference>
        </references>
      </pivotArea>
    </format>
    <format dxfId="1056">
      <pivotArea collapsedLevelsAreSubtotals="1" fieldPosition="0">
        <references count="1">
          <reference field="49" count="1">
            <x v="40"/>
          </reference>
        </references>
      </pivotArea>
    </format>
    <format dxfId="1057">
      <pivotArea dataOnly="0" labelOnly="1" fieldPosition="0">
        <references count="1">
          <reference field="49" count="1">
            <x v="40"/>
          </reference>
        </references>
      </pivotArea>
    </format>
    <format dxfId="1058">
      <pivotArea collapsedLevelsAreSubtotals="1" fieldPosition="0">
        <references count="1">
          <reference field="49" count="1">
            <x v="42"/>
          </reference>
        </references>
      </pivotArea>
    </format>
    <format dxfId="1059">
      <pivotArea dataOnly="0" labelOnly="1" fieldPosition="0">
        <references count="1">
          <reference field="49" count="1">
            <x v="42"/>
          </reference>
        </references>
      </pivotArea>
    </format>
    <format dxfId="1060">
      <pivotArea collapsedLevelsAreSubtotals="1" fieldPosition="0">
        <references count="2">
          <reference field="46" count="0"/>
          <reference field="77" count="1" selected="0">
            <x v="2"/>
          </reference>
        </references>
      </pivotArea>
    </format>
    <format dxfId="1061">
      <pivotArea collapsedLevelsAreSubtotals="1" fieldPosition="0">
        <references count="2">
          <reference field="48" count="0"/>
          <reference field="77" count="1" selected="0">
            <x v="2"/>
          </reference>
        </references>
      </pivotArea>
    </format>
    <format dxfId="1062">
      <pivotArea collapsedLevelsAreSubtotals="1" fieldPosition="0">
        <references count="2">
          <reference field="49" count="1">
            <x v="35"/>
          </reference>
          <reference field="77" count="1" selected="0">
            <x v="2"/>
          </reference>
        </references>
      </pivotArea>
    </format>
    <format dxfId="1063">
      <pivotArea collapsedLevelsAreSubtotals="1" fieldPosition="0">
        <references count="2">
          <reference field="49" count="1">
            <x v="36"/>
          </reference>
          <reference field="77" count="1" selected="0">
            <x v="2"/>
          </reference>
        </references>
      </pivotArea>
    </format>
    <format dxfId="1064">
      <pivotArea collapsedLevelsAreSubtotals="1" fieldPosition="0">
        <references count="2">
          <reference field="49" count="1">
            <x v="37"/>
          </reference>
          <reference field="77" count="1" selected="0">
            <x v="2"/>
          </reference>
        </references>
      </pivotArea>
    </format>
    <format dxfId="1065">
      <pivotArea collapsedLevelsAreSubtotals="1" fieldPosition="0">
        <references count="2">
          <reference field="49" count="1">
            <x v="38"/>
          </reference>
          <reference field="77" count="1" selected="0">
            <x v="2"/>
          </reference>
        </references>
      </pivotArea>
    </format>
    <format dxfId="1066">
      <pivotArea collapsedLevelsAreSubtotals="1" fieldPosition="0">
        <references count="2">
          <reference field="49" count="1">
            <x v="39"/>
          </reference>
          <reference field="77" count="1" selected="0">
            <x v="2"/>
          </reference>
        </references>
      </pivotArea>
    </format>
    <format dxfId="1067">
      <pivotArea collapsedLevelsAreSubtotals="1" fieldPosition="0">
        <references count="2">
          <reference field="49" count="1">
            <x v="40"/>
          </reference>
          <reference field="77" count="1" selected="0">
            <x v="2"/>
          </reference>
        </references>
      </pivotArea>
    </format>
    <format dxfId="1068">
      <pivotArea collapsedLevelsAreSubtotals="1" fieldPosition="0">
        <references count="2">
          <reference field="49" count="1">
            <x v="41"/>
          </reference>
          <reference field="77" count="1" selected="0">
            <x v="2"/>
          </reference>
        </references>
      </pivotArea>
    </format>
    <format dxfId="1069">
      <pivotArea collapsedLevelsAreSubtotals="1" fieldPosition="0">
        <references count="2">
          <reference field="49" count="1">
            <x v="42"/>
          </reference>
          <reference field="77" count="1" selected="0">
            <x v="2"/>
          </reference>
        </references>
      </pivotArea>
    </format>
    <format dxfId="1070">
      <pivotArea collapsedLevelsAreSubtotals="1" fieldPosition="0">
        <references count="2">
          <reference field="46" count="0"/>
          <reference field="77" count="1" selected="0">
            <x v="3"/>
          </reference>
        </references>
      </pivotArea>
    </format>
    <format dxfId="1071">
      <pivotArea collapsedLevelsAreSubtotals="1" fieldPosition="0">
        <references count="2">
          <reference field="48" count="0"/>
          <reference field="77" count="1" selected="0">
            <x v="3"/>
          </reference>
        </references>
      </pivotArea>
    </format>
    <format dxfId="1072">
      <pivotArea collapsedLevelsAreSubtotals="1" fieldPosition="0">
        <references count="2">
          <reference field="49" count="1">
            <x v="35"/>
          </reference>
          <reference field="77" count="1" selected="0">
            <x v="3"/>
          </reference>
        </references>
      </pivotArea>
    </format>
    <format dxfId="1073">
      <pivotArea collapsedLevelsAreSubtotals="1" fieldPosition="0">
        <references count="2">
          <reference field="49" count="1">
            <x v="36"/>
          </reference>
          <reference field="77" count="1" selected="0">
            <x v="3"/>
          </reference>
        </references>
      </pivotArea>
    </format>
    <format dxfId="1074">
      <pivotArea collapsedLevelsAreSubtotals="1" fieldPosition="0">
        <references count="2">
          <reference field="49" count="1">
            <x v="37"/>
          </reference>
          <reference field="77" count="1" selected="0">
            <x v="3"/>
          </reference>
        </references>
      </pivotArea>
    </format>
    <format dxfId="1075">
      <pivotArea collapsedLevelsAreSubtotals="1" fieldPosition="0">
        <references count="2">
          <reference field="49" count="1">
            <x v="38"/>
          </reference>
          <reference field="77" count="1" selected="0">
            <x v="3"/>
          </reference>
        </references>
      </pivotArea>
    </format>
    <format dxfId="1076">
      <pivotArea collapsedLevelsAreSubtotals="1" fieldPosition="0">
        <references count="2">
          <reference field="49" count="1">
            <x v="39"/>
          </reference>
          <reference field="77" count="1" selected="0">
            <x v="3"/>
          </reference>
        </references>
      </pivotArea>
    </format>
    <format dxfId="1077">
      <pivotArea collapsedLevelsAreSubtotals="1" fieldPosition="0">
        <references count="2">
          <reference field="49" count="1">
            <x v="40"/>
          </reference>
          <reference field="77" count="1" selected="0">
            <x v="3"/>
          </reference>
        </references>
      </pivotArea>
    </format>
    <format dxfId="1078">
      <pivotArea collapsedLevelsAreSubtotals="1" fieldPosition="0">
        <references count="2">
          <reference field="49" count="1">
            <x v="41"/>
          </reference>
          <reference field="77" count="1" selected="0">
            <x v="3"/>
          </reference>
        </references>
      </pivotArea>
    </format>
    <format dxfId="1079">
      <pivotArea collapsedLevelsAreSubtotals="1" fieldPosition="0">
        <references count="2">
          <reference field="49" count="1">
            <x v="42"/>
          </reference>
          <reference field="77" count="1" selected="0">
            <x v="3"/>
          </reference>
        </references>
      </pivotArea>
    </format>
    <format dxfId="1080">
      <pivotArea collapsedLevelsAreSubtotals="1" fieldPosition="0">
        <references count="2">
          <reference field="46" count="0"/>
          <reference field="77" count="1" selected="0">
            <x v="1"/>
          </reference>
        </references>
      </pivotArea>
    </format>
    <format dxfId="1081">
      <pivotArea collapsedLevelsAreSubtotals="1" fieldPosition="0">
        <references count="2">
          <reference field="48" count="0"/>
          <reference field="77" count="1" selected="0">
            <x v="1"/>
          </reference>
        </references>
      </pivotArea>
    </format>
    <format dxfId="1082">
      <pivotArea collapsedLevelsAreSubtotals="1" fieldPosition="0">
        <references count="2">
          <reference field="49" count="1">
            <x v="35"/>
          </reference>
          <reference field="77" count="1" selected="0">
            <x v="1"/>
          </reference>
        </references>
      </pivotArea>
    </format>
    <format dxfId="1083">
      <pivotArea collapsedLevelsAreSubtotals="1" fieldPosition="0">
        <references count="2">
          <reference field="49" count="1">
            <x v="36"/>
          </reference>
          <reference field="77" count="1" selected="0">
            <x v="1"/>
          </reference>
        </references>
      </pivotArea>
    </format>
    <format dxfId="1084">
      <pivotArea collapsedLevelsAreSubtotals="1" fieldPosition="0">
        <references count="2">
          <reference field="49" count="1">
            <x v="37"/>
          </reference>
          <reference field="77" count="1" selected="0">
            <x v="1"/>
          </reference>
        </references>
      </pivotArea>
    </format>
    <format dxfId="1085">
      <pivotArea collapsedLevelsAreSubtotals="1" fieldPosition="0">
        <references count="2">
          <reference field="49" count="1">
            <x v="38"/>
          </reference>
          <reference field="77" count="1" selected="0">
            <x v="1"/>
          </reference>
        </references>
      </pivotArea>
    </format>
    <format dxfId="1086">
      <pivotArea collapsedLevelsAreSubtotals="1" fieldPosition="0">
        <references count="2">
          <reference field="49" count="1">
            <x v="39"/>
          </reference>
          <reference field="77" count="1" selected="0">
            <x v="1"/>
          </reference>
        </references>
      </pivotArea>
    </format>
    <format dxfId="1087">
      <pivotArea collapsedLevelsAreSubtotals="1" fieldPosition="0">
        <references count="2">
          <reference field="49" count="1">
            <x v="40"/>
          </reference>
          <reference field="77" count="1" selected="0">
            <x v="1"/>
          </reference>
        </references>
      </pivotArea>
    </format>
    <format dxfId="1088">
      <pivotArea collapsedLevelsAreSubtotals="1" fieldPosition="0">
        <references count="2">
          <reference field="49" count="1">
            <x v="41"/>
          </reference>
          <reference field="77" count="1" selected="0">
            <x v="1"/>
          </reference>
        </references>
      </pivotArea>
    </format>
    <format dxfId="1089">
      <pivotArea collapsedLevelsAreSubtotals="1" fieldPosition="0">
        <references count="2">
          <reference field="49" count="1">
            <x v="42"/>
          </reference>
          <reference field="77" count="1" selected="0">
            <x v="1"/>
          </reference>
        </references>
      </pivotArea>
    </format>
    <format dxfId="1090">
      <pivotArea collapsedLevelsAreSubtotals="1" fieldPosition="0">
        <references count="1">
          <reference field="49" count="1">
            <x v="41"/>
          </reference>
        </references>
      </pivotArea>
    </format>
    <format dxfId="1091">
      <pivotArea dataOnly="0" labelOnly="1" fieldPosition="0">
        <references count="1">
          <reference field="49" count="1">
            <x v="41"/>
          </reference>
        </references>
      </pivotArea>
    </format>
    <format dxfId="1092">
      <pivotArea outline="0" collapsedLevelsAreSubtotals="1" fieldPosition="0"/>
    </format>
    <format dxfId="1093">
      <pivotArea dataOnly="0" labelOnly="1" fieldPosition="0">
        <references count="1">
          <reference field="46" count="0"/>
        </references>
      </pivotArea>
    </format>
    <format dxfId="1094">
      <pivotArea dataOnly="0" labelOnly="1" grandRow="1" outline="0" fieldPosition="0"/>
    </format>
    <format dxfId="1095">
      <pivotArea dataOnly="0" labelOnly="1" fieldPosition="0">
        <references count="1">
          <reference field="47" count="0"/>
        </references>
      </pivotArea>
    </format>
    <format dxfId="1096">
      <pivotArea dataOnly="0" labelOnly="1" fieldPosition="0">
        <references count="1">
          <reference field="48" count="0"/>
        </references>
      </pivotArea>
    </format>
    <format dxfId="1097">
      <pivotArea dataOnly="0" labelOnly="1" fieldPosition="0">
        <references count="1">
          <reference field="49" count="0"/>
        </references>
      </pivotArea>
    </format>
    <format dxfId="1098">
      <pivotArea dataOnly="0" labelOnly="1" fieldPosition="0">
        <references count="1">
          <reference field="48" count="0"/>
        </references>
      </pivotArea>
    </format>
    <format dxfId="1099">
      <pivotArea dataOnly="0" labelOnly="1" fieldPosition="0">
        <references count="1">
          <reference field="49" count="0"/>
        </references>
      </pivotArea>
    </format>
    <format dxfId="1100">
      <pivotArea collapsedLevelsAreSubtotals="1" fieldPosition="0">
        <references count="1">
          <reference field="50" count="1">
            <x v="34"/>
          </reference>
        </references>
      </pivotArea>
    </format>
    <format dxfId="1101">
      <pivotArea collapsedLevelsAreSubtotals="1" fieldPosition="0">
        <references count="1">
          <reference field="51" count="0"/>
        </references>
      </pivotArea>
    </format>
    <format dxfId="1102">
      <pivotArea collapsedLevelsAreSubtotals="1" fieldPosition="0">
        <references count="1">
          <reference field="50" count="1">
            <x v="35"/>
          </reference>
        </references>
      </pivotArea>
    </format>
    <format dxfId="1103">
      <pivotArea dataOnly="0" labelOnly="1" fieldPosition="0">
        <references count="1">
          <reference field="50" count="0"/>
        </references>
      </pivotArea>
    </format>
    <format dxfId="1104">
      <pivotArea dataOnly="0" labelOnly="1" fieldPosition="0">
        <references count="1">
          <reference field="51" count="0"/>
        </references>
      </pivotArea>
    </format>
    <format dxfId="1105">
      <pivotArea dataOnly="0" labelOnly="1" fieldPosition="0">
        <references count="1">
          <reference field="49" count="0"/>
        </references>
      </pivotArea>
    </format>
    <format dxfId="1106">
      <pivotArea collapsedLevelsAreSubtotals="1" fieldPosition="0">
        <references count="1">
          <reference field="48" count="1">
            <x v="2"/>
          </reference>
        </references>
      </pivotArea>
    </format>
    <format dxfId="1107">
      <pivotArea dataOnly="0" labelOnly="1" fieldPosition="0">
        <references count="1">
          <reference field="48" count="1">
            <x v="2"/>
          </reference>
        </references>
      </pivotArea>
    </format>
    <format dxfId="1108">
      <pivotArea collapsedLevelsAreSubtotals="1" fieldPosition="0">
        <references count="1">
          <reference field="48" count="1">
            <x v="2"/>
          </reference>
        </references>
      </pivotArea>
    </format>
    <format dxfId="1109">
      <pivotArea dataOnly="0" labelOnly="1" fieldPosition="0">
        <references count="1">
          <reference field="48" count="1">
            <x v="2"/>
          </reference>
        </references>
      </pivotArea>
    </format>
    <format dxfId="1110">
      <pivotArea collapsedLevelsAreSubtotals="1" fieldPosition="0">
        <references count="1">
          <reference field="48" count="1">
            <x v="11"/>
          </reference>
        </references>
      </pivotArea>
    </format>
    <format dxfId="1111">
      <pivotArea dataOnly="0" labelOnly="1" fieldPosition="0">
        <references count="1">
          <reference field="48" count="1">
            <x v="11"/>
          </reference>
        </references>
      </pivotArea>
    </format>
    <format dxfId="1112">
      <pivotArea collapsedLevelsAreSubtotals="1" fieldPosition="0">
        <references count="1">
          <reference field="48" count="1">
            <x v="12"/>
          </reference>
        </references>
      </pivotArea>
    </format>
    <format dxfId="1113">
      <pivotArea dataOnly="0" labelOnly="1" fieldPosition="0">
        <references count="1">
          <reference field="48" count="1">
            <x v="12"/>
          </reference>
        </references>
      </pivotArea>
    </format>
    <format dxfId="1114">
      <pivotArea collapsedLevelsAreSubtotals="1" fieldPosition="0">
        <references count="1">
          <reference field="48" count="1">
            <x v="3"/>
          </reference>
        </references>
      </pivotArea>
    </format>
    <format dxfId="1115">
      <pivotArea dataOnly="0" labelOnly="1" fieldPosition="0">
        <references count="1">
          <reference field="48" count="1">
            <x v="3"/>
          </reference>
        </references>
      </pivotArea>
    </format>
    <format dxfId="1116">
      <pivotArea collapsedLevelsAreSubtotals="1" fieldPosition="0">
        <references count="1">
          <reference field="48" count="1">
            <x v="4"/>
          </reference>
        </references>
      </pivotArea>
    </format>
    <format dxfId="1117">
      <pivotArea dataOnly="0" labelOnly="1" fieldPosition="0">
        <references count="1">
          <reference field="48" count="1">
            <x v="4"/>
          </reference>
        </references>
      </pivotArea>
    </format>
    <format dxfId="1118">
      <pivotArea collapsedLevelsAreSubtotals="1" fieldPosition="0">
        <references count="1">
          <reference field="49" count="8"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1119">
      <pivotArea collapsedLevelsAreSubtotals="1" fieldPosition="0">
        <references count="1">
          <reference field="48" count="1">
            <x v="10"/>
          </reference>
        </references>
      </pivotArea>
    </format>
    <format dxfId="1120">
      <pivotArea dataOnly="0" labelOnly="1" fieldPosition="0">
        <references count="1">
          <reference field="48" count="1">
            <x v="10"/>
          </reference>
        </references>
      </pivotArea>
    </format>
    <format dxfId="1121">
      <pivotArea collapsedLevelsAreSubtotals="1" fieldPosition="0">
        <references count="1">
          <reference field="48" count="1">
            <x v="5"/>
          </reference>
        </references>
      </pivotArea>
    </format>
    <format dxfId="1122">
      <pivotArea dataOnly="0" labelOnly="1" fieldPosition="0">
        <references count="1">
          <reference field="48" count="1">
            <x v="5"/>
          </reference>
        </references>
      </pivotArea>
    </format>
    <format dxfId="1123">
      <pivotArea collapsedLevelsAreSubtotals="1" fieldPosition="0">
        <references count="1">
          <reference field="48" count="1">
            <x v="6"/>
          </reference>
        </references>
      </pivotArea>
    </format>
    <format dxfId="1124">
      <pivotArea dataOnly="0" labelOnly="1" fieldPosition="0">
        <references count="1">
          <reference field="48" count="1">
            <x v="6"/>
          </reference>
        </references>
      </pivotArea>
    </format>
    <format dxfId="1125">
      <pivotArea collapsedLevelsAreSubtotals="1" fieldPosition="0">
        <references count="1">
          <reference field="48" count="1">
            <x v="7"/>
          </reference>
        </references>
      </pivotArea>
    </format>
    <format dxfId="1126">
      <pivotArea dataOnly="0" labelOnly="1" fieldPosition="0">
        <references count="1">
          <reference field="48" count="1">
            <x v="7"/>
          </reference>
        </references>
      </pivotArea>
    </format>
    <format dxfId="1127">
      <pivotArea collapsedLevelsAreSubtotals="1" fieldPosition="0">
        <references count="1">
          <reference field="48" count="1">
            <x v="8"/>
          </reference>
        </references>
      </pivotArea>
    </format>
    <format dxfId="1128">
      <pivotArea dataOnly="0" labelOnly="1" fieldPosition="0">
        <references count="1">
          <reference field="48" count="1">
            <x v="8"/>
          </reference>
        </references>
      </pivotArea>
    </format>
    <format dxfId="1129">
      <pivotArea collapsedLevelsAreSubtotals="1" fieldPosition="0">
        <references count="1">
          <reference field="48" count="1">
            <x v="9"/>
          </reference>
        </references>
      </pivotArea>
    </format>
    <format dxfId="1130">
      <pivotArea dataOnly="0" labelOnly="1" fieldPosition="0">
        <references count="1">
          <reference field="48" count="1">
            <x v="9"/>
          </reference>
        </references>
      </pivotArea>
    </format>
    <format dxfId="1131">
      <pivotArea collapsedLevelsAreSubtotals="1" fieldPosition="0">
        <references count="1">
          <reference field="49" count="8"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1132">
      <pivotArea collapsedLevelsAreSubtotals="1" fieldPosition="0">
        <references count="1">
          <reference field="48" count="1">
            <x v="10"/>
          </reference>
        </references>
      </pivotArea>
    </format>
    <format dxfId="1133">
      <pivotArea dataOnly="0" labelOnly="1" fieldPosition="0">
        <references count="1">
          <reference field="48" count="1">
            <x v="10"/>
          </reference>
        </references>
      </pivotArea>
    </format>
    <format dxfId="1134">
      <pivotArea dataOnly="0" labelOnly="1" fieldPosition="0">
        <references count="1">
          <reference field="49" count="1">
            <x v="41"/>
          </reference>
        </references>
      </pivotArea>
    </format>
    <format dxfId="1135">
      <pivotArea dataOnly="0" fieldPosition="0">
        <references count="1">
          <reference field="48" count="1">
            <x v="13"/>
          </reference>
        </references>
      </pivotArea>
    </format>
    <format dxfId="1136">
      <pivotArea outline="0" collapsedLevelsAreSubtotals="1" fieldPosition="0"/>
    </format>
    <format dxfId="1137">
      <pivotArea field="46" type="button" dataOnly="0" labelOnly="1" outline="0" axis="axisRow" fieldPosition="0"/>
    </format>
    <format dxfId="1138">
      <pivotArea dataOnly="0" labelOnly="1" fieldPosition="0">
        <references count="1">
          <reference field="46" count="0"/>
        </references>
      </pivotArea>
    </format>
    <format dxfId="1139">
      <pivotArea dataOnly="0" labelOnly="1" grandRow="1" outline="0" fieldPosition="0"/>
    </format>
    <format dxfId="1140">
      <pivotArea dataOnly="0" labelOnly="1" fieldPosition="0">
        <references count="1">
          <reference field="47" count="0"/>
        </references>
      </pivotArea>
    </format>
    <format dxfId="1141">
      <pivotArea dataOnly="0" labelOnly="1" fieldPosition="0">
        <references count="1">
          <reference field="48" count="1">
            <x v="1"/>
          </reference>
        </references>
      </pivotArea>
    </format>
    <format dxfId="1142">
      <pivotArea dataOnly="0" labelOnly="1" fieldPosition="0">
        <references count="1">
          <reference field="49" count="9"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1143">
      <pivotArea dataOnly="0" labelOnly="1" fieldPosition="0">
        <references count="1">
          <reference field="5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1144">
      <pivotArea dataOnly="0" labelOnly="1" fieldPosition="0">
        <references count="1">
          <reference field="77" count="0"/>
        </references>
      </pivotArea>
    </format>
    <format dxfId="1145">
      <pivotArea dataOnly="0" labelOnly="1" grandCol="1" outline="0" fieldPosition="0"/>
    </format>
    <format dxfId="1146">
      <pivotArea dataOnly="0" labelOnly="1" fieldPosition="0">
        <references count="1">
          <reference field="49" count="0"/>
        </references>
      </pivotArea>
    </format>
    <format dxfId="1147">
      <pivotArea type="all" dataOnly="0" outline="0" fieldPosition="0"/>
    </format>
    <format dxfId="1148">
      <pivotArea collapsedLevelsAreSubtotals="1" fieldPosition="0">
        <references count="2">
          <reference field="47" count="0"/>
          <reference field="77" count="1" selected="0">
            <x v="2"/>
          </reference>
        </references>
      </pivotArea>
    </format>
    <format dxfId="1149">
      <pivotArea collapsedLevelsAreSubtotals="1" fieldPosition="0">
        <references count="2">
          <reference field="47" count="0"/>
          <reference field="77" count="1" selected="0">
            <x v="3"/>
          </reference>
        </references>
      </pivotArea>
    </format>
    <format dxfId="1150">
      <pivotArea collapsedLevelsAreSubtotals="1" fieldPosition="0">
        <references count="2">
          <reference field="47" count="0"/>
          <reference field="77" count="1" selected="0">
            <x v="1"/>
          </reference>
        </references>
      </pivotArea>
    </format>
    <format dxfId="1151">
      <pivotArea dataOnly="0" fieldPosition="0">
        <references count="1">
          <reference field="49" count="1">
            <x v="13"/>
          </reference>
        </references>
      </pivotArea>
    </format>
    <format dxfId="1152">
      <pivotArea dataOnly="0" fieldPosition="0">
        <references count="1">
          <reference field="49" count="1">
            <x v="14"/>
          </reference>
        </references>
      </pivotArea>
    </format>
    <format dxfId="1153">
      <pivotArea dataOnly="0" fieldPosition="0">
        <references count="1">
          <reference field="49" count="1">
            <x v="15"/>
          </reference>
        </references>
      </pivotArea>
    </format>
    <format dxfId="1154">
      <pivotArea dataOnly="0" fieldPosition="0">
        <references count="1">
          <reference field="49" count="1">
            <x v="16"/>
          </reference>
        </references>
      </pivotArea>
    </format>
    <format dxfId="1155">
      <pivotArea dataOnly="0" fieldPosition="0">
        <references count="1">
          <reference field="49" count="1">
            <x v="17"/>
          </reference>
        </references>
      </pivotArea>
    </format>
    <format dxfId="1156">
      <pivotArea dataOnly="0" fieldPosition="0">
        <references count="1">
          <reference field="49" count="1">
            <x v="18"/>
          </reference>
        </references>
      </pivotArea>
    </format>
    <format dxfId="1157">
      <pivotArea dataOnly="0" grandRow="1" fieldPosition="0"/>
    </format>
    <format dxfId="1158">
      <pivotArea collapsedLevelsAreSubtotals="1" fieldPosition="0">
        <references count="1">
          <reference field="49" count="1">
            <x v="19"/>
          </reference>
        </references>
      </pivotArea>
    </format>
    <format dxfId="1159">
      <pivotArea dataOnly="0" labelOnly="1" fieldPosition="0">
        <references count="1">
          <reference field="49" count="1">
            <x v="19"/>
          </reference>
        </references>
      </pivotArea>
    </format>
    <format dxfId="1160">
      <pivotArea collapsedLevelsAreSubtotals="1" fieldPosition="0">
        <references count="1">
          <reference field="49" count="1">
            <x v="21"/>
          </reference>
        </references>
      </pivotArea>
    </format>
    <format dxfId="1161">
      <pivotArea dataOnly="0" labelOnly="1" fieldPosition="0">
        <references count="1">
          <reference field="49" count="1">
            <x v="21"/>
          </reference>
        </references>
      </pivotArea>
    </format>
    <format dxfId="1162">
      <pivotArea collapsedLevelsAreSubtotals="1" fieldPosition="0">
        <references count="1">
          <reference field="49" count="1">
            <x v="19"/>
          </reference>
        </references>
      </pivotArea>
    </format>
    <format dxfId="1163">
      <pivotArea dataOnly="0" labelOnly="1" fieldPosition="0">
        <references count="1">
          <reference field="49" count="1">
            <x v="19"/>
          </reference>
        </references>
      </pivotArea>
    </format>
    <format dxfId="1164">
      <pivotArea dataOnly="0" labelOnly="1" fieldPosition="0">
        <references count="1">
          <reference field="49" count="1">
            <x v="20"/>
          </reference>
        </references>
      </pivotArea>
    </format>
    <format dxfId="1165">
      <pivotArea collapsedLevelsAreSubtotals="1" fieldPosition="0">
        <references count="1">
          <reference field="49" count="1">
            <x v="20"/>
          </reference>
        </references>
      </pivotArea>
    </format>
    <format dxfId="1166">
      <pivotArea collapsedLevelsAreSubtotals="1" fieldPosition="0">
        <references count="1">
          <reference field="48" count="1">
            <x v="14"/>
          </reference>
        </references>
      </pivotArea>
    </format>
    <format dxfId="1167">
      <pivotArea dataOnly="0" labelOnly="1" fieldPosition="0">
        <references count="1">
          <reference field="48" count="1">
            <x v="14"/>
          </reference>
        </references>
      </pivotArea>
    </format>
    <format dxfId="1168">
      <pivotArea collapsedLevelsAreSubtotals="1" fieldPosition="0">
        <references count="1">
          <reference field="48" count="1">
            <x v="14"/>
          </reference>
        </references>
      </pivotArea>
    </format>
    <format dxfId="1169">
      <pivotArea dataOnly="0" labelOnly="1" fieldPosition="0">
        <references count="1">
          <reference field="48" count="1">
            <x v="14"/>
          </reference>
        </references>
      </pivotArea>
    </format>
    <format dxfId="1170">
      <pivotArea dataOnly="0" labelOnly="1" fieldPosition="0">
        <references count="1">
          <reference field="49" count="4">
            <x v="22"/>
            <x v="23"/>
            <x v="24"/>
            <x v="25"/>
          </reference>
        </references>
      </pivotArea>
    </format>
    <format dxfId="1171">
      <pivotArea collapsedLevelsAreSubtotals="1" fieldPosition="0">
        <references count="1">
          <reference field="48" count="1">
            <x v="0"/>
          </reference>
        </references>
      </pivotArea>
    </format>
    <format dxfId="1172">
      <pivotArea dataOnly="0" labelOnly="1" fieldPosition="0">
        <references count="1">
          <reference field="48" count="1">
            <x v="0"/>
          </reference>
        </references>
      </pivotArea>
    </format>
    <format dxfId="1173">
      <pivotArea collapsedLevelsAreSubtotals="1" fieldPosition="0">
        <references count="1">
          <reference field="48" count="1">
            <x v="14"/>
          </reference>
        </references>
      </pivotArea>
    </format>
    <format dxfId="1174">
      <pivotArea dataOnly="0" labelOnly="1" fieldPosition="0">
        <references count="1">
          <reference field="48" count="1">
            <x v="14"/>
          </reference>
        </references>
      </pivotArea>
    </format>
    <format dxfId="1175">
      <pivotArea grandRow="1" outline="0" collapsedLevelsAreSubtotals="1" fieldPosition="0"/>
    </format>
    <format dxfId="1176">
      <pivotArea dataOnly="0" labelOnly="1" grandRow="1" outline="0" fieldPosition="0"/>
    </format>
    <format dxfId="1177">
      <pivotArea dataOnly="0" fieldPosition="0">
        <references count="1">
          <reference field="48" count="1">
            <x v="15"/>
          </reference>
        </references>
      </pivotArea>
    </format>
    <format dxfId="1178">
      <pivotArea collapsedLevelsAreSubtotals="1" fieldPosition="0">
        <references count="1">
          <reference field="48" count="1">
            <x v="16"/>
          </reference>
        </references>
      </pivotArea>
    </format>
    <format dxfId="1179">
      <pivotArea dataOnly="0" labelOnly="1" fieldPosition="0">
        <references count="1">
          <reference field="48" count="1">
            <x v="16"/>
          </reference>
        </references>
      </pivotArea>
    </format>
    <format dxfId="1180">
      <pivotArea collapsedLevelsAreSubtotals="1" fieldPosition="0">
        <references count="1">
          <reference field="47" count="0"/>
        </references>
      </pivotArea>
    </format>
    <format dxfId="1181">
      <pivotArea collapsedLevelsAreSubtotals="1" fieldPosition="0">
        <references count="1">
          <reference field="48" count="1">
            <x v="15"/>
          </reference>
        </references>
      </pivotArea>
    </format>
    <format dxfId="1182">
      <pivotArea collapsedLevelsAreSubtotals="1" fieldPosition="0">
        <references count="1">
          <reference field="49" count="1">
            <x v="5"/>
          </reference>
        </references>
      </pivotArea>
    </format>
    <format dxfId="1183">
      <pivotArea collapsedLevelsAreSubtotals="1" fieldPosition="0">
        <references count="1">
          <reference field="50" count="1">
            <x v="15"/>
          </reference>
        </references>
      </pivotArea>
    </format>
    <format dxfId="1184">
      <pivotArea collapsedLevelsAreSubtotals="1" fieldPosition="0">
        <references count="1">
          <reference field="49" count="1">
            <x v="6"/>
          </reference>
        </references>
      </pivotArea>
    </format>
    <format dxfId="1185">
      <pivotArea collapsedLevelsAreSubtotals="1" fieldPosition="0">
        <references count="1">
          <reference field="49" count="1">
            <x v="7"/>
          </reference>
        </references>
      </pivotArea>
    </format>
    <format dxfId="1186">
      <pivotArea collapsedLevelsAreSubtotals="1" fieldPosition="0">
        <references count="1">
          <reference field="49" count="1">
            <x v="8"/>
          </reference>
        </references>
      </pivotArea>
    </format>
    <format dxfId="1187">
      <pivotArea collapsedLevelsAreSubtotals="1" fieldPosition="0">
        <references count="1">
          <reference field="50" count="1">
            <x v="16"/>
          </reference>
        </references>
      </pivotArea>
    </format>
    <format dxfId="1188">
      <pivotArea collapsedLevelsAreSubtotals="1" fieldPosition="0">
        <references count="1">
          <reference field="50" count="1">
            <x v="17"/>
          </reference>
        </references>
      </pivotArea>
    </format>
    <format dxfId="1189">
      <pivotArea collapsedLevelsAreSubtotals="1" fieldPosition="0">
        <references count="1">
          <reference field="50" count="1">
            <x v="18"/>
          </reference>
        </references>
      </pivotArea>
    </format>
    <format dxfId="1190">
      <pivotArea collapsedLevelsAreSubtotals="1" fieldPosition="0">
        <references count="1">
          <reference field="50" count="1">
            <x v="19"/>
          </reference>
        </references>
      </pivotArea>
    </format>
    <format dxfId="1191">
      <pivotArea collapsedLevelsAreSubtotals="1" fieldPosition="0">
        <references count="1">
          <reference field="49" count="1">
            <x v="9"/>
          </reference>
        </references>
      </pivotArea>
    </format>
    <format dxfId="1192">
      <pivotArea collapsedLevelsAreSubtotals="1" fieldPosition="0">
        <references count="1">
          <reference field="49" count="1">
            <x v="10"/>
          </reference>
        </references>
      </pivotArea>
    </format>
    <format dxfId="1193">
      <pivotArea collapsedLevelsAreSubtotals="1" fieldPosition="0">
        <references count="1">
          <reference field="49" count="1">
            <x v="11"/>
          </reference>
        </references>
      </pivotArea>
    </format>
    <format dxfId="1194">
      <pivotArea collapsedLevelsAreSubtotals="1" fieldPosition="0">
        <references count="1">
          <reference field="49" count="1">
            <x v="12"/>
          </reference>
        </references>
      </pivotArea>
    </format>
    <format dxfId="1195">
      <pivotArea collapsedLevelsAreSubtotals="1" fieldPosition="0">
        <references count="1">
          <reference field="50" count="1">
            <x v="20"/>
          </reference>
        </references>
      </pivotArea>
    </format>
    <format dxfId="1196">
      <pivotArea collapsedLevelsAreSubtotals="1" fieldPosition="0">
        <references count="1">
          <reference field="51" count="4">
            <x v="38"/>
            <x v="39"/>
            <x v="40"/>
            <x v="41"/>
          </reference>
        </references>
      </pivotArea>
    </format>
    <format dxfId="1197">
      <pivotArea collapsedLevelsAreSubtotals="1" fieldPosition="0">
        <references count="1">
          <reference field="50" count="1">
            <x v="21"/>
          </reference>
        </references>
      </pivotArea>
    </format>
    <format dxfId="1198">
      <pivotArea collapsedLevelsAreSubtotals="1" fieldPosition="0">
        <references count="1">
          <reference field="51" count="5">
            <x v="42"/>
            <x v="43"/>
            <x v="44"/>
            <x v="45"/>
            <x v="46"/>
          </reference>
        </references>
      </pivotArea>
    </format>
    <format dxfId="1199">
      <pivotArea collapsedLevelsAreSubtotals="1" fieldPosition="0">
        <references count="1">
          <reference field="48" count="1">
            <x v="16"/>
          </reference>
        </references>
      </pivotArea>
    </format>
    <format dxfId="1200">
      <pivotArea dataOnly="0" labelOnly="1" fieldPosition="0">
        <references count="1">
          <reference field="48" count="2">
            <x v="15"/>
            <x v="16"/>
          </reference>
        </references>
      </pivotArea>
    </format>
    <format dxfId="1201">
      <pivotArea dataOnly="0" labelOnly="1" fieldPosition="0">
        <references count="1">
          <reference field="49" count="8"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02">
      <pivotArea dataOnly="0" labelOnly="1" fieldPosition="0">
        <references count="1">
          <reference field="50" count="7">
            <x v="15"/>
            <x v="16"/>
            <x v="17"/>
            <x v="18"/>
            <x v="19"/>
            <x v="20"/>
            <x v="21"/>
          </reference>
        </references>
      </pivotArea>
    </format>
    <format dxfId="1203">
      <pivotArea dataOnly="0" labelOnly="1" fieldPosition="0">
        <references count="1">
          <reference field="51" count="9">
            <x v="38"/>
            <x v="39"/>
            <x v="40"/>
            <x v="41"/>
            <x v="42"/>
            <x v="43"/>
            <x v="44"/>
            <x v="45"/>
            <x v="46"/>
          </reference>
        </references>
      </pivotArea>
    </format>
    <format dxfId="1204">
      <pivotArea grandRow="1" outline="0" collapsedLevelsAreSubtotals="1" fieldPosition="0"/>
    </format>
    <format dxfId="1205">
      <pivotArea field="77" grandRow="1" outline="0" collapsedLevelsAreSubtotals="1" axis="axisCol" fieldPosition="0">
        <references count="1">
          <reference field="77" count="0" selected="0"/>
        </references>
      </pivotArea>
    </format>
    <format dxfId="1206">
      <pivotArea dataOnly="0" labelOnly="1" grandRow="1" outline="0" fieldPosition="0"/>
    </format>
    <format dxfId="1207">
      <pivotArea grandRow="1" grandCol="1" outline="0" collapsedLevelsAreSubtotals="1" fieldPosition="0"/>
    </format>
    <format dxfId="1208">
      <pivotArea collapsedLevelsAreSubtotals="1" fieldPosition="0">
        <references count="1">
          <reference field="48" count="1">
            <x v="16"/>
          </reference>
        </references>
      </pivotArea>
    </format>
    <format dxfId="1209">
      <pivotArea dataOnly="0" labelOnly="1" fieldPosition="0">
        <references count="1">
          <reference field="48" count="1">
            <x v="16"/>
          </reference>
        </references>
      </pivotArea>
    </format>
    <format dxfId="1210">
      <pivotArea collapsedLevelsAreSubtotals="1" fieldPosition="0">
        <references count="1">
          <reference field="48" count="1">
            <x v="16"/>
          </reference>
        </references>
      </pivotArea>
    </format>
    <format dxfId="1211">
      <pivotArea dataOnly="0" labelOnly="1" fieldPosition="0">
        <references count="1">
          <reference field="48" count="1">
            <x v="16"/>
          </reference>
        </references>
      </pivotArea>
    </format>
    <format dxfId="1212">
      <pivotArea grandRow="1" outline="0" collapsedLevelsAreSubtotals="1" fieldPosition="0"/>
    </format>
    <format dxfId="1213">
      <pivotArea dataOnly="0" labelOnly="1" grandRow="1" outline="0" fieldPosition="0"/>
    </format>
    <format dxfId="1214">
      <pivotArea grandRow="1" outline="0" collapsedLevelsAreSubtotals="1" fieldPosition="0"/>
    </format>
    <format dxfId="1215">
      <pivotArea dataOnly="0" labelOnly="1" grandRow="1" outline="0" fieldPosition="0"/>
    </format>
    <format dxfId="1216">
      <pivotArea grandRow="1" outline="0" collapsedLevelsAreSubtotals="1" fieldPosition="0"/>
    </format>
    <format dxfId="1217">
      <pivotArea dataOnly="0" labelOnly="1" grandRow="1" outline="0" fieldPosition="0"/>
    </format>
    <format dxfId="1218">
      <pivotArea dataOnly="0" labelOnly="1" fieldPosition="0">
        <references count="1">
          <reference field="47" count="0"/>
        </references>
      </pivotArea>
    </format>
    <format dxfId="1219">
      <pivotArea dataOnly="0" labelOnly="1" fieldPosition="0">
        <references count="1">
          <reference field="48" count="1">
            <x v="16"/>
          </reference>
        </references>
      </pivotArea>
    </format>
    <format dxfId="1220">
      <pivotArea outline="0" collapsedLevelsAreSubtotals="1" fieldPosition="0">
        <references count="1">
          <reference field="77" count="1" selected="0">
            <x v="2"/>
          </reference>
        </references>
      </pivotArea>
    </format>
    <format dxfId="1221">
      <pivotArea dataOnly="0" labelOnly="1" outline="0" fieldPosition="0">
        <references count="1">
          <reference field="35" count="0"/>
        </references>
      </pivotArea>
    </format>
    <format dxfId="1222">
      <pivotArea dataOnly="0" labelOnly="1" outline="0" fieldPosition="0">
        <references count="1">
          <reference field="34" count="0"/>
        </references>
      </pivotArea>
    </format>
    <format dxfId="1223">
      <pivotArea dataOnly="0" labelOnly="1" outline="0" fieldPosition="0">
        <references count="1">
          <reference field="44" count="0"/>
        </references>
      </pivotArea>
    </format>
    <format dxfId="1224">
      <pivotArea field="77" type="button" dataOnly="0" labelOnly="1" outline="0" axis="axisCol" fieldPosition="0"/>
    </format>
    <format dxfId="1225">
      <pivotArea dataOnly="0" labelOnly="1" fieldPosition="0">
        <references count="1">
          <reference field="77" count="1">
            <x v="2"/>
          </reference>
        </references>
      </pivotArea>
    </format>
    <format dxfId="1226">
      <pivotArea collapsedLevelsAreSubtotals="1" fieldPosition="0">
        <references count="1">
          <reference field="47" count="0"/>
        </references>
      </pivotArea>
    </format>
    <format dxfId="1227">
      <pivotArea dataOnly="0" labelOnly="1" fieldPosition="0">
        <references count="1">
          <reference field="47" count="0"/>
        </references>
      </pivotArea>
    </format>
    <format dxfId="1228">
      <pivotArea dataOnly="0" labelOnly="1" fieldPosition="0">
        <references count="1">
          <reference field="48" count="1">
            <x v="16"/>
          </reference>
        </references>
      </pivotArea>
    </format>
    <format dxfId="1229">
      <pivotArea grandRow="1" outline="0" collapsedLevelsAreSubtotals="1" fieldPosition="0"/>
    </format>
    <format dxfId="1230">
      <pivotArea dataOnly="0" labelOnly="1" grandRow="1" outline="0" fieldPosition="0"/>
    </format>
    <format dxfId="1231">
      <pivotArea grandCol="1" outline="0" collapsedLevelsAreSubtotals="1" fieldPosition="0"/>
    </format>
    <format dxfId="1232">
      <pivotArea dataOnly="0" labelOnly="1" grandCol="1" outline="0" fieldPosition="0"/>
    </format>
    <format dxfId="1233">
      <pivotArea dataOnly="0" labelOnly="1" fieldPosition="0">
        <references count="1">
          <reference field="50" count="2">
            <x v="9"/>
            <x v="10"/>
          </reference>
        </references>
      </pivotArea>
    </format>
    <format dxfId="1234">
      <pivotArea dataOnly="0" labelOnly="1" fieldPosition="0">
        <references count="1">
          <reference field="50" count="1">
            <x v="9"/>
          </reference>
        </references>
      </pivotArea>
    </format>
    <format dxfId="1235">
      <pivotArea dataOnly="0" labelOnly="1" fieldPosition="0">
        <references count="1">
          <reference field="50" count="2">
            <x v="9"/>
            <x v="10"/>
          </reference>
        </references>
      </pivotArea>
    </format>
    <format dxfId="1236">
      <pivotArea dataOnly="0" labelOnly="1" fieldPosition="0">
        <references count="1">
          <reference field="51" count="4">
            <x v="31"/>
            <x v="35"/>
            <x v="36"/>
            <x v="37"/>
          </reference>
        </references>
      </pivotArea>
    </format>
    <format dxfId="1237">
      <pivotArea dataOnly="0" labelOnly="1" fieldPosition="0">
        <references count="1">
          <reference field="52" count="0"/>
        </references>
      </pivotArea>
    </format>
    <format dxfId="1238">
      <pivotArea dataOnly="0" labelOnly="1" fieldPosition="0">
        <references count="1">
          <reference field="53" count="0"/>
        </references>
      </pivotArea>
    </format>
    <format dxfId="1239">
      <pivotArea dataOnly="0" labelOnly="1" fieldPosition="0">
        <references count="1">
          <reference field="54" count="0"/>
        </references>
      </pivotArea>
    </format>
    <format dxfId="1240">
      <pivotArea collapsedLevelsAreSubtotals="1" fieldPosition="0">
        <references count="1">
          <reference field="50" count="1">
            <x v="10"/>
          </reference>
        </references>
      </pivotArea>
    </format>
    <format dxfId="1241">
      <pivotArea collapsedLevelsAreSubtotals="1" fieldPosition="0">
        <references count="1">
          <reference field="50" count="1">
            <x v="10"/>
          </reference>
        </references>
      </pivotArea>
    </format>
    <format dxfId="1242">
      <pivotArea dataOnly="0" labelOnly="1" fieldPosition="0">
        <references count="1">
          <reference field="50" count="1">
            <x v="10"/>
          </reference>
        </references>
      </pivotArea>
    </format>
    <format dxfId="1243">
      <pivotArea collapsedLevelsAreSubtotals="1" fieldPosition="0">
        <references count="1">
          <reference field="50" count="1">
            <x v="9"/>
          </reference>
        </references>
      </pivotArea>
    </format>
    <format dxfId="1244">
      <pivotArea dataOnly="0" labelOnly="1" fieldPosition="0">
        <references count="1">
          <reference field="50" count="1">
            <x v="9"/>
          </reference>
        </references>
      </pivotArea>
    </format>
    <format dxfId="1245">
      <pivotArea dataOnly="0" labelOnly="1" fieldPosition="0">
        <references count="1">
          <reference field="50" count="2">
            <x v="9"/>
            <x v="10"/>
          </reference>
        </references>
      </pivotArea>
    </format>
    <format dxfId="1246">
      <pivotArea dataOnly="0" labelOnly="1" fieldPosition="0">
        <references count="1">
          <reference field="51" count="4">
            <x v="31"/>
            <x v="35"/>
            <x v="36"/>
            <x v="37"/>
          </reference>
        </references>
      </pivotArea>
    </format>
    <format dxfId="1247">
      <pivotArea dataOnly="0" labelOnly="1" fieldPosition="0">
        <references count="1">
          <reference field="52" count="0"/>
        </references>
      </pivotArea>
    </format>
    <format dxfId="1248">
      <pivotArea dataOnly="0" labelOnly="1" fieldPosition="0">
        <references count="1">
          <reference field="53" count="0"/>
        </references>
      </pivotArea>
    </format>
    <format dxfId="1249">
      <pivotArea dataOnly="0" labelOnly="1" fieldPosition="0">
        <references count="1">
          <reference field="51" count="4">
            <x v="29"/>
            <x v="31"/>
            <x v="33"/>
            <x v="34"/>
          </reference>
        </references>
      </pivotArea>
    </format>
    <format dxfId="1250">
      <pivotArea dataOnly="0" labelOnly="1" fieldPosition="0">
        <references count="1">
          <reference field="49" count="1">
            <x v="3"/>
          </reference>
        </references>
      </pivotArea>
    </format>
    <format dxfId="1251">
      <pivotArea dataOnly="0" labelOnly="1" fieldPosition="0">
        <references count="1">
          <reference field="50" count="1">
            <x v="9"/>
          </reference>
        </references>
      </pivotArea>
    </format>
    <format dxfId="1252">
      <pivotArea dataOnly="0" labelOnly="1" fieldPosition="0">
        <references count="1">
          <reference field="51" count="4">
            <x v="30"/>
            <x v="31"/>
            <x v="32"/>
            <x v="33"/>
          </reference>
        </references>
      </pivotArea>
    </format>
    <format dxfId="1253">
      <pivotArea dataOnly="0" labelOnly="1" grandRow="1" outline="0" fieldPosition="0"/>
    </format>
    <format dxfId="1254">
      <pivotArea dataOnly="0" labelOnly="1" fieldPosition="0">
        <references count="1">
          <reference field="49" count="1">
            <x v="3"/>
          </reference>
        </references>
      </pivotArea>
    </format>
    <format dxfId="1255">
      <pivotArea dataOnly="0" labelOnly="1" fieldPosition="0">
        <references count="1">
          <reference field="50" count="1">
            <x v="9"/>
          </reference>
        </references>
      </pivotArea>
    </format>
    <format dxfId="1256">
      <pivotArea dataOnly="0" labelOnly="1" fieldPosition="0">
        <references count="1">
          <reference field="51" count="5">
            <x v="29"/>
            <x v="30"/>
            <x v="31"/>
            <x v="32"/>
            <x v="33"/>
          </reference>
        </references>
      </pivotArea>
    </format>
    <format dxfId="1257">
      <pivotArea dataOnly="0" labelOnly="1" fieldPosition="0">
        <references count="1">
          <reference field="49" count="1">
            <x v="2"/>
          </reference>
        </references>
      </pivotArea>
    </format>
    <format dxfId="1258">
      <pivotArea dataOnly="0" labelOnly="1" fieldPosition="0">
        <references count="1">
          <reference field="50" count="1">
            <x v="5"/>
          </reference>
        </references>
      </pivotArea>
    </format>
    <format dxfId="1259">
      <pivotArea dataOnly="0" labelOnly="1" fieldPosition="0">
        <references count="1">
          <reference field="51" count="2">
            <x v="27"/>
            <x v="28"/>
          </reference>
        </references>
      </pivotArea>
    </format>
    <format dxfId="1260">
      <pivotArea dataOnly="0" labelOnly="1" fieldPosition="0">
        <references count="1">
          <reference field="52" count="4">
            <x v="19"/>
            <x v="20"/>
            <x v="21"/>
            <x v="22"/>
          </reference>
        </references>
      </pivotArea>
    </format>
    <format dxfId="1261">
      <pivotArea dataOnly="0" labelOnly="1" fieldPosition="0">
        <references count="1">
          <reference field="49" count="1">
            <x v="2"/>
          </reference>
        </references>
      </pivotArea>
    </format>
    <format dxfId="1262">
      <pivotArea dataOnly="0" labelOnly="1" fieldPosition="0">
        <references count="1">
          <reference field="50" count="1">
            <x v="5"/>
          </reference>
        </references>
      </pivotArea>
    </format>
    <format dxfId="1263">
      <pivotArea dataOnly="0" labelOnly="1" fieldPosition="0">
        <references count="1">
          <reference field="49" count="1">
            <x v="2"/>
          </reference>
        </references>
      </pivotArea>
    </format>
    <format dxfId="1264">
      <pivotArea dataOnly="0" labelOnly="1" fieldPosition="0">
        <references count="1">
          <reference field="50" count="1">
            <x v="5"/>
          </reference>
        </references>
      </pivotArea>
    </format>
    <format dxfId="1265">
      <pivotArea dataOnly="0" labelOnly="1" fieldPosition="0">
        <references count="1">
          <reference field="51" count="1">
            <x v="15"/>
          </reference>
        </references>
      </pivotArea>
    </format>
    <format dxfId="1266">
      <pivotArea dataOnly="0" labelOnly="1" fieldPosition="0">
        <references count="1">
          <reference field="49" count="1">
            <x v="2"/>
          </reference>
        </references>
      </pivotArea>
    </format>
    <format dxfId="1267">
      <pivotArea dataOnly="0" labelOnly="1" fieldPosition="0">
        <references count="1">
          <reference field="50" count="2">
            <x v="5"/>
            <x v="6"/>
          </reference>
        </references>
      </pivotArea>
    </format>
    <format dxfId="1268">
      <pivotArea dataOnly="0" labelOnly="1" fieldPosition="0">
        <references count="1">
          <reference field="51" count="1">
            <x v="15"/>
          </reference>
        </references>
      </pivotArea>
    </format>
    <format dxfId="1269">
      <pivotArea dataOnly="0" labelOnly="1" fieldPosition="0">
        <references count="1">
          <reference field="49" count="1">
            <x v="2"/>
          </reference>
        </references>
      </pivotArea>
    </format>
    <format dxfId="1270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271">
      <pivotArea dataOnly="0" labelOnly="1" fieldPosition="0">
        <references count="1">
          <reference field="51" count="1">
            <x v="15"/>
          </reference>
        </references>
      </pivotArea>
    </format>
    <format dxfId="1272">
      <pivotArea dataOnly="0" labelOnly="1" fieldPosition="0">
        <references count="1">
          <reference field="49" count="1">
            <x v="2"/>
          </reference>
        </references>
      </pivotArea>
    </format>
    <format dxfId="1273">
      <pivotArea dataOnly="0" labelOnly="1" fieldPosition="0">
        <references count="1">
          <reference field="50" count="1">
            <x v="5"/>
          </reference>
        </references>
      </pivotArea>
    </format>
    <format dxfId="1274">
      <pivotArea dataOnly="0" labelOnly="1" fieldPosition="0">
        <references count="1">
          <reference field="50" count="1">
            <x v="7"/>
          </reference>
        </references>
      </pivotArea>
    </format>
    <format dxfId="1275">
      <pivotArea dataOnly="0" labelOnly="1" fieldPosition="0">
        <references count="1">
          <reference field="49" count="1">
            <x v="2"/>
          </reference>
        </references>
      </pivotArea>
    </format>
    <format dxfId="1276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277">
      <pivotArea dataOnly="0" labelOnly="1" fieldPosition="0">
        <references count="1">
          <reference field="51" count="2">
            <x v="15"/>
            <x v="16"/>
          </reference>
        </references>
      </pivotArea>
    </format>
    <format dxfId="1278">
      <pivotArea dataOnly="0" labelOnly="1" fieldPosition="0">
        <references count="1">
          <reference field="49" count="1">
            <x v="2"/>
          </reference>
        </references>
      </pivotArea>
    </format>
    <format dxfId="1279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280">
      <pivotArea dataOnly="0" labelOnly="1" fieldPosition="0">
        <references count="1">
          <reference field="51" count="2">
            <x v="15"/>
            <x v="16"/>
          </reference>
        </references>
      </pivotArea>
    </format>
    <format dxfId="1281">
      <pivotArea dataOnly="0" labelOnly="1" fieldPosition="0">
        <references count="1">
          <reference field="52" count="1">
            <x v="18"/>
          </reference>
        </references>
      </pivotArea>
    </format>
    <format dxfId="1282">
      <pivotArea dataOnly="0" labelOnly="1" fieldPosition="0">
        <references count="1">
          <reference field="49" count="1">
            <x v="2"/>
          </reference>
        </references>
      </pivotArea>
    </format>
    <format dxfId="1283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284">
      <pivotArea dataOnly="0" labelOnly="1" fieldPosition="0">
        <references count="1">
          <reference field="51" count="1">
            <x v="15"/>
          </reference>
        </references>
      </pivotArea>
    </format>
    <format dxfId="1285">
      <pivotArea dataOnly="0" labelOnly="1" fieldPosition="0">
        <references count="1">
          <reference field="49" count="1">
            <x v="2"/>
          </reference>
        </references>
      </pivotArea>
    </format>
    <format dxfId="1286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287">
      <pivotArea dataOnly="0" labelOnly="1" fieldPosition="0">
        <references count="1">
          <reference field="51" count="2">
            <x v="15"/>
            <x v="16"/>
          </reference>
        </references>
      </pivotArea>
    </format>
    <format dxfId="1288">
      <pivotArea dataOnly="0" labelOnly="1" fieldPosition="0">
        <references count="1">
          <reference field="52" count="1">
            <x v="17"/>
          </reference>
        </references>
      </pivotArea>
    </format>
    <format dxfId="1289">
      <pivotArea dataOnly="0" labelOnly="1" fieldPosition="0">
        <references count="1">
          <reference field="49" count="1">
            <x v="2"/>
          </reference>
        </references>
      </pivotArea>
    </format>
    <format dxfId="1290">
      <pivotArea dataOnly="0" labelOnly="1" fieldPosition="0">
        <references count="1">
          <reference field="50" count="2">
            <x v="7"/>
            <x v="8"/>
          </reference>
        </references>
      </pivotArea>
    </format>
    <format dxfId="1291">
      <pivotArea dataOnly="0" labelOnly="1" fieldPosition="0">
        <references count="1">
          <reference field="51" count="2">
            <x v="23"/>
            <x v="24"/>
          </reference>
        </references>
      </pivotArea>
    </format>
    <format dxfId="1292">
      <pivotArea dataOnly="0" labelOnly="1" fieldPosition="0">
        <references count="1">
          <reference field="51" count="1">
            <x v="25"/>
          </reference>
        </references>
      </pivotArea>
    </format>
    <format dxfId="1293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294">
      <pivotArea dataOnly="0" labelOnly="1" fieldPosition="0">
        <references count="1">
          <reference field="52" count="7">
            <x v="9"/>
            <x v="10"/>
            <x v="11"/>
            <x v="12"/>
            <x v="13"/>
            <x v="14"/>
            <x v="15"/>
          </reference>
        </references>
      </pivotArea>
    </format>
    <format dxfId="1295">
      <pivotArea dataOnly="0" labelOnly="1" fieldPosition="0">
        <references count="1">
          <reference field="53" count="0"/>
        </references>
      </pivotArea>
    </format>
    <format dxfId="1296">
      <pivotArea dataOnly="0" labelOnly="1" fieldPosition="0">
        <references count="1">
          <reference field="51" count="1">
            <x v="23"/>
          </reference>
        </references>
      </pivotArea>
    </format>
    <format dxfId="1297">
      <pivotArea dataOnly="0" labelOnly="1" fieldPosition="0">
        <references count="1">
          <reference field="51" count="1">
            <x v="24"/>
          </reference>
        </references>
      </pivotArea>
    </format>
    <format dxfId="1298">
      <pivotArea dataOnly="0" labelOnly="1" fieldPosition="0">
        <references count="1">
          <reference field="50" count="1">
            <x v="8"/>
          </reference>
        </references>
      </pivotArea>
    </format>
    <format dxfId="1299">
      <pivotArea dataOnly="0" labelOnly="1" fieldPosition="0">
        <references count="1">
          <reference field="50" count="1">
            <x v="8"/>
          </reference>
        </references>
      </pivotArea>
    </format>
    <format dxfId="1300">
      <pivotArea collapsedLevelsAreSubtotals="1" fieldPosition="0">
        <references count="1">
          <reference field="49" count="1">
            <x v="2"/>
          </reference>
        </references>
      </pivotArea>
    </format>
    <format dxfId="1301">
      <pivotArea collapsedLevelsAreSubtotals="1" fieldPosition="0">
        <references count="1">
          <reference field="50" count="1">
            <x v="7"/>
          </reference>
        </references>
      </pivotArea>
    </format>
    <format dxfId="1302">
      <pivotArea collapsedLevelsAreSubtotals="1" fieldPosition="0">
        <references count="1">
          <reference field="51" count="1">
            <x v="24"/>
          </reference>
        </references>
      </pivotArea>
    </format>
    <format dxfId="1303">
      <pivotArea collapsedLevelsAreSubtotals="1" fieldPosition="0">
        <references count="1">
          <reference field="50" count="1">
            <x v="8"/>
          </reference>
        </references>
      </pivotArea>
    </format>
    <format dxfId="1304">
      <pivotArea dataOnly="0" labelOnly="1" fieldPosition="0">
        <references count="1">
          <reference field="50" count="1">
            <x v="8"/>
          </reference>
        </references>
      </pivotArea>
    </format>
    <format dxfId="1305">
      <pivotArea dataOnly="0" labelOnly="1" fieldPosition="0">
        <references count="1">
          <reference field="50" count="1">
            <x v="7"/>
          </reference>
        </references>
      </pivotArea>
    </format>
    <format dxfId="1306">
      <pivotArea dataOnly="0" labelOnly="1" fieldPosition="0">
        <references count="1">
          <reference field="51" count="1">
            <x v="23"/>
          </reference>
        </references>
      </pivotArea>
    </format>
    <format dxfId="1307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08">
      <pivotArea dataOnly="0" labelOnly="1" fieldPosition="0">
        <references count="1">
          <reference field="50" count="1">
            <x v="7"/>
          </reference>
        </references>
      </pivotArea>
    </format>
    <format dxfId="1309">
      <pivotArea dataOnly="0" labelOnly="1" fieldPosition="0">
        <references count="1">
          <reference field="51" count="1">
            <x v="23"/>
          </reference>
        </references>
      </pivotArea>
    </format>
    <format dxfId="1310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11">
      <pivotArea dataOnly="0" labelOnly="1" fieldPosition="0">
        <references count="1">
          <reference field="50" count="1">
            <x v="7"/>
          </reference>
        </references>
      </pivotArea>
    </format>
    <format dxfId="1312">
      <pivotArea dataOnly="0" labelOnly="1" fieldPosition="0">
        <references count="1">
          <reference field="51" count="1">
            <x v="23"/>
          </reference>
        </references>
      </pivotArea>
    </format>
    <format dxfId="1313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14">
      <pivotArea dataOnly="0" labelOnly="1" fieldPosition="0">
        <references count="1">
          <reference field="50" count="1">
            <x v="7"/>
          </reference>
        </references>
      </pivotArea>
    </format>
    <format dxfId="1315">
      <pivotArea dataOnly="0" labelOnly="1" fieldPosition="0">
        <references count="1">
          <reference field="51" count="1">
            <x v="23"/>
          </reference>
        </references>
      </pivotArea>
    </format>
    <format dxfId="1316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17">
      <pivotArea dataOnly="0" labelOnly="1" fieldPosition="0">
        <references count="1">
          <reference field="50" count="1">
            <x v="7"/>
          </reference>
        </references>
      </pivotArea>
    </format>
    <format dxfId="1318">
      <pivotArea dataOnly="0" labelOnly="1" fieldPosition="0">
        <references count="1">
          <reference field="51" count="1">
            <x v="23"/>
          </reference>
        </references>
      </pivotArea>
    </format>
    <format dxfId="1319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20">
      <pivotArea dataOnly="0" labelOnly="1" fieldPosition="0">
        <references count="1">
          <reference field="50" count="1">
            <x v="7"/>
          </reference>
        </references>
      </pivotArea>
    </format>
    <format dxfId="1321">
      <pivotArea dataOnly="0" labelOnly="1" fieldPosition="0">
        <references count="1">
          <reference field="51" count="1">
            <x v="23"/>
          </reference>
        </references>
      </pivotArea>
    </format>
    <format dxfId="1322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23">
      <pivotArea dataOnly="0" labelOnly="1" fieldPosition="0">
        <references count="1">
          <reference field="50" count="1">
            <x v="7"/>
          </reference>
        </references>
      </pivotArea>
    </format>
    <format dxfId="1324">
      <pivotArea dataOnly="0" labelOnly="1" fieldPosition="0">
        <references count="1">
          <reference field="51" count="1">
            <x v="23"/>
          </reference>
        </references>
      </pivotArea>
    </format>
    <format dxfId="1325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26">
      <pivotArea dataOnly="0" labelOnly="1" fieldPosition="0">
        <references count="1">
          <reference field="51" count="1">
            <x v="23"/>
          </reference>
        </references>
      </pivotArea>
    </format>
    <format dxfId="1327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28">
      <pivotArea dataOnly="0" labelOnly="1" fieldPosition="0">
        <references count="1">
          <reference field="51" count="1">
            <x v="23"/>
          </reference>
        </references>
      </pivotArea>
    </format>
    <format dxfId="1329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30">
      <pivotArea dataOnly="0" labelOnly="1" fieldPosition="0">
        <references count="1">
          <reference field="51" count="1">
            <x v="24"/>
          </reference>
        </references>
      </pivotArea>
    </format>
    <format dxfId="1331">
      <pivotArea dataOnly="0" labelOnly="1" fieldPosition="0">
        <references count="1">
          <reference field="52" count="7">
            <x v="9"/>
            <x v="10"/>
            <x v="11"/>
            <x v="12"/>
            <x v="13"/>
            <x v="14"/>
            <x v="15"/>
          </reference>
        </references>
      </pivotArea>
    </format>
    <format dxfId="1332">
      <pivotArea dataOnly="0" labelOnly="1" fieldPosition="0">
        <references count="1">
          <reference field="53" count="0"/>
        </references>
      </pivotArea>
    </format>
    <format dxfId="1333">
      <pivotArea dataOnly="0" labelOnly="1" fieldPosition="0">
        <references count="1">
          <reference field="51" count="1">
            <x v="24"/>
          </reference>
        </references>
      </pivotArea>
    </format>
    <format dxfId="1334">
      <pivotArea dataOnly="0" labelOnly="1" fieldPosition="0">
        <references count="1">
          <reference field="52" count="7">
            <x v="9"/>
            <x v="10"/>
            <x v="11"/>
            <x v="12"/>
            <x v="13"/>
            <x v="14"/>
            <x v="15"/>
          </reference>
        </references>
      </pivotArea>
    </format>
    <format dxfId="1335">
      <pivotArea dataOnly="0" labelOnly="1" fieldPosition="0">
        <references count="1">
          <reference field="53" count="0"/>
        </references>
      </pivotArea>
    </format>
    <format dxfId="1336">
      <pivotArea dataOnly="0" labelOnly="1" fieldPosition="0">
        <references count="1">
          <reference field="51" count="1">
            <x v="25"/>
          </reference>
        </references>
      </pivotArea>
    </format>
    <format dxfId="1337">
      <pivotArea dataOnly="0" labelOnly="1" fieldPosition="0">
        <references count="1">
          <reference field="51" count="1">
            <x v="25"/>
          </reference>
        </references>
      </pivotArea>
    </format>
    <format dxfId="1338">
      <pivotArea dataOnly="0" labelOnly="1" fieldPosition="0">
        <references count="1">
          <reference field="48" count="1">
            <x v="16"/>
          </reference>
        </references>
      </pivotArea>
    </format>
    <format dxfId="1339">
      <pivotArea dataOnly="0" labelOnly="1" fieldPosition="0">
        <references count="1">
          <reference field="49" count="1">
            <x v="2"/>
          </reference>
        </references>
      </pivotArea>
    </format>
    <format dxfId="1340">
      <pivotArea dataOnly="0" labelOnly="1" fieldPosition="0">
        <references count="1">
          <reference field="50" count="3">
            <x v="5"/>
            <x v="7"/>
            <x v="8"/>
          </reference>
        </references>
      </pivotArea>
    </format>
    <format dxfId="1341">
      <pivotArea dataOnly="0" labelOnly="1" fieldPosition="0">
        <references count="1">
          <reference field="51" count="1">
            <x v="17"/>
          </reference>
        </references>
      </pivotArea>
    </format>
    <format dxfId="1342">
      <pivotArea dataOnly="0" labelOnly="1" fieldPosition="0">
        <references count="1">
          <reference field="51" count="2">
            <x v="23"/>
            <x v="24"/>
          </reference>
        </references>
      </pivotArea>
    </format>
    <format dxfId="1343">
      <pivotArea dataOnly="0" labelOnly="1" fieldPosition="0">
        <references count="1">
          <reference field="51" count="1">
            <x v="25"/>
          </reference>
        </references>
      </pivotArea>
    </format>
    <format dxfId="1344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45">
      <pivotArea dataOnly="0" labelOnly="1" fieldPosition="0">
        <references count="1">
          <reference field="52" count="7">
            <x v="9"/>
            <x v="10"/>
            <x v="11"/>
            <x v="12"/>
            <x v="13"/>
            <x v="14"/>
            <x v="15"/>
          </reference>
        </references>
      </pivotArea>
    </format>
    <format dxfId="1346">
      <pivotArea dataOnly="0" labelOnly="1" fieldPosition="0">
        <references count="1">
          <reference field="53" count="0"/>
        </references>
      </pivotArea>
    </format>
    <format dxfId="1347">
      <pivotArea dataOnly="0" labelOnly="1" fieldPosition="0">
        <references count="1">
          <reference field="50" count="1">
            <x v="7"/>
          </reference>
        </references>
      </pivotArea>
    </format>
    <format dxfId="1348">
      <pivotArea dataOnly="0" labelOnly="1" fieldPosition="0">
        <references count="1">
          <reference field="49" count="1">
            <x v="2"/>
          </reference>
        </references>
      </pivotArea>
    </format>
    <format dxfId="1349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350">
      <pivotArea dataOnly="0" labelOnly="1" fieldPosition="0">
        <references count="1">
          <reference field="51" count="1">
            <x v="18"/>
          </reference>
        </references>
      </pivotArea>
    </format>
    <format dxfId="1351">
      <pivotArea dataOnly="0" labelOnly="1" fieldPosition="0">
        <references count="1">
          <reference field="51" count="2">
            <x v="23"/>
            <x v="24"/>
          </reference>
        </references>
      </pivotArea>
    </format>
    <format dxfId="1352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53">
      <pivotArea dataOnly="0" labelOnly="1" fieldPosition="0">
        <references count="1">
          <reference field="52" count="7">
            <x v="9"/>
            <x v="10"/>
            <x v="11"/>
            <x v="12"/>
            <x v="13"/>
            <x v="14"/>
            <x v="15"/>
          </reference>
        </references>
      </pivotArea>
    </format>
    <format dxfId="1354">
      <pivotArea dataOnly="0" labelOnly="1" fieldPosition="0">
        <references count="1">
          <reference field="53" count="0"/>
        </references>
      </pivotArea>
    </format>
    <format dxfId="1355">
      <pivotArea dataOnly="0" labelOnly="1" fieldPosition="0">
        <references count="1">
          <reference field="49" count="1">
            <x v="2"/>
          </reference>
        </references>
      </pivotArea>
    </format>
    <format dxfId="1356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357">
      <pivotArea dataOnly="0" labelOnly="1" fieldPosition="0">
        <references count="1">
          <reference field="51" count="1">
            <x v="18"/>
          </reference>
        </references>
      </pivotArea>
    </format>
    <format dxfId="1358">
      <pivotArea dataOnly="0" labelOnly="1" fieldPosition="0">
        <references count="1">
          <reference field="51" count="2">
            <x v="23"/>
            <x v="24"/>
          </reference>
        </references>
      </pivotArea>
    </format>
    <format dxfId="1359">
      <pivotArea dataOnly="0" labelOnly="1" fieldPosition="0">
        <references count="1">
          <reference field="52" count="1">
            <x v="16"/>
          </reference>
        </references>
      </pivotArea>
    </format>
    <format dxfId="1360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61">
      <pivotArea dataOnly="0" labelOnly="1" fieldPosition="0">
        <references count="1">
          <reference field="52" count="7">
            <x v="9"/>
            <x v="10"/>
            <x v="11"/>
            <x v="12"/>
            <x v="13"/>
            <x v="14"/>
            <x v="15"/>
          </reference>
        </references>
      </pivotArea>
    </format>
    <format dxfId="1362">
      <pivotArea dataOnly="0" labelOnly="1" fieldPosition="0">
        <references count="1">
          <reference field="53" count="0"/>
        </references>
      </pivotArea>
    </format>
    <format dxfId="1363">
      <pivotArea dataOnly="0" labelOnly="1" fieldPosition="0">
        <references count="1">
          <reference field="49" count="1">
            <x v="2"/>
          </reference>
        </references>
      </pivotArea>
    </format>
    <format dxfId="1364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365">
      <pivotArea dataOnly="0" labelOnly="1" fieldPosition="0">
        <references count="1">
          <reference field="51" count="1">
            <x v="18"/>
          </reference>
        </references>
      </pivotArea>
    </format>
    <format dxfId="1366">
      <pivotArea dataOnly="0" labelOnly="1" fieldPosition="0">
        <references count="1">
          <reference field="51" count="2">
            <x v="23"/>
            <x v="24"/>
          </reference>
        </references>
      </pivotArea>
    </format>
    <format dxfId="1367">
      <pivotArea dataOnly="0" labelOnly="1" fieldPosition="0">
        <references count="1">
          <reference field="52" count="1">
            <x v="16"/>
          </reference>
        </references>
      </pivotArea>
    </format>
    <format dxfId="1368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69">
      <pivotArea dataOnly="0" labelOnly="1" fieldPosition="0">
        <references count="1">
          <reference field="52" count="5">
            <x v="9"/>
            <x v="10"/>
            <x v="11"/>
            <x v="12"/>
            <x v="13"/>
          </reference>
        </references>
      </pivotArea>
    </format>
    <format dxfId="1370">
      <pivotArea dataOnly="0" labelOnly="1" fieldPosition="0">
        <references count="1">
          <reference field="53" count="0"/>
        </references>
      </pivotArea>
    </format>
    <format dxfId="1371">
      <pivotArea dataOnly="0" labelOnly="1" fieldPosition="0">
        <references count="1">
          <reference field="49" count="1">
            <x v="2"/>
          </reference>
        </references>
      </pivotArea>
    </format>
    <format dxfId="1372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373">
      <pivotArea dataOnly="0" labelOnly="1" fieldPosition="0">
        <references count="1">
          <reference field="51" count="1">
            <x v="18"/>
          </reference>
        </references>
      </pivotArea>
    </format>
    <format dxfId="1374">
      <pivotArea dataOnly="0" labelOnly="1" fieldPosition="0">
        <references count="1">
          <reference field="51" count="1">
            <x v="23"/>
          </reference>
        </references>
      </pivotArea>
    </format>
    <format dxfId="1375">
      <pivotArea dataOnly="0" labelOnly="1" fieldPosition="0">
        <references count="1">
          <reference field="52" count="1">
            <x v="16"/>
          </reference>
        </references>
      </pivotArea>
    </format>
    <format dxfId="1376">
      <pivotArea dataOnly="0" labelOnly="1" fieldPosition="0">
        <references count="1">
          <reference field="52" count="1">
            <x v="5"/>
          </reference>
        </references>
      </pivotArea>
    </format>
    <format dxfId="1377">
      <pivotArea collapsedLevelsAreSubtotals="1" fieldPosition="0">
        <references count="1">
          <reference field="50" count="1">
            <x v="5"/>
          </reference>
        </references>
      </pivotArea>
    </format>
    <format dxfId="1378">
      <pivotArea collapsedLevelsAreSubtotals="1" fieldPosition="0">
        <references count="1">
          <reference field="50" count="1">
            <x v="5"/>
          </reference>
        </references>
      </pivotArea>
    </format>
    <format dxfId="1379">
      <pivotArea collapsedLevelsAreSubtotals="1" fieldPosition="0">
        <references count="1">
          <reference field="50" count="1">
            <x v="5"/>
          </reference>
        </references>
      </pivotArea>
    </format>
    <format dxfId="1380">
      <pivotArea dataOnly="0" labelOnly="1" fieldPosition="0">
        <references count="1">
          <reference field="51" count="1">
            <x v="24"/>
          </reference>
        </references>
      </pivotArea>
    </format>
    <format dxfId="1381">
      <pivotArea dataOnly="0" labelOnly="1" fieldPosition="0">
        <references count="1">
          <reference field="52" count="1">
            <x v="8"/>
          </reference>
        </references>
      </pivotArea>
    </format>
    <format dxfId="1382">
      <pivotArea dataOnly="0" labelOnly="1" fieldPosition="0">
        <references count="1">
          <reference field="52" count="6">
            <x v="9"/>
            <x v="10"/>
            <x v="11"/>
            <x v="12"/>
            <x v="13"/>
            <x v="14"/>
          </reference>
        </references>
      </pivotArea>
    </format>
    <format dxfId="1383">
      <pivotArea dataOnly="0" labelOnly="1" fieldPosition="0">
        <references count="1">
          <reference field="53" count="0"/>
        </references>
      </pivotArea>
    </format>
    <format dxfId="1384">
      <pivotArea dataOnly="0" labelOnly="1" fieldPosition="0">
        <references count="1">
          <reference field="49" count="1">
            <x v="2"/>
          </reference>
        </references>
      </pivotArea>
    </format>
    <format dxfId="1385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386">
      <pivotArea dataOnly="0" labelOnly="1" fieldPosition="0">
        <references count="1">
          <reference field="51" count="4">
            <x v="18"/>
            <x v="19"/>
            <x v="20"/>
            <x v="21"/>
          </reference>
        </references>
      </pivotArea>
    </format>
    <format dxfId="1387">
      <pivotArea dataOnly="0" labelOnly="1" fieldPosition="0">
        <references count="1">
          <reference field="51" count="2">
            <x v="23"/>
            <x v="24"/>
          </reference>
        </references>
      </pivotArea>
    </format>
    <format dxfId="1388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389">
      <pivotArea dataOnly="0" labelOnly="1" fieldPosition="0">
        <references count="1">
          <reference field="52" count="6">
            <x v="9"/>
            <x v="10"/>
            <x v="11"/>
            <x v="12"/>
            <x v="13"/>
            <x v="14"/>
          </reference>
        </references>
      </pivotArea>
    </format>
    <format dxfId="1390">
      <pivotArea dataOnly="0" labelOnly="1" fieldPosition="0">
        <references count="1">
          <reference field="53" count="0"/>
        </references>
      </pivotArea>
    </format>
    <format dxfId="1391">
      <pivotArea dataOnly="0" labelOnly="1" fieldPosition="0">
        <references count="1">
          <reference field="50" count="1">
            <x v="5"/>
          </reference>
        </references>
      </pivotArea>
    </format>
    <format dxfId="1392">
      <pivotArea collapsedLevelsAreSubtotals="1" fieldPosition="0">
        <references count="1">
          <reference field="50" count="1">
            <x v="5"/>
          </reference>
        </references>
      </pivotArea>
    </format>
    <format dxfId="1393">
      <pivotArea dataOnly="0" labelOnly="1" fieldPosition="0">
        <references count="1">
          <reference field="50" count="1">
            <x v="5"/>
          </reference>
        </references>
      </pivotArea>
    </format>
    <format dxfId="1394">
      <pivotArea collapsedLevelsAreSubtotals="1" fieldPosition="0">
        <references count="1">
          <reference field="51" count="1">
            <x v="23"/>
          </reference>
        </references>
      </pivotArea>
    </format>
    <format dxfId="1395">
      <pivotArea dataOnly="0" labelOnly="1" fieldPosition="0">
        <references count="1">
          <reference field="51" count="1">
            <x v="23"/>
          </reference>
        </references>
      </pivotArea>
    </format>
    <format dxfId="1396">
      <pivotArea dataOnly="0" labelOnly="1" fieldPosition="0">
        <references count="1">
          <reference field="49" count="1">
            <x v="2"/>
          </reference>
        </references>
      </pivotArea>
    </format>
    <format dxfId="1397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398">
      <pivotArea dataOnly="0" labelOnly="1" fieldPosition="0">
        <references count="1">
          <reference field="51" count="4">
            <x v="18"/>
            <x v="19"/>
            <x v="20"/>
            <x v="22"/>
          </reference>
        </references>
      </pivotArea>
    </format>
    <format dxfId="1399">
      <pivotArea dataOnly="0" labelOnly="1" fieldPosition="0">
        <references count="1">
          <reference field="51" count="2">
            <x v="23"/>
            <x v="24"/>
          </reference>
        </references>
      </pivotArea>
    </format>
    <format dxfId="1400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401">
      <pivotArea dataOnly="0" labelOnly="1" fieldPosition="0">
        <references count="1">
          <reference field="52" count="2">
            <x v="9"/>
            <x v="10"/>
          </reference>
        </references>
      </pivotArea>
    </format>
    <format dxfId="1402">
      <pivotArea dataOnly="0" labelOnly="1" fieldPosition="0">
        <references count="1">
          <reference field="49" count="1">
            <x v="2"/>
          </reference>
        </references>
      </pivotArea>
    </format>
    <format dxfId="1403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404">
      <pivotArea dataOnly="0" labelOnly="1" fieldPosition="0">
        <references count="1">
          <reference field="51" count="4">
            <x v="18"/>
            <x v="19"/>
            <x v="20"/>
            <x v="22"/>
          </reference>
        </references>
      </pivotArea>
    </format>
    <format dxfId="1405">
      <pivotArea dataOnly="0" labelOnly="1" fieldPosition="0">
        <references count="1">
          <reference field="51" count="2">
            <x v="23"/>
            <x v="24"/>
          </reference>
        </references>
      </pivotArea>
    </format>
    <format dxfId="1406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407">
      <pivotArea dataOnly="0" labelOnly="1" fieldPosition="0">
        <references count="1">
          <reference field="52" count="5">
            <x v="9"/>
            <x v="10"/>
            <x v="11"/>
            <x v="12"/>
            <x v="13"/>
          </reference>
        </references>
      </pivotArea>
    </format>
    <format dxfId="1408">
      <pivotArea dataOnly="0" labelOnly="1" fieldPosition="0">
        <references count="1">
          <reference field="53" count="0"/>
        </references>
      </pivotArea>
    </format>
    <format dxfId="1409">
      <pivotArea collapsedLevelsAreSubtotals="1" fieldPosition="0">
        <references count="1">
          <reference field="48" count="1">
            <x v="16"/>
          </reference>
        </references>
      </pivotArea>
    </format>
    <format dxfId="1410">
      <pivotArea collapsedLevelsAreSubtotals="1" fieldPosition="0">
        <references count="1">
          <reference field="49" count="1">
            <x v="2"/>
          </reference>
        </references>
      </pivotArea>
    </format>
    <format dxfId="1411">
      <pivotArea collapsedLevelsAreSubtotals="1" fieldPosition="0">
        <references count="1">
          <reference field="50" count="1">
            <x v="5"/>
          </reference>
        </references>
      </pivotArea>
    </format>
    <format dxfId="1412">
      <pivotArea collapsedLevelsAreSubtotals="1" fieldPosition="0">
        <references count="1">
          <reference field="51" count="1">
            <x v="26"/>
          </reference>
        </references>
      </pivotArea>
    </format>
    <format dxfId="1413">
      <pivotArea collapsedLevelsAreSubtotals="1" fieldPosition="0">
        <references count="1">
          <reference field="50" count="1">
            <x v="7"/>
          </reference>
        </references>
      </pivotArea>
    </format>
    <format dxfId="1414">
      <pivotArea collapsedLevelsAreSubtotals="1" fieldPosition="0">
        <references count="1">
          <reference field="51" count="1">
            <x v="23"/>
          </reference>
        </references>
      </pivotArea>
    </format>
    <format dxfId="1415">
      <pivotArea collapsedLevelsAreSubtotals="1" fieldPosition="0">
        <references count="1">
          <reference field="52" count="1">
            <x v="5"/>
          </reference>
        </references>
      </pivotArea>
    </format>
    <format dxfId="1416">
      <pivotArea collapsedLevelsAreSubtotals="1" fieldPosition="0">
        <references count="1">
          <reference field="52" count="1">
            <x v="6"/>
          </reference>
        </references>
      </pivotArea>
    </format>
    <format dxfId="1417">
      <pivotArea collapsedLevelsAreSubtotals="1" fieldPosition="0">
        <references count="1">
          <reference field="52" count="1">
            <x v="7"/>
          </reference>
        </references>
      </pivotArea>
    </format>
    <format dxfId="1418">
      <pivotArea collapsedLevelsAreSubtotals="1" fieldPosition="0">
        <references count="1">
          <reference field="52" count="1">
            <x v="8"/>
          </reference>
        </references>
      </pivotArea>
    </format>
    <format dxfId="1419">
      <pivotArea collapsedLevelsAreSubtotals="1" fieldPosition="0">
        <references count="1">
          <reference field="51" count="1">
            <x v="24"/>
          </reference>
        </references>
      </pivotArea>
    </format>
    <format dxfId="1420">
      <pivotArea collapsedLevelsAreSubtotals="1" fieldPosition="0">
        <references count="1">
          <reference field="52" count="1">
            <x v="9"/>
          </reference>
        </references>
      </pivotArea>
    </format>
    <format dxfId="1421">
      <pivotArea collapsedLevelsAreSubtotals="1" fieldPosition="0">
        <references count="1">
          <reference field="52" count="1">
            <x v="10"/>
          </reference>
        </references>
      </pivotArea>
    </format>
    <format dxfId="1422">
      <pivotArea collapsedLevelsAreSubtotals="1" fieldPosition="0">
        <references count="1">
          <reference field="52" count="1">
            <x v="11"/>
          </reference>
        </references>
      </pivotArea>
    </format>
    <format dxfId="1423">
      <pivotArea collapsedLevelsAreSubtotals="1" fieldPosition="0">
        <references count="1">
          <reference field="52" count="1">
            <x v="12"/>
          </reference>
        </references>
      </pivotArea>
    </format>
    <format dxfId="1424">
      <pivotArea collapsedLevelsAreSubtotals="1" fieldPosition="0">
        <references count="1">
          <reference field="53" count="0"/>
        </references>
      </pivotArea>
    </format>
    <format dxfId="1425">
      <pivotArea collapsedLevelsAreSubtotals="1" fieldPosition="0">
        <references count="1">
          <reference field="52" count="1">
            <x v="13"/>
          </reference>
        </references>
      </pivotArea>
    </format>
    <format dxfId="1426">
      <pivotArea collapsedLevelsAreSubtotals="1" fieldPosition="0">
        <references count="1">
          <reference field="52" count="1">
            <x v="14"/>
          </reference>
        </references>
      </pivotArea>
    </format>
    <format dxfId="1427">
      <pivotArea collapsedLevelsAreSubtotals="1" fieldPosition="0">
        <references count="1">
          <reference field="52" count="1">
            <x v="15"/>
          </reference>
        </references>
      </pivotArea>
    </format>
    <format dxfId="1428">
      <pivotArea dataOnly="0" labelOnly="1" fieldPosition="0">
        <references count="1">
          <reference field="48" count="1">
            <x v="16"/>
          </reference>
        </references>
      </pivotArea>
    </format>
    <format dxfId="1429">
      <pivotArea dataOnly="0" labelOnly="1" fieldPosition="0">
        <references count="1">
          <reference field="49" count="1">
            <x v="2"/>
          </reference>
        </references>
      </pivotArea>
    </format>
    <format dxfId="1430">
      <pivotArea dataOnly="0" labelOnly="1" fieldPosition="0">
        <references count="1">
          <reference field="50" count="2">
            <x v="5"/>
            <x v="7"/>
          </reference>
        </references>
      </pivotArea>
    </format>
    <format dxfId="1431">
      <pivotArea dataOnly="0" labelOnly="1" fieldPosition="0">
        <references count="1">
          <reference field="51" count="1">
            <x v="26"/>
          </reference>
        </references>
      </pivotArea>
    </format>
    <format dxfId="1432">
      <pivotArea dataOnly="0" labelOnly="1" fieldPosition="0">
        <references count="1">
          <reference field="51" count="2">
            <x v="23"/>
            <x v="24"/>
          </reference>
        </references>
      </pivotArea>
    </format>
    <format dxfId="1433">
      <pivotArea dataOnly="0" labelOnly="1" fieldPosition="0">
        <references count="1">
          <reference field="52" count="4">
            <x v="5"/>
            <x v="6"/>
            <x v="7"/>
            <x v="8"/>
          </reference>
        </references>
      </pivotArea>
    </format>
    <format dxfId="1434">
      <pivotArea dataOnly="0" labelOnly="1" fieldPosition="0">
        <references count="1">
          <reference field="52" count="7">
            <x v="9"/>
            <x v="10"/>
            <x v="11"/>
            <x v="12"/>
            <x v="13"/>
            <x v="14"/>
            <x v="15"/>
          </reference>
        </references>
      </pivotArea>
    </format>
    <format dxfId="1435">
      <pivotArea dataOnly="0" labelOnly="1" fieldPosition="0">
        <references count="1">
          <reference field="53" count="0"/>
        </references>
      </pivotArea>
    </format>
    <format dxfId="1436">
      <pivotArea dataOnly="0" labelOnly="1" fieldPosition="0">
        <references count="1">
          <reference field="49" count="1">
            <x v="1"/>
          </reference>
        </references>
      </pivotArea>
    </format>
    <format dxfId="1437">
      <pivotArea dataOnly="0" labelOnly="1" fieldPosition="0">
        <references count="1">
          <reference field="50" count="2">
            <x v="3"/>
            <x v="4"/>
          </reference>
        </references>
      </pivotArea>
    </format>
    <format dxfId="1438">
      <pivotArea dataOnly="0" labelOnly="1" fieldPosition="0">
        <references count="1">
          <reference field="51" count="1">
            <x v="12"/>
          </reference>
        </references>
      </pivotArea>
    </format>
    <format dxfId="1439">
      <pivotArea dataOnly="0" labelOnly="1" fieldPosition="0">
        <references count="1">
          <reference field="51" count="1">
            <x v="11"/>
          </reference>
        </references>
      </pivotArea>
    </format>
    <format dxfId="1440">
      <pivotArea collapsedLevelsAreSubtotals="1" fieldPosition="0">
        <references count="1">
          <reference field="50" count="1">
            <x v="4"/>
          </reference>
        </references>
      </pivotArea>
    </format>
    <format dxfId="1441">
      <pivotArea dataOnly="0" labelOnly="1" fieldPosition="0">
        <references count="1">
          <reference field="50" count="1">
            <x v="4"/>
          </reference>
        </references>
      </pivotArea>
    </format>
    <format dxfId="1442">
      <pivotArea collapsedLevelsAreSubtotals="1" fieldPosition="0">
        <references count="1">
          <reference field="50" count="1">
            <x v="3"/>
          </reference>
        </references>
      </pivotArea>
    </format>
    <format dxfId="1443">
      <pivotArea dataOnly="0" labelOnly="1" fieldPosition="0">
        <references count="1">
          <reference field="50" count="1">
            <x v="3"/>
          </reference>
        </references>
      </pivotArea>
    </format>
    <format dxfId="1444">
      <pivotArea dataOnly="0" labelOnly="1" fieldPosition="0">
        <references count="1">
          <reference field="50" count="2">
            <x v="3"/>
            <x v="4"/>
          </reference>
        </references>
      </pivotArea>
    </format>
    <format dxfId="1445">
      <pivotArea dataOnly="0" labelOnly="1" fieldPosition="0">
        <references count="1">
          <reference field="51" count="3">
            <x v="12"/>
            <x v="13"/>
            <x v="14"/>
          </reference>
        </references>
      </pivotArea>
    </format>
    <format dxfId="1446">
      <pivotArea dataOnly="0" labelOnly="1" fieldPosition="0">
        <references count="1">
          <reference field="51" count="1">
            <x v="11"/>
          </reference>
        </references>
      </pivotArea>
    </format>
    <format dxfId="1447">
      <pivotArea type="all" dataOnly="0" outline="0" fieldPosition="0"/>
    </format>
    <format dxfId="1448">
      <pivotArea outline="0" collapsedLevelsAreSubtotals="1" fieldPosition="0"/>
    </format>
    <format dxfId="1449">
      <pivotArea type="origin" dataOnly="0" labelOnly="1" outline="0" fieldPosition="0"/>
    </format>
    <format dxfId="1450">
      <pivotArea field="77" type="button" dataOnly="0" labelOnly="1" outline="0" axis="axisCol" fieldPosition="0"/>
    </format>
    <format dxfId="1451">
      <pivotArea type="topRight" dataOnly="0" labelOnly="1" outline="0" fieldPosition="0"/>
    </format>
    <format dxfId="1452">
      <pivotArea field="46" type="button" dataOnly="0" labelOnly="1" outline="0" axis="axisRow" fieldPosition="0"/>
    </format>
    <format dxfId="1453">
      <pivotArea dataOnly="0" labelOnly="1" fieldPosition="0">
        <references count="1">
          <reference field="46" count="0"/>
        </references>
      </pivotArea>
    </format>
    <format dxfId="1454">
      <pivotArea dataOnly="0" labelOnly="1" grandRow="1" outline="0" fieldPosition="0"/>
    </format>
    <format dxfId="1455">
      <pivotArea dataOnly="0" labelOnly="1" fieldPosition="0">
        <references count="1">
          <reference field="47" count="0"/>
        </references>
      </pivotArea>
    </format>
    <format dxfId="1456">
      <pivotArea dataOnly="0" labelOnly="1" fieldPosition="0">
        <references count="1">
          <reference field="48" count="1">
            <x v="16"/>
          </reference>
        </references>
      </pivotArea>
    </format>
    <format dxfId="1457">
      <pivotArea dataOnly="0" labelOnly="1" fieldPosition="0">
        <references count="1">
          <reference field="49" count="1">
            <x v="1"/>
          </reference>
        </references>
      </pivotArea>
    </format>
    <format dxfId="1458">
      <pivotArea dataOnly="0" labelOnly="1" fieldPosition="0">
        <references count="1">
          <reference field="50" count="1">
            <x v="3"/>
          </reference>
        </references>
      </pivotArea>
    </format>
    <format dxfId="1459">
      <pivotArea dataOnly="0" labelOnly="1" fieldPosition="0">
        <references count="1">
          <reference field="51" count="1">
            <x v="11"/>
          </reference>
        </references>
      </pivotArea>
    </format>
    <format dxfId="1460">
      <pivotArea dataOnly="0" labelOnly="1" fieldPosition="0">
        <references count="1">
          <reference field="77" count="2">
            <x v="0"/>
            <x v="1"/>
          </reference>
        </references>
      </pivotArea>
    </format>
    <format dxfId="1461">
      <pivotArea dataOnly="0" labelOnly="1" grandCol="1" outline="0" fieldPosition="0"/>
    </format>
    <format dxfId="1462">
      <pivotArea dataOnly="0" labelOnly="1" fieldPosition="0">
        <references count="1">
          <reference field="51" count="4">
            <x v="7"/>
            <x v="8"/>
            <x v="9"/>
            <x v="10"/>
          </reference>
        </references>
      </pivotArea>
    </format>
    <format dxfId="1463">
      <pivotArea dataOnly="0" labelOnly="1" fieldPosition="0">
        <references count="1">
          <reference field="52" count="1">
            <x v="1"/>
          </reference>
        </references>
      </pivotArea>
    </format>
    <format dxfId="1464">
      <pivotArea dataOnly="0" labelOnly="1" fieldPosition="0">
        <references count="1">
          <reference field="52" count="1">
            <x v="2"/>
          </reference>
        </references>
      </pivotArea>
    </format>
    <format dxfId="1465">
      <pivotArea dataOnly="0" labelOnly="1" fieldPosition="0">
        <references count="1">
          <reference field="52" count="1">
            <x v="3"/>
          </reference>
        </references>
      </pivotArea>
    </format>
    <format dxfId="1466">
      <pivotArea dataOnly="0" labelOnly="1" fieldPosition="0">
        <references count="1">
          <reference field="52" count="1">
            <x v="4"/>
          </reference>
        </references>
      </pivotArea>
    </format>
    <format dxfId="1467">
      <pivotArea dataOnly="0" labelOnly="1" fieldPosition="0">
        <references count="1">
          <reference field="50" count="2">
            <x v="0"/>
            <x v="2"/>
          </reference>
        </references>
      </pivotArea>
    </format>
    <format dxfId="1468">
      <pivotArea dataOnly="0" labelOnly="1" fieldPosition="0">
        <references count="1">
          <reference field="51" count="4">
            <x v="2"/>
            <x v="3"/>
            <x v="4"/>
            <x v="5"/>
          </reference>
        </references>
      </pivotArea>
    </format>
    <format dxfId="1469">
      <pivotArea dataOnly="0" labelOnly="1" fieldPosition="0">
        <references count="1">
          <reference field="51" count="2">
            <x v="1"/>
            <x v="6"/>
          </reference>
        </references>
      </pivotArea>
    </format>
    <format dxfId="1470">
      <pivotArea dataOnly="0" labelOnly="1" fieldPosition="0">
        <references count="1">
          <reference field="52" count="1">
            <x v="0"/>
          </reference>
        </references>
      </pivotArea>
    </format>
    <format dxfId="1471">
      <pivotArea dataOnly="0" labelOnly="1" fieldPosition="0">
        <references count="1">
          <reference field="51" count="4">
            <x v="2"/>
            <x v="3"/>
            <x v="4"/>
            <x v="5"/>
          </reference>
        </references>
      </pivotArea>
    </format>
    <format dxfId="1472">
      <pivotArea dataOnly="0" labelOnly="1" fieldPosition="0">
        <references count="1">
          <reference field="50" count="1">
            <x v="2"/>
          </reference>
        </references>
      </pivotArea>
    </format>
    <format dxfId="1473">
      <pivotArea dataOnly="0" labelOnly="1" fieldPosition="0">
        <references count="1">
          <reference field="50" count="1">
            <x v="2"/>
          </reference>
        </references>
      </pivotArea>
    </format>
    <format dxfId="1474">
      <pivotArea dataOnly="0" labelOnly="1" fieldPosition="0">
        <references count="1">
          <reference field="50" count="1">
            <x v="2"/>
          </reference>
        </references>
      </pivotArea>
    </format>
    <format dxfId="1475">
      <pivotArea dataOnly="0" labelOnly="1" fieldPosition="0">
        <references count="1">
          <reference field="50" count="1">
            <x v="0"/>
          </reference>
        </references>
      </pivotArea>
    </format>
    <format dxfId="1476">
      <pivotArea dataOnly="0" labelOnly="1" fieldPosition="0">
        <references count="1">
          <reference field="50" count="1">
            <x v="0"/>
          </reference>
        </references>
      </pivotArea>
    </format>
    <format dxfId="1477">
      <pivotArea dataOnly="0" labelOnly="1" fieldPosition="0">
        <references count="1">
          <reference field="52" count="1">
            <x v="0"/>
          </reference>
        </references>
      </pivotArea>
    </format>
    <format dxfId="1478">
      <pivotArea dataOnly="0" labelOnly="1" fieldPosition="0">
        <references count="1">
          <reference field="52" count="1">
            <x v="0"/>
          </reference>
        </references>
      </pivotArea>
    </format>
    <format dxfId="1479">
      <pivotArea collapsedLevelsAreSubtotals="1" fieldPosition="0">
        <references count="1">
          <reference field="50" count="1">
            <x v="2"/>
          </reference>
        </references>
      </pivotArea>
    </format>
    <format dxfId="1480">
      <pivotArea collapsedLevelsAreSubtotals="1" fieldPosition="0">
        <references count="1">
          <reference field="50" count="1">
            <x v="0"/>
          </reference>
        </references>
      </pivotArea>
    </format>
    <format dxfId="1481">
      <pivotArea collapsedLevelsAreSubtotals="1" fieldPosition="0">
        <references count="1">
          <reference field="52" count="1">
            <x v="0"/>
          </reference>
        </references>
      </pivotArea>
    </format>
    <format dxfId="1482">
      <pivotArea dataOnly="0" labelOnly="1" fieldPosition="0">
        <references count="1">
          <reference field="51" count="4">
            <x v="2"/>
            <x v="3"/>
            <x v="4"/>
            <x v="5"/>
          </reference>
        </references>
      </pivotArea>
    </format>
    <format dxfId="1483">
      <pivotArea dataOnly="0" labelOnly="1" fieldPosition="0">
        <references count="1">
          <reference field="51" count="4">
            <x v="2"/>
            <x v="3"/>
            <x v="4"/>
            <x v="5"/>
          </reference>
        </references>
      </pivotArea>
    </format>
    <format dxfId="1484">
      <pivotArea dataOnly="0" labelOnly="1" grandRow="1" outline="0" fieldPosition="0"/>
    </format>
    <format dxfId="1485">
      <pivotArea dataOnly="0" labelOnly="1" fieldPosition="0">
        <references count="1">
          <reference field="48" count="1">
            <x v="16"/>
          </reference>
        </references>
      </pivotArea>
    </format>
    <format dxfId="1486">
      <pivotArea dataOnly="0" labelOnly="1" fieldPosition="0">
        <references count="1">
          <reference field="50" count="2">
            <x v="0"/>
            <x v="2"/>
          </reference>
        </references>
      </pivotArea>
    </format>
    <format dxfId="1487">
      <pivotArea dataOnly="0" labelOnly="1" fieldPosition="0">
        <references count="1">
          <reference field="51" count="4">
            <x v="2"/>
            <x v="3"/>
            <x v="4"/>
            <x v="5"/>
          </reference>
        </references>
      </pivotArea>
    </format>
    <format dxfId="1488">
      <pivotArea dataOnly="0" labelOnly="1" fieldPosition="0">
        <references count="1">
          <reference field="49" count="1">
            <x v="0"/>
          </reference>
        </references>
      </pivotArea>
    </format>
    <format dxfId="1489">
      <pivotArea dataOnly="0" labelOnly="1" fieldPosition="0">
        <references count="1">
          <reference field="50" count="2">
            <x v="0"/>
            <x v="1"/>
          </reference>
        </references>
      </pivotArea>
    </format>
    <format dxfId="1490">
      <pivotArea dataOnly="0" labelOnly="1" fieldPosition="0">
        <references count="1">
          <reference field="51" count="1">
            <x v="1"/>
          </reference>
        </references>
      </pivotArea>
    </format>
    <format dxfId="1491">
      <pivotArea type="all" dataOnly="0" outline="0" fieldPosition="0"/>
    </format>
    <format dxfId="1492">
      <pivotArea outline="0" collapsedLevelsAreSubtotals="1" fieldPosition="0"/>
    </format>
    <format dxfId="1493">
      <pivotArea type="origin" dataOnly="0" labelOnly="1" outline="0" fieldPosition="0"/>
    </format>
    <format dxfId="1494">
      <pivotArea field="77" type="button" dataOnly="0" labelOnly="1" outline="0" axis="axisCol" fieldPosition="0"/>
    </format>
    <format dxfId="1495">
      <pivotArea type="topRight" dataOnly="0" labelOnly="1" outline="0" fieldPosition="0"/>
    </format>
    <format dxfId="1496">
      <pivotArea field="46" type="button" dataOnly="0" labelOnly="1" outline="0" axis="axisRow" fieldPosition="0"/>
    </format>
    <format dxfId="1497">
      <pivotArea dataOnly="0" labelOnly="1" fieldPosition="0">
        <references count="1">
          <reference field="46" count="0"/>
        </references>
      </pivotArea>
    </format>
    <format dxfId="1498">
      <pivotArea dataOnly="0" labelOnly="1" grandRow="1" outline="0" fieldPosition="0"/>
    </format>
    <format dxfId="1499">
      <pivotArea dataOnly="0" labelOnly="1" fieldPosition="0">
        <references count="1">
          <reference field="47" count="0"/>
        </references>
      </pivotArea>
    </format>
    <format dxfId="1500">
      <pivotArea dataOnly="0" labelOnly="1" fieldPosition="0">
        <references count="1">
          <reference field="48" count="1">
            <x v="16"/>
          </reference>
        </references>
      </pivotArea>
    </format>
    <format dxfId="1501">
      <pivotArea dataOnly="0" labelOnly="1" fieldPosition="0">
        <references count="1">
          <reference field="49" count="1">
            <x v="0"/>
          </reference>
        </references>
      </pivotArea>
    </format>
    <format dxfId="1502">
      <pivotArea dataOnly="0" labelOnly="1" fieldPosition="0">
        <references count="1">
          <reference field="50" count="2">
            <x v="0"/>
            <x v="1"/>
          </reference>
        </references>
      </pivotArea>
    </format>
    <format dxfId="1503">
      <pivotArea dataOnly="0" labelOnly="1" fieldPosition="0">
        <references count="1">
          <reference field="51" count="1">
            <x v="1"/>
          </reference>
        </references>
      </pivotArea>
    </format>
    <format dxfId="1504">
      <pivotArea dataOnly="0" labelOnly="1" fieldPosition="0">
        <references count="1">
          <reference field="77" count="1">
            <x v="0"/>
          </reference>
        </references>
      </pivotArea>
    </format>
    <format dxfId="1505">
      <pivotArea dataOnly="0" labelOnly="1" grandCol="1" outline="0" fieldPosition="0"/>
    </format>
    <format dxfId="1506">
      <pivotArea dataOnly="0" labelOnly="1" fieldPosition="0">
        <references count="1">
          <reference field="49" count="1">
            <x v="0"/>
          </reference>
        </references>
      </pivotArea>
    </format>
    <format dxfId="1507">
      <pivotArea dataOnly="0" labelOnly="1" fieldPosition="0">
        <references count="1">
          <reference field="50" count="2">
            <x v="0"/>
            <x v="1"/>
          </reference>
        </references>
      </pivotArea>
    </format>
    <format dxfId="1508">
      <pivotArea dataOnly="0" labelOnly="1" fieldPosition="0">
        <references count="1">
          <reference field="51" count="2">
            <x v="0"/>
            <x v="1"/>
          </reference>
        </references>
      </pivotArea>
    </format>
    <format dxfId="1509">
      <pivotArea dataOnly="0" labelOnly="1" fieldPosition="0">
        <references count="1">
          <reference field="49" count="1">
            <x v="0"/>
          </reference>
        </references>
      </pivotArea>
    </format>
    <format dxfId="1510">
      <pivotArea dataOnly="0" labelOnly="1" fieldPosition="0">
        <references count="1">
          <reference field="50" count="2">
            <x v="0"/>
            <x v="1"/>
          </reference>
        </references>
      </pivotArea>
    </format>
    <format dxfId="1511">
      <pivotArea dataOnly="0" labelOnly="1" fieldPosition="0">
        <references count="1">
          <reference field="51" count="1">
            <x v="0"/>
          </reference>
        </references>
      </pivotArea>
    </format>
  </formats>
  <pivotHierarchies count="8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6">
        <mp field="37"/>
        <mp field="38"/>
        <mp field="39"/>
        <mp field="40"/>
        <mp field="41"/>
        <mp field="42"/>
      </mps>
      <members count="1" level="2">
        <member name="[Team Project].[Team Project Hierarchy].&amp;[{FA87FDF7-D2B5-4A1C-A3BD-413358241E89}]"/>
      </members>
    </pivotHierarchy>
    <pivotHierarchy/>
    <pivotHierarchy multipleItemSelectionAllowed="1">
      <members count="2" level="1">
        <member name="[Test Case].[Area Path].&amp;[\Core Banking\User Acceptance Testing]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est Case].[Iteration Path].&amp;[\Core Banking\QA\Iteration 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est Plan].[Test Plan Name].&amp;[T24 User Acceptance Testing - Execution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5"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</mps>
      <members count="1" level="5">
        <member name="[Test Suite].[Test Suite Hierarchy].[Suite2].&amp;[-577155666371535798]&amp;[-6648085786151084407]&amp;[21067]"/>
      </members>
      <members count="5" level="6">
        <member name="[Test Suite].[Test Suite Hierarchy].[Suite3].&amp;[-577155666371535798]&amp;[-6648085786151084407]&amp;[21100]"/>
        <member name=""/>
        <member name="[Test Suite].[Test Suite Hierarchy].[Suite3].&amp;[-577155666371535798]&amp;[-6648085786151084407]&amp;[25376]"/>
        <member name="[Test Suite].[Test Suite Hierarchy].[Suite3].&amp;[-577155666371535798]&amp;[-6648085786151084407]&amp;[25377]"/>
        <member name="[Test Suite].[Test Suite Hierarchy].[Suite3].&amp;[-577155666371535798]&amp;[-6648085786151084407]&amp;[25383]"/>
      </members>
    </pivotHierarchy>
    <pivotHierarchy/>
    <pivotHierarchy/>
    <pivotHierarchy/>
    <pivotHierarchy/>
    <pivotHierarchy/>
    <pivotHierarchy/>
    <pivotHierarchy>
      <mps count="14"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Work Item].[CWB_PBIType].&amp;[Test Condition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Work Item].[System_WorkItemType].&amp;[Test Cas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" level="1">
        <member name="[Work Item Linked].[CWB_PBIType].&amp;[Business Requirement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1"/>
  </rowHierarchiesUsage>
  <colHierarchiesUsage count="1">
    <colHierarchyUsage hierarchyUsage="15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4" indent="0" outline="1" outlineData="1" multipleFieldFilters="0" chartFormat="1" fieldListSortAscending="1">
  <location ref="A6:G59" firstHeaderRow="1" firstDataRow="2" firstDataCol="1" rowPageCount="3" colPageCount="1"/>
  <pivotFields count="78">
    <pivotField allDrilled="1" showAll="0" dataSourceSort="1" defaultAttributeDrillState="1">
      <items count="2">
        <item s="1" x="0"/>
        <item t="default"/>
      </items>
    </pivotField>
    <pivotField allDrilled="1" showAll="0" dataSourceSort="1" defaultAttributeDrillState="1"/>
    <pivotField allDrilled="1" showAll="0" dataSourceSort="1" defaultAttributeDrillState="1">
      <items count="2">
        <item s="1" x="0"/>
        <item t="default"/>
      </items>
    </pivotField>
    <pivotField allDrilled="1" showAll="0" dataSourceSort="1" defaultAttributeDrillState="1"/>
    <pivotField allDrilled="1" showAll="0" dataSourceSort="1"/>
    <pivotField showAll="0" dataSourceSort="1"/>
    <pivotField showAll="0" dataSourceSort="1">
      <items count="2">
        <item s="1" c="1" x="0"/>
        <item t="default"/>
      </items>
    </pivotField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 defaultAttributeDrillState="1"/>
    <pivotField axis="axisPage" allDrilled="1" showAll="0" dataSourceSort="1" defaultAttributeDrillState="1">
      <items count="1">
        <item t="default"/>
      </items>
    </pivotField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llDrilled="1" showAll="0" dataSourceSort="1" defaultAttributeDrillState="1"/>
    <pivotField axis="axisPage" allDrilled="1" showAll="0" dataSourceSort="1" defaultAttributeDrillState="1">
      <items count="1">
        <item t="default"/>
      </items>
    </pivotField>
    <pivotField dataField="1" showAll="0"/>
    <pivotField axis="axisRow" allDrilled="1" showAll="0" dataSourceSort="1">
      <items count="2">
        <item c="1" x="0" d="1"/>
        <item t="default"/>
      </items>
    </pivotField>
    <pivotField axis="axisRow" showAll="0" dataSourceSort="1">
      <items count="2">
        <item c="1" x="0" d="1"/>
        <item t="default"/>
      </items>
    </pivotField>
    <pivotField axis="axisRow" showAll="0">
      <items count="19">
        <item x="3" d="1"/>
        <item x="5" d="1"/>
        <item x="6" d="1"/>
        <item x="7" d="1"/>
        <item x="8" d="1"/>
        <item x="9" d="1"/>
        <item x="10" d="1"/>
        <item x="11" d="1"/>
        <item x="12" d="1"/>
        <item x="13" d="1"/>
        <item x="14" d="1"/>
        <item x="15" d="1"/>
        <item x="16" d="1"/>
        <item x="17" d="1"/>
        <item x="4" d="1"/>
        <item x="2" d="1"/>
        <item x="1" d="1"/>
        <item c="1" x="0" d="1"/>
        <item t="default"/>
      </items>
    </pivotField>
    <pivotField axis="axisRow" showAll="0" dataSourceSort="1">
      <items count="46">
        <item c="1" x="0" d="1"/>
        <item x="1" d="1"/>
        <item x="2" d="1"/>
        <item x="3" d="1"/>
        <item x="4" d="1"/>
        <item x="5" d="1"/>
        <item x="6" d="1"/>
        <item x="7"/>
        <item x="8"/>
        <item x="9" d="1"/>
        <item x="10"/>
        <item x="11"/>
        <item x="12"/>
        <item x="13" d="1"/>
        <item x="14" d="1"/>
        <item x="15" d="1"/>
        <item x="16" d="1"/>
        <item x="17" d="1"/>
        <item x="18" d="1"/>
        <item x="19" d="1"/>
        <item x="20" d="1"/>
        <item x="21" d="1"/>
        <item x="22" d="1"/>
        <item x="23"/>
        <item x="24"/>
        <item x="25"/>
        <item x="26"/>
        <item x="27" d="1"/>
        <item x="28" d="1"/>
        <item x="29" d="1"/>
        <item x="30" d="1"/>
        <item x="31"/>
        <item x="32" d="1"/>
        <item x="33"/>
        <item x="34"/>
        <item x="35"/>
        <item x="36"/>
        <item x="37"/>
        <item x="38"/>
        <item x="39"/>
        <item x="40"/>
        <item x="41"/>
        <item x="42"/>
        <item x="43"/>
        <item x="44" d="1"/>
        <item t="default"/>
      </items>
    </pivotField>
    <pivotField axis="axisRow" showAll="0" dataSourceSort="1">
      <items count="47">
        <item s="1" c="1" x="0" d="1"/>
        <item s="1" c="1" x="1" d="1"/>
        <item s="1" c="1" x="2" d="1"/>
        <item s="1" c="1" x="3" d="1"/>
        <item x="4" d="1"/>
        <item x="5" d="1"/>
        <item x="6" d="1"/>
        <item x="7" d="1"/>
        <item x="8" d="1"/>
        <item x="9" d="1"/>
        <item x="10" d="1"/>
        <item x="11" d="1"/>
        <item x="12" d="1"/>
        <item x="13" d="1"/>
        <item x="14" d="1"/>
        <item x="15" d="1"/>
        <item x="16" d="1"/>
        <item x="17" d="1"/>
        <item x="18" d="1"/>
        <item x="19" d="1"/>
        <item x="20" d="1"/>
        <item x="21" d="1"/>
        <item x="22" d="1"/>
        <item x="23" d="1"/>
        <item x="24" d="1"/>
        <item x="25"/>
        <item x="26"/>
        <item x="27"/>
        <item x="28"/>
        <item x="29"/>
        <item x="30" d="1"/>
        <item x="31" d="1"/>
        <item x="32"/>
        <item x="33"/>
        <item x="34"/>
        <item x="35"/>
        <item x="36"/>
        <item x="37"/>
        <item x="38"/>
        <item x="39"/>
        <item x="40"/>
        <item x="41"/>
        <item x="42"/>
        <item x="43" d="1"/>
        <item x="44"/>
        <item x="45"/>
        <item t="default"/>
      </items>
    </pivotField>
    <pivotField axis="axisRow" showAll="0" dataSourceSort="1">
      <items count="173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 d="1"/>
        <item x="91" d="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 d="1"/>
        <item x="120" d="1"/>
        <item x="121"/>
        <item x="122"/>
        <item x="123"/>
        <item x="124"/>
        <item x="125"/>
        <item x="126"/>
        <item x="127"/>
        <item x="128"/>
        <item x="129"/>
        <item x="130"/>
        <item x="131" d="1"/>
        <item x="132" d="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 d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ataSourceSort="1">
      <items count="36">
        <item c="1" x="0" d="1"/>
        <item x="1"/>
        <item x="2"/>
        <item x="3" d="1"/>
        <item x="4"/>
        <item x="5" d="1"/>
        <item x="6"/>
        <item x="7"/>
        <item x="8" d="1"/>
        <item x="9"/>
        <item x="10"/>
        <item x="11"/>
        <item x="12"/>
        <item x="13"/>
        <item x="14"/>
        <item x="15" d="1"/>
        <item x="16"/>
        <item x="17"/>
        <item x="18"/>
        <item x="19" d="1"/>
        <item x="20" d="1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 d="1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Col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6">
    <field x="46"/>
    <field x="47"/>
    <field x="48"/>
    <field x="49"/>
    <field x="50"/>
    <field x="51"/>
  </rowFields>
  <rowItems count="52">
    <i>
      <x/>
    </i>
    <i r="1">
      <x/>
    </i>
    <i r="2">
      <x v="17"/>
    </i>
    <i r="3">
      <x/>
    </i>
    <i r="4">
      <x/>
    </i>
    <i r="5">
      <x/>
    </i>
    <i r="5">
      <x v="1"/>
    </i>
    <i r="5">
      <x v="2"/>
    </i>
    <i r="5">
      <x v="3"/>
    </i>
    <i r="5">
      <x v="4"/>
    </i>
    <i r="5">
      <x v="5"/>
    </i>
    <i r="5">
      <x v="6"/>
    </i>
    <i r="5">
      <x v="7"/>
    </i>
    <i r="5">
      <x v="8"/>
    </i>
    <i r="5">
      <x v="9"/>
    </i>
    <i r="5">
      <x v="10"/>
    </i>
    <i r="5">
      <x v="11"/>
    </i>
    <i r="5">
      <x v="12"/>
    </i>
    <i r="4">
      <x v="1"/>
    </i>
    <i r="5">
      <x v="13"/>
    </i>
    <i r="5">
      <x v="14"/>
    </i>
    <i r="5">
      <x v="15"/>
    </i>
    <i r="5">
      <x v="16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4"/>
    </i>
    <i r="5">
      <x v="25"/>
    </i>
    <i r="5">
      <x v="26"/>
    </i>
    <i r="5">
      <x v="27"/>
    </i>
    <i r="4">
      <x v="2"/>
    </i>
    <i r="5">
      <x v="28"/>
    </i>
    <i r="5">
      <x v="29"/>
    </i>
    <i r="5">
      <x v="30"/>
    </i>
    <i r="5">
      <x v="31"/>
    </i>
    <i r="5">
      <x v="32"/>
    </i>
    <i r="5">
      <x v="33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4">
      <x v="3"/>
    </i>
    <i r="5">
      <x v="42"/>
    </i>
    <i t="grand">
      <x/>
    </i>
  </rowItems>
  <colFields count="1">
    <field x="77"/>
  </colFields>
  <colItems count="6">
    <i>
      <x/>
    </i>
    <i>
      <x v="1"/>
    </i>
    <i>
      <x v="2"/>
    </i>
    <i>
      <x v="3"/>
    </i>
    <i>
      <x v="4"/>
    </i>
    <i t="grand">
      <x/>
    </i>
  </colItems>
  <pageFields count="3">
    <pageField fld="35" hier="23" name="[Team Project].[Team Project Hierarchy].&amp;[{FA87FDF7-D2B5-4A1C-A3BD-413358241E89}]" cap="Core Banking"/>
    <pageField fld="34" hier="25" name="[Test Case].[Area Path].&amp;[\Core Banking\Digital]" cap="\Core Banking\Digital"/>
    <pageField fld="44" hier="153" name="[Test Plan].[Test Plan Name].&amp;[DIGITAL]" cap="DIGITAL"/>
  </pageFields>
  <dataFields count="1">
    <dataField fld="45" baseField="0" baseItem="0"/>
  </dataFields>
  <formats count="554">
    <format dxfId="3098">
      <pivotArea outline="0" collapsedLevelsAreSubtotals="1" fieldPosition="0"/>
    </format>
    <format dxfId="3097">
      <pivotArea dataOnly="0" labelOnly="1" grandCol="1" outline="0" fieldPosition="0"/>
    </format>
    <format dxfId="3096">
      <pivotArea field="46" grandCol="1" collapsedLevelsAreSubtotals="1" axis="axisRow" fieldPosition="0">
        <references count="1">
          <reference field="46" count="0"/>
        </references>
      </pivotArea>
    </format>
    <format dxfId="3095">
      <pivotArea field="47" grandCol="1" collapsedLevelsAreSubtotals="1" axis="axisRow" fieldPosition="1">
        <references count="1">
          <reference field="47" count="0"/>
        </references>
      </pivotArea>
    </format>
    <format dxfId="3094">
      <pivotArea field="48" grandCol="1" collapsedLevelsAreSubtotals="1" axis="axisRow" fieldPosition="2">
        <references count="1">
          <reference field="48" count="0"/>
        </references>
      </pivotArea>
    </format>
    <format dxfId="3093">
      <pivotArea field="49" grandCol="1" collapsedLevelsAreSubtotals="1" axis="axisRow" fieldPosition="3">
        <references count="1">
          <reference field="49" count="1">
            <x v="36"/>
          </reference>
        </references>
      </pivotArea>
    </format>
    <format dxfId="3092">
      <pivotArea field="49" grandCol="1" collapsedLevelsAreSubtotals="1" axis="axisRow" fieldPosition="3">
        <references count="1">
          <reference field="49" count="1">
            <x v="37"/>
          </reference>
        </references>
      </pivotArea>
    </format>
    <format dxfId="3091">
      <pivotArea field="49" grandCol="1" collapsedLevelsAreSubtotals="1" axis="axisRow" fieldPosition="3">
        <references count="1">
          <reference field="49" count="1">
            <x v="38"/>
          </reference>
        </references>
      </pivotArea>
    </format>
    <format dxfId="3090">
      <pivotArea field="49" grandCol="1" collapsedLevelsAreSubtotals="1" axis="axisRow" fieldPosition="3">
        <references count="1">
          <reference field="49" count="1">
            <x v="39"/>
          </reference>
        </references>
      </pivotArea>
    </format>
    <format dxfId="3089">
      <pivotArea field="49" grandCol="1" collapsedLevelsAreSubtotals="1" axis="axisRow" fieldPosition="3">
        <references count="1">
          <reference field="49" count="1">
            <x v="40"/>
          </reference>
        </references>
      </pivotArea>
    </format>
    <format dxfId="3088">
      <pivotArea field="49" grandCol="1" collapsedLevelsAreSubtotals="1" axis="axisRow" fieldPosition="3">
        <references count="1">
          <reference field="49" count="1">
            <x v="41"/>
          </reference>
        </references>
      </pivotArea>
    </format>
    <format dxfId="3087">
      <pivotArea field="49" grandCol="1" collapsedLevelsAreSubtotals="1" axis="axisRow" fieldPosition="3">
        <references count="1">
          <reference field="49" count="1">
            <x v="42"/>
          </reference>
        </references>
      </pivotArea>
    </format>
    <format dxfId="3086">
      <pivotArea field="49" grandCol="1" collapsedLevelsAreSubtotals="1" axis="axisRow" fieldPosition="3">
        <references count="1">
          <reference field="49" count="1">
            <x v="43"/>
          </reference>
        </references>
      </pivotArea>
    </format>
    <format dxfId="3085">
      <pivotArea collapsedLevelsAreSubtotals="1" fieldPosition="0">
        <references count="1">
          <reference field="49" count="1">
            <x v="36"/>
          </reference>
        </references>
      </pivotArea>
    </format>
    <format dxfId="3084">
      <pivotArea dataOnly="0" labelOnly="1" fieldPosition="0">
        <references count="1">
          <reference field="49" count="1">
            <x v="36"/>
          </reference>
        </references>
      </pivotArea>
    </format>
    <format dxfId="3083">
      <pivotArea collapsedLevelsAreSubtotals="1" fieldPosition="0">
        <references count="1">
          <reference field="49" count="1">
            <x v="37"/>
          </reference>
        </references>
      </pivotArea>
    </format>
    <format dxfId="3082">
      <pivotArea dataOnly="0" labelOnly="1" fieldPosition="0">
        <references count="1">
          <reference field="49" count="1">
            <x v="37"/>
          </reference>
        </references>
      </pivotArea>
    </format>
    <format dxfId="3081">
      <pivotArea collapsedLevelsAreSubtotals="1" fieldPosition="0">
        <references count="1">
          <reference field="49" count="1">
            <x v="38"/>
          </reference>
        </references>
      </pivotArea>
    </format>
    <format dxfId="3080">
      <pivotArea dataOnly="0" labelOnly="1" fieldPosition="0">
        <references count="1">
          <reference field="49" count="1">
            <x v="38"/>
          </reference>
        </references>
      </pivotArea>
    </format>
    <format dxfId="3079">
      <pivotArea collapsedLevelsAreSubtotals="1" fieldPosition="0">
        <references count="1">
          <reference field="49" count="1">
            <x v="39"/>
          </reference>
        </references>
      </pivotArea>
    </format>
    <format dxfId="3078">
      <pivotArea dataOnly="0" labelOnly="1" fieldPosition="0">
        <references count="1">
          <reference field="49" count="1">
            <x v="39"/>
          </reference>
        </references>
      </pivotArea>
    </format>
    <format dxfId="3077">
      <pivotArea collapsedLevelsAreSubtotals="1" fieldPosition="0">
        <references count="1">
          <reference field="49" count="1">
            <x v="40"/>
          </reference>
        </references>
      </pivotArea>
    </format>
    <format dxfId="3076">
      <pivotArea dataOnly="0" labelOnly="1" fieldPosition="0">
        <references count="1">
          <reference field="49" count="1">
            <x v="40"/>
          </reference>
        </references>
      </pivotArea>
    </format>
    <format dxfId="3075">
      <pivotArea collapsedLevelsAreSubtotals="1" fieldPosition="0">
        <references count="1">
          <reference field="49" count="1">
            <x v="41"/>
          </reference>
        </references>
      </pivotArea>
    </format>
    <format dxfId="3074">
      <pivotArea dataOnly="0" labelOnly="1" fieldPosition="0">
        <references count="1">
          <reference field="49" count="1">
            <x v="41"/>
          </reference>
        </references>
      </pivotArea>
    </format>
    <format dxfId="3073">
      <pivotArea collapsedLevelsAreSubtotals="1" fieldPosition="0">
        <references count="1">
          <reference field="49" count="1">
            <x v="43"/>
          </reference>
        </references>
      </pivotArea>
    </format>
    <format dxfId="3072">
      <pivotArea dataOnly="0" labelOnly="1" fieldPosition="0">
        <references count="1">
          <reference field="49" count="1">
            <x v="43"/>
          </reference>
        </references>
      </pivotArea>
    </format>
    <format dxfId="3071">
      <pivotArea collapsedLevelsAreSubtotals="1" fieldPosition="0">
        <references count="2">
          <reference field="46" count="0"/>
          <reference field="77" count="1" selected="0">
            <x v="0"/>
          </reference>
        </references>
      </pivotArea>
    </format>
    <format dxfId="3070">
      <pivotArea collapsedLevelsAreSubtotals="1" fieldPosition="0">
        <references count="2">
          <reference field="48" count="0"/>
          <reference field="77" count="1" selected="0">
            <x v="0"/>
          </reference>
        </references>
      </pivotArea>
    </format>
    <format dxfId="3069">
      <pivotArea collapsedLevelsAreSubtotals="1" fieldPosition="0">
        <references count="2">
          <reference field="49" count="1">
            <x v="36"/>
          </reference>
          <reference field="77" count="1" selected="0">
            <x v="0"/>
          </reference>
        </references>
      </pivotArea>
    </format>
    <format dxfId="3068">
      <pivotArea collapsedLevelsAreSubtotals="1" fieldPosition="0">
        <references count="2">
          <reference field="49" count="1">
            <x v="37"/>
          </reference>
          <reference field="77" count="1" selected="0">
            <x v="0"/>
          </reference>
        </references>
      </pivotArea>
    </format>
    <format dxfId="3067">
      <pivotArea collapsedLevelsAreSubtotals="1" fieldPosition="0">
        <references count="2">
          <reference field="49" count="1">
            <x v="38"/>
          </reference>
          <reference field="77" count="1" selected="0">
            <x v="0"/>
          </reference>
        </references>
      </pivotArea>
    </format>
    <format dxfId="3066">
      <pivotArea collapsedLevelsAreSubtotals="1" fieldPosition="0">
        <references count="2">
          <reference field="49" count="1">
            <x v="39"/>
          </reference>
          <reference field="77" count="1" selected="0">
            <x v="0"/>
          </reference>
        </references>
      </pivotArea>
    </format>
    <format dxfId="3065">
      <pivotArea collapsedLevelsAreSubtotals="1" fieldPosition="0">
        <references count="2">
          <reference field="49" count="1">
            <x v="40"/>
          </reference>
          <reference field="77" count="1" selected="0">
            <x v="0"/>
          </reference>
        </references>
      </pivotArea>
    </format>
    <format dxfId="3064">
      <pivotArea collapsedLevelsAreSubtotals="1" fieldPosition="0">
        <references count="2">
          <reference field="49" count="1">
            <x v="41"/>
          </reference>
          <reference field="77" count="1" selected="0">
            <x v="0"/>
          </reference>
        </references>
      </pivotArea>
    </format>
    <format dxfId="3063">
      <pivotArea collapsedLevelsAreSubtotals="1" fieldPosition="0">
        <references count="2">
          <reference field="49" count="1">
            <x v="42"/>
          </reference>
          <reference field="77" count="1" selected="0">
            <x v="0"/>
          </reference>
        </references>
      </pivotArea>
    </format>
    <format dxfId="3062">
      <pivotArea collapsedLevelsAreSubtotals="1" fieldPosition="0">
        <references count="2">
          <reference field="49" count="1">
            <x v="43"/>
          </reference>
          <reference field="77" count="1" selected="0">
            <x v="0"/>
          </reference>
        </references>
      </pivotArea>
    </format>
    <format dxfId="3061">
      <pivotArea collapsedLevelsAreSubtotals="1" fieldPosition="0">
        <references count="2">
          <reference field="46" count="0"/>
          <reference field="77" count="1" selected="0">
            <x v="1"/>
          </reference>
        </references>
      </pivotArea>
    </format>
    <format dxfId="3060">
      <pivotArea collapsedLevelsAreSubtotals="1" fieldPosition="0">
        <references count="2">
          <reference field="48" count="0"/>
          <reference field="77" count="1" selected="0">
            <x v="1"/>
          </reference>
        </references>
      </pivotArea>
    </format>
    <format dxfId="3059">
      <pivotArea collapsedLevelsAreSubtotals="1" fieldPosition="0">
        <references count="2">
          <reference field="49" count="1">
            <x v="36"/>
          </reference>
          <reference field="77" count="1" selected="0">
            <x v="1"/>
          </reference>
        </references>
      </pivotArea>
    </format>
    <format dxfId="3058">
      <pivotArea collapsedLevelsAreSubtotals="1" fieldPosition="0">
        <references count="2">
          <reference field="49" count="1">
            <x v="37"/>
          </reference>
          <reference field="77" count="1" selected="0">
            <x v="1"/>
          </reference>
        </references>
      </pivotArea>
    </format>
    <format dxfId="3057">
      <pivotArea collapsedLevelsAreSubtotals="1" fieldPosition="0">
        <references count="2">
          <reference field="49" count="1">
            <x v="38"/>
          </reference>
          <reference field="77" count="1" selected="0">
            <x v="1"/>
          </reference>
        </references>
      </pivotArea>
    </format>
    <format dxfId="3056">
      <pivotArea collapsedLevelsAreSubtotals="1" fieldPosition="0">
        <references count="2">
          <reference field="49" count="1">
            <x v="39"/>
          </reference>
          <reference field="77" count="1" selected="0">
            <x v="1"/>
          </reference>
        </references>
      </pivotArea>
    </format>
    <format dxfId="3055">
      <pivotArea collapsedLevelsAreSubtotals="1" fieldPosition="0">
        <references count="2">
          <reference field="49" count="1">
            <x v="40"/>
          </reference>
          <reference field="77" count="1" selected="0">
            <x v="1"/>
          </reference>
        </references>
      </pivotArea>
    </format>
    <format dxfId="3054">
      <pivotArea collapsedLevelsAreSubtotals="1" fieldPosition="0">
        <references count="2">
          <reference field="49" count="1">
            <x v="41"/>
          </reference>
          <reference field="77" count="1" selected="0">
            <x v="1"/>
          </reference>
        </references>
      </pivotArea>
    </format>
    <format dxfId="3053">
      <pivotArea collapsedLevelsAreSubtotals="1" fieldPosition="0">
        <references count="2">
          <reference field="49" count="1">
            <x v="42"/>
          </reference>
          <reference field="77" count="1" selected="0">
            <x v="1"/>
          </reference>
        </references>
      </pivotArea>
    </format>
    <format dxfId="3052">
      <pivotArea collapsedLevelsAreSubtotals="1" fieldPosition="0">
        <references count="2">
          <reference field="49" count="1">
            <x v="43"/>
          </reference>
          <reference field="77" count="1" selected="0">
            <x v="1"/>
          </reference>
        </references>
      </pivotArea>
    </format>
    <format dxfId="3051">
      <pivotArea collapsedLevelsAreSubtotals="1" fieldPosition="0">
        <references count="2">
          <reference field="46" count="0"/>
          <reference field="77" count="1" selected="0">
            <x v="4"/>
          </reference>
        </references>
      </pivotArea>
    </format>
    <format dxfId="3050">
      <pivotArea collapsedLevelsAreSubtotals="1" fieldPosition="0">
        <references count="2">
          <reference field="48" count="0"/>
          <reference field="77" count="1" selected="0">
            <x v="4"/>
          </reference>
        </references>
      </pivotArea>
    </format>
    <format dxfId="3049">
      <pivotArea collapsedLevelsAreSubtotals="1" fieldPosition="0">
        <references count="2">
          <reference field="49" count="1">
            <x v="36"/>
          </reference>
          <reference field="77" count="1" selected="0">
            <x v="4"/>
          </reference>
        </references>
      </pivotArea>
    </format>
    <format dxfId="3048">
      <pivotArea collapsedLevelsAreSubtotals="1" fieldPosition="0">
        <references count="2">
          <reference field="49" count="1">
            <x v="37"/>
          </reference>
          <reference field="77" count="1" selected="0">
            <x v="4"/>
          </reference>
        </references>
      </pivotArea>
    </format>
    <format dxfId="3047">
      <pivotArea collapsedLevelsAreSubtotals="1" fieldPosition="0">
        <references count="2">
          <reference field="49" count="1">
            <x v="38"/>
          </reference>
          <reference field="77" count="1" selected="0">
            <x v="4"/>
          </reference>
        </references>
      </pivotArea>
    </format>
    <format dxfId="3046">
      <pivotArea collapsedLevelsAreSubtotals="1" fieldPosition="0">
        <references count="2">
          <reference field="49" count="1">
            <x v="39"/>
          </reference>
          <reference field="77" count="1" selected="0">
            <x v="4"/>
          </reference>
        </references>
      </pivotArea>
    </format>
    <format dxfId="3045">
      <pivotArea collapsedLevelsAreSubtotals="1" fieldPosition="0">
        <references count="2">
          <reference field="49" count="1">
            <x v="40"/>
          </reference>
          <reference field="77" count="1" selected="0">
            <x v="4"/>
          </reference>
        </references>
      </pivotArea>
    </format>
    <format dxfId="3044">
      <pivotArea collapsedLevelsAreSubtotals="1" fieldPosition="0">
        <references count="2">
          <reference field="49" count="1">
            <x v="41"/>
          </reference>
          <reference field="77" count="1" selected="0">
            <x v="4"/>
          </reference>
        </references>
      </pivotArea>
    </format>
    <format dxfId="3043">
      <pivotArea collapsedLevelsAreSubtotals="1" fieldPosition="0">
        <references count="2">
          <reference field="49" count="1">
            <x v="42"/>
          </reference>
          <reference field="77" count="1" selected="0">
            <x v="4"/>
          </reference>
        </references>
      </pivotArea>
    </format>
    <format dxfId="3042">
      <pivotArea collapsedLevelsAreSubtotals="1" fieldPosition="0">
        <references count="2">
          <reference field="49" count="1">
            <x v="43"/>
          </reference>
          <reference field="77" count="1" selected="0">
            <x v="4"/>
          </reference>
        </references>
      </pivotArea>
    </format>
    <format dxfId="3041">
      <pivotArea collapsedLevelsAreSubtotals="1" fieldPosition="0">
        <references count="1">
          <reference field="49" count="1">
            <x v="42"/>
          </reference>
        </references>
      </pivotArea>
    </format>
    <format dxfId="3040">
      <pivotArea dataOnly="0" labelOnly="1" fieldPosition="0">
        <references count="1">
          <reference field="49" count="1">
            <x v="42"/>
          </reference>
        </references>
      </pivotArea>
    </format>
    <format dxfId="3039">
      <pivotArea outline="0" collapsedLevelsAreSubtotals="1" fieldPosition="0"/>
    </format>
    <format dxfId="3038">
      <pivotArea dataOnly="0" labelOnly="1" fieldPosition="0">
        <references count="1">
          <reference field="46" count="0"/>
        </references>
      </pivotArea>
    </format>
    <format dxfId="3037">
      <pivotArea dataOnly="0" labelOnly="1" grandRow="1" outline="0" fieldPosition="0"/>
    </format>
    <format dxfId="3036">
      <pivotArea dataOnly="0" labelOnly="1" fieldPosition="0">
        <references count="1">
          <reference field="47" count="0"/>
        </references>
      </pivotArea>
    </format>
    <format dxfId="3035">
      <pivotArea dataOnly="0" labelOnly="1" fieldPosition="0">
        <references count="1">
          <reference field="48" count="0"/>
        </references>
      </pivotArea>
    </format>
    <format dxfId="3034">
      <pivotArea dataOnly="0" labelOnly="1" fieldPosition="0">
        <references count="1">
          <reference field="49" count="0"/>
        </references>
      </pivotArea>
    </format>
    <format dxfId="3033">
      <pivotArea dataOnly="0" labelOnly="1" fieldPosition="0">
        <references count="1">
          <reference field="48" count="0"/>
        </references>
      </pivotArea>
    </format>
    <format dxfId="3032">
      <pivotArea dataOnly="0" labelOnly="1" fieldPosition="0">
        <references count="1">
          <reference field="49" count="0"/>
        </references>
      </pivotArea>
    </format>
    <format dxfId="3031">
      <pivotArea collapsedLevelsAreSubtotals="1" fieldPosition="0">
        <references count="1">
          <reference field="50" count="1">
            <x v="44"/>
          </reference>
        </references>
      </pivotArea>
    </format>
    <format dxfId="3030">
      <pivotArea collapsedLevelsAreSubtotals="1" fieldPosition="0">
        <references count="1">
          <reference field="51" count="0"/>
        </references>
      </pivotArea>
    </format>
    <format dxfId="3029">
      <pivotArea collapsedLevelsAreSubtotals="1" fieldPosition="0">
        <references count="1">
          <reference field="50" count="1">
            <x v="45"/>
          </reference>
        </references>
      </pivotArea>
    </format>
    <format dxfId="3028">
      <pivotArea dataOnly="0" labelOnly="1" fieldPosition="0">
        <references count="1">
          <reference field="50" count="0"/>
        </references>
      </pivotArea>
    </format>
    <format dxfId="3027">
      <pivotArea dataOnly="0" labelOnly="1" fieldPosition="0">
        <references count="1">
          <reference field="51" count="0"/>
        </references>
      </pivotArea>
    </format>
    <format dxfId="3026">
      <pivotArea dataOnly="0" labelOnly="1" fieldPosition="0">
        <references count="1">
          <reference field="49" count="0"/>
        </references>
      </pivotArea>
    </format>
    <format dxfId="3025">
      <pivotArea collapsedLevelsAreSubtotals="1" fieldPosition="0">
        <references count="1">
          <reference field="48" count="1">
            <x v="2"/>
          </reference>
        </references>
      </pivotArea>
    </format>
    <format dxfId="3024">
      <pivotArea dataOnly="0" labelOnly="1" fieldPosition="0">
        <references count="1">
          <reference field="48" count="1">
            <x v="2"/>
          </reference>
        </references>
      </pivotArea>
    </format>
    <format dxfId="3023">
      <pivotArea collapsedLevelsAreSubtotals="1" fieldPosition="0">
        <references count="1">
          <reference field="48" count="1">
            <x v="2"/>
          </reference>
        </references>
      </pivotArea>
    </format>
    <format dxfId="3022">
      <pivotArea dataOnly="0" labelOnly="1" fieldPosition="0">
        <references count="1">
          <reference field="48" count="1">
            <x v="2"/>
          </reference>
        </references>
      </pivotArea>
    </format>
    <format dxfId="3021">
      <pivotArea collapsedLevelsAreSubtotals="1" fieldPosition="0">
        <references count="1">
          <reference field="48" count="1">
            <x v="11"/>
          </reference>
        </references>
      </pivotArea>
    </format>
    <format dxfId="3020">
      <pivotArea dataOnly="0" labelOnly="1" fieldPosition="0">
        <references count="1">
          <reference field="48" count="1">
            <x v="11"/>
          </reference>
        </references>
      </pivotArea>
    </format>
    <format dxfId="3019">
      <pivotArea collapsedLevelsAreSubtotals="1" fieldPosition="0">
        <references count="1">
          <reference field="48" count="1">
            <x v="12"/>
          </reference>
        </references>
      </pivotArea>
    </format>
    <format dxfId="3018">
      <pivotArea dataOnly="0" labelOnly="1" fieldPosition="0">
        <references count="1">
          <reference field="48" count="1">
            <x v="12"/>
          </reference>
        </references>
      </pivotArea>
    </format>
    <format dxfId="3017">
      <pivotArea collapsedLevelsAreSubtotals="1" fieldPosition="0">
        <references count="1">
          <reference field="48" count="1">
            <x v="3"/>
          </reference>
        </references>
      </pivotArea>
    </format>
    <format dxfId="3016">
      <pivotArea dataOnly="0" labelOnly="1" fieldPosition="0">
        <references count="1">
          <reference field="48" count="1">
            <x v="3"/>
          </reference>
        </references>
      </pivotArea>
    </format>
    <format dxfId="3015">
      <pivotArea collapsedLevelsAreSubtotals="1" fieldPosition="0">
        <references count="1">
          <reference field="48" count="1">
            <x v="4"/>
          </reference>
        </references>
      </pivotArea>
    </format>
    <format dxfId="3014">
      <pivotArea dataOnly="0" labelOnly="1" fieldPosition="0">
        <references count="1">
          <reference field="48" count="1">
            <x v="4"/>
          </reference>
        </references>
      </pivotArea>
    </format>
    <format dxfId="3013">
      <pivotArea collapsedLevelsAreSubtotals="1" fieldPosition="0">
        <references count="1">
          <reference field="49" count="8"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3012">
      <pivotArea collapsedLevelsAreSubtotals="1" fieldPosition="0">
        <references count="1">
          <reference field="48" count="1">
            <x v="10"/>
          </reference>
        </references>
      </pivotArea>
    </format>
    <format dxfId="3011">
      <pivotArea dataOnly="0" labelOnly="1" fieldPosition="0">
        <references count="1">
          <reference field="48" count="1">
            <x v="10"/>
          </reference>
        </references>
      </pivotArea>
    </format>
    <format dxfId="3010">
      <pivotArea collapsedLevelsAreSubtotals="1" fieldPosition="0">
        <references count="1">
          <reference field="48" count="1">
            <x v="5"/>
          </reference>
        </references>
      </pivotArea>
    </format>
    <format dxfId="3009">
      <pivotArea dataOnly="0" labelOnly="1" fieldPosition="0">
        <references count="1">
          <reference field="48" count="1">
            <x v="5"/>
          </reference>
        </references>
      </pivotArea>
    </format>
    <format dxfId="3008">
      <pivotArea collapsedLevelsAreSubtotals="1" fieldPosition="0">
        <references count="1">
          <reference field="48" count="1">
            <x v="6"/>
          </reference>
        </references>
      </pivotArea>
    </format>
    <format dxfId="3007">
      <pivotArea dataOnly="0" labelOnly="1" fieldPosition="0">
        <references count="1">
          <reference field="48" count="1">
            <x v="6"/>
          </reference>
        </references>
      </pivotArea>
    </format>
    <format dxfId="3006">
      <pivotArea collapsedLevelsAreSubtotals="1" fieldPosition="0">
        <references count="1">
          <reference field="48" count="1">
            <x v="7"/>
          </reference>
        </references>
      </pivotArea>
    </format>
    <format dxfId="3005">
      <pivotArea dataOnly="0" labelOnly="1" fieldPosition="0">
        <references count="1">
          <reference field="48" count="1">
            <x v="7"/>
          </reference>
        </references>
      </pivotArea>
    </format>
    <format dxfId="3004">
      <pivotArea collapsedLevelsAreSubtotals="1" fieldPosition="0">
        <references count="1">
          <reference field="48" count="1">
            <x v="8"/>
          </reference>
        </references>
      </pivotArea>
    </format>
    <format dxfId="3003">
      <pivotArea dataOnly="0" labelOnly="1" fieldPosition="0">
        <references count="1">
          <reference field="48" count="1">
            <x v="8"/>
          </reference>
        </references>
      </pivotArea>
    </format>
    <format dxfId="3002">
      <pivotArea collapsedLevelsAreSubtotals="1" fieldPosition="0">
        <references count="1">
          <reference field="48" count="1">
            <x v="9"/>
          </reference>
        </references>
      </pivotArea>
    </format>
    <format dxfId="3001">
      <pivotArea dataOnly="0" labelOnly="1" fieldPosition="0">
        <references count="1">
          <reference field="48" count="1">
            <x v="9"/>
          </reference>
        </references>
      </pivotArea>
    </format>
    <format dxfId="3000">
      <pivotArea collapsedLevelsAreSubtotals="1" fieldPosition="0">
        <references count="1">
          <reference field="49" count="8"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2999">
      <pivotArea collapsedLevelsAreSubtotals="1" fieldPosition="0">
        <references count="1">
          <reference field="48" count="1">
            <x v="10"/>
          </reference>
        </references>
      </pivotArea>
    </format>
    <format dxfId="2998">
      <pivotArea dataOnly="0" labelOnly="1" fieldPosition="0">
        <references count="1">
          <reference field="48" count="1">
            <x v="10"/>
          </reference>
        </references>
      </pivotArea>
    </format>
    <format dxfId="2997">
      <pivotArea dataOnly="0" labelOnly="1" fieldPosition="0">
        <references count="1">
          <reference field="49" count="1">
            <x v="42"/>
          </reference>
        </references>
      </pivotArea>
    </format>
    <format dxfId="2996">
      <pivotArea dataOnly="0" fieldPosition="0">
        <references count="1">
          <reference field="48" count="1">
            <x v="13"/>
          </reference>
        </references>
      </pivotArea>
    </format>
    <format dxfId="2995">
      <pivotArea outline="0" collapsedLevelsAreSubtotals="1" fieldPosition="0"/>
    </format>
    <format dxfId="2994">
      <pivotArea field="46" type="button" dataOnly="0" labelOnly="1" outline="0" axis="axisRow" fieldPosition="0"/>
    </format>
    <format dxfId="2993">
      <pivotArea dataOnly="0" labelOnly="1" fieldPosition="0">
        <references count="1">
          <reference field="46" count="0"/>
        </references>
      </pivotArea>
    </format>
    <format dxfId="2992">
      <pivotArea dataOnly="0" labelOnly="1" grandRow="1" outline="0" fieldPosition="0"/>
    </format>
    <format dxfId="2991">
      <pivotArea dataOnly="0" labelOnly="1" fieldPosition="0">
        <references count="1">
          <reference field="47" count="0"/>
        </references>
      </pivotArea>
    </format>
    <format dxfId="2990">
      <pivotArea dataOnly="0" labelOnly="1" fieldPosition="0">
        <references count="1">
          <reference field="48" count="1">
            <x v="1"/>
          </reference>
        </references>
      </pivotArea>
    </format>
    <format dxfId="2989">
      <pivotArea dataOnly="0" labelOnly="1" fieldPosition="0">
        <references count="1">
          <reference field="49" count="9"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  <format dxfId="2988">
      <pivotArea dataOnly="0" labelOnly="1" fieldPosition="0">
        <references count="1">
          <reference field="50" count="11"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2987">
      <pivotArea dataOnly="0" labelOnly="1" fieldPosition="0">
        <references count="1">
          <reference field="77" count="0"/>
        </references>
      </pivotArea>
    </format>
    <format dxfId="2986">
      <pivotArea dataOnly="0" labelOnly="1" grandCol="1" outline="0" fieldPosition="0"/>
    </format>
    <format dxfId="2985">
      <pivotArea dataOnly="0" labelOnly="1" fieldPosition="0">
        <references count="1">
          <reference field="49" count="0"/>
        </references>
      </pivotArea>
    </format>
    <format dxfId="2984">
      <pivotArea type="all" dataOnly="0" outline="0" fieldPosition="0"/>
    </format>
    <format dxfId="2983">
      <pivotArea collapsedLevelsAreSubtotals="1" fieldPosition="0">
        <references count="2">
          <reference field="47" count="0"/>
          <reference field="77" count="1" selected="0">
            <x v="0"/>
          </reference>
        </references>
      </pivotArea>
    </format>
    <format dxfId="2982">
      <pivotArea collapsedLevelsAreSubtotals="1" fieldPosition="0">
        <references count="2">
          <reference field="47" count="0"/>
          <reference field="77" count="1" selected="0">
            <x v="1"/>
          </reference>
        </references>
      </pivotArea>
    </format>
    <format dxfId="2981">
      <pivotArea collapsedLevelsAreSubtotals="1" fieldPosition="0">
        <references count="2">
          <reference field="47" count="0"/>
          <reference field="77" count="1" selected="0">
            <x v="4"/>
          </reference>
        </references>
      </pivotArea>
    </format>
    <format dxfId="2980">
      <pivotArea dataOnly="0" fieldPosition="0">
        <references count="1">
          <reference field="49" count="1">
            <x v="14"/>
          </reference>
        </references>
      </pivotArea>
    </format>
    <format dxfId="2979">
      <pivotArea dataOnly="0" fieldPosition="0">
        <references count="1">
          <reference field="49" count="1">
            <x v="15"/>
          </reference>
        </references>
      </pivotArea>
    </format>
    <format dxfId="2978">
      <pivotArea dataOnly="0" fieldPosition="0">
        <references count="1">
          <reference field="49" count="1">
            <x v="16"/>
          </reference>
        </references>
      </pivotArea>
    </format>
    <format dxfId="2977">
      <pivotArea dataOnly="0" fieldPosition="0">
        <references count="1">
          <reference field="49" count="1">
            <x v="17"/>
          </reference>
        </references>
      </pivotArea>
    </format>
    <format dxfId="2976">
      <pivotArea dataOnly="0" fieldPosition="0">
        <references count="1">
          <reference field="49" count="1">
            <x v="18"/>
          </reference>
        </references>
      </pivotArea>
    </format>
    <format dxfId="2975">
      <pivotArea dataOnly="0" fieldPosition="0">
        <references count="1">
          <reference field="49" count="1">
            <x v="19"/>
          </reference>
        </references>
      </pivotArea>
    </format>
    <format dxfId="2974">
      <pivotArea dataOnly="0" grandRow="1" fieldPosition="0"/>
    </format>
    <format dxfId="2973">
      <pivotArea collapsedLevelsAreSubtotals="1" fieldPosition="0">
        <references count="1">
          <reference field="49" count="1">
            <x v="20"/>
          </reference>
        </references>
      </pivotArea>
    </format>
    <format dxfId="2972">
      <pivotArea dataOnly="0" labelOnly="1" fieldPosition="0">
        <references count="1">
          <reference field="49" count="1">
            <x v="20"/>
          </reference>
        </references>
      </pivotArea>
    </format>
    <format dxfId="2971">
      <pivotArea collapsedLevelsAreSubtotals="1" fieldPosition="0">
        <references count="1">
          <reference field="49" count="1">
            <x v="22"/>
          </reference>
        </references>
      </pivotArea>
    </format>
    <format dxfId="2970">
      <pivotArea dataOnly="0" labelOnly="1" fieldPosition="0">
        <references count="1">
          <reference field="49" count="1">
            <x v="22"/>
          </reference>
        </references>
      </pivotArea>
    </format>
    <format dxfId="2969">
      <pivotArea collapsedLevelsAreSubtotals="1" fieldPosition="0">
        <references count="1">
          <reference field="49" count="1">
            <x v="20"/>
          </reference>
        </references>
      </pivotArea>
    </format>
    <format dxfId="2968">
      <pivotArea dataOnly="0" labelOnly="1" fieldPosition="0">
        <references count="1">
          <reference field="49" count="1">
            <x v="20"/>
          </reference>
        </references>
      </pivotArea>
    </format>
    <format dxfId="2967">
      <pivotArea dataOnly="0" labelOnly="1" fieldPosition="0">
        <references count="1">
          <reference field="49" count="1">
            <x v="21"/>
          </reference>
        </references>
      </pivotArea>
    </format>
    <format dxfId="2966">
      <pivotArea collapsedLevelsAreSubtotals="1" fieldPosition="0">
        <references count="1">
          <reference field="49" count="1">
            <x v="21"/>
          </reference>
        </references>
      </pivotArea>
    </format>
    <format dxfId="2965">
      <pivotArea collapsedLevelsAreSubtotals="1" fieldPosition="0">
        <references count="1">
          <reference field="48" count="1">
            <x v="14"/>
          </reference>
        </references>
      </pivotArea>
    </format>
    <format dxfId="2964">
      <pivotArea dataOnly="0" labelOnly="1" fieldPosition="0">
        <references count="1">
          <reference field="48" count="1">
            <x v="14"/>
          </reference>
        </references>
      </pivotArea>
    </format>
    <format dxfId="2963">
      <pivotArea collapsedLevelsAreSubtotals="1" fieldPosition="0">
        <references count="1">
          <reference field="48" count="1">
            <x v="14"/>
          </reference>
        </references>
      </pivotArea>
    </format>
    <format dxfId="2962">
      <pivotArea dataOnly="0" labelOnly="1" fieldPosition="0">
        <references count="1">
          <reference field="48" count="1">
            <x v="14"/>
          </reference>
        </references>
      </pivotArea>
    </format>
    <format dxfId="2961">
      <pivotArea dataOnly="0" labelOnly="1" fieldPosition="0">
        <references count="1">
          <reference field="49" count="4">
            <x v="23"/>
            <x v="24"/>
            <x v="25"/>
            <x v="26"/>
          </reference>
        </references>
      </pivotArea>
    </format>
    <format dxfId="2960">
      <pivotArea collapsedLevelsAreSubtotals="1" fieldPosition="0">
        <references count="1">
          <reference field="48" count="1">
            <x v="0"/>
          </reference>
        </references>
      </pivotArea>
    </format>
    <format dxfId="2959">
      <pivotArea dataOnly="0" labelOnly="1" fieldPosition="0">
        <references count="1">
          <reference field="48" count="1">
            <x v="0"/>
          </reference>
        </references>
      </pivotArea>
    </format>
    <format dxfId="2958">
      <pivotArea collapsedLevelsAreSubtotals="1" fieldPosition="0">
        <references count="1">
          <reference field="48" count="1">
            <x v="14"/>
          </reference>
        </references>
      </pivotArea>
    </format>
    <format dxfId="2957">
      <pivotArea dataOnly="0" labelOnly="1" fieldPosition="0">
        <references count="1">
          <reference field="48" count="1">
            <x v="14"/>
          </reference>
        </references>
      </pivotArea>
    </format>
    <format dxfId="2956">
      <pivotArea grandRow="1" outline="0" collapsedLevelsAreSubtotals="1" fieldPosition="0"/>
    </format>
    <format dxfId="2955">
      <pivotArea dataOnly="0" labelOnly="1" grandRow="1" outline="0" fieldPosition="0"/>
    </format>
    <format dxfId="2954">
      <pivotArea dataOnly="0" fieldPosition="0">
        <references count="1">
          <reference field="48" count="1">
            <x v="15"/>
          </reference>
        </references>
      </pivotArea>
    </format>
    <format dxfId="2953">
      <pivotArea collapsedLevelsAreSubtotals="1" fieldPosition="0">
        <references count="1">
          <reference field="48" count="1">
            <x v="16"/>
          </reference>
        </references>
      </pivotArea>
    </format>
    <format dxfId="2952">
      <pivotArea dataOnly="0" labelOnly="1" fieldPosition="0">
        <references count="1">
          <reference field="48" count="1">
            <x v="16"/>
          </reference>
        </references>
      </pivotArea>
    </format>
    <format dxfId="2951">
      <pivotArea collapsedLevelsAreSubtotals="1" fieldPosition="0">
        <references count="1">
          <reference field="47" count="0"/>
        </references>
      </pivotArea>
    </format>
    <format dxfId="2950">
      <pivotArea collapsedLevelsAreSubtotals="1" fieldPosition="0">
        <references count="1">
          <reference field="48" count="1">
            <x v="15"/>
          </reference>
        </references>
      </pivotArea>
    </format>
    <format dxfId="2949">
      <pivotArea collapsedLevelsAreSubtotals="1" fieldPosition="0">
        <references count="1">
          <reference field="49" count="1">
            <x v="6"/>
          </reference>
        </references>
      </pivotArea>
    </format>
    <format dxfId="2948">
      <pivotArea collapsedLevelsAreSubtotals="1" fieldPosition="0">
        <references count="1">
          <reference field="50" count="1">
            <x v="25"/>
          </reference>
        </references>
      </pivotArea>
    </format>
    <format dxfId="2947">
      <pivotArea collapsedLevelsAreSubtotals="1" fieldPosition="0">
        <references count="1">
          <reference field="49" count="1">
            <x v="7"/>
          </reference>
        </references>
      </pivotArea>
    </format>
    <format dxfId="2946">
      <pivotArea collapsedLevelsAreSubtotals="1" fieldPosition="0">
        <references count="1">
          <reference field="49" count="1">
            <x v="8"/>
          </reference>
        </references>
      </pivotArea>
    </format>
    <format dxfId="2945">
      <pivotArea collapsedLevelsAreSubtotals="1" fieldPosition="0">
        <references count="1">
          <reference field="49" count="1">
            <x v="9"/>
          </reference>
        </references>
      </pivotArea>
    </format>
    <format dxfId="2944">
      <pivotArea collapsedLevelsAreSubtotals="1" fieldPosition="0">
        <references count="1">
          <reference field="50" count="1">
            <x v="26"/>
          </reference>
        </references>
      </pivotArea>
    </format>
    <format dxfId="2943">
      <pivotArea collapsedLevelsAreSubtotals="1" fieldPosition="0">
        <references count="1">
          <reference field="50" count="1">
            <x v="27"/>
          </reference>
        </references>
      </pivotArea>
    </format>
    <format dxfId="2942">
      <pivotArea collapsedLevelsAreSubtotals="1" fieldPosition="0">
        <references count="1">
          <reference field="50" count="1">
            <x v="28"/>
          </reference>
        </references>
      </pivotArea>
    </format>
    <format dxfId="2941">
      <pivotArea collapsedLevelsAreSubtotals="1" fieldPosition="0">
        <references count="1">
          <reference field="50" count="1">
            <x v="29"/>
          </reference>
        </references>
      </pivotArea>
    </format>
    <format dxfId="2940">
      <pivotArea collapsedLevelsAreSubtotals="1" fieldPosition="0">
        <references count="1">
          <reference field="49" count="1">
            <x v="10"/>
          </reference>
        </references>
      </pivotArea>
    </format>
    <format dxfId="2939">
      <pivotArea collapsedLevelsAreSubtotals="1" fieldPosition="0">
        <references count="1">
          <reference field="49" count="1">
            <x v="11"/>
          </reference>
        </references>
      </pivotArea>
    </format>
    <format dxfId="2938">
      <pivotArea collapsedLevelsAreSubtotals="1" fieldPosition="0">
        <references count="1">
          <reference field="49" count="1">
            <x v="12"/>
          </reference>
        </references>
      </pivotArea>
    </format>
    <format dxfId="2937">
      <pivotArea collapsedLevelsAreSubtotals="1" fieldPosition="0">
        <references count="1">
          <reference field="49" count="1">
            <x v="13"/>
          </reference>
        </references>
      </pivotArea>
    </format>
    <format dxfId="2936">
      <pivotArea collapsedLevelsAreSubtotals="1" fieldPosition="0">
        <references count="1">
          <reference field="50" count="1">
            <x v="30"/>
          </reference>
        </references>
      </pivotArea>
    </format>
    <format dxfId="2935">
      <pivotArea collapsedLevelsAreSubtotals="1" fieldPosition="0">
        <references count="1">
          <reference field="51" count="4">
            <x v="162"/>
            <x v="163"/>
            <x v="164"/>
            <x v="165"/>
          </reference>
        </references>
      </pivotArea>
    </format>
    <format dxfId="2934">
      <pivotArea collapsedLevelsAreSubtotals="1" fieldPosition="0">
        <references count="1">
          <reference field="50" count="1">
            <x v="31"/>
          </reference>
        </references>
      </pivotArea>
    </format>
    <format dxfId="2933">
      <pivotArea collapsedLevelsAreSubtotals="1" fieldPosition="0">
        <references count="1">
          <reference field="51" count="5">
            <x v="166"/>
            <x v="167"/>
            <x v="168"/>
            <x v="169"/>
            <x v="170"/>
          </reference>
        </references>
      </pivotArea>
    </format>
    <format dxfId="2932">
      <pivotArea collapsedLevelsAreSubtotals="1" fieldPosition="0">
        <references count="1">
          <reference field="48" count="1">
            <x v="16"/>
          </reference>
        </references>
      </pivotArea>
    </format>
    <format dxfId="2931">
      <pivotArea dataOnly="0" labelOnly="1" fieldPosition="0">
        <references count="1">
          <reference field="48" count="2">
            <x v="15"/>
            <x v="16"/>
          </reference>
        </references>
      </pivotArea>
    </format>
    <format dxfId="2930">
      <pivotArea dataOnly="0" labelOnly="1" fieldPosition="0">
        <references count="1">
          <reference field="49" count="8"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929">
      <pivotArea dataOnly="0" labelOnly="1" fieldPosition="0">
        <references count="1">
          <reference field="50" count="7">
            <x v="25"/>
            <x v="26"/>
            <x v="27"/>
            <x v="28"/>
            <x v="29"/>
            <x v="30"/>
            <x v="31"/>
          </reference>
        </references>
      </pivotArea>
    </format>
    <format dxfId="2928">
      <pivotArea dataOnly="0" labelOnly="1" fieldPosition="0">
        <references count="1">
          <reference field="51" count="9">
            <x v="162"/>
            <x v="163"/>
            <x v="164"/>
            <x v="165"/>
            <x v="166"/>
            <x v="167"/>
            <x v="168"/>
            <x v="169"/>
            <x v="170"/>
          </reference>
        </references>
      </pivotArea>
    </format>
    <format dxfId="2927">
      <pivotArea grandRow="1" outline="0" collapsedLevelsAreSubtotals="1" fieldPosition="0"/>
    </format>
    <format dxfId="2926">
      <pivotArea field="77" grandRow="1" outline="0" collapsedLevelsAreSubtotals="1" axis="axisCol" fieldPosition="0">
        <references count="1">
          <reference field="77" count="0" selected="0"/>
        </references>
      </pivotArea>
    </format>
    <format dxfId="2925">
      <pivotArea dataOnly="0" labelOnly="1" grandRow="1" outline="0" fieldPosition="0"/>
    </format>
    <format dxfId="2924">
      <pivotArea grandRow="1" grandCol="1" outline="0" collapsedLevelsAreSubtotals="1" fieldPosition="0"/>
    </format>
    <format dxfId="2923">
      <pivotArea collapsedLevelsAreSubtotals="1" fieldPosition="0">
        <references count="1">
          <reference field="48" count="1">
            <x v="16"/>
          </reference>
        </references>
      </pivotArea>
    </format>
    <format dxfId="2922">
      <pivotArea dataOnly="0" labelOnly="1" fieldPosition="0">
        <references count="1">
          <reference field="48" count="1">
            <x v="16"/>
          </reference>
        </references>
      </pivotArea>
    </format>
    <format dxfId="2921">
      <pivotArea collapsedLevelsAreSubtotals="1" fieldPosition="0">
        <references count="1">
          <reference field="48" count="1">
            <x v="16"/>
          </reference>
        </references>
      </pivotArea>
    </format>
    <format dxfId="2920">
      <pivotArea dataOnly="0" labelOnly="1" fieldPosition="0">
        <references count="1">
          <reference field="48" count="1">
            <x v="16"/>
          </reference>
        </references>
      </pivotArea>
    </format>
    <format dxfId="2919">
      <pivotArea grandRow="1" outline="0" collapsedLevelsAreSubtotals="1" fieldPosition="0"/>
    </format>
    <format dxfId="2918">
      <pivotArea dataOnly="0" labelOnly="1" grandRow="1" outline="0" fieldPosition="0"/>
    </format>
    <format dxfId="2917">
      <pivotArea grandRow="1" outline="0" collapsedLevelsAreSubtotals="1" fieldPosition="0"/>
    </format>
    <format dxfId="2916">
      <pivotArea dataOnly="0" labelOnly="1" grandRow="1" outline="0" fieldPosition="0"/>
    </format>
    <format dxfId="2915">
      <pivotArea grandRow="1" outline="0" collapsedLevelsAreSubtotals="1" fieldPosition="0"/>
    </format>
    <format dxfId="2914">
      <pivotArea dataOnly="0" labelOnly="1" grandRow="1" outline="0" fieldPosition="0"/>
    </format>
    <format dxfId="2913">
      <pivotArea dataOnly="0" labelOnly="1" fieldPosition="0">
        <references count="1">
          <reference field="47" count="0"/>
        </references>
      </pivotArea>
    </format>
    <format dxfId="2912">
      <pivotArea outline="0" collapsedLevelsAreSubtotals="1" fieldPosition="0">
        <references count="1">
          <reference field="77" count="1" selected="0">
            <x v="0"/>
          </reference>
        </references>
      </pivotArea>
    </format>
    <format dxfId="2911">
      <pivotArea dataOnly="0" labelOnly="1" outline="0" fieldPosition="0">
        <references count="1">
          <reference field="35" count="0"/>
        </references>
      </pivotArea>
    </format>
    <format dxfId="2910">
      <pivotArea dataOnly="0" labelOnly="1" outline="0" fieldPosition="0">
        <references count="1">
          <reference field="34" count="0"/>
        </references>
      </pivotArea>
    </format>
    <format dxfId="2909">
      <pivotArea dataOnly="0" labelOnly="1" outline="0" fieldPosition="0">
        <references count="1">
          <reference field="44" count="0"/>
        </references>
      </pivotArea>
    </format>
    <format dxfId="2908">
      <pivotArea field="77" type="button" dataOnly="0" labelOnly="1" outline="0" axis="axisCol" fieldPosition="0"/>
    </format>
    <format dxfId="2907">
      <pivotArea dataOnly="0" labelOnly="1" fieldPosition="0">
        <references count="1">
          <reference field="77" count="1">
            <x v="0"/>
          </reference>
        </references>
      </pivotArea>
    </format>
    <format dxfId="2906">
      <pivotArea collapsedLevelsAreSubtotals="1" fieldPosition="0">
        <references count="1">
          <reference field="47" count="0"/>
        </references>
      </pivotArea>
    </format>
    <format dxfId="2905">
      <pivotArea dataOnly="0" labelOnly="1" fieldPosition="0">
        <references count="1">
          <reference field="47" count="0"/>
        </references>
      </pivotArea>
    </format>
    <format dxfId="2904">
      <pivotArea dataOnly="0" labelOnly="1" fieldPosition="0">
        <references count="1">
          <reference field="50" count="7">
            <x v="18"/>
            <x v="19"/>
            <x v="20"/>
            <x v="21"/>
            <x v="22"/>
            <x v="23"/>
            <x v="24"/>
          </reference>
        </references>
      </pivotArea>
    </format>
    <format dxfId="2903">
      <pivotArea dataOnly="0" labelOnly="1" fieldPosition="0">
        <references count="1">
          <reference field="51" count="30">
            <x v="107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</reference>
        </references>
      </pivotArea>
    </format>
    <format dxfId="2902">
      <pivotArea dataOnly="0" labelOnly="1" fieldPosition="0">
        <references count="1">
          <reference field="52" count="0"/>
        </references>
      </pivotArea>
    </format>
    <format dxfId="2901">
      <pivotArea collapsedLevelsAreSubtotals="1" fieldPosition="0">
        <references count="1">
          <reference field="50" count="1">
            <x v="18"/>
          </reference>
        </references>
      </pivotArea>
    </format>
    <format dxfId="2900">
      <pivotArea dataOnly="0" labelOnly="1" fieldPosition="0">
        <references count="1">
          <reference field="50" count="1">
            <x v="18"/>
          </reference>
        </references>
      </pivotArea>
    </format>
    <format dxfId="2899">
      <pivotArea collapsedLevelsAreSubtotals="1" fieldPosition="0">
        <references count="1">
          <reference field="50" count="1">
            <x v="19"/>
          </reference>
        </references>
      </pivotArea>
    </format>
    <format dxfId="2898">
      <pivotArea dataOnly="0" labelOnly="1" fieldPosition="0">
        <references count="1">
          <reference field="50" count="1">
            <x v="19"/>
          </reference>
        </references>
      </pivotArea>
    </format>
    <format dxfId="2897">
      <pivotArea collapsedLevelsAreSubtotals="1" fieldPosition="0">
        <references count="1">
          <reference field="50" count="1">
            <x v="20"/>
          </reference>
        </references>
      </pivotArea>
    </format>
    <format dxfId="2896">
      <pivotArea dataOnly="0" labelOnly="1" fieldPosition="0">
        <references count="1">
          <reference field="50" count="1">
            <x v="20"/>
          </reference>
        </references>
      </pivotArea>
    </format>
    <format dxfId="2895">
      <pivotArea collapsedLevelsAreSubtotals="1" fieldPosition="0">
        <references count="1">
          <reference field="50" count="1">
            <x v="21"/>
          </reference>
        </references>
      </pivotArea>
    </format>
    <format dxfId="2894">
      <pivotArea dataOnly="0" labelOnly="1" fieldPosition="0">
        <references count="1">
          <reference field="50" count="1">
            <x v="21"/>
          </reference>
        </references>
      </pivotArea>
    </format>
    <format dxfId="2893">
      <pivotArea collapsedLevelsAreSubtotals="1" fieldPosition="0">
        <references count="1">
          <reference field="50" count="1">
            <x v="22"/>
          </reference>
        </references>
      </pivotArea>
    </format>
    <format dxfId="2892">
      <pivotArea dataOnly="0" labelOnly="1" fieldPosition="0">
        <references count="1">
          <reference field="50" count="1">
            <x v="22"/>
          </reference>
        </references>
      </pivotArea>
    </format>
    <format dxfId="2891">
      <pivotArea collapsedLevelsAreSubtotals="1" fieldPosition="0">
        <references count="1">
          <reference field="50" count="1">
            <x v="23"/>
          </reference>
        </references>
      </pivotArea>
    </format>
    <format dxfId="2890">
      <pivotArea dataOnly="0" labelOnly="1" fieldPosition="0">
        <references count="1">
          <reference field="50" count="1">
            <x v="23"/>
          </reference>
        </references>
      </pivotArea>
    </format>
    <format dxfId="2889">
      <pivotArea collapsedLevelsAreSubtotals="1" fieldPosition="0">
        <references count="1">
          <reference field="50" count="1">
            <x v="24"/>
          </reference>
        </references>
      </pivotArea>
    </format>
    <format dxfId="2888">
      <pivotArea dataOnly="0" labelOnly="1" fieldPosition="0">
        <references count="1">
          <reference field="50" count="1">
            <x v="24"/>
          </reference>
        </references>
      </pivotArea>
    </format>
    <format dxfId="2887">
      <pivotArea dataOnly="0" labelOnly="1" fieldPosition="0">
        <references count="1">
          <reference field="50" count="2">
            <x v="14"/>
            <x v="15"/>
          </reference>
        </references>
      </pivotArea>
    </format>
    <format dxfId="2886">
      <pivotArea dataOnly="0" labelOnly="1" fieldPosition="0">
        <references count="1">
          <reference field="51" count="4">
            <x v="93"/>
            <x v="94"/>
            <x v="119"/>
            <x v="120"/>
          </reference>
        </references>
      </pivotArea>
    </format>
    <format dxfId="2885">
      <pivotArea dataOnly="0" labelOnly="1" fieldPosition="0">
        <references count="1">
          <reference field="52" count="10"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884">
      <pivotArea dataOnly="0" fieldPosition="0">
        <references count="1">
          <reference field="50" count="1">
            <x v="14"/>
          </reference>
        </references>
      </pivotArea>
    </format>
    <format dxfId="2883">
      <pivotArea collapsedLevelsAreSubtotals="1" fieldPosition="0">
        <references count="1">
          <reference field="50" count="1">
            <x v="15"/>
          </reference>
        </references>
      </pivotArea>
    </format>
    <format dxfId="2882">
      <pivotArea dataOnly="0" labelOnly="1" fieldPosition="0">
        <references count="1">
          <reference field="50" count="1">
            <x v="15"/>
          </reference>
        </references>
      </pivotArea>
    </format>
    <format dxfId="2881">
      <pivotArea collapsedLevelsAreSubtotals="1" fieldPosition="0">
        <references count="1">
          <reference field="51" count="1">
            <x v="120"/>
          </reference>
        </references>
      </pivotArea>
    </format>
    <format dxfId="2880">
      <pivotArea dataOnly="0" labelOnly="1" fieldPosition="0">
        <references count="1">
          <reference field="51" count="1">
            <x v="120"/>
          </reference>
        </references>
      </pivotArea>
    </format>
    <format dxfId="2879">
      <pivotArea collapsedLevelsAreSubtotals="1" fieldPosition="0">
        <references count="1">
          <reference field="50" count="1">
            <x v="15"/>
          </reference>
        </references>
      </pivotArea>
    </format>
    <format dxfId="2878">
      <pivotArea dataOnly="0" labelOnly="1" fieldPosition="0">
        <references count="1">
          <reference field="50" count="1">
            <x v="15"/>
          </reference>
        </references>
      </pivotArea>
    </format>
    <format dxfId="2877">
      <pivotArea collapsedLevelsAreSubtotals="1" fieldPosition="0">
        <references count="1">
          <reference field="51" count="1">
            <x v="120"/>
          </reference>
        </references>
      </pivotArea>
    </format>
    <format dxfId="2876">
      <pivotArea dataOnly="0" labelOnly="1" fieldPosition="0">
        <references count="1">
          <reference field="51" count="1">
            <x v="120"/>
          </reference>
        </references>
      </pivotArea>
    </format>
    <format dxfId="2875">
      <pivotArea dataOnly="0" labelOnly="1" fieldPosition="0">
        <references count="1">
          <reference field="50" count="1">
            <x v="14"/>
          </reference>
        </references>
      </pivotArea>
    </format>
    <format dxfId="2874">
      <pivotArea collapsedLevelsAreSubtotals="1" fieldPosition="0">
        <references count="1">
          <reference field="51" count="1">
            <x v="120"/>
          </reference>
        </references>
      </pivotArea>
    </format>
    <format dxfId="2873">
      <pivotArea dataOnly="0" labelOnly="1" fieldPosition="0">
        <references count="1">
          <reference field="51" count="1">
            <x v="120"/>
          </reference>
        </references>
      </pivotArea>
    </format>
    <format dxfId="2872">
      <pivotArea collapsedLevelsAreSubtotals="1" fieldPosition="0">
        <references count="1">
          <reference field="50" count="1">
            <x v="14"/>
          </reference>
        </references>
      </pivotArea>
    </format>
    <format dxfId="2871">
      <pivotArea dataOnly="0" labelOnly="1" fieldPosition="0">
        <references count="1">
          <reference field="50" count="1">
            <x v="14"/>
          </reference>
        </references>
      </pivotArea>
    </format>
    <format dxfId="2870">
      <pivotArea collapsedLevelsAreSubtotals="1" fieldPosition="0">
        <references count="1">
          <reference field="50" count="1">
            <x v="15"/>
          </reference>
        </references>
      </pivotArea>
    </format>
    <format dxfId="2869">
      <pivotArea dataOnly="0" labelOnly="1" fieldPosition="0">
        <references count="1">
          <reference field="50" count="1">
            <x v="15"/>
          </reference>
        </references>
      </pivotArea>
    </format>
    <format dxfId="2868">
      <pivotArea dataOnly="0" labelOnly="1" fieldPosition="0">
        <references count="1">
          <reference field="50" count="1">
            <x v="14"/>
          </reference>
        </references>
      </pivotArea>
    </format>
    <format dxfId="2867">
      <pivotArea dataOnly="0" labelOnly="1" fieldPosition="0">
        <references count="1">
          <reference field="50" count="1">
            <x v="15"/>
          </reference>
        </references>
      </pivotArea>
    </format>
    <format dxfId="2866">
      <pivotArea dataOnly="0" labelOnly="1" fieldPosition="0">
        <references count="1">
          <reference field="51" count="2">
            <x v="119"/>
            <x v="120"/>
          </reference>
        </references>
      </pivotArea>
    </format>
    <format dxfId="2865">
      <pivotArea dataOnly="0" labelOnly="1" fieldPosition="0">
        <references count="1">
          <reference field="52" count="6">
            <x v="9"/>
            <x v="10"/>
            <x v="11"/>
            <x v="12"/>
            <x v="13"/>
            <x v="15"/>
          </reference>
        </references>
      </pivotArea>
    </format>
    <format dxfId="2864">
      <pivotArea dataOnly="0" labelOnly="1" fieldPosition="0">
        <references count="1">
          <reference field="53" count="0"/>
        </references>
      </pivotArea>
    </format>
    <format dxfId="2863">
      <pivotArea dataOnly="0" labelOnly="1" fieldPosition="0">
        <references count="1">
          <reference field="51" count="4">
            <x v="93"/>
            <x v="94"/>
            <x v="119"/>
            <x v="120"/>
          </reference>
        </references>
      </pivotArea>
    </format>
    <format dxfId="2862">
      <pivotArea dataOnly="0" labelOnly="1" fieldPosition="0">
        <references count="1">
          <reference field="50" count="2">
            <x v="14"/>
            <x v="15"/>
          </reference>
        </references>
      </pivotArea>
    </format>
    <format dxfId="2861">
      <pivotArea dataOnly="0" labelOnly="1" fieldPosition="0">
        <references count="1">
          <reference field="50" count="1">
            <x v="14"/>
          </reference>
        </references>
      </pivotArea>
    </format>
    <format dxfId="2860">
      <pivotArea dataOnly="0" labelOnly="1" fieldPosition="0">
        <references count="1">
          <reference field="52" count="1">
            <x v="32"/>
          </reference>
        </references>
      </pivotArea>
    </format>
    <format dxfId="2859">
      <pivotArea dataOnly="0" labelOnly="1" fieldPosition="0">
        <references count="1">
          <reference field="51" count="6">
            <x v="134"/>
            <x v="135"/>
            <x v="136"/>
            <x v="137"/>
            <x v="138"/>
            <x v="139"/>
          </reference>
        </references>
      </pivotArea>
    </format>
    <format dxfId="2858">
      <pivotArea dataOnly="0" labelOnly="1" fieldPosition="0">
        <references count="1">
          <reference field="51" count="3">
            <x v="93"/>
            <x v="94"/>
            <x v="107"/>
          </reference>
        </references>
      </pivotArea>
    </format>
    <format dxfId="2857">
      <pivotArea dataOnly="0" labelOnly="1" fieldPosition="0">
        <references count="1">
          <reference field="51" count="3">
            <x v="93"/>
            <x v="94"/>
            <x v="107"/>
          </reference>
        </references>
      </pivotArea>
    </format>
    <format dxfId="2856">
      <pivotArea dataOnly="0" labelOnly="1" fieldPosition="0">
        <references count="1">
          <reference field="51" count="3">
            <x v="93"/>
            <x v="94"/>
            <x v="107"/>
          </reference>
        </references>
      </pivotArea>
    </format>
    <format dxfId="2855">
      <pivotArea dataOnly="0" labelOnly="1" fieldPosition="0">
        <references count="1">
          <reference field="52" count="2">
            <x v="32"/>
            <x v="33"/>
          </reference>
        </references>
      </pivotArea>
    </format>
    <format dxfId="2854">
      <pivotArea dataOnly="0" labelOnly="1" fieldPosition="0">
        <references count="1">
          <reference field="51" count="2">
            <x v="94"/>
            <x v="107"/>
          </reference>
        </references>
      </pivotArea>
    </format>
    <format dxfId="2853">
      <pivotArea dataOnly="0" labelOnly="1" fieldPosition="0">
        <references count="1">
          <reference field="50" count="2">
            <x v="15"/>
            <x v="16"/>
          </reference>
        </references>
      </pivotArea>
    </format>
    <format dxfId="2852">
      <pivotArea dataOnly="0" labelOnly="1" fieldPosition="0">
        <references count="1">
          <reference field="50" count="2">
            <x v="15"/>
            <x v="16"/>
          </reference>
        </references>
      </pivotArea>
    </format>
    <format dxfId="2851">
      <pivotArea collapsedLevelsAreSubtotals="1" fieldPosition="0">
        <references count="1">
          <reference field="50" count="1">
            <x v="16"/>
          </reference>
        </references>
      </pivotArea>
    </format>
    <format dxfId="2850">
      <pivotArea dataOnly="0" labelOnly="1" fieldPosition="0">
        <references count="1">
          <reference field="50" count="1">
            <x v="16"/>
          </reference>
        </references>
      </pivotArea>
    </format>
    <format dxfId="2849">
      <pivotArea dataOnly="0" labelOnly="1" fieldPosition="0">
        <references count="1">
          <reference field="50" count="1">
            <x v="16"/>
          </reference>
        </references>
      </pivotArea>
    </format>
    <format dxfId="2848">
      <pivotArea dataOnly="0" labelOnly="1" fieldPosition="0">
        <references count="1">
          <reference field="50" count="1">
            <x v="16"/>
          </reference>
        </references>
      </pivotArea>
    </format>
    <format dxfId="2847">
      <pivotArea dataOnly="0" labelOnly="1" fieldPosition="0">
        <references count="1">
          <reference field="48" count="1">
            <x v="16"/>
          </reference>
        </references>
      </pivotArea>
    </format>
    <format dxfId="2846">
      <pivotArea dataOnly="0" labelOnly="1" fieldPosition="0">
        <references count="1">
          <reference field="49" count="1">
            <x v="4"/>
          </reference>
        </references>
      </pivotArea>
    </format>
    <format dxfId="2845">
      <pivotArea dataOnly="0" labelOnly="1" fieldPosition="0">
        <references count="1">
          <reference field="50" count="3">
            <x v="14"/>
            <x v="15"/>
            <x v="16"/>
          </reference>
        </references>
      </pivotArea>
    </format>
    <format dxfId="2844">
      <pivotArea dataOnly="0" labelOnly="1" fieldPosition="0">
        <references count="1">
          <reference field="51" count="7">
            <x v="93"/>
            <x v="94"/>
            <x v="96"/>
            <x v="97"/>
            <x v="119"/>
            <x v="126"/>
            <x v="127"/>
          </reference>
        </references>
      </pivotArea>
    </format>
    <format dxfId="2843">
      <pivotArea dataOnly="0" labelOnly="1" fieldPosition="0">
        <references count="1">
          <reference field="50" count="1">
            <x v="14"/>
          </reference>
        </references>
      </pivotArea>
    </format>
    <format dxfId="2842">
      <pivotArea dataOnly="0" labelOnly="1" fieldPosition="0">
        <references count="1">
          <reference field="50" count="1">
            <x v="14"/>
          </reference>
        </references>
      </pivotArea>
    </format>
    <format dxfId="2841">
      <pivotArea dataOnly="0" labelOnly="1" fieldPosition="0">
        <references count="1">
          <reference field="51" count="2">
            <x v="93"/>
            <x v="94"/>
          </reference>
        </references>
      </pivotArea>
    </format>
    <format dxfId="2840">
      <pivotArea dataOnly="0" labelOnly="1" fieldPosition="0">
        <references count="1">
          <reference field="51" count="2">
            <x v="93"/>
            <x v="94"/>
          </reference>
        </references>
      </pivotArea>
    </format>
    <format dxfId="2839">
      <pivotArea dataOnly="0" labelOnly="1" fieldPosition="0">
        <references count="1">
          <reference field="51" count="4">
            <x v="93"/>
            <x v="94"/>
            <x v="96"/>
            <x v="97"/>
          </reference>
        </references>
      </pivotArea>
    </format>
    <format dxfId="2838">
      <pivotArea dataOnly="0" labelOnly="1" fieldPosition="0">
        <references count="1">
          <reference field="51" count="4">
            <x v="93"/>
            <x v="94"/>
            <x v="96"/>
            <x v="97"/>
          </reference>
        </references>
      </pivotArea>
    </format>
    <format dxfId="2837">
      <pivotArea dataOnly="0" labelOnly="1" fieldPosition="0">
        <references count="1">
          <reference field="51" count="2">
            <x v="97"/>
            <x v="100"/>
          </reference>
        </references>
      </pivotArea>
    </format>
    <format dxfId="2836">
      <pivotArea dataOnly="0" labelOnly="1" fieldPosition="0">
        <references count="1">
          <reference field="51" count="0"/>
        </references>
      </pivotArea>
    </format>
    <format dxfId="2835">
      <pivotArea dataOnly="0" labelOnly="1" fieldPosition="0">
        <references count="1">
          <reference field="48" count="1">
            <x v="16"/>
          </reference>
        </references>
      </pivotArea>
    </format>
    <format dxfId="2834">
      <pivotArea dataOnly="0" labelOnly="1" fieldPosition="0">
        <references count="1">
          <reference field="52" count="11"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2833">
      <pivotArea dataOnly="0" labelOnly="1" fieldPosition="0">
        <references count="1">
          <reference field="52" count="17">
            <x v="9"/>
            <x v="10"/>
            <x v="11"/>
            <x v="12"/>
            <x v="13"/>
            <x v="15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2832">
      <pivotArea dataOnly="0" labelOnly="1" grandRow="1" outline="0" fieldPosition="0"/>
    </format>
    <format dxfId="2831">
      <pivotArea dataOnly="0" labelOnly="1" fieldPosition="0">
        <references count="1">
          <reference field="51" count="18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19"/>
            <x v="120"/>
            <x v="123"/>
            <x v="125"/>
            <x v="126"/>
            <x v="127"/>
            <x v="128"/>
          </reference>
        </references>
      </pivotArea>
    </format>
    <format dxfId="2830">
      <pivotArea dataOnly="0" labelOnly="1" fieldPosition="0">
        <references count="1">
          <reference field="49" count="1">
            <x v="4"/>
          </reference>
        </references>
      </pivotArea>
    </format>
    <format dxfId="2829">
      <pivotArea dataOnly="0" labelOnly="1" fieldPosition="0">
        <references count="1">
          <reference field="50" count="3">
            <x v="14"/>
            <x v="15"/>
            <x v="16"/>
          </reference>
        </references>
      </pivotArea>
    </format>
    <format dxfId="2828">
      <pivotArea dataOnly="0" labelOnly="1" fieldPosition="0">
        <references count="1">
          <reference field="51" count="18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5"/>
            <x v="119"/>
            <x v="120"/>
            <x v="123"/>
            <x v="125"/>
            <x v="126"/>
            <x v="127"/>
          </reference>
        </references>
      </pivotArea>
    </format>
    <format dxfId="2827">
      <pivotArea dataOnly="0" labelOnly="1" fieldPosition="0">
        <references count="1">
          <reference field="52" count="6">
            <x v="9"/>
            <x v="10"/>
            <x v="11"/>
            <x v="12"/>
            <x v="13"/>
            <x v="15"/>
          </reference>
        </references>
      </pivotArea>
    </format>
    <format dxfId="2826">
      <pivotArea dataOnly="0" labelOnly="1" fieldPosition="0">
        <references count="1">
          <reference field="53" count="0"/>
        </references>
      </pivotArea>
    </format>
    <format dxfId="2825">
      <pivotArea dataOnly="0" labelOnly="1" fieldPosition="0">
        <references count="1">
          <reference field="49" count="1">
            <x v="4"/>
          </reference>
        </references>
      </pivotArea>
    </format>
    <format dxfId="2824">
      <pivotArea dataOnly="0" labelOnly="1" fieldPosition="0">
        <references count="1">
          <reference field="51" count="18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5"/>
            <x v="119"/>
            <x v="120"/>
            <x v="123"/>
            <x v="125"/>
            <x v="126"/>
            <x v="127"/>
          </reference>
        </references>
      </pivotArea>
    </format>
    <format dxfId="2823">
      <pivotArea dataOnly="0" labelOnly="1" fieldPosition="0">
        <references count="1">
          <reference field="51" count="13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</reference>
        </references>
      </pivotArea>
    </format>
    <format dxfId="2822">
      <pivotArea dataOnly="0" labelOnly="1" fieldPosition="0">
        <references count="1">
          <reference field="50" count="4">
            <x v="13"/>
            <x v="14"/>
            <x v="15"/>
            <x v="16"/>
          </reference>
        </references>
      </pivotArea>
    </format>
    <format dxfId="2821">
      <pivotArea dataOnly="0" labelOnly="1" fieldPosition="0">
        <references count="1">
          <reference field="51" count="22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7"/>
            <x v="119"/>
            <x v="120"/>
            <x v="122"/>
            <x v="123"/>
            <x v="125"/>
            <x v="126"/>
            <x v="127"/>
            <x v="128"/>
          </reference>
        </references>
      </pivotArea>
    </format>
    <format dxfId="2820">
      <pivotArea dataOnly="0" labelOnly="1" fieldPosition="0">
        <references count="1">
          <reference field="52" count="6">
            <x v="9"/>
            <x v="10"/>
            <x v="11"/>
            <x v="12"/>
            <x v="13"/>
            <x v="15"/>
          </reference>
        </references>
      </pivotArea>
    </format>
    <format dxfId="2819">
      <pivotArea dataOnly="0" labelOnly="1" fieldPosition="0">
        <references count="1">
          <reference field="53" count="0"/>
        </references>
      </pivotArea>
    </format>
    <format dxfId="2818">
      <pivotArea collapsedLevelsAreSubtotals="1" fieldPosition="0">
        <references count="1">
          <reference field="50" count="1">
            <x v="13"/>
          </reference>
        </references>
      </pivotArea>
    </format>
    <format dxfId="2817">
      <pivotArea dataOnly="0" labelOnly="1" fieldPosition="0">
        <references count="1">
          <reference field="50" count="1">
            <x v="13"/>
          </reference>
        </references>
      </pivotArea>
    </format>
    <format dxfId="2816">
      <pivotArea collapsedLevelsAreSubtotals="1" fieldPosition="0">
        <references count="1">
          <reference field="50" count="1">
            <x v="13"/>
          </reference>
        </references>
      </pivotArea>
    </format>
    <format dxfId="2815">
      <pivotArea dataOnly="0" labelOnly="1" fieldPosition="0">
        <references count="1">
          <reference field="50" count="1">
            <x v="13"/>
          </reference>
        </references>
      </pivotArea>
    </format>
    <format dxfId="2814">
      <pivotArea collapsedLevelsAreSubtotals="1" fieldPosition="0">
        <references count="1">
          <reference field="50" count="1">
            <x v="13"/>
          </reference>
        </references>
      </pivotArea>
    </format>
    <format dxfId="2813">
      <pivotArea dataOnly="0" labelOnly="1" fieldPosition="0">
        <references count="1">
          <reference field="50" count="1">
            <x v="13"/>
          </reference>
        </references>
      </pivotArea>
    </format>
    <format dxfId="2812">
      <pivotArea dataOnly="0" labelOnly="1" fieldPosition="0">
        <references count="1">
          <reference field="51" count="2">
            <x v="124"/>
            <x v="125"/>
          </reference>
        </references>
      </pivotArea>
    </format>
    <format dxfId="2811">
      <pivotArea dataOnly="0" labelOnly="1" fieldPosition="0">
        <references count="1">
          <reference field="51" count="4">
            <x v="123"/>
            <x v="124"/>
            <x v="125"/>
            <x v="126"/>
          </reference>
        </references>
      </pivotArea>
    </format>
    <format dxfId="2810">
      <pivotArea dataOnly="0" labelOnly="1" fieldPosition="0">
        <references count="1">
          <reference field="50" count="2">
            <x v="15"/>
            <x v="16"/>
          </reference>
        </references>
      </pivotArea>
    </format>
    <format dxfId="2809">
      <pivotArea dataOnly="0" labelOnly="1" fieldPosition="0">
        <references count="1">
          <reference field="51" count="22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19"/>
            <x v="120"/>
            <x v="122"/>
            <x v="123"/>
            <x v="124"/>
            <x v="125"/>
            <x v="126"/>
          </reference>
        </references>
      </pivotArea>
    </format>
    <format dxfId="2808">
      <pivotArea dataOnly="0" labelOnly="1" fieldPosition="0">
        <references count="1">
          <reference field="52" count="6">
            <x v="9"/>
            <x v="10"/>
            <x v="11"/>
            <x v="12"/>
            <x v="13"/>
            <x v="15"/>
          </reference>
        </references>
      </pivotArea>
    </format>
    <format dxfId="2807">
      <pivotArea dataOnly="0" labelOnly="1" fieldPosition="0">
        <references count="1">
          <reference field="53" count="0"/>
        </references>
      </pivotArea>
    </format>
    <format dxfId="2806">
      <pivotArea dataOnly="0" labelOnly="1" fieldPosition="0">
        <references count="1">
          <reference field="50" count="2">
            <x v="13"/>
            <x v="14"/>
          </reference>
        </references>
      </pivotArea>
    </format>
    <format dxfId="2805">
      <pivotArea dataOnly="0" labelOnly="1" fieldPosition="0">
        <references count="1">
          <reference field="50" count="1">
            <x v="14"/>
          </reference>
        </references>
      </pivotArea>
    </format>
    <format dxfId="2804">
      <pivotArea dataOnly="0" labelOnly="1" fieldPosition="0">
        <references count="1">
          <reference field="51" count="17"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9"/>
          </reference>
        </references>
      </pivotArea>
    </format>
    <format dxfId="2803">
      <pivotArea dataOnly="0" labelOnly="1" fieldPosition="0">
        <references count="1">
          <reference field="51" count="3">
            <x v="109"/>
            <x v="111"/>
            <x v="112"/>
          </reference>
        </references>
      </pivotArea>
    </format>
    <format dxfId="2802">
      <pivotArea dataOnly="0" labelOnly="1" fieldPosition="0">
        <references count="1">
          <reference field="51" count="2">
            <x v="111"/>
            <x v="112"/>
          </reference>
        </references>
      </pivotArea>
    </format>
    <format dxfId="2801">
      <pivotArea dataOnly="0" labelOnly="1" fieldPosition="0">
        <references count="1">
          <reference field="51" count="26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</reference>
        </references>
      </pivotArea>
    </format>
    <format dxfId="2800">
      <pivotArea dataOnly="0" labelOnly="1" fieldPosition="0">
        <references count="1">
          <reference field="51" count="3">
            <x v="113"/>
            <x v="114"/>
            <x v="115"/>
          </reference>
        </references>
      </pivotArea>
    </format>
    <format dxfId="2799">
      <pivotArea collapsedLevelsAreSubtotals="1" fieldPosition="0">
        <references count="2">
          <reference field="51" count="1">
            <x v="102"/>
          </reference>
          <reference field="77" count="1" selected="0">
            <x v="0"/>
          </reference>
        </references>
      </pivotArea>
    </format>
    <format dxfId="2798">
      <pivotArea collapsedLevelsAreSubtotals="1" fieldPosition="0">
        <references count="2">
          <reference field="51" count="1">
            <x v="103"/>
          </reference>
          <reference field="77" count="1" selected="0">
            <x v="0"/>
          </reference>
        </references>
      </pivotArea>
    </format>
    <format dxfId="2797">
      <pivotArea collapsedLevelsAreSubtotals="1" fieldPosition="0">
        <references count="2">
          <reference field="51" count="1">
            <x v="104"/>
          </reference>
          <reference field="77" count="1" selected="0">
            <x v="0"/>
          </reference>
        </references>
      </pivotArea>
    </format>
    <format dxfId="2796">
      <pivotArea collapsedLevelsAreSubtotals="1" fieldPosition="0">
        <references count="2">
          <reference field="51" count="1">
            <x v="105"/>
          </reference>
          <reference field="77" count="1" selected="0">
            <x v="0"/>
          </reference>
        </references>
      </pivotArea>
    </format>
    <format dxfId="2795">
      <pivotArea collapsedLevelsAreSubtotals="1" fieldPosition="0">
        <references count="2">
          <reference field="51" count="1">
            <x v="106"/>
          </reference>
          <reference field="77" count="1" selected="0">
            <x v="0"/>
          </reference>
        </references>
      </pivotArea>
    </format>
    <format dxfId="2794">
      <pivotArea collapsedLevelsAreSubtotals="1" fieldPosition="0">
        <references count="2">
          <reference field="51" count="1">
            <x v="107"/>
          </reference>
          <reference field="77" count="1" selected="0">
            <x v="0"/>
          </reference>
        </references>
      </pivotArea>
    </format>
    <format dxfId="2793">
      <pivotArea collapsedLevelsAreSubtotals="1" fieldPosition="0">
        <references count="2">
          <reference field="51" count="1">
            <x v="108"/>
          </reference>
          <reference field="77" count="1" selected="0">
            <x v="0"/>
          </reference>
        </references>
      </pivotArea>
    </format>
    <format dxfId="2792">
      <pivotArea collapsedLevelsAreSubtotals="1" fieldPosition="0">
        <references count="2">
          <reference field="51" count="1">
            <x v="109"/>
          </reference>
          <reference field="77" count="1" selected="0">
            <x v="0"/>
          </reference>
        </references>
      </pivotArea>
    </format>
    <format dxfId="2791">
      <pivotArea collapsedLevelsAreSubtotals="1" fieldPosition="0">
        <references count="2">
          <reference field="51" count="1">
            <x v="110"/>
          </reference>
          <reference field="77" count="1" selected="0">
            <x v="0"/>
          </reference>
        </references>
      </pivotArea>
    </format>
    <format dxfId="2790">
      <pivotArea collapsedLevelsAreSubtotals="1" fieldPosition="0">
        <references count="2">
          <reference field="51" count="1">
            <x v="111"/>
          </reference>
          <reference field="77" count="1" selected="0">
            <x v="0"/>
          </reference>
        </references>
      </pivotArea>
    </format>
    <format dxfId="2789">
      <pivotArea collapsedLevelsAreSubtotals="1" fieldPosition="0">
        <references count="2">
          <reference field="51" count="1">
            <x v="112"/>
          </reference>
          <reference field="77" count="1" selected="0">
            <x v="0"/>
          </reference>
        </references>
      </pivotArea>
    </format>
    <format dxfId="2788">
      <pivotArea collapsedLevelsAreSubtotals="1" fieldPosition="0">
        <references count="2">
          <reference field="51" count="1">
            <x v="113"/>
          </reference>
          <reference field="77" count="1" selected="0">
            <x v="0"/>
          </reference>
        </references>
      </pivotArea>
    </format>
    <format dxfId="2787">
      <pivotArea collapsedLevelsAreSubtotals="1" fieldPosition="0">
        <references count="2">
          <reference field="51" count="1">
            <x v="114"/>
          </reference>
          <reference field="77" count="1" selected="0">
            <x v="0"/>
          </reference>
        </references>
      </pivotArea>
    </format>
    <format dxfId="2786">
      <pivotArea collapsedLevelsAreSubtotals="1" fieldPosition="0">
        <references count="2">
          <reference field="51" count="1">
            <x v="115"/>
          </reference>
          <reference field="77" count="1" selected="0">
            <x v="0"/>
          </reference>
        </references>
      </pivotArea>
    </format>
    <format dxfId="2785">
      <pivotArea collapsedLevelsAreSubtotals="1" fieldPosition="0">
        <references count="2">
          <reference field="51" count="1">
            <x v="116"/>
          </reference>
          <reference field="77" count="1" selected="0">
            <x v="0"/>
          </reference>
        </references>
      </pivotArea>
    </format>
    <format dxfId="2784">
      <pivotArea collapsedLevelsAreSubtotals="1" fieldPosition="0">
        <references count="2">
          <reference field="51" count="1">
            <x v="117"/>
          </reference>
          <reference field="77" count="1" selected="0">
            <x v="0"/>
          </reference>
        </references>
      </pivotArea>
    </format>
    <format dxfId="2783">
      <pivotArea collapsedLevelsAreSubtotals="1" fieldPosition="0">
        <references count="2">
          <reference field="51" count="1">
            <x v="118"/>
          </reference>
          <reference field="77" count="1" selected="0">
            <x v="0"/>
          </reference>
        </references>
      </pivotArea>
    </format>
    <format dxfId="2782">
      <pivotArea dataOnly="0" labelOnly="1" fieldPosition="0">
        <references count="1">
          <reference field="51" count="17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</reference>
        </references>
      </pivotArea>
    </format>
    <format dxfId="2781">
      <pivotArea dataOnly="0" labelOnly="1" fieldPosition="0">
        <references count="1">
          <reference field="51" count="2">
            <x v="121"/>
            <x v="122"/>
          </reference>
        </references>
      </pivotArea>
    </format>
    <format dxfId="2780">
      <pivotArea dataOnly="0" labelOnly="1" fieldPosition="0">
        <references count="1">
          <reference field="51" count="1">
            <x v="112"/>
          </reference>
        </references>
      </pivotArea>
    </format>
    <format dxfId="2779">
      <pivotArea dataOnly="0" labelOnly="1" fieldPosition="0">
        <references count="1">
          <reference field="51" count="1">
            <x v="110"/>
          </reference>
        </references>
      </pivotArea>
    </format>
    <format dxfId="2778">
      <pivotArea dataOnly="0" labelOnly="1" fieldPosition="0">
        <references count="1">
          <reference field="51" count="1">
            <x v="126"/>
          </reference>
        </references>
      </pivotArea>
    </format>
    <format dxfId="2777">
      <pivotArea dataOnly="0" labelOnly="1" fieldPosition="0">
        <references count="1">
          <reference field="51" count="1">
            <x v="111"/>
          </reference>
        </references>
      </pivotArea>
    </format>
    <format dxfId="2776">
      <pivotArea dataOnly="0" labelOnly="1" fieldPosition="0">
        <references count="1">
          <reference field="51" count="1">
            <x v="117"/>
          </reference>
        </references>
      </pivotArea>
    </format>
    <format dxfId="2775">
      <pivotArea dataOnly="0" labelOnly="1" fieldPosition="0">
        <references count="1">
          <reference field="51" count="1">
            <x v="93"/>
          </reference>
        </references>
      </pivotArea>
    </format>
    <format dxfId="2774">
      <pivotArea dataOnly="0" labelOnly="1" fieldPosition="0">
        <references count="1">
          <reference field="51" count="8"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2773">
      <pivotArea dataOnly="0" labelOnly="1" fieldPosition="0">
        <references count="1">
          <reference field="52" count="1">
            <x v="18"/>
          </reference>
        </references>
      </pivotArea>
    </format>
    <format dxfId="2772">
      <pivotArea dataOnly="0" labelOnly="1" fieldPosition="0">
        <references count="1">
          <reference field="51" count="3">
            <x v="128"/>
            <x v="129"/>
            <x v="130"/>
          </reference>
        </references>
      </pivotArea>
    </format>
    <format dxfId="2771">
      <pivotArea dataOnly="0" labelOnly="1" fieldPosition="0">
        <references count="1">
          <reference field="50" count="1">
            <x v="17"/>
          </reference>
        </references>
      </pivotArea>
    </format>
    <format dxfId="2770">
      <pivotArea dataOnly="0" labelOnly="1" fieldPosition="0">
        <references count="1">
          <reference field="51" count="1">
            <x v="130"/>
          </reference>
        </references>
      </pivotArea>
    </format>
    <format dxfId="2769">
      <pivotArea dataOnly="0" labelOnly="1" fieldPosition="0">
        <references count="1">
          <reference field="49" count="1">
            <x v="3"/>
          </reference>
        </references>
      </pivotArea>
    </format>
    <format dxfId="2768">
      <pivotArea dataOnly="0" labelOnly="1" fieldPosition="0">
        <references count="1">
          <reference field="50" count="2">
            <x v="9"/>
            <x v="10"/>
          </reference>
        </references>
      </pivotArea>
    </format>
    <format dxfId="2767">
      <pivotArea dataOnly="0" labelOnly="1" fieldPosition="0">
        <references count="1">
          <reference field="50" count="2">
            <x v="9"/>
            <x v="10"/>
          </reference>
        </references>
      </pivotArea>
    </format>
    <format dxfId="2766">
      <pivotArea dataOnly="0" labelOnly="1" fieldPosition="0">
        <references count="1">
          <reference field="51" count="2">
            <x v="74"/>
            <x v="75"/>
          </reference>
        </references>
      </pivotArea>
    </format>
    <format dxfId="2765">
      <pivotArea collapsedLevelsAreSubtotals="1" fieldPosition="0">
        <references count="1">
          <reference field="50" count="1">
            <x v="9"/>
          </reference>
        </references>
      </pivotArea>
    </format>
    <format dxfId="2764">
      <pivotArea dataOnly="0" labelOnly="1" fieldPosition="0">
        <references count="1">
          <reference field="50" count="1">
            <x v="9"/>
          </reference>
        </references>
      </pivotArea>
    </format>
    <format dxfId="2763">
      <pivotArea collapsedLevelsAreSubtotals="1" fieldPosition="0">
        <references count="1">
          <reference field="50" count="1">
            <x v="10"/>
          </reference>
        </references>
      </pivotArea>
    </format>
    <format dxfId="2762">
      <pivotArea dataOnly="0" labelOnly="1" fieldPosition="0">
        <references count="1">
          <reference field="50" count="1">
            <x v="10"/>
          </reference>
        </references>
      </pivotArea>
    </format>
    <format dxfId="2761">
      <pivotArea collapsedLevelsAreSubtotals="1" fieldPosition="0">
        <references count="2">
          <reference field="49" count="1">
            <x v="3"/>
          </reference>
          <reference field="77" count="1" selected="0">
            <x v="1"/>
          </reference>
        </references>
      </pivotArea>
    </format>
    <format dxfId="2760">
      <pivotArea collapsedLevelsAreSubtotals="1" fieldPosition="0">
        <references count="2">
          <reference field="50" count="1">
            <x v="9"/>
          </reference>
          <reference field="77" count="1" selected="0">
            <x v="1"/>
          </reference>
        </references>
      </pivotArea>
    </format>
    <format dxfId="2759">
      <pivotArea collapsedLevelsAreSubtotals="1" fieldPosition="0">
        <references count="2">
          <reference field="51" count="2">
            <x v="74"/>
            <x v="76"/>
          </reference>
          <reference field="77" count="1" selected="0">
            <x v="1"/>
          </reference>
        </references>
      </pivotArea>
    </format>
    <format dxfId="2758">
      <pivotArea collapsedLevelsAreSubtotals="1" fieldPosition="0">
        <references count="2">
          <reference field="50" count="1">
            <x v="10"/>
          </reference>
          <reference field="77" count="1" selected="0">
            <x v="1"/>
          </reference>
        </references>
      </pivotArea>
    </format>
    <format dxfId="2757">
      <pivotArea collapsedLevelsAreSubtotals="1" fieldPosition="0">
        <references count="2">
          <reference field="51" count="2">
            <x v="88"/>
            <x v="89"/>
          </reference>
          <reference field="77" count="1" selected="0">
            <x v="1"/>
          </reference>
        </references>
      </pivotArea>
    </format>
    <format dxfId="2756">
      <pivotArea dataOnly="0" labelOnly="1" fieldPosition="0">
        <references count="1">
          <reference field="49" count="1">
            <x v="3"/>
          </reference>
        </references>
      </pivotArea>
    </format>
    <format dxfId="2755">
      <pivotArea dataOnly="0" labelOnly="1" fieldPosition="0">
        <references count="1">
          <reference field="50" count="2">
            <x v="9"/>
            <x v="10"/>
          </reference>
        </references>
      </pivotArea>
    </format>
    <format dxfId="2754">
      <pivotArea dataOnly="0" labelOnly="1" fieldPosition="0">
        <references count="1">
          <reference field="51" count="2">
            <x v="74"/>
            <x v="76"/>
          </reference>
        </references>
      </pivotArea>
    </format>
    <format dxfId="2753">
      <pivotArea dataOnly="0" labelOnly="1" fieldPosition="0">
        <references count="1">
          <reference field="51" count="2">
            <x v="88"/>
            <x v="89"/>
          </reference>
        </references>
      </pivotArea>
    </format>
    <format dxfId="2752">
      <pivotArea dataOnly="0" labelOnly="1" fieldPosition="0">
        <references count="1">
          <reference field="51" count="2">
            <x v="75"/>
            <x v="76"/>
          </reference>
        </references>
      </pivotArea>
    </format>
    <format dxfId="2751">
      <pivotArea collapsedLevelsAreSubtotals="1" fieldPosition="0">
        <references count="1">
          <reference field="50" count="1">
            <x v="11"/>
          </reference>
        </references>
      </pivotArea>
    </format>
    <format dxfId="2750">
      <pivotArea dataOnly="0" labelOnly="1" fieldPosition="0">
        <references count="1">
          <reference field="50" count="1">
            <x v="11"/>
          </reference>
        </references>
      </pivotArea>
    </format>
    <format dxfId="2749">
      <pivotArea collapsedLevelsAreSubtotals="1" fieldPosition="0">
        <references count="1">
          <reference field="50" count="1">
            <x v="11"/>
          </reference>
        </references>
      </pivotArea>
    </format>
    <format dxfId="2748">
      <pivotArea dataOnly="0" labelOnly="1" fieldPosition="0">
        <references count="1">
          <reference field="50" count="1">
            <x v="11"/>
          </reference>
        </references>
      </pivotArea>
    </format>
    <format dxfId="2747">
      <pivotArea dataOnly="0" labelOnly="1" fieldPosition="0">
        <references count="1">
          <reference field="51" count="4">
            <x v="74"/>
            <x v="75"/>
            <x v="76"/>
            <x v="77"/>
          </reference>
        </references>
      </pivotArea>
    </format>
    <format dxfId="2746">
      <pivotArea dataOnly="0" labelOnly="1" fieldPosition="0">
        <references count="1">
          <reference field="52" count="2">
            <x v="6"/>
            <x v="7"/>
          </reference>
        </references>
      </pivotArea>
    </format>
    <format dxfId="2745">
      <pivotArea dataOnly="0" labelOnly="1" fieldPosition="0">
        <references count="1">
          <reference field="51" count="4">
            <x v="74"/>
            <x v="75"/>
            <x v="76"/>
            <x v="77"/>
          </reference>
        </references>
      </pivotArea>
    </format>
    <format dxfId="2744">
      <pivotArea dataOnly="0" labelOnly="1" fieldPosition="0">
        <references count="1">
          <reference field="52" count="2">
            <x v="6"/>
            <x v="7"/>
          </reference>
        </references>
      </pivotArea>
    </format>
    <format dxfId="2743">
      <pivotArea dataOnly="0" labelOnly="1" fieldPosition="0">
        <references count="1">
          <reference field="49" count="1">
            <x v="3"/>
          </reference>
        </references>
      </pivotArea>
    </format>
    <format dxfId="2742">
      <pivotArea dataOnly="0" labelOnly="1" fieldPosition="0">
        <references count="1">
          <reference field="50" count="3">
            <x v="9"/>
            <x v="10"/>
            <x v="11"/>
          </reference>
        </references>
      </pivotArea>
    </format>
    <format dxfId="2741">
      <pivotArea dataOnly="0" labelOnly="1" fieldPosition="0">
        <references count="1">
          <reference field="51" count="4">
            <x v="74"/>
            <x v="75"/>
            <x v="76"/>
            <x v="77"/>
          </reference>
        </references>
      </pivotArea>
    </format>
    <format dxfId="2740">
      <pivotArea dataOnly="0" labelOnly="1" fieldPosition="0">
        <references count="1">
          <reference field="51" count="2">
            <x v="88"/>
            <x v="89"/>
          </reference>
        </references>
      </pivotArea>
    </format>
    <format dxfId="2739">
      <pivotArea dataOnly="0" labelOnly="1" fieldPosition="0">
        <references count="1">
          <reference field="51" count="1">
            <x v="90"/>
          </reference>
        </references>
      </pivotArea>
    </format>
    <format dxfId="2738">
      <pivotArea dataOnly="0" labelOnly="1" fieldPosition="0">
        <references count="1">
          <reference field="52" count="1">
            <x v="5"/>
          </reference>
        </references>
      </pivotArea>
    </format>
    <format dxfId="2737">
      <pivotArea dataOnly="0" labelOnly="1" fieldPosition="0">
        <references count="1">
          <reference field="51" count="2">
            <x v="77"/>
            <x v="79"/>
          </reference>
        </references>
      </pivotArea>
    </format>
    <format dxfId="2736">
      <pivotArea dataOnly="0" labelOnly="1" fieldPosition="0">
        <references count="1">
          <reference field="51" count="3">
            <x v="77"/>
            <x v="78"/>
            <x v="79"/>
          </reference>
        </references>
      </pivotArea>
    </format>
    <format dxfId="2735">
      <pivotArea dataOnly="0" labelOnly="1" fieldPosition="0">
        <references count="1">
          <reference field="51" count="7">
            <x v="74"/>
            <x v="75"/>
            <x v="76"/>
            <x v="77"/>
            <x v="78"/>
            <x v="79"/>
            <x v="80"/>
          </reference>
        </references>
      </pivotArea>
    </format>
    <format dxfId="2734">
      <pivotArea dataOnly="0" labelOnly="1" fieldPosition="0">
        <references count="1">
          <reference field="51" count="7">
            <x v="74"/>
            <x v="75"/>
            <x v="76"/>
            <x v="77"/>
            <x v="78"/>
            <x v="79"/>
            <x v="80"/>
          </reference>
        </references>
      </pivotArea>
    </format>
    <format dxfId="2733">
      <pivotArea collapsedLevelsAreSubtotals="1" fieldPosition="0">
        <references count="1">
          <reference field="50" count="1">
            <x v="12"/>
          </reference>
        </references>
      </pivotArea>
    </format>
    <format dxfId="2732">
      <pivotArea dataOnly="0" labelOnly="1" fieldPosition="0">
        <references count="1">
          <reference field="50" count="1">
            <x v="12"/>
          </reference>
        </references>
      </pivotArea>
    </format>
    <format dxfId="2731">
      <pivotArea collapsedLevelsAreSubtotals="1" fieldPosition="0">
        <references count="2">
          <reference field="50" count="1">
            <x v="12"/>
          </reference>
          <reference field="77" count="1" selected="0">
            <x v="4"/>
          </reference>
        </references>
      </pivotArea>
    </format>
    <format dxfId="2730">
      <pivotArea collapsedLevelsAreSubtotals="1" fieldPosition="0">
        <references count="2">
          <reference field="50" count="1">
            <x v="12"/>
          </reference>
          <reference field="77" count="1" selected="0">
            <x v="4"/>
          </reference>
        </references>
      </pivotArea>
    </format>
    <format dxfId="2729">
      <pivotArea dataOnly="0" labelOnly="1" fieldPosition="0">
        <references count="1">
          <reference field="51" count="9">
            <x v="74"/>
            <x v="75"/>
            <x v="76"/>
            <x v="77"/>
            <x v="78"/>
            <x v="79"/>
            <x v="80"/>
            <x v="84"/>
            <x v="85"/>
          </reference>
        </references>
      </pivotArea>
    </format>
    <format dxfId="2728">
      <pivotArea dataOnly="0" labelOnly="1" fieldPosition="0">
        <references count="1">
          <reference field="51" count="5">
            <x v="79"/>
            <x v="80"/>
            <x v="84"/>
            <x v="85"/>
            <x v="86"/>
          </reference>
        </references>
      </pivotArea>
    </format>
    <format dxfId="2727">
      <pivotArea dataOnly="0" labelOnly="1" fieldPosition="0">
        <references count="1">
          <reference field="51" count="5">
            <x v="80"/>
            <x v="81"/>
            <x v="82"/>
            <x v="83"/>
            <x v="84"/>
          </reference>
        </references>
      </pivotArea>
    </format>
    <format dxfId="2726">
      <pivotArea type="topRight" dataOnly="0" labelOnly="1" outline="0" fieldPosition="0"/>
    </format>
    <format dxfId="2725">
      <pivotArea type="topRight" dataOnly="0" labelOnly="1" outline="0" fieldPosition="0"/>
    </format>
    <format dxfId="2724">
      <pivotArea type="topRight" dataOnly="0" labelOnly="1" outline="0" fieldPosition="0"/>
    </format>
    <format dxfId="2723">
      <pivotArea type="topRight" dataOnly="0" labelOnly="1" outline="0" fieldPosition="0"/>
    </format>
    <format dxfId="2722">
      <pivotArea dataOnly="0" labelOnly="1" fieldPosition="0">
        <references count="1">
          <reference field="50" count="1">
            <x v="12"/>
          </reference>
        </references>
      </pivotArea>
    </format>
    <format dxfId="2721">
      <pivotArea dataOnly="0" labelOnly="1" fieldPosition="0">
        <references count="1">
          <reference field="51" count="2">
            <x v="86"/>
            <x v="87"/>
          </reference>
        </references>
      </pivotArea>
    </format>
    <format dxfId="2720">
      <pivotArea dataOnly="0" labelOnly="1" fieldPosition="0">
        <references count="1">
          <reference field="49" count="1">
            <x v="2"/>
          </reference>
        </references>
      </pivotArea>
    </format>
    <format dxfId="2719">
      <pivotArea dataOnly="0" labelOnly="1" fieldPosition="0">
        <references count="1">
          <reference field="50" count="1">
            <x v="6"/>
          </reference>
        </references>
      </pivotArea>
    </format>
    <format dxfId="2718">
      <pivotArea dataOnly="0" labelOnly="1" fieldPosition="0">
        <references count="1">
          <reference field="49" count="1">
            <x v="2"/>
          </reference>
        </references>
      </pivotArea>
    </format>
    <format dxfId="2717">
      <pivotArea dataOnly="0" labelOnly="1" fieldPosition="0">
        <references count="1">
          <reference field="50" count="2">
            <x v="6"/>
            <x v="7"/>
          </reference>
        </references>
      </pivotArea>
    </format>
    <format dxfId="2716">
      <pivotArea dataOnly="0" labelOnly="1" fieldPosition="0">
        <references count="1">
          <reference field="51" count="3">
            <x v="58"/>
            <x v="59"/>
            <x v="60"/>
          </reference>
        </references>
      </pivotArea>
    </format>
    <format dxfId="2715">
      <pivotArea collapsedLevelsAreSubtotals="1" fieldPosition="0">
        <references count="1">
          <reference field="49" count="1">
            <x v="2"/>
          </reference>
        </references>
      </pivotArea>
    </format>
    <format dxfId="2714">
      <pivotArea dataOnly="0" labelOnly="1" fieldPosition="0">
        <references count="1">
          <reference field="49" count="1">
            <x v="2"/>
          </reference>
        </references>
      </pivotArea>
    </format>
    <format dxfId="2713">
      <pivotArea collapsedLevelsAreSubtotals="1" fieldPosition="0">
        <references count="1">
          <reference field="50" count="1">
            <x v="6"/>
          </reference>
        </references>
      </pivotArea>
    </format>
    <format dxfId="2712">
      <pivotArea dataOnly="0" labelOnly="1" fieldPosition="0">
        <references count="1">
          <reference field="50" count="1">
            <x v="6"/>
          </reference>
        </references>
      </pivotArea>
    </format>
    <format dxfId="2711">
      <pivotArea collapsedLevelsAreSubtotals="1" fieldPosition="0">
        <references count="1">
          <reference field="49" count="1">
            <x v="2"/>
          </reference>
        </references>
      </pivotArea>
    </format>
    <format dxfId="2710">
      <pivotArea dataOnly="0" labelOnly="1" fieldPosition="0">
        <references count="1">
          <reference field="49" count="1">
            <x v="2"/>
          </reference>
        </references>
      </pivotArea>
    </format>
    <format dxfId="2709">
      <pivotArea collapsedLevelsAreSubtotals="1" fieldPosition="0">
        <references count="1">
          <reference field="50" count="1">
            <x v="7"/>
          </reference>
        </references>
      </pivotArea>
    </format>
    <format dxfId="2708">
      <pivotArea dataOnly="0" labelOnly="1" fieldPosition="0">
        <references count="1">
          <reference field="50" count="1">
            <x v="7"/>
          </reference>
        </references>
      </pivotArea>
    </format>
    <format dxfId="2707">
      <pivotArea collapsedLevelsAreSubtotals="1" fieldPosition="0">
        <references count="1">
          <reference field="50" count="1">
            <x v="6"/>
          </reference>
        </references>
      </pivotArea>
    </format>
    <format dxfId="2706">
      <pivotArea dataOnly="0" labelOnly="1" fieldPosition="0">
        <references count="1">
          <reference field="50" count="1">
            <x v="6"/>
          </reference>
        </references>
      </pivotArea>
    </format>
    <format dxfId="2705">
      <pivotArea collapsedLevelsAreSubtotals="1" fieldPosition="0">
        <references count="1">
          <reference field="50" count="1">
            <x v="6"/>
          </reference>
        </references>
      </pivotArea>
    </format>
    <format dxfId="2704">
      <pivotArea dataOnly="0" labelOnly="1" fieldPosition="0">
        <references count="1">
          <reference field="50" count="1">
            <x v="6"/>
          </reference>
        </references>
      </pivotArea>
    </format>
    <format dxfId="2703">
      <pivotArea collapsedLevelsAreSubtotals="1" fieldPosition="0">
        <references count="1">
          <reference field="50" count="1">
            <x v="7"/>
          </reference>
        </references>
      </pivotArea>
    </format>
    <format dxfId="2702">
      <pivotArea dataOnly="0" labelOnly="1" fieldPosition="0">
        <references count="1">
          <reference field="50" count="1">
            <x v="7"/>
          </reference>
        </references>
      </pivotArea>
    </format>
    <format dxfId="2701">
      <pivotArea collapsedLevelsAreSubtotals="1" fieldPosition="0">
        <references count="1">
          <reference field="50" count="1">
            <x v="7"/>
          </reference>
        </references>
      </pivotArea>
    </format>
    <format dxfId="2700">
      <pivotArea dataOnly="0" labelOnly="1" fieldPosition="0">
        <references count="1">
          <reference field="50" count="1">
            <x v="7"/>
          </reference>
        </references>
      </pivotArea>
    </format>
    <format dxfId="2699">
      <pivotArea dataOnly="0" labelOnly="1" fieldPosition="0">
        <references count="1">
          <reference field="50" count="1">
            <x v="7"/>
          </reference>
        </references>
      </pivotArea>
    </format>
    <format dxfId="2698">
      <pivotArea dataOnly="0" labelOnly="1" fieldPosition="0">
        <references count="1">
          <reference field="51" count="3">
            <x v="58"/>
            <x v="59"/>
            <x v="60"/>
          </reference>
        </references>
      </pivotArea>
    </format>
    <format dxfId="2697">
      <pivotArea dataOnly="0" labelOnly="1" fieldPosition="0">
        <references count="1">
          <reference field="50" count="1">
            <x v="8"/>
          </reference>
        </references>
      </pivotArea>
    </format>
    <format dxfId="2696">
      <pivotArea dataOnly="0" labelOnly="1" fieldPosition="0">
        <references count="1">
          <reference field="51" count="13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2695">
      <pivotArea dataOnly="0" labelOnly="1" fieldPosition="0">
        <references count="1">
          <reference field="51" count="3">
            <x v="71"/>
            <x v="72"/>
            <x v="73"/>
          </reference>
        </references>
      </pivotArea>
    </format>
    <format dxfId="2694">
      <pivotArea dataOnly="0" labelOnly="1" fieldPosition="0">
        <references count="1">
          <reference field="50" count="1">
            <x v="8"/>
          </reference>
        </references>
      </pivotArea>
    </format>
    <format dxfId="2693">
      <pivotArea dataOnly="0" labelOnly="1" fieldPosition="0">
        <references count="1">
          <reference field="51" count="7">
            <x v="64"/>
            <x v="65"/>
            <x v="66"/>
            <x v="67"/>
            <x v="68"/>
            <x v="69"/>
            <x v="70"/>
          </reference>
        </references>
      </pivotArea>
    </format>
    <format dxfId="2692">
      <pivotArea dataOnly="0" labelOnly="1" fieldPosition="0">
        <references count="1">
          <reference field="52" count="1">
            <x v="4"/>
          </reference>
        </references>
      </pivotArea>
    </format>
    <format dxfId="2691">
      <pivotArea dataOnly="0" labelOnly="1" fieldPosition="0">
        <references count="1">
          <reference field="50" count="1">
            <x v="8"/>
          </reference>
        </references>
      </pivotArea>
    </format>
    <format dxfId="2690">
      <pivotArea dataOnly="0" labelOnly="1" fieldPosition="0">
        <references count="1">
          <reference field="51" count="1">
            <x v="70"/>
          </reference>
        </references>
      </pivotArea>
    </format>
    <format dxfId="2689">
      <pivotArea dataOnly="0" labelOnly="1" fieldPosition="0">
        <references count="1">
          <reference field="51" count="3">
            <x v="71"/>
            <x v="72"/>
            <x v="73"/>
          </reference>
        </references>
      </pivotArea>
    </format>
    <format dxfId="2688">
      <pivotArea dataOnly="0" labelOnly="1" fieldPosition="0">
        <references count="1">
          <reference field="51" count="5">
            <x v="60"/>
            <x v="61"/>
            <x v="62"/>
            <x v="63"/>
            <x v="64"/>
          </reference>
        </references>
      </pivotArea>
    </format>
    <format dxfId="2687">
      <pivotArea dataOnly="0" labelOnly="1" fieldPosition="0">
        <references count="1">
          <reference field="50" count="1">
            <x v="8"/>
          </reference>
        </references>
      </pivotArea>
    </format>
    <format dxfId="2686">
      <pivotArea dataOnly="0" labelOnly="1" fieldPosition="0">
        <references count="1">
          <reference field="51" count="1">
            <x v="70"/>
          </reference>
        </references>
      </pivotArea>
    </format>
    <format dxfId="2685">
      <pivotArea dataOnly="0" labelOnly="1" fieldPosition="0">
        <references count="1">
          <reference field="50" count="1">
            <x v="8"/>
          </reference>
        </references>
      </pivotArea>
    </format>
    <format dxfId="2684">
      <pivotArea dataOnly="0" labelOnly="1" fieldPosition="0">
        <references count="1">
          <reference field="51" count="1">
            <x v="70"/>
          </reference>
        </references>
      </pivotArea>
    </format>
    <format dxfId="2683">
      <pivotArea dataOnly="0" labelOnly="1" fieldPosition="0">
        <references count="1">
          <reference field="50" count="1">
            <x v="8"/>
          </reference>
        </references>
      </pivotArea>
    </format>
    <format dxfId="2682">
      <pivotArea dataOnly="0" labelOnly="1" fieldPosition="0">
        <references count="1">
          <reference field="50" count="1">
            <x v="8"/>
          </reference>
        </references>
      </pivotArea>
    </format>
    <format dxfId="2681">
      <pivotArea collapsedLevelsAreSubtotals="1" fieldPosition="0">
        <references count="1">
          <reference field="50" count="1">
            <x v="8"/>
          </reference>
        </references>
      </pivotArea>
    </format>
    <format dxfId="2680">
      <pivotArea dataOnly="0" labelOnly="1" fieldPosition="0">
        <references count="1">
          <reference field="50" count="1">
            <x v="8"/>
          </reference>
        </references>
      </pivotArea>
    </format>
    <format dxfId="2679">
      <pivotArea collapsedLevelsAreSubtotals="1" fieldPosition="0">
        <references count="1">
          <reference field="50" count="1">
            <x v="8"/>
          </reference>
        </references>
      </pivotArea>
    </format>
    <format dxfId="2678">
      <pivotArea collapsedLevelsAreSubtotals="1" fieldPosition="0">
        <references count="1">
          <reference field="50" count="1">
            <x v="8"/>
          </reference>
        </references>
      </pivotArea>
    </format>
    <format dxfId="2677">
      <pivotArea collapsedLevelsAreSubtotals="1" fieldPosition="0">
        <references count="1">
          <reference field="50" count="1">
            <x v="8"/>
          </reference>
        </references>
      </pivotArea>
    </format>
    <format dxfId="2676">
      <pivotArea field="50" grandCol="1" collapsedLevelsAreSubtotals="1" axis="axisRow" fieldPosition="4">
        <references count="1">
          <reference field="50" count="1">
            <x v="8"/>
          </reference>
        </references>
      </pivotArea>
    </format>
    <format dxfId="2675">
      <pivotArea dataOnly="0" labelOnly="1" fieldPosition="0">
        <references count="1">
          <reference field="51" count="1">
            <x v="59"/>
          </reference>
        </references>
      </pivotArea>
    </format>
    <format dxfId="2674">
      <pivotArea dataOnly="0" labelOnly="1" fieldPosition="0">
        <references count="1">
          <reference field="51" count="1">
            <x v="62"/>
          </reference>
        </references>
      </pivotArea>
    </format>
    <format dxfId="2673">
      <pivotArea dataOnly="0" labelOnly="1" fieldPosition="0">
        <references count="1">
          <reference field="51" count="1">
            <x v="67"/>
          </reference>
        </references>
      </pivotArea>
    </format>
    <format dxfId="2672">
      <pivotArea dataOnly="0" labelOnly="1" fieldPosition="0">
        <references count="1">
          <reference field="50" count="0"/>
        </references>
      </pivotArea>
    </format>
    <format dxfId="2671">
      <pivotArea type="all" dataOnly="0" outline="0" fieldPosition="0"/>
    </format>
    <format dxfId="2670">
      <pivotArea outline="0" collapsedLevelsAreSubtotals="1" fieldPosition="0"/>
    </format>
    <format dxfId="2669">
      <pivotArea type="origin" dataOnly="0" labelOnly="1" outline="0" fieldPosition="0"/>
    </format>
    <format dxfId="2668">
      <pivotArea field="77" type="button" dataOnly="0" labelOnly="1" outline="0" axis="axisCol" fieldPosition="0"/>
    </format>
    <format dxfId="2667">
      <pivotArea type="topRight" dataOnly="0" labelOnly="1" outline="0" fieldPosition="0"/>
    </format>
    <format dxfId="2666">
      <pivotArea field="46" type="button" dataOnly="0" labelOnly="1" outline="0" axis="axisRow" fieldPosition="0"/>
    </format>
    <format dxfId="2665">
      <pivotArea dataOnly="0" labelOnly="1" fieldPosition="0">
        <references count="1">
          <reference field="46" count="0"/>
        </references>
      </pivotArea>
    </format>
    <format dxfId="2664">
      <pivotArea dataOnly="0" labelOnly="1" grandRow="1" outline="0" fieldPosition="0"/>
    </format>
    <format dxfId="2663">
      <pivotArea dataOnly="0" labelOnly="1" fieldPosition="0">
        <references count="1">
          <reference field="47" count="0"/>
        </references>
      </pivotArea>
    </format>
    <format dxfId="2662">
      <pivotArea dataOnly="0" labelOnly="1" fieldPosition="0">
        <references count="1">
          <reference field="48" count="1">
            <x v="16"/>
          </reference>
        </references>
      </pivotArea>
    </format>
    <format dxfId="2661">
      <pivotArea dataOnly="0" labelOnly="1" fieldPosition="0">
        <references count="1">
          <reference field="49" count="1">
            <x v="2"/>
          </reference>
        </references>
      </pivotArea>
    </format>
    <format dxfId="2660">
      <pivotArea dataOnly="0" labelOnly="1" fieldPosition="0">
        <references count="1">
          <reference field="50" count="2">
            <x v="6"/>
            <x v="8"/>
          </reference>
        </references>
      </pivotArea>
    </format>
    <format dxfId="2659">
      <pivotArea dataOnly="0" labelOnly="1" fieldPosition="0">
        <references count="1">
          <reference field="51" count="13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2658">
      <pivotArea dataOnly="0" labelOnly="1" fieldPosition="0">
        <references count="1">
          <reference field="51" count="3">
            <x v="71"/>
            <x v="72"/>
            <x v="73"/>
          </reference>
        </references>
      </pivotArea>
    </format>
    <format dxfId="2657">
      <pivotArea dataOnly="0" labelOnly="1" fieldPosition="0">
        <references count="1">
          <reference field="77" count="3">
            <x v="1"/>
            <x v="3"/>
            <x v="4"/>
          </reference>
        </references>
      </pivotArea>
    </format>
    <format dxfId="2656">
      <pivotArea dataOnly="0" labelOnly="1" grandCol="1" outline="0" fieldPosition="0"/>
    </format>
    <format dxfId="2655">
      <pivotArea dataOnly="0" labelOnly="1" fieldPosition="0">
        <references count="1">
          <reference field="51" count="1">
            <x v="63"/>
          </reference>
        </references>
      </pivotArea>
    </format>
    <format dxfId="2654">
      <pivotArea dataOnly="0" labelOnly="1" fieldPosition="0">
        <references count="1">
          <reference field="51" count="1">
            <x v="69"/>
          </reference>
        </references>
      </pivotArea>
    </format>
    <format dxfId="2653">
      <pivotArea dataOnly="0" labelOnly="1" fieldPosition="0">
        <references count="1">
          <reference field="51" count="1">
            <x v="70"/>
          </reference>
        </references>
      </pivotArea>
    </format>
    <format dxfId="2652">
      <pivotArea dataOnly="0" labelOnly="1" fieldPosition="0">
        <references count="1">
          <reference field="51" count="1">
            <x v="71"/>
          </reference>
        </references>
      </pivotArea>
    </format>
    <format dxfId="2651">
      <pivotArea dataOnly="0" labelOnly="1" fieldPosition="0">
        <references count="1">
          <reference field="51" count="1">
            <x v="71"/>
          </reference>
        </references>
      </pivotArea>
    </format>
    <format dxfId="2650">
      <pivotArea dataOnly="0" labelOnly="1" fieldPosition="0">
        <references count="1">
          <reference field="51" count="1">
            <x v="71"/>
          </reference>
        </references>
      </pivotArea>
    </format>
    <format dxfId="2649">
      <pivotArea dataOnly="0" labelOnly="1" fieldPosition="0">
        <references count="1">
          <reference field="51" count="1">
            <x v="72"/>
          </reference>
        </references>
      </pivotArea>
    </format>
    <format dxfId="2648">
      <pivotArea collapsedLevelsAreSubtotals="1" fieldPosition="0">
        <references count="1">
          <reference field="50" count="1">
            <x v="4"/>
          </reference>
        </references>
      </pivotArea>
    </format>
    <format dxfId="2647">
      <pivotArea dataOnly="0" labelOnly="1" fieldPosition="0">
        <references count="1">
          <reference field="50" count="1">
            <x v="4"/>
          </reference>
        </references>
      </pivotArea>
    </format>
    <format dxfId="2646">
      <pivotArea collapsedLevelsAreSubtotals="1" fieldPosition="0">
        <references count="1">
          <reference field="50" count="1">
            <x v="4"/>
          </reference>
        </references>
      </pivotArea>
    </format>
    <format dxfId="2645">
      <pivotArea dataOnly="0" labelOnly="1" fieldPosition="0">
        <references count="1">
          <reference field="50" count="1">
            <x v="4"/>
          </reference>
        </references>
      </pivotArea>
    </format>
    <format dxfId="2644">
      <pivotArea dataOnly="0" labelOnly="1" fieldPosition="0">
        <references count="1">
          <reference field="51" count="2">
            <x v="43"/>
            <x v="44"/>
          </reference>
        </references>
      </pivotArea>
    </format>
    <format dxfId="2643">
      <pivotArea dataOnly="0" labelOnly="1" fieldPosition="0">
        <references count="1">
          <reference field="51" count="3">
            <x v="44"/>
            <x v="45"/>
            <x v="46"/>
          </reference>
        </references>
      </pivotArea>
    </format>
    <format dxfId="2642">
      <pivotArea dataOnly="0" labelOnly="1" fieldPosition="0">
        <references count="1">
          <reference field="50" count="1">
            <x v="5"/>
          </reference>
        </references>
      </pivotArea>
    </format>
    <format dxfId="2641">
      <pivotArea dataOnly="0" labelOnly="1" fieldPosition="0">
        <references count="1">
          <reference field="51" count="3">
            <x v="43"/>
            <x v="44"/>
            <x v="45"/>
          </reference>
        </references>
      </pivotArea>
    </format>
    <format dxfId="2640">
      <pivotArea dataOnly="0" labelOnly="1" fieldPosition="0">
        <references count="1">
          <reference field="51" count="3">
            <x v="43"/>
            <x v="44"/>
            <x v="45"/>
          </reference>
        </references>
      </pivotArea>
    </format>
    <format dxfId="2639">
      <pivotArea dataOnly="0" labelOnly="1" fieldPosition="0">
        <references count="1">
          <reference field="51" count="5">
            <x v="46"/>
            <x v="47"/>
            <x v="48"/>
            <x v="49"/>
            <x v="50"/>
          </reference>
        </references>
      </pivotArea>
    </format>
    <format dxfId="2638">
      <pivotArea collapsedLevelsAreSubtotals="1" fieldPosition="0">
        <references count="1">
          <reference field="50" count="1">
            <x v="5"/>
          </reference>
        </references>
      </pivotArea>
    </format>
    <format dxfId="2637">
      <pivotArea dataOnly="0" labelOnly="1" fieldPosition="0">
        <references count="1">
          <reference field="50" count="1">
            <x v="5"/>
          </reference>
        </references>
      </pivotArea>
    </format>
    <format dxfId="2636">
      <pivotArea dataOnly="0" labelOnly="1" fieldPosition="0">
        <references count="1">
          <reference field="51" count="8"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2635">
      <pivotArea dataOnly="0" labelOnly="1" fieldPosition="0">
        <references count="1">
          <reference field="52" count="2">
            <x v="1"/>
            <x v="2"/>
          </reference>
        </references>
      </pivotArea>
    </format>
    <format dxfId="2634">
      <pivotArea dataOnly="0" labelOnly="1" fieldPosition="0">
        <references count="1">
          <reference field="51" count="1">
            <x v="43"/>
          </reference>
        </references>
      </pivotArea>
    </format>
    <format dxfId="2633">
      <pivotArea collapsedLevelsAreSubtotals="1" fieldPosition="0">
        <references count="1">
          <reference field="49" count="1">
            <x v="1"/>
          </reference>
        </references>
      </pivotArea>
    </format>
    <format dxfId="2632">
      <pivotArea collapsedLevelsAreSubtotals="1" fieldPosition="0">
        <references count="1">
          <reference field="50" count="1">
            <x v="4"/>
          </reference>
        </references>
      </pivotArea>
    </format>
    <format dxfId="2631">
      <pivotArea collapsedLevelsAreSubtotals="1" fieldPosition="0">
        <references count="1">
          <reference field="51" count="1">
            <x v="43"/>
          </reference>
        </references>
      </pivotArea>
    </format>
    <format dxfId="2630">
      <pivotArea collapsedLevelsAreSubtotals="1" fieldPosition="0">
        <references count="1">
          <reference field="51" count="1">
            <x v="44"/>
          </reference>
        </references>
      </pivotArea>
    </format>
    <format dxfId="2629">
      <pivotArea collapsedLevelsAreSubtotals="1" fieldPosition="0">
        <references count="1">
          <reference field="51" count="1">
            <x v="45"/>
          </reference>
        </references>
      </pivotArea>
    </format>
    <format dxfId="2628">
      <pivotArea collapsedLevelsAreSubtotals="1" fieldPosition="0">
        <references count="1">
          <reference field="52" count="2">
            <x v="1"/>
            <x v="2"/>
          </reference>
        </references>
      </pivotArea>
    </format>
    <format dxfId="2627">
      <pivotArea collapsedLevelsAreSubtotals="1" fieldPosition="0">
        <references count="1">
          <reference field="51" count="1">
            <x v="46"/>
          </reference>
        </references>
      </pivotArea>
    </format>
    <format dxfId="2626">
      <pivotArea collapsedLevelsAreSubtotals="1" fieldPosition="0">
        <references count="1">
          <reference field="51" count="1">
            <x v="47"/>
          </reference>
        </references>
      </pivotArea>
    </format>
    <format dxfId="2625">
      <pivotArea collapsedLevelsAreSubtotals="1" fieldPosition="0">
        <references count="1">
          <reference field="51" count="1">
            <x v="48"/>
          </reference>
        </references>
      </pivotArea>
    </format>
    <format dxfId="2624">
      <pivotArea collapsedLevelsAreSubtotals="1" fieldPosition="0">
        <references count="1">
          <reference field="51" count="1">
            <x v="49"/>
          </reference>
        </references>
      </pivotArea>
    </format>
    <format dxfId="2623">
      <pivotArea collapsedLevelsAreSubtotals="1" fieldPosition="0">
        <references count="1">
          <reference field="51" count="1">
            <x v="50"/>
          </reference>
        </references>
      </pivotArea>
    </format>
    <format dxfId="2622">
      <pivotArea collapsedLevelsAreSubtotals="1" fieldPosition="0">
        <references count="1">
          <reference field="51" count="1">
            <x v="51"/>
          </reference>
        </references>
      </pivotArea>
    </format>
    <format dxfId="2621">
      <pivotArea collapsedLevelsAreSubtotals="1" fieldPosition="0">
        <references count="1">
          <reference field="51" count="1">
            <x v="52"/>
          </reference>
        </references>
      </pivotArea>
    </format>
    <format dxfId="2620">
      <pivotArea collapsedLevelsAreSubtotals="1" fieldPosition="0">
        <references count="1">
          <reference field="51" count="1">
            <x v="53"/>
          </reference>
        </references>
      </pivotArea>
    </format>
    <format dxfId="2619">
      <pivotArea collapsedLevelsAreSubtotals="1" fieldPosition="0">
        <references count="1">
          <reference field="51" count="1">
            <x v="54"/>
          </reference>
        </references>
      </pivotArea>
    </format>
    <format dxfId="2618">
      <pivotArea collapsedLevelsAreSubtotals="1" fieldPosition="0">
        <references count="1">
          <reference field="50" count="1">
            <x v="5"/>
          </reference>
        </references>
      </pivotArea>
    </format>
    <format dxfId="2617">
      <pivotArea collapsedLevelsAreSubtotals="1" fieldPosition="0">
        <references count="1">
          <reference field="51" count="1">
            <x v="55"/>
          </reference>
        </references>
      </pivotArea>
    </format>
    <format dxfId="2616">
      <pivotArea collapsedLevelsAreSubtotals="1" fieldPosition="0">
        <references count="1">
          <reference field="51" count="1">
            <x v="56"/>
          </reference>
        </references>
      </pivotArea>
    </format>
    <format dxfId="2615">
      <pivotArea collapsedLevelsAreSubtotals="1" fieldPosition="0">
        <references count="1">
          <reference field="51" count="1">
            <x v="57"/>
          </reference>
        </references>
      </pivotArea>
    </format>
    <format dxfId="2614">
      <pivotArea dataOnly="0" labelOnly="1" fieldPosition="0">
        <references count="1">
          <reference field="49" count="1">
            <x v="1"/>
          </reference>
        </references>
      </pivotArea>
    </format>
    <format dxfId="2613">
      <pivotArea dataOnly="0" labelOnly="1" fieldPosition="0">
        <references count="1">
          <reference field="50" count="2">
            <x v="4"/>
            <x v="5"/>
          </reference>
        </references>
      </pivotArea>
    </format>
    <format dxfId="2612">
      <pivotArea dataOnly="0" labelOnly="1" fieldPosition="0">
        <references count="1">
          <reference field="51" count="12"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2611">
      <pivotArea dataOnly="0" labelOnly="1" fieldPosition="0">
        <references count="1">
          <reference field="51" count="3">
            <x v="55"/>
            <x v="56"/>
            <x v="57"/>
          </reference>
        </references>
      </pivotArea>
    </format>
    <format dxfId="2610">
      <pivotArea dataOnly="0" labelOnly="1" fieldPosition="0">
        <references count="1">
          <reference field="52" count="2">
            <x v="1"/>
            <x v="2"/>
          </reference>
        </references>
      </pivotArea>
    </format>
    <format dxfId="2609">
      <pivotArea dataOnly="0" labelOnly="1" fieldPosition="0">
        <references count="1">
          <reference field="51" count="1">
            <x v="55"/>
          </reference>
        </references>
      </pivotArea>
    </format>
    <format dxfId="2608">
      <pivotArea type="all" dataOnly="0" outline="0" fieldPosition="0"/>
    </format>
    <format dxfId="2607">
      <pivotArea outline="0" collapsedLevelsAreSubtotals="1" fieldPosition="0"/>
    </format>
    <format dxfId="2606">
      <pivotArea type="origin" dataOnly="0" labelOnly="1" outline="0" fieldPosition="0"/>
    </format>
    <format dxfId="2605">
      <pivotArea field="77" type="button" dataOnly="0" labelOnly="1" outline="0" axis="axisCol" fieldPosition="0"/>
    </format>
    <format dxfId="2604">
      <pivotArea type="topRight" dataOnly="0" labelOnly="1" outline="0" fieldPosition="0"/>
    </format>
    <format dxfId="2603">
      <pivotArea field="46" type="button" dataOnly="0" labelOnly="1" outline="0" axis="axisRow" fieldPosition="0"/>
    </format>
    <format dxfId="2602">
      <pivotArea dataOnly="0" labelOnly="1" fieldPosition="0">
        <references count="1">
          <reference field="46" count="0"/>
        </references>
      </pivotArea>
    </format>
    <format dxfId="2601">
      <pivotArea dataOnly="0" labelOnly="1" grandRow="1" outline="0" fieldPosition="0"/>
    </format>
    <format dxfId="2600">
      <pivotArea dataOnly="0" labelOnly="1" fieldPosition="0">
        <references count="1">
          <reference field="47" count="0"/>
        </references>
      </pivotArea>
    </format>
    <format dxfId="2599">
      <pivotArea dataOnly="0" labelOnly="1" fieldPosition="0">
        <references count="1">
          <reference field="48" count="1">
            <x v="16"/>
          </reference>
        </references>
      </pivotArea>
    </format>
    <format dxfId="2598">
      <pivotArea dataOnly="0" labelOnly="1" fieldPosition="0">
        <references count="1">
          <reference field="49" count="1">
            <x v="1"/>
          </reference>
        </references>
      </pivotArea>
    </format>
    <format dxfId="2597">
      <pivotArea dataOnly="0" labelOnly="1" fieldPosition="0">
        <references count="1">
          <reference field="50" count="2">
            <x v="4"/>
            <x v="5"/>
          </reference>
        </references>
      </pivotArea>
    </format>
    <format dxfId="2596">
      <pivotArea dataOnly="0" labelOnly="1" fieldPosition="0">
        <references count="1">
          <reference field="51" count="12"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2595">
      <pivotArea dataOnly="0" labelOnly="1" fieldPosition="0">
        <references count="1">
          <reference field="51" count="2">
            <x v="55"/>
            <x v="56"/>
          </reference>
        </references>
      </pivotArea>
    </format>
    <format dxfId="2594">
      <pivotArea dataOnly="0" labelOnly="1" fieldPosition="0">
        <references count="1">
          <reference field="77" count="0"/>
        </references>
      </pivotArea>
    </format>
    <format dxfId="2593">
      <pivotArea dataOnly="0" labelOnly="1" grandCol="1" outline="0" fieldPosition="0"/>
    </format>
    <format dxfId="2592">
      <pivotArea dataOnly="0" labelOnly="1" fieldPosition="0">
        <references count="1">
          <reference field="77" count="3">
            <x v="1"/>
            <x v="3"/>
            <x v="4"/>
          </reference>
        </references>
      </pivotArea>
    </format>
    <format dxfId="2591">
      <pivotArea dataOnly="0" labelOnly="1" grandCol="1" outline="0" fieldPosition="0"/>
    </format>
    <format dxfId="2590">
      <pivotArea dataOnly="0" labelOnly="1" fieldPosition="0">
        <references count="1">
          <reference field="77" count="1">
            <x v="0"/>
          </reference>
        </references>
      </pivotArea>
    </format>
    <format dxfId="2589">
      <pivotArea dataOnly="0" labelOnly="1" grandCol="1" outline="0" fieldPosition="0"/>
    </format>
    <format dxfId="2588">
      <pivotArea field="50" grandCol="1" collapsedLevelsAreSubtotals="1" axis="axisRow" fieldPosition="4">
        <references count="1">
          <reference field="50" count="1">
            <x v="3"/>
          </reference>
        </references>
      </pivotArea>
    </format>
    <format dxfId="2587">
      <pivotArea collapsedLevelsAreSubtotals="1" fieldPosition="0">
        <references count="1">
          <reference field="50" count="1">
            <x v="2"/>
          </reference>
        </references>
      </pivotArea>
    </format>
    <format dxfId="2586">
      <pivotArea dataOnly="0" labelOnly="1" fieldPosition="0">
        <references count="1">
          <reference field="50" count="1">
            <x v="2"/>
          </reference>
        </references>
      </pivotArea>
    </format>
    <format dxfId="2585">
      <pivotArea collapsedLevelsAreSubtotals="1" fieldPosition="0">
        <references count="1">
          <reference field="50" count="1">
            <x v="1"/>
          </reference>
        </references>
      </pivotArea>
    </format>
    <format dxfId="2584">
      <pivotArea dataOnly="0" labelOnly="1" fieldPosition="0">
        <references count="1">
          <reference field="50" count="1">
            <x v="1"/>
          </reference>
        </references>
      </pivotArea>
    </format>
    <format dxfId="2583">
      <pivotArea collapsedLevelsAreSubtotals="1" fieldPosition="0">
        <references count="1">
          <reference field="50" count="1">
            <x v="0"/>
          </reference>
        </references>
      </pivotArea>
    </format>
    <format dxfId="2582">
      <pivotArea dataOnly="0" labelOnly="1" fieldPosition="0">
        <references count="1">
          <reference field="50" count="1">
            <x v="0"/>
          </reference>
        </references>
      </pivotArea>
    </format>
    <format dxfId="2581">
      <pivotArea collapsedLevelsAreSubtotals="1" fieldPosition="0">
        <references count="1">
          <reference field="50" count="1">
            <x v="3"/>
          </reference>
        </references>
      </pivotArea>
    </format>
    <format dxfId="2580">
      <pivotArea dataOnly="0" labelOnly="1" fieldPosition="0">
        <references count="1">
          <reference field="50" count="1">
            <x v="3"/>
          </reference>
        </references>
      </pivotArea>
    </format>
    <format dxfId="2579">
      <pivotArea collapsedLevelsAreSubtotals="1" fieldPosition="0">
        <references count="1">
          <reference field="49" count="1">
            <x v="0"/>
          </reference>
        </references>
      </pivotArea>
    </format>
    <format dxfId="2578">
      <pivotArea dataOnly="0" labelOnly="1" fieldPosition="0">
        <references count="1">
          <reference field="49" count="1">
            <x v="0"/>
          </reference>
        </references>
      </pivotArea>
    </format>
    <format dxfId="2577">
      <pivotArea collapsedLevelsAreSubtotals="1" fieldPosition="0">
        <references count="1">
          <reference field="50" count="1">
            <x v="0"/>
          </reference>
        </references>
      </pivotArea>
    </format>
    <format dxfId="2576">
      <pivotArea dataOnly="0" labelOnly="1" fieldPosition="0">
        <references count="1">
          <reference field="50" count="1">
            <x v="0"/>
          </reference>
        </references>
      </pivotArea>
    </format>
    <format dxfId="2575">
      <pivotArea collapsedLevelsAreSubtotals="1" fieldPosition="0">
        <references count="1">
          <reference field="50" count="1">
            <x v="1"/>
          </reference>
        </references>
      </pivotArea>
    </format>
    <format dxfId="2574">
      <pivotArea dataOnly="0" labelOnly="1" fieldPosition="0">
        <references count="1">
          <reference field="50" count="1">
            <x v="1"/>
          </reference>
        </references>
      </pivotArea>
    </format>
    <format dxfId="2573">
      <pivotArea collapsedLevelsAreSubtotals="1" fieldPosition="0">
        <references count="1">
          <reference field="50" count="1">
            <x v="2"/>
          </reference>
        </references>
      </pivotArea>
    </format>
    <format dxfId="2572">
      <pivotArea dataOnly="0" labelOnly="1" fieldPosition="0">
        <references count="1">
          <reference field="50" count="1">
            <x v="2"/>
          </reference>
        </references>
      </pivotArea>
    </format>
    <format dxfId="2571">
      <pivotArea collapsedLevelsAreSubtotals="1" fieldPosition="0">
        <references count="1">
          <reference field="50" count="1">
            <x v="0"/>
          </reference>
        </references>
      </pivotArea>
    </format>
    <format dxfId="2570">
      <pivotArea dataOnly="0" labelOnly="1" fieldPosition="0">
        <references count="1">
          <reference field="50" count="1">
            <x v="0"/>
          </reference>
        </references>
      </pivotArea>
    </format>
    <format dxfId="2569">
      <pivotArea collapsedLevelsAreSubtotals="1" fieldPosition="0">
        <references count="1">
          <reference field="50" count="1">
            <x v="1"/>
          </reference>
        </references>
      </pivotArea>
    </format>
    <format dxfId="2568">
      <pivotArea dataOnly="0" labelOnly="1" fieldPosition="0">
        <references count="1">
          <reference field="50" count="1">
            <x v="1"/>
          </reference>
        </references>
      </pivotArea>
    </format>
    <format dxfId="2567">
      <pivotArea collapsedLevelsAreSubtotals="1" fieldPosition="0">
        <references count="1">
          <reference field="50" count="1">
            <x v="2"/>
          </reference>
        </references>
      </pivotArea>
    </format>
    <format dxfId="2566">
      <pivotArea dataOnly="0" labelOnly="1" fieldPosition="0">
        <references count="1">
          <reference field="50" count="1">
            <x v="2"/>
          </reference>
        </references>
      </pivotArea>
    </format>
    <format dxfId="2565">
      <pivotArea collapsedLevelsAreSubtotals="1" fieldPosition="0">
        <references count="1">
          <reference field="50" count="1">
            <x v="0"/>
          </reference>
        </references>
      </pivotArea>
    </format>
    <format dxfId="2564">
      <pivotArea dataOnly="0" labelOnly="1" fieldPosition="0">
        <references count="1">
          <reference field="50" count="1">
            <x v="0"/>
          </reference>
        </references>
      </pivotArea>
    </format>
    <format dxfId="2563">
      <pivotArea collapsedLevelsAreSubtotals="1" fieldPosition="0">
        <references count="1">
          <reference field="50" count="1">
            <x v="1"/>
          </reference>
        </references>
      </pivotArea>
    </format>
    <format dxfId="2562">
      <pivotArea dataOnly="0" labelOnly="1" fieldPosition="0">
        <references count="1">
          <reference field="50" count="1">
            <x v="1"/>
          </reference>
        </references>
      </pivotArea>
    </format>
    <format dxfId="2561">
      <pivotArea collapsedLevelsAreSubtotals="1" fieldPosition="0">
        <references count="1">
          <reference field="50" count="1">
            <x v="2"/>
          </reference>
        </references>
      </pivotArea>
    </format>
    <format dxfId="2560">
      <pivotArea dataOnly="0" labelOnly="1" fieldPosition="0">
        <references count="1">
          <reference field="50" count="1">
            <x v="2"/>
          </reference>
        </references>
      </pivotArea>
    </format>
    <format dxfId="2559">
      <pivotArea field="51" grandCol="1" collapsedLevelsAreSubtotals="1" axis="axisRow" fieldPosition="5">
        <references count="1">
          <reference field="5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558">
      <pivotArea field="51" grandCol="1" collapsedLevelsAreSubtotals="1" axis="axisRow" fieldPosition="5">
        <references count="1">
          <reference field="51" count="2">
            <x v="11"/>
            <x v="12"/>
          </reference>
        </references>
      </pivotArea>
    </format>
    <format dxfId="2557">
      <pivotArea field="51" grandCol="1" collapsedLevelsAreSubtotals="1" axis="axisRow" fieldPosition="5">
        <references count="1">
          <reference field="51" count="15"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</references>
      </pivotArea>
    </format>
    <format dxfId="2556">
      <pivotArea field="51" grandCol="1" collapsedLevelsAreSubtotals="1" axis="axisRow" fieldPosition="5">
        <references count="1">
          <reference field="51" count="13"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2555">
      <pivotArea field="51" grandCol="1" collapsedLevelsAreSubtotals="1" axis="axisRow" fieldPosition="5">
        <references count="1">
          <reference field="51" count="1">
            <x v="28"/>
          </reference>
        </references>
      </pivotArea>
    </format>
    <format dxfId="2554">
      <pivotArea field="51" grandCol="1" collapsedLevelsAreSubtotals="1" axis="axisRow" fieldPosition="5">
        <references count="1">
          <reference field="51" count="1">
            <x v="10"/>
          </reference>
        </references>
      </pivotArea>
    </format>
    <format dxfId="2553">
      <pivotArea collapsedLevelsAreSubtotals="1" fieldPosition="0">
        <references count="1">
          <reference field="50" count="1">
            <x v="3"/>
          </reference>
        </references>
      </pivotArea>
    </format>
    <format dxfId="2552">
      <pivotArea dataOnly="0" labelOnly="1" fieldPosition="0">
        <references count="1">
          <reference field="50" count="1">
            <x v="3"/>
          </reference>
        </references>
      </pivotArea>
    </format>
    <format dxfId="2551">
      <pivotArea collapsedLevelsAreSubtotals="1" fieldPosition="0">
        <references count="1">
          <reference field="50" count="1">
            <x v="3"/>
          </reference>
        </references>
      </pivotArea>
    </format>
    <format dxfId="2550">
      <pivotArea dataOnly="0" labelOnly="1" fieldPosition="0">
        <references count="1">
          <reference field="50" count="1">
            <x v="3"/>
          </reference>
        </references>
      </pivotArea>
    </format>
    <format dxfId="2549">
      <pivotArea collapsedLevelsAreSubtotals="1" fieldPosition="0">
        <references count="1">
          <reference field="50" count="1">
            <x v="3"/>
          </reference>
        </references>
      </pivotArea>
    </format>
    <format dxfId="2548">
      <pivotArea dataOnly="0" labelOnly="1" fieldPosition="0">
        <references count="1">
          <reference field="50" count="1">
            <x v="3"/>
          </reference>
        </references>
      </pivotArea>
    </format>
    <format dxfId="2547">
      <pivotArea collapsedLevelsAreSubtotals="1" fieldPosition="0">
        <references count="1">
          <reference field="51" count="1">
            <x v="18"/>
          </reference>
        </references>
      </pivotArea>
    </format>
    <format dxfId="2546">
      <pivotArea collapsedLevelsAreSubtotals="1" fieldPosition="0">
        <references count="1">
          <reference field="51" count="1">
            <x v="21"/>
          </reference>
        </references>
      </pivotArea>
    </format>
    <format dxfId="2545">
      <pivotArea collapsedLevelsAreSubtotals="1" fieldPosition="0">
        <references count="1">
          <reference field="51" count="1">
            <x v="17"/>
          </reference>
        </references>
      </pivotArea>
    </format>
  </formats>
  <pivotHierarchies count="8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6">
        <mp field="37"/>
        <mp field="38"/>
        <mp field="39"/>
        <mp field="40"/>
        <mp field="41"/>
        <mp field="42"/>
      </mps>
      <members count="1" level="2">
        <member name="[Team Project].[Team Project Hierarchy].&amp;[{FA87FDF7-D2B5-4A1C-A3BD-413358241E89}]"/>
      </members>
    </pivotHierarchy>
    <pivotHierarchy/>
    <pivotHierarchy multipleItemSelectionAllowed="1">
      <members count="1" level="1">
        <member name="[Test Case].[Area Path].&amp;[\Core Banking\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est Case].[Iteration Path].&amp;[\Core Banking\QA\Iteration 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Test Plan].[Test Plan Nam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5"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</mps>
    </pivotHierarchy>
    <pivotHierarchy/>
    <pivotHierarchy/>
    <pivotHierarchy/>
    <pivotHierarchy/>
    <pivotHierarchy/>
    <pivotHierarchy/>
    <pivotHierarchy>
      <mps count="14"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Work Item].[CWB_PBIType].&amp;[Test Condition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Work Item].[System_WorkItemType].&amp;[Test Cas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" level="1">
        <member name="[Work Item Linked].[CWB_PBIType].&amp;[Business Requirement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1"/>
  </rowHierarchiesUsage>
  <colHierarchiesUsage count="1">
    <colHierarchyUsage hierarchyUsage="15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8"/>
  <sheetViews>
    <sheetView tabSelected="1" topLeftCell="A31" zoomScale="68" zoomScaleNormal="68" workbookViewId="0">
      <selection activeCell="D67" sqref="D67"/>
    </sheetView>
  </sheetViews>
  <sheetFormatPr defaultColWidth="52.109375" defaultRowHeight="14.4" x14ac:dyDescent="0.3"/>
  <cols>
    <col min="1" max="1" width="73.88671875" style="2" bestFit="1" customWidth="1"/>
    <col min="2" max="2" width="29.33203125" style="2" bestFit="1" customWidth="1"/>
    <col min="3" max="3" width="7.88671875" style="2" bestFit="1" customWidth="1"/>
    <col min="4" max="4" width="13.5546875" style="2" bestFit="1" customWidth="1"/>
    <col min="5" max="5" width="13.21875" style="2" bestFit="1" customWidth="1"/>
    <col min="6" max="6" width="8.88671875" style="2" bestFit="1" customWidth="1"/>
    <col min="7" max="7" width="14.109375" style="2" bestFit="1" customWidth="1"/>
    <col min="8" max="8" width="14.109375" style="2" customWidth="1"/>
    <col min="9" max="10" width="14.33203125" style="2" customWidth="1"/>
    <col min="11" max="11" width="10.33203125" style="2" bestFit="1" customWidth="1"/>
    <col min="12" max="12" width="19.109375" style="2" bestFit="1" customWidth="1"/>
    <col min="13" max="13" width="4.44140625" style="2" customWidth="1"/>
    <col min="14" max="14" width="5.44140625" style="3" customWidth="1"/>
    <col min="15" max="15" width="22.109375" style="89" bestFit="1" customWidth="1"/>
    <col min="16" max="17" width="16.44140625" style="2" customWidth="1"/>
    <col min="18" max="18" width="13" style="2" customWidth="1"/>
    <col min="19" max="19" width="29.6640625" style="2" customWidth="1"/>
    <col min="20" max="20" width="20.77734375" style="2" customWidth="1"/>
    <col min="21" max="21" width="14.33203125" style="2" customWidth="1"/>
    <col min="22" max="22" width="35.5546875" style="2" customWidth="1"/>
    <col min="23" max="23" width="4.109375" style="2" customWidth="1"/>
    <col min="24" max="24" width="22.109375" style="89" bestFit="1" customWidth="1"/>
    <col min="25" max="28" width="14.5546875" style="2" customWidth="1"/>
    <col min="29" max="16384" width="52.109375" style="2"/>
  </cols>
  <sheetData>
    <row r="1" spans="1:23" s="62" customFormat="1" ht="37.5" customHeight="1" x14ac:dyDescent="0.3">
      <c r="A1" s="139" t="s">
        <v>76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63"/>
      <c r="R1" s="64"/>
      <c r="S1" s="64"/>
      <c r="T1" s="64"/>
    </row>
    <row r="2" spans="1:23" ht="18" x14ac:dyDescent="0.3">
      <c r="A2" s="5" t="s">
        <v>4</v>
      </c>
      <c r="B2" s="6" t="s" vm="1">
        <v>2</v>
      </c>
      <c r="C2" s="7"/>
      <c r="D2" s="7"/>
      <c r="E2" s="7"/>
      <c r="F2" s="7"/>
      <c r="G2" s="7"/>
      <c r="H2" s="7"/>
      <c r="I2" s="7"/>
      <c r="J2" s="7"/>
      <c r="K2" s="8"/>
      <c r="L2" s="8"/>
      <c r="M2" s="8"/>
      <c r="R2" s="4"/>
      <c r="S2" s="4"/>
      <c r="T2" s="4"/>
    </row>
    <row r="3" spans="1:23" ht="18" x14ac:dyDescent="0.3">
      <c r="A3" s="5" t="s">
        <v>3</v>
      </c>
      <c r="B3" s="6" t="s" vm="5">
        <v>33</v>
      </c>
      <c r="C3" s="7"/>
      <c r="D3" s="7"/>
      <c r="E3" s="7"/>
      <c r="F3" s="7"/>
      <c r="G3" s="7"/>
      <c r="H3" s="7"/>
      <c r="I3" s="7"/>
      <c r="J3" s="7"/>
      <c r="K3" s="8"/>
      <c r="L3" s="8"/>
      <c r="M3" s="8"/>
      <c r="R3" s="4"/>
      <c r="S3" s="4"/>
      <c r="T3" s="4"/>
    </row>
    <row r="4" spans="1:23" ht="18" x14ac:dyDescent="0.3">
      <c r="A4" s="5" t="s">
        <v>6</v>
      </c>
      <c r="B4" s="6" t="s" vm="4">
        <v>32</v>
      </c>
      <c r="C4" s="7"/>
      <c r="D4" s="7"/>
      <c r="E4" s="7"/>
      <c r="F4" s="7"/>
      <c r="G4" s="7"/>
      <c r="H4" s="7"/>
      <c r="I4" s="7"/>
      <c r="J4" s="7"/>
      <c r="K4" s="8"/>
      <c r="L4" s="8"/>
      <c r="M4" s="8"/>
      <c r="R4" s="4"/>
      <c r="S4" s="4"/>
      <c r="T4" s="4"/>
    </row>
    <row r="5" spans="1:23" ht="15" thickBot="1" x14ac:dyDescent="0.35"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  <c r="R5" s="4"/>
      <c r="S5" s="4"/>
      <c r="T5" s="4"/>
    </row>
    <row r="6" spans="1:23" ht="19.8" x14ac:dyDescent="0.3">
      <c r="A6" s="5" t="s">
        <v>7</v>
      </c>
      <c r="B6" s="5" t="s">
        <v>1</v>
      </c>
      <c r="C6" s="65"/>
      <c r="D6" s="65"/>
      <c r="E6" s="65"/>
      <c r="F6" s="65"/>
      <c r="G6" s="65"/>
      <c r="H6" s="65"/>
      <c r="I6" s="65"/>
      <c r="J6" s="65"/>
      <c r="K6" s="9"/>
      <c r="L6" s="10"/>
      <c r="M6" s="10"/>
      <c r="N6" s="1"/>
      <c r="O6" s="140" t="s">
        <v>76</v>
      </c>
      <c r="P6" s="141"/>
      <c r="Q6" s="141"/>
      <c r="R6" s="141"/>
      <c r="S6" s="141"/>
      <c r="T6" s="141"/>
      <c r="U6" s="141"/>
      <c r="V6" s="142"/>
      <c r="W6" s="6"/>
    </row>
    <row r="7" spans="1:23" ht="18" x14ac:dyDescent="0.3">
      <c r="A7" s="66" t="s">
        <v>0</v>
      </c>
      <c r="B7" s="68" t="s">
        <v>5</v>
      </c>
      <c r="C7" s="68" t="s">
        <v>28</v>
      </c>
      <c r="D7" s="67" t="s">
        <v>34</v>
      </c>
      <c r="E7" s="68" t="s">
        <v>24</v>
      </c>
      <c r="F7" s="68" t="s">
        <v>25</v>
      </c>
      <c r="G7" s="100" t="s">
        <v>26</v>
      </c>
      <c r="H7" s="11" t="s">
        <v>40</v>
      </c>
      <c r="I7" s="11" t="s">
        <v>11</v>
      </c>
      <c r="J7" s="101" t="s">
        <v>41</v>
      </c>
      <c r="K7" s="11" t="s">
        <v>5</v>
      </c>
      <c r="L7" s="6"/>
      <c r="M7" s="12"/>
      <c r="N7" s="1"/>
      <c r="O7" s="78" t="s">
        <v>18</v>
      </c>
      <c r="P7" s="79" t="s">
        <v>9</v>
      </c>
      <c r="Q7" s="79" t="s">
        <v>10</v>
      </c>
      <c r="R7" s="80" t="s">
        <v>15</v>
      </c>
      <c r="S7" s="81" t="s">
        <v>81</v>
      </c>
      <c r="T7" s="82" t="s">
        <v>21</v>
      </c>
      <c r="U7" s="82" t="s">
        <v>20</v>
      </c>
      <c r="V7" s="81" t="s">
        <v>82</v>
      </c>
      <c r="W7" s="61"/>
    </row>
    <row r="8" spans="1:23" ht="18" x14ac:dyDescent="0.3">
      <c r="A8" s="69" t="s">
        <v>2</v>
      </c>
      <c r="B8" s="70">
        <v>87</v>
      </c>
      <c r="C8" s="70">
        <v>42</v>
      </c>
      <c r="D8" s="70">
        <v>10</v>
      </c>
      <c r="E8" s="70">
        <v>0</v>
      </c>
      <c r="F8" s="70">
        <v>709</v>
      </c>
      <c r="G8" s="70">
        <v>848</v>
      </c>
      <c r="H8" s="13">
        <f>F8/G8</f>
        <v>0.83608490566037741</v>
      </c>
      <c r="I8" s="13">
        <f>C8/G8</f>
        <v>4.9528301886792456E-2</v>
      </c>
      <c r="J8" s="13">
        <f>(D8+E8)/G8</f>
        <v>1.179245283018868E-2</v>
      </c>
      <c r="K8" s="13">
        <f t="shared" ref="K8:K39" si="0">B8/G8</f>
        <v>0.10259433962264151</v>
      </c>
      <c r="L8" s="6"/>
      <c r="M8" s="14"/>
      <c r="N8" s="1"/>
      <c r="O8" s="90" t="s">
        <v>372</v>
      </c>
      <c r="P8" s="15">
        <f>SUMIF(L:L,O8,G:G)</f>
        <v>243</v>
      </c>
      <c r="Q8" s="15">
        <f>R45+S45</f>
        <v>0</v>
      </c>
      <c r="R8" s="16">
        <f>SUMIF(L:L,O8,B:B)</f>
        <v>2</v>
      </c>
      <c r="S8" s="16">
        <f>(SUMIF(L:L,O8,E:E)+(SUMIF(L:L,O8,D:D)))</f>
        <v>0</v>
      </c>
      <c r="T8" s="17">
        <f>IF(P8,Q8/P8,0)</f>
        <v>0</v>
      </c>
      <c r="U8" s="17">
        <f>IF(P8,R8/P8,0)</f>
        <v>8.23045267489712E-3</v>
      </c>
      <c r="V8" s="18">
        <f>IF(P8,S8/P8,0)</f>
        <v>0</v>
      </c>
    </row>
    <row r="9" spans="1:23" ht="18" x14ac:dyDescent="0.3">
      <c r="A9" s="71" t="s">
        <v>2</v>
      </c>
      <c r="B9" s="72">
        <v>87</v>
      </c>
      <c r="C9" s="72">
        <v>42</v>
      </c>
      <c r="D9" s="72">
        <v>10</v>
      </c>
      <c r="E9" s="72">
        <v>0</v>
      </c>
      <c r="F9" s="72">
        <v>709</v>
      </c>
      <c r="G9" s="72">
        <v>848</v>
      </c>
      <c r="H9" s="13">
        <f t="shared" ref="H9:H39" si="1">F9/G9</f>
        <v>0.83608490566037741</v>
      </c>
      <c r="I9" s="13">
        <f t="shared" ref="I9:I39" si="2">C9/G9</f>
        <v>4.9528301886792456E-2</v>
      </c>
      <c r="J9" s="13">
        <f t="shared" ref="J9:J59" si="3">(D9+E9)/G9</f>
        <v>1.179245283018868E-2</v>
      </c>
      <c r="K9" s="13">
        <f t="shared" si="0"/>
        <v>0.10259433962264151</v>
      </c>
      <c r="L9" s="6"/>
      <c r="M9" s="14"/>
      <c r="N9" s="1"/>
      <c r="O9" s="90" t="s">
        <v>373</v>
      </c>
      <c r="P9" s="15">
        <f>SUMIF(L:L,O9,G:G)</f>
        <v>426</v>
      </c>
      <c r="Q9" s="15">
        <f>R46+S46</f>
        <v>0</v>
      </c>
      <c r="R9" s="16">
        <f>SUMIF(L:L,O9,B:B)</f>
        <v>49</v>
      </c>
      <c r="S9" s="16">
        <f>(SUMIF(L:L,O9,E:E)+(SUMIF(L:L,O9,D:D)))</f>
        <v>0</v>
      </c>
      <c r="T9" s="17">
        <f>IF(P9,Q9/P9,0)</f>
        <v>0</v>
      </c>
      <c r="U9" s="17">
        <f>IF(P9,R9/P9,0)</f>
        <v>0.11502347417840375</v>
      </c>
      <c r="V9" s="18">
        <f>IF(P9,S9/P9,0)</f>
        <v>0</v>
      </c>
    </row>
    <row r="10" spans="1:23" ht="18" x14ac:dyDescent="0.3">
      <c r="A10" s="99" t="s">
        <v>32</v>
      </c>
      <c r="B10" s="70">
        <v>87</v>
      </c>
      <c r="C10" s="70">
        <v>42</v>
      </c>
      <c r="D10" s="70">
        <v>10</v>
      </c>
      <c r="E10" s="70">
        <v>0</v>
      </c>
      <c r="F10" s="70">
        <v>709</v>
      </c>
      <c r="G10" s="70">
        <v>848</v>
      </c>
      <c r="H10" s="13">
        <f t="shared" si="1"/>
        <v>0.83608490566037741</v>
      </c>
      <c r="I10" s="13">
        <f t="shared" si="2"/>
        <v>4.9528301886792456E-2</v>
      </c>
      <c r="J10" s="13">
        <f t="shared" si="3"/>
        <v>1.179245283018868E-2</v>
      </c>
      <c r="K10" s="13">
        <f t="shared" si="0"/>
        <v>0.10259433962264151</v>
      </c>
      <c r="L10" s="1"/>
      <c r="M10" s="14"/>
      <c r="N10" s="1"/>
      <c r="O10" s="90" t="s">
        <v>77</v>
      </c>
      <c r="P10" s="15">
        <f>SUMIF(L:L,O10,G:G)</f>
        <v>176</v>
      </c>
      <c r="Q10" s="15">
        <f>R47+S47</f>
        <v>130</v>
      </c>
      <c r="R10" s="16">
        <f>SUMIF(L:L,O10,B:B)</f>
        <v>36</v>
      </c>
      <c r="S10" s="16">
        <f>(SUMIF(L:L,O10,E:E)+(SUMIF(L:L,O10,D:D)))</f>
        <v>10</v>
      </c>
      <c r="T10" s="17">
        <f>IF(P10,Q10/P10,0)</f>
        <v>0.73863636363636365</v>
      </c>
      <c r="U10" s="17">
        <f>IF(P10,R10/P10,0)</f>
        <v>0.20454545454545456</v>
      </c>
      <c r="V10" s="18">
        <f>IF(P10,S10/P10,0)</f>
        <v>5.6818181818181816E-2</v>
      </c>
    </row>
    <row r="11" spans="1:23" ht="18" x14ac:dyDescent="0.3">
      <c r="A11" s="103" t="s">
        <v>35</v>
      </c>
      <c r="B11" s="102">
        <v>87</v>
      </c>
      <c r="C11" s="102">
        <v>42</v>
      </c>
      <c r="D11" s="102">
        <v>10</v>
      </c>
      <c r="E11" s="102">
        <v>0</v>
      </c>
      <c r="F11" s="102">
        <v>709</v>
      </c>
      <c r="G11" s="102">
        <v>848</v>
      </c>
      <c r="H11" s="13">
        <f t="shared" si="1"/>
        <v>0.83608490566037741</v>
      </c>
      <c r="I11" s="13">
        <f t="shared" si="2"/>
        <v>4.9528301886792456E-2</v>
      </c>
      <c r="J11" s="13">
        <f t="shared" si="3"/>
        <v>1.179245283018868E-2</v>
      </c>
      <c r="K11" s="13">
        <f t="shared" si="0"/>
        <v>0.10259433962264151</v>
      </c>
      <c r="M11" s="14"/>
      <c r="O11" s="90" t="s">
        <v>78</v>
      </c>
      <c r="P11" s="15">
        <f>SUMIF(L:L,O11,G:G)</f>
        <v>3</v>
      </c>
      <c r="Q11" s="15">
        <f>R48+S48</f>
        <v>3</v>
      </c>
      <c r="R11" s="16">
        <f>SUMIF(L:L,O11,B:B)</f>
        <v>0</v>
      </c>
      <c r="S11" s="16">
        <f>(SUMIF(L:L,O11,E:E)+(SUMIF(L:L,O11,D:D)))</f>
        <v>0</v>
      </c>
      <c r="T11" s="17">
        <f t="shared" ref="T11" si="4">IF(P11,Q11/P11,0)</f>
        <v>1</v>
      </c>
      <c r="U11" s="17">
        <f t="shared" ref="U11" si="5">IF(P11,R11/P11,0)</f>
        <v>0</v>
      </c>
      <c r="V11" s="18">
        <f t="shared" ref="V11" si="6">IF(P11,S11/P11,0)</f>
        <v>0</v>
      </c>
    </row>
    <row r="12" spans="1:23" ht="18" x14ac:dyDescent="0.3">
      <c r="A12" s="104" t="s">
        <v>36</v>
      </c>
      <c r="B12" s="105">
        <v>2</v>
      </c>
      <c r="C12" s="105">
        <v>11</v>
      </c>
      <c r="D12" s="105">
        <v>0</v>
      </c>
      <c r="E12" s="105">
        <v>0</v>
      </c>
      <c r="F12" s="105">
        <v>230</v>
      </c>
      <c r="G12" s="105">
        <v>243</v>
      </c>
      <c r="H12" s="13">
        <f t="shared" si="1"/>
        <v>0.94650205761316875</v>
      </c>
      <c r="I12" s="13">
        <f t="shared" si="2"/>
        <v>4.5267489711934158E-2</v>
      </c>
      <c r="J12" s="13">
        <f t="shared" si="3"/>
        <v>0</v>
      </c>
      <c r="K12" s="13">
        <f t="shared" si="0"/>
        <v>8.23045267489712E-3</v>
      </c>
      <c r="L12" s="21" t="s">
        <v>372</v>
      </c>
      <c r="M12" s="14"/>
      <c r="N12" s="1"/>
      <c r="O12" s="90"/>
      <c r="P12" s="15"/>
      <c r="Q12" s="15"/>
      <c r="R12" s="16"/>
      <c r="S12" s="16"/>
      <c r="T12" s="17"/>
      <c r="U12" s="17"/>
      <c r="V12" s="18"/>
    </row>
    <row r="13" spans="1:23" ht="18" x14ac:dyDescent="0.3">
      <c r="A13" s="77" t="s">
        <v>42</v>
      </c>
      <c r="B13" s="70">
        <v>2</v>
      </c>
      <c r="C13" s="70">
        <v>0</v>
      </c>
      <c r="D13" s="70">
        <v>0</v>
      </c>
      <c r="E13" s="70">
        <v>0</v>
      </c>
      <c r="F13" s="70">
        <v>1</v>
      </c>
      <c r="G13" s="70">
        <v>3</v>
      </c>
      <c r="H13" s="13">
        <f t="shared" si="1"/>
        <v>0.33333333333333331</v>
      </c>
      <c r="I13" s="13">
        <f t="shared" si="2"/>
        <v>0</v>
      </c>
      <c r="J13" s="13">
        <f t="shared" si="3"/>
        <v>0</v>
      </c>
      <c r="K13" s="13">
        <f t="shared" si="0"/>
        <v>0.66666666666666663</v>
      </c>
      <c r="M13" s="14"/>
      <c r="N13" s="1"/>
      <c r="O13" s="90"/>
      <c r="P13" s="15"/>
      <c r="Q13" s="15"/>
      <c r="R13" s="16"/>
      <c r="S13" s="16"/>
      <c r="T13" s="17"/>
      <c r="U13" s="17"/>
      <c r="V13" s="18"/>
    </row>
    <row r="14" spans="1:23" ht="18" x14ac:dyDescent="0.3">
      <c r="A14" s="97" t="s">
        <v>43</v>
      </c>
      <c r="B14" s="70">
        <v>0</v>
      </c>
      <c r="C14" s="70">
        <v>3</v>
      </c>
      <c r="D14" s="70">
        <v>0</v>
      </c>
      <c r="E14" s="70">
        <v>0</v>
      </c>
      <c r="F14" s="70">
        <v>13</v>
      </c>
      <c r="G14" s="70">
        <v>16</v>
      </c>
      <c r="H14" s="13">
        <f t="shared" si="1"/>
        <v>0.8125</v>
      </c>
      <c r="I14" s="13">
        <f t="shared" si="2"/>
        <v>0.1875</v>
      </c>
      <c r="J14" s="13">
        <f t="shared" si="3"/>
        <v>0</v>
      </c>
      <c r="K14" s="13">
        <f t="shared" si="0"/>
        <v>0</v>
      </c>
      <c r="M14" s="14"/>
      <c r="N14" s="1"/>
      <c r="O14" s="90"/>
      <c r="P14" s="15"/>
      <c r="Q14" s="15"/>
      <c r="R14" s="16"/>
      <c r="S14" s="16"/>
      <c r="T14" s="17"/>
      <c r="U14" s="17"/>
      <c r="V14" s="18"/>
    </row>
    <row r="15" spans="1:23" ht="18" x14ac:dyDescent="0.3">
      <c r="A15" s="97" t="s">
        <v>44</v>
      </c>
      <c r="B15" s="70"/>
      <c r="C15" s="70"/>
      <c r="D15" s="70">
        <v>0</v>
      </c>
      <c r="E15" s="70">
        <v>0</v>
      </c>
      <c r="F15" s="70">
        <v>4</v>
      </c>
      <c r="G15" s="70">
        <v>4</v>
      </c>
      <c r="H15" s="13">
        <f t="shared" si="1"/>
        <v>1</v>
      </c>
      <c r="I15" s="13">
        <f t="shared" si="2"/>
        <v>0</v>
      </c>
      <c r="J15" s="13">
        <f t="shared" si="3"/>
        <v>0</v>
      </c>
      <c r="K15" s="13">
        <f t="shared" si="0"/>
        <v>0</v>
      </c>
      <c r="N15" s="1"/>
      <c r="O15" s="90"/>
      <c r="P15" s="15"/>
      <c r="Q15" s="15"/>
      <c r="R15" s="16"/>
      <c r="S15" s="16"/>
      <c r="T15" s="17"/>
      <c r="U15" s="17"/>
      <c r="V15" s="18"/>
    </row>
    <row r="16" spans="1:23" ht="18.600000000000001" thickBot="1" x14ac:dyDescent="0.35">
      <c r="A16" s="97" t="s">
        <v>45</v>
      </c>
      <c r="B16" s="70">
        <v>0</v>
      </c>
      <c r="C16" s="70">
        <v>0</v>
      </c>
      <c r="D16" s="70">
        <v>0</v>
      </c>
      <c r="E16" s="70">
        <v>0</v>
      </c>
      <c r="F16" s="70">
        <v>21</v>
      </c>
      <c r="G16" s="70">
        <v>21</v>
      </c>
      <c r="H16" s="13">
        <f t="shared" si="1"/>
        <v>1</v>
      </c>
      <c r="I16" s="13">
        <f t="shared" si="2"/>
        <v>0</v>
      </c>
      <c r="J16" s="13">
        <f t="shared" si="3"/>
        <v>0</v>
      </c>
      <c r="K16" s="13">
        <f t="shared" si="0"/>
        <v>0</v>
      </c>
      <c r="M16" s="14"/>
      <c r="N16" s="1"/>
      <c r="O16" s="84" t="s">
        <v>8</v>
      </c>
      <c r="P16" s="85">
        <f>SUM(P8:P15)</f>
        <v>848</v>
      </c>
      <c r="Q16" s="85">
        <f>SUM(Q8:Q15)</f>
        <v>133</v>
      </c>
      <c r="R16" s="86">
        <f>SUM(R8:R15)</f>
        <v>87</v>
      </c>
      <c r="S16" s="86">
        <f>SUM(S8:S15)</f>
        <v>10</v>
      </c>
      <c r="T16" s="87">
        <f>Q16/P16</f>
        <v>0.15683962264150944</v>
      </c>
      <c r="U16" s="87">
        <f>R16/P16</f>
        <v>0.10259433962264151</v>
      </c>
      <c r="V16" s="88">
        <f>S16/P16</f>
        <v>1.179245283018868E-2</v>
      </c>
    </row>
    <row r="17" spans="1:30" ht="18" x14ac:dyDescent="0.3">
      <c r="A17" s="97" t="s">
        <v>46</v>
      </c>
      <c r="B17" s="70">
        <v>0</v>
      </c>
      <c r="C17" s="70"/>
      <c r="D17" s="70"/>
      <c r="E17" s="70">
        <v>0</v>
      </c>
      <c r="F17" s="70">
        <v>15</v>
      </c>
      <c r="G17" s="70">
        <v>15</v>
      </c>
      <c r="H17" s="13">
        <f t="shared" si="1"/>
        <v>1</v>
      </c>
      <c r="I17" s="13">
        <f t="shared" si="2"/>
        <v>0</v>
      </c>
      <c r="J17" s="13">
        <f t="shared" si="3"/>
        <v>0</v>
      </c>
      <c r="K17" s="13">
        <f t="shared" si="0"/>
        <v>0</v>
      </c>
      <c r="M17" s="14"/>
    </row>
    <row r="18" spans="1:30" ht="18" x14ac:dyDescent="0.3">
      <c r="A18" s="97" t="s">
        <v>47</v>
      </c>
      <c r="B18" s="70">
        <v>0</v>
      </c>
      <c r="C18" s="70">
        <v>0</v>
      </c>
      <c r="D18" s="70"/>
      <c r="E18" s="70">
        <v>0</v>
      </c>
      <c r="F18" s="70">
        <v>5</v>
      </c>
      <c r="G18" s="70">
        <v>5</v>
      </c>
      <c r="H18" s="13">
        <f t="shared" si="1"/>
        <v>1</v>
      </c>
      <c r="I18" s="13">
        <f t="shared" si="2"/>
        <v>0</v>
      </c>
      <c r="J18" s="13">
        <f t="shared" si="3"/>
        <v>0</v>
      </c>
      <c r="K18" s="13">
        <f t="shared" si="0"/>
        <v>0</v>
      </c>
      <c r="M18" s="14"/>
      <c r="O18" s="91"/>
      <c r="P18" s="22"/>
      <c r="Q18" s="22"/>
      <c r="R18" s="22"/>
      <c r="S18" s="22"/>
      <c r="T18" s="22"/>
      <c r="U18" s="22"/>
      <c r="W18" s="23"/>
      <c r="AD18" s="23"/>
    </row>
    <row r="19" spans="1:30" ht="18" x14ac:dyDescent="0.3">
      <c r="A19" s="97" t="s">
        <v>48</v>
      </c>
      <c r="B19" s="70">
        <v>0</v>
      </c>
      <c r="C19" s="70">
        <v>2</v>
      </c>
      <c r="D19" s="70">
        <v>0</v>
      </c>
      <c r="E19" s="70">
        <v>0</v>
      </c>
      <c r="F19" s="70">
        <v>29</v>
      </c>
      <c r="G19" s="70">
        <v>31</v>
      </c>
      <c r="H19" s="13">
        <f t="shared" si="1"/>
        <v>0.93548387096774188</v>
      </c>
      <c r="I19" s="13">
        <f t="shared" si="2"/>
        <v>6.4516129032258063E-2</v>
      </c>
      <c r="J19" s="13">
        <f t="shared" si="3"/>
        <v>0</v>
      </c>
      <c r="K19" s="13">
        <f t="shared" si="0"/>
        <v>0</v>
      </c>
      <c r="M19" s="14"/>
      <c r="O19" s="1"/>
      <c r="R19" s="24" t="s">
        <v>21</v>
      </c>
      <c r="S19" s="24" t="s">
        <v>83</v>
      </c>
      <c r="T19" s="25"/>
      <c r="U19" s="1"/>
      <c r="V19" s="1"/>
      <c r="W19" s="26"/>
      <c r="AC19" s="23"/>
      <c r="AD19" s="23"/>
    </row>
    <row r="20" spans="1:30" s="22" customFormat="1" ht="18" x14ac:dyDescent="0.3">
      <c r="A20" s="97" t="s">
        <v>49</v>
      </c>
      <c r="B20" s="70"/>
      <c r="C20" s="70">
        <v>2</v>
      </c>
      <c r="D20" s="70">
        <v>0</v>
      </c>
      <c r="E20" s="70">
        <v>0</v>
      </c>
      <c r="F20" s="70"/>
      <c r="G20" s="70">
        <v>2</v>
      </c>
      <c r="H20" s="13">
        <f t="shared" si="1"/>
        <v>0</v>
      </c>
      <c r="I20" s="13">
        <f t="shared" si="2"/>
        <v>1</v>
      </c>
      <c r="J20" s="13">
        <f t="shared" si="3"/>
        <v>0</v>
      </c>
      <c r="K20" s="13">
        <f t="shared" si="0"/>
        <v>0</v>
      </c>
      <c r="L20" s="3"/>
      <c r="M20" s="14"/>
      <c r="N20" s="3"/>
      <c r="O20" s="1"/>
      <c r="R20" s="108">
        <f>T16</f>
        <v>0.15683962264150944</v>
      </c>
      <c r="S20" s="27">
        <f>V16</f>
        <v>1.179245283018868E-2</v>
      </c>
      <c r="T20" s="28"/>
      <c r="U20" s="3"/>
      <c r="V20" s="3"/>
      <c r="W20" s="29"/>
      <c r="AC20" s="29"/>
      <c r="AD20" s="23"/>
    </row>
    <row r="21" spans="1:30" s="22" customFormat="1" ht="18" x14ac:dyDescent="0.3">
      <c r="A21" s="97" t="s">
        <v>50</v>
      </c>
      <c r="B21" s="70">
        <v>0</v>
      </c>
      <c r="C21" s="70">
        <v>0</v>
      </c>
      <c r="D21" s="70">
        <v>0</v>
      </c>
      <c r="E21" s="70">
        <v>0</v>
      </c>
      <c r="F21" s="70">
        <v>16</v>
      </c>
      <c r="G21" s="70">
        <v>16</v>
      </c>
      <c r="H21" s="13">
        <f t="shared" si="1"/>
        <v>1</v>
      </c>
      <c r="I21" s="13">
        <f t="shared" si="2"/>
        <v>0</v>
      </c>
      <c r="J21" s="13">
        <f t="shared" si="3"/>
        <v>0</v>
      </c>
      <c r="K21" s="13">
        <f t="shared" si="0"/>
        <v>0</v>
      </c>
      <c r="M21" s="14"/>
      <c r="N21" s="3"/>
      <c r="O21" s="33"/>
      <c r="P21" s="33"/>
      <c r="Q21" s="33"/>
      <c r="R21" s="33"/>
      <c r="S21" s="33"/>
      <c r="T21" s="33"/>
      <c r="U21" s="34"/>
      <c r="V21" s="34"/>
      <c r="W21" s="35"/>
      <c r="AC21" s="29"/>
      <c r="AD21" s="23"/>
    </row>
    <row r="22" spans="1:30" s="22" customFormat="1" ht="18" x14ac:dyDescent="0.3">
      <c r="A22" s="97" t="s">
        <v>51</v>
      </c>
      <c r="B22" s="70">
        <v>0</v>
      </c>
      <c r="C22" s="70">
        <v>2</v>
      </c>
      <c r="D22" s="70">
        <v>0</v>
      </c>
      <c r="E22" s="70">
        <v>0</v>
      </c>
      <c r="F22" s="70">
        <v>2</v>
      </c>
      <c r="G22" s="70">
        <v>4</v>
      </c>
      <c r="H22" s="13">
        <f t="shared" si="1"/>
        <v>0.5</v>
      </c>
      <c r="I22" s="13">
        <f t="shared" si="2"/>
        <v>0.5</v>
      </c>
      <c r="J22" s="13">
        <f t="shared" si="3"/>
        <v>0</v>
      </c>
      <c r="K22" s="13">
        <f t="shared" si="0"/>
        <v>0</v>
      </c>
      <c r="M22" s="14"/>
      <c r="N22" s="3"/>
      <c r="O22" s="33"/>
      <c r="P22" s="33"/>
      <c r="Q22" s="33"/>
      <c r="R22" s="33"/>
      <c r="S22" s="33"/>
      <c r="T22" s="33"/>
      <c r="U22" s="34"/>
      <c r="V22" s="34"/>
      <c r="W22" s="35"/>
      <c r="AC22" s="29"/>
      <c r="AD22" s="23"/>
    </row>
    <row r="23" spans="1:30" s="22" customFormat="1" ht="18" x14ac:dyDescent="0.3">
      <c r="A23" s="97" t="s">
        <v>52</v>
      </c>
      <c r="B23" s="70">
        <v>0</v>
      </c>
      <c r="C23" s="70">
        <v>2</v>
      </c>
      <c r="D23" s="70">
        <v>0</v>
      </c>
      <c r="E23" s="70">
        <v>0</v>
      </c>
      <c r="F23" s="70">
        <v>120</v>
      </c>
      <c r="G23" s="70">
        <v>122</v>
      </c>
      <c r="H23" s="13">
        <f t="shared" si="1"/>
        <v>0.98360655737704916</v>
      </c>
      <c r="I23" s="13">
        <f t="shared" si="2"/>
        <v>1.6393442622950821E-2</v>
      </c>
      <c r="J23" s="13">
        <f t="shared" si="3"/>
        <v>0</v>
      </c>
      <c r="K23" s="13">
        <f t="shared" si="0"/>
        <v>0</v>
      </c>
      <c r="M23" s="14"/>
      <c r="N23" s="3"/>
      <c r="O23" s="33"/>
      <c r="P23" s="33"/>
      <c r="Q23" s="33"/>
      <c r="R23" s="33"/>
      <c r="S23" s="33"/>
      <c r="T23" s="33"/>
      <c r="U23" s="34"/>
      <c r="V23" s="34"/>
      <c r="W23" s="35"/>
      <c r="AC23" s="29"/>
      <c r="AD23" s="23"/>
    </row>
    <row r="24" spans="1:30" s="22" customFormat="1" ht="18" x14ac:dyDescent="0.3">
      <c r="A24" s="97" t="s">
        <v>53</v>
      </c>
      <c r="B24" s="70">
        <v>0</v>
      </c>
      <c r="C24" s="70">
        <v>0</v>
      </c>
      <c r="D24" s="70">
        <v>0</v>
      </c>
      <c r="E24" s="70">
        <v>0</v>
      </c>
      <c r="F24" s="70">
        <v>2</v>
      </c>
      <c r="G24" s="70">
        <v>2</v>
      </c>
      <c r="H24" s="13">
        <f t="shared" si="1"/>
        <v>1</v>
      </c>
      <c r="I24" s="13">
        <f t="shared" si="2"/>
        <v>0</v>
      </c>
      <c r="J24" s="13">
        <f t="shared" si="3"/>
        <v>0</v>
      </c>
      <c r="K24" s="13">
        <f t="shared" si="0"/>
        <v>0</v>
      </c>
      <c r="L24" s="3"/>
      <c r="M24" s="14"/>
      <c r="N24" s="3"/>
      <c r="O24" s="33"/>
      <c r="P24" s="33"/>
      <c r="Q24" s="33"/>
      <c r="R24" s="33"/>
      <c r="S24" s="33"/>
      <c r="T24" s="33"/>
      <c r="U24" s="34"/>
      <c r="V24" s="34"/>
      <c r="W24" s="35"/>
      <c r="AC24" s="29"/>
      <c r="AD24" s="23"/>
    </row>
    <row r="25" spans="1:30" s="22" customFormat="1" ht="18" x14ac:dyDescent="0.3">
      <c r="A25" s="97" t="s">
        <v>54</v>
      </c>
      <c r="B25" s="70"/>
      <c r="C25" s="70">
        <v>0</v>
      </c>
      <c r="D25" s="70">
        <v>0</v>
      </c>
      <c r="E25" s="70">
        <v>0</v>
      </c>
      <c r="F25" s="70">
        <v>2</v>
      </c>
      <c r="G25" s="70">
        <v>2</v>
      </c>
      <c r="H25" s="13">
        <f t="shared" si="1"/>
        <v>1</v>
      </c>
      <c r="I25" s="13">
        <f t="shared" si="2"/>
        <v>0</v>
      </c>
      <c r="J25" s="13">
        <f t="shared" si="3"/>
        <v>0</v>
      </c>
      <c r="K25" s="13">
        <f t="shared" si="0"/>
        <v>0</v>
      </c>
      <c r="M25" s="14"/>
      <c r="N25" s="3"/>
      <c r="O25" s="33"/>
      <c r="P25" s="33"/>
      <c r="Q25" s="33"/>
      <c r="R25" s="33"/>
      <c r="S25" s="33"/>
      <c r="T25" s="33"/>
      <c r="U25" s="34"/>
      <c r="V25" s="34"/>
      <c r="W25" s="35"/>
      <c r="AC25" s="29"/>
      <c r="AD25" s="23"/>
    </row>
    <row r="26" spans="1:30" s="22" customFormat="1" ht="18" x14ac:dyDescent="0.3">
      <c r="A26" s="104" t="s">
        <v>37</v>
      </c>
      <c r="B26" s="105">
        <v>49</v>
      </c>
      <c r="C26" s="105">
        <v>20</v>
      </c>
      <c r="D26" s="105">
        <v>0</v>
      </c>
      <c r="E26" s="105">
        <v>0</v>
      </c>
      <c r="F26" s="105">
        <v>357</v>
      </c>
      <c r="G26" s="105">
        <v>426</v>
      </c>
      <c r="H26" s="13">
        <f t="shared" si="1"/>
        <v>0.8380281690140845</v>
      </c>
      <c r="I26" s="13">
        <f t="shared" si="2"/>
        <v>4.6948356807511735E-2</v>
      </c>
      <c r="J26" s="13">
        <f t="shared" si="3"/>
        <v>0</v>
      </c>
      <c r="K26" s="13">
        <f t="shared" si="0"/>
        <v>0.11502347417840375</v>
      </c>
      <c r="L26" s="21" t="s">
        <v>373</v>
      </c>
      <c r="M26" s="14"/>
      <c r="N26" s="3"/>
      <c r="O26" s="33"/>
      <c r="P26" s="33"/>
      <c r="Q26" s="33"/>
      <c r="R26" s="33"/>
      <c r="S26" s="33"/>
      <c r="T26" s="33"/>
      <c r="U26" s="34"/>
      <c r="V26" s="34"/>
      <c r="W26" s="35"/>
      <c r="AC26" s="29"/>
      <c r="AD26" s="23"/>
    </row>
    <row r="27" spans="1:30" s="22" customFormat="1" ht="18" x14ac:dyDescent="0.3">
      <c r="A27" s="77" t="s">
        <v>55</v>
      </c>
      <c r="B27" s="70">
        <v>2</v>
      </c>
      <c r="C27" s="70">
        <v>3</v>
      </c>
      <c r="D27" s="70">
        <v>0</v>
      </c>
      <c r="E27" s="70">
        <v>0</v>
      </c>
      <c r="F27" s="70">
        <v>17</v>
      </c>
      <c r="G27" s="70">
        <v>22</v>
      </c>
      <c r="H27" s="13">
        <f t="shared" si="1"/>
        <v>0.77272727272727271</v>
      </c>
      <c r="I27" s="13">
        <f t="shared" si="2"/>
        <v>0.13636363636363635</v>
      </c>
      <c r="J27" s="13">
        <f t="shared" si="3"/>
        <v>0</v>
      </c>
      <c r="K27" s="13">
        <f t="shared" si="0"/>
        <v>9.0909090909090912E-2</v>
      </c>
      <c r="M27" s="14"/>
      <c r="N27" s="3"/>
      <c r="O27" s="33"/>
      <c r="P27" s="33"/>
      <c r="Q27" s="33"/>
      <c r="R27" s="33"/>
      <c r="S27" s="33"/>
      <c r="T27" s="33"/>
      <c r="U27" s="34"/>
      <c r="V27" s="34"/>
      <c r="W27" s="35"/>
      <c r="AC27" s="29"/>
      <c r="AD27" s="23"/>
    </row>
    <row r="28" spans="1:30" s="22" customFormat="1" ht="18" x14ac:dyDescent="0.3">
      <c r="A28" s="97" t="s">
        <v>43</v>
      </c>
      <c r="B28" s="70">
        <v>12</v>
      </c>
      <c r="C28" s="70">
        <v>1</v>
      </c>
      <c r="D28" s="70">
        <v>0</v>
      </c>
      <c r="E28" s="70">
        <v>0</v>
      </c>
      <c r="F28" s="70">
        <v>19</v>
      </c>
      <c r="G28" s="70">
        <v>32</v>
      </c>
      <c r="H28" s="13">
        <f t="shared" si="1"/>
        <v>0.59375</v>
      </c>
      <c r="I28" s="13">
        <f t="shared" si="2"/>
        <v>3.125E-2</v>
      </c>
      <c r="J28" s="13">
        <f t="shared" si="3"/>
        <v>0</v>
      </c>
      <c r="K28" s="13">
        <f t="shared" si="0"/>
        <v>0.375</v>
      </c>
      <c r="M28" s="14"/>
      <c r="N28" s="3"/>
      <c r="O28" s="33"/>
      <c r="P28" s="33"/>
      <c r="Q28" s="33"/>
      <c r="R28" s="33"/>
      <c r="S28" s="33"/>
      <c r="T28" s="33"/>
      <c r="U28" s="34"/>
      <c r="V28" s="34"/>
      <c r="W28" s="34"/>
    </row>
    <row r="29" spans="1:30" s="22" customFormat="1" ht="18" x14ac:dyDescent="0.3">
      <c r="A29" s="97" t="s">
        <v>44</v>
      </c>
      <c r="B29" s="70">
        <v>7</v>
      </c>
      <c r="C29" s="70">
        <v>1</v>
      </c>
      <c r="D29" s="70">
        <v>0</v>
      </c>
      <c r="E29" s="70">
        <v>0</v>
      </c>
      <c r="F29" s="70">
        <v>42</v>
      </c>
      <c r="G29" s="70">
        <v>50</v>
      </c>
      <c r="H29" s="13">
        <f t="shared" si="1"/>
        <v>0.84</v>
      </c>
      <c r="I29" s="13">
        <f t="shared" si="2"/>
        <v>0.02</v>
      </c>
      <c r="J29" s="13">
        <f t="shared" si="3"/>
        <v>0</v>
      </c>
      <c r="K29" s="13">
        <f t="shared" si="0"/>
        <v>0.14000000000000001</v>
      </c>
      <c r="M29" s="14"/>
      <c r="N29" s="3"/>
      <c r="O29" s="38"/>
      <c r="P29" s="39"/>
      <c r="Q29" s="39"/>
      <c r="R29" s="33"/>
      <c r="S29" s="33"/>
      <c r="T29" s="33"/>
      <c r="U29" s="34"/>
      <c r="V29" s="34"/>
      <c r="W29" s="34"/>
    </row>
    <row r="30" spans="1:30" s="22" customFormat="1" ht="18" x14ac:dyDescent="0.3">
      <c r="A30" s="97" t="s">
        <v>56</v>
      </c>
      <c r="B30" s="70">
        <v>0</v>
      </c>
      <c r="C30" s="70">
        <v>0</v>
      </c>
      <c r="D30" s="70">
        <v>0</v>
      </c>
      <c r="E30" s="70">
        <v>0</v>
      </c>
      <c r="F30" s="70">
        <v>26</v>
      </c>
      <c r="G30" s="70">
        <v>26</v>
      </c>
      <c r="H30" s="13">
        <f t="shared" si="1"/>
        <v>1</v>
      </c>
      <c r="I30" s="13">
        <f t="shared" si="2"/>
        <v>0</v>
      </c>
      <c r="J30" s="13">
        <f t="shared" si="3"/>
        <v>0</v>
      </c>
      <c r="K30" s="13">
        <f t="shared" si="0"/>
        <v>0</v>
      </c>
      <c r="M30" s="14"/>
      <c r="N30" s="3"/>
      <c r="O30" s="38"/>
      <c r="P30" s="39"/>
      <c r="Q30" s="39"/>
      <c r="R30" s="33"/>
      <c r="S30" s="33"/>
      <c r="T30" s="33"/>
      <c r="U30" s="34"/>
      <c r="V30" s="34"/>
      <c r="W30" s="34"/>
      <c r="X30" s="91"/>
    </row>
    <row r="31" spans="1:30" s="22" customFormat="1" ht="18" x14ac:dyDescent="0.3">
      <c r="A31" s="97" t="s">
        <v>57</v>
      </c>
      <c r="B31" s="70">
        <v>0</v>
      </c>
      <c r="C31" s="70">
        <v>2</v>
      </c>
      <c r="D31" s="70">
        <v>0</v>
      </c>
      <c r="E31" s="70">
        <v>0</v>
      </c>
      <c r="F31" s="70">
        <v>23</v>
      </c>
      <c r="G31" s="70">
        <v>25</v>
      </c>
      <c r="H31" s="13">
        <f t="shared" si="1"/>
        <v>0.92</v>
      </c>
      <c r="I31" s="13">
        <f t="shared" si="2"/>
        <v>0.08</v>
      </c>
      <c r="J31" s="13">
        <f t="shared" si="3"/>
        <v>0</v>
      </c>
      <c r="K31" s="13">
        <f t="shared" si="0"/>
        <v>0</v>
      </c>
      <c r="M31" s="14"/>
      <c r="N31" s="3"/>
      <c r="O31" s="38"/>
      <c r="P31" s="39"/>
      <c r="Q31" s="39"/>
      <c r="R31" s="33"/>
      <c r="S31" s="33"/>
      <c r="T31" s="33"/>
      <c r="U31" s="34"/>
      <c r="V31" s="34"/>
      <c r="W31" s="34"/>
      <c r="X31" s="91"/>
    </row>
    <row r="32" spans="1:30" s="22" customFormat="1" ht="18" x14ac:dyDescent="0.3">
      <c r="A32" s="97" t="s">
        <v>47</v>
      </c>
      <c r="B32" s="70">
        <v>1</v>
      </c>
      <c r="C32" s="70">
        <v>1</v>
      </c>
      <c r="D32" s="70">
        <v>0</v>
      </c>
      <c r="E32" s="70">
        <v>0</v>
      </c>
      <c r="F32" s="70">
        <v>17</v>
      </c>
      <c r="G32" s="70">
        <v>19</v>
      </c>
      <c r="H32" s="13">
        <f t="shared" si="1"/>
        <v>0.89473684210526316</v>
      </c>
      <c r="I32" s="13">
        <f t="shared" si="2"/>
        <v>5.2631578947368418E-2</v>
      </c>
      <c r="J32" s="13">
        <f t="shared" si="3"/>
        <v>0</v>
      </c>
      <c r="K32" s="13">
        <f t="shared" si="0"/>
        <v>5.2631578947368418E-2</v>
      </c>
      <c r="M32" s="14"/>
      <c r="N32" s="3"/>
      <c r="T32" s="33"/>
      <c r="U32" s="34"/>
      <c r="V32" s="34"/>
      <c r="W32" s="34"/>
      <c r="X32" s="91"/>
    </row>
    <row r="33" spans="1:24" s="22" customFormat="1" ht="18" x14ac:dyDescent="0.3">
      <c r="A33" s="97" t="s">
        <v>48</v>
      </c>
      <c r="B33" s="70">
        <v>1</v>
      </c>
      <c r="C33" s="70">
        <v>6</v>
      </c>
      <c r="D33" s="70">
        <v>0</v>
      </c>
      <c r="E33" s="70">
        <v>0</v>
      </c>
      <c r="F33" s="70">
        <v>31</v>
      </c>
      <c r="G33" s="70">
        <v>38</v>
      </c>
      <c r="H33" s="13">
        <f t="shared" si="1"/>
        <v>0.81578947368421051</v>
      </c>
      <c r="I33" s="13">
        <f t="shared" si="2"/>
        <v>0.15789473684210525</v>
      </c>
      <c r="J33" s="13">
        <f t="shared" si="3"/>
        <v>0</v>
      </c>
      <c r="K33" s="13">
        <f t="shared" si="0"/>
        <v>2.6315789473684209E-2</v>
      </c>
      <c r="M33" s="14"/>
      <c r="N33" s="3"/>
      <c r="T33" s="33"/>
      <c r="U33" s="34"/>
      <c r="V33" s="34"/>
      <c r="W33" s="34"/>
      <c r="X33" s="91"/>
    </row>
    <row r="34" spans="1:24" s="22" customFormat="1" ht="18" x14ac:dyDescent="0.3">
      <c r="A34" s="97" t="s">
        <v>49</v>
      </c>
      <c r="B34" s="70">
        <v>2</v>
      </c>
      <c r="C34" s="70">
        <v>0</v>
      </c>
      <c r="D34" s="70"/>
      <c r="E34" s="70">
        <v>0</v>
      </c>
      <c r="F34" s="70"/>
      <c r="G34" s="70">
        <v>2</v>
      </c>
      <c r="H34" s="13">
        <f t="shared" si="1"/>
        <v>0</v>
      </c>
      <c r="I34" s="13">
        <f t="shared" si="2"/>
        <v>0</v>
      </c>
      <c r="J34" s="13">
        <f t="shared" si="3"/>
        <v>0</v>
      </c>
      <c r="K34" s="13">
        <f t="shared" si="0"/>
        <v>1</v>
      </c>
      <c r="M34" s="14"/>
      <c r="N34" s="3"/>
      <c r="T34" s="33"/>
      <c r="U34" s="34"/>
      <c r="V34" s="34"/>
      <c r="W34" s="34"/>
      <c r="X34" s="91"/>
    </row>
    <row r="35" spans="1:24" s="22" customFormat="1" ht="18" x14ac:dyDescent="0.3">
      <c r="A35" s="97" t="s">
        <v>50</v>
      </c>
      <c r="B35" s="70">
        <v>8</v>
      </c>
      <c r="C35" s="70">
        <v>2</v>
      </c>
      <c r="D35" s="70">
        <v>0</v>
      </c>
      <c r="E35" s="70">
        <v>0</v>
      </c>
      <c r="F35" s="70">
        <v>36</v>
      </c>
      <c r="G35" s="70">
        <v>46</v>
      </c>
      <c r="H35" s="13">
        <f t="shared" si="1"/>
        <v>0.78260869565217395</v>
      </c>
      <c r="I35" s="13">
        <f t="shared" si="2"/>
        <v>4.3478260869565216E-2</v>
      </c>
      <c r="J35" s="13">
        <f t="shared" si="3"/>
        <v>0</v>
      </c>
      <c r="K35" s="13">
        <f t="shared" si="0"/>
        <v>0.17391304347826086</v>
      </c>
      <c r="M35" s="14"/>
      <c r="N35" s="3"/>
      <c r="T35" s="33"/>
      <c r="U35" s="34"/>
      <c r="V35" s="34"/>
      <c r="W35" s="34"/>
      <c r="X35" s="91"/>
    </row>
    <row r="36" spans="1:24" s="22" customFormat="1" ht="18" x14ac:dyDescent="0.3">
      <c r="A36" s="97" t="s">
        <v>51</v>
      </c>
      <c r="B36" s="70">
        <v>0</v>
      </c>
      <c r="C36" s="70">
        <v>0</v>
      </c>
      <c r="D36" s="70">
        <v>0</v>
      </c>
      <c r="E36" s="70">
        <v>0</v>
      </c>
      <c r="F36" s="70">
        <v>8</v>
      </c>
      <c r="G36" s="70">
        <v>8</v>
      </c>
      <c r="H36" s="13">
        <f t="shared" si="1"/>
        <v>1</v>
      </c>
      <c r="I36" s="13">
        <f t="shared" si="2"/>
        <v>0</v>
      </c>
      <c r="J36" s="13">
        <f t="shared" si="3"/>
        <v>0</v>
      </c>
      <c r="K36" s="13">
        <f t="shared" si="0"/>
        <v>0</v>
      </c>
      <c r="M36" s="14"/>
      <c r="N36" s="3"/>
      <c r="T36" s="33"/>
      <c r="U36" s="34"/>
      <c r="V36" s="34"/>
      <c r="W36" s="34"/>
      <c r="X36" s="91"/>
    </row>
    <row r="37" spans="1:24" s="22" customFormat="1" ht="18" x14ac:dyDescent="0.3">
      <c r="A37" s="97" t="s">
        <v>52</v>
      </c>
      <c r="B37" s="70">
        <v>15</v>
      </c>
      <c r="C37" s="70">
        <v>3</v>
      </c>
      <c r="D37" s="70">
        <v>0</v>
      </c>
      <c r="E37" s="70">
        <v>0</v>
      </c>
      <c r="F37" s="70">
        <v>128</v>
      </c>
      <c r="G37" s="70">
        <v>146</v>
      </c>
      <c r="H37" s="13">
        <f t="shared" si="1"/>
        <v>0.87671232876712324</v>
      </c>
      <c r="I37" s="13">
        <f t="shared" si="2"/>
        <v>2.0547945205479451E-2</v>
      </c>
      <c r="J37" s="13">
        <f t="shared" si="3"/>
        <v>0</v>
      </c>
      <c r="K37" s="13">
        <f t="shared" si="0"/>
        <v>0.10273972602739725</v>
      </c>
      <c r="M37" s="14"/>
      <c r="N37" s="3"/>
      <c r="T37" s="33"/>
      <c r="U37" s="34"/>
      <c r="V37" s="34"/>
      <c r="W37" s="34"/>
      <c r="X37" s="91"/>
    </row>
    <row r="38" spans="1:24" s="22" customFormat="1" ht="18" x14ac:dyDescent="0.3">
      <c r="A38" s="97" t="s">
        <v>58</v>
      </c>
      <c r="B38" s="70">
        <v>1</v>
      </c>
      <c r="C38" s="70"/>
      <c r="D38" s="70">
        <v>0</v>
      </c>
      <c r="E38" s="70">
        <v>0</v>
      </c>
      <c r="F38" s="70">
        <v>1</v>
      </c>
      <c r="G38" s="70">
        <v>2</v>
      </c>
      <c r="H38" s="13">
        <f t="shared" si="1"/>
        <v>0.5</v>
      </c>
      <c r="I38" s="13">
        <f t="shared" si="2"/>
        <v>0</v>
      </c>
      <c r="J38" s="13">
        <f t="shared" si="3"/>
        <v>0</v>
      </c>
      <c r="K38" s="13">
        <f t="shared" si="0"/>
        <v>0.5</v>
      </c>
      <c r="M38" s="14"/>
      <c r="N38" s="3"/>
      <c r="T38" s="33"/>
      <c r="U38" s="34"/>
      <c r="V38" s="34"/>
      <c r="W38" s="34"/>
      <c r="X38" s="91"/>
    </row>
    <row r="39" spans="1:24" s="22" customFormat="1" ht="18" x14ac:dyDescent="0.3">
      <c r="A39" s="97" t="s">
        <v>54</v>
      </c>
      <c r="B39" s="70">
        <v>0</v>
      </c>
      <c r="C39" s="70">
        <v>0</v>
      </c>
      <c r="D39" s="70">
        <v>0</v>
      </c>
      <c r="E39" s="70">
        <v>0</v>
      </c>
      <c r="F39" s="70">
        <v>7</v>
      </c>
      <c r="G39" s="70">
        <v>7</v>
      </c>
      <c r="H39" s="13">
        <f t="shared" si="1"/>
        <v>1</v>
      </c>
      <c r="I39" s="13">
        <f t="shared" si="2"/>
        <v>0</v>
      </c>
      <c r="J39" s="13">
        <f t="shared" si="3"/>
        <v>0</v>
      </c>
      <c r="K39" s="13">
        <f t="shared" si="0"/>
        <v>0</v>
      </c>
      <c r="M39" s="14"/>
      <c r="N39" s="3"/>
      <c r="T39" s="33"/>
      <c r="U39" s="34"/>
      <c r="V39" s="34"/>
      <c r="W39" s="34"/>
      <c r="X39" s="91"/>
    </row>
    <row r="40" spans="1:24" s="22" customFormat="1" ht="18" x14ac:dyDescent="0.3">
      <c r="A40" s="97" t="s">
        <v>59</v>
      </c>
      <c r="B40" s="70"/>
      <c r="C40" s="70">
        <v>0</v>
      </c>
      <c r="D40" s="70"/>
      <c r="E40" s="70">
        <v>0</v>
      </c>
      <c r="F40" s="70">
        <v>2</v>
      </c>
      <c r="G40" s="70">
        <v>2</v>
      </c>
      <c r="H40" s="13">
        <f t="shared" ref="H40:H59" si="7">F40/G40</f>
        <v>1</v>
      </c>
      <c r="I40" s="13">
        <f t="shared" ref="I40:I59" si="8">C40/G40</f>
        <v>0</v>
      </c>
      <c r="J40" s="13">
        <f t="shared" si="3"/>
        <v>0</v>
      </c>
      <c r="K40" s="13">
        <f t="shared" ref="K40:K59" si="9">B40/G40</f>
        <v>0</v>
      </c>
      <c r="M40" s="14"/>
      <c r="N40" s="3"/>
      <c r="T40" s="33"/>
      <c r="U40" s="34"/>
      <c r="V40" s="34"/>
      <c r="W40" s="34"/>
      <c r="X40" s="91"/>
    </row>
    <row r="41" spans="1:24" s="22" customFormat="1" ht="18" x14ac:dyDescent="0.3">
      <c r="A41" s="97" t="s">
        <v>60</v>
      </c>
      <c r="B41" s="70"/>
      <c r="C41" s="70">
        <v>1</v>
      </c>
      <c r="D41" s="70">
        <v>0</v>
      </c>
      <c r="E41" s="70">
        <v>0</v>
      </c>
      <c r="F41" s="70"/>
      <c r="G41" s="70">
        <v>1</v>
      </c>
      <c r="H41" s="13">
        <f t="shared" si="7"/>
        <v>0</v>
      </c>
      <c r="I41" s="13">
        <f t="shared" si="8"/>
        <v>1</v>
      </c>
      <c r="J41" s="13">
        <f t="shared" si="3"/>
        <v>0</v>
      </c>
      <c r="K41" s="13">
        <f t="shared" si="9"/>
        <v>0</v>
      </c>
      <c r="M41" s="14"/>
      <c r="N41" s="3"/>
      <c r="U41" s="34"/>
      <c r="V41" s="34"/>
      <c r="W41" s="34"/>
      <c r="X41" s="91"/>
    </row>
    <row r="42" spans="1:24" s="22" customFormat="1" ht="18.600000000000001" thickBot="1" x14ac:dyDescent="0.35">
      <c r="A42" s="104" t="s">
        <v>38</v>
      </c>
      <c r="B42" s="105">
        <v>36</v>
      </c>
      <c r="C42" s="105">
        <v>10</v>
      </c>
      <c r="D42" s="105">
        <v>10</v>
      </c>
      <c r="E42" s="105">
        <v>0</v>
      </c>
      <c r="F42" s="105">
        <v>120</v>
      </c>
      <c r="G42" s="105">
        <v>176</v>
      </c>
      <c r="H42" s="13">
        <f t="shared" si="7"/>
        <v>0.68181818181818177</v>
      </c>
      <c r="I42" s="13">
        <f t="shared" si="8"/>
        <v>5.6818181818181816E-2</v>
      </c>
      <c r="J42" s="13">
        <f t="shared" si="3"/>
        <v>5.6818181818181816E-2</v>
      </c>
      <c r="K42" s="13">
        <f t="shared" si="9"/>
        <v>0.20454545454545456</v>
      </c>
      <c r="L42" s="21" t="s">
        <v>77</v>
      </c>
      <c r="M42" s="14"/>
      <c r="N42" s="3"/>
      <c r="U42" s="34"/>
      <c r="V42" s="34"/>
      <c r="W42" s="34"/>
      <c r="X42" s="91"/>
    </row>
    <row r="43" spans="1:24" s="22" customFormat="1" ht="19.8" x14ac:dyDescent="0.3">
      <c r="A43" s="77" t="s">
        <v>61</v>
      </c>
      <c r="B43" s="70">
        <v>2</v>
      </c>
      <c r="C43" s="70">
        <v>2</v>
      </c>
      <c r="D43" s="70">
        <v>0</v>
      </c>
      <c r="E43" s="70">
        <v>0</v>
      </c>
      <c r="F43" s="70">
        <v>102</v>
      </c>
      <c r="G43" s="70">
        <v>106</v>
      </c>
      <c r="H43" s="13">
        <f t="shared" si="7"/>
        <v>0.96226415094339623</v>
      </c>
      <c r="I43" s="13">
        <f t="shared" si="8"/>
        <v>1.8867924528301886E-2</v>
      </c>
      <c r="J43" s="13">
        <f t="shared" si="3"/>
        <v>0</v>
      </c>
      <c r="K43" s="13">
        <f t="shared" si="9"/>
        <v>1.8867924528301886E-2</v>
      </c>
      <c r="M43" s="14"/>
      <c r="N43" s="3"/>
      <c r="Q43" s="140" t="s">
        <v>76</v>
      </c>
      <c r="R43" s="141"/>
      <c r="S43" s="141"/>
      <c r="T43" s="141"/>
      <c r="U43" s="142"/>
      <c r="V43" s="34"/>
      <c r="W43" s="34"/>
      <c r="X43" s="91"/>
    </row>
    <row r="44" spans="1:24" s="22" customFormat="1" ht="18" x14ac:dyDescent="0.3">
      <c r="A44" s="97" t="s">
        <v>62</v>
      </c>
      <c r="B44" s="70">
        <v>2</v>
      </c>
      <c r="C44" s="70">
        <v>1</v>
      </c>
      <c r="D44" s="70">
        <v>0</v>
      </c>
      <c r="E44" s="70">
        <v>0</v>
      </c>
      <c r="F44" s="70">
        <v>1</v>
      </c>
      <c r="G44" s="70">
        <v>4</v>
      </c>
      <c r="H44" s="13">
        <f t="shared" si="7"/>
        <v>0.25</v>
      </c>
      <c r="I44" s="13">
        <f t="shared" si="8"/>
        <v>0.25</v>
      </c>
      <c r="J44" s="13">
        <f t="shared" si="3"/>
        <v>0</v>
      </c>
      <c r="K44" s="13">
        <f t="shared" si="9"/>
        <v>0.5</v>
      </c>
      <c r="M44" s="14"/>
      <c r="N44" s="3"/>
      <c r="Q44" s="78" t="s">
        <v>18</v>
      </c>
      <c r="R44" s="80" t="s">
        <v>13</v>
      </c>
      <c r="S44" s="80" t="s">
        <v>14</v>
      </c>
      <c r="T44" s="82" t="s">
        <v>16</v>
      </c>
      <c r="U44" s="83" t="s">
        <v>17</v>
      </c>
      <c r="V44" s="34"/>
      <c r="W44" s="34"/>
      <c r="X44" s="91"/>
    </row>
    <row r="45" spans="1:24" s="22" customFormat="1" ht="18" x14ac:dyDescent="0.3">
      <c r="A45" s="97" t="s">
        <v>63</v>
      </c>
      <c r="B45" s="70">
        <v>4</v>
      </c>
      <c r="C45" s="70"/>
      <c r="D45" s="70">
        <v>0</v>
      </c>
      <c r="E45" s="70">
        <v>0</v>
      </c>
      <c r="F45" s="70"/>
      <c r="G45" s="70">
        <v>4</v>
      </c>
      <c r="H45" s="13">
        <f t="shared" si="7"/>
        <v>0</v>
      </c>
      <c r="I45" s="13">
        <f t="shared" si="8"/>
        <v>0</v>
      </c>
      <c r="J45" s="13">
        <f t="shared" si="3"/>
        <v>0</v>
      </c>
      <c r="K45" s="13">
        <f t="shared" si="9"/>
        <v>1</v>
      </c>
      <c r="M45" s="14"/>
      <c r="N45" s="3"/>
      <c r="Q45" s="90" t="s">
        <v>79</v>
      </c>
      <c r="R45" s="15">
        <f>SUMIF(L:L,Q45,F:F)</f>
        <v>0</v>
      </c>
      <c r="S45" s="15">
        <f>SUMIF(L:L,Q45,C:C)</f>
        <v>0</v>
      </c>
      <c r="T45" s="19" t="e">
        <f>R45/Q8</f>
        <v>#DIV/0!</v>
      </c>
      <c r="U45" s="19" t="e">
        <f>S45/Q8</f>
        <v>#DIV/0!</v>
      </c>
      <c r="V45" s="34"/>
      <c r="W45" s="34"/>
      <c r="X45" s="91"/>
    </row>
    <row r="46" spans="1:24" s="22" customFormat="1" ht="18" x14ac:dyDescent="0.3">
      <c r="A46" s="97" t="s">
        <v>64</v>
      </c>
      <c r="B46" s="70">
        <v>0</v>
      </c>
      <c r="C46" s="70">
        <v>0</v>
      </c>
      <c r="D46" s="70">
        <v>0</v>
      </c>
      <c r="E46" s="70">
        <v>0</v>
      </c>
      <c r="F46" s="70">
        <v>4</v>
      </c>
      <c r="G46" s="70">
        <v>4</v>
      </c>
      <c r="H46" s="13">
        <f t="shared" si="7"/>
        <v>1</v>
      </c>
      <c r="I46" s="13">
        <f t="shared" si="8"/>
        <v>0</v>
      </c>
      <c r="J46" s="13">
        <f t="shared" si="3"/>
        <v>0</v>
      </c>
      <c r="K46" s="13">
        <f t="shared" si="9"/>
        <v>0</v>
      </c>
      <c r="M46" s="14"/>
      <c r="N46" s="3"/>
      <c r="Q46" s="90" t="s">
        <v>80</v>
      </c>
      <c r="R46" s="15">
        <f>SUMIF(L:L,Q46,F:F)</f>
        <v>0</v>
      </c>
      <c r="S46" s="15">
        <f>SUMIF(L:L,Q46,C:C)</f>
        <v>0</v>
      </c>
      <c r="T46" s="19" t="e">
        <f>R46/Q9</f>
        <v>#DIV/0!</v>
      </c>
      <c r="U46" s="19" t="e">
        <f>S46/Q9</f>
        <v>#DIV/0!</v>
      </c>
      <c r="V46" s="34"/>
      <c r="W46" s="34"/>
      <c r="X46" s="91"/>
    </row>
    <row r="47" spans="1:24" s="22" customFormat="1" ht="18" x14ac:dyDescent="0.3">
      <c r="A47" s="97" t="s">
        <v>65</v>
      </c>
      <c r="B47" s="70">
        <v>0</v>
      </c>
      <c r="C47" s="70">
        <v>0</v>
      </c>
      <c r="D47" s="70">
        <v>0</v>
      </c>
      <c r="E47" s="70">
        <v>0</v>
      </c>
      <c r="F47" s="70">
        <v>8</v>
      </c>
      <c r="G47" s="70">
        <v>8</v>
      </c>
      <c r="H47" s="13">
        <f t="shared" si="7"/>
        <v>1</v>
      </c>
      <c r="I47" s="13">
        <f t="shared" si="8"/>
        <v>0</v>
      </c>
      <c r="J47" s="13">
        <f t="shared" si="3"/>
        <v>0</v>
      </c>
      <c r="K47" s="13">
        <f t="shared" si="9"/>
        <v>0</v>
      </c>
      <c r="M47" s="14"/>
      <c r="N47" s="3"/>
      <c r="Q47" s="90" t="s">
        <v>77</v>
      </c>
      <c r="R47" s="15">
        <f>SUMIF(L:L,Q47,F:F)</f>
        <v>120</v>
      </c>
      <c r="S47" s="15">
        <f>SUMIF(L:L,Q47,C:C)</f>
        <v>10</v>
      </c>
      <c r="T47" s="19">
        <f>R47/Q10</f>
        <v>0.92307692307692313</v>
      </c>
      <c r="U47" s="19">
        <f>S47/Q10</f>
        <v>7.6923076923076927E-2</v>
      </c>
      <c r="V47" s="34"/>
      <c r="W47" s="34"/>
      <c r="X47" s="91"/>
    </row>
    <row r="48" spans="1:24" s="22" customFormat="1" ht="18" x14ac:dyDescent="0.3">
      <c r="A48" s="97" t="s">
        <v>66</v>
      </c>
      <c r="B48" s="70">
        <v>0</v>
      </c>
      <c r="C48" s="70">
        <v>0</v>
      </c>
      <c r="D48" s="70">
        <v>5</v>
      </c>
      <c r="E48" s="70">
        <v>0</v>
      </c>
      <c r="F48" s="70">
        <v>1</v>
      </c>
      <c r="G48" s="70">
        <v>6</v>
      </c>
      <c r="H48" s="13">
        <f t="shared" si="7"/>
        <v>0.16666666666666666</v>
      </c>
      <c r="I48" s="13">
        <f t="shared" si="8"/>
        <v>0</v>
      </c>
      <c r="J48" s="13">
        <f t="shared" si="3"/>
        <v>0.83333333333333337</v>
      </c>
      <c r="K48" s="13">
        <f t="shared" si="9"/>
        <v>0</v>
      </c>
      <c r="M48" s="14"/>
      <c r="N48" s="3"/>
      <c r="Q48" s="90" t="s">
        <v>78</v>
      </c>
      <c r="R48" s="15">
        <f>SUMIF(L:L,Q48,F:F)</f>
        <v>2</v>
      </c>
      <c r="S48" s="15">
        <f>SUMIF(L:L,Q48,C:C)</f>
        <v>1</v>
      </c>
      <c r="T48" s="19">
        <f>R48/Q11</f>
        <v>0.66666666666666663</v>
      </c>
      <c r="U48" s="19">
        <f>S48/Q11</f>
        <v>0.33333333333333331</v>
      </c>
      <c r="V48" s="34"/>
      <c r="W48" s="34"/>
      <c r="X48" s="91"/>
    </row>
    <row r="49" spans="1:24" s="22" customFormat="1" ht="18" x14ac:dyDescent="0.3">
      <c r="A49" s="97" t="s">
        <v>67</v>
      </c>
      <c r="B49" s="70">
        <v>0</v>
      </c>
      <c r="C49" s="70">
        <v>0</v>
      </c>
      <c r="D49" s="70">
        <v>4</v>
      </c>
      <c r="E49" s="70">
        <v>0</v>
      </c>
      <c r="F49" s="70">
        <v>3</v>
      </c>
      <c r="G49" s="70">
        <v>7</v>
      </c>
      <c r="H49" s="13">
        <f t="shared" si="7"/>
        <v>0.42857142857142855</v>
      </c>
      <c r="I49" s="13">
        <f t="shared" si="8"/>
        <v>0</v>
      </c>
      <c r="J49" s="13">
        <f t="shared" si="3"/>
        <v>0.5714285714285714</v>
      </c>
      <c r="K49" s="13">
        <f t="shared" si="9"/>
        <v>0</v>
      </c>
      <c r="M49" s="14"/>
      <c r="N49" s="3"/>
      <c r="Q49" s="90"/>
      <c r="R49" s="15"/>
      <c r="S49" s="15"/>
      <c r="T49" s="19"/>
      <c r="U49" s="19"/>
      <c r="V49" s="34"/>
      <c r="W49" s="34"/>
      <c r="X49" s="91"/>
    </row>
    <row r="50" spans="1:24" s="22" customFormat="1" ht="18" x14ac:dyDescent="0.3">
      <c r="A50" s="97" t="s">
        <v>68</v>
      </c>
      <c r="B50" s="70"/>
      <c r="C50" s="70"/>
      <c r="D50" s="70">
        <v>1</v>
      </c>
      <c r="E50" s="70">
        <v>0</v>
      </c>
      <c r="F50" s="70">
        <v>1</v>
      </c>
      <c r="G50" s="70">
        <v>2</v>
      </c>
      <c r="H50" s="13">
        <f t="shared" si="7"/>
        <v>0.5</v>
      </c>
      <c r="I50" s="13">
        <f t="shared" si="8"/>
        <v>0</v>
      </c>
      <c r="J50" s="13">
        <f t="shared" si="3"/>
        <v>0.5</v>
      </c>
      <c r="K50" s="13">
        <f t="shared" si="9"/>
        <v>0</v>
      </c>
      <c r="M50" s="14"/>
      <c r="N50" s="3"/>
      <c r="Q50" s="90"/>
      <c r="R50" s="15"/>
      <c r="S50" s="15"/>
      <c r="T50" s="19"/>
      <c r="U50" s="19"/>
      <c r="V50" s="34"/>
      <c r="W50" s="34"/>
      <c r="X50" s="91"/>
    </row>
    <row r="51" spans="1:24" s="22" customFormat="1" ht="18" x14ac:dyDescent="0.3">
      <c r="A51" s="97" t="s">
        <v>69</v>
      </c>
      <c r="B51" s="70">
        <v>9</v>
      </c>
      <c r="C51" s="70">
        <v>3</v>
      </c>
      <c r="D51" s="70">
        <v>0</v>
      </c>
      <c r="E51" s="70">
        <v>0</v>
      </c>
      <c r="F51" s="70"/>
      <c r="G51" s="70">
        <v>12</v>
      </c>
      <c r="H51" s="13">
        <f t="shared" si="7"/>
        <v>0</v>
      </c>
      <c r="I51" s="13">
        <f t="shared" si="8"/>
        <v>0.25</v>
      </c>
      <c r="J51" s="13">
        <f t="shared" si="3"/>
        <v>0</v>
      </c>
      <c r="K51" s="13">
        <f t="shared" si="9"/>
        <v>0.75</v>
      </c>
      <c r="M51" s="14"/>
      <c r="N51" s="3"/>
      <c r="Q51" s="90"/>
      <c r="R51" s="15"/>
      <c r="S51" s="15"/>
      <c r="T51" s="19"/>
      <c r="U51" s="20"/>
      <c r="V51" s="34"/>
      <c r="W51" s="34"/>
      <c r="X51" s="91"/>
    </row>
    <row r="52" spans="1:24" s="22" customFormat="1" ht="18" x14ac:dyDescent="0.3">
      <c r="A52" s="97" t="s">
        <v>70</v>
      </c>
      <c r="B52" s="70">
        <v>3</v>
      </c>
      <c r="C52" s="70">
        <v>1</v>
      </c>
      <c r="D52" s="70"/>
      <c r="E52" s="70">
        <v>0</v>
      </c>
      <c r="F52" s="70"/>
      <c r="G52" s="70">
        <v>4</v>
      </c>
      <c r="H52" s="13">
        <f t="shared" si="7"/>
        <v>0</v>
      </c>
      <c r="I52" s="13">
        <f t="shared" si="8"/>
        <v>0.25</v>
      </c>
      <c r="J52" s="13">
        <f t="shared" si="3"/>
        <v>0</v>
      </c>
      <c r="K52" s="13">
        <f t="shared" si="9"/>
        <v>0.75</v>
      </c>
      <c r="M52" s="14"/>
      <c r="N52" s="3"/>
      <c r="Q52" s="90"/>
      <c r="R52" s="15"/>
      <c r="S52" s="15"/>
      <c r="T52" s="19"/>
      <c r="U52" s="20"/>
      <c r="V52" s="34"/>
      <c r="W52" s="34"/>
      <c r="X52" s="91"/>
    </row>
    <row r="53" spans="1:24" s="22" customFormat="1" ht="18.600000000000001" thickBot="1" x14ac:dyDescent="0.35">
      <c r="A53" s="97" t="s">
        <v>71</v>
      </c>
      <c r="B53" s="70">
        <v>7</v>
      </c>
      <c r="C53" s="70">
        <v>1</v>
      </c>
      <c r="D53" s="70">
        <v>0</v>
      </c>
      <c r="E53" s="70">
        <v>0</v>
      </c>
      <c r="F53" s="70"/>
      <c r="G53" s="70">
        <v>8</v>
      </c>
      <c r="H53" s="13">
        <f t="shared" si="7"/>
        <v>0</v>
      </c>
      <c r="I53" s="13">
        <f t="shared" si="8"/>
        <v>0.125</v>
      </c>
      <c r="J53" s="13">
        <f t="shared" si="3"/>
        <v>0</v>
      </c>
      <c r="K53" s="13">
        <f t="shared" si="9"/>
        <v>0.875</v>
      </c>
      <c r="M53" s="14"/>
      <c r="N53" s="3"/>
      <c r="Q53" s="84" t="s">
        <v>8</v>
      </c>
      <c r="R53" s="86">
        <f>SUM(R45:R52)</f>
        <v>122</v>
      </c>
      <c r="S53" s="86">
        <f>SUM(S45:S52)</f>
        <v>11</v>
      </c>
      <c r="T53" s="87">
        <f>R53/Q16</f>
        <v>0.91729323308270672</v>
      </c>
      <c r="U53" s="88">
        <f>S53/Q16</f>
        <v>8.2706766917293228E-2</v>
      </c>
      <c r="V53" s="34"/>
      <c r="W53" s="34"/>
      <c r="X53" s="91"/>
    </row>
    <row r="54" spans="1:24" s="22" customFormat="1" ht="18" x14ac:dyDescent="0.3">
      <c r="A54" s="97" t="s">
        <v>72</v>
      </c>
      <c r="B54" s="70">
        <v>3</v>
      </c>
      <c r="C54" s="70">
        <v>1</v>
      </c>
      <c r="D54" s="70">
        <v>0</v>
      </c>
      <c r="E54" s="70">
        <v>0</v>
      </c>
      <c r="F54" s="70"/>
      <c r="G54" s="70">
        <v>4</v>
      </c>
      <c r="H54" s="13">
        <f t="shared" si="7"/>
        <v>0</v>
      </c>
      <c r="I54" s="13">
        <f t="shared" si="8"/>
        <v>0.25</v>
      </c>
      <c r="J54" s="13">
        <f t="shared" si="3"/>
        <v>0</v>
      </c>
      <c r="K54" s="13">
        <f t="shared" si="9"/>
        <v>0.75</v>
      </c>
      <c r="M54" s="14"/>
      <c r="N54" s="3"/>
      <c r="Q54" s="3"/>
      <c r="R54" s="3"/>
      <c r="S54" s="3"/>
      <c r="T54" s="3"/>
      <c r="U54" s="3"/>
      <c r="V54" s="34"/>
      <c r="W54" s="34"/>
      <c r="X54" s="91"/>
    </row>
    <row r="55" spans="1:24" s="22" customFormat="1" ht="18" x14ac:dyDescent="0.3">
      <c r="A55" s="97" t="s">
        <v>73</v>
      </c>
      <c r="B55" s="70">
        <v>3</v>
      </c>
      <c r="C55" s="70">
        <v>1</v>
      </c>
      <c r="D55" s="70"/>
      <c r="E55" s="70">
        <v>0</v>
      </c>
      <c r="F55" s="70"/>
      <c r="G55" s="70">
        <v>4</v>
      </c>
      <c r="H55" s="13">
        <f t="shared" si="7"/>
        <v>0</v>
      </c>
      <c r="I55" s="13">
        <f t="shared" si="8"/>
        <v>0.25</v>
      </c>
      <c r="J55" s="13">
        <f t="shared" si="3"/>
        <v>0</v>
      </c>
      <c r="K55" s="13">
        <f t="shared" si="9"/>
        <v>0.75</v>
      </c>
      <c r="M55" s="14"/>
      <c r="N55" s="3"/>
      <c r="Q55" s="33"/>
      <c r="R55" s="3"/>
      <c r="S55" s="3"/>
      <c r="T55" s="3"/>
      <c r="U55" s="33"/>
      <c r="V55" s="34"/>
      <c r="W55" s="34"/>
      <c r="X55" s="91"/>
    </row>
    <row r="56" spans="1:24" s="22" customFormat="1" ht="18" x14ac:dyDescent="0.3">
      <c r="A56" s="97" t="s">
        <v>74</v>
      </c>
      <c r="B56" s="70">
        <v>3</v>
      </c>
      <c r="C56" s="70">
        <v>0</v>
      </c>
      <c r="D56" s="70"/>
      <c r="E56" s="70">
        <v>0</v>
      </c>
      <c r="F56" s="70"/>
      <c r="G56" s="70">
        <v>3</v>
      </c>
      <c r="H56" s="13">
        <f t="shared" si="7"/>
        <v>0</v>
      </c>
      <c r="I56" s="13">
        <f t="shared" si="8"/>
        <v>0</v>
      </c>
      <c r="J56" s="13">
        <f t="shared" si="3"/>
        <v>0</v>
      </c>
      <c r="K56" s="13">
        <f t="shared" si="9"/>
        <v>1</v>
      </c>
      <c r="M56" s="14"/>
      <c r="N56" s="3"/>
      <c r="Q56" s="33"/>
      <c r="S56" s="30" t="s">
        <v>22</v>
      </c>
      <c r="T56" s="30" t="s">
        <v>23</v>
      </c>
      <c r="U56" s="33"/>
      <c r="V56" s="34"/>
      <c r="W56" s="34"/>
      <c r="X56" s="91"/>
    </row>
    <row r="57" spans="1:24" s="22" customFormat="1" ht="18" x14ac:dyDescent="0.3">
      <c r="A57" s="106" t="s">
        <v>39</v>
      </c>
      <c r="B57" s="107">
        <v>0</v>
      </c>
      <c r="C57" s="107">
        <v>1</v>
      </c>
      <c r="D57" s="107">
        <v>0</v>
      </c>
      <c r="E57" s="107">
        <v>0</v>
      </c>
      <c r="F57" s="107">
        <v>2</v>
      </c>
      <c r="G57" s="107">
        <v>3</v>
      </c>
      <c r="H57" s="13">
        <f t="shared" si="7"/>
        <v>0.66666666666666663</v>
      </c>
      <c r="I57" s="13">
        <f t="shared" si="8"/>
        <v>0.33333333333333331</v>
      </c>
      <c r="J57" s="13">
        <f t="shared" si="3"/>
        <v>0</v>
      </c>
      <c r="K57" s="13">
        <f t="shared" si="9"/>
        <v>0</v>
      </c>
      <c r="L57" s="21" t="s">
        <v>78</v>
      </c>
      <c r="M57" s="14"/>
      <c r="N57" s="3"/>
      <c r="Q57" s="33"/>
      <c r="R57" s="33"/>
      <c r="S57" s="36">
        <f>T53</f>
        <v>0.91729323308270672</v>
      </c>
      <c r="T57" s="37">
        <f>U53</f>
        <v>8.2706766917293228E-2</v>
      </c>
      <c r="U57" s="33"/>
      <c r="V57" s="34"/>
      <c r="W57" s="34"/>
      <c r="X57" s="91"/>
    </row>
    <row r="58" spans="1:24" s="22" customFormat="1" ht="18" x14ac:dyDescent="0.3">
      <c r="A58" s="77" t="s">
        <v>75</v>
      </c>
      <c r="B58" s="70">
        <v>0</v>
      </c>
      <c r="C58" s="70">
        <v>1</v>
      </c>
      <c r="D58" s="70">
        <v>0</v>
      </c>
      <c r="E58" s="70">
        <v>0</v>
      </c>
      <c r="F58" s="70">
        <v>2</v>
      </c>
      <c r="G58" s="70">
        <v>3</v>
      </c>
      <c r="H58" s="13">
        <f t="shared" si="7"/>
        <v>0.66666666666666663</v>
      </c>
      <c r="I58" s="13">
        <f t="shared" si="8"/>
        <v>0.33333333333333331</v>
      </c>
      <c r="J58" s="13">
        <f t="shared" si="3"/>
        <v>0</v>
      </c>
      <c r="K58" s="13">
        <f t="shared" si="9"/>
        <v>0</v>
      </c>
      <c r="M58" s="14"/>
      <c r="N58" s="3"/>
      <c r="Q58" s="33"/>
      <c r="R58" s="33"/>
      <c r="S58" s="33"/>
      <c r="T58" s="33"/>
      <c r="U58" s="33"/>
      <c r="V58" s="34"/>
      <c r="W58" s="34"/>
      <c r="X58" s="91"/>
    </row>
    <row r="59" spans="1:24" s="22" customFormat="1" ht="18" x14ac:dyDescent="0.3">
      <c r="A59" s="76" t="s">
        <v>26</v>
      </c>
      <c r="B59" s="74">
        <v>87</v>
      </c>
      <c r="C59" s="74">
        <v>42</v>
      </c>
      <c r="D59" s="74">
        <v>10</v>
      </c>
      <c r="E59" s="74">
        <v>0</v>
      </c>
      <c r="F59" s="74">
        <v>709</v>
      </c>
      <c r="G59" s="74">
        <v>848</v>
      </c>
      <c r="H59" s="13">
        <f t="shared" si="7"/>
        <v>0.83608490566037741</v>
      </c>
      <c r="I59" s="13">
        <f t="shared" si="8"/>
        <v>4.9528301886792456E-2</v>
      </c>
      <c r="J59" s="13">
        <f t="shared" si="3"/>
        <v>1.179245283018868E-2</v>
      </c>
      <c r="K59" s="13">
        <f t="shared" si="9"/>
        <v>0.10259433962264151</v>
      </c>
      <c r="M59" s="14"/>
      <c r="N59" s="3"/>
      <c r="Q59" s="33"/>
      <c r="R59" s="33"/>
      <c r="S59" s="33"/>
      <c r="T59" s="33"/>
      <c r="U59" s="33"/>
      <c r="V59" s="34"/>
      <c r="W59" s="34"/>
      <c r="X59" s="91"/>
    </row>
    <row r="60" spans="1:24" s="22" customFormat="1" ht="18" x14ac:dyDescent="0.3">
      <c r="A60"/>
      <c r="B60" s="111"/>
      <c r="C60" s="111"/>
      <c r="D60" s="111"/>
      <c r="E60"/>
      <c r="F60" s="111"/>
      <c r="G60"/>
      <c r="H60" s="14"/>
      <c r="I60" s="14"/>
      <c r="J60" s="14"/>
      <c r="K60" s="14"/>
      <c r="M60" s="14"/>
      <c r="N60" s="3"/>
      <c r="Q60" s="33"/>
      <c r="R60" s="33"/>
      <c r="S60" s="33"/>
      <c r="T60" s="33"/>
      <c r="U60" s="33"/>
      <c r="V60" s="34"/>
      <c r="W60" s="34"/>
      <c r="X60" s="91"/>
    </row>
    <row r="61" spans="1:24" s="22" customFormat="1" ht="18" x14ac:dyDescent="0.3">
      <c r="A61" s="2"/>
      <c r="B61" s="2"/>
      <c r="C61" s="2"/>
      <c r="D61" s="2"/>
      <c r="E61" s="2"/>
      <c r="G61" s="14"/>
      <c r="H61" s="14"/>
      <c r="I61" s="14"/>
      <c r="J61" s="14"/>
      <c r="K61" s="14"/>
      <c r="M61" s="14"/>
      <c r="N61" s="3"/>
      <c r="Q61" s="33"/>
      <c r="R61" s="33"/>
      <c r="S61" s="33"/>
      <c r="T61" s="33"/>
      <c r="U61" s="33"/>
      <c r="V61" s="34"/>
      <c r="W61" s="34"/>
      <c r="X61" s="91"/>
    </row>
    <row r="62" spans="1:24" s="22" customFormat="1" ht="18" x14ac:dyDescent="0.3">
      <c r="A62" s="2"/>
      <c r="B62" s="2"/>
      <c r="C62" s="2"/>
      <c r="D62" s="2"/>
      <c r="E62" s="2"/>
      <c r="G62" s="14"/>
      <c r="H62" s="14"/>
      <c r="I62" s="14"/>
      <c r="J62" s="14"/>
      <c r="K62" s="14"/>
      <c r="M62" s="14"/>
      <c r="N62" s="3"/>
      <c r="Q62" s="33"/>
      <c r="R62" s="33"/>
      <c r="S62" s="33"/>
      <c r="T62" s="33"/>
      <c r="U62" s="33"/>
      <c r="V62" s="34"/>
      <c r="W62" s="34"/>
      <c r="X62" s="91"/>
    </row>
    <row r="63" spans="1:24" s="22" customFormat="1" ht="18" x14ac:dyDescent="0.3">
      <c r="A63" s="2"/>
      <c r="B63" s="2"/>
      <c r="C63" s="2"/>
      <c r="D63" s="2"/>
      <c r="E63" s="2"/>
      <c r="G63" s="14"/>
      <c r="H63" s="14"/>
      <c r="I63" s="14"/>
      <c r="J63" s="14"/>
      <c r="K63" s="112"/>
      <c r="M63" s="14"/>
      <c r="N63" s="3"/>
      <c r="Q63" s="33"/>
      <c r="R63" s="33"/>
      <c r="S63" s="33"/>
      <c r="T63" s="33"/>
      <c r="U63" s="33"/>
      <c r="V63" s="34"/>
      <c r="W63" s="34"/>
      <c r="X63" s="91"/>
    </row>
    <row r="64" spans="1:24" s="22" customFormat="1" ht="18" x14ac:dyDescent="0.3">
      <c r="A64" s="110" t="s">
        <v>374</v>
      </c>
      <c r="B64" s="137"/>
      <c r="C64" s="2"/>
      <c r="D64" s="2"/>
      <c r="E64" s="2"/>
      <c r="F64" s="114"/>
      <c r="G64" s="14"/>
      <c r="H64" s="14"/>
      <c r="I64" s="14"/>
      <c r="J64" s="14"/>
      <c r="K64" s="113"/>
      <c r="M64" s="14"/>
      <c r="N64" s="3"/>
      <c r="Q64" s="33"/>
      <c r="S64" s="33"/>
      <c r="T64" s="33"/>
      <c r="U64" s="33"/>
      <c r="V64" s="34"/>
      <c r="W64" s="34"/>
      <c r="X64" s="91"/>
    </row>
    <row r="65" spans="1:24" s="22" customFormat="1" ht="18" x14ac:dyDescent="0.3">
      <c r="A65" s="2"/>
      <c r="B65" s="2"/>
      <c r="C65" s="2"/>
      <c r="D65" s="2"/>
      <c r="E65" s="2"/>
      <c r="G65" s="14"/>
      <c r="H65" s="14"/>
      <c r="I65" s="14"/>
      <c r="J65" s="14"/>
      <c r="K65" s="14"/>
      <c r="M65" s="14"/>
      <c r="N65" s="3"/>
      <c r="Q65" s="33"/>
      <c r="V65" s="34"/>
      <c r="W65" s="34"/>
      <c r="X65" s="91"/>
    </row>
    <row r="66" spans="1:24" s="22" customFormat="1" ht="18" x14ac:dyDescent="0.3">
      <c r="A66" s="2"/>
      <c r="B66" s="2"/>
      <c r="C66" s="2"/>
      <c r="D66" s="2"/>
      <c r="E66" s="2"/>
      <c r="G66" s="14"/>
      <c r="H66" s="14"/>
      <c r="I66" s="14"/>
      <c r="J66" s="14"/>
      <c r="K66" s="14"/>
      <c r="M66" s="14"/>
      <c r="N66" s="3"/>
      <c r="Q66" s="33"/>
      <c r="V66" s="34"/>
      <c r="W66" s="34"/>
      <c r="X66" s="91"/>
    </row>
    <row r="67" spans="1:24" s="22" customFormat="1" ht="18" x14ac:dyDescent="0.3">
      <c r="A67" s="2"/>
      <c r="B67" s="2"/>
      <c r="C67" s="2"/>
      <c r="D67" s="2"/>
      <c r="E67" s="2"/>
      <c r="G67" s="14"/>
      <c r="H67" s="14"/>
      <c r="I67" s="14"/>
      <c r="J67" s="14"/>
      <c r="K67" s="14"/>
      <c r="M67" s="14"/>
      <c r="N67" s="3"/>
      <c r="Q67" s="33"/>
      <c r="V67" s="34"/>
      <c r="W67" s="34"/>
      <c r="X67" s="91"/>
    </row>
    <row r="68" spans="1:24" s="22" customFormat="1" ht="18" x14ac:dyDescent="0.3">
      <c r="A68" s="2"/>
      <c r="B68" s="2"/>
      <c r="C68" s="2"/>
      <c r="D68" s="2"/>
      <c r="E68" s="2"/>
      <c r="G68" s="14"/>
      <c r="H68" s="14"/>
      <c r="I68" s="14"/>
      <c r="J68" s="14"/>
      <c r="K68" s="14"/>
      <c r="M68" s="14"/>
      <c r="N68" s="3"/>
      <c r="Q68" s="33"/>
      <c r="V68" s="34"/>
      <c r="W68" s="34"/>
      <c r="X68" s="91"/>
    </row>
    <row r="69" spans="1:24" s="22" customFormat="1" ht="18" x14ac:dyDescent="0.3">
      <c r="A69" s="2"/>
      <c r="B69" s="2"/>
      <c r="C69" s="2"/>
      <c r="D69" s="2"/>
      <c r="E69" s="2"/>
      <c r="G69" s="14"/>
      <c r="H69" s="14"/>
      <c r="I69" s="14"/>
      <c r="J69" s="14"/>
      <c r="K69" s="14"/>
      <c r="M69" s="14"/>
      <c r="N69" s="3"/>
      <c r="Q69" s="33"/>
      <c r="V69" s="34"/>
      <c r="W69" s="34"/>
      <c r="X69" s="91"/>
    </row>
    <row r="70" spans="1:24" s="22" customFormat="1" ht="18" x14ac:dyDescent="0.3">
      <c r="A70" s="2"/>
      <c r="B70" s="2"/>
      <c r="C70" s="2"/>
      <c r="D70" s="2"/>
      <c r="E70" s="2"/>
      <c r="G70" s="14"/>
      <c r="H70" s="14"/>
      <c r="I70" s="14"/>
      <c r="J70" s="14"/>
      <c r="K70" s="14"/>
      <c r="M70" s="14"/>
      <c r="N70" s="3"/>
      <c r="Q70" s="33"/>
      <c r="V70" s="34"/>
      <c r="W70" s="34"/>
      <c r="X70" s="91"/>
    </row>
    <row r="71" spans="1:24" s="22" customFormat="1" ht="18" x14ac:dyDescent="0.3">
      <c r="A71" s="2"/>
      <c r="B71" s="2"/>
      <c r="C71" s="109"/>
      <c r="D71" s="2"/>
      <c r="E71" s="2"/>
      <c r="G71" s="14"/>
      <c r="H71" s="14"/>
      <c r="I71" s="14"/>
      <c r="J71" s="14"/>
      <c r="K71" s="14"/>
      <c r="M71" s="14"/>
      <c r="N71" s="3"/>
      <c r="Q71" s="33"/>
      <c r="V71" s="34"/>
      <c r="W71" s="34"/>
      <c r="X71" s="91"/>
    </row>
    <row r="72" spans="1:24" s="22" customFormat="1" ht="18" x14ac:dyDescent="0.3">
      <c r="A72" s="2"/>
      <c r="B72" s="2"/>
      <c r="C72" s="2"/>
      <c r="D72" s="2"/>
      <c r="E72" s="2"/>
      <c r="G72" s="14"/>
      <c r="H72" s="14"/>
      <c r="I72" s="14"/>
      <c r="J72" s="14"/>
      <c r="K72" s="14"/>
      <c r="M72" s="14"/>
      <c r="N72" s="3"/>
      <c r="Q72" s="33"/>
      <c r="V72" s="34"/>
      <c r="W72" s="34"/>
      <c r="X72" s="91"/>
    </row>
    <row r="73" spans="1:24" s="22" customFormat="1" ht="18" x14ac:dyDescent="0.3">
      <c r="A73" s="2"/>
      <c r="B73" s="2"/>
      <c r="C73" s="2"/>
      <c r="D73" s="2"/>
      <c r="E73" s="2"/>
      <c r="G73" s="14"/>
      <c r="H73" s="14"/>
      <c r="I73" s="14"/>
      <c r="J73" s="14"/>
      <c r="K73" s="14"/>
      <c r="M73" s="14"/>
      <c r="N73" s="3"/>
      <c r="Q73" s="33"/>
      <c r="V73" s="34"/>
      <c r="W73" s="34"/>
      <c r="X73" s="91"/>
    </row>
    <row r="74" spans="1:24" s="22" customFormat="1" ht="18" x14ac:dyDescent="0.3">
      <c r="A74" s="2"/>
      <c r="B74" s="2"/>
      <c r="C74" s="2"/>
      <c r="D74" s="2"/>
      <c r="E74" s="2"/>
      <c r="G74" s="14"/>
      <c r="H74" s="14"/>
      <c r="I74" s="14"/>
      <c r="J74" s="14"/>
      <c r="K74" s="14"/>
      <c r="M74" s="14"/>
      <c r="N74" s="3"/>
      <c r="O74" s="33"/>
      <c r="Q74" s="33"/>
      <c r="V74" s="34"/>
      <c r="W74" s="34"/>
      <c r="X74" s="91"/>
    </row>
    <row r="75" spans="1:24" s="22" customFormat="1" ht="18" x14ac:dyDescent="0.3">
      <c r="A75" s="2"/>
      <c r="B75" s="2"/>
      <c r="C75" s="2"/>
      <c r="D75" s="2"/>
      <c r="E75" s="2"/>
      <c r="G75" s="14"/>
      <c r="H75" s="14"/>
      <c r="I75" s="14"/>
      <c r="J75" s="14"/>
      <c r="K75" s="14"/>
      <c r="M75" s="14"/>
      <c r="N75" s="3"/>
      <c r="U75" s="33"/>
      <c r="V75" s="34"/>
      <c r="W75" s="34"/>
      <c r="X75" s="91"/>
    </row>
    <row r="76" spans="1:24" s="22" customFormat="1" ht="18" x14ac:dyDescent="0.3">
      <c r="A76" s="2"/>
      <c r="B76" s="2"/>
      <c r="C76" s="2"/>
      <c r="D76" s="2"/>
      <c r="E76" s="2"/>
      <c r="G76" s="14"/>
      <c r="H76" s="14"/>
      <c r="I76" s="14"/>
      <c r="J76" s="14"/>
      <c r="K76" s="14"/>
      <c r="M76" s="14"/>
      <c r="N76" s="3"/>
      <c r="T76" s="33"/>
      <c r="U76" s="34"/>
      <c r="V76" s="34"/>
      <c r="W76" s="34"/>
      <c r="X76" s="91"/>
    </row>
    <row r="77" spans="1:24" s="22" customFormat="1" ht="18" x14ac:dyDescent="0.3">
      <c r="A77" s="2"/>
      <c r="B77" s="2"/>
      <c r="C77" s="2"/>
      <c r="D77" s="2"/>
      <c r="E77" s="2"/>
      <c r="G77" s="14"/>
      <c r="H77" s="14"/>
      <c r="I77" s="14"/>
      <c r="J77" s="14"/>
      <c r="K77" s="14"/>
      <c r="M77" s="14"/>
      <c r="N77" s="3"/>
      <c r="T77" s="33"/>
      <c r="U77" s="34"/>
      <c r="V77" s="34"/>
      <c r="W77" s="34"/>
      <c r="X77" s="91"/>
    </row>
    <row r="78" spans="1:24" s="22" customFormat="1" ht="18" x14ac:dyDescent="0.3">
      <c r="A78" s="2"/>
      <c r="B78" s="2"/>
      <c r="C78" s="2"/>
      <c r="D78" s="2"/>
      <c r="E78" s="2"/>
      <c r="G78" s="14"/>
      <c r="H78" s="14"/>
      <c r="I78" s="14"/>
      <c r="J78" s="14"/>
      <c r="K78" s="14"/>
      <c r="M78" s="14"/>
      <c r="N78" s="3"/>
      <c r="T78" s="33"/>
      <c r="U78" s="34"/>
      <c r="V78" s="34"/>
      <c r="W78" s="34"/>
      <c r="X78" s="91"/>
    </row>
    <row r="79" spans="1:24" s="22" customFormat="1" ht="18" x14ac:dyDescent="0.3">
      <c r="A79" s="2"/>
      <c r="B79" s="2"/>
      <c r="C79" s="2"/>
      <c r="D79" s="2"/>
      <c r="E79" s="2"/>
      <c r="G79" s="14"/>
      <c r="H79" s="14"/>
      <c r="I79" s="14"/>
      <c r="J79" s="14"/>
      <c r="K79" s="14"/>
      <c r="M79" s="14"/>
      <c r="N79" s="3"/>
      <c r="T79" s="33"/>
      <c r="U79" s="34"/>
      <c r="V79" s="34"/>
      <c r="W79" s="34"/>
      <c r="X79" s="91"/>
    </row>
    <row r="80" spans="1:24" s="22" customFormat="1" ht="18" x14ac:dyDescent="0.3">
      <c r="A80" s="2"/>
      <c r="B80" s="2"/>
      <c r="C80" s="2"/>
      <c r="D80" s="2"/>
      <c r="E80" s="2"/>
      <c r="G80" s="14"/>
      <c r="H80" s="14"/>
      <c r="I80" s="14"/>
      <c r="J80" s="14"/>
      <c r="K80" s="14"/>
      <c r="M80" s="14"/>
      <c r="N80" s="3"/>
      <c r="T80" s="33"/>
      <c r="U80" s="34"/>
      <c r="V80" s="34"/>
      <c r="W80" s="34"/>
      <c r="X80" s="91"/>
    </row>
    <row r="81" spans="1:28" s="22" customFormat="1" ht="18" x14ac:dyDescent="0.3">
      <c r="A81" s="2"/>
      <c r="B81" s="2"/>
      <c r="C81" s="2"/>
      <c r="D81" s="2"/>
      <c r="E81" s="2"/>
      <c r="G81" s="14"/>
      <c r="H81" s="14"/>
      <c r="I81" s="14"/>
      <c r="J81" s="14"/>
      <c r="K81" s="14"/>
      <c r="M81" s="14"/>
      <c r="N81" s="3"/>
      <c r="O81" s="91"/>
      <c r="T81" s="33"/>
      <c r="U81" s="34"/>
      <c r="V81" s="34"/>
      <c r="W81" s="34"/>
      <c r="X81" s="91"/>
    </row>
    <row r="82" spans="1:28" s="22" customFormat="1" ht="18" x14ac:dyDescent="0.3">
      <c r="A82" s="2"/>
      <c r="B82" s="2"/>
      <c r="C82" s="2"/>
      <c r="D82" s="2"/>
      <c r="E82" s="2"/>
      <c r="G82" s="14"/>
      <c r="H82" s="14"/>
      <c r="I82" s="14"/>
      <c r="J82" s="14"/>
      <c r="K82" s="14"/>
      <c r="M82" s="14"/>
      <c r="N82" s="3"/>
      <c r="O82" s="38"/>
      <c r="P82" s="39"/>
      <c r="Q82" s="39"/>
      <c r="R82" s="33"/>
      <c r="S82" s="33"/>
      <c r="T82" s="33"/>
      <c r="U82" s="34"/>
      <c r="V82" s="34"/>
      <c r="W82" s="34"/>
      <c r="X82" s="91"/>
    </row>
    <row r="83" spans="1:28" s="22" customFormat="1" ht="18" x14ac:dyDescent="0.3">
      <c r="A83" s="2"/>
      <c r="B83" s="2"/>
      <c r="C83" s="2"/>
      <c r="D83" s="2"/>
      <c r="E83" s="2"/>
      <c r="G83" s="14"/>
      <c r="H83" s="14"/>
      <c r="I83" s="14"/>
      <c r="J83" s="14"/>
      <c r="K83" s="14"/>
      <c r="M83" s="14"/>
      <c r="N83" s="3"/>
      <c r="O83" s="38"/>
      <c r="P83" s="39"/>
      <c r="Q83" s="39"/>
      <c r="R83" s="33"/>
      <c r="S83" s="33"/>
      <c r="T83" s="33"/>
      <c r="U83" s="34"/>
      <c r="V83" s="34"/>
      <c r="W83" s="34"/>
      <c r="X83" s="91"/>
    </row>
    <row r="84" spans="1:28" s="22" customFormat="1" ht="18" x14ac:dyDescent="0.3">
      <c r="A84" s="2"/>
      <c r="B84" s="2"/>
      <c r="C84" s="2"/>
      <c r="D84" s="2"/>
      <c r="E84" s="2"/>
      <c r="G84" s="14"/>
      <c r="H84" s="14"/>
      <c r="I84" s="14"/>
      <c r="J84" s="14"/>
      <c r="K84" s="14"/>
      <c r="M84" s="14"/>
      <c r="N84" s="3"/>
      <c r="O84" s="38"/>
      <c r="P84" s="39"/>
      <c r="Q84" s="39"/>
      <c r="R84" s="33"/>
      <c r="S84" s="33"/>
      <c r="T84" s="33"/>
      <c r="U84" s="34"/>
      <c r="V84" s="34"/>
      <c r="W84" s="34"/>
      <c r="X84" s="91"/>
    </row>
    <row r="85" spans="1:28" s="22" customFormat="1" ht="18" x14ac:dyDescent="0.3">
      <c r="A85" s="2"/>
      <c r="B85" s="2"/>
      <c r="C85" s="2"/>
      <c r="D85" s="2"/>
      <c r="E85" s="2"/>
      <c r="G85" s="14"/>
      <c r="H85" s="14"/>
      <c r="I85" s="14"/>
      <c r="J85" s="14"/>
      <c r="K85" s="14"/>
      <c r="M85" s="14"/>
      <c r="N85" s="3"/>
      <c r="O85" s="38"/>
      <c r="P85" s="39"/>
      <c r="Q85" s="39"/>
      <c r="R85" s="33"/>
      <c r="S85" s="33"/>
      <c r="T85" s="33"/>
      <c r="U85" s="34"/>
      <c r="V85" s="34"/>
      <c r="W85" s="34"/>
      <c r="X85" s="91"/>
    </row>
    <row r="86" spans="1:28" s="22" customFormat="1" ht="18" x14ac:dyDescent="0.3">
      <c r="A86" s="2"/>
      <c r="B86" s="2"/>
      <c r="C86" s="2"/>
      <c r="D86" s="2"/>
      <c r="E86" s="2"/>
      <c r="G86" s="14"/>
      <c r="H86" s="14"/>
      <c r="I86" s="14"/>
      <c r="J86" s="14"/>
      <c r="K86" s="14"/>
      <c r="M86" s="14"/>
      <c r="N86" s="3"/>
      <c r="O86" s="38"/>
      <c r="P86" s="39"/>
      <c r="Q86" s="39"/>
      <c r="R86" s="33"/>
      <c r="S86" s="33"/>
      <c r="T86" s="33"/>
      <c r="U86" s="34"/>
      <c r="V86" s="34"/>
      <c r="W86" s="34"/>
      <c r="X86" s="91"/>
    </row>
    <row r="87" spans="1:28" s="22" customFormat="1" ht="18" x14ac:dyDescent="0.3">
      <c r="A87" s="2"/>
      <c r="B87" s="2"/>
      <c r="C87" s="2"/>
      <c r="D87" s="2"/>
      <c r="E87" s="2"/>
      <c r="G87" s="14"/>
      <c r="H87" s="14"/>
      <c r="I87" s="14"/>
      <c r="J87" s="14"/>
      <c r="K87" s="14"/>
      <c r="M87" s="14"/>
      <c r="N87" s="3"/>
      <c r="O87" s="38"/>
      <c r="P87" s="39"/>
      <c r="Q87" s="39"/>
      <c r="R87" s="33"/>
      <c r="S87" s="33"/>
      <c r="T87" s="33"/>
      <c r="U87" s="34"/>
      <c r="V87" s="34"/>
      <c r="W87" s="34"/>
      <c r="X87" s="91"/>
    </row>
    <row r="88" spans="1:28" s="22" customFormat="1" ht="18" x14ac:dyDescent="0.3">
      <c r="A88" s="2"/>
      <c r="B88" s="2"/>
      <c r="C88" s="2"/>
      <c r="D88" s="2"/>
      <c r="E88" s="2"/>
      <c r="G88" s="14"/>
      <c r="H88" s="14"/>
      <c r="I88" s="14"/>
      <c r="J88" s="14"/>
      <c r="K88" s="14"/>
      <c r="M88" s="14"/>
      <c r="N88" s="3"/>
      <c r="O88" s="38"/>
      <c r="P88" s="39"/>
      <c r="Q88" s="39"/>
      <c r="R88" s="33"/>
      <c r="S88" s="33"/>
      <c r="T88" s="33"/>
      <c r="U88" s="34"/>
      <c r="V88" s="34"/>
      <c r="W88" s="34"/>
      <c r="X88" s="91"/>
    </row>
    <row r="89" spans="1:28" s="22" customFormat="1" ht="18" x14ac:dyDescent="0.3">
      <c r="A89" s="2"/>
      <c r="B89" s="2"/>
      <c r="C89" s="2"/>
      <c r="D89" s="2"/>
      <c r="E89" s="2"/>
      <c r="G89" s="14"/>
      <c r="H89" s="14"/>
      <c r="I89" s="14"/>
      <c r="J89" s="14"/>
      <c r="K89" s="14"/>
      <c r="M89" s="14"/>
      <c r="N89" s="3"/>
      <c r="O89" s="38"/>
      <c r="P89" s="39"/>
      <c r="Q89" s="39"/>
      <c r="R89" s="33"/>
      <c r="S89" s="33"/>
      <c r="T89" s="33"/>
      <c r="U89" s="34"/>
      <c r="V89" s="34"/>
      <c r="W89" s="34"/>
      <c r="X89" s="91"/>
    </row>
    <row r="90" spans="1:28" s="22" customFormat="1" ht="18" x14ac:dyDescent="0.3">
      <c r="A90" s="2"/>
      <c r="B90" s="2"/>
      <c r="C90" s="2"/>
      <c r="D90" s="2"/>
      <c r="E90" s="2"/>
      <c r="G90" s="14"/>
      <c r="H90" s="14"/>
      <c r="I90" s="14"/>
      <c r="J90" s="14"/>
      <c r="K90" s="14"/>
      <c r="M90" s="14"/>
      <c r="N90" s="3"/>
      <c r="O90" s="38"/>
      <c r="P90" s="39"/>
      <c r="Q90" s="39"/>
      <c r="R90" s="33"/>
      <c r="S90" s="33"/>
      <c r="T90" s="33"/>
      <c r="U90" s="34"/>
      <c r="V90" s="34"/>
      <c r="W90" s="34"/>
      <c r="X90" s="91"/>
    </row>
    <row r="91" spans="1:28" s="40" customFormat="1" ht="31.2" x14ac:dyDescent="0.3">
      <c r="A91" s="138" t="s">
        <v>84</v>
      </c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41"/>
      <c r="P91" s="42"/>
      <c r="Q91" s="42"/>
      <c r="R91" s="43"/>
      <c r="S91" s="43"/>
      <c r="T91" s="43"/>
      <c r="U91" s="44"/>
      <c r="V91" s="44"/>
      <c r="W91" s="44"/>
      <c r="X91" s="95"/>
    </row>
    <row r="92" spans="1:28" s="22" customFormat="1" ht="18" x14ac:dyDescent="0.3">
      <c r="F92" s="3"/>
      <c r="G92" s="3"/>
      <c r="H92" s="3"/>
      <c r="I92" s="3"/>
      <c r="J92" s="3"/>
      <c r="K92" s="45"/>
      <c r="L92" s="45"/>
      <c r="M92" s="45"/>
      <c r="N92" s="3"/>
      <c r="O92" s="38"/>
      <c r="P92" s="39"/>
      <c r="Q92" s="39"/>
      <c r="R92" s="33"/>
      <c r="S92" s="33"/>
      <c r="T92" s="33"/>
      <c r="U92" s="34"/>
      <c r="V92" s="34"/>
      <c r="W92" s="34"/>
      <c r="X92" s="89"/>
      <c r="Y92" s="2"/>
      <c r="Z92" s="2"/>
      <c r="AA92" s="2"/>
      <c r="AB92" s="2"/>
    </row>
    <row r="93" spans="1:28" ht="18" x14ac:dyDescent="0.3">
      <c r="A93" s="5" t="s">
        <v>4</v>
      </c>
      <c r="B93" s="6" t="s" vm="1">
        <v>2</v>
      </c>
      <c r="C93" s="7"/>
      <c r="D93" s="7"/>
      <c r="E93" s="7"/>
      <c r="F93" s="7"/>
      <c r="G93" s="7"/>
      <c r="H93" s="7"/>
      <c r="I93" s="7"/>
      <c r="J93" s="7"/>
      <c r="K93" s="8"/>
      <c r="L93" s="8"/>
      <c r="M93" s="8"/>
      <c r="O93" s="1"/>
      <c r="P93" s="46"/>
      <c r="Q93" s="46"/>
      <c r="R93" s="47"/>
      <c r="S93" s="47"/>
      <c r="T93" s="47"/>
      <c r="U93" s="48"/>
      <c r="V93" s="48"/>
      <c r="W93" s="49"/>
    </row>
    <row r="94" spans="1:28" ht="18" x14ac:dyDescent="0.3">
      <c r="A94" s="5" t="s">
        <v>3</v>
      </c>
      <c r="B94" s="6" t="s" vm="3">
        <v>19</v>
      </c>
      <c r="C94" s="7"/>
      <c r="D94" s="7"/>
      <c r="E94" s="7"/>
      <c r="F94" s="7"/>
      <c r="G94" s="7"/>
      <c r="H94" s="7"/>
      <c r="I94" s="7"/>
      <c r="J94" s="7"/>
      <c r="K94" s="8"/>
      <c r="L94" s="8"/>
      <c r="M94" s="8"/>
      <c r="O94" s="1"/>
      <c r="P94" s="46"/>
      <c r="V94" s="48"/>
      <c r="W94" s="49"/>
    </row>
    <row r="95" spans="1:28" ht="18" x14ac:dyDescent="0.3">
      <c r="A95" s="5" t="s">
        <v>6</v>
      </c>
      <c r="B95" s="6" t="s" vm="2">
        <v>12</v>
      </c>
      <c r="C95" s="7"/>
      <c r="D95" s="7"/>
      <c r="E95" s="7"/>
      <c r="F95" s="7"/>
      <c r="G95" s="7"/>
      <c r="H95" s="7"/>
      <c r="I95" s="7"/>
      <c r="J95" s="7"/>
      <c r="K95" s="8"/>
      <c r="L95" s="8"/>
      <c r="M95" s="8"/>
      <c r="O95" s="1"/>
      <c r="P95" s="46"/>
      <c r="V95" s="50"/>
      <c r="W95" s="49"/>
    </row>
    <row r="96" spans="1:28" ht="18" x14ac:dyDescent="0.3">
      <c r="B96" s="7"/>
      <c r="C96" s="7"/>
      <c r="D96" s="7"/>
      <c r="E96" s="7"/>
      <c r="F96" s="7"/>
      <c r="G96" s="7"/>
      <c r="H96" s="7"/>
      <c r="I96" s="7"/>
      <c r="J96" s="7"/>
      <c r="K96" s="8"/>
      <c r="L96" s="8"/>
      <c r="M96" s="8"/>
      <c r="O96" s="38"/>
      <c r="P96" s="51"/>
      <c r="V96" s="39"/>
      <c r="W96" s="52"/>
    </row>
    <row r="97" spans="1:30" ht="18" x14ac:dyDescent="0.3">
      <c r="A97" s="5" t="s">
        <v>7</v>
      </c>
      <c r="B97" s="5" t="s">
        <v>1</v>
      </c>
      <c r="C97" s="6"/>
      <c r="D97"/>
      <c r="K97" s="10"/>
      <c r="L97" s="10"/>
      <c r="M97" s="10"/>
      <c r="O97" s="92"/>
      <c r="P97" s="3"/>
      <c r="V97" s="3"/>
      <c r="W97" s="3"/>
    </row>
    <row r="98" spans="1:30" s="7" customFormat="1" ht="18" x14ac:dyDescent="0.3">
      <c r="A98" s="66" t="s">
        <v>0</v>
      </c>
      <c r="B98" s="67" t="s">
        <v>24</v>
      </c>
      <c r="C98" s="68" t="s">
        <v>26</v>
      </c>
      <c r="D98"/>
      <c r="E98" s="2"/>
      <c r="F98" s="2"/>
      <c r="G98" s="2"/>
      <c r="H98" s="2"/>
      <c r="I98" s="2"/>
      <c r="J98" s="2"/>
      <c r="K98" s="3"/>
      <c r="L98" s="3"/>
      <c r="M98" s="3"/>
      <c r="O98" s="89"/>
      <c r="P98" s="2"/>
      <c r="V98" s="2"/>
      <c r="W98" s="2"/>
      <c r="X98" s="93"/>
      <c r="AC98" s="2"/>
      <c r="AD98" s="2"/>
    </row>
    <row r="99" spans="1:30" s="7" customFormat="1" ht="18" x14ac:dyDescent="0.3">
      <c r="A99" s="69" t="s">
        <v>2</v>
      </c>
      <c r="B99" s="70">
        <v>30</v>
      </c>
      <c r="C99" s="70">
        <v>30</v>
      </c>
      <c r="D99"/>
      <c r="E99" s="2"/>
      <c r="F99" s="2"/>
      <c r="G99" s="2"/>
      <c r="H99" s="2"/>
      <c r="I99" s="2"/>
      <c r="J99" s="2"/>
      <c r="O99" s="93"/>
      <c r="X99" s="93"/>
    </row>
    <row r="100" spans="1:30" s="7" customFormat="1" ht="18" x14ac:dyDescent="0.3">
      <c r="A100" s="71" t="s">
        <v>2</v>
      </c>
      <c r="B100" s="72">
        <v>30</v>
      </c>
      <c r="C100" s="72">
        <v>30</v>
      </c>
      <c r="D100"/>
      <c r="E100" s="2"/>
      <c r="F100" s="2"/>
      <c r="G100" s="2"/>
      <c r="H100" s="2"/>
      <c r="I100" s="2"/>
      <c r="J100" s="2"/>
      <c r="O100" s="93"/>
      <c r="W100" s="53"/>
      <c r="X100" s="93"/>
    </row>
    <row r="101" spans="1:30" s="7" customFormat="1" ht="18" x14ac:dyDescent="0.3">
      <c r="A101" s="73" t="s">
        <v>12</v>
      </c>
      <c r="B101" s="74">
        <v>30</v>
      </c>
      <c r="C101" s="74">
        <v>30</v>
      </c>
      <c r="D101"/>
      <c r="E101" s="2"/>
      <c r="F101" s="2"/>
      <c r="G101" s="2"/>
      <c r="H101" s="2"/>
      <c r="I101" s="2"/>
      <c r="J101" s="2"/>
      <c r="N101" s="3"/>
      <c r="O101" s="93"/>
      <c r="X101" s="93"/>
    </row>
    <row r="102" spans="1:30" s="7" customFormat="1" ht="18" x14ac:dyDescent="0.3">
      <c r="A102" s="75" t="s">
        <v>27</v>
      </c>
      <c r="B102" s="70">
        <v>30</v>
      </c>
      <c r="C102" s="70">
        <v>30</v>
      </c>
      <c r="D102"/>
      <c r="E102" s="2"/>
      <c r="F102" s="2"/>
      <c r="G102" s="2"/>
      <c r="H102" s="2"/>
      <c r="I102" s="2"/>
      <c r="J102" s="2"/>
      <c r="N102" s="3"/>
      <c r="O102" s="93"/>
      <c r="X102" s="93"/>
    </row>
    <row r="103" spans="1:30" s="7" customFormat="1" ht="18" x14ac:dyDescent="0.3">
      <c r="A103" s="98" t="s">
        <v>29</v>
      </c>
      <c r="B103" s="96">
        <v>17</v>
      </c>
      <c r="C103" s="96">
        <v>17</v>
      </c>
      <c r="D103"/>
      <c r="E103" s="2"/>
      <c r="F103" s="2"/>
      <c r="G103" s="2"/>
      <c r="H103" s="2"/>
      <c r="I103" s="2"/>
      <c r="J103" s="2"/>
      <c r="N103" s="3"/>
      <c r="O103" s="93"/>
      <c r="X103" s="93"/>
    </row>
    <row r="104" spans="1:30" s="7" customFormat="1" ht="18" x14ac:dyDescent="0.3">
      <c r="A104" s="97" t="s">
        <v>31</v>
      </c>
      <c r="B104" s="70">
        <v>17</v>
      </c>
      <c r="C104" s="70">
        <v>17</v>
      </c>
      <c r="D104"/>
      <c r="E104" s="2"/>
      <c r="F104" s="2"/>
      <c r="G104" s="2"/>
      <c r="H104" s="2"/>
      <c r="I104" s="2"/>
      <c r="J104" s="2"/>
      <c r="N104" s="3"/>
      <c r="O104" s="93"/>
      <c r="X104" s="93"/>
    </row>
    <row r="105" spans="1:30" s="7" customFormat="1" ht="18" x14ac:dyDescent="0.3">
      <c r="A105" s="97" t="s">
        <v>30</v>
      </c>
      <c r="B105" s="70">
        <v>13</v>
      </c>
      <c r="C105" s="70">
        <v>13</v>
      </c>
      <c r="D105"/>
      <c r="E105" s="2"/>
      <c r="F105" s="2"/>
      <c r="G105" s="2"/>
      <c r="H105" s="2"/>
      <c r="I105" s="2"/>
      <c r="J105" s="2"/>
      <c r="N105" s="3"/>
      <c r="O105" s="93"/>
      <c r="X105" s="93"/>
    </row>
    <row r="106" spans="1:30" s="3" customFormat="1" ht="18" x14ac:dyDescent="0.3">
      <c r="A106" s="76" t="s">
        <v>26</v>
      </c>
      <c r="B106" s="74">
        <v>30</v>
      </c>
      <c r="C106" s="74">
        <v>30</v>
      </c>
      <c r="D106"/>
      <c r="E106" s="2"/>
      <c r="F106" s="2"/>
      <c r="G106" s="2"/>
      <c r="H106" s="2"/>
      <c r="I106" s="2"/>
      <c r="J106" s="2"/>
      <c r="O106" s="93"/>
      <c r="P106" s="7"/>
      <c r="V106" s="7"/>
      <c r="W106" s="7"/>
      <c r="X106" s="92"/>
      <c r="AC106" s="7"/>
      <c r="AD106" s="7"/>
    </row>
    <row r="107" spans="1:30" s="22" customFormat="1" ht="18" x14ac:dyDescent="0.3">
      <c r="A107"/>
      <c r="B107"/>
      <c r="C107"/>
      <c r="D107"/>
      <c r="E107" s="2"/>
      <c r="F107" s="2"/>
      <c r="G107" s="2"/>
      <c r="H107" s="2"/>
      <c r="I107" s="2"/>
      <c r="J107" s="2"/>
      <c r="K107" s="14"/>
      <c r="L107" s="14"/>
      <c r="M107" s="14"/>
      <c r="N107" s="3"/>
      <c r="O107" s="92"/>
      <c r="P107" s="3"/>
      <c r="V107" s="3"/>
      <c r="W107" s="3"/>
      <c r="X107" s="91"/>
      <c r="AC107" s="3"/>
      <c r="AD107" s="3"/>
    </row>
    <row r="108" spans="1:30" s="22" customFormat="1" ht="1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4"/>
      <c r="L108" s="14"/>
      <c r="M108" s="14"/>
      <c r="N108" s="3"/>
      <c r="O108" s="31"/>
      <c r="P108" s="32"/>
      <c r="V108" s="34"/>
      <c r="W108" s="34"/>
      <c r="X108" s="91"/>
    </row>
    <row r="109" spans="1:30" s="22" customFormat="1" ht="1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4"/>
      <c r="L109" s="14"/>
      <c r="M109" s="14"/>
      <c r="N109" s="3"/>
      <c r="O109" s="38"/>
      <c r="P109" s="39"/>
      <c r="V109" s="34"/>
      <c r="W109" s="34"/>
      <c r="X109" s="91"/>
    </row>
    <row r="110" spans="1:30" s="22" customFormat="1" ht="1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4"/>
      <c r="L110" s="14"/>
      <c r="M110" s="14"/>
      <c r="N110" s="3"/>
      <c r="O110" s="38"/>
      <c r="P110" s="39"/>
      <c r="V110" s="34"/>
      <c r="W110" s="34"/>
      <c r="X110" s="91"/>
    </row>
    <row r="111" spans="1:30" s="22" customFormat="1" ht="1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4"/>
      <c r="L111" s="14"/>
      <c r="M111" s="14"/>
      <c r="N111" s="3"/>
      <c r="O111" s="38"/>
      <c r="P111" s="39"/>
      <c r="V111" s="34"/>
      <c r="W111" s="34"/>
      <c r="X111" s="91"/>
    </row>
    <row r="112" spans="1:30" s="22" customFormat="1" ht="1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4"/>
      <c r="L112" s="14"/>
      <c r="M112" s="14"/>
      <c r="N112" s="3"/>
      <c r="O112" s="38"/>
      <c r="P112" s="39"/>
      <c r="V112" s="34"/>
      <c r="W112" s="34"/>
      <c r="X112" s="91"/>
    </row>
    <row r="113" spans="1:24" s="22" customFormat="1" ht="1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4"/>
      <c r="L113" s="14"/>
      <c r="M113" s="14"/>
      <c r="N113" s="3"/>
      <c r="O113" s="38"/>
      <c r="P113" s="39"/>
      <c r="V113" s="34"/>
      <c r="W113" s="34"/>
      <c r="X113" s="91"/>
    </row>
    <row r="114" spans="1:24" s="22" customFormat="1" ht="1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4"/>
      <c r="L114" s="14"/>
      <c r="M114" s="14"/>
      <c r="N114" s="3"/>
      <c r="O114" s="38"/>
      <c r="P114" s="39"/>
      <c r="V114" s="34"/>
      <c r="W114" s="34"/>
      <c r="X114" s="91"/>
    </row>
    <row r="115" spans="1:24" s="22" customFormat="1" ht="1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4"/>
      <c r="L115" s="14"/>
      <c r="M115" s="14"/>
      <c r="N115" s="3"/>
      <c r="O115" s="38"/>
      <c r="P115" s="39"/>
      <c r="V115" s="34"/>
      <c r="W115" s="34"/>
      <c r="X115" s="91"/>
    </row>
    <row r="116" spans="1:24" s="22" customFormat="1" ht="1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4"/>
      <c r="L116" s="14"/>
      <c r="M116" s="14"/>
      <c r="N116" s="3"/>
      <c r="O116" s="38"/>
      <c r="P116" s="39"/>
      <c r="V116" s="34"/>
      <c r="W116" s="34"/>
      <c r="X116" s="91"/>
    </row>
    <row r="117" spans="1:24" s="22" customFormat="1" ht="1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4"/>
      <c r="L117" s="14"/>
      <c r="M117" s="14"/>
      <c r="N117" s="3"/>
      <c r="O117" s="38"/>
      <c r="P117" s="39"/>
      <c r="V117" s="34"/>
      <c r="W117" s="34"/>
      <c r="X117" s="91"/>
    </row>
    <row r="118" spans="1:24" s="22" customFormat="1" ht="1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4"/>
      <c r="L118" s="14"/>
      <c r="M118" s="14"/>
      <c r="N118" s="3"/>
      <c r="O118" s="38"/>
      <c r="P118" s="39"/>
      <c r="V118" s="34"/>
      <c r="W118" s="34"/>
      <c r="X118" s="91"/>
    </row>
    <row r="119" spans="1:24" s="22" customFormat="1" ht="1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4"/>
      <c r="L119" s="14"/>
      <c r="M119" s="14"/>
      <c r="N119" s="3"/>
      <c r="O119" s="38"/>
      <c r="P119" s="39"/>
      <c r="V119" s="34"/>
      <c r="W119" s="34"/>
      <c r="X119" s="91"/>
    </row>
    <row r="120" spans="1:24" s="22" customFormat="1" ht="1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4"/>
      <c r="L120" s="14"/>
      <c r="M120" s="14"/>
      <c r="N120" s="3"/>
      <c r="O120" s="38"/>
      <c r="P120" s="39"/>
      <c r="V120" s="34"/>
      <c r="W120" s="34"/>
      <c r="X120" s="91"/>
    </row>
    <row r="121" spans="1:24" s="22" customFormat="1" ht="1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4"/>
      <c r="L121" s="14"/>
      <c r="M121" s="14"/>
      <c r="N121" s="3"/>
      <c r="O121" s="38"/>
      <c r="P121" s="39"/>
      <c r="V121" s="34"/>
      <c r="W121" s="34"/>
      <c r="X121" s="91"/>
    </row>
    <row r="122" spans="1:24" s="22" customFormat="1" ht="1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4"/>
      <c r="L122" s="14"/>
      <c r="M122" s="14"/>
      <c r="N122" s="3"/>
      <c r="O122" s="38"/>
      <c r="P122" s="39"/>
      <c r="V122" s="34"/>
      <c r="W122" s="34"/>
      <c r="X122" s="91"/>
    </row>
    <row r="123" spans="1:24" s="22" customFormat="1" ht="1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4"/>
      <c r="L123" s="14"/>
      <c r="M123" s="14"/>
      <c r="N123" s="3"/>
      <c r="O123" s="38"/>
      <c r="P123" s="39"/>
      <c r="V123" s="34"/>
      <c r="W123" s="34"/>
      <c r="X123" s="91"/>
    </row>
    <row r="124" spans="1:24" s="22" customFormat="1" ht="1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4"/>
      <c r="L124" s="14"/>
      <c r="M124" s="14"/>
      <c r="N124" s="3"/>
      <c r="O124" s="38"/>
      <c r="P124" s="39"/>
      <c r="V124" s="34"/>
      <c r="W124" s="34"/>
      <c r="X124" s="91"/>
    </row>
    <row r="125" spans="1:24" s="22" customFormat="1" ht="1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4"/>
      <c r="L125" s="14"/>
      <c r="M125" s="14"/>
      <c r="N125" s="3"/>
      <c r="O125" s="38"/>
      <c r="P125" s="39"/>
      <c r="V125" s="34"/>
      <c r="W125" s="34"/>
      <c r="X125" s="91"/>
    </row>
    <row r="126" spans="1:24" s="22" customFormat="1" ht="1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4"/>
      <c r="L126" s="14"/>
      <c r="M126" s="14"/>
      <c r="N126" s="3"/>
      <c r="O126" s="38"/>
      <c r="P126" s="39"/>
      <c r="V126" s="34"/>
      <c r="W126" s="34"/>
      <c r="X126" s="91"/>
    </row>
    <row r="127" spans="1:24" s="22" customFormat="1" ht="1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4"/>
      <c r="L127" s="14"/>
      <c r="M127" s="14"/>
      <c r="N127" s="3"/>
      <c r="O127" s="38"/>
      <c r="P127" s="39"/>
      <c r="V127" s="34"/>
      <c r="W127" s="34"/>
      <c r="X127" s="91"/>
    </row>
    <row r="128" spans="1:24" s="22" customFormat="1" ht="1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4"/>
      <c r="L128" s="14"/>
      <c r="M128" s="14"/>
      <c r="N128" s="3"/>
      <c r="O128" s="38"/>
      <c r="P128" s="39"/>
      <c r="U128" s="33"/>
      <c r="V128" s="34"/>
      <c r="W128" s="34"/>
      <c r="X128" s="91"/>
    </row>
    <row r="129" spans="1:24" s="22" customFormat="1" ht="1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4"/>
      <c r="L129" s="14"/>
      <c r="M129" s="14"/>
      <c r="N129" s="3"/>
      <c r="O129" s="38"/>
      <c r="P129" s="39"/>
      <c r="Q129" s="39"/>
      <c r="R129" s="33"/>
      <c r="S129" s="33"/>
      <c r="T129" s="33"/>
      <c r="U129" s="34"/>
      <c r="V129" s="34"/>
      <c r="W129" s="34"/>
      <c r="X129" s="91"/>
    </row>
    <row r="130" spans="1:24" s="22" customFormat="1" ht="1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4"/>
      <c r="L130" s="14"/>
      <c r="M130" s="14"/>
      <c r="N130" s="3"/>
      <c r="O130" s="38"/>
      <c r="P130" s="39"/>
      <c r="Q130" s="39"/>
      <c r="R130" s="33"/>
      <c r="S130" s="33"/>
      <c r="T130" s="33"/>
      <c r="U130" s="34"/>
      <c r="V130" s="34"/>
      <c r="W130" s="34"/>
      <c r="X130" s="91"/>
    </row>
    <row r="131" spans="1:24" s="22" customFormat="1" ht="1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4"/>
      <c r="L131" s="14"/>
      <c r="M131" s="14"/>
      <c r="N131" s="3"/>
      <c r="O131" s="38"/>
      <c r="P131" s="39"/>
      <c r="Q131" s="39"/>
      <c r="R131" s="33"/>
      <c r="S131" s="33"/>
      <c r="T131" s="33"/>
      <c r="U131" s="34"/>
      <c r="V131" s="34"/>
      <c r="W131" s="34"/>
      <c r="X131" s="91"/>
    </row>
    <row r="132" spans="1:24" s="22" customFormat="1" ht="1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4"/>
      <c r="L132" s="14"/>
      <c r="M132" s="14"/>
      <c r="N132" s="3"/>
      <c r="O132" s="38"/>
      <c r="P132" s="39"/>
      <c r="Q132" s="39"/>
      <c r="R132" s="33"/>
      <c r="S132" s="33"/>
      <c r="T132" s="33"/>
      <c r="U132" s="34"/>
      <c r="V132" s="34"/>
      <c r="W132" s="34"/>
      <c r="X132" s="91"/>
    </row>
    <row r="133" spans="1:24" s="22" customFormat="1" ht="1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4"/>
      <c r="L133" s="14"/>
      <c r="M133" s="14"/>
      <c r="N133" s="3"/>
      <c r="O133" s="38"/>
      <c r="P133" s="39"/>
      <c r="Q133" s="39"/>
      <c r="R133" s="33"/>
      <c r="S133" s="33"/>
      <c r="T133" s="33"/>
      <c r="U133" s="34"/>
      <c r="V133" s="34"/>
      <c r="W133" s="34"/>
      <c r="X133" s="91"/>
    </row>
    <row r="134" spans="1:24" s="22" customFormat="1" ht="1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4"/>
      <c r="L134" s="14"/>
      <c r="M134" s="14"/>
      <c r="N134" s="3"/>
      <c r="O134" s="38"/>
      <c r="P134" s="39"/>
      <c r="Q134" s="39"/>
      <c r="R134" s="33"/>
      <c r="S134" s="33"/>
      <c r="T134" s="33"/>
      <c r="U134" s="34"/>
      <c r="V134" s="34"/>
      <c r="W134" s="34"/>
      <c r="X134" s="91"/>
    </row>
    <row r="135" spans="1:24" s="22" customFormat="1" ht="1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4"/>
      <c r="L135" s="14"/>
      <c r="M135" s="14"/>
      <c r="N135" s="3"/>
      <c r="O135" s="38"/>
      <c r="P135" s="39"/>
      <c r="Q135" s="39"/>
      <c r="R135" s="33"/>
      <c r="S135" s="33"/>
      <c r="T135" s="33"/>
      <c r="U135" s="34"/>
      <c r="V135" s="34"/>
      <c r="W135" s="34"/>
      <c r="X135" s="91"/>
    </row>
    <row r="136" spans="1:24" s="22" customFormat="1" ht="1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4"/>
      <c r="L136" s="14"/>
      <c r="M136" s="14"/>
      <c r="N136" s="3"/>
      <c r="O136" s="38"/>
      <c r="P136" s="39"/>
      <c r="Q136" s="39"/>
      <c r="R136" s="33"/>
      <c r="S136" s="33"/>
      <c r="T136" s="33"/>
      <c r="U136" s="34"/>
      <c r="V136" s="34"/>
      <c r="W136" s="34"/>
      <c r="X136" s="91"/>
    </row>
    <row r="137" spans="1:24" s="22" customFormat="1" ht="1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4"/>
      <c r="L137" s="14"/>
      <c r="M137" s="14"/>
      <c r="N137" s="3"/>
      <c r="O137" s="38"/>
      <c r="P137" s="39"/>
      <c r="Q137" s="39"/>
      <c r="R137" s="33"/>
      <c r="S137" s="33"/>
      <c r="T137" s="33"/>
      <c r="U137" s="34"/>
      <c r="V137" s="34"/>
      <c r="W137" s="34"/>
      <c r="X137" s="91"/>
    </row>
    <row r="138" spans="1:24" s="22" customFormat="1" ht="1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4"/>
      <c r="L138" s="14"/>
      <c r="M138" s="14"/>
      <c r="N138" s="3"/>
      <c r="O138" s="38"/>
      <c r="P138" s="39"/>
      <c r="Q138" s="39"/>
      <c r="R138" s="33"/>
      <c r="S138" s="33"/>
      <c r="T138" s="33"/>
      <c r="U138" s="34"/>
      <c r="V138" s="34"/>
      <c r="W138" s="34"/>
      <c r="X138" s="91"/>
    </row>
    <row r="139" spans="1:24" s="22" customFormat="1" ht="1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4"/>
      <c r="L139" s="14"/>
      <c r="M139" s="14"/>
      <c r="N139" s="3"/>
      <c r="O139" s="38"/>
      <c r="P139" s="39"/>
      <c r="Q139" s="39"/>
      <c r="R139" s="33"/>
      <c r="S139" s="33"/>
      <c r="T139" s="33"/>
      <c r="U139" s="34"/>
      <c r="V139" s="34"/>
      <c r="W139" s="34"/>
      <c r="X139" s="91"/>
    </row>
    <row r="140" spans="1:24" s="22" customFormat="1" ht="1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4"/>
      <c r="L140" s="14"/>
      <c r="M140" s="14"/>
      <c r="N140" s="3"/>
      <c r="O140" s="38"/>
      <c r="P140" s="39"/>
      <c r="Q140" s="39"/>
      <c r="R140" s="33"/>
      <c r="S140" s="33"/>
      <c r="T140" s="33"/>
      <c r="U140" s="34"/>
      <c r="V140" s="34"/>
      <c r="W140" s="34"/>
      <c r="X140" s="91"/>
    </row>
    <row r="141" spans="1:24" s="22" customFormat="1" ht="1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4"/>
      <c r="L141" s="14"/>
      <c r="M141" s="14"/>
      <c r="N141" s="3"/>
      <c r="O141" s="38"/>
      <c r="P141" s="39"/>
      <c r="Q141" s="39"/>
      <c r="R141" s="33"/>
      <c r="S141" s="33"/>
      <c r="T141" s="33"/>
      <c r="U141" s="34"/>
      <c r="V141" s="34"/>
      <c r="W141" s="34"/>
      <c r="X141" s="91"/>
    </row>
    <row r="142" spans="1:24" s="22" customFormat="1" ht="1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4"/>
      <c r="L142" s="14"/>
      <c r="M142" s="14"/>
      <c r="N142" s="3"/>
      <c r="O142" s="38"/>
      <c r="P142" s="39"/>
      <c r="Q142" s="39"/>
      <c r="R142" s="33"/>
      <c r="S142" s="33"/>
      <c r="T142" s="33"/>
      <c r="U142" s="34"/>
      <c r="V142" s="34"/>
      <c r="W142" s="34"/>
      <c r="X142" s="91"/>
    </row>
    <row r="143" spans="1:24" s="22" customFormat="1" ht="1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4"/>
      <c r="L143" s="14"/>
      <c r="M143" s="14"/>
      <c r="N143" s="3"/>
      <c r="O143" s="38"/>
      <c r="P143" s="39"/>
      <c r="Q143" s="39"/>
      <c r="R143" s="33"/>
      <c r="S143" s="33"/>
      <c r="T143" s="33"/>
      <c r="U143" s="34"/>
      <c r="V143" s="34"/>
      <c r="W143" s="34"/>
      <c r="X143" s="91"/>
    </row>
    <row r="144" spans="1:24" s="22" customFormat="1" ht="1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4"/>
      <c r="L144" s="14"/>
      <c r="M144" s="14"/>
      <c r="N144" s="3"/>
      <c r="O144" s="38"/>
      <c r="P144" s="39"/>
      <c r="Q144" s="39"/>
      <c r="R144" s="33"/>
      <c r="S144" s="33"/>
      <c r="T144" s="33"/>
      <c r="U144" s="34"/>
      <c r="V144" s="34"/>
      <c r="W144" s="34"/>
      <c r="X144" s="91"/>
    </row>
    <row r="145" spans="1:30" s="22" customFormat="1" ht="1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4"/>
      <c r="L145" s="14"/>
      <c r="M145" s="14"/>
      <c r="N145" s="3"/>
      <c r="O145" s="38"/>
      <c r="P145" s="39"/>
      <c r="Q145" s="39"/>
      <c r="R145" s="33"/>
      <c r="S145" s="33"/>
      <c r="T145" s="33"/>
      <c r="U145" s="34"/>
      <c r="V145" s="34"/>
      <c r="W145" s="34"/>
      <c r="X145" s="91"/>
    </row>
    <row r="146" spans="1:30" s="22" customFormat="1" ht="1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4"/>
      <c r="L146" s="14"/>
      <c r="M146" s="14"/>
      <c r="N146" s="3"/>
      <c r="O146" s="38"/>
      <c r="P146" s="39"/>
      <c r="Q146" s="39"/>
      <c r="R146" s="33"/>
      <c r="S146" s="33"/>
      <c r="T146" s="33"/>
      <c r="U146" s="34"/>
      <c r="V146" s="34"/>
      <c r="W146" s="34"/>
      <c r="X146" s="91"/>
    </row>
    <row r="147" spans="1:30" s="22" customFormat="1" ht="1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4"/>
      <c r="L147" s="14"/>
      <c r="M147" s="14"/>
      <c r="N147" s="3"/>
      <c r="O147" s="38"/>
      <c r="P147" s="39"/>
      <c r="Q147" s="39"/>
      <c r="R147" s="33"/>
      <c r="S147" s="33"/>
      <c r="T147" s="33"/>
      <c r="U147" s="34"/>
      <c r="V147" s="34"/>
      <c r="W147" s="34"/>
      <c r="X147" s="91"/>
    </row>
    <row r="148" spans="1:30" s="22" customFormat="1" ht="1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4"/>
      <c r="L148" s="14"/>
      <c r="M148" s="14"/>
      <c r="N148" s="3"/>
      <c r="O148" s="38"/>
      <c r="P148" s="39"/>
      <c r="Q148" s="39"/>
      <c r="R148" s="33"/>
      <c r="S148" s="33"/>
      <c r="T148" s="33"/>
      <c r="U148" s="34"/>
      <c r="V148" s="34"/>
      <c r="W148" s="34"/>
      <c r="X148" s="91"/>
    </row>
    <row r="149" spans="1:30" s="22" customFormat="1" ht="1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4"/>
      <c r="L149" s="14"/>
      <c r="M149" s="14"/>
      <c r="N149" s="3"/>
      <c r="O149" s="38"/>
      <c r="P149" s="39"/>
      <c r="Q149" s="39"/>
      <c r="R149" s="33"/>
      <c r="S149" s="33"/>
      <c r="T149" s="33"/>
      <c r="U149" s="34"/>
      <c r="V149" s="34"/>
      <c r="W149" s="34"/>
      <c r="X149" s="91"/>
    </row>
    <row r="150" spans="1:30" s="22" customFormat="1" ht="18" x14ac:dyDescent="0.3">
      <c r="A150" s="55"/>
      <c r="B150" s="56"/>
      <c r="C150" s="56"/>
      <c r="D150" s="56"/>
      <c r="E150" s="56"/>
      <c r="F150" s="56"/>
      <c r="G150" s="56"/>
      <c r="H150" s="56"/>
      <c r="I150" s="56"/>
      <c r="J150" s="56"/>
      <c r="K150" s="14"/>
      <c r="L150" s="14"/>
      <c r="M150" s="14"/>
      <c r="N150" s="3"/>
      <c r="O150" s="38"/>
      <c r="P150" s="39"/>
      <c r="Q150" s="39"/>
      <c r="R150" s="33"/>
      <c r="S150" s="33"/>
      <c r="T150" s="33"/>
      <c r="U150" s="34"/>
      <c r="V150" s="34"/>
      <c r="W150" s="34"/>
      <c r="X150" s="91"/>
    </row>
    <row r="151" spans="1:30" s="22" customFormat="1" ht="18" x14ac:dyDescent="0.3">
      <c r="A151" s="55"/>
      <c r="B151" s="56"/>
      <c r="C151" s="56"/>
      <c r="D151" s="56"/>
      <c r="E151" s="56"/>
      <c r="F151" s="56"/>
      <c r="G151" s="56"/>
      <c r="H151" s="56"/>
      <c r="I151" s="56"/>
      <c r="J151" s="56"/>
      <c r="K151" s="14"/>
      <c r="L151" s="14"/>
      <c r="M151" s="14"/>
      <c r="N151" s="3"/>
      <c r="O151" s="38"/>
      <c r="P151" s="39"/>
      <c r="Q151" s="39"/>
      <c r="R151" s="33"/>
      <c r="S151" s="33"/>
      <c r="T151" s="33"/>
      <c r="U151" s="34"/>
      <c r="V151" s="34"/>
      <c r="W151" s="34"/>
      <c r="X151" s="91"/>
    </row>
    <row r="152" spans="1:30" s="22" customFormat="1" ht="18" x14ac:dyDescent="0.3">
      <c r="A152" s="55"/>
      <c r="B152" s="56"/>
      <c r="C152" s="56"/>
      <c r="D152" s="56"/>
      <c r="E152" s="56"/>
      <c r="F152" s="56"/>
      <c r="G152" s="56"/>
      <c r="H152" s="56"/>
      <c r="I152" s="56"/>
      <c r="J152" s="56"/>
      <c r="K152" s="14"/>
      <c r="L152" s="14"/>
      <c r="M152" s="14"/>
      <c r="N152" s="3"/>
      <c r="O152" s="38"/>
      <c r="P152" s="39"/>
      <c r="Q152" s="39"/>
      <c r="R152" s="33"/>
      <c r="S152" s="33"/>
      <c r="T152" s="33"/>
      <c r="U152" s="34"/>
      <c r="V152" s="34"/>
      <c r="W152" s="34"/>
      <c r="X152" s="91"/>
    </row>
    <row r="153" spans="1:30" ht="18" x14ac:dyDescent="0.3">
      <c r="K153" s="3"/>
      <c r="L153" s="3"/>
      <c r="M153" s="3"/>
      <c r="O153" s="38"/>
      <c r="P153" s="39"/>
      <c r="Q153" s="39"/>
      <c r="R153" s="33"/>
      <c r="S153" s="33"/>
      <c r="T153" s="33"/>
      <c r="U153" s="34"/>
      <c r="V153" s="34"/>
      <c r="W153" s="34"/>
      <c r="AC153" s="22"/>
      <c r="AD153" s="22"/>
    </row>
    <row r="154" spans="1:30" x14ac:dyDescent="0.3">
      <c r="K154" s="3"/>
      <c r="L154" s="3"/>
      <c r="M154" s="3"/>
    </row>
    <row r="155" spans="1:30" x14ac:dyDescent="0.3">
      <c r="K155" s="3"/>
      <c r="L155" s="3"/>
      <c r="M155" s="3"/>
    </row>
    <row r="156" spans="1:30" x14ac:dyDescent="0.3">
      <c r="K156" s="3"/>
      <c r="L156" s="3"/>
      <c r="M156" s="3"/>
    </row>
    <row r="157" spans="1:30" x14ac:dyDescent="0.3">
      <c r="K157" s="3"/>
      <c r="L157" s="3"/>
      <c r="M157" s="3"/>
    </row>
    <row r="158" spans="1:30" x14ac:dyDescent="0.3">
      <c r="K158" s="3"/>
      <c r="L158" s="3"/>
      <c r="M158" s="3"/>
    </row>
    <row r="159" spans="1:30" x14ac:dyDescent="0.3">
      <c r="K159" s="3"/>
      <c r="L159" s="3"/>
      <c r="M159" s="3"/>
    </row>
    <row r="160" spans="1:30" x14ac:dyDescent="0.3">
      <c r="K160" s="3"/>
      <c r="L160" s="3"/>
      <c r="M160" s="3"/>
    </row>
    <row r="161" spans="1:30" x14ac:dyDescent="0.3">
      <c r="K161" s="3"/>
      <c r="L161" s="3"/>
      <c r="M161" s="3"/>
    </row>
    <row r="162" spans="1:30" x14ac:dyDescent="0.3">
      <c r="K162" s="3"/>
      <c r="L162" s="3"/>
      <c r="M162" s="3"/>
    </row>
    <row r="163" spans="1:30" x14ac:dyDescent="0.3">
      <c r="K163" s="3"/>
      <c r="L163" s="3"/>
      <c r="M163" s="3"/>
    </row>
    <row r="164" spans="1:30" x14ac:dyDescent="0.3">
      <c r="K164" s="3"/>
      <c r="L164" s="3"/>
      <c r="M164" s="3"/>
    </row>
    <row r="165" spans="1:30" x14ac:dyDescent="0.3">
      <c r="K165" s="3"/>
      <c r="L165" s="3"/>
      <c r="M165" s="3"/>
    </row>
    <row r="166" spans="1:30" x14ac:dyDescent="0.3">
      <c r="K166" s="3"/>
      <c r="L166" s="3"/>
      <c r="M166" s="3"/>
    </row>
    <row r="167" spans="1:30" x14ac:dyDescent="0.3">
      <c r="K167" s="3"/>
      <c r="L167" s="3"/>
      <c r="M167" s="3"/>
    </row>
    <row r="168" spans="1:30" x14ac:dyDescent="0.3">
      <c r="K168" s="3"/>
      <c r="L168" s="3"/>
      <c r="M168" s="3"/>
    </row>
    <row r="169" spans="1:30" s="3" customForma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O169" s="89"/>
      <c r="P169" s="2"/>
      <c r="Q169" s="2"/>
      <c r="R169" s="2"/>
      <c r="S169" s="2"/>
      <c r="T169" s="2"/>
      <c r="U169" s="2"/>
      <c r="V169" s="2"/>
      <c r="W169" s="2"/>
      <c r="X169" s="92"/>
      <c r="AC169" s="2"/>
      <c r="AD169" s="2"/>
    </row>
    <row r="170" spans="1:30" s="3" customForma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O170" s="92"/>
      <c r="R170" s="54"/>
      <c r="S170" s="54"/>
      <c r="T170" s="54"/>
      <c r="X170" s="92"/>
    </row>
    <row r="171" spans="1:30" s="3" customFormat="1" ht="18" x14ac:dyDescent="0.3">
      <c r="A171" s="2"/>
      <c r="B171" s="2"/>
      <c r="C171" s="2"/>
      <c r="D171" s="2"/>
      <c r="E171" s="2"/>
      <c r="F171" s="2"/>
      <c r="G171" s="57"/>
      <c r="H171" s="57"/>
      <c r="I171" s="57"/>
      <c r="J171" s="57"/>
      <c r="O171" s="92"/>
      <c r="X171" s="92"/>
    </row>
    <row r="172" spans="1:30" s="7" customFormat="1" ht="18" x14ac:dyDescent="0.3">
      <c r="A172" s="2"/>
      <c r="B172" s="2"/>
      <c r="C172" s="2"/>
      <c r="D172" s="2"/>
      <c r="E172" s="2"/>
      <c r="F172" s="2"/>
      <c r="K172" s="14"/>
      <c r="L172" s="14"/>
      <c r="M172" s="14"/>
      <c r="N172" s="3"/>
      <c r="O172" s="92"/>
      <c r="P172" s="3"/>
      <c r="Q172" s="3"/>
      <c r="R172" s="3"/>
      <c r="S172" s="3"/>
      <c r="T172" s="3"/>
      <c r="U172" s="3"/>
      <c r="V172" s="3"/>
      <c r="W172" s="3"/>
      <c r="X172" s="93"/>
      <c r="AC172" s="3"/>
      <c r="AD172" s="3"/>
    </row>
    <row r="173" spans="1:30" s="7" customFormat="1" ht="18" x14ac:dyDescent="0.3">
      <c r="A173" s="2"/>
      <c r="B173" s="2"/>
      <c r="C173" s="2"/>
      <c r="D173" s="2"/>
      <c r="E173" s="2"/>
      <c r="F173" s="2"/>
      <c r="K173" s="14"/>
      <c r="L173" s="14"/>
      <c r="M173" s="14"/>
      <c r="N173" s="3"/>
      <c r="O173" s="93"/>
      <c r="R173" s="58"/>
      <c r="S173" s="58"/>
      <c r="T173" s="58"/>
      <c r="X173" s="93"/>
    </row>
    <row r="174" spans="1:30" s="7" customFormat="1" ht="18" x14ac:dyDescent="0.3">
      <c r="A174" s="2"/>
      <c r="B174" s="2"/>
      <c r="C174" s="2"/>
      <c r="D174" s="2"/>
      <c r="E174" s="2"/>
      <c r="F174" s="2"/>
      <c r="K174" s="14"/>
      <c r="L174" s="14"/>
      <c r="M174" s="14"/>
      <c r="N174" s="3"/>
      <c r="O174" s="93"/>
      <c r="R174" s="58"/>
      <c r="S174" s="58"/>
      <c r="T174" s="58"/>
      <c r="X174" s="93"/>
    </row>
    <row r="175" spans="1:30" s="7" customFormat="1" ht="18" x14ac:dyDescent="0.3">
      <c r="A175" s="2"/>
      <c r="B175" s="2"/>
      <c r="C175" s="2"/>
      <c r="D175" s="2"/>
      <c r="E175" s="2"/>
      <c r="F175" s="2"/>
      <c r="K175" s="14"/>
      <c r="L175" s="14"/>
      <c r="M175" s="14"/>
      <c r="N175" s="3"/>
      <c r="O175" s="93"/>
      <c r="R175" s="58"/>
      <c r="S175" s="58"/>
      <c r="T175" s="58"/>
      <c r="X175" s="93"/>
    </row>
    <row r="176" spans="1:30" s="7" customFormat="1" ht="18" x14ac:dyDescent="0.3">
      <c r="A176" s="2"/>
      <c r="B176" s="2"/>
      <c r="C176" s="2"/>
      <c r="D176" s="2"/>
      <c r="E176" s="2"/>
      <c r="F176" s="2"/>
      <c r="K176" s="14"/>
      <c r="L176" s="14"/>
      <c r="M176" s="14"/>
      <c r="N176" s="3"/>
      <c r="O176" s="93"/>
      <c r="R176" s="58"/>
      <c r="S176" s="58"/>
      <c r="T176" s="58"/>
      <c r="X176" s="93"/>
    </row>
    <row r="177" spans="1:24" s="7" customFormat="1" ht="18" x14ac:dyDescent="0.3">
      <c r="A177" s="2"/>
      <c r="B177" s="2"/>
      <c r="C177" s="2"/>
      <c r="D177" s="2"/>
      <c r="E177" s="2"/>
      <c r="F177" s="2"/>
      <c r="K177" s="14"/>
      <c r="L177" s="14"/>
      <c r="M177" s="14"/>
      <c r="N177" s="3"/>
      <c r="O177" s="93"/>
      <c r="R177" s="58"/>
      <c r="S177" s="58"/>
      <c r="T177" s="58"/>
      <c r="X177" s="93"/>
    </row>
    <row r="178" spans="1:24" s="7" customFormat="1" ht="18" x14ac:dyDescent="0.3">
      <c r="A178" s="2"/>
      <c r="B178" s="2"/>
      <c r="C178" s="2"/>
      <c r="K178" s="14"/>
      <c r="L178" s="14"/>
      <c r="M178" s="14"/>
      <c r="N178" s="3"/>
      <c r="O178" s="93"/>
      <c r="R178" s="58"/>
      <c r="S178" s="58"/>
      <c r="T178" s="58"/>
      <c r="X178" s="93"/>
    </row>
    <row r="179" spans="1:24" s="7" customFormat="1" ht="18" x14ac:dyDescent="0.3">
      <c r="A179" s="2"/>
      <c r="B179" s="2"/>
      <c r="C179" s="2"/>
      <c r="K179" s="14"/>
      <c r="L179" s="14"/>
      <c r="M179" s="14"/>
      <c r="N179" s="3"/>
      <c r="O179" s="93"/>
      <c r="R179" s="58"/>
      <c r="S179" s="58"/>
      <c r="T179" s="58"/>
      <c r="X179" s="93"/>
    </row>
    <row r="180" spans="1:24" s="7" customFormat="1" ht="18" x14ac:dyDescent="0.3">
      <c r="K180" s="14"/>
      <c r="L180" s="14"/>
      <c r="M180" s="14"/>
      <c r="N180" s="3"/>
      <c r="O180" s="93"/>
      <c r="R180" s="58"/>
      <c r="S180" s="58"/>
      <c r="T180" s="58"/>
      <c r="X180" s="93"/>
    </row>
    <row r="181" spans="1:24" s="7" customFormat="1" ht="18" x14ac:dyDescent="0.3">
      <c r="K181" s="14"/>
      <c r="L181" s="14"/>
      <c r="M181" s="14"/>
      <c r="N181" s="3"/>
      <c r="O181" s="93"/>
      <c r="R181" s="58"/>
      <c r="S181" s="58"/>
      <c r="T181" s="58"/>
      <c r="X181" s="93"/>
    </row>
    <row r="182" spans="1:24" s="7" customFormat="1" ht="18" x14ac:dyDescent="0.3">
      <c r="K182" s="14"/>
      <c r="L182" s="14"/>
      <c r="M182" s="14"/>
      <c r="N182" s="3"/>
      <c r="O182" s="93"/>
      <c r="R182" s="58"/>
      <c r="S182" s="58"/>
      <c r="T182" s="58"/>
      <c r="X182" s="93"/>
    </row>
    <row r="183" spans="1:24" s="7" customFormat="1" ht="18" x14ac:dyDescent="0.3">
      <c r="K183" s="14"/>
      <c r="L183" s="14"/>
      <c r="M183" s="14"/>
      <c r="N183" s="1"/>
      <c r="O183" s="93"/>
      <c r="R183" s="58"/>
      <c r="S183" s="58"/>
      <c r="T183" s="58"/>
      <c r="X183" s="93"/>
    </row>
    <row r="184" spans="1:24" s="7" customFormat="1" ht="18" x14ac:dyDescent="0.3">
      <c r="K184" s="14"/>
      <c r="L184" s="14"/>
      <c r="M184" s="14"/>
      <c r="N184" s="3"/>
      <c r="O184" s="93"/>
      <c r="R184" s="58"/>
      <c r="S184" s="58"/>
      <c r="T184" s="58"/>
      <c r="X184" s="93"/>
    </row>
    <row r="185" spans="1:24" s="7" customFormat="1" ht="18" x14ac:dyDescent="0.3">
      <c r="K185" s="14"/>
      <c r="L185" s="14"/>
      <c r="M185" s="14"/>
      <c r="N185" s="3"/>
      <c r="O185" s="93"/>
      <c r="R185" s="58"/>
      <c r="S185" s="58"/>
      <c r="T185" s="58"/>
      <c r="X185" s="93"/>
    </row>
    <row r="186" spans="1:24" s="7" customFormat="1" ht="18" x14ac:dyDescent="0.3">
      <c r="K186" s="14"/>
      <c r="L186" s="14"/>
      <c r="M186" s="14"/>
      <c r="N186" s="3"/>
      <c r="O186" s="93"/>
      <c r="R186" s="58"/>
      <c r="S186" s="58"/>
      <c r="T186" s="58"/>
      <c r="X186" s="93"/>
    </row>
    <row r="187" spans="1:24" s="7" customFormat="1" ht="18" x14ac:dyDescent="0.3">
      <c r="K187" s="14"/>
      <c r="L187" s="14"/>
      <c r="M187" s="14"/>
      <c r="N187" s="3"/>
      <c r="O187" s="93"/>
      <c r="R187" s="58"/>
      <c r="S187" s="58"/>
      <c r="T187" s="58"/>
      <c r="X187" s="93"/>
    </row>
    <row r="188" spans="1:24" s="7" customFormat="1" ht="18" x14ac:dyDescent="0.3">
      <c r="K188" s="14"/>
      <c r="L188" s="14"/>
      <c r="M188" s="14"/>
      <c r="N188" s="3"/>
      <c r="O188" s="93"/>
      <c r="R188" s="8"/>
      <c r="S188" s="8"/>
      <c r="T188" s="8"/>
      <c r="X188" s="93"/>
    </row>
    <row r="189" spans="1:24" s="7" customFormat="1" ht="18" x14ac:dyDescent="0.3">
      <c r="K189" s="14"/>
      <c r="L189" s="14"/>
      <c r="M189" s="14"/>
      <c r="N189" s="3"/>
      <c r="O189" s="93"/>
      <c r="R189" s="8"/>
      <c r="S189" s="8"/>
      <c r="T189" s="8"/>
      <c r="X189" s="93"/>
    </row>
    <row r="190" spans="1:24" s="7" customFormat="1" ht="18" x14ac:dyDescent="0.3">
      <c r="K190" s="14"/>
      <c r="L190" s="14"/>
      <c r="M190" s="14"/>
      <c r="N190" s="3"/>
      <c r="O190" s="93"/>
      <c r="R190" s="8"/>
      <c r="S190" s="8"/>
      <c r="T190" s="8"/>
      <c r="X190" s="93"/>
    </row>
    <row r="191" spans="1:24" s="7" customFormat="1" ht="18" x14ac:dyDescent="0.3">
      <c r="K191" s="14"/>
      <c r="L191" s="14"/>
      <c r="M191" s="14"/>
      <c r="N191" s="1"/>
      <c r="O191" s="93"/>
      <c r="R191" s="8"/>
      <c r="S191" s="8"/>
      <c r="T191" s="8"/>
      <c r="X191" s="93"/>
    </row>
    <row r="192" spans="1:24" s="7" customFormat="1" ht="18" x14ac:dyDescent="0.3">
      <c r="K192" s="14"/>
      <c r="L192" s="14"/>
      <c r="M192" s="14"/>
      <c r="N192" s="3"/>
      <c r="O192" s="93"/>
      <c r="R192" s="8"/>
      <c r="S192" s="8"/>
      <c r="T192" s="8"/>
      <c r="X192" s="93"/>
    </row>
    <row r="193" spans="11:24" s="7" customFormat="1" ht="18" x14ac:dyDescent="0.3">
      <c r="K193" s="14"/>
      <c r="L193" s="14"/>
      <c r="M193" s="14"/>
      <c r="N193" s="3"/>
      <c r="O193" s="93"/>
      <c r="R193" s="8"/>
      <c r="S193" s="8"/>
      <c r="T193" s="8"/>
      <c r="X193" s="93"/>
    </row>
    <row r="194" spans="11:24" s="7" customFormat="1" ht="18" x14ac:dyDescent="0.3">
      <c r="K194" s="14"/>
      <c r="L194" s="14"/>
      <c r="M194" s="14"/>
      <c r="N194" s="3"/>
      <c r="O194" s="93"/>
      <c r="R194" s="8"/>
      <c r="S194" s="8"/>
      <c r="T194" s="8"/>
      <c r="X194" s="93"/>
    </row>
    <row r="195" spans="11:24" s="7" customFormat="1" ht="18" x14ac:dyDescent="0.3">
      <c r="K195" s="14"/>
      <c r="L195" s="14"/>
      <c r="M195" s="14"/>
      <c r="N195" s="3"/>
      <c r="O195" s="93"/>
      <c r="R195" s="8"/>
      <c r="S195" s="8"/>
      <c r="T195" s="8"/>
      <c r="X195" s="93"/>
    </row>
    <row r="196" spans="11:24" s="7" customFormat="1" ht="18" x14ac:dyDescent="0.3">
      <c r="K196" s="14"/>
      <c r="L196" s="14"/>
      <c r="M196" s="14"/>
      <c r="N196" s="3"/>
      <c r="O196" s="93"/>
      <c r="R196" s="8"/>
      <c r="S196" s="8"/>
      <c r="T196" s="8"/>
      <c r="X196" s="93"/>
    </row>
    <row r="197" spans="11:24" s="7" customFormat="1" ht="18" x14ac:dyDescent="0.3">
      <c r="K197" s="14"/>
      <c r="L197" s="14"/>
      <c r="M197" s="14"/>
      <c r="N197" s="3"/>
      <c r="O197" s="93"/>
      <c r="R197" s="8"/>
      <c r="S197" s="8"/>
      <c r="T197" s="8"/>
      <c r="X197" s="93"/>
    </row>
    <row r="198" spans="11:24" s="7" customFormat="1" ht="18" x14ac:dyDescent="0.3">
      <c r="K198" s="14"/>
      <c r="L198" s="14"/>
      <c r="M198" s="14"/>
      <c r="N198" s="3"/>
      <c r="O198" s="93"/>
      <c r="R198" s="8"/>
      <c r="S198" s="8"/>
      <c r="T198" s="8"/>
      <c r="X198" s="93"/>
    </row>
    <row r="199" spans="11:24" s="7" customFormat="1" ht="18" x14ac:dyDescent="0.3">
      <c r="K199" s="14"/>
      <c r="L199" s="14"/>
      <c r="M199" s="14"/>
      <c r="N199" s="3"/>
      <c r="O199" s="93"/>
      <c r="R199" s="8"/>
      <c r="S199" s="8"/>
      <c r="T199" s="8"/>
      <c r="X199" s="93"/>
    </row>
    <row r="200" spans="11:24" s="7" customFormat="1" ht="18" x14ac:dyDescent="0.3">
      <c r="K200" s="14"/>
      <c r="L200" s="14"/>
      <c r="M200" s="14"/>
      <c r="N200" s="3"/>
      <c r="O200" s="93"/>
      <c r="R200" s="8"/>
      <c r="S200" s="8"/>
      <c r="T200" s="8"/>
      <c r="X200" s="93"/>
    </row>
    <row r="201" spans="11:24" s="7" customFormat="1" ht="18" x14ac:dyDescent="0.3">
      <c r="K201" s="14"/>
      <c r="L201" s="14"/>
      <c r="M201" s="14"/>
      <c r="N201" s="3"/>
      <c r="O201" s="93"/>
      <c r="R201" s="8"/>
      <c r="S201" s="8"/>
      <c r="T201" s="8"/>
      <c r="X201" s="93"/>
    </row>
    <row r="202" spans="11:24" s="7" customFormat="1" ht="18" x14ac:dyDescent="0.3">
      <c r="K202" s="14"/>
      <c r="L202" s="14"/>
      <c r="M202" s="14"/>
      <c r="N202" s="3"/>
      <c r="O202" s="93"/>
      <c r="R202" s="8"/>
      <c r="S202" s="8"/>
      <c r="T202" s="8"/>
      <c r="X202" s="93"/>
    </row>
    <row r="203" spans="11:24" s="7" customFormat="1" ht="18" x14ac:dyDescent="0.3">
      <c r="K203" s="14"/>
      <c r="L203" s="14"/>
      <c r="M203" s="14"/>
      <c r="N203" s="3"/>
      <c r="O203" s="93"/>
      <c r="R203" s="8"/>
      <c r="S203" s="8"/>
      <c r="T203" s="8"/>
      <c r="X203" s="93"/>
    </row>
    <row r="204" spans="11:24" s="7" customFormat="1" ht="18" x14ac:dyDescent="0.3">
      <c r="K204" s="14"/>
      <c r="L204" s="14"/>
      <c r="M204" s="14"/>
      <c r="N204" s="3"/>
      <c r="O204" s="93"/>
      <c r="R204" s="8"/>
      <c r="S204" s="8"/>
      <c r="T204" s="8"/>
      <c r="X204" s="93"/>
    </row>
    <row r="205" spans="11:24" s="7" customFormat="1" ht="18" x14ac:dyDescent="0.3">
      <c r="K205" s="14"/>
      <c r="L205" s="14"/>
      <c r="M205" s="14"/>
      <c r="N205" s="3"/>
      <c r="O205" s="93"/>
      <c r="R205" s="8"/>
      <c r="S205" s="8"/>
      <c r="T205" s="8"/>
      <c r="X205" s="93"/>
    </row>
    <row r="206" spans="11:24" s="7" customFormat="1" ht="18" x14ac:dyDescent="0.3">
      <c r="K206" s="14"/>
      <c r="L206" s="14"/>
      <c r="M206" s="14"/>
      <c r="N206" s="1"/>
      <c r="O206" s="93"/>
      <c r="R206" s="8"/>
      <c r="S206" s="8"/>
      <c r="T206" s="8"/>
      <c r="X206" s="93"/>
    </row>
    <row r="207" spans="11:24" s="7" customFormat="1" ht="18" x14ac:dyDescent="0.3">
      <c r="K207" s="14"/>
      <c r="L207" s="14"/>
      <c r="M207" s="14"/>
      <c r="N207" s="3"/>
      <c r="O207" s="93"/>
      <c r="R207" s="8"/>
      <c r="S207" s="8"/>
      <c r="T207" s="8"/>
      <c r="X207" s="93"/>
    </row>
    <row r="208" spans="11:24" s="7" customFormat="1" ht="18" x14ac:dyDescent="0.3">
      <c r="K208" s="12"/>
      <c r="L208" s="12"/>
      <c r="M208" s="12"/>
      <c r="N208" s="3"/>
      <c r="O208" s="93"/>
      <c r="R208" s="8"/>
      <c r="S208" s="8"/>
      <c r="T208" s="8"/>
      <c r="X208" s="93"/>
    </row>
    <row r="209" spans="1:24" s="7" customFormat="1" ht="18" x14ac:dyDescent="0.3">
      <c r="K209" s="12"/>
      <c r="L209" s="12"/>
      <c r="M209" s="12"/>
      <c r="N209" s="1"/>
      <c r="O209" s="94"/>
      <c r="X209" s="93"/>
    </row>
    <row r="210" spans="1:24" s="7" customFormat="1" ht="18" x14ac:dyDescent="0.3">
      <c r="K210" s="12"/>
      <c r="L210" s="12"/>
      <c r="M210" s="12"/>
      <c r="N210" s="3"/>
      <c r="O210" s="94"/>
      <c r="X210" s="93"/>
    </row>
    <row r="211" spans="1:24" s="7" customFormat="1" ht="18" x14ac:dyDescent="0.3">
      <c r="K211" s="12"/>
      <c r="L211" s="12"/>
      <c r="M211" s="12"/>
      <c r="N211" s="1"/>
      <c r="O211" s="94"/>
      <c r="X211" s="93"/>
    </row>
    <row r="212" spans="1:24" s="7" customFormat="1" ht="18" x14ac:dyDescent="0.3">
      <c r="K212" s="12"/>
      <c r="L212" s="12"/>
      <c r="M212" s="12"/>
      <c r="N212" s="1"/>
      <c r="O212" s="94"/>
      <c r="X212" s="93"/>
    </row>
    <row r="213" spans="1:24" s="7" customFormat="1" ht="18" x14ac:dyDescent="0.3">
      <c r="K213" s="12"/>
      <c r="L213" s="12"/>
      <c r="M213" s="12"/>
      <c r="N213" s="1"/>
      <c r="O213" s="94"/>
      <c r="X213" s="93"/>
    </row>
    <row r="214" spans="1:24" s="7" customFormat="1" ht="18" x14ac:dyDescent="0.3">
      <c r="K214" s="12"/>
      <c r="L214" s="12"/>
      <c r="M214" s="12"/>
      <c r="N214" s="1"/>
      <c r="O214" s="93"/>
      <c r="X214" s="93"/>
    </row>
    <row r="215" spans="1:24" s="7" customFormat="1" ht="18" x14ac:dyDescent="0.3">
      <c r="K215" s="12"/>
      <c r="L215" s="12"/>
      <c r="M215" s="12"/>
      <c r="N215" s="3"/>
      <c r="O215" s="94"/>
      <c r="X215" s="93"/>
    </row>
    <row r="216" spans="1:24" s="7" customFormat="1" ht="18" x14ac:dyDescent="0.3">
      <c r="K216" s="12"/>
      <c r="L216" s="12"/>
      <c r="M216" s="12"/>
      <c r="N216" s="1"/>
      <c r="O216" s="94"/>
      <c r="X216" s="93"/>
    </row>
    <row r="217" spans="1:24" s="7" customFormat="1" ht="18" x14ac:dyDescent="0.3">
      <c r="K217" s="12"/>
      <c r="L217" s="12"/>
      <c r="M217" s="12"/>
      <c r="N217" s="1"/>
      <c r="O217" s="94"/>
      <c r="X217" s="93"/>
    </row>
    <row r="218" spans="1:24" s="7" customFormat="1" ht="18" x14ac:dyDescent="0.3">
      <c r="K218" s="12"/>
      <c r="L218" s="12"/>
      <c r="M218" s="12"/>
      <c r="N218" s="1"/>
      <c r="O218" s="94"/>
      <c r="X218" s="93"/>
    </row>
    <row r="219" spans="1:24" s="7" customFormat="1" ht="18" x14ac:dyDescent="0.3">
      <c r="K219" s="12"/>
      <c r="L219" s="12"/>
      <c r="M219" s="12"/>
      <c r="N219" s="1"/>
      <c r="O219" s="94"/>
      <c r="X219" s="93"/>
    </row>
    <row r="220" spans="1:24" s="7" customFormat="1" ht="18" x14ac:dyDescent="0.3">
      <c r="K220" s="12"/>
      <c r="L220" s="12"/>
      <c r="M220" s="12"/>
      <c r="N220" s="1"/>
      <c r="O220" s="94"/>
      <c r="X220" s="93"/>
    </row>
    <row r="221" spans="1:24" s="7" customFormat="1" ht="18" x14ac:dyDescent="0.3">
      <c r="K221" s="60"/>
      <c r="L221" s="60"/>
      <c r="M221" s="60"/>
      <c r="N221" s="1"/>
      <c r="O221" s="93"/>
      <c r="X221" s="93"/>
    </row>
    <row r="222" spans="1:24" s="7" customFormat="1" ht="18" x14ac:dyDescent="0.3">
      <c r="K222" s="60"/>
      <c r="L222" s="60"/>
      <c r="M222" s="60"/>
      <c r="N222" s="1"/>
      <c r="O222" s="94"/>
      <c r="X222" s="93"/>
    </row>
    <row r="223" spans="1:24" s="7" customFormat="1" ht="18" x14ac:dyDescent="0.3">
      <c r="K223" s="60"/>
      <c r="L223" s="60"/>
      <c r="M223" s="60"/>
      <c r="N223" s="3"/>
      <c r="O223" s="93"/>
      <c r="R223" s="8"/>
      <c r="S223" s="8"/>
      <c r="T223" s="8"/>
      <c r="X223" s="93"/>
    </row>
    <row r="224" spans="1:24" s="7" customFormat="1" ht="18" x14ac:dyDescent="0.3">
      <c r="A224" s="59"/>
      <c r="B224" s="59"/>
      <c r="K224" s="8"/>
      <c r="L224" s="8"/>
      <c r="M224" s="8"/>
      <c r="N224" s="3"/>
      <c r="O224" s="93"/>
      <c r="R224" s="8"/>
      <c r="S224" s="8"/>
      <c r="T224" s="8"/>
      <c r="X224" s="93"/>
    </row>
    <row r="225" spans="1:30" s="7" customFormat="1" ht="18" x14ac:dyDescent="0.3">
      <c r="A225" s="59"/>
      <c r="B225" s="59"/>
      <c r="K225" s="8"/>
      <c r="L225" s="8"/>
      <c r="M225" s="8"/>
      <c r="N225" s="3"/>
      <c r="O225" s="93"/>
      <c r="R225" s="8"/>
      <c r="S225" s="8"/>
      <c r="T225" s="8"/>
      <c r="X225" s="93"/>
    </row>
    <row r="226" spans="1:30" s="7" customFormat="1" x14ac:dyDescent="0.3">
      <c r="N226" s="3"/>
      <c r="O226" s="93"/>
      <c r="R226" s="8"/>
      <c r="S226" s="8"/>
      <c r="T226" s="8"/>
      <c r="X226" s="93"/>
    </row>
    <row r="227" spans="1:30" s="7" customFormat="1" x14ac:dyDescent="0.3">
      <c r="N227" s="3"/>
      <c r="O227" s="93"/>
      <c r="X227" s="93"/>
    </row>
    <row r="228" spans="1:30" x14ac:dyDescent="0.3">
      <c r="O228" s="93"/>
      <c r="P228" s="7"/>
      <c r="Q228" s="7"/>
      <c r="R228" s="7"/>
      <c r="S228" s="7"/>
      <c r="T228" s="7"/>
      <c r="U228" s="7"/>
      <c r="V228" s="7"/>
      <c r="W228" s="7"/>
      <c r="AC228" s="7"/>
      <c r="AD228" s="7"/>
    </row>
  </sheetData>
  <mergeCells count="4">
    <mergeCell ref="A91:N91"/>
    <mergeCell ref="A1:M1"/>
    <mergeCell ref="O6:V6"/>
    <mergeCell ref="Q43:U43"/>
  </mergeCells>
  <conditionalFormatting sqref="K224:M225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4:M22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6:N218 N12 N211 N1:N10 N172 N178:N179 N187:N188 N203 K2:M5 N195:N201 N220 N224:N225 N205 N183 K172:M223 L6:M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2:M9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2:M97 E98:F98 G171:J171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3:O94">
    <cfRule type="colorScale" priority="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O9 O15 O11:O13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9:Q52">
    <cfRule type="colorScale" priority="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8">
    <cfRule type="colorScale" priority="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1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3">
    <cfRule type="colorScale" priority="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2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4">
    <cfRule type="colorScale" priority="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2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9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09">
    <cfRule type="colorScale" priority="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06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91">
    <cfRule type="colorScale" priority="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7 L12 L42 L26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72:M223 K107:M152 K2:M5 M11:M14 L8:M10 G61:J90 L6:M6 M16:M26 L27:M27 M28 K60:M62 L29:M41 L43:M56 L59:M59 M57:M58 M42 G7:M7 H60:J60 K65:M90 L63:M64">
    <cfRule type="colorScale" priority="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5:Q46 Q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:H59 J8:J59">
    <cfRule type="colorScale" priority="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59 I8:I59">
    <cfRule type="colorScale" priority="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E210-1752-4088-9F06-859160D8BB84}">
  <dimension ref="A1:I142"/>
  <sheetViews>
    <sheetView topLeftCell="A10" workbookViewId="0">
      <selection activeCell="A13" sqref="A13"/>
    </sheetView>
  </sheetViews>
  <sheetFormatPr defaultColWidth="9.109375" defaultRowHeight="12" x14ac:dyDescent="0.3"/>
  <cols>
    <col min="1" max="2" width="23.109375" style="119" customWidth="1"/>
    <col min="3" max="3" width="12.77734375" style="130" bestFit="1" customWidth="1"/>
    <col min="4" max="4" width="18.33203125" style="119" customWidth="1"/>
    <col min="5" max="5" width="90.5546875" style="131" customWidth="1"/>
    <col min="6" max="6" width="15" style="119" bestFit="1" customWidth="1"/>
    <col min="7" max="7" width="21.77734375" style="119" hidden="1" customWidth="1"/>
    <col min="8" max="8" width="15" style="119" bestFit="1" customWidth="1"/>
    <col min="9" max="9" width="10.21875" style="119" hidden="1" customWidth="1"/>
    <col min="10" max="16384" width="9.109375" style="119"/>
  </cols>
  <sheetData>
    <row r="1" spans="1:9" ht="21" x14ac:dyDescent="0.3">
      <c r="A1" s="116" t="s">
        <v>85</v>
      </c>
      <c r="B1" s="116" t="s">
        <v>86</v>
      </c>
      <c r="C1" s="116" t="s">
        <v>87</v>
      </c>
      <c r="D1" s="116" t="s">
        <v>88</v>
      </c>
      <c r="E1" s="117" t="s">
        <v>89</v>
      </c>
      <c r="F1" s="116" t="s">
        <v>90</v>
      </c>
      <c r="G1" s="116" t="s">
        <v>91</v>
      </c>
      <c r="H1" s="116" t="s">
        <v>92</v>
      </c>
      <c r="I1" s="118" t="s">
        <v>93</v>
      </c>
    </row>
    <row r="2" spans="1:9" ht="14.4" x14ac:dyDescent="0.3">
      <c r="A2" s="120"/>
      <c r="B2" s="120"/>
      <c r="C2" s="121" t="s">
        <v>5</v>
      </c>
      <c r="D2" s="120">
        <v>180328</v>
      </c>
      <c r="E2" s="122" t="s">
        <v>94</v>
      </c>
      <c r="F2" s="120" t="s">
        <v>95</v>
      </c>
      <c r="G2" s="120" t="s">
        <v>96</v>
      </c>
      <c r="H2" s="120" t="s">
        <v>95</v>
      </c>
      <c r="I2" s="119">
        <v>2</v>
      </c>
    </row>
    <row r="3" spans="1:9" ht="14.4" x14ac:dyDescent="0.3">
      <c r="A3" s="120"/>
      <c r="B3" s="120"/>
      <c r="C3" s="121" t="s">
        <v>5</v>
      </c>
      <c r="D3" s="120">
        <v>180436</v>
      </c>
      <c r="E3" s="122" t="s">
        <v>97</v>
      </c>
      <c r="F3" s="120" t="s">
        <v>95</v>
      </c>
      <c r="G3" s="120" t="s">
        <v>96</v>
      </c>
      <c r="H3" s="120" t="s">
        <v>95</v>
      </c>
      <c r="I3" s="119">
        <v>2</v>
      </c>
    </row>
    <row r="4" spans="1:9" ht="28.8" x14ac:dyDescent="0.3">
      <c r="A4" s="120"/>
      <c r="B4" s="120">
        <v>184883</v>
      </c>
      <c r="C4" s="121" t="s">
        <v>5</v>
      </c>
      <c r="D4" s="123">
        <v>181919</v>
      </c>
      <c r="E4" s="124" t="s">
        <v>98</v>
      </c>
      <c r="F4" s="123" t="s">
        <v>95</v>
      </c>
      <c r="G4" s="123" t="s">
        <v>96</v>
      </c>
      <c r="H4" s="123" t="s">
        <v>95</v>
      </c>
      <c r="I4" s="125">
        <v>2</v>
      </c>
    </row>
    <row r="5" spans="1:9" ht="28.8" x14ac:dyDescent="0.3">
      <c r="A5" s="120"/>
      <c r="B5" s="120">
        <v>184883</v>
      </c>
      <c r="C5" s="121" t="s">
        <v>5</v>
      </c>
      <c r="D5" s="123">
        <v>181930</v>
      </c>
      <c r="E5" s="124" t="s">
        <v>99</v>
      </c>
      <c r="F5" s="123" t="s">
        <v>95</v>
      </c>
      <c r="G5" s="123" t="s">
        <v>96</v>
      </c>
      <c r="H5" s="123" t="s">
        <v>95</v>
      </c>
      <c r="I5" s="125">
        <v>2</v>
      </c>
    </row>
    <row r="6" spans="1:9" ht="28.8" x14ac:dyDescent="0.3">
      <c r="A6" s="120"/>
      <c r="B6" s="120">
        <v>185580</v>
      </c>
      <c r="C6" s="121" t="s">
        <v>5</v>
      </c>
      <c r="D6" s="123">
        <v>181944</v>
      </c>
      <c r="E6" s="124" t="s">
        <v>100</v>
      </c>
      <c r="F6" s="123" t="s">
        <v>95</v>
      </c>
      <c r="G6" s="123" t="s">
        <v>96</v>
      </c>
      <c r="H6" s="123" t="s">
        <v>95</v>
      </c>
      <c r="I6" s="125">
        <v>2</v>
      </c>
    </row>
    <row r="7" spans="1:9" ht="28.8" x14ac:dyDescent="0.3">
      <c r="A7" s="120"/>
      <c r="B7" s="120">
        <v>185580</v>
      </c>
      <c r="C7" s="121" t="s">
        <v>5</v>
      </c>
      <c r="D7" s="123">
        <v>181946</v>
      </c>
      <c r="E7" s="124" t="s">
        <v>101</v>
      </c>
      <c r="F7" s="123" t="s">
        <v>95</v>
      </c>
      <c r="G7" s="123" t="s">
        <v>96</v>
      </c>
      <c r="H7" s="123" t="s">
        <v>95</v>
      </c>
      <c r="I7" s="125">
        <v>2</v>
      </c>
    </row>
    <row r="8" spans="1:9" x14ac:dyDescent="0.3">
      <c r="A8" s="120"/>
      <c r="B8" s="120">
        <v>184883</v>
      </c>
      <c r="C8" s="126" t="s">
        <v>5</v>
      </c>
      <c r="D8" s="120">
        <v>181866</v>
      </c>
      <c r="E8" s="122" t="s">
        <v>102</v>
      </c>
      <c r="F8" s="120" t="s">
        <v>103</v>
      </c>
      <c r="G8" s="120"/>
      <c r="H8" s="120"/>
    </row>
    <row r="9" spans="1:9" ht="28.8" x14ac:dyDescent="0.3">
      <c r="A9" s="120"/>
      <c r="B9" s="120"/>
      <c r="C9" s="121" t="s">
        <v>5</v>
      </c>
      <c r="D9" s="123">
        <v>181883</v>
      </c>
      <c r="E9" s="124" t="s">
        <v>104</v>
      </c>
      <c r="F9" s="123" t="s">
        <v>103</v>
      </c>
      <c r="G9" s="123" t="s">
        <v>96</v>
      </c>
      <c r="H9" s="123" t="s">
        <v>95</v>
      </c>
      <c r="I9" s="125">
        <v>2</v>
      </c>
    </row>
    <row r="10" spans="1:9" ht="28.8" x14ac:dyDescent="0.3">
      <c r="A10" s="120"/>
      <c r="B10" s="120"/>
      <c r="C10" s="127" t="s">
        <v>5</v>
      </c>
      <c r="D10" s="128">
        <v>182268</v>
      </c>
      <c r="E10" s="129" t="s">
        <v>105</v>
      </c>
      <c r="F10" s="115" t="s">
        <v>95</v>
      </c>
      <c r="G10" s="115" t="s">
        <v>96</v>
      </c>
      <c r="H10" s="115" t="s">
        <v>95</v>
      </c>
      <c r="I10">
        <v>2</v>
      </c>
    </row>
    <row r="11" spans="1:9" ht="14.4" x14ac:dyDescent="0.3">
      <c r="A11" s="120"/>
      <c r="B11" s="120"/>
      <c r="C11" s="127" t="s">
        <v>5</v>
      </c>
      <c r="D11" s="128">
        <v>180436</v>
      </c>
      <c r="E11" s="129" t="s">
        <v>97</v>
      </c>
      <c r="F11" s="115" t="s">
        <v>95</v>
      </c>
      <c r="G11" s="115" t="s">
        <v>96</v>
      </c>
      <c r="H11" s="115" t="s">
        <v>95</v>
      </c>
      <c r="I11">
        <v>2</v>
      </c>
    </row>
    <row r="12" spans="1:9" x14ac:dyDescent="0.3">
      <c r="A12" s="120" t="s">
        <v>106</v>
      </c>
      <c r="B12" s="120">
        <v>184883</v>
      </c>
      <c r="C12" s="126" t="s">
        <v>5</v>
      </c>
      <c r="D12" s="120">
        <v>181919</v>
      </c>
      <c r="E12" s="122" t="s">
        <v>98</v>
      </c>
      <c r="F12" s="120" t="s">
        <v>95</v>
      </c>
      <c r="G12" s="120"/>
      <c r="H12" s="120"/>
    </row>
    <row r="13" spans="1:9" ht="28.8" x14ac:dyDescent="0.3">
      <c r="A13" s="120" t="s">
        <v>106</v>
      </c>
      <c r="B13" s="120">
        <v>184883</v>
      </c>
      <c r="C13" s="127" t="s">
        <v>5</v>
      </c>
      <c r="D13" s="128">
        <v>181930</v>
      </c>
      <c r="E13" s="129" t="s">
        <v>99</v>
      </c>
      <c r="F13" s="115" t="s">
        <v>95</v>
      </c>
      <c r="G13" s="115" t="s">
        <v>96</v>
      </c>
      <c r="H13" s="115" t="s">
        <v>95</v>
      </c>
      <c r="I13">
        <v>2</v>
      </c>
    </row>
    <row r="14" spans="1:9" ht="28.8" x14ac:dyDescent="0.3">
      <c r="A14" s="120" t="s">
        <v>106</v>
      </c>
      <c r="B14" s="120">
        <v>184883</v>
      </c>
      <c r="C14" s="127" t="s">
        <v>5</v>
      </c>
      <c r="D14" s="128">
        <v>181948</v>
      </c>
      <c r="E14" s="129" t="s">
        <v>107</v>
      </c>
      <c r="F14" s="115" t="s">
        <v>95</v>
      </c>
      <c r="G14" s="115" t="s">
        <v>96</v>
      </c>
      <c r="H14" s="115" t="s">
        <v>95</v>
      </c>
      <c r="I14">
        <v>2</v>
      </c>
    </row>
    <row r="15" spans="1:9" ht="28.8" x14ac:dyDescent="0.3">
      <c r="A15" s="120" t="s">
        <v>106</v>
      </c>
      <c r="B15" s="120">
        <v>184883</v>
      </c>
      <c r="C15" s="127" t="s">
        <v>5</v>
      </c>
      <c r="D15" s="128">
        <v>181950</v>
      </c>
      <c r="E15" s="129" t="s">
        <v>108</v>
      </c>
      <c r="F15" s="115" t="s">
        <v>95</v>
      </c>
      <c r="G15" s="115"/>
      <c r="H15" s="115"/>
      <c r="I15"/>
    </row>
    <row r="16" spans="1:9" ht="28.8" x14ac:dyDescent="0.3">
      <c r="A16" s="120" t="s">
        <v>106</v>
      </c>
      <c r="B16" s="120">
        <v>184883</v>
      </c>
      <c r="C16" s="127" t="s">
        <v>5</v>
      </c>
      <c r="D16" s="128">
        <v>181953</v>
      </c>
      <c r="E16" s="129" t="s">
        <v>109</v>
      </c>
      <c r="F16" s="115" t="s">
        <v>95</v>
      </c>
      <c r="G16" s="115"/>
      <c r="H16" s="115"/>
      <c r="I16"/>
    </row>
    <row r="17" spans="1:9" ht="28.8" x14ac:dyDescent="0.3">
      <c r="A17" s="120" t="s">
        <v>106</v>
      </c>
      <c r="B17" s="120">
        <v>184883</v>
      </c>
      <c r="C17" s="127" t="s">
        <v>5</v>
      </c>
      <c r="D17" s="128">
        <v>181956</v>
      </c>
      <c r="E17" s="129" t="s">
        <v>110</v>
      </c>
      <c r="F17" s="115" t="s">
        <v>95</v>
      </c>
      <c r="G17" s="115"/>
      <c r="H17" s="115"/>
      <c r="I17"/>
    </row>
    <row r="18" spans="1:9" ht="28.8" x14ac:dyDescent="0.3">
      <c r="A18" s="120" t="s">
        <v>106</v>
      </c>
      <c r="B18" s="120">
        <v>184883</v>
      </c>
      <c r="C18" s="127" t="s">
        <v>5</v>
      </c>
      <c r="D18" s="128">
        <v>181883</v>
      </c>
      <c r="E18" s="129" t="s">
        <v>104</v>
      </c>
      <c r="F18" s="115" t="s">
        <v>95</v>
      </c>
      <c r="G18" s="115" t="s">
        <v>96</v>
      </c>
      <c r="H18" s="115" t="s">
        <v>95</v>
      </c>
      <c r="I18">
        <v>2</v>
      </c>
    </row>
    <row r="19" spans="1:9" ht="28.8" x14ac:dyDescent="0.3">
      <c r="A19" s="120" t="s">
        <v>106</v>
      </c>
      <c r="B19" s="120">
        <v>184883</v>
      </c>
      <c r="C19" s="127" t="s">
        <v>5</v>
      </c>
      <c r="D19" s="128">
        <v>181907</v>
      </c>
      <c r="E19" s="129" t="s">
        <v>111</v>
      </c>
      <c r="F19" s="115" t="s">
        <v>95</v>
      </c>
      <c r="G19" s="115" t="s">
        <v>96</v>
      </c>
      <c r="H19" s="115" t="s">
        <v>95</v>
      </c>
      <c r="I19">
        <v>2</v>
      </c>
    </row>
    <row r="20" spans="1:9" ht="28.8" x14ac:dyDescent="0.3">
      <c r="A20" s="120" t="s">
        <v>106</v>
      </c>
      <c r="B20" s="120">
        <v>184883</v>
      </c>
      <c r="C20" s="127" t="s">
        <v>5</v>
      </c>
      <c r="D20" s="128">
        <v>181910</v>
      </c>
      <c r="E20" s="129" t="s">
        <v>112</v>
      </c>
      <c r="F20" s="115" t="s">
        <v>95</v>
      </c>
      <c r="G20" s="115" t="s">
        <v>96</v>
      </c>
      <c r="H20" s="115" t="s">
        <v>95</v>
      </c>
      <c r="I20">
        <v>2</v>
      </c>
    </row>
    <row r="21" spans="1:9" ht="28.8" x14ac:dyDescent="0.3">
      <c r="A21" s="120" t="s">
        <v>106</v>
      </c>
      <c r="B21" s="120">
        <v>184883</v>
      </c>
      <c r="C21" s="127" t="s">
        <v>5</v>
      </c>
      <c r="D21" s="128">
        <v>181912</v>
      </c>
      <c r="E21" s="129" t="s">
        <v>113</v>
      </c>
      <c r="F21" s="115" t="s">
        <v>95</v>
      </c>
      <c r="G21" s="115" t="s">
        <v>96</v>
      </c>
      <c r="H21" s="115" t="s">
        <v>95</v>
      </c>
      <c r="I21">
        <v>2</v>
      </c>
    </row>
    <row r="22" spans="1:9" ht="28.8" x14ac:dyDescent="0.3">
      <c r="A22" s="120" t="s">
        <v>106</v>
      </c>
      <c r="B22" s="120">
        <v>184883</v>
      </c>
      <c r="C22" s="127" t="s">
        <v>5</v>
      </c>
      <c r="D22" s="128">
        <v>181915</v>
      </c>
      <c r="E22" s="129" t="s">
        <v>114</v>
      </c>
      <c r="F22" s="115" t="s">
        <v>95</v>
      </c>
      <c r="G22" s="115" t="s">
        <v>96</v>
      </c>
      <c r="H22" s="115" t="s">
        <v>95</v>
      </c>
      <c r="I22">
        <v>2</v>
      </c>
    </row>
    <row r="23" spans="1:9" ht="14.4" x14ac:dyDescent="0.3">
      <c r="A23" s="120"/>
      <c r="B23" s="120"/>
      <c r="C23" s="127" t="s">
        <v>5</v>
      </c>
      <c r="D23" s="128">
        <v>176888</v>
      </c>
      <c r="E23" s="129" t="s">
        <v>115</v>
      </c>
      <c r="F23" s="115" t="s">
        <v>116</v>
      </c>
      <c r="G23" s="115" t="s">
        <v>96</v>
      </c>
      <c r="H23" s="115" t="s">
        <v>116</v>
      </c>
      <c r="I23">
        <v>2</v>
      </c>
    </row>
    <row r="24" spans="1:9" ht="14.4" x14ac:dyDescent="0.3">
      <c r="A24" s="120"/>
      <c r="B24" s="120"/>
      <c r="C24" s="127" t="s">
        <v>5</v>
      </c>
      <c r="D24" s="128">
        <v>176919</v>
      </c>
      <c r="E24" s="129" t="s">
        <v>117</v>
      </c>
      <c r="F24" s="115" t="s">
        <v>116</v>
      </c>
      <c r="G24" s="115" t="s">
        <v>96</v>
      </c>
      <c r="H24" s="115" t="s">
        <v>116</v>
      </c>
      <c r="I24">
        <v>2</v>
      </c>
    </row>
    <row r="25" spans="1:9" ht="14.4" x14ac:dyDescent="0.3">
      <c r="A25" s="120"/>
      <c r="B25" s="120"/>
      <c r="C25" s="127" t="s">
        <v>5</v>
      </c>
      <c r="D25" s="128">
        <v>176969</v>
      </c>
      <c r="E25" s="129" t="s">
        <v>118</v>
      </c>
      <c r="F25" s="115" t="s">
        <v>116</v>
      </c>
      <c r="G25" s="115" t="s">
        <v>96</v>
      </c>
      <c r="H25" s="115" t="s">
        <v>116</v>
      </c>
      <c r="I25">
        <v>2</v>
      </c>
    </row>
    <row r="26" spans="1:9" ht="14.4" x14ac:dyDescent="0.3">
      <c r="A26" s="120"/>
      <c r="B26" s="120"/>
      <c r="C26" s="127" t="s">
        <v>5</v>
      </c>
      <c r="D26" s="128">
        <v>176973</v>
      </c>
      <c r="E26" s="129" t="s">
        <v>119</v>
      </c>
      <c r="F26" s="115" t="s">
        <v>116</v>
      </c>
      <c r="G26" s="115" t="s">
        <v>96</v>
      </c>
      <c r="H26" s="115" t="s">
        <v>116</v>
      </c>
      <c r="I26">
        <v>2</v>
      </c>
    </row>
    <row r="27" spans="1:9" ht="14.4" x14ac:dyDescent="0.3">
      <c r="A27" s="120"/>
      <c r="B27" s="120"/>
      <c r="C27" s="127" t="s">
        <v>5</v>
      </c>
      <c r="D27" s="128">
        <v>175601</v>
      </c>
      <c r="E27" s="129" t="s">
        <v>120</v>
      </c>
      <c r="F27" s="115" t="s">
        <v>116</v>
      </c>
      <c r="G27" s="115" t="s">
        <v>96</v>
      </c>
      <c r="H27" s="115" t="s">
        <v>116</v>
      </c>
      <c r="I27">
        <v>2</v>
      </c>
    </row>
    <row r="28" spans="1:9" ht="14.4" x14ac:dyDescent="0.3">
      <c r="A28" s="120"/>
      <c r="B28" s="120"/>
      <c r="C28" s="127" t="s">
        <v>5</v>
      </c>
      <c r="D28" s="128">
        <v>175620</v>
      </c>
      <c r="E28" s="129" t="s">
        <v>121</v>
      </c>
      <c r="F28" s="115" t="s">
        <v>116</v>
      </c>
      <c r="G28" s="115" t="s">
        <v>96</v>
      </c>
      <c r="H28" s="115" t="s">
        <v>116</v>
      </c>
      <c r="I28">
        <v>2</v>
      </c>
    </row>
    <row r="29" spans="1:9" ht="14.4" x14ac:dyDescent="0.3">
      <c r="A29" s="120"/>
      <c r="B29" s="120"/>
      <c r="C29" s="127" t="s">
        <v>5</v>
      </c>
      <c r="D29" s="128">
        <v>175833</v>
      </c>
      <c r="E29" s="129" t="s">
        <v>122</v>
      </c>
      <c r="F29" s="115" t="s">
        <v>95</v>
      </c>
      <c r="G29" s="115" t="s">
        <v>96</v>
      </c>
      <c r="H29" s="115" t="s">
        <v>116</v>
      </c>
      <c r="I29">
        <v>2</v>
      </c>
    </row>
    <row r="30" spans="1:9" ht="28.8" x14ac:dyDescent="0.3">
      <c r="A30" s="120"/>
      <c r="B30" s="120"/>
      <c r="C30" s="127" t="s">
        <v>5</v>
      </c>
      <c r="D30" s="128">
        <v>182269</v>
      </c>
      <c r="E30" s="129" t="s">
        <v>123</v>
      </c>
      <c r="F30" s="115" t="s">
        <v>95</v>
      </c>
      <c r="G30" s="115" t="s">
        <v>96</v>
      </c>
      <c r="H30" s="115" t="s">
        <v>95</v>
      </c>
      <c r="I30">
        <v>2</v>
      </c>
    </row>
    <row r="31" spans="1:9" ht="28.8" x14ac:dyDescent="0.3">
      <c r="A31" s="120"/>
      <c r="B31" s="120"/>
      <c r="C31" s="127" t="s">
        <v>5</v>
      </c>
      <c r="D31" s="128">
        <v>182019</v>
      </c>
      <c r="E31" s="129" t="s">
        <v>124</v>
      </c>
      <c r="F31" s="115" t="s">
        <v>103</v>
      </c>
      <c r="G31" s="115" t="s">
        <v>96</v>
      </c>
      <c r="H31" s="115" t="s">
        <v>103</v>
      </c>
      <c r="I31">
        <v>2</v>
      </c>
    </row>
    <row r="32" spans="1:9" ht="28.8" x14ac:dyDescent="0.3">
      <c r="A32" s="120">
        <v>6847</v>
      </c>
      <c r="B32" s="120"/>
      <c r="C32" s="127" t="s">
        <v>5</v>
      </c>
      <c r="D32" s="128">
        <v>181813</v>
      </c>
      <c r="E32" s="129" t="s">
        <v>125</v>
      </c>
      <c r="F32" s="115" t="s">
        <v>95</v>
      </c>
      <c r="G32" s="115" t="s">
        <v>96</v>
      </c>
      <c r="H32" s="115" t="s">
        <v>95</v>
      </c>
      <c r="I32">
        <v>2</v>
      </c>
    </row>
    <row r="33" spans="1:9" ht="28.8" x14ac:dyDescent="0.3">
      <c r="A33" s="120"/>
      <c r="B33" s="120"/>
      <c r="C33" s="127" t="s">
        <v>5</v>
      </c>
      <c r="D33" s="128">
        <v>181811</v>
      </c>
      <c r="E33" s="129" t="s">
        <v>126</v>
      </c>
      <c r="F33" s="115" t="s">
        <v>95</v>
      </c>
      <c r="G33" s="115" t="s">
        <v>96</v>
      </c>
      <c r="H33" s="115" t="s">
        <v>95</v>
      </c>
      <c r="I33">
        <v>2</v>
      </c>
    </row>
    <row r="34" spans="1:9" ht="28.8" x14ac:dyDescent="0.3">
      <c r="A34" s="120"/>
      <c r="B34" s="120"/>
      <c r="C34" s="127" t="s">
        <v>5</v>
      </c>
      <c r="D34" s="128">
        <v>174382</v>
      </c>
      <c r="E34" s="129" t="s">
        <v>127</v>
      </c>
      <c r="F34" s="115" t="s">
        <v>95</v>
      </c>
      <c r="G34" s="115" t="s">
        <v>96</v>
      </c>
      <c r="H34" s="115" t="s">
        <v>95</v>
      </c>
      <c r="I34">
        <v>2</v>
      </c>
    </row>
    <row r="35" spans="1:9" ht="14.4" x14ac:dyDescent="0.3">
      <c r="A35" s="120"/>
      <c r="B35" s="120"/>
      <c r="C35" s="127" t="s">
        <v>5</v>
      </c>
      <c r="D35" s="128">
        <v>174531</v>
      </c>
      <c r="E35" s="129" t="s">
        <v>128</v>
      </c>
      <c r="F35" s="115" t="s">
        <v>95</v>
      </c>
      <c r="G35" s="115" t="s">
        <v>96</v>
      </c>
      <c r="H35" s="115" t="s">
        <v>95</v>
      </c>
      <c r="I35">
        <v>2</v>
      </c>
    </row>
    <row r="36" spans="1:9" ht="14.4" x14ac:dyDescent="0.3">
      <c r="A36" s="120"/>
      <c r="B36" s="120"/>
      <c r="C36" s="127" t="s">
        <v>5</v>
      </c>
      <c r="D36" s="128">
        <v>175835</v>
      </c>
      <c r="E36" s="129" t="s">
        <v>129</v>
      </c>
      <c r="F36" s="115" t="s">
        <v>95</v>
      </c>
      <c r="G36" s="115" t="s">
        <v>96</v>
      </c>
      <c r="H36" s="115" t="s">
        <v>95</v>
      </c>
      <c r="I36">
        <v>2</v>
      </c>
    </row>
    <row r="37" spans="1:9" ht="28.8" x14ac:dyDescent="0.3">
      <c r="A37" s="120"/>
      <c r="B37" s="120"/>
      <c r="C37" s="127" t="s">
        <v>5</v>
      </c>
      <c r="D37" s="128">
        <v>180431</v>
      </c>
      <c r="E37" s="129" t="s">
        <v>130</v>
      </c>
      <c r="F37" s="115" t="s">
        <v>116</v>
      </c>
      <c r="G37" s="115" t="s">
        <v>96</v>
      </c>
      <c r="H37" s="115" t="s">
        <v>116</v>
      </c>
      <c r="I37">
        <v>2</v>
      </c>
    </row>
    <row r="38" spans="1:9" ht="28.8" x14ac:dyDescent="0.3">
      <c r="A38" s="120"/>
      <c r="B38" s="120"/>
      <c r="C38" s="127" t="s">
        <v>5</v>
      </c>
      <c r="D38" s="128">
        <v>180453</v>
      </c>
      <c r="E38" s="129" t="s">
        <v>131</v>
      </c>
      <c r="F38" s="115" t="s">
        <v>116</v>
      </c>
      <c r="G38" s="115" t="s">
        <v>96</v>
      </c>
      <c r="H38" s="115" t="s">
        <v>116</v>
      </c>
      <c r="I38">
        <v>2</v>
      </c>
    </row>
    <row r="39" spans="1:9" ht="43.2" x14ac:dyDescent="0.3">
      <c r="A39" s="120"/>
      <c r="B39" s="120"/>
      <c r="C39" s="127" t="s">
        <v>5</v>
      </c>
      <c r="D39" s="128">
        <v>180454</v>
      </c>
      <c r="E39" s="129" t="s">
        <v>132</v>
      </c>
      <c r="F39" s="115" t="s">
        <v>116</v>
      </c>
      <c r="G39" s="115" t="s">
        <v>96</v>
      </c>
      <c r="H39" s="115" t="s">
        <v>116</v>
      </c>
      <c r="I39">
        <v>2</v>
      </c>
    </row>
    <row r="40" spans="1:9" ht="28.8" x14ac:dyDescent="0.3">
      <c r="A40" s="120"/>
      <c r="B40" s="120"/>
      <c r="C40" s="127" t="s">
        <v>5</v>
      </c>
      <c r="D40" s="128">
        <v>180456</v>
      </c>
      <c r="E40" s="129" t="s">
        <v>133</v>
      </c>
      <c r="F40" s="115" t="s">
        <v>116</v>
      </c>
      <c r="G40" s="115" t="s">
        <v>96</v>
      </c>
      <c r="H40" s="115" t="s">
        <v>116</v>
      </c>
      <c r="I40">
        <v>2</v>
      </c>
    </row>
    <row r="41" spans="1:9" ht="28.8" x14ac:dyDescent="0.3">
      <c r="A41" s="120"/>
      <c r="B41" s="120"/>
      <c r="C41" s="127" t="s">
        <v>5</v>
      </c>
      <c r="D41" s="128">
        <v>180460</v>
      </c>
      <c r="E41" s="129" t="s">
        <v>134</v>
      </c>
      <c r="F41" s="115" t="s">
        <v>116</v>
      </c>
      <c r="G41" s="115" t="s">
        <v>96</v>
      </c>
      <c r="H41" s="115" t="s">
        <v>116</v>
      </c>
      <c r="I41">
        <v>2</v>
      </c>
    </row>
    <row r="42" spans="1:9" ht="28.8" x14ac:dyDescent="0.3">
      <c r="A42" s="120"/>
      <c r="B42" s="120"/>
      <c r="C42" s="127" t="s">
        <v>5</v>
      </c>
      <c r="D42" s="128">
        <v>180468</v>
      </c>
      <c r="E42" s="129" t="s">
        <v>135</v>
      </c>
      <c r="F42" s="115" t="s">
        <v>116</v>
      </c>
      <c r="G42" s="115" t="s">
        <v>96</v>
      </c>
      <c r="H42" s="115" t="s">
        <v>116</v>
      </c>
      <c r="I42">
        <v>2</v>
      </c>
    </row>
    <row r="43" spans="1:9" ht="28.8" x14ac:dyDescent="0.3">
      <c r="A43" s="120"/>
      <c r="B43" s="120"/>
      <c r="C43" s="127" t="s">
        <v>5</v>
      </c>
      <c r="D43" s="128">
        <v>180470</v>
      </c>
      <c r="E43" s="129" t="s">
        <v>136</v>
      </c>
      <c r="F43" s="115" t="s">
        <v>116</v>
      </c>
      <c r="G43" s="115" t="s">
        <v>96</v>
      </c>
      <c r="H43" s="115" t="s">
        <v>116</v>
      </c>
      <c r="I43">
        <v>2</v>
      </c>
    </row>
    <row r="44" spans="1:9" ht="43.2" x14ac:dyDescent="0.3">
      <c r="A44" s="120"/>
      <c r="B44" s="120"/>
      <c r="C44" s="127" t="s">
        <v>5</v>
      </c>
      <c r="D44" s="128">
        <v>180471</v>
      </c>
      <c r="E44" s="129" t="s">
        <v>137</v>
      </c>
      <c r="F44" s="115" t="s">
        <v>116</v>
      </c>
      <c r="G44" s="115" t="s">
        <v>96</v>
      </c>
      <c r="H44" s="115" t="s">
        <v>116</v>
      </c>
      <c r="I44">
        <v>2</v>
      </c>
    </row>
    <row r="45" spans="1:9" ht="28.8" x14ac:dyDescent="0.3">
      <c r="A45" s="120"/>
      <c r="B45" s="120"/>
      <c r="C45" s="127" t="s">
        <v>5</v>
      </c>
      <c r="D45" s="128">
        <v>180472</v>
      </c>
      <c r="E45" s="129" t="s">
        <v>138</v>
      </c>
      <c r="F45" s="115" t="s">
        <v>116</v>
      </c>
      <c r="G45" s="115" t="s">
        <v>96</v>
      </c>
      <c r="H45" s="115" t="s">
        <v>116</v>
      </c>
      <c r="I45">
        <v>2</v>
      </c>
    </row>
    <row r="46" spans="1:9" ht="28.8" x14ac:dyDescent="0.3">
      <c r="A46" s="120"/>
      <c r="B46" s="120"/>
      <c r="C46" s="127" t="s">
        <v>5</v>
      </c>
      <c r="D46" s="128">
        <v>180473</v>
      </c>
      <c r="E46" s="129" t="s">
        <v>139</v>
      </c>
      <c r="F46" s="115" t="s">
        <v>116</v>
      </c>
      <c r="G46" s="115" t="s">
        <v>96</v>
      </c>
      <c r="H46" s="115" t="s">
        <v>116</v>
      </c>
      <c r="I46">
        <v>2</v>
      </c>
    </row>
    <row r="47" spans="1:9" ht="28.8" x14ac:dyDescent="0.3">
      <c r="A47" s="120"/>
      <c r="B47" s="120"/>
      <c r="C47" s="127" t="s">
        <v>5</v>
      </c>
      <c r="D47" s="128">
        <v>180478</v>
      </c>
      <c r="E47" s="129" t="s">
        <v>140</v>
      </c>
      <c r="F47" s="115" t="s">
        <v>116</v>
      </c>
      <c r="G47" s="115" t="s">
        <v>96</v>
      </c>
      <c r="H47" s="115" t="s">
        <v>116</v>
      </c>
      <c r="I47">
        <v>2</v>
      </c>
    </row>
    <row r="48" spans="1:9" ht="43.2" x14ac:dyDescent="0.3">
      <c r="A48" s="120"/>
      <c r="B48" s="120"/>
      <c r="C48" s="127" t="s">
        <v>5</v>
      </c>
      <c r="D48" s="128">
        <v>180706</v>
      </c>
      <c r="E48" s="129" t="s">
        <v>141</v>
      </c>
      <c r="F48" s="115" t="s">
        <v>116</v>
      </c>
      <c r="G48" s="115" t="s">
        <v>96</v>
      </c>
      <c r="H48" s="115" t="s">
        <v>116</v>
      </c>
      <c r="I48">
        <v>2</v>
      </c>
    </row>
    <row r="49" spans="1:9" ht="43.2" x14ac:dyDescent="0.3">
      <c r="A49" s="120"/>
      <c r="B49" s="120"/>
      <c r="C49" s="127" t="s">
        <v>5</v>
      </c>
      <c r="D49" s="128">
        <v>180713</v>
      </c>
      <c r="E49" s="129" t="s">
        <v>142</v>
      </c>
      <c r="F49" s="115" t="s">
        <v>116</v>
      </c>
      <c r="G49" s="115" t="s">
        <v>96</v>
      </c>
      <c r="H49" s="115" t="s">
        <v>116</v>
      </c>
      <c r="I49">
        <v>2</v>
      </c>
    </row>
    <row r="50" spans="1:9" ht="43.2" x14ac:dyDescent="0.3">
      <c r="A50" s="120"/>
      <c r="B50" s="120"/>
      <c r="C50" s="127" t="s">
        <v>5</v>
      </c>
      <c r="D50" s="128">
        <v>180714</v>
      </c>
      <c r="E50" s="129" t="s">
        <v>143</v>
      </c>
      <c r="F50" s="115" t="s">
        <v>116</v>
      </c>
      <c r="G50" s="115" t="s">
        <v>96</v>
      </c>
      <c r="H50" s="115" t="s">
        <v>95</v>
      </c>
      <c r="I50">
        <v>2</v>
      </c>
    </row>
    <row r="51" spans="1:9" ht="24" x14ac:dyDescent="0.3">
      <c r="A51" s="120"/>
      <c r="B51" s="120"/>
      <c r="C51" s="127" t="s">
        <v>5</v>
      </c>
      <c r="D51" s="128">
        <v>180715</v>
      </c>
      <c r="E51" s="122" t="s">
        <v>144</v>
      </c>
      <c r="F51" s="115" t="s">
        <v>116</v>
      </c>
      <c r="G51" s="115" t="s">
        <v>96</v>
      </c>
      <c r="H51" s="115" t="s">
        <v>95</v>
      </c>
    </row>
    <row r="52" spans="1:9" ht="14.4" x14ac:dyDescent="0.3">
      <c r="A52" s="120"/>
      <c r="B52" s="120"/>
      <c r="C52" s="127" t="s">
        <v>5</v>
      </c>
      <c r="D52" s="128">
        <v>180652</v>
      </c>
      <c r="E52" s="129" t="s">
        <v>145</v>
      </c>
      <c r="F52" s="115" t="s">
        <v>95</v>
      </c>
      <c r="G52" s="115" t="s">
        <v>96</v>
      </c>
      <c r="H52" s="115" t="s">
        <v>95</v>
      </c>
      <c r="I52">
        <v>2</v>
      </c>
    </row>
    <row r="53" spans="1:9" ht="28.8" x14ac:dyDescent="0.3">
      <c r="A53" s="120"/>
      <c r="B53" s="120"/>
      <c r="C53" s="127" t="s">
        <v>5</v>
      </c>
      <c r="D53" s="128">
        <v>183503</v>
      </c>
      <c r="E53" s="129" t="s">
        <v>146</v>
      </c>
      <c r="F53" s="115" t="s">
        <v>147</v>
      </c>
      <c r="G53" s="115" t="s">
        <v>96</v>
      </c>
      <c r="H53" s="115" t="s">
        <v>147</v>
      </c>
      <c r="I53">
        <v>2</v>
      </c>
    </row>
    <row r="54" spans="1:9" ht="28.8" x14ac:dyDescent="0.3">
      <c r="A54" s="120"/>
      <c r="B54" s="120"/>
      <c r="C54" s="127" t="s">
        <v>5</v>
      </c>
      <c r="D54" s="128">
        <v>183523</v>
      </c>
      <c r="E54" s="129" t="s">
        <v>148</v>
      </c>
      <c r="F54" s="115" t="s">
        <v>147</v>
      </c>
      <c r="G54" s="115" t="s">
        <v>96</v>
      </c>
      <c r="H54" s="115" t="s">
        <v>147</v>
      </c>
      <c r="I54">
        <v>2</v>
      </c>
    </row>
    <row r="55" spans="1:9" ht="28.8" x14ac:dyDescent="0.3">
      <c r="A55" s="120"/>
      <c r="B55" s="120"/>
      <c r="C55" s="127" t="s">
        <v>5</v>
      </c>
      <c r="D55" s="128">
        <v>182617</v>
      </c>
      <c r="E55" s="129" t="s">
        <v>149</v>
      </c>
      <c r="F55" s="115" t="s">
        <v>147</v>
      </c>
      <c r="G55" s="115" t="s">
        <v>96</v>
      </c>
      <c r="H55" s="115" t="s">
        <v>147</v>
      </c>
      <c r="I55">
        <v>2</v>
      </c>
    </row>
    <row r="56" spans="1:9" ht="28.8" x14ac:dyDescent="0.3">
      <c r="A56" s="120"/>
      <c r="B56" s="120"/>
      <c r="C56" s="127" t="s">
        <v>5</v>
      </c>
      <c r="D56" s="128">
        <v>182621</v>
      </c>
      <c r="E56" s="129" t="s">
        <v>150</v>
      </c>
      <c r="F56" s="115" t="s">
        <v>147</v>
      </c>
      <c r="G56" s="115"/>
      <c r="H56" s="115"/>
      <c r="I56"/>
    </row>
    <row r="57" spans="1:9" ht="28.8" x14ac:dyDescent="0.3">
      <c r="A57" s="120"/>
      <c r="B57" s="120"/>
      <c r="C57" s="127" t="s">
        <v>5</v>
      </c>
      <c r="D57" s="128">
        <v>182624</v>
      </c>
      <c r="E57" s="129" t="s">
        <v>151</v>
      </c>
      <c r="F57" s="115" t="s">
        <v>147</v>
      </c>
      <c r="G57" s="115"/>
      <c r="H57" s="115"/>
      <c r="I57"/>
    </row>
    <row r="58" spans="1:9" ht="28.8" x14ac:dyDescent="0.3">
      <c r="A58" s="120"/>
      <c r="B58" s="120"/>
      <c r="C58" s="127" t="s">
        <v>5</v>
      </c>
      <c r="D58" s="128">
        <v>182625</v>
      </c>
      <c r="E58" s="129" t="s">
        <v>152</v>
      </c>
      <c r="F58" s="115" t="s">
        <v>147</v>
      </c>
      <c r="G58" s="115" t="s">
        <v>96</v>
      </c>
      <c r="H58" s="115" t="s">
        <v>147</v>
      </c>
      <c r="I58">
        <v>2</v>
      </c>
    </row>
    <row r="59" spans="1:9" ht="14.4" x14ac:dyDescent="0.3">
      <c r="A59" s="120"/>
      <c r="B59" s="120"/>
      <c r="C59" s="127" t="s">
        <v>5</v>
      </c>
      <c r="D59" s="128">
        <v>182627</v>
      </c>
      <c r="E59" s="129" t="s">
        <v>153</v>
      </c>
      <c r="F59" s="115" t="s">
        <v>147</v>
      </c>
      <c r="G59" s="115" t="s">
        <v>96</v>
      </c>
      <c r="H59" s="115" t="s">
        <v>147</v>
      </c>
      <c r="I59">
        <v>2</v>
      </c>
    </row>
    <row r="60" spans="1:9" ht="28.8" x14ac:dyDescent="0.3">
      <c r="A60" s="120"/>
      <c r="B60" s="120"/>
      <c r="C60" s="127" t="s">
        <v>5</v>
      </c>
      <c r="D60" s="128">
        <v>182631</v>
      </c>
      <c r="E60" s="129" t="s">
        <v>154</v>
      </c>
      <c r="F60" s="115" t="s">
        <v>147</v>
      </c>
      <c r="G60" s="115"/>
      <c r="H60" s="115"/>
      <c r="I60"/>
    </row>
    <row r="61" spans="1:9" ht="28.8" x14ac:dyDescent="0.3">
      <c r="A61" s="120"/>
      <c r="B61" s="120"/>
      <c r="C61" s="127" t="s">
        <v>5</v>
      </c>
      <c r="D61" s="128">
        <v>182632</v>
      </c>
      <c r="E61" s="129" t="s">
        <v>155</v>
      </c>
      <c r="F61" s="115" t="s">
        <v>147</v>
      </c>
      <c r="G61" s="115"/>
      <c r="H61" s="115"/>
      <c r="I61"/>
    </row>
    <row r="62" spans="1:9" ht="28.8" x14ac:dyDescent="0.3">
      <c r="A62" s="120"/>
      <c r="B62" s="120"/>
      <c r="C62" s="127" t="s">
        <v>5</v>
      </c>
      <c r="D62" s="128">
        <v>182676</v>
      </c>
      <c r="E62" s="129" t="s">
        <v>156</v>
      </c>
      <c r="F62" s="115" t="s">
        <v>147</v>
      </c>
      <c r="G62" s="115" t="s">
        <v>96</v>
      </c>
      <c r="H62" s="115" t="s">
        <v>147</v>
      </c>
      <c r="I62">
        <v>2</v>
      </c>
    </row>
    <row r="63" spans="1:9" ht="28.8" x14ac:dyDescent="0.3">
      <c r="A63" s="120"/>
      <c r="B63" s="120"/>
      <c r="C63" s="127" t="s">
        <v>5</v>
      </c>
      <c r="D63" s="128">
        <v>182679</v>
      </c>
      <c r="E63" s="129" t="s">
        <v>157</v>
      </c>
      <c r="F63" s="115" t="s">
        <v>147</v>
      </c>
      <c r="G63" s="115" t="s">
        <v>96</v>
      </c>
      <c r="H63" s="115" t="s">
        <v>147</v>
      </c>
      <c r="I63">
        <v>2</v>
      </c>
    </row>
    <row r="64" spans="1:9" ht="28.8" x14ac:dyDescent="0.3">
      <c r="A64" s="120"/>
      <c r="B64" s="120"/>
      <c r="C64" s="127" t="s">
        <v>5</v>
      </c>
      <c r="D64" s="128">
        <v>182681</v>
      </c>
      <c r="E64" s="129" t="s">
        <v>158</v>
      </c>
      <c r="F64" s="115" t="s">
        <v>147</v>
      </c>
      <c r="G64" s="115" t="s">
        <v>96</v>
      </c>
      <c r="H64" s="115" t="s">
        <v>147</v>
      </c>
      <c r="I64">
        <v>2</v>
      </c>
    </row>
    <row r="65" spans="1:9" ht="43.2" x14ac:dyDescent="0.3">
      <c r="A65" s="120"/>
      <c r="B65" s="120"/>
      <c r="C65" s="127" t="s">
        <v>5</v>
      </c>
      <c r="D65" s="128">
        <v>182703</v>
      </c>
      <c r="E65" s="129" t="s">
        <v>159</v>
      </c>
      <c r="F65" s="115" t="s">
        <v>147</v>
      </c>
      <c r="G65" s="115" t="s">
        <v>96</v>
      </c>
      <c r="H65" s="115" t="s">
        <v>147</v>
      </c>
      <c r="I65">
        <v>2</v>
      </c>
    </row>
    <row r="66" spans="1:9" ht="43.2" x14ac:dyDescent="0.3">
      <c r="A66" s="120"/>
      <c r="B66" s="120"/>
      <c r="C66" s="127" t="s">
        <v>5</v>
      </c>
      <c r="D66" s="128">
        <v>182709</v>
      </c>
      <c r="E66" s="129" t="s">
        <v>160</v>
      </c>
      <c r="F66" s="115" t="s">
        <v>147</v>
      </c>
      <c r="G66" s="115" t="s">
        <v>96</v>
      </c>
      <c r="H66" s="115" t="s">
        <v>147</v>
      </c>
      <c r="I66">
        <v>2</v>
      </c>
    </row>
    <row r="67" spans="1:9" ht="43.2" x14ac:dyDescent="0.3">
      <c r="A67" s="120"/>
      <c r="B67" s="120"/>
      <c r="C67" s="127" t="s">
        <v>5</v>
      </c>
      <c r="D67" s="128">
        <v>182711</v>
      </c>
      <c r="E67" s="129" t="s">
        <v>161</v>
      </c>
      <c r="F67" s="115" t="s">
        <v>147</v>
      </c>
      <c r="G67" s="115" t="s">
        <v>96</v>
      </c>
      <c r="H67" s="115" t="s">
        <v>147</v>
      </c>
      <c r="I67">
        <v>2</v>
      </c>
    </row>
    <row r="68" spans="1:9" ht="43.2" x14ac:dyDescent="0.3">
      <c r="A68" s="120"/>
      <c r="B68" s="120"/>
      <c r="C68" s="127" t="s">
        <v>5</v>
      </c>
      <c r="D68" s="128">
        <v>182735</v>
      </c>
      <c r="E68" s="129" t="s">
        <v>162</v>
      </c>
      <c r="F68" s="115" t="s">
        <v>147</v>
      </c>
      <c r="G68" s="115" t="s">
        <v>96</v>
      </c>
      <c r="H68" s="115" t="s">
        <v>147</v>
      </c>
      <c r="I68">
        <v>2</v>
      </c>
    </row>
    <row r="69" spans="1:9" ht="43.2" x14ac:dyDescent="0.3">
      <c r="A69" s="120"/>
      <c r="B69" s="120"/>
      <c r="C69" s="127" t="s">
        <v>5</v>
      </c>
      <c r="D69" s="128">
        <v>182736</v>
      </c>
      <c r="E69" s="129" t="s">
        <v>163</v>
      </c>
      <c r="F69" s="115" t="s">
        <v>147</v>
      </c>
      <c r="G69" s="115" t="s">
        <v>96</v>
      </c>
      <c r="H69" s="115" t="s">
        <v>147</v>
      </c>
      <c r="I69">
        <v>2</v>
      </c>
    </row>
    <row r="70" spans="1:9" ht="43.2" x14ac:dyDescent="0.3">
      <c r="A70" s="120"/>
      <c r="B70" s="120"/>
      <c r="C70" s="127" t="s">
        <v>5</v>
      </c>
      <c r="D70" s="128">
        <v>182737</v>
      </c>
      <c r="E70" s="129" t="s">
        <v>164</v>
      </c>
      <c r="F70" s="115" t="s">
        <v>147</v>
      </c>
      <c r="G70" s="115"/>
      <c r="H70" s="115"/>
      <c r="I70"/>
    </row>
    <row r="71" spans="1:9" x14ac:dyDescent="0.3">
      <c r="A71" s="120"/>
      <c r="B71" s="120"/>
      <c r="C71" s="126" t="s">
        <v>5</v>
      </c>
      <c r="D71" s="120">
        <v>185620</v>
      </c>
      <c r="E71" s="122" t="s">
        <v>165</v>
      </c>
      <c r="F71" s="120" t="s">
        <v>147</v>
      </c>
      <c r="G71" s="120"/>
      <c r="H71" s="120"/>
    </row>
    <row r="72" spans="1:9" x14ac:dyDescent="0.3">
      <c r="A72" s="120"/>
      <c r="B72" s="120"/>
      <c r="C72" s="126" t="s">
        <v>5</v>
      </c>
      <c r="D72" s="120">
        <v>185621</v>
      </c>
      <c r="E72" s="122" t="s">
        <v>166</v>
      </c>
      <c r="F72" s="120" t="s">
        <v>147</v>
      </c>
      <c r="G72" s="120"/>
      <c r="H72" s="120"/>
    </row>
    <row r="73" spans="1:9" x14ac:dyDescent="0.3">
      <c r="A73" s="120"/>
      <c r="B73" s="120"/>
      <c r="C73" s="126" t="s">
        <v>5</v>
      </c>
      <c r="D73" s="120">
        <v>185622</v>
      </c>
      <c r="E73" s="122" t="s">
        <v>167</v>
      </c>
      <c r="F73" s="120" t="s">
        <v>147</v>
      </c>
      <c r="G73" s="120"/>
      <c r="H73" s="120"/>
    </row>
    <row r="74" spans="1:9" ht="14.4" x14ac:dyDescent="0.3">
      <c r="A74" s="120"/>
      <c r="B74" s="120"/>
      <c r="C74" s="127" t="s">
        <v>5</v>
      </c>
      <c r="D74" s="128">
        <v>183084</v>
      </c>
      <c r="E74" s="129" t="s">
        <v>168</v>
      </c>
      <c r="F74" s="115" t="s">
        <v>147</v>
      </c>
      <c r="G74" s="115" t="s">
        <v>96</v>
      </c>
      <c r="H74" s="115" t="s">
        <v>147</v>
      </c>
      <c r="I74">
        <v>2</v>
      </c>
    </row>
    <row r="75" spans="1:9" ht="14.4" x14ac:dyDescent="0.3">
      <c r="A75" s="120"/>
      <c r="B75" s="120"/>
      <c r="C75" s="127" t="s">
        <v>5</v>
      </c>
      <c r="D75" s="128">
        <v>183085</v>
      </c>
      <c r="E75" s="129" t="s">
        <v>169</v>
      </c>
      <c r="F75" s="115" t="s">
        <v>147</v>
      </c>
      <c r="G75" s="115" t="s">
        <v>96</v>
      </c>
      <c r="H75" s="115" t="s">
        <v>147</v>
      </c>
      <c r="I75">
        <v>2</v>
      </c>
    </row>
    <row r="76" spans="1:9" ht="14.4" x14ac:dyDescent="0.3">
      <c r="A76" s="120"/>
      <c r="B76" s="120"/>
      <c r="C76" s="127" t="s">
        <v>5</v>
      </c>
      <c r="D76" s="128">
        <v>183086</v>
      </c>
      <c r="E76" s="129" t="s">
        <v>170</v>
      </c>
      <c r="F76" s="115" t="s">
        <v>147</v>
      </c>
      <c r="G76" s="115" t="s">
        <v>96</v>
      </c>
      <c r="H76" s="115" t="s">
        <v>147</v>
      </c>
      <c r="I76">
        <v>2</v>
      </c>
    </row>
    <row r="77" spans="1:9" ht="14.4" x14ac:dyDescent="0.3">
      <c r="A77" s="120"/>
      <c r="B77" s="120"/>
      <c r="C77" s="127" t="s">
        <v>5</v>
      </c>
      <c r="D77" s="128">
        <v>183087</v>
      </c>
      <c r="E77" s="129" t="s">
        <v>171</v>
      </c>
      <c r="F77" s="115" t="s">
        <v>147</v>
      </c>
      <c r="G77" s="115" t="s">
        <v>96</v>
      </c>
      <c r="H77" s="115" t="s">
        <v>147</v>
      </c>
      <c r="I77">
        <v>2</v>
      </c>
    </row>
    <row r="78" spans="1:9" ht="14.4" x14ac:dyDescent="0.3">
      <c r="A78" s="120"/>
      <c r="B78" s="120"/>
      <c r="C78" s="127" t="s">
        <v>5</v>
      </c>
      <c r="D78" s="128">
        <v>183088</v>
      </c>
      <c r="E78" s="129" t="s">
        <v>172</v>
      </c>
      <c r="F78" s="115" t="s">
        <v>147</v>
      </c>
      <c r="G78" s="115" t="s">
        <v>96</v>
      </c>
      <c r="H78" s="115" t="s">
        <v>147</v>
      </c>
      <c r="I78">
        <v>2</v>
      </c>
    </row>
    <row r="79" spans="1:9" ht="14.4" x14ac:dyDescent="0.3">
      <c r="A79" s="120"/>
      <c r="B79" s="120"/>
      <c r="C79" s="127" t="s">
        <v>5</v>
      </c>
      <c r="D79" s="128">
        <v>183089</v>
      </c>
      <c r="E79" s="129" t="s">
        <v>173</v>
      </c>
      <c r="F79" s="115" t="s">
        <v>147</v>
      </c>
      <c r="G79" s="115"/>
      <c r="H79" s="115"/>
      <c r="I79"/>
    </row>
    <row r="80" spans="1:9" ht="14.4" x14ac:dyDescent="0.3">
      <c r="A80" s="120"/>
      <c r="B80" s="120"/>
      <c r="C80" s="127" t="s">
        <v>5</v>
      </c>
      <c r="D80" s="128">
        <v>183090</v>
      </c>
      <c r="E80" s="129" t="s">
        <v>174</v>
      </c>
      <c r="F80" s="115" t="s">
        <v>147</v>
      </c>
      <c r="G80" s="115"/>
      <c r="H80" s="115"/>
      <c r="I80"/>
    </row>
    <row r="81" spans="1:9" ht="28.8" x14ac:dyDescent="0.3">
      <c r="A81" s="120"/>
      <c r="B81" s="120"/>
      <c r="C81" s="127" t="s">
        <v>5</v>
      </c>
      <c r="D81" s="128">
        <v>182795</v>
      </c>
      <c r="E81" s="129" t="s">
        <v>175</v>
      </c>
      <c r="F81" s="115" t="s">
        <v>147</v>
      </c>
      <c r="G81" s="115" t="s">
        <v>96</v>
      </c>
      <c r="H81" s="115" t="s">
        <v>147</v>
      </c>
      <c r="I81">
        <v>2</v>
      </c>
    </row>
    <row r="82" spans="1:9" ht="14.4" x14ac:dyDescent="0.3">
      <c r="A82" s="120"/>
      <c r="B82" s="120"/>
      <c r="C82" s="127" t="s">
        <v>5</v>
      </c>
      <c r="D82" s="128">
        <v>182798</v>
      </c>
      <c r="E82" s="129" t="s">
        <v>176</v>
      </c>
      <c r="F82" s="115" t="s">
        <v>147</v>
      </c>
      <c r="G82" s="115" t="s">
        <v>96</v>
      </c>
      <c r="H82" s="115" t="s">
        <v>147</v>
      </c>
      <c r="I82">
        <v>2</v>
      </c>
    </row>
    <row r="83" spans="1:9" ht="28.8" x14ac:dyDescent="0.3">
      <c r="A83" s="120"/>
      <c r="B83" s="120"/>
      <c r="C83" s="127" t="s">
        <v>5</v>
      </c>
      <c r="D83" s="128">
        <v>182799</v>
      </c>
      <c r="E83" s="129" t="s">
        <v>177</v>
      </c>
      <c r="F83" s="115" t="s">
        <v>147</v>
      </c>
      <c r="G83" s="115"/>
      <c r="H83" s="115"/>
      <c r="I83"/>
    </row>
    <row r="84" spans="1:9" ht="14.4" x14ac:dyDescent="0.3">
      <c r="A84" s="120"/>
      <c r="B84" s="120"/>
      <c r="C84" s="127" t="s">
        <v>5</v>
      </c>
      <c r="D84" s="128">
        <v>183092</v>
      </c>
      <c r="E84" s="129" t="s">
        <v>178</v>
      </c>
      <c r="F84" s="115" t="s">
        <v>147</v>
      </c>
      <c r="G84" s="115" t="s">
        <v>96</v>
      </c>
      <c r="H84" s="115" t="s">
        <v>147</v>
      </c>
      <c r="I84">
        <v>2</v>
      </c>
    </row>
    <row r="85" spans="1:9" ht="14.4" x14ac:dyDescent="0.3">
      <c r="A85" s="120"/>
      <c r="B85" s="120"/>
      <c r="C85" s="127" t="s">
        <v>5</v>
      </c>
      <c r="D85" s="128">
        <v>183093</v>
      </c>
      <c r="E85" s="129" t="s">
        <v>179</v>
      </c>
      <c r="F85" s="115" t="s">
        <v>147</v>
      </c>
      <c r="G85" s="115" t="s">
        <v>96</v>
      </c>
      <c r="H85" s="115" t="s">
        <v>147</v>
      </c>
      <c r="I85">
        <v>2</v>
      </c>
    </row>
    <row r="86" spans="1:9" ht="14.4" x14ac:dyDescent="0.3">
      <c r="A86" s="120"/>
      <c r="B86" s="120"/>
      <c r="C86" s="127" t="s">
        <v>5</v>
      </c>
      <c r="D86" s="128">
        <v>183094</v>
      </c>
      <c r="E86" s="129" t="s">
        <v>180</v>
      </c>
      <c r="F86" s="115" t="s">
        <v>147</v>
      </c>
      <c r="G86" s="115" t="s">
        <v>96</v>
      </c>
      <c r="H86" s="115" t="s">
        <v>147</v>
      </c>
      <c r="I86">
        <v>2</v>
      </c>
    </row>
    <row r="87" spans="1:9" ht="28.8" x14ac:dyDescent="0.3">
      <c r="A87" s="120">
        <v>6847</v>
      </c>
      <c r="B87" s="120"/>
      <c r="C87" s="127" t="s">
        <v>28</v>
      </c>
      <c r="D87" s="128">
        <v>181813</v>
      </c>
      <c r="E87" s="129" t="s">
        <v>125</v>
      </c>
      <c r="F87" s="115" t="s">
        <v>95</v>
      </c>
      <c r="G87" s="115" t="s">
        <v>96</v>
      </c>
      <c r="H87" s="115" t="s">
        <v>95</v>
      </c>
      <c r="I87">
        <v>2</v>
      </c>
    </row>
    <row r="88" spans="1:9" ht="28.8" x14ac:dyDescent="0.3">
      <c r="A88" s="120">
        <v>6847</v>
      </c>
      <c r="B88" s="120">
        <v>184707</v>
      </c>
      <c r="C88" s="127" t="s">
        <v>28</v>
      </c>
      <c r="D88" s="128">
        <v>181811</v>
      </c>
      <c r="E88" s="129" t="s">
        <v>126</v>
      </c>
      <c r="F88" s="115" t="s">
        <v>95</v>
      </c>
      <c r="G88" s="115" t="s">
        <v>96</v>
      </c>
      <c r="H88" s="115" t="s">
        <v>95</v>
      </c>
      <c r="I88">
        <v>2</v>
      </c>
    </row>
    <row r="89" spans="1:9" ht="28.8" x14ac:dyDescent="0.3">
      <c r="A89" s="120">
        <v>6921</v>
      </c>
      <c r="B89" s="120">
        <v>185065</v>
      </c>
      <c r="C89" s="127" t="s">
        <v>28</v>
      </c>
      <c r="D89" s="128">
        <v>181881</v>
      </c>
      <c r="E89" s="129" t="s">
        <v>181</v>
      </c>
      <c r="F89" s="115" t="s">
        <v>103</v>
      </c>
      <c r="G89" s="115" t="s">
        <v>96</v>
      </c>
      <c r="H89" s="115" t="s">
        <v>103</v>
      </c>
    </row>
    <row r="90" spans="1:9" ht="28.8" x14ac:dyDescent="0.3">
      <c r="A90" s="120">
        <v>6921</v>
      </c>
      <c r="B90" s="120">
        <v>185065</v>
      </c>
      <c r="C90" s="127" t="s">
        <v>28</v>
      </c>
      <c r="D90" s="128">
        <v>182006</v>
      </c>
      <c r="E90" s="129" t="s">
        <v>182</v>
      </c>
      <c r="F90" s="115" t="s">
        <v>103</v>
      </c>
      <c r="G90" s="115" t="s">
        <v>96</v>
      </c>
      <c r="H90" s="115" t="s">
        <v>103</v>
      </c>
      <c r="I90">
        <v>2</v>
      </c>
    </row>
    <row r="91" spans="1:9" ht="14.4" x14ac:dyDescent="0.3">
      <c r="A91" s="120">
        <v>7108</v>
      </c>
      <c r="B91" s="120"/>
      <c r="C91" s="127" t="s">
        <v>28</v>
      </c>
      <c r="D91" s="128">
        <v>181761</v>
      </c>
      <c r="E91" s="129" t="s">
        <v>183</v>
      </c>
      <c r="F91" s="115" t="s">
        <v>116</v>
      </c>
      <c r="G91" s="115" t="s">
        <v>96</v>
      </c>
      <c r="H91" s="115" t="s">
        <v>116</v>
      </c>
      <c r="I91">
        <v>2</v>
      </c>
    </row>
    <row r="92" spans="1:9" ht="13.8" hidden="1" customHeight="1" x14ac:dyDescent="0.3">
      <c r="A92" s="120"/>
      <c r="B92" s="120"/>
      <c r="C92" s="127" t="s">
        <v>5</v>
      </c>
      <c r="D92" s="128">
        <v>180714</v>
      </c>
      <c r="E92" s="122" t="s">
        <v>144</v>
      </c>
      <c r="F92" s="115" t="s">
        <v>116</v>
      </c>
      <c r="G92" s="115" t="s">
        <v>96</v>
      </c>
      <c r="H92" s="115" t="s">
        <v>95</v>
      </c>
    </row>
    <row r="93" spans="1:9" ht="14.4" hidden="1" x14ac:dyDescent="0.3">
      <c r="A93" s="120" t="s">
        <v>184</v>
      </c>
      <c r="B93" s="120"/>
      <c r="C93" s="127" t="s">
        <v>5</v>
      </c>
      <c r="D93" s="128">
        <v>180714</v>
      </c>
      <c r="E93" s="122"/>
      <c r="F93" s="115" t="s">
        <v>116</v>
      </c>
      <c r="G93" s="115" t="s">
        <v>96</v>
      </c>
      <c r="H93" s="115" t="s">
        <v>95</v>
      </c>
    </row>
    <row r="94" spans="1:9" ht="14.4" hidden="1" x14ac:dyDescent="0.3">
      <c r="A94" s="120" t="s">
        <v>184</v>
      </c>
      <c r="B94" s="120"/>
      <c r="C94" s="127" t="s">
        <v>5</v>
      </c>
      <c r="D94" s="128">
        <v>180714</v>
      </c>
      <c r="E94" s="122"/>
      <c r="F94" s="115" t="s">
        <v>116</v>
      </c>
      <c r="G94" s="115" t="s">
        <v>96</v>
      </c>
      <c r="H94" s="115" t="s">
        <v>95</v>
      </c>
    </row>
    <row r="95" spans="1:9" ht="14.4" x14ac:dyDescent="0.3">
      <c r="A95" s="120"/>
      <c r="B95" s="120"/>
      <c r="C95" s="127" t="s">
        <v>28</v>
      </c>
      <c r="D95" s="128">
        <v>182023</v>
      </c>
      <c r="E95" s="129" t="s">
        <v>185</v>
      </c>
      <c r="F95" s="115" t="s">
        <v>103</v>
      </c>
      <c r="G95" s="115" t="s">
        <v>96</v>
      </c>
      <c r="H95" s="115" t="s">
        <v>116</v>
      </c>
      <c r="I95">
        <v>2</v>
      </c>
    </row>
    <row r="96" spans="1:9" ht="28.8" x14ac:dyDescent="0.3">
      <c r="A96" s="120">
        <v>6887</v>
      </c>
      <c r="B96" s="120">
        <v>184866</v>
      </c>
      <c r="C96" s="127" t="s">
        <v>28</v>
      </c>
      <c r="D96" s="128">
        <v>180403</v>
      </c>
      <c r="E96" s="129" t="s">
        <v>186</v>
      </c>
      <c r="F96" s="115" t="s">
        <v>116</v>
      </c>
      <c r="G96" s="115" t="s">
        <v>96</v>
      </c>
      <c r="H96" s="115" t="s">
        <v>116</v>
      </c>
      <c r="I96">
        <v>2</v>
      </c>
    </row>
    <row r="97" spans="1:9" ht="28.8" x14ac:dyDescent="0.3">
      <c r="A97" s="120">
        <v>6828</v>
      </c>
      <c r="B97" s="120">
        <v>184631</v>
      </c>
      <c r="C97" s="127" t="s">
        <v>28</v>
      </c>
      <c r="D97" s="128">
        <v>180635</v>
      </c>
      <c r="E97" s="129" t="s">
        <v>187</v>
      </c>
      <c r="F97" s="115" t="s">
        <v>116</v>
      </c>
      <c r="G97" s="115" t="s">
        <v>96</v>
      </c>
      <c r="H97" s="115" t="s">
        <v>116</v>
      </c>
      <c r="I97">
        <v>2</v>
      </c>
    </row>
    <row r="98" spans="1:9" ht="14.4" x14ac:dyDescent="0.3">
      <c r="A98" s="120"/>
      <c r="B98" s="120">
        <v>185793</v>
      </c>
      <c r="C98" s="127" t="s">
        <v>28</v>
      </c>
      <c r="D98" s="128">
        <v>180415</v>
      </c>
      <c r="E98" s="129" t="s">
        <v>188</v>
      </c>
      <c r="F98" s="115" t="s">
        <v>95</v>
      </c>
      <c r="G98" s="115" t="s">
        <v>96</v>
      </c>
      <c r="H98" s="115" t="s">
        <v>95</v>
      </c>
      <c r="I98">
        <v>2</v>
      </c>
    </row>
    <row r="99" spans="1:9" ht="39.6" customHeight="1" x14ac:dyDescent="0.3">
      <c r="A99" s="120"/>
      <c r="B99" s="120">
        <v>184718</v>
      </c>
      <c r="C99" s="127" t="s">
        <v>28</v>
      </c>
      <c r="D99" s="128">
        <v>180023</v>
      </c>
      <c r="E99" s="129" t="s">
        <v>189</v>
      </c>
      <c r="F99" s="115" t="s">
        <v>95</v>
      </c>
      <c r="G99" s="115" t="s">
        <v>96</v>
      </c>
      <c r="H99" s="115" t="s">
        <v>95</v>
      </c>
      <c r="I99">
        <v>2</v>
      </c>
    </row>
    <row r="100" spans="1:9" ht="28.8" x14ac:dyDescent="0.3">
      <c r="A100" s="120" t="s">
        <v>190</v>
      </c>
      <c r="B100" s="120">
        <v>185580</v>
      </c>
      <c r="C100" s="127" t="s">
        <v>28</v>
      </c>
      <c r="D100" s="128">
        <v>181944</v>
      </c>
      <c r="E100" s="129" t="s">
        <v>100</v>
      </c>
      <c r="F100" s="115" t="s">
        <v>95</v>
      </c>
      <c r="G100" s="115"/>
      <c r="H100" s="115"/>
      <c r="I100"/>
    </row>
    <row r="101" spans="1:9" ht="28.8" x14ac:dyDescent="0.3">
      <c r="A101" s="120" t="s">
        <v>190</v>
      </c>
      <c r="B101" s="120">
        <v>185580</v>
      </c>
      <c r="C101" s="127" t="s">
        <v>28</v>
      </c>
      <c r="D101" s="128">
        <v>181946</v>
      </c>
      <c r="E101" s="129" t="s">
        <v>101</v>
      </c>
      <c r="F101" s="115" t="s">
        <v>95</v>
      </c>
      <c r="G101" s="115"/>
      <c r="H101" s="115"/>
      <c r="I101"/>
    </row>
    <row r="102" spans="1:9" ht="28.8" x14ac:dyDescent="0.3">
      <c r="A102" s="120"/>
      <c r="B102" s="120">
        <v>184883</v>
      </c>
      <c r="C102" s="127" t="s">
        <v>28</v>
      </c>
      <c r="D102" s="128">
        <v>181866</v>
      </c>
      <c r="E102" s="129" t="s">
        <v>102</v>
      </c>
      <c r="F102" s="115" t="s">
        <v>95</v>
      </c>
      <c r="G102" s="115" t="s">
        <v>96</v>
      </c>
      <c r="H102" s="115" t="s">
        <v>95</v>
      </c>
      <c r="I102">
        <v>2</v>
      </c>
    </row>
    <row r="103" spans="1:9" ht="14.4" x14ac:dyDescent="0.3">
      <c r="A103" s="120">
        <v>7076</v>
      </c>
      <c r="B103" s="120">
        <v>185618</v>
      </c>
      <c r="C103" s="127" t="s">
        <v>28</v>
      </c>
      <c r="D103" s="128">
        <v>183072</v>
      </c>
      <c r="E103" s="129" t="s">
        <v>191</v>
      </c>
      <c r="F103" s="115" t="s">
        <v>116</v>
      </c>
      <c r="G103" s="115" t="s">
        <v>96</v>
      </c>
      <c r="H103" s="115" t="s">
        <v>116</v>
      </c>
      <c r="I103">
        <v>2</v>
      </c>
    </row>
    <row r="104" spans="1:9" ht="28.8" x14ac:dyDescent="0.3">
      <c r="A104" s="120"/>
      <c r="B104" s="120">
        <v>185211</v>
      </c>
      <c r="C104" s="127" t="s">
        <v>28</v>
      </c>
      <c r="D104" s="128">
        <v>171930</v>
      </c>
      <c r="E104" s="129" t="s">
        <v>192</v>
      </c>
      <c r="F104" s="115" t="s">
        <v>95</v>
      </c>
      <c r="G104" s="115" t="s">
        <v>96</v>
      </c>
      <c r="H104" s="115" t="s">
        <v>116</v>
      </c>
      <c r="I104">
        <v>2</v>
      </c>
    </row>
    <row r="105" spans="1:9" ht="14.4" x14ac:dyDescent="0.3">
      <c r="A105" s="120"/>
      <c r="B105" s="120">
        <v>185211</v>
      </c>
      <c r="C105" s="127" t="s">
        <v>28</v>
      </c>
      <c r="D105" s="128">
        <v>175007</v>
      </c>
      <c r="E105" s="129" t="s">
        <v>193</v>
      </c>
      <c r="F105" s="115" t="s">
        <v>116</v>
      </c>
      <c r="G105" s="115" t="s">
        <v>96</v>
      </c>
      <c r="H105" s="115" t="s">
        <v>116</v>
      </c>
      <c r="I105">
        <v>2</v>
      </c>
    </row>
    <row r="106" spans="1:9" ht="14.4" x14ac:dyDescent="0.3">
      <c r="A106" s="120">
        <v>6866</v>
      </c>
      <c r="B106" s="120">
        <v>184753</v>
      </c>
      <c r="C106" s="127" t="s">
        <v>28</v>
      </c>
      <c r="D106" s="128">
        <v>183641</v>
      </c>
      <c r="E106" s="129" t="s">
        <v>194</v>
      </c>
      <c r="F106" s="115" t="s">
        <v>95</v>
      </c>
      <c r="G106" s="115" t="s">
        <v>96</v>
      </c>
      <c r="H106" s="115" t="s">
        <v>95</v>
      </c>
      <c r="I106">
        <v>2</v>
      </c>
    </row>
    <row r="107" spans="1:9" ht="28.8" x14ac:dyDescent="0.3">
      <c r="A107" s="120"/>
      <c r="B107" s="120"/>
      <c r="C107" s="127" t="s">
        <v>28</v>
      </c>
      <c r="D107" s="128">
        <v>181878</v>
      </c>
      <c r="E107" s="129" t="s">
        <v>195</v>
      </c>
      <c r="F107" s="115" t="s">
        <v>103</v>
      </c>
      <c r="G107" s="115" t="s">
        <v>96</v>
      </c>
      <c r="H107" s="115" t="s">
        <v>103</v>
      </c>
      <c r="I107">
        <v>2</v>
      </c>
    </row>
    <row r="108" spans="1:9" ht="28.8" x14ac:dyDescent="0.3">
      <c r="A108" s="120"/>
      <c r="B108" s="120"/>
      <c r="C108" s="127" t="s">
        <v>28</v>
      </c>
      <c r="D108" s="128">
        <v>181881</v>
      </c>
      <c r="E108" s="129" t="s">
        <v>181</v>
      </c>
      <c r="F108" s="115" t="s">
        <v>103</v>
      </c>
      <c r="G108" s="115" t="s">
        <v>96</v>
      </c>
      <c r="H108" s="115" t="s">
        <v>103</v>
      </c>
      <c r="I108">
        <v>2</v>
      </c>
    </row>
    <row r="109" spans="1:9" ht="28.8" x14ac:dyDescent="0.3">
      <c r="A109" s="120"/>
      <c r="B109" s="120"/>
      <c r="C109" s="127" t="s">
        <v>28</v>
      </c>
      <c r="D109" s="128">
        <v>182006</v>
      </c>
      <c r="E109" s="129" t="s">
        <v>182</v>
      </c>
      <c r="F109" s="115" t="s">
        <v>103</v>
      </c>
      <c r="G109" s="115" t="s">
        <v>96</v>
      </c>
      <c r="H109" s="115" t="s">
        <v>103</v>
      </c>
      <c r="I109">
        <v>2</v>
      </c>
    </row>
    <row r="110" spans="1:9" ht="28.8" x14ac:dyDescent="0.3">
      <c r="A110" s="120">
        <v>6921</v>
      </c>
      <c r="B110" s="120">
        <v>185065</v>
      </c>
      <c r="C110" s="127" t="s">
        <v>28</v>
      </c>
      <c r="D110" s="128">
        <v>175545</v>
      </c>
      <c r="E110" s="129" t="s">
        <v>196</v>
      </c>
      <c r="F110" s="115" t="s">
        <v>116</v>
      </c>
      <c r="G110" s="115" t="s">
        <v>96</v>
      </c>
      <c r="H110" s="115" t="s">
        <v>103</v>
      </c>
      <c r="I110">
        <v>2</v>
      </c>
    </row>
    <row r="111" spans="1:9" ht="28.8" x14ac:dyDescent="0.3">
      <c r="A111" s="120">
        <v>6921</v>
      </c>
      <c r="B111" s="120">
        <v>185065</v>
      </c>
      <c r="C111" s="127" t="s">
        <v>28</v>
      </c>
      <c r="D111" s="128">
        <v>175548</v>
      </c>
      <c r="E111" s="129" t="s">
        <v>197</v>
      </c>
      <c r="F111" s="115" t="s">
        <v>116</v>
      </c>
      <c r="G111" s="115" t="s">
        <v>96</v>
      </c>
      <c r="H111" s="115" t="s">
        <v>103</v>
      </c>
      <c r="I111">
        <v>2</v>
      </c>
    </row>
    <row r="112" spans="1:9" ht="28.8" x14ac:dyDescent="0.3">
      <c r="A112" s="120">
        <v>6921</v>
      </c>
      <c r="B112" s="120">
        <v>185065</v>
      </c>
      <c r="C112" s="127" t="s">
        <v>28</v>
      </c>
      <c r="D112" s="128">
        <v>182018</v>
      </c>
      <c r="E112" s="129" t="s">
        <v>198</v>
      </c>
      <c r="F112" s="115" t="s">
        <v>103</v>
      </c>
      <c r="G112" s="115" t="s">
        <v>96</v>
      </c>
      <c r="H112" s="115" t="s">
        <v>103</v>
      </c>
      <c r="I112">
        <v>2</v>
      </c>
    </row>
    <row r="113" spans="1:9" ht="28.8" x14ac:dyDescent="0.3">
      <c r="A113" s="120">
        <v>7075</v>
      </c>
      <c r="B113" s="120">
        <v>185612</v>
      </c>
      <c r="C113" s="127" t="s">
        <v>28</v>
      </c>
      <c r="D113" s="128">
        <v>171989</v>
      </c>
      <c r="E113" s="129" t="s">
        <v>199</v>
      </c>
      <c r="F113" s="115" t="s">
        <v>95</v>
      </c>
      <c r="G113" s="115" t="s">
        <v>96</v>
      </c>
      <c r="H113" s="115" t="s">
        <v>95</v>
      </c>
      <c r="I113">
        <v>2</v>
      </c>
    </row>
    <row r="114" spans="1:9" ht="14.4" x14ac:dyDescent="0.3">
      <c r="A114" s="120"/>
      <c r="B114" s="120"/>
      <c r="C114" s="127" t="s">
        <v>28</v>
      </c>
      <c r="D114" s="128">
        <v>174534</v>
      </c>
      <c r="E114" s="129" t="s">
        <v>200</v>
      </c>
      <c r="F114" s="115" t="s">
        <v>95</v>
      </c>
      <c r="G114" s="115" t="s">
        <v>96</v>
      </c>
      <c r="H114" s="115" t="s">
        <v>95</v>
      </c>
      <c r="I114">
        <v>2</v>
      </c>
    </row>
    <row r="115" spans="1:9" ht="14.4" x14ac:dyDescent="0.3">
      <c r="A115" s="120"/>
      <c r="B115" s="120"/>
      <c r="C115" s="127" t="s">
        <v>28</v>
      </c>
      <c r="D115" s="128">
        <v>174542</v>
      </c>
      <c r="E115" s="129" t="s">
        <v>201</v>
      </c>
      <c r="F115" s="115" t="s">
        <v>95</v>
      </c>
      <c r="G115" s="115" t="s">
        <v>96</v>
      </c>
      <c r="H115" s="115" t="s">
        <v>95</v>
      </c>
      <c r="I115">
        <v>2</v>
      </c>
    </row>
    <row r="116" spans="1:9" ht="28.8" x14ac:dyDescent="0.3">
      <c r="A116" s="120"/>
      <c r="B116" s="120"/>
      <c r="C116" s="127" t="s">
        <v>28</v>
      </c>
      <c r="D116" s="128">
        <v>171916</v>
      </c>
      <c r="E116" s="129" t="s">
        <v>202</v>
      </c>
      <c r="F116" s="115" t="s">
        <v>95</v>
      </c>
      <c r="G116" s="115" t="s">
        <v>96</v>
      </c>
      <c r="H116" s="115" t="s">
        <v>95</v>
      </c>
      <c r="I116">
        <v>2</v>
      </c>
    </row>
    <row r="117" spans="1:9" ht="28.8" x14ac:dyDescent="0.3">
      <c r="A117" s="120"/>
      <c r="B117" s="120"/>
      <c r="C117" s="127" t="s">
        <v>28</v>
      </c>
      <c r="D117" s="128">
        <v>171937</v>
      </c>
      <c r="E117" s="129" t="s">
        <v>203</v>
      </c>
      <c r="F117" s="115" t="s">
        <v>95</v>
      </c>
      <c r="G117" s="115" t="s">
        <v>96</v>
      </c>
      <c r="H117" s="115" t="s">
        <v>95</v>
      </c>
      <c r="I117">
        <v>2</v>
      </c>
    </row>
    <row r="118" spans="1:9" ht="28.8" x14ac:dyDescent="0.3">
      <c r="A118" s="120"/>
      <c r="B118" s="120"/>
      <c r="C118" s="127" t="s">
        <v>28</v>
      </c>
      <c r="D118" s="128">
        <v>171940</v>
      </c>
      <c r="E118" s="129" t="s">
        <v>204</v>
      </c>
      <c r="F118" s="115" t="s">
        <v>95</v>
      </c>
      <c r="G118" s="115" t="s">
        <v>96</v>
      </c>
      <c r="H118" s="115" t="s">
        <v>95</v>
      </c>
      <c r="I118">
        <v>2</v>
      </c>
    </row>
    <row r="119" spans="1:9" ht="28.8" x14ac:dyDescent="0.3">
      <c r="A119" s="120"/>
      <c r="B119" s="120"/>
      <c r="C119" s="127" t="s">
        <v>28</v>
      </c>
      <c r="D119" s="128">
        <v>171942</v>
      </c>
      <c r="E119" s="129" t="s">
        <v>205</v>
      </c>
      <c r="F119" s="115" t="s">
        <v>95</v>
      </c>
      <c r="G119" s="115" t="s">
        <v>96</v>
      </c>
      <c r="H119" s="115" t="s">
        <v>95</v>
      </c>
      <c r="I119">
        <v>2</v>
      </c>
    </row>
    <row r="120" spans="1:9" ht="14.4" x14ac:dyDescent="0.3">
      <c r="A120" s="120"/>
      <c r="B120" s="120"/>
      <c r="C120" s="127" t="s">
        <v>28</v>
      </c>
      <c r="D120" s="128">
        <v>171975</v>
      </c>
      <c r="E120" s="129" t="s">
        <v>206</v>
      </c>
      <c r="F120" s="115" t="s">
        <v>95</v>
      </c>
      <c r="G120" s="115" t="s">
        <v>96</v>
      </c>
      <c r="H120" s="115" t="s">
        <v>95</v>
      </c>
      <c r="I120">
        <v>2</v>
      </c>
    </row>
    <row r="121" spans="1:9" ht="14.4" x14ac:dyDescent="0.3">
      <c r="A121" s="120"/>
      <c r="B121" s="120"/>
      <c r="C121" s="127" t="s">
        <v>28</v>
      </c>
      <c r="D121" s="128">
        <v>171977</v>
      </c>
      <c r="E121" s="129" t="s">
        <v>207</v>
      </c>
      <c r="F121" s="115" t="s">
        <v>95</v>
      </c>
      <c r="G121" s="115" t="s">
        <v>96</v>
      </c>
      <c r="H121" s="115" t="s">
        <v>95</v>
      </c>
      <c r="I121">
        <v>2</v>
      </c>
    </row>
    <row r="122" spans="1:9" ht="14.4" x14ac:dyDescent="0.3">
      <c r="A122" s="120"/>
      <c r="B122" s="120"/>
      <c r="C122" s="127" t="s">
        <v>28</v>
      </c>
      <c r="D122" s="128">
        <v>172267</v>
      </c>
      <c r="E122" s="129" t="s">
        <v>208</v>
      </c>
      <c r="F122" s="115" t="s">
        <v>95</v>
      </c>
      <c r="G122" s="115" t="s">
        <v>96</v>
      </c>
      <c r="H122" s="115" t="s">
        <v>95</v>
      </c>
      <c r="I122">
        <v>2</v>
      </c>
    </row>
    <row r="123" spans="1:9" ht="14.4" x14ac:dyDescent="0.3">
      <c r="A123" s="120"/>
      <c r="B123" s="120"/>
      <c r="C123" s="127" t="s">
        <v>28</v>
      </c>
      <c r="D123" s="128">
        <v>174462</v>
      </c>
      <c r="E123" s="129" t="s">
        <v>209</v>
      </c>
      <c r="F123" s="115" t="s">
        <v>95</v>
      </c>
      <c r="G123" s="115" t="s">
        <v>96</v>
      </c>
      <c r="H123" s="115" t="s">
        <v>95</v>
      </c>
      <c r="I123">
        <v>2</v>
      </c>
    </row>
    <row r="124" spans="1:9" ht="14.4" x14ac:dyDescent="0.3">
      <c r="A124" s="120"/>
      <c r="B124" s="120"/>
      <c r="C124" s="127" t="s">
        <v>28</v>
      </c>
      <c r="D124" s="128">
        <v>174464</v>
      </c>
      <c r="E124" s="129" t="s">
        <v>210</v>
      </c>
      <c r="F124" s="115" t="s">
        <v>95</v>
      </c>
      <c r="G124" s="115" t="s">
        <v>96</v>
      </c>
      <c r="H124" s="115" t="s">
        <v>95</v>
      </c>
      <c r="I124">
        <v>2</v>
      </c>
    </row>
    <row r="125" spans="1:9" ht="14.4" x14ac:dyDescent="0.3">
      <c r="A125" s="120"/>
      <c r="B125" s="120"/>
      <c r="C125" s="127" t="s">
        <v>28</v>
      </c>
      <c r="D125" s="128">
        <v>174482</v>
      </c>
      <c r="E125" s="129" t="s">
        <v>211</v>
      </c>
      <c r="F125" s="115" t="s">
        <v>95</v>
      </c>
      <c r="G125" s="115" t="s">
        <v>96</v>
      </c>
      <c r="H125" s="115" t="s">
        <v>95</v>
      </c>
      <c r="I125">
        <v>2</v>
      </c>
    </row>
    <row r="126" spans="1:9" ht="14.4" x14ac:dyDescent="0.3">
      <c r="A126" s="120"/>
      <c r="B126" s="120"/>
      <c r="C126" s="127" t="s">
        <v>28</v>
      </c>
      <c r="D126" s="128">
        <v>174522</v>
      </c>
      <c r="E126" s="129" t="s">
        <v>212</v>
      </c>
      <c r="F126" s="115" t="s">
        <v>95</v>
      </c>
      <c r="G126" s="115" t="s">
        <v>96</v>
      </c>
      <c r="H126" s="115" t="s">
        <v>95</v>
      </c>
      <c r="I126">
        <v>2</v>
      </c>
    </row>
    <row r="127" spans="1:9" ht="28.8" x14ac:dyDescent="0.3">
      <c r="A127" s="120">
        <v>7117</v>
      </c>
      <c r="B127" s="120">
        <v>185783</v>
      </c>
      <c r="C127" s="127" t="s">
        <v>28</v>
      </c>
      <c r="D127" s="128">
        <v>185663</v>
      </c>
      <c r="E127" s="129" t="s">
        <v>213</v>
      </c>
      <c r="F127" s="115" t="s">
        <v>116</v>
      </c>
      <c r="G127" s="115" t="s">
        <v>96</v>
      </c>
      <c r="H127" s="115" t="s">
        <v>116</v>
      </c>
      <c r="I127">
        <v>2</v>
      </c>
    </row>
    <row r="128" spans="1:9" ht="28.8" x14ac:dyDescent="0.3">
      <c r="A128" s="120"/>
      <c r="B128" s="120">
        <v>185221</v>
      </c>
      <c r="C128" s="127" t="s">
        <v>28</v>
      </c>
      <c r="D128" s="128">
        <v>174570</v>
      </c>
      <c r="E128" s="129" t="s">
        <v>214</v>
      </c>
      <c r="F128" s="115" t="s">
        <v>95</v>
      </c>
      <c r="G128" s="115" t="s">
        <v>96</v>
      </c>
      <c r="H128" s="115" t="s">
        <v>116</v>
      </c>
      <c r="I128">
        <v>2</v>
      </c>
    </row>
    <row r="129" spans="1:9" ht="28.8" x14ac:dyDescent="0.3">
      <c r="A129" s="120">
        <v>6958</v>
      </c>
      <c r="B129" s="120">
        <v>185281</v>
      </c>
      <c r="C129" s="127" t="s">
        <v>28</v>
      </c>
      <c r="D129" s="128">
        <v>180634</v>
      </c>
      <c r="E129" s="129" t="s">
        <v>215</v>
      </c>
      <c r="F129" s="115" t="s">
        <v>116</v>
      </c>
      <c r="G129" s="115" t="s">
        <v>96</v>
      </c>
      <c r="H129" s="115" t="s">
        <v>116</v>
      </c>
      <c r="I129">
        <v>2</v>
      </c>
    </row>
    <row r="130" spans="1:9" ht="28.8" x14ac:dyDescent="0.3">
      <c r="A130" s="120"/>
      <c r="B130" s="120">
        <v>184750</v>
      </c>
      <c r="C130" s="127" t="s">
        <v>28</v>
      </c>
      <c r="D130" s="128">
        <v>171873</v>
      </c>
      <c r="E130" s="129" t="s">
        <v>216</v>
      </c>
      <c r="F130" s="115" t="s">
        <v>103</v>
      </c>
      <c r="G130" s="115" t="s">
        <v>96</v>
      </c>
      <c r="H130" s="115" t="s">
        <v>116</v>
      </c>
      <c r="I130">
        <v>2</v>
      </c>
    </row>
    <row r="131" spans="1:9" ht="28.8" x14ac:dyDescent="0.3">
      <c r="A131" s="120"/>
      <c r="B131" s="120"/>
      <c r="C131" s="127" t="s">
        <v>28</v>
      </c>
      <c r="D131" s="128">
        <v>183549</v>
      </c>
      <c r="E131" s="129" t="s">
        <v>217</v>
      </c>
      <c r="F131" s="115" t="s">
        <v>147</v>
      </c>
      <c r="G131" s="115" t="s">
        <v>96</v>
      </c>
      <c r="H131" s="115" t="s">
        <v>147</v>
      </c>
      <c r="I131">
        <v>2</v>
      </c>
    </row>
    <row r="132" spans="1:9" ht="28.8" x14ac:dyDescent="0.3">
      <c r="A132" s="120"/>
      <c r="B132" s="120">
        <v>185657</v>
      </c>
      <c r="C132" s="127" t="s">
        <v>28</v>
      </c>
      <c r="D132" s="128">
        <v>183555</v>
      </c>
      <c r="E132" s="129" t="s">
        <v>218</v>
      </c>
      <c r="F132" s="115" t="s">
        <v>147</v>
      </c>
      <c r="G132" s="115" t="s">
        <v>96</v>
      </c>
      <c r="H132" s="115" t="s">
        <v>147</v>
      </c>
      <c r="I132">
        <v>2</v>
      </c>
    </row>
    <row r="133" spans="1:9" ht="28.8" x14ac:dyDescent="0.3">
      <c r="A133" s="120"/>
      <c r="B133" s="120"/>
      <c r="C133" s="127" t="s">
        <v>28</v>
      </c>
      <c r="D133" s="128">
        <v>182630</v>
      </c>
      <c r="E133" s="129" t="s">
        <v>219</v>
      </c>
      <c r="F133" s="115" t="s">
        <v>147</v>
      </c>
      <c r="G133" s="115"/>
      <c r="H133" s="115"/>
      <c r="I133"/>
    </row>
    <row r="134" spans="1:9" ht="28.8" x14ac:dyDescent="0.3">
      <c r="A134" s="120"/>
      <c r="B134" s="120"/>
      <c r="C134" s="127" t="s">
        <v>28</v>
      </c>
      <c r="D134" s="128">
        <v>182644</v>
      </c>
      <c r="E134" s="129" t="s">
        <v>220</v>
      </c>
      <c r="F134" s="115" t="s">
        <v>147</v>
      </c>
      <c r="G134" s="115"/>
      <c r="H134" s="115"/>
      <c r="I134"/>
    </row>
    <row r="135" spans="1:9" ht="43.2" x14ac:dyDescent="0.3">
      <c r="A135" s="120"/>
      <c r="B135" s="120"/>
      <c r="C135" s="127" t="s">
        <v>28</v>
      </c>
      <c r="D135" s="128">
        <v>182695</v>
      </c>
      <c r="E135" s="129" t="s">
        <v>221</v>
      </c>
      <c r="F135" s="115" t="s">
        <v>147</v>
      </c>
      <c r="G135" s="115"/>
      <c r="H135" s="115"/>
      <c r="I135"/>
    </row>
    <row r="136" spans="1:9" ht="43.2" x14ac:dyDescent="0.3">
      <c r="A136" s="120"/>
      <c r="B136" s="120">
        <v>185423</v>
      </c>
      <c r="C136" s="127" t="s">
        <v>28</v>
      </c>
      <c r="D136" s="128">
        <v>182732</v>
      </c>
      <c r="E136" s="129" t="s">
        <v>222</v>
      </c>
      <c r="F136" s="115" t="s">
        <v>147</v>
      </c>
      <c r="G136" s="115"/>
      <c r="H136" s="115"/>
      <c r="I136"/>
    </row>
    <row r="137" spans="1:9" x14ac:dyDescent="0.3">
      <c r="A137" s="120"/>
      <c r="B137" s="120"/>
      <c r="C137" s="126" t="s">
        <v>28</v>
      </c>
      <c r="D137" s="120">
        <v>185619</v>
      </c>
      <c r="E137" s="122" t="s">
        <v>223</v>
      </c>
      <c r="F137" s="120" t="s">
        <v>147</v>
      </c>
      <c r="G137" s="120"/>
      <c r="H137" s="120"/>
    </row>
    <row r="138" spans="1:9" ht="14.4" x14ac:dyDescent="0.3">
      <c r="A138" s="120">
        <v>7073</v>
      </c>
      <c r="B138" s="120"/>
      <c r="C138" s="127" t="s">
        <v>28</v>
      </c>
      <c r="D138" s="128">
        <v>182773</v>
      </c>
      <c r="E138" s="129" t="s">
        <v>224</v>
      </c>
      <c r="F138" s="115" t="s">
        <v>147</v>
      </c>
      <c r="G138" s="115"/>
      <c r="H138" s="115"/>
      <c r="I138"/>
    </row>
    <row r="139" spans="1:9" ht="14.4" x14ac:dyDescent="0.3">
      <c r="A139" s="120"/>
      <c r="B139" s="120"/>
      <c r="C139" s="127" t="s">
        <v>28</v>
      </c>
      <c r="D139" s="128">
        <v>182797</v>
      </c>
      <c r="E139" s="129" t="s">
        <v>225</v>
      </c>
      <c r="F139" s="115" t="s">
        <v>147</v>
      </c>
      <c r="G139" s="115" t="s">
        <v>96</v>
      </c>
      <c r="H139" s="115" t="s">
        <v>147</v>
      </c>
      <c r="I139">
        <v>2</v>
      </c>
    </row>
    <row r="140" spans="1:9" ht="14.4" x14ac:dyDescent="0.3">
      <c r="A140" s="120"/>
      <c r="B140" s="120"/>
      <c r="C140" s="127" t="s">
        <v>28</v>
      </c>
      <c r="D140" s="128">
        <v>183091</v>
      </c>
      <c r="E140" s="129" t="s">
        <v>226</v>
      </c>
      <c r="F140" s="115" t="s">
        <v>147</v>
      </c>
      <c r="G140" s="115" t="s">
        <v>96</v>
      </c>
      <c r="H140" s="115" t="s">
        <v>147</v>
      </c>
      <c r="I140">
        <v>2</v>
      </c>
    </row>
    <row r="141" spans="1:9" x14ac:dyDescent="0.3">
      <c r="A141" s="120">
        <v>6705</v>
      </c>
      <c r="B141" s="126">
        <v>184348</v>
      </c>
      <c r="C141" s="120" t="s">
        <v>28</v>
      </c>
      <c r="D141" s="122">
        <v>178088</v>
      </c>
      <c r="E141" s="120" t="s">
        <v>227</v>
      </c>
      <c r="F141" s="120" t="s">
        <v>95</v>
      </c>
      <c r="G141" s="120"/>
      <c r="H141" s="120"/>
    </row>
    <row r="142" spans="1:9" x14ac:dyDescent="0.3">
      <c r="A142" s="120">
        <v>6909</v>
      </c>
      <c r="B142" s="120">
        <v>185049</v>
      </c>
      <c r="C142" s="126" t="s">
        <v>28</v>
      </c>
      <c r="D142" s="120">
        <v>178112</v>
      </c>
      <c r="E142" s="122" t="s">
        <v>228</v>
      </c>
      <c r="F142" s="120" t="s">
        <v>95</v>
      </c>
      <c r="G142" s="120"/>
      <c r="H142" s="1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E182-4615-4D05-ADB1-E921A86EB4C6}">
  <dimension ref="A1:H72"/>
  <sheetViews>
    <sheetView workbookViewId="0">
      <selection activeCell="C4" sqref="C4"/>
    </sheetView>
  </sheetViews>
  <sheetFormatPr defaultRowHeight="14.4" x14ac:dyDescent="0.3"/>
  <cols>
    <col min="1" max="1" width="7" bestFit="1" customWidth="1"/>
    <col min="2" max="2" width="13.33203125" bestFit="1" customWidth="1"/>
    <col min="3" max="3" width="14.88671875" bestFit="1" customWidth="1"/>
    <col min="4" max="4" width="142.88671875" customWidth="1"/>
    <col min="5" max="5" width="10.6640625" bestFit="1" customWidth="1"/>
    <col min="6" max="6" width="17.109375" bestFit="1" customWidth="1"/>
    <col min="7" max="7" width="16.88671875" bestFit="1" customWidth="1"/>
    <col min="8" max="8" width="15.6640625" bestFit="1" customWidth="1"/>
  </cols>
  <sheetData>
    <row r="1" spans="1:8" x14ac:dyDescent="0.3">
      <c r="A1" s="115" t="s">
        <v>86</v>
      </c>
      <c r="B1" s="115" t="s">
        <v>366</v>
      </c>
      <c r="C1" s="115" t="s">
        <v>229</v>
      </c>
      <c r="D1" s="115" t="s">
        <v>89</v>
      </c>
      <c r="E1" s="115" t="s">
        <v>230</v>
      </c>
      <c r="F1" s="115" t="s">
        <v>231</v>
      </c>
      <c r="G1" s="115" t="s">
        <v>232</v>
      </c>
      <c r="H1" s="115" t="s">
        <v>233</v>
      </c>
    </row>
    <row r="2" spans="1:8" x14ac:dyDescent="0.3">
      <c r="A2" s="133">
        <v>185789</v>
      </c>
      <c r="B2" s="133" t="s">
        <v>239</v>
      </c>
      <c r="C2" s="133"/>
      <c r="D2" s="133" t="s">
        <v>240</v>
      </c>
      <c r="E2" s="133" t="s">
        <v>241</v>
      </c>
      <c r="F2" s="133" t="s">
        <v>95</v>
      </c>
      <c r="G2" s="133" t="s">
        <v>236</v>
      </c>
      <c r="H2" s="134">
        <v>44433.479641203703</v>
      </c>
    </row>
    <row r="3" spans="1:8" x14ac:dyDescent="0.3">
      <c r="A3" s="133">
        <v>185783</v>
      </c>
      <c r="B3" s="133" t="s">
        <v>245</v>
      </c>
      <c r="C3" s="133" t="s">
        <v>370</v>
      </c>
      <c r="D3" s="133" t="s">
        <v>246</v>
      </c>
      <c r="E3" s="133" t="s">
        <v>241</v>
      </c>
      <c r="F3" s="133" t="s">
        <v>244</v>
      </c>
      <c r="G3" s="133" t="s">
        <v>34</v>
      </c>
      <c r="H3" s="134">
        <v>44433.454722222225</v>
      </c>
    </row>
    <row r="4" spans="1:8" x14ac:dyDescent="0.3">
      <c r="A4" s="133">
        <v>185506</v>
      </c>
      <c r="B4" s="133" t="s">
        <v>256</v>
      </c>
      <c r="C4" s="133" t="s">
        <v>371</v>
      </c>
      <c r="D4" s="133" t="s">
        <v>257</v>
      </c>
      <c r="E4" s="133" t="s">
        <v>241</v>
      </c>
      <c r="F4" s="133" t="s">
        <v>147</v>
      </c>
      <c r="G4" s="133" t="s">
        <v>236</v>
      </c>
      <c r="H4" s="134">
        <v>44431.158310185187</v>
      </c>
    </row>
    <row r="5" spans="1:8" x14ac:dyDescent="0.3">
      <c r="A5" s="133">
        <v>185505</v>
      </c>
      <c r="B5" s="133" t="s">
        <v>258</v>
      </c>
      <c r="C5" s="133"/>
      <c r="D5" s="133" t="s">
        <v>259</v>
      </c>
      <c r="E5" s="133" t="s">
        <v>241</v>
      </c>
      <c r="F5" s="133" t="s">
        <v>147</v>
      </c>
      <c r="G5" s="133" t="s">
        <v>236</v>
      </c>
      <c r="H5" s="134">
        <v>44431.054837962962</v>
      </c>
    </row>
    <row r="6" spans="1:8" x14ac:dyDescent="0.3">
      <c r="A6" s="133">
        <v>185480</v>
      </c>
      <c r="B6" s="133" t="s">
        <v>260</v>
      </c>
      <c r="C6" s="133"/>
      <c r="D6" s="133" t="s">
        <v>261</v>
      </c>
      <c r="E6" s="133" t="s">
        <v>241</v>
      </c>
      <c r="F6" s="133" t="s">
        <v>147</v>
      </c>
      <c r="G6" s="133" t="s">
        <v>236</v>
      </c>
      <c r="H6" s="134">
        <v>44430.038148148145</v>
      </c>
    </row>
    <row r="7" spans="1:8" x14ac:dyDescent="0.3">
      <c r="A7" s="133">
        <v>185281</v>
      </c>
      <c r="B7" s="133" t="s">
        <v>271</v>
      </c>
      <c r="C7" s="133"/>
      <c r="D7" s="133" t="s">
        <v>272</v>
      </c>
      <c r="E7" s="133" t="s">
        <v>241</v>
      </c>
      <c r="F7" s="133" t="s">
        <v>244</v>
      </c>
      <c r="G7" s="133" t="s">
        <v>34</v>
      </c>
      <c r="H7" s="134">
        <v>44426.739895833336</v>
      </c>
    </row>
    <row r="8" spans="1:8" x14ac:dyDescent="0.3">
      <c r="A8" s="133">
        <v>185194</v>
      </c>
      <c r="B8" s="133" t="s">
        <v>278</v>
      </c>
      <c r="C8" s="133"/>
      <c r="D8" s="133" t="s">
        <v>279</v>
      </c>
      <c r="E8" s="133" t="s">
        <v>241</v>
      </c>
      <c r="F8" s="133" t="s">
        <v>244</v>
      </c>
      <c r="G8" s="133" t="s">
        <v>34</v>
      </c>
      <c r="H8" s="134">
        <v>44425.700208333335</v>
      </c>
    </row>
    <row r="9" spans="1:8" x14ac:dyDescent="0.3">
      <c r="A9" s="133">
        <v>185049</v>
      </c>
      <c r="B9" s="133" t="s">
        <v>284</v>
      </c>
      <c r="C9" s="133"/>
      <c r="D9" s="133" t="s">
        <v>285</v>
      </c>
      <c r="E9" s="133" t="s">
        <v>241</v>
      </c>
      <c r="F9" s="133" t="s">
        <v>95</v>
      </c>
      <c r="G9" s="133" t="s">
        <v>286</v>
      </c>
      <c r="H9" s="134">
        <v>44424.74894675926</v>
      </c>
    </row>
    <row r="10" spans="1:8" x14ac:dyDescent="0.3">
      <c r="A10" s="133">
        <v>184883</v>
      </c>
      <c r="B10" s="133" t="s">
        <v>106</v>
      </c>
      <c r="C10" s="133" t="s">
        <v>368</v>
      </c>
      <c r="D10" s="133" t="s">
        <v>290</v>
      </c>
      <c r="E10" s="133" t="s">
        <v>241</v>
      </c>
      <c r="F10" s="133" t="s">
        <v>291</v>
      </c>
      <c r="G10" s="133" t="s">
        <v>236</v>
      </c>
      <c r="H10" s="134">
        <v>44421.802557870367</v>
      </c>
    </row>
    <row r="11" spans="1:8" x14ac:dyDescent="0.3">
      <c r="A11" s="135">
        <v>185618</v>
      </c>
      <c r="B11" s="135" t="s">
        <v>252</v>
      </c>
      <c r="C11" s="135"/>
      <c r="D11" s="135" t="s">
        <v>253</v>
      </c>
      <c r="E11" s="135" t="s">
        <v>254</v>
      </c>
      <c r="F11" s="135" t="s">
        <v>255</v>
      </c>
      <c r="G11" s="135" t="s">
        <v>236</v>
      </c>
      <c r="H11" s="136">
        <v>44431.675150462965</v>
      </c>
    </row>
    <row r="12" spans="1:8" x14ac:dyDescent="0.3">
      <c r="A12" s="135">
        <v>185444</v>
      </c>
      <c r="B12" s="135" t="s">
        <v>262</v>
      </c>
      <c r="C12" s="135"/>
      <c r="D12" s="135" t="s">
        <v>263</v>
      </c>
      <c r="E12" s="135" t="s">
        <v>254</v>
      </c>
      <c r="F12" s="135" t="s">
        <v>147</v>
      </c>
      <c r="G12" s="135" t="s">
        <v>236</v>
      </c>
      <c r="H12" s="136">
        <v>44428.561655092592</v>
      </c>
    </row>
    <row r="13" spans="1:8" x14ac:dyDescent="0.3">
      <c r="A13" s="135">
        <v>185424</v>
      </c>
      <c r="B13" s="135" t="s">
        <v>264</v>
      </c>
      <c r="C13" s="135"/>
      <c r="D13" s="135" t="s">
        <v>265</v>
      </c>
      <c r="E13" s="135" t="s">
        <v>254</v>
      </c>
      <c r="F13" s="135" t="s">
        <v>147</v>
      </c>
      <c r="G13" s="135" t="s">
        <v>236</v>
      </c>
      <c r="H13" s="136">
        <v>44428.079467592594</v>
      </c>
    </row>
    <row r="14" spans="1:8" x14ac:dyDescent="0.3">
      <c r="A14" s="135">
        <v>185422</v>
      </c>
      <c r="B14" s="135" t="s">
        <v>268</v>
      </c>
      <c r="C14" s="135"/>
      <c r="D14" s="135" t="s">
        <v>269</v>
      </c>
      <c r="E14" s="135" t="s">
        <v>254</v>
      </c>
      <c r="F14" s="135" t="s">
        <v>270</v>
      </c>
      <c r="G14" s="135" t="s">
        <v>34</v>
      </c>
      <c r="H14" s="136">
        <v>44427.914652777778</v>
      </c>
    </row>
    <row r="15" spans="1:8" x14ac:dyDescent="0.3">
      <c r="A15" s="135">
        <v>185221</v>
      </c>
      <c r="B15" s="135"/>
      <c r="C15" s="135"/>
      <c r="D15" s="135" t="s">
        <v>273</v>
      </c>
      <c r="E15" s="135" t="s">
        <v>254</v>
      </c>
      <c r="F15" s="135" t="s">
        <v>95</v>
      </c>
      <c r="G15" s="135" t="s">
        <v>236</v>
      </c>
      <c r="H15" s="136">
        <v>44426.485520833332</v>
      </c>
    </row>
    <row r="16" spans="1:8" x14ac:dyDescent="0.3">
      <c r="A16" s="135">
        <v>185211</v>
      </c>
      <c r="B16" s="135" t="s">
        <v>274</v>
      </c>
      <c r="C16" s="135"/>
      <c r="D16" s="135" t="s">
        <v>275</v>
      </c>
      <c r="E16" s="135" t="s">
        <v>254</v>
      </c>
      <c r="F16" s="135" t="s">
        <v>103</v>
      </c>
      <c r="G16" s="135" t="s">
        <v>236</v>
      </c>
      <c r="H16" s="136">
        <v>44426.415289351855</v>
      </c>
    </row>
    <row r="17" spans="1:8" x14ac:dyDescent="0.3">
      <c r="A17" s="135">
        <v>185065</v>
      </c>
      <c r="B17" s="135" t="s">
        <v>282</v>
      </c>
      <c r="C17" s="135" t="s">
        <v>369</v>
      </c>
      <c r="D17" s="135" t="s">
        <v>283</v>
      </c>
      <c r="E17" s="135" t="s">
        <v>254</v>
      </c>
      <c r="F17" s="135" t="s">
        <v>116</v>
      </c>
      <c r="G17" s="135" t="s">
        <v>34</v>
      </c>
      <c r="H17" s="136">
        <v>44425.357037037036</v>
      </c>
    </row>
    <row r="18" spans="1:8" x14ac:dyDescent="0.3">
      <c r="A18" s="135">
        <v>185045</v>
      </c>
      <c r="B18" s="135" t="s">
        <v>287</v>
      </c>
      <c r="C18" s="135"/>
      <c r="D18" s="135" t="s">
        <v>288</v>
      </c>
      <c r="E18" s="135" t="s">
        <v>254</v>
      </c>
      <c r="F18" s="135" t="s">
        <v>289</v>
      </c>
      <c r="G18" s="135" t="s">
        <v>34</v>
      </c>
      <c r="H18" s="136">
        <v>44424.672812500001</v>
      </c>
    </row>
    <row r="19" spans="1:8" x14ac:dyDescent="0.3">
      <c r="A19" s="135">
        <v>184760</v>
      </c>
      <c r="B19" s="135" t="s">
        <v>301</v>
      </c>
      <c r="C19" s="135"/>
      <c r="D19" s="135" t="s">
        <v>302</v>
      </c>
      <c r="E19" s="135" t="s">
        <v>254</v>
      </c>
      <c r="F19" s="135" t="s">
        <v>303</v>
      </c>
      <c r="G19" s="135" t="s">
        <v>34</v>
      </c>
      <c r="H19" s="136">
        <v>44420.560682870368</v>
      </c>
    </row>
    <row r="20" spans="1:8" x14ac:dyDescent="0.3">
      <c r="A20" s="135">
        <v>184687</v>
      </c>
      <c r="B20" s="135" t="s">
        <v>307</v>
      </c>
      <c r="C20" s="135"/>
      <c r="D20" s="135" t="s">
        <v>308</v>
      </c>
      <c r="E20" s="135" t="s">
        <v>254</v>
      </c>
      <c r="F20" s="135" t="s">
        <v>147</v>
      </c>
      <c r="G20" s="135" t="s">
        <v>236</v>
      </c>
      <c r="H20" s="136">
        <v>44419.471990740742</v>
      </c>
    </row>
    <row r="21" spans="1:8" x14ac:dyDescent="0.3">
      <c r="A21" s="135">
        <v>184623</v>
      </c>
      <c r="B21" s="135"/>
      <c r="C21" s="135"/>
      <c r="D21" s="135" t="s">
        <v>317</v>
      </c>
      <c r="E21" s="135" t="s">
        <v>254</v>
      </c>
      <c r="F21" s="135" t="s">
        <v>291</v>
      </c>
      <c r="G21" s="135" t="s">
        <v>236</v>
      </c>
      <c r="H21" s="136">
        <v>44417.723263888889</v>
      </c>
    </row>
    <row r="22" spans="1:8" x14ac:dyDescent="0.3">
      <c r="A22" s="135">
        <v>183695</v>
      </c>
      <c r="B22" s="135" t="s">
        <v>329</v>
      </c>
      <c r="C22" s="135"/>
      <c r="D22" s="135" t="s">
        <v>330</v>
      </c>
      <c r="E22" s="135" t="s">
        <v>254</v>
      </c>
      <c r="F22" s="135" t="s">
        <v>103</v>
      </c>
      <c r="G22" s="135" t="s">
        <v>34</v>
      </c>
      <c r="H22" s="136">
        <v>44399.985775462963</v>
      </c>
    </row>
    <row r="23" spans="1:8" x14ac:dyDescent="0.3">
      <c r="A23" s="135">
        <v>182960</v>
      </c>
      <c r="B23" s="135" t="s">
        <v>335</v>
      </c>
      <c r="C23" s="135"/>
      <c r="D23" s="135" t="s">
        <v>336</v>
      </c>
      <c r="E23" s="135" t="s">
        <v>254</v>
      </c>
      <c r="F23" s="135" t="s">
        <v>95</v>
      </c>
      <c r="G23" s="135" t="s">
        <v>300</v>
      </c>
      <c r="H23" s="136">
        <v>44386.496736111112</v>
      </c>
    </row>
    <row r="24" spans="1:8" x14ac:dyDescent="0.3">
      <c r="A24" s="135">
        <v>182801</v>
      </c>
      <c r="B24" s="135" t="s">
        <v>337</v>
      </c>
      <c r="C24" s="135"/>
      <c r="D24" s="135" t="s">
        <v>338</v>
      </c>
      <c r="E24" s="135" t="s">
        <v>254</v>
      </c>
      <c r="F24" s="135" t="s">
        <v>244</v>
      </c>
      <c r="G24" s="135" t="s">
        <v>34</v>
      </c>
      <c r="H24" s="136">
        <v>44384.738981481481</v>
      </c>
    </row>
    <row r="25" spans="1:8" x14ac:dyDescent="0.3">
      <c r="A25" s="135">
        <v>179735</v>
      </c>
      <c r="B25" s="135"/>
      <c r="C25" s="135"/>
      <c r="D25" s="135" t="s">
        <v>346</v>
      </c>
      <c r="E25" s="135" t="s">
        <v>254</v>
      </c>
      <c r="F25" s="135" t="s">
        <v>116</v>
      </c>
      <c r="G25" s="135" t="s">
        <v>236</v>
      </c>
      <c r="H25" s="136">
        <v>44351.543634259258</v>
      </c>
    </row>
    <row r="26" spans="1:8" x14ac:dyDescent="0.3">
      <c r="A26" s="135">
        <v>179734</v>
      </c>
      <c r="B26" s="135"/>
      <c r="C26" s="135"/>
      <c r="D26" s="135" t="s">
        <v>347</v>
      </c>
      <c r="E26" s="135" t="s">
        <v>254</v>
      </c>
      <c r="F26" s="135" t="s">
        <v>116</v>
      </c>
      <c r="G26" s="135" t="s">
        <v>236</v>
      </c>
      <c r="H26" s="136">
        <v>44351.541087962964</v>
      </c>
    </row>
    <row r="27" spans="1:8" x14ac:dyDescent="0.3">
      <c r="A27" s="135">
        <v>179733</v>
      </c>
      <c r="B27" s="135"/>
      <c r="C27" s="135"/>
      <c r="D27" s="135" t="s">
        <v>348</v>
      </c>
      <c r="E27" s="135" t="s">
        <v>254</v>
      </c>
      <c r="F27" s="135" t="s">
        <v>116</v>
      </c>
      <c r="G27" s="135" t="s">
        <v>236</v>
      </c>
      <c r="H27" s="136">
        <v>44351.538611111115</v>
      </c>
    </row>
    <row r="28" spans="1:8" x14ac:dyDescent="0.3">
      <c r="A28" s="115">
        <v>185850</v>
      </c>
      <c r="B28" s="115"/>
      <c r="C28" s="115"/>
      <c r="D28" s="115" t="s">
        <v>234</v>
      </c>
      <c r="E28" s="115" t="s">
        <v>235</v>
      </c>
      <c r="F28" s="115" t="s">
        <v>147</v>
      </c>
      <c r="G28" s="115" t="s">
        <v>236</v>
      </c>
      <c r="H28" s="132">
        <v>44434.646099537036</v>
      </c>
    </row>
    <row r="29" spans="1:8" x14ac:dyDescent="0.3">
      <c r="A29" s="115">
        <v>185793</v>
      </c>
      <c r="B29" s="115"/>
      <c r="C29" s="115"/>
      <c r="D29" s="115" t="s">
        <v>237</v>
      </c>
      <c r="E29" s="115" t="s">
        <v>235</v>
      </c>
      <c r="F29" s="115" t="s">
        <v>238</v>
      </c>
      <c r="G29" s="115" t="s">
        <v>236</v>
      </c>
      <c r="H29" s="132">
        <v>44433.486863425926</v>
      </c>
    </row>
    <row r="30" spans="1:8" x14ac:dyDescent="0.3">
      <c r="A30" s="115">
        <v>185787</v>
      </c>
      <c r="B30" s="115" t="s">
        <v>242</v>
      </c>
      <c r="C30" s="115"/>
      <c r="D30" s="115" t="s">
        <v>243</v>
      </c>
      <c r="E30" s="115" t="s">
        <v>235</v>
      </c>
      <c r="F30" s="115" t="s">
        <v>244</v>
      </c>
      <c r="G30" s="115" t="s">
        <v>34</v>
      </c>
      <c r="H30" s="132">
        <v>44433.476550925923</v>
      </c>
    </row>
    <row r="31" spans="1:8" x14ac:dyDescent="0.3">
      <c r="A31" s="115">
        <v>185736</v>
      </c>
      <c r="B31" s="115" t="s">
        <v>247</v>
      </c>
      <c r="C31" s="115"/>
      <c r="D31" s="115" t="s">
        <v>248</v>
      </c>
      <c r="E31" s="115" t="s">
        <v>235</v>
      </c>
      <c r="F31" s="115" t="s">
        <v>103</v>
      </c>
      <c r="G31" s="115" t="s">
        <v>236</v>
      </c>
      <c r="H31" s="132">
        <v>44432.742384259262</v>
      </c>
    </row>
    <row r="32" spans="1:8" x14ac:dyDescent="0.3">
      <c r="A32" s="115">
        <v>185678</v>
      </c>
      <c r="B32" s="115"/>
      <c r="C32" s="115"/>
      <c r="D32" s="115" t="s">
        <v>249</v>
      </c>
      <c r="E32" s="115" t="s">
        <v>235</v>
      </c>
      <c r="F32" s="115" t="s">
        <v>147</v>
      </c>
      <c r="G32" s="115" t="s">
        <v>236</v>
      </c>
      <c r="H32" s="132">
        <v>44432.515266203707</v>
      </c>
    </row>
    <row r="33" spans="1:8" x14ac:dyDescent="0.3">
      <c r="A33" s="115">
        <v>185657</v>
      </c>
      <c r="B33" s="115" t="s">
        <v>250</v>
      </c>
      <c r="C33" s="115"/>
      <c r="D33" s="115" t="s">
        <v>251</v>
      </c>
      <c r="E33" s="115" t="s">
        <v>235</v>
      </c>
      <c r="F33" s="115" t="s">
        <v>147</v>
      </c>
      <c r="G33" s="115" t="s">
        <v>236</v>
      </c>
      <c r="H33" s="132">
        <v>44432.069733796299</v>
      </c>
    </row>
    <row r="34" spans="1:8" x14ac:dyDescent="0.3">
      <c r="A34" s="115">
        <v>185423</v>
      </c>
      <c r="B34" s="115" t="s">
        <v>266</v>
      </c>
      <c r="C34" s="115"/>
      <c r="D34" s="115" t="s">
        <v>267</v>
      </c>
      <c r="E34" s="115" t="s">
        <v>235</v>
      </c>
      <c r="F34" s="115" t="s">
        <v>147</v>
      </c>
      <c r="G34" s="115" t="s">
        <v>236</v>
      </c>
      <c r="H34" s="132">
        <v>44428.04215277778</v>
      </c>
    </row>
    <row r="35" spans="1:8" x14ac:dyDescent="0.3">
      <c r="A35" s="115">
        <v>185196</v>
      </c>
      <c r="B35" s="115" t="s">
        <v>276</v>
      </c>
      <c r="C35" s="115"/>
      <c r="D35" s="115" t="s">
        <v>277</v>
      </c>
      <c r="E35" s="115" t="s">
        <v>235</v>
      </c>
      <c r="F35" s="115" t="s">
        <v>147</v>
      </c>
      <c r="G35" s="115" t="s">
        <v>34</v>
      </c>
      <c r="H35" s="132">
        <v>44426.027812499997</v>
      </c>
    </row>
    <row r="36" spans="1:8" x14ac:dyDescent="0.3">
      <c r="A36" s="115">
        <v>185180</v>
      </c>
      <c r="B36" s="115" t="s">
        <v>280</v>
      </c>
      <c r="C36" s="115"/>
      <c r="D36" s="115" t="s">
        <v>281</v>
      </c>
      <c r="E36" s="115" t="s">
        <v>235</v>
      </c>
      <c r="F36" s="115" t="s">
        <v>244</v>
      </c>
      <c r="G36" s="115" t="s">
        <v>34</v>
      </c>
      <c r="H36" s="132">
        <v>44425.630590277775</v>
      </c>
    </row>
    <row r="37" spans="1:8" x14ac:dyDescent="0.3">
      <c r="A37" s="115">
        <v>184847</v>
      </c>
      <c r="B37" s="115" t="s">
        <v>292</v>
      </c>
      <c r="C37" s="115"/>
      <c r="D37" s="115" t="s">
        <v>293</v>
      </c>
      <c r="E37" s="115" t="s">
        <v>235</v>
      </c>
      <c r="F37" s="115" t="s">
        <v>238</v>
      </c>
      <c r="G37" s="115" t="s">
        <v>34</v>
      </c>
      <c r="H37" s="132">
        <v>44421.52851851852</v>
      </c>
    </row>
    <row r="38" spans="1:8" x14ac:dyDescent="0.3">
      <c r="A38" s="115">
        <v>184839</v>
      </c>
      <c r="B38" s="115"/>
      <c r="C38" s="115"/>
      <c r="D38" s="115" t="s">
        <v>294</v>
      </c>
      <c r="E38" s="115" t="s">
        <v>235</v>
      </c>
      <c r="F38" s="115"/>
      <c r="G38" s="115" t="s">
        <v>236</v>
      </c>
      <c r="H38" s="132">
        <v>44421.480543981481</v>
      </c>
    </row>
    <row r="39" spans="1:8" x14ac:dyDescent="0.3">
      <c r="A39" s="115">
        <v>184827</v>
      </c>
      <c r="B39" s="115"/>
      <c r="C39" s="115"/>
      <c r="D39" s="115" t="s">
        <v>295</v>
      </c>
      <c r="E39" s="115" t="s">
        <v>235</v>
      </c>
      <c r="F39" s="115" t="s">
        <v>291</v>
      </c>
      <c r="G39" s="115" t="s">
        <v>236</v>
      </c>
      <c r="H39" s="132">
        <v>44421.445219907408</v>
      </c>
    </row>
    <row r="40" spans="1:8" x14ac:dyDescent="0.3">
      <c r="A40" s="115">
        <v>184786</v>
      </c>
      <c r="B40" s="115" t="s">
        <v>296</v>
      </c>
      <c r="C40" s="115"/>
      <c r="D40" s="115" t="s">
        <v>297</v>
      </c>
      <c r="E40" s="115" t="s">
        <v>235</v>
      </c>
      <c r="F40" s="115" t="s">
        <v>244</v>
      </c>
      <c r="G40" s="115" t="s">
        <v>34</v>
      </c>
      <c r="H40" s="132">
        <v>44420.680474537039</v>
      </c>
    </row>
    <row r="41" spans="1:8" x14ac:dyDescent="0.3">
      <c r="A41" s="115">
        <v>184781</v>
      </c>
      <c r="B41" s="115" t="s">
        <v>298</v>
      </c>
      <c r="C41" s="115"/>
      <c r="D41" s="115" t="s">
        <v>299</v>
      </c>
      <c r="E41" s="115" t="s">
        <v>235</v>
      </c>
      <c r="F41" s="115" t="s">
        <v>238</v>
      </c>
      <c r="G41" s="115" t="s">
        <v>300</v>
      </c>
      <c r="H41" s="132">
        <v>44420.66202546296</v>
      </c>
    </row>
    <row r="42" spans="1:8" x14ac:dyDescent="0.3">
      <c r="A42" s="115">
        <v>184718</v>
      </c>
      <c r="B42" s="115"/>
      <c r="C42" s="115"/>
      <c r="D42" s="115" t="s">
        <v>304</v>
      </c>
      <c r="E42" s="115" t="s">
        <v>235</v>
      </c>
      <c r="F42" s="115" t="s">
        <v>303</v>
      </c>
      <c r="G42" s="115" t="s">
        <v>236</v>
      </c>
      <c r="H42" s="132">
        <v>44419.646099537036</v>
      </c>
    </row>
    <row r="43" spans="1:8" x14ac:dyDescent="0.3">
      <c r="A43" s="115">
        <v>184707</v>
      </c>
      <c r="B43" s="115" t="s">
        <v>305</v>
      </c>
      <c r="C43" s="115" t="s">
        <v>367</v>
      </c>
      <c r="D43" s="115" t="s">
        <v>306</v>
      </c>
      <c r="E43" s="115" t="s">
        <v>235</v>
      </c>
      <c r="F43" s="115" t="s">
        <v>244</v>
      </c>
      <c r="G43" s="115" t="s">
        <v>34</v>
      </c>
      <c r="H43" s="132">
        <v>44419.528807870367</v>
      </c>
    </row>
    <row r="44" spans="1:8" x14ac:dyDescent="0.3">
      <c r="A44" s="115">
        <v>184685</v>
      </c>
      <c r="B44" s="115"/>
      <c r="C44" s="115"/>
      <c r="D44" s="115" t="s">
        <v>309</v>
      </c>
      <c r="E44" s="115" t="s">
        <v>235</v>
      </c>
      <c r="F44" s="115"/>
      <c r="G44" s="115" t="s">
        <v>236</v>
      </c>
      <c r="H44" s="132">
        <v>44419.440428240741</v>
      </c>
    </row>
    <row r="45" spans="1:8" x14ac:dyDescent="0.3">
      <c r="A45" s="115">
        <v>184658</v>
      </c>
      <c r="B45" s="115"/>
      <c r="C45" s="115"/>
      <c r="D45" s="115" t="s">
        <v>310</v>
      </c>
      <c r="E45" s="115" t="s">
        <v>235</v>
      </c>
      <c r="F45" s="115"/>
      <c r="G45" s="115" t="s">
        <v>236</v>
      </c>
      <c r="H45" s="132">
        <v>44419.34101851852</v>
      </c>
    </row>
    <row r="46" spans="1:8" x14ac:dyDescent="0.3">
      <c r="A46" s="115">
        <v>184655</v>
      </c>
      <c r="B46" s="115" t="s">
        <v>311</v>
      </c>
      <c r="C46" s="115"/>
      <c r="D46" s="115" t="s">
        <v>312</v>
      </c>
      <c r="E46" s="115" t="s">
        <v>235</v>
      </c>
      <c r="F46" s="115" t="s">
        <v>238</v>
      </c>
      <c r="G46" s="115" t="s">
        <v>34</v>
      </c>
      <c r="H46" s="132">
        <v>44418.686319444445</v>
      </c>
    </row>
    <row r="47" spans="1:8" x14ac:dyDescent="0.3">
      <c r="A47" s="115">
        <v>184637</v>
      </c>
      <c r="B47" s="115" t="s">
        <v>313</v>
      </c>
      <c r="C47" s="115"/>
      <c r="D47" s="115" t="s">
        <v>314</v>
      </c>
      <c r="E47" s="115" t="s">
        <v>235</v>
      </c>
      <c r="F47" s="115" t="s">
        <v>238</v>
      </c>
      <c r="G47" s="115" t="s">
        <v>34</v>
      </c>
      <c r="H47" s="132">
        <v>44418.537974537037</v>
      </c>
    </row>
    <row r="48" spans="1:8" x14ac:dyDescent="0.3">
      <c r="A48" s="115">
        <v>184631</v>
      </c>
      <c r="B48" s="115" t="s">
        <v>315</v>
      </c>
      <c r="C48" s="115"/>
      <c r="D48" s="115" t="s">
        <v>316</v>
      </c>
      <c r="E48" s="115" t="s">
        <v>235</v>
      </c>
      <c r="F48" s="115" t="s">
        <v>244</v>
      </c>
      <c r="G48" s="115" t="s">
        <v>34</v>
      </c>
      <c r="H48" s="132">
        <v>44418.454560185186</v>
      </c>
    </row>
    <row r="49" spans="1:8" x14ac:dyDescent="0.3">
      <c r="A49" s="115">
        <v>184612</v>
      </c>
      <c r="B49" s="115"/>
      <c r="C49" s="115"/>
      <c r="D49" s="115" t="s">
        <v>318</v>
      </c>
      <c r="E49" s="115" t="s">
        <v>235</v>
      </c>
      <c r="F49" s="115"/>
      <c r="G49" s="115" t="s">
        <v>236</v>
      </c>
      <c r="H49" s="132">
        <v>44417.598495370374</v>
      </c>
    </row>
    <row r="50" spans="1:8" x14ac:dyDescent="0.3">
      <c r="A50" s="115">
        <v>184569</v>
      </c>
      <c r="B50" s="115"/>
      <c r="C50" s="115"/>
      <c r="D50" s="115" t="s">
        <v>319</v>
      </c>
      <c r="E50" s="115" t="s">
        <v>235</v>
      </c>
      <c r="F50" s="115" t="s">
        <v>320</v>
      </c>
      <c r="G50" s="115" t="s">
        <v>236</v>
      </c>
      <c r="H50" s="132">
        <v>44414.648923611108</v>
      </c>
    </row>
    <row r="51" spans="1:8" x14ac:dyDescent="0.3">
      <c r="A51" s="115">
        <v>184454</v>
      </c>
      <c r="B51" s="115" t="s">
        <v>321</v>
      </c>
      <c r="C51" s="115"/>
      <c r="D51" s="115" t="s">
        <v>322</v>
      </c>
      <c r="E51" s="115" t="s">
        <v>235</v>
      </c>
      <c r="F51" s="115" t="s">
        <v>244</v>
      </c>
      <c r="G51" s="115" t="s">
        <v>34</v>
      </c>
      <c r="H51" s="132">
        <v>44413.585995370369</v>
      </c>
    </row>
    <row r="52" spans="1:8" x14ac:dyDescent="0.3">
      <c r="A52" s="115">
        <v>184412</v>
      </c>
      <c r="B52" s="115"/>
      <c r="C52" s="115"/>
      <c r="D52" s="115" t="s">
        <v>323</v>
      </c>
      <c r="E52" s="115" t="s">
        <v>235</v>
      </c>
      <c r="F52" s="115" t="s">
        <v>238</v>
      </c>
      <c r="G52" s="115" t="s">
        <v>236</v>
      </c>
      <c r="H52" s="132">
        <v>44412.610092592593</v>
      </c>
    </row>
    <row r="53" spans="1:8" x14ac:dyDescent="0.3">
      <c r="A53" s="115">
        <v>184364</v>
      </c>
      <c r="B53" s="115"/>
      <c r="C53" s="115"/>
      <c r="D53" s="115" t="s">
        <v>324</v>
      </c>
      <c r="E53" s="115" t="s">
        <v>235</v>
      </c>
      <c r="F53" s="115"/>
      <c r="G53" s="115" t="s">
        <v>236</v>
      </c>
      <c r="H53" s="132">
        <v>44411.914456018516</v>
      </c>
    </row>
    <row r="54" spans="1:8" x14ac:dyDescent="0.3">
      <c r="A54" s="115">
        <v>184310</v>
      </c>
      <c r="B54" s="115" t="s">
        <v>325</v>
      </c>
      <c r="C54" s="115"/>
      <c r="D54" s="115" t="s">
        <v>326</v>
      </c>
      <c r="E54" s="115" t="s">
        <v>235</v>
      </c>
      <c r="F54" s="115" t="s">
        <v>238</v>
      </c>
      <c r="G54" s="115" t="s">
        <v>34</v>
      </c>
      <c r="H54" s="132">
        <v>44411.621296296296</v>
      </c>
    </row>
    <row r="55" spans="1:8" x14ac:dyDescent="0.3">
      <c r="A55" s="115">
        <v>184225</v>
      </c>
      <c r="B55" s="115"/>
      <c r="C55" s="115"/>
      <c r="D55" s="115" t="s">
        <v>327</v>
      </c>
      <c r="E55" s="115" t="s">
        <v>235</v>
      </c>
      <c r="F55" s="115" t="s">
        <v>291</v>
      </c>
      <c r="G55" s="115" t="s">
        <v>236</v>
      </c>
      <c r="H55" s="132">
        <v>44409.755752314813</v>
      </c>
    </row>
    <row r="56" spans="1:8" x14ac:dyDescent="0.3">
      <c r="A56" s="115">
        <v>184069</v>
      </c>
      <c r="B56" s="115"/>
      <c r="C56" s="115"/>
      <c r="D56" s="115" t="s">
        <v>328</v>
      </c>
      <c r="E56" s="115" t="s">
        <v>235</v>
      </c>
      <c r="F56" s="115"/>
      <c r="G56" s="115" t="s">
        <v>236</v>
      </c>
      <c r="H56" s="132">
        <v>44406.449560185189</v>
      </c>
    </row>
    <row r="57" spans="1:8" x14ac:dyDescent="0.3">
      <c r="A57" s="115">
        <v>183492</v>
      </c>
      <c r="B57" s="115" t="s">
        <v>331</v>
      </c>
      <c r="C57" s="115"/>
      <c r="D57" s="115" t="s">
        <v>332</v>
      </c>
      <c r="E57" s="115" t="s">
        <v>235</v>
      </c>
      <c r="F57" s="115" t="s">
        <v>103</v>
      </c>
      <c r="G57" s="115" t="s">
        <v>236</v>
      </c>
      <c r="H57" s="132">
        <v>44397.769212962965</v>
      </c>
    </row>
    <row r="58" spans="1:8" x14ac:dyDescent="0.3">
      <c r="A58" s="115">
        <v>183120</v>
      </c>
      <c r="B58" s="115" t="s">
        <v>333</v>
      </c>
      <c r="C58" s="115"/>
      <c r="D58" s="115" t="s">
        <v>334</v>
      </c>
      <c r="E58" s="115" t="s">
        <v>235</v>
      </c>
      <c r="F58" s="115" t="s">
        <v>244</v>
      </c>
      <c r="G58" s="115" t="s">
        <v>34</v>
      </c>
      <c r="H58" s="132">
        <v>44390.506018518521</v>
      </c>
    </row>
    <row r="59" spans="1:8" x14ac:dyDescent="0.3">
      <c r="A59" s="115">
        <v>182279</v>
      </c>
      <c r="B59" s="115"/>
      <c r="C59" s="115"/>
      <c r="D59" s="115" t="s">
        <v>339</v>
      </c>
      <c r="E59" s="115" t="s">
        <v>235</v>
      </c>
      <c r="F59" s="115" t="s">
        <v>303</v>
      </c>
      <c r="G59" s="115" t="s">
        <v>236</v>
      </c>
      <c r="H59" s="132">
        <v>44377.431168981479</v>
      </c>
    </row>
    <row r="60" spans="1:8" x14ac:dyDescent="0.3">
      <c r="A60" s="115">
        <v>182266</v>
      </c>
      <c r="B60" s="115"/>
      <c r="C60" s="115"/>
      <c r="D60" s="115" t="s">
        <v>340</v>
      </c>
      <c r="E60" s="115" t="s">
        <v>235</v>
      </c>
      <c r="F60" s="115" t="s">
        <v>291</v>
      </c>
      <c r="G60" s="115" t="s">
        <v>236</v>
      </c>
      <c r="H60" s="132">
        <v>44376.704722222225</v>
      </c>
    </row>
    <row r="61" spans="1:8" x14ac:dyDescent="0.3">
      <c r="A61" s="115">
        <v>181622</v>
      </c>
      <c r="B61" s="115"/>
      <c r="C61" s="115"/>
      <c r="D61" s="115" t="s">
        <v>341</v>
      </c>
      <c r="E61" s="115" t="s">
        <v>235</v>
      </c>
      <c r="F61" s="115" t="s">
        <v>291</v>
      </c>
      <c r="G61" s="115" t="s">
        <v>286</v>
      </c>
      <c r="H61" s="132">
        <v>44369.540162037039</v>
      </c>
    </row>
    <row r="62" spans="1:8" x14ac:dyDescent="0.3">
      <c r="A62" s="115">
        <v>181505</v>
      </c>
      <c r="B62" s="115" t="s">
        <v>342</v>
      </c>
      <c r="C62" s="115"/>
      <c r="D62" s="115" t="s">
        <v>343</v>
      </c>
      <c r="E62" s="115" t="s">
        <v>235</v>
      </c>
      <c r="F62" s="115" t="s">
        <v>244</v>
      </c>
      <c r="G62" s="115" t="s">
        <v>34</v>
      </c>
      <c r="H62" s="132">
        <v>44368.665000000001</v>
      </c>
    </row>
    <row r="63" spans="1:8" x14ac:dyDescent="0.3">
      <c r="A63" s="115">
        <v>181420</v>
      </c>
      <c r="B63" s="115" t="s">
        <v>344</v>
      </c>
      <c r="C63" s="115"/>
      <c r="D63" s="115" t="s">
        <v>345</v>
      </c>
      <c r="E63" s="115" t="s">
        <v>235</v>
      </c>
      <c r="F63" s="115" t="s">
        <v>244</v>
      </c>
      <c r="G63" s="115" t="s">
        <v>34</v>
      </c>
      <c r="H63" s="132">
        <v>44368.49659722222</v>
      </c>
    </row>
    <row r="64" spans="1:8" x14ac:dyDescent="0.3">
      <c r="A64" s="115">
        <v>179667</v>
      </c>
      <c r="B64" s="115" t="s">
        <v>349</v>
      </c>
      <c r="C64" s="115"/>
      <c r="D64" s="115" t="s">
        <v>350</v>
      </c>
      <c r="E64" s="115" t="s">
        <v>235</v>
      </c>
      <c r="F64" s="115" t="s">
        <v>244</v>
      </c>
      <c r="G64" s="115" t="s">
        <v>34</v>
      </c>
      <c r="H64" s="132">
        <v>44350.421157407407</v>
      </c>
    </row>
    <row r="65" spans="1:8" x14ac:dyDescent="0.3">
      <c r="A65" s="115">
        <v>179550</v>
      </c>
      <c r="B65" s="115" t="s">
        <v>351</v>
      </c>
      <c r="C65" s="115"/>
      <c r="D65" s="115" t="s">
        <v>352</v>
      </c>
      <c r="E65" s="115" t="s">
        <v>235</v>
      </c>
      <c r="F65" s="115" t="s">
        <v>244</v>
      </c>
      <c r="G65" s="115" t="s">
        <v>34</v>
      </c>
      <c r="H65" s="132">
        <v>44348.435173611113</v>
      </c>
    </row>
    <row r="66" spans="1:8" x14ac:dyDescent="0.3">
      <c r="A66" s="115">
        <v>179549</v>
      </c>
      <c r="B66" s="115" t="s">
        <v>353</v>
      </c>
      <c r="C66" s="115"/>
      <c r="D66" s="115" t="s">
        <v>354</v>
      </c>
      <c r="E66" s="115" t="s">
        <v>235</v>
      </c>
      <c r="F66" s="115" t="s">
        <v>244</v>
      </c>
      <c r="G66" s="115" t="s">
        <v>34</v>
      </c>
      <c r="H66" s="132">
        <v>44348.434490740743</v>
      </c>
    </row>
    <row r="67" spans="1:8" x14ac:dyDescent="0.3">
      <c r="A67" s="115">
        <v>179534</v>
      </c>
      <c r="B67" s="115" t="s">
        <v>355</v>
      </c>
      <c r="C67" s="115"/>
      <c r="D67" s="115" t="s">
        <v>356</v>
      </c>
      <c r="E67" s="115" t="s">
        <v>235</v>
      </c>
      <c r="F67" s="115" t="s">
        <v>244</v>
      </c>
      <c r="G67" s="115" t="s">
        <v>34</v>
      </c>
      <c r="H67" s="132">
        <v>44348.390069444446</v>
      </c>
    </row>
    <row r="68" spans="1:8" x14ac:dyDescent="0.3">
      <c r="A68" s="115">
        <v>179404</v>
      </c>
      <c r="B68" s="115" t="s">
        <v>357</v>
      </c>
      <c r="C68" s="115"/>
      <c r="D68" s="115" t="s">
        <v>358</v>
      </c>
      <c r="E68" s="115" t="s">
        <v>235</v>
      </c>
      <c r="F68" s="115" t="s">
        <v>244</v>
      </c>
      <c r="G68" s="115" t="s">
        <v>34</v>
      </c>
      <c r="H68" s="132">
        <v>44347.483993055554</v>
      </c>
    </row>
    <row r="69" spans="1:8" x14ac:dyDescent="0.3">
      <c r="A69" s="115">
        <v>179083</v>
      </c>
      <c r="B69" s="115"/>
      <c r="C69" s="115"/>
      <c r="D69" s="115" t="s">
        <v>359</v>
      </c>
      <c r="E69" s="115" t="s">
        <v>235</v>
      </c>
      <c r="F69" s="115" t="s">
        <v>116</v>
      </c>
      <c r="G69" s="115" t="s">
        <v>236</v>
      </c>
      <c r="H69" s="132">
        <v>44342.452696759261</v>
      </c>
    </row>
    <row r="70" spans="1:8" x14ac:dyDescent="0.3">
      <c r="A70" s="115">
        <v>179081</v>
      </c>
      <c r="B70" s="115" t="s">
        <v>360</v>
      </c>
      <c r="C70" s="115"/>
      <c r="D70" s="115" t="s">
        <v>361</v>
      </c>
      <c r="E70" s="115" t="s">
        <v>235</v>
      </c>
      <c r="F70" s="115" t="s">
        <v>244</v>
      </c>
      <c r="G70" s="115" t="s">
        <v>34</v>
      </c>
      <c r="H70" s="132">
        <v>44342.446886574071</v>
      </c>
    </row>
    <row r="71" spans="1:8" x14ac:dyDescent="0.3">
      <c r="A71" s="115">
        <v>178691</v>
      </c>
      <c r="B71" s="115" t="s">
        <v>362</v>
      </c>
      <c r="C71" s="115"/>
      <c r="D71" s="115" t="s">
        <v>363</v>
      </c>
      <c r="E71" s="115" t="s">
        <v>235</v>
      </c>
      <c r="F71" s="115" t="s">
        <v>103</v>
      </c>
      <c r="G71" s="115" t="s">
        <v>34</v>
      </c>
      <c r="H71" s="132">
        <v>44333.605474537035</v>
      </c>
    </row>
    <row r="72" spans="1:8" x14ac:dyDescent="0.3">
      <c r="A72" s="115">
        <v>178339</v>
      </c>
      <c r="B72" s="115" t="s">
        <v>364</v>
      </c>
      <c r="C72" s="115"/>
      <c r="D72" s="115" t="s">
        <v>365</v>
      </c>
      <c r="E72" s="115" t="s">
        <v>235</v>
      </c>
      <c r="F72" s="115" t="s">
        <v>244</v>
      </c>
      <c r="G72" s="115" t="s">
        <v>34</v>
      </c>
      <c r="H72" s="132">
        <v>44326.656053240738</v>
      </c>
    </row>
  </sheetData>
  <sortState xmlns:xlrd2="http://schemas.microsoft.com/office/spreadsheetml/2017/richdata2" ref="A2:H72">
    <sortCondition ref="E2:E7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4D2D49-9C9E-4950-81C3-454572189A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C102B7-EDFD-4E7B-A904-5CB991342FF4}">
  <ds:schemaRefs>
    <ds:schemaRef ds:uri="http://purl.org/dc/elements/1.1/"/>
    <ds:schemaRef ds:uri="http://schemas.microsoft.com/sharepoint/v4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C17DB03-D914-4555-A84D-9FB030BC1B65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</vt:lpstr>
      <vt:lpstr>Defets to Test Cases</vt:lpstr>
      <vt:lpstr>Outstanding defects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TFSDataCube</dc:title>
  <dc:creator>Tracey Honey</dc:creator>
  <cp:lastModifiedBy>Carmela Pucci</cp:lastModifiedBy>
  <cp:lastPrinted>2015-06-11T21:53:02Z</cp:lastPrinted>
  <dcterms:created xsi:type="dcterms:W3CDTF">2014-06-02T20:46:26Z</dcterms:created>
  <dcterms:modified xsi:type="dcterms:W3CDTF">2021-08-28T18:51:15Z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URL">
    <vt:lpwstr/>
  </property>
</Properties>
</file>