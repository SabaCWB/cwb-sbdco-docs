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deep.mysore/Documents/CWB/"/>
    </mc:Choice>
  </mc:AlternateContent>
  <xr:revisionPtr revIDLastSave="0" documentId="13_ncr:1_{A2FB6F63-C322-0B41-A04A-EF9E718E9DE1}" xr6:coauthVersionLast="45" xr6:coauthVersionMax="45" xr10:uidLastSave="{00000000-0000-0000-0000-000000000000}"/>
  <bookViews>
    <workbookView xWindow="0" yWindow="460" windowWidth="33600" windowHeight="19320" tabRatio="513" activeTab="4" xr2:uid="{00000000-000D-0000-FFFF-FFFF00000000}"/>
  </bookViews>
  <sheets>
    <sheet name="Summary" sheetId="15" r:id="rId1"/>
    <sheet name="Kony RB - Services Detail" sheetId="12" state="hidden" r:id="rId2"/>
    <sheet name="Retail Banking" sheetId="14" r:id="rId3"/>
    <sheet name="Business Banking" sheetId="17" r:id="rId4"/>
    <sheet name="Customer 360" sheetId="16" r:id="rId5"/>
    <sheet name="Vendor List" sheetId="18" r:id="rId6"/>
    <sheet name="Lists" sheetId="7" state="hidden" r:id="rId7"/>
  </sheets>
  <definedNames>
    <definedName name="_xlnm._FilterDatabase" localSheetId="3" hidden="1">'Business Banking'!$A$2:$N$212</definedName>
    <definedName name="_xlnm._FilterDatabase" localSheetId="4" hidden="1">'Customer 360'!$A$2:$M$57</definedName>
    <definedName name="_xlnm._FilterDatabase" localSheetId="1" hidden="1">'Kony RB - Services Detail'!$B$3:$F$3</definedName>
    <definedName name="Custom">Table6[Custom]</definedName>
    <definedName name="Development">Table4[Development Category]</definedName>
    <definedName name="Effort">Table6[Custom]</definedName>
    <definedName name="NoDev">Table7[Product]</definedName>
    <definedName name="Product">Table7[Product]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1" i="15" l="1"/>
  <c r="F21" i="15"/>
  <c r="E21" i="15"/>
  <c r="D21" i="15"/>
  <c r="G20" i="15"/>
  <c r="F20" i="15"/>
  <c r="E20" i="15"/>
  <c r="D20" i="15"/>
  <c r="G19" i="15"/>
  <c r="F19" i="15"/>
  <c r="E19" i="15"/>
  <c r="D19" i="15"/>
  <c r="G18" i="15"/>
  <c r="F18" i="15"/>
  <c r="E18" i="15"/>
  <c r="D18" i="15"/>
  <c r="G16" i="15"/>
  <c r="F16" i="15"/>
  <c r="E16" i="15"/>
  <c r="D16" i="15"/>
  <c r="C21" i="15" l="1"/>
  <c r="C19" i="15"/>
  <c r="C20" i="15"/>
  <c r="C18" i="15"/>
  <c r="C16" i="15"/>
  <c r="G12" i="15"/>
  <c r="G13" i="15"/>
  <c r="G14" i="15"/>
  <c r="G15" i="15"/>
  <c r="G11" i="15"/>
  <c r="F12" i="15"/>
  <c r="F13" i="15"/>
  <c r="F14" i="15"/>
  <c r="F15" i="15"/>
  <c r="F11" i="15"/>
  <c r="E12" i="15"/>
  <c r="E13" i="15"/>
  <c r="E14" i="15"/>
  <c r="E15" i="15"/>
  <c r="E11" i="15"/>
  <c r="D15" i="15"/>
  <c r="D14" i="15"/>
  <c r="D13" i="15"/>
  <c r="D11" i="15"/>
  <c r="D12" i="15"/>
  <c r="C14" i="15" l="1"/>
  <c r="C12" i="15"/>
  <c r="C15" i="15"/>
  <c r="C13" i="15"/>
  <c r="C11" i="15"/>
  <c r="G9" i="15"/>
  <c r="F9" i="15"/>
  <c r="E9" i="15"/>
  <c r="D9" i="15"/>
  <c r="C9" i="15" l="1"/>
  <c r="D5" i="15" l="1"/>
  <c r="D6" i="15"/>
  <c r="D7" i="15"/>
  <c r="D8" i="15"/>
  <c r="E5" i="15"/>
  <c r="E6" i="15"/>
  <c r="E7" i="15"/>
  <c r="E8" i="15"/>
  <c r="F5" i="15"/>
  <c r="F6" i="15"/>
  <c r="F7" i="15"/>
  <c r="F8" i="15"/>
  <c r="G6" i="15"/>
  <c r="G7" i="15"/>
  <c r="G8" i="15"/>
  <c r="G5" i="15"/>
  <c r="G4" i="15"/>
  <c r="F4" i="15"/>
  <c r="E4" i="15"/>
  <c r="D4" i="15"/>
  <c r="E1" i="15" l="1"/>
  <c r="F1" i="15"/>
  <c r="C4" i="15"/>
  <c r="D1" i="15"/>
  <c r="G1" i="15"/>
  <c r="C8" i="15"/>
  <c r="C7" i="15"/>
  <c r="C6" i="15"/>
  <c r="C5" i="15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C1" i="15" l="1"/>
</calcChain>
</file>

<file path=xl/sharedStrings.xml><?xml version="1.0" encoding="utf-8"?>
<sst xmlns="http://schemas.openxmlformats.org/spreadsheetml/2006/main" count="7358" uniqueCount="1940">
  <si>
    <t>Y</t>
  </si>
  <si>
    <t>N/A</t>
  </si>
  <si>
    <t>N</t>
  </si>
  <si>
    <t>Product</t>
  </si>
  <si>
    <t>Custom</t>
  </si>
  <si>
    <t>-</t>
  </si>
  <si>
    <t>1 - Low</t>
  </si>
  <si>
    <t>2 - Med</t>
  </si>
  <si>
    <t>3 - High</t>
  </si>
  <si>
    <t>Development Category</t>
  </si>
  <si>
    <t xml:space="preserve"> </t>
  </si>
  <si>
    <t>Platform Support</t>
  </si>
  <si>
    <t>Description</t>
  </si>
  <si>
    <t>getAccounts</t>
  </si>
  <si>
    <t>getAccountStatements</t>
  </si>
  <si>
    <t>getAccountType</t>
  </si>
  <si>
    <t>getAccountCashFlowDetails</t>
  </si>
  <si>
    <t>getTransactions</t>
  </si>
  <si>
    <t>updateAccountName</t>
  </si>
  <si>
    <t>getUserAccountAlerts</t>
  </si>
  <si>
    <t>getUserAlerts</t>
  </si>
  <si>
    <t>updateUserAccountAlert</t>
  </si>
  <si>
    <t>updateUserAlert</t>
  </si>
  <si>
    <t>Transactions</t>
  </si>
  <si>
    <t>createTransfer</t>
  </si>
  <si>
    <t>deleteTransaction</t>
  </si>
  <si>
    <t>updateTransaction</t>
  </si>
  <si>
    <t>getLocations</t>
  </si>
  <si>
    <t>getLocationsQuery</t>
  </si>
  <si>
    <t>getLocationRange</t>
  </si>
  <si>
    <t>deletePin</t>
  </si>
  <si>
    <t>createPayee</t>
  </si>
  <si>
    <t>deletePayee</t>
  </si>
  <si>
    <t>editPayee</t>
  </si>
  <si>
    <t>getPayeeList</t>
  </si>
  <si>
    <t>getBillerCompany</t>
  </si>
  <si>
    <t>updateCard</t>
  </si>
  <si>
    <t>getCheckOrders</t>
  </si>
  <si>
    <t>createCheckOrder</t>
  </si>
  <si>
    <t>registerDevice</t>
  </si>
  <si>
    <t>deviceRegistrationStatus</t>
  </si>
  <si>
    <t>deRegisterDevice</t>
  </si>
  <si>
    <t>createUser</t>
  </si>
  <si>
    <t>getExchangeRates</t>
  </si>
  <si>
    <t>getInformationContent</t>
  </si>
  <si>
    <t>getInterestRates</t>
  </si>
  <si>
    <t>getCardDetails</t>
  </si>
  <si>
    <t>createMessage</t>
  </si>
  <si>
    <t>deleteMessage</t>
  </si>
  <si>
    <t>getMessageCategories</t>
  </si>
  <si>
    <t>getMessages</t>
  </si>
  <si>
    <t>getMessageSubCategories</t>
  </si>
  <si>
    <t>updateMessage</t>
  </si>
  <si>
    <t>updateUserDetails</t>
  </si>
  <si>
    <t>getUserDetails</t>
  </si>
  <si>
    <t>getAccountFeatures</t>
  </si>
  <si>
    <t>getProductList</t>
  </si>
  <si>
    <t>getStateList</t>
  </si>
  <si>
    <t>newAccountCreation</t>
  </si>
  <si>
    <t>getPayPersonList</t>
  </si>
  <si>
    <t>createPayPerson</t>
  </si>
  <si>
    <t>editPFMtransaction</t>
  </si>
  <si>
    <t>getChartTransactions</t>
  </si>
  <si>
    <t>getPFMBarGraph</t>
  </si>
  <si>
    <t>getPFMBudgetSnapshot</t>
  </si>
  <si>
    <t>getPFMCategories</t>
  </si>
  <si>
    <t>getPFMPieChart</t>
  </si>
  <si>
    <t>getPFMTrasactions</t>
  </si>
  <si>
    <t>verifyUserSecurityQuestions</t>
  </si>
  <si>
    <t>getUserSecurityQuestions</t>
  </si>
  <si>
    <t>getSecurityQuestions</t>
  </si>
  <si>
    <t>getCountryList</t>
  </si>
  <si>
    <t>createExternalAccount</t>
  </si>
  <si>
    <t>getExternalAccounts</t>
  </si>
  <si>
    <t>createUserSecurityQuestions</t>
  </si>
  <si>
    <t>getApplicationProp</t>
  </si>
  <si>
    <t>getTimePeriod</t>
  </si>
  <si>
    <t>verifyExistingUserByPhone</t>
  </si>
  <si>
    <t>verifyExistingUserByEmail</t>
  </si>
  <si>
    <t>verifyExistingUserName</t>
  </si>
  <si>
    <t>enrollUser</t>
  </si>
  <si>
    <t>getUserState</t>
  </si>
  <si>
    <t>getUserProducts</t>
  </si>
  <si>
    <t>createUserProducts</t>
  </si>
  <si>
    <t>getUserPersonalInfo</t>
  </si>
  <si>
    <t>createUserPersonalInfo</t>
  </si>
  <si>
    <t>uploadDocuments</t>
  </si>
  <si>
    <t>getNewUserSecurityQuestions</t>
  </si>
  <si>
    <t>verifyNewUserSecurityQuestions</t>
  </si>
  <si>
    <t>userCreditCheck</t>
  </si>
  <si>
    <t>userSignatureUpload</t>
  </si>
  <si>
    <t>deleteNewUserPerosnalInfo</t>
  </si>
  <si>
    <t>getLocationAddress(GoogleAPI)</t>
  </si>
  <si>
    <t>getAddressSuggestions(GoogleAPI)</t>
  </si>
  <si>
    <t>getAds</t>
  </si>
  <si>
    <t>Backend</t>
  </si>
  <si>
    <t>Customer</t>
  </si>
  <si>
    <t>Product-Custom</t>
  </si>
  <si>
    <t>Product+Custom</t>
  </si>
  <si>
    <t>Integration Service</t>
  </si>
  <si>
    <t>Input / Output</t>
  </si>
  <si>
    <t>Parameter</t>
  </si>
  <si>
    <t>Inputs</t>
  </si>
  <si>
    <t>Outputs</t>
  </si>
  <si>
    <t>AccountCashFlow</t>
  </si>
  <si>
    <t>Cash flow array with one or more record</t>
  </si>
  <si>
    <t>month</t>
  </si>
  <si>
    <t>Month. For example, Jan, Feb, Mar</t>
  </si>
  <si>
    <t>monthCash</t>
  </si>
  <si>
    <t>Amount spent for that month</t>
  </si>
  <si>
    <t>monthCredit</t>
  </si>
  <si>
    <t>Credit amount for that month</t>
  </si>
  <si>
    <t>totalCash</t>
  </si>
  <si>
    <t>Total cash</t>
  </si>
  <si>
    <t> totalCreditDebt</t>
  </si>
  <si>
    <t>Total credit debt</t>
  </si>
  <si>
    <t>accountID</t>
  </si>
  <si>
    <t>It is an optional URL input parameter. If it is not added, then service should return all the accounts of the user</t>
  </si>
  <si>
    <t>deviceID</t>
  </si>
  <si>
    <t>Device ID</t>
  </si>
  <si>
    <t>User name</t>
  </si>
  <si>
    <t>ccounts</t>
  </si>
  <si>
    <t> Array of accounts related to the logged in user</t>
  </si>
  <si>
    <t> Account Number</t>
  </si>
  <si>
    <t>accountName</t>
  </si>
  <si>
    <t> Name (which is usually Product Name + Last 4 digits) of the account</t>
  </si>
  <si>
    <t>accountType</t>
  </si>
  <si>
    <t> Type of account</t>
  </si>
  <si>
    <t>availableBalance</t>
  </si>
  <si>
    <t> Available balance</t>
  </si>
  <si>
    <t>availablePoints</t>
  </si>
  <si>
    <t> Loyalty points available for Credit Card accounts</t>
  </si>
  <si>
    <t>bankName</t>
  </si>
  <si>
    <t> Name of the bank</t>
  </si>
  <si>
    <t>creditCardNumber</t>
  </si>
  <si>
    <t> Credit card number</t>
  </si>
  <si>
    <t>currencyCode</t>
  </si>
  <si>
    <t> Currency code of the respective account. For example, USD</t>
  </si>
  <si>
    <t>currentBalance</t>
  </si>
  <si>
    <t> Current balance of the account</t>
  </si>
  <si>
    <t>dueDate</t>
  </si>
  <si>
    <t> Due date for payment for credit card account</t>
  </si>
  <si>
    <t>interestRate</t>
  </si>
  <si>
    <t> Interest rate for Deposit Accounts</t>
  </si>
  <si>
    <t>lastStatementBalance</t>
  </si>
  <si>
    <t> Last Statement balance of Credit Card account</t>
  </si>
  <si>
    <t>maturityDate</t>
  </si>
  <si>
    <t> Maturity date of the Deposit Account</t>
  </si>
  <si>
    <t>minimumDue</t>
  </si>
  <si>
    <t> Minimum due amount of credit card account</t>
  </si>
  <si>
    <t>nickName</t>
  </si>
  <si>
    <t> Nick name of the account</t>
  </si>
  <si>
    <t>openingDate</t>
  </si>
  <si>
    <t> Date of opening of Deposit Account</t>
  </si>
  <si>
    <t>outstandingBalance</t>
  </si>
  <si>
    <t> Outstanding balance of loan and credit card accounts</t>
  </si>
  <si>
    <t>paymentTerm</t>
  </si>
  <si>
    <t> Payment term of loan accounts</t>
  </si>
  <si>
    <t>principalValue</t>
  </si>
  <si>
    <t> Principal value of loan accounts</t>
  </si>
  <si>
    <t>supportBillPay</t>
  </si>
  <si>
    <t> Flag that shows if the account is eligible to pay bills</t>
  </si>
  <si>
    <t>supportDeposit</t>
  </si>
  <si>
    <t> Flag that shows if the account is eligible to receive remote deposits</t>
  </si>
  <si>
    <t>supportTransferFrom</t>
  </si>
  <si>
    <t> Flag that shows if the account is eligible to transfer money</t>
  </si>
  <si>
    <t>supportTransferTo</t>
  </si>
  <si>
    <t> Flag that shows if the account is eligible to receive money as part of account transfers</t>
  </si>
  <si>
    <t>transactionLimit</t>
  </si>
  <si>
    <t> Transaction limit</t>
  </si>
  <si>
    <t>transferLimit</t>
  </si>
  <si>
    <t> Transfer limit</t>
  </si>
  <si>
    <t>isPFM</t>
  </si>
  <si>
    <t> Flag that shows if the account is also part of PFM</t>
  </si>
  <si>
    <t>supportCardlessCash</t>
  </si>
  <si>
    <t>Flag that shows if the account supports the cardless cash withdrawal.</t>
  </si>
  <si>
    <t>favouriteStatus</t>
  </si>
  <si>
    <t>Flag that shows if the account is set as a favorite account or not</t>
  </si>
  <si>
    <t>jointHolders</t>
  </si>
  <si>
    <t>Shows joint holders for account.</t>
  </si>
  <si>
    <t>dividendRate</t>
  </si>
  <si>
    <t>Dividend rate</t>
  </si>
  <si>
    <t>dividendYTD</t>
  </si>
  <si>
    <t>Dividend year to date</t>
  </si>
  <si>
    <t>lastDividendPaidAmount</t>
  </si>
  <si>
    <t>Amount paid for last dividend</t>
  </si>
  <si>
    <t>lastDividendPaidDate</t>
  </si>
  <si>
    <t>Date when last dividend was paid</t>
  </si>
  <si>
    <t>previousYearDividend</t>
  </si>
  <si>
    <t>Last year dividend</t>
  </si>
  <si>
    <t>bondInterest</t>
  </si>
  <si>
    <t>Bond interest</t>
  </si>
  <si>
    <t>bondInterestLastYear</t>
  </si>
  <si>
    <t>Bond interest for last year</t>
  </si>
  <si>
    <t>totalCreditMonths</t>
  </si>
  <si>
    <t>Total amount credits in a month</t>
  </si>
  <si>
    <t>totalDebitsMonth</t>
  </si>
  <si>
    <t>Total amount debits in a month</t>
  </si>
  <si>
    <t>currentAmountDue</t>
  </si>
  <si>
    <t>Current due amount</t>
  </si>
  <si>
    <t>paymentDue</t>
  </si>
  <si>
    <t>Due payment</t>
  </si>
  <si>
    <t>lastPaymentDate</t>
  </si>
  <si>
    <t>Date of last payment</t>
  </si>
  <si>
    <t>lastPaymentAmount</t>
  </si>
  <si>
    <t>Last payment amount</t>
  </si>
  <si>
    <t>lateFeesDue</t>
  </si>
  <si>
    <t>Late fees due</t>
  </si>
  <si>
    <t>creditLimit</t>
  </si>
  <si>
    <t>Credit limit</t>
  </si>
  <si>
    <t>interestPaidYTD</t>
  </si>
  <si>
    <t>Interest paid year to date</t>
  </si>
  <si>
    <t>interestPaidPreviousYTD</t>
  </si>
  <si>
    <t>Interest paid previous year to date</t>
  </si>
  <si>
    <t>unpaidInterest</t>
  </si>
  <si>
    <t>Interest yet to be paid</t>
  </si>
  <si>
    <t>paymentMethod</t>
  </si>
  <si>
    <t>Mode of payment</t>
  </si>
  <si>
    <t>regularPaymentAmount</t>
  </si>
  <si>
    <t>Regular payment amount</t>
  </si>
  <si>
    <t>dividendPaidYTD</t>
  </si>
  <si>
    <t>Dividend paid year to date</t>
  </si>
  <si>
    <t>dividendLastPaidAmount</t>
  </si>
  <si>
    <t>Dividend last paid amount</t>
  </si>
  <si>
    <t>dividendLastPaidDate</t>
  </si>
  <si>
    <t>Dividend last paid date</t>
  </si>
  <si>
    <t>previousYearsDividends</t>
  </si>
  <si>
    <t>Previous years dividends</t>
  </si>
  <si>
    <t>maturityOption</t>
  </si>
  <si>
    <t>Maturity option</t>
  </si>
  <si>
    <t>routingNumber</t>
  </si>
  <si>
    <t>Routing number</t>
  </si>
  <si>
    <t>swiftCode</t>
  </si>
  <si>
    <t>Swift code</t>
  </si>
  <si>
    <t>accountHolder</t>
  </si>
  <si>
    <t>Account holder name</t>
  </si>
  <si>
    <t>pendingDeposit</t>
  </si>
  <si>
    <t>Pending deposit amount</t>
  </si>
  <si>
    <t>pendingWithdrawal</t>
  </si>
  <si>
    <t>Pending withdrawl</t>
  </si>
  <si>
    <t>interestEarned</t>
  </si>
  <si>
    <t>Interest earned</t>
  </si>
  <si>
    <t>maturityAmount</t>
  </si>
  <si>
    <t>Maturity amount</t>
  </si>
  <si>
    <t>principalBalance</t>
  </si>
  <si>
    <t>Difference of original amount and loan paid off</t>
  </si>
  <si>
    <t>originalAmount</t>
  </si>
  <si>
    <t>Original amount</t>
  </si>
  <si>
    <t>payoffAmount</t>
  </si>
  <si>
    <t>Pay off amount</t>
  </si>
  <si>
    <t>bsbNum</t>
  </si>
  <si>
    <t>Bank state branch number</t>
  </si>
  <si>
    <t>availableCredit</t>
  </si>
  <si>
    <t>Available credits</t>
  </si>
  <si>
    <t>Account Number</t>
  </si>
  <si>
    <t>AccountStatement</t>
  </si>
  <si>
    <t>Array of account statements</t>
  </si>
  <si>
    <t>StatementDescription</t>
  </si>
  <si>
    <t>Description of the statement. For Example, Statement for the month of July 2016 etc.</t>
  </si>
  <si>
    <t>StatementMonth</t>
  </si>
  <si>
    <t>Month for which the statement is generated</t>
  </si>
  <si>
    <t>StatementLink</t>
  </si>
  <si>
    <t>URL of the statement PDF</t>
  </si>
  <si>
    <t>Account number</t>
  </si>
  <si>
    <t>AccountType</t>
  </si>
  <si>
    <t>Various type of accounts that should be supported by the app</t>
  </si>
  <si>
    <t>TypeID</t>
  </si>
  <si>
    <t>ID of the account type. For example, 1 or 2</t>
  </si>
  <si>
    <t>TypeDescription</t>
  </si>
  <si>
    <t>Description of the account type. For example, Savings, Checking</t>
  </si>
  <si>
    <t>Account number to be passed while retrieving the list of recent transactions</t>
  </si>
  <si>
    <t>payeeId</t>
  </si>
  <si>
    <t>Payee ID to be passed while retrieving the transactions list under Manage Payees</t>
  </si>
  <si>
    <t>transactionType</t>
  </si>
  <si>
    <t>Type of transaction. For example, Bill Pay etc.</t>
  </si>
  <si>
    <t>searchDescription</t>
  </si>
  <si>
    <t>Description or key word to be sent while searching the account transactions</t>
  </si>
  <si>
    <t>searchAmount</t>
  </si>
  <si>
    <t>Amount to be sent while searching the account transactions</t>
  </si>
  <si>
    <t>searchMinAmount</t>
  </si>
  <si>
    <t>Minimum amount to be sent while searching the account transactions</t>
  </si>
  <si>
    <t>searchMaxAmount</t>
  </si>
  <si>
    <t>Maximum amount to be sent while searching the account transactions</t>
  </si>
  <si>
    <t>searchStartDate</t>
  </si>
  <si>
    <t>Start date to be sent while searching the account transactions</t>
  </si>
  <si>
    <t>searchEndDate</t>
  </si>
  <si>
    <t>End date to be sent while searching the account transactions</t>
  </si>
  <si>
    <t>searchDateRange</t>
  </si>
  <si>
    <t>Date range to be sent while searching the account transactions</t>
  </si>
  <si>
    <t>checkNumber</t>
  </si>
  <si>
    <t>Check number</t>
  </si>
  <si>
    <t>fromCheckNumber</t>
  </si>
  <si>
    <t>Starting number of the check to be sent while searching the account transactions</t>
  </si>
  <si>
    <t>toCheckNumber</t>
  </si>
  <si>
    <t>Ending number of the check to be sent while searching the account transactions</t>
  </si>
  <si>
    <t>firstRecordNumber</t>
  </si>
  <si>
    <t>First record number</t>
  </si>
  <si>
    <t>lastRecordNumber</t>
  </si>
  <si>
    <t>Last record number</t>
  </si>
  <si>
    <t>searchType</t>
  </si>
  <si>
    <t>Type of search (Withdrawal/Deposit/Both)</t>
  </si>
  <si>
    <t>accountNumber</t>
  </si>
  <si>
    <t>Account number is used during search transactions</t>
  </si>
  <si>
    <t>searchTransactionType</t>
  </si>
  <si>
    <t>Transaction types. For Example, Credit, Debit or Both</t>
  </si>
  <si>
    <t>transactionId</t>
  </si>
  <si>
    <t>Transaction ID to be sent to retrieve more details of the transaction</t>
  </si>
  <si>
    <t>amount</t>
  </si>
  <si>
    <t>Amount of the transactions</t>
  </si>
  <si>
    <t>description</t>
  </si>
  <si>
    <t>Description that is usually auto generated by the back-end</t>
  </si>
  <si>
    <t>referenceId</t>
  </si>
  <si>
    <t>Reference ID</t>
  </si>
  <si>
    <t>personId</t>
  </si>
  <si>
    <t>Person ID</t>
  </si>
  <si>
    <t>fromAccountBalance</t>
  </si>
  <si>
    <t>Account balance</t>
  </si>
  <si>
    <t>fromAccountName</t>
  </si>
  <si>
    <t>Name of the account</t>
  </si>
  <si>
    <t>fromAccountNumber</t>
  </si>
  <si>
    <t>hasDepositImage</t>
  </si>
  <si>
    <t>Flag that shows if the transaction has a check image</t>
  </si>
  <si>
    <t> ID or reference number of the transaction</t>
  </si>
  <si>
    <t>isScheduled</t>
  </si>
  <si>
    <t> Flag that shows if the transaction is a scheduled transaction</t>
  </si>
  <si>
    <t>toAccountName</t>
  </si>
  <si>
    <t> Name of the account to which the transfer is done</t>
  </si>
  <si>
    <t>toAccountNumber</t>
  </si>
  <si>
    <t> Account number of the account to which the transfer is done.</t>
  </si>
  <si>
    <t>transactiontype</t>
  </si>
  <si>
    <t> Type of transaction. For Example, Bill Pay, Transfer etc.</t>
  </si>
  <si>
    <t>transactionDate</t>
  </si>
  <si>
    <t> Date on which the transaction is done</t>
  </si>
  <si>
    <t>payeeNickName</t>
  </si>
  <si>
    <t> Nick name of the bill payee if the transaction is a bill payment</t>
  </si>
  <si>
    <t>scheduledDate</t>
  </si>
  <si>
    <t> Scheduled date of execution for the transactions</t>
  </si>
  <si>
    <t>fromAccountType</t>
  </si>
  <si>
    <t> Type of account from where the transaction is done</t>
  </si>
  <si>
    <t>transactionsNotes</t>
  </si>
  <si>
    <t> Notes that was captured as part of the transaction</t>
  </si>
  <si>
    <t>statusDescription</t>
  </si>
  <si>
    <t> Status of the transaction. For example, Success, Failed .</t>
  </si>
  <si>
    <t>transactionComments</t>
  </si>
  <si>
    <t> Note that was captured as part of the transaction</t>
  </si>
  <si>
    <t>toAccountType</t>
  </si>
  <si>
    <t> Type of account to which the transfer transaction is done.</t>
  </si>
  <si>
    <t>ExternalAccountNumber</t>
  </si>
  <si>
    <t> Account number of the external account to which the transfer is done</t>
  </si>
  <si>
    <t>payPersonName</t>
  </si>
  <si>
    <t> Name of the person to whom the P2P payment is done</t>
  </si>
  <si>
    <t>payPersonPhone</t>
  </si>
  <si>
    <t> Phone number of the person to whom the P2P payment is done</t>
  </si>
  <si>
    <t>payPersonEmail</t>
  </si>
  <si>
    <t>Email of the person to whom the P2P payment is done</t>
  </si>
  <si>
    <t>ID of the payee to whom the Bill Pay is done</t>
  </si>
  <si>
    <t>frequencyType</t>
  </si>
  <si>
    <t>Frequency in case of Repeating Account Transfers. For example, One Time, Daily, Monthly etc.</t>
  </si>
  <si>
    <t>numberOfRecurrences</t>
  </si>
  <si>
    <t>Number of recurrences in case the user adds this in recurring transfers</t>
  </si>
  <si>
    <t>frequencyStartDate</t>
  </si>
  <si>
    <t>Start date in case the user adds this in the recurring transfers</t>
  </si>
  <si>
    <t>frequencyEndDate</t>
  </si>
  <si>
    <t>End date in case the user adds this in the recurring transfers</t>
  </si>
  <si>
    <t>fromNickName</t>
  </si>
  <si>
    <t>Nickname of the account from which the transaction is done</t>
  </si>
  <si>
    <t>cashlessOTP</t>
  </si>
  <si>
    <t>6-digit random number for cardless transaction</t>
  </si>
  <si>
    <t>cashlessOTPValidDate</t>
  </si>
  <si>
    <t>Validity date of cardless transaction OTP</t>
  </si>
  <si>
    <t>cashlessMode</t>
  </si>
  <si>
    <t>Denotes self transfer or transfer to other mode.</t>
  </si>
  <si>
    <t>cashWithdrawalTransactionStatus</t>
  </si>
  <si>
    <t>Status of the cashless transaction</t>
  </si>
  <si>
    <t>cashlessEmail</t>
  </si>
  <si>
    <t>Email ID of person in the others mode</t>
  </si>
  <si>
    <t>cashlessPersonName</t>
  </si>
  <si>
    <t>Name of the person in others mode</t>
  </si>
  <si>
    <t>cashlessSecurityCode</t>
  </si>
  <si>
    <t>Security code in the others mode</t>
  </si>
  <si>
    <t>cashlessPhone</t>
  </si>
  <si>
    <t>Phone number of the person in others mode</t>
  </si>
  <si>
    <t> ID of the account</t>
  </si>
  <si>
    <t> Nickname of the account</t>
  </si>
  <si>
    <t>alertId</t>
  </si>
  <si>
    <t> ID of the alert</t>
  </si>
  <si>
    <t>UserAccountAlerts</t>
  </si>
  <si>
    <t>Array or collection of alerts</t>
  </si>
  <si>
    <t>Type of account. For Example, Savings, Checking etc.</t>
  </si>
  <si>
    <t>ID of the alert</t>
  </si>
  <si>
    <t>balanceUpdate</t>
  </si>
  <si>
    <t>Value that shows if the user has selected Weekly, Daily etc.</t>
  </si>
  <si>
    <t>balanceUpdateTypeId</t>
  </si>
  <si>
    <t>ID of the value that is selected by the user for the balance update</t>
  </si>
  <si>
    <t>checkClearance</t>
  </si>
  <si>
    <t>Yes or No for notification to be sent on check clearance</t>
  </si>
  <si>
    <t>Credit limit amount threshold</t>
  </si>
  <si>
    <t>debitLimit</t>
  </si>
  <si>
    <t>Debit limit amount threshold</t>
  </si>
  <si>
    <t>depositDueReminder</t>
  </si>
  <si>
    <t>Value that shows if the user has selected Weekly, Monthly etc.</t>
  </si>
  <si>
    <t>depositDueReminderTypeId</t>
  </si>
  <si>
    <t>ID of the value that is selected by the user for the deposit due update</t>
  </si>
  <si>
    <t>isEnabled</t>
  </si>
  <si>
    <t>Yes or No value that signifies if the user has activated the alerts for the specific account</t>
  </si>
  <si>
    <t>minimumBalance</t>
  </si>
  <si>
    <t>Amount that has been set by the user for threshold of minimum balance</t>
  </si>
  <si>
    <t>paymentDueReminder</t>
  </si>
  <si>
    <t>paymentDueReminderTypeId</t>
  </si>
  <si>
    <t>ID of the value that is selected by the user for the payment due reminder</t>
  </si>
  <si>
    <t>successfulTransfer</t>
  </si>
  <si>
    <t>Yes or No value that signifies if the user has activated the alerts for successful transfer</t>
  </si>
  <si>
    <t>UserAlerts</t>
  </si>
  <si>
    <t>Array of values for each user</t>
  </si>
  <si>
    <t>alertid</t>
  </si>
  <si>
    <t>bankingIDChange</t>
  </si>
  <si>
    <t>Yes or No value that signifies if the user should receive the alerts upon successful username change</t>
  </si>
  <si>
    <t>communicationChange</t>
  </si>
  <si>
    <t>Yes or No value that signifies if the user should receive the alerts upon successful</t>
  </si>
  <si>
    <t>dealsExpiring</t>
  </si>
  <si>
    <t>Yes or No value that signifies if the user should receive the alerts when some deals are expiring</t>
  </si>
  <si>
    <t>newDealsAvailable</t>
  </si>
  <si>
    <t>Yes or No value that signifies if the user should receive the alerts when new deals are available</t>
  </si>
  <si>
    <t>newPayeeAdded</t>
  </si>
  <si>
    <t>Yes or No value that signifies if the user should receive the alerts upon successful addition of a new payee</t>
  </si>
  <si>
    <t>payeeDetailsUpdated</t>
  </si>
  <si>
    <t>Yes or No value that signifies if the user should receive the alerts when a payee details are updated</t>
  </si>
  <si>
    <t>passwordChange</t>
  </si>
  <si>
    <t>Yes or No value that signifies if the user should receive the alerts upon successful password change</t>
  </si>
  <si>
    <t>passwordExpired</t>
  </si>
  <si>
    <t>Yes or No value that signifies if the user should receive the alerts when password validity is expired</t>
  </si>
  <si>
    <t>ID of the value (weekly, monthly etc.) that is selected for receiving the balance updates</t>
  </si>
  <si>
    <t>Yes or No value for receiving the alerts when a check is cleared</t>
  </si>
  <si>
    <t>Credit limit amount that is selected by the user</t>
  </si>
  <si>
    <t>Debit limit amount that is selected by the user</t>
  </si>
  <si>
    <t>ID of the value (weekly, monthly etc.) that is selected for receiving the deposit due reminders</t>
  </si>
  <si>
    <t>Yes or No that is selected by the user to activate or deactivate all the alerts for the account</t>
  </si>
  <si>
    <t>Minimum balance that is selected by the user</t>
  </si>
  <si>
    <t>ID of the value (weekly, monthly etc.) that is selected for receiving the reminders for payments due.</t>
  </si>
  <si>
    <t>Yes or No value selected by the user for successful transfer</t>
  </si>
  <si>
    <t>Amount that is selected by the user</t>
  </si>
  <si>
    <t>From Account Number</t>
  </si>
  <si>
    <t>Flag that shows if the transaction is scheduled for a later date</t>
  </si>
  <si>
    <t>ID of the payee in case of Bill Pay</t>
  </si>
  <si>
    <t>ID of the P2P beneficiary in case of P2P transaction</t>
  </si>
  <si>
    <t>Date on which the transaction is scheduled</t>
  </si>
  <si>
    <t>Account Number to which the money should be transferred in case of Transfer transactions</t>
  </si>
  <si>
    <t>Note that is entered by the user as part of the transaction</t>
  </si>
  <si>
    <t>For example, Deposit, Internal Transfer, External Transfer, Pay Bill, P2P etc.</t>
  </si>
  <si>
    <t>checkImage</t>
  </si>
  <si>
    <t>Image of front of check in case of Remote Deposit</t>
  </si>
  <si>
    <t>checkImageBack</t>
  </si>
  <si>
    <t>Image of back of check in case of Remote deposit</t>
  </si>
  <si>
    <t>Frequency (daily, weekly etc.) in case of recurring transfers</t>
  </si>
  <si>
    <t>Number of recurrences selected by the user in case of recurring transfers</t>
  </si>
  <si>
    <t>Start date in case of recurring transfers</t>
  </si>
  <si>
    <t>End date in case of recurring transfers</t>
  </si>
  <si>
    <t>It tells us about the self transfer or transfer to other mode.</t>
  </si>
  <si>
    <t>Email id of person in the others mode</t>
  </si>
  <si>
    <t>Pin received by the person in others mode.</t>
  </si>
  <si>
    <t>referenceId </t>
  </si>
  <si>
    <t>otp</t>
  </si>
  <si>
    <t>Cardless transaction OTP (only in case of cardless transaction)</t>
  </si>
  <si>
    <t>validDate</t>
  </si>
  <si>
    <t>Validity date of cardless transaction OTP (only in case of cardless transaction)</t>
  </si>
  <si>
    <t>personName</t>
  </si>
  <si>
    <t>Name of person in others mode if exists (only in case of cardless transaction)</t>
  </si>
  <si>
    <t>transactionId </t>
  </si>
  <si>
    <t>Transaction ID</t>
  </si>
  <si>
    <t>Amount</t>
  </si>
  <si>
    <t>Date on which the transaction should be executed</t>
  </si>
  <si>
    <t>Notes added by the user</t>
  </si>
  <si>
    <t>Frequency Type in case of Recurring transfer</t>
  </si>
  <si>
    <t>Number of recurrences in case of recurring transfers</t>
  </si>
  <si>
    <t> Reference ID</t>
  </si>
  <si>
    <t>city</t>
  </si>
  <si>
    <t>Search string entered by the user which could be a state or city or zip code</t>
  </si>
  <si>
    <t>currLatitude</t>
  </si>
  <si>
    <t>Current latitude of the user</t>
  </si>
  <si>
    <t>currLongitude</t>
  </si>
  <si>
    <t>Current longitude of the user</t>
  </si>
  <si>
    <t>maxDistance</t>
  </si>
  <si>
    <t>Maximum distance parameter within which the backend should send results</t>
  </si>
  <si>
    <t>Locations</t>
  </si>
  <si>
    <t>Array of Locations (ATM or Branch)</t>
  </si>
  <si>
    <t>locationId</t>
  </si>
  <si>
    <t>ID of the location</t>
  </si>
  <si>
    <t>addressLine1</t>
  </si>
  <si>
    <t>Address Line 1 of the location</t>
  </si>
  <si>
    <t>addressline2</t>
  </si>
  <si>
    <t>Address Line 2 of the location</t>
  </si>
  <si>
    <t>City of the location</t>
  </si>
  <si>
    <t>state</t>
  </si>
  <si>
    <t>State of the location</t>
  </si>
  <si>
    <t>zipCode</t>
  </si>
  <si>
    <t>Zip Code of the location</t>
  </si>
  <si>
    <t>status</t>
  </si>
  <si>
    <t>Current status of the location if the facility Open or Closed at that time</t>
  </si>
  <si>
    <t>workingHours</t>
  </si>
  <si>
    <t>Working hours of the location</t>
  </si>
  <si>
    <t>latitude</t>
  </si>
  <si>
    <t>Geo coordinate – Latitude of the Location</t>
  </si>
  <si>
    <t>longitude</t>
  </si>
  <si>
    <t>Geo coordinate – Longitude of the Location</t>
  </si>
  <si>
    <t>phone</t>
  </si>
  <si>
    <t>Phone number of the location</t>
  </si>
  <si>
    <t>email</t>
  </si>
  <si>
    <t>Email of the location</t>
  </si>
  <si>
    <t>services</t>
  </si>
  <si>
    <t>List of services offered at the Location</t>
  </si>
  <si>
    <t>type</t>
  </si>
  <si>
    <t>For example, Branch, ATM</t>
  </si>
  <si>
    <t>informationTitle</t>
  </si>
  <si>
    <t> Name of the location</t>
  </si>
  <si>
    <t>getLocations (Google APIs)</t>
  </si>
  <si>
    <t>types</t>
  </si>
  <si>
    <t>Type of locations we are looking for (ATM/Banks)</t>
  </si>
  <si>
    <t>API_KEY</t>
  </si>
  <si>
    <t>Google API key</t>
  </si>
  <si>
    <t> Array of Locations (ATM or Branch)</t>
  </si>
  <si>
    <t> ID of the location</t>
  </si>
  <si>
    <t> Address Line 1 of the location</t>
  </si>
  <si>
    <t>addressLine2</t>
  </si>
  <si>
    <t> Address Line 2 of the location</t>
  </si>
  <si>
    <t> Current status of the location if the facility Open or Closed at that time</t>
  </si>
  <si>
    <t> Working hours of the location</t>
  </si>
  <si>
    <t> Geo coordinate – Latitude of the Location</t>
  </si>
  <si>
    <t> Geo coordinate – Longitude of the Location</t>
  </si>
  <si>
    <t> List of services offered at the Location</t>
  </si>
  <si>
    <t>getLocationDetails (Google APIs)</t>
  </si>
  <si>
    <t>placeID</t>
  </si>
  <si>
    <t>Location Id for an particular location</t>
  </si>
  <si>
    <t>google API key</t>
  </si>
  <si>
    <t>PlaceDetails</t>
  </si>
  <si>
    <t>place_id</t>
  </si>
  <si>
    <t>name</t>
  </si>
  <si>
    <t>phoneNumber</t>
  </si>
  <si>
    <t>query</t>
  </si>
  <si>
    <t>Search string for place/location (for example, ATM or banks in Hitech-city)</t>
  </si>
  <si>
    <t>radius</t>
  </si>
  <si>
    <t>Range parameter</t>
  </si>
  <si>
    <t>Account number or the portfolio or customer number of the user/member in the biller organization</t>
  </si>
  <si>
    <t>Nick name that the user wants to select for the respective biller/bill</t>
  </si>
  <si>
    <t>companyName</t>
  </si>
  <si>
    <t>Name of the biller</t>
  </si>
  <si>
    <t>Zip code of the user’s address</t>
  </si>
  <si>
    <t>street</t>
  </si>
  <si>
    <t>Street name</t>
  </si>
  <si>
    <t>Address second line</t>
  </si>
  <si>
    <t>cityName</t>
  </si>
  <si>
    <t>Name of the city</t>
  </si>
  <si>
    <t>Name of the state</t>
  </si>
  <si>
    <t> ID of the bill payee</t>
  </si>
  <si>
    <t>Email address of the payee</t>
  </si>
  <si>
    <t>ID number of the bill payee</t>
  </si>
  <si>
    <t>Payee</t>
  </si>
  <si>
    <t>Payee list</t>
  </si>
  <si>
    <t>payeeName</t>
  </si>
  <si>
    <t>Payee name</t>
  </si>
  <si>
    <t>Phone number</t>
  </si>
  <si>
    <t>BillerCompany</t>
  </si>
  <si>
    <t> Array of the biller companies/organization</t>
  </si>
  <si>
    <t> Name of the biller</t>
  </si>
  <si>
    <t>companyId</t>
  </si>
  <si>
    <t> ID of the biller</t>
  </si>
  <si>
    <t>cardId</t>
  </si>
  <si>
    <t>ID of the card</t>
  </si>
  <si>
    <t>Action</t>
  </si>
  <si>
    <t>Action that need to be done on the card. For example, Activate, Deactivate etc.</t>
  </si>
  <si>
    <t>Reason</t>
  </si>
  <si>
    <t>Reason that is entered by the customer while performing the action</t>
  </si>
  <si>
    <t>checkOrderID</t>
  </si>
  <si>
    <t>Optionally an ID can be provided</t>
  </si>
  <si>
    <t>ID of the account for which the request has been made</t>
  </si>
  <si>
    <t>ID of the check re-order request</t>
  </si>
  <si>
    <t>CheckOrder</t>
  </si>
  <si>
    <t>Check order</t>
  </si>
  <si>
    <t>Name of the account for which the request has been made</t>
  </si>
  <si>
    <t>accountNickName</t>
  </si>
  <si>
    <t>Nick name of the account for which the request has been made</t>
  </si>
  <si>
    <t>orderTime</t>
  </si>
  <si>
    <t>Time when the order was made by the user</t>
  </si>
  <si>
    <t>Status of the request</t>
  </si>
  <si>
    <t>leafCount</t>
  </si>
  <si>
    <t>Leaf count of the Check Book</t>
  </si>
  <si>
    <t>postboxNumber</t>
  </si>
  <si>
    <t>Post Box Number of the delivery address</t>
  </si>
  <si>
    <t>Delivery address - State</t>
  </si>
  <si>
    <t>country</t>
  </si>
  <si>
    <t>Delivery address - Country</t>
  </si>
  <si>
    <t>zipcode</t>
  </si>
  <si>
    <t>Delivery address – Zip code</t>
  </si>
  <si>
    <t>ID of the account</t>
  </si>
  <si>
    <t>Leaf count of the Check Book.</t>
  </si>
  <si>
    <t>Name of the delivery address</t>
  </si>
  <si>
    <t>Post box number of the delivery address</t>
  </si>
  <si>
    <t>State name of the delivery address</t>
  </si>
  <si>
    <t>Zip code of the delivery address</t>
  </si>
  <si>
    <t>Check order ID</t>
  </si>
  <si>
    <t>deviceId</t>
  </si>
  <si>
    <t> Device ID</t>
  </si>
  <si>
    <t>Account number that is entered by the user on the screen</t>
  </si>
  <si>
    <t>Type of account selected by the user. For example, Savings, Checking, Credit Card etc.</t>
  </si>
  <si>
    <t>dateOfBirth</t>
  </si>
  <si>
    <t>Date of the birth entered by the user</t>
  </si>
  <si>
    <t>Email address entered by the user</t>
  </si>
  <si>
    <t>password</t>
  </si>
  <si>
    <t>Password entered by the user</t>
  </si>
  <si>
    <t>Phone number entered by the user</t>
  </si>
  <si>
    <t>secondaryemail</t>
  </si>
  <si>
    <t>Secondary email entered by the user</t>
  </si>
  <si>
    <t>secondaryphone</t>
  </si>
  <si>
    <t>Secondary phone number entered by the user</t>
  </si>
  <si>
    <t>ssn</t>
  </si>
  <si>
    <t>SSN number entered by the user</t>
  </si>
  <si>
    <t>userName</t>
  </si>
  <si>
    <t>Username selected by the user</t>
  </si>
  <si>
    <t>userId</t>
  </si>
  <si>
    <t>User ID associated with the user name</t>
  </si>
  <si>
    <t>ExchangeRates</t>
  </si>
  <si>
    <t> Array of exchange rates</t>
  </si>
  <si>
    <t>currency</t>
  </si>
  <si>
    <t>Currency code. For example, AUD, AED etc.</t>
  </si>
  <si>
    <t>exchangeRate</t>
  </si>
  <si>
    <t>Value of the exchange against the base currency. For example, 0.1, 1.5 etc.</t>
  </si>
  <si>
    <t>infoType</t>
  </si>
  <si>
    <t>Information content type. For example, T&amp;C, Privacy Policy etc.</t>
  </si>
  <si>
    <t>Informationcontent</t>
  </si>
  <si>
    <t> Array of info content</t>
  </si>
  <si>
    <t>infoContent</t>
  </si>
  <si>
    <t> Actual content</t>
  </si>
  <si>
    <t> Info content type. For example, Privacy Policy etc.</t>
  </si>
  <si>
    <t>InterestRates</t>
  </si>
  <si>
    <t>Array of interest rates</t>
  </si>
  <si>
    <t>APY</t>
  </si>
  <si>
    <t>Annual Percentage Yield. For example, 4%, 10%.</t>
  </si>
  <si>
    <t>CDTerm</t>
  </si>
  <si>
    <t>For example, 3 months, 6 months.</t>
  </si>
  <si>
    <t>minimumDeposit</t>
  </si>
  <si>
    <t>Minimum deposit amount. For example, 2000.</t>
  </si>
  <si>
    <t>Cards</t>
  </si>
  <si>
    <t> Array of cards</t>
  </si>
  <si>
    <t>cardStatus</t>
  </si>
  <si>
    <t> Status of the card. For example, Active, Lost etc.</t>
  </si>
  <si>
    <t>cardNumber</t>
  </si>
  <si>
    <t> Card number</t>
  </si>
  <si>
    <t>expiryDate</t>
  </si>
  <si>
    <t> Expiry date of the card</t>
  </si>
  <si>
    <t> ID of the card</t>
  </si>
  <si>
    <t> Last request placed for the card. For example, - Activate, Deactivate etc.</t>
  </si>
  <si>
    <t> Reason for a specific action. For Example, Deactivate</t>
  </si>
  <si>
    <t>cardType</t>
  </si>
  <si>
    <t> Type of the card. For Example, Credit, Debit etc.</t>
  </si>
  <si>
    <t> User ID</t>
  </si>
  <si>
    <t>cardHolderName</t>
  </si>
  <si>
    <t> Name of the card holder. This could be different from the user ID</t>
  </si>
  <si>
    <t>accountId</t>
  </si>
  <si>
    <t>Account ID to which the message is relevant</t>
  </si>
  <si>
    <t>categoryId</t>
  </si>
  <si>
    <t>ID of the category of the message. This is from the fixed list of categories that come from backend</t>
  </si>
  <si>
    <t>subcategoryId</t>
  </si>
  <si>
    <t>ID of the sub category of the message. This is from the fixed list of sub categories depending on the category. This list also comes from backend</t>
  </si>
  <si>
    <t>subject</t>
  </si>
  <si>
    <t>Subject of the message as entered by the user </t>
  </si>
  <si>
    <t>message</t>
  </si>
  <si>
    <t>Body of the message as entered by the user</t>
  </si>
  <si>
    <t>messageType</t>
  </si>
  <si>
    <t>Message type</t>
  </si>
  <si>
    <t>messageId</t>
  </si>
  <si>
    <t> ID of the message record that is successfully created and sent</t>
  </si>
  <si>
    <t> ID of the message that need to be deleted</t>
  </si>
  <si>
    <t>MessageCategory</t>
  </si>
  <si>
    <t>Array of message categories</t>
  </si>
  <si>
    <t>categoryName</t>
  </si>
  <si>
    <t>Message category. For example, General Banking, Customer Service etc.</t>
  </si>
  <si>
    <t>ID of the category</t>
  </si>
  <si>
    <t>Type of messages that need to be retrieved. For example, Inbox, Sent etc.</t>
  </si>
  <si>
    <t>pageSize</t>
  </si>
  <si>
    <t>Page size</t>
  </si>
  <si>
    <t>recordNumber</t>
  </si>
  <si>
    <t>Record number</t>
  </si>
  <si>
    <t>ID of the message to which further details need to be extracted</t>
  </si>
  <si>
    <t>Messages</t>
  </si>
  <si>
    <t>Array of messages</t>
  </si>
  <si>
    <t>Account name to which the message is related to</t>
  </si>
  <si>
    <t>ID of the account to which the message is related to</t>
  </si>
  <si>
    <t>Nickname of the account to which the message is related to</t>
  </si>
  <si>
    <t>Category ID of the message</t>
  </si>
  <si>
    <t>For example, General Banking, Customer Service etc.</t>
  </si>
  <si>
    <t>Sub Category ID of the message</t>
  </si>
  <si>
    <t>subcategoryName</t>
  </si>
  <si>
    <t>For example, Rectify erroneous debit entry, Staff Attitude/Misbehaviour</t>
  </si>
  <si>
    <t>createdDate</t>
  </si>
  <si>
    <t>Date on which the message record is created</t>
  </si>
  <si>
    <t>isRead</t>
  </si>
  <si>
    <t>Flag that shows if the message record is already read</t>
  </si>
  <si>
    <t>Content of the message</t>
  </si>
  <si>
    <t>receivedDate</t>
  </si>
  <si>
    <t>Date on which the message is received by the bank</t>
  </si>
  <si>
    <t>sentDate</t>
  </si>
  <si>
    <t>Date on which the message is sent</t>
  </si>
  <si>
    <t>For example, Inbox, Draft, Sent</t>
  </si>
  <si>
    <t>Subject of the message</t>
  </si>
  <si>
    <t>ID of the message</t>
  </si>
  <si>
    <t>deletedDate</t>
  </si>
  <si>
    <t>Date on which the message is deleted</t>
  </si>
  <si>
    <t> Category ID</t>
  </si>
  <si>
    <t>MessageSubCategory</t>
  </si>
  <si>
    <t>Array of sub categories</t>
  </si>
  <si>
    <t>ID of the sub category</t>
  </si>
  <si>
    <t>Category ID to which the sub category belongs to</t>
  </si>
  <si>
    <t>ID of the category of the message. This is from the fixed list of categories that come from backend. </t>
  </si>
  <si>
    <t>ID of the sub category of the message. This is from the fixed list of sub categories depending on the category. This list also comes from backend. </t>
  </si>
  <si>
    <t>Type of the message. For example, Inbox, Sent etc.</t>
  </si>
  <si>
    <t>ID of the message that is being edited</t>
  </si>
  <si>
    <t>Send ‘Y’ if the message is read by the user</t>
  </si>
  <si>
    <t>Username of the user. This is used as part of Update Username flow</t>
  </si>
  <si>
    <t>Email of the user</t>
  </si>
  <si>
    <t>oldpassword</t>
  </si>
  <si>
    <t>Old password of the user. This is used in Update Password flow</t>
  </si>
  <si>
    <t>New password selected by the user. This is used in Update Password flow</t>
  </si>
  <si>
    <t>Phone number of the user</t>
  </si>
  <si>
    <t>Secondary email of the user</t>
  </si>
  <si>
    <t>Secondary phone number of the user</t>
  </si>
  <si>
    <t>SSN of the user</t>
  </si>
  <si>
    <t>default_account_deposit</t>
  </si>
  <si>
    <t>Default Account that is selected by the user for RDC transactions</t>
  </si>
  <si>
    <t>default_account_payments</t>
  </si>
  <si>
    <t>Default Account that is selected by the user for payments</t>
  </si>
  <si>
    <t>default_account_transfers</t>
  </si>
  <si>
    <t>Default Account that is selected by the user for transfers</t>
  </si>
  <si>
    <t>default_account_cardless</t>
  </si>
  <si>
    <t>Default Account that is selected by the user for caredless withdrawl</t>
  </si>
  <si>
    <t>alertsTurnedOn</t>
  </si>
  <si>
    <t>Flag that shows if the user has enabled or disabled all the alerts</t>
  </si>
  <si>
    <t>areAccountStatementTermsAccepted</t>
  </si>
  <si>
    <t>Flag that shows if the user has accepted the terms &amp; conditions of using account statements</t>
  </si>
  <si>
    <t>areDepositTermsAccepted</t>
  </si>
  <si>
    <t>Flag that shows if the user has accepted the terms &amp; conditions of using the Remote Deposit transactions</t>
  </si>
  <si>
    <t>Address Line 1 of the user</t>
  </si>
  <si>
    <t>Address Line 2 of the user</t>
  </si>
  <si>
    <t>City of the user</t>
  </si>
  <si>
    <t>State name of the user</t>
  </si>
  <si>
    <t>Country name of the user</t>
  </si>
  <si>
    <t>Zip code of the user</t>
  </si>
  <si>
    <t>pin</t>
  </si>
  <si>
    <t>Pin value when the user enables pin on the device</t>
  </si>
  <si>
    <t>accountType  </t>
  </si>
  <si>
    <t>Account type. For example, Savings, Credit Card</t>
  </si>
  <si>
    <t>Oldpassword</t>
  </si>
  <si>
    <t>Old password of the user</t>
  </si>
  <si>
    <t>New password selected by the user</t>
  </si>
  <si>
    <t>User</t>
  </si>
  <si>
    <t>Date of birth of the user</t>
  </si>
  <si>
    <t>Username of the user</t>
  </si>
  <si>
    <t>Default account used for deposit transactions</t>
  </si>
  <si>
    <t>Default account used for payments</t>
  </si>
  <si>
    <t>Default account used for transfers</t>
  </si>
  <si>
    <t>Default account used for cardless cash withdrawl</t>
  </si>
  <si>
    <t>lastlogintime</t>
  </si>
  <si>
    <t>Last log on time of the user in mobile banking</t>
  </si>
  <si>
    <t>userfirstname</t>
  </si>
  <si>
    <t>First name of the user</t>
  </si>
  <si>
    <t>userlastname</t>
  </si>
  <si>
    <t>Last name of the user</t>
  </si>
  <si>
    <t>Backend Identifier of user</t>
  </si>
  <si>
    <t>Flag that shows if the user has turned on or off the alerts</t>
  </si>
  <si>
    <t>Flag that shows if the user has accepted the terms &amp; conditions related to the account statements</t>
  </si>
  <si>
    <t>Flag that shows if the user has accepted the terms &amp; conditions related to the Deposit transactions</t>
  </si>
  <si>
    <t>City name of the user</t>
  </si>
  <si>
    <t>isPinSet</t>
  </si>
  <si>
    <t>Flag that provides information whether the use has Set the Pin.</t>
  </si>
  <si>
    <t>role</t>
  </si>
  <si>
    <t>Role of the current user. For example, Basic, Premium</t>
  </si>
  <si>
    <t>Currency code</t>
  </si>
  <si>
    <t>accountTypeId</t>
  </si>
  <si>
    <t> Account Type. For example, Savings, Credit Card etc.</t>
  </si>
  <si>
    <t>AccountFeatures</t>
  </si>
  <si>
    <t> Array containing the information content</t>
  </si>
  <si>
    <t>features</t>
  </si>
  <si>
    <t> Content that shows the features of the product</t>
  </si>
  <si>
    <t>info</t>
  </si>
  <si>
    <t> Information related to the product</t>
  </si>
  <si>
    <t>rates</t>
  </si>
  <si>
    <t> Rate related to the product selected</t>
  </si>
  <si>
    <t>termsAndConditions</t>
  </si>
  <si>
    <t> Terms &amp; Conditions related to the product selected</t>
  </si>
  <si>
    <t>Type of the product. For example, Savings, Credit Card etc.</t>
  </si>
  <si>
    <t>StateId</t>
  </si>
  <si>
    <t>ID of the state/area that is selected by the end user as part of new account opening application</t>
  </si>
  <si>
    <t>Products</t>
  </si>
  <si>
    <t>List of products</t>
  </si>
  <si>
    <t>productId</t>
  </si>
  <si>
    <t>ID of the product type</t>
  </si>
  <si>
    <t>productDescription</t>
  </si>
  <si>
    <t> Description of the product. For Example, Credit Card, Checking etc.</t>
  </si>
  <si>
    <t>States</t>
  </si>
  <si>
    <t>List of states</t>
  </si>
  <si>
    <t>stateId</t>
  </si>
  <si>
    <t>ID of the state</t>
  </si>
  <si>
    <t>stateName</t>
  </si>
  <si>
    <t>Name of the State. For example, LA</t>
  </si>
  <si>
    <t>Type of Account. For example, Savings, Checking etc.</t>
  </si>
  <si>
    <t>address</t>
  </si>
  <si>
    <t>Address of the user</t>
  </si>
  <si>
    <t>firstName</t>
  </si>
  <si>
    <t>lastName</t>
  </si>
  <si>
    <t>ID of the state that is selected by the user</t>
  </si>
  <si>
    <t>ID of the product that is selected by the user</t>
  </si>
  <si>
    <t>Application reference ID for the new account</t>
  </si>
  <si>
    <t>PayPerson</t>
  </si>
  <si>
    <t> List of persons who are already registered as P2P beneficiaries of the user</t>
  </si>
  <si>
    <t> First name of the beneficiary</t>
  </si>
  <si>
    <t> Last name of the beneficiary</t>
  </si>
  <si>
    <t> Email of the beneficiary</t>
  </si>
  <si>
    <t> Phone number of the beneficiary</t>
  </si>
  <si>
    <t>PayPersonId</t>
  </si>
  <si>
    <t> ID of the beneficiary</t>
  </si>
  <si>
    <t> ID of the beneficiary that is successfully created</t>
  </si>
  <si>
    <t>Transaction ID of the expense record as sent by the backend</t>
  </si>
  <si>
    <t>Category ID</t>
  </si>
  <si>
    <t>isAnalyzed</t>
  </si>
  <si>
    <t>Flag that shows if the expense record should be added in to analysis</t>
  </si>
  <si>
    <t>isMappedToMerchant</t>
  </si>
  <si>
    <t>Flag that confirms to map the merchant to the selected category always</t>
  </si>
  <si>
    <t>ChartTransactions</t>
  </si>
  <si>
    <t> Array of transactions</t>
  </si>
  <si>
    <t>closingBalanceAmount</t>
  </si>
  <si>
    <t> Closing balance post the transaction</t>
  </si>
  <si>
    <t>depositAmount</t>
  </si>
  <si>
    <t> Deposit amount</t>
  </si>
  <si>
    <t> Reference ID of the transaction</t>
  </si>
  <si>
    <t>transAmount</t>
  </si>
  <si>
    <t> Amount of the transaction</t>
  </si>
  <si>
    <t>transDate</t>
  </si>
  <si>
    <t> Date of the transaction</t>
  </si>
  <si>
    <t>transDesc</t>
  </si>
  <si>
    <t> Description of the transaction</t>
  </si>
  <si>
    <t>transType</t>
  </si>
  <si>
    <t> Transaction Type. For example, Debit</t>
  </si>
  <si>
    <t>PFMBarGraph</t>
  </si>
  <si>
    <t> Array of records that show the expenses for different months</t>
  </si>
  <si>
    <t>monthId</t>
  </si>
  <si>
    <t> Month ID</t>
  </si>
  <si>
    <t>monthName</t>
  </si>
  <si>
    <t> Month Name: For example, Jan, Feb etc.</t>
  </si>
  <si>
    <t>totalCashFlow</t>
  </si>
  <si>
    <t> Expense incurred in that month</t>
  </si>
  <si>
    <t>PFMBudgetGraph</t>
  </si>
  <si>
    <t>Array of expense summary (including target budget, current spent) for each category</t>
  </si>
  <si>
    <t>allocatedAmount</t>
  </si>
  <si>
    <t>Budget amount set for that category</t>
  </si>
  <si>
    <t>amountSpent</t>
  </si>
  <si>
    <t>Actual amount already spent in that category</t>
  </si>
  <si>
    <t>Name of the category</t>
  </si>
  <si>
    <t>budgetId</t>
  </si>
  <si>
    <t>Identifier for a PFM enabled transaction</t>
  </si>
  <si>
    <t>PFMCategory</t>
  </si>
  <si>
    <t>List of PFM categories that are used as part of categorizing uncategorized transactions</t>
  </si>
  <si>
    <t>ID of the month</t>
  </si>
  <si>
    <t>PFMPieChart</t>
  </si>
  <si>
    <t>Array of records that would be mapped to the pie chart of expenses incurred in a month across different categories</t>
  </si>
  <si>
    <t>cashSpent</t>
  </si>
  <si>
    <t>Actual cash spent in that category</t>
  </si>
  <si>
    <t>cateforyId</t>
  </si>
  <si>
    <t>Category name</t>
  </si>
  <si>
    <t>Name of the month</t>
  </si>
  <si>
    <t> PFM Category ID</t>
  </si>
  <si>
    <t> Transaction ID</t>
  </si>
  <si>
    <t>getUncategorisedCount</t>
  </si>
  <si>
    <t> Count of uncategorized expenses</t>
  </si>
  <si>
    <t>getMonthlyTransactions</t>
  </si>
  <si>
    <t>Mention true or false value for the list of monthly transactions</t>
  </si>
  <si>
    <t>PFMTransactions</t>
  </si>
  <si>
    <t>List of PFM transactions</t>
  </si>
  <si>
    <t>transactionAmount</t>
  </si>
  <si>
    <t>Amount of the transaction</t>
  </si>
  <si>
    <t>Name of the account from where the expense is made</t>
  </si>
  <si>
    <t>Number of the account from where the expense is made</t>
  </si>
  <si>
    <t>transactionNotes</t>
  </si>
  <si>
    <t>Notes of the transaction</t>
  </si>
  <si>
    <t>Date of the expense transaction</t>
  </si>
  <si>
    <t>transactionDescription</t>
  </si>
  <si>
    <t>Description of the transaction</t>
  </si>
  <si>
    <t>ID of the transaction</t>
  </si>
  <si>
    <t>Flag that shows if the transaction should be included in the analysis</t>
  </si>
  <si>
    <t>Flag that shows if the merchant of the transaction should always be mapped to the category selected</t>
  </si>
  <si>
    <t>usersecurityli</t>
  </si>
  <si>
    <t>List of questions and answers</t>
  </si>
  <si>
    <t>success </t>
  </si>
  <si>
    <t>Status of verification</t>
  </si>
  <si>
    <t>User ID</t>
  </si>
  <si>
    <t>UserSecurityQuestions</t>
  </si>
  <si>
    <t> List of questions</t>
  </si>
  <si>
    <t>question</t>
  </si>
  <si>
    <t> Text of the question</t>
  </si>
  <si>
    <t>question_id</t>
  </si>
  <si>
    <t> ID of the question</t>
  </si>
  <si>
    <t>SecurityQuestions</t>
  </si>
  <si>
    <t>List of questions</t>
  </si>
  <si>
    <t>SecurityID</t>
  </si>
  <si>
    <t>Security ID</t>
  </si>
  <si>
    <t>Text of the question</t>
  </si>
  <si>
    <t>Country</t>
  </si>
  <si>
    <t> List of countries</t>
  </si>
  <si>
    <t>Name</t>
  </si>
  <si>
    <t> Name of the country</t>
  </si>
  <si>
    <t>CountryId</t>
  </si>
  <si>
    <t> ID of the country</t>
  </si>
  <si>
    <t>Account Number of the beneficiary</t>
  </si>
  <si>
    <t>Type of the account. For example, Savings, Checking</t>
  </si>
  <si>
    <t>Nick name of the beneficiary as selected by the user</t>
  </si>
  <si>
    <t>countryName</t>
  </si>
  <si>
    <t>Country name in case of an International account</t>
  </si>
  <si>
    <t>Swift code of the beneficiary account</t>
  </si>
  <si>
    <t>isInternationalAccount</t>
  </si>
  <si>
    <t>Flag that shows if the account is an international account</t>
  </si>
  <si>
    <t>beneficiaryName</t>
  </si>
  <si>
    <t>Name of the beneficiary</t>
  </si>
  <si>
    <t>notes</t>
  </si>
  <si>
    <t>Notes related to the beneficiary</t>
  </si>
  <si>
    <t>Routing number of the beneficiary account</t>
  </si>
  <si>
    <t>Id</t>
  </si>
  <si>
    <t> ID of the external account that is successfully created in the backend</t>
  </si>
  <si>
    <t>ExternalAccounts</t>
  </si>
  <si>
    <t> List of external beneficiary accounts registered for the user</t>
  </si>
  <si>
    <t> Account number</t>
  </si>
  <si>
    <t> Type of account. For example, Savings, Checking</t>
  </si>
  <si>
    <t> Name of the beneficiary</t>
  </si>
  <si>
    <t> Country of the account</t>
  </si>
  <si>
    <t> First name of the beneficiary account</t>
  </si>
  <si>
    <t> ID of the beneficiary account</t>
  </si>
  <si>
    <t> Flag that shows if the account is international account</t>
  </si>
  <si>
    <t> Nick name of the beneficiary</t>
  </si>
  <si>
    <t> Notes related to the beneficiary</t>
  </si>
  <si>
    <t> Routing number of the beneficiary account</t>
  </si>
  <si>
    <t> Swift code of the beneficiary account</t>
  </si>
  <si>
    <t>Name of bank</t>
  </si>
  <si>
    <t>isSameBankAccount</t>
  </si>
  <si>
    <t>Flag to check whether the account is of same bank</t>
  </si>
  <si>
    <t> List of security questions and answers selected by the user</t>
  </si>
  <si>
    <t> User name of the user</t>
  </si>
  <si>
    <t>OSType</t>
  </si>
  <si>
    <t> OS type. For Example, iOS, Android etc.</t>
  </si>
  <si>
    <t>AppVersion</t>
  </si>
  <si>
    <t> Version number of the app</t>
  </si>
  <si>
    <t>OSversion</t>
  </si>
  <si>
    <t> OS version. For Example, 9.0</t>
  </si>
  <si>
    <t>Application</t>
  </si>
  <si>
    <t>List of application properties that are fetched from the backend</t>
  </si>
  <si>
    <t>bannerURL</t>
  </si>
  <si>
    <t>Marketing banner URL that is displayed on the login page </t>
  </si>
  <si>
    <t>isUpdate</t>
  </si>
  <si>
    <t>To check if there is any new version of app available</t>
  </si>
  <si>
    <t>isUpdateMandatory</t>
  </si>
  <si>
    <t>Flag that shows if the application upgrade is mandatory to be enforced</t>
  </si>
  <si>
    <t>versionLink</t>
  </si>
  <si>
    <t>Link to new version of App Store app</t>
  </si>
  <si>
    <t>Default currency code of the bank that will be used in all the Transaction Creation forms</t>
  </si>
  <si>
    <t>MainBranchaddressLine1</t>
  </si>
  <si>
    <t>Address line 1 of the main branch of the bank that will be used in case location services are not turned on by the user on the device</t>
  </si>
  <si>
    <t>MainBranchaddressLine2</t>
  </si>
  <si>
    <t>Address line 2 of the main branch of the bank that will be used in case location services are not turned on by the user on the device</t>
  </si>
  <si>
    <t>branchType</t>
  </si>
  <si>
    <t>Type of the main branch of the bank that will be used in case location services are not turned on by the user on the device</t>
  </si>
  <si>
    <t>MainBranchCity</t>
  </si>
  <si>
    <t>City of the main branch of the bank that will be used in case location services are not turned on by the user on the device</t>
  </si>
  <si>
    <t>MainBranchLongitude</t>
  </si>
  <si>
    <t>Longitude of the main branch of the bank that will be used in case location services are not turned on by the user on the device</t>
  </si>
  <si>
    <t>MainBranchLatitude</t>
  </si>
  <si>
    <t>Latitude of the main branch of the bank that will be used in case location services are not turned on by the user on the device</t>
  </si>
  <si>
    <t>MainBranchServices</t>
  </si>
  <si>
    <t>Services of the main branch of the bank that will be used in case location services are not turned on by the user on the device</t>
  </si>
  <si>
    <t>MainBranchState</t>
  </si>
  <si>
    <t>State of the main branch of the bank that will be used in case location services are not turned on by the user on the device</t>
  </si>
  <si>
    <t>MainBranchWorkingHours</t>
  </si>
  <si>
    <t>Working hours of the main branch of the bank that will be used in case location services are not turned on by the user on the device</t>
  </si>
  <si>
    <t>MainBranchzipCode</t>
  </si>
  <si>
    <t>Zip Code of the main branch of the bank that will be used in case location services are not turned on by the user on the device</t>
  </si>
  <si>
    <t>MainBranchPhone</t>
  </si>
  <si>
    <t>Phone number of the main branch of the bank that will be used in case location services are not turned on by the user on the device</t>
  </si>
  <si>
    <t>businessDays</t>
  </si>
  <si>
    <t>Business days of the main branch of the bank that will be used in case location services are not turned on by the user on the device</t>
  </si>
  <si>
    <t>distanceUnit</t>
  </si>
  <si>
    <t>Unit of measurement of the distance. For Example, Miles, KM etc.</t>
  </si>
  <si>
    <t>Name of the bank</t>
  </si>
  <si>
    <t>TimePeriod</t>
  </si>
  <si>
    <t>Time period</t>
  </si>
  <si>
    <t>timePeriodId</t>
  </si>
  <si>
    <t>Backend identifier of time period</t>
  </si>
  <si>
    <t>Description for a specific time period</t>
  </si>
  <si>
    <t>countryCode</t>
  </si>
  <si>
    <t>Country code entered by the user</t>
  </si>
  <si>
    <t>E-mail entered by the user</t>
  </si>
  <si>
    <t>User name entered by the user</t>
  </si>
  <si>
    <t>Password entered by the user</t>
  </si>
  <si>
    <t>E-mail entered by the user in previous screen</t>
  </si>
  <si>
    <t>Phone entered by the user in previous screen</t>
  </si>
  <si>
    <t>Country Code entered by the user in previous screen</t>
  </si>
  <si>
    <t> Return userId after successful enrollment.</t>
  </si>
  <si>
    <t>creditCheck</t>
  </si>
  <si>
    <t>Returns boolean value whether the creditCheck is completed or not for that particular user</t>
  </si>
  <si>
    <t>userPersonalInfo</t>
  </si>
  <si>
    <t>Returns boolean value whether the userPersonalInfo is completed or not for that particular user</t>
  </si>
  <si>
    <t>userProducts</t>
  </si>
  <si>
    <t>Returns boolean value whether the userProducts is completed or not for that particular user</t>
  </si>
  <si>
    <t>userEmploymentInfo</t>
  </si>
  <si>
    <t>Returns boolean value whether the userEmploymentInfo is completed or not for that particular user</t>
  </si>
  <si>
    <t>userFinancialInfo</t>
  </si>
  <si>
    <t>Returns boolean value whether the userFinancialInfo is completed or not for that particular user</t>
  </si>
  <si>
    <t>userSecurityQuestions</t>
  </si>
  <si>
    <t>Returns boolean value whether the userSecurityQuestions is completed or not for that particular user</t>
  </si>
  <si>
    <t>getAllProducts</t>
  </si>
  <si>
    <t>ID of the product</t>
  </si>
  <si>
    <t>Description of the product. </t>
  </si>
  <si>
    <t>Description of features for a product. </t>
  </si>
  <si>
    <t>Description of info for a product. </t>
  </si>
  <si>
    <t>Description of rates for a product. </t>
  </si>
  <si>
    <t>Description of termsAndConditions for a product. </t>
  </si>
  <si>
    <t>productType</t>
  </si>
  <si>
    <t>Description of the product. For Example, Credit Card, Checking etc.</t>
  </si>
  <si>
    <t>productTypeId</t>
  </si>
  <si>
    <t>productName</t>
  </si>
  <si>
    <t>Name of the product</t>
  </si>
  <si>
    <t>productImageURL</t>
  </si>
  <si>
    <t>Image URL of the product</t>
  </si>
  <si>
    <t>Description of the product</t>
  </si>
  <si>
    <t>Description of features for a product.</t>
  </si>
  <si>
    <t>Description of rates for a product</t>
  </si>
  <si>
    <t>productLi</t>
  </si>
  <si>
    <t>List of selected Products by an user</t>
  </si>
  <si>
    <t>Date of Birth of the user</t>
  </si>
  <si>
    <t>Last name of the user</t>
  </si>
  <si>
    <t>maritalStatus</t>
  </si>
  <si>
    <t>Martial status of the user</t>
  </si>
  <si>
    <t>noOfDependents</t>
  </si>
  <si>
    <t>Number of dependents of the user</t>
  </si>
  <si>
    <t>spouseFirstName</t>
  </si>
  <si>
    <t>Spouse first name of the user</t>
  </si>
  <si>
    <t>spouseLastName</t>
  </si>
  <si>
    <t>Spouse last name of the user</t>
  </si>
  <si>
    <t>employmentInfo</t>
  </si>
  <si>
    <t>Employment Info of the user</t>
  </si>
  <si>
    <t>company</t>
  </si>
  <si>
    <t>Company name of the user</t>
  </si>
  <si>
    <t>jobProfile</t>
  </si>
  <si>
    <t>Job profile of the user</t>
  </si>
  <si>
    <t>experience</t>
  </si>
  <si>
    <t>Job Experience of the user</t>
  </si>
  <si>
    <t>annualIncome</t>
  </si>
  <si>
    <t>Annual Income of the user</t>
  </si>
  <si>
    <t>assets</t>
  </si>
  <si>
    <t>Financial assets of the user</t>
  </si>
  <si>
    <t>gender</t>
  </si>
  <si>
    <t>Gender of the user</t>
  </si>
  <si>
    <t>montlyExpenditure</t>
  </si>
  <si>
    <t>Monthly Expenditure of the user</t>
  </si>
  <si>
    <t>Date of Birth provided by the user</t>
  </si>
  <si>
    <t>Address Line 1 provided by the user</t>
  </si>
  <si>
    <t>Address Line 2 provided by the user</t>
  </si>
  <si>
    <t>City name provided by the user</t>
  </si>
  <si>
    <t>Country name provided by the user</t>
  </si>
  <si>
    <t>State name provided by the user</t>
  </si>
  <si>
    <t>Zip code provided by the user</t>
  </si>
  <si>
    <t>First name provided by the user</t>
  </si>
  <si>
    <t>Last name provided by the user</t>
  </si>
  <si>
    <t>Martial status provided by the user</t>
  </si>
  <si>
    <t>Number of dependents provided by the user</t>
  </si>
  <si>
    <t>Spouse first name provided by the user</t>
  </si>
  <si>
    <t>Spouse last name provided by the user</t>
  </si>
  <si>
    <t>Employment Info provided by the user</t>
  </si>
  <si>
    <t>Company name provided by the user</t>
  </si>
  <si>
    <t>Job profile provided by the user</t>
  </si>
  <si>
    <t>Job Experience provided by the user</t>
  </si>
  <si>
    <t>Annual Income provided by the user</t>
  </si>
  <si>
    <t>Financial assets provided by the user</t>
  </si>
  <si>
    <t>Monthly Expenditure provided by the user</t>
  </si>
  <si>
    <t>Gender provided by the user</t>
  </si>
  <si>
    <t>informationType</t>
  </si>
  <si>
    <t>Type of Information provided by the user(Example: personalInfo,employmentInfo,financialInfo)</t>
  </si>
  <si>
    <t>document</t>
  </si>
  <si>
    <t>base64 of the document uploaded by the user</t>
  </si>
  <si>
    <t>documentType</t>
  </si>
  <si>
    <t>Type of the document uploaded(Example: Address Proof,Income Proof,Employment Proof)</t>
  </si>
  <si>
    <t>NewUserSecurityQuestions</t>
  </si>
  <si>
    <t>QuestionId</t>
  </si>
  <si>
    <t>userSecurityQuestionsList</t>
  </si>
  <si>
    <t> ssn</t>
  </si>
  <si>
    <t>Social security number provided by user</t>
  </si>
  <si>
    <t>signatureImage</t>
  </si>
  <si>
    <t>base64 of  Image signed by user</t>
  </si>
  <si>
    <t>getProfile (LinkedIn API)</t>
  </si>
  <si>
    <t>title</t>
  </si>
  <si>
    <t> Job Title of the user retrieved from LinkedIn</t>
  </si>
  <si>
    <t>Working company of the user retrieved from LinkedIn</t>
  </si>
  <si>
    <t>Current longitude of the user</t>
  </si>
  <si>
    <t>formattedAddress</t>
  </si>
  <si>
    <t>complete address of an particular latitude &amp; longitude provided by googleAPI</t>
  </si>
  <si>
    <t>service response status</t>
  </si>
  <si>
    <t> List of locations</t>
  </si>
  <si>
    <t>complete address of an searched location provided by googleAPI</t>
  </si>
  <si>
    <t>Ads</t>
  </si>
  <si>
    <t> List of advertisements.</t>
  </si>
  <si>
    <t>action1</t>
  </si>
  <si>
    <t>Interactive action for advertisement Image.</t>
  </si>
  <si>
    <t>action2</t>
  </si>
  <si>
    <t>Interactive action for button.</t>
  </si>
  <si>
    <t>id</t>
  </si>
  <si>
    <t>Unique Id for the advertisement.</t>
  </si>
  <si>
    <t>Text to be displayed on Interactive button.</t>
  </si>
  <si>
    <t>adType</t>
  </si>
  <si>
    <t>Describes type of the advertisement (Infeed and Non-Infeed).</t>
  </si>
  <si>
    <t>imageURL</t>
  </si>
  <si>
    <t>URL to download the image for an advertisement.</t>
  </si>
  <si>
    <t>actionType</t>
  </si>
  <si>
    <t>Describes action type for only In-feed banner image.</t>
  </si>
  <si>
    <t>imageURL2</t>
  </si>
  <si>
    <t>URL to download the image for only Infeed-banner advertisement</t>
  </si>
  <si>
    <t>Kony RB + Custom Enhancements Integration Services Parameters:</t>
  </si>
  <si>
    <t>Requirement Category</t>
  </si>
  <si>
    <t>Statements</t>
  </si>
  <si>
    <t>Preferences</t>
  </si>
  <si>
    <t>Login</t>
  </si>
  <si>
    <t>Bill Pay</t>
  </si>
  <si>
    <t>Card Management</t>
  </si>
  <si>
    <t>Rates</t>
  </si>
  <si>
    <t>P2P Transfers</t>
  </si>
  <si>
    <t>User Onboarding</t>
  </si>
  <si>
    <t>Profile Management</t>
  </si>
  <si>
    <t>PFM</t>
  </si>
  <si>
    <t>Marketing</t>
  </si>
  <si>
    <t>#</t>
  </si>
  <si>
    <t>Status</t>
  </si>
  <si>
    <t>Standard/Add-on</t>
  </si>
  <si>
    <t>Module</t>
  </si>
  <si>
    <t>API</t>
  </si>
  <si>
    <t>Mobile</t>
  </si>
  <si>
    <t>Web</t>
  </si>
  <si>
    <t>getAccountPendingTransactions</t>
  </si>
  <si>
    <t>The API gets particular account pending transactions in Mobile Banking.</t>
  </si>
  <si>
    <t>getAccountPostedTransactions</t>
  </si>
  <si>
    <t>The API gets particular account posted transactions in Mobile Banking.</t>
  </si>
  <si>
    <t>The API retrieves the list of all accounts for the account preview.</t>
  </si>
  <si>
    <t>getAccountsPostLogin</t>
  </si>
  <si>
    <t>The API retrieves the list of all accounts for the logged-in user in Online Banking application (OLB).</t>
  </si>
  <si>
    <t>The API retrieves the list of all supported account types.</t>
  </si>
  <si>
    <t>getRecentAccounts</t>
  </si>
  <si>
    <t>The API updates the account nickname.</t>
  </si>
  <si>
    <t>updateFavouriteStatus</t>
  </si>
  <si>
    <t>checkBillPayEligibilityForUser</t>
  </si>
  <si>
    <t>The API checks the Bill Pay eligibility status for a user.</t>
  </si>
  <si>
    <t>createBulkBillPay</t>
  </si>
  <si>
    <t>The API creates various transactions, such as transfer, bill pay, P2P, cardless cash, overdraft for cardless cash, and remote check deposit.</t>
  </si>
  <si>
    <t>The API deletes an existing bill payee.</t>
  </si>
  <si>
    <t>getBillerCategories</t>
  </si>
  <si>
    <t>The API retrieves the list of all companies that are registered with the bank for Bill Pay.</t>
  </si>
  <si>
    <t>getBillerMasters</t>
  </si>
  <si>
    <t>getBillsDueForUser</t>
  </si>
  <si>
    <t>getPayeeBills</t>
  </si>
  <si>
    <t>The API retrieves the list of all bill payees registered for a user.</t>
  </si>
  <si>
    <t>getRecentPayee</t>
  </si>
  <si>
    <t>The API retrieves the list of recent bill payees accessed for a user.</t>
  </si>
  <si>
    <t>getUserCompletedBillHistory</t>
  </si>
  <si>
    <t>getUsersScheduledBills</t>
  </si>
  <si>
    <t>searchBillerByName</t>
  </si>
  <si>
    <t>updatePreferredBillPayAccount</t>
  </si>
  <si>
    <t>The API updates the preferred bill pay account for a user.</t>
  </si>
  <si>
    <t>getActiveCards</t>
  </si>
  <si>
    <t>The API retrieves the list of all active cards available for a user.</t>
  </si>
  <si>
    <t>The API retrieves the list of all the cards available for a user.</t>
  </si>
  <si>
    <t>The API performs various actions for the card, such as reporting loss of card, activating or deactivating the card, cancel card, replace cards, change pin, and unlock card.</t>
  </si>
  <si>
    <t>Cardless Cash</t>
  </si>
  <si>
    <t>createCardlessTransaction</t>
  </si>
  <si>
    <t>getPendingCardlessTransactions</t>
  </si>
  <si>
    <t>The API gets a list of pending cardless transactions.</t>
  </si>
  <si>
    <t>getPostedCardlessTransactions</t>
  </si>
  <si>
    <t>The API gets a list of posted cardless transactions.</t>
  </si>
  <si>
    <t>Check reorder</t>
  </si>
  <si>
    <t>The API creates a new check book request made by a user.</t>
  </si>
  <si>
    <t>The API fetches the list of previous check reorder requests made by a user.</t>
  </si>
  <si>
    <t>getFAQs</t>
  </si>
  <si>
    <t>getPrivacyPolicy</t>
  </si>
  <si>
    <t>Fetch informational content such as Privacy Policy.</t>
  </si>
  <si>
    <t>createCustomerRequest</t>
  </si>
  <si>
    <t>createOutageMessage</t>
  </si>
  <si>
    <t>deleteOutageMessage</t>
  </si>
  <si>
    <t>getAllMessagesForARequest</t>
  </si>
  <si>
    <t>getMessageAttachment</t>
  </si>
  <si>
    <t>getOutageMessage</t>
  </si>
  <si>
    <t>getRequestCategory</t>
  </si>
  <si>
    <t>getRequests</t>
  </si>
  <si>
    <t>getUnreadMessageCount</t>
  </si>
  <si>
    <t>updateOutageMessage</t>
  </si>
  <si>
    <t>updateRequest</t>
  </si>
  <si>
    <t>getTermsAndConditions</t>
  </si>
  <si>
    <t>getLocationDetails</t>
  </si>
  <si>
    <t>checkUserEnrolled</t>
  </si>
  <si>
    <t>The API checks whether the user is enrolled or not.</t>
  </si>
  <si>
    <t>The API identifies the registration status of the device for a user.</t>
  </si>
  <si>
    <t>fetchUserName</t>
  </si>
  <si>
    <t>The API fetches the username.</t>
  </si>
  <si>
    <t>getAllEntitlements</t>
  </si>
  <si>
    <t>getCardListForEnrolment</t>
  </si>
  <si>
    <t>The API retrieves the cards available for the user for enrolling.</t>
  </si>
  <si>
    <t>getCardsByUsername</t>
  </si>
  <si>
    <t>The API retrieves the cards available for the user.</t>
  </si>
  <si>
    <t>getCustomerContact</t>
  </si>
  <si>
    <t>The API retrieves user email, and contact numbers.</t>
  </si>
  <si>
    <t>getPasswordPolicies</t>
  </si>
  <si>
    <t>The API gets the username and password policies.</t>
  </si>
  <si>
    <t>The API retrieves the list of security questions after the user logs in.</t>
  </si>
  <si>
    <t>logout</t>
  </si>
  <si>
    <t>The API is called to logout from the application.</t>
  </si>
  <si>
    <t>registerDevice </t>
  </si>
  <si>
    <t>The API registers a device for a user.</t>
  </si>
  <si>
    <t>The API resets the password.</t>
  </si>
  <si>
    <t>verifyCVV</t>
  </si>
  <si>
    <t>The API verifies the CVV.</t>
  </si>
  <si>
    <t>verifyPin</t>
  </si>
  <si>
    <t>The API verifies the PIN provided by the user.</t>
  </si>
  <si>
    <t>getDirectMarketingAds</t>
  </si>
  <si>
    <t>The API retrieves the advertisements data, for example an ad template (image URL/buttons/links, and actions).</t>
  </si>
  <si>
    <t>activateP2PForUser</t>
  </si>
  <si>
    <t>The API registers a new P2P transfer recipient/beneficiary.</t>
  </si>
  <si>
    <t>deactivateP2P</t>
  </si>
  <si>
    <t>The API deactivates a person for P2P service.</t>
  </si>
  <si>
    <t>deletePayPerson</t>
  </si>
  <si>
    <t>The API deletes pay a person beneficiary.</t>
  </si>
  <si>
    <t>editPayPerson</t>
  </si>
  <si>
    <t>The API edits pay a person.</t>
  </si>
  <si>
    <t>getPayPersonHistory</t>
  </si>
  <si>
    <t>The API gets all the P2P Transactions done to a particular Person.</t>
  </si>
  <si>
    <t>The API retrieves the list of all P2P payees registered for a user.</t>
  </si>
  <si>
    <t>getRecentPayPerson</t>
  </si>
  <si>
    <t>The API retrieves the list of recent pay persons accessed for a user.</t>
  </si>
  <si>
    <t>getScheduledTransferAndP2PTransactions</t>
  </si>
  <si>
    <t>getSentP2PTransactions</t>
  </si>
  <si>
    <t>The API gets all the P2P Transactions made by the current user.</t>
  </si>
  <si>
    <t>updatePreferredP2PAccounts</t>
  </si>
  <si>
    <t>The API updates preferred pay a person accounts for a user.</t>
  </si>
  <si>
    <t>The API defines the category for an uncategorized expense.</t>
  </si>
  <si>
    <t>The API retrieves the expenses for a specific category of a specific month.</t>
  </si>
  <si>
    <t>The API retrieves the amount spent for each month.</t>
  </si>
  <si>
    <t>The API retrieves the list of various PFM categories used to manually categorize an expense.</t>
  </si>
  <si>
    <t>The API displays the expenditure across various categories for a specific month.</t>
  </si>
  <si>
    <t>The API retrieves the list of all uncategorized transactions.</t>
  </si>
  <si>
    <t>updateBulkPFMTransaction</t>
  </si>
  <si>
    <t>The API updates PFM transaction details for multiple users.</t>
  </si>
  <si>
    <t>deleteNotification</t>
  </si>
  <si>
    <t>getNotifications</t>
  </si>
  <si>
    <t>getUnreadNotifications</t>
  </si>
  <si>
    <t>The API retrieves all the account-related alerts of users.</t>
  </si>
  <si>
    <t>The API retrieves the user level alerts such as security alerts, deal alerts, and general alerts.</t>
  </si>
  <si>
    <t>updateReadCount</t>
  </si>
  <si>
    <t>The API updates various account-level alerts. For example, the value of the minimum balance threshold.</t>
  </si>
  <si>
    <t>The API updates user level alerts, for example, turn off the deals expiring alert.</t>
  </si>
  <si>
    <t>activateBillPaymentForUser</t>
  </si>
  <si>
    <t>The API enables the Bill Payment functionality for the user.</t>
  </si>
  <si>
    <t>checkSecureAccessCode</t>
  </si>
  <si>
    <t>checkSecurityQuestionStatus</t>
  </si>
  <si>
    <t>createAddress</t>
  </si>
  <si>
    <t>The API creates the user address.</t>
  </si>
  <si>
    <t>createCustomerSecurityQuestions</t>
  </si>
  <si>
    <t>createPhone</t>
  </si>
  <si>
    <t>The API creates a new phone number.</t>
  </si>
  <si>
    <t>createUserFeedback</t>
  </si>
  <si>
    <t>The API submits feedback received from the user.</t>
  </si>
  <si>
    <t>deleteAddress</t>
  </si>
  <si>
    <t>The API deletes the address.</t>
  </si>
  <si>
    <t>deletePhone</t>
  </si>
  <si>
    <t>The API deletes the user phone number.</t>
  </si>
  <si>
    <t>The API retrieves the list of appropriate locations for a specific (location name) search criterion.</t>
  </si>
  <si>
    <t>getAllAddress</t>
  </si>
  <si>
    <t>The API fetches all user addresses.</t>
  </si>
  <si>
    <t>getAllAlerts</t>
  </si>
  <si>
    <t>getAllCities</t>
  </si>
  <si>
    <t>getAllCountries</t>
  </si>
  <si>
    <t>getAllPhones</t>
  </si>
  <si>
    <t>The API gets all user phones.</t>
  </si>
  <si>
    <t>getAllRegions</t>
  </si>
  <si>
    <t>getRandomCustomerSecurityQuestions</t>
  </si>
  <si>
    <t>The API retrieves the list of security questions.</t>
  </si>
  <si>
    <t>The API gets the profile details of the user.</t>
  </si>
  <si>
    <t>updateAccountPreference</t>
  </si>
  <si>
    <t>updateAddress</t>
  </si>
  <si>
    <t>The API updates the address.</t>
  </si>
  <si>
    <t>updateAlerts</t>
  </si>
  <si>
    <t>updateCustomerDetails</t>
  </si>
  <si>
    <t>updatePhone</t>
  </si>
  <si>
    <t>The API updates the user phone number.</t>
  </si>
  <si>
    <t>updateSecureAccessCode</t>
  </si>
  <si>
    <t>The API updates the secure access code.</t>
  </si>
  <si>
    <t>updateUserAccountSettings</t>
  </si>
  <si>
    <t>The API updates the account settings of a user.</t>
  </si>
  <si>
    <t>updateUserSecurityQuestions</t>
  </si>
  <si>
    <t>The API updates a user's security questions and answers.</t>
  </si>
  <si>
    <t>verifyCustomerSecurityQuestions</t>
  </si>
  <si>
    <t>verifyExistingPassword</t>
  </si>
  <si>
    <t>The API verifies the existing password of a user.</t>
  </si>
  <si>
    <t>The API fetches interest rates for various products, for example, a certificate of deposit.</t>
  </si>
  <si>
    <t>Remote Deposit Capture</t>
  </si>
  <si>
    <t>getPendingDeposits</t>
  </si>
  <si>
    <t>The API gets all the pending deposits.</t>
  </si>
  <si>
    <t>getPostedDeposits</t>
  </si>
  <si>
    <t>The API gets all the posted deposits.</t>
  </si>
  <si>
    <t>The API retrieves the list of all statements of the selected account. However, the list does not include the content within each account statement.</t>
  </si>
  <si>
    <t>showDownloadStatements</t>
  </si>
  <si>
    <t>The API retrieves the statement link of the selected account for a selected month in the selected format (used only in Online Banking).</t>
  </si>
  <si>
    <t>Stop Payments</t>
  </si>
  <si>
    <t>getDisputedTransactions</t>
  </si>
  <si>
    <t>getStopCheckPaymentRequestTransactions</t>
  </si>
  <si>
    <t>CancelScheduledTransactionOccurrence</t>
  </si>
  <si>
    <t>The API cancels the next occurrence of a scheduled transfer.</t>
  </si>
  <si>
    <t>The API cancels any scheduled transfers, such as bill pay or P2P transactions.</t>
  </si>
  <si>
    <t>getAccountTransactionsByType</t>
  </si>
  <si>
    <t>The API displays time period, such as one day, two days, and one week. The time period is displayed while defining the recurrence of a transfer/bill pay.</t>
  </si>
  <si>
    <t>The API updates any of the scheduled transfer, such as bill pay or P2P transactions.</t>
  </si>
  <si>
    <t>deleteExternalAccount</t>
  </si>
  <si>
    <t>The API deletes a specific external account.</t>
  </si>
  <si>
    <t>editExternalAccount</t>
  </si>
  <si>
    <t>The API edits any external account.</t>
  </si>
  <si>
    <t>getAllExternalAccountsWithPagination</t>
  </si>
  <si>
    <t>The API gets the list of all external account with pagination.</t>
  </si>
  <si>
    <t>The API retrieves the list of all countries while registering a new international account as an external transfer recipient/beneficiary.</t>
  </si>
  <si>
    <t>The API retrieves the list of all external accounts pre-registered for the user.</t>
  </si>
  <si>
    <t>getOtherBankAccount</t>
  </si>
  <si>
    <t>The API retrieves the list of all bank accounts.</t>
  </si>
  <si>
    <t>getSameBankAccount</t>
  </si>
  <si>
    <t>getToExternalAccountTransactions</t>
  </si>
  <si>
    <t>The API gets all the transactions for the specific account number.</t>
  </si>
  <si>
    <t>getUserScheduledTransactions</t>
  </si>
  <si>
    <t>The API gets all the scheduled transactions for the logged in user.</t>
  </si>
  <si>
    <t>getUserTransaction</t>
  </si>
  <si>
    <t>The API gets all the transactions for the logged in user.</t>
  </si>
  <si>
    <t>makeTrialDeposit</t>
  </si>
  <si>
    <t>verifyExternalBankAccount</t>
  </si>
  <si>
    <t>The API verifies the external bank account using other bank credentials.</t>
  </si>
  <si>
    <t>verifyTrialDeposit</t>
  </si>
  <si>
    <t>The API verifies a trial deposit made to other bank that is less than $0.50.</t>
  </si>
  <si>
    <t>Travel Notifications</t>
  </si>
  <si>
    <t>createTravelNotification</t>
  </si>
  <si>
    <t>deleteTravelNotification </t>
  </si>
  <si>
    <t>getTravelNotification</t>
  </si>
  <si>
    <t>getTravelNotificationStatus</t>
  </si>
  <si>
    <t>The API retrieves the status of a travel notification.</t>
  </si>
  <si>
    <t>The API creates the personal info for a user while enrollment.</t>
  </si>
  <si>
    <t>The API saves products that a new user has selected.</t>
  </si>
  <si>
    <t>The API resets the data of a new user, such as personal info, credit check.</t>
  </si>
  <si>
    <t>The API gets the list of products available while enrolling a new user.</t>
  </si>
  <si>
    <t>The API retrieves the details of a particular latitude and longitude.</t>
  </si>
  <si>
    <t>getProfile</t>
  </si>
  <si>
    <t>The API retrieves the personal info of a user while enrollment.</t>
  </si>
  <si>
    <t>The API gets the list of products of a user while enrollment.</t>
  </si>
  <si>
    <t>The API retrieves the state (steps) of a new user while enrollment.</t>
  </si>
  <si>
    <t>The API uploads the documents for a user (documents, such as address proof, income proof, and employment proof).</t>
  </si>
  <si>
    <t>The API validates the credit check of a user with Social Security Number (SSN).</t>
  </si>
  <si>
    <t>The API verifies whether a user exists with the given email or not.</t>
  </si>
  <si>
    <t>The API verifies whether a user exists with the given phone number or not.</t>
  </si>
  <si>
    <t>The API verifies whether a username exists or not.</t>
  </si>
  <si>
    <t>Wire Transfer</t>
  </si>
  <si>
    <t>addRecipient</t>
  </si>
  <si>
    <t>The API registers a new wire transfer recipient/beneficiary.</t>
  </si>
  <si>
    <t>getRecipientWireTransaction</t>
  </si>
  <si>
    <t>The API retrieves the list of wire transfers done for a specific payee.</t>
  </si>
  <si>
    <t>getUserWiredTransactions</t>
  </si>
  <si>
    <t>The API retrieves the list of wire transfers for a logged in user.</t>
  </si>
  <si>
    <t>getWireTransferRecipient</t>
  </si>
  <si>
    <t>The API retrieves the list of all wire transfer recipients for a logged in user.</t>
  </si>
  <si>
    <t>saveRecipientAfterWireTransfer</t>
  </si>
  <si>
    <t>The API creates a payee for a one time wire transfer.</t>
  </si>
  <si>
    <t>updateRecipient</t>
  </si>
  <si>
    <t>The API updates the existing payee details with new details.</t>
  </si>
  <si>
    <t>Readiness:</t>
  </si>
  <si>
    <t>System of Record</t>
  </si>
  <si>
    <t>Sub-Module</t>
  </si>
  <si>
    <t>fetchBankDetails</t>
  </si>
  <si>
    <t>The API retrieves the master data list of all companies that are registered with the bank for Bill Pay.</t>
  </si>
  <si>
    <t>The API initiates a bulk bill payment.</t>
  </si>
  <si>
    <t>getPostedTransferAndP2pTransactions</t>
  </si>
  <si>
    <t>getFrequentOtherBankAccounts</t>
  </si>
  <si>
    <t>FAQ</t>
  </si>
  <si>
    <t>Privacy Policy</t>
  </si>
  <si>
    <t>Secure Messaging</t>
  </si>
  <si>
    <t>ContactUs</t>
  </si>
  <si>
    <t>getContactUs</t>
  </si>
  <si>
    <t>The API retrieves the details of a particular location using googleAPI.</t>
  </si>
  <si>
    <t>updateTravelNotification</t>
  </si>
  <si>
    <t>Readiness</t>
  </si>
  <si>
    <t>&lt;Client&gt;</t>
  </si>
  <si>
    <t>The API uploads the new user signature image.</t>
  </si>
  <si>
    <t>getLocationAddress (GoogleAPI)</t>
  </si>
  <si>
    <t>getAddressSuggestions (GoogleAPI)</t>
  </si>
  <si>
    <t>The API logs in the user.</t>
  </si>
  <si>
    <t>The API de-registers a device for a user.</t>
  </si>
  <si>
    <t>The API enrolls a new user to mobile banking.</t>
  </si>
  <si>
    <t>resetDbxUserPassword</t>
  </si>
  <si>
    <t>verifyDbxUserName</t>
  </si>
  <si>
    <t>dbxRequestOTP</t>
  </si>
  <si>
    <t>The API requests an OTP.</t>
  </si>
  <si>
    <t>dbxVerifyOTP</t>
  </si>
  <si>
    <t>Transfer to own</t>
  </si>
  <si>
    <t>Creates various transactions such as transfer, bill pay, P2P, cardless cash, overdraft for cardless cash, and remote check deposit.</t>
  </si>
  <si>
    <t>The API retrieves the list of all internal bank accounts</t>
  </si>
  <si>
    <t>User Management</t>
  </si>
  <si>
    <t>Account Management</t>
  </si>
  <si>
    <t>Tablet</t>
  </si>
  <si>
    <t>The API enrolls a new user with username, password, email, and phone.</t>
  </si>
  <si>
    <t>The API retrieves the data from the third-party services, such as company name, job title.</t>
  </si>
  <si>
    <t>The API adds new bill payee.</t>
  </si>
  <si>
    <t>The API updates the details of an existing bill payee.</t>
  </si>
  <si>
    <t>The API retrieves the list of all biller categories maintained in the system.</t>
  </si>
  <si>
    <t>The API retrieves the list of bills due for a user.</t>
  </si>
  <si>
    <t>The API gets all the past billed transactions for the logged in user.</t>
  </si>
  <si>
    <t>The API gets all the scheduled Bill transactions for logged in user.</t>
  </si>
  <si>
    <t>The API retrieves the list of billers matching the search criteria based on the biller name.</t>
  </si>
  <si>
    <t>The API retrieves the list of all bill payments made by the payee.</t>
  </si>
  <si>
    <t>The API creates a new cardless transaction.</t>
  </si>
  <si>
    <t>The API creates a trial deposit to other bank that is less than $0.50.</t>
  </si>
  <si>
    <t>The API updates the card status as locked and delete all the transactions performed on the card in the Online Banking (OLB) application.</t>
  </si>
  <si>
    <t>Administration</t>
  </si>
  <si>
    <t>The API fetches informational content to contact the bank's customer care.</t>
  </si>
  <si>
    <t>Fetches the informational content such as Terms and Conditions, and FAQs. (Used only in OLB)</t>
  </si>
  <si>
    <t>The API retrieves the list of all ATM and branch locations for a location coordinates using googleAPI.</t>
  </si>
  <si>
    <t>The API retrieves the list of all ATM and branch locations for a specific search criterion (place, zipcode) using googleAPI.</t>
  </si>
  <si>
    <t>The API retrieves the list of all ATM and branch locations for a specific range criterion (distance) using googleAPI.</t>
  </si>
  <si>
    <t>The API fetches the exchange rates against the bank's currency.</t>
  </si>
  <si>
    <t>The API fetches the informational content such as Terms and Conditions, and FAQs.</t>
  </si>
  <si>
    <t>The API retrieves the list of scheduled transfers, and P2P transactions.</t>
  </si>
  <si>
    <t>Retrieves the list of stop check requests for logged in user. It's consumed only in OLB.</t>
  </si>
  <si>
    <t>Retrieves the list of disputed transactions for logged in user. It's consumed only in OLB.</t>
  </si>
  <si>
    <t>The API gets the list of all travel notifications (both active and expired) for the user. </t>
  </si>
  <si>
    <t>The API creates a new travel notification for the user with all travel related details to be used by the bank.</t>
  </si>
  <si>
    <t>The API is used to perform actions on the existing travel notification such as editing the phone number, dates of travel, selected destinations, and selected cards for the travel.</t>
  </si>
  <si>
    <t> The API deletes an existing travel notification for the user.</t>
  </si>
  <si>
    <t>updateDBXUserStatus</t>
  </si>
  <si>
    <t>ResendActivationLink</t>
  </si>
  <si>
    <t>OFACAndCIPChecks</t>
  </si>
  <si>
    <t>getGroups</t>
  </si>
  <si>
    <t>getOrganizationAccounts</t>
  </si>
  <si>
    <t>getGroupEntitlements</t>
  </si>
  <si>
    <t>The API updates personal information such as contact details, user name, and password.</t>
  </si>
  <si>
    <t>The API verifies the email, and phone enabled status for secure access.</t>
  </si>
  <si>
    <t>The API verifies if the security questions exist for a user.</t>
  </si>
  <si>
    <t>The API displays the budget allocated, and the amount spent for each category, for the current month.</t>
  </si>
  <si>
    <t>The API updates the favorite status of the account in Online Banking (OLB) application.</t>
  </si>
  <si>
    <t>The API gets the list of recent accounts accessed for the user.</t>
  </si>
  <si>
    <t>NUO</t>
  </si>
  <si>
    <t>Integration Notes</t>
  </si>
  <si>
    <t>Channel</t>
  </si>
  <si>
    <t>CreateOrgEmployeeTransactionLimits</t>
  </si>
  <si>
    <t>The API creates transaction limits for an organization employee.</t>
  </si>
  <si>
    <t>DBX_verifyCustomerSecurityQuestions</t>
  </si>
  <si>
    <t>The API verifies the answers provided by the customer for their security questions.</t>
  </si>
  <si>
    <t>EditOrgEmployeeTransactionLimits</t>
  </si>
  <si>
    <t>The API updates the transaction limits for an organization employee in DBX.</t>
  </si>
  <si>
    <t>GetOrgEmployeeServiceLimits</t>
  </si>
  <si>
    <t>The API retrieves the services and their corresponding transaction limits for an organization employee in DBX.</t>
  </si>
  <si>
    <t>RegisterCustomerDevice</t>
  </si>
  <si>
    <t>The API registers a device for a given user in DBX.</t>
  </si>
  <si>
    <t>UpdateCustomerDeviceInformation</t>
  </si>
  <si>
    <t>The API updates the information of a registered device for a given user.</t>
  </si>
  <si>
    <t>createBBCustomerServiceLimit</t>
  </si>
  <si>
    <t>The API creates transaction limits for an Business Banking employee</t>
  </si>
  <si>
    <t>createCardRequest</t>
  </si>
  <si>
    <t>The API creates a new request for a card account</t>
  </si>
  <si>
    <t>The API creates a new customer request in DBX</t>
  </si>
  <si>
    <t>The API sets up security questions for a customer in DBX.</t>
  </si>
  <si>
    <t>createGroup</t>
  </si>
  <si>
    <t>The API creates a new customer group in the system</t>
  </si>
  <si>
    <t>The API creates a new outage message for the specified service</t>
  </si>
  <si>
    <t>The API creates a new travel notification</t>
  </si>
  <si>
    <t>The API deletes an outage message for a service</t>
  </si>
  <si>
    <t>deleteTravelNotification</t>
  </si>
  <si>
    <t>The API deletes a travel notification</t>
  </si>
  <si>
    <t>editBBCustomerServiceLimit</t>
  </si>
  <si>
    <t>The API updates the transaction limits for an business banking employee in DBX.</t>
  </si>
  <si>
    <t>The API retrieves a bank's details based on the routing number</t>
  </si>
  <si>
    <t>fetchCustomerDetailsForOlb</t>
  </si>
  <si>
    <t>The API retrieves basic customer profile information</t>
  </si>
  <si>
    <t>The API retrieves the list of alerts and alert preferences of a user</t>
  </si>
  <si>
    <t>The API retrieves the list of all cities maintained in DBX</t>
  </si>
  <si>
    <t>The API retrieves the list of all countries maintained in DBX</t>
  </si>
  <si>
    <t>The API retrieves the list of all entitlements for a user</t>
  </si>
  <si>
    <t>The API retrieves the list of all messages for a customer request</t>
  </si>
  <si>
    <t>The API retrieves the list of all regions maintained in DBX</t>
  </si>
  <si>
    <t>getBBCustomerServiceLimit</t>
  </si>
  <si>
    <t>The API retrieves the services and their corresponding transaction limits for a business banking employee in DBX.</t>
  </si>
  <si>
    <t>The API retrieves the customer service contact information</t>
  </si>
  <si>
    <t>The API retrieves the contact details of a DBX user</t>
  </si>
  <si>
    <t>getCustomerTypes</t>
  </si>
  <si>
    <t>The API retrieves the list of customer types in DBX</t>
  </si>
  <si>
    <t>The API retrieves the list of frequently asked questions maintained in DBX</t>
  </si>
  <si>
    <t>The API retrieves the list of entitlements for a customer group</t>
  </si>
  <si>
    <t>The API retrieves the list of customer groups in DBX</t>
  </si>
  <si>
    <t>The API retrieves the details of the specified location</t>
  </si>
  <si>
    <t>The API retrieves the details of the specified location co-ordinates or radius</t>
  </si>
  <si>
    <t>getLocationSearch</t>
  </si>
  <si>
    <t>The API retrieves the details of the location searched by the user</t>
  </si>
  <si>
    <t>The API retrieves the list of attachments for the specified message</t>
  </si>
  <si>
    <t>The API retrieves the list of outage messages for all services</t>
  </si>
  <si>
    <t>The API retrieves the list of password policies</t>
  </si>
  <si>
    <t>The API retrieves the privacy policy maintained in DBX</t>
  </si>
  <si>
    <t>The API retrieves the list of products offered by the financial institution</t>
  </si>
  <si>
    <t>The API retrieves all the security questions of a given customer.</t>
  </si>
  <si>
    <t>getRegionDetails</t>
  </si>
  <si>
    <t>The API retrieves the details of the specified region</t>
  </si>
  <si>
    <t>The API retrieves the list of customer request categories</t>
  </si>
  <si>
    <t>The API retrieves the list of requests of a customer</t>
  </si>
  <si>
    <t>The API retrieves the list of security questions maintained in DBX</t>
  </si>
  <si>
    <t>The API retrieves the text of terms and conditions maintained in DBX</t>
  </si>
  <si>
    <t>The API retrieves the list of travel notifications of a given customer</t>
  </si>
  <si>
    <t>The API retrieves the status of a travel notification for a card</t>
  </si>
  <si>
    <t>The API retrieves the number of unread messages of a customer</t>
  </si>
  <si>
    <t>trackRegisterCustomerDevice</t>
  </si>
  <si>
    <t>The API registers a device for a customer</t>
  </si>
  <si>
    <t>The API updates the details of an alert</t>
  </si>
  <si>
    <t>The API updates the contact details of a customer</t>
  </si>
  <si>
    <t>The API updates the content of an outage message</t>
  </si>
  <si>
    <t>The API updates the details of a customer request</t>
  </si>
  <si>
    <t>The API updates the details of a travel notification</t>
  </si>
  <si>
    <t>The API verifies the answers of security questions provided by a customer</t>
  </si>
  <si>
    <t>Account Services</t>
  </si>
  <si>
    <t>createTransaction</t>
  </si>
  <si>
    <t>This API activates/deactivates the user.</t>
  </si>
  <si>
    <t>This API  resends the activation link.</t>
  </si>
  <si>
    <t>This API  gets the user details.</t>
  </si>
  <si>
    <t>This API  checks the username availability.</t>
  </si>
  <si>
    <t>This API checks OFAC and CIP for the SSN and DOB.</t>
  </si>
  <si>
    <t>This API  gets a list of groups for the organization.</t>
  </si>
  <si>
    <t>This API  gets a list of organization Accounts.</t>
  </si>
  <si>
    <t>This API  gets a list of transaction limit and daily limit for the organization.</t>
  </si>
  <si>
    <t>CreateOrganizationEmployee</t>
  </si>
  <si>
    <t>This API creates a new organization user.</t>
  </si>
  <si>
    <t>This API gets the organization details of the logged in user.</t>
  </si>
  <si>
    <t>This API gets the list of all users under the organization.</t>
  </si>
  <si>
    <t>getOrganizationName</t>
  </si>
  <si>
    <t>This API returns the organization Name of the logged in user.</t>
  </si>
  <si>
    <t>Business Users</t>
  </si>
  <si>
    <t>Wire Transfers</t>
  </si>
  <si>
    <t>The API retrieves all the notifications of the user. The API is used only in Online Banking (OLB).</t>
  </si>
  <si>
    <t>The API deletes the notification. The API is used only in Online Banking (OLB).</t>
  </si>
  <si>
    <t>The API gets the count of unread notifications. The API is used only in Online Banking (OLB).</t>
  </si>
  <si>
    <t>Category #</t>
  </si>
  <si>
    <t>BB User Management</t>
  </si>
  <si>
    <t>BB Account Management</t>
  </si>
  <si>
    <t>BB Money Management</t>
  </si>
  <si>
    <t>BB New Organization Onboarding</t>
  </si>
  <si>
    <t>RB User Management</t>
  </si>
  <si>
    <t>RB Account Management</t>
  </si>
  <si>
    <t>RB Money Management</t>
  </si>
  <si>
    <t>RB New User Onboarding</t>
  </si>
  <si>
    <t>RB Administration</t>
  </si>
  <si>
    <t>Secure Message</t>
  </si>
  <si>
    <t>Outage Message</t>
  </si>
  <si>
    <t>Backend Requirement for</t>
  </si>
  <si>
    <t>Core Banking</t>
  </si>
  <si>
    <t>Remote Deposit Capture System (RDC)</t>
  </si>
  <si>
    <t>Reporting &amp; Analytics</t>
  </si>
  <si>
    <t>Document Management Database</t>
  </si>
  <si>
    <t>Bill Pay System</t>
  </si>
  <si>
    <t>Card Control</t>
  </si>
  <si>
    <t>PFM / Data Enrichment</t>
  </si>
  <si>
    <t>Card Processor</t>
  </si>
  <si>
    <t>P2P / Real Time Payments System (RTP)</t>
  </si>
  <si>
    <t>Risk Profile System</t>
  </si>
  <si>
    <t>SMS Aggregator System</t>
  </si>
  <si>
    <t>Chatbot AI System</t>
  </si>
  <si>
    <t>ID Scan &amp; Verification</t>
  </si>
  <si>
    <t>Face Authentication</t>
  </si>
  <si>
    <t>Check Order</t>
  </si>
  <si>
    <t>eStatements</t>
  </si>
  <si>
    <t>Location Database System</t>
  </si>
  <si>
    <t>Mobile Capture SDK (Auto-Focus)</t>
  </si>
  <si>
    <t>Identity Management System</t>
  </si>
  <si>
    <t>Multi-Factor Authentication</t>
  </si>
  <si>
    <t>ACH Transfers</t>
  </si>
  <si>
    <t>Customer Relationship Manager</t>
  </si>
  <si>
    <t>Content Management System</t>
  </si>
  <si>
    <t>Real-Time Account Alert Engine</t>
  </si>
  <si>
    <t>Language Translation Mapping System</t>
  </si>
  <si>
    <t>In-App Mirroring System</t>
  </si>
  <si>
    <t>Check Images</t>
  </si>
  <si>
    <t>Groups</t>
  </si>
  <si>
    <t>Details</t>
  </si>
  <si>
    <t>BBEmployee</t>
  </si>
  <si>
    <t>RB Custom</t>
  </si>
  <si>
    <t>BB Custom</t>
  </si>
  <si>
    <t>C360 Custom</t>
  </si>
  <si>
    <t>C360 User Management</t>
  </si>
  <si>
    <t>C360 Account Management</t>
  </si>
  <si>
    <t>Documentation Link *</t>
  </si>
  <si>
    <t>NOTES</t>
  </si>
  <si>
    <t>DBX</t>
  </si>
  <si>
    <t>Standard</t>
  </si>
  <si>
    <t>The API deletes the PIN defined in case of PIN-based login. </t>
  </si>
  <si>
    <t>Retrieves the list of security questions before the user logs in.</t>
  </si>
  <si>
    <t>resetUserPassword</t>
  </si>
  <si>
    <t>The API resets the password of a user.</t>
  </si>
  <si>
    <t>verifyOTP</t>
  </si>
  <si>
    <t>Validates the security questions answered by a user.</t>
  </si>
  <si>
    <t>dbxUserLogin</t>
  </si>
  <si>
    <t>updateDbxUserStatus</t>
  </si>
  <si>
    <t>Toggles the status of a user between 'Active' and 'Suspended'</t>
  </si>
  <si>
    <t>getDbxUserStatus</t>
  </si>
  <si>
    <t>Retrieves the status of the user in DBX </t>
  </si>
  <si>
    <t>smsOTP</t>
  </si>
  <si>
    <t>getCustomerCommunication</t>
  </si>
  <si>
    <t>Retrieves the policies for user name in DBX</t>
  </si>
  <si>
    <t>Retrieves the policies for user name in DBXRetrieves the policies for maintaining a password in DBX</t>
  </si>
  <si>
    <t>getUserNameAndPasswordRulesAndPolicies</t>
  </si>
  <si>
    <t>getAPIPasswordLockoutSettings</t>
  </si>
  <si>
    <t>getPasswordLockoutSettings</t>
  </si>
  <si>
    <t>requestEnrollOTP</t>
  </si>
  <si>
    <t>The API initiates the MFA process or alernately fetches additional parameters required to initiate the MFA process. This service is invoked in pre-login flows like password reset and user enrollment. </t>
  </si>
  <si>
    <t>verifyOTPPreLogin</t>
  </si>
  <si>
    <t>The API validates and verifies the OTP passed in from the application for the given pre-login scenario like reset password or user enrollment</t>
  </si>
  <si>
    <t>requestLoginMFAOTP</t>
  </si>
  <si>
    <t>verifyLoginMFAOTP</t>
  </si>
  <si>
    <t>verifyLoginMFASecurityQuestions</t>
  </si>
  <si>
    <t>The API validates and verifies the user's answers to the specified security questions for the given Login scenario.</t>
  </si>
  <si>
    <t>Notifications</t>
  </si>
  <si>
    <t>The API updates the notifications as Read only. The API is used only in Online Banking (OLB).</t>
  </si>
  <si>
    <t>Profile</t>
  </si>
  <si>
    <t>The API enables the P2P functionality for the user.</t>
  </si>
  <si>
    <t>NA</t>
  </si>
  <si>
    <t>getNewBrowserCheck</t>
  </si>
  <si>
    <t>Verifies if the current user access is through a new browser.</t>
  </si>
  <si>
    <t>N/A </t>
  </si>
  <si>
    <t>getUserStatus</t>
  </si>
  <si>
    <t>Retrieves the Enrollment and Lock status of a user.</t>
  </si>
  <si>
    <t>lockUnlockUser</t>
  </si>
  <si>
    <t>registerP2P</t>
  </si>
  <si>
    <t>registerP2PStatus</t>
  </si>
  <si>
    <t>updateDbxUser</t>
  </si>
  <si>
    <t>lockUnlockCustomer</t>
  </si>
  <si>
    <t>updateDbxCustomer</t>
  </si>
  <si>
    <t>Gets the list of transactions based on the account type.</t>
  </si>
  <si>
    <t>getExternalTransactions</t>
  </si>
  <si>
    <t>This API retrieves the list of all external transactions for a given account.</t>
  </si>
  <si>
    <t>Retrieves the list of most frequently used external bank accounts for a given user.</t>
  </si>
  <si>
    <t>getPendingDepositTransactions</t>
  </si>
  <si>
    <t>The API gets a list of pending deposit transactions.</t>
  </si>
  <si>
    <t>getPostedDepostTransactions</t>
  </si>
  <si>
    <t>The API gets a list of posted deposit transactions.</t>
  </si>
  <si>
    <t>getTransactionsDownloaded</t>
  </si>
  <si>
    <t>Retrieves the list of transactions and their details formatted in an Excel or CSV file</t>
  </si>
  <si>
    <t>updateAccountPhone</t>
  </si>
  <si>
    <t>Updates the phone numbers of the specified accounts.</t>
  </si>
  <si>
    <t>Updates the account preference for the specified account.</t>
  </si>
  <si>
    <t>https://konyone.sharepoint.com/sites/pwa/UECU/Shared%20Documents/API%20Docs/Doxim%20ECM%20WebAPI%20and%20DSSO%20SDK%20v1_1.pdf</t>
  </si>
  <si>
    <t>http://docsdirect.kony.com/apps/integration/AdminConsoleServicesDocs/#/Account_Requests_CreateTravelNotification</t>
  </si>
  <si>
    <t>https://docs.kony.com/apps/integration/AdminConsoleServicesDocs/#/Account_Requests_DeleteTravelNotification</t>
  </si>
  <si>
    <t>C360/DBX</t>
  </si>
  <si>
    <t>https://docs.kony.com/apps/integration/AdminConsoleServicesDocs/#/Account_Requests_GetTravelNotification</t>
  </si>
  <si>
    <t>https://docs.kony.com/apps/integration/AdminConsoleServicesDocs/#/Account_Requests_GetTravelNotificationStatus</t>
  </si>
  <si>
    <t>https://docs.kony.com/apps/integration/AdminConsoleServicesDocs/#/Account_Requests_UpdateTravelNotification</t>
  </si>
  <si>
    <t>Payments and Withdrawals</t>
  </si>
  <si>
    <t>getBillsForBiller</t>
  </si>
  <si>
    <t>Retrieves the list of bills due for a user for a specific biller.</t>
  </si>
  <si>
    <t>deleteTransactionsForLockedCard</t>
  </si>
  <si>
    <t>Card Managment</t>
  </si>
  <si>
    <t>Check Management</t>
  </si>
  <si>
    <t>N/A SSO Link to Harlandclarke</t>
  </si>
  <si>
    <t>Transfer and P2P</t>
  </si>
  <si>
    <t>checkP2PEligibilityForUser</t>
  </si>
  <si>
    <t>Checks if the user is eligible for Person to Person payment functionality.</t>
  </si>
  <si>
    <t>The API gets all the posted transfers and P2P transactions of the user in mobile banking.</t>
  </si>
  <si>
    <t>Transfer to External Account</t>
  </si>
  <si>
    <t>The API registers a new external recipient or beneficiary (domestic ONLY and international - would require WireTransfer) for transfers.</t>
  </si>
  <si>
    <t>Onboarding</t>
  </si>
  <si>
    <t>createOlbUser</t>
  </si>
  <si>
    <t>Creates a new user for the online banking channel.</t>
  </si>
  <si>
    <t>Customer Service</t>
  </si>
  <si>
    <t>DBX/sql database</t>
  </si>
  <si>
    <t>USPSaddressValidation</t>
  </si>
  <si>
    <t>Retrieves the details of a particular location using USPS APIs.</t>
  </si>
  <si>
    <t>SQL Database</t>
  </si>
  <si>
    <t>Creates a new message.</t>
  </si>
  <si>
    <t>Deletes an existing message.</t>
  </si>
  <si>
    <t>Gets a list of various message categories used while creating a new message.</t>
  </si>
  <si>
    <t>getMessageCount</t>
  </si>
  <si>
    <t>Gets the number of messages for a user.</t>
  </si>
  <si>
    <t>Gets all the messages - inbox, sent folder, drafts, and others.</t>
  </si>
  <si>
    <t>Gets a list of various message subcategories used while creating a new message.</t>
  </si>
  <si>
    <t>Updates an existing message, mainly used for editing a draft message</t>
  </si>
  <si>
    <t xml:space="preserve">sendDbxResetPasswordEmail </t>
  </si>
  <si>
    <t xml:space="preserve">Retrieves the communication details for the specified user </t>
  </si>
  <si>
    <t xml:space="preserve">
Retrieves the policies for maintaining a username and password in DBX </t>
  </si>
  <si>
    <t xml:space="preserve">Retrieves the password lockout settings maintained in the DBX identity management system </t>
  </si>
  <si>
    <t xml:space="preserve">updateDbxUserPassword </t>
  </si>
  <si>
    <t xml:space="preserve">Updates the password of a user The password provided needs to satisfy the password policies configured in the Customer360 application.  </t>
  </si>
  <si>
    <t xml:space="preserve">The API initiates the MFA OTP process for the Login flow. </t>
  </si>
  <si>
    <t xml:space="preserve">The API initiates the MFA OTP process for the Login flow. The API validates and verifies the OTP passed in from the application for the given Login scenario.  </t>
  </si>
  <si>
    <t xml:space="preserve">Issues a lock or unlock request for the user depending on the current lock state. </t>
  </si>
  <si>
    <t xml:space="preserve">Register a user for P2P functionality for specific third party vendors. </t>
  </si>
  <si>
    <t xml:space="preserve">Retrieves the P2P registration status for a user. </t>
  </si>
  <si>
    <t xml:space="preserve">Updates personal information such as user name, date of birth and other PII fields. </t>
  </si>
  <si>
    <t>The API retrieves the list of transactions, as well as details of each transaction. The API is consumed only in Online Banking (OLB). The API is used for the following: - Accounts: Recent transactions, search transactions. - Transfers &amp; Payments: Recent and scheduled transfers and payments.</t>
  </si>
  <si>
    <t>createDBXCustomer</t>
  </si>
  <si>
    <t>https://konydocs.atlassian.net/wiki/spaces/ARBD424/pages/1031440205/createDbxCustomer+Java+Integration+Service</t>
  </si>
  <si>
    <t>https://konydocs.atlassian.net/wiki/spaces/ARBD424/pages/1031439228/createUserSecurityQuestions+Java+Integration+Service</t>
  </si>
  <si>
    <t>Sets up security questions for the users while enrolling to mobile/online banking.</t>
  </si>
  <si>
    <t>https://konydocs.atlassian.net/wiki/spaces/ARBD424/pages/1031439317/deletePin+Java+Integration+Service</t>
  </si>
  <si>
    <t>https://konydocs.atlassian.net/wiki/spaces/ARBD424/pages/1031440182/getSecurityQuestions+Java+Integration+Service</t>
  </si>
  <si>
    <t>https://konydocs.atlassian.net/wiki/spaces/ARBD424/pages/1031438375/verifyPin+Java+Integration+Service</t>
  </si>
  <si>
    <t>Sends an email with a link to reset the password</t>
  </si>
  <si>
    <t>Add-on</t>
  </si>
  <si>
    <t>The API retrieves the default application parameters, such as currency code, banner URL and more.(System Config params C360)</t>
  </si>
  <si>
    <t>standard</t>
  </si>
  <si>
    <t>https://konydocs.atlassian.net/wiki/spaces/ARBD424/pages/1031439402/getLocationDetails+Java+Integration+Service</t>
  </si>
  <si>
    <t>https://konydocs.atlassian.net/wiki/spaces/ARBD424/pages/1031439978/getLocationRange+Java+Integration+Service</t>
  </si>
  <si>
    <t>https://konydocs.atlassian.net/wiki/spaces/ARBD424/pages/1031439381/getLocations+Java+Integration+Service</t>
  </si>
  <si>
    <t>https://konydocs.atlassian.net/wiki/spaces/ARBD424/pages/1031439382/getLocationsQuery+Java+Integration+Service</t>
  </si>
  <si>
    <t>The API verifies the OTP used during enrollment(with SSN, DOB, LastName and OTP)</t>
  </si>
  <si>
    <t>The API verifies the OTP used during login and Security checks inside the app</t>
  </si>
  <si>
    <t>Generates an OTP and sends an SMS to the provided phone number. An optional e-Mail can also be provided if the user wants to receive the OTP through this channel. </t>
  </si>
  <si>
    <t>https://konydocs.atlassian.net/wiki/spaces/ARBD424/pages/1031438881/updateUserSecurityQuestions+Java+Integration+Service</t>
  </si>
  <si>
    <t>Cardless ATM withdrawals</t>
  </si>
  <si>
    <t>USPS</t>
  </si>
  <si>
    <t>Google</t>
  </si>
  <si>
    <t>https://konydocs.atlassian.net/wiki/spaces/ARBD425/pages/1080820602/checkUserEnrolled+Java+Integration+Service</t>
  </si>
  <si>
    <t>https://konydocs.atlassian.net/wiki/spaces/ARBD425/pages/1080820137/deRegisterDevice+Java+Integration+Service</t>
  </si>
  <si>
    <t>https://konydocs.atlassian.net/wiki/spaces/ARBD425/pages/1080820190/deviceRegistrationStatus+Java+Integration+Service</t>
  </si>
  <si>
    <t>https://konydocs.atlassian.net/wiki/spaces/ARBD425/pages/1080821454/fetchUserName+Java+Integration+Service</t>
  </si>
  <si>
    <t>https://konydocs.atlassian.net/wiki/spaces/ARBD425/pages/1080821095/getApplicationProp+Java+Integration+Service</t>
  </si>
  <si>
    <t>https://konydocs.atlassian.net/wiki/spaces/ARBD425/pages/1080820546/getCustomerContact+Java+Integration+Service</t>
  </si>
  <si>
    <t>https://konydocs.atlassian.net/wiki/spaces/ARBD425/pages/1080820544/getPasswordPolicies+Java+Integration+Service</t>
  </si>
  <si>
    <t>https://konydocs.atlassian.net/wiki/spaces/ARBD425/pages/1080821089/getUserSecurityQuestions+Java+Integration+Service</t>
  </si>
  <si>
    <t>https://konydocs.atlassian.net/wiki/spaces/ARBD425/pages/1080821536/logout+Java+Integration+Service</t>
  </si>
  <si>
    <t>https://konydocs.atlassian.net/wiki/spaces/ARBD425/pages/1080820130/registerDevice+Java+Integration+Service</t>
  </si>
  <si>
    <t>https://konydocs.atlassian.net/wiki/spaces/ARBD425/pages/1080820596/resetUserPassword+Java+Integration+Service</t>
  </si>
  <si>
    <t>https://konydocs.atlassian.net/wiki/spaces/ARBD425/pages/1080820843/verifyCVV+Java+Integration+Service</t>
  </si>
  <si>
    <t>https://konydocs.atlassian.net/wiki/spaces/ARBD425/pages/1080821093/verifyUserSecurityQuestions+Java+Integration+Service</t>
  </si>
  <si>
    <t>https://konydocs.atlassian.net/wiki/spaces/ARBD425/pages/1080821850/dbxUserLogin+Orchestration+Service</t>
  </si>
  <si>
    <t>https://konydocs.atlassian.net/wiki/spaces/ARBD425/pages/1080821951/dbxVerifyOTP+Java+Integration+Service</t>
  </si>
  <si>
    <t>https://konydocs.atlassian.net/wiki/spaces/ARBD425/pages/1080820562/updateDbxUserStatus+Java+Integration+Service</t>
  </si>
  <si>
    <t>https://konydocs.atlassian.net/wiki/spaces/ARBD425/pages/1080821932/getDbxUserStatus+Java+Integration+Service</t>
  </si>
  <si>
    <t>https://konydocs.atlassian.net/wiki/spaces/ARBD425/pages/1080821953/smsOTP+Java+Integration+Service</t>
  </si>
  <si>
    <t>https://konydocs.atlassian.net/wiki/spaces/ARBD425/pages/1080820835/dbxRequestOTP+Java+Integration+Service</t>
  </si>
  <si>
    <t>https://konydocs.atlassian.net/wiki/spaces/ARBD425/pages/1080821006/getCustomerCommunication+Java+Integration+Service</t>
  </si>
  <si>
    <t>https://konydocs.atlassian.net/wiki/spaces/ARBD425/pages/1080820305/getPasswordRulesAndPolicy+Java+Integration+Service</t>
  </si>
  <si>
    <t>https://konydocs.atlassian.net/wiki/spaces/ARBD425/pages/1080821036/getUserNameRulesAndPolicy+Java+Integration+Service</t>
  </si>
  <si>
    <t>getUserNameRulesAndPolicy</t>
  </si>
  <si>
    <t>getPasswordRulesAndPolicy</t>
  </si>
  <si>
    <t>https://konydocs.atlassian.net/wiki/spaces/ARBD425/pages/1080821007/getUserNameAndPasswordRulesAndPolicies+Java+Integration+Service</t>
  </si>
  <si>
    <t>https://konydocs.atlassian.net/wiki/spaces/ARBD425/pages/1080821009/getAPIPasswordLockoutSettings+Java+Integration+Service</t>
  </si>
  <si>
    <t>https://konydocs.atlassian.net/wiki/spaces/ARBD425/pages/1080821015/getPasswordLockoutSettings+Java+Integration+Service</t>
  </si>
  <si>
    <t>https://konydocs.atlassian.net/wiki/spaces/ARBD425/pages/1080820207/updateDbxUserPassword+Java+Integration+Service</t>
  </si>
  <si>
    <t>https://konydocs.atlassian.net/wiki/spaces/ARBD425/pages/1080821713/requestEnrollOTP+Java+Integration+Service</t>
  </si>
  <si>
    <t>https://konydocs.atlassian.net/wiki/spaces/ARBD425/pages/1080820317/verifyOTPPreLogin+Java+Integration+Service</t>
  </si>
  <si>
    <t>https://konydocs.atlassian.net/wiki/spaces/ARBD425/pages/1080821722/requestLoginMFAOTP+Java+Integration+Service</t>
  </si>
  <si>
    <t>https://konydocs.atlassian.net/wiki/spaces/ARBD425/pages/1080821725/verifyLoginMFAOTP+Java+Integration+Service</t>
  </si>
  <si>
    <t>https://konydocs.atlassian.net/wiki/spaces/ARBD425/pages/1080820386/verifyLoginMFASecurityQuestions+Java+Integration+Service</t>
  </si>
  <si>
    <t>https://konydocs.atlassian.net/wiki/spaces/ARBD425/pages/1080821519/deleteNotification+Java+Integration+Service</t>
  </si>
  <si>
    <t>https://konydocs.atlassian.net/wiki/spaces/ARBD425/pages/1080821544/getNotifications+Java+Integration+Service</t>
  </si>
  <si>
    <t>https://konydocs.atlassian.net/wiki/spaces/ARBD425/pages/1080820331/getUnreadNotifications+Java+Integration+Service</t>
  </si>
  <si>
    <t>https://konydocs.atlassian.net/wiki/spaces/ARBD425/pages/1080820022/getUserAccountAlerts+Java+Integration+Service</t>
  </si>
  <si>
    <t>https://konydocs.atlassian.net/wiki/spaces/ARBD425/pages/1080820046/getUserAlerts+Java+Integration+Service</t>
  </si>
  <si>
    <t>https://konydocs.atlassian.net/wiki/spaces/ARBD425/pages/1080821484/updateReadCount+Java+Integration+Service</t>
  </si>
  <si>
    <t>https://konydocs.atlassian.net/wiki/spaces/ARBD40/pages/739770769/updateUserAccountAlert</t>
  </si>
  <si>
    <t>https://konydocs.atlassian.net/wiki/spaces/ARBD425/pages/1080819958/updateUserAlert+Java+Integration+Service</t>
  </si>
  <si>
    <t>https://konydocs.atlassian.net/wiki/spaces/ARBD425/pages/1080820629/activateBillPaymentForUser+Java+Integration+Service</t>
  </si>
  <si>
    <t>https://konydocs.atlassian.net/wiki/spaces/ARBD425/pages/1080821594/activateP2PForUser+Java+Integration+Service</t>
  </si>
  <si>
    <t>https://konydocs.atlassian.net/wiki/spaces/ARBD425/pages/1080821476/checkSecureAccessCode+Java+Integration+Service</t>
  </si>
  <si>
    <t>https://konydocs.atlassian.net/wiki/spaces/ARBD425/pages/1080821431/checkSecurityQuestionStatus+Java+Integration+Service</t>
  </si>
  <si>
    <t>https://konydocs.atlassian.net/wiki/spaces/ARBD425/pages/1080821530/createAddress+Java+Integration+Service</t>
  </si>
  <si>
    <t>https://konydocs.atlassian.net/wiki/spaces/ARBD425/pages/1080820877/createPhone+Java+Integration+Service</t>
  </si>
  <si>
    <t>https://konydocs.atlassian.net/wiki/spaces/ARBD425/pages/1080821526/createUserFeedback+Java+Integration+Service</t>
  </si>
  <si>
    <t>https://konydocs.atlassian.net/wiki/spaces/ARBD425/pages/1080820552/deleteAddress+Java+Integration+Service</t>
  </si>
  <si>
    <t>https://konydocs.atlassian.net/wiki/spaces/ARBD425/pages/1080821426/deletePhone+Java+Integration+Service</t>
  </si>
  <si>
    <t>https://konydocs.atlassian.net/wiki/spaces/ARBD425/pages/1080821621/getAllAddress+Java+Integration+Service</t>
  </si>
  <si>
    <t>https://konydocs.atlassian.net/wiki/spaces/ARBD425/pages/1080821619/getAllPhones+Java+Integration+Service</t>
  </si>
  <si>
    <t>https://konydocs.atlassian.net/wiki/spaces/ARBD425/pages/1080821606/getNewBrowserCheck+Java+Integration+Service</t>
  </si>
  <si>
    <t>https://konydocs.atlassian.net/wiki/spaces/ARBD425/pages/1080819969/getUserDetails+Java+Integration+Service</t>
  </si>
  <si>
    <t>https://konydocs.atlassian.net/wiki/spaces/ARBD425/pages/1080820598/getUserStatus+Java+Integration+Service</t>
  </si>
  <si>
    <t>https://konydocs.atlassian.net/wiki/spaces/ARBD425/pages/1080820528/lockUnlockUser+Java+Integration+Service</t>
  </si>
  <si>
    <t>https://konydocs.atlassian.net/wiki/spaces/ARBD425/pages/1080821451/registerP2P+Java+Integration+Service</t>
  </si>
  <si>
    <t>https://konydocs.atlassian.net/wiki/spaces/ARBD425/pages/1080820594/registerP2PStatus+Java+Integration+Service</t>
  </si>
  <si>
    <t>https://konydocs.atlassian.net/wiki/spaces/ARBD425/pages/1080820881/updateAddress+Java+Integration+Service</t>
  </si>
  <si>
    <t>https://konydocs.atlassian.net/wiki/spaces/ARBD425/pages/1080820865/updatePhone+Java+Integration+Service</t>
  </si>
  <si>
    <t>https://konydocs.atlassian.net/wiki/spaces/ARBD425/pages/1080821483/updateSecureAccessCode+Java+Integration+Service</t>
  </si>
  <si>
    <t>https://konydocs.atlassian.net/wiki/spaces/ARBD424/pages/1031438732/updateUserAccountSettings+Java+Integration+Service</t>
  </si>
  <si>
    <t>https://konydocs.atlassian.net/wiki/spaces/ARBD425/pages/1080820003/updateUserDetails+Java+Integration+Service</t>
  </si>
  <si>
    <t>https://konydocs.atlassian.net/wiki/spaces/ARBD425/pages/1080820847/verifyExistingPassword+Java+Integration+Service</t>
  </si>
  <si>
    <t>https://konydocs.atlassian.net/wiki/spaces/ARBD425/pages/1080821934/updateDbxUser+Java+Integration+Service</t>
  </si>
  <si>
    <t>https://konydocs.atlassian.net/wiki/spaces/ARBD425/pages/1080820271/lockUnlockCustomer+Java+Integration+Service</t>
  </si>
  <si>
    <t>https://konydocs.atlassian.net/wiki/spaces/ARBD425/pages/1080820119/updateDbxCustomer+Java+Integration+Service</t>
  </si>
  <si>
    <t>https://konydocs.atlassian.net/wiki/spaces/ARBD425/pages/1080820518/getAccountPendingTransactions+Java+Integration+Service</t>
  </si>
  <si>
    <t>https://konydocs.atlassian.net/wiki/spaces/ARBD425/pages/1080820803/getAccountPostedTransactions+Java+Integration+Service</t>
  </si>
  <si>
    <t>https://konydocs.atlassian.net/wiki/spaces/ARBD425/pages/1080819735/getAccounts+Java+Integration+Service</t>
  </si>
  <si>
    <t>https://konydocs.atlassian.net/wiki/spaces/ARBD425/pages/1080820887/getAccountsPostLogin+Java+Integration+Service</t>
  </si>
  <si>
    <t>https://konydocs.atlassian.net/wiki/spaces/ARBD425/pages/1080820645/getAccountTransactionsByType+Java+Integration+Service</t>
  </si>
  <si>
    <t>https://konydocs.atlassian.net/wiki/spaces/ARBD425/pages/1080819907/getAccountType+Java+Integration+Service</t>
  </si>
  <si>
    <t>https://konydocs.atlassian.net/wiki/spaces/ARBD425/pages/1080821612/getExternalTransactions+Java+Integration+Service</t>
  </si>
  <si>
    <t>https://konydocs.atlassian.net/wiki/spaces/ARBD425/pages/1080820576/getFrequentOtherBankAccounts+Java+Integration+Service</t>
  </si>
  <si>
    <t>https://konydocs.atlassian.net/wiki/spaces/ARBD425/pages/1080821545/getPendingDepositTransactions+Java+Integration+Service</t>
  </si>
  <si>
    <t>https://konydocs.atlassian.net/wiki/spaces/ARBD425/pages/1080821610/getPostedDepositTransactions+Java+Integration+Service</t>
  </si>
  <si>
    <t>https://konydocs.atlassian.net/wiki/spaces/ARBD425/pages/1080820617/getRecentAccounts+Java+Integration+Service</t>
  </si>
  <si>
    <t>https://konydocs.atlassian.net/wiki/spaces/ARBD425/pages/1080819979/getTransactions+Java+Integration+Service</t>
  </si>
  <si>
    <t>https://konydocs.atlassian.net/wiki/spaces/ARBD425/pages/1080820566/getTransactionsDownloaded+Java+Integration+Service</t>
  </si>
  <si>
    <t>https://konydocs.atlassian.net/wiki/spaces/ARBD425/pages/1080819972/updateAccountName+Java+Integration+Service</t>
  </si>
  <si>
    <t>https://konydocs.atlassian.net/wiki/spaces/ARBD425/pages/1080820548/updateAccountPhone+Java+Integration+Service</t>
  </si>
  <si>
    <t>https://konydocs.atlassian.net/wiki/spaces/ARBD425/pages/1080821566/updateAccountPreference+Java+Integration+Service</t>
  </si>
  <si>
    <t>https://konydocs.atlassian.net/wiki/spaces/ARBD425/pages/1080820661/updateFavouriteStatus+Java+Integration+Service</t>
  </si>
  <si>
    <t>https://konydocs.atlassian.net/wiki/spaces/ARBD425/pages/1080821473/cancelScheduledTransactionOccurrence+Java+Integration+Service</t>
  </si>
  <si>
    <t>https://konydocs.atlassian.net/wiki/spaces/ARBD425/pages/1080821992/createTransaction</t>
  </si>
  <si>
    <t>https://konydocs.atlassian.net/wiki/spaces/ARBD425/pages/1080819725/deleteTransaction+Java+Integration+Service</t>
  </si>
  <si>
    <t>https://konydocs.atlassian.net/wiki/spaces/ARBD425/pages/1080821736/getTimePeriod+Java+Integration+Service</t>
  </si>
  <si>
    <t>https://konydocs.atlassian.net/wiki/spaces/ARBD425/pages/1080821100/updateTransaction+Java+Integration+Service</t>
  </si>
  <si>
    <t>https://konydocs.atlassian.net/wiki/spaces/ARBD425/pages/1080821588/checkBillPayEligibilityForUser+Java+Integration+Service</t>
  </si>
  <si>
    <t>https://konydocs.atlassian.net/wiki/spaces/ARBD425/pages/1080821523/createBulkBillPay+Java+Integration+Service</t>
  </si>
  <si>
    <t>https://konydocs.atlassian.net/wiki/spaces/ARBD425/pages/1080820004/createPayee+Java+Integration+Service</t>
  </si>
  <si>
    <t>https://konydocs.atlassian.net/wiki/spaces/ARBD425/pages/1080821046/createTransfer+Java+Integration+Service</t>
  </si>
  <si>
    <t>https://konydocs.atlassian.net/wiki/spaces/ARBD425/pages/1080821738/deletePayee+Java+Integration+Service</t>
  </si>
  <si>
    <t>https://konydocs.atlassian.net/wiki/spaces/ARBD425/pages/1080820055/editPayee+Java+Integration+Service</t>
  </si>
  <si>
    <t>https://konydocs.atlassian.net/wiki/spaces/ARBD425/pages/1080820610/getBillerCategories+Java+Integration+Service</t>
  </si>
  <si>
    <t>https://konydocs.atlassian.net/wiki/spaces/ARBD425/pages/1080820202/getBillerCompany+Java+Integration+Service</t>
  </si>
  <si>
    <t>https://konydocs.atlassian.net/wiki/spaces/ARBD425/pages/1080821615/getBillerMasters+Java+Integration+Service</t>
  </si>
  <si>
    <t>https://konydocs.atlassian.net/wiki/spaces/ARBD425/pages/1080820643/getBillsDueForUser+Java+Integration+Service</t>
  </si>
  <si>
    <t>https://konydocs.atlassian.net/wiki/spaces/ARBD425/pages/1080820640/getBillsForBiller+Java+Integration+Service</t>
  </si>
  <si>
    <t>https://konydocs.atlassian.net/wiki/spaces/ARBD422/pages/1015742609/getPayeeBills+Java+Integration+Service</t>
  </si>
  <si>
    <t>https://konydocs.atlassian.net/wiki/spaces/ARBD425/pages/1080821730/getPayeeList+Java+Integration+Service</t>
  </si>
  <si>
    <t>https://konydocs.atlassian.net/wiki/spaces/ARBD425/pages/1080821375/getRecentPayee+Java+Integration+Service</t>
  </si>
  <si>
    <t>https://konydocs.atlassian.net/wiki/spaces/ARBD425/pages/1080821550/getUserCompletedBillHistory+Java+Integration+Service</t>
  </si>
  <si>
    <t>https://konydocs.atlassian.net/wiki/spaces/ARBD425/pages/1080821537/getUsersScheduledBills+Java+Integration+Service</t>
  </si>
  <si>
    <t>https://konydocs.atlassian.net/wiki/spaces/ARBD425/pages/1080820655/searchBillerByName+Java+Integration+Service</t>
  </si>
  <si>
    <t>https://konydocs.atlassian.net/wiki/spaces/ARBD425/pages/1080820861/updatePreferredBillPayAccount+Java+Integration+Service</t>
  </si>
  <si>
    <t>https://konydocs.atlassian.net/wiki/spaces/ARBD425/pages/1080820875/deleteTransactionsForLockedCard+Java+Integration+Service</t>
  </si>
  <si>
    <t>https://konydocs.atlassian.net/wiki/spaces/ARBD425/pages/1080820606/getActiveCards+Java+Integration+Service</t>
  </si>
  <si>
    <t>https://konydocs.atlassian.net/wiki/spaces/ARBD425/pages/1080820211/getCardDetails+Java+Integration+Service</t>
  </si>
  <si>
    <t>https://konydocs.atlassian.net/wiki/spaces/ARBD425/pages/1080820649/getCardListForEnrolment+Java+Integration+Service</t>
  </si>
  <si>
    <t>https://konydocs.atlassian.net/wiki/spaces/ARBD425/pages/1080821628/getCardsByUsername+Java+Integration+Service</t>
  </si>
  <si>
    <t>https://konydocs.atlassian.net/wiki/spaces/ARBD425/pages/1080820103/updateCard+Java+Integration+Service</t>
  </si>
  <si>
    <t>https://konydocs.atlassian.net/wiki/spaces/ARBD425/pages/1080820069/createCheckOrder+Java+Integration+Service</t>
  </si>
  <si>
    <t>https://konydocs.atlassian.net/wiki/spaces/ARBD425/pages/1080820048/getCheckOrders+Java+Integration+Service</t>
  </si>
  <si>
    <t>https://konydocs.atlassian.net/wiki/spaces/ARBD425/pages/1080821116/Remote+Deposit+Capture+RDC</t>
  </si>
  <si>
    <t>https://konydocs.atlassian.net/wiki/spaces/ARBD425/pages/1080820608/getDisputedTransactions+Java+Integration+Service</t>
  </si>
  <si>
    <t>https://konydocs.atlassian.net/wiki/spaces/ARBD425/pages/1080820839/getStopCheckPaymentRequestTransactions+Java+Integration+Service</t>
  </si>
  <si>
    <t>https://konydocs.atlassian.net/wiki/spaces/ARBD425/pages/1080820530/checkP2PEligibilityForUser+Java+Integration+Service</t>
  </si>
  <si>
    <t>https://konydocs.atlassian.net/wiki/spaces/ARBD425/pages/1080820056/createPayPerson+Java+Integration+Service</t>
  </si>
  <si>
    <t>https://konydocs.atlassian.net/wiki/spaces/ARBD425/pages/1080820520/deactivateP2P+Java+Integration+Service</t>
  </si>
  <si>
    <t>https://konydocs.atlassian.net/wiki/spaces/ARBD425/pages/1080821453/deletePayPerson+Java+Integration+Service</t>
  </si>
  <si>
    <t>https://konydocs.atlassian.net/wiki/spaces/ARBD425/pages/1080821425/editPayPerson+Java+Integration+Service</t>
  </si>
  <si>
    <t>https://konydocs.atlassian.net/wiki/spaces/ARBD425/pages/1080821539/getPayPersonHistory+Java+Integration+Service</t>
  </si>
  <si>
    <t>https://konydocs.atlassian.net/wiki/spaces/ARBD425/pages/1080819998/getPayPersonList+Java+Integration+Service</t>
  </si>
  <si>
    <t>https://konydocs.atlassian.net/wiki/spaces/ARBD425/pages/1080821532/getPostedTransferAndP2PTransactions+Java+Integration+Service</t>
  </si>
  <si>
    <t>https://konydocs.atlassian.net/wiki/spaces/ARBD425/pages/1080820651/getRecentPayPerson+Java+Integration+Service</t>
  </si>
  <si>
    <t>https://konydocs.atlassian.net/wiki/spaces/ARBD425/pages/1080821490/getScheduledTransferAndP2PTransactions+Java+Integration+Service</t>
  </si>
  <si>
    <t>https://konydocs.atlassian.net/wiki/spaces/ARBD425/pages/1080820853/getSentP2PTransactions+Java+Integration+Service</t>
  </si>
  <si>
    <t>https://konydocs.atlassian.net/wiki/spaces/ARBD425/pages/1080820855/updatePreferredP2PAccounts+Java+Integration+Service</t>
  </si>
  <si>
    <t>https://konydocs.atlassian.net/wiki/spaces/ARBD425/pages/1080821923/createExternalAccount+Java+Integration+Service</t>
  </si>
  <si>
    <t>https://konydocs.atlassian.net/wiki/spaces/ARBD425/pages/1080820550/deleteExternalAccount+Java+Integration+Service</t>
  </si>
  <si>
    <t>https://konydocs.atlassian.net/wiki/spaces/ARBD425/pages/1080820526/editExternalAccount+Java+Integration+Service</t>
  </si>
  <si>
    <t>https://konydocs.atlassian.net/wiki/spaces/ARBD425/pages/1080821617/getAllExternalAccountsWithPagination+Java+Integration+Service</t>
  </si>
  <si>
    <t>https://konydocs.atlassian.net/wiki/spaces/ARBD425/pages/1080821774/getCountryList+Java+Integration+Service</t>
  </si>
  <si>
    <t>https://konydocs.atlassian.net/wiki/spaces/ARBD425/pages/1080821802/getExternalAccounts+Java+Integration+Service</t>
  </si>
  <si>
    <t>https://konydocs.atlassian.net/wiki/spaces/ARBD425/pages/1080820653/getOtherBankAccount+Java+Integration+Service</t>
  </si>
  <si>
    <t>https://konydocs.atlassian.net/wiki/spaces/ARBD425/pages/1080821649/getToExternalAccountTransactions+Java+Integration+Service</t>
  </si>
  <si>
    <t>https://konydocs.atlassian.net/wiki/spaces/ARBD425/pages/1080820871/getUserScheduledTransactions+Java+Integration+Service</t>
  </si>
  <si>
    <t>hhttps://konydocs.atlassian.net/wiki/spaces/ARBD425/pages/1080821547/getUserTransaction+Java+Integration+Service</t>
  </si>
  <si>
    <t>https://konydocs.atlassian.net/wiki/spaces/ARBD425/pages/1080821447/makeTrialDeposit+Java+Integration+Service</t>
  </si>
  <si>
    <t>https://konydocs.atlassian.net/wiki/spaces/ARBD425/pages/1080820665/verifyExternalBankAccount+Java+Integration+Service</t>
  </si>
  <si>
    <t>https://konydocs.atlassian.net/wiki/spaces/ARBD425/pages/1080820849/verifyTrialDeposit+Java+Integration+Service</t>
  </si>
  <si>
    <t>https://konydocs.atlassian.net/wiki/spaces/ARBD425/pages/1080821488/getSameBankAccount+Java+Integration+Service</t>
  </si>
  <si>
    <t>https://konydocs.atlassian.net/wiki/spaces/ARBD425/pages/1080820883/createOlbUser+Java+Integration+Service</t>
  </si>
  <si>
    <t>https://konydocs.atlassian.net/wiki/spaces/ARBD425/pages/1080821664/createUserPersonalInfo+Java+Integration+Service</t>
  </si>
  <si>
    <t>https://konydocs.atlassian.net/wiki/spaces/ARBD425/pages/1080821410/createUserProducts+Java+Integration+Service</t>
  </si>
  <si>
    <t>https://konydocs.atlassian.net/wiki/spaces/ARBD425/pages/1080821341/deleteNewUserPersonalInfo+Java+Integration+Service</t>
  </si>
  <si>
    <t>https://konydocs.atlassian.net/wiki/spaces/ARBD425/pages/1080819994/enrollUser+Java+Integration+Service</t>
  </si>
  <si>
    <t>https://konydocs.atlassian.net/wiki/spaces/ARBD425/pages/1080821499/getAddressSuggestions+Google+APIs</t>
  </si>
  <si>
    <t>https://konydocs.atlassian.net/wiki/spaces/ARBD425/pages/1080821445/getAllProducts+Java+Integration+Service</t>
  </si>
  <si>
    <t>https://konydocs.atlassian.net/wiki/spaces/ARBD425/pages/1080819723/getLocationAddress+Google+APIs</t>
  </si>
  <si>
    <t>https://konydocs.atlassian.net/wiki/spaces/ARBD425/pages/1080819950/getNewUserSecurityQuestions+Java+Integration+Service</t>
  </si>
  <si>
    <t>https://konydocs.atlassian.net/wiki/spaces/ARBD425/pages/1080819720/getProfile+Java+Integration+Service</t>
  </si>
  <si>
    <t>https://konydocs.atlassian.net/wiki/spaces/ARBD425/pages/1080819977/getUserPersonalInfo+Java+Integration+Service</t>
  </si>
  <si>
    <t>https://konydocs.atlassian.net/wiki/spaces/ARBD425/pages/1080819953/getUserProducts+Java+Integration+Service</t>
  </si>
  <si>
    <t>https://konydocs.atlassian.net/wiki/spaces/ARBD425/pages/1080821614/getUserState+Java+Integration+Service</t>
  </si>
  <si>
    <t>https://konydocs.atlassian.net/wiki/spaces/ARBD425/pages/1080819901/uploadDocuments+Java+Integration+Service</t>
  </si>
  <si>
    <t>https://konydocs.atlassian.net/wiki/spaces/ARBD425/pages/1080821154/userCreditCheck+Java+Integration+Service</t>
  </si>
  <si>
    <t>https://konydocs.atlassian.net/wiki/spaces/ARBD425/pages/1080821692/userSignatureUpload+Java+Integration+Service</t>
  </si>
  <si>
    <t>https://konydocs.atlassian.net/wiki/spaces/ARBD425/pages/1080819986/verifyExistingUserName+Java+Integration+Service</t>
  </si>
  <si>
    <t>https://konydocs.atlassian.net/wiki/spaces/ARBD425/pages/1080819988/verifyExistingUserByPhone+Java+Integration+Service</t>
  </si>
  <si>
    <t>https://konydocs.atlassian.net/wiki/spaces/ARBD425/pages/1080819949/verifyExistingUserByEmail+Java+Integration+Service</t>
  </si>
  <si>
    <t>https://konydocs.atlassian.net/wiki/spaces/ARBD425/pages/1080821586/verifyNewUserSecurityQuestions+Java+Integration+Service</t>
  </si>
  <si>
    <t>https://konydocs.atlassian.net/wiki/spaces/ARBD425/pages/1080821785/getInformationContent+Java+Integration+Service</t>
  </si>
  <si>
    <t>https://konydocs.atlassian.net/wiki/spaces/ARBD425/pages/1080820859/USPSaddressValidation+USPS+XML+Integration+Service</t>
  </si>
  <si>
    <t>https://konydocs.atlassian.net/wiki/spaces/ARBD425/pages/1080821788/getDirectMarketingAds+Java+Integration+Service</t>
  </si>
  <si>
    <t>https://konydocs.atlassian.net/wiki/spaces/ARBD425/pages/1080820221/getExchangeRates+Java+Integration+Service</t>
  </si>
  <si>
    <t>https://konydocs.atlassian.net/wiki/spaces/ARBD425/pages/1080820101/getInformationContent+-+Rates+Java+Integration+Service</t>
  </si>
  <si>
    <t>https://konydocs.atlassian.net/wiki/spaces/ARBD425/pages/1080820095/getInterestRates+Java+Integration+Service</t>
  </si>
  <si>
    <t>https://konydocs.atlassian.net/wiki/spaces/ARBD425/pages/1080821740/createMessage+Java+Integration+Service</t>
  </si>
  <si>
    <t>https://konydocs.atlassian.net/wiki/spaces/ARBD425/pages/1080821758/deleteMessage+Java+Integration+Service</t>
  </si>
  <si>
    <t>https://konydocs.atlassian.net/wiki/spaces/ARBD425/pages/1080820010/getMessageCategories+Java+Integration+Service</t>
  </si>
  <si>
    <t>https://konydocs.atlassian.net/wiki/spaces/ARBD425/pages/1080820841/getMessageCount+Java+Integration+Service</t>
  </si>
  <si>
    <t>https://konydocs.atlassian.net/wiki/spaces/ARBD425/pages/1080821777/getMessages+Java+Integration+Service</t>
  </si>
  <si>
    <t>https://konydocs.atlassian.net/wiki/spaces/ARBD425/pages/1080821734/getMessageSubCategories+Java+Integration+Service</t>
  </si>
  <si>
    <t>https://konydocs.atlassian.net/wiki/spaces/ARBD425/pages/1080821750/updateMessage+Java+Integration+Service</t>
  </si>
  <si>
    <t>Documentation Link</t>
  </si>
  <si>
    <t>https://docs.kony.com/apps/integration/AdminConsoleServicesDocs/#/Groups_GetGroupEntitlements</t>
  </si>
  <si>
    <t>https://docs.kony.com/apps/integration/AdminConsoleServicesDocs/#/Groups_GetGroupRecords</t>
  </si>
  <si>
    <t>https://konydocs.atlassian.net/wiki/spaces/ARBD425/pages/1080821236/CreateOrganizationEmployee</t>
  </si>
  <si>
    <t>https://konydocs.atlassian.net/wiki/spaces/ARBD425/pages/1080820789/getOrganizationAccounts+Java+Integration+Service</t>
  </si>
  <si>
    <t>https://konydocs.atlassian.net/wiki/spaces/ARBD425/pages/1080821955/getOrganizationName</t>
  </si>
  <si>
    <t>https://konydocs.atlassian.net/wiki/spaces/ARBD425/pages/1080820925/getOrgEmployeeDetails+Java+Integration+Service</t>
  </si>
  <si>
    <t>https://konydocs.atlassian.net/wiki/spaces/ARBD422/pages/1015743045/getDbxOrganizationDetails+Java+Integration+Service</t>
  </si>
  <si>
    <t>https://konydocs.atlassian.net/wiki/spaces/ARBD425/pages/1080820917/OFACAndCIPChecks+Java+Integration+Service</t>
  </si>
  <si>
    <t>https://konydocs.atlassian.net/wiki/spaces/ARBD425/pages/1080821274/ResendActivationLink+Java+Integration+Service</t>
  </si>
  <si>
    <t>https://konydocs.atlassian.net/wiki/spaces/ARBD425/pages/1080820823/verifyDbxUserName+Java+Integration+Service</t>
  </si>
  <si>
    <t>getDBXOrganizationDetails</t>
  </si>
  <si>
    <t>getOrgEmployeeDetails</t>
  </si>
  <si>
    <t>https://konydocs.atlassian.net/wiki/spaces/ARBD425/pages/1080821956/getMembershipAccounts+Java+Integration+Service</t>
  </si>
  <si>
    <t>getMembershipAccounts</t>
  </si>
  <si>
    <t>Retrieves the list of accounts associated with an Org Id</t>
  </si>
  <si>
    <t>validateTIN</t>
  </si>
  <si>
    <t>https://konydocs.atlassian.net/wiki/spaces/ARBD425/pages/1080822037/validateTin+Java+Integration+Service</t>
  </si>
  <si>
    <t>Verifies the existence of the Tax Id in DBX</t>
  </si>
  <si>
    <t>unlinkOrgAccounts</t>
  </si>
  <si>
    <t>https://konydocs.atlassian.net/wiki/spaces/ARBD425/pages/1080822001/unLinkOrgAccounts+Java+Integration+Service</t>
  </si>
  <si>
    <t>Un-links the specified account(s) from an organization</t>
  </si>
  <si>
    <t>checkIfOrgMemberExists</t>
  </si>
  <si>
    <t>https://konydocs.atlassian.net/wiki/spaces/ARBD425/pages/1080822039/checkIfOrgMemberExists+Java+Integration+Service</t>
  </si>
  <si>
    <t>Verifies if a Membership Id exists in core banking system and whether it can be associated with a given user and organization.</t>
  </si>
  <si>
    <t>resendOrgEmployeeActivationLink</t>
  </si>
  <si>
    <t>https://konydocs.atlassian.net/wiki/spaces/ARBD425/pages/1080821224/ResendOrgEmployeeActivationLink</t>
  </si>
  <si>
    <t>This API will help the Business Owner / Admin to resend the activation email.</t>
  </si>
  <si>
    <t>setOrgEmployeePassword</t>
  </si>
  <si>
    <t>https://konydocs.atlassian.net/wiki/spaces/ARBD425/pages/1080821865/SetOrgEmployeePassword</t>
  </si>
  <si>
    <t>This API helps the User set his / her password when he / she is created by the Business Owner.</t>
  </si>
  <si>
    <t>https://konydocs.atlassian.net/wiki/spaces/ARBD425/pages/1080821494/verifyOTP+Java+Integration+Service</t>
  </si>
  <si>
    <t>https://konydocs.atlassian.net/wiki/spaces/ARBD425/pages/1080820799/resetDbxUserPassword+Java+Integration+Service</t>
  </si>
  <si>
    <t>https://konydocs.atlassian.net/wiki/spaces/ARBD425/pages/1080820039/editPFMtransaction+Java+Integration+Service</t>
  </si>
  <si>
    <t>https://konydocs.atlassian.net/wiki/spaces/ARBD425/pages/1080821298/getChartTransactions+Java+Integration+Service</t>
  </si>
  <si>
    <t>https://konydocs.atlassian.net/wiki/spaces/ARBD425/pages/1080821752/getPFMBarGraph+Java+Integration+Service</t>
  </si>
  <si>
    <t>https://konydocs.atlassian.net/wiki/spaces/ARBD425/pages/1080820043/getPFMBudgetSnapshot+Java+Integration+Service</t>
  </si>
  <si>
    <t>https://konydocs.atlassian.net/wiki/spaces/ARBD425/pages/1080819959/getPFMCategories+Java+Integration+Service</t>
  </si>
  <si>
    <t>https://konydocs.atlassian.net/wiki/spaces/ARBD425/pages/1080820035/getPFMPieChart+Java+Integration+Service</t>
  </si>
  <si>
    <t>https://konydocs.atlassian.net/wiki/spaces/ARBD425/pages/1080821327/getPFMTransactions+Java+Integration+Service</t>
  </si>
  <si>
    <t>https://konydocs.atlassian.net/wiki/spaces/ARBD425/pages/1080821568/updateBulkPFMTransaction+Java+Integration+Service</t>
  </si>
  <si>
    <t>CWB Current</t>
  </si>
  <si>
    <t>CWB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</si>
</sst>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rgb="FF091E42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 (Body)_x0000_"/>
    </font>
    <font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4"/>
      <color rgb="FF333333"/>
      <name val="Calibri"/>
      <family val="2"/>
      <scheme val="minor"/>
    </font>
    <font>
      <sz val="14"/>
      <color rgb="FF091E42"/>
      <name val="Helvetica Neue"/>
      <family val="2"/>
    </font>
    <font>
      <sz val="14"/>
      <color rgb="FF000000"/>
      <name val="Helvetica Neue"/>
      <family val="2"/>
    </font>
    <font>
      <sz val="11"/>
      <color theme="0"/>
      <name val="Calibri"/>
      <family val="2"/>
      <scheme val="minor"/>
    </font>
    <font>
      <u/>
      <sz val="14"/>
      <color rgb="FF0563C1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rgb="FF333333"/>
      <name val="Helvetica Neue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</borders>
  <cellStyleXfs count="8">
    <xf numFmtId="0" fontId="0" fillId="0" borderId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9" fontId="23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/>
    <xf numFmtId="0" fontId="0" fillId="2" borderId="0" xfId="0" applyFill="1"/>
    <xf numFmtId="0" fontId="0" fillId="0" borderId="2" xfId="0" applyFont="1" applyBorder="1"/>
    <xf numFmtId="0" fontId="5" fillId="3" borderId="0" xfId="0" applyFont="1" applyFill="1"/>
    <xf numFmtId="0" fontId="4" fillId="5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0" xfId="5" applyFont="1"/>
    <xf numFmtId="0" fontId="3" fillId="0" borderId="0" xfId="5" applyFont="1" applyAlignment="1">
      <alignment horizontal="center" vertical="top"/>
    </xf>
    <xf numFmtId="0" fontId="3" fillId="0" borderId="0" xfId="5" applyFont="1" applyAlignment="1">
      <alignment vertical="top"/>
    </xf>
    <xf numFmtId="0" fontId="11" fillId="0" borderId="0" xfId="5" applyFont="1" applyAlignment="1">
      <alignment horizontal="left" vertical="top"/>
    </xf>
    <xf numFmtId="0" fontId="11" fillId="0" borderId="0" xfId="5" applyFont="1" applyAlignment="1">
      <alignment horizontal="left" vertical="top" wrapText="1"/>
    </xf>
    <xf numFmtId="0" fontId="17" fillId="0" borderId="0" xfId="5" applyFont="1"/>
    <xf numFmtId="0" fontId="3" fillId="0" borderId="0" xfId="5" applyFont="1" applyAlignment="1">
      <alignment horizontal="center" vertical="center"/>
    </xf>
    <xf numFmtId="0" fontId="11" fillId="0" borderId="0" xfId="5" applyFont="1" applyAlignment="1">
      <alignment vertical="top"/>
    </xf>
    <xf numFmtId="0" fontId="16" fillId="0" borderId="0" xfId="5" applyFont="1" applyAlignment="1">
      <alignment vertical="top"/>
    </xf>
    <xf numFmtId="0" fontId="16" fillId="0" borderId="0" xfId="5" applyFont="1" applyAlignment="1">
      <alignment horizontal="center" vertical="top"/>
    </xf>
    <xf numFmtId="0" fontId="19" fillId="0" borderId="0" xfId="5" applyFont="1" applyAlignment="1">
      <alignment horizontal="left" vertical="top"/>
    </xf>
    <xf numFmtId="0" fontId="20" fillId="0" borderId="0" xfId="0" applyFont="1" applyAlignment="1">
      <alignment horizontal="left" vertical="top" wrapText="1"/>
    </xf>
    <xf numFmtId="0" fontId="11" fillId="0" borderId="0" xfId="5" applyFont="1" applyAlignment="1">
      <alignment vertical="top" wrapText="1"/>
    </xf>
    <xf numFmtId="0" fontId="21" fillId="0" borderId="0" xfId="5" applyFont="1" applyAlignment="1">
      <alignment horizontal="center" vertical="center"/>
    </xf>
    <xf numFmtId="0" fontId="22" fillId="0" borderId="0" xfId="5" applyFont="1" applyAlignment="1">
      <alignment horizontal="center" vertical="center"/>
    </xf>
    <xf numFmtId="1" fontId="18" fillId="0" borderId="0" xfId="7" applyNumberFormat="1" applyFont="1" applyAlignment="1">
      <alignment horizontal="center"/>
    </xf>
    <xf numFmtId="1" fontId="19" fillId="0" borderId="0" xfId="5" applyNumberFormat="1" applyFont="1" applyAlignment="1">
      <alignment horizontal="center" vertical="top"/>
    </xf>
    <xf numFmtId="1" fontId="11" fillId="0" borderId="0" xfId="5" applyNumberFormat="1" applyFont="1" applyAlignment="1">
      <alignment horizontal="center" vertical="top"/>
    </xf>
    <xf numFmtId="0" fontId="13" fillId="0" borderId="0" xfId="1" applyFont="1" applyAlignment="1">
      <alignment horizontal="left" vertical="top"/>
    </xf>
    <xf numFmtId="0" fontId="19" fillId="0" borderId="0" xfId="5" applyFont="1" applyAlignment="1">
      <alignment horizontal="left" vertical="top" wrapText="1"/>
    </xf>
    <xf numFmtId="0" fontId="17" fillId="0" borderId="0" xfId="5" applyFont="1" applyAlignment="1">
      <alignment horizontal="center" vertical="top"/>
    </xf>
    <xf numFmtId="0" fontId="11" fillId="0" borderId="0" xfId="0" applyFont="1" applyAlignment="1">
      <alignment horizontal="right" vertical="top"/>
    </xf>
    <xf numFmtId="0" fontId="11" fillId="0" borderId="0" xfId="5" applyFont="1" applyAlignment="1">
      <alignment horizontal="right" vertical="top"/>
    </xf>
    <xf numFmtId="0" fontId="25" fillId="0" borderId="0" xfId="5" applyFont="1" applyAlignment="1">
      <alignment horizontal="center" vertical="center"/>
    </xf>
    <xf numFmtId="0" fontId="16" fillId="0" borderId="0" xfId="2" applyFont="1" applyFill="1" applyAlignment="1">
      <alignment horizontal="right" vertical="top"/>
    </xf>
    <xf numFmtId="0" fontId="16" fillId="0" borderId="0" xfId="4" applyFont="1" applyFill="1" applyAlignment="1">
      <alignment horizontal="right" vertical="top"/>
    </xf>
    <xf numFmtId="0" fontId="16" fillId="0" borderId="0" xfId="3" applyFont="1" applyFill="1" applyAlignment="1">
      <alignment horizontal="right" vertical="top"/>
    </xf>
    <xf numFmtId="0" fontId="13" fillId="0" borderId="0" xfId="1" applyFont="1" applyAlignment="1">
      <alignment vertical="top"/>
    </xf>
    <xf numFmtId="0" fontId="24" fillId="0" borderId="0" xfId="0" applyFont="1" applyAlignment="1">
      <alignment horizontal="center" vertical="top"/>
    </xf>
    <xf numFmtId="0" fontId="14" fillId="0" borderId="0" xfId="0" applyFont="1" applyAlignment="1">
      <alignment vertical="top" wrapText="1"/>
    </xf>
    <xf numFmtId="0" fontId="26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7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vertical="top"/>
    </xf>
    <xf numFmtId="0" fontId="14" fillId="0" borderId="0" xfId="0" applyFont="1" applyAlignment="1">
      <alignment wrapText="1"/>
    </xf>
    <xf numFmtId="0" fontId="11" fillId="0" borderId="0" xfId="0" applyFont="1" applyAlignment="1">
      <alignment vertical="top" wrapText="1"/>
    </xf>
    <xf numFmtId="0" fontId="11" fillId="0" borderId="0" xfId="5" applyFont="1"/>
    <xf numFmtId="0" fontId="29" fillId="9" borderId="0" xfId="0" applyFont="1" applyFill="1" applyAlignment="1">
      <alignment horizontal="left" vertical="top"/>
    </xf>
    <xf numFmtId="0" fontId="11" fillId="0" borderId="0" xfId="0" applyFont="1" applyAlignment="1">
      <alignment horizontal="center" vertical="top"/>
    </xf>
    <xf numFmtId="0" fontId="2" fillId="0" borderId="0" xfId="5" applyFont="1"/>
    <xf numFmtId="0" fontId="0" fillId="0" borderId="0" xfId="0" applyNumberFormat="1"/>
    <xf numFmtId="0" fontId="11" fillId="0" borderId="0" xfId="5" applyNumberFormat="1" applyFont="1" applyAlignment="1">
      <alignment horizontal="left" vertical="top" wrapText="1"/>
    </xf>
    <xf numFmtId="0" fontId="11" fillId="0" borderId="0" xfId="0" applyNumberFormat="1" applyFont="1"/>
    <xf numFmtId="0" fontId="11" fillId="0" borderId="0" xfId="5" applyFont="1" applyAlignment="1">
      <alignment horizontal="center" vertical="top"/>
    </xf>
    <xf numFmtId="0" fontId="19" fillId="0" borderId="0" xfId="5" applyFont="1" applyAlignment="1">
      <alignment vertical="top"/>
    </xf>
    <xf numFmtId="0" fontId="15" fillId="0" borderId="0" xfId="0" applyFont="1" applyAlignment="1">
      <alignment vertical="top" wrapText="1"/>
    </xf>
    <xf numFmtId="0" fontId="1" fillId="0" borderId="0" xfId="5" applyFont="1" applyAlignment="1">
      <alignment vertical="top"/>
    </xf>
    <xf numFmtId="0" fontId="1" fillId="0" borderId="0" xfId="5" applyFont="1" applyAlignment="1">
      <alignment horizontal="center" vertical="top"/>
    </xf>
    <xf numFmtId="0" fontId="7" fillId="0" borderId="0" xfId="1" applyAlignment="1">
      <alignment vertical="top" wrapText="1"/>
    </xf>
    <xf numFmtId="0" fontId="27" fillId="0" borderId="0" xfId="0" applyFont="1" applyAlignment="1">
      <alignment wrapText="1"/>
    </xf>
    <xf numFmtId="0" fontId="7" fillId="0" borderId="0" xfId="1" applyAlignment="1">
      <alignment horizontal="left" vertical="top" wrapText="1"/>
    </xf>
    <xf numFmtId="0" fontId="7" fillId="0" borderId="0" xfId="1" applyNumberFormat="1" applyAlignment="1">
      <alignment wrapText="1"/>
    </xf>
    <xf numFmtId="0" fontId="11" fillId="0" borderId="0" xfId="0" applyNumberFormat="1" applyFont="1" applyAlignment="1">
      <alignment wrapText="1"/>
    </xf>
    <xf numFmtId="0" fontId="19" fillId="0" borderId="0" xfId="5" applyFont="1" applyAlignment="1">
      <alignment horizontal="center" vertical="top"/>
    </xf>
    <xf numFmtId="0" fontId="20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8" fillId="10" borderId="0" xfId="0" applyFont="1" applyFill="1" applyAlignment="1">
      <alignment horizontal="center" vertical="top"/>
    </xf>
    <xf numFmtId="0" fontId="7" fillId="0" borderId="0" xfId="1" applyAlignment="1">
      <alignment vertical="top"/>
    </xf>
    <xf numFmtId="0" fontId="30" fillId="0" borderId="0" xfId="0" applyFont="1" applyAlignment="1">
      <alignment vertical="top"/>
    </xf>
    <xf numFmtId="0" fontId="31" fillId="0" borderId="0" xfId="0" applyFont="1" applyFill="1"/>
    <xf numFmtId="0" fontId="32" fillId="0" borderId="0" xfId="0" applyFont="1"/>
    <xf numFmtId="0" fontId="27" fillId="0" borderId="0" xfId="0" applyFont="1"/>
    <xf numFmtId="0" fontId="6" fillId="4" borderId="1" xfId="0" applyFont="1" applyFill="1" applyBorder="1" applyAlignment="1">
      <alignment horizontal="left" vertical="center"/>
    </xf>
    <xf numFmtId="0" fontId="19" fillId="0" borderId="0" xfId="5" applyFont="1" applyAlignment="1">
      <alignment horizontal="center" vertical="top"/>
    </xf>
  </cellXfs>
  <cellStyles count="8">
    <cellStyle name="Bad" xfId="3" builtinId="27"/>
    <cellStyle name="Good" xfId="2" builtinId="26"/>
    <cellStyle name="Hyperlink" xfId="1" builtinId="8"/>
    <cellStyle name="Hyperlink 2" xfId="6" xr:uid="{EFD1CD83-C5A8-3245-AD90-7B1624926C25}"/>
    <cellStyle name="Neutral" xfId="4" builtinId="28"/>
    <cellStyle name="Normal" xfId="0" builtinId="0"/>
    <cellStyle name="Normal 2" xfId="5" xr:uid="{71439C29-DECF-9045-8E30-42268EF6FB52}"/>
    <cellStyle name="Percent" xfId="7" builtinId="5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/>
        <vertical/>
        <horizontal/>
      </border>
    </dxf>
    <dxf>
      <border outline="0"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 patternType="solid">
          <bgColor theme="0"/>
        </patternFill>
      </fill>
    </dxf>
  </dxfs>
  <tableStyles count="2" defaultTableStyle="TableStyleMedium2" defaultPivotStyle="PivotStyleLight16">
    <tableStyle name="Table Style 1" pivot="0" count="2" xr9:uid="{00000000-0011-0000-FFFF-FFFF00000000}">
      <tableStyleElement type="wholeTable" dxfId="8"/>
      <tableStyleElement type="firstRowStripe" dxfId="7"/>
    </tableStyle>
    <tableStyle name="Table Style 2" pivot="0" count="1" xr9:uid="{00000000-0011-0000-FFFF-FFFF01000000}">
      <tableStyleElement type="wholeTable" dxfId="6"/>
    </tableStyle>
  </tableStyles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2:B6" totalsRowShown="0">
  <autoFilter ref="B2:B6" xr:uid="{00000000-0009-0000-0100-000004000000}"/>
  <tableColumns count="1">
    <tableColumn id="1" xr3:uid="{00000000-0010-0000-0000-000001000000}" name="Development Category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6" displayName="Table6" ref="F2:F5" totalsRowShown="0">
  <autoFilter ref="F2:F5" xr:uid="{00000000-0009-0000-0100-000006000000}"/>
  <tableColumns count="1">
    <tableColumn id="1" xr3:uid="{00000000-0010-0000-0100-000001000000}" name="Custom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e7" displayName="Table7" ref="D2:D3" totalsRowShown="0">
  <autoFilter ref="D2:D3" xr:uid="{00000000-0009-0000-0100-000007000000}"/>
  <tableColumns count="1">
    <tableColumn id="1" xr3:uid="{00000000-0010-0000-0200-000001000000}" name="Product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8" displayName="Table8" ref="H2:H3" totalsRowShown="0">
  <autoFilter ref="H2:H3" xr:uid="{00000000-0009-0000-0100-000008000000}"/>
  <tableColumns count="1">
    <tableColumn id="1" xr3:uid="{00000000-0010-0000-0300-000001000000}" name=" 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e1" displayName="Table1" ref="D10:D69" totalsRowShown="0" headerRowDxfId="5">
  <autoFilter ref="D10:D69" xr:uid="{00000000-0009-0000-0100-000001000000}"/>
  <tableColumns count="1">
    <tableColumn id="1" xr3:uid="{00000000-0010-0000-0400-000001000000}" name="Backend">
      <calculatedColumnFormula>IF(#REF!=0,"",#REF!)</calculatedColumnFormula>
    </tableColumn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2" displayName="Table2" ref="E10:E69" totalsRowShown="0" headerRowDxfId="4">
  <autoFilter ref="E10:E69" xr:uid="{00000000-0009-0000-0100-000002000000}"/>
  <tableColumns count="1">
    <tableColumn id="1" xr3:uid="{00000000-0010-0000-0500-000001000000}" name="Customer">
      <calculatedColumnFormula>IF(#REF!=0,"",#REF!)</calculatedColumnFormula>
    </tableColumn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Table3" displayName="Table3" ref="J2:J5" totalsRowShown="0" headerRowDxfId="3" dataDxfId="2" tableBorderDxfId="1">
  <autoFilter ref="J2:J5" xr:uid="{00000000-0009-0000-0100-000003000000}"/>
  <tableColumns count="1">
    <tableColumn id="1" xr3:uid="{00000000-0010-0000-0600-000001000000}" name="Product-Custom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onydocs.atlassian.net/wiki/spaces/ARBD/pages/746426671/Accounts" TargetMode="External"/><Relationship Id="rId13" Type="http://schemas.openxmlformats.org/officeDocument/2006/relationships/hyperlink" Target="https://konydocs.atlassian.net/wiki/spaces/ARBD/pages/746426642/Login" TargetMode="External"/><Relationship Id="rId3" Type="http://schemas.openxmlformats.org/officeDocument/2006/relationships/hyperlink" Target="https://konydocs.atlassian.net/wiki/spaces/ARBD/pages/746426671/Accounts" TargetMode="External"/><Relationship Id="rId7" Type="http://schemas.openxmlformats.org/officeDocument/2006/relationships/hyperlink" Target="https://konydocs.atlassian.net/wiki/spaces/ARBD/pages/746429089/User+Onboarding" TargetMode="External"/><Relationship Id="rId12" Type="http://schemas.openxmlformats.org/officeDocument/2006/relationships/hyperlink" Target="https://konydocs.atlassian.net/wiki/spaces/ARBD/pages/746429089/User+Onboarding" TargetMode="External"/><Relationship Id="rId2" Type="http://schemas.openxmlformats.org/officeDocument/2006/relationships/hyperlink" Target="https://konydocs.atlassian.net/wiki/spaces/ARBD/pages/746429089/User+Onboarding" TargetMode="External"/><Relationship Id="rId1" Type="http://schemas.openxmlformats.org/officeDocument/2006/relationships/hyperlink" Target="https://konydocs.atlassian.net/wiki/spaces/ARBD/pages/746426642/Login" TargetMode="External"/><Relationship Id="rId6" Type="http://schemas.openxmlformats.org/officeDocument/2006/relationships/hyperlink" Target="https://konydocs.atlassian.net/wiki/spaces/ARBD/pages/746426642/Login" TargetMode="External"/><Relationship Id="rId11" Type="http://schemas.openxmlformats.org/officeDocument/2006/relationships/hyperlink" Target="https://konydocs.atlassian.net/wiki/spaces/ARBD/pages/746426642/Login" TargetMode="External"/><Relationship Id="rId5" Type="http://schemas.openxmlformats.org/officeDocument/2006/relationships/hyperlink" Target="https://konydocs.atlassian.net/wiki/spaces/ARBD/pages/746426607/Transfer" TargetMode="External"/><Relationship Id="rId10" Type="http://schemas.openxmlformats.org/officeDocument/2006/relationships/hyperlink" Target="https://konydocs.atlassian.net/wiki/spaces/ARBD/pages/746429089/User+Onboarding" TargetMode="External"/><Relationship Id="rId4" Type="http://schemas.openxmlformats.org/officeDocument/2006/relationships/hyperlink" Target="https://konydocs.atlassian.net/wiki/spaces/ARBD/pages/746426857/Payments+and+Withdrawals" TargetMode="External"/><Relationship Id="rId9" Type="http://schemas.openxmlformats.org/officeDocument/2006/relationships/hyperlink" Target="https://konydocs.atlassian.net/wiki/spaces/ARBD/pages/746426857/Payments+and+Withdrawals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konydocs.atlassian.net/wiki/spaces/ARBD425/pages/1080821375/getRecentPayee+Java+Integration+Service" TargetMode="External"/><Relationship Id="rId21" Type="http://schemas.openxmlformats.org/officeDocument/2006/relationships/hyperlink" Target="https://konydocs.atlassian.net/wiki/spaces/ARBD425/pages/1080820799/resetDbxUserPassword+Java+Integration+Service" TargetMode="External"/><Relationship Id="rId42" Type="http://schemas.openxmlformats.org/officeDocument/2006/relationships/hyperlink" Target="https://konydocs.atlassian.net/wiki/spaces/ARBD425/pages/1080821544/getNotifications+Java+Integration+Service" TargetMode="External"/><Relationship Id="rId63" Type="http://schemas.openxmlformats.org/officeDocument/2006/relationships/hyperlink" Target="https://konydocs.atlassian.net/wiki/spaces/ARBD425/pages/1080821451/registerP2P+Java+Integration+Service" TargetMode="External"/><Relationship Id="rId84" Type="http://schemas.openxmlformats.org/officeDocument/2006/relationships/hyperlink" Target="https://konydocs.atlassian.net/wiki/spaces/ARBD425/pages/1080821545/getPendingDepositTransactions+Java+Integration+Service" TargetMode="External"/><Relationship Id="rId138" Type="http://schemas.openxmlformats.org/officeDocument/2006/relationships/hyperlink" Target="https://konydocs.atlassian.net/wiki/spaces/ARBD425/pages/1080821425/editPayPerson+Java+Integration+Service" TargetMode="External"/><Relationship Id="rId159" Type="http://schemas.openxmlformats.org/officeDocument/2006/relationships/hyperlink" Target="https://konydocs.atlassian.net/wiki/spaces/ARBD425/pages/1080821046/createTransfer+Java+Integration+Service" TargetMode="External"/><Relationship Id="rId170" Type="http://schemas.openxmlformats.org/officeDocument/2006/relationships/hyperlink" Target="https://konydocs.atlassian.net/wiki/spaces/ARBD425/pages/1080819720/getProfile+Java+Integration+Service" TargetMode="External"/><Relationship Id="rId191" Type="http://schemas.openxmlformats.org/officeDocument/2006/relationships/hyperlink" Target="https://konydocs.atlassian.net/wiki/spaces/ARBD425/pages/1080821740/createMessage+Java+Integration+Service" TargetMode="External"/><Relationship Id="rId205" Type="http://schemas.openxmlformats.org/officeDocument/2006/relationships/hyperlink" Target="https://konydocs.atlassian.net/wiki/spaces/ARBD425/pages/1080821568/updateBulkPFMTransaction+Java+Integration+Service" TargetMode="External"/><Relationship Id="rId107" Type="http://schemas.openxmlformats.org/officeDocument/2006/relationships/hyperlink" Target="https://konydocs.atlassian.net/wiki/spaces/ARBD425/pages/1080821046/createTransfer+Java+Integration+Service" TargetMode="External"/><Relationship Id="rId11" Type="http://schemas.openxmlformats.org/officeDocument/2006/relationships/hyperlink" Target="https://konydocs.atlassian.net/wiki/spaces/ARBD425/pages/1080820544/getPasswordPolicies+Java+Integration+Service" TargetMode="External"/><Relationship Id="rId32" Type="http://schemas.openxmlformats.org/officeDocument/2006/relationships/hyperlink" Target="https://konydocs.atlassian.net/wiki/spaces/ARBD425/pages/1080821007/getUserNameAndPasswordRulesAndPolicies+Java+Integration+Service" TargetMode="External"/><Relationship Id="rId53" Type="http://schemas.openxmlformats.org/officeDocument/2006/relationships/hyperlink" Target="https://konydocs.atlassian.net/wiki/spaces/ARBD425/pages/1080821530/createAddress+Java+Integration+Service" TargetMode="External"/><Relationship Id="rId74" Type="http://schemas.openxmlformats.org/officeDocument/2006/relationships/hyperlink" Target="https://konydocs.atlassian.net/wiki/spaces/ARBD425/pages/1080820119/updateDbxCustomer+Java+Integration+Service" TargetMode="External"/><Relationship Id="rId128" Type="http://schemas.openxmlformats.org/officeDocument/2006/relationships/hyperlink" Target="https://konydocs.atlassian.net/wiki/spaces/ARBD425/pages/1080820069/createCheckOrder+Java+Integration+Service" TargetMode="External"/><Relationship Id="rId149" Type="http://schemas.openxmlformats.org/officeDocument/2006/relationships/hyperlink" Target="https://konydocs.atlassian.net/wiki/spaces/ARBD425/pages/1080821617/getAllExternalAccountsWithPagination+Java+Integration+Service" TargetMode="External"/><Relationship Id="rId5" Type="http://schemas.openxmlformats.org/officeDocument/2006/relationships/hyperlink" Target="https://konydocs.atlassian.net/wiki/spaces/ARBD425/pages/1080820190/deviceRegistrationStatus+Java+Integration+Service" TargetMode="External"/><Relationship Id="rId95" Type="http://schemas.openxmlformats.org/officeDocument/2006/relationships/hyperlink" Target="https://konydocs.atlassian.net/wiki/spaces/ARBD425/pages/1080821473/cancelScheduledTransactionOccurrence+Java+Integration+Service" TargetMode="External"/><Relationship Id="rId160" Type="http://schemas.openxmlformats.org/officeDocument/2006/relationships/hyperlink" Target="https://konydocs.atlassian.net/wiki/spaces/ARBD425/pages/1080821488/getSameBankAccount+Java+Integration+Service" TargetMode="External"/><Relationship Id="rId181" Type="http://schemas.openxmlformats.org/officeDocument/2006/relationships/hyperlink" Target="https://konydocs.atlassian.net/wiki/spaces/ARBD425/pages/1080821785/getInformationContent+Java+Integration+Service" TargetMode="External"/><Relationship Id="rId22" Type="http://schemas.openxmlformats.org/officeDocument/2006/relationships/hyperlink" Target="https://konydocs.atlassian.net/wiki/spaces/ARBD425/pages/1080820562/updateDbxUserStatus+Java+Integration+Service" TargetMode="External"/><Relationship Id="rId43" Type="http://schemas.openxmlformats.org/officeDocument/2006/relationships/hyperlink" Target="https://konydocs.atlassian.net/wiki/spaces/ARBD425/pages/1080820331/getUnreadNotifications+Java+Integration+Service" TargetMode="External"/><Relationship Id="rId64" Type="http://schemas.openxmlformats.org/officeDocument/2006/relationships/hyperlink" Target="https://konydocs.atlassian.net/wiki/spaces/ARBD425/pages/1080820594/registerP2PStatus+Java+Integration+Service" TargetMode="External"/><Relationship Id="rId118" Type="http://schemas.openxmlformats.org/officeDocument/2006/relationships/hyperlink" Target="https://konydocs.atlassian.net/wiki/spaces/ARBD425/pages/1080821550/getUserCompletedBillHistory+Java+Integration+Service" TargetMode="External"/><Relationship Id="rId139" Type="http://schemas.openxmlformats.org/officeDocument/2006/relationships/hyperlink" Target="https://konydocs.atlassian.net/wiki/spaces/ARBD425/pages/1080821539/getPayPersonHistory+Java+Integration+Service" TargetMode="External"/><Relationship Id="rId85" Type="http://schemas.openxmlformats.org/officeDocument/2006/relationships/hyperlink" Target="https://konydocs.atlassian.net/wiki/spaces/ARBD425/pages/1080821610/getPostedDepositTransactions+Java+Integration+Service" TargetMode="External"/><Relationship Id="rId150" Type="http://schemas.openxmlformats.org/officeDocument/2006/relationships/hyperlink" Target="https://konydocs.atlassian.net/wiki/spaces/ARBD425/pages/1080821774/getCountryList+Java+Integration+Service" TargetMode="External"/><Relationship Id="rId171" Type="http://schemas.openxmlformats.org/officeDocument/2006/relationships/hyperlink" Target="https://konydocs.atlassian.net/wiki/spaces/ARBD425/pages/1080819977/getUserPersonalInfo+Java+Integration+Service" TargetMode="External"/><Relationship Id="rId192" Type="http://schemas.openxmlformats.org/officeDocument/2006/relationships/hyperlink" Target="https://konydocs.atlassian.net/wiki/spaces/ARBD425/pages/1080821758/deleteMessage+Java+Integration+Service" TargetMode="External"/><Relationship Id="rId12" Type="http://schemas.openxmlformats.org/officeDocument/2006/relationships/hyperlink" Target="https://konydocs.atlassian.net/wiki/spaces/ARBD425/pages/1080821089/getUserSecurityQuestions+Java+Integration+Service" TargetMode="External"/><Relationship Id="rId33" Type="http://schemas.openxmlformats.org/officeDocument/2006/relationships/hyperlink" Target="https://konydocs.atlassian.net/wiki/spaces/ARBD425/pages/1080821009/getAPIPasswordLockoutSettings+Java+Integration+Service" TargetMode="External"/><Relationship Id="rId108" Type="http://schemas.openxmlformats.org/officeDocument/2006/relationships/hyperlink" Target="https://konydocs.atlassian.net/wiki/spaces/ARBD425/pages/1080821738/deletePayee+Java+Integration+Service" TargetMode="External"/><Relationship Id="rId129" Type="http://schemas.openxmlformats.org/officeDocument/2006/relationships/hyperlink" Target="https://konydocs.atlassian.net/wiki/spaces/ARBD425/pages/1080820048/getCheckOrders+Java+Integration+Service" TargetMode="External"/><Relationship Id="rId54" Type="http://schemas.openxmlformats.org/officeDocument/2006/relationships/hyperlink" Target="https://konydocs.atlassian.net/wiki/spaces/ARBD425/pages/1080820877/createPhone+Java+Integration+Service" TargetMode="External"/><Relationship Id="rId75" Type="http://schemas.openxmlformats.org/officeDocument/2006/relationships/hyperlink" Target="https://konydocs.atlassian.net/wiki/spaces/ARBD425/pages/1080820518/getAccountPendingTransactions+Java+Integration+Service" TargetMode="External"/><Relationship Id="rId96" Type="http://schemas.openxmlformats.org/officeDocument/2006/relationships/hyperlink" Target="https://konydocs.atlassian.net/wiki/spaces/ARBD425/pages/1080821992/createTransaction" TargetMode="External"/><Relationship Id="rId140" Type="http://schemas.openxmlformats.org/officeDocument/2006/relationships/hyperlink" Target="https://konydocs.atlassian.net/wiki/spaces/ARBD425/pages/1080819998/getPayPersonList+Java+Integration+Service" TargetMode="External"/><Relationship Id="rId161" Type="http://schemas.openxmlformats.org/officeDocument/2006/relationships/hyperlink" Target="https://konydocs.atlassian.net/wiki/spaces/ARBD425/pages/1080820883/createOlbUser+Java+Integration+Service" TargetMode="External"/><Relationship Id="rId182" Type="http://schemas.openxmlformats.org/officeDocument/2006/relationships/hyperlink" Target="https://konydocs.atlassian.net/wiki/spaces/ARBD424/pages/1031439402/getLocationDetails+Java+Integration+Service" TargetMode="External"/><Relationship Id="rId6" Type="http://schemas.openxmlformats.org/officeDocument/2006/relationships/hyperlink" Target="https://konydocs.atlassian.net/wiki/spaces/ARBD425/pages/1080820137/deRegisterDevice+Java+Integration+Service" TargetMode="External"/><Relationship Id="rId23" Type="http://schemas.openxmlformats.org/officeDocument/2006/relationships/hyperlink" Target="https://konydocs.atlassian.net/wiki/spaces/ARBD425/pages/1080820562/updateDbxUserStatus+Java+Integration+Service" TargetMode="External"/><Relationship Id="rId119" Type="http://schemas.openxmlformats.org/officeDocument/2006/relationships/hyperlink" Target="https://konydocs.atlassian.net/wiki/spaces/ARBD425/pages/1080821537/getUsersScheduledBills+Java+Integration+Service" TargetMode="External"/><Relationship Id="rId44" Type="http://schemas.openxmlformats.org/officeDocument/2006/relationships/hyperlink" Target="https://konydocs.atlassian.net/wiki/spaces/ARBD425/pages/1080820022/getUserAccountAlerts+Java+Integration+Service" TargetMode="External"/><Relationship Id="rId65" Type="http://schemas.openxmlformats.org/officeDocument/2006/relationships/hyperlink" Target="https://konydocs.atlassian.net/wiki/spaces/ARBD425/pages/1080820881/updateAddress+Java+Integration+Service" TargetMode="External"/><Relationship Id="rId86" Type="http://schemas.openxmlformats.org/officeDocument/2006/relationships/hyperlink" Target="https://konydocs.atlassian.net/wiki/spaces/ARBD425/pages/1080820617/getRecentAccounts+Java+Integration+Service" TargetMode="External"/><Relationship Id="rId130" Type="http://schemas.openxmlformats.org/officeDocument/2006/relationships/hyperlink" Target="https://konydocs.atlassian.net/wiki/spaces/ARBD425/pages/1080821116/Remote+Deposit+Capture+RDC" TargetMode="External"/><Relationship Id="rId151" Type="http://schemas.openxmlformats.org/officeDocument/2006/relationships/hyperlink" Target="https://konydocs.atlassian.net/wiki/spaces/ARBD425/pages/1080821802/getExternalAccounts+Java+Integration+Service" TargetMode="External"/><Relationship Id="rId172" Type="http://schemas.openxmlformats.org/officeDocument/2006/relationships/hyperlink" Target="https://konydocs.atlassian.net/wiki/spaces/ARBD425/pages/1080819953/getUserProducts+Java+Integration+Service" TargetMode="External"/><Relationship Id="rId193" Type="http://schemas.openxmlformats.org/officeDocument/2006/relationships/hyperlink" Target="https://konydocs.atlassian.net/wiki/spaces/ARBD425/pages/1080820010/getMessageCategories+Java+Integration+Service" TargetMode="External"/><Relationship Id="rId13" Type="http://schemas.openxmlformats.org/officeDocument/2006/relationships/hyperlink" Target="https://konydocs.atlassian.net/wiki/spaces/ARBD425/pages/1080821536/logout+Java+Integration+Service" TargetMode="External"/><Relationship Id="rId109" Type="http://schemas.openxmlformats.org/officeDocument/2006/relationships/hyperlink" Target="https://konydocs.atlassian.net/wiki/spaces/ARBD425/pages/1080820055/editPayee+Java+Integration+Service" TargetMode="External"/><Relationship Id="rId34" Type="http://schemas.openxmlformats.org/officeDocument/2006/relationships/hyperlink" Target="https://konydocs.atlassian.net/wiki/spaces/ARBD425/pages/1080821015/getPasswordLockoutSettings+Java+Integration+Service" TargetMode="External"/><Relationship Id="rId55" Type="http://schemas.openxmlformats.org/officeDocument/2006/relationships/hyperlink" Target="https://konydocs.atlassian.net/wiki/spaces/ARBD425/pages/1080821526/createUserFeedback+Java+Integration+Service" TargetMode="External"/><Relationship Id="rId76" Type="http://schemas.openxmlformats.org/officeDocument/2006/relationships/hyperlink" Target="https://konydocs.atlassian.net/wiki/spaces/ARBD425/pages/1080820528/lockUnlockUser+Java+Integration+Service" TargetMode="External"/><Relationship Id="rId97" Type="http://schemas.openxmlformats.org/officeDocument/2006/relationships/hyperlink" Target="https://konydocs.atlassian.net/wiki/spaces/ARBD425/pages/1080819725/deleteTransaction+Java+Integration+Service" TargetMode="External"/><Relationship Id="rId120" Type="http://schemas.openxmlformats.org/officeDocument/2006/relationships/hyperlink" Target="https://konydocs.atlassian.net/wiki/spaces/ARBD425/pages/1080820655/searchBillerByName+Java+Integration+Service" TargetMode="External"/><Relationship Id="rId141" Type="http://schemas.openxmlformats.org/officeDocument/2006/relationships/hyperlink" Target="https://konydocs.atlassian.net/wiki/spaces/ARBD425/pages/1080821532/getPostedTransferAndP2PTransactions+Java+Integration+Service" TargetMode="External"/><Relationship Id="rId7" Type="http://schemas.openxmlformats.org/officeDocument/2006/relationships/hyperlink" Target="https://konydocs.atlassian.net/wiki/spaces/ARBD425/pages/1080821454/fetchUserName+Java+Integration+Service" TargetMode="External"/><Relationship Id="rId162" Type="http://schemas.openxmlformats.org/officeDocument/2006/relationships/hyperlink" Target="https://konydocs.atlassian.net/wiki/spaces/ARBD425/pages/1080821664/createUserPersonalInfo+Java+Integration+Service" TargetMode="External"/><Relationship Id="rId183" Type="http://schemas.openxmlformats.org/officeDocument/2006/relationships/hyperlink" Target="https://konydocs.atlassian.net/wiki/spaces/ARBD424/pages/1031439978/getLocationRange+Java+Integration+Service" TargetMode="External"/><Relationship Id="rId24" Type="http://schemas.openxmlformats.org/officeDocument/2006/relationships/hyperlink" Target="https://konydocs.atlassian.net/wiki/spaces/ARBD425/pages/1080821932/getDbxUserStatus+Java+Integration+Service" TargetMode="External"/><Relationship Id="rId40" Type="http://schemas.openxmlformats.org/officeDocument/2006/relationships/hyperlink" Target="https://konydocs.atlassian.net/wiki/spaces/ARBD425/pages/1080820386/verifyLoginMFASecurityQuestions+Java+Integration+Service" TargetMode="External"/><Relationship Id="rId45" Type="http://schemas.openxmlformats.org/officeDocument/2006/relationships/hyperlink" Target="https://konydocs.atlassian.net/wiki/spaces/ARBD425/pages/1080820046/getUserAlerts+Java+Integration+Service" TargetMode="External"/><Relationship Id="rId66" Type="http://schemas.openxmlformats.org/officeDocument/2006/relationships/hyperlink" Target="https://konydocs.atlassian.net/wiki/spaces/ARBD425/pages/1080820865/updatePhone+Java+Integration+Service" TargetMode="External"/><Relationship Id="rId87" Type="http://schemas.openxmlformats.org/officeDocument/2006/relationships/hyperlink" Target="https://konydocs.atlassian.net/wiki/spaces/ARBD425/pages/1080819979/getTransactions+Java+Integration+Service" TargetMode="External"/><Relationship Id="rId110" Type="http://schemas.openxmlformats.org/officeDocument/2006/relationships/hyperlink" Target="https://konydocs.atlassian.net/wiki/spaces/ARBD425/pages/1080820610/getBillerCategories+Java+Integration+Service" TargetMode="External"/><Relationship Id="rId115" Type="http://schemas.openxmlformats.org/officeDocument/2006/relationships/hyperlink" Target="https://konydocs.atlassian.net/wiki/spaces/ARBD422/pages/1015742609/getPayeeBills+Java+Integration+Service" TargetMode="External"/><Relationship Id="rId131" Type="http://schemas.openxmlformats.org/officeDocument/2006/relationships/hyperlink" Target="https://konydocs.atlassian.net/wiki/spaces/ARBD425/pages/1080821116/Remote+Deposit+Capture+RDC" TargetMode="External"/><Relationship Id="rId136" Type="http://schemas.openxmlformats.org/officeDocument/2006/relationships/hyperlink" Target="https://konydocs.atlassian.net/wiki/spaces/ARBD425/pages/1080820520/deactivateP2P+Java+Integration+Service" TargetMode="External"/><Relationship Id="rId157" Type="http://schemas.openxmlformats.org/officeDocument/2006/relationships/hyperlink" Target="https://konydocs.atlassian.net/wiki/spaces/ARBD425/pages/1080820665/verifyExternalBankAccount+Java+Integration+Service" TargetMode="External"/><Relationship Id="rId178" Type="http://schemas.openxmlformats.org/officeDocument/2006/relationships/hyperlink" Target="https://konydocs.atlassian.net/wiki/spaces/ARBD425/pages/1080819988/verifyExistingUserByPhone+Java+Integration+Service" TargetMode="External"/><Relationship Id="rId61" Type="http://schemas.openxmlformats.org/officeDocument/2006/relationships/hyperlink" Target="https://konydocs.atlassian.net/wiki/spaces/ARBD425/pages/1080819969/getUserDetails+Java+Integration+Service" TargetMode="External"/><Relationship Id="rId82" Type="http://schemas.openxmlformats.org/officeDocument/2006/relationships/hyperlink" Target="https://konydocs.atlassian.net/wiki/spaces/ARBD425/pages/1080821612/getExternalTransactions+Java+Integration+Service" TargetMode="External"/><Relationship Id="rId152" Type="http://schemas.openxmlformats.org/officeDocument/2006/relationships/hyperlink" Target="https://konydocs.atlassian.net/wiki/spaces/ARBD425/pages/1080820653/getOtherBankAccount+Java+Integration+Service" TargetMode="External"/><Relationship Id="rId173" Type="http://schemas.openxmlformats.org/officeDocument/2006/relationships/hyperlink" Target="https://konydocs.atlassian.net/wiki/spaces/ARBD425/pages/1080821614/getUserState+Java+Integration+Service" TargetMode="External"/><Relationship Id="rId194" Type="http://schemas.openxmlformats.org/officeDocument/2006/relationships/hyperlink" Target="https://konydocs.atlassian.net/wiki/spaces/ARBD425/pages/1080820841/getMessageCount+Java+Integration+Service" TargetMode="External"/><Relationship Id="rId199" Type="http://schemas.openxmlformats.org/officeDocument/2006/relationships/hyperlink" Target="https://konydocs.atlassian.net/wiki/spaces/ARBD425/pages/1080821298/getChartTransactions+Java+Integration+Service" TargetMode="External"/><Relationship Id="rId203" Type="http://schemas.openxmlformats.org/officeDocument/2006/relationships/hyperlink" Target="https://konydocs.atlassian.net/wiki/spaces/ARBD425/pages/1080820035/getPFMPieChart+Java+Integration+Service" TargetMode="External"/><Relationship Id="rId19" Type="http://schemas.openxmlformats.org/officeDocument/2006/relationships/hyperlink" Target="https://konydocs.atlassian.net/wiki/spaces/ARBD425/pages/1080821850/dbxUserLogin+Orchestration+Service" TargetMode="External"/><Relationship Id="rId14" Type="http://schemas.openxmlformats.org/officeDocument/2006/relationships/hyperlink" Target="https://konydocs.atlassian.net/wiki/spaces/ARBD425/pages/1080820130/registerDevice+Java+Integration+Service" TargetMode="External"/><Relationship Id="rId30" Type="http://schemas.openxmlformats.org/officeDocument/2006/relationships/hyperlink" Target="https://konydocs.atlassian.net/wiki/spaces/ARBD425/pages/1080821036/getUserNameRulesAndPolicy+Java+Integration+Service" TargetMode="External"/><Relationship Id="rId35" Type="http://schemas.openxmlformats.org/officeDocument/2006/relationships/hyperlink" Target="https://konydocs.atlassian.net/wiki/spaces/ARBD425/pages/1080820207/updateDbxUserPassword+Java+Integration+Service" TargetMode="External"/><Relationship Id="rId56" Type="http://schemas.openxmlformats.org/officeDocument/2006/relationships/hyperlink" Target="https://konydocs.atlassian.net/wiki/spaces/ARBD425/pages/1080820552/deleteAddress+Java+Integration+Service" TargetMode="External"/><Relationship Id="rId77" Type="http://schemas.openxmlformats.org/officeDocument/2006/relationships/hyperlink" Target="https://konydocs.atlassian.net/wiki/spaces/ARBD425/pages/1080820803/getAccountPostedTransactions+Java+Integration+Service" TargetMode="External"/><Relationship Id="rId100" Type="http://schemas.openxmlformats.org/officeDocument/2006/relationships/hyperlink" Target="http://docsdirect.kony.com/apps/integration/AdminConsoleServicesDocs/" TargetMode="External"/><Relationship Id="rId105" Type="http://schemas.openxmlformats.org/officeDocument/2006/relationships/hyperlink" Target="https://konydocs.atlassian.net/wiki/spaces/ARBD425/pages/1080821523/createBulkBillPay+Java+Integration+Service" TargetMode="External"/><Relationship Id="rId126" Type="http://schemas.openxmlformats.org/officeDocument/2006/relationships/hyperlink" Target="https://konydocs.atlassian.net/wiki/spaces/ARBD425/pages/1080821628/getCardsByUsername+Java+Integration+Service" TargetMode="External"/><Relationship Id="rId147" Type="http://schemas.openxmlformats.org/officeDocument/2006/relationships/hyperlink" Target="https://konydocs.atlassian.net/wiki/spaces/ARBD425/pages/1080820550/deleteExternalAccount+Java+Integration+Service" TargetMode="External"/><Relationship Id="rId168" Type="http://schemas.openxmlformats.org/officeDocument/2006/relationships/hyperlink" Target="https://konydocs.atlassian.net/wiki/spaces/ARBD425/pages/1080819723/getLocationAddress+Google+APIs" TargetMode="External"/><Relationship Id="rId8" Type="http://schemas.openxmlformats.org/officeDocument/2006/relationships/hyperlink" Target="https://konydocs.atlassian.net/wiki/spaces/ARBD425/pages/1080821588/checkBillPayEligibilityForUser+Java+Integration+Service" TargetMode="External"/><Relationship Id="rId51" Type="http://schemas.openxmlformats.org/officeDocument/2006/relationships/hyperlink" Target="https://konydocs.atlassian.net/wiki/spaces/ARBD425/pages/1080821594/activateP2PForUser+Java+Integration+Service" TargetMode="External"/><Relationship Id="rId72" Type="http://schemas.openxmlformats.org/officeDocument/2006/relationships/hyperlink" Target="https://konydocs.atlassian.net/wiki/spaces/ARBD425/pages/1080821934/updateDbxUser+Java+Integration+Service" TargetMode="External"/><Relationship Id="rId93" Type="http://schemas.openxmlformats.org/officeDocument/2006/relationships/hyperlink" Target="https://konyone.sharepoint.com/sites/pwa/UECU/Shared%20Documents/API%20Docs/Doxim%20ECM%20WebAPI%20and%20DSSO%20SDK%20v1_1.pdf" TargetMode="External"/><Relationship Id="rId98" Type="http://schemas.openxmlformats.org/officeDocument/2006/relationships/hyperlink" Target="https://konydocs.atlassian.net/wiki/spaces/ARBD425/pages/1080821736/getTimePeriod+Java+Integration+Service" TargetMode="External"/><Relationship Id="rId121" Type="http://schemas.openxmlformats.org/officeDocument/2006/relationships/hyperlink" Target="https://konydocs.atlassian.net/wiki/spaces/ARBD425/pages/1080820861/updatePreferredBillPayAccount+Java+Integration+Service" TargetMode="External"/><Relationship Id="rId142" Type="http://schemas.openxmlformats.org/officeDocument/2006/relationships/hyperlink" Target="https://konydocs.atlassian.net/wiki/spaces/ARBD425/pages/1080820651/getRecentPayPerson+Java+Integration+Service" TargetMode="External"/><Relationship Id="rId163" Type="http://schemas.openxmlformats.org/officeDocument/2006/relationships/hyperlink" Target="https://konydocs.atlassian.net/wiki/spaces/ARBD425/pages/1080821410/createUserProducts+Java+Integration+Service" TargetMode="External"/><Relationship Id="rId184" Type="http://schemas.openxmlformats.org/officeDocument/2006/relationships/hyperlink" Target="https://konydocs.atlassian.net/wiki/spaces/ARBD424/pages/1031439381/getLocations+Java+Integration+Service" TargetMode="External"/><Relationship Id="rId189" Type="http://schemas.openxmlformats.org/officeDocument/2006/relationships/hyperlink" Target="https://konydocs.atlassian.net/wiki/spaces/ARBD425/pages/1080820101/getInformationContent+-+Rates+Java+Integration+Service" TargetMode="External"/><Relationship Id="rId3" Type="http://schemas.openxmlformats.org/officeDocument/2006/relationships/hyperlink" Target="https://konydocs.atlassian.net/wiki/spaces/ARBD425/pages/1080820602/checkUserEnrolled+Java+Integration+Service" TargetMode="External"/><Relationship Id="rId25" Type="http://schemas.openxmlformats.org/officeDocument/2006/relationships/hyperlink" Target="https://konydocs.atlassian.net/wiki/spaces/ARBD425/pages/1080821953/smsOTP+Java+Integration+Service" TargetMode="External"/><Relationship Id="rId46" Type="http://schemas.openxmlformats.org/officeDocument/2006/relationships/hyperlink" Target="https://konydocs.atlassian.net/wiki/spaces/ARBD425/pages/1080821476/checkSecureAccessCode+Java+Integration+Service" TargetMode="External"/><Relationship Id="rId67" Type="http://schemas.openxmlformats.org/officeDocument/2006/relationships/hyperlink" Target="https://konydocs.atlassian.net/wiki/spaces/ARBD425/pages/1080821483/updateSecureAccessCode+Java+Integration+Service" TargetMode="External"/><Relationship Id="rId116" Type="http://schemas.openxmlformats.org/officeDocument/2006/relationships/hyperlink" Target="https://konydocs.atlassian.net/wiki/spaces/ARBD425/pages/1080821730/getPayeeList+Java+Integration+Service" TargetMode="External"/><Relationship Id="rId137" Type="http://schemas.openxmlformats.org/officeDocument/2006/relationships/hyperlink" Target="https://konydocs.atlassian.net/wiki/spaces/ARBD425/pages/1080821453/deletePayPerson+Java+Integration+Service" TargetMode="External"/><Relationship Id="rId158" Type="http://schemas.openxmlformats.org/officeDocument/2006/relationships/hyperlink" Target="https://konydocs.atlassian.net/wiki/spaces/ARBD425/pages/1080820849/verifyTrialDeposit+Java+Integration+Service" TargetMode="External"/><Relationship Id="rId20" Type="http://schemas.openxmlformats.org/officeDocument/2006/relationships/hyperlink" Target="https://konydocs.atlassian.net/wiki/spaces/ARBD425/pages/1080821951/dbxVerifyOTP+Java+Integration+Service" TargetMode="External"/><Relationship Id="rId41" Type="http://schemas.openxmlformats.org/officeDocument/2006/relationships/hyperlink" Target="https://konydocs.atlassian.net/wiki/spaces/ARBD425/pages/1080821519/deleteNotification+Java+Integration+Service" TargetMode="External"/><Relationship Id="rId62" Type="http://schemas.openxmlformats.org/officeDocument/2006/relationships/hyperlink" Target="https://konydocs.atlassian.net/wiki/spaces/ARBD425/pages/1080820598/getUserStatus+Java+Integration+Service" TargetMode="External"/><Relationship Id="rId83" Type="http://schemas.openxmlformats.org/officeDocument/2006/relationships/hyperlink" Target="https://konydocs.atlassian.net/wiki/spaces/ARBD425/pages/1080820576/getFrequentOtherBankAccounts+Java+Integration+Service" TargetMode="External"/><Relationship Id="rId88" Type="http://schemas.openxmlformats.org/officeDocument/2006/relationships/hyperlink" Target="https://konydocs.atlassian.net/wiki/spaces/ARBD425/pages/1080820566/getTransactionsDownloaded+Java+Integration+Service" TargetMode="External"/><Relationship Id="rId111" Type="http://schemas.openxmlformats.org/officeDocument/2006/relationships/hyperlink" Target="https://konydocs.atlassian.net/wiki/spaces/ARBD425/pages/1080820202/getBillerCompany+Java+Integration+Service" TargetMode="External"/><Relationship Id="rId132" Type="http://schemas.openxmlformats.org/officeDocument/2006/relationships/hyperlink" Target="https://konydocs.atlassian.net/wiki/spaces/ARBD425/pages/1080820608/getDisputedTransactions+Java+Integration+Service" TargetMode="External"/><Relationship Id="rId153" Type="http://schemas.openxmlformats.org/officeDocument/2006/relationships/hyperlink" Target="https://konydocs.atlassian.net/wiki/spaces/ARBD425/pages/1080821649/getToExternalAccountTransactions+Java+Integration+Service" TargetMode="External"/><Relationship Id="rId174" Type="http://schemas.openxmlformats.org/officeDocument/2006/relationships/hyperlink" Target="https://konydocs.atlassian.net/wiki/spaces/ARBD425/pages/1080819901/uploadDocuments+Java+Integration+Service" TargetMode="External"/><Relationship Id="rId179" Type="http://schemas.openxmlformats.org/officeDocument/2006/relationships/hyperlink" Target="https://konydocs.atlassian.net/wiki/spaces/ARBD425/pages/1080819986/verifyExistingUserName+Java+Integration+Service" TargetMode="External"/><Relationship Id="rId195" Type="http://schemas.openxmlformats.org/officeDocument/2006/relationships/hyperlink" Target="https://konydocs.atlassian.net/wiki/spaces/ARBD425/pages/1080821777/getMessages+Java+Integration+Service" TargetMode="External"/><Relationship Id="rId190" Type="http://schemas.openxmlformats.org/officeDocument/2006/relationships/hyperlink" Target="https://konydocs.atlassian.net/wiki/spaces/ARBD425/pages/1080820095/getInterestRates+Java+Integration+Service" TargetMode="External"/><Relationship Id="rId204" Type="http://schemas.openxmlformats.org/officeDocument/2006/relationships/hyperlink" Target="https://konydocs.atlassian.net/wiki/spaces/ARBD425/pages/1080821327/getPFMTransactions+Java+Integration+Service" TargetMode="External"/><Relationship Id="rId15" Type="http://schemas.openxmlformats.org/officeDocument/2006/relationships/hyperlink" Target="https://konydocs.atlassian.net/wiki/spaces/ARBD425/pages/1080820596/resetUserPassword+Java+Integration+Service" TargetMode="External"/><Relationship Id="rId36" Type="http://schemas.openxmlformats.org/officeDocument/2006/relationships/hyperlink" Target="https://konydocs.atlassian.net/wiki/spaces/ARBD425/pages/1080821713/requestEnrollOTP+Java+Integration+Service" TargetMode="External"/><Relationship Id="rId57" Type="http://schemas.openxmlformats.org/officeDocument/2006/relationships/hyperlink" Target="https://konydocs.atlassian.net/wiki/spaces/ARBD425/pages/1080821426/deletePhone+Java+Integration+Service" TargetMode="External"/><Relationship Id="rId106" Type="http://schemas.openxmlformats.org/officeDocument/2006/relationships/hyperlink" Target="https://konydocs.atlassian.net/wiki/spaces/ARBD425/pages/1080820004/createPayee+Java+Integration+Service" TargetMode="External"/><Relationship Id="rId127" Type="http://schemas.openxmlformats.org/officeDocument/2006/relationships/hyperlink" Target="https://konydocs.atlassian.net/wiki/spaces/ARBD425/pages/1080820103/updateCard+Java+Integration+Service" TargetMode="External"/><Relationship Id="rId10" Type="http://schemas.openxmlformats.org/officeDocument/2006/relationships/hyperlink" Target="https://konydocs.atlassian.net/wiki/spaces/ARBD425/pages/1080820546/getCustomerContact+Java+Integration+Service" TargetMode="External"/><Relationship Id="rId31" Type="http://schemas.openxmlformats.org/officeDocument/2006/relationships/hyperlink" Target="https://konydocs.atlassian.net/wiki/spaces/ARBD425/pages/1080820305/getPasswordRulesAndPolicy+Java+Integration+Service" TargetMode="External"/><Relationship Id="rId52" Type="http://schemas.openxmlformats.org/officeDocument/2006/relationships/hyperlink" Target="https://konydocs.atlassian.net/wiki/spaces/ARBD425/pages/1080821431/checkSecurityQuestionStatus+Java+Integration+Service" TargetMode="External"/><Relationship Id="rId73" Type="http://schemas.openxmlformats.org/officeDocument/2006/relationships/hyperlink" Target="https://konydocs.atlassian.net/wiki/spaces/ARBD425/pages/1080820271/lockUnlockCustomer+Java+Integration+Service" TargetMode="External"/><Relationship Id="rId78" Type="http://schemas.openxmlformats.org/officeDocument/2006/relationships/hyperlink" Target="https://konydocs.atlassian.net/wiki/spaces/ARBD425/pages/1080819735/getAccounts+Java+Integration+Service" TargetMode="External"/><Relationship Id="rId94" Type="http://schemas.openxmlformats.org/officeDocument/2006/relationships/hyperlink" Target="https://konyone.sharepoint.com/sites/pwa/UECU/Shared%20Documents/API%20Docs/Doxim%20ECM%20WebAPI%20and%20DSSO%20SDK%20v1_1.pdf" TargetMode="External"/><Relationship Id="rId99" Type="http://schemas.openxmlformats.org/officeDocument/2006/relationships/hyperlink" Target="https://konydocs.atlassian.net/wiki/spaces/ARBD425/pages/1080821100/updateTransaction+Java+Integration+Service" TargetMode="External"/><Relationship Id="rId101" Type="http://schemas.openxmlformats.org/officeDocument/2006/relationships/hyperlink" Target="https://docs.kony.com/apps/integration/AdminConsoleServicesDocs/" TargetMode="External"/><Relationship Id="rId122" Type="http://schemas.openxmlformats.org/officeDocument/2006/relationships/hyperlink" Target="https://konydocs.atlassian.net/wiki/spaces/ARBD425/pages/1080820875/deleteTransactionsForLockedCard+Java+Integration+Service" TargetMode="External"/><Relationship Id="rId143" Type="http://schemas.openxmlformats.org/officeDocument/2006/relationships/hyperlink" Target="https://konydocs.atlassian.net/wiki/spaces/ARBD425/pages/1080821490/getScheduledTransferAndP2PTransactions+Java+Integration+Service" TargetMode="External"/><Relationship Id="rId148" Type="http://schemas.openxmlformats.org/officeDocument/2006/relationships/hyperlink" Target="https://konydocs.atlassian.net/wiki/spaces/ARBD425/pages/1080820526/editExternalAccount+Java+Integration+Service" TargetMode="External"/><Relationship Id="rId164" Type="http://schemas.openxmlformats.org/officeDocument/2006/relationships/hyperlink" Target="https://konydocs.atlassian.net/wiki/spaces/ARBD425/pages/1080821341/deleteNewUserPersonalInfo+Java+Integration+Service" TargetMode="External"/><Relationship Id="rId169" Type="http://schemas.openxmlformats.org/officeDocument/2006/relationships/hyperlink" Target="https://konydocs.atlassian.net/wiki/spaces/ARBD425/pages/1080819950/getNewUserSecurityQuestions+Java+Integration+Service" TargetMode="External"/><Relationship Id="rId185" Type="http://schemas.openxmlformats.org/officeDocument/2006/relationships/hyperlink" Target="https://konydocs.atlassian.net/wiki/spaces/ARBD424/pages/1031439382/getLocationsQuery+Java+Integration+Service" TargetMode="External"/><Relationship Id="rId4" Type="http://schemas.openxmlformats.org/officeDocument/2006/relationships/hyperlink" Target="https://konydocs.atlassian.net/wiki/spaces/ARBD424/pages/1031439317/deletePin+Java+Integration+Service" TargetMode="External"/><Relationship Id="rId9" Type="http://schemas.openxmlformats.org/officeDocument/2006/relationships/hyperlink" Target="https://konydocs.atlassian.net/wiki/spaces/ARBD425/pages/1080821095/getApplicationProp+Java+Integration+Service" TargetMode="External"/><Relationship Id="rId180" Type="http://schemas.openxmlformats.org/officeDocument/2006/relationships/hyperlink" Target="https://konydocs.atlassian.net/wiki/spaces/ARBD425/pages/1080821586/verifyNewUserSecurityQuestions+Java+Integration+Service" TargetMode="External"/><Relationship Id="rId26" Type="http://schemas.openxmlformats.org/officeDocument/2006/relationships/hyperlink" Target="https://konydocs.atlassian.net/wiki/spaces/ARBD425/pages/1080820835/dbxRequestOTP+Java+Integration+Service" TargetMode="External"/><Relationship Id="rId47" Type="http://schemas.openxmlformats.org/officeDocument/2006/relationships/hyperlink" Target="https://konydocs.atlassian.net/wiki/spaces/ARBD425/pages/1080821484/updateReadCount+Java+Integration+Service" TargetMode="External"/><Relationship Id="rId68" Type="http://schemas.openxmlformats.org/officeDocument/2006/relationships/hyperlink" Target="https://konydocs.atlassian.net/wiki/spaces/ARBD424/pages/1031438732/updateUserAccountSettings+Java+Integration+Service" TargetMode="External"/><Relationship Id="rId89" Type="http://schemas.openxmlformats.org/officeDocument/2006/relationships/hyperlink" Target="https://konydocs.atlassian.net/wiki/spaces/ARBD425/pages/1080819972/updateAccountName+Java+Integration+Service" TargetMode="External"/><Relationship Id="rId112" Type="http://schemas.openxmlformats.org/officeDocument/2006/relationships/hyperlink" Target="https://konydocs.atlassian.net/wiki/spaces/ARBD425/pages/1080821615/getBillerMasters+Java+Integration+Service" TargetMode="External"/><Relationship Id="rId133" Type="http://schemas.openxmlformats.org/officeDocument/2006/relationships/hyperlink" Target="https://konydocs.atlassian.net/wiki/spaces/ARBD425/pages/1080820839/getStopCheckPaymentRequestTransactions+Java+Integration+Service" TargetMode="External"/><Relationship Id="rId154" Type="http://schemas.openxmlformats.org/officeDocument/2006/relationships/hyperlink" Target="https://konydocs.atlassian.net/wiki/spaces/ARBD425/pages/1080820871/getUserScheduledTransactions+Java+Integration+Service" TargetMode="External"/><Relationship Id="rId175" Type="http://schemas.openxmlformats.org/officeDocument/2006/relationships/hyperlink" Target="https://konydocs.atlassian.net/wiki/spaces/ARBD425/pages/1080821154/userCreditCheck+Java+Integration+Service" TargetMode="External"/><Relationship Id="rId196" Type="http://schemas.openxmlformats.org/officeDocument/2006/relationships/hyperlink" Target="https://konydocs.atlassian.net/wiki/spaces/ARBD425/pages/1080821734/getMessageSubCategories+Java+Integration+Service" TargetMode="External"/><Relationship Id="rId200" Type="http://schemas.openxmlformats.org/officeDocument/2006/relationships/hyperlink" Target="https://konydocs.atlassian.net/wiki/spaces/ARBD425/pages/1080821752/getPFMBarGraph+Java+Integration+Service" TargetMode="External"/><Relationship Id="rId16" Type="http://schemas.openxmlformats.org/officeDocument/2006/relationships/hyperlink" Target="https://konydocs.atlassian.net/wiki/spaces/ARBD425/pages/1080820843/verifyCVV+Java+Integration+Service" TargetMode="External"/><Relationship Id="rId37" Type="http://schemas.openxmlformats.org/officeDocument/2006/relationships/hyperlink" Target="https://konydocs.atlassian.net/wiki/spaces/ARBD425/pages/1080820317/verifyOTPPreLogin+Java+Integration+Service" TargetMode="External"/><Relationship Id="rId58" Type="http://schemas.openxmlformats.org/officeDocument/2006/relationships/hyperlink" Target="https://konydocs.atlassian.net/wiki/spaces/ARBD425/pages/1080821621/getAllAddress+Java+Integration+Service" TargetMode="External"/><Relationship Id="rId79" Type="http://schemas.openxmlformats.org/officeDocument/2006/relationships/hyperlink" Target="https://konydocs.atlassian.net/wiki/spaces/ARBD425/pages/1080820887/getAccountsPostLogin+Java+Integration+Service" TargetMode="External"/><Relationship Id="rId102" Type="http://schemas.openxmlformats.org/officeDocument/2006/relationships/hyperlink" Target="https://docs.kony.com/apps/integration/AdminConsoleServicesDocs/" TargetMode="External"/><Relationship Id="rId123" Type="http://schemas.openxmlformats.org/officeDocument/2006/relationships/hyperlink" Target="https://konydocs.atlassian.net/wiki/spaces/ARBD425/pages/1080820606/getActiveCards+Java+Integration+Service" TargetMode="External"/><Relationship Id="rId144" Type="http://schemas.openxmlformats.org/officeDocument/2006/relationships/hyperlink" Target="https://konydocs.atlassian.net/wiki/spaces/ARBD425/pages/1080820853/getSentP2PTransactions+Java+Integration+Service" TargetMode="External"/><Relationship Id="rId90" Type="http://schemas.openxmlformats.org/officeDocument/2006/relationships/hyperlink" Target="https://konydocs.atlassian.net/wiki/spaces/ARBD425/pages/1080820548/updateAccountPhone+Java+Integration+Service" TargetMode="External"/><Relationship Id="rId165" Type="http://schemas.openxmlformats.org/officeDocument/2006/relationships/hyperlink" Target="https://konydocs.atlassian.net/wiki/spaces/ARBD425/pages/1080819994/enrollUser+Java+Integration+Service" TargetMode="External"/><Relationship Id="rId186" Type="http://schemas.openxmlformats.org/officeDocument/2006/relationships/hyperlink" Target="https://konydocs.atlassian.net/wiki/spaces/ARBD425/pages/1080820859/USPSaddressValidation+USPS+XML+Integration+Service" TargetMode="External"/><Relationship Id="rId27" Type="http://schemas.openxmlformats.org/officeDocument/2006/relationships/hyperlink" Target="https://konydocs.atlassian.net/wiki/spaces/ARBD424/pages/1031440182/getSecurityQuestions+Java+Integration+Service" TargetMode="External"/><Relationship Id="rId48" Type="http://schemas.openxmlformats.org/officeDocument/2006/relationships/hyperlink" Target="https://konydocs.atlassian.net/wiki/spaces/ARBD40/pages/739770769/updateUserAccountAlert" TargetMode="External"/><Relationship Id="rId69" Type="http://schemas.openxmlformats.org/officeDocument/2006/relationships/hyperlink" Target="https://konydocs.atlassian.net/wiki/spaces/ARBD425/pages/1080820003/updateUserDetails+Java+Integration+Service" TargetMode="External"/><Relationship Id="rId113" Type="http://schemas.openxmlformats.org/officeDocument/2006/relationships/hyperlink" Target="https://konydocs.atlassian.net/wiki/spaces/ARBD425/pages/1080820643/getBillsDueForUser+Java+Integration+Service" TargetMode="External"/><Relationship Id="rId134" Type="http://schemas.openxmlformats.org/officeDocument/2006/relationships/hyperlink" Target="https://konydocs.atlassian.net/wiki/spaces/ARBD425/pages/1080820530/checkP2PEligibilityForUser+Java+Integration+Service" TargetMode="External"/><Relationship Id="rId80" Type="http://schemas.openxmlformats.org/officeDocument/2006/relationships/hyperlink" Target="https://konydocs.atlassian.net/wiki/spaces/ARBD425/pages/1080820645/getAccountTransactionsByType+Java+Integration+Service" TargetMode="External"/><Relationship Id="rId155" Type="http://schemas.openxmlformats.org/officeDocument/2006/relationships/hyperlink" Target="https://konydocs.atlassian.net/wiki/spaces/ARBD/pages/1031733733/getUserTransaction+Java+Integration+Service" TargetMode="External"/><Relationship Id="rId176" Type="http://schemas.openxmlformats.org/officeDocument/2006/relationships/hyperlink" Target="https://konydocs.atlassian.net/wiki/spaces/ARBD425/pages/1080821692/userSignatureUpload+Java+Integration+Service" TargetMode="External"/><Relationship Id="rId197" Type="http://schemas.openxmlformats.org/officeDocument/2006/relationships/hyperlink" Target="https://konydocs.atlassian.net/wiki/spaces/ARBD425/pages/1080821750/updateMessage+Java+Integration+Service" TargetMode="External"/><Relationship Id="rId201" Type="http://schemas.openxmlformats.org/officeDocument/2006/relationships/hyperlink" Target="https://konydocs.atlassian.net/wiki/spaces/ARBD425/pages/1080820043/getPFMBudgetSnapshot+Java+Integration+Service" TargetMode="External"/><Relationship Id="rId17" Type="http://schemas.openxmlformats.org/officeDocument/2006/relationships/hyperlink" Target="https://konydocs.atlassian.net/wiki/spaces/ARBD425/pages/1080821494/verifyOTP+Java+Integration+Service" TargetMode="External"/><Relationship Id="rId38" Type="http://schemas.openxmlformats.org/officeDocument/2006/relationships/hyperlink" Target="https://konydocs.atlassian.net/wiki/spaces/ARBD425/pages/1080821722/requestLoginMFAOTP+Java+Integration+Service" TargetMode="External"/><Relationship Id="rId59" Type="http://schemas.openxmlformats.org/officeDocument/2006/relationships/hyperlink" Target="https://konydocs.atlassian.net/wiki/spaces/ARBD425/pages/1080821619/getAllPhones+Java+Integration+Service" TargetMode="External"/><Relationship Id="rId103" Type="http://schemas.openxmlformats.org/officeDocument/2006/relationships/hyperlink" Target="https://docs.kony.com/apps/integration/AdminConsoleServicesDocs/" TargetMode="External"/><Relationship Id="rId124" Type="http://schemas.openxmlformats.org/officeDocument/2006/relationships/hyperlink" Target="https://konydocs.atlassian.net/wiki/spaces/ARBD425/pages/1080820211/getCardDetails+Java+Integration+Service" TargetMode="External"/><Relationship Id="rId70" Type="http://schemas.openxmlformats.org/officeDocument/2006/relationships/hyperlink" Target="https://konydocs.atlassian.net/wiki/spaces/ARBD424/pages/1031438881/updateUserSecurityQuestions+Java+Integration+Service" TargetMode="External"/><Relationship Id="rId91" Type="http://schemas.openxmlformats.org/officeDocument/2006/relationships/hyperlink" Target="https://konydocs.atlassian.net/wiki/spaces/ARBD425/pages/1080821566/updateAccountPreference+Java+Integration+Service" TargetMode="External"/><Relationship Id="rId145" Type="http://schemas.openxmlformats.org/officeDocument/2006/relationships/hyperlink" Target="https://konydocs.atlassian.net/wiki/spaces/ARBD425/pages/1080820855/updatePreferredP2PAccounts+Java+Integration+Service" TargetMode="External"/><Relationship Id="rId166" Type="http://schemas.openxmlformats.org/officeDocument/2006/relationships/hyperlink" Target="https://konydocs.atlassian.net/wiki/spaces/ARBD425/pages/1080821499/getAddressSuggestions+Google+APIs" TargetMode="External"/><Relationship Id="rId187" Type="http://schemas.openxmlformats.org/officeDocument/2006/relationships/hyperlink" Target="https://konydocs.atlassian.net/wiki/spaces/ARBD425/pages/1080821788/getDirectMarketingAds+Java+Integration+Service" TargetMode="External"/><Relationship Id="rId1" Type="http://schemas.openxmlformats.org/officeDocument/2006/relationships/hyperlink" Target="https://konydocs.atlassian.net/wiki/spaces/ARBD424/pages/1031440205/createDbxCustomer+Java+Integration+Service" TargetMode="External"/><Relationship Id="rId28" Type="http://schemas.openxmlformats.org/officeDocument/2006/relationships/hyperlink" Target="https://konydocs.atlassian.net/wiki/spaces/ARBD424/pages/1031438375/verifyPin+Java+Integration+Service" TargetMode="External"/><Relationship Id="rId49" Type="http://schemas.openxmlformats.org/officeDocument/2006/relationships/hyperlink" Target="https://konydocs.atlassian.net/wiki/spaces/ARBD425/pages/1080819958/updateUserAlert+Java+Integration+Service" TargetMode="External"/><Relationship Id="rId114" Type="http://schemas.openxmlformats.org/officeDocument/2006/relationships/hyperlink" Target="https://konydocs.atlassian.net/wiki/spaces/ARBD425/pages/1080820640/getBillsForBiller+Java+Integration+Service" TargetMode="External"/><Relationship Id="rId60" Type="http://schemas.openxmlformats.org/officeDocument/2006/relationships/hyperlink" Target="https://konydocs.atlassian.net/wiki/spaces/ARBD425/pages/1080821606/getNewBrowserCheck+Java+Integration+Service" TargetMode="External"/><Relationship Id="rId81" Type="http://schemas.openxmlformats.org/officeDocument/2006/relationships/hyperlink" Target="https://konydocs.atlassian.net/wiki/spaces/ARBD425/pages/1080819907/getAccountType+Java+Integration+Service" TargetMode="External"/><Relationship Id="rId135" Type="http://schemas.openxmlformats.org/officeDocument/2006/relationships/hyperlink" Target="https://konydocs.atlassian.net/wiki/spaces/ARBD425/pages/1080820056/createPayPerson+Java+Integration+Service" TargetMode="External"/><Relationship Id="rId156" Type="http://schemas.openxmlformats.org/officeDocument/2006/relationships/hyperlink" Target="https://konydocs.atlassian.net/wiki/spaces/ARBD425/pages/1080821447/makeTrialDeposit+Java+Integration+Service" TargetMode="External"/><Relationship Id="rId177" Type="http://schemas.openxmlformats.org/officeDocument/2006/relationships/hyperlink" Target="https://konydocs.atlassian.net/wiki/spaces/ARBD425/pages/1080819949/verifyExistingUserByEmail+Java+Integration+Service" TargetMode="External"/><Relationship Id="rId198" Type="http://schemas.openxmlformats.org/officeDocument/2006/relationships/hyperlink" Target="https://konydocs.atlassian.net/wiki/spaces/ARBD425/pages/1080820039/editPFMtransaction+Java+Integration+Service" TargetMode="External"/><Relationship Id="rId202" Type="http://schemas.openxmlformats.org/officeDocument/2006/relationships/hyperlink" Target="https://konydocs.atlassian.net/wiki/spaces/ARBD425/pages/1080819959/getPFMCategories+Java+Integration+Service" TargetMode="External"/><Relationship Id="rId18" Type="http://schemas.openxmlformats.org/officeDocument/2006/relationships/hyperlink" Target="https://konydocs.atlassian.net/wiki/spaces/ARBD425/pages/1080821093/verifyUserSecurityQuestions+Java+Integration+Service" TargetMode="External"/><Relationship Id="rId39" Type="http://schemas.openxmlformats.org/officeDocument/2006/relationships/hyperlink" Target="https://konydocs.atlassian.net/wiki/spaces/ARBD425/pages/1080821725/verifyLoginMFAOTP+Java+Integration+Service" TargetMode="External"/><Relationship Id="rId50" Type="http://schemas.openxmlformats.org/officeDocument/2006/relationships/hyperlink" Target="https://konydocs.atlassian.net/wiki/spaces/ARBD425/pages/1080820629/activateBillPaymentForUser+Java+Integration+Service" TargetMode="External"/><Relationship Id="rId104" Type="http://schemas.openxmlformats.org/officeDocument/2006/relationships/hyperlink" Target="https://docs.kony.com/apps/integration/AdminConsoleServicesDocs/" TargetMode="External"/><Relationship Id="rId125" Type="http://schemas.openxmlformats.org/officeDocument/2006/relationships/hyperlink" Target="https://konydocs.atlassian.net/wiki/spaces/ARBD425/pages/1080820649/getCardListForEnrolment+Java+Integration+Service" TargetMode="External"/><Relationship Id="rId146" Type="http://schemas.openxmlformats.org/officeDocument/2006/relationships/hyperlink" Target="https://konydocs.atlassian.net/wiki/spaces/ARBD425/pages/1080821923/createExternalAccount+Java+Integration+Service" TargetMode="External"/><Relationship Id="rId167" Type="http://schemas.openxmlformats.org/officeDocument/2006/relationships/hyperlink" Target="https://konydocs.atlassian.net/wiki/spaces/ARBD425/pages/1080821445/getAllProducts+Java+Integration+Service" TargetMode="External"/><Relationship Id="rId188" Type="http://schemas.openxmlformats.org/officeDocument/2006/relationships/hyperlink" Target="https://konydocs.atlassian.net/wiki/spaces/ARBD425/pages/1080820221/getExchangeRates+Java+Integration+Service" TargetMode="External"/><Relationship Id="rId71" Type="http://schemas.openxmlformats.org/officeDocument/2006/relationships/hyperlink" Target="https://konydocs.atlassian.net/wiki/spaces/ARBD425/pages/1080820847/verifyExistingPassword+Java+Integration+Service" TargetMode="External"/><Relationship Id="rId92" Type="http://schemas.openxmlformats.org/officeDocument/2006/relationships/hyperlink" Target="https://konydocs.atlassian.net/wiki/spaces/ARBD425/pages/1080820661/updateFavouriteStatus+Java+Integration+Service" TargetMode="External"/><Relationship Id="rId2" Type="http://schemas.openxmlformats.org/officeDocument/2006/relationships/hyperlink" Target="https://konydocs.atlassian.net/wiki/spaces/ARBD424/pages/1031439228/createUserSecurityQuestions+Java+Integration+Service" TargetMode="External"/><Relationship Id="rId29" Type="http://schemas.openxmlformats.org/officeDocument/2006/relationships/hyperlink" Target="https://konydocs.atlassian.net/wiki/spaces/ARBD425/pages/1080821006/getCustomerCommunication+Java+Integration+Service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konydocs.atlassian.net/wiki/spaces/ARBD425/pages/1080821100/updateTransaction+Java+Integration+Service" TargetMode="External"/><Relationship Id="rId21" Type="http://schemas.openxmlformats.org/officeDocument/2006/relationships/hyperlink" Target="https://konydocs.atlassian.net/wiki/spaces/ARBD425/pages/1080820602/checkUserEnrolled+Java+Integration+Service" TargetMode="External"/><Relationship Id="rId42" Type="http://schemas.openxmlformats.org/officeDocument/2006/relationships/hyperlink" Target="https://konydocs.atlassian.net/wiki/spaces/ARBD425/pages/1080821932/getDbxUserStatus+Java+Integration+Service" TargetMode="External"/><Relationship Id="rId63" Type="http://schemas.openxmlformats.org/officeDocument/2006/relationships/hyperlink" Target="https://konydocs.atlassian.net/wiki/spaces/ARBD425/pages/1080820046/getUserAlerts+Java+Integration+Service" TargetMode="External"/><Relationship Id="rId84" Type="http://schemas.openxmlformats.org/officeDocument/2006/relationships/hyperlink" Target="https://konydocs.atlassian.net/wiki/spaces/ARBD425/pages/1080820865/updatePhone+Java+Integration+Service" TargetMode="External"/><Relationship Id="rId138" Type="http://schemas.openxmlformats.org/officeDocument/2006/relationships/hyperlink" Target="https://konydocs.atlassian.net/wiki/spaces/ARBD425/pages/1080820655/searchBillerByName+Java+Integration+Service" TargetMode="External"/><Relationship Id="rId159" Type="http://schemas.openxmlformats.org/officeDocument/2006/relationships/hyperlink" Target="https://konydocs.atlassian.net/wiki/spaces/ARBD425/pages/1080821532/getPostedTransferAndP2PTransactions+Java+Integration+Service" TargetMode="External"/><Relationship Id="rId170" Type="http://schemas.openxmlformats.org/officeDocument/2006/relationships/hyperlink" Target="https://konydocs.atlassian.net/wiki/spaces/ARBD425/pages/1080820653/getOtherBankAccount+Java+Integration+Service" TargetMode="External"/><Relationship Id="rId191" Type="http://schemas.openxmlformats.org/officeDocument/2006/relationships/hyperlink" Target="https://konydocs.atlassian.net/wiki/spaces/ARBD425/pages/1080821614/getUserState+Java+Integration+Service" TargetMode="External"/><Relationship Id="rId205" Type="http://schemas.openxmlformats.org/officeDocument/2006/relationships/hyperlink" Target="https://konydocs.atlassian.net/wiki/spaces/ARBD425/pages/1080821788/getDirectMarketingAds+Java+Integration+Service" TargetMode="External"/><Relationship Id="rId107" Type="http://schemas.openxmlformats.org/officeDocument/2006/relationships/hyperlink" Target="https://konydocs.atlassian.net/wiki/spaces/ARBD425/pages/1080819972/updateAccountName+Java+Integration+Service" TargetMode="External"/><Relationship Id="rId11" Type="http://schemas.openxmlformats.org/officeDocument/2006/relationships/hyperlink" Target="https://konydocs.atlassian.net/wiki/spaces/ARBD425/pages/1080820823/verifyDbxUserName+Java+Integration+Service" TargetMode="External"/><Relationship Id="rId32" Type="http://schemas.openxmlformats.org/officeDocument/2006/relationships/hyperlink" Target="https://konydocs.atlassian.net/wiki/spaces/ARBD425/pages/1080820130/registerDevice+Java+Integration+Service" TargetMode="External"/><Relationship Id="rId53" Type="http://schemas.openxmlformats.org/officeDocument/2006/relationships/hyperlink" Target="https://konydocs.atlassian.net/wiki/spaces/ARBD425/pages/1080820207/updateDbxUserPassword+Java+Integration+Service" TargetMode="External"/><Relationship Id="rId74" Type="http://schemas.openxmlformats.org/officeDocument/2006/relationships/hyperlink" Target="https://konydocs.atlassian.net/wiki/spaces/ARBD425/pages/1080820552/deleteAddress+Java+Integration+Service" TargetMode="External"/><Relationship Id="rId128" Type="http://schemas.openxmlformats.org/officeDocument/2006/relationships/hyperlink" Target="https://konydocs.atlassian.net/wiki/spaces/ARBD425/pages/1080820610/getBillerCategories+Java+Integration+Service" TargetMode="External"/><Relationship Id="rId149" Type="http://schemas.openxmlformats.org/officeDocument/2006/relationships/hyperlink" Target="https://konydocs.atlassian.net/wiki/spaces/ARBD425/pages/1080821116/Remote+Deposit+Capture+RDC" TargetMode="External"/><Relationship Id="rId5" Type="http://schemas.openxmlformats.org/officeDocument/2006/relationships/hyperlink" Target="https://konydocs.atlassian.net/wiki/spaces/ARBD425/pages/1080821955/getOrganizationName" TargetMode="External"/><Relationship Id="rId95" Type="http://schemas.openxmlformats.org/officeDocument/2006/relationships/hyperlink" Target="https://konydocs.atlassian.net/wiki/spaces/ARBD425/pages/1080820803/getAccountPostedTransactions+Java+Integration+Service" TargetMode="External"/><Relationship Id="rId160" Type="http://schemas.openxmlformats.org/officeDocument/2006/relationships/hyperlink" Target="https://konydocs.atlassian.net/wiki/spaces/ARBD425/pages/1080820651/getRecentPayPerson+Java+Integration+Service" TargetMode="External"/><Relationship Id="rId181" Type="http://schemas.openxmlformats.org/officeDocument/2006/relationships/hyperlink" Target="https://konydocs.atlassian.net/wiki/spaces/ARBD425/pages/1080821410/createUserProducts+Java+Integration+Service" TargetMode="External"/><Relationship Id="rId216" Type="http://schemas.openxmlformats.org/officeDocument/2006/relationships/hyperlink" Target="https://konydocs.atlassian.net/wiki/spaces/ARBD425/pages/1080820039/editPFMtransaction+Java+Integration+Service" TargetMode="External"/><Relationship Id="rId22" Type="http://schemas.openxmlformats.org/officeDocument/2006/relationships/hyperlink" Target="https://konydocs.atlassian.net/wiki/spaces/ARBD424/pages/1031439317/deletePin+Java+Integration+Service" TargetMode="External"/><Relationship Id="rId43" Type="http://schemas.openxmlformats.org/officeDocument/2006/relationships/hyperlink" Target="https://konydocs.atlassian.net/wiki/spaces/ARBD425/pages/1080821953/smsOTP+Java+Integration+Service" TargetMode="External"/><Relationship Id="rId64" Type="http://schemas.openxmlformats.org/officeDocument/2006/relationships/hyperlink" Target="https://konydocs.atlassian.net/wiki/spaces/ARBD425/pages/1080821476/checkSecureAccessCode+Java+Integration+Service" TargetMode="External"/><Relationship Id="rId118" Type="http://schemas.openxmlformats.org/officeDocument/2006/relationships/hyperlink" Target="http://docsdirect.kony.com/apps/integration/AdminConsoleServicesDocs/" TargetMode="External"/><Relationship Id="rId139" Type="http://schemas.openxmlformats.org/officeDocument/2006/relationships/hyperlink" Target="https://konydocs.atlassian.net/wiki/spaces/ARBD425/pages/1080820861/updatePreferredBillPayAccount+Java+Integration+Service" TargetMode="External"/><Relationship Id="rId85" Type="http://schemas.openxmlformats.org/officeDocument/2006/relationships/hyperlink" Target="https://konydocs.atlassian.net/wiki/spaces/ARBD425/pages/1080821483/updateSecureAccessCode+Java+Integration+Service" TargetMode="External"/><Relationship Id="rId150" Type="http://schemas.openxmlformats.org/officeDocument/2006/relationships/hyperlink" Target="https://konydocs.atlassian.net/wiki/spaces/ARBD425/pages/1080820608/getDisputedTransactions+Java+Integration+Service" TargetMode="External"/><Relationship Id="rId171" Type="http://schemas.openxmlformats.org/officeDocument/2006/relationships/hyperlink" Target="https://konydocs.atlassian.net/wiki/spaces/ARBD425/pages/1080821649/getToExternalAccountTransactions+Java+Integration+Service" TargetMode="External"/><Relationship Id="rId192" Type="http://schemas.openxmlformats.org/officeDocument/2006/relationships/hyperlink" Target="https://konydocs.atlassian.net/wiki/spaces/ARBD425/pages/1080819901/uploadDocuments+Java+Integration+Service" TargetMode="External"/><Relationship Id="rId206" Type="http://schemas.openxmlformats.org/officeDocument/2006/relationships/hyperlink" Target="https://konydocs.atlassian.net/wiki/spaces/ARBD425/pages/1080820221/getExchangeRates+Java+Integration+Service" TargetMode="External"/><Relationship Id="rId12" Type="http://schemas.openxmlformats.org/officeDocument/2006/relationships/hyperlink" Target="https://konydocs.atlassian.net/wiki/spaces/ARBD425/pages/1080821236/CreateOrganizationEmployee" TargetMode="External"/><Relationship Id="rId33" Type="http://schemas.openxmlformats.org/officeDocument/2006/relationships/hyperlink" Target="https://konydocs.atlassian.net/wiki/spaces/ARBD425/pages/1080820596/resetUserPassword+Java+Integration+Service" TargetMode="External"/><Relationship Id="rId108" Type="http://schemas.openxmlformats.org/officeDocument/2006/relationships/hyperlink" Target="https://konydocs.atlassian.net/wiki/spaces/ARBD425/pages/1080820548/updateAccountPhone+Java+Integration+Service" TargetMode="External"/><Relationship Id="rId129" Type="http://schemas.openxmlformats.org/officeDocument/2006/relationships/hyperlink" Target="https://konydocs.atlassian.net/wiki/spaces/ARBD425/pages/1080820202/getBillerCompany+Java+Integration+Service" TargetMode="External"/><Relationship Id="rId54" Type="http://schemas.openxmlformats.org/officeDocument/2006/relationships/hyperlink" Target="https://konydocs.atlassian.net/wiki/spaces/ARBD425/pages/1080821713/requestEnrollOTP+Java+Integration+Service" TargetMode="External"/><Relationship Id="rId75" Type="http://schemas.openxmlformats.org/officeDocument/2006/relationships/hyperlink" Target="https://konydocs.atlassian.net/wiki/spaces/ARBD425/pages/1080821426/deletePhone+Java+Integration+Service" TargetMode="External"/><Relationship Id="rId96" Type="http://schemas.openxmlformats.org/officeDocument/2006/relationships/hyperlink" Target="https://konydocs.atlassian.net/wiki/spaces/ARBD425/pages/1080819735/getAccounts+Java+Integration+Service" TargetMode="External"/><Relationship Id="rId140" Type="http://schemas.openxmlformats.org/officeDocument/2006/relationships/hyperlink" Target="https://konydocs.atlassian.net/wiki/spaces/ARBD425/pages/1080820875/deleteTransactionsForLockedCard+Java+Integration+Service" TargetMode="External"/><Relationship Id="rId161" Type="http://schemas.openxmlformats.org/officeDocument/2006/relationships/hyperlink" Target="https://konydocs.atlassian.net/wiki/spaces/ARBD425/pages/1080821490/getScheduledTransferAndP2PTransactions+Java+Integration+Service" TargetMode="External"/><Relationship Id="rId182" Type="http://schemas.openxmlformats.org/officeDocument/2006/relationships/hyperlink" Target="https://konydocs.atlassian.net/wiki/spaces/ARBD425/pages/1080821341/deleteNewUserPersonalInfo+Java+Integration+Service" TargetMode="External"/><Relationship Id="rId217" Type="http://schemas.openxmlformats.org/officeDocument/2006/relationships/hyperlink" Target="https://konydocs.atlassian.net/wiki/spaces/ARBD425/pages/1080821298/getChartTransactions+Java+Integration+Service" TargetMode="External"/><Relationship Id="rId6" Type="http://schemas.openxmlformats.org/officeDocument/2006/relationships/hyperlink" Target="https://konydocs.atlassian.net/wiki/spaces/ARBD425/pages/1080820925/getOrgEmployeeDetails+Java+Integration+Service" TargetMode="External"/><Relationship Id="rId23" Type="http://schemas.openxmlformats.org/officeDocument/2006/relationships/hyperlink" Target="https://konydocs.atlassian.net/wiki/spaces/ARBD425/pages/1080820190/deviceRegistrationStatus+Java+Integration+Service" TargetMode="External"/><Relationship Id="rId119" Type="http://schemas.openxmlformats.org/officeDocument/2006/relationships/hyperlink" Target="https://docs.kony.com/apps/integration/AdminConsoleServicesDocs/" TargetMode="External"/><Relationship Id="rId44" Type="http://schemas.openxmlformats.org/officeDocument/2006/relationships/hyperlink" Target="https://konydocs.atlassian.net/wiki/spaces/ARBD425/pages/1080820835/dbxRequestOTP+Java+Integration+Service" TargetMode="External"/><Relationship Id="rId65" Type="http://schemas.openxmlformats.org/officeDocument/2006/relationships/hyperlink" Target="https://konydocs.atlassian.net/wiki/spaces/ARBD425/pages/1080821484/updateReadCount+Java+Integration+Service" TargetMode="External"/><Relationship Id="rId86" Type="http://schemas.openxmlformats.org/officeDocument/2006/relationships/hyperlink" Target="https://konydocs.atlassian.net/wiki/spaces/ARBD424/pages/1031438732/updateUserAccountSettings+Java+Integration+Service" TargetMode="External"/><Relationship Id="rId130" Type="http://schemas.openxmlformats.org/officeDocument/2006/relationships/hyperlink" Target="https://konydocs.atlassian.net/wiki/spaces/ARBD425/pages/1080821615/getBillerMasters+Java+Integration+Service" TargetMode="External"/><Relationship Id="rId151" Type="http://schemas.openxmlformats.org/officeDocument/2006/relationships/hyperlink" Target="https://konydocs.atlassian.net/wiki/spaces/ARBD425/pages/1080820839/getStopCheckPaymentRequestTransactions+Java+Integration+Service" TargetMode="External"/><Relationship Id="rId172" Type="http://schemas.openxmlformats.org/officeDocument/2006/relationships/hyperlink" Target="https://konydocs.atlassian.net/wiki/spaces/ARBD425/pages/1080820871/getUserScheduledTransactions+Java+Integration+Service" TargetMode="External"/><Relationship Id="rId193" Type="http://schemas.openxmlformats.org/officeDocument/2006/relationships/hyperlink" Target="https://konydocs.atlassian.net/wiki/spaces/ARBD425/pages/1080821154/userCreditCheck+Java+Integration+Service" TargetMode="External"/><Relationship Id="rId207" Type="http://schemas.openxmlformats.org/officeDocument/2006/relationships/hyperlink" Target="https://konydocs.atlassian.net/wiki/spaces/ARBD425/pages/1080820101/getInformationContent+-+Rates+Java+Integration+Service" TargetMode="External"/><Relationship Id="rId13" Type="http://schemas.openxmlformats.org/officeDocument/2006/relationships/hyperlink" Target="https://konydocs.atlassian.net/wiki/spaces/ARBD425/pages/1080821956/getMembershipAccounts+Java+Integration+Service" TargetMode="External"/><Relationship Id="rId109" Type="http://schemas.openxmlformats.org/officeDocument/2006/relationships/hyperlink" Target="https://konydocs.atlassian.net/wiki/spaces/ARBD425/pages/1080821566/updateAccountPreference+Java+Integration+Service" TargetMode="External"/><Relationship Id="rId34" Type="http://schemas.openxmlformats.org/officeDocument/2006/relationships/hyperlink" Target="https://konydocs.atlassian.net/wiki/spaces/ARBD425/pages/1080820843/verifyCVV+Java+Integration+Service" TargetMode="External"/><Relationship Id="rId55" Type="http://schemas.openxmlformats.org/officeDocument/2006/relationships/hyperlink" Target="https://konydocs.atlassian.net/wiki/spaces/ARBD425/pages/1080820317/verifyOTPPreLogin+Java+Integration+Service" TargetMode="External"/><Relationship Id="rId76" Type="http://schemas.openxmlformats.org/officeDocument/2006/relationships/hyperlink" Target="https://konydocs.atlassian.net/wiki/spaces/ARBD425/pages/1080821621/getAllAddress+Java+Integration+Service" TargetMode="External"/><Relationship Id="rId97" Type="http://schemas.openxmlformats.org/officeDocument/2006/relationships/hyperlink" Target="https://konydocs.atlassian.net/wiki/spaces/ARBD425/pages/1080820887/getAccountsPostLogin+Java+Integration+Service" TargetMode="External"/><Relationship Id="rId120" Type="http://schemas.openxmlformats.org/officeDocument/2006/relationships/hyperlink" Target="https://docs.kony.com/apps/integration/AdminConsoleServicesDocs/" TargetMode="External"/><Relationship Id="rId141" Type="http://schemas.openxmlformats.org/officeDocument/2006/relationships/hyperlink" Target="https://konydocs.atlassian.net/wiki/spaces/ARBD425/pages/1080820606/getActiveCards+Java+Integration+Service" TargetMode="External"/><Relationship Id="rId7" Type="http://schemas.openxmlformats.org/officeDocument/2006/relationships/hyperlink" Target="https://konydocs.atlassian.net/wiki/spaces/ARBD422/pages/1015743045/getDbxOrganizationDetails+Java+Integration+Service" TargetMode="External"/><Relationship Id="rId162" Type="http://schemas.openxmlformats.org/officeDocument/2006/relationships/hyperlink" Target="https://konydocs.atlassian.net/wiki/spaces/ARBD425/pages/1080820853/getSentP2PTransactions+Java+Integration+Service" TargetMode="External"/><Relationship Id="rId183" Type="http://schemas.openxmlformats.org/officeDocument/2006/relationships/hyperlink" Target="https://konydocs.atlassian.net/wiki/spaces/ARBD425/pages/1080819994/enrollUser+Java+Integration+Service" TargetMode="External"/><Relationship Id="rId218" Type="http://schemas.openxmlformats.org/officeDocument/2006/relationships/hyperlink" Target="https://konydocs.atlassian.net/wiki/spaces/ARBD425/pages/1080821752/getPFMBarGraph+Java+Integration+Service" TargetMode="External"/><Relationship Id="rId24" Type="http://schemas.openxmlformats.org/officeDocument/2006/relationships/hyperlink" Target="https://konydocs.atlassian.net/wiki/spaces/ARBD425/pages/1080820137/deRegisterDevice+Java+Integration+Service" TargetMode="External"/><Relationship Id="rId45" Type="http://schemas.openxmlformats.org/officeDocument/2006/relationships/hyperlink" Target="https://konydocs.atlassian.net/wiki/spaces/ARBD424/pages/1031440182/getSecurityQuestions+Java+Integration+Service" TargetMode="External"/><Relationship Id="rId66" Type="http://schemas.openxmlformats.org/officeDocument/2006/relationships/hyperlink" Target="https://konydocs.atlassian.net/wiki/spaces/ARBD40/pages/739770769/updateUserAccountAlert" TargetMode="External"/><Relationship Id="rId87" Type="http://schemas.openxmlformats.org/officeDocument/2006/relationships/hyperlink" Target="https://konydocs.atlassian.net/wiki/spaces/ARBD425/pages/1080820003/updateUserDetails+Java+Integration+Service" TargetMode="External"/><Relationship Id="rId110" Type="http://schemas.openxmlformats.org/officeDocument/2006/relationships/hyperlink" Target="https://konydocs.atlassian.net/wiki/spaces/ARBD425/pages/1080820661/updateFavouriteStatus+Java+Integration+Service" TargetMode="External"/><Relationship Id="rId131" Type="http://schemas.openxmlformats.org/officeDocument/2006/relationships/hyperlink" Target="https://konydocs.atlassian.net/wiki/spaces/ARBD425/pages/1080820643/getBillsDueForUser+Java+Integration+Service" TargetMode="External"/><Relationship Id="rId152" Type="http://schemas.openxmlformats.org/officeDocument/2006/relationships/hyperlink" Target="https://konydocs.atlassian.net/wiki/spaces/ARBD425/pages/1080820530/checkP2PEligibilityForUser+Java+Integration+Service" TargetMode="External"/><Relationship Id="rId173" Type="http://schemas.openxmlformats.org/officeDocument/2006/relationships/hyperlink" Target="https://konydocs.atlassian.net/wiki/spaces/ARBD/pages/1031733733/getUserTransaction+Java+Integration+Service" TargetMode="External"/><Relationship Id="rId194" Type="http://schemas.openxmlformats.org/officeDocument/2006/relationships/hyperlink" Target="https://konydocs.atlassian.net/wiki/spaces/ARBD425/pages/1080821692/userSignatureUpload+Java+Integration+Service" TargetMode="External"/><Relationship Id="rId208" Type="http://schemas.openxmlformats.org/officeDocument/2006/relationships/hyperlink" Target="https://konydocs.atlassian.net/wiki/spaces/ARBD425/pages/1080820095/getInterestRates+Java+Integration+Service" TargetMode="External"/><Relationship Id="rId14" Type="http://schemas.openxmlformats.org/officeDocument/2006/relationships/hyperlink" Target="https://konydocs.atlassian.net/wiki/spaces/ARBD425/pages/1080821865/SetOrgEmployeePassword" TargetMode="External"/><Relationship Id="rId35" Type="http://schemas.openxmlformats.org/officeDocument/2006/relationships/hyperlink" Target="https://konydocs.atlassian.net/wiki/spaces/ARBD425/pages/1080821494/verifyOTP+Java+Integration+Service" TargetMode="External"/><Relationship Id="rId56" Type="http://schemas.openxmlformats.org/officeDocument/2006/relationships/hyperlink" Target="https://konydocs.atlassian.net/wiki/spaces/ARBD425/pages/1080821722/requestLoginMFAOTP+Java+Integration+Service" TargetMode="External"/><Relationship Id="rId77" Type="http://schemas.openxmlformats.org/officeDocument/2006/relationships/hyperlink" Target="https://konydocs.atlassian.net/wiki/spaces/ARBD425/pages/1080821619/getAllPhones+Java+Integration+Service" TargetMode="External"/><Relationship Id="rId100" Type="http://schemas.openxmlformats.org/officeDocument/2006/relationships/hyperlink" Target="https://konydocs.atlassian.net/wiki/spaces/ARBD425/pages/1080821612/getExternalTransactions+Java+Integration+Service" TargetMode="External"/><Relationship Id="rId8" Type="http://schemas.openxmlformats.org/officeDocument/2006/relationships/hyperlink" Target="https://konydocs.atlassian.net/wiki/spaces/ARBD425/pages/1080820917/OFACAndCIPChecks+Java+Integration+Service" TargetMode="External"/><Relationship Id="rId51" Type="http://schemas.openxmlformats.org/officeDocument/2006/relationships/hyperlink" Target="https://konydocs.atlassian.net/wiki/spaces/ARBD425/pages/1080821009/getAPIPasswordLockoutSettings+Java+Integration+Service" TargetMode="External"/><Relationship Id="rId72" Type="http://schemas.openxmlformats.org/officeDocument/2006/relationships/hyperlink" Target="https://konydocs.atlassian.net/wiki/spaces/ARBD425/pages/1080820877/createPhone+Java+Integration+Service" TargetMode="External"/><Relationship Id="rId93" Type="http://schemas.openxmlformats.org/officeDocument/2006/relationships/hyperlink" Target="https://konydocs.atlassian.net/wiki/spaces/ARBD425/pages/1080820518/getAccountPendingTransactions+Java+Integration+Service" TargetMode="External"/><Relationship Id="rId98" Type="http://schemas.openxmlformats.org/officeDocument/2006/relationships/hyperlink" Target="https://konydocs.atlassian.net/wiki/spaces/ARBD425/pages/1080820645/getAccountTransactionsByType+Java+Integration+Service" TargetMode="External"/><Relationship Id="rId121" Type="http://schemas.openxmlformats.org/officeDocument/2006/relationships/hyperlink" Target="https://docs.kony.com/apps/integration/AdminConsoleServicesDocs/" TargetMode="External"/><Relationship Id="rId142" Type="http://schemas.openxmlformats.org/officeDocument/2006/relationships/hyperlink" Target="https://konydocs.atlassian.net/wiki/spaces/ARBD425/pages/1080820211/getCardDetails+Java+Integration+Service" TargetMode="External"/><Relationship Id="rId163" Type="http://schemas.openxmlformats.org/officeDocument/2006/relationships/hyperlink" Target="https://konydocs.atlassian.net/wiki/spaces/ARBD425/pages/1080820855/updatePreferredP2PAccounts+Java+Integration+Service" TargetMode="External"/><Relationship Id="rId184" Type="http://schemas.openxmlformats.org/officeDocument/2006/relationships/hyperlink" Target="https://konydocs.atlassian.net/wiki/spaces/ARBD425/pages/1080821499/getAddressSuggestions+Google+APIs" TargetMode="External"/><Relationship Id="rId189" Type="http://schemas.openxmlformats.org/officeDocument/2006/relationships/hyperlink" Target="https://konydocs.atlassian.net/wiki/spaces/ARBD425/pages/1080819977/getUserPersonalInfo+Java+Integration+Service" TargetMode="External"/><Relationship Id="rId219" Type="http://schemas.openxmlformats.org/officeDocument/2006/relationships/hyperlink" Target="https://konydocs.atlassian.net/wiki/spaces/ARBD425/pages/1080820043/getPFMBudgetSnapshot+Java+Integration+Service" TargetMode="External"/><Relationship Id="rId3" Type="http://schemas.openxmlformats.org/officeDocument/2006/relationships/hyperlink" Target="https://konydocs.atlassian.net/wiki/spaces/ARBD425/pages/1080821236/CreateOrganizationEmployee" TargetMode="External"/><Relationship Id="rId214" Type="http://schemas.openxmlformats.org/officeDocument/2006/relationships/hyperlink" Target="https://konydocs.atlassian.net/wiki/spaces/ARBD425/pages/1080821734/getMessageSubCategories+Java+Integration+Service" TargetMode="External"/><Relationship Id="rId25" Type="http://schemas.openxmlformats.org/officeDocument/2006/relationships/hyperlink" Target="https://konydocs.atlassian.net/wiki/spaces/ARBD425/pages/1080821454/fetchUserName+Java+Integration+Service" TargetMode="External"/><Relationship Id="rId46" Type="http://schemas.openxmlformats.org/officeDocument/2006/relationships/hyperlink" Target="https://konydocs.atlassian.net/wiki/spaces/ARBD424/pages/1031438375/verifyPin+Java+Integration+Service" TargetMode="External"/><Relationship Id="rId67" Type="http://schemas.openxmlformats.org/officeDocument/2006/relationships/hyperlink" Target="https://konydocs.atlassian.net/wiki/spaces/ARBD425/pages/1080819958/updateUserAlert+Java+Integration+Service" TargetMode="External"/><Relationship Id="rId116" Type="http://schemas.openxmlformats.org/officeDocument/2006/relationships/hyperlink" Target="https://konydocs.atlassian.net/wiki/spaces/ARBD425/pages/1080821736/getTimePeriod+Java+Integration+Service" TargetMode="External"/><Relationship Id="rId137" Type="http://schemas.openxmlformats.org/officeDocument/2006/relationships/hyperlink" Target="https://konydocs.atlassian.net/wiki/spaces/ARBD425/pages/1080821537/getUsersScheduledBills+Java+Integration+Service" TargetMode="External"/><Relationship Id="rId158" Type="http://schemas.openxmlformats.org/officeDocument/2006/relationships/hyperlink" Target="https://konydocs.atlassian.net/wiki/spaces/ARBD425/pages/1080819998/getPayPersonList+Java+Integration+Service" TargetMode="External"/><Relationship Id="rId20" Type="http://schemas.openxmlformats.org/officeDocument/2006/relationships/hyperlink" Target="https://konydocs.atlassian.net/wiki/spaces/ARBD424/pages/1031439228/createUserSecurityQuestions+Java+Integration+Service" TargetMode="External"/><Relationship Id="rId41" Type="http://schemas.openxmlformats.org/officeDocument/2006/relationships/hyperlink" Target="https://konydocs.atlassian.net/wiki/spaces/ARBD425/pages/1080820562/updateDbxUserStatus+Java+Integration+Service" TargetMode="External"/><Relationship Id="rId62" Type="http://schemas.openxmlformats.org/officeDocument/2006/relationships/hyperlink" Target="https://konydocs.atlassian.net/wiki/spaces/ARBD425/pages/1080820022/getUserAccountAlerts+Java+Integration+Service" TargetMode="External"/><Relationship Id="rId83" Type="http://schemas.openxmlformats.org/officeDocument/2006/relationships/hyperlink" Target="https://konydocs.atlassian.net/wiki/spaces/ARBD425/pages/1080820881/updateAddress+Java+Integration+Service" TargetMode="External"/><Relationship Id="rId88" Type="http://schemas.openxmlformats.org/officeDocument/2006/relationships/hyperlink" Target="https://konydocs.atlassian.net/wiki/spaces/ARBD424/pages/1031438881/updateUserSecurityQuestions+Java+Integration+Service" TargetMode="External"/><Relationship Id="rId111" Type="http://schemas.openxmlformats.org/officeDocument/2006/relationships/hyperlink" Target="https://konyone.sharepoint.com/sites/pwa/UECU/Shared%20Documents/API%20Docs/Doxim%20ECM%20WebAPI%20and%20DSSO%20SDK%20v1_1.pdf" TargetMode="External"/><Relationship Id="rId132" Type="http://schemas.openxmlformats.org/officeDocument/2006/relationships/hyperlink" Target="https://konydocs.atlassian.net/wiki/spaces/ARBD425/pages/1080820640/getBillsForBiller+Java+Integration+Service" TargetMode="External"/><Relationship Id="rId153" Type="http://schemas.openxmlformats.org/officeDocument/2006/relationships/hyperlink" Target="https://konydocs.atlassian.net/wiki/spaces/ARBD425/pages/1080820056/createPayPerson+Java+Integration+Service" TargetMode="External"/><Relationship Id="rId174" Type="http://schemas.openxmlformats.org/officeDocument/2006/relationships/hyperlink" Target="https://konydocs.atlassian.net/wiki/spaces/ARBD425/pages/1080821447/makeTrialDeposit+Java+Integration+Service" TargetMode="External"/><Relationship Id="rId179" Type="http://schemas.openxmlformats.org/officeDocument/2006/relationships/hyperlink" Target="https://konydocs.atlassian.net/wiki/spaces/ARBD425/pages/1080820883/createOlbUser+Java+Integration+Service" TargetMode="External"/><Relationship Id="rId195" Type="http://schemas.openxmlformats.org/officeDocument/2006/relationships/hyperlink" Target="https://konydocs.atlassian.net/wiki/spaces/ARBD425/pages/1080819949/verifyExistingUserByEmail+Java+Integration+Service" TargetMode="External"/><Relationship Id="rId209" Type="http://schemas.openxmlformats.org/officeDocument/2006/relationships/hyperlink" Target="https://konydocs.atlassian.net/wiki/spaces/ARBD425/pages/1080821740/createMessage+Java+Integration+Service" TargetMode="External"/><Relationship Id="rId190" Type="http://schemas.openxmlformats.org/officeDocument/2006/relationships/hyperlink" Target="https://konydocs.atlassian.net/wiki/spaces/ARBD425/pages/1080819953/getUserProducts+Java+Integration+Service" TargetMode="External"/><Relationship Id="rId204" Type="http://schemas.openxmlformats.org/officeDocument/2006/relationships/hyperlink" Target="https://konydocs.atlassian.net/wiki/spaces/ARBD425/pages/1080820859/USPSaddressValidation+USPS+XML+Integration+Service" TargetMode="External"/><Relationship Id="rId220" Type="http://schemas.openxmlformats.org/officeDocument/2006/relationships/hyperlink" Target="https://konydocs.atlassian.net/wiki/spaces/ARBD425/pages/1080819959/getPFMCategories+Java+Integration+Service" TargetMode="External"/><Relationship Id="rId15" Type="http://schemas.openxmlformats.org/officeDocument/2006/relationships/hyperlink" Target="https://konydocs.atlassian.net/wiki/spaces/ARBD425/pages/1080821224/ResendOrgEmployeeActivationLink" TargetMode="External"/><Relationship Id="rId36" Type="http://schemas.openxmlformats.org/officeDocument/2006/relationships/hyperlink" Target="https://konydocs.atlassian.net/wiki/spaces/ARBD425/pages/1080821093/verifyUserSecurityQuestions+Java+Integration+Service" TargetMode="External"/><Relationship Id="rId57" Type="http://schemas.openxmlformats.org/officeDocument/2006/relationships/hyperlink" Target="https://konydocs.atlassian.net/wiki/spaces/ARBD425/pages/1080821725/verifyLoginMFAOTP+Java+Integration+Service" TargetMode="External"/><Relationship Id="rId106" Type="http://schemas.openxmlformats.org/officeDocument/2006/relationships/hyperlink" Target="https://konydocs.atlassian.net/wiki/spaces/ARBD425/pages/1080820566/getTransactionsDownloaded+Java+Integration+Service" TargetMode="External"/><Relationship Id="rId127" Type="http://schemas.openxmlformats.org/officeDocument/2006/relationships/hyperlink" Target="https://konydocs.atlassian.net/wiki/spaces/ARBD425/pages/1080820055/editPayee+Java+Integration+Service" TargetMode="External"/><Relationship Id="rId10" Type="http://schemas.openxmlformats.org/officeDocument/2006/relationships/hyperlink" Target="https://konydocs.atlassian.net/wiki/spaces/ARBD425/pages/1080820562/updateDbxUserStatus+Java+Integration+Service" TargetMode="External"/><Relationship Id="rId31" Type="http://schemas.openxmlformats.org/officeDocument/2006/relationships/hyperlink" Target="https://konydocs.atlassian.net/wiki/spaces/ARBD425/pages/1080821536/logout+Java+Integration+Service" TargetMode="External"/><Relationship Id="rId52" Type="http://schemas.openxmlformats.org/officeDocument/2006/relationships/hyperlink" Target="https://konydocs.atlassian.net/wiki/spaces/ARBD425/pages/1080821015/getPasswordLockoutSettings+Java+Integration+Service" TargetMode="External"/><Relationship Id="rId73" Type="http://schemas.openxmlformats.org/officeDocument/2006/relationships/hyperlink" Target="https://konydocs.atlassian.net/wiki/spaces/ARBD425/pages/1080821526/createUserFeedback+Java+Integration+Service" TargetMode="External"/><Relationship Id="rId78" Type="http://schemas.openxmlformats.org/officeDocument/2006/relationships/hyperlink" Target="https://konydocs.atlassian.net/wiki/spaces/ARBD425/pages/1080821606/getNewBrowserCheck+Java+Integration+Service" TargetMode="External"/><Relationship Id="rId94" Type="http://schemas.openxmlformats.org/officeDocument/2006/relationships/hyperlink" Target="https://konydocs.atlassian.net/wiki/spaces/ARBD425/pages/1080820528/lockUnlockUser+Java+Integration+Service" TargetMode="External"/><Relationship Id="rId99" Type="http://schemas.openxmlformats.org/officeDocument/2006/relationships/hyperlink" Target="https://konydocs.atlassian.net/wiki/spaces/ARBD425/pages/1080819907/getAccountType+Java+Integration+Service" TargetMode="External"/><Relationship Id="rId101" Type="http://schemas.openxmlformats.org/officeDocument/2006/relationships/hyperlink" Target="https://konydocs.atlassian.net/wiki/spaces/ARBD425/pages/1080820576/getFrequentOtherBankAccounts+Java+Integration+Service" TargetMode="External"/><Relationship Id="rId122" Type="http://schemas.openxmlformats.org/officeDocument/2006/relationships/hyperlink" Target="https://docs.kony.com/apps/integration/AdminConsoleServicesDocs/" TargetMode="External"/><Relationship Id="rId143" Type="http://schemas.openxmlformats.org/officeDocument/2006/relationships/hyperlink" Target="https://konydocs.atlassian.net/wiki/spaces/ARBD425/pages/1080820649/getCardListForEnrolment+Java+Integration+Service" TargetMode="External"/><Relationship Id="rId148" Type="http://schemas.openxmlformats.org/officeDocument/2006/relationships/hyperlink" Target="https://konydocs.atlassian.net/wiki/spaces/ARBD425/pages/1080821116/Remote+Deposit+Capture+RDC" TargetMode="External"/><Relationship Id="rId164" Type="http://schemas.openxmlformats.org/officeDocument/2006/relationships/hyperlink" Target="https://konydocs.atlassian.net/wiki/spaces/ARBD425/pages/1080821923/createExternalAccount+Java+Integration+Service" TargetMode="External"/><Relationship Id="rId169" Type="http://schemas.openxmlformats.org/officeDocument/2006/relationships/hyperlink" Target="https://konydocs.atlassian.net/wiki/spaces/ARBD425/pages/1080821802/getExternalAccounts+Java+Integration+Service" TargetMode="External"/><Relationship Id="rId185" Type="http://schemas.openxmlformats.org/officeDocument/2006/relationships/hyperlink" Target="https://konydocs.atlassian.net/wiki/spaces/ARBD425/pages/1080821445/getAllProducts+Java+Integration+Service" TargetMode="External"/><Relationship Id="rId4" Type="http://schemas.openxmlformats.org/officeDocument/2006/relationships/hyperlink" Target="https://konydocs.atlassian.net/wiki/spaces/ARBD425/pages/1080820789/getOrganizationAccounts+Java+Integration+Service" TargetMode="External"/><Relationship Id="rId9" Type="http://schemas.openxmlformats.org/officeDocument/2006/relationships/hyperlink" Target="https://konydocs.atlassian.net/wiki/spaces/ARBD425/pages/1080821274/ResendActivationLink+Java+Integration+Service" TargetMode="External"/><Relationship Id="rId180" Type="http://schemas.openxmlformats.org/officeDocument/2006/relationships/hyperlink" Target="https://konydocs.atlassian.net/wiki/spaces/ARBD425/pages/1080821664/createUserPersonalInfo+Java+Integration+Service" TargetMode="External"/><Relationship Id="rId210" Type="http://schemas.openxmlformats.org/officeDocument/2006/relationships/hyperlink" Target="https://konydocs.atlassian.net/wiki/spaces/ARBD425/pages/1080821758/deleteMessage+Java+Integration+Service" TargetMode="External"/><Relationship Id="rId215" Type="http://schemas.openxmlformats.org/officeDocument/2006/relationships/hyperlink" Target="https://konydocs.atlassian.net/wiki/spaces/ARBD425/pages/1080821750/updateMessage+Java+Integration+Service" TargetMode="External"/><Relationship Id="rId26" Type="http://schemas.openxmlformats.org/officeDocument/2006/relationships/hyperlink" Target="https://konydocs.atlassian.net/wiki/spaces/ARBD425/pages/1080821588/checkBillPayEligibilityForUser+Java+Integration+Service" TargetMode="External"/><Relationship Id="rId47" Type="http://schemas.openxmlformats.org/officeDocument/2006/relationships/hyperlink" Target="https://konydocs.atlassian.net/wiki/spaces/ARBD425/pages/1080821006/getCustomerCommunication+Java+Integration+Service" TargetMode="External"/><Relationship Id="rId68" Type="http://schemas.openxmlformats.org/officeDocument/2006/relationships/hyperlink" Target="https://konydocs.atlassian.net/wiki/spaces/ARBD425/pages/1080820629/activateBillPaymentForUser+Java+Integration+Service" TargetMode="External"/><Relationship Id="rId89" Type="http://schemas.openxmlformats.org/officeDocument/2006/relationships/hyperlink" Target="https://konydocs.atlassian.net/wiki/spaces/ARBD425/pages/1080820847/verifyExistingPassword+Java+Integration+Service" TargetMode="External"/><Relationship Id="rId112" Type="http://schemas.openxmlformats.org/officeDocument/2006/relationships/hyperlink" Target="https://konyone.sharepoint.com/sites/pwa/UECU/Shared%20Documents/API%20Docs/Doxim%20ECM%20WebAPI%20and%20DSSO%20SDK%20v1_1.pdf" TargetMode="External"/><Relationship Id="rId133" Type="http://schemas.openxmlformats.org/officeDocument/2006/relationships/hyperlink" Target="https://konydocs.atlassian.net/wiki/spaces/ARBD422/pages/1015742609/getPayeeBills+Java+Integration+Service" TargetMode="External"/><Relationship Id="rId154" Type="http://schemas.openxmlformats.org/officeDocument/2006/relationships/hyperlink" Target="https://konydocs.atlassian.net/wiki/spaces/ARBD425/pages/1080820520/deactivateP2P+Java+Integration+Service" TargetMode="External"/><Relationship Id="rId175" Type="http://schemas.openxmlformats.org/officeDocument/2006/relationships/hyperlink" Target="https://konydocs.atlassian.net/wiki/spaces/ARBD425/pages/1080820665/verifyExternalBankAccount+Java+Integration+Service" TargetMode="External"/><Relationship Id="rId196" Type="http://schemas.openxmlformats.org/officeDocument/2006/relationships/hyperlink" Target="https://konydocs.atlassian.net/wiki/spaces/ARBD425/pages/1080819988/verifyExistingUserByPhone+Java+Integration+Service" TargetMode="External"/><Relationship Id="rId200" Type="http://schemas.openxmlformats.org/officeDocument/2006/relationships/hyperlink" Target="https://konydocs.atlassian.net/wiki/spaces/ARBD424/pages/1031439402/getLocationDetails+Java+Integration+Service" TargetMode="External"/><Relationship Id="rId16" Type="http://schemas.openxmlformats.org/officeDocument/2006/relationships/hyperlink" Target="https://konydocs.atlassian.net/wiki/spaces/ARBD425/pages/1080822039/checkIfOrgMemberExists+Java+Integration+Service" TargetMode="External"/><Relationship Id="rId221" Type="http://schemas.openxmlformats.org/officeDocument/2006/relationships/hyperlink" Target="https://konydocs.atlassian.net/wiki/spaces/ARBD425/pages/1080820035/getPFMPieChart+Java+Integration+Service" TargetMode="External"/><Relationship Id="rId37" Type="http://schemas.openxmlformats.org/officeDocument/2006/relationships/hyperlink" Target="https://konydocs.atlassian.net/wiki/spaces/ARBD425/pages/1080821850/dbxUserLogin+Orchestration+Service" TargetMode="External"/><Relationship Id="rId58" Type="http://schemas.openxmlformats.org/officeDocument/2006/relationships/hyperlink" Target="https://konydocs.atlassian.net/wiki/spaces/ARBD425/pages/1080820386/verifyLoginMFASecurityQuestions+Java+Integration+Service" TargetMode="External"/><Relationship Id="rId79" Type="http://schemas.openxmlformats.org/officeDocument/2006/relationships/hyperlink" Target="https://konydocs.atlassian.net/wiki/spaces/ARBD425/pages/1080819969/getUserDetails+Java+Integration+Service" TargetMode="External"/><Relationship Id="rId102" Type="http://schemas.openxmlformats.org/officeDocument/2006/relationships/hyperlink" Target="https://konydocs.atlassian.net/wiki/spaces/ARBD425/pages/1080821545/getPendingDepositTransactions+Java+Integration+Service" TargetMode="External"/><Relationship Id="rId123" Type="http://schemas.openxmlformats.org/officeDocument/2006/relationships/hyperlink" Target="https://konydocs.atlassian.net/wiki/spaces/ARBD425/pages/1080821523/createBulkBillPay+Java+Integration+Service" TargetMode="External"/><Relationship Id="rId144" Type="http://schemas.openxmlformats.org/officeDocument/2006/relationships/hyperlink" Target="https://konydocs.atlassian.net/wiki/spaces/ARBD425/pages/1080821628/getCardsByUsername+Java+Integration+Service" TargetMode="External"/><Relationship Id="rId90" Type="http://schemas.openxmlformats.org/officeDocument/2006/relationships/hyperlink" Target="https://konydocs.atlassian.net/wiki/spaces/ARBD425/pages/1080821934/updateDbxUser+Java+Integration+Service" TargetMode="External"/><Relationship Id="rId165" Type="http://schemas.openxmlformats.org/officeDocument/2006/relationships/hyperlink" Target="https://konydocs.atlassian.net/wiki/spaces/ARBD425/pages/1080820550/deleteExternalAccount+Java+Integration+Service" TargetMode="External"/><Relationship Id="rId186" Type="http://schemas.openxmlformats.org/officeDocument/2006/relationships/hyperlink" Target="https://konydocs.atlassian.net/wiki/spaces/ARBD425/pages/1080819723/getLocationAddress+Google+APIs" TargetMode="External"/><Relationship Id="rId211" Type="http://schemas.openxmlformats.org/officeDocument/2006/relationships/hyperlink" Target="https://konydocs.atlassian.net/wiki/spaces/ARBD425/pages/1080820010/getMessageCategories+Java+Integration+Service" TargetMode="External"/><Relationship Id="rId27" Type="http://schemas.openxmlformats.org/officeDocument/2006/relationships/hyperlink" Target="https://konydocs.atlassian.net/wiki/spaces/ARBD425/pages/1080821095/getApplicationProp+Java+Integration+Service" TargetMode="External"/><Relationship Id="rId48" Type="http://schemas.openxmlformats.org/officeDocument/2006/relationships/hyperlink" Target="https://konydocs.atlassian.net/wiki/spaces/ARBD425/pages/1080821036/getUserNameRulesAndPolicy+Java+Integration+Service" TargetMode="External"/><Relationship Id="rId69" Type="http://schemas.openxmlformats.org/officeDocument/2006/relationships/hyperlink" Target="https://konydocs.atlassian.net/wiki/spaces/ARBD425/pages/1080821594/activateP2PForUser+Java+Integration+Service" TargetMode="External"/><Relationship Id="rId113" Type="http://schemas.openxmlformats.org/officeDocument/2006/relationships/hyperlink" Target="https://konydocs.atlassian.net/wiki/spaces/ARBD425/pages/1080821473/cancelScheduledTransactionOccurrence+Java+Integration+Service" TargetMode="External"/><Relationship Id="rId134" Type="http://schemas.openxmlformats.org/officeDocument/2006/relationships/hyperlink" Target="https://konydocs.atlassian.net/wiki/spaces/ARBD425/pages/1080821730/getPayeeList+Java+Integration+Service" TargetMode="External"/><Relationship Id="rId80" Type="http://schemas.openxmlformats.org/officeDocument/2006/relationships/hyperlink" Target="https://konydocs.atlassian.net/wiki/spaces/ARBD425/pages/1080820598/getUserStatus+Java+Integration+Service" TargetMode="External"/><Relationship Id="rId155" Type="http://schemas.openxmlformats.org/officeDocument/2006/relationships/hyperlink" Target="https://konydocs.atlassian.net/wiki/spaces/ARBD425/pages/1080821453/deletePayPerson+Java+Integration+Service" TargetMode="External"/><Relationship Id="rId176" Type="http://schemas.openxmlformats.org/officeDocument/2006/relationships/hyperlink" Target="https://konydocs.atlassian.net/wiki/spaces/ARBD425/pages/1080820849/verifyTrialDeposit+Java+Integration+Service" TargetMode="External"/><Relationship Id="rId197" Type="http://schemas.openxmlformats.org/officeDocument/2006/relationships/hyperlink" Target="https://konydocs.atlassian.net/wiki/spaces/ARBD425/pages/1080819986/verifyExistingUserName+Java+Integration+Service" TargetMode="External"/><Relationship Id="rId201" Type="http://schemas.openxmlformats.org/officeDocument/2006/relationships/hyperlink" Target="https://konydocs.atlassian.net/wiki/spaces/ARBD424/pages/1031439978/getLocationRange+Java+Integration+Service" TargetMode="External"/><Relationship Id="rId222" Type="http://schemas.openxmlformats.org/officeDocument/2006/relationships/hyperlink" Target="https://konydocs.atlassian.net/wiki/spaces/ARBD425/pages/1080821327/getPFMTransactions+Java+Integration+Service" TargetMode="External"/><Relationship Id="rId17" Type="http://schemas.openxmlformats.org/officeDocument/2006/relationships/hyperlink" Target="https://konydocs.atlassian.net/wiki/spaces/ARBD425/pages/1080822001/unLinkOrgAccounts+Java+Integration+Service" TargetMode="External"/><Relationship Id="rId38" Type="http://schemas.openxmlformats.org/officeDocument/2006/relationships/hyperlink" Target="https://konydocs.atlassian.net/wiki/spaces/ARBD425/pages/1080821951/dbxVerifyOTP+Java+Integration+Service" TargetMode="External"/><Relationship Id="rId59" Type="http://schemas.openxmlformats.org/officeDocument/2006/relationships/hyperlink" Target="https://konydocs.atlassian.net/wiki/spaces/ARBD425/pages/1080821519/deleteNotification+Java+Integration+Service" TargetMode="External"/><Relationship Id="rId103" Type="http://schemas.openxmlformats.org/officeDocument/2006/relationships/hyperlink" Target="https://konydocs.atlassian.net/wiki/spaces/ARBD425/pages/1080821610/getPostedDepositTransactions+Java+Integration+Service" TargetMode="External"/><Relationship Id="rId124" Type="http://schemas.openxmlformats.org/officeDocument/2006/relationships/hyperlink" Target="https://konydocs.atlassian.net/wiki/spaces/ARBD425/pages/1080820004/createPayee+Java+Integration+Service" TargetMode="External"/><Relationship Id="rId70" Type="http://schemas.openxmlformats.org/officeDocument/2006/relationships/hyperlink" Target="https://konydocs.atlassian.net/wiki/spaces/ARBD425/pages/1080821431/checkSecurityQuestionStatus+Java+Integration+Service" TargetMode="External"/><Relationship Id="rId91" Type="http://schemas.openxmlformats.org/officeDocument/2006/relationships/hyperlink" Target="https://konydocs.atlassian.net/wiki/spaces/ARBD425/pages/1080820271/lockUnlockCustomer+Java+Integration+Service" TargetMode="External"/><Relationship Id="rId145" Type="http://schemas.openxmlformats.org/officeDocument/2006/relationships/hyperlink" Target="https://konydocs.atlassian.net/wiki/spaces/ARBD425/pages/1080820103/updateCard+Java+Integration+Service" TargetMode="External"/><Relationship Id="rId166" Type="http://schemas.openxmlformats.org/officeDocument/2006/relationships/hyperlink" Target="https://konydocs.atlassian.net/wiki/spaces/ARBD425/pages/1080820526/editExternalAccount+Java+Integration+Service" TargetMode="External"/><Relationship Id="rId187" Type="http://schemas.openxmlformats.org/officeDocument/2006/relationships/hyperlink" Target="https://konydocs.atlassian.net/wiki/spaces/ARBD425/pages/1080819950/getNewUserSecurityQuestions+Java+Integration+Service" TargetMode="External"/><Relationship Id="rId1" Type="http://schemas.openxmlformats.org/officeDocument/2006/relationships/hyperlink" Target="https://docs.kony.com/apps/integration/AdminConsoleServicesDocs/" TargetMode="External"/><Relationship Id="rId212" Type="http://schemas.openxmlformats.org/officeDocument/2006/relationships/hyperlink" Target="https://konydocs.atlassian.net/wiki/spaces/ARBD425/pages/1080820841/getMessageCount+Java+Integration+Service" TargetMode="External"/><Relationship Id="rId28" Type="http://schemas.openxmlformats.org/officeDocument/2006/relationships/hyperlink" Target="https://konydocs.atlassian.net/wiki/spaces/ARBD425/pages/1080820546/getCustomerContact+Java+Integration+Service" TargetMode="External"/><Relationship Id="rId49" Type="http://schemas.openxmlformats.org/officeDocument/2006/relationships/hyperlink" Target="https://konydocs.atlassian.net/wiki/spaces/ARBD425/pages/1080820305/getPasswordRulesAndPolicy+Java+Integration+Service" TargetMode="External"/><Relationship Id="rId114" Type="http://schemas.openxmlformats.org/officeDocument/2006/relationships/hyperlink" Target="https://konydocs.atlassian.net/wiki/spaces/ARBD425/pages/1080821992/createTransaction" TargetMode="External"/><Relationship Id="rId60" Type="http://schemas.openxmlformats.org/officeDocument/2006/relationships/hyperlink" Target="https://konydocs.atlassian.net/wiki/spaces/ARBD425/pages/1080821544/getNotifications+Java+Integration+Service" TargetMode="External"/><Relationship Id="rId81" Type="http://schemas.openxmlformats.org/officeDocument/2006/relationships/hyperlink" Target="https://konydocs.atlassian.net/wiki/spaces/ARBD425/pages/1080821451/registerP2P+Java+Integration+Service" TargetMode="External"/><Relationship Id="rId135" Type="http://schemas.openxmlformats.org/officeDocument/2006/relationships/hyperlink" Target="https://konydocs.atlassian.net/wiki/spaces/ARBD425/pages/1080821375/getRecentPayee+Java+Integration+Service" TargetMode="External"/><Relationship Id="rId156" Type="http://schemas.openxmlformats.org/officeDocument/2006/relationships/hyperlink" Target="https://konydocs.atlassian.net/wiki/spaces/ARBD425/pages/1080821425/editPayPerson+Java+Integration+Service" TargetMode="External"/><Relationship Id="rId177" Type="http://schemas.openxmlformats.org/officeDocument/2006/relationships/hyperlink" Target="https://konydocs.atlassian.net/wiki/spaces/ARBD425/pages/1080821046/createTransfer+Java+Integration+Service" TargetMode="External"/><Relationship Id="rId198" Type="http://schemas.openxmlformats.org/officeDocument/2006/relationships/hyperlink" Target="https://konydocs.atlassian.net/wiki/spaces/ARBD425/pages/1080821586/verifyNewUserSecurityQuestions+Java+Integration+Service" TargetMode="External"/><Relationship Id="rId202" Type="http://schemas.openxmlformats.org/officeDocument/2006/relationships/hyperlink" Target="https://konydocs.atlassian.net/wiki/spaces/ARBD424/pages/1031439381/getLocations+Java+Integration+Service" TargetMode="External"/><Relationship Id="rId223" Type="http://schemas.openxmlformats.org/officeDocument/2006/relationships/hyperlink" Target="https://konydocs.atlassian.net/wiki/spaces/ARBD425/pages/1080821568/updateBulkPFMTransaction+Java+Integration+Service" TargetMode="External"/><Relationship Id="rId18" Type="http://schemas.openxmlformats.org/officeDocument/2006/relationships/hyperlink" Target="https://konydocs.atlassian.net/wiki/spaces/ARBD425/pages/1080822037/validateTin+Java+Integration+Service" TargetMode="External"/><Relationship Id="rId39" Type="http://schemas.openxmlformats.org/officeDocument/2006/relationships/hyperlink" Target="https://konydocs.atlassian.net/wiki/spaces/ARBD425/pages/1080820799/resetDbxUserPassword+Java+Integration+Service" TargetMode="External"/><Relationship Id="rId50" Type="http://schemas.openxmlformats.org/officeDocument/2006/relationships/hyperlink" Target="https://konydocs.atlassian.net/wiki/spaces/ARBD425/pages/1080821007/getUserNameAndPasswordRulesAndPolicies+Java+Integration+Service" TargetMode="External"/><Relationship Id="rId104" Type="http://schemas.openxmlformats.org/officeDocument/2006/relationships/hyperlink" Target="https://konydocs.atlassian.net/wiki/spaces/ARBD425/pages/1080820617/getRecentAccounts+Java+Integration+Service" TargetMode="External"/><Relationship Id="rId125" Type="http://schemas.openxmlformats.org/officeDocument/2006/relationships/hyperlink" Target="https://konydocs.atlassian.net/wiki/spaces/ARBD425/pages/1080821046/createTransfer+Java+Integration+Service" TargetMode="External"/><Relationship Id="rId146" Type="http://schemas.openxmlformats.org/officeDocument/2006/relationships/hyperlink" Target="https://konydocs.atlassian.net/wiki/spaces/ARBD425/pages/1080820069/createCheckOrder+Java+Integration+Service" TargetMode="External"/><Relationship Id="rId167" Type="http://schemas.openxmlformats.org/officeDocument/2006/relationships/hyperlink" Target="https://konydocs.atlassian.net/wiki/spaces/ARBD425/pages/1080821617/getAllExternalAccountsWithPagination+Java+Integration+Service" TargetMode="External"/><Relationship Id="rId188" Type="http://schemas.openxmlformats.org/officeDocument/2006/relationships/hyperlink" Target="https://konydocs.atlassian.net/wiki/spaces/ARBD425/pages/1080819720/getProfile+Java+Integration+Service" TargetMode="External"/><Relationship Id="rId71" Type="http://schemas.openxmlformats.org/officeDocument/2006/relationships/hyperlink" Target="https://konydocs.atlassian.net/wiki/spaces/ARBD425/pages/1080821530/createAddress+Java+Integration+Service" TargetMode="External"/><Relationship Id="rId92" Type="http://schemas.openxmlformats.org/officeDocument/2006/relationships/hyperlink" Target="https://konydocs.atlassian.net/wiki/spaces/ARBD425/pages/1080820119/updateDbxCustomer+Java+Integration+Service" TargetMode="External"/><Relationship Id="rId213" Type="http://schemas.openxmlformats.org/officeDocument/2006/relationships/hyperlink" Target="https://konydocs.atlassian.net/wiki/spaces/ARBD425/pages/1080821777/getMessages+Java+Integration+Service" TargetMode="External"/><Relationship Id="rId2" Type="http://schemas.openxmlformats.org/officeDocument/2006/relationships/hyperlink" Target="https://docs.kony.com/apps/integration/AdminConsoleServicesDocs/" TargetMode="External"/><Relationship Id="rId29" Type="http://schemas.openxmlformats.org/officeDocument/2006/relationships/hyperlink" Target="https://konydocs.atlassian.net/wiki/spaces/ARBD425/pages/1080820544/getPasswordPolicies+Java+Integration+Service" TargetMode="External"/><Relationship Id="rId40" Type="http://schemas.openxmlformats.org/officeDocument/2006/relationships/hyperlink" Target="https://konydocs.atlassian.net/wiki/spaces/ARBD425/pages/1080820562/updateDbxUserStatus+Java+Integration+Service" TargetMode="External"/><Relationship Id="rId115" Type="http://schemas.openxmlformats.org/officeDocument/2006/relationships/hyperlink" Target="https://konydocs.atlassian.net/wiki/spaces/ARBD425/pages/1080819725/deleteTransaction+Java+Integration+Service" TargetMode="External"/><Relationship Id="rId136" Type="http://schemas.openxmlformats.org/officeDocument/2006/relationships/hyperlink" Target="https://konydocs.atlassian.net/wiki/spaces/ARBD425/pages/1080821550/getUserCompletedBillHistory+Java+Integration+Service" TargetMode="External"/><Relationship Id="rId157" Type="http://schemas.openxmlformats.org/officeDocument/2006/relationships/hyperlink" Target="https://konydocs.atlassian.net/wiki/spaces/ARBD425/pages/1080821539/getPayPersonHistory+Java+Integration+Service" TargetMode="External"/><Relationship Id="rId178" Type="http://schemas.openxmlformats.org/officeDocument/2006/relationships/hyperlink" Target="https://konydocs.atlassian.net/wiki/spaces/ARBD425/pages/1080821488/getSameBankAccount+Java+Integration+Service" TargetMode="External"/><Relationship Id="rId61" Type="http://schemas.openxmlformats.org/officeDocument/2006/relationships/hyperlink" Target="https://konydocs.atlassian.net/wiki/spaces/ARBD425/pages/1080820331/getUnreadNotifications+Java+Integration+Service" TargetMode="External"/><Relationship Id="rId82" Type="http://schemas.openxmlformats.org/officeDocument/2006/relationships/hyperlink" Target="https://konydocs.atlassian.net/wiki/spaces/ARBD425/pages/1080820594/registerP2PStatus+Java+Integration+Service" TargetMode="External"/><Relationship Id="rId199" Type="http://schemas.openxmlformats.org/officeDocument/2006/relationships/hyperlink" Target="https://konydocs.atlassian.net/wiki/spaces/ARBD425/pages/1080821785/getInformationContent+Java+Integration+Service" TargetMode="External"/><Relationship Id="rId203" Type="http://schemas.openxmlformats.org/officeDocument/2006/relationships/hyperlink" Target="https://konydocs.atlassian.net/wiki/spaces/ARBD424/pages/1031439382/getLocationsQuery+Java+Integration+Service" TargetMode="External"/><Relationship Id="rId19" Type="http://schemas.openxmlformats.org/officeDocument/2006/relationships/hyperlink" Target="https://konydocs.atlassian.net/wiki/spaces/ARBD424/pages/1031440205/createDbxCustomer+Java+Integration+Service" TargetMode="External"/><Relationship Id="rId30" Type="http://schemas.openxmlformats.org/officeDocument/2006/relationships/hyperlink" Target="https://konydocs.atlassian.net/wiki/spaces/ARBD425/pages/1080821089/getUserSecurityQuestions+Java+Integration+Service" TargetMode="External"/><Relationship Id="rId105" Type="http://schemas.openxmlformats.org/officeDocument/2006/relationships/hyperlink" Target="https://konydocs.atlassian.net/wiki/spaces/ARBD425/pages/1080819979/getTransactions+Java+Integration+Service" TargetMode="External"/><Relationship Id="rId126" Type="http://schemas.openxmlformats.org/officeDocument/2006/relationships/hyperlink" Target="https://konydocs.atlassian.net/wiki/spaces/ARBD425/pages/1080821738/deletePayee+Java+Integration+Service" TargetMode="External"/><Relationship Id="rId147" Type="http://schemas.openxmlformats.org/officeDocument/2006/relationships/hyperlink" Target="https://konydocs.atlassian.net/wiki/spaces/ARBD425/pages/1080820048/getCheckOrders+Java+Integration+Service" TargetMode="External"/><Relationship Id="rId168" Type="http://schemas.openxmlformats.org/officeDocument/2006/relationships/hyperlink" Target="https://konydocs.atlassian.net/wiki/spaces/ARBD425/pages/1080821774/getCountryList+Java+Integration+Service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kony.com/apps/integration/AdminConsoleServicesDocs/" TargetMode="External"/><Relationship Id="rId18" Type="http://schemas.openxmlformats.org/officeDocument/2006/relationships/hyperlink" Target="https://docs.kony.com/apps/integration/AdminConsoleServicesDocs/" TargetMode="External"/><Relationship Id="rId26" Type="http://schemas.openxmlformats.org/officeDocument/2006/relationships/hyperlink" Target="https://docs.kony.com/apps/integration/AdminConsoleServicesDocs/" TargetMode="External"/><Relationship Id="rId39" Type="http://schemas.openxmlformats.org/officeDocument/2006/relationships/hyperlink" Target="https://docs.kony.com/apps/integration/AdminConsoleServicesDocs/" TargetMode="External"/><Relationship Id="rId21" Type="http://schemas.openxmlformats.org/officeDocument/2006/relationships/hyperlink" Target="https://docs.kony.com/apps/integration/AdminConsoleServicesDocs/" TargetMode="External"/><Relationship Id="rId34" Type="http://schemas.openxmlformats.org/officeDocument/2006/relationships/hyperlink" Target="https://docs.kony.com/apps/integration/AdminConsoleServicesDocs/" TargetMode="External"/><Relationship Id="rId42" Type="http://schemas.openxmlformats.org/officeDocument/2006/relationships/hyperlink" Target="https://docs.kony.com/apps/integration/AdminConsoleServicesDocs/" TargetMode="External"/><Relationship Id="rId47" Type="http://schemas.openxmlformats.org/officeDocument/2006/relationships/hyperlink" Target="https://docs.kony.com/apps/integration/AdminConsoleServicesDocs/" TargetMode="External"/><Relationship Id="rId50" Type="http://schemas.openxmlformats.org/officeDocument/2006/relationships/hyperlink" Target="https://docs.kony.com/apps/integration/AdminConsoleServicesDocs/" TargetMode="External"/><Relationship Id="rId55" Type="http://schemas.openxmlformats.org/officeDocument/2006/relationships/hyperlink" Target="https://docs.kony.com/apps/integration/AdminConsoleServicesDocs/" TargetMode="External"/><Relationship Id="rId7" Type="http://schemas.openxmlformats.org/officeDocument/2006/relationships/hyperlink" Target="https://docs.kony.com/apps/integration/AdminConsoleServicesDocs/" TargetMode="External"/><Relationship Id="rId2" Type="http://schemas.openxmlformats.org/officeDocument/2006/relationships/hyperlink" Target="https://docs.kony.com/apps/integration/AdminConsoleServicesDocs/" TargetMode="External"/><Relationship Id="rId16" Type="http://schemas.openxmlformats.org/officeDocument/2006/relationships/hyperlink" Target="https://docs.kony.com/apps/integration/AdminConsoleServicesDocs/" TargetMode="External"/><Relationship Id="rId29" Type="http://schemas.openxmlformats.org/officeDocument/2006/relationships/hyperlink" Target="https://docs.kony.com/apps/integration/AdminConsoleServicesDocs/" TargetMode="External"/><Relationship Id="rId11" Type="http://schemas.openxmlformats.org/officeDocument/2006/relationships/hyperlink" Target="https://docs.kony.com/apps/integration/AdminConsoleServicesDocs/" TargetMode="External"/><Relationship Id="rId24" Type="http://schemas.openxmlformats.org/officeDocument/2006/relationships/hyperlink" Target="https://docs.kony.com/apps/integration/AdminConsoleServicesDocs/" TargetMode="External"/><Relationship Id="rId32" Type="http://schemas.openxmlformats.org/officeDocument/2006/relationships/hyperlink" Target="https://docs.kony.com/apps/integration/AdminConsoleServicesDocs/" TargetMode="External"/><Relationship Id="rId37" Type="http://schemas.openxmlformats.org/officeDocument/2006/relationships/hyperlink" Target="https://docs.kony.com/apps/integration/AdminConsoleServicesDocs/" TargetMode="External"/><Relationship Id="rId40" Type="http://schemas.openxmlformats.org/officeDocument/2006/relationships/hyperlink" Target="https://docs.kony.com/apps/integration/AdminConsoleServicesDocs/" TargetMode="External"/><Relationship Id="rId45" Type="http://schemas.openxmlformats.org/officeDocument/2006/relationships/hyperlink" Target="https://docs.kony.com/apps/integration/AdminConsoleServicesDocs/" TargetMode="External"/><Relationship Id="rId53" Type="http://schemas.openxmlformats.org/officeDocument/2006/relationships/hyperlink" Target="https://docs.kony.com/apps/integration/AdminConsoleServicesDocs/" TargetMode="External"/><Relationship Id="rId5" Type="http://schemas.openxmlformats.org/officeDocument/2006/relationships/hyperlink" Target="https://docs.kony.com/apps/integration/AdminConsoleServicesDocs/" TargetMode="External"/><Relationship Id="rId10" Type="http://schemas.openxmlformats.org/officeDocument/2006/relationships/hyperlink" Target="https://docs.kony.com/apps/integration/AdminConsoleServicesDocs/" TargetMode="External"/><Relationship Id="rId19" Type="http://schemas.openxmlformats.org/officeDocument/2006/relationships/hyperlink" Target="https://docs.kony.com/apps/integration/AdminConsoleServicesDocs/" TargetMode="External"/><Relationship Id="rId31" Type="http://schemas.openxmlformats.org/officeDocument/2006/relationships/hyperlink" Target="https://docs.kony.com/apps/integration/AdminConsoleServicesDocs/" TargetMode="External"/><Relationship Id="rId44" Type="http://schemas.openxmlformats.org/officeDocument/2006/relationships/hyperlink" Target="https://docs.kony.com/apps/integration/AdminConsoleServicesDocs/" TargetMode="External"/><Relationship Id="rId52" Type="http://schemas.openxmlformats.org/officeDocument/2006/relationships/hyperlink" Target="https://docs.kony.com/apps/integration/AdminConsoleServicesDocs/" TargetMode="External"/><Relationship Id="rId4" Type="http://schemas.openxmlformats.org/officeDocument/2006/relationships/hyperlink" Target="https://docs.kony.com/apps/integration/AdminConsoleServicesDocs/" TargetMode="External"/><Relationship Id="rId9" Type="http://schemas.openxmlformats.org/officeDocument/2006/relationships/hyperlink" Target="https://docs.kony.com/apps/integration/AdminConsoleServicesDocs/" TargetMode="External"/><Relationship Id="rId14" Type="http://schemas.openxmlformats.org/officeDocument/2006/relationships/hyperlink" Target="https://docs.kony.com/apps/integration/AdminConsoleServicesDocs/" TargetMode="External"/><Relationship Id="rId22" Type="http://schemas.openxmlformats.org/officeDocument/2006/relationships/hyperlink" Target="https://docs.kony.com/apps/integration/AdminConsoleServicesDocs/" TargetMode="External"/><Relationship Id="rId27" Type="http://schemas.openxmlformats.org/officeDocument/2006/relationships/hyperlink" Target="https://docs.kony.com/apps/integration/AdminConsoleServicesDocs/" TargetMode="External"/><Relationship Id="rId30" Type="http://schemas.openxmlformats.org/officeDocument/2006/relationships/hyperlink" Target="https://docs.kony.com/apps/integration/AdminConsoleServicesDocs/" TargetMode="External"/><Relationship Id="rId35" Type="http://schemas.openxmlformats.org/officeDocument/2006/relationships/hyperlink" Target="https://docs.kony.com/apps/integration/AdminConsoleServicesDocs/" TargetMode="External"/><Relationship Id="rId43" Type="http://schemas.openxmlformats.org/officeDocument/2006/relationships/hyperlink" Target="https://docs.kony.com/apps/integration/AdminConsoleServicesDocs/" TargetMode="External"/><Relationship Id="rId48" Type="http://schemas.openxmlformats.org/officeDocument/2006/relationships/hyperlink" Target="https://docs.kony.com/apps/integration/AdminConsoleServicesDocs/" TargetMode="External"/><Relationship Id="rId8" Type="http://schemas.openxmlformats.org/officeDocument/2006/relationships/hyperlink" Target="https://docs.kony.com/apps/integration/AdminConsoleServicesDocs/" TargetMode="External"/><Relationship Id="rId51" Type="http://schemas.openxmlformats.org/officeDocument/2006/relationships/hyperlink" Target="https://docs.kony.com/apps/integration/AdminConsoleServicesDocs/" TargetMode="External"/><Relationship Id="rId3" Type="http://schemas.openxmlformats.org/officeDocument/2006/relationships/hyperlink" Target="https://docs.kony.com/apps/integration/AdminConsoleServicesDocs/" TargetMode="External"/><Relationship Id="rId12" Type="http://schemas.openxmlformats.org/officeDocument/2006/relationships/hyperlink" Target="https://docs.kony.com/apps/integration/AdminConsoleServicesDocs/" TargetMode="External"/><Relationship Id="rId17" Type="http://schemas.openxmlformats.org/officeDocument/2006/relationships/hyperlink" Target="https://docs.kony.com/apps/integration/AdminConsoleServicesDocs/" TargetMode="External"/><Relationship Id="rId25" Type="http://schemas.openxmlformats.org/officeDocument/2006/relationships/hyperlink" Target="https://docs.kony.com/apps/integration/AdminConsoleServicesDocs/" TargetMode="External"/><Relationship Id="rId33" Type="http://schemas.openxmlformats.org/officeDocument/2006/relationships/hyperlink" Target="https://docs.kony.com/apps/integration/AdminConsoleServicesDocs/" TargetMode="External"/><Relationship Id="rId38" Type="http://schemas.openxmlformats.org/officeDocument/2006/relationships/hyperlink" Target="https://docs.kony.com/apps/integration/AdminConsoleServicesDocs/" TargetMode="External"/><Relationship Id="rId46" Type="http://schemas.openxmlformats.org/officeDocument/2006/relationships/hyperlink" Target="https://docs.kony.com/apps/integration/AdminConsoleServicesDocs/" TargetMode="External"/><Relationship Id="rId20" Type="http://schemas.openxmlformats.org/officeDocument/2006/relationships/hyperlink" Target="https://docs.kony.com/apps/integration/AdminConsoleServicesDocs/" TargetMode="External"/><Relationship Id="rId41" Type="http://schemas.openxmlformats.org/officeDocument/2006/relationships/hyperlink" Target="https://docs.kony.com/apps/integration/AdminConsoleServicesDocs/" TargetMode="External"/><Relationship Id="rId54" Type="http://schemas.openxmlformats.org/officeDocument/2006/relationships/hyperlink" Target="https://docs.kony.com/apps/integration/AdminConsoleServicesDocs/" TargetMode="External"/><Relationship Id="rId1" Type="http://schemas.openxmlformats.org/officeDocument/2006/relationships/hyperlink" Target="https://docs.kony.com/apps/integration/AdminConsoleServicesDocs/" TargetMode="External"/><Relationship Id="rId6" Type="http://schemas.openxmlformats.org/officeDocument/2006/relationships/hyperlink" Target="https://docs.kony.com/apps/integration/AdminConsoleServicesDocs/" TargetMode="External"/><Relationship Id="rId15" Type="http://schemas.openxmlformats.org/officeDocument/2006/relationships/hyperlink" Target="https://docs.kony.com/apps/integration/AdminConsoleServicesDocs/" TargetMode="External"/><Relationship Id="rId23" Type="http://schemas.openxmlformats.org/officeDocument/2006/relationships/hyperlink" Target="https://docs.kony.com/apps/integration/AdminConsoleServicesDocs/" TargetMode="External"/><Relationship Id="rId28" Type="http://schemas.openxmlformats.org/officeDocument/2006/relationships/hyperlink" Target="https://docs.kony.com/apps/integration/AdminConsoleServicesDocs/" TargetMode="External"/><Relationship Id="rId36" Type="http://schemas.openxmlformats.org/officeDocument/2006/relationships/hyperlink" Target="https://docs.kony.com/apps/integration/AdminConsoleServicesDocs/" TargetMode="External"/><Relationship Id="rId49" Type="http://schemas.openxmlformats.org/officeDocument/2006/relationships/hyperlink" Target="https://docs.kony.com/apps/integration/AdminConsoleServicesDocs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BDF6-F274-224D-B47D-F784D65C7306}">
  <dimension ref="A1:H21"/>
  <sheetViews>
    <sheetView zoomScale="130" zoomScaleNormal="130" workbookViewId="0">
      <selection activeCell="D4" sqref="D4"/>
    </sheetView>
  </sheetViews>
  <sheetFormatPr baseColWidth="10" defaultColWidth="3.83203125" defaultRowHeight="16"/>
  <cols>
    <col min="1" max="1" width="22.83203125" style="10" bestFit="1" customWidth="1"/>
    <col min="2" max="2" width="27.1640625" style="9" bestFit="1" customWidth="1"/>
    <col min="3" max="3" width="32" style="9" customWidth="1"/>
    <col min="4" max="5" width="9.5" style="15" bestFit="1" customWidth="1"/>
    <col min="6" max="6" width="7.83203125" style="15" bestFit="1" customWidth="1"/>
    <col min="7" max="7" width="7" style="9" customWidth="1"/>
    <col min="8" max="10" width="3.83203125" style="9"/>
    <col min="11" max="11" width="8.33203125" style="9" bestFit="1" customWidth="1"/>
    <col min="12" max="16384" width="3.83203125" style="9"/>
  </cols>
  <sheetData>
    <row r="1" spans="1:8" ht="60" customHeight="1">
      <c r="A1" s="23" t="s">
        <v>1388</v>
      </c>
      <c r="B1" s="23" t="s">
        <v>1372</v>
      </c>
      <c r="C1" s="22">
        <f>IFERROR((D1/SUM(D1:F1))*100,-1)</f>
        <v>-1</v>
      </c>
      <c r="D1" s="32" t="e">
        <f>SUM(D4:D11)</f>
        <v>#REF!</v>
      </c>
      <c r="E1" s="32" t="e">
        <f>SUM(E4:E11)</f>
        <v>#REF!</v>
      </c>
      <c r="F1" s="32" t="e">
        <f>SUM(F4:F11)</f>
        <v>#REF!</v>
      </c>
      <c r="G1" s="32" t="e">
        <f>SUM(G4:G11)</f>
        <v>#REF!</v>
      </c>
    </row>
    <row r="3" spans="1:8" s="14" customFormat="1" ht="26">
      <c r="A3" s="29" t="s">
        <v>1131</v>
      </c>
      <c r="B3" s="17" t="s">
        <v>1134</v>
      </c>
      <c r="C3" s="18" t="s">
        <v>1132</v>
      </c>
      <c r="D3" s="33">
        <v>3</v>
      </c>
      <c r="E3" s="34">
        <v>2</v>
      </c>
      <c r="F3" s="35">
        <v>1</v>
      </c>
      <c r="G3" s="35">
        <v>0</v>
      </c>
    </row>
    <row r="4" spans="1:8" ht="21">
      <c r="A4" s="10">
        <v>1</v>
      </c>
      <c r="B4" s="27" t="s">
        <v>1547</v>
      </c>
      <c r="C4" s="24">
        <f>IFERROR((D4/SUM(D4:F4))*100,-1)</f>
        <v>-1</v>
      </c>
      <c r="D4" s="30" t="e">
        <f>COUNTIFS('Retail Banking'!#REF!,"=" &amp; $A4,'Retail Banking'!#REF!,"&gt;2")</f>
        <v>#REF!</v>
      </c>
      <c r="E4" s="30" t="e">
        <f>COUNTIFS('Retail Banking'!#REF!,"=" &amp; $A4,'Retail Banking'!#REF!,"=2")</f>
        <v>#REF!</v>
      </c>
      <c r="F4" s="30" t="e">
        <f>COUNTIFS('Retail Banking'!#REF!,"=" &amp; $A4,'Retail Banking'!#REF!,"=1")</f>
        <v>#REF!</v>
      </c>
      <c r="G4" s="30" t="e">
        <f>COUNTIFS('Retail Banking'!#REF!,"=" &amp; $A4,'Retail Banking'!#REF!,"=0")</f>
        <v>#REF!</v>
      </c>
      <c r="H4" s="31"/>
    </row>
    <row r="5" spans="1:8" ht="21">
      <c r="A5" s="10">
        <v>2</v>
      </c>
      <c r="B5" s="27" t="s">
        <v>1548</v>
      </c>
      <c r="C5" s="24">
        <f t="shared" ref="C5:C9" si="0">IFERROR((D5/SUM(D5:F5))*100,-1)</f>
        <v>-1</v>
      </c>
      <c r="D5" s="30" t="e">
        <f>COUNTIFS('Retail Banking'!#REF!,"=" &amp; $A5,'Retail Banking'!#REF!,"&gt;2")</f>
        <v>#REF!</v>
      </c>
      <c r="E5" s="30" t="e">
        <f>COUNTIFS('Retail Banking'!#REF!,"=" &amp; $A5,'Retail Banking'!#REF!,"=2")</f>
        <v>#REF!</v>
      </c>
      <c r="F5" s="30" t="e">
        <f>COUNTIFS('Retail Banking'!#REF!,"=" &amp; $A5,'Retail Banking'!#REF!,"=1")</f>
        <v>#REF!</v>
      </c>
      <c r="G5" s="30" t="e">
        <f>COUNTIFS('Retail Banking'!#REF!,"=" &amp; $A5,'Retail Banking'!#REF!,"=0")</f>
        <v>#REF!</v>
      </c>
      <c r="H5" s="31"/>
    </row>
    <row r="6" spans="1:8" ht="21">
      <c r="A6" s="10">
        <v>3</v>
      </c>
      <c r="B6" s="27" t="s">
        <v>1549</v>
      </c>
      <c r="C6" s="24">
        <f t="shared" si="0"/>
        <v>-1</v>
      </c>
      <c r="D6" s="30" t="e">
        <f>COUNTIFS('Retail Banking'!#REF!,"=" &amp; $A6,'Retail Banking'!#REF!,"&gt;2")</f>
        <v>#REF!</v>
      </c>
      <c r="E6" s="30" t="e">
        <f>COUNTIFS('Retail Banking'!#REF!,"=" &amp; $A6,'Retail Banking'!#REF!,"=2")</f>
        <v>#REF!</v>
      </c>
      <c r="F6" s="30" t="e">
        <f>COUNTIFS('Retail Banking'!#REF!,"=" &amp; $A6,'Retail Banking'!#REF!,"=1")</f>
        <v>#REF!</v>
      </c>
      <c r="G6" s="30" t="e">
        <f>COUNTIFS('Retail Banking'!#REF!,"=" &amp; $A6,'Retail Banking'!#REF!,"=0")</f>
        <v>#REF!</v>
      </c>
      <c r="H6" s="31"/>
    </row>
    <row r="7" spans="1:8" ht="21">
      <c r="A7" s="10">
        <v>4</v>
      </c>
      <c r="B7" s="27" t="s">
        <v>1550</v>
      </c>
      <c r="C7" s="24">
        <f t="shared" si="0"/>
        <v>-1</v>
      </c>
      <c r="D7" s="30" t="e">
        <f>COUNTIFS('Retail Banking'!#REF!,"=" &amp; $A7,'Retail Banking'!#REF!,"&gt;2")</f>
        <v>#REF!</v>
      </c>
      <c r="E7" s="30" t="e">
        <f>COUNTIFS('Retail Banking'!#REF!,"=" &amp; $A7,'Retail Banking'!#REF!,"=2")</f>
        <v>#REF!</v>
      </c>
      <c r="F7" s="30" t="e">
        <f>COUNTIFS('Retail Banking'!#REF!,"=" &amp; $A7,'Retail Banking'!#REF!,"=1")</f>
        <v>#REF!</v>
      </c>
      <c r="G7" s="30" t="e">
        <f>COUNTIFS('Retail Banking'!#REF!,"=" &amp; $A7,'Retail Banking'!#REF!,"=0")</f>
        <v>#REF!</v>
      </c>
      <c r="H7" s="31"/>
    </row>
    <row r="8" spans="1:8" ht="21">
      <c r="A8" s="10">
        <v>5</v>
      </c>
      <c r="B8" s="27" t="s">
        <v>1551</v>
      </c>
      <c r="C8" s="24">
        <f t="shared" si="0"/>
        <v>-1</v>
      </c>
      <c r="D8" s="30" t="e">
        <f>COUNTIFS('Retail Banking'!#REF!,"=" &amp; $A8,'Retail Banking'!#REF!,"&gt;2")</f>
        <v>#REF!</v>
      </c>
      <c r="E8" s="30" t="e">
        <f>COUNTIFS('Retail Banking'!#REF!,"=" &amp; $A8,'Retail Banking'!#REF!,"=2")</f>
        <v>#REF!</v>
      </c>
      <c r="F8" s="30" t="e">
        <f>COUNTIFS('Retail Banking'!#REF!,"=" &amp; $A8,'Retail Banking'!#REF!,"=1")</f>
        <v>#REF!</v>
      </c>
      <c r="G8" s="30" t="e">
        <f>COUNTIFS('Retail Banking'!#REF!,"=" &amp; $A8,'Retail Banking'!#REF!,"=0")</f>
        <v>#REF!</v>
      </c>
      <c r="H8" s="31"/>
    </row>
    <row r="9" spans="1:8" ht="21">
      <c r="A9" s="15">
        <v>9</v>
      </c>
      <c r="B9" s="50" t="s">
        <v>1585</v>
      </c>
      <c r="C9" s="24">
        <f t="shared" si="0"/>
        <v>-1</v>
      </c>
      <c r="D9" s="30" t="e">
        <f>COUNTIFS('Retail Banking'!#REF!,"=" &amp; $A9,'Retail Banking'!#REF!,"&gt;2")</f>
        <v>#REF!</v>
      </c>
      <c r="E9" s="30" t="e">
        <f>COUNTIFS('Retail Banking'!#REF!,"=" &amp; $A9,'Retail Banking'!#REF!,"=2")</f>
        <v>#REF!</v>
      </c>
      <c r="F9" s="30" t="e">
        <f>COUNTIFS('Retail Banking'!#REF!,"=" &amp; $A9,'Retail Banking'!#REF!,"=1")</f>
        <v>#REF!</v>
      </c>
      <c r="G9" s="30" t="e">
        <f>COUNTIFS('Retail Banking'!#REF!,"=" &amp; $A9,'Retail Banking'!#REF!,"=0")</f>
        <v>#REF!</v>
      </c>
    </row>
    <row r="11" spans="1:8" ht="21">
      <c r="A11" s="10">
        <v>21</v>
      </c>
      <c r="B11" s="27" t="s">
        <v>1543</v>
      </c>
      <c r="C11" s="24">
        <f>IFERROR((D11/SUM(D11:F11))*100,-1)</f>
        <v>-1</v>
      </c>
      <c r="D11" s="30" t="e">
        <f>COUNTIFS('Business Banking'!$A$2:$A$200,"=" &amp; $A11,'Business Banking'!#REF!,"&gt;2")</f>
        <v>#REF!</v>
      </c>
      <c r="E11" s="30" t="e">
        <f>COUNTIFS('Business Banking'!$A$2:$A$200,"=" &amp; $A11,'Business Banking'!#REF!,"=2")</f>
        <v>#REF!</v>
      </c>
      <c r="F11" s="30" t="e">
        <f>COUNTIFS('Business Banking'!$A$2:$A$200,"=" &amp; $A11,'Business Banking'!#REF!,"=1")</f>
        <v>#REF!</v>
      </c>
      <c r="G11" s="30" t="e">
        <f>COUNTIFS('Business Banking'!$A$2:$A$200,"=" &amp; $A11,'Business Banking'!#REF!,"=0")</f>
        <v>#REF!</v>
      </c>
    </row>
    <row r="12" spans="1:8" ht="21">
      <c r="A12" s="10">
        <v>22</v>
      </c>
      <c r="B12" s="27" t="s">
        <v>1544</v>
      </c>
      <c r="C12" s="24">
        <f t="shared" ref="C12:C15" si="1">IFERROR((D12/SUM(D12:F12))*100,-1)</f>
        <v>-1</v>
      </c>
      <c r="D12" s="30" t="e">
        <f>COUNTIFS('Business Banking'!$A$2:$A$200,"=" &amp; $A12,'Business Banking'!#REF!,"&gt;2")</f>
        <v>#REF!</v>
      </c>
      <c r="E12" s="30" t="e">
        <f>COUNTIFS('Business Banking'!$A$2:$A$200,"=" &amp; $A12,'Business Banking'!#REF!,"=2")</f>
        <v>#REF!</v>
      </c>
      <c r="F12" s="30" t="e">
        <f>COUNTIFS('Business Banking'!$A$2:$A$200,"=" &amp; $A12,'Business Banking'!#REF!,"=1")</f>
        <v>#REF!</v>
      </c>
      <c r="G12" s="30" t="e">
        <f>COUNTIFS('Business Banking'!$A$2:$A$200,"=" &amp; $A12,'Business Banking'!#REF!,"=0")</f>
        <v>#REF!</v>
      </c>
    </row>
    <row r="13" spans="1:8" ht="21">
      <c r="A13" s="10">
        <v>23</v>
      </c>
      <c r="B13" s="27" t="s">
        <v>1545</v>
      </c>
      <c r="C13" s="24">
        <f t="shared" si="1"/>
        <v>-1</v>
      </c>
      <c r="D13" s="30" t="e">
        <f>COUNTIFS('Business Banking'!$A$2:$A$200,"=" &amp; $A13,'Business Banking'!#REF!,"&gt;2")</f>
        <v>#REF!</v>
      </c>
      <c r="E13" s="30" t="e">
        <f>COUNTIFS('Business Banking'!$A$2:$A$200,"=" &amp; $A13,'Business Banking'!#REF!,"=2")</f>
        <v>#REF!</v>
      </c>
      <c r="F13" s="30" t="e">
        <f>COUNTIFS('Business Banking'!$A$2:$A$200,"=" &amp; $A13,'Business Banking'!#REF!,"=1")</f>
        <v>#REF!</v>
      </c>
      <c r="G13" s="30" t="e">
        <f>COUNTIFS('Business Banking'!$A$2:$A$200,"=" &amp; $A13,'Business Banking'!#REF!,"=0")</f>
        <v>#REF!</v>
      </c>
    </row>
    <row r="14" spans="1:8" ht="21">
      <c r="A14" s="10">
        <v>24</v>
      </c>
      <c r="B14" s="27" t="s">
        <v>1546</v>
      </c>
      <c r="C14" s="24">
        <f t="shared" si="1"/>
        <v>-1</v>
      </c>
      <c r="D14" s="30" t="e">
        <f>COUNTIFS('Business Banking'!$A$2:$A$200,"=" &amp; $A14,'Business Banking'!#REF!,"&gt;2")</f>
        <v>#REF!</v>
      </c>
      <c r="E14" s="30" t="e">
        <f>COUNTIFS('Business Banking'!$A$2:$A$200,"=" &amp; $A14,'Business Banking'!#REF!,"=2")</f>
        <v>#REF!</v>
      </c>
      <c r="F14" s="30" t="e">
        <f>COUNTIFS('Business Banking'!$A$2:$A$200,"=" &amp; $A14,'Business Banking'!#REF!,"=1")</f>
        <v>#REF!</v>
      </c>
      <c r="G14" s="30" t="e">
        <f>COUNTIFS('Business Banking'!$A$2:$A$200,"=" &amp; $A14,'Business Banking'!#REF!,"=0")</f>
        <v>#REF!</v>
      </c>
    </row>
    <row r="15" spans="1:8" ht="21">
      <c r="A15" s="10">
        <v>25</v>
      </c>
      <c r="B15" s="27" t="s">
        <v>1543</v>
      </c>
      <c r="C15" s="24">
        <f t="shared" si="1"/>
        <v>-1</v>
      </c>
      <c r="D15" s="30" t="e">
        <f>COUNTIFS('Business Banking'!$A$2:$A$200,"=" &amp; $A15,'Business Banking'!#REF!,"&gt;2")</f>
        <v>#REF!</v>
      </c>
      <c r="E15" s="30" t="e">
        <f>COUNTIFS('Business Banking'!$A$2:$A$200,"=" &amp; $A15,'Business Banking'!#REF!,"=2")</f>
        <v>#REF!</v>
      </c>
      <c r="F15" s="30" t="e">
        <f>COUNTIFS('Business Banking'!$A$2:$A$200,"=" &amp; $A15,'Business Banking'!#REF!,"=1")</f>
        <v>#REF!</v>
      </c>
      <c r="G15" s="30" t="e">
        <f>COUNTIFS('Business Banking'!$A$2:$A$200,"=" &amp; $A15,'Business Banking'!#REF!,"=0")</f>
        <v>#REF!</v>
      </c>
    </row>
    <row r="16" spans="1:8" ht="21">
      <c r="A16" s="10">
        <v>29</v>
      </c>
      <c r="B16" s="27" t="s">
        <v>1586</v>
      </c>
      <c r="C16" s="24">
        <f t="shared" ref="C16" si="2">IFERROR((D16/SUM(D16:F16))*100,-1)</f>
        <v>-1</v>
      </c>
      <c r="D16" s="30" t="e">
        <f>COUNTIFS('Business Banking'!$A$2:$A$216,"=" &amp; $A16,'Business Banking'!#REF!,"&gt;2")</f>
        <v>#REF!</v>
      </c>
      <c r="E16" s="30" t="e">
        <f>COUNTIFS('Business Banking'!$A$2:$A$216,"=" &amp; $A16,'Business Banking'!#REF!,"=2")</f>
        <v>#REF!</v>
      </c>
      <c r="F16" s="30" t="e">
        <f>COUNTIFS('Business Banking'!$A$2:$A$216,"=" &amp; $A16,'Business Banking'!#REF!,"=1")</f>
        <v>#REF!</v>
      </c>
      <c r="G16" s="30" t="e">
        <f>COUNTIFS('Business Banking'!$A$2:$A$216,"=" &amp; $A16,'Business Banking'!#REF!,"=0")</f>
        <v>#REF!</v>
      </c>
    </row>
    <row r="18" spans="1:7" ht="21">
      <c r="A18" s="10">
        <v>31</v>
      </c>
      <c r="B18" s="27" t="s">
        <v>1588</v>
      </c>
      <c r="C18" s="24">
        <f>IFERROR((D18/SUM(D18:F18))*100,-1)</f>
        <v>-1</v>
      </c>
      <c r="D18" s="30">
        <f>COUNTIFS('Customer 360'!$A$2:$A$230,"=" &amp; $A18,'Customer 360'!$G$2:$G$230,"&gt;2")</f>
        <v>0</v>
      </c>
      <c r="E18" s="30">
        <f>COUNTIFS('Customer 360'!$A$2:$A$230,"=" &amp; $A18,'Customer 360'!$G$2:$G$230,"=2")</f>
        <v>0</v>
      </c>
      <c r="F18" s="30">
        <f>COUNTIFS('Customer 360'!$A$2:$A$230,"=" &amp; $A18,'Customer 360'!$G$2:$G$230,"=1")</f>
        <v>0</v>
      </c>
      <c r="G18" s="30">
        <f>COUNTIFS('Customer 360'!$A$2:$A$230,"=" &amp; $A18,'Customer 360'!$G$2:$G$230,"=0")</f>
        <v>21</v>
      </c>
    </row>
    <row r="19" spans="1:7" ht="21">
      <c r="A19" s="10">
        <v>32</v>
      </c>
      <c r="B19" s="27" t="s">
        <v>1589</v>
      </c>
      <c r="C19" s="24">
        <f t="shared" ref="C19:C21" si="3">IFERROR((D19/SUM(D19:F19))*100,-1)</f>
        <v>-1</v>
      </c>
      <c r="D19" s="30">
        <f>COUNTIFS('Customer 360'!$A$2:$A$230,"=" &amp; $A19,'Customer 360'!$G$2:$G$230,"&gt;2")</f>
        <v>0</v>
      </c>
      <c r="E19" s="30">
        <f>COUNTIFS('Customer 360'!$A$2:$A$230,"=" &amp; $A19,'Customer 360'!$G$2:$G$230,"=2")</f>
        <v>0</v>
      </c>
      <c r="F19" s="30">
        <f>COUNTIFS('Customer 360'!$A$2:$A$230,"=" &amp; $A19,'Customer 360'!$G$2:$G$230,"=1")</f>
        <v>0</v>
      </c>
      <c r="G19" s="30">
        <f>COUNTIFS('Customer 360'!$A$2:$A$230,"=" &amp; $A19,'Customer 360'!$G$2:$G$230,"=0")</f>
        <v>6</v>
      </c>
    </row>
    <row r="20" spans="1:7" ht="21">
      <c r="A20" s="10">
        <v>35</v>
      </c>
      <c r="B20" s="27" t="s">
        <v>1588</v>
      </c>
      <c r="C20" s="24">
        <f t="shared" si="3"/>
        <v>-1</v>
      </c>
      <c r="D20" s="30">
        <f>COUNTIFS('Customer 360'!$A$2:$A$230,"=" &amp; $A20,'Customer 360'!$G$2:$G$230,"&gt;2")</f>
        <v>0</v>
      </c>
      <c r="E20" s="30">
        <f>COUNTIFS('Customer 360'!$A$2:$A$230,"=" &amp; $A20,'Customer 360'!$G$2:$G$230,"=2")</f>
        <v>0</v>
      </c>
      <c r="F20" s="30">
        <f>COUNTIFS('Customer 360'!$A$2:$A$230,"=" &amp; $A20,'Customer 360'!$G$2:$G$230,"=1")</f>
        <v>0</v>
      </c>
      <c r="G20" s="30">
        <f>COUNTIFS('Customer 360'!$A$2:$A$230,"=" &amp; $A20,'Customer 360'!$G$2:$G$230,"=0")</f>
        <v>28</v>
      </c>
    </row>
    <row r="21" spans="1:7" ht="21">
      <c r="A21" s="10">
        <v>39</v>
      </c>
      <c r="B21" s="53" t="s">
        <v>1587</v>
      </c>
      <c r="C21" s="24">
        <f t="shared" si="3"/>
        <v>-1</v>
      </c>
      <c r="D21" s="30">
        <f>COUNTIFS('Customer 360'!$A$2:$A$230,"=" &amp; $A21,'Customer 360'!$G$2:$G$230,"&gt;2")</f>
        <v>0</v>
      </c>
      <c r="E21" s="30">
        <f>COUNTIFS('Customer 360'!$A$2:$A$230,"=" &amp; $A21,'Customer 360'!$G$2:$G$230,"=2")</f>
        <v>0</v>
      </c>
      <c r="F21" s="30">
        <f>COUNTIFS('Customer 360'!$A$2:$A$230,"=" &amp; $A21,'Customer 360'!$G$2:$G$230,"=1")</f>
        <v>0</v>
      </c>
      <c r="G21" s="30">
        <f>COUNTIFS('Customer 360'!$A$2:$A$230,"=" &amp; $A21,'Customer 360'!$G$2:$G$230,"=0")</f>
        <v>1</v>
      </c>
    </row>
  </sheetData>
  <conditionalFormatting sqref="H4">
    <cfRule type="iconSet" priority="12">
      <iconSet iconSet="3Symbols" showValue="0">
        <cfvo type="percent" val="0"/>
        <cfvo type="percent" val="33"/>
        <cfvo type="percent" val="67"/>
      </iconSet>
    </cfRule>
  </conditionalFormatting>
  <conditionalFormatting sqref="D3:F3">
    <cfRule type="iconSet" priority="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C1">
    <cfRule type="iconSet" priority="10">
      <iconSet iconSet="4TrafficLights" showValue="0">
        <cfvo type="percent" val="0"/>
        <cfvo type="num" val="0"/>
        <cfvo type="num" val="50"/>
        <cfvo type="num" val="75"/>
      </iconSet>
    </cfRule>
  </conditionalFormatting>
  <conditionalFormatting sqref="G3">
    <cfRule type="iconSet" priority="8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C4">
    <cfRule type="iconSet" priority="27">
      <iconSet iconSet="4TrafficLights" showValue="0">
        <cfvo type="percent" val="0"/>
        <cfvo type="num" val="0"/>
        <cfvo type="num" val="50"/>
        <cfvo type="num" val="75"/>
      </iconSet>
    </cfRule>
  </conditionalFormatting>
  <conditionalFormatting sqref="C11">
    <cfRule type="iconSet" priority="4">
      <iconSet iconSet="4TrafficLights" showValue="0">
        <cfvo type="percent" val="0"/>
        <cfvo type="num" val="0"/>
        <cfvo type="num" val="50"/>
        <cfvo type="num" val="75"/>
      </iconSet>
    </cfRule>
  </conditionalFormatting>
  <conditionalFormatting sqref="C12:C15">
    <cfRule type="iconSet" priority="5">
      <iconSet iconSet="4TrafficLights" showValue="0">
        <cfvo type="percent" val="0"/>
        <cfvo type="num" val="0"/>
        <cfvo type="num" val="50"/>
        <cfvo type="num" val="75"/>
      </iconSet>
    </cfRule>
  </conditionalFormatting>
  <conditionalFormatting sqref="C5:C9">
    <cfRule type="iconSet" priority="34">
      <iconSet iconSet="4TrafficLights" showValue="0">
        <cfvo type="percent" val="0"/>
        <cfvo type="num" val="0"/>
        <cfvo type="num" val="50"/>
        <cfvo type="num" val="75"/>
      </iconSet>
    </cfRule>
  </conditionalFormatting>
  <conditionalFormatting sqref="C16">
    <cfRule type="iconSet" priority="3">
      <iconSet iconSet="4TrafficLights" showValue="0">
        <cfvo type="percent" val="0"/>
        <cfvo type="num" val="0"/>
        <cfvo type="num" val="50"/>
        <cfvo type="num" val="75"/>
      </iconSet>
    </cfRule>
  </conditionalFormatting>
  <conditionalFormatting sqref="C18">
    <cfRule type="iconSet" priority="2">
      <iconSet iconSet="4TrafficLights" showValue="0">
        <cfvo type="percent" val="0"/>
        <cfvo type="num" val="0"/>
        <cfvo type="num" val="50"/>
        <cfvo type="num" val="75"/>
      </iconSet>
    </cfRule>
  </conditionalFormatting>
  <conditionalFormatting sqref="C19:C21">
    <cfRule type="iconSet" priority="1">
      <iconSet iconSet="4TrafficLights" showValue="0">
        <cfvo type="percent" val="0"/>
        <cfvo type="num" val="0"/>
        <cfvo type="num" val="50"/>
        <cfvo type="num" val="75"/>
      </iconSet>
    </cfRule>
  </conditionalFormatting>
  <hyperlinks>
    <hyperlink ref="B4" r:id="rId1" display="https://konydocs.atlassian.net/wiki/spaces/ARBD/pages/746426642/Login" xr:uid="{E364027C-028B-6E4B-951F-836AD0D4B8BC}"/>
    <hyperlink ref="B5" r:id="rId2" display="https://konydocs.atlassian.net/wiki/spaces/ARBD/pages/746429089/User+Onboarding" xr:uid="{C75AD6BD-3B52-034E-9402-FEF2DBFDC420}"/>
    <hyperlink ref="B6" r:id="rId3" display="https://konydocs.atlassian.net/wiki/spaces/ARBD/pages/746426671/Accounts" xr:uid="{FF372C4E-CAF7-7D44-AFE0-3F449EE87434}"/>
    <hyperlink ref="B7" r:id="rId4" display="https://konydocs.atlassian.net/wiki/spaces/ARBD/pages/746426857/Payments+and+Withdrawals" xr:uid="{1378D51B-3A27-664D-9A5C-DFFFD511720C}"/>
    <hyperlink ref="B8" r:id="rId5" display="https://konydocs.atlassian.net/wiki/spaces/ARBD/pages/746426607/Transfer" xr:uid="{C10ECDB3-733A-A54D-8B45-D9A4E0CC9D34}"/>
    <hyperlink ref="B11" r:id="rId6" display="https://konydocs.atlassian.net/wiki/spaces/ARBD/pages/746426642/Login" xr:uid="{A06E6B92-15A1-2847-B60C-5E3A1D5F47DF}"/>
    <hyperlink ref="B12" r:id="rId7" display="https://konydocs.atlassian.net/wiki/spaces/ARBD/pages/746429089/User+Onboarding" xr:uid="{9CB3A814-BDCE-9544-A185-CBE9912548FA}"/>
    <hyperlink ref="B13" r:id="rId8" display="https://konydocs.atlassian.net/wiki/spaces/ARBD/pages/746426671/Accounts" xr:uid="{CD7D283B-3A50-D948-86EF-FADC8E34D223}"/>
    <hyperlink ref="B14" r:id="rId9" display="https://konydocs.atlassian.net/wiki/spaces/ARBD/pages/746426857/Payments+and+Withdrawals" xr:uid="{35855EA6-930A-7540-BC58-770BF21BDBD5}"/>
    <hyperlink ref="B19" r:id="rId10" display="https://konydocs.atlassian.net/wiki/spaces/ARBD/pages/746429089/User+Onboarding" xr:uid="{7BC0040A-8780-3541-B9AE-44E446543DEF}"/>
    <hyperlink ref="B15" r:id="rId11" display="https://konydocs.atlassian.net/wiki/spaces/ARBD/pages/746426642/Login" xr:uid="{398F5BAE-AA7E-7F4F-B101-B31704BCC544}"/>
    <hyperlink ref="B16" r:id="rId12" display="https://konydocs.atlassian.net/wiki/spaces/ARBD/pages/746429089/User+Onboarding" xr:uid="{C2BC385F-D302-804C-A02D-A6B84A3AC5A0}"/>
    <hyperlink ref="B20" r:id="rId13" display="https://konydocs.atlassian.net/wiki/spaces/ARBD/pages/746426642/Login" xr:uid="{DE3DC2A0-E53B-3248-AC69-D27EB66E921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B2:F1000"/>
  <sheetViews>
    <sheetView showGridLines="0" workbookViewId="0">
      <pane xSplit="1" ySplit="3" topLeftCell="B607" activePane="bottomRight" state="frozen"/>
      <selection pane="topRight" activeCell="B1" sqref="B1"/>
      <selection pane="bottomLeft" activeCell="A4" sqref="A4"/>
      <selection pane="bottomRight" activeCell="E755" sqref="E755"/>
    </sheetView>
  </sheetViews>
  <sheetFormatPr baseColWidth="10" defaultColWidth="8.83203125" defaultRowHeight="15"/>
  <cols>
    <col min="1" max="1" width="6.1640625" customWidth="1"/>
    <col min="2" max="2" width="24.1640625" bestFit="1" customWidth="1"/>
    <col min="3" max="3" width="30.1640625" bestFit="1" customWidth="1"/>
    <col min="4" max="4" width="19.33203125" customWidth="1"/>
    <col min="5" max="5" width="32.1640625" bestFit="1" customWidth="1"/>
    <col min="6" max="6" width="122.5" bestFit="1" customWidth="1"/>
  </cols>
  <sheetData>
    <row r="2" spans="2:6" s="2" customFormat="1" ht="25.5" customHeight="1">
      <c r="B2" s="76" t="s">
        <v>1118</v>
      </c>
      <c r="C2" s="76"/>
      <c r="D2" s="76"/>
      <c r="E2" s="76"/>
      <c r="F2" s="76"/>
    </row>
    <row r="3" spans="2:6">
      <c r="B3" s="6" t="s">
        <v>1119</v>
      </c>
      <c r="C3" s="6" t="s">
        <v>99</v>
      </c>
      <c r="D3" s="6" t="s">
        <v>100</v>
      </c>
      <c r="E3" s="6" t="s">
        <v>101</v>
      </c>
      <c r="F3" s="6" t="s">
        <v>12</v>
      </c>
    </row>
    <row r="4" spans="2:6">
      <c r="B4" s="7" t="s">
        <v>3</v>
      </c>
      <c r="C4" s="7" t="s">
        <v>16</v>
      </c>
      <c r="D4" s="7" t="s">
        <v>102</v>
      </c>
      <c r="E4" s="7" t="s">
        <v>5</v>
      </c>
      <c r="F4" s="7" t="s">
        <v>5</v>
      </c>
    </row>
    <row r="5" spans="2:6">
      <c r="B5" s="7" t="s">
        <v>3</v>
      </c>
      <c r="C5" s="7" t="s">
        <v>16</v>
      </c>
      <c r="D5" s="7" t="s">
        <v>103</v>
      </c>
      <c r="E5" s="7" t="s">
        <v>104</v>
      </c>
      <c r="F5" s="7" t="s">
        <v>105</v>
      </c>
    </row>
    <row r="6" spans="2:6">
      <c r="B6" s="7" t="s">
        <v>3</v>
      </c>
      <c r="C6" s="7" t="s">
        <v>16</v>
      </c>
      <c r="D6" s="7" t="s">
        <v>103</v>
      </c>
      <c r="E6" s="7" t="s">
        <v>106</v>
      </c>
      <c r="F6" s="7" t="s">
        <v>107</v>
      </c>
    </row>
    <row r="7" spans="2:6">
      <c r="B7" s="7" t="s">
        <v>3</v>
      </c>
      <c r="C7" s="7" t="s">
        <v>16</v>
      </c>
      <c r="D7" s="7" t="s">
        <v>103</v>
      </c>
      <c r="E7" s="7" t="s">
        <v>108</v>
      </c>
      <c r="F7" s="7" t="s">
        <v>109</v>
      </c>
    </row>
    <row r="8" spans="2:6">
      <c r="B8" s="7" t="s">
        <v>3</v>
      </c>
      <c r="C8" s="7" t="s">
        <v>16</v>
      </c>
      <c r="D8" s="7" t="s">
        <v>103</v>
      </c>
      <c r="E8" s="7" t="s">
        <v>110</v>
      </c>
      <c r="F8" s="7" t="s">
        <v>111</v>
      </c>
    </row>
    <row r="9" spans="2:6">
      <c r="B9" s="7" t="s">
        <v>3</v>
      </c>
      <c r="C9" s="7" t="s">
        <v>16</v>
      </c>
      <c r="D9" s="7" t="s">
        <v>103</v>
      </c>
      <c r="E9" s="7" t="s">
        <v>112</v>
      </c>
      <c r="F9" s="7" t="s">
        <v>113</v>
      </c>
    </row>
    <row r="10" spans="2:6">
      <c r="B10" s="7" t="s">
        <v>3</v>
      </c>
      <c r="C10" s="7" t="s">
        <v>16</v>
      </c>
      <c r="D10" s="7" t="s">
        <v>103</v>
      </c>
      <c r="E10" s="7" t="s">
        <v>114</v>
      </c>
      <c r="F10" s="7" t="s">
        <v>115</v>
      </c>
    </row>
    <row r="11" spans="2:6" ht="16">
      <c r="B11" s="7" t="s">
        <v>3</v>
      </c>
      <c r="C11" s="7" t="s">
        <v>13</v>
      </c>
      <c r="D11" s="7" t="s">
        <v>102</v>
      </c>
      <c r="E11" s="8" t="s">
        <v>116</v>
      </c>
      <c r="F11" s="8" t="s">
        <v>117</v>
      </c>
    </row>
    <row r="12" spans="2:6" ht="16">
      <c r="B12" s="7" t="s">
        <v>3</v>
      </c>
      <c r="C12" s="7" t="s">
        <v>13</v>
      </c>
      <c r="D12" s="7" t="s">
        <v>102</v>
      </c>
      <c r="E12" s="8" t="s">
        <v>118</v>
      </c>
      <c r="F12" s="8" t="s">
        <v>119</v>
      </c>
    </row>
    <row r="13" spans="2:6" ht="16">
      <c r="B13" s="7" t="s">
        <v>3</v>
      </c>
      <c r="C13" s="7" t="s">
        <v>13</v>
      </c>
      <c r="D13" s="7" t="s">
        <v>102</v>
      </c>
      <c r="E13" s="8" t="s">
        <v>120</v>
      </c>
      <c r="F13" s="8" t="s">
        <v>120</v>
      </c>
    </row>
    <row r="14" spans="2:6">
      <c r="B14" s="7" t="s">
        <v>3</v>
      </c>
      <c r="C14" s="7" t="s">
        <v>13</v>
      </c>
      <c r="D14" s="7" t="s">
        <v>103</v>
      </c>
      <c r="E14" s="7" t="s">
        <v>121</v>
      </c>
      <c r="F14" s="7" t="s">
        <v>122</v>
      </c>
    </row>
    <row r="15" spans="2:6">
      <c r="B15" s="7" t="s">
        <v>3</v>
      </c>
      <c r="C15" s="7" t="s">
        <v>13</v>
      </c>
      <c r="D15" s="7" t="s">
        <v>103</v>
      </c>
      <c r="E15" s="7" t="s">
        <v>116</v>
      </c>
      <c r="F15" s="7" t="s">
        <v>123</v>
      </c>
    </row>
    <row r="16" spans="2:6">
      <c r="B16" s="7" t="s">
        <v>3</v>
      </c>
      <c r="C16" s="7" t="s">
        <v>13</v>
      </c>
      <c r="D16" s="7" t="s">
        <v>103</v>
      </c>
      <c r="E16" s="7" t="s">
        <v>124</v>
      </c>
      <c r="F16" s="7" t="s">
        <v>125</v>
      </c>
    </row>
    <row r="17" spans="2:6">
      <c r="B17" s="7" t="s">
        <v>3</v>
      </c>
      <c r="C17" s="7" t="s">
        <v>13</v>
      </c>
      <c r="D17" s="7" t="s">
        <v>103</v>
      </c>
      <c r="E17" s="7" t="s">
        <v>126</v>
      </c>
      <c r="F17" s="7" t="s">
        <v>127</v>
      </c>
    </row>
    <row r="18" spans="2:6">
      <c r="B18" s="7" t="s">
        <v>3</v>
      </c>
      <c r="C18" s="7" t="s">
        <v>13</v>
      </c>
      <c r="D18" s="7" t="s">
        <v>103</v>
      </c>
      <c r="E18" s="7" t="s">
        <v>128</v>
      </c>
      <c r="F18" s="7" t="s">
        <v>129</v>
      </c>
    </row>
    <row r="19" spans="2:6">
      <c r="B19" s="7" t="s">
        <v>3</v>
      </c>
      <c r="C19" s="7" t="s">
        <v>13</v>
      </c>
      <c r="D19" s="7" t="s">
        <v>103</v>
      </c>
      <c r="E19" s="7" t="s">
        <v>130</v>
      </c>
      <c r="F19" s="7" t="s">
        <v>131</v>
      </c>
    </row>
    <row r="20" spans="2:6">
      <c r="B20" s="7" t="s">
        <v>3</v>
      </c>
      <c r="C20" s="7" t="s">
        <v>13</v>
      </c>
      <c r="D20" s="7" t="s">
        <v>103</v>
      </c>
      <c r="E20" s="7" t="s">
        <v>132</v>
      </c>
      <c r="F20" s="7" t="s">
        <v>133</v>
      </c>
    </row>
    <row r="21" spans="2:6">
      <c r="B21" s="7" t="s">
        <v>3</v>
      </c>
      <c r="C21" s="7" t="s">
        <v>13</v>
      </c>
      <c r="D21" s="7" t="s">
        <v>103</v>
      </c>
      <c r="E21" s="7" t="s">
        <v>134</v>
      </c>
      <c r="F21" s="7" t="s">
        <v>135</v>
      </c>
    </row>
    <row r="22" spans="2:6">
      <c r="B22" s="7" t="s">
        <v>3</v>
      </c>
      <c r="C22" s="7" t="s">
        <v>13</v>
      </c>
      <c r="D22" s="7" t="s">
        <v>103</v>
      </c>
      <c r="E22" s="7" t="s">
        <v>136</v>
      </c>
      <c r="F22" s="7" t="s">
        <v>137</v>
      </c>
    </row>
    <row r="23" spans="2:6">
      <c r="B23" s="7" t="s">
        <v>3</v>
      </c>
      <c r="C23" s="7" t="s">
        <v>13</v>
      </c>
      <c r="D23" s="7" t="s">
        <v>103</v>
      </c>
      <c r="E23" s="7" t="s">
        <v>138</v>
      </c>
      <c r="F23" s="7" t="s">
        <v>139</v>
      </c>
    </row>
    <row r="24" spans="2:6">
      <c r="B24" s="7" t="s">
        <v>3</v>
      </c>
      <c r="C24" s="7" t="s">
        <v>13</v>
      </c>
      <c r="D24" s="7" t="s">
        <v>103</v>
      </c>
      <c r="E24" s="7" t="s">
        <v>140</v>
      </c>
      <c r="F24" s="7" t="s">
        <v>141</v>
      </c>
    </row>
    <row r="25" spans="2:6">
      <c r="B25" s="7" t="s">
        <v>3</v>
      </c>
      <c r="C25" s="7" t="s">
        <v>13</v>
      </c>
      <c r="D25" s="7" t="s">
        <v>103</v>
      </c>
      <c r="E25" s="7" t="s">
        <v>142</v>
      </c>
      <c r="F25" s="7" t="s">
        <v>143</v>
      </c>
    </row>
    <row r="26" spans="2:6">
      <c r="B26" s="7" t="s">
        <v>3</v>
      </c>
      <c r="C26" s="7" t="s">
        <v>13</v>
      </c>
      <c r="D26" s="7" t="s">
        <v>103</v>
      </c>
      <c r="E26" s="7" t="s">
        <v>144</v>
      </c>
      <c r="F26" s="7" t="s">
        <v>145</v>
      </c>
    </row>
    <row r="27" spans="2:6">
      <c r="B27" s="7" t="s">
        <v>3</v>
      </c>
      <c r="C27" s="7" t="s">
        <v>13</v>
      </c>
      <c r="D27" s="7" t="s">
        <v>103</v>
      </c>
      <c r="E27" s="7" t="s">
        <v>146</v>
      </c>
      <c r="F27" s="7" t="s">
        <v>147</v>
      </c>
    </row>
    <row r="28" spans="2:6">
      <c r="B28" s="7" t="s">
        <v>3</v>
      </c>
      <c r="C28" s="7" t="s">
        <v>13</v>
      </c>
      <c r="D28" s="7" t="s">
        <v>103</v>
      </c>
      <c r="E28" s="7" t="s">
        <v>148</v>
      </c>
      <c r="F28" s="7" t="s">
        <v>149</v>
      </c>
    </row>
    <row r="29" spans="2:6">
      <c r="B29" s="7" t="s">
        <v>3</v>
      </c>
      <c r="C29" s="7" t="s">
        <v>13</v>
      </c>
      <c r="D29" s="7" t="s">
        <v>103</v>
      </c>
      <c r="E29" s="7" t="s">
        <v>150</v>
      </c>
      <c r="F29" s="7" t="s">
        <v>151</v>
      </c>
    </row>
    <row r="30" spans="2:6">
      <c r="B30" s="7" t="s">
        <v>3</v>
      </c>
      <c r="C30" s="7" t="s">
        <v>13</v>
      </c>
      <c r="D30" s="7" t="s">
        <v>103</v>
      </c>
      <c r="E30" s="7" t="s">
        <v>152</v>
      </c>
      <c r="F30" s="7" t="s">
        <v>153</v>
      </c>
    </row>
    <row r="31" spans="2:6">
      <c r="B31" s="7" t="s">
        <v>3</v>
      </c>
      <c r="C31" s="7" t="s">
        <v>13</v>
      </c>
      <c r="D31" s="7" t="s">
        <v>103</v>
      </c>
      <c r="E31" s="7" t="s">
        <v>154</v>
      </c>
      <c r="F31" s="7" t="s">
        <v>155</v>
      </c>
    </row>
    <row r="32" spans="2:6">
      <c r="B32" s="7" t="s">
        <v>3</v>
      </c>
      <c r="C32" s="7" t="s">
        <v>13</v>
      </c>
      <c r="D32" s="7" t="s">
        <v>103</v>
      </c>
      <c r="E32" s="7" t="s">
        <v>156</v>
      </c>
      <c r="F32" s="7" t="s">
        <v>157</v>
      </c>
    </row>
    <row r="33" spans="2:6">
      <c r="B33" s="7" t="s">
        <v>3</v>
      </c>
      <c r="C33" s="7" t="s">
        <v>13</v>
      </c>
      <c r="D33" s="7" t="s">
        <v>103</v>
      </c>
      <c r="E33" s="7" t="s">
        <v>158</v>
      </c>
      <c r="F33" s="7" t="s">
        <v>159</v>
      </c>
    </row>
    <row r="34" spans="2:6">
      <c r="B34" s="7" t="s">
        <v>3</v>
      </c>
      <c r="C34" s="7" t="s">
        <v>13</v>
      </c>
      <c r="D34" s="7" t="s">
        <v>103</v>
      </c>
      <c r="E34" s="7" t="s">
        <v>160</v>
      </c>
      <c r="F34" s="7" t="s">
        <v>161</v>
      </c>
    </row>
    <row r="35" spans="2:6">
      <c r="B35" s="7" t="s">
        <v>3</v>
      </c>
      <c r="C35" s="7" t="s">
        <v>13</v>
      </c>
      <c r="D35" s="7" t="s">
        <v>103</v>
      </c>
      <c r="E35" s="7" t="s">
        <v>162</v>
      </c>
      <c r="F35" s="7" t="s">
        <v>163</v>
      </c>
    </row>
    <row r="36" spans="2:6">
      <c r="B36" s="7" t="s">
        <v>3</v>
      </c>
      <c r="C36" s="7" t="s">
        <v>13</v>
      </c>
      <c r="D36" s="7" t="s">
        <v>103</v>
      </c>
      <c r="E36" s="7" t="s">
        <v>164</v>
      </c>
      <c r="F36" s="7" t="s">
        <v>165</v>
      </c>
    </row>
    <row r="37" spans="2:6">
      <c r="B37" s="7" t="s">
        <v>3</v>
      </c>
      <c r="C37" s="7" t="s">
        <v>13</v>
      </c>
      <c r="D37" s="7" t="s">
        <v>103</v>
      </c>
      <c r="E37" s="7" t="s">
        <v>166</v>
      </c>
      <c r="F37" s="7" t="s">
        <v>167</v>
      </c>
    </row>
    <row r="38" spans="2:6">
      <c r="B38" s="7" t="s">
        <v>3</v>
      </c>
      <c r="C38" s="7" t="s">
        <v>13</v>
      </c>
      <c r="D38" s="7" t="s">
        <v>103</v>
      </c>
      <c r="E38" s="7" t="s">
        <v>168</v>
      </c>
      <c r="F38" s="7" t="s">
        <v>169</v>
      </c>
    </row>
    <row r="39" spans="2:6">
      <c r="B39" s="7" t="s">
        <v>3</v>
      </c>
      <c r="C39" s="7" t="s">
        <v>13</v>
      </c>
      <c r="D39" s="7" t="s">
        <v>103</v>
      </c>
      <c r="E39" s="7" t="s">
        <v>170</v>
      </c>
      <c r="F39" s="7" t="s">
        <v>171</v>
      </c>
    </row>
    <row r="40" spans="2:6">
      <c r="B40" s="7" t="s">
        <v>3</v>
      </c>
      <c r="C40" s="7" t="s">
        <v>13</v>
      </c>
      <c r="D40" s="7" t="s">
        <v>103</v>
      </c>
      <c r="E40" s="7" t="s">
        <v>172</v>
      </c>
      <c r="F40" s="7" t="s">
        <v>173</v>
      </c>
    </row>
    <row r="41" spans="2:6">
      <c r="B41" s="7" t="s">
        <v>3</v>
      </c>
      <c r="C41" s="7" t="s">
        <v>13</v>
      </c>
      <c r="D41" s="7" t="s">
        <v>103</v>
      </c>
      <c r="E41" s="7" t="s">
        <v>174</v>
      </c>
      <c r="F41" s="7" t="s">
        <v>175</v>
      </c>
    </row>
    <row r="42" spans="2:6">
      <c r="B42" s="7" t="s">
        <v>3</v>
      </c>
      <c r="C42" s="7" t="s">
        <v>13</v>
      </c>
      <c r="D42" s="7" t="s">
        <v>103</v>
      </c>
      <c r="E42" s="7" t="s">
        <v>176</v>
      </c>
      <c r="F42" s="7" t="s">
        <v>177</v>
      </c>
    </row>
    <row r="43" spans="2:6">
      <c r="B43" s="7" t="s">
        <v>3</v>
      </c>
      <c r="C43" s="7" t="s">
        <v>13</v>
      </c>
      <c r="D43" s="7" t="s">
        <v>103</v>
      </c>
      <c r="E43" s="7" t="s">
        <v>178</v>
      </c>
      <c r="F43" s="7" t="s">
        <v>179</v>
      </c>
    </row>
    <row r="44" spans="2:6">
      <c r="B44" s="7" t="s">
        <v>3</v>
      </c>
      <c r="C44" s="7" t="s">
        <v>13</v>
      </c>
      <c r="D44" s="7" t="s">
        <v>103</v>
      </c>
      <c r="E44" s="7" t="s">
        <v>180</v>
      </c>
      <c r="F44" s="7" t="s">
        <v>181</v>
      </c>
    </row>
    <row r="45" spans="2:6">
      <c r="B45" s="7" t="s">
        <v>3</v>
      </c>
      <c r="C45" s="7" t="s">
        <v>13</v>
      </c>
      <c r="D45" s="7" t="s">
        <v>103</v>
      </c>
      <c r="E45" s="7" t="s">
        <v>182</v>
      </c>
      <c r="F45" s="7" t="s">
        <v>183</v>
      </c>
    </row>
    <row r="46" spans="2:6">
      <c r="B46" s="7" t="s">
        <v>3</v>
      </c>
      <c r="C46" s="7" t="s">
        <v>13</v>
      </c>
      <c r="D46" s="7" t="s">
        <v>103</v>
      </c>
      <c r="E46" s="7" t="s">
        <v>184</v>
      </c>
      <c r="F46" s="7" t="s">
        <v>185</v>
      </c>
    </row>
    <row r="47" spans="2:6">
      <c r="B47" s="7" t="s">
        <v>3</v>
      </c>
      <c r="C47" s="7" t="s">
        <v>13</v>
      </c>
      <c r="D47" s="7" t="s">
        <v>103</v>
      </c>
      <c r="E47" s="7" t="s">
        <v>186</v>
      </c>
      <c r="F47" s="7" t="s">
        <v>187</v>
      </c>
    </row>
    <row r="48" spans="2:6">
      <c r="B48" s="7" t="s">
        <v>3</v>
      </c>
      <c r="C48" s="7" t="s">
        <v>13</v>
      </c>
      <c r="D48" s="7" t="s">
        <v>103</v>
      </c>
      <c r="E48" s="7" t="s">
        <v>188</v>
      </c>
      <c r="F48" s="7" t="s">
        <v>189</v>
      </c>
    </row>
    <row r="49" spans="2:6">
      <c r="B49" s="7" t="s">
        <v>3</v>
      </c>
      <c r="C49" s="7" t="s">
        <v>13</v>
      </c>
      <c r="D49" s="7" t="s">
        <v>103</v>
      </c>
      <c r="E49" s="7" t="s">
        <v>190</v>
      </c>
      <c r="F49" s="7" t="s">
        <v>191</v>
      </c>
    </row>
    <row r="50" spans="2:6">
      <c r="B50" s="7" t="s">
        <v>3</v>
      </c>
      <c r="C50" s="7" t="s">
        <v>13</v>
      </c>
      <c r="D50" s="7" t="s">
        <v>103</v>
      </c>
      <c r="E50" s="7" t="s">
        <v>192</v>
      </c>
      <c r="F50" s="7" t="s">
        <v>193</v>
      </c>
    </row>
    <row r="51" spans="2:6">
      <c r="B51" s="7" t="s">
        <v>3</v>
      </c>
      <c r="C51" s="7" t="s">
        <v>13</v>
      </c>
      <c r="D51" s="7" t="s">
        <v>103</v>
      </c>
      <c r="E51" s="7" t="s">
        <v>194</v>
      </c>
      <c r="F51" s="7" t="s">
        <v>195</v>
      </c>
    </row>
    <row r="52" spans="2:6">
      <c r="B52" s="7" t="s">
        <v>3</v>
      </c>
      <c r="C52" s="7" t="s">
        <v>13</v>
      </c>
      <c r="D52" s="7" t="s">
        <v>103</v>
      </c>
      <c r="E52" s="7" t="s">
        <v>196</v>
      </c>
      <c r="F52" s="7" t="s">
        <v>197</v>
      </c>
    </row>
    <row r="53" spans="2:6">
      <c r="B53" s="7" t="s">
        <v>3</v>
      </c>
      <c r="C53" s="7" t="s">
        <v>13</v>
      </c>
      <c r="D53" s="7" t="s">
        <v>103</v>
      </c>
      <c r="E53" s="7" t="s">
        <v>198</v>
      </c>
      <c r="F53" s="7" t="s">
        <v>199</v>
      </c>
    </row>
    <row r="54" spans="2:6">
      <c r="B54" s="7" t="s">
        <v>3</v>
      </c>
      <c r="C54" s="7" t="s">
        <v>13</v>
      </c>
      <c r="D54" s="7" t="s">
        <v>103</v>
      </c>
      <c r="E54" s="7" t="s">
        <v>200</v>
      </c>
      <c r="F54" s="7" t="s">
        <v>201</v>
      </c>
    </row>
    <row r="55" spans="2:6">
      <c r="B55" s="7" t="s">
        <v>3</v>
      </c>
      <c r="C55" s="7" t="s">
        <v>13</v>
      </c>
      <c r="D55" s="7" t="s">
        <v>103</v>
      </c>
      <c r="E55" s="7" t="s">
        <v>202</v>
      </c>
      <c r="F55" s="7" t="s">
        <v>203</v>
      </c>
    </row>
    <row r="56" spans="2:6">
      <c r="B56" s="7" t="s">
        <v>3</v>
      </c>
      <c r="C56" s="7" t="s">
        <v>13</v>
      </c>
      <c r="D56" s="7" t="s">
        <v>103</v>
      </c>
      <c r="E56" s="7" t="s">
        <v>204</v>
      </c>
      <c r="F56" s="7" t="s">
        <v>205</v>
      </c>
    </row>
    <row r="57" spans="2:6">
      <c r="B57" s="7" t="s">
        <v>3</v>
      </c>
      <c r="C57" s="7" t="s">
        <v>13</v>
      </c>
      <c r="D57" s="7" t="s">
        <v>103</v>
      </c>
      <c r="E57" s="7" t="s">
        <v>206</v>
      </c>
      <c r="F57" s="7" t="s">
        <v>207</v>
      </c>
    </row>
    <row r="58" spans="2:6">
      <c r="B58" s="7" t="s">
        <v>3</v>
      </c>
      <c r="C58" s="7" t="s">
        <v>13</v>
      </c>
      <c r="D58" s="7" t="s">
        <v>103</v>
      </c>
      <c r="E58" s="7" t="s">
        <v>208</v>
      </c>
      <c r="F58" s="7" t="s">
        <v>209</v>
      </c>
    </row>
    <row r="59" spans="2:6">
      <c r="B59" s="7" t="s">
        <v>3</v>
      </c>
      <c r="C59" s="7" t="s">
        <v>13</v>
      </c>
      <c r="D59" s="7" t="s">
        <v>103</v>
      </c>
      <c r="E59" s="7" t="s">
        <v>210</v>
      </c>
      <c r="F59" s="7" t="s">
        <v>211</v>
      </c>
    </row>
    <row r="60" spans="2:6">
      <c r="B60" s="7" t="s">
        <v>3</v>
      </c>
      <c r="C60" s="7" t="s">
        <v>13</v>
      </c>
      <c r="D60" s="7" t="s">
        <v>103</v>
      </c>
      <c r="E60" s="7" t="s">
        <v>212</v>
      </c>
      <c r="F60" s="7" t="s">
        <v>213</v>
      </c>
    </row>
    <row r="61" spans="2:6">
      <c r="B61" s="7" t="s">
        <v>3</v>
      </c>
      <c r="C61" s="7" t="s">
        <v>13</v>
      </c>
      <c r="D61" s="7" t="s">
        <v>103</v>
      </c>
      <c r="E61" s="7" t="s">
        <v>214</v>
      </c>
      <c r="F61" s="7" t="s">
        <v>215</v>
      </c>
    </row>
    <row r="62" spans="2:6">
      <c r="B62" s="7" t="s">
        <v>3</v>
      </c>
      <c r="C62" s="7" t="s">
        <v>13</v>
      </c>
      <c r="D62" s="7" t="s">
        <v>103</v>
      </c>
      <c r="E62" s="7" t="s">
        <v>216</v>
      </c>
      <c r="F62" s="7" t="s">
        <v>217</v>
      </c>
    </row>
    <row r="63" spans="2:6">
      <c r="B63" s="7" t="s">
        <v>3</v>
      </c>
      <c r="C63" s="7" t="s">
        <v>13</v>
      </c>
      <c r="D63" s="7" t="s">
        <v>103</v>
      </c>
      <c r="E63" s="7" t="s">
        <v>218</v>
      </c>
      <c r="F63" s="7" t="s">
        <v>219</v>
      </c>
    </row>
    <row r="64" spans="2:6">
      <c r="B64" s="7" t="s">
        <v>3</v>
      </c>
      <c r="C64" s="7" t="s">
        <v>13</v>
      </c>
      <c r="D64" s="7" t="s">
        <v>103</v>
      </c>
      <c r="E64" s="7" t="s">
        <v>220</v>
      </c>
      <c r="F64" s="7" t="s">
        <v>221</v>
      </c>
    </row>
    <row r="65" spans="2:6">
      <c r="B65" s="7" t="s">
        <v>3</v>
      </c>
      <c r="C65" s="7" t="s">
        <v>13</v>
      </c>
      <c r="D65" s="7" t="s">
        <v>103</v>
      </c>
      <c r="E65" s="7" t="s">
        <v>222</v>
      </c>
      <c r="F65" s="7" t="s">
        <v>223</v>
      </c>
    </row>
    <row r="66" spans="2:6">
      <c r="B66" s="7" t="s">
        <v>3</v>
      </c>
      <c r="C66" s="7" t="s">
        <v>13</v>
      </c>
      <c r="D66" s="7" t="s">
        <v>103</v>
      </c>
      <c r="E66" s="7" t="s">
        <v>224</v>
      </c>
      <c r="F66" s="7" t="s">
        <v>225</v>
      </c>
    </row>
    <row r="67" spans="2:6">
      <c r="B67" s="7" t="s">
        <v>3</v>
      </c>
      <c r="C67" s="7" t="s">
        <v>13</v>
      </c>
      <c r="D67" s="7" t="s">
        <v>103</v>
      </c>
      <c r="E67" s="7" t="s">
        <v>226</v>
      </c>
      <c r="F67" s="7" t="s">
        <v>227</v>
      </c>
    </row>
    <row r="68" spans="2:6">
      <c r="B68" s="7" t="s">
        <v>3</v>
      </c>
      <c r="C68" s="7" t="s">
        <v>13</v>
      </c>
      <c r="D68" s="7" t="s">
        <v>103</v>
      </c>
      <c r="E68" s="7" t="s">
        <v>228</v>
      </c>
      <c r="F68" s="7" t="s">
        <v>229</v>
      </c>
    </row>
    <row r="69" spans="2:6">
      <c r="B69" s="7" t="s">
        <v>3</v>
      </c>
      <c r="C69" s="7" t="s">
        <v>13</v>
      </c>
      <c r="D69" s="7" t="s">
        <v>103</v>
      </c>
      <c r="E69" s="7" t="s">
        <v>230</v>
      </c>
      <c r="F69" s="7" t="s">
        <v>231</v>
      </c>
    </row>
    <row r="70" spans="2:6">
      <c r="B70" s="7" t="s">
        <v>3</v>
      </c>
      <c r="C70" s="7" t="s">
        <v>13</v>
      </c>
      <c r="D70" s="7" t="s">
        <v>103</v>
      </c>
      <c r="E70" s="7" t="s">
        <v>232</v>
      </c>
      <c r="F70" s="7" t="s">
        <v>233</v>
      </c>
    </row>
    <row r="71" spans="2:6">
      <c r="B71" s="7" t="s">
        <v>3</v>
      </c>
      <c r="C71" s="7" t="s">
        <v>13</v>
      </c>
      <c r="D71" s="7" t="s">
        <v>103</v>
      </c>
      <c r="E71" s="7" t="s">
        <v>234</v>
      </c>
      <c r="F71" s="7" t="s">
        <v>235</v>
      </c>
    </row>
    <row r="72" spans="2:6">
      <c r="B72" s="7" t="s">
        <v>3</v>
      </c>
      <c r="C72" s="7" t="s">
        <v>13</v>
      </c>
      <c r="D72" s="7" t="s">
        <v>103</v>
      </c>
      <c r="E72" s="7" t="s">
        <v>236</v>
      </c>
      <c r="F72" s="7" t="s">
        <v>237</v>
      </c>
    </row>
    <row r="73" spans="2:6">
      <c r="B73" s="7" t="s">
        <v>3</v>
      </c>
      <c r="C73" s="7" t="s">
        <v>13</v>
      </c>
      <c r="D73" s="7" t="s">
        <v>103</v>
      </c>
      <c r="E73" s="7" t="s">
        <v>238</v>
      </c>
      <c r="F73" s="7" t="s">
        <v>239</v>
      </c>
    </row>
    <row r="74" spans="2:6">
      <c r="B74" s="7" t="s">
        <v>3</v>
      </c>
      <c r="C74" s="7" t="s">
        <v>13</v>
      </c>
      <c r="D74" s="7" t="s">
        <v>103</v>
      </c>
      <c r="E74" s="7" t="s">
        <v>240</v>
      </c>
      <c r="F74" s="7" t="s">
        <v>241</v>
      </c>
    </row>
    <row r="75" spans="2:6">
      <c r="B75" s="7" t="s">
        <v>3</v>
      </c>
      <c r="C75" s="7" t="s">
        <v>13</v>
      </c>
      <c r="D75" s="7" t="s">
        <v>103</v>
      </c>
      <c r="E75" s="7" t="s">
        <v>242</v>
      </c>
      <c r="F75" s="7" t="s">
        <v>243</v>
      </c>
    </row>
    <row r="76" spans="2:6">
      <c r="B76" s="7" t="s">
        <v>3</v>
      </c>
      <c r="C76" s="7" t="s">
        <v>13</v>
      </c>
      <c r="D76" s="7" t="s">
        <v>103</v>
      </c>
      <c r="E76" s="7" t="s">
        <v>244</v>
      </c>
      <c r="F76" s="7" t="s">
        <v>245</v>
      </c>
    </row>
    <row r="77" spans="2:6">
      <c r="B77" s="7" t="s">
        <v>3</v>
      </c>
      <c r="C77" s="7" t="s">
        <v>13</v>
      </c>
      <c r="D77" s="7" t="s">
        <v>103</v>
      </c>
      <c r="E77" s="7" t="s">
        <v>246</v>
      </c>
      <c r="F77" s="7" t="s">
        <v>247</v>
      </c>
    </row>
    <row r="78" spans="2:6">
      <c r="B78" s="7" t="s">
        <v>3</v>
      </c>
      <c r="C78" s="7" t="s">
        <v>13</v>
      </c>
      <c r="D78" s="7" t="s">
        <v>103</v>
      </c>
      <c r="E78" s="7" t="s">
        <v>248</v>
      </c>
      <c r="F78" s="7" t="s">
        <v>249</v>
      </c>
    </row>
    <row r="79" spans="2:6">
      <c r="B79" s="7" t="s">
        <v>3</v>
      </c>
      <c r="C79" s="7" t="s">
        <v>13</v>
      </c>
      <c r="D79" s="7" t="s">
        <v>103</v>
      </c>
      <c r="E79" s="7" t="s">
        <v>250</v>
      </c>
      <c r="F79" s="7" t="s">
        <v>251</v>
      </c>
    </row>
    <row r="80" spans="2:6">
      <c r="B80" s="7" t="s">
        <v>3</v>
      </c>
      <c r="C80" s="7" t="s">
        <v>13</v>
      </c>
      <c r="D80" s="7" t="s">
        <v>103</v>
      </c>
      <c r="E80" s="7" t="s">
        <v>252</v>
      </c>
      <c r="F80" s="7" t="s">
        <v>253</v>
      </c>
    </row>
    <row r="81" spans="2:6">
      <c r="B81" s="7" t="s">
        <v>3</v>
      </c>
      <c r="C81" s="7" t="s">
        <v>14</v>
      </c>
      <c r="D81" s="7" t="s">
        <v>102</v>
      </c>
      <c r="E81" s="7" t="s">
        <v>116</v>
      </c>
      <c r="F81" s="7" t="s">
        <v>254</v>
      </c>
    </row>
    <row r="82" spans="2:6">
      <c r="B82" s="7" t="s">
        <v>3</v>
      </c>
      <c r="C82" s="7" t="s">
        <v>14</v>
      </c>
      <c r="D82" s="7" t="s">
        <v>103</v>
      </c>
      <c r="E82" s="7" t="s">
        <v>255</v>
      </c>
      <c r="F82" s="7" t="s">
        <v>256</v>
      </c>
    </row>
    <row r="83" spans="2:6">
      <c r="B83" s="7" t="s">
        <v>3</v>
      </c>
      <c r="C83" s="7" t="s">
        <v>14</v>
      </c>
      <c r="D83" s="7" t="s">
        <v>103</v>
      </c>
      <c r="E83" s="7" t="s">
        <v>257</v>
      </c>
      <c r="F83" s="7" t="s">
        <v>258</v>
      </c>
    </row>
    <row r="84" spans="2:6">
      <c r="B84" s="7" t="s">
        <v>3</v>
      </c>
      <c r="C84" s="7" t="s">
        <v>14</v>
      </c>
      <c r="D84" s="7" t="s">
        <v>103</v>
      </c>
      <c r="E84" s="7" t="s">
        <v>259</v>
      </c>
      <c r="F84" s="7" t="s">
        <v>260</v>
      </c>
    </row>
    <row r="85" spans="2:6">
      <c r="B85" s="7" t="s">
        <v>3</v>
      </c>
      <c r="C85" s="7" t="s">
        <v>14</v>
      </c>
      <c r="D85" s="7" t="s">
        <v>103</v>
      </c>
      <c r="E85" s="7" t="s">
        <v>261</v>
      </c>
      <c r="F85" s="7" t="s">
        <v>262</v>
      </c>
    </row>
    <row r="86" spans="2:6">
      <c r="B86" s="7" t="s">
        <v>3</v>
      </c>
      <c r="C86" s="7" t="s">
        <v>14</v>
      </c>
      <c r="D86" s="7" t="s">
        <v>103</v>
      </c>
      <c r="E86" s="7" t="s">
        <v>116</v>
      </c>
      <c r="F86" s="7" t="s">
        <v>263</v>
      </c>
    </row>
    <row r="87" spans="2:6">
      <c r="B87" s="7" t="s">
        <v>3</v>
      </c>
      <c r="C87" s="7" t="s">
        <v>15</v>
      </c>
      <c r="D87" s="7" t="s">
        <v>102</v>
      </c>
      <c r="E87" s="7" t="s">
        <v>5</v>
      </c>
      <c r="F87" s="7" t="s">
        <v>5</v>
      </c>
    </row>
    <row r="88" spans="2:6">
      <c r="B88" s="7" t="s">
        <v>3</v>
      </c>
      <c r="C88" s="7" t="s">
        <v>15</v>
      </c>
      <c r="D88" s="7" t="s">
        <v>103</v>
      </c>
      <c r="E88" s="7" t="s">
        <v>264</v>
      </c>
      <c r="F88" s="7" t="s">
        <v>265</v>
      </c>
    </row>
    <row r="89" spans="2:6">
      <c r="B89" s="7" t="s">
        <v>3</v>
      </c>
      <c r="C89" s="7" t="s">
        <v>15</v>
      </c>
      <c r="D89" s="7" t="s">
        <v>103</v>
      </c>
      <c r="E89" s="7" t="s">
        <v>266</v>
      </c>
      <c r="F89" s="7" t="s">
        <v>267</v>
      </c>
    </row>
    <row r="90" spans="2:6">
      <c r="B90" s="7" t="s">
        <v>3</v>
      </c>
      <c r="C90" s="7" t="s">
        <v>15</v>
      </c>
      <c r="D90" s="7" t="s">
        <v>103</v>
      </c>
      <c r="E90" s="7" t="s">
        <v>268</v>
      </c>
      <c r="F90" s="7" t="s">
        <v>269</v>
      </c>
    </row>
    <row r="91" spans="2:6">
      <c r="B91" s="7" t="s">
        <v>3</v>
      </c>
      <c r="C91" s="7" t="s">
        <v>17</v>
      </c>
      <c r="D91" s="7" t="s">
        <v>102</v>
      </c>
      <c r="E91" s="7" t="s">
        <v>116</v>
      </c>
      <c r="F91" s="7" t="s">
        <v>270</v>
      </c>
    </row>
    <row r="92" spans="2:6">
      <c r="B92" s="7" t="s">
        <v>3</v>
      </c>
      <c r="C92" s="7" t="s">
        <v>17</v>
      </c>
      <c r="D92" s="7" t="s">
        <v>102</v>
      </c>
      <c r="E92" s="7" t="s">
        <v>271</v>
      </c>
      <c r="F92" s="7" t="s">
        <v>272</v>
      </c>
    </row>
    <row r="93" spans="2:6">
      <c r="B93" s="7" t="s">
        <v>3</v>
      </c>
      <c r="C93" s="7" t="s">
        <v>17</v>
      </c>
      <c r="D93" s="7" t="s">
        <v>102</v>
      </c>
      <c r="E93" s="7" t="s">
        <v>273</v>
      </c>
      <c r="F93" s="7" t="s">
        <v>274</v>
      </c>
    </row>
    <row r="94" spans="2:6">
      <c r="B94" s="7" t="s">
        <v>3</v>
      </c>
      <c r="C94" s="7" t="s">
        <v>17</v>
      </c>
      <c r="D94" s="7" t="s">
        <v>102</v>
      </c>
      <c r="E94" s="7" t="s">
        <v>275</v>
      </c>
      <c r="F94" s="7" t="s">
        <v>276</v>
      </c>
    </row>
    <row r="95" spans="2:6">
      <c r="B95" s="7" t="s">
        <v>3</v>
      </c>
      <c r="C95" s="7" t="s">
        <v>17</v>
      </c>
      <c r="D95" s="7" t="s">
        <v>102</v>
      </c>
      <c r="E95" s="7" t="s">
        <v>277</v>
      </c>
      <c r="F95" s="7" t="s">
        <v>278</v>
      </c>
    </row>
    <row r="96" spans="2:6">
      <c r="B96" s="7" t="s">
        <v>3</v>
      </c>
      <c r="C96" s="7" t="s">
        <v>17</v>
      </c>
      <c r="D96" s="7" t="s">
        <v>102</v>
      </c>
      <c r="E96" s="7" t="s">
        <v>279</v>
      </c>
      <c r="F96" s="7" t="s">
        <v>280</v>
      </c>
    </row>
    <row r="97" spans="2:6">
      <c r="B97" s="7" t="s">
        <v>3</v>
      </c>
      <c r="C97" s="7" t="s">
        <v>17</v>
      </c>
      <c r="D97" s="7" t="s">
        <v>102</v>
      </c>
      <c r="E97" s="7" t="s">
        <v>281</v>
      </c>
      <c r="F97" s="7" t="s">
        <v>282</v>
      </c>
    </row>
    <row r="98" spans="2:6">
      <c r="B98" s="7" t="s">
        <v>3</v>
      </c>
      <c r="C98" s="7" t="s">
        <v>17</v>
      </c>
      <c r="D98" s="7" t="s">
        <v>102</v>
      </c>
      <c r="E98" s="7" t="s">
        <v>283</v>
      </c>
      <c r="F98" s="7" t="s">
        <v>284</v>
      </c>
    </row>
    <row r="99" spans="2:6">
      <c r="B99" s="7" t="s">
        <v>3</v>
      </c>
      <c r="C99" s="7" t="s">
        <v>17</v>
      </c>
      <c r="D99" s="7" t="s">
        <v>102</v>
      </c>
      <c r="E99" s="7" t="s">
        <v>285</v>
      </c>
      <c r="F99" s="7" t="s">
        <v>286</v>
      </c>
    </row>
    <row r="100" spans="2:6">
      <c r="B100" s="7" t="s">
        <v>3</v>
      </c>
      <c r="C100" s="7" t="s">
        <v>17</v>
      </c>
      <c r="D100" s="7" t="s">
        <v>102</v>
      </c>
      <c r="E100" s="7" t="s">
        <v>287</v>
      </c>
      <c r="F100" s="7" t="s">
        <v>288</v>
      </c>
    </row>
    <row r="101" spans="2:6">
      <c r="B101" s="7" t="s">
        <v>3</v>
      </c>
      <c r="C101" s="7" t="s">
        <v>17</v>
      </c>
      <c r="D101" s="7" t="s">
        <v>102</v>
      </c>
      <c r="E101" s="7" t="s">
        <v>289</v>
      </c>
      <c r="F101" s="7" t="s">
        <v>290</v>
      </c>
    </row>
    <row r="102" spans="2:6">
      <c r="B102" s="7" t="s">
        <v>3</v>
      </c>
      <c r="C102" s="7" t="s">
        <v>17</v>
      </c>
      <c r="D102" s="7" t="s">
        <v>102</v>
      </c>
      <c r="E102" s="7" t="s">
        <v>291</v>
      </c>
      <c r="F102" s="7" t="s">
        <v>292</v>
      </c>
    </row>
    <row r="103" spans="2:6">
      <c r="B103" s="7" t="s">
        <v>3</v>
      </c>
      <c r="C103" s="7" t="s">
        <v>17</v>
      </c>
      <c r="D103" s="7" t="s">
        <v>102</v>
      </c>
      <c r="E103" s="7" t="s">
        <v>293</v>
      </c>
      <c r="F103" s="7" t="s">
        <v>294</v>
      </c>
    </row>
    <row r="104" spans="2:6">
      <c r="B104" s="7" t="s">
        <v>3</v>
      </c>
      <c r="C104" s="7" t="s">
        <v>17</v>
      </c>
      <c r="D104" s="7" t="s">
        <v>102</v>
      </c>
      <c r="E104" s="7" t="s">
        <v>295</v>
      </c>
      <c r="F104" s="7" t="s">
        <v>296</v>
      </c>
    </row>
    <row r="105" spans="2:6">
      <c r="B105" s="7" t="s">
        <v>3</v>
      </c>
      <c r="C105" s="7" t="s">
        <v>17</v>
      </c>
      <c r="D105" s="7" t="s">
        <v>102</v>
      </c>
      <c r="E105" s="7" t="s">
        <v>297</v>
      </c>
      <c r="F105" s="7" t="s">
        <v>298</v>
      </c>
    </row>
    <row r="106" spans="2:6">
      <c r="B106" s="7" t="s">
        <v>3</v>
      </c>
      <c r="C106" s="7" t="s">
        <v>17</v>
      </c>
      <c r="D106" s="7" t="s">
        <v>102</v>
      </c>
      <c r="E106" s="7" t="s">
        <v>299</v>
      </c>
      <c r="F106" s="7" t="s">
        <v>300</v>
      </c>
    </row>
    <row r="107" spans="2:6">
      <c r="B107" s="7" t="s">
        <v>3</v>
      </c>
      <c r="C107" s="7" t="s">
        <v>17</v>
      </c>
      <c r="D107" s="7" t="s">
        <v>102</v>
      </c>
      <c r="E107" s="7" t="s">
        <v>301</v>
      </c>
      <c r="F107" s="7" t="s">
        <v>302</v>
      </c>
    </row>
    <row r="108" spans="2:6">
      <c r="B108" s="7" t="s">
        <v>3</v>
      </c>
      <c r="C108" s="7" t="s">
        <v>17</v>
      </c>
      <c r="D108" s="7" t="s">
        <v>102</v>
      </c>
      <c r="E108" s="7" t="s">
        <v>303</v>
      </c>
      <c r="F108" s="7" t="s">
        <v>304</v>
      </c>
    </row>
    <row r="109" spans="2:6">
      <c r="B109" s="7" t="s">
        <v>3</v>
      </c>
      <c r="C109" s="7" t="s">
        <v>17</v>
      </c>
      <c r="D109" s="7" t="s">
        <v>102</v>
      </c>
      <c r="E109" s="7" t="s">
        <v>305</v>
      </c>
      <c r="F109" s="7" t="s">
        <v>306</v>
      </c>
    </row>
    <row r="110" spans="2:6">
      <c r="B110" s="7" t="s">
        <v>3</v>
      </c>
      <c r="C110" s="7" t="s">
        <v>17</v>
      </c>
      <c r="D110" s="7" t="s">
        <v>103</v>
      </c>
      <c r="E110" s="7" t="s">
        <v>23</v>
      </c>
      <c r="F110" s="7" t="s">
        <v>23</v>
      </c>
    </row>
    <row r="111" spans="2:6">
      <c r="B111" s="7" t="s">
        <v>3</v>
      </c>
      <c r="C111" s="7" t="s">
        <v>17</v>
      </c>
      <c r="D111" s="7" t="s">
        <v>103</v>
      </c>
      <c r="E111" s="7" t="s">
        <v>307</v>
      </c>
      <c r="F111" s="7" t="s">
        <v>308</v>
      </c>
    </row>
    <row r="112" spans="2:6">
      <c r="B112" s="7" t="s">
        <v>3</v>
      </c>
      <c r="C112" s="7" t="s">
        <v>17</v>
      </c>
      <c r="D112" s="7" t="s">
        <v>103</v>
      </c>
      <c r="E112" s="7" t="s">
        <v>309</v>
      </c>
      <c r="F112" s="7" t="s">
        <v>310</v>
      </c>
    </row>
    <row r="113" spans="2:6">
      <c r="B113" s="7" t="s">
        <v>3</v>
      </c>
      <c r="C113" s="7" t="s">
        <v>17</v>
      </c>
      <c r="D113" s="7" t="s">
        <v>103</v>
      </c>
      <c r="E113" s="7" t="s">
        <v>311</v>
      </c>
      <c r="F113" s="7" t="s">
        <v>312</v>
      </c>
    </row>
    <row r="114" spans="2:6">
      <c r="B114" s="7" t="s">
        <v>3</v>
      </c>
      <c r="C114" s="7" t="s">
        <v>17</v>
      </c>
      <c r="D114" s="7" t="s">
        <v>103</v>
      </c>
      <c r="E114" s="7" t="s">
        <v>313</v>
      </c>
      <c r="F114" s="7" t="s">
        <v>314</v>
      </c>
    </row>
    <row r="115" spans="2:6">
      <c r="B115" s="7" t="s">
        <v>3</v>
      </c>
      <c r="C115" s="7" t="s">
        <v>17</v>
      </c>
      <c r="D115" s="7" t="s">
        <v>103</v>
      </c>
      <c r="E115" s="7" t="s">
        <v>315</v>
      </c>
      <c r="F115" s="7" t="s">
        <v>316</v>
      </c>
    </row>
    <row r="116" spans="2:6">
      <c r="B116" s="7" t="s">
        <v>3</v>
      </c>
      <c r="C116" s="7" t="s">
        <v>17</v>
      </c>
      <c r="D116" s="7" t="s">
        <v>103</v>
      </c>
      <c r="E116" s="7" t="s">
        <v>317</v>
      </c>
      <c r="F116" s="7" t="s">
        <v>318</v>
      </c>
    </row>
    <row r="117" spans="2:6">
      <c r="B117" s="7" t="s">
        <v>3</v>
      </c>
      <c r="C117" s="7" t="s">
        <v>17</v>
      </c>
      <c r="D117" s="7" t="s">
        <v>103</v>
      </c>
      <c r="E117" s="7" t="s">
        <v>319</v>
      </c>
      <c r="F117" s="7" t="s">
        <v>263</v>
      </c>
    </row>
    <row r="118" spans="2:6">
      <c r="B118" s="7" t="s">
        <v>3</v>
      </c>
      <c r="C118" s="7" t="s">
        <v>17</v>
      </c>
      <c r="D118" s="7" t="s">
        <v>103</v>
      </c>
      <c r="E118" s="7" t="s">
        <v>320</v>
      </c>
      <c r="F118" s="7" t="s">
        <v>321</v>
      </c>
    </row>
    <row r="119" spans="2:6">
      <c r="B119" s="7" t="s">
        <v>3</v>
      </c>
      <c r="C119" s="7" t="s">
        <v>17</v>
      </c>
      <c r="D119" s="7" t="s">
        <v>103</v>
      </c>
      <c r="E119" s="7" t="s">
        <v>305</v>
      </c>
      <c r="F119" s="7" t="s">
        <v>322</v>
      </c>
    </row>
    <row r="120" spans="2:6">
      <c r="B120" s="7" t="s">
        <v>3</v>
      </c>
      <c r="C120" s="7" t="s">
        <v>17</v>
      </c>
      <c r="D120" s="7" t="s">
        <v>103</v>
      </c>
      <c r="E120" s="7" t="s">
        <v>323</v>
      </c>
      <c r="F120" s="7" t="s">
        <v>324</v>
      </c>
    </row>
    <row r="121" spans="2:6">
      <c r="B121" s="7" t="s">
        <v>3</v>
      </c>
      <c r="C121" s="7" t="s">
        <v>17</v>
      </c>
      <c r="D121" s="7" t="s">
        <v>103</v>
      </c>
      <c r="E121" s="7" t="s">
        <v>325</v>
      </c>
      <c r="F121" s="7" t="s">
        <v>326</v>
      </c>
    </row>
    <row r="122" spans="2:6">
      <c r="B122" s="7" t="s">
        <v>3</v>
      </c>
      <c r="C122" s="7" t="s">
        <v>17</v>
      </c>
      <c r="D122" s="7" t="s">
        <v>103</v>
      </c>
      <c r="E122" s="7" t="s">
        <v>327</v>
      </c>
      <c r="F122" s="7" t="s">
        <v>328</v>
      </c>
    </row>
    <row r="123" spans="2:6">
      <c r="B123" s="7" t="s">
        <v>3</v>
      </c>
      <c r="C123" s="7" t="s">
        <v>17</v>
      </c>
      <c r="D123" s="7" t="s">
        <v>103</v>
      </c>
      <c r="E123" s="7" t="s">
        <v>329</v>
      </c>
      <c r="F123" s="7" t="s">
        <v>330</v>
      </c>
    </row>
    <row r="124" spans="2:6">
      <c r="B124" s="7" t="s">
        <v>3</v>
      </c>
      <c r="C124" s="7" t="s">
        <v>17</v>
      </c>
      <c r="D124" s="7" t="s">
        <v>103</v>
      </c>
      <c r="E124" s="7" t="s">
        <v>331</v>
      </c>
      <c r="F124" s="7" t="s">
        <v>332</v>
      </c>
    </row>
    <row r="125" spans="2:6">
      <c r="B125" s="7" t="s">
        <v>3</v>
      </c>
      <c r="C125" s="7" t="s">
        <v>17</v>
      </c>
      <c r="D125" s="7" t="s">
        <v>103</v>
      </c>
      <c r="E125" s="7" t="s">
        <v>333</v>
      </c>
      <c r="F125" s="7" t="s">
        <v>334</v>
      </c>
    </row>
    <row r="126" spans="2:6">
      <c r="B126" s="7" t="s">
        <v>3</v>
      </c>
      <c r="C126" s="7" t="s">
        <v>17</v>
      </c>
      <c r="D126" s="7" t="s">
        <v>103</v>
      </c>
      <c r="E126" s="7" t="s">
        <v>335</v>
      </c>
      <c r="F126" s="7" t="s">
        <v>336</v>
      </c>
    </row>
    <row r="127" spans="2:6">
      <c r="B127" s="7" t="s">
        <v>3</v>
      </c>
      <c r="C127" s="7" t="s">
        <v>17</v>
      </c>
      <c r="D127" s="7" t="s">
        <v>103</v>
      </c>
      <c r="E127" s="7" t="s">
        <v>337</v>
      </c>
      <c r="F127" s="7" t="s">
        <v>338</v>
      </c>
    </row>
    <row r="128" spans="2:6">
      <c r="B128" s="7" t="s">
        <v>3</v>
      </c>
      <c r="C128" s="7" t="s">
        <v>17</v>
      </c>
      <c r="D128" s="7" t="s">
        <v>103</v>
      </c>
      <c r="E128" s="7" t="s">
        <v>339</v>
      </c>
      <c r="F128" s="7" t="s">
        <v>340</v>
      </c>
    </row>
    <row r="129" spans="2:6">
      <c r="B129" s="7" t="s">
        <v>3</v>
      </c>
      <c r="C129" s="7" t="s">
        <v>17</v>
      </c>
      <c r="D129" s="7" t="s">
        <v>103</v>
      </c>
      <c r="E129" s="7" t="s">
        <v>341</v>
      </c>
      <c r="F129" s="7" t="s">
        <v>342</v>
      </c>
    </row>
    <row r="130" spans="2:6">
      <c r="B130" s="7" t="s">
        <v>3</v>
      </c>
      <c r="C130" s="7" t="s">
        <v>17</v>
      </c>
      <c r="D130" s="7" t="s">
        <v>103</v>
      </c>
      <c r="E130" s="7" t="s">
        <v>343</v>
      </c>
      <c r="F130" s="7" t="s">
        <v>344</v>
      </c>
    </row>
    <row r="131" spans="2:6">
      <c r="B131" s="7" t="s">
        <v>3</v>
      </c>
      <c r="C131" s="7" t="s">
        <v>17</v>
      </c>
      <c r="D131" s="7" t="s">
        <v>103</v>
      </c>
      <c r="E131" s="7" t="s">
        <v>345</v>
      </c>
      <c r="F131" s="7" t="s">
        <v>346</v>
      </c>
    </row>
    <row r="132" spans="2:6">
      <c r="B132" s="7" t="s">
        <v>3</v>
      </c>
      <c r="C132" s="7" t="s">
        <v>17</v>
      </c>
      <c r="D132" s="7" t="s">
        <v>103</v>
      </c>
      <c r="E132" s="7" t="s">
        <v>347</v>
      </c>
      <c r="F132" s="7" t="s">
        <v>348</v>
      </c>
    </row>
    <row r="133" spans="2:6">
      <c r="B133" s="7" t="s">
        <v>3</v>
      </c>
      <c r="C133" s="7" t="s">
        <v>17</v>
      </c>
      <c r="D133" s="7" t="s">
        <v>103</v>
      </c>
      <c r="E133" s="7" t="s">
        <v>349</v>
      </c>
      <c r="F133" s="7" t="s">
        <v>350</v>
      </c>
    </row>
    <row r="134" spans="2:6">
      <c r="B134" s="7" t="s">
        <v>3</v>
      </c>
      <c r="C134" s="7" t="s">
        <v>17</v>
      </c>
      <c r="D134" s="7" t="s">
        <v>103</v>
      </c>
      <c r="E134" s="7" t="s">
        <v>351</v>
      </c>
      <c r="F134" s="7" t="s">
        <v>352</v>
      </c>
    </row>
    <row r="135" spans="2:6">
      <c r="B135" s="7" t="s">
        <v>3</v>
      </c>
      <c r="C135" s="7" t="s">
        <v>17</v>
      </c>
      <c r="D135" s="7" t="s">
        <v>103</v>
      </c>
      <c r="E135" s="7" t="s">
        <v>353</v>
      </c>
      <c r="F135" s="7" t="s">
        <v>354</v>
      </c>
    </row>
    <row r="136" spans="2:6">
      <c r="B136" s="7" t="s">
        <v>3</v>
      </c>
      <c r="C136" s="7" t="s">
        <v>17</v>
      </c>
      <c r="D136" s="7" t="s">
        <v>103</v>
      </c>
      <c r="E136" s="7" t="s">
        <v>271</v>
      </c>
      <c r="F136" s="7" t="s">
        <v>355</v>
      </c>
    </row>
    <row r="137" spans="2:6">
      <c r="B137" s="7" t="s">
        <v>3</v>
      </c>
      <c r="C137" s="7" t="s">
        <v>17</v>
      </c>
      <c r="D137" s="7" t="s">
        <v>103</v>
      </c>
      <c r="E137" s="7" t="s">
        <v>356</v>
      </c>
      <c r="F137" s="7" t="s">
        <v>357</v>
      </c>
    </row>
    <row r="138" spans="2:6">
      <c r="B138" s="7" t="s">
        <v>3</v>
      </c>
      <c r="C138" s="7" t="s">
        <v>17</v>
      </c>
      <c r="D138" s="7" t="s">
        <v>103</v>
      </c>
      <c r="E138" s="7" t="s">
        <v>358</v>
      </c>
      <c r="F138" s="7" t="s">
        <v>359</v>
      </c>
    </row>
    <row r="139" spans="2:6">
      <c r="B139" s="7" t="s">
        <v>3</v>
      </c>
      <c r="C139" s="7" t="s">
        <v>17</v>
      </c>
      <c r="D139" s="7" t="s">
        <v>103</v>
      </c>
      <c r="E139" s="7" t="s">
        <v>360</v>
      </c>
      <c r="F139" s="7" t="s">
        <v>361</v>
      </c>
    </row>
    <row r="140" spans="2:6">
      <c r="B140" s="7" t="s">
        <v>3</v>
      </c>
      <c r="C140" s="7" t="s">
        <v>17</v>
      </c>
      <c r="D140" s="7" t="s">
        <v>103</v>
      </c>
      <c r="E140" s="7" t="s">
        <v>362</v>
      </c>
      <c r="F140" s="7" t="s">
        <v>363</v>
      </c>
    </row>
    <row r="141" spans="2:6">
      <c r="B141" s="7" t="s">
        <v>3</v>
      </c>
      <c r="C141" s="7" t="s">
        <v>17</v>
      </c>
      <c r="D141" s="7" t="s">
        <v>103</v>
      </c>
      <c r="E141" s="7" t="s">
        <v>364</v>
      </c>
      <c r="F141" s="7" t="s">
        <v>365</v>
      </c>
    </row>
    <row r="142" spans="2:6">
      <c r="B142" s="7" t="s">
        <v>3</v>
      </c>
      <c r="C142" s="7" t="s">
        <v>17</v>
      </c>
      <c r="D142" s="7" t="s">
        <v>103</v>
      </c>
      <c r="E142" s="7" t="s">
        <v>366</v>
      </c>
      <c r="F142" s="7" t="s">
        <v>367</v>
      </c>
    </row>
    <row r="143" spans="2:6">
      <c r="B143" s="7" t="s">
        <v>3</v>
      </c>
      <c r="C143" s="7" t="s">
        <v>17</v>
      </c>
      <c r="D143" s="7" t="s">
        <v>103</v>
      </c>
      <c r="E143" s="7" t="s">
        <v>368</v>
      </c>
      <c r="F143" s="7" t="s">
        <v>369</v>
      </c>
    </row>
    <row r="144" spans="2:6">
      <c r="B144" s="7" t="s">
        <v>3</v>
      </c>
      <c r="C144" s="7" t="s">
        <v>17</v>
      </c>
      <c r="D144" s="7" t="s">
        <v>103</v>
      </c>
      <c r="E144" s="7" t="s">
        <v>370</v>
      </c>
      <c r="F144" s="7" t="s">
        <v>371</v>
      </c>
    </row>
    <row r="145" spans="2:6">
      <c r="B145" s="7" t="s">
        <v>3</v>
      </c>
      <c r="C145" s="7" t="s">
        <v>17</v>
      </c>
      <c r="D145" s="7" t="s">
        <v>103</v>
      </c>
      <c r="E145" s="7" t="s">
        <v>372</v>
      </c>
      <c r="F145" s="7" t="s">
        <v>373</v>
      </c>
    </row>
    <row r="146" spans="2:6">
      <c r="B146" s="7" t="s">
        <v>3</v>
      </c>
      <c r="C146" s="7" t="s">
        <v>17</v>
      </c>
      <c r="D146" s="7" t="s">
        <v>103</v>
      </c>
      <c r="E146" s="7" t="s">
        <v>374</v>
      </c>
      <c r="F146" s="7" t="s">
        <v>375</v>
      </c>
    </row>
    <row r="147" spans="2:6">
      <c r="B147" s="7" t="s">
        <v>3</v>
      </c>
      <c r="C147" s="7" t="s">
        <v>17</v>
      </c>
      <c r="D147" s="7" t="s">
        <v>103</v>
      </c>
      <c r="E147" s="7" t="s">
        <v>376</v>
      </c>
      <c r="F147" s="7" t="s">
        <v>377</v>
      </c>
    </row>
    <row r="148" spans="2:6">
      <c r="B148" s="7" t="s">
        <v>3</v>
      </c>
      <c r="C148" s="7" t="s">
        <v>17</v>
      </c>
      <c r="D148" s="7" t="s">
        <v>103</v>
      </c>
      <c r="E148" s="7" t="s">
        <v>378</v>
      </c>
      <c r="F148" s="7" t="s">
        <v>379</v>
      </c>
    </row>
    <row r="149" spans="2:6">
      <c r="B149" s="7" t="s">
        <v>3</v>
      </c>
      <c r="C149" s="7" t="s">
        <v>17</v>
      </c>
      <c r="D149" s="7" t="s">
        <v>103</v>
      </c>
      <c r="E149" s="7" t="s">
        <v>380</v>
      </c>
      <c r="F149" s="7" t="s">
        <v>381</v>
      </c>
    </row>
    <row r="150" spans="2:6">
      <c r="B150" s="7" t="s">
        <v>3</v>
      </c>
      <c r="C150" s="7" t="s">
        <v>18</v>
      </c>
      <c r="D150" s="7" t="s">
        <v>102</v>
      </c>
      <c r="E150" s="7" t="s">
        <v>116</v>
      </c>
      <c r="F150" s="7" t="s">
        <v>382</v>
      </c>
    </row>
    <row r="151" spans="2:6">
      <c r="B151" s="7" t="s">
        <v>3</v>
      </c>
      <c r="C151" s="7" t="s">
        <v>18</v>
      </c>
      <c r="D151" s="7" t="s">
        <v>102</v>
      </c>
      <c r="E151" s="7" t="s">
        <v>150</v>
      </c>
      <c r="F151" s="7" t="s">
        <v>383</v>
      </c>
    </row>
    <row r="152" spans="2:6">
      <c r="B152" s="7" t="s">
        <v>3</v>
      </c>
      <c r="C152" s="7" t="s">
        <v>18</v>
      </c>
      <c r="D152" s="7" t="s">
        <v>103</v>
      </c>
      <c r="E152" s="7" t="s">
        <v>5</v>
      </c>
      <c r="F152" s="7" t="s">
        <v>5</v>
      </c>
    </row>
    <row r="153" spans="2:6">
      <c r="B153" s="7" t="s">
        <v>3</v>
      </c>
      <c r="C153" s="7" t="s">
        <v>19</v>
      </c>
      <c r="D153" s="7" t="s">
        <v>102</v>
      </c>
      <c r="E153" s="7" t="s">
        <v>384</v>
      </c>
      <c r="F153" s="7" t="s">
        <v>385</v>
      </c>
    </row>
    <row r="154" spans="2:6">
      <c r="B154" s="7" t="s">
        <v>3</v>
      </c>
      <c r="C154" s="7" t="s">
        <v>19</v>
      </c>
      <c r="D154" s="7" t="s">
        <v>103</v>
      </c>
      <c r="E154" s="7" t="s">
        <v>386</v>
      </c>
      <c r="F154" s="7" t="s">
        <v>387</v>
      </c>
    </row>
    <row r="155" spans="2:6">
      <c r="B155" s="7" t="s">
        <v>3</v>
      </c>
      <c r="C155" s="7" t="s">
        <v>19</v>
      </c>
      <c r="D155" s="7" t="s">
        <v>103</v>
      </c>
      <c r="E155" s="7" t="s">
        <v>124</v>
      </c>
      <c r="F155" s="7" t="s">
        <v>318</v>
      </c>
    </row>
    <row r="156" spans="2:6">
      <c r="B156" s="7" t="s">
        <v>3</v>
      </c>
      <c r="C156" s="7" t="s">
        <v>19</v>
      </c>
      <c r="D156" s="7" t="s">
        <v>103</v>
      </c>
      <c r="E156" s="7" t="s">
        <v>301</v>
      </c>
      <c r="F156" s="7" t="s">
        <v>263</v>
      </c>
    </row>
    <row r="157" spans="2:6">
      <c r="B157" s="7" t="s">
        <v>3</v>
      </c>
      <c r="C157" s="7" t="s">
        <v>19</v>
      </c>
      <c r="D157" s="7" t="s">
        <v>103</v>
      </c>
      <c r="E157" s="7" t="s">
        <v>126</v>
      </c>
      <c r="F157" s="7" t="s">
        <v>388</v>
      </c>
    </row>
    <row r="158" spans="2:6">
      <c r="B158" s="7" t="s">
        <v>3</v>
      </c>
      <c r="C158" s="7" t="s">
        <v>19</v>
      </c>
      <c r="D158" s="7" t="s">
        <v>103</v>
      </c>
      <c r="E158" s="7" t="s">
        <v>384</v>
      </c>
      <c r="F158" s="7" t="s">
        <v>389</v>
      </c>
    </row>
    <row r="159" spans="2:6">
      <c r="B159" s="7" t="s">
        <v>3</v>
      </c>
      <c r="C159" s="7" t="s">
        <v>19</v>
      </c>
      <c r="D159" s="7" t="s">
        <v>103</v>
      </c>
      <c r="E159" s="7" t="s">
        <v>390</v>
      </c>
      <c r="F159" s="7" t="s">
        <v>391</v>
      </c>
    </row>
    <row r="160" spans="2:6">
      <c r="B160" s="7" t="s">
        <v>3</v>
      </c>
      <c r="C160" s="7" t="s">
        <v>19</v>
      </c>
      <c r="D160" s="7" t="s">
        <v>103</v>
      </c>
      <c r="E160" s="7" t="s">
        <v>392</v>
      </c>
      <c r="F160" s="7" t="s">
        <v>393</v>
      </c>
    </row>
    <row r="161" spans="2:6">
      <c r="B161" s="7" t="s">
        <v>3</v>
      </c>
      <c r="C161" s="7" t="s">
        <v>19</v>
      </c>
      <c r="D161" s="7" t="s">
        <v>103</v>
      </c>
      <c r="E161" s="7" t="s">
        <v>394</v>
      </c>
      <c r="F161" s="7" t="s">
        <v>395</v>
      </c>
    </row>
    <row r="162" spans="2:6">
      <c r="B162" s="7" t="s">
        <v>3</v>
      </c>
      <c r="C162" s="7" t="s">
        <v>19</v>
      </c>
      <c r="D162" s="7" t="s">
        <v>103</v>
      </c>
      <c r="E162" s="7" t="s">
        <v>208</v>
      </c>
      <c r="F162" s="7" t="s">
        <v>396</v>
      </c>
    </row>
    <row r="163" spans="2:6">
      <c r="B163" s="7" t="s">
        <v>3</v>
      </c>
      <c r="C163" s="7" t="s">
        <v>19</v>
      </c>
      <c r="D163" s="7" t="s">
        <v>103</v>
      </c>
      <c r="E163" s="7" t="s">
        <v>397</v>
      </c>
      <c r="F163" s="7" t="s">
        <v>398</v>
      </c>
    </row>
    <row r="164" spans="2:6">
      <c r="B164" s="7" t="s">
        <v>3</v>
      </c>
      <c r="C164" s="7" t="s">
        <v>19</v>
      </c>
      <c r="D164" s="7" t="s">
        <v>103</v>
      </c>
      <c r="E164" s="7" t="s">
        <v>399</v>
      </c>
      <c r="F164" s="7" t="s">
        <v>400</v>
      </c>
    </row>
    <row r="165" spans="2:6">
      <c r="B165" s="7" t="s">
        <v>3</v>
      </c>
      <c r="C165" s="7" t="s">
        <v>19</v>
      </c>
      <c r="D165" s="7" t="s">
        <v>103</v>
      </c>
      <c r="E165" s="7" t="s">
        <v>401</v>
      </c>
      <c r="F165" s="7" t="s">
        <v>402</v>
      </c>
    </row>
    <row r="166" spans="2:6">
      <c r="B166" s="7" t="s">
        <v>3</v>
      </c>
      <c r="C166" s="7" t="s">
        <v>19</v>
      </c>
      <c r="D166" s="7" t="s">
        <v>103</v>
      </c>
      <c r="E166" s="7" t="s">
        <v>403</v>
      </c>
      <c r="F166" s="7" t="s">
        <v>404</v>
      </c>
    </row>
    <row r="167" spans="2:6">
      <c r="B167" s="7" t="s">
        <v>3</v>
      </c>
      <c r="C167" s="7" t="s">
        <v>19</v>
      </c>
      <c r="D167" s="7" t="s">
        <v>103</v>
      </c>
      <c r="E167" s="7" t="s">
        <v>405</v>
      </c>
      <c r="F167" s="7" t="s">
        <v>406</v>
      </c>
    </row>
    <row r="168" spans="2:6">
      <c r="B168" s="7" t="s">
        <v>3</v>
      </c>
      <c r="C168" s="7" t="s">
        <v>19</v>
      </c>
      <c r="D168" s="7" t="s">
        <v>103</v>
      </c>
      <c r="E168" s="7" t="s">
        <v>407</v>
      </c>
      <c r="F168" s="7" t="s">
        <v>400</v>
      </c>
    </row>
    <row r="169" spans="2:6">
      <c r="B169" s="7" t="s">
        <v>3</v>
      </c>
      <c r="C169" s="7" t="s">
        <v>19</v>
      </c>
      <c r="D169" s="7" t="s">
        <v>103</v>
      </c>
      <c r="E169" s="7" t="s">
        <v>408</v>
      </c>
      <c r="F169" s="7" t="s">
        <v>409</v>
      </c>
    </row>
    <row r="170" spans="2:6">
      <c r="B170" s="7" t="s">
        <v>3</v>
      </c>
      <c r="C170" s="7" t="s">
        <v>19</v>
      </c>
      <c r="D170" s="7" t="s">
        <v>103</v>
      </c>
      <c r="E170" s="7" t="s">
        <v>410</v>
      </c>
      <c r="F170" s="7" t="s">
        <v>411</v>
      </c>
    </row>
    <row r="171" spans="2:6">
      <c r="B171" s="7" t="s">
        <v>3</v>
      </c>
      <c r="C171" s="7" t="s">
        <v>20</v>
      </c>
      <c r="D171" s="7" t="s">
        <v>102</v>
      </c>
      <c r="E171" s="7" t="s">
        <v>5</v>
      </c>
      <c r="F171" s="7" t="s">
        <v>5</v>
      </c>
    </row>
    <row r="172" spans="2:6">
      <c r="B172" s="7" t="s">
        <v>3</v>
      </c>
      <c r="C172" s="7" t="s">
        <v>20</v>
      </c>
      <c r="D172" s="7" t="s">
        <v>103</v>
      </c>
      <c r="E172" s="7" t="s">
        <v>412</v>
      </c>
      <c r="F172" s="7" t="s">
        <v>413</v>
      </c>
    </row>
    <row r="173" spans="2:6">
      <c r="B173" s="7" t="s">
        <v>3</v>
      </c>
      <c r="C173" s="7" t="s">
        <v>20</v>
      </c>
      <c r="D173" s="7" t="s">
        <v>103</v>
      </c>
      <c r="E173" s="7" t="s">
        <v>414</v>
      </c>
      <c r="F173" s="7" t="s">
        <v>389</v>
      </c>
    </row>
    <row r="174" spans="2:6">
      <c r="B174" s="7" t="s">
        <v>3</v>
      </c>
      <c r="C174" s="7" t="s">
        <v>20</v>
      </c>
      <c r="D174" s="7" t="s">
        <v>103</v>
      </c>
      <c r="E174" s="7" t="s">
        <v>415</v>
      </c>
      <c r="F174" s="7" t="s">
        <v>416</v>
      </c>
    </row>
    <row r="175" spans="2:6">
      <c r="B175" s="7" t="s">
        <v>3</v>
      </c>
      <c r="C175" s="7" t="s">
        <v>20</v>
      </c>
      <c r="D175" s="7" t="s">
        <v>103</v>
      </c>
      <c r="E175" s="7" t="s">
        <v>417</v>
      </c>
      <c r="F175" s="7" t="s">
        <v>418</v>
      </c>
    </row>
    <row r="176" spans="2:6">
      <c r="B176" s="7" t="s">
        <v>3</v>
      </c>
      <c r="C176" s="7" t="s">
        <v>20</v>
      </c>
      <c r="D176" s="7" t="s">
        <v>103</v>
      </c>
      <c r="E176" s="7" t="s">
        <v>419</v>
      </c>
      <c r="F176" s="7" t="s">
        <v>420</v>
      </c>
    </row>
    <row r="177" spans="2:6">
      <c r="B177" s="7" t="s">
        <v>3</v>
      </c>
      <c r="C177" s="7" t="s">
        <v>20</v>
      </c>
      <c r="D177" s="7" t="s">
        <v>103</v>
      </c>
      <c r="E177" s="7" t="s">
        <v>421</v>
      </c>
      <c r="F177" s="7" t="s">
        <v>422</v>
      </c>
    </row>
    <row r="178" spans="2:6">
      <c r="B178" s="7" t="s">
        <v>3</v>
      </c>
      <c r="C178" s="7" t="s">
        <v>20</v>
      </c>
      <c r="D178" s="7" t="s">
        <v>103</v>
      </c>
      <c r="E178" s="7" t="s">
        <v>423</v>
      </c>
      <c r="F178" s="7" t="s">
        <v>424</v>
      </c>
    </row>
    <row r="179" spans="2:6">
      <c r="B179" s="7" t="s">
        <v>3</v>
      </c>
      <c r="C179" s="7" t="s">
        <v>20</v>
      </c>
      <c r="D179" s="7" t="s">
        <v>103</v>
      </c>
      <c r="E179" s="7" t="s">
        <v>425</v>
      </c>
      <c r="F179" s="7" t="s">
        <v>426</v>
      </c>
    </row>
    <row r="180" spans="2:6">
      <c r="B180" s="7" t="s">
        <v>3</v>
      </c>
      <c r="C180" s="7" t="s">
        <v>20</v>
      </c>
      <c r="D180" s="7" t="s">
        <v>103</v>
      </c>
      <c r="E180" s="7" t="s">
        <v>427</v>
      </c>
      <c r="F180" s="7" t="s">
        <v>428</v>
      </c>
    </row>
    <row r="181" spans="2:6">
      <c r="B181" s="7" t="s">
        <v>3</v>
      </c>
      <c r="C181" s="7" t="s">
        <v>20</v>
      </c>
      <c r="D181" s="7" t="s">
        <v>103</v>
      </c>
      <c r="E181" s="7" t="s">
        <v>429</v>
      </c>
      <c r="F181" s="7" t="s">
        <v>430</v>
      </c>
    </row>
    <row r="182" spans="2:6">
      <c r="B182" s="7" t="s">
        <v>3</v>
      </c>
      <c r="C182" s="7" t="s">
        <v>21</v>
      </c>
      <c r="D182" s="7" t="s">
        <v>102</v>
      </c>
      <c r="E182" s="7" t="s">
        <v>384</v>
      </c>
      <c r="F182" s="7" t="s">
        <v>389</v>
      </c>
    </row>
    <row r="183" spans="2:6">
      <c r="B183" s="7" t="s">
        <v>3</v>
      </c>
      <c r="C183" s="7" t="s">
        <v>21</v>
      </c>
      <c r="D183" s="7" t="s">
        <v>102</v>
      </c>
      <c r="E183" s="7" t="s">
        <v>392</v>
      </c>
      <c r="F183" s="7" t="s">
        <v>431</v>
      </c>
    </row>
    <row r="184" spans="2:6">
      <c r="B184" s="7" t="s">
        <v>3</v>
      </c>
      <c r="C184" s="7" t="s">
        <v>21</v>
      </c>
      <c r="D184" s="7" t="s">
        <v>102</v>
      </c>
      <c r="E184" s="7" t="s">
        <v>394</v>
      </c>
      <c r="F184" s="7" t="s">
        <v>432</v>
      </c>
    </row>
    <row r="185" spans="2:6">
      <c r="B185" s="7" t="s">
        <v>3</v>
      </c>
      <c r="C185" s="7" t="s">
        <v>21</v>
      </c>
      <c r="D185" s="7" t="s">
        <v>102</v>
      </c>
      <c r="E185" s="7" t="s">
        <v>208</v>
      </c>
      <c r="F185" s="7" t="s">
        <v>433</v>
      </c>
    </row>
    <row r="186" spans="2:6">
      <c r="B186" s="7" t="s">
        <v>3</v>
      </c>
      <c r="C186" s="7" t="s">
        <v>21</v>
      </c>
      <c r="D186" s="7" t="s">
        <v>102</v>
      </c>
      <c r="E186" s="7" t="s">
        <v>397</v>
      </c>
      <c r="F186" s="7" t="s">
        <v>434</v>
      </c>
    </row>
    <row r="187" spans="2:6">
      <c r="B187" s="7" t="s">
        <v>3</v>
      </c>
      <c r="C187" s="7" t="s">
        <v>21</v>
      </c>
      <c r="D187" s="7" t="s">
        <v>102</v>
      </c>
      <c r="E187" s="7" t="s">
        <v>401</v>
      </c>
      <c r="F187" s="7" t="s">
        <v>435</v>
      </c>
    </row>
    <row r="188" spans="2:6">
      <c r="B188" s="7" t="s">
        <v>3</v>
      </c>
      <c r="C188" s="7" t="s">
        <v>21</v>
      </c>
      <c r="D188" s="7" t="s">
        <v>102</v>
      </c>
      <c r="E188" s="7" t="s">
        <v>403</v>
      </c>
      <c r="F188" s="7" t="s">
        <v>436</v>
      </c>
    </row>
    <row r="189" spans="2:6">
      <c r="B189" s="7" t="s">
        <v>3</v>
      </c>
      <c r="C189" s="7" t="s">
        <v>21</v>
      </c>
      <c r="D189" s="7" t="s">
        <v>102</v>
      </c>
      <c r="E189" s="7" t="s">
        <v>405</v>
      </c>
      <c r="F189" s="7" t="s">
        <v>437</v>
      </c>
    </row>
    <row r="190" spans="2:6">
      <c r="B190" s="7" t="s">
        <v>3</v>
      </c>
      <c r="C190" s="7" t="s">
        <v>21</v>
      </c>
      <c r="D190" s="7" t="s">
        <v>102</v>
      </c>
      <c r="E190" s="7" t="s">
        <v>408</v>
      </c>
      <c r="F190" s="7" t="s">
        <v>438</v>
      </c>
    </row>
    <row r="191" spans="2:6">
      <c r="B191" s="7" t="s">
        <v>3</v>
      </c>
      <c r="C191" s="7" t="s">
        <v>21</v>
      </c>
      <c r="D191" s="7" t="s">
        <v>102</v>
      </c>
      <c r="E191" s="7" t="s">
        <v>410</v>
      </c>
      <c r="F191" s="7" t="s">
        <v>439</v>
      </c>
    </row>
    <row r="192" spans="2:6">
      <c r="B192" s="7" t="s">
        <v>3</v>
      </c>
      <c r="C192" s="7" t="s">
        <v>21</v>
      </c>
      <c r="D192" s="7" t="s">
        <v>103</v>
      </c>
      <c r="E192" s="7" t="s">
        <v>5</v>
      </c>
      <c r="F192" s="7" t="s">
        <v>5</v>
      </c>
    </row>
    <row r="193" spans="2:6">
      <c r="B193" s="7" t="s">
        <v>3</v>
      </c>
      <c r="C193" s="7" t="s">
        <v>22</v>
      </c>
      <c r="D193" s="7" t="s">
        <v>102</v>
      </c>
      <c r="E193" s="7" t="s">
        <v>414</v>
      </c>
      <c r="F193" s="7" t="s">
        <v>389</v>
      </c>
    </row>
    <row r="194" spans="2:6">
      <c r="B194" s="7" t="s">
        <v>3</v>
      </c>
      <c r="C194" s="7" t="s">
        <v>22</v>
      </c>
      <c r="D194" s="7" t="s">
        <v>102</v>
      </c>
      <c r="E194" s="7" t="s">
        <v>415</v>
      </c>
      <c r="F194" s="7" t="s">
        <v>416</v>
      </c>
    </row>
    <row r="195" spans="2:6">
      <c r="B195" s="7" t="s">
        <v>3</v>
      </c>
      <c r="C195" s="7" t="s">
        <v>22</v>
      </c>
      <c r="D195" s="7" t="s">
        <v>102</v>
      </c>
      <c r="E195" s="7" t="s">
        <v>417</v>
      </c>
      <c r="F195" s="7" t="s">
        <v>418</v>
      </c>
    </row>
    <row r="196" spans="2:6">
      <c r="B196" s="7" t="s">
        <v>3</v>
      </c>
      <c r="C196" s="7" t="s">
        <v>22</v>
      </c>
      <c r="D196" s="7" t="s">
        <v>102</v>
      </c>
      <c r="E196" s="7" t="s">
        <v>419</v>
      </c>
      <c r="F196" s="7" t="s">
        <v>420</v>
      </c>
    </row>
    <row r="197" spans="2:6">
      <c r="B197" s="7" t="s">
        <v>3</v>
      </c>
      <c r="C197" s="7" t="s">
        <v>22</v>
      </c>
      <c r="D197" s="7" t="s">
        <v>102</v>
      </c>
      <c r="E197" s="7" t="s">
        <v>421</v>
      </c>
      <c r="F197" s="7" t="s">
        <v>422</v>
      </c>
    </row>
    <row r="198" spans="2:6">
      <c r="B198" s="7" t="s">
        <v>3</v>
      </c>
      <c r="C198" s="7" t="s">
        <v>22</v>
      </c>
      <c r="D198" s="7" t="s">
        <v>102</v>
      </c>
      <c r="E198" s="7" t="s">
        <v>423</v>
      </c>
      <c r="F198" s="7" t="s">
        <v>424</v>
      </c>
    </row>
    <row r="199" spans="2:6">
      <c r="B199" s="7" t="s">
        <v>3</v>
      </c>
      <c r="C199" s="7" t="s">
        <v>22</v>
      </c>
      <c r="D199" s="7" t="s">
        <v>102</v>
      </c>
      <c r="E199" s="7" t="s">
        <v>427</v>
      </c>
      <c r="F199" s="7" t="s">
        <v>426</v>
      </c>
    </row>
    <row r="200" spans="2:6">
      <c r="B200" s="7" t="s">
        <v>3</v>
      </c>
      <c r="C200" s="7" t="s">
        <v>22</v>
      </c>
      <c r="D200" s="7" t="s">
        <v>102</v>
      </c>
      <c r="E200" s="7" t="s">
        <v>429</v>
      </c>
      <c r="F200" s="7" t="s">
        <v>428</v>
      </c>
    </row>
    <row r="201" spans="2:6">
      <c r="B201" s="7" t="s">
        <v>3</v>
      </c>
      <c r="C201" s="7" t="s">
        <v>22</v>
      </c>
      <c r="D201" s="7" t="s">
        <v>102</v>
      </c>
      <c r="E201" s="7" t="s">
        <v>425</v>
      </c>
      <c r="F201" s="7" t="s">
        <v>430</v>
      </c>
    </row>
    <row r="202" spans="2:6">
      <c r="B202" s="7" t="s">
        <v>3</v>
      </c>
      <c r="C202" s="7" t="s">
        <v>22</v>
      </c>
      <c r="D202" s="7" t="s">
        <v>103</v>
      </c>
      <c r="E202" s="7" t="s">
        <v>5</v>
      </c>
      <c r="F202" s="7" t="s">
        <v>5</v>
      </c>
    </row>
    <row r="203" spans="2:6">
      <c r="B203" s="7" t="s">
        <v>3</v>
      </c>
      <c r="C203" s="7" t="s">
        <v>24</v>
      </c>
      <c r="D203" s="7" t="s">
        <v>102</v>
      </c>
      <c r="E203" s="7" t="s">
        <v>307</v>
      </c>
      <c r="F203" s="7" t="s">
        <v>440</v>
      </c>
    </row>
    <row r="204" spans="2:6">
      <c r="B204" s="7" t="s">
        <v>3</v>
      </c>
      <c r="C204" s="7" t="s">
        <v>24</v>
      </c>
      <c r="D204" s="7" t="s">
        <v>102</v>
      </c>
      <c r="E204" s="7" t="s">
        <v>319</v>
      </c>
      <c r="F204" s="7" t="s">
        <v>441</v>
      </c>
    </row>
    <row r="205" spans="2:6">
      <c r="B205" s="7" t="s">
        <v>3</v>
      </c>
      <c r="C205" s="7" t="s">
        <v>24</v>
      </c>
      <c r="D205" s="7" t="s">
        <v>102</v>
      </c>
      <c r="E205" s="7" t="s">
        <v>323</v>
      </c>
      <c r="F205" s="7" t="s">
        <v>442</v>
      </c>
    </row>
    <row r="206" spans="2:6">
      <c r="B206" s="7" t="s">
        <v>3</v>
      </c>
      <c r="C206" s="7" t="s">
        <v>24</v>
      </c>
      <c r="D206" s="7" t="s">
        <v>102</v>
      </c>
      <c r="E206" s="7" t="s">
        <v>271</v>
      </c>
      <c r="F206" s="7" t="s">
        <v>443</v>
      </c>
    </row>
    <row r="207" spans="2:6">
      <c r="B207" s="7" t="s">
        <v>3</v>
      </c>
      <c r="C207" s="7" t="s">
        <v>24</v>
      </c>
      <c r="D207" s="7" t="s">
        <v>102</v>
      </c>
      <c r="E207" s="7" t="s">
        <v>313</v>
      </c>
      <c r="F207" s="7" t="s">
        <v>444</v>
      </c>
    </row>
    <row r="208" spans="2:6">
      <c r="B208" s="7" t="s">
        <v>3</v>
      </c>
      <c r="C208" s="7" t="s">
        <v>24</v>
      </c>
      <c r="D208" s="7" t="s">
        <v>102</v>
      </c>
      <c r="E208" s="7" t="s">
        <v>335</v>
      </c>
      <c r="F208" s="7" t="s">
        <v>445</v>
      </c>
    </row>
    <row r="209" spans="2:6">
      <c r="B209" s="7" t="s">
        <v>3</v>
      </c>
      <c r="C209" s="7" t="s">
        <v>24</v>
      </c>
      <c r="D209" s="7" t="s">
        <v>102</v>
      </c>
      <c r="E209" s="7" t="s">
        <v>327</v>
      </c>
      <c r="F209" s="7" t="s">
        <v>446</v>
      </c>
    </row>
    <row r="210" spans="2:6">
      <c r="B210" s="7" t="s">
        <v>3</v>
      </c>
      <c r="C210" s="7" t="s">
        <v>24</v>
      </c>
      <c r="D210" s="7" t="s">
        <v>102</v>
      </c>
      <c r="E210" s="7" t="s">
        <v>339</v>
      </c>
      <c r="F210" s="7" t="s">
        <v>447</v>
      </c>
    </row>
    <row r="211" spans="2:6">
      <c r="B211" s="7" t="s">
        <v>3</v>
      </c>
      <c r="C211" s="7" t="s">
        <v>24</v>
      </c>
      <c r="D211" s="7" t="s">
        <v>102</v>
      </c>
      <c r="E211" s="7" t="s">
        <v>273</v>
      </c>
      <c r="F211" s="7" t="s">
        <v>448</v>
      </c>
    </row>
    <row r="212" spans="2:6">
      <c r="B212" s="7" t="s">
        <v>3</v>
      </c>
      <c r="C212" s="7" t="s">
        <v>24</v>
      </c>
      <c r="D212" s="7" t="s">
        <v>102</v>
      </c>
      <c r="E212" s="7" t="s">
        <v>449</v>
      </c>
      <c r="F212" s="7" t="s">
        <v>450</v>
      </c>
    </row>
    <row r="213" spans="2:6">
      <c r="B213" s="7" t="s">
        <v>3</v>
      </c>
      <c r="C213" s="7" t="s">
        <v>24</v>
      </c>
      <c r="D213" s="7" t="s">
        <v>102</v>
      </c>
      <c r="E213" s="7" t="s">
        <v>451</v>
      </c>
      <c r="F213" s="7" t="s">
        <v>452</v>
      </c>
    </row>
    <row r="214" spans="2:6">
      <c r="B214" s="7" t="s">
        <v>3</v>
      </c>
      <c r="C214" s="7" t="s">
        <v>24</v>
      </c>
      <c r="D214" s="7" t="s">
        <v>102</v>
      </c>
      <c r="E214" s="7" t="s">
        <v>356</v>
      </c>
      <c r="F214" s="7" t="s">
        <v>453</v>
      </c>
    </row>
    <row r="215" spans="2:6">
      <c r="B215" s="7" t="s">
        <v>3</v>
      </c>
      <c r="C215" s="7" t="s">
        <v>24</v>
      </c>
      <c r="D215" s="7" t="s">
        <v>102</v>
      </c>
      <c r="E215" s="7" t="s">
        <v>358</v>
      </c>
      <c r="F215" s="7" t="s">
        <v>454</v>
      </c>
    </row>
    <row r="216" spans="2:6">
      <c r="B216" s="7" t="s">
        <v>3</v>
      </c>
      <c r="C216" s="7" t="s">
        <v>24</v>
      </c>
      <c r="D216" s="7" t="s">
        <v>102</v>
      </c>
      <c r="E216" s="7" t="s">
        <v>360</v>
      </c>
      <c r="F216" s="7" t="s">
        <v>455</v>
      </c>
    </row>
    <row r="217" spans="2:6">
      <c r="B217" s="7" t="s">
        <v>3</v>
      </c>
      <c r="C217" s="7" t="s">
        <v>24</v>
      </c>
      <c r="D217" s="7" t="s">
        <v>102</v>
      </c>
      <c r="E217" s="7" t="s">
        <v>362</v>
      </c>
      <c r="F217" s="7" t="s">
        <v>456</v>
      </c>
    </row>
    <row r="218" spans="2:6">
      <c r="B218" s="7" t="s">
        <v>3</v>
      </c>
      <c r="C218" s="7" t="s">
        <v>24</v>
      </c>
      <c r="D218" s="7" t="s">
        <v>102</v>
      </c>
      <c r="E218" s="7" t="s">
        <v>370</v>
      </c>
      <c r="F218" s="7" t="s">
        <v>457</v>
      </c>
    </row>
    <row r="219" spans="2:6">
      <c r="B219" s="7" t="s">
        <v>3</v>
      </c>
      <c r="C219" s="7" t="s">
        <v>24</v>
      </c>
      <c r="D219" s="7" t="s">
        <v>102</v>
      </c>
      <c r="E219" s="7" t="s">
        <v>374</v>
      </c>
      <c r="F219" s="7" t="s">
        <v>458</v>
      </c>
    </row>
    <row r="220" spans="2:6">
      <c r="B220" s="7" t="s">
        <v>3</v>
      </c>
      <c r="C220" s="7" t="s">
        <v>24</v>
      </c>
      <c r="D220" s="7" t="s">
        <v>102</v>
      </c>
      <c r="E220" s="7" t="s">
        <v>376</v>
      </c>
      <c r="F220" s="7" t="s">
        <v>377</v>
      </c>
    </row>
    <row r="221" spans="2:6">
      <c r="B221" s="7" t="s">
        <v>3</v>
      </c>
      <c r="C221" s="7" t="s">
        <v>24</v>
      </c>
      <c r="D221" s="7" t="s">
        <v>102</v>
      </c>
      <c r="E221" s="7" t="s">
        <v>378</v>
      </c>
      <c r="F221" s="7" t="s">
        <v>379</v>
      </c>
    </row>
    <row r="222" spans="2:6">
      <c r="B222" s="7" t="s">
        <v>3</v>
      </c>
      <c r="C222" s="7" t="s">
        <v>24</v>
      </c>
      <c r="D222" s="7" t="s">
        <v>102</v>
      </c>
      <c r="E222" s="7" t="s">
        <v>380</v>
      </c>
      <c r="F222" s="7" t="s">
        <v>381</v>
      </c>
    </row>
    <row r="223" spans="2:6">
      <c r="B223" s="7" t="s">
        <v>3</v>
      </c>
      <c r="C223" s="7" t="s">
        <v>24</v>
      </c>
      <c r="D223" s="7" t="s">
        <v>102</v>
      </c>
      <c r="E223" s="7" t="s">
        <v>380</v>
      </c>
      <c r="F223" s="7" t="s">
        <v>459</v>
      </c>
    </row>
    <row r="224" spans="2:6">
      <c r="B224" s="7" t="s">
        <v>3</v>
      </c>
      <c r="C224" s="7" t="s">
        <v>24</v>
      </c>
      <c r="D224" s="7" t="s">
        <v>103</v>
      </c>
      <c r="E224" s="7" t="s">
        <v>460</v>
      </c>
      <c r="F224" s="7" t="s">
        <v>312</v>
      </c>
    </row>
    <row r="225" spans="2:6">
      <c r="B225" s="7" t="s">
        <v>3</v>
      </c>
      <c r="C225" s="7" t="s">
        <v>24</v>
      </c>
      <c r="D225" s="7" t="s">
        <v>103</v>
      </c>
      <c r="E225" s="7" t="s">
        <v>461</v>
      </c>
      <c r="F225" s="7" t="s">
        <v>462</v>
      </c>
    </row>
    <row r="226" spans="2:6">
      <c r="B226" s="7" t="s">
        <v>3</v>
      </c>
      <c r="C226" s="7" t="s">
        <v>24</v>
      </c>
      <c r="D226" s="7" t="s">
        <v>103</v>
      </c>
      <c r="E226" s="7" t="s">
        <v>463</v>
      </c>
      <c r="F226" s="7" t="s">
        <v>464</v>
      </c>
    </row>
    <row r="227" spans="2:6">
      <c r="B227" s="7" t="s">
        <v>3</v>
      </c>
      <c r="C227" s="7" t="s">
        <v>24</v>
      </c>
      <c r="D227" s="7" t="s">
        <v>103</v>
      </c>
      <c r="E227" s="7" t="s">
        <v>465</v>
      </c>
      <c r="F227" s="7" t="s">
        <v>466</v>
      </c>
    </row>
    <row r="228" spans="2:6">
      <c r="B228" s="7" t="s">
        <v>3</v>
      </c>
      <c r="C228" s="7" t="s">
        <v>25</v>
      </c>
      <c r="D228" s="7" t="s">
        <v>102</v>
      </c>
      <c r="E228" s="7" t="s">
        <v>467</v>
      </c>
      <c r="F228" s="7" t="s">
        <v>468</v>
      </c>
    </row>
    <row r="229" spans="2:6">
      <c r="B229" s="7" t="s">
        <v>3</v>
      </c>
      <c r="C229" s="7" t="s">
        <v>25</v>
      </c>
      <c r="D229" s="7" t="s">
        <v>103</v>
      </c>
      <c r="E229" s="7" t="s">
        <v>5</v>
      </c>
      <c r="F229" s="7" t="s">
        <v>5</v>
      </c>
    </row>
    <row r="230" spans="2:6">
      <c r="B230" s="7" t="s">
        <v>3</v>
      </c>
      <c r="C230" s="7" t="s">
        <v>26</v>
      </c>
      <c r="D230" s="7" t="s">
        <v>102</v>
      </c>
      <c r="E230" s="7" t="s">
        <v>307</v>
      </c>
      <c r="F230" s="7" t="s">
        <v>469</v>
      </c>
    </row>
    <row r="231" spans="2:6">
      <c r="B231" s="7" t="s">
        <v>3</v>
      </c>
      <c r="C231" s="7" t="s">
        <v>26</v>
      </c>
      <c r="D231" s="7" t="s">
        <v>102</v>
      </c>
      <c r="E231" s="7" t="s">
        <v>319</v>
      </c>
      <c r="F231" s="7" t="s">
        <v>441</v>
      </c>
    </row>
    <row r="232" spans="2:6">
      <c r="B232" s="7" t="s">
        <v>3</v>
      </c>
      <c r="C232" s="7" t="s">
        <v>26</v>
      </c>
      <c r="D232" s="7" t="s">
        <v>102</v>
      </c>
      <c r="E232" s="7" t="s">
        <v>335</v>
      </c>
      <c r="F232" s="7" t="s">
        <v>470</v>
      </c>
    </row>
    <row r="233" spans="2:6">
      <c r="B233" s="7" t="s">
        <v>3</v>
      </c>
      <c r="C233" s="7" t="s">
        <v>26</v>
      </c>
      <c r="D233" s="7" t="s">
        <v>102</v>
      </c>
      <c r="E233" s="7" t="s">
        <v>339</v>
      </c>
      <c r="F233" s="7" t="s">
        <v>471</v>
      </c>
    </row>
    <row r="234" spans="2:6">
      <c r="B234" s="7" t="s">
        <v>3</v>
      </c>
      <c r="C234" s="7" t="s">
        <v>26</v>
      </c>
      <c r="D234" s="7" t="s">
        <v>102</v>
      </c>
      <c r="E234" s="7" t="s">
        <v>273</v>
      </c>
      <c r="F234" s="7" t="s">
        <v>448</v>
      </c>
    </row>
    <row r="235" spans="2:6">
      <c r="B235" s="7" t="s">
        <v>3</v>
      </c>
      <c r="C235" s="7" t="s">
        <v>26</v>
      </c>
      <c r="D235" s="7" t="s">
        <v>102</v>
      </c>
      <c r="E235" s="7" t="s">
        <v>356</v>
      </c>
      <c r="F235" s="7" t="s">
        <v>472</v>
      </c>
    </row>
    <row r="236" spans="2:6">
      <c r="B236" s="7" t="s">
        <v>3</v>
      </c>
      <c r="C236" s="7" t="s">
        <v>26</v>
      </c>
      <c r="D236" s="7" t="s">
        <v>102</v>
      </c>
      <c r="E236" s="7" t="s">
        <v>358</v>
      </c>
      <c r="F236" s="7" t="s">
        <v>473</v>
      </c>
    </row>
    <row r="237" spans="2:6">
      <c r="B237" s="7" t="s">
        <v>3</v>
      </c>
      <c r="C237" s="7" t="s">
        <v>26</v>
      </c>
      <c r="D237" s="7" t="s">
        <v>102</v>
      </c>
      <c r="E237" s="7" t="s">
        <v>360</v>
      </c>
      <c r="F237" s="7" t="s">
        <v>455</v>
      </c>
    </row>
    <row r="238" spans="2:6">
      <c r="B238" s="7" t="s">
        <v>3</v>
      </c>
      <c r="C238" s="7" t="s">
        <v>26</v>
      </c>
      <c r="D238" s="7" t="s">
        <v>102</v>
      </c>
      <c r="E238" s="7" t="s">
        <v>362</v>
      </c>
      <c r="F238" s="7" t="s">
        <v>456</v>
      </c>
    </row>
    <row r="239" spans="2:6">
      <c r="B239" s="7" t="s">
        <v>3</v>
      </c>
      <c r="C239" s="7" t="s">
        <v>26</v>
      </c>
      <c r="D239" s="7" t="s">
        <v>102</v>
      </c>
      <c r="E239" s="7" t="s">
        <v>305</v>
      </c>
      <c r="F239" s="7" t="s">
        <v>468</v>
      </c>
    </row>
    <row r="240" spans="2:6">
      <c r="B240" s="7" t="s">
        <v>3</v>
      </c>
      <c r="C240" s="7" t="s">
        <v>26</v>
      </c>
      <c r="D240" s="7" t="s">
        <v>103</v>
      </c>
      <c r="E240" s="7" t="s">
        <v>460</v>
      </c>
      <c r="F240" s="7" t="s">
        <v>474</v>
      </c>
    </row>
    <row r="241" spans="2:6">
      <c r="B241" s="7" t="s">
        <v>3</v>
      </c>
      <c r="C241" s="7" t="s">
        <v>27</v>
      </c>
      <c r="D241" s="7" t="s">
        <v>102</v>
      </c>
      <c r="E241" s="7" t="s">
        <v>475</v>
      </c>
      <c r="F241" s="7" t="s">
        <v>476</v>
      </c>
    </row>
    <row r="242" spans="2:6">
      <c r="B242" s="7" t="s">
        <v>3</v>
      </c>
      <c r="C242" s="7" t="s">
        <v>27</v>
      </c>
      <c r="D242" s="7" t="s">
        <v>102</v>
      </c>
      <c r="E242" s="7" t="s">
        <v>477</v>
      </c>
      <c r="F242" s="7" t="s">
        <v>478</v>
      </c>
    </row>
    <row r="243" spans="2:6">
      <c r="B243" s="7" t="s">
        <v>3</v>
      </c>
      <c r="C243" s="7" t="s">
        <v>27</v>
      </c>
      <c r="D243" s="7" t="s">
        <v>102</v>
      </c>
      <c r="E243" s="7" t="s">
        <v>479</v>
      </c>
      <c r="F243" s="7" t="s">
        <v>480</v>
      </c>
    </row>
    <row r="244" spans="2:6">
      <c r="B244" s="7" t="s">
        <v>3</v>
      </c>
      <c r="C244" s="7" t="s">
        <v>27</v>
      </c>
      <c r="D244" s="7" t="s">
        <v>102</v>
      </c>
      <c r="E244" s="7" t="s">
        <v>481</v>
      </c>
      <c r="F244" s="7" t="s">
        <v>482</v>
      </c>
    </row>
    <row r="245" spans="2:6">
      <c r="B245" s="7" t="s">
        <v>3</v>
      </c>
      <c r="C245" s="7" t="s">
        <v>27</v>
      </c>
      <c r="D245" s="7" t="s">
        <v>103</v>
      </c>
      <c r="E245" s="7" t="s">
        <v>483</v>
      </c>
      <c r="F245" s="7" t="s">
        <v>484</v>
      </c>
    </row>
    <row r="246" spans="2:6">
      <c r="B246" s="7" t="s">
        <v>3</v>
      </c>
      <c r="C246" s="7" t="s">
        <v>27</v>
      </c>
      <c r="D246" s="7" t="s">
        <v>103</v>
      </c>
      <c r="E246" s="7" t="s">
        <v>485</v>
      </c>
      <c r="F246" s="7" t="s">
        <v>486</v>
      </c>
    </row>
    <row r="247" spans="2:6">
      <c r="B247" s="7" t="s">
        <v>3</v>
      </c>
      <c r="C247" s="7" t="s">
        <v>27</v>
      </c>
      <c r="D247" s="7" t="s">
        <v>103</v>
      </c>
      <c r="E247" s="7" t="s">
        <v>487</v>
      </c>
      <c r="F247" s="7" t="s">
        <v>488</v>
      </c>
    </row>
    <row r="248" spans="2:6">
      <c r="B248" s="7" t="s">
        <v>3</v>
      </c>
      <c r="C248" s="7" t="s">
        <v>27</v>
      </c>
      <c r="D248" s="7" t="s">
        <v>103</v>
      </c>
      <c r="E248" s="7" t="s">
        <v>489</v>
      </c>
      <c r="F248" s="7" t="s">
        <v>490</v>
      </c>
    </row>
    <row r="249" spans="2:6">
      <c r="B249" s="7" t="s">
        <v>3</v>
      </c>
      <c r="C249" s="7" t="s">
        <v>27</v>
      </c>
      <c r="D249" s="7" t="s">
        <v>103</v>
      </c>
      <c r="E249" s="7" t="s">
        <v>475</v>
      </c>
      <c r="F249" s="7" t="s">
        <v>491</v>
      </c>
    </row>
    <row r="250" spans="2:6">
      <c r="B250" s="7" t="s">
        <v>3</v>
      </c>
      <c r="C250" s="7" t="s">
        <v>27</v>
      </c>
      <c r="D250" s="7" t="s">
        <v>103</v>
      </c>
      <c r="E250" s="7" t="s">
        <v>492</v>
      </c>
      <c r="F250" s="7" t="s">
        <v>493</v>
      </c>
    </row>
    <row r="251" spans="2:6">
      <c r="B251" s="7" t="s">
        <v>3</v>
      </c>
      <c r="C251" s="7" t="s">
        <v>27</v>
      </c>
      <c r="D251" s="7" t="s">
        <v>103</v>
      </c>
      <c r="E251" s="7" t="s">
        <v>494</v>
      </c>
      <c r="F251" s="7" t="s">
        <v>495</v>
      </c>
    </row>
    <row r="252" spans="2:6">
      <c r="B252" s="7" t="s">
        <v>3</v>
      </c>
      <c r="C252" s="7" t="s">
        <v>27</v>
      </c>
      <c r="D252" s="7" t="s">
        <v>103</v>
      </c>
      <c r="E252" s="7" t="s">
        <v>496</v>
      </c>
      <c r="F252" s="7" t="s">
        <v>497</v>
      </c>
    </row>
    <row r="253" spans="2:6">
      <c r="B253" s="7" t="s">
        <v>3</v>
      </c>
      <c r="C253" s="7" t="s">
        <v>27</v>
      </c>
      <c r="D253" s="7" t="s">
        <v>103</v>
      </c>
      <c r="E253" s="7" t="s">
        <v>498</v>
      </c>
      <c r="F253" s="7" t="s">
        <v>499</v>
      </c>
    </row>
    <row r="254" spans="2:6">
      <c r="B254" s="7" t="s">
        <v>3</v>
      </c>
      <c r="C254" s="7" t="s">
        <v>27</v>
      </c>
      <c r="D254" s="7" t="s">
        <v>103</v>
      </c>
      <c r="E254" s="7" t="s">
        <v>500</v>
      </c>
      <c r="F254" s="7" t="s">
        <v>501</v>
      </c>
    </row>
    <row r="255" spans="2:6">
      <c r="B255" s="7" t="s">
        <v>3</v>
      </c>
      <c r="C255" s="7" t="s">
        <v>27</v>
      </c>
      <c r="D255" s="7" t="s">
        <v>103</v>
      </c>
      <c r="E255" s="7" t="s">
        <v>502</v>
      </c>
      <c r="F255" s="7" t="s">
        <v>503</v>
      </c>
    </row>
    <row r="256" spans="2:6">
      <c r="B256" s="7" t="s">
        <v>3</v>
      </c>
      <c r="C256" s="7" t="s">
        <v>27</v>
      </c>
      <c r="D256" s="7" t="s">
        <v>103</v>
      </c>
      <c r="E256" s="7" t="s">
        <v>504</v>
      </c>
      <c r="F256" s="7" t="s">
        <v>505</v>
      </c>
    </row>
    <row r="257" spans="2:6">
      <c r="B257" s="7" t="s">
        <v>3</v>
      </c>
      <c r="C257" s="7" t="s">
        <v>27</v>
      </c>
      <c r="D257" s="7" t="s">
        <v>103</v>
      </c>
      <c r="E257" s="7" t="s">
        <v>506</v>
      </c>
      <c r="F257" s="7" t="s">
        <v>507</v>
      </c>
    </row>
    <row r="258" spans="2:6">
      <c r="B258" s="7" t="s">
        <v>3</v>
      </c>
      <c r="C258" s="7" t="s">
        <v>27</v>
      </c>
      <c r="D258" s="7" t="s">
        <v>103</v>
      </c>
      <c r="E258" s="7" t="s">
        <v>508</v>
      </c>
      <c r="F258" s="7" t="s">
        <v>509</v>
      </c>
    </row>
    <row r="259" spans="2:6">
      <c r="B259" s="7" t="s">
        <v>3</v>
      </c>
      <c r="C259" s="7" t="s">
        <v>27</v>
      </c>
      <c r="D259" s="7" t="s">
        <v>103</v>
      </c>
      <c r="E259" s="7" t="s">
        <v>510</v>
      </c>
      <c r="F259" s="7" t="s">
        <v>511</v>
      </c>
    </row>
    <row r="260" spans="2:6">
      <c r="B260" s="7" t="s">
        <v>3</v>
      </c>
      <c r="C260" s="7" t="s">
        <v>27</v>
      </c>
      <c r="D260" s="7" t="s">
        <v>103</v>
      </c>
      <c r="E260" s="7" t="s">
        <v>512</v>
      </c>
      <c r="F260" s="7" t="s">
        <v>513</v>
      </c>
    </row>
    <row r="261" spans="2:6">
      <c r="B261" s="7" t="s">
        <v>3</v>
      </c>
      <c r="C261" s="7" t="s">
        <v>514</v>
      </c>
      <c r="D261" s="7" t="s">
        <v>102</v>
      </c>
      <c r="E261" s="7" t="s">
        <v>477</v>
      </c>
      <c r="F261" s="7" t="s">
        <v>478</v>
      </c>
    </row>
    <row r="262" spans="2:6">
      <c r="B262" s="7" t="s">
        <v>3</v>
      </c>
      <c r="C262" s="7" t="s">
        <v>514</v>
      </c>
      <c r="D262" s="7" t="s">
        <v>102</v>
      </c>
      <c r="E262" s="7" t="s">
        <v>479</v>
      </c>
      <c r="F262" s="7" t="s">
        <v>480</v>
      </c>
    </row>
    <row r="263" spans="2:6">
      <c r="B263" s="7" t="s">
        <v>3</v>
      </c>
      <c r="C263" s="7" t="s">
        <v>514</v>
      </c>
      <c r="D263" s="7" t="s">
        <v>102</v>
      </c>
      <c r="E263" s="7" t="s">
        <v>515</v>
      </c>
      <c r="F263" s="7" t="s">
        <v>516</v>
      </c>
    </row>
    <row r="264" spans="2:6">
      <c r="B264" s="7" t="s">
        <v>3</v>
      </c>
      <c r="C264" s="7" t="s">
        <v>514</v>
      </c>
      <c r="D264" s="7" t="s">
        <v>102</v>
      </c>
      <c r="E264" s="7" t="s">
        <v>517</v>
      </c>
      <c r="F264" s="7" t="s">
        <v>518</v>
      </c>
    </row>
    <row r="265" spans="2:6">
      <c r="B265" s="7" t="s">
        <v>3</v>
      </c>
      <c r="C265" s="7" t="s">
        <v>514</v>
      </c>
      <c r="D265" s="7" t="s">
        <v>103</v>
      </c>
      <c r="E265" s="7" t="s">
        <v>483</v>
      </c>
      <c r="F265" s="7" t="s">
        <v>519</v>
      </c>
    </row>
    <row r="266" spans="2:6">
      <c r="B266" s="7" t="s">
        <v>3</v>
      </c>
      <c r="C266" s="7" t="s">
        <v>514</v>
      </c>
      <c r="D266" s="7" t="s">
        <v>103</v>
      </c>
      <c r="E266" s="7" t="s">
        <v>485</v>
      </c>
      <c r="F266" s="7" t="s">
        <v>520</v>
      </c>
    </row>
    <row r="267" spans="2:6">
      <c r="B267" s="7" t="s">
        <v>3</v>
      </c>
      <c r="C267" s="7" t="s">
        <v>514</v>
      </c>
      <c r="D267" s="7" t="s">
        <v>103</v>
      </c>
      <c r="E267" s="7" t="s">
        <v>487</v>
      </c>
      <c r="F267" s="7" t="s">
        <v>521</v>
      </c>
    </row>
    <row r="268" spans="2:6">
      <c r="B268" s="7" t="s">
        <v>3</v>
      </c>
      <c r="C268" s="7" t="s">
        <v>514</v>
      </c>
      <c r="D268" s="7" t="s">
        <v>103</v>
      </c>
      <c r="E268" s="7" t="s">
        <v>522</v>
      </c>
      <c r="F268" s="7" t="s">
        <v>523</v>
      </c>
    </row>
    <row r="269" spans="2:6">
      <c r="B269" s="7" t="s">
        <v>3</v>
      </c>
      <c r="C269" s="7" t="s">
        <v>514</v>
      </c>
      <c r="D269" s="7" t="s">
        <v>103</v>
      </c>
      <c r="E269" s="7" t="s">
        <v>496</v>
      </c>
      <c r="F269" s="7" t="s">
        <v>524</v>
      </c>
    </row>
    <row r="270" spans="2:6">
      <c r="B270" s="7" t="s">
        <v>3</v>
      </c>
      <c r="C270" s="7" t="s">
        <v>514</v>
      </c>
      <c r="D270" s="7" t="s">
        <v>103</v>
      </c>
      <c r="E270" s="7" t="s">
        <v>498</v>
      </c>
      <c r="F270" s="7" t="s">
        <v>525</v>
      </c>
    </row>
    <row r="271" spans="2:6">
      <c r="B271" s="7" t="s">
        <v>3</v>
      </c>
      <c r="C271" s="7" t="s">
        <v>514</v>
      </c>
      <c r="D271" s="7" t="s">
        <v>103</v>
      </c>
      <c r="E271" s="7" t="s">
        <v>500</v>
      </c>
      <c r="F271" s="7" t="s">
        <v>526</v>
      </c>
    </row>
    <row r="272" spans="2:6">
      <c r="B272" s="7" t="s">
        <v>3</v>
      </c>
      <c r="C272" s="7" t="s">
        <v>514</v>
      </c>
      <c r="D272" s="7" t="s">
        <v>103</v>
      </c>
      <c r="E272" s="7" t="s">
        <v>502</v>
      </c>
      <c r="F272" s="7" t="s">
        <v>527</v>
      </c>
    </row>
    <row r="273" spans="2:6">
      <c r="B273" s="7" t="s">
        <v>3</v>
      </c>
      <c r="C273" s="7" t="s">
        <v>514</v>
      </c>
      <c r="D273" s="7" t="s">
        <v>103</v>
      </c>
      <c r="E273" s="7" t="s">
        <v>508</v>
      </c>
      <c r="F273" s="7" t="s">
        <v>528</v>
      </c>
    </row>
    <row r="274" spans="2:6">
      <c r="B274" s="7" t="s">
        <v>3</v>
      </c>
      <c r="C274" s="7" t="s">
        <v>514</v>
      </c>
      <c r="D274" s="7" t="s">
        <v>103</v>
      </c>
      <c r="E274" s="7" t="s">
        <v>512</v>
      </c>
      <c r="F274" s="7" t="s">
        <v>513</v>
      </c>
    </row>
    <row r="275" spans="2:6">
      <c r="B275" s="7" t="s">
        <v>3</v>
      </c>
      <c r="C275" s="7" t="s">
        <v>529</v>
      </c>
      <c r="D275" s="7" t="s">
        <v>102</v>
      </c>
      <c r="E275" s="7" t="s">
        <v>530</v>
      </c>
      <c r="F275" s="7" t="s">
        <v>531</v>
      </c>
    </row>
    <row r="276" spans="2:6">
      <c r="B276" s="7" t="s">
        <v>3</v>
      </c>
      <c r="C276" s="7" t="s">
        <v>529</v>
      </c>
      <c r="D276" s="7" t="s">
        <v>102</v>
      </c>
      <c r="E276" s="7" t="s">
        <v>517</v>
      </c>
      <c r="F276" s="7" t="s">
        <v>532</v>
      </c>
    </row>
    <row r="277" spans="2:6">
      <c r="B277" s="7" t="s">
        <v>3</v>
      </c>
      <c r="C277" s="7" t="s">
        <v>529</v>
      </c>
      <c r="D277" s="7" t="s">
        <v>103</v>
      </c>
      <c r="E277" s="7" t="s">
        <v>533</v>
      </c>
      <c r="F277" s="7" t="s">
        <v>519</v>
      </c>
    </row>
    <row r="278" spans="2:6">
      <c r="B278" s="7" t="s">
        <v>3</v>
      </c>
      <c r="C278" s="7" t="s">
        <v>529</v>
      </c>
      <c r="D278" s="7" t="s">
        <v>103</v>
      </c>
      <c r="E278" s="7" t="s">
        <v>534</v>
      </c>
      <c r="F278" s="7" t="s">
        <v>520</v>
      </c>
    </row>
    <row r="279" spans="2:6">
      <c r="B279" s="7" t="s">
        <v>3</v>
      </c>
      <c r="C279" s="7" t="s">
        <v>529</v>
      </c>
      <c r="D279" s="7" t="s">
        <v>103</v>
      </c>
      <c r="E279" s="7" t="s">
        <v>487</v>
      </c>
      <c r="F279" s="7" t="s">
        <v>521</v>
      </c>
    </row>
    <row r="280" spans="2:6">
      <c r="B280" s="7" t="s">
        <v>3</v>
      </c>
      <c r="C280" s="7" t="s">
        <v>529</v>
      </c>
      <c r="D280" s="7" t="s">
        <v>103</v>
      </c>
      <c r="E280" s="7" t="s">
        <v>522</v>
      </c>
      <c r="F280" s="7" t="s">
        <v>523</v>
      </c>
    </row>
    <row r="281" spans="2:6">
      <c r="B281" s="7" t="s">
        <v>3</v>
      </c>
      <c r="C281" s="7" t="s">
        <v>529</v>
      </c>
      <c r="D281" s="7" t="s">
        <v>103</v>
      </c>
      <c r="E281" s="7" t="s">
        <v>496</v>
      </c>
      <c r="F281" s="7" t="s">
        <v>524</v>
      </c>
    </row>
    <row r="282" spans="2:6">
      <c r="B282" s="7" t="s">
        <v>3</v>
      </c>
      <c r="C282" s="7" t="s">
        <v>529</v>
      </c>
      <c r="D282" s="7" t="s">
        <v>103</v>
      </c>
      <c r="E282" s="7" t="s">
        <v>498</v>
      </c>
      <c r="F282" s="7" t="s">
        <v>525</v>
      </c>
    </row>
    <row r="283" spans="2:6">
      <c r="B283" s="7" t="s">
        <v>3</v>
      </c>
      <c r="C283" s="7" t="s">
        <v>529</v>
      </c>
      <c r="D283" s="7" t="s">
        <v>103</v>
      </c>
      <c r="E283" s="7" t="s">
        <v>500</v>
      </c>
      <c r="F283" s="7" t="s">
        <v>526</v>
      </c>
    </row>
    <row r="284" spans="2:6">
      <c r="B284" s="7" t="s">
        <v>3</v>
      </c>
      <c r="C284" s="7" t="s">
        <v>529</v>
      </c>
      <c r="D284" s="7" t="s">
        <v>103</v>
      </c>
      <c r="E284" s="7" t="s">
        <v>502</v>
      </c>
      <c r="F284" s="7" t="s">
        <v>527</v>
      </c>
    </row>
    <row r="285" spans="2:6">
      <c r="B285" s="7" t="s">
        <v>3</v>
      </c>
      <c r="C285" s="7" t="s">
        <v>529</v>
      </c>
      <c r="D285" s="7" t="s">
        <v>103</v>
      </c>
      <c r="E285" s="7" t="s">
        <v>508</v>
      </c>
      <c r="F285" s="7" t="s">
        <v>528</v>
      </c>
    </row>
    <row r="286" spans="2:6">
      <c r="B286" s="7" t="s">
        <v>3</v>
      </c>
      <c r="C286" s="7" t="s">
        <v>529</v>
      </c>
      <c r="D286" s="7" t="s">
        <v>103</v>
      </c>
      <c r="E286" s="7" t="s">
        <v>535</v>
      </c>
      <c r="F286" s="7" t="s">
        <v>513</v>
      </c>
    </row>
    <row r="287" spans="2:6">
      <c r="B287" s="7" t="s">
        <v>3</v>
      </c>
      <c r="C287" s="7" t="s">
        <v>529</v>
      </c>
      <c r="D287" s="7" t="s">
        <v>103</v>
      </c>
      <c r="E287" s="7" t="s">
        <v>536</v>
      </c>
      <c r="F287" s="7" t="s">
        <v>505</v>
      </c>
    </row>
    <row r="288" spans="2:6">
      <c r="B288" s="7" t="s">
        <v>3</v>
      </c>
      <c r="C288" s="7" t="s">
        <v>28</v>
      </c>
      <c r="D288" s="7" t="s">
        <v>102</v>
      </c>
      <c r="E288" s="7" t="s">
        <v>537</v>
      </c>
      <c r="F288" s="7" t="s">
        <v>538</v>
      </c>
    </row>
    <row r="289" spans="2:6">
      <c r="B289" s="7" t="s">
        <v>3</v>
      </c>
      <c r="C289" s="7" t="s">
        <v>28</v>
      </c>
      <c r="D289" s="7" t="s">
        <v>102</v>
      </c>
      <c r="E289" s="7" t="s">
        <v>517</v>
      </c>
      <c r="F289" s="7" t="s">
        <v>518</v>
      </c>
    </row>
    <row r="290" spans="2:6">
      <c r="B290" s="7" t="s">
        <v>3</v>
      </c>
      <c r="C290" s="7" t="s">
        <v>28</v>
      </c>
      <c r="D290" s="7" t="s">
        <v>103</v>
      </c>
      <c r="E290" s="7" t="s">
        <v>483</v>
      </c>
      <c r="F290" s="7" t="s">
        <v>519</v>
      </c>
    </row>
    <row r="291" spans="2:6">
      <c r="B291" s="7" t="s">
        <v>3</v>
      </c>
      <c r="C291" s="7" t="s">
        <v>28</v>
      </c>
      <c r="D291" s="7" t="s">
        <v>103</v>
      </c>
      <c r="E291" s="7" t="s">
        <v>485</v>
      </c>
      <c r="F291" s="7" t="s">
        <v>520</v>
      </c>
    </row>
    <row r="292" spans="2:6">
      <c r="B292" s="7" t="s">
        <v>3</v>
      </c>
      <c r="C292" s="7" t="s">
        <v>28</v>
      </c>
      <c r="D292" s="7" t="s">
        <v>103</v>
      </c>
      <c r="E292" s="7" t="s">
        <v>487</v>
      </c>
      <c r="F292" s="7" t="s">
        <v>521</v>
      </c>
    </row>
    <row r="293" spans="2:6">
      <c r="B293" s="7" t="s">
        <v>3</v>
      </c>
      <c r="C293" s="7" t="s">
        <v>28</v>
      </c>
      <c r="D293" s="7" t="s">
        <v>103</v>
      </c>
      <c r="E293" s="7" t="s">
        <v>522</v>
      </c>
      <c r="F293" s="7" t="s">
        <v>523</v>
      </c>
    </row>
    <row r="294" spans="2:6">
      <c r="B294" s="7" t="s">
        <v>3</v>
      </c>
      <c r="C294" s="7" t="s">
        <v>28</v>
      </c>
      <c r="D294" s="7" t="s">
        <v>103</v>
      </c>
      <c r="E294" s="7" t="s">
        <v>496</v>
      </c>
      <c r="F294" s="7" t="s">
        <v>524</v>
      </c>
    </row>
    <row r="295" spans="2:6">
      <c r="B295" s="7" t="s">
        <v>3</v>
      </c>
      <c r="C295" s="7" t="s">
        <v>28</v>
      </c>
      <c r="D295" s="7" t="s">
        <v>103</v>
      </c>
      <c r="E295" s="7" t="s">
        <v>498</v>
      </c>
      <c r="F295" s="7" t="s">
        <v>525</v>
      </c>
    </row>
    <row r="296" spans="2:6">
      <c r="B296" s="7" t="s">
        <v>3</v>
      </c>
      <c r="C296" s="7" t="s">
        <v>28</v>
      </c>
      <c r="D296" s="7" t="s">
        <v>103</v>
      </c>
      <c r="E296" s="7" t="s">
        <v>500</v>
      </c>
      <c r="F296" s="7" t="s">
        <v>526</v>
      </c>
    </row>
    <row r="297" spans="2:6">
      <c r="B297" s="7" t="s">
        <v>3</v>
      </c>
      <c r="C297" s="7" t="s">
        <v>28</v>
      </c>
      <c r="D297" s="7" t="s">
        <v>103</v>
      </c>
      <c r="E297" s="7" t="s">
        <v>502</v>
      </c>
      <c r="F297" s="7" t="s">
        <v>527</v>
      </c>
    </row>
    <row r="298" spans="2:6">
      <c r="B298" s="7" t="s">
        <v>3</v>
      </c>
      <c r="C298" s="7" t="s">
        <v>28</v>
      </c>
      <c r="D298" s="7" t="s">
        <v>103</v>
      </c>
      <c r="E298" s="7" t="s">
        <v>508</v>
      </c>
      <c r="F298" s="7" t="s">
        <v>528</v>
      </c>
    </row>
    <row r="299" spans="2:6">
      <c r="B299" s="7" t="s">
        <v>3</v>
      </c>
      <c r="C299" s="7" t="s">
        <v>28</v>
      </c>
      <c r="D299" s="7" t="s">
        <v>103</v>
      </c>
      <c r="E299" s="7" t="s">
        <v>512</v>
      </c>
      <c r="F299" s="7" t="s">
        <v>513</v>
      </c>
    </row>
    <row r="300" spans="2:6">
      <c r="B300" s="7" t="s">
        <v>3</v>
      </c>
      <c r="C300" s="7" t="s">
        <v>29</v>
      </c>
      <c r="D300" s="7" t="s">
        <v>102</v>
      </c>
      <c r="E300" s="7" t="s">
        <v>477</v>
      </c>
      <c r="F300" s="7" t="s">
        <v>478</v>
      </c>
    </row>
    <row r="301" spans="2:6">
      <c r="B301" s="7" t="s">
        <v>3</v>
      </c>
      <c r="C301" s="7" t="s">
        <v>29</v>
      </c>
      <c r="D301" s="7" t="s">
        <v>102</v>
      </c>
      <c r="E301" s="7" t="s">
        <v>479</v>
      </c>
      <c r="F301" s="7" t="s">
        <v>480</v>
      </c>
    </row>
    <row r="302" spans="2:6">
      <c r="B302" s="7" t="s">
        <v>3</v>
      </c>
      <c r="C302" s="7" t="s">
        <v>29</v>
      </c>
      <c r="D302" s="7" t="s">
        <v>102</v>
      </c>
      <c r="E302" s="7" t="s">
        <v>515</v>
      </c>
      <c r="F302" s="7" t="s">
        <v>516</v>
      </c>
    </row>
    <row r="303" spans="2:6">
      <c r="B303" s="7" t="s">
        <v>3</v>
      </c>
      <c r="C303" s="7" t="s">
        <v>29</v>
      </c>
      <c r="D303" s="7" t="s">
        <v>102</v>
      </c>
      <c r="E303" s="7" t="s">
        <v>517</v>
      </c>
      <c r="F303" s="7" t="s">
        <v>532</v>
      </c>
    </row>
    <row r="304" spans="2:6">
      <c r="B304" s="7" t="s">
        <v>3</v>
      </c>
      <c r="C304" s="7" t="s">
        <v>29</v>
      </c>
      <c r="D304" s="7" t="s">
        <v>102</v>
      </c>
      <c r="E304" s="7" t="s">
        <v>539</v>
      </c>
      <c r="F304" s="7" t="s">
        <v>540</v>
      </c>
    </row>
    <row r="305" spans="2:6">
      <c r="B305" s="7" t="s">
        <v>3</v>
      </c>
      <c r="C305" s="7" t="s">
        <v>29</v>
      </c>
      <c r="D305" s="7" t="s">
        <v>103</v>
      </c>
      <c r="E305" s="7" t="s">
        <v>483</v>
      </c>
      <c r="F305" s="7" t="s">
        <v>519</v>
      </c>
    </row>
    <row r="306" spans="2:6">
      <c r="B306" s="7" t="s">
        <v>3</v>
      </c>
      <c r="C306" s="7" t="s">
        <v>29</v>
      </c>
      <c r="D306" s="7" t="s">
        <v>103</v>
      </c>
      <c r="E306" s="7" t="s">
        <v>485</v>
      </c>
      <c r="F306" s="7" t="s">
        <v>520</v>
      </c>
    </row>
    <row r="307" spans="2:6">
      <c r="B307" s="7" t="s">
        <v>3</v>
      </c>
      <c r="C307" s="7" t="s">
        <v>29</v>
      </c>
      <c r="D307" s="7" t="s">
        <v>103</v>
      </c>
      <c r="E307" s="7" t="s">
        <v>487</v>
      </c>
      <c r="F307" s="7" t="s">
        <v>521</v>
      </c>
    </row>
    <row r="308" spans="2:6">
      <c r="B308" s="7" t="s">
        <v>3</v>
      </c>
      <c r="C308" s="7" t="s">
        <v>29</v>
      </c>
      <c r="D308" s="7" t="s">
        <v>103</v>
      </c>
      <c r="E308" s="7" t="s">
        <v>522</v>
      </c>
      <c r="F308" s="7" t="s">
        <v>523</v>
      </c>
    </row>
    <row r="309" spans="2:6">
      <c r="B309" s="7" t="s">
        <v>3</v>
      </c>
      <c r="C309" s="7" t="s">
        <v>29</v>
      </c>
      <c r="D309" s="7" t="s">
        <v>103</v>
      </c>
      <c r="E309" s="7" t="s">
        <v>496</v>
      </c>
      <c r="F309" s="7" t="s">
        <v>524</v>
      </c>
    </row>
    <row r="310" spans="2:6">
      <c r="B310" s="7" t="s">
        <v>3</v>
      </c>
      <c r="C310" s="7" t="s">
        <v>29</v>
      </c>
      <c r="D310" s="7" t="s">
        <v>103</v>
      </c>
      <c r="E310" s="7" t="s">
        <v>498</v>
      </c>
      <c r="F310" s="7" t="s">
        <v>525</v>
      </c>
    </row>
    <row r="311" spans="2:6">
      <c r="B311" s="7" t="s">
        <v>3</v>
      </c>
      <c r="C311" s="7" t="s">
        <v>29</v>
      </c>
      <c r="D311" s="7" t="s">
        <v>103</v>
      </c>
      <c r="E311" s="7" t="s">
        <v>500</v>
      </c>
      <c r="F311" s="7" t="s">
        <v>526</v>
      </c>
    </row>
    <row r="312" spans="2:6">
      <c r="B312" s="7" t="s">
        <v>3</v>
      </c>
      <c r="C312" s="7" t="s">
        <v>29</v>
      </c>
      <c r="D312" s="7" t="s">
        <v>103</v>
      </c>
      <c r="E312" s="7" t="s">
        <v>502</v>
      </c>
      <c r="F312" s="7" t="s">
        <v>527</v>
      </c>
    </row>
    <row r="313" spans="2:6">
      <c r="B313" s="7" t="s">
        <v>3</v>
      </c>
      <c r="C313" s="7" t="s">
        <v>29</v>
      </c>
      <c r="D313" s="7" t="s">
        <v>103</v>
      </c>
      <c r="E313" s="7" t="s">
        <v>508</v>
      </c>
      <c r="F313" s="7" t="s">
        <v>528</v>
      </c>
    </row>
    <row r="314" spans="2:6">
      <c r="B314" s="7" t="s">
        <v>3</v>
      </c>
      <c r="C314" s="7" t="s">
        <v>29</v>
      </c>
      <c r="D314" s="7" t="s">
        <v>103</v>
      </c>
      <c r="E314" s="7" t="s">
        <v>512</v>
      </c>
      <c r="F314" s="7" t="s">
        <v>513</v>
      </c>
    </row>
    <row r="315" spans="2:6">
      <c r="B315" s="7" t="s">
        <v>3</v>
      </c>
      <c r="C315" s="7" t="s">
        <v>30</v>
      </c>
      <c r="D315" s="7" t="s">
        <v>102</v>
      </c>
      <c r="E315" s="7" t="s">
        <v>5</v>
      </c>
      <c r="F315" s="7" t="s">
        <v>5</v>
      </c>
    </row>
    <row r="316" spans="2:6">
      <c r="B316" s="7" t="s">
        <v>3</v>
      </c>
      <c r="C316" s="7" t="s">
        <v>30</v>
      </c>
      <c r="D316" s="7" t="s">
        <v>103</v>
      </c>
      <c r="E316" s="7" t="s">
        <v>5</v>
      </c>
      <c r="F316" s="7" t="s">
        <v>5</v>
      </c>
    </row>
    <row r="317" spans="2:6">
      <c r="B317" s="7" t="s">
        <v>3</v>
      </c>
      <c r="C317" s="7" t="s">
        <v>31</v>
      </c>
      <c r="D317" s="7" t="s">
        <v>102</v>
      </c>
      <c r="E317" s="7" t="s">
        <v>301</v>
      </c>
      <c r="F317" s="7" t="s">
        <v>541</v>
      </c>
    </row>
    <row r="318" spans="2:6">
      <c r="B318" s="7" t="s">
        <v>3</v>
      </c>
      <c r="C318" s="7" t="s">
        <v>31</v>
      </c>
      <c r="D318" s="7" t="s">
        <v>102</v>
      </c>
      <c r="E318" s="7" t="s">
        <v>333</v>
      </c>
      <c r="F318" s="7" t="s">
        <v>542</v>
      </c>
    </row>
    <row r="319" spans="2:6">
      <c r="B319" s="7" t="s">
        <v>3</v>
      </c>
      <c r="C319" s="7" t="s">
        <v>31</v>
      </c>
      <c r="D319" s="7" t="s">
        <v>102</v>
      </c>
      <c r="E319" s="7" t="s">
        <v>543</v>
      </c>
      <c r="F319" s="7" t="s">
        <v>544</v>
      </c>
    </row>
    <row r="320" spans="2:6">
      <c r="B320" s="7" t="s">
        <v>3</v>
      </c>
      <c r="C320" s="7" t="s">
        <v>31</v>
      </c>
      <c r="D320" s="7" t="s">
        <v>102</v>
      </c>
      <c r="E320" s="7" t="s">
        <v>494</v>
      </c>
      <c r="F320" s="7" t="s">
        <v>545</v>
      </c>
    </row>
    <row r="321" spans="2:6">
      <c r="B321" s="7" t="s">
        <v>3</v>
      </c>
      <c r="C321" s="7" t="s">
        <v>31</v>
      </c>
      <c r="D321" s="7" t="s">
        <v>102</v>
      </c>
      <c r="E321" s="7" t="s">
        <v>546</v>
      </c>
      <c r="F321" s="7" t="s">
        <v>547</v>
      </c>
    </row>
    <row r="322" spans="2:6">
      <c r="B322" s="7" t="s">
        <v>3</v>
      </c>
      <c r="C322" s="7" t="s">
        <v>31</v>
      </c>
      <c r="D322" s="7" t="s">
        <v>102</v>
      </c>
      <c r="E322" s="7" t="s">
        <v>522</v>
      </c>
      <c r="F322" s="7" t="s">
        <v>548</v>
      </c>
    </row>
    <row r="323" spans="2:6">
      <c r="B323" s="7" t="s">
        <v>3</v>
      </c>
      <c r="C323" s="7" t="s">
        <v>31</v>
      </c>
      <c r="D323" s="7" t="s">
        <v>102</v>
      </c>
      <c r="E323" s="7" t="s">
        <v>549</v>
      </c>
      <c r="F323" s="7" t="s">
        <v>550</v>
      </c>
    </row>
    <row r="324" spans="2:6">
      <c r="B324" s="7" t="s">
        <v>3</v>
      </c>
      <c r="C324" s="7" t="s">
        <v>31</v>
      </c>
      <c r="D324" s="7" t="s">
        <v>102</v>
      </c>
      <c r="E324" s="7" t="s">
        <v>492</v>
      </c>
      <c r="F324" s="7" t="s">
        <v>551</v>
      </c>
    </row>
    <row r="325" spans="2:6">
      <c r="B325" s="7" t="s">
        <v>3</v>
      </c>
      <c r="C325" s="7" t="s">
        <v>31</v>
      </c>
      <c r="D325" s="7" t="s">
        <v>103</v>
      </c>
      <c r="E325" s="7" t="s">
        <v>271</v>
      </c>
      <c r="F325" s="7" t="s">
        <v>552</v>
      </c>
    </row>
    <row r="326" spans="2:6">
      <c r="B326" s="7" t="s">
        <v>3</v>
      </c>
      <c r="C326" s="7" t="s">
        <v>32</v>
      </c>
      <c r="D326" s="7" t="s">
        <v>102</v>
      </c>
      <c r="E326" s="7" t="s">
        <v>271</v>
      </c>
      <c r="F326" s="7" t="s">
        <v>552</v>
      </c>
    </row>
    <row r="327" spans="2:6">
      <c r="B327" s="7" t="s">
        <v>3</v>
      </c>
      <c r="C327" s="7" t="s">
        <v>32</v>
      </c>
      <c r="D327" s="7" t="s">
        <v>103</v>
      </c>
      <c r="E327" s="7" t="s">
        <v>5</v>
      </c>
      <c r="F327" s="7" t="s">
        <v>5</v>
      </c>
    </row>
    <row r="328" spans="2:6">
      <c r="B328" s="7" t="s">
        <v>3</v>
      </c>
      <c r="C328" s="7" t="s">
        <v>33</v>
      </c>
      <c r="D328" s="7" t="s">
        <v>102</v>
      </c>
      <c r="E328" s="7" t="s">
        <v>301</v>
      </c>
      <c r="F328" s="7" t="s">
        <v>541</v>
      </c>
    </row>
    <row r="329" spans="2:6">
      <c r="B329" s="7" t="s">
        <v>3</v>
      </c>
      <c r="C329" s="7" t="s">
        <v>33</v>
      </c>
      <c r="D329" s="7" t="s">
        <v>102</v>
      </c>
      <c r="E329" s="7" t="s">
        <v>333</v>
      </c>
      <c r="F329" s="7" t="s">
        <v>542</v>
      </c>
    </row>
    <row r="330" spans="2:6">
      <c r="B330" s="7" t="s">
        <v>3</v>
      </c>
      <c r="C330" s="7" t="s">
        <v>33</v>
      </c>
      <c r="D330" s="7" t="s">
        <v>102</v>
      </c>
      <c r="E330" s="7" t="s">
        <v>543</v>
      </c>
      <c r="F330" s="7" t="s">
        <v>544</v>
      </c>
    </row>
    <row r="331" spans="2:6">
      <c r="B331" s="7" t="s">
        <v>3</v>
      </c>
      <c r="C331" s="7" t="s">
        <v>33</v>
      </c>
      <c r="D331" s="7" t="s">
        <v>102</v>
      </c>
      <c r="E331" s="7" t="s">
        <v>494</v>
      </c>
      <c r="F331" s="7" t="s">
        <v>545</v>
      </c>
    </row>
    <row r="332" spans="2:6">
      <c r="B332" s="7" t="s">
        <v>3</v>
      </c>
      <c r="C332" s="7" t="s">
        <v>33</v>
      </c>
      <c r="D332" s="7" t="s">
        <v>102</v>
      </c>
      <c r="E332" s="7" t="s">
        <v>506</v>
      </c>
      <c r="F332" s="7" t="s">
        <v>553</v>
      </c>
    </row>
    <row r="333" spans="2:6">
      <c r="B333" s="7" t="s">
        <v>3</v>
      </c>
      <c r="C333" s="7" t="s">
        <v>33</v>
      </c>
      <c r="D333" s="7" t="s">
        <v>102</v>
      </c>
      <c r="E333" s="7" t="s">
        <v>271</v>
      </c>
      <c r="F333" s="7" t="s">
        <v>554</v>
      </c>
    </row>
    <row r="334" spans="2:6">
      <c r="B334" s="7" t="s">
        <v>3</v>
      </c>
      <c r="C334" s="7" t="s">
        <v>33</v>
      </c>
      <c r="D334" s="7" t="s">
        <v>103</v>
      </c>
      <c r="E334" s="7" t="s">
        <v>5</v>
      </c>
      <c r="F334" s="7" t="s">
        <v>5</v>
      </c>
    </row>
    <row r="335" spans="2:6">
      <c r="B335" s="7" t="s">
        <v>3</v>
      </c>
      <c r="C335" s="7" t="s">
        <v>34</v>
      </c>
      <c r="D335" s="7" t="s">
        <v>102</v>
      </c>
      <c r="E335" s="7" t="s">
        <v>271</v>
      </c>
      <c r="F335" s="7" t="s">
        <v>554</v>
      </c>
    </row>
    <row r="336" spans="2:6">
      <c r="B336" s="7" t="s">
        <v>3</v>
      </c>
      <c r="C336" s="7" t="s">
        <v>34</v>
      </c>
      <c r="D336" s="7" t="s">
        <v>102</v>
      </c>
      <c r="E336" s="7" t="s">
        <v>546</v>
      </c>
      <c r="F336" s="7" t="s">
        <v>547</v>
      </c>
    </row>
    <row r="337" spans="2:6">
      <c r="B337" s="7" t="s">
        <v>3</v>
      </c>
      <c r="C337" s="7" t="s">
        <v>34</v>
      </c>
      <c r="D337" s="7" t="s">
        <v>102</v>
      </c>
      <c r="E337" s="7" t="s">
        <v>522</v>
      </c>
      <c r="F337" s="7" t="s">
        <v>548</v>
      </c>
    </row>
    <row r="338" spans="2:6">
      <c r="B338" s="7" t="s">
        <v>3</v>
      </c>
      <c r="C338" s="7" t="s">
        <v>34</v>
      </c>
      <c r="D338" s="7" t="s">
        <v>102</v>
      </c>
      <c r="E338" s="7" t="s">
        <v>549</v>
      </c>
      <c r="F338" s="7" t="s">
        <v>550</v>
      </c>
    </row>
    <row r="339" spans="2:6">
      <c r="B339" s="7" t="s">
        <v>3</v>
      </c>
      <c r="C339" s="7" t="s">
        <v>34</v>
      </c>
      <c r="D339" s="7" t="s">
        <v>102</v>
      </c>
      <c r="E339" s="7" t="s">
        <v>492</v>
      </c>
      <c r="F339" s="7" t="s">
        <v>551</v>
      </c>
    </row>
    <row r="340" spans="2:6">
      <c r="B340" s="7" t="s">
        <v>3</v>
      </c>
      <c r="C340" s="7" t="s">
        <v>34</v>
      </c>
      <c r="D340" s="7" t="s">
        <v>103</v>
      </c>
      <c r="E340" s="7" t="s">
        <v>301</v>
      </c>
      <c r="F340" s="7" t="s">
        <v>541</v>
      </c>
    </row>
    <row r="341" spans="2:6">
      <c r="B341" s="7" t="s">
        <v>3</v>
      </c>
      <c r="C341" s="7" t="s">
        <v>34</v>
      </c>
      <c r="D341" s="7" t="s">
        <v>103</v>
      </c>
      <c r="E341" s="7" t="s">
        <v>333</v>
      </c>
      <c r="F341" s="7" t="s">
        <v>542</v>
      </c>
    </row>
    <row r="342" spans="2:6">
      <c r="B342" s="7" t="s">
        <v>3</v>
      </c>
      <c r="C342" s="7" t="s">
        <v>34</v>
      </c>
      <c r="D342" s="7" t="s">
        <v>103</v>
      </c>
      <c r="E342" s="7" t="s">
        <v>543</v>
      </c>
      <c r="F342" s="7" t="s">
        <v>544</v>
      </c>
    </row>
    <row r="343" spans="2:6">
      <c r="B343" s="7" t="s">
        <v>3</v>
      </c>
      <c r="C343" s="7" t="s">
        <v>34</v>
      </c>
      <c r="D343" s="7" t="s">
        <v>103</v>
      </c>
      <c r="E343" s="7" t="s">
        <v>494</v>
      </c>
      <c r="F343" s="7" t="s">
        <v>545</v>
      </c>
    </row>
    <row r="344" spans="2:6">
      <c r="B344" s="7" t="s">
        <v>3</v>
      </c>
      <c r="C344" s="7" t="s">
        <v>34</v>
      </c>
      <c r="D344" s="7" t="s">
        <v>103</v>
      </c>
      <c r="E344" s="7" t="s">
        <v>555</v>
      </c>
      <c r="F344" s="7" t="s">
        <v>556</v>
      </c>
    </row>
    <row r="345" spans="2:6">
      <c r="B345" s="7" t="s">
        <v>3</v>
      </c>
      <c r="C345" s="7" t="s">
        <v>34</v>
      </c>
      <c r="D345" s="7" t="s">
        <v>103</v>
      </c>
      <c r="E345" s="7" t="s">
        <v>506</v>
      </c>
      <c r="F345" s="7" t="s">
        <v>553</v>
      </c>
    </row>
    <row r="346" spans="2:6">
      <c r="B346" s="7" t="s">
        <v>3</v>
      </c>
      <c r="C346" s="7" t="s">
        <v>34</v>
      </c>
      <c r="D346" s="7" t="s">
        <v>103</v>
      </c>
      <c r="E346" s="7" t="s">
        <v>557</v>
      </c>
      <c r="F346" s="7" t="s">
        <v>558</v>
      </c>
    </row>
    <row r="347" spans="2:6">
      <c r="B347" s="7" t="s">
        <v>3</v>
      </c>
      <c r="C347" s="7" t="s">
        <v>34</v>
      </c>
      <c r="D347" s="7" t="s">
        <v>103</v>
      </c>
      <c r="E347" s="7" t="s">
        <v>504</v>
      </c>
      <c r="F347" s="7" t="s">
        <v>559</v>
      </c>
    </row>
    <row r="348" spans="2:6">
      <c r="B348" s="7" t="s">
        <v>3</v>
      </c>
      <c r="C348" s="7" t="s">
        <v>34</v>
      </c>
      <c r="D348" s="7" t="s">
        <v>103</v>
      </c>
      <c r="E348" s="7" t="s">
        <v>271</v>
      </c>
      <c r="F348" s="7" t="s">
        <v>554</v>
      </c>
    </row>
    <row r="349" spans="2:6">
      <c r="B349" s="7" t="s">
        <v>3</v>
      </c>
      <c r="C349" s="7" t="s">
        <v>35</v>
      </c>
      <c r="D349" s="7" t="s">
        <v>102</v>
      </c>
      <c r="E349" s="7" t="s">
        <v>5</v>
      </c>
      <c r="F349" s="7" t="s">
        <v>5</v>
      </c>
    </row>
    <row r="350" spans="2:6">
      <c r="B350" s="7" t="s">
        <v>3</v>
      </c>
      <c r="C350" s="7" t="s">
        <v>35</v>
      </c>
      <c r="D350" s="7" t="s">
        <v>103</v>
      </c>
      <c r="E350" s="7" t="s">
        <v>560</v>
      </c>
      <c r="F350" s="7" t="s">
        <v>561</v>
      </c>
    </row>
    <row r="351" spans="2:6">
      <c r="B351" s="7" t="s">
        <v>3</v>
      </c>
      <c r="C351" s="7" t="s">
        <v>35</v>
      </c>
      <c r="D351" s="7" t="s">
        <v>103</v>
      </c>
      <c r="E351" s="7" t="s">
        <v>543</v>
      </c>
      <c r="F351" s="7" t="s">
        <v>562</v>
      </c>
    </row>
    <row r="352" spans="2:6">
      <c r="B352" s="7" t="s">
        <v>3</v>
      </c>
      <c r="C352" s="7" t="s">
        <v>35</v>
      </c>
      <c r="D352" s="7" t="s">
        <v>103</v>
      </c>
      <c r="E352" s="7" t="s">
        <v>563</v>
      </c>
      <c r="F352" s="7" t="s">
        <v>564</v>
      </c>
    </row>
    <row r="353" spans="2:6">
      <c r="B353" s="7" t="s">
        <v>3</v>
      </c>
      <c r="C353" s="7" t="s">
        <v>36</v>
      </c>
      <c r="D353" s="7" t="s">
        <v>102</v>
      </c>
      <c r="E353" s="7" t="s">
        <v>565</v>
      </c>
      <c r="F353" s="7" t="s">
        <v>566</v>
      </c>
    </row>
    <row r="354" spans="2:6">
      <c r="B354" s="7" t="s">
        <v>3</v>
      </c>
      <c r="C354" s="7" t="s">
        <v>36</v>
      </c>
      <c r="D354" s="7" t="s">
        <v>102</v>
      </c>
      <c r="E354" s="7" t="s">
        <v>567</v>
      </c>
      <c r="F354" s="7" t="s">
        <v>568</v>
      </c>
    </row>
    <row r="355" spans="2:6">
      <c r="B355" s="7" t="s">
        <v>3</v>
      </c>
      <c r="C355" s="7" t="s">
        <v>36</v>
      </c>
      <c r="D355" s="7" t="s">
        <v>102</v>
      </c>
      <c r="E355" s="7" t="s">
        <v>569</v>
      </c>
      <c r="F355" s="7" t="s">
        <v>570</v>
      </c>
    </row>
    <row r="356" spans="2:6">
      <c r="B356" s="7" t="s">
        <v>3</v>
      </c>
      <c r="C356" s="7" t="s">
        <v>36</v>
      </c>
      <c r="D356" s="7" t="s">
        <v>103</v>
      </c>
      <c r="E356" s="7" t="s">
        <v>5</v>
      </c>
      <c r="F356" s="7" t="s">
        <v>5</v>
      </c>
    </row>
    <row r="357" spans="2:6">
      <c r="B357" s="7" t="s">
        <v>3</v>
      </c>
      <c r="C357" s="7" t="s">
        <v>37</v>
      </c>
      <c r="D357" s="7" t="s">
        <v>102</v>
      </c>
      <c r="E357" s="7" t="s">
        <v>571</v>
      </c>
      <c r="F357" s="7" t="s">
        <v>572</v>
      </c>
    </row>
    <row r="358" spans="2:6">
      <c r="B358" s="7" t="s">
        <v>3</v>
      </c>
      <c r="C358" s="7" t="s">
        <v>37</v>
      </c>
      <c r="D358" s="7" t="s">
        <v>103</v>
      </c>
      <c r="E358" s="7" t="s">
        <v>116</v>
      </c>
      <c r="F358" s="7" t="s">
        <v>573</v>
      </c>
    </row>
    <row r="359" spans="2:6">
      <c r="B359" s="7" t="s">
        <v>3</v>
      </c>
      <c r="C359" s="7" t="s">
        <v>37</v>
      </c>
      <c r="D359" s="7" t="s">
        <v>103</v>
      </c>
      <c r="E359" s="7" t="s">
        <v>571</v>
      </c>
      <c r="F359" s="7" t="s">
        <v>574</v>
      </c>
    </row>
    <row r="360" spans="2:6">
      <c r="B360" s="7" t="s">
        <v>3</v>
      </c>
      <c r="C360" s="7" t="s">
        <v>37</v>
      </c>
      <c r="D360" s="7" t="s">
        <v>103</v>
      </c>
      <c r="E360" s="7" t="s">
        <v>575</v>
      </c>
      <c r="F360" s="7" t="s">
        <v>576</v>
      </c>
    </row>
    <row r="361" spans="2:6">
      <c r="B361" s="7" t="s">
        <v>3</v>
      </c>
      <c r="C361" s="7" t="s">
        <v>37</v>
      </c>
      <c r="D361" s="7" t="s">
        <v>103</v>
      </c>
      <c r="E361" s="7" t="s">
        <v>124</v>
      </c>
      <c r="F361" s="7" t="s">
        <v>577</v>
      </c>
    </row>
    <row r="362" spans="2:6">
      <c r="B362" s="7" t="s">
        <v>3</v>
      </c>
      <c r="C362" s="7" t="s">
        <v>37</v>
      </c>
      <c r="D362" s="7" t="s">
        <v>103</v>
      </c>
      <c r="E362" s="7" t="s">
        <v>578</v>
      </c>
      <c r="F362" s="7" t="s">
        <v>579</v>
      </c>
    </row>
    <row r="363" spans="2:6">
      <c r="B363" s="7" t="s">
        <v>3</v>
      </c>
      <c r="C363" s="7" t="s">
        <v>37</v>
      </c>
      <c r="D363" s="7" t="s">
        <v>103</v>
      </c>
      <c r="E363" s="7" t="s">
        <v>580</v>
      </c>
      <c r="F363" s="7" t="s">
        <v>581</v>
      </c>
    </row>
    <row r="364" spans="2:6">
      <c r="B364" s="7" t="s">
        <v>3</v>
      </c>
      <c r="C364" s="7" t="s">
        <v>37</v>
      </c>
      <c r="D364" s="7" t="s">
        <v>103</v>
      </c>
      <c r="E364" s="7" t="s">
        <v>496</v>
      </c>
      <c r="F364" s="7" t="s">
        <v>582</v>
      </c>
    </row>
    <row r="365" spans="2:6">
      <c r="B365" s="7" t="s">
        <v>3</v>
      </c>
      <c r="C365" s="7" t="s">
        <v>37</v>
      </c>
      <c r="D365" s="7" t="s">
        <v>103</v>
      </c>
      <c r="E365" s="7" t="s">
        <v>583</v>
      </c>
      <c r="F365" s="7" t="s">
        <v>584</v>
      </c>
    </row>
    <row r="366" spans="2:6">
      <c r="B366" s="7" t="s">
        <v>3</v>
      </c>
      <c r="C366" s="7" t="s">
        <v>37</v>
      </c>
      <c r="D366" s="7" t="s">
        <v>103</v>
      </c>
      <c r="E366" s="7" t="s">
        <v>585</v>
      </c>
      <c r="F366" s="7" t="s">
        <v>586</v>
      </c>
    </row>
    <row r="367" spans="2:6">
      <c r="B367" s="7" t="s">
        <v>3</v>
      </c>
      <c r="C367" s="7" t="s">
        <v>37</v>
      </c>
      <c r="D367" s="7" t="s">
        <v>103</v>
      </c>
      <c r="E367" s="7" t="s">
        <v>492</v>
      </c>
      <c r="F367" s="7" t="s">
        <v>587</v>
      </c>
    </row>
    <row r="368" spans="2:6">
      <c r="B368" s="7" t="s">
        <v>3</v>
      </c>
      <c r="C368" s="7" t="s">
        <v>37</v>
      </c>
      <c r="D368" s="7" t="s">
        <v>103</v>
      </c>
      <c r="E368" s="7" t="s">
        <v>588</v>
      </c>
      <c r="F368" s="7" t="s">
        <v>589</v>
      </c>
    </row>
    <row r="369" spans="2:6">
      <c r="B369" s="7" t="s">
        <v>3</v>
      </c>
      <c r="C369" s="7" t="s">
        <v>37</v>
      </c>
      <c r="D369" s="7" t="s">
        <v>103</v>
      </c>
      <c r="E369" s="7" t="s">
        <v>590</v>
      </c>
      <c r="F369" s="7" t="s">
        <v>591</v>
      </c>
    </row>
    <row r="370" spans="2:6">
      <c r="B370" s="7" t="s">
        <v>3</v>
      </c>
      <c r="C370" s="7" t="s">
        <v>37</v>
      </c>
      <c r="D370" s="7" t="s">
        <v>103</v>
      </c>
      <c r="E370" s="7" t="s">
        <v>535</v>
      </c>
      <c r="F370" s="7"/>
    </row>
    <row r="371" spans="2:6">
      <c r="B371" s="7" t="s">
        <v>3</v>
      </c>
      <c r="C371" s="7" t="s">
        <v>38</v>
      </c>
      <c r="D371" s="7" t="s">
        <v>102</v>
      </c>
      <c r="E371" s="7" t="s">
        <v>116</v>
      </c>
      <c r="F371" s="7" t="s">
        <v>592</v>
      </c>
    </row>
    <row r="372" spans="2:6">
      <c r="B372" s="7" t="s">
        <v>3</v>
      </c>
      <c r="C372" s="7" t="s">
        <v>38</v>
      </c>
      <c r="D372" s="7" t="s">
        <v>102</v>
      </c>
      <c r="E372" s="7" t="s">
        <v>583</v>
      </c>
      <c r="F372" s="7" t="s">
        <v>593</v>
      </c>
    </row>
    <row r="373" spans="2:6">
      <c r="B373" s="7" t="s">
        <v>3</v>
      </c>
      <c r="C373" s="7" t="s">
        <v>38</v>
      </c>
      <c r="D373" s="7" t="s">
        <v>102</v>
      </c>
      <c r="E373" s="7" t="s">
        <v>588</v>
      </c>
      <c r="F373" s="7" t="s">
        <v>570</v>
      </c>
    </row>
    <row r="374" spans="2:6">
      <c r="B374" s="7" t="s">
        <v>3</v>
      </c>
      <c r="C374" s="7" t="s">
        <v>38</v>
      </c>
      <c r="D374" s="7" t="s">
        <v>102</v>
      </c>
      <c r="E374" s="7" t="s">
        <v>535</v>
      </c>
      <c r="F374" s="7" t="s">
        <v>594</v>
      </c>
    </row>
    <row r="375" spans="2:6">
      <c r="B375" s="7" t="s">
        <v>3</v>
      </c>
      <c r="C375" s="7" t="s">
        <v>38</v>
      </c>
      <c r="D375" s="7" t="s">
        <v>102</v>
      </c>
      <c r="E375" s="7" t="s">
        <v>585</v>
      </c>
      <c r="F375" s="7" t="s">
        <v>595</v>
      </c>
    </row>
    <row r="376" spans="2:6">
      <c r="B376" s="7" t="s">
        <v>3</v>
      </c>
      <c r="C376" s="7" t="s">
        <v>38</v>
      </c>
      <c r="D376" s="7" t="s">
        <v>102</v>
      </c>
      <c r="E376" s="7" t="s">
        <v>492</v>
      </c>
      <c r="F376" s="7" t="s">
        <v>596</v>
      </c>
    </row>
    <row r="377" spans="2:6">
      <c r="B377" s="7" t="s">
        <v>3</v>
      </c>
      <c r="C377" s="7" t="s">
        <v>38</v>
      </c>
      <c r="D377" s="7" t="s">
        <v>102</v>
      </c>
      <c r="E377" s="7" t="s">
        <v>590</v>
      </c>
      <c r="F377" s="7" t="s">
        <v>597</v>
      </c>
    </row>
    <row r="378" spans="2:6">
      <c r="B378" s="7" t="s">
        <v>3</v>
      </c>
      <c r="C378" s="7" t="s">
        <v>38</v>
      </c>
      <c r="D378" s="7" t="s">
        <v>103</v>
      </c>
      <c r="E378" s="7" t="s">
        <v>571</v>
      </c>
      <c r="F378" s="7"/>
    </row>
    <row r="379" spans="2:6">
      <c r="B379" s="7" t="s">
        <v>3</v>
      </c>
      <c r="C379" s="7" t="s">
        <v>38</v>
      </c>
      <c r="D379" s="7" t="s">
        <v>103</v>
      </c>
      <c r="E379" s="7" t="s">
        <v>598</v>
      </c>
      <c r="F379" s="7"/>
    </row>
    <row r="380" spans="2:6">
      <c r="B380" s="7" t="s">
        <v>3</v>
      </c>
      <c r="C380" s="7" t="s">
        <v>39</v>
      </c>
      <c r="D380" s="7" t="s">
        <v>102</v>
      </c>
      <c r="E380" s="7" t="s">
        <v>599</v>
      </c>
      <c r="F380" s="7" t="s">
        <v>600</v>
      </c>
    </row>
    <row r="381" spans="2:6">
      <c r="B381" s="7" t="s">
        <v>3</v>
      </c>
      <c r="C381" s="7" t="s">
        <v>39</v>
      </c>
      <c r="D381" s="7" t="s">
        <v>103</v>
      </c>
      <c r="E381" s="7" t="s">
        <v>599</v>
      </c>
      <c r="F381" s="7" t="s">
        <v>600</v>
      </c>
    </row>
    <row r="382" spans="2:6">
      <c r="B382" s="7" t="s">
        <v>3</v>
      </c>
      <c r="C382" s="7" t="s">
        <v>40</v>
      </c>
      <c r="D382" s="7" t="s">
        <v>102</v>
      </c>
      <c r="E382" s="7" t="s">
        <v>599</v>
      </c>
      <c r="F382" s="7" t="s">
        <v>600</v>
      </c>
    </row>
    <row r="383" spans="2:6">
      <c r="B383" s="7" t="s">
        <v>3</v>
      </c>
      <c r="C383" s="7" t="s">
        <v>40</v>
      </c>
      <c r="D383" s="7" t="s">
        <v>103</v>
      </c>
      <c r="E383" s="7" t="s">
        <v>599</v>
      </c>
      <c r="F383" s="7" t="s">
        <v>600</v>
      </c>
    </row>
    <row r="384" spans="2:6">
      <c r="B384" s="7" t="s">
        <v>3</v>
      </c>
      <c r="C384" s="7" t="s">
        <v>41</v>
      </c>
      <c r="D384" s="7" t="s">
        <v>102</v>
      </c>
      <c r="E384" s="7" t="s">
        <v>599</v>
      </c>
      <c r="F384" s="7" t="s">
        <v>600</v>
      </c>
    </row>
    <row r="385" spans="2:6">
      <c r="B385" s="7" t="s">
        <v>3</v>
      </c>
      <c r="C385" s="7" t="s">
        <v>41</v>
      </c>
      <c r="D385" s="7" t="s">
        <v>103</v>
      </c>
      <c r="E385" s="7" t="s">
        <v>5</v>
      </c>
      <c r="F385" s="7" t="s">
        <v>5</v>
      </c>
    </row>
    <row r="386" spans="2:6">
      <c r="B386" s="7" t="s">
        <v>3</v>
      </c>
      <c r="C386" s="7" t="s">
        <v>42</v>
      </c>
      <c r="D386" s="7" t="s">
        <v>102</v>
      </c>
      <c r="E386" s="7" t="s">
        <v>301</v>
      </c>
      <c r="F386" s="7" t="s">
        <v>601</v>
      </c>
    </row>
    <row r="387" spans="2:6">
      <c r="B387" s="7" t="s">
        <v>3</v>
      </c>
      <c r="C387" s="7" t="s">
        <v>42</v>
      </c>
      <c r="D387" s="7" t="s">
        <v>102</v>
      </c>
      <c r="E387" s="7" t="s">
        <v>126</v>
      </c>
      <c r="F387" s="7" t="s">
        <v>602</v>
      </c>
    </row>
    <row r="388" spans="2:6">
      <c r="B388" s="7" t="s">
        <v>3</v>
      </c>
      <c r="C388" s="7" t="s">
        <v>42</v>
      </c>
      <c r="D388" s="7" t="s">
        <v>102</v>
      </c>
      <c r="E388" s="7" t="s">
        <v>603</v>
      </c>
      <c r="F388" s="7" t="s">
        <v>604</v>
      </c>
    </row>
    <row r="389" spans="2:6">
      <c r="B389" s="7" t="s">
        <v>3</v>
      </c>
      <c r="C389" s="7" t="s">
        <v>42</v>
      </c>
      <c r="D389" s="7" t="s">
        <v>102</v>
      </c>
      <c r="E389" s="7" t="s">
        <v>506</v>
      </c>
      <c r="F389" s="7" t="s">
        <v>605</v>
      </c>
    </row>
    <row r="390" spans="2:6">
      <c r="B390" s="7" t="s">
        <v>3</v>
      </c>
      <c r="C390" s="7" t="s">
        <v>42</v>
      </c>
      <c r="D390" s="7" t="s">
        <v>102</v>
      </c>
      <c r="E390" s="7" t="s">
        <v>606</v>
      </c>
      <c r="F390" s="7" t="s">
        <v>607</v>
      </c>
    </row>
    <row r="391" spans="2:6">
      <c r="B391" s="7" t="s">
        <v>3</v>
      </c>
      <c r="C391" s="7" t="s">
        <v>42</v>
      </c>
      <c r="D391" s="7" t="s">
        <v>102</v>
      </c>
      <c r="E391" s="7" t="s">
        <v>504</v>
      </c>
      <c r="F391" s="7" t="s">
        <v>608</v>
      </c>
    </row>
    <row r="392" spans="2:6">
      <c r="B392" s="7" t="s">
        <v>3</v>
      </c>
      <c r="C392" s="7" t="s">
        <v>42</v>
      </c>
      <c r="D392" s="7" t="s">
        <v>102</v>
      </c>
      <c r="E392" s="7" t="s">
        <v>609</v>
      </c>
      <c r="F392" s="7" t="s">
        <v>610</v>
      </c>
    </row>
    <row r="393" spans="2:6">
      <c r="B393" s="7" t="s">
        <v>3</v>
      </c>
      <c r="C393" s="7" t="s">
        <v>42</v>
      </c>
      <c r="D393" s="7" t="s">
        <v>102</v>
      </c>
      <c r="E393" s="7" t="s">
        <v>611</v>
      </c>
      <c r="F393" s="7" t="s">
        <v>612</v>
      </c>
    </row>
    <row r="394" spans="2:6">
      <c r="B394" s="7" t="s">
        <v>3</v>
      </c>
      <c r="C394" s="7" t="s">
        <v>42</v>
      </c>
      <c r="D394" s="7" t="s">
        <v>102</v>
      </c>
      <c r="E394" s="7" t="s">
        <v>613</v>
      </c>
      <c r="F394" s="7" t="s">
        <v>614</v>
      </c>
    </row>
    <row r="395" spans="2:6">
      <c r="B395" s="7" t="s">
        <v>3</v>
      </c>
      <c r="C395" s="7" t="s">
        <v>42</v>
      </c>
      <c r="D395" s="7" t="s">
        <v>102</v>
      </c>
      <c r="E395" s="7" t="s">
        <v>615</v>
      </c>
      <c r="F395" s="7" t="s">
        <v>616</v>
      </c>
    </row>
    <row r="396" spans="2:6">
      <c r="B396" s="7" t="s">
        <v>3</v>
      </c>
      <c r="C396" s="7" t="s">
        <v>42</v>
      </c>
      <c r="D396" s="7" t="s">
        <v>103</v>
      </c>
      <c r="E396" s="7" t="s">
        <v>617</v>
      </c>
      <c r="F396" s="7" t="s">
        <v>618</v>
      </c>
    </row>
    <row r="397" spans="2:6">
      <c r="B397" s="7" t="s">
        <v>3</v>
      </c>
      <c r="C397" s="7" t="s">
        <v>43</v>
      </c>
      <c r="D397" s="7" t="s">
        <v>102</v>
      </c>
      <c r="E397" s="7" t="s">
        <v>5</v>
      </c>
      <c r="F397" s="7" t="s">
        <v>5</v>
      </c>
    </row>
    <row r="398" spans="2:6">
      <c r="B398" s="7" t="s">
        <v>3</v>
      </c>
      <c r="C398" s="7" t="s">
        <v>43</v>
      </c>
      <c r="D398" s="7" t="s">
        <v>103</v>
      </c>
      <c r="E398" s="7" t="s">
        <v>619</v>
      </c>
      <c r="F398" s="7" t="s">
        <v>620</v>
      </c>
    </row>
    <row r="399" spans="2:6">
      <c r="B399" s="7" t="s">
        <v>3</v>
      </c>
      <c r="C399" s="7" t="s">
        <v>43</v>
      </c>
      <c r="D399" s="7" t="s">
        <v>103</v>
      </c>
      <c r="E399" s="7" t="s">
        <v>621</v>
      </c>
      <c r="F399" s="7" t="s">
        <v>622</v>
      </c>
    </row>
    <row r="400" spans="2:6">
      <c r="B400" s="7" t="s">
        <v>3</v>
      </c>
      <c r="C400" s="7" t="s">
        <v>43</v>
      </c>
      <c r="D400" s="7" t="s">
        <v>103</v>
      </c>
      <c r="E400" s="7" t="s">
        <v>623</v>
      </c>
      <c r="F400" s="7" t="s">
        <v>624</v>
      </c>
    </row>
    <row r="401" spans="2:6">
      <c r="B401" s="7" t="s">
        <v>3</v>
      </c>
      <c r="C401" s="7" t="s">
        <v>44</v>
      </c>
      <c r="D401" s="7" t="s">
        <v>102</v>
      </c>
      <c r="E401" s="7" t="s">
        <v>625</v>
      </c>
      <c r="F401" s="7" t="s">
        <v>626</v>
      </c>
    </row>
    <row r="402" spans="2:6">
      <c r="B402" s="7" t="s">
        <v>3</v>
      </c>
      <c r="C402" s="7" t="s">
        <v>44</v>
      </c>
      <c r="D402" s="7" t="s">
        <v>103</v>
      </c>
      <c r="E402" s="7" t="s">
        <v>627</v>
      </c>
      <c r="F402" s="7" t="s">
        <v>628</v>
      </c>
    </row>
    <row r="403" spans="2:6">
      <c r="B403" s="7" t="s">
        <v>3</v>
      </c>
      <c r="C403" s="7" t="s">
        <v>44</v>
      </c>
      <c r="D403" s="7" t="s">
        <v>103</v>
      </c>
      <c r="E403" s="7" t="s">
        <v>629</v>
      </c>
      <c r="F403" s="7" t="s">
        <v>630</v>
      </c>
    </row>
    <row r="404" spans="2:6">
      <c r="B404" s="7" t="s">
        <v>3</v>
      </c>
      <c r="C404" s="7" t="s">
        <v>44</v>
      </c>
      <c r="D404" s="7" t="s">
        <v>103</v>
      </c>
      <c r="E404" s="7" t="s">
        <v>625</v>
      </c>
      <c r="F404" s="7" t="s">
        <v>631</v>
      </c>
    </row>
    <row r="405" spans="2:6">
      <c r="B405" s="7" t="s">
        <v>3</v>
      </c>
      <c r="C405" s="7" t="s">
        <v>45</v>
      </c>
      <c r="D405" s="7" t="s">
        <v>102</v>
      </c>
      <c r="E405" s="7" t="s">
        <v>5</v>
      </c>
      <c r="F405" s="7" t="s">
        <v>5</v>
      </c>
    </row>
    <row r="406" spans="2:6">
      <c r="B406" s="7" t="s">
        <v>3</v>
      </c>
      <c r="C406" s="7" t="s">
        <v>45</v>
      </c>
      <c r="D406" s="7" t="s">
        <v>103</v>
      </c>
      <c r="E406" s="7" t="s">
        <v>632</v>
      </c>
      <c r="F406" s="7" t="s">
        <v>633</v>
      </c>
    </row>
    <row r="407" spans="2:6">
      <c r="B407" s="7" t="s">
        <v>3</v>
      </c>
      <c r="C407" s="7" t="s">
        <v>45</v>
      </c>
      <c r="D407" s="7" t="s">
        <v>103</v>
      </c>
      <c r="E407" s="7" t="s">
        <v>634</v>
      </c>
      <c r="F407" s="7" t="s">
        <v>635</v>
      </c>
    </row>
    <row r="408" spans="2:6">
      <c r="B408" s="7" t="s">
        <v>3</v>
      </c>
      <c r="C408" s="7" t="s">
        <v>45</v>
      </c>
      <c r="D408" s="7" t="s">
        <v>103</v>
      </c>
      <c r="E408" s="7" t="s">
        <v>636</v>
      </c>
      <c r="F408" s="7" t="s">
        <v>637</v>
      </c>
    </row>
    <row r="409" spans="2:6">
      <c r="B409" s="7" t="s">
        <v>3</v>
      </c>
      <c r="C409" s="7" t="s">
        <v>45</v>
      </c>
      <c r="D409" s="7" t="s">
        <v>103</v>
      </c>
      <c r="E409" s="7" t="s">
        <v>638</v>
      </c>
      <c r="F409" s="7" t="s">
        <v>639</v>
      </c>
    </row>
    <row r="410" spans="2:6">
      <c r="B410" s="7" t="s">
        <v>3</v>
      </c>
      <c r="C410" s="7" t="s">
        <v>46</v>
      </c>
      <c r="D410" s="7" t="s">
        <v>102</v>
      </c>
      <c r="E410" s="7" t="s">
        <v>5</v>
      </c>
      <c r="F410" s="7" t="s">
        <v>5</v>
      </c>
    </row>
    <row r="411" spans="2:6">
      <c r="B411" s="7" t="s">
        <v>3</v>
      </c>
      <c r="C411" s="7" t="s">
        <v>46</v>
      </c>
      <c r="D411" s="7" t="s">
        <v>103</v>
      </c>
      <c r="E411" s="7" t="s">
        <v>640</v>
      </c>
      <c r="F411" s="7" t="s">
        <v>641</v>
      </c>
    </row>
    <row r="412" spans="2:6">
      <c r="B412" s="7" t="s">
        <v>3</v>
      </c>
      <c r="C412" s="7" t="s">
        <v>46</v>
      </c>
      <c r="D412" s="7" t="s">
        <v>103</v>
      </c>
      <c r="E412" s="7" t="s">
        <v>642</v>
      </c>
      <c r="F412" s="7" t="s">
        <v>643</v>
      </c>
    </row>
    <row r="413" spans="2:6">
      <c r="B413" s="7" t="s">
        <v>3</v>
      </c>
      <c r="C413" s="7" t="s">
        <v>46</v>
      </c>
      <c r="D413" s="7" t="s">
        <v>103</v>
      </c>
      <c r="E413" s="7" t="s">
        <v>644</v>
      </c>
      <c r="F413" s="7" t="s">
        <v>645</v>
      </c>
    </row>
    <row r="414" spans="2:6">
      <c r="B414" s="7" t="s">
        <v>3</v>
      </c>
      <c r="C414" s="7" t="s">
        <v>46</v>
      </c>
      <c r="D414" s="7" t="s">
        <v>103</v>
      </c>
      <c r="E414" s="7" t="s">
        <v>646</v>
      </c>
      <c r="F414" s="7" t="s">
        <v>647</v>
      </c>
    </row>
    <row r="415" spans="2:6">
      <c r="B415" s="7" t="s">
        <v>3</v>
      </c>
      <c r="C415" s="7" t="s">
        <v>46</v>
      </c>
      <c r="D415" s="7" t="s">
        <v>103</v>
      </c>
      <c r="E415" s="7" t="s">
        <v>565</v>
      </c>
      <c r="F415" s="7" t="s">
        <v>648</v>
      </c>
    </row>
    <row r="416" spans="2:6">
      <c r="B416" s="7" t="s">
        <v>3</v>
      </c>
      <c r="C416" s="7" t="s">
        <v>46</v>
      </c>
      <c r="D416" s="7" t="s">
        <v>103</v>
      </c>
      <c r="E416" s="7" t="s">
        <v>567</v>
      </c>
      <c r="F416" s="7" t="s">
        <v>649</v>
      </c>
    </row>
    <row r="417" spans="2:6">
      <c r="B417" s="7" t="s">
        <v>3</v>
      </c>
      <c r="C417" s="7" t="s">
        <v>46</v>
      </c>
      <c r="D417" s="7" t="s">
        <v>103</v>
      </c>
      <c r="E417" s="7" t="s">
        <v>569</v>
      </c>
      <c r="F417" s="7" t="s">
        <v>650</v>
      </c>
    </row>
    <row r="418" spans="2:6">
      <c r="B418" s="7" t="s">
        <v>3</v>
      </c>
      <c r="C418" s="7" t="s">
        <v>46</v>
      </c>
      <c r="D418" s="7" t="s">
        <v>103</v>
      </c>
      <c r="E418" s="7" t="s">
        <v>651</v>
      </c>
      <c r="F418" s="7" t="s">
        <v>652</v>
      </c>
    </row>
    <row r="419" spans="2:6">
      <c r="B419" s="7" t="s">
        <v>3</v>
      </c>
      <c r="C419" s="7" t="s">
        <v>46</v>
      </c>
      <c r="D419" s="7" t="s">
        <v>103</v>
      </c>
      <c r="E419" s="7" t="s">
        <v>617</v>
      </c>
      <c r="F419" s="7" t="s">
        <v>653</v>
      </c>
    </row>
    <row r="420" spans="2:6">
      <c r="B420" s="7" t="s">
        <v>3</v>
      </c>
      <c r="C420" s="7" t="s">
        <v>46</v>
      </c>
      <c r="D420" s="7" t="s">
        <v>103</v>
      </c>
      <c r="E420" s="7" t="s">
        <v>654</v>
      </c>
      <c r="F420" s="7" t="s">
        <v>655</v>
      </c>
    </row>
    <row r="421" spans="2:6">
      <c r="B421" s="7" t="s">
        <v>3</v>
      </c>
      <c r="C421" s="7" t="s">
        <v>47</v>
      </c>
      <c r="D421" s="7" t="s">
        <v>102</v>
      </c>
      <c r="E421" s="7" t="s">
        <v>656</v>
      </c>
      <c r="F421" s="7" t="s">
        <v>657</v>
      </c>
    </row>
    <row r="422" spans="2:6">
      <c r="B422" s="7" t="s">
        <v>3</v>
      </c>
      <c r="C422" s="7" t="s">
        <v>47</v>
      </c>
      <c r="D422" s="7" t="s">
        <v>102</v>
      </c>
      <c r="E422" s="7" t="s">
        <v>658</v>
      </c>
      <c r="F422" s="7" t="s">
        <v>659</v>
      </c>
    </row>
    <row r="423" spans="2:6">
      <c r="B423" s="7" t="s">
        <v>3</v>
      </c>
      <c r="C423" s="7" t="s">
        <v>47</v>
      </c>
      <c r="D423" s="7" t="s">
        <v>102</v>
      </c>
      <c r="E423" s="7" t="s">
        <v>660</v>
      </c>
      <c r="F423" s="7" t="s">
        <v>661</v>
      </c>
    </row>
    <row r="424" spans="2:6">
      <c r="B424" s="7" t="s">
        <v>3</v>
      </c>
      <c r="C424" s="7" t="s">
        <v>47</v>
      </c>
      <c r="D424" s="7" t="s">
        <v>102</v>
      </c>
      <c r="E424" s="7" t="s">
        <v>662</v>
      </c>
      <c r="F424" s="7" t="s">
        <v>663</v>
      </c>
    </row>
    <row r="425" spans="2:6">
      <c r="B425" s="7" t="s">
        <v>3</v>
      </c>
      <c r="C425" s="7" t="s">
        <v>47</v>
      </c>
      <c r="D425" s="7" t="s">
        <v>102</v>
      </c>
      <c r="E425" s="7" t="s">
        <v>664</v>
      </c>
      <c r="F425" s="7" t="s">
        <v>665</v>
      </c>
    </row>
    <row r="426" spans="2:6">
      <c r="B426" s="7" t="s">
        <v>3</v>
      </c>
      <c r="C426" s="7" t="s">
        <v>47</v>
      </c>
      <c r="D426" s="7" t="s">
        <v>102</v>
      </c>
      <c r="E426" s="7" t="s">
        <v>666</v>
      </c>
      <c r="F426" s="7" t="s">
        <v>667</v>
      </c>
    </row>
    <row r="427" spans="2:6">
      <c r="B427" s="7" t="s">
        <v>3</v>
      </c>
      <c r="C427" s="7" t="s">
        <v>47</v>
      </c>
      <c r="D427" s="7" t="s">
        <v>103</v>
      </c>
      <c r="E427" s="7" t="s">
        <v>668</v>
      </c>
      <c r="F427" s="7" t="s">
        <v>669</v>
      </c>
    </row>
    <row r="428" spans="2:6">
      <c r="B428" s="7" t="s">
        <v>3</v>
      </c>
      <c r="C428" s="7" t="s">
        <v>48</v>
      </c>
      <c r="D428" s="7" t="s">
        <v>102</v>
      </c>
      <c r="E428" s="7" t="s">
        <v>668</v>
      </c>
      <c r="F428" s="7" t="s">
        <v>670</v>
      </c>
    </row>
    <row r="429" spans="2:6">
      <c r="B429" s="7" t="s">
        <v>3</v>
      </c>
      <c r="C429" s="7" t="s">
        <v>48</v>
      </c>
      <c r="D429" s="7" t="s">
        <v>103</v>
      </c>
      <c r="E429" s="7" t="s">
        <v>5</v>
      </c>
      <c r="F429" s="7" t="s">
        <v>5</v>
      </c>
    </row>
    <row r="430" spans="2:6">
      <c r="B430" s="7" t="s">
        <v>3</v>
      </c>
      <c r="C430" s="7" t="s">
        <v>49</v>
      </c>
      <c r="D430" s="7" t="s">
        <v>102</v>
      </c>
      <c r="E430" s="7" t="s">
        <v>5</v>
      </c>
      <c r="F430" s="7" t="s">
        <v>5</v>
      </c>
    </row>
    <row r="431" spans="2:6">
      <c r="B431" s="7" t="s">
        <v>3</v>
      </c>
      <c r="C431" s="7" t="s">
        <v>49</v>
      </c>
      <c r="D431" s="7" t="s">
        <v>103</v>
      </c>
      <c r="E431" s="7" t="s">
        <v>671</v>
      </c>
      <c r="F431" s="7" t="s">
        <v>672</v>
      </c>
    </row>
    <row r="432" spans="2:6">
      <c r="B432" s="7" t="s">
        <v>3</v>
      </c>
      <c r="C432" s="7" t="s">
        <v>49</v>
      </c>
      <c r="D432" s="7" t="s">
        <v>103</v>
      </c>
      <c r="E432" s="7" t="s">
        <v>673</v>
      </c>
      <c r="F432" s="7" t="s">
        <v>674</v>
      </c>
    </row>
    <row r="433" spans="2:6">
      <c r="B433" s="7" t="s">
        <v>3</v>
      </c>
      <c r="C433" s="7" t="s">
        <v>49</v>
      </c>
      <c r="D433" s="7" t="s">
        <v>103</v>
      </c>
      <c r="E433" s="7" t="s">
        <v>658</v>
      </c>
      <c r="F433" s="7" t="s">
        <v>675</v>
      </c>
    </row>
    <row r="434" spans="2:6">
      <c r="B434" s="7" t="s">
        <v>3</v>
      </c>
      <c r="C434" s="7" t="s">
        <v>50</v>
      </c>
      <c r="D434" s="7" t="s">
        <v>102</v>
      </c>
      <c r="E434" s="7" t="s">
        <v>666</v>
      </c>
      <c r="F434" s="7" t="s">
        <v>676</v>
      </c>
    </row>
    <row r="435" spans="2:6">
      <c r="B435" s="7" t="s">
        <v>3</v>
      </c>
      <c r="C435" s="7" t="s">
        <v>50</v>
      </c>
      <c r="D435" s="7" t="s">
        <v>102</v>
      </c>
      <c r="E435" s="7" t="s">
        <v>677</v>
      </c>
      <c r="F435" s="7" t="s">
        <v>678</v>
      </c>
    </row>
    <row r="436" spans="2:6">
      <c r="B436" s="7" t="s">
        <v>3</v>
      </c>
      <c r="C436" s="7" t="s">
        <v>50</v>
      </c>
      <c r="D436" s="7" t="s">
        <v>102</v>
      </c>
      <c r="E436" s="7" t="s">
        <v>679</v>
      </c>
      <c r="F436" s="7" t="s">
        <v>680</v>
      </c>
    </row>
    <row r="437" spans="2:6">
      <c r="B437" s="7" t="s">
        <v>3</v>
      </c>
      <c r="C437" s="7" t="s">
        <v>50</v>
      </c>
      <c r="D437" s="7" t="s">
        <v>102</v>
      </c>
      <c r="E437" s="7" t="s">
        <v>668</v>
      </c>
      <c r="F437" s="7" t="s">
        <v>681</v>
      </c>
    </row>
    <row r="438" spans="2:6">
      <c r="B438" s="7" t="s">
        <v>3</v>
      </c>
      <c r="C438" s="7" t="s">
        <v>50</v>
      </c>
      <c r="D438" s="7" t="s">
        <v>103</v>
      </c>
      <c r="E438" s="7" t="s">
        <v>682</v>
      </c>
      <c r="F438" s="7" t="s">
        <v>683</v>
      </c>
    </row>
    <row r="439" spans="2:6">
      <c r="B439" s="7" t="s">
        <v>3</v>
      </c>
      <c r="C439" s="7" t="s">
        <v>50</v>
      </c>
      <c r="D439" s="7" t="s">
        <v>103</v>
      </c>
      <c r="E439" s="7" t="s">
        <v>124</v>
      </c>
      <c r="F439" s="7" t="s">
        <v>684</v>
      </c>
    </row>
    <row r="440" spans="2:6">
      <c r="B440" s="7" t="s">
        <v>3</v>
      </c>
      <c r="C440" s="7" t="s">
        <v>50</v>
      </c>
      <c r="D440" s="7" t="s">
        <v>103</v>
      </c>
      <c r="E440" s="7" t="s">
        <v>656</v>
      </c>
      <c r="F440" s="7" t="s">
        <v>685</v>
      </c>
    </row>
    <row r="441" spans="2:6">
      <c r="B441" s="7" t="s">
        <v>3</v>
      </c>
      <c r="C441" s="7" t="s">
        <v>50</v>
      </c>
      <c r="D441" s="7" t="s">
        <v>103</v>
      </c>
      <c r="E441" s="7" t="s">
        <v>578</v>
      </c>
      <c r="F441" s="7" t="s">
        <v>686</v>
      </c>
    </row>
    <row r="442" spans="2:6">
      <c r="B442" s="7" t="s">
        <v>3</v>
      </c>
      <c r="C442" s="7" t="s">
        <v>50</v>
      </c>
      <c r="D442" s="7" t="s">
        <v>103</v>
      </c>
      <c r="E442" s="7" t="s">
        <v>658</v>
      </c>
      <c r="F442" s="7" t="s">
        <v>687</v>
      </c>
    </row>
    <row r="443" spans="2:6">
      <c r="B443" s="7" t="s">
        <v>3</v>
      </c>
      <c r="C443" s="7" t="s">
        <v>50</v>
      </c>
      <c r="D443" s="7" t="s">
        <v>103</v>
      </c>
      <c r="E443" s="7" t="s">
        <v>673</v>
      </c>
      <c r="F443" s="7" t="s">
        <v>688</v>
      </c>
    </row>
    <row r="444" spans="2:6">
      <c r="B444" s="7" t="s">
        <v>3</v>
      </c>
      <c r="C444" s="7" t="s">
        <v>50</v>
      </c>
      <c r="D444" s="7" t="s">
        <v>103</v>
      </c>
      <c r="E444" s="7" t="s">
        <v>660</v>
      </c>
      <c r="F444" s="7" t="s">
        <v>689</v>
      </c>
    </row>
    <row r="445" spans="2:6">
      <c r="B445" s="7" t="s">
        <v>3</v>
      </c>
      <c r="C445" s="7" t="s">
        <v>50</v>
      </c>
      <c r="D445" s="7" t="s">
        <v>103</v>
      </c>
      <c r="E445" s="7" t="s">
        <v>690</v>
      </c>
      <c r="F445" s="7" t="s">
        <v>691</v>
      </c>
    </row>
    <row r="446" spans="2:6">
      <c r="B446" s="7" t="s">
        <v>3</v>
      </c>
      <c r="C446" s="7" t="s">
        <v>50</v>
      </c>
      <c r="D446" s="7" t="s">
        <v>103</v>
      </c>
      <c r="E446" s="7" t="s">
        <v>692</v>
      </c>
      <c r="F446" s="7" t="s">
        <v>693</v>
      </c>
    </row>
    <row r="447" spans="2:6">
      <c r="B447" s="7" t="s">
        <v>3</v>
      </c>
      <c r="C447" s="7" t="s">
        <v>50</v>
      </c>
      <c r="D447" s="7" t="s">
        <v>103</v>
      </c>
      <c r="E447" s="7" t="s">
        <v>694</v>
      </c>
      <c r="F447" s="7" t="s">
        <v>695</v>
      </c>
    </row>
    <row r="448" spans="2:6">
      <c r="B448" s="7" t="s">
        <v>3</v>
      </c>
      <c r="C448" s="7" t="s">
        <v>50</v>
      </c>
      <c r="D448" s="7" t="s">
        <v>103</v>
      </c>
      <c r="E448" s="7" t="s">
        <v>664</v>
      </c>
      <c r="F448" s="7" t="s">
        <v>696</v>
      </c>
    </row>
    <row r="449" spans="2:6">
      <c r="B449" s="7" t="s">
        <v>3</v>
      </c>
      <c r="C449" s="7" t="s">
        <v>50</v>
      </c>
      <c r="D449" s="7" t="s">
        <v>103</v>
      </c>
      <c r="E449" s="7" t="s">
        <v>697</v>
      </c>
      <c r="F449" s="7" t="s">
        <v>698</v>
      </c>
    </row>
    <row r="450" spans="2:6">
      <c r="B450" s="7" t="s">
        <v>3</v>
      </c>
      <c r="C450" s="7" t="s">
        <v>50</v>
      </c>
      <c r="D450" s="7" t="s">
        <v>103</v>
      </c>
      <c r="E450" s="7" t="s">
        <v>699</v>
      </c>
      <c r="F450" s="7" t="s">
        <v>700</v>
      </c>
    </row>
    <row r="451" spans="2:6">
      <c r="B451" s="7" t="s">
        <v>3</v>
      </c>
      <c r="C451" s="7" t="s">
        <v>50</v>
      </c>
      <c r="D451" s="7" t="s">
        <v>103</v>
      </c>
      <c r="E451" s="7" t="s">
        <v>666</v>
      </c>
      <c r="F451" s="7" t="s">
        <v>701</v>
      </c>
    </row>
    <row r="452" spans="2:6">
      <c r="B452" s="7" t="s">
        <v>3</v>
      </c>
      <c r="C452" s="7" t="s">
        <v>50</v>
      </c>
      <c r="D452" s="7" t="s">
        <v>103</v>
      </c>
      <c r="E452" s="7" t="s">
        <v>662</v>
      </c>
      <c r="F452" s="7" t="s">
        <v>702</v>
      </c>
    </row>
    <row r="453" spans="2:6">
      <c r="B453" s="7" t="s">
        <v>3</v>
      </c>
      <c r="C453" s="7" t="s">
        <v>50</v>
      </c>
      <c r="D453" s="7" t="s">
        <v>103</v>
      </c>
      <c r="E453" s="7" t="s">
        <v>668</v>
      </c>
      <c r="F453" s="7" t="s">
        <v>703</v>
      </c>
    </row>
    <row r="454" spans="2:6">
      <c r="B454" s="7" t="s">
        <v>3</v>
      </c>
      <c r="C454" s="7" t="s">
        <v>50</v>
      </c>
      <c r="D454" s="7" t="s">
        <v>103</v>
      </c>
      <c r="E454" s="7" t="s">
        <v>704</v>
      </c>
      <c r="F454" s="7" t="s">
        <v>705</v>
      </c>
    </row>
    <row r="455" spans="2:6">
      <c r="B455" s="7" t="s">
        <v>3</v>
      </c>
      <c r="C455" s="7" t="s">
        <v>51</v>
      </c>
      <c r="D455" s="7" t="s">
        <v>102</v>
      </c>
      <c r="E455" s="7" t="s">
        <v>658</v>
      </c>
      <c r="F455" s="7" t="s">
        <v>706</v>
      </c>
    </row>
    <row r="456" spans="2:6">
      <c r="B456" s="7" t="s">
        <v>3</v>
      </c>
      <c r="C456" s="7" t="s">
        <v>51</v>
      </c>
      <c r="D456" s="7" t="s">
        <v>103</v>
      </c>
      <c r="E456" s="7" t="s">
        <v>707</v>
      </c>
      <c r="F456" s="7" t="s">
        <v>708</v>
      </c>
    </row>
    <row r="457" spans="2:6">
      <c r="B457" s="7" t="s">
        <v>3</v>
      </c>
      <c r="C457" s="7" t="s">
        <v>51</v>
      </c>
      <c r="D457" s="7" t="s">
        <v>103</v>
      </c>
      <c r="E457" s="7" t="s">
        <v>660</v>
      </c>
      <c r="F457" s="7" t="s">
        <v>709</v>
      </c>
    </row>
    <row r="458" spans="2:6">
      <c r="B458" s="7" t="s">
        <v>3</v>
      </c>
      <c r="C458" s="7" t="s">
        <v>51</v>
      </c>
      <c r="D458" s="7" t="s">
        <v>103</v>
      </c>
      <c r="E458" s="7" t="s">
        <v>690</v>
      </c>
      <c r="F458" s="7" t="s">
        <v>691</v>
      </c>
    </row>
    <row r="459" spans="2:6">
      <c r="B459" s="7" t="s">
        <v>3</v>
      </c>
      <c r="C459" s="7" t="s">
        <v>51</v>
      </c>
      <c r="D459" s="7" t="s">
        <v>103</v>
      </c>
      <c r="E459" s="7" t="s">
        <v>658</v>
      </c>
      <c r="F459" s="7" t="s">
        <v>710</v>
      </c>
    </row>
    <row r="460" spans="2:6">
      <c r="B460" s="7" t="s">
        <v>3</v>
      </c>
      <c r="C460" s="7" t="s">
        <v>52</v>
      </c>
      <c r="D460" s="7" t="s">
        <v>102</v>
      </c>
      <c r="E460" s="7" t="s">
        <v>656</v>
      </c>
      <c r="F460" s="7" t="s">
        <v>657</v>
      </c>
    </row>
    <row r="461" spans="2:6">
      <c r="B461" s="7" t="s">
        <v>3</v>
      </c>
      <c r="C461" s="7" t="s">
        <v>52</v>
      </c>
      <c r="D461" s="7" t="s">
        <v>102</v>
      </c>
      <c r="E461" s="7" t="s">
        <v>658</v>
      </c>
      <c r="F461" s="7" t="s">
        <v>711</v>
      </c>
    </row>
    <row r="462" spans="2:6">
      <c r="B462" s="7" t="s">
        <v>3</v>
      </c>
      <c r="C462" s="7" t="s">
        <v>52</v>
      </c>
      <c r="D462" s="7" t="s">
        <v>102</v>
      </c>
      <c r="E462" s="7" t="s">
        <v>660</v>
      </c>
      <c r="F462" s="7" t="s">
        <v>712</v>
      </c>
    </row>
    <row r="463" spans="2:6">
      <c r="B463" s="7" t="s">
        <v>3</v>
      </c>
      <c r="C463" s="7" t="s">
        <v>52</v>
      </c>
      <c r="D463" s="7" t="s">
        <v>102</v>
      </c>
      <c r="E463" s="7" t="s">
        <v>662</v>
      </c>
      <c r="F463" s="7" t="s">
        <v>663</v>
      </c>
    </row>
    <row r="464" spans="2:6">
      <c r="B464" s="7" t="s">
        <v>3</v>
      </c>
      <c r="C464" s="7" t="s">
        <v>52</v>
      </c>
      <c r="D464" s="7" t="s">
        <v>102</v>
      </c>
      <c r="E464" s="7" t="s">
        <v>664</v>
      </c>
      <c r="F464" s="7" t="s">
        <v>665</v>
      </c>
    </row>
    <row r="465" spans="2:6">
      <c r="B465" s="7" t="s">
        <v>3</v>
      </c>
      <c r="C465" s="7" t="s">
        <v>52</v>
      </c>
      <c r="D465" s="7" t="s">
        <v>102</v>
      </c>
      <c r="E465" s="7" t="s">
        <v>666</v>
      </c>
      <c r="F465" s="7" t="s">
        <v>713</v>
      </c>
    </row>
    <row r="466" spans="2:6">
      <c r="B466" s="7" t="s">
        <v>3</v>
      </c>
      <c r="C466" s="7" t="s">
        <v>52</v>
      </c>
      <c r="D466" s="7" t="s">
        <v>102</v>
      </c>
      <c r="E466" s="7" t="s">
        <v>668</v>
      </c>
      <c r="F466" s="7" t="s">
        <v>714</v>
      </c>
    </row>
    <row r="467" spans="2:6">
      <c r="B467" s="7" t="s">
        <v>3</v>
      </c>
      <c r="C467" s="7" t="s">
        <v>52</v>
      </c>
      <c r="D467" s="7" t="s">
        <v>102</v>
      </c>
      <c r="E467" s="7" t="s">
        <v>694</v>
      </c>
      <c r="F467" s="7" t="s">
        <v>715</v>
      </c>
    </row>
    <row r="468" spans="2:6">
      <c r="B468" s="7" t="s">
        <v>3</v>
      </c>
      <c r="C468" s="7" t="s">
        <v>52</v>
      </c>
      <c r="D468" s="7" t="s">
        <v>103</v>
      </c>
      <c r="E468" s="7" t="s">
        <v>5</v>
      </c>
      <c r="F468" s="7" t="s">
        <v>5</v>
      </c>
    </row>
    <row r="469" spans="2:6">
      <c r="B469" s="7" t="s">
        <v>3</v>
      </c>
      <c r="C469" s="7" t="s">
        <v>53</v>
      </c>
      <c r="D469" s="7" t="s">
        <v>102</v>
      </c>
      <c r="E469" s="7" t="s">
        <v>615</v>
      </c>
      <c r="F469" s="7" t="s">
        <v>716</v>
      </c>
    </row>
    <row r="470" spans="2:6">
      <c r="B470" s="7" t="s">
        <v>3</v>
      </c>
      <c r="C470" s="7" t="s">
        <v>53</v>
      </c>
      <c r="D470" s="7" t="s">
        <v>102</v>
      </c>
      <c r="E470" s="7" t="s">
        <v>506</v>
      </c>
      <c r="F470" s="7" t="s">
        <v>717</v>
      </c>
    </row>
    <row r="471" spans="2:6">
      <c r="B471" s="7" t="s">
        <v>3</v>
      </c>
      <c r="C471" s="7" t="s">
        <v>53</v>
      </c>
      <c r="D471" s="7" t="s">
        <v>102</v>
      </c>
      <c r="E471" s="7" t="s">
        <v>718</v>
      </c>
      <c r="F471" s="7" t="s">
        <v>719</v>
      </c>
    </row>
    <row r="472" spans="2:6">
      <c r="B472" s="7" t="s">
        <v>3</v>
      </c>
      <c r="C472" s="7" t="s">
        <v>53</v>
      </c>
      <c r="D472" s="7" t="s">
        <v>102</v>
      </c>
      <c r="E472" s="7" t="s">
        <v>606</v>
      </c>
      <c r="F472" s="7" t="s">
        <v>720</v>
      </c>
    </row>
    <row r="473" spans="2:6">
      <c r="B473" s="7" t="s">
        <v>3</v>
      </c>
      <c r="C473" s="7" t="s">
        <v>53</v>
      </c>
      <c r="D473" s="7" t="s">
        <v>102</v>
      </c>
      <c r="E473" s="7" t="s">
        <v>504</v>
      </c>
      <c r="F473" s="7" t="s">
        <v>721</v>
      </c>
    </row>
    <row r="474" spans="2:6">
      <c r="B474" s="7" t="s">
        <v>3</v>
      </c>
      <c r="C474" s="7" t="s">
        <v>53</v>
      </c>
      <c r="D474" s="7" t="s">
        <v>102</v>
      </c>
      <c r="E474" s="7" t="s">
        <v>609</v>
      </c>
      <c r="F474" s="7" t="s">
        <v>722</v>
      </c>
    </row>
    <row r="475" spans="2:6">
      <c r="B475" s="7" t="s">
        <v>3</v>
      </c>
      <c r="C475" s="7" t="s">
        <v>53</v>
      </c>
      <c r="D475" s="7" t="s">
        <v>102</v>
      </c>
      <c r="E475" s="7" t="s">
        <v>611</v>
      </c>
      <c r="F475" s="7" t="s">
        <v>723</v>
      </c>
    </row>
    <row r="476" spans="2:6">
      <c r="B476" s="7" t="s">
        <v>3</v>
      </c>
      <c r="C476" s="7" t="s">
        <v>53</v>
      </c>
      <c r="D476" s="7" t="s">
        <v>102</v>
      </c>
      <c r="E476" s="7" t="s">
        <v>613</v>
      </c>
      <c r="F476" s="7" t="s">
        <v>724</v>
      </c>
    </row>
    <row r="477" spans="2:6">
      <c r="B477" s="7" t="s">
        <v>3</v>
      </c>
      <c r="C477" s="7" t="s">
        <v>53</v>
      </c>
      <c r="D477" s="7" t="s">
        <v>102</v>
      </c>
      <c r="E477" s="7" t="s">
        <v>725</v>
      </c>
      <c r="F477" s="7" t="s">
        <v>726</v>
      </c>
    </row>
    <row r="478" spans="2:6">
      <c r="B478" s="7" t="s">
        <v>3</v>
      </c>
      <c r="C478" s="7" t="s">
        <v>53</v>
      </c>
      <c r="D478" s="7" t="s">
        <v>102</v>
      </c>
      <c r="E478" s="7" t="s">
        <v>727</v>
      </c>
      <c r="F478" s="7" t="s">
        <v>728</v>
      </c>
    </row>
    <row r="479" spans="2:6">
      <c r="B479" s="7" t="s">
        <v>3</v>
      </c>
      <c r="C479" s="7" t="s">
        <v>53</v>
      </c>
      <c r="D479" s="7" t="s">
        <v>102</v>
      </c>
      <c r="E479" s="7" t="s">
        <v>729</v>
      </c>
      <c r="F479" s="7" t="s">
        <v>730</v>
      </c>
    </row>
    <row r="480" spans="2:6">
      <c r="B480" s="7" t="s">
        <v>3</v>
      </c>
      <c r="C480" s="7" t="s">
        <v>53</v>
      </c>
      <c r="D480" s="7" t="s">
        <v>102</v>
      </c>
      <c r="E480" s="7" t="s">
        <v>731</v>
      </c>
      <c r="F480" s="7" t="s">
        <v>732</v>
      </c>
    </row>
    <row r="481" spans="2:6">
      <c r="B481" s="7" t="s">
        <v>3</v>
      </c>
      <c r="C481" s="7" t="s">
        <v>53</v>
      </c>
      <c r="D481" s="7" t="s">
        <v>102</v>
      </c>
      <c r="E481" s="7" t="s">
        <v>733</v>
      </c>
      <c r="F481" s="7" t="s">
        <v>734</v>
      </c>
    </row>
    <row r="482" spans="2:6">
      <c r="B482" s="7" t="s">
        <v>3</v>
      </c>
      <c r="C482" s="7" t="s">
        <v>53</v>
      </c>
      <c r="D482" s="7" t="s">
        <v>102</v>
      </c>
      <c r="E482" s="7" t="s">
        <v>735</v>
      </c>
      <c r="F482" s="7" t="s">
        <v>736</v>
      </c>
    </row>
    <row r="483" spans="2:6">
      <c r="B483" s="7" t="s">
        <v>3</v>
      </c>
      <c r="C483" s="7" t="s">
        <v>53</v>
      </c>
      <c r="D483" s="7" t="s">
        <v>102</v>
      </c>
      <c r="E483" s="7" t="s">
        <v>737</v>
      </c>
      <c r="F483" s="7" t="s">
        <v>738</v>
      </c>
    </row>
    <row r="484" spans="2:6">
      <c r="B484" s="7" t="s">
        <v>3</v>
      </c>
      <c r="C484" s="7" t="s">
        <v>53</v>
      </c>
      <c r="D484" s="7" t="s">
        <v>102</v>
      </c>
      <c r="E484" s="7" t="s">
        <v>487</v>
      </c>
      <c r="F484" s="7" t="s">
        <v>739</v>
      </c>
    </row>
    <row r="485" spans="2:6">
      <c r="B485" s="7" t="s">
        <v>3</v>
      </c>
      <c r="C485" s="7" t="s">
        <v>53</v>
      </c>
      <c r="D485" s="7" t="s">
        <v>102</v>
      </c>
      <c r="E485" s="7" t="s">
        <v>522</v>
      </c>
      <c r="F485" s="7" t="s">
        <v>740</v>
      </c>
    </row>
    <row r="486" spans="2:6">
      <c r="B486" s="7" t="s">
        <v>3</v>
      </c>
      <c r="C486" s="7" t="s">
        <v>53</v>
      </c>
      <c r="D486" s="7" t="s">
        <v>102</v>
      </c>
      <c r="E486" s="7" t="s">
        <v>475</v>
      </c>
      <c r="F486" s="7" t="s">
        <v>741</v>
      </c>
    </row>
    <row r="487" spans="2:6">
      <c r="B487" s="7" t="s">
        <v>3</v>
      </c>
      <c r="C487" s="7" t="s">
        <v>53</v>
      </c>
      <c r="D487" s="7" t="s">
        <v>102</v>
      </c>
      <c r="E487" s="7" t="s">
        <v>492</v>
      </c>
      <c r="F487" s="7" t="s">
        <v>742</v>
      </c>
    </row>
    <row r="488" spans="2:6">
      <c r="B488" s="7" t="s">
        <v>3</v>
      </c>
      <c r="C488" s="7" t="s">
        <v>53</v>
      </c>
      <c r="D488" s="7" t="s">
        <v>102</v>
      </c>
      <c r="E488" s="7" t="s">
        <v>588</v>
      </c>
      <c r="F488" s="7" t="s">
        <v>743</v>
      </c>
    </row>
    <row r="489" spans="2:6">
      <c r="B489" s="7" t="s">
        <v>3</v>
      </c>
      <c r="C489" s="7" t="s">
        <v>53</v>
      </c>
      <c r="D489" s="7" t="s">
        <v>102</v>
      </c>
      <c r="E489" s="7" t="s">
        <v>590</v>
      </c>
      <c r="F489" s="7" t="s">
        <v>744</v>
      </c>
    </row>
    <row r="490" spans="2:6">
      <c r="B490" s="7" t="s">
        <v>3</v>
      </c>
      <c r="C490" s="7" t="s">
        <v>53</v>
      </c>
      <c r="D490" s="7" t="s">
        <v>102</v>
      </c>
      <c r="E490" s="7" t="s">
        <v>745</v>
      </c>
      <c r="F490" s="7" t="s">
        <v>746</v>
      </c>
    </row>
    <row r="491" spans="2:6">
      <c r="B491" s="7" t="s">
        <v>3</v>
      </c>
      <c r="C491" s="7" t="s">
        <v>53</v>
      </c>
      <c r="D491" s="7" t="s">
        <v>103</v>
      </c>
      <c r="E491" s="7" t="s">
        <v>5</v>
      </c>
      <c r="F491" s="7" t="s">
        <v>5</v>
      </c>
    </row>
    <row r="492" spans="2:6">
      <c r="B492" s="7" t="s">
        <v>3</v>
      </c>
      <c r="C492" s="7" t="s">
        <v>54</v>
      </c>
      <c r="D492" s="7" t="s">
        <v>102</v>
      </c>
      <c r="E492" s="7" t="s">
        <v>747</v>
      </c>
      <c r="F492" s="7" t="s">
        <v>748</v>
      </c>
    </row>
    <row r="493" spans="2:6">
      <c r="B493" s="7" t="s">
        <v>3</v>
      </c>
      <c r="C493" s="7" t="s">
        <v>54</v>
      </c>
      <c r="D493" s="7" t="s">
        <v>102</v>
      </c>
      <c r="E493" s="7" t="s">
        <v>301</v>
      </c>
      <c r="F493" s="7" t="s">
        <v>263</v>
      </c>
    </row>
    <row r="494" spans="2:6">
      <c r="B494" s="7" t="s">
        <v>3</v>
      </c>
      <c r="C494" s="7" t="s">
        <v>54</v>
      </c>
      <c r="D494" s="7" t="s">
        <v>102</v>
      </c>
      <c r="E494" s="7" t="s">
        <v>749</v>
      </c>
      <c r="F494" s="7" t="s">
        <v>750</v>
      </c>
    </row>
    <row r="495" spans="2:6">
      <c r="B495" s="7" t="s">
        <v>3</v>
      </c>
      <c r="C495" s="7" t="s">
        <v>54</v>
      </c>
      <c r="D495" s="7" t="s">
        <v>102</v>
      </c>
      <c r="E495" s="7" t="s">
        <v>606</v>
      </c>
      <c r="F495" s="7" t="s">
        <v>751</v>
      </c>
    </row>
    <row r="496" spans="2:6">
      <c r="B496" s="7" t="s">
        <v>3</v>
      </c>
      <c r="C496" s="7" t="s">
        <v>54</v>
      </c>
      <c r="D496" s="7" t="s">
        <v>103</v>
      </c>
      <c r="E496" s="7" t="s">
        <v>752</v>
      </c>
      <c r="F496" s="7"/>
    </row>
    <row r="497" spans="2:6">
      <c r="B497" s="7" t="s">
        <v>3</v>
      </c>
      <c r="C497" s="7" t="s">
        <v>54</v>
      </c>
      <c r="D497" s="7" t="s">
        <v>103</v>
      </c>
      <c r="E497" s="7" t="s">
        <v>603</v>
      </c>
      <c r="F497" s="7" t="s">
        <v>753</v>
      </c>
    </row>
    <row r="498" spans="2:6">
      <c r="B498" s="7" t="s">
        <v>3</v>
      </c>
      <c r="C498" s="7" t="s">
        <v>54</v>
      </c>
      <c r="D498" s="7" t="s">
        <v>103</v>
      </c>
      <c r="E498" s="7" t="s">
        <v>613</v>
      </c>
      <c r="F498" s="7" t="s">
        <v>724</v>
      </c>
    </row>
    <row r="499" spans="2:6">
      <c r="B499" s="7" t="s">
        <v>3</v>
      </c>
      <c r="C499" s="7" t="s">
        <v>54</v>
      </c>
      <c r="D499" s="7" t="s">
        <v>103</v>
      </c>
      <c r="E499" s="7" t="s">
        <v>615</v>
      </c>
      <c r="F499" s="7" t="s">
        <v>754</v>
      </c>
    </row>
    <row r="500" spans="2:6">
      <c r="B500" s="7" t="s">
        <v>3</v>
      </c>
      <c r="C500" s="7" t="s">
        <v>54</v>
      </c>
      <c r="D500" s="7" t="s">
        <v>103</v>
      </c>
      <c r="E500" s="7" t="s">
        <v>506</v>
      </c>
      <c r="F500" s="7" t="s">
        <v>717</v>
      </c>
    </row>
    <row r="501" spans="2:6">
      <c r="B501" s="7" t="s">
        <v>3</v>
      </c>
      <c r="C501" s="7" t="s">
        <v>54</v>
      </c>
      <c r="D501" s="7" t="s">
        <v>103</v>
      </c>
      <c r="E501" s="7" t="s">
        <v>504</v>
      </c>
      <c r="F501" s="7" t="s">
        <v>721</v>
      </c>
    </row>
    <row r="502" spans="2:6">
      <c r="B502" s="7" t="s">
        <v>3</v>
      </c>
      <c r="C502" s="7" t="s">
        <v>54</v>
      </c>
      <c r="D502" s="7" t="s">
        <v>103</v>
      </c>
      <c r="E502" s="7" t="s">
        <v>609</v>
      </c>
      <c r="F502" s="7" t="s">
        <v>722</v>
      </c>
    </row>
    <row r="503" spans="2:6">
      <c r="B503" s="7" t="s">
        <v>3</v>
      </c>
      <c r="C503" s="7" t="s">
        <v>54</v>
      </c>
      <c r="D503" s="7" t="s">
        <v>103</v>
      </c>
      <c r="E503" s="7" t="s">
        <v>611</v>
      </c>
      <c r="F503" s="7" t="s">
        <v>723</v>
      </c>
    </row>
    <row r="504" spans="2:6">
      <c r="B504" s="7" t="s">
        <v>3</v>
      </c>
      <c r="C504" s="7" t="s">
        <v>54</v>
      </c>
      <c r="D504" s="7" t="s">
        <v>103</v>
      </c>
      <c r="E504" s="7" t="s">
        <v>725</v>
      </c>
      <c r="F504" s="7" t="s">
        <v>755</v>
      </c>
    </row>
    <row r="505" spans="2:6">
      <c r="B505" s="7" t="s">
        <v>3</v>
      </c>
      <c r="C505" s="7" t="s">
        <v>54</v>
      </c>
      <c r="D505" s="7" t="s">
        <v>103</v>
      </c>
      <c r="E505" s="7" t="s">
        <v>727</v>
      </c>
      <c r="F505" s="7" t="s">
        <v>756</v>
      </c>
    </row>
    <row r="506" spans="2:6">
      <c r="B506" s="7" t="s">
        <v>3</v>
      </c>
      <c r="C506" s="7" t="s">
        <v>54</v>
      </c>
      <c r="D506" s="7" t="s">
        <v>103</v>
      </c>
      <c r="E506" s="7" t="s">
        <v>729</v>
      </c>
      <c r="F506" s="7" t="s">
        <v>757</v>
      </c>
    </row>
    <row r="507" spans="2:6">
      <c r="B507" s="7" t="s">
        <v>3</v>
      </c>
      <c r="C507" s="7" t="s">
        <v>54</v>
      </c>
      <c r="D507" s="7" t="s">
        <v>103</v>
      </c>
      <c r="E507" s="7" t="s">
        <v>731</v>
      </c>
      <c r="F507" s="7" t="s">
        <v>758</v>
      </c>
    </row>
    <row r="508" spans="2:6">
      <c r="B508" s="7" t="s">
        <v>3</v>
      </c>
      <c r="C508" s="7" t="s">
        <v>54</v>
      </c>
      <c r="D508" s="7" t="s">
        <v>103</v>
      </c>
      <c r="E508" s="7" t="s">
        <v>759</v>
      </c>
      <c r="F508" s="7" t="s">
        <v>760</v>
      </c>
    </row>
    <row r="509" spans="2:6">
      <c r="B509" s="7" t="s">
        <v>3</v>
      </c>
      <c r="C509" s="7" t="s">
        <v>54</v>
      </c>
      <c r="D509" s="7" t="s">
        <v>103</v>
      </c>
      <c r="E509" s="7" t="s">
        <v>761</v>
      </c>
      <c r="F509" s="7" t="s">
        <v>762</v>
      </c>
    </row>
    <row r="510" spans="2:6">
      <c r="B510" s="7" t="s">
        <v>3</v>
      </c>
      <c r="C510" s="7" t="s">
        <v>54</v>
      </c>
      <c r="D510" s="7" t="s">
        <v>103</v>
      </c>
      <c r="E510" s="7" t="s">
        <v>763</v>
      </c>
      <c r="F510" s="7" t="s">
        <v>764</v>
      </c>
    </row>
    <row r="511" spans="2:6">
      <c r="B511" s="7" t="s">
        <v>3</v>
      </c>
      <c r="C511" s="7" t="s">
        <v>54</v>
      </c>
      <c r="D511" s="7" t="s">
        <v>103</v>
      </c>
      <c r="E511" s="7" t="s">
        <v>617</v>
      </c>
      <c r="F511" s="7" t="s">
        <v>765</v>
      </c>
    </row>
    <row r="512" spans="2:6">
      <c r="B512" s="7" t="s">
        <v>3</v>
      </c>
      <c r="C512" s="7" t="s">
        <v>54</v>
      </c>
      <c r="D512" s="7" t="s">
        <v>103</v>
      </c>
      <c r="E512" s="7" t="s">
        <v>733</v>
      </c>
      <c r="F512" s="7" t="s">
        <v>766</v>
      </c>
    </row>
    <row r="513" spans="2:6">
      <c r="B513" s="7" t="s">
        <v>3</v>
      </c>
      <c r="C513" s="7" t="s">
        <v>54</v>
      </c>
      <c r="D513" s="7" t="s">
        <v>103</v>
      </c>
      <c r="E513" s="7" t="s">
        <v>735</v>
      </c>
      <c r="F513" s="7" t="s">
        <v>767</v>
      </c>
    </row>
    <row r="514" spans="2:6">
      <c r="B514" s="7" t="s">
        <v>3</v>
      </c>
      <c r="C514" s="7" t="s">
        <v>54</v>
      </c>
      <c r="D514" s="7" t="s">
        <v>103</v>
      </c>
      <c r="E514" s="7" t="s">
        <v>737</v>
      </c>
      <c r="F514" s="7" t="s">
        <v>768</v>
      </c>
    </row>
    <row r="515" spans="2:6">
      <c r="B515" s="7" t="s">
        <v>3</v>
      </c>
      <c r="C515" s="7" t="s">
        <v>54</v>
      </c>
      <c r="D515" s="7" t="s">
        <v>103</v>
      </c>
      <c r="E515" s="7" t="s">
        <v>487</v>
      </c>
      <c r="F515" s="7" t="s">
        <v>739</v>
      </c>
    </row>
    <row r="516" spans="2:6">
      <c r="B516" s="7" t="s">
        <v>3</v>
      </c>
      <c r="C516" s="7" t="s">
        <v>54</v>
      </c>
      <c r="D516" s="7" t="s">
        <v>103</v>
      </c>
      <c r="E516" s="7" t="s">
        <v>522</v>
      </c>
      <c r="F516" s="7" t="s">
        <v>740</v>
      </c>
    </row>
    <row r="517" spans="2:6">
      <c r="B517" s="7" t="s">
        <v>3</v>
      </c>
      <c r="C517" s="7" t="s">
        <v>54</v>
      </c>
      <c r="D517" s="7" t="s">
        <v>103</v>
      </c>
      <c r="E517" s="7" t="s">
        <v>475</v>
      </c>
      <c r="F517" s="7" t="s">
        <v>769</v>
      </c>
    </row>
    <row r="518" spans="2:6">
      <c r="B518" s="7" t="s">
        <v>3</v>
      </c>
      <c r="C518" s="7" t="s">
        <v>54</v>
      </c>
      <c r="D518" s="7" t="s">
        <v>103</v>
      </c>
      <c r="E518" s="7" t="s">
        <v>492</v>
      </c>
      <c r="F518" s="7" t="s">
        <v>742</v>
      </c>
    </row>
    <row r="519" spans="2:6">
      <c r="B519" s="7" t="s">
        <v>3</v>
      </c>
      <c r="C519" s="7" t="s">
        <v>54</v>
      </c>
      <c r="D519" s="7" t="s">
        <v>103</v>
      </c>
      <c r="E519" s="7" t="s">
        <v>590</v>
      </c>
      <c r="F519" s="7" t="s">
        <v>744</v>
      </c>
    </row>
    <row r="520" spans="2:6">
      <c r="B520" s="7" t="s">
        <v>3</v>
      </c>
      <c r="C520" s="7" t="s">
        <v>54</v>
      </c>
      <c r="D520" s="7" t="s">
        <v>103</v>
      </c>
      <c r="E520" s="7" t="s">
        <v>588</v>
      </c>
      <c r="F520" s="7" t="s">
        <v>743</v>
      </c>
    </row>
    <row r="521" spans="2:6">
      <c r="B521" s="7" t="s">
        <v>3</v>
      </c>
      <c r="C521" s="7" t="s">
        <v>54</v>
      </c>
      <c r="D521" s="7" t="s">
        <v>103</v>
      </c>
      <c r="E521" s="7" t="s">
        <v>770</v>
      </c>
      <c r="F521" s="7" t="s">
        <v>771</v>
      </c>
    </row>
    <row r="522" spans="2:6">
      <c r="B522" s="7" t="s">
        <v>3</v>
      </c>
      <c r="C522" s="7" t="s">
        <v>54</v>
      </c>
      <c r="D522" s="7" t="s">
        <v>103</v>
      </c>
      <c r="E522" s="7" t="s">
        <v>772</v>
      </c>
      <c r="F522" s="7" t="s">
        <v>773</v>
      </c>
    </row>
    <row r="523" spans="2:6">
      <c r="B523" s="7" t="s">
        <v>3</v>
      </c>
      <c r="C523" s="7" t="s">
        <v>54</v>
      </c>
      <c r="D523" s="7" t="s">
        <v>103</v>
      </c>
      <c r="E523" s="7" t="s">
        <v>136</v>
      </c>
      <c r="F523" s="7" t="s">
        <v>774</v>
      </c>
    </row>
    <row r="524" spans="2:6">
      <c r="B524" s="7" t="s">
        <v>3</v>
      </c>
      <c r="C524" s="7" t="s">
        <v>55</v>
      </c>
      <c r="D524" s="7" t="s">
        <v>102</v>
      </c>
      <c r="E524" s="7" t="s">
        <v>775</v>
      </c>
      <c r="F524" s="7" t="s">
        <v>776</v>
      </c>
    </row>
    <row r="525" spans="2:6">
      <c r="B525" s="7" t="s">
        <v>3</v>
      </c>
      <c r="C525" s="7" t="s">
        <v>55</v>
      </c>
      <c r="D525" s="7" t="s">
        <v>103</v>
      </c>
      <c r="E525" s="7" t="s">
        <v>777</v>
      </c>
      <c r="F525" s="7" t="s">
        <v>778</v>
      </c>
    </row>
    <row r="526" spans="2:6">
      <c r="B526" s="7" t="s">
        <v>3</v>
      </c>
      <c r="C526" s="7" t="s">
        <v>55</v>
      </c>
      <c r="D526" s="7" t="s">
        <v>103</v>
      </c>
      <c r="E526" s="7" t="s">
        <v>779</v>
      </c>
      <c r="F526" s="7" t="s">
        <v>780</v>
      </c>
    </row>
    <row r="527" spans="2:6">
      <c r="B527" s="7" t="s">
        <v>3</v>
      </c>
      <c r="C527" s="7" t="s">
        <v>55</v>
      </c>
      <c r="D527" s="7" t="s">
        <v>103</v>
      </c>
      <c r="E527" s="7" t="s">
        <v>781</v>
      </c>
      <c r="F527" s="7" t="s">
        <v>782</v>
      </c>
    </row>
    <row r="528" spans="2:6">
      <c r="B528" s="7" t="s">
        <v>3</v>
      </c>
      <c r="C528" s="7" t="s">
        <v>55</v>
      </c>
      <c r="D528" s="7" t="s">
        <v>103</v>
      </c>
      <c r="E528" s="7" t="s">
        <v>783</v>
      </c>
      <c r="F528" s="7" t="s">
        <v>784</v>
      </c>
    </row>
    <row r="529" spans="2:6">
      <c r="B529" s="7" t="s">
        <v>3</v>
      </c>
      <c r="C529" s="7" t="s">
        <v>55</v>
      </c>
      <c r="D529" s="7" t="s">
        <v>103</v>
      </c>
      <c r="E529" s="7" t="s">
        <v>785</v>
      </c>
      <c r="F529" s="7" t="s">
        <v>786</v>
      </c>
    </row>
    <row r="530" spans="2:6">
      <c r="B530" s="7" t="s">
        <v>3</v>
      </c>
      <c r="C530" s="7" t="s">
        <v>56</v>
      </c>
      <c r="D530" s="7" t="s">
        <v>102</v>
      </c>
      <c r="E530" s="7" t="s">
        <v>126</v>
      </c>
      <c r="F530" s="7" t="s">
        <v>787</v>
      </c>
    </row>
    <row r="531" spans="2:6">
      <c r="B531" s="7" t="s">
        <v>3</v>
      </c>
      <c r="C531" s="7" t="s">
        <v>56</v>
      </c>
      <c r="D531" s="7" t="s">
        <v>102</v>
      </c>
      <c r="E531" s="7" t="s">
        <v>788</v>
      </c>
      <c r="F531" s="7" t="s">
        <v>789</v>
      </c>
    </row>
    <row r="532" spans="2:6">
      <c r="B532" s="7" t="s">
        <v>3</v>
      </c>
      <c r="C532" s="7" t="s">
        <v>56</v>
      </c>
      <c r="D532" s="7" t="s">
        <v>103</v>
      </c>
      <c r="E532" s="7" t="s">
        <v>790</v>
      </c>
      <c r="F532" s="7" t="s">
        <v>791</v>
      </c>
    </row>
    <row r="533" spans="2:6">
      <c r="B533" s="7" t="s">
        <v>3</v>
      </c>
      <c r="C533" s="7" t="s">
        <v>56</v>
      </c>
      <c r="D533" s="7" t="s">
        <v>103</v>
      </c>
      <c r="E533" s="7" t="s">
        <v>792</v>
      </c>
      <c r="F533" s="7" t="s">
        <v>793</v>
      </c>
    </row>
    <row r="534" spans="2:6">
      <c r="B534" s="7" t="s">
        <v>3</v>
      </c>
      <c r="C534" s="7" t="s">
        <v>56</v>
      </c>
      <c r="D534" s="7" t="s">
        <v>103</v>
      </c>
      <c r="E534" s="7" t="s">
        <v>794</v>
      </c>
      <c r="F534" s="7" t="s">
        <v>795</v>
      </c>
    </row>
    <row r="535" spans="2:6">
      <c r="B535" s="7" t="s">
        <v>3</v>
      </c>
      <c r="C535" s="7" t="s">
        <v>57</v>
      </c>
      <c r="D535" s="7" t="s">
        <v>102</v>
      </c>
      <c r="E535" s="7" t="s">
        <v>5</v>
      </c>
      <c r="F535" s="7" t="s">
        <v>5</v>
      </c>
    </row>
    <row r="536" spans="2:6">
      <c r="B536" s="7" t="s">
        <v>3</v>
      </c>
      <c r="C536" s="7" t="s">
        <v>57</v>
      </c>
      <c r="D536" s="7" t="s">
        <v>103</v>
      </c>
      <c r="E536" s="7" t="s">
        <v>796</v>
      </c>
      <c r="F536" s="7" t="s">
        <v>797</v>
      </c>
    </row>
    <row r="537" spans="2:6">
      <c r="B537" s="7" t="s">
        <v>3</v>
      </c>
      <c r="C537" s="7" t="s">
        <v>57</v>
      </c>
      <c r="D537" s="7" t="s">
        <v>103</v>
      </c>
      <c r="E537" s="7" t="s">
        <v>798</v>
      </c>
      <c r="F537" s="7" t="s">
        <v>799</v>
      </c>
    </row>
    <row r="538" spans="2:6">
      <c r="B538" s="7" t="s">
        <v>3</v>
      </c>
      <c r="C538" s="7" t="s">
        <v>57</v>
      </c>
      <c r="D538" s="7" t="s">
        <v>103</v>
      </c>
      <c r="E538" s="7" t="s">
        <v>800</v>
      </c>
      <c r="F538" s="7" t="s">
        <v>801</v>
      </c>
    </row>
    <row r="539" spans="2:6">
      <c r="B539" s="7" t="s">
        <v>3</v>
      </c>
      <c r="C539" s="7" t="s">
        <v>58</v>
      </c>
      <c r="D539" s="7" t="s">
        <v>102</v>
      </c>
      <c r="E539" s="7" t="s">
        <v>126</v>
      </c>
      <c r="F539" s="7" t="s">
        <v>802</v>
      </c>
    </row>
    <row r="540" spans="2:6">
      <c r="B540" s="7" t="s">
        <v>3</v>
      </c>
      <c r="C540" s="7" t="s">
        <v>58</v>
      </c>
      <c r="D540" s="7" t="s">
        <v>102</v>
      </c>
      <c r="E540" s="7" t="s">
        <v>803</v>
      </c>
      <c r="F540" s="7" t="s">
        <v>804</v>
      </c>
    </row>
    <row r="541" spans="2:6">
      <c r="B541" s="7" t="s">
        <v>3</v>
      </c>
      <c r="C541" s="7" t="s">
        <v>58</v>
      </c>
      <c r="D541" s="7" t="s">
        <v>102</v>
      </c>
      <c r="E541" s="7" t="s">
        <v>603</v>
      </c>
      <c r="F541" s="7" t="s">
        <v>753</v>
      </c>
    </row>
    <row r="542" spans="2:6">
      <c r="B542" s="7" t="s">
        <v>3</v>
      </c>
      <c r="C542" s="7" t="s">
        <v>58</v>
      </c>
      <c r="D542" s="7" t="s">
        <v>102</v>
      </c>
      <c r="E542" s="7" t="s">
        <v>805</v>
      </c>
      <c r="F542" s="7" t="s">
        <v>762</v>
      </c>
    </row>
    <row r="543" spans="2:6">
      <c r="B543" s="7" t="s">
        <v>3</v>
      </c>
      <c r="C543" s="7" t="s">
        <v>58</v>
      </c>
      <c r="D543" s="7" t="s">
        <v>102</v>
      </c>
      <c r="E543" s="7" t="s">
        <v>806</v>
      </c>
      <c r="F543" s="7" t="s">
        <v>764</v>
      </c>
    </row>
    <row r="544" spans="2:6">
      <c r="B544" s="7" t="s">
        <v>3</v>
      </c>
      <c r="C544" s="7" t="s">
        <v>58</v>
      </c>
      <c r="D544" s="7" t="s">
        <v>102</v>
      </c>
      <c r="E544" s="7" t="s">
        <v>613</v>
      </c>
      <c r="F544" s="7" t="s">
        <v>724</v>
      </c>
    </row>
    <row r="545" spans="2:6">
      <c r="B545" s="7" t="s">
        <v>3</v>
      </c>
      <c r="C545" s="7" t="s">
        <v>58</v>
      </c>
      <c r="D545" s="7" t="s">
        <v>102</v>
      </c>
      <c r="E545" s="7" t="s">
        <v>798</v>
      </c>
      <c r="F545" s="7" t="s">
        <v>807</v>
      </c>
    </row>
    <row r="546" spans="2:6">
      <c r="B546" s="7" t="s">
        <v>3</v>
      </c>
      <c r="C546" s="7" t="s">
        <v>58</v>
      </c>
      <c r="D546" s="7" t="s">
        <v>102</v>
      </c>
      <c r="E546" s="7" t="s">
        <v>792</v>
      </c>
      <c r="F546" s="7" t="s">
        <v>808</v>
      </c>
    </row>
    <row r="547" spans="2:6">
      <c r="B547" s="7" t="s">
        <v>3</v>
      </c>
      <c r="C547" s="7" t="s">
        <v>58</v>
      </c>
      <c r="D547" s="7" t="s">
        <v>103</v>
      </c>
      <c r="E547" s="7" t="s">
        <v>311</v>
      </c>
      <c r="F547" s="7" t="s">
        <v>809</v>
      </c>
    </row>
    <row r="548" spans="2:6">
      <c r="B548" s="7" t="s">
        <v>3</v>
      </c>
      <c r="C548" s="7" t="s">
        <v>59</v>
      </c>
      <c r="D548" s="7" t="s">
        <v>102</v>
      </c>
      <c r="E548" s="7" t="s">
        <v>5</v>
      </c>
      <c r="F548" s="7" t="s">
        <v>5</v>
      </c>
    </row>
    <row r="549" spans="2:6">
      <c r="B549" s="7" t="s">
        <v>3</v>
      </c>
      <c r="C549" s="7" t="s">
        <v>59</v>
      </c>
      <c r="D549" s="7" t="s">
        <v>103</v>
      </c>
      <c r="E549" s="7" t="s">
        <v>810</v>
      </c>
      <c r="F549" s="7" t="s">
        <v>811</v>
      </c>
    </row>
    <row r="550" spans="2:6">
      <c r="B550" s="7" t="s">
        <v>3</v>
      </c>
      <c r="C550" s="7" t="s">
        <v>59</v>
      </c>
      <c r="D550" s="7" t="s">
        <v>103</v>
      </c>
      <c r="E550" s="7" t="s">
        <v>805</v>
      </c>
      <c r="F550" s="7" t="s">
        <v>812</v>
      </c>
    </row>
    <row r="551" spans="2:6">
      <c r="B551" s="7" t="s">
        <v>3</v>
      </c>
      <c r="C551" s="7" t="s">
        <v>59</v>
      </c>
      <c r="D551" s="7" t="s">
        <v>103</v>
      </c>
      <c r="E551" s="7" t="s">
        <v>806</v>
      </c>
      <c r="F551" s="7" t="s">
        <v>813</v>
      </c>
    </row>
    <row r="552" spans="2:6">
      <c r="B552" s="7" t="s">
        <v>3</v>
      </c>
      <c r="C552" s="7" t="s">
        <v>59</v>
      </c>
      <c r="D552" s="7" t="s">
        <v>103</v>
      </c>
      <c r="E552" s="7" t="s">
        <v>506</v>
      </c>
      <c r="F552" s="7" t="s">
        <v>814</v>
      </c>
    </row>
    <row r="553" spans="2:6">
      <c r="B553" s="7" t="s">
        <v>3</v>
      </c>
      <c r="C553" s="7" t="s">
        <v>59</v>
      </c>
      <c r="D553" s="7" t="s">
        <v>103</v>
      </c>
      <c r="E553" s="7" t="s">
        <v>504</v>
      </c>
      <c r="F553" s="7" t="s">
        <v>815</v>
      </c>
    </row>
    <row r="554" spans="2:6">
      <c r="B554" s="7" t="s">
        <v>3</v>
      </c>
      <c r="C554" s="7" t="s">
        <v>59</v>
      </c>
      <c r="D554" s="7" t="s">
        <v>103</v>
      </c>
      <c r="E554" s="7" t="s">
        <v>816</v>
      </c>
      <c r="F554" s="7" t="s">
        <v>817</v>
      </c>
    </row>
    <row r="555" spans="2:6">
      <c r="B555" s="7" t="s">
        <v>3</v>
      </c>
      <c r="C555" s="7" t="s">
        <v>60</v>
      </c>
      <c r="D555" s="7" t="s">
        <v>102</v>
      </c>
      <c r="E555" s="7" t="s">
        <v>506</v>
      </c>
      <c r="F555" s="7" t="s">
        <v>814</v>
      </c>
    </row>
    <row r="556" spans="2:6">
      <c r="B556" s="7" t="s">
        <v>3</v>
      </c>
      <c r="C556" s="7" t="s">
        <v>60</v>
      </c>
      <c r="D556" s="7" t="s">
        <v>102</v>
      </c>
      <c r="E556" s="7" t="s">
        <v>805</v>
      </c>
      <c r="F556" s="7" t="s">
        <v>812</v>
      </c>
    </row>
    <row r="557" spans="2:6">
      <c r="B557" s="7" t="s">
        <v>3</v>
      </c>
      <c r="C557" s="7" t="s">
        <v>60</v>
      </c>
      <c r="D557" s="7" t="s">
        <v>102</v>
      </c>
      <c r="E557" s="7" t="s">
        <v>806</v>
      </c>
      <c r="F557" s="7" t="s">
        <v>813</v>
      </c>
    </row>
    <row r="558" spans="2:6">
      <c r="B558" s="7" t="s">
        <v>3</v>
      </c>
      <c r="C558" s="7" t="s">
        <v>60</v>
      </c>
      <c r="D558" s="7" t="s">
        <v>102</v>
      </c>
      <c r="E558" s="7" t="s">
        <v>504</v>
      </c>
      <c r="F558" s="7" t="s">
        <v>815</v>
      </c>
    </row>
    <row r="559" spans="2:6">
      <c r="B559" s="7" t="s">
        <v>3</v>
      </c>
      <c r="C559" s="7" t="s">
        <v>60</v>
      </c>
      <c r="D559" s="7" t="s">
        <v>103</v>
      </c>
      <c r="E559" s="7" t="s">
        <v>816</v>
      </c>
      <c r="F559" s="7" t="s">
        <v>818</v>
      </c>
    </row>
    <row r="560" spans="2:6">
      <c r="B560" s="7" t="s">
        <v>3</v>
      </c>
      <c r="C560" s="7" t="s">
        <v>61</v>
      </c>
      <c r="D560" s="7" t="s">
        <v>102</v>
      </c>
      <c r="E560" s="7" t="s">
        <v>305</v>
      </c>
      <c r="F560" s="7" t="s">
        <v>819</v>
      </c>
    </row>
    <row r="561" spans="2:6">
      <c r="B561" s="7" t="s">
        <v>3</v>
      </c>
      <c r="C561" s="7" t="s">
        <v>61</v>
      </c>
      <c r="D561" s="7" t="s">
        <v>102</v>
      </c>
      <c r="E561" s="7" t="s">
        <v>658</v>
      </c>
      <c r="F561" s="7" t="s">
        <v>820</v>
      </c>
    </row>
    <row r="562" spans="2:6">
      <c r="B562" s="7" t="s">
        <v>3</v>
      </c>
      <c r="C562" s="7" t="s">
        <v>61</v>
      </c>
      <c r="D562" s="7" t="s">
        <v>102</v>
      </c>
      <c r="E562" s="7" t="s">
        <v>821</v>
      </c>
      <c r="F562" s="7" t="s">
        <v>822</v>
      </c>
    </row>
    <row r="563" spans="2:6">
      <c r="B563" s="7" t="s">
        <v>3</v>
      </c>
      <c r="C563" s="7" t="s">
        <v>61</v>
      </c>
      <c r="D563" s="7" t="s">
        <v>102</v>
      </c>
      <c r="E563" s="7" t="s">
        <v>823</v>
      </c>
      <c r="F563" s="7" t="s">
        <v>824</v>
      </c>
    </row>
    <row r="564" spans="2:6">
      <c r="B564" s="7" t="s">
        <v>3</v>
      </c>
      <c r="C564" s="7" t="s">
        <v>61</v>
      </c>
      <c r="D564" s="7" t="s">
        <v>103</v>
      </c>
      <c r="E564" s="7" t="s">
        <v>5</v>
      </c>
      <c r="F564" s="7" t="s">
        <v>5</v>
      </c>
    </row>
    <row r="565" spans="2:6">
      <c r="B565" s="7" t="s">
        <v>3</v>
      </c>
      <c r="C565" s="7" t="s">
        <v>62</v>
      </c>
      <c r="D565" s="7" t="s">
        <v>102</v>
      </c>
      <c r="E565" s="7" t="s">
        <v>5</v>
      </c>
      <c r="F565" s="7" t="s">
        <v>5</v>
      </c>
    </row>
    <row r="566" spans="2:6">
      <c r="B566" s="7" t="s">
        <v>3</v>
      </c>
      <c r="C566" s="7" t="s">
        <v>62</v>
      </c>
      <c r="D566" s="7" t="s">
        <v>103</v>
      </c>
      <c r="E566" s="7" t="s">
        <v>825</v>
      </c>
      <c r="F566" s="7" t="s">
        <v>826</v>
      </c>
    </row>
    <row r="567" spans="2:6">
      <c r="B567" s="7" t="s">
        <v>3</v>
      </c>
      <c r="C567" s="7" t="s">
        <v>62</v>
      </c>
      <c r="D567" s="7" t="s">
        <v>103</v>
      </c>
      <c r="E567" s="7" t="s">
        <v>827</v>
      </c>
      <c r="F567" s="7" t="s">
        <v>828</v>
      </c>
    </row>
    <row r="568" spans="2:6">
      <c r="B568" s="7" t="s">
        <v>3</v>
      </c>
      <c r="C568" s="7" t="s">
        <v>62</v>
      </c>
      <c r="D568" s="7" t="s">
        <v>103</v>
      </c>
      <c r="E568" s="7" t="s">
        <v>829</v>
      </c>
      <c r="F568" s="7" t="s">
        <v>830</v>
      </c>
    </row>
    <row r="569" spans="2:6">
      <c r="B569" s="7" t="s">
        <v>3</v>
      </c>
      <c r="C569" s="7" t="s">
        <v>62</v>
      </c>
      <c r="D569" s="7" t="s">
        <v>103</v>
      </c>
      <c r="E569" s="7" t="s">
        <v>311</v>
      </c>
      <c r="F569" s="7" t="s">
        <v>831</v>
      </c>
    </row>
    <row r="570" spans="2:6">
      <c r="B570" s="7" t="s">
        <v>3</v>
      </c>
      <c r="C570" s="7" t="s">
        <v>62</v>
      </c>
      <c r="D570" s="7" t="s">
        <v>103</v>
      </c>
      <c r="E570" s="7" t="s">
        <v>832</v>
      </c>
      <c r="F570" s="7" t="s">
        <v>833</v>
      </c>
    </row>
    <row r="571" spans="2:6">
      <c r="B571" s="7" t="s">
        <v>3</v>
      </c>
      <c r="C571" s="7" t="s">
        <v>62</v>
      </c>
      <c r="D571" s="7" t="s">
        <v>103</v>
      </c>
      <c r="E571" s="7" t="s">
        <v>834</v>
      </c>
      <c r="F571" s="7" t="s">
        <v>835</v>
      </c>
    </row>
    <row r="572" spans="2:6">
      <c r="B572" s="7" t="s">
        <v>3</v>
      </c>
      <c r="C572" s="7" t="s">
        <v>62</v>
      </c>
      <c r="D572" s="7" t="s">
        <v>103</v>
      </c>
      <c r="E572" s="7" t="s">
        <v>836</v>
      </c>
      <c r="F572" s="7" t="s">
        <v>837</v>
      </c>
    </row>
    <row r="573" spans="2:6">
      <c r="B573" s="7" t="s">
        <v>3</v>
      </c>
      <c r="C573" s="7" t="s">
        <v>62</v>
      </c>
      <c r="D573" s="7" t="s">
        <v>103</v>
      </c>
      <c r="E573" s="7" t="s">
        <v>838</v>
      </c>
      <c r="F573" s="7" t="s">
        <v>839</v>
      </c>
    </row>
    <row r="574" spans="2:6">
      <c r="B574" s="7" t="s">
        <v>3</v>
      </c>
      <c r="C574" s="7" t="s">
        <v>63</v>
      </c>
      <c r="D574" s="7" t="s">
        <v>102</v>
      </c>
      <c r="E574" s="7" t="s">
        <v>5</v>
      </c>
      <c r="F574" s="7" t="s">
        <v>5</v>
      </c>
    </row>
    <row r="575" spans="2:6">
      <c r="B575" s="7" t="s">
        <v>3</v>
      </c>
      <c r="C575" s="7" t="s">
        <v>63</v>
      </c>
      <c r="D575" s="7" t="s">
        <v>103</v>
      </c>
      <c r="E575" s="7" t="s">
        <v>840</v>
      </c>
      <c r="F575" s="7" t="s">
        <v>841</v>
      </c>
    </row>
    <row r="576" spans="2:6">
      <c r="B576" s="7" t="s">
        <v>3</v>
      </c>
      <c r="C576" s="7" t="s">
        <v>63</v>
      </c>
      <c r="D576" s="7" t="s">
        <v>103</v>
      </c>
      <c r="E576" s="7" t="s">
        <v>842</v>
      </c>
      <c r="F576" s="7" t="s">
        <v>843</v>
      </c>
    </row>
    <row r="577" spans="2:6">
      <c r="B577" s="7" t="s">
        <v>3</v>
      </c>
      <c r="C577" s="7" t="s">
        <v>63</v>
      </c>
      <c r="D577" s="7" t="s">
        <v>103</v>
      </c>
      <c r="E577" s="7" t="s">
        <v>844</v>
      </c>
      <c r="F577" s="7" t="s">
        <v>845</v>
      </c>
    </row>
    <row r="578" spans="2:6">
      <c r="B578" s="7" t="s">
        <v>3</v>
      </c>
      <c r="C578" s="7" t="s">
        <v>63</v>
      </c>
      <c r="D578" s="7" t="s">
        <v>103</v>
      </c>
      <c r="E578" s="7" t="s">
        <v>846</v>
      </c>
      <c r="F578" s="7" t="s">
        <v>847</v>
      </c>
    </row>
    <row r="579" spans="2:6">
      <c r="B579" s="7" t="s">
        <v>3</v>
      </c>
      <c r="C579" s="7" t="s">
        <v>64</v>
      </c>
      <c r="D579" s="7" t="s">
        <v>102</v>
      </c>
      <c r="E579" s="7" t="s">
        <v>5</v>
      </c>
      <c r="F579" s="7" t="s">
        <v>5</v>
      </c>
    </row>
    <row r="580" spans="2:6">
      <c r="B580" s="7" t="s">
        <v>3</v>
      </c>
      <c r="C580" s="7" t="s">
        <v>64</v>
      </c>
      <c r="D580" s="7" t="s">
        <v>103</v>
      </c>
      <c r="E580" s="7" t="s">
        <v>848</v>
      </c>
      <c r="F580" s="7" t="s">
        <v>849</v>
      </c>
    </row>
    <row r="581" spans="2:6">
      <c r="B581" s="7" t="s">
        <v>3</v>
      </c>
      <c r="C581" s="7" t="s">
        <v>64</v>
      </c>
      <c r="D581" s="7" t="s">
        <v>103</v>
      </c>
      <c r="E581" s="7" t="s">
        <v>850</v>
      </c>
      <c r="F581" s="7" t="s">
        <v>851</v>
      </c>
    </row>
    <row r="582" spans="2:6">
      <c r="B582" s="7" t="s">
        <v>3</v>
      </c>
      <c r="C582" s="7" t="s">
        <v>64</v>
      </c>
      <c r="D582" s="7" t="s">
        <v>103</v>
      </c>
      <c r="E582" s="7" t="s">
        <v>852</v>
      </c>
      <c r="F582" s="7" t="s">
        <v>853</v>
      </c>
    </row>
    <row r="583" spans="2:6">
      <c r="B583" s="7" t="s">
        <v>3</v>
      </c>
      <c r="C583" s="7" t="s">
        <v>64</v>
      </c>
      <c r="D583" s="7" t="s">
        <v>103</v>
      </c>
      <c r="E583" s="7" t="s">
        <v>673</v>
      </c>
      <c r="F583" s="7" t="s">
        <v>854</v>
      </c>
    </row>
    <row r="584" spans="2:6">
      <c r="B584" s="7" t="s">
        <v>3</v>
      </c>
      <c r="C584" s="7" t="s">
        <v>64</v>
      </c>
      <c r="D584" s="7" t="s">
        <v>103</v>
      </c>
      <c r="E584" s="7" t="s">
        <v>658</v>
      </c>
      <c r="F584" s="7" t="s">
        <v>675</v>
      </c>
    </row>
    <row r="585" spans="2:6">
      <c r="B585" s="7" t="s">
        <v>3</v>
      </c>
      <c r="C585" s="7" t="s">
        <v>64</v>
      </c>
      <c r="D585" s="7" t="s">
        <v>103</v>
      </c>
      <c r="E585" s="7" t="s">
        <v>855</v>
      </c>
      <c r="F585" s="7" t="s">
        <v>856</v>
      </c>
    </row>
    <row r="586" spans="2:6">
      <c r="B586" s="7" t="s">
        <v>3</v>
      </c>
      <c r="C586" s="7" t="s">
        <v>65</v>
      </c>
      <c r="D586" s="7" t="s">
        <v>102</v>
      </c>
      <c r="E586" s="7" t="s">
        <v>5</v>
      </c>
      <c r="F586" s="7" t="s">
        <v>5</v>
      </c>
    </row>
    <row r="587" spans="2:6">
      <c r="B587" s="7" t="s">
        <v>3</v>
      </c>
      <c r="C587" s="7" t="s">
        <v>65</v>
      </c>
      <c r="D587" s="7" t="s">
        <v>103</v>
      </c>
      <c r="E587" s="7" t="s">
        <v>857</v>
      </c>
      <c r="F587" s="7" t="s">
        <v>858</v>
      </c>
    </row>
    <row r="588" spans="2:6">
      <c r="B588" s="7" t="s">
        <v>3</v>
      </c>
      <c r="C588" s="7" t="s">
        <v>65</v>
      </c>
      <c r="D588" s="7" t="s">
        <v>103</v>
      </c>
      <c r="E588" s="7" t="s">
        <v>673</v>
      </c>
      <c r="F588" s="7" t="s">
        <v>854</v>
      </c>
    </row>
    <row r="589" spans="2:6">
      <c r="B589" s="7" t="s">
        <v>3</v>
      </c>
      <c r="C589" s="7" t="s">
        <v>65</v>
      </c>
      <c r="D589" s="7" t="s">
        <v>103</v>
      </c>
      <c r="E589" s="7" t="s">
        <v>658</v>
      </c>
      <c r="F589" s="7" t="s">
        <v>675</v>
      </c>
    </row>
    <row r="590" spans="2:6">
      <c r="B590" s="7" t="s">
        <v>3</v>
      </c>
      <c r="C590" s="7" t="s">
        <v>66</v>
      </c>
      <c r="D590" s="7" t="s">
        <v>102</v>
      </c>
      <c r="E590" s="7" t="s">
        <v>842</v>
      </c>
      <c r="F590" s="7" t="s">
        <v>859</v>
      </c>
    </row>
    <row r="591" spans="2:6">
      <c r="B591" s="7" t="s">
        <v>3</v>
      </c>
      <c r="C591" s="7" t="s">
        <v>66</v>
      </c>
      <c r="D591" s="7" t="s">
        <v>103</v>
      </c>
      <c r="E591" s="7" t="s">
        <v>860</v>
      </c>
      <c r="F591" s="7" t="s">
        <v>861</v>
      </c>
    </row>
    <row r="592" spans="2:6">
      <c r="B592" s="7" t="s">
        <v>3</v>
      </c>
      <c r="C592" s="7" t="s">
        <v>66</v>
      </c>
      <c r="D592" s="7" t="s">
        <v>103</v>
      </c>
      <c r="E592" s="7" t="s">
        <v>862</v>
      </c>
      <c r="F592" s="7" t="s">
        <v>863</v>
      </c>
    </row>
    <row r="593" spans="2:6">
      <c r="B593" s="7" t="s">
        <v>3</v>
      </c>
      <c r="C593" s="7" t="s">
        <v>66</v>
      </c>
      <c r="D593" s="7" t="s">
        <v>103</v>
      </c>
      <c r="E593" s="7" t="s">
        <v>864</v>
      </c>
      <c r="F593" s="7" t="s">
        <v>820</v>
      </c>
    </row>
    <row r="594" spans="2:6">
      <c r="B594" s="7" t="s">
        <v>3</v>
      </c>
      <c r="C594" s="7" t="s">
        <v>66</v>
      </c>
      <c r="D594" s="7" t="s">
        <v>103</v>
      </c>
      <c r="E594" s="7" t="s">
        <v>673</v>
      </c>
      <c r="F594" s="7" t="s">
        <v>865</v>
      </c>
    </row>
    <row r="595" spans="2:6">
      <c r="B595" s="7" t="s">
        <v>3</v>
      </c>
      <c r="C595" s="7" t="s">
        <v>66</v>
      </c>
      <c r="D595" s="7" t="s">
        <v>103</v>
      </c>
      <c r="E595" s="7" t="s">
        <v>842</v>
      </c>
      <c r="F595" s="7" t="s">
        <v>859</v>
      </c>
    </row>
    <row r="596" spans="2:6">
      <c r="B596" s="7" t="s">
        <v>3</v>
      </c>
      <c r="C596" s="7" t="s">
        <v>66</v>
      </c>
      <c r="D596" s="7" t="s">
        <v>103</v>
      </c>
      <c r="E596" s="7" t="s">
        <v>844</v>
      </c>
      <c r="F596" s="7" t="s">
        <v>866</v>
      </c>
    </row>
    <row r="597" spans="2:6">
      <c r="B597" s="7" t="s">
        <v>3</v>
      </c>
      <c r="C597" s="7" t="s">
        <v>67</v>
      </c>
      <c r="D597" s="7" t="s">
        <v>102</v>
      </c>
      <c r="E597" s="7" t="s">
        <v>842</v>
      </c>
      <c r="F597" s="7" t="s">
        <v>843</v>
      </c>
    </row>
    <row r="598" spans="2:6">
      <c r="B598" s="7" t="s">
        <v>3</v>
      </c>
      <c r="C598" s="7" t="s">
        <v>67</v>
      </c>
      <c r="D598" s="7" t="s">
        <v>102</v>
      </c>
      <c r="E598" s="7" t="s">
        <v>658</v>
      </c>
      <c r="F598" s="7" t="s">
        <v>867</v>
      </c>
    </row>
    <row r="599" spans="2:6">
      <c r="B599" s="7" t="s">
        <v>3</v>
      </c>
      <c r="C599" s="7" t="s">
        <v>67</v>
      </c>
      <c r="D599" s="7" t="s">
        <v>102</v>
      </c>
      <c r="E599" s="7" t="s">
        <v>305</v>
      </c>
      <c r="F599" s="7" t="s">
        <v>868</v>
      </c>
    </row>
    <row r="600" spans="2:6">
      <c r="B600" s="7" t="s">
        <v>3</v>
      </c>
      <c r="C600" s="7" t="s">
        <v>67</v>
      </c>
      <c r="D600" s="7" t="s">
        <v>102</v>
      </c>
      <c r="E600" s="7" t="s">
        <v>869</v>
      </c>
      <c r="F600" s="7" t="s">
        <v>870</v>
      </c>
    </row>
    <row r="601" spans="2:6">
      <c r="B601" s="7" t="s">
        <v>3</v>
      </c>
      <c r="C601" s="7" t="s">
        <v>67</v>
      </c>
      <c r="D601" s="7" t="s">
        <v>102</v>
      </c>
      <c r="E601" s="7" t="s">
        <v>871</v>
      </c>
      <c r="F601" s="7" t="s">
        <v>872</v>
      </c>
    </row>
    <row r="602" spans="2:6">
      <c r="B602" s="7" t="s">
        <v>3</v>
      </c>
      <c r="C602" s="7" t="s">
        <v>67</v>
      </c>
      <c r="D602" s="7" t="s">
        <v>103</v>
      </c>
      <c r="E602" s="7" t="s">
        <v>873</v>
      </c>
      <c r="F602" s="7" t="s">
        <v>874</v>
      </c>
    </row>
    <row r="603" spans="2:6">
      <c r="B603" s="7" t="s">
        <v>3</v>
      </c>
      <c r="C603" s="7" t="s">
        <v>67</v>
      </c>
      <c r="D603" s="7" t="s">
        <v>103</v>
      </c>
      <c r="E603" s="7" t="s">
        <v>875</v>
      </c>
      <c r="F603" s="7" t="s">
        <v>876</v>
      </c>
    </row>
    <row r="604" spans="2:6">
      <c r="B604" s="7" t="s">
        <v>3</v>
      </c>
      <c r="C604" s="7" t="s">
        <v>67</v>
      </c>
      <c r="D604" s="7" t="s">
        <v>103</v>
      </c>
      <c r="E604" s="7" t="s">
        <v>658</v>
      </c>
      <c r="F604" s="7" t="s">
        <v>820</v>
      </c>
    </row>
    <row r="605" spans="2:6">
      <c r="B605" s="7" t="s">
        <v>3</v>
      </c>
      <c r="C605" s="7" t="s">
        <v>67</v>
      </c>
      <c r="D605" s="7" t="s">
        <v>103</v>
      </c>
      <c r="E605" s="7" t="s">
        <v>673</v>
      </c>
      <c r="F605" s="7" t="s">
        <v>865</v>
      </c>
    </row>
    <row r="606" spans="2:6">
      <c r="B606" s="7" t="s">
        <v>3</v>
      </c>
      <c r="C606" s="7" t="s">
        <v>67</v>
      </c>
      <c r="D606" s="7" t="s">
        <v>103</v>
      </c>
      <c r="E606" s="7" t="s">
        <v>317</v>
      </c>
      <c r="F606" s="7" t="s">
        <v>877</v>
      </c>
    </row>
    <row r="607" spans="2:6">
      <c r="B607" s="7" t="s">
        <v>3</v>
      </c>
      <c r="C607" s="7" t="s">
        <v>67</v>
      </c>
      <c r="D607" s="7" t="s">
        <v>103</v>
      </c>
      <c r="E607" s="7" t="s">
        <v>319</v>
      </c>
      <c r="F607" s="7" t="s">
        <v>878</v>
      </c>
    </row>
    <row r="608" spans="2:6">
      <c r="B608" s="7" t="s">
        <v>3</v>
      </c>
      <c r="C608" s="7" t="s">
        <v>67</v>
      </c>
      <c r="D608" s="7" t="s">
        <v>103</v>
      </c>
      <c r="E608" s="7" t="s">
        <v>879</v>
      </c>
      <c r="F608" s="7" t="s">
        <v>880</v>
      </c>
    </row>
    <row r="609" spans="2:6">
      <c r="B609" s="7" t="s">
        <v>3</v>
      </c>
      <c r="C609" s="7" t="s">
        <v>67</v>
      </c>
      <c r="D609" s="7" t="s">
        <v>103</v>
      </c>
      <c r="E609" s="7" t="s">
        <v>331</v>
      </c>
      <c r="F609" s="7" t="s">
        <v>881</v>
      </c>
    </row>
    <row r="610" spans="2:6">
      <c r="B610" s="7" t="s">
        <v>3</v>
      </c>
      <c r="C610" s="7" t="s">
        <v>67</v>
      </c>
      <c r="D610" s="7" t="s">
        <v>103</v>
      </c>
      <c r="E610" s="7" t="s">
        <v>882</v>
      </c>
      <c r="F610" s="7" t="s">
        <v>883</v>
      </c>
    </row>
    <row r="611" spans="2:6">
      <c r="B611" s="7" t="s">
        <v>3</v>
      </c>
      <c r="C611" s="7" t="s">
        <v>67</v>
      </c>
      <c r="D611" s="7" t="s">
        <v>103</v>
      </c>
      <c r="E611" s="7" t="s">
        <v>305</v>
      </c>
      <c r="F611" s="7" t="s">
        <v>884</v>
      </c>
    </row>
    <row r="612" spans="2:6">
      <c r="B612" s="7" t="s">
        <v>3</v>
      </c>
      <c r="C612" s="7" t="s">
        <v>67</v>
      </c>
      <c r="D612" s="7" t="s">
        <v>103</v>
      </c>
      <c r="E612" s="7" t="s">
        <v>821</v>
      </c>
      <c r="F612" s="7" t="s">
        <v>885</v>
      </c>
    </row>
    <row r="613" spans="2:6">
      <c r="B613" s="7" t="s">
        <v>3</v>
      </c>
      <c r="C613" s="7" t="s">
        <v>67</v>
      </c>
      <c r="D613" s="7" t="s">
        <v>103</v>
      </c>
      <c r="E613" s="7" t="s">
        <v>823</v>
      </c>
      <c r="F613" s="7" t="s">
        <v>886</v>
      </c>
    </row>
    <row r="614" spans="2:6">
      <c r="B614" s="7" t="s">
        <v>3</v>
      </c>
      <c r="C614" s="7" t="s">
        <v>68</v>
      </c>
      <c r="D614" s="7" t="s">
        <v>102</v>
      </c>
      <c r="E614" s="7" t="s">
        <v>887</v>
      </c>
      <c r="F614" s="7" t="s">
        <v>888</v>
      </c>
    </row>
    <row r="615" spans="2:6">
      <c r="B615" s="7" t="s">
        <v>3</v>
      </c>
      <c r="C615" s="7" t="s">
        <v>68</v>
      </c>
      <c r="D615" s="7" t="s">
        <v>103</v>
      </c>
      <c r="E615" s="7" t="s">
        <v>889</v>
      </c>
      <c r="F615" s="7" t="s">
        <v>890</v>
      </c>
    </row>
    <row r="616" spans="2:6">
      <c r="B616" s="7" t="s">
        <v>3</v>
      </c>
      <c r="C616" s="7" t="s">
        <v>69</v>
      </c>
      <c r="D616" s="7" t="s">
        <v>102</v>
      </c>
      <c r="E616" s="7" t="s">
        <v>615</v>
      </c>
      <c r="F616" s="7" t="s">
        <v>754</v>
      </c>
    </row>
    <row r="617" spans="2:6">
      <c r="B617" s="7" t="s">
        <v>3</v>
      </c>
      <c r="C617" s="7" t="s">
        <v>69</v>
      </c>
      <c r="D617" s="7" t="s">
        <v>102</v>
      </c>
      <c r="E617" s="7" t="s">
        <v>887</v>
      </c>
      <c r="F617" s="7" t="s">
        <v>888</v>
      </c>
    </row>
    <row r="618" spans="2:6">
      <c r="B618" s="7" t="s">
        <v>3</v>
      </c>
      <c r="C618" s="7" t="s">
        <v>69</v>
      </c>
      <c r="D618" s="7" t="s">
        <v>102</v>
      </c>
      <c r="E618" s="7" t="s">
        <v>617</v>
      </c>
      <c r="F618" s="7" t="s">
        <v>891</v>
      </c>
    </row>
    <row r="619" spans="2:6">
      <c r="B619" s="7" t="s">
        <v>3</v>
      </c>
      <c r="C619" s="7" t="s">
        <v>69</v>
      </c>
      <c r="D619" s="7" t="s">
        <v>103</v>
      </c>
      <c r="E619" s="7" t="s">
        <v>892</v>
      </c>
      <c r="F619" s="7" t="s">
        <v>893</v>
      </c>
    </row>
    <row r="620" spans="2:6">
      <c r="B620" s="7" t="s">
        <v>3</v>
      </c>
      <c r="C620" s="7" t="s">
        <v>69</v>
      </c>
      <c r="D620" s="7" t="s">
        <v>103</v>
      </c>
      <c r="E620" s="7" t="s">
        <v>894</v>
      </c>
      <c r="F620" s="7" t="s">
        <v>895</v>
      </c>
    </row>
    <row r="621" spans="2:6">
      <c r="B621" s="7" t="s">
        <v>3</v>
      </c>
      <c r="C621" s="7" t="s">
        <v>69</v>
      </c>
      <c r="D621" s="7" t="s">
        <v>103</v>
      </c>
      <c r="E621" s="7" t="s">
        <v>896</v>
      </c>
      <c r="F621" s="7" t="s">
        <v>897</v>
      </c>
    </row>
    <row r="622" spans="2:6">
      <c r="B622" s="7" t="s">
        <v>3</v>
      </c>
      <c r="C622" s="7" t="s">
        <v>70</v>
      </c>
      <c r="D622" s="7" t="s">
        <v>102</v>
      </c>
      <c r="E622" s="7" t="s">
        <v>5</v>
      </c>
      <c r="F622" s="7" t="s">
        <v>5</v>
      </c>
    </row>
    <row r="623" spans="2:6">
      <c r="B623" s="7" t="s">
        <v>3</v>
      </c>
      <c r="C623" s="7" t="s">
        <v>70</v>
      </c>
      <c r="D623" s="7" t="s">
        <v>103</v>
      </c>
      <c r="E623" s="7" t="s">
        <v>898</v>
      </c>
      <c r="F623" s="7" t="s">
        <v>899</v>
      </c>
    </row>
    <row r="624" spans="2:6">
      <c r="B624" s="7" t="s">
        <v>3</v>
      </c>
      <c r="C624" s="7" t="s">
        <v>70</v>
      </c>
      <c r="D624" s="7" t="s">
        <v>103</v>
      </c>
      <c r="E624" s="7" t="s">
        <v>900</v>
      </c>
      <c r="F624" s="7" t="s">
        <v>901</v>
      </c>
    </row>
    <row r="625" spans="2:6">
      <c r="B625" s="7" t="s">
        <v>3</v>
      </c>
      <c r="C625" s="7" t="s">
        <v>70</v>
      </c>
      <c r="D625" s="7" t="s">
        <v>103</v>
      </c>
      <c r="E625" s="7" t="s">
        <v>894</v>
      </c>
      <c r="F625" s="7" t="s">
        <v>902</v>
      </c>
    </row>
    <row r="626" spans="2:6">
      <c r="B626" s="7" t="s">
        <v>3</v>
      </c>
      <c r="C626" s="7" t="s">
        <v>71</v>
      </c>
      <c r="D626" s="7" t="s">
        <v>102</v>
      </c>
      <c r="E626" s="7" t="s">
        <v>5</v>
      </c>
      <c r="F626" s="7" t="s">
        <v>5</v>
      </c>
    </row>
    <row r="627" spans="2:6">
      <c r="B627" s="7" t="s">
        <v>3</v>
      </c>
      <c r="C627" s="7" t="s">
        <v>71</v>
      </c>
      <c r="D627" s="7" t="s">
        <v>103</v>
      </c>
      <c r="E627" s="7" t="s">
        <v>903</v>
      </c>
      <c r="F627" s="7" t="s">
        <v>904</v>
      </c>
    </row>
    <row r="628" spans="2:6">
      <c r="B628" s="7" t="s">
        <v>3</v>
      </c>
      <c r="C628" s="7" t="s">
        <v>71</v>
      </c>
      <c r="D628" s="7" t="s">
        <v>103</v>
      </c>
      <c r="E628" s="7" t="s">
        <v>905</v>
      </c>
      <c r="F628" s="7" t="s">
        <v>906</v>
      </c>
    </row>
    <row r="629" spans="2:6">
      <c r="B629" s="7" t="s">
        <v>3</v>
      </c>
      <c r="C629" s="7" t="s">
        <v>71</v>
      </c>
      <c r="D629" s="7" t="s">
        <v>103</v>
      </c>
      <c r="E629" s="7" t="s">
        <v>907</v>
      </c>
      <c r="F629" s="7" t="s">
        <v>908</v>
      </c>
    </row>
    <row r="630" spans="2:6">
      <c r="B630" s="7" t="s">
        <v>3</v>
      </c>
      <c r="C630" s="7" t="s">
        <v>72</v>
      </c>
      <c r="D630" s="7" t="s">
        <v>102</v>
      </c>
      <c r="E630" s="7" t="s">
        <v>301</v>
      </c>
      <c r="F630" s="7" t="s">
        <v>909</v>
      </c>
    </row>
    <row r="631" spans="2:6">
      <c r="B631" s="7" t="s">
        <v>3</v>
      </c>
      <c r="C631" s="7" t="s">
        <v>72</v>
      </c>
      <c r="D631" s="7" t="s">
        <v>102</v>
      </c>
      <c r="E631" s="7" t="s">
        <v>126</v>
      </c>
      <c r="F631" s="7" t="s">
        <v>910</v>
      </c>
    </row>
    <row r="632" spans="2:6">
      <c r="B632" s="7" t="s">
        <v>3</v>
      </c>
      <c r="C632" s="7" t="s">
        <v>72</v>
      </c>
      <c r="D632" s="7" t="s">
        <v>102</v>
      </c>
      <c r="E632" s="7" t="s">
        <v>150</v>
      </c>
      <c r="F632" s="7" t="s">
        <v>911</v>
      </c>
    </row>
    <row r="633" spans="2:6">
      <c r="B633" s="7" t="s">
        <v>3</v>
      </c>
      <c r="C633" s="7" t="s">
        <v>72</v>
      </c>
      <c r="D633" s="7" t="s">
        <v>102</v>
      </c>
      <c r="E633" s="7" t="s">
        <v>912</v>
      </c>
      <c r="F633" s="7" t="s">
        <v>913</v>
      </c>
    </row>
    <row r="634" spans="2:6">
      <c r="B634" s="7" t="s">
        <v>3</v>
      </c>
      <c r="C634" s="7" t="s">
        <v>72</v>
      </c>
      <c r="D634" s="7" t="s">
        <v>102</v>
      </c>
      <c r="E634" s="7" t="s">
        <v>232</v>
      </c>
      <c r="F634" s="7" t="s">
        <v>914</v>
      </c>
    </row>
    <row r="635" spans="2:6">
      <c r="B635" s="7" t="s">
        <v>3</v>
      </c>
      <c r="C635" s="7" t="s">
        <v>72</v>
      </c>
      <c r="D635" s="7" t="s">
        <v>102</v>
      </c>
      <c r="E635" s="7" t="s">
        <v>915</v>
      </c>
      <c r="F635" s="7" t="s">
        <v>916</v>
      </c>
    </row>
    <row r="636" spans="2:6">
      <c r="B636" s="7" t="s">
        <v>3</v>
      </c>
      <c r="C636" s="7" t="s">
        <v>72</v>
      </c>
      <c r="D636" s="7" t="s">
        <v>102</v>
      </c>
      <c r="E636" s="7" t="s">
        <v>917</v>
      </c>
      <c r="F636" s="7" t="s">
        <v>918</v>
      </c>
    </row>
    <row r="637" spans="2:6">
      <c r="B637" s="7" t="s">
        <v>3</v>
      </c>
      <c r="C637" s="7" t="s">
        <v>72</v>
      </c>
      <c r="D637" s="7" t="s">
        <v>102</v>
      </c>
      <c r="E637" s="7" t="s">
        <v>919</v>
      </c>
      <c r="F637" s="7" t="s">
        <v>920</v>
      </c>
    </row>
    <row r="638" spans="2:6">
      <c r="B638" s="7" t="s">
        <v>3</v>
      </c>
      <c r="C638" s="7" t="s">
        <v>72</v>
      </c>
      <c r="D638" s="7" t="s">
        <v>102</v>
      </c>
      <c r="E638" s="7" t="s">
        <v>230</v>
      </c>
      <c r="F638" s="7" t="s">
        <v>921</v>
      </c>
    </row>
    <row r="639" spans="2:6">
      <c r="B639" s="7" t="s">
        <v>3</v>
      </c>
      <c r="C639" s="7" t="s">
        <v>72</v>
      </c>
      <c r="D639" s="7" t="s">
        <v>103</v>
      </c>
      <c r="E639" s="7" t="s">
        <v>922</v>
      </c>
      <c r="F639" s="7" t="s">
        <v>923</v>
      </c>
    </row>
    <row r="640" spans="2:6">
      <c r="B640" s="7" t="s">
        <v>3</v>
      </c>
      <c r="C640" s="7" t="s">
        <v>73</v>
      </c>
      <c r="D640" s="7" t="s">
        <v>102</v>
      </c>
      <c r="E640" s="7" t="s">
        <v>5</v>
      </c>
      <c r="F640" s="7" t="s">
        <v>5</v>
      </c>
    </row>
    <row r="641" spans="2:6">
      <c r="B641" s="7" t="s">
        <v>3</v>
      </c>
      <c r="C641" s="7" t="s">
        <v>73</v>
      </c>
      <c r="D641" s="7" t="s">
        <v>103</v>
      </c>
      <c r="E641" s="7" t="s">
        <v>924</v>
      </c>
      <c r="F641" s="7" t="s">
        <v>925</v>
      </c>
    </row>
    <row r="642" spans="2:6">
      <c r="B642" s="7" t="s">
        <v>3</v>
      </c>
      <c r="C642" s="7" t="s">
        <v>73</v>
      </c>
      <c r="D642" s="7" t="s">
        <v>103</v>
      </c>
      <c r="E642" s="7" t="s">
        <v>301</v>
      </c>
      <c r="F642" s="7" t="s">
        <v>926</v>
      </c>
    </row>
    <row r="643" spans="2:6">
      <c r="B643" s="7" t="s">
        <v>3</v>
      </c>
      <c r="C643" s="7" t="s">
        <v>73</v>
      </c>
      <c r="D643" s="7" t="s">
        <v>103</v>
      </c>
      <c r="E643" s="7" t="s">
        <v>126</v>
      </c>
      <c r="F643" s="7" t="s">
        <v>927</v>
      </c>
    </row>
    <row r="644" spans="2:6">
      <c r="B644" s="7" t="s">
        <v>3</v>
      </c>
      <c r="C644" s="7" t="s">
        <v>73</v>
      </c>
      <c r="D644" s="7" t="s">
        <v>103</v>
      </c>
      <c r="E644" s="7" t="s">
        <v>917</v>
      </c>
      <c r="F644" s="7" t="s">
        <v>928</v>
      </c>
    </row>
    <row r="645" spans="2:6">
      <c r="B645" s="7" t="s">
        <v>3</v>
      </c>
      <c r="C645" s="7" t="s">
        <v>73</v>
      </c>
      <c r="D645" s="7" t="s">
        <v>103</v>
      </c>
      <c r="E645" s="7" t="s">
        <v>912</v>
      </c>
      <c r="F645" s="7" t="s">
        <v>929</v>
      </c>
    </row>
    <row r="646" spans="2:6">
      <c r="B646" s="7" t="s">
        <v>3</v>
      </c>
      <c r="C646" s="7" t="s">
        <v>73</v>
      </c>
      <c r="D646" s="7" t="s">
        <v>103</v>
      </c>
      <c r="E646" s="7" t="s">
        <v>805</v>
      </c>
      <c r="F646" s="7" t="s">
        <v>930</v>
      </c>
    </row>
    <row r="647" spans="2:6">
      <c r="B647" s="7" t="s">
        <v>3</v>
      </c>
      <c r="C647" s="7" t="s">
        <v>73</v>
      </c>
      <c r="D647" s="7" t="s">
        <v>103</v>
      </c>
      <c r="E647" s="7" t="s">
        <v>922</v>
      </c>
      <c r="F647" s="7" t="s">
        <v>931</v>
      </c>
    </row>
    <row r="648" spans="2:6">
      <c r="B648" s="7" t="s">
        <v>3</v>
      </c>
      <c r="C648" s="7" t="s">
        <v>73</v>
      </c>
      <c r="D648" s="7" t="s">
        <v>103</v>
      </c>
      <c r="E648" s="7" t="s">
        <v>915</v>
      </c>
      <c r="F648" s="7" t="s">
        <v>932</v>
      </c>
    </row>
    <row r="649" spans="2:6">
      <c r="B649" s="7" t="s">
        <v>3</v>
      </c>
      <c r="C649" s="7" t="s">
        <v>73</v>
      </c>
      <c r="D649" s="7" t="s">
        <v>103</v>
      </c>
      <c r="E649" s="7" t="s">
        <v>806</v>
      </c>
      <c r="F649" s="7" t="s">
        <v>813</v>
      </c>
    </row>
    <row r="650" spans="2:6">
      <c r="B650" s="7" t="s">
        <v>3</v>
      </c>
      <c r="C650" s="7" t="s">
        <v>73</v>
      </c>
      <c r="D650" s="7" t="s">
        <v>103</v>
      </c>
      <c r="E650" s="7" t="s">
        <v>150</v>
      </c>
      <c r="F650" s="7" t="s">
        <v>933</v>
      </c>
    </row>
    <row r="651" spans="2:6">
      <c r="B651" s="7" t="s">
        <v>3</v>
      </c>
      <c r="C651" s="7" t="s">
        <v>73</v>
      </c>
      <c r="D651" s="7" t="s">
        <v>103</v>
      </c>
      <c r="E651" s="7" t="s">
        <v>919</v>
      </c>
      <c r="F651" s="7" t="s">
        <v>934</v>
      </c>
    </row>
    <row r="652" spans="2:6">
      <c r="B652" s="7" t="s">
        <v>3</v>
      </c>
      <c r="C652" s="7" t="s">
        <v>73</v>
      </c>
      <c r="D652" s="7" t="s">
        <v>103</v>
      </c>
      <c r="E652" s="7" t="s">
        <v>230</v>
      </c>
      <c r="F652" s="7" t="s">
        <v>935</v>
      </c>
    </row>
    <row r="653" spans="2:6">
      <c r="B653" s="7" t="s">
        <v>3</v>
      </c>
      <c r="C653" s="7" t="s">
        <v>73</v>
      </c>
      <c r="D653" s="7" t="s">
        <v>103</v>
      </c>
      <c r="E653" s="7" t="s">
        <v>232</v>
      </c>
      <c r="F653" s="7" t="s">
        <v>936</v>
      </c>
    </row>
    <row r="654" spans="2:6">
      <c r="B654" s="7" t="s">
        <v>3</v>
      </c>
      <c r="C654" s="7" t="s">
        <v>73</v>
      </c>
      <c r="D654" s="7" t="s">
        <v>103</v>
      </c>
      <c r="E654" s="7" t="s">
        <v>132</v>
      </c>
      <c r="F654" s="7" t="s">
        <v>937</v>
      </c>
    </row>
    <row r="655" spans="2:6">
      <c r="B655" s="7" t="s">
        <v>3</v>
      </c>
      <c r="C655" s="7" t="s">
        <v>73</v>
      </c>
      <c r="D655" s="7" t="s">
        <v>103</v>
      </c>
      <c r="E655" s="7" t="s">
        <v>938</v>
      </c>
      <c r="F655" s="7" t="s">
        <v>939</v>
      </c>
    </row>
    <row r="656" spans="2:6">
      <c r="B656" s="7" t="s">
        <v>3</v>
      </c>
      <c r="C656" s="7" t="s">
        <v>74</v>
      </c>
      <c r="D656" s="7" t="s">
        <v>102</v>
      </c>
      <c r="E656" s="7" t="s">
        <v>887</v>
      </c>
      <c r="F656" s="7" t="s">
        <v>940</v>
      </c>
    </row>
    <row r="657" spans="2:6">
      <c r="B657" s="7" t="s">
        <v>3</v>
      </c>
      <c r="C657" s="7" t="s">
        <v>74</v>
      </c>
      <c r="D657" s="7" t="s">
        <v>102</v>
      </c>
      <c r="E657" s="7" t="s">
        <v>617</v>
      </c>
      <c r="F657" s="7" t="s">
        <v>941</v>
      </c>
    </row>
    <row r="658" spans="2:6">
      <c r="B658" s="7" t="s">
        <v>3</v>
      </c>
      <c r="C658" s="7" t="s">
        <v>74</v>
      </c>
      <c r="D658" s="7" t="s">
        <v>103</v>
      </c>
      <c r="E658" s="7" t="s">
        <v>5</v>
      </c>
      <c r="F658" s="7" t="s">
        <v>5</v>
      </c>
    </row>
    <row r="659" spans="2:6">
      <c r="B659" s="7" t="s">
        <v>3</v>
      </c>
      <c r="C659" s="7" t="s">
        <v>75</v>
      </c>
      <c r="D659" s="7" t="s">
        <v>102</v>
      </c>
      <c r="E659" s="7" t="s">
        <v>942</v>
      </c>
      <c r="F659" s="7" t="s">
        <v>943</v>
      </c>
    </row>
    <row r="660" spans="2:6">
      <c r="B660" s="7" t="s">
        <v>3</v>
      </c>
      <c r="C660" s="7" t="s">
        <v>75</v>
      </c>
      <c r="D660" s="7" t="s">
        <v>102</v>
      </c>
      <c r="E660" s="7" t="s">
        <v>944</v>
      </c>
      <c r="F660" s="7" t="s">
        <v>945</v>
      </c>
    </row>
    <row r="661" spans="2:6">
      <c r="B661" s="7" t="s">
        <v>3</v>
      </c>
      <c r="C661" s="7" t="s">
        <v>75</v>
      </c>
      <c r="D661" s="7" t="s">
        <v>102</v>
      </c>
      <c r="E661" s="7" t="s">
        <v>946</v>
      </c>
      <c r="F661" s="7" t="s">
        <v>947</v>
      </c>
    </row>
    <row r="662" spans="2:6">
      <c r="B662" s="7" t="s">
        <v>3</v>
      </c>
      <c r="C662" s="7" t="s">
        <v>75</v>
      </c>
      <c r="D662" s="7" t="s">
        <v>103</v>
      </c>
      <c r="E662" s="7" t="s">
        <v>948</v>
      </c>
      <c r="F662" s="7" t="s">
        <v>949</v>
      </c>
    </row>
    <row r="663" spans="2:6">
      <c r="B663" s="7" t="s">
        <v>3</v>
      </c>
      <c r="C663" s="7" t="s">
        <v>75</v>
      </c>
      <c r="D663" s="7" t="s">
        <v>103</v>
      </c>
      <c r="E663" s="7" t="s">
        <v>950</v>
      </c>
      <c r="F663" s="7" t="s">
        <v>951</v>
      </c>
    </row>
    <row r="664" spans="2:6">
      <c r="B664" s="7" t="s">
        <v>3</v>
      </c>
      <c r="C664" s="7" t="s">
        <v>75</v>
      </c>
      <c r="D664" s="7" t="s">
        <v>103</v>
      </c>
      <c r="E664" s="7" t="s">
        <v>952</v>
      </c>
      <c r="F664" s="7" t="s">
        <v>953</v>
      </c>
    </row>
    <row r="665" spans="2:6">
      <c r="B665" s="7" t="s">
        <v>3</v>
      </c>
      <c r="C665" s="7" t="s">
        <v>75</v>
      </c>
      <c r="D665" s="7" t="s">
        <v>103</v>
      </c>
      <c r="E665" s="7" t="s">
        <v>954</v>
      </c>
      <c r="F665" s="7" t="s">
        <v>955</v>
      </c>
    </row>
    <row r="666" spans="2:6">
      <c r="B666" s="7" t="s">
        <v>3</v>
      </c>
      <c r="C666" s="7" t="s">
        <v>75</v>
      </c>
      <c r="D666" s="7" t="s">
        <v>103</v>
      </c>
      <c r="E666" s="7" t="s">
        <v>956</v>
      </c>
      <c r="F666" s="7" t="s">
        <v>957</v>
      </c>
    </row>
    <row r="667" spans="2:6">
      <c r="B667" s="7" t="s">
        <v>3</v>
      </c>
      <c r="C667" s="7" t="s">
        <v>75</v>
      </c>
      <c r="D667" s="7" t="s">
        <v>103</v>
      </c>
      <c r="E667" s="7" t="s">
        <v>136</v>
      </c>
      <c r="F667" s="7" t="s">
        <v>958</v>
      </c>
    </row>
    <row r="668" spans="2:6">
      <c r="B668" s="7" t="s">
        <v>3</v>
      </c>
      <c r="C668" s="7" t="s">
        <v>75</v>
      </c>
      <c r="D668" s="7" t="s">
        <v>103</v>
      </c>
      <c r="E668" s="7" t="s">
        <v>959</v>
      </c>
      <c r="F668" s="7" t="s">
        <v>960</v>
      </c>
    </row>
    <row r="669" spans="2:6">
      <c r="B669" s="7" t="s">
        <v>3</v>
      </c>
      <c r="C669" s="7" t="s">
        <v>75</v>
      </c>
      <c r="D669" s="7" t="s">
        <v>103</v>
      </c>
      <c r="E669" s="7" t="s">
        <v>961</v>
      </c>
      <c r="F669" s="7" t="s">
        <v>962</v>
      </c>
    </row>
    <row r="670" spans="2:6">
      <c r="B670" s="7" t="s">
        <v>3</v>
      </c>
      <c r="C670" s="7" t="s">
        <v>75</v>
      </c>
      <c r="D670" s="7" t="s">
        <v>103</v>
      </c>
      <c r="E670" s="7" t="s">
        <v>963</v>
      </c>
      <c r="F670" s="7" t="s">
        <v>964</v>
      </c>
    </row>
    <row r="671" spans="2:6">
      <c r="B671" s="7" t="s">
        <v>3</v>
      </c>
      <c r="C671" s="7" t="s">
        <v>75</v>
      </c>
      <c r="D671" s="7" t="s">
        <v>103</v>
      </c>
      <c r="E671" s="7" t="s">
        <v>965</v>
      </c>
      <c r="F671" s="7" t="s">
        <v>966</v>
      </c>
    </row>
    <row r="672" spans="2:6">
      <c r="B672" s="7" t="s">
        <v>3</v>
      </c>
      <c r="C672" s="7" t="s">
        <v>75</v>
      </c>
      <c r="D672" s="7" t="s">
        <v>103</v>
      </c>
      <c r="E672" s="7" t="s">
        <v>967</v>
      </c>
      <c r="F672" s="7" t="s">
        <v>968</v>
      </c>
    </row>
    <row r="673" spans="2:6">
      <c r="B673" s="7" t="s">
        <v>3</v>
      </c>
      <c r="C673" s="7" t="s">
        <v>75</v>
      </c>
      <c r="D673" s="7" t="s">
        <v>103</v>
      </c>
      <c r="E673" s="7" t="s">
        <v>969</v>
      </c>
      <c r="F673" s="7" t="s">
        <v>970</v>
      </c>
    </row>
    <row r="674" spans="2:6">
      <c r="B674" s="7" t="s">
        <v>3</v>
      </c>
      <c r="C674" s="7" t="s">
        <v>75</v>
      </c>
      <c r="D674" s="7" t="s">
        <v>103</v>
      </c>
      <c r="E674" s="7" t="s">
        <v>971</v>
      </c>
      <c r="F674" s="7" t="s">
        <v>972</v>
      </c>
    </row>
    <row r="675" spans="2:6">
      <c r="B675" s="7" t="s">
        <v>3</v>
      </c>
      <c r="C675" s="7" t="s">
        <v>75</v>
      </c>
      <c r="D675" s="7" t="s">
        <v>103</v>
      </c>
      <c r="E675" s="7" t="s">
        <v>973</v>
      </c>
      <c r="F675" s="7" t="s">
        <v>974</v>
      </c>
    </row>
    <row r="676" spans="2:6">
      <c r="B676" s="7" t="s">
        <v>3</v>
      </c>
      <c r="C676" s="7" t="s">
        <v>75</v>
      </c>
      <c r="D676" s="7" t="s">
        <v>103</v>
      </c>
      <c r="E676" s="7" t="s">
        <v>975</v>
      </c>
      <c r="F676" s="7" t="s">
        <v>976</v>
      </c>
    </row>
    <row r="677" spans="2:6">
      <c r="B677" s="7" t="s">
        <v>3</v>
      </c>
      <c r="C677" s="7" t="s">
        <v>75</v>
      </c>
      <c r="D677" s="7" t="s">
        <v>103</v>
      </c>
      <c r="E677" s="7" t="s">
        <v>977</v>
      </c>
      <c r="F677" s="7" t="s">
        <v>978</v>
      </c>
    </row>
    <row r="678" spans="2:6">
      <c r="B678" s="7" t="s">
        <v>3</v>
      </c>
      <c r="C678" s="7" t="s">
        <v>75</v>
      </c>
      <c r="D678" s="7" t="s">
        <v>103</v>
      </c>
      <c r="E678" s="7" t="s">
        <v>979</v>
      </c>
      <c r="F678" s="7" t="s">
        <v>980</v>
      </c>
    </row>
    <row r="679" spans="2:6">
      <c r="B679" s="7" t="s">
        <v>3</v>
      </c>
      <c r="C679" s="7" t="s">
        <v>75</v>
      </c>
      <c r="D679" s="7" t="s">
        <v>103</v>
      </c>
      <c r="E679" s="7" t="s">
        <v>981</v>
      </c>
      <c r="F679" s="7" t="s">
        <v>982</v>
      </c>
    </row>
    <row r="680" spans="2:6">
      <c r="B680" s="7" t="s">
        <v>3</v>
      </c>
      <c r="C680" s="7" t="s">
        <v>75</v>
      </c>
      <c r="D680" s="7" t="s">
        <v>103</v>
      </c>
      <c r="E680" s="7" t="s">
        <v>983</v>
      </c>
      <c r="F680" s="7" t="s">
        <v>984</v>
      </c>
    </row>
    <row r="681" spans="2:6">
      <c r="B681" s="7" t="s">
        <v>3</v>
      </c>
      <c r="C681" s="7" t="s">
        <v>75</v>
      </c>
      <c r="D681" s="7" t="s">
        <v>103</v>
      </c>
      <c r="E681" s="7" t="s">
        <v>132</v>
      </c>
      <c r="F681" s="7" t="s">
        <v>985</v>
      </c>
    </row>
    <row r="682" spans="2:6">
      <c r="B682" s="7" t="s">
        <v>3</v>
      </c>
      <c r="C682" s="7" t="s">
        <v>76</v>
      </c>
      <c r="D682" s="7" t="s">
        <v>102</v>
      </c>
      <c r="E682" s="7" t="s">
        <v>5</v>
      </c>
      <c r="F682" s="7" t="s">
        <v>5</v>
      </c>
    </row>
    <row r="683" spans="2:6">
      <c r="B683" s="7" t="s">
        <v>3</v>
      </c>
      <c r="C683" s="7" t="s">
        <v>76</v>
      </c>
      <c r="D683" s="7" t="s">
        <v>103</v>
      </c>
      <c r="E683" s="7" t="s">
        <v>986</v>
      </c>
      <c r="F683" s="7" t="s">
        <v>987</v>
      </c>
    </row>
    <row r="684" spans="2:6">
      <c r="B684" s="7" t="s">
        <v>3</v>
      </c>
      <c r="C684" s="7" t="s">
        <v>76</v>
      </c>
      <c r="D684" s="7" t="s">
        <v>103</v>
      </c>
      <c r="E684" s="7" t="s">
        <v>988</v>
      </c>
      <c r="F684" s="7" t="s">
        <v>989</v>
      </c>
    </row>
    <row r="685" spans="2:6">
      <c r="B685" s="7" t="s">
        <v>3</v>
      </c>
      <c r="C685" s="7" t="s">
        <v>76</v>
      </c>
      <c r="D685" s="7" t="s">
        <v>103</v>
      </c>
      <c r="E685" s="7" t="s">
        <v>309</v>
      </c>
      <c r="F685" s="7" t="s">
        <v>990</v>
      </c>
    </row>
    <row r="686" spans="2:6">
      <c r="B686" s="7" t="s">
        <v>3</v>
      </c>
      <c r="C686" s="7" t="s">
        <v>77</v>
      </c>
      <c r="D686" s="7" t="s">
        <v>102</v>
      </c>
      <c r="E686" s="7" t="s">
        <v>504</v>
      </c>
      <c r="F686" s="7" t="s">
        <v>608</v>
      </c>
    </row>
    <row r="687" spans="2:6">
      <c r="B687" s="7" t="s">
        <v>3</v>
      </c>
      <c r="C687" s="7" t="s">
        <v>77</v>
      </c>
      <c r="D687" s="7" t="s">
        <v>102</v>
      </c>
      <c r="E687" s="7" t="s">
        <v>991</v>
      </c>
      <c r="F687" s="7" t="s">
        <v>992</v>
      </c>
    </row>
    <row r="688" spans="2:6">
      <c r="B688" s="7" t="s">
        <v>3</v>
      </c>
      <c r="C688" s="7" t="s">
        <v>77</v>
      </c>
      <c r="D688" s="7" t="s">
        <v>103</v>
      </c>
      <c r="E688" s="7" t="s">
        <v>5</v>
      </c>
      <c r="F688" s="7" t="s">
        <v>5</v>
      </c>
    </row>
    <row r="689" spans="2:6">
      <c r="B689" s="7" t="s">
        <v>3</v>
      </c>
      <c r="C689" s="7" t="s">
        <v>78</v>
      </c>
      <c r="D689" s="7" t="s">
        <v>102</v>
      </c>
      <c r="E689" s="7" t="s">
        <v>506</v>
      </c>
      <c r="F689" s="7" t="s">
        <v>993</v>
      </c>
    </row>
    <row r="690" spans="2:6">
      <c r="B690" s="7" t="s">
        <v>3</v>
      </c>
      <c r="C690" s="7" t="s">
        <v>78</v>
      </c>
      <c r="D690" s="7" t="s">
        <v>103</v>
      </c>
      <c r="E690" s="7" t="s">
        <v>5</v>
      </c>
      <c r="F690" s="7" t="s">
        <v>5</v>
      </c>
    </row>
    <row r="691" spans="2:6">
      <c r="B691" s="7" t="s">
        <v>3</v>
      </c>
      <c r="C691" s="7" t="s">
        <v>79</v>
      </c>
      <c r="D691" s="7" t="s">
        <v>102</v>
      </c>
      <c r="E691" s="7" t="s">
        <v>615</v>
      </c>
      <c r="F691" s="7" t="s">
        <v>994</v>
      </c>
    </row>
    <row r="692" spans="2:6">
      <c r="B692" s="7" t="s">
        <v>3</v>
      </c>
      <c r="C692" s="7" t="s">
        <v>79</v>
      </c>
      <c r="D692" s="7" t="s">
        <v>103</v>
      </c>
      <c r="E692" s="7" t="s">
        <v>5</v>
      </c>
      <c r="F692" s="7" t="s">
        <v>5</v>
      </c>
    </row>
    <row r="693" spans="2:6">
      <c r="B693" s="7" t="s">
        <v>3</v>
      </c>
      <c r="C693" s="7" t="s">
        <v>80</v>
      </c>
      <c r="D693" s="7" t="s">
        <v>102</v>
      </c>
      <c r="E693" s="7" t="s">
        <v>615</v>
      </c>
      <c r="F693" s="7" t="s">
        <v>994</v>
      </c>
    </row>
    <row r="694" spans="2:6">
      <c r="B694" s="7" t="s">
        <v>3</v>
      </c>
      <c r="C694" s="7" t="s">
        <v>80</v>
      </c>
      <c r="D694" s="7" t="s">
        <v>102</v>
      </c>
      <c r="E694" s="7" t="s">
        <v>606</v>
      </c>
      <c r="F694" s="7" t="s">
        <v>995</v>
      </c>
    </row>
    <row r="695" spans="2:6">
      <c r="B695" s="7" t="s">
        <v>3</v>
      </c>
      <c r="C695" s="7" t="s">
        <v>80</v>
      </c>
      <c r="D695" s="7" t="s">
        <v>102</v>
      </c>
      <c r="E695" s="7" t="s">
        <v>506</v>
      </c>
      <c r="F695" s="7" t="s">
        <v>996</v>
      </c>
    </row>
    <row r="696" spans="2:6">
      <c r="B696" s="7" t="s">
        <v>3</v>
      </c>
      <c r="C696" s="7" t="s">
        <v>80</v>
      </c>
      <c r="D696" s="7" t="s">
        <v>102</v>
      </c>
      <c r="E696" s="7" t="s">
        <v>504</v>
      </c>
      <c r="F696" s="7" t="s">
        <v>997</v>
      </c>
    </row>
    <row r="697" spans="2:6">
      <c r="B697" s="7" t="s">
        <v>3</v>
      </c>
      <c r="C697" s="7" t="s">
        <v>80</v>
      </c>
      <c r="D697" s="7" t="s">
        <v>102</v>
      </c>
      <c r="E697" s="7" t="s">
        <v>991</v>
      </c>
      <c r="F697" s="7" t="s">
        <v>998</v>
      </c>
    </row>
    <row r="698" spans="2:6">
      <c r="B698" s="7" t="s">
        <v>3</v>
      </c>
      <c r="C698" s="7" t="s">
        <v>80</v>
      </c>
      <c r="D698" s="7" t="s">
        <v>103</v>
      </c>
      <c r="E698" s="7" t="s">
        <v>617</v>
      </c>
      <c r="F698" s="7" t="s">
        <v>999</v>
      </c>
    </row>
    <row r="699" spans="2:6">
      <c r="B699" s="7" t="s">
        <v>3</v>
      </c>
      <c r="C699" s="7" t="s">
        <v>81</v>
      </c>
      <c r="D699" s="7" t="s">
        <v>102</v>
      </c>
      <c r="E699" s="7" t="s">
        <v>5</v>
      </c>
      <c r="F699" s="7" t="s">
        <v>5</v>
      </c>
    </row>
    <row r="700" spans="2:6">
      <c r="B700" s="7" t="s">
        <v>3</v>
      </c>
      <c r="C700" s="7" t="s">
        <v>81</v>
      </c>
      <c r="D700" s="7" t="s">
        <v>103</v>
      </c>
      <c r="E700" s="7" t="s">
        <v>1000</v>
      </c>
      <c r="F700" s="7" t="s">
        <v>1001</v>
      </c>
    </row>
    <row r="701" spans="2:6">
      <c r="B701" s="7" t="s">
        <v>3</v>
      </c>
      <c r="C701" s="7" t="s">
        <v>81</v>
      </c>
      <c r="D701" s="7" t="s">
        <v>103</v>
      </c>
      <c r="E701" s="7" t="s">
        <v>1002</v>
      </c>
      <c r="F701" s="7" t="s">
        <v>1003</v>
      </c>
    </row>
    <row r="702" spans="2:6">
      <c r="B702" s="7" t="s">
        <v>3</v>
      </c>
      <c r="C702" s="7" t="s">
        <v>81</v>
      </c>
      <c r="D702" s="7" t="s">
        <v>103</v>
      </c>
      <c r="E702" s="7" t="s">
        <v>1004</v>
      </c>
      <c r="F702" s="7" t="s">
        <v>1005</v>
      </c>
    </row>
    <row r="703" spans="2:6">
      <c r="B703" s="7" t="s">
        <v>3</v>
      </c>
      <c r="C703" s="7" t="s">
        <v>81</v>
      </c>
      <c r="D703" s="7" t="s">
        <v>103</v>
      </c>
      <c r="E703" s="7" t="s">
        <v>1006</v>
      </c>
      <c r="F703" s="7" t="s">
        <v>1007</v>
      </c>
    </row>
    <row r="704" spans="2:6">
      <c r="B704" s="7" t="s">
        <v>3</v>
      </c>
      <c r="C704" s="7" t="s">
        <v>81</v>
      </c>
      <c r="D704" s="7" t="s">
        <v>103</v>
      </c>
      <c r="E704" s="7" t="s">
        <v>1008</v>
      </c>
      <c r="F704" s="7" t="s">
        <v>1009</v>
      </c>
    </row>
    <row r="705" spans="2:6">
      <c r="B705" s="7" t="s">
        <v>3</v>
      </c>
      <c r="C705" s="7" t="s">
        <v>81</v>
      </c>
      <c r="D705" s="7" t="s">
        <v>103</v>
      </c>
      <c r="E705" s="7" t="s">
        <v>1010</v>
      </c>
      <c r="F705" s="7" t="s">
        <v>1011</v>
      </c>
    </row>
    <row r="706" spans="2:6">
      <c r="B706" s="7" t="s">
        <v>3</v>
      </c>
      <c r="C706" s="7" t="s">
        <v>1012</v>
      </c>
      <c r="D706" s="7" t="s">
        <v>102</v>
      </c>
      <c r="E706" s="7" t="s">
        <v>5</v>
      </c>
      <c r="F706" s="7" t="s">
        <v>5</v>
      </c>
    </row>
    <row r="707" spans="2:6">
      <c r="B707" s="7" t="s">
        <v>3</v>
      </c>
      <c r="C707" s="7" t="s">
        <v>1012</v>
      </c>
      <c r="D707" s="7" t="s">
        <v>103</v>
      </c>
      <c r="E707" s="7" t="s">
        <v>790</v>
      </c>
      <c r="F707" s="7" t="s">
        <v>791</v>
      </c>
    </row>
    <row r="708" spans="2:6">
      <c r="B708" s="7" t="s">
        <v>3</v>
      </c>
      <c r="C708" s="7" t="s">
        <v>1012</v>
      </c>
      <c r="D708" s="7" t="s">
        <v>103</v>
      </c>
      <c r="E708" s="7" t="s">
        <v>792</v>
      </c>
      <c r="F708" s="7" t="s">
        <v>1013</v>
      </c>
    </row>
    <row r="709" spans="2:6">
      <c r="B709" s="7" t="s">
        <v>3</v>
      </c>
      <c r="C709" s="7" t="s">
        <v>1012</v>
      </c>
      <c r="D709" s="7" t="s">
        <v>103</v>
      </c>
      <c r="E709" s="7" t="s">
        <v>794</v>
      </c>
      <c r="F709" s="7" t="s">
        <v>1014</v>
      </c>
    </row>
    <row r="710" spans="2:6">
      <c r="B710" s="7" t="s">
        <v>3</v>
      </c>
      <c r="C710" s="7" t="s">
        <v>1012</v>
      </c>
      <c r="D710" s="7" t="s">
        <v>103</v>
      </c>
      <c r="E710" s="7" t="s">
        <v>779</v>
      </c>
      <c r="F710" s="7" t="s">
        <v>1015</v>
      </c>
    </row>
    <row r="711" spans="2:6">
      <c r="B711" s="7" t="s">
        <v>3</v>
      </c>
      <c r="C711" s="7" t="s">
        <v>1012</v>
      </c>
      <c r="D711" s="7" t="s">
        <v>103</v>
      </c>
      <c r="E711" s="7" t="s">
        <v>781</v>
      </c>
      <c r="F711" s="7" t="s">
        <v>1016</v>
      </c>
    </row>
    <row r="712" spans="2:6">
      <c r="B712" s="7" t="s">
        <v>3</v>
      </c>
      <c r="C712" s="7" t="s">
        <v>1012</v>
      </c>
      <c r="D712" s="7" t="s">
        <v>103</v>
      </c>
      <c r="E712" s="7" t="s">
        <v>783</v>
      </c>
      <c r="F712" s="7" t="s">
        <v>1017</v>
      </c>
    </row>
    <row r="713" spans="2:6">
      <c r="B713" s="7" t="s">
        <v>3</v>
      </c>
      <c r="C713" s="7" t="s">
        <v>1012</v>
      </c>
      <c r="D713" s="7" t="s">
        <v>103</v>
      </c>
      <c r="E713" s="7" t="s">
        <v>785</v>
      </c>
      <c r="F713" s="7" t="s">
        <v>1018</v>
      </c>
    </row>
    <row r="714" spans="2:6">
      <c r="B714" s="7" t="s">
        <v>3</v>
      </c>
      <c r="C714" s="7" t="s">
        <v>1012</v>
      </c>
      <c r="D714" s="7" t="s">
        <v>103</v>
      </c>
      <c r="E714" s="7" t="s">
        <v>1019</v>
      </c>
      <c r="F714" s="7" t="s">
        <v>1020</v>
      </c>
    </row>
    <row r="715" spans="2:6">
      <c r="B715" s="7" t="s">
        <v>3</v>
      </c>
      <c r="C715" s="7" t="s">
        <v>1012</v>
      </c>
      <c r="D715" s="7" t="s">
        <v>103</v>
      </c>
      <c r="E715" s="7" t="s">
        <v>1021</v>
      </c>
      <c r="F715" s="7" t="s">
        <v>793</v>
      </c>
    </row>
    <row r="716" spans="2:6">
      <c r="B716" s="7" t="s">
        <v>3</v>
      </c>
      <c r="C716" s="7" t="s">
        <v>1012</v>
      </c>
      <c r="D716" s="7" t="s">
        <v>103</v>
      </c>
      <c r="E716" s="7" t="s">
        <v>1022</v>
      </c>
      <c r="F716" s="7" t="s">
        <v>1023</v>
      </c>
    </row>
    <row r="717" spans="2:6">
      <c r="B717" s="7" t="s">
        <v>3</v>
      </c>
      <c r="C717" s="7" t="s">
        <v>1012</v>
      </c>
      <c r="D717" s="7" t="s">
        <v>103</v>
      </c>
      <c r="E717" s="7" t="s">
        <v>1024</v>
      </c>
      <c r="F717" s="7" t="s">
        <v>1025</v>
      </c>
    </row>
    <row r="718" spans="2:6">
      <c r="B718" s="7" t="s">
        <v>3</v>
      </c>
      <c r="C718" s="7" t="s">
        <v>82</v>
      </c>
      <c r="D718" s="7" t="s">
        <v>102</v>
      </c>
      <c r="E718" s="7" t="s">
        <v>615</v>
      </c>
      <c r="F718" s="7" t="s">
        <v>120</v>
      </c>
    </row>
    <row r="719" spans="2:6">
      <c r="B719" s="7" t="s">
        <v>3</v>
      </c>
      <c r="C719" s="7" t="s">
        <v>82</v>
      </c>
      <c r="D719" s="7" t="s">
        <v>103</v>
      </c>
      <c r="E719" s="7" t="s">
        <v>790</v>
      </c>
      <c r="F719" s="7" t="s">
        <v>791</v>
      </c>
    </row>
    <row r="720" spans="2:6">
      <c r="B720" s="7" t="s">
        <v>3</v>
      </c>
      <c r="C720" s="7" t="s">
        <v>82</v>
      </c>
      <c r="D720" s="7" t="s">
        <v>103</v>
      </c>
      <c r="E720" s="7" t="s">
        <v>792</v>
      </c>
      <c r="F720" s="7" t="s">
        <v>1013</v>
      </c>
    </row>
    <row r="721" spans="2:6">
      <c r="B721" s="7" t="s">
        <v>3</v>
      </c>
      <c r="C721" s="7" t="s">
        <v>82</v>
      </c>
      <c r="D721" s="7" t="s">
        <v>103</v>
      </c>
      <c r="E721" s="7" t="s">
        <v>794</v>
      </c>
      <c r="F721" s="7" t="s">
        <v>1026</v>
      </c>
    </row>
    <row r="722" spans="2:6">
      <c r="B722" s="7" t="s">
        <v>3</v>
      </c>
      <c r="C722" s="7" t="s">
        <v>82</v>
      </c>
      <c r="D722" s="7" t="s">
        <v>103</v>
      </c>
      <c r="E722" s="7" t="s">
        <v>779</v>
      </c>
      <c r="F722" s="7" t="s">
        <v>1027</v>
      </c>
    </row>
    <row r="723" spans="2:6">
      <c r="B723" s="7" t="s">
        <v>3</v>
      </c>
      <c r="C723" s="7" t="s">
        <v>82</v>
      </c>
      <c r="D723" s="7" t="s">
        <v>103</v>
      </c>
      <c r="E723" s="7" t="s">
        <v>781</v>
      </c>
      <c r="F723" s="7" t="s">
        <v>1016</v>
      </c>
    </row>
    <row r="724" spans="2:6">
      <c r="B724" s="7" t="s">
        <v>3</v>
      </c>
      <c r="C724" s="7" t="s">
        <v>82</v>
      </c>
      <c r="D724" s="7" t="s">
        <v>103</v>
      </c>
      <c r="E724" s="7" t="s">
        <v>783</v>
      </c>
      <c r="F724" s="7" t="s">
        <v>1028</v>
      </c>
    </row>
    <row r="725" spans="2:6">
      <c r="B725" s="7" t="s">
        <v>3</v>
      </c>
      <c r="C725" s="7" t="s">
        <v>82</v>
      </c>
      <c r="D725" s="7" t="s">
        <v>103</v>
      </c>
      <c r="E725" s="7" t="s">
        <v>785</v>
      </c>
      <c r="F725" s="7" t="s">
        <v>1018</v>
      </c>
    </row>
    <row r="726" spans="2:6">
      <c r="B726" s="7" t="s">
        <v>3</v>
      </c>
      <c r="C726" s="7" t="s">
        <v>82</v>
      </c>
      <c r="D726" s="7" t="s">
        <v>103</v>
      </c>
      <c r="E726" s="7" t="s">
        <v>1019</v>
      </c>
      <c r="F726" s="7" t="s">
        <v>1020</v>
      </c>
    </row>
    <row r="727" spans="2:6">
      <c r="B727" s="7" t="s">
        <v>3</v>
      </c>
      <c r="C727" s="7" t="s">
        <v>82</v>
      </c>
      <c r="D727" s="7" t="s">
        <v>103</v>
      </c>
      <c r="E727" s="7" t="s">
        <v>1021</v>
      </c>
      <c r="F727" s="7" t="s">
        <v>793</v>
      </c>
    </row>
    <row r="728" spans="2:6">
      <c r="B728" s="7" t="s">
        <v>3</v>
      </c>
      <c r="C728" s="7" t="s">
        <v>82</v>
      </c>
      <c r="D728" s="7" t="s">
        <v>103</v>
      </c>
      <c r="E728" s="7" t="s">
        <v>1022</v>
      </c>
      <c r="F728" s="7" t="s">
        <v>1023</v>
      </c>
    </row>
    <row r="729" spans="2:6">
      <c r="B729" s="7" t="s">
        <v>3</v>
      </c>
      <c r="C729" s="7" t="s">
        <v>82</v>
      </c>
      <c r="D729" s="7" t="s">
        <v>103</v>
      </c>
      <c r="E729" s="7" t="s">
        <v>1024</v>
      </c>
      <c r="F729" s="7" t="s">
        <v>1025</v>
      </c>
    </row>
    <row r="730" spans="2:6">
      <c r="B730" s="7" t="s">
        <v>3</v>
      </c>
      <c r="C730" s="7" t="s">
        <v>83</v>
      </c>
      <c r="D730" s="7" t="s">
        <v>102</v>
      </c>
      <c r="E730" s="7" t="s">
        <v>1029</v>
      </c>
      <c r="F730" s="7" t="s">
        <v>1030</v>
      </c>
    </row>
    <row r="731" spans="2:6">
      <c r="B731" s="7" t="s">
        <v>3</v>
      </c>
      <c r="C731" s="7" t="s">
        <v>83</v>
      </c>
      <c r="D731" s="7" t="s">
        <v>103</v>
      </c>
      <c r="E731" s="7" t="s">
        <v>5</v>
      </c>
      <c r="F731" s="7" t="s">
        <v>5</v>
      </c>
    </row>
    <row r="732" spans="2:6">
      <c r="B732" s="7" t="s">
        <v>3</v>
      </c>
      <c r="C732" s="7" t="s">
        <v>84</v>
      </c>
      <c r="D732" s="7" t="s">
        <v>102</v>
      </c>
      <c r="E732" s="7" t="s">
        <v>5</v>
      </c>
      <c r="F732" s="7" t="s">
        <v>5</v>
      </c>
    </row>
    <row r="733" spans="2:6">
      <c r="B733" s="7" t="s">
        <v>3</v>
      </c>
      <c r="C733" s="7" t="s">
        <v>84</v>
      </c>
      <c r="D733" s="7" t="s">
        <v>103</v>
      </c>
      <c r="E733" s="7" t="s">
        <v>487</v>
      </c>
      <c r="F733" s="7" t="s">
        <v>739</v>
      </c>
    </row>
    <row r="734" spans="2:6">
      <c r="B734" s="7" t="s">
        <v>3</v>
      </c>
      <c r="C734" s="7" t="s">
        <v>84</v>
      </c>
      <c r="D734" s="7" t="s">
        <v>103</v>
      </c>
      <c r="E734" s="7" t="s">
        <v>522</v>
      </c>
      <c r="F734" s="7" t="s">
        <v>740</v>
      </c>
    </row>
    <row r="735" spans="2:6">
      <c r="B735" s="7" t="s">
        <v>3</v>
      </c>
      <c r="C735" s="7" t="s">
        <v>84</v>
      </c>
      <c r="D735" s="7" t="s">
        <v>103</v>
      </c>
      <c r="E735" s="7" t="s">
        <v>603</v>
      </c>
      <c r="F735" s="7" t="s">
        <v>1031</v>
      </c>
    </row>
    <row r="736" spans="2:6">
      <c r="B736" s="7" t="s">
        <v>3</v>
      </c>
      <c r="C736" s="7" t="s">
        <v>84</v>
      </c>
      <c r="D736" s="7" t="s">
        <v>103</v>
      </c>
      <c r="E736" s="7" t="s">
        <v>475</v>
      </c>
      <c r="F736" s="7" t="s">
        <v>769</v>
      </c>
    </row>
    <row r="737" spans="2:6">
      <c r="B737" s="7" t="s">
        <v>3</v>
      </c>
      <c r="C737" s="7" t="s">
        <v>84</v>
      </c>
      <c r="D737" s="7" t="s">
        <v>103</v>
      </c>
      <c r="E737" s="7" t="s">
        <v>588</v>
      </c>
      <c r="F737" s="7" t="s">
        <v>743</v>
      </c>
    </row>
    <row r="738" spans="2:6">
      <c r="B738" s="7" t="s">
        <v>3</v>
      </c>
      <c r="C738" s="7" t="s">
        <v>84</v>
      </c>
      <c r="D738" s="7" t="s">
        <v>103</v>
      </c>
      <c r="E738" s="7" t="s">
        <v>492</v>
      </c>
      <c r="F738" s="7" t="s">
        <v>742</v>
      </c>
    </row>
    <row r="739" spans="2:6">
      <c r="B739" s="7" t="s">
        <v>3</v>
      </c>
      <c r="C739" s="7" t="s">
        <v>84</v>
      </c>
      <c r="D739" s="7" t="s">
        <v>103</v>
      </c>
      <c r="E739" s="7" t="s">
        <v>590</v>
      </c>
      <c r="F739" s="7" t="s">
        <v>744</v>
      </c>
    </row>
    <row r="740" spans="2:6">
      <c r="B740" s="7" t="s">
        <v>3</v>
      </c>
      <c r="C740" s="7" t="s">
        <v>84</v>
      </c>
      <c r="D740" s="7" t="s">
        <v>103</v>
      </c>
      <c r="E740" s="7" t="s">
        <v>761</v>
      </c>
      <c r="F740" s="7" t="s">
        <v>762</v>
      </c>
    </row>
    <row r="741" spans="2:6">
      <c r="B741" s="7" t="s">
        <v>3</v>
      </c>
      <c r="C741" s="7" t="s">
        <v>84</v>
      </c>
      <c r="D741" s="7" t="s">
        <v>103</v>
      </c>
      <c r="E741" s="7" t="s">
        <v>763</v>
      </c>
      <c r="F741" s="7" t="s">
        <v>1032</v>
      </c>
    </row>
    <row r="742" spans="2:6">
      <c r="B742" s="7" t="s">
        <v>3</v>
      </c>
      <c r="C742" s="7" t="s">
        <v>84</v>
      </c>
      <c r="D742" s="7" t="s">
        <v>103</v>
      </c>
      <c r="E742" s="7" t="s">
        <v>1033</v>
      </c>
      <c r="F742" s="7" t="s">
        <v>1034</v>
      </c>
    </row>
    <row r="743" spans="2:6">
      <c r="B743" s="7" t="s">
        <v>3</v>
      </c>
      <c r="C743" s="7" t="s">
        <v>84</v>
      </c>
      <c r="D743" s="7" t="s">
        <v>103</v>
      </c>
      <c r="E743" s="7" t="s">
        <v>1035</v>
      </c>
      <c r="F743" s="7" t="s">
        <v>1036</v>
      </c>
    </row>
    <row r="744" spans="2:6">
      <c r="B744" s="7" t="s">
        <v>3</v>
      </c>
      <c r="C744" s="7" t="s">
        <v>84</v>
      </c>
      <c r="D744" s="7" t="s">
        <v>103</v>
      </c>
      <c r="E744" s="7" t="s">
        <v>1037</v>
      </c>
      <c r="F744" s="7" t="s">
        <v>1038</v>
      </c>
    </row>
    <row r="745" spans="2:6">
      <c r="B745" s="7" t="s">
        <v>3</v>
      </c>
      <c r="C745" s="7" t="s">
        <v>84</v>
      </c>
      <c r="D745" s="7" t="s">
        <v>103</v>
      </c>
      <c r="E745" s="7" t="s">
        <v>1039</v>
      </c>
      <c r="F745" s="7" t="s">
        <v>1040</v>
      </c>
    </row>
    <row r="746" spans="2:6">
      <c r="B746" s="7" t="s">
        <v>3</v>
      </c>
      <c r="C746" s="7" t="s">
        <v>84</v>
      </c>
      <c r="D746" s="7" t="s">
        <v>103</v>
      </c>
      <c r="E746" s="7" t="s">
        <v>1041</v>
      </c>
      <c r="F746" s="7" t="s">
        <v>1042</v>
      </c>
    </row>
    <row r="747" spans="2:6">
      <c r="B747" s="7" t="s">
        <v>3</v>
      </c>
      <c r="C747" s="7" t="s">
        <v>84</v>
      </c>
      <c r="D747" s="7" t="s">
        <v>103</v>
      </c>
      <c r="E747" s="7" t="s">
        <v>1043</v>
      </c>
      <c r="F747" s="7" t="s">
        <v>1044</v>
      </c>
    </row>
    <row r="748" spans="2:6">
      <c r="B748" s="7" t="s">
        <v>3</v>
      </c>
      <c r="C748" s="7" t="s">
        <v>84</v>
      </c>
      <c r="D748" s="7" t="s">
        <v>103</v>
      </c>
      <c r="E748" s="7" t="s">
        <v>1045</v>
      </c>
      <c r="F748" s="7" t="s">
        <v>1046</v>
      </c>
    </row>
    <row r="749" spans="2:6">
      <c r="B749" s="7" t="s">
        <v>3</v>
      </c>
      <c r="C749" s="7" t="s">
        <v>84</v>
      </c>
      <c r="D749" s="7" t="s">
        <v>103</v>
      </c>
      <c r="E749" s="7" t="s">
        <v>1047</v>
      </c>
      <c r="F749" s="7" t="s">
        <v>1048</v>
      </c>
    </row>
    <row r="750" spans="2:6">
      <c r="B750" s="7" t="s">
        <v>3</v>
      </c>
      <c r="C750" s="7" t="s">
        <v>84</v>
      </c>
      <c r="D750" s="7" t="s">
        <v>103</v>
      </c>
      <c r="E750" s="7" t="s">
        <v>1049</v>
      </c>
      <c r="F750" s="7" t="s">
        <v>1050</v>
      </c>
    </row>
    <row r="751" spans="2:6">
      <c r="B751" s="7" t="s">
        <v>3</v>
      </c>
      <c r="C751" s="7" t="s">
        <v>84</v>
      </c>
      <c r="D751" s="7" t="s">
        <v>103</v>
      </c>
      <c r="E751" s="7" t="s">
        <v>1051</v>
      </c>
      <c r="F751" s="7" t="s">
        <v>1052</v>
      </c>
    </row>
    <row r="752" spans="2:6">
      <c r="B752" s="7" t="s">
        <v>3</v>
      </c>
      <c r="C752" s="7" t="s">
        <v>84</v>
      </c>
      <c r="D752" s="7" t="s">
        <v>103</v>
      </c>
      <c r="E752" s="7" t="s">
        <v>1053</v>
      </c>
      <c r="F752" s="7" t="s">
        <v>1054</v>
      </c>
    </row>
    <row r="753" spans="2:6">
      <c r="B753" s="7" t="s">
        <v>3</v>
      </c>
      <c r="C753" s="7" t="s">
        <v>84</v>
      </c>
      <c r="D753" s="7" t="s">
        <v>103</v>
      </c>
      <c r="E753" s="7" t="s">
        <v>1055</v>
      </c>
      <c r="F753" s="7" t="s">
        <v>1056</v>
      </c>
    </row>
    <row r="754" spans="2:6">
      <c r="B754" s="7" t="s">
        <v>3</v>
      </c>
      <c r="C754" s="7" t="s">
        <v>85</v>
      </c>
      <c r="D754" s="7" t="s">
        <v>102</v>
      </c>
      <c r="E754" s="7" t="s">
        <v>603</v>
      </c>
      <c r="F754" s="7" t="s">
        <v>1057</v>
      </c>
    </row>
    <row r="755" spans="2:6">
      <c r="B755" s="7" t="s">
        <v>3</v>
      </c>
      <c r="C755" s="7" t="s">
        <v>85</v>
      </c>
      <c r="D755" s="7" t="s">
        <v>102</v>
      </c>
      <c r="E755" s="7" t="s">
        <v>487</v>
      </c>
      <c r="F755" s="7" t="s">
        <v>1058</v>
      </c>
    </row>
    <row r="756" spans="2:6">
      <c r="B756" s="7" t="s">
        <v>3</v>
      </c>
      <c r="C756" s="7" t="s">
        <v>85</v>
      </c>
      <c r="D756" s="7" t="s">
        <v>102</v>
      </c>
      <c r="E756" s="7" t="s">
        <v>522</v>
      </c>
      <c r="F756" s="7" t="s">
        <v>1059</v>
      </c>
    </row>
    <row r="757" spans="2:6">
      <c r="B757" s="7" t="s">
        <v>3</v>
      </c>
      <c r="C757" s="7" t="s">
        <v>85</v>
      </c>
      <c r="D757" s="7" t="s">
        <v>102</v>
      </c>
      <c r="E757" s="7" t="s">
        <v>475</v>
      </c>
      <c r="F757" s="7" t="s">
        <v>1060</v>
      </c>
    </row>
    <row r="758" spans="2:6">
      <c r="B758" s="7" t="s">
        <v>3</v>
      </c>
      <c r="C758" s="7" t="s">
        <v>85</v>
      </c>
      <c r="D758" s="7" t="s">
        <v>102</v>
      </c>
      <c r="E758" s="7" t="s">
        <v>588</v>
      </c>
      <c r="F758" s="7" t="s">
        <v>1061</v>
      </c>
    </row>
    <row r="759" spans="2:6">
      <c r="B759" s="7" t="s">
        <v>3</v>
      </c>
      <c r="C759" s="7" t="s">
        <v>85</v>
      </c>
      <c r="D759" s="7" t="s">
        <v>102</v>
      </c>
      <c r="E759" s="7" t="s">
        <v>492</v>
      </c>
      <c r="F759" s="7" t="s">
        <v>1062</v>
      </c>
    </row>
    <row r="760" spans="2:6">
      <c r="B760" s="7" t="s">
        <v>3</v>
      </c>
      <c r="C760" s="7" t="s">
        <v>85</v>
      </c>
      <c r="D760" s="7" t="s">
        <v>102</v>
      </c>
      <c r="E760" s="7" t="s">
        <v>590</v>
      </c>
      <c r="F760" s="7" t="s">
        <v>1063</v>
      </c>
    </row>
    <row r="761" spans="2:6">
      <c r="B761" s="7" t="s">
        <v>3</v>
      </c>
      <c r="C761" s="7" t="s">
        <v>85</v>
      </c>
      <c r="D761" s="7" t="s">
        <v>102</v>
      </c>
      <c r="E761" s="7" t="s">
        <v>761</v>
      </c>
      <c r="F761" s="7" t="s">
        <v>1064</v>
      </c>
    </row>
    <row r="762" spans="2:6">
      <c r="B762" s="7" t="s">
        <v>3</v>
      </c>
      <c r="C762" s="7" t="s">
        <v>85</v>
      </c>
      <c r="D762" s="7" t="s">
        <v>102</v>
      </c>
      <c r="E762" s="7" t="s">
        <v>763</v>
      </c>
      <c r="F762" s="7" t="s">
        <v>1065</v>
      </c>
    </row>
    <row r="763" spans="2:6">
      <c r="B763" s="7" t="s">
        <v>3</v>
      </c>
      <c r="C763" s="7" t="s">
        <v>85</v>
      </c>
      <c r="D763" s="7" t="s">
        <v>102</v>
      </c>
      <c r="E763" s="7" t="s">
        <v>1033</v>
      </c>
      <c r="F763" s="7" t="s">
        <v>1066</v>
      </c>
    </row>
    <row r="764" spans="2:6">
      <c r="B764" s="7" t="s">
        <v>3</v>
      </c>
      <c r="C764" s="7" t="s">
        <v>85</v>
      </c>
      <c r="D764" s="7" t="s">
        <v>102</v>
      </c>
      <c r="E764" s="7" t="s">
        <v>1035</v>
      </c>
      <c r="F764" s="7" t="s">
        <v>1067</v>
      </c>
    </row>
    <row r="765" spans="2:6">
      <c r="B765" s="7" t="s">
        <v>3</v>
      </c>
      <c r="C765" s="7" t="s">
        <v>85</v>
      </c>
      <c r="D765" s="7" t="s">
        <v>102</v>
      </c>
      <c r="E765" s="7" t="s">
        <v>1037</v>
      </c>
      <c r="F765" s="7" t="s">
        <v>1068</v>
      </c>
    </row>
    <row r="766" spans="2:6">
      <c r="B766" s="7" t="s">
        <v>3</v>
      </c>
      <c r="C766" s="7" t="s">
        <v>85</v>
      </c>
      <c r="D766" s="7" t="s">
        <v>102</v>
      </c>
      <c r="E766" s="7" t="s">
        <v>1039</v>
      </c>
      <c r="F766" s="7" t="s">
        <v>1069</v>
      </c>
    </row>
    <row r="767" spans="2:6">
      <c r="B767" s="7" t="s">
        <v>3</v>
      </c>
      <c r="C767" s="7" t="s">
        <v>85</v>
      </c>
      <c r="D767" s="7" t="s">
        <v>102</v>
      </c>
      <c r="E767" s="7" t="s">
        <v>1041</v>
      </c>
      <c r="F767" s="7" t="s">
        <v>1070</v>
      </c>
    </row>
    <row r="768" spans="2:6">
      <c r="B768" s="7" t="s">
        <v>3</v>
      </c>
      <c r="C768" s="7" t="s">
        <v>85</v>
      </c>
      <c r="D768" s="7" t="s">
        <v>102</v>
      </c>
      <c r="E768" s="7" t="s">
        <v>1043</v>
      </c>
      <c r="F768" s="7" t="s">
        <v>1071</v>
      </c>
    </row>
    <row r="769" spans="2:6">
      <c r="B769" s="7" t="s">
        <v>3</v>
      </c>
      <c r="C769" s="7" t="s">
        <v>85</v>
      </c>
      <c r="D769" s="7" t="s">
        <v>102</v>
      </c>
      <c r="E769" s="7" t="s">
        <v>1045</v>
      </c>
      <c r="F769" s="7" t="s">
        <v>1072</v>
      </c>
    </row>
    <row r="770" spans="2:6">
      <c r="B770" s="7" t="s">
        <v>3</v>
      </c>
      <c r="C770" s="7" t="s">
        <v>85</v>
      </c>
      <c r="D770" s="7" t="s">
        <v>102</v>
      </c>
      <c r="E770" s="7" t="s">
        <v>1047</v>
      </c>
      <c r="F770" s="7" t="s">
        <v>1073</v>
      </c>
    </row>
    <row r="771" spans="2:6">
      <c r="B771" s="7" t="s">
        <v>3</v>
      </c>
      <c r="C771" s="7" t="s">
        <v>85</v>
      </c>
      <c r="D771" s="7" t="s">
        <v>102</v>
      </c>
      <c r="E771" s="7" t="s">
        <v>1049</v>
      </c>
      <c r="F771" s="7" t="s">
        <v>1074</v>
      </c>
    </row>
    <row r="772" spans="2:6">
      <c r="B772" s="7" t="s">
        <v>3</v>
      </c>
      <c r="C772" s="7" t="s">
        <v>85</v>
      </c>
      <c r="D772" s="7" t="s">
        <v>102</v>
      </c>
      <c r="E772" s="7" t="s">
        <v>1051</v>
      </c>
      <c r="F772" s="7" t="s">
        <v>1075</v>
      </c>
    </row>
    <row r="773" spans="2:6">
      <c r="B773" s="7" t="s">
        <v>3</v>
      </c>
      <c r="C773" s="7" t="s">
        <v>85</v>
      </c>
      <c r="D773" s="7" t="s">
        <v>102</v>
      </c>
      <c r="E773" s="7" t="s">
        <v>1055</v>
      </c>
      <c r="F773" s="7" t="s">
        <v>1076</v>
      </c>
    </row>
    <row r="774" spans="2:6">
      <c r="B774" s="7" t="s">
        <v>3</v>
      </c>
      <c r="C774" s="7" t="s">
        <v>85</v>
      </c>
      <c r="D774" s="7" t="s">
        <v>102</v>
      </c>
      <c r="E774" s="7" t="s">
        <v>1053</v>
      </c>
      <c r="F774" s="7" t="s">
        <v>1077</v>
      </c>
    </row>
    <row r="775" spans="2:6">
      <c r="B775" s="7" t="s">
        <v>3</v>
      </c>
      <c r="C775" s="7" t="s">
        <v>85</v>
      </c>
      <c r="D775" s="7" t="s">
        <v>102</v>
      </c>
      <c r="E775" s="7" t="s">
        <v>1078</v>
      </c>
      <c r="F775" s="7" t="s">
        <v>1079</v>
      </c>
    </row>
    <row r="776" spans="2:6">
      <c r="B776" s="7" t="s">
        <v>3</v>
      </c>
      <c r="C776" s="7" t="s">
        <v>85</v>
      </c>
      <c r="D776" s="7" t="s">
        <v>103</v>
      </c>
      <c r="E776" s="7" t="s">
        <v>5</v>
      </c>
      <c r="F776" s="7" t="s">
        <v>5</v>
      </c>
    </row>
    <row r="777" spans="2:6">
      <c r="B777" s="7" t="s">
        <v>3</v>
      </c>
      <c r="C777" s="7" t="s">
        <v>86</v>
      </c>
      <c r="D777" s="7" t="s">
        <v>102</v>
      </c>
      <c r="E777" s="7" t="s">
        <v>1080</v>
      </c>
      <c r="F777" s="7" t="s">
        <v>1081</v>
      </c>
    </row>
    <row r="778" spans="2:6">
      <c r="B778" s="7" t="s">
        <v>3</v>
      </c>
      <c r="C778" s="7" t="s">
        <v>86</v>
      </c>
      <c r="D778" s="7" t="s">
        <v>102</v>
      </c>
      <c r="E778" s="7" t="s">
        <v>1082</v>
      </c>
      <c r="F778" s="7" t="s">
        <v>1083</v>
      </c>
    </row>
    <row r="779" spans="2:6">
      <c r="B779" s="7" t="s">
        <v>3</v>
      </c>
      <c r="C779" s="7" t="s">
        <v>86</v>
      </c>
      <c r="D779" s="7" t="s">
        <v>103</v>
      </c>
      <c r="E779" s="7" t="s">
        <v>5</v>
      </c>
      <c r="F779" s="7" t="s">
        <v>5</v>
      </c>
    </row>
    <row r="780" spans="2:6">
      <c r="B780" s="7" t="s">
        <v>3</v>
      </c>
      <c r="C780" s="7" t="s">
        <v>87</v>
      </c>
      <c r="D780" s="7" t="s">
        <v>102</v>
      </c>
      <c r="E780" s="7" t="s">
        <v>5</v>
      </c>
      <c r="F780" s="7" t="s">
        <v>5</v>
      </c>
    </row>
    <row r="781" spans="2:6">
      <c r="B781" s="7" t="s">
        <v>3</v>
      </c>
      <c r="C781" s="7" t="s">
        <v>87</v>
      </c>
      <c r="D781" s="7" t="s">
        <v>103</v>
      </c>
      <c r="E781" s="7" t="s">
        <v>1084</v>
      </c>
      <c r="F781" s="7" t="s">
        <v>893</v>
      </c>
    </row>
    <row r="782" spans="2:6">
      <c r="B782" s="7" t="s">
        <v>3</v>
      </c>
      <c r="C782" s="7" t="s">
        <v>87</v>
      </c>
      <c r="D782" s="7" t="s">
        <v>103</v>
      </c>
      <c r="E782" s="7" t="s">
        <v>894</v>
      </c>
      <c r="F782" s="7" t="s">
        <v>895</v>
      </c>
    </row>
    <row r="783" spans="2:6">
      <c r="B783" s="7" t="s">
        <v>3</v>
      </c>
      <c r="C783" s="7" t="s">
        <v>87</v>
      </c>
      <c r="D783" s="7" t="s">
        <v>103</v>
      </c>
      <c r="E783" s="7" t="s">
        <v>1085</v>
      </c>
      <c r="F783" s="7" t="s">
        <v>897</v>
      </c>
    </row>
    <row r="784" spans="2:6">
      <c r="B784" s="7" t="s">
        <v>3</v>
      </c>
      <c r="C784" s="7" t="s">
        <v>88</v>
      </c>
      <c r="D784" s="7" t="s">
        <v>102</v>
      </c>
      <c r="E784" s="7" t="s">
        <v>1086</v>
      </c>
      <c r="F784" s="7" t="s">
        <v>888</v>
      </c>
    </row>
    <row r="785" spans="2:6">
      <c r="B785" s="7" t="s">
        <v>3</v>
      </c>
      <c r="C785" s="7" t="s">
        <v>88</v>
      </c>
      <c r="D785" s="7" t="s">
        <v>103</v>
      </c>
      <c r="E785" s="7" t="s">
        <v>5</v>
      </c>
      <c r="F785" s="7" t="s">
        <v>5</v>
      </c>
    </row>
    <row r="786" spans="2:6">
      <c r="B786" s="7" t="s">
        <v>3</v>
      </c>
      <c r="C786" s="7" t="s">
        <v>89</v>
      </c>
      <c r="D786" s="7" t="s">
        <v>102</v>
      </c>
      <c r="E786" s="7" t="s">
        <v>1087</v>
      </c>
      <c r="F786" s="7" t="s">
        <v>1088</v>
      </c>
    </row>
    <row r="787" spans="2:6">
      <c r="B787" s="7" t="s">
        <v>3</v>
      </c>
      <c r="C787" s="7" t="s">
        <v>89</v>
      </c>
      <c r="D787" s="7" t="s">
        <v>103</v>
      </c>
      <c r="E787" s="7" t="s">
        <v>5</v>
      </c>
      <c r="F787" s="7" t="s">
        <v>5</v>
      </c>
    </row>
    <row r="788" spans="2:6">
      <c r="B788" s="7" t="s">
        <v>3</v>
      </c>
      <c r="C788" s="7" t="s">
        <v>90</v>
      </c>
      <c r="D788" s="7" t="s">
        <v>102</v>
      </c>
      <c r="E788" s="7" t="s">
        <v>1089</v>
      </c>
      <c r="F788" s="7" t="s">
        <v>1090</v>
      </c>
    </row>
    <row r="789" spans="2:6">
      <c r="B789" s="7" t="s">
        <v>3</v>
      </c>
      <c r="C789" s="7" t="s">
        <v>90</v>
      </c>
      <c r="D789" s="7" t="s">
        <v>103</v>
      </c>
      <c r="E789" s="7" t="s">
        <v>5</v>
      </c>
      <c r="F789" s="7" t="s">
        <v>5</v>
      </c>
    </row>
    <row r="790" spans="2:6">
      <c r="B790" s="7" t="s">
        <v>3</v>
      </c>
      <c r="C790" s="7" t="s">
        <v>91</v>
      </c>
      <c r="D790" s="7" t="s">
        <v>102</v>
      </c>
      <c r="E790" s="7" t="s">
        <v>5</v>
      </c>
      <c r="F790" s="7" t="s">
        <v>5</v>
      </c>
    </row>
    <row r="791" spans="2:6">
      <c r="B791" s="7" t="s">
        <v>3</v>
      </c>
      <c r="C791" s="7" t="s">
        <v>91</v>
      </c>
      <c r="D791" s="7" t="s">
        <v>103</v>
      </c>
      <c r="E791" s="7" t="s">
        <v>5</v>
      </c>
      <c r="F791" s="7" t="s">
        <v>5</v>
      </c>
    </row>
    <row r="792" spans="2:6">
      <c r="B792" s="7" t="s">
        <v>3</v>
      </c>
      <c r="C792" s="7" t="s">
        <v>1091</v>
      </c>
      <c r="D792" s="7" t="s">
        <v>102</v>
      </c>
      <c r="E792" s="7" t="s">
        <v>5</v>
      </c>
      <c r="F792" s="7" t="s">
        <v>5</v>
      </c>
    </row>
    <row r="793" spans="2:6">
      <c r="B793" s="7" t="s">
        <v>3</v>
      </c>
      <c r="C793" s="7" t="s">
        <v>1091</v>
      </c>
      <c r="D793" s="7" t="s">
        <v>103</v>
      </c>
      <c r="E793" s="7" t="s">
        <v>1092</v>
      </c>
      <c r="F793" s="7" t="s">
        <v>1093</v>
      </c>
    </row>
    <row r="794" spans="2:6">
      <c r="B794" s="7" t="s">
        <v>3</v>
      </c>
      <c r="C794" s="7" t="s">
        <v>1091</v>
      </c>
      <c r="D794" s="7" t="s">
        <v>103</v>
      </c>
      <c r="E794" s="7" t="s">
        <v>1043</v>
      </c>
      <c r="F794" s="7" t="s">
        <v>1094</v>
      </c>
    </row>
    <row r="795" spans="2:6">
      <c r="B795" s="7" t="s">
        <v>3</v>
      </c>
      <c r="C795" s="7" t="s">
        <v>92</v>
      </c>
      <c r="D795" s="7" t="s">
        <v>102</v>
      </c>
      <c r="E795" s="7" t="s">
        <v>500</v>
      </c>
      <c r="F795" s="7" t="s">
        <v>478</v>
      </c>
    </row>
    <row r="796" spans="2:6">
      <c r="B796" s="7" t="s">
        <v>3</v>
      </c>
      <c r="C796" s="7" t="s">
        <v>92</v>
      </c>
      <c r="D796" s="7" t="s">
        <v>102</v>
      </c>
      <c r="E796" s="7" t="s">
        <v>502</v>
      </c>
      <c r="F796" s="7" t="s">
        <v>1095</v>
      </c>
    </row>
    <row r="797" spans="2:6">
      <c r="B797" s="7" t="s">
        <v>3</v>
      </c>
      <c r="C797" s="7" t="s">
        <v>92</v>
      </c>
      <c r="D797" s="7" t="s">
        <v>103</v>
      </c>
      <c r="E797" s="7" t="s">
        <v>1096</v>
      </c>
      <c r="F797" s="7" t="s">
        <v>1097</v>
      </c>
    </row>
    <row r="798" spans="2:6">
      <c r="B798" s="7" t="s">
        <v>3</v>
      </c>
      <c r="C798" s="7" t="s">
        <v>92</v>
      </c>
      <c r="D798" s="7" t="s">
        <v>103</v>
      </c>
      <c r="E798" s="7" t="s">
        <v>496</v>
      </c>
      <c r="F798" s="7" t="s">
        <v>1098</v>
      </c>
    </row>
    <row r="799" spans="2:6">
      <c r="B799" s="7" t="s">
        <v>3</v>
      </c>
      <c r="C799" s="7" t="s">
        <v>93</v>
      </c>
      <c r="D799" s="7" t="s">
        <v>102</v>
      </c>
      <c r="E799" s="7" t="s">
        <v>537</v>
      </c>
      <c r="F799" s="7"/>
    </row>
    <row r="800" spans="2:6">
      <c r="B800" s="7" t="s">
        <v>3</v>
      </c>
      <c r="C800" s="7" t="s">
        <v>93</v>
      </c>
      <c r="D800" s="7" t="s">
        <v>102</v>
      </c>
      <c r="E800" s="7" t="s">
        <v>477</v>
      </c>
      <c r="F800" s="7" t="s">
        <v>478</v>
      </c>
    </row>
    <row r="801" spans="2:6">
      <c r="B801" s="7" t="s">
        <v>3</v>
      </c>
      <c r="C801" s="7" t="s">
        <v>93</v>
      </c>
      <c r="D801" s="7" t="s">
        <v>102</v>
      </c>
      <c r="E801" s="7" t="s">
        <v>479</v>
      </c>
      <c r="F801" s="7" t="s">
        <v>1095</v>
      </c>
    </row>
    <row r="802" spans="2:6">
      <c r="B802" s="7" t="s">
        <v>3</v>
      </c>
      <c r="C802" s="7" t="s">
        <v>93</v>
      </c>
      <c r="D802" s="7" t="s">
        <v>103</v>
      </c>
      <c r="E802" s="7" t="s">
        <v>483</v>
      </c>
      <c r="F802" s="7" t="s">
        <v>1099</v>
      </c>
    </row>
    <row r="803" spans="2:6">
      <c r="B803" s="7" t="s">
        <v>3</v>
      </c>
      <c r="C803" s="7" t="s">
        <v>93</v>
      </c>
      <c r="D803" s="7" t="s">
        <v>103</v>
      </c>
      <c r="E803" s="7" t="s">
        <v>1096</v>
      </c>
      <c r="F803" s="7" t="s">
        <v>1100</v>
      </c>
    </row>
    <row r="804" spans="2:6">
      <c r="B804" s="7" t="s">
        <v>3</v>
      </c>
      <c r="C804" s="7" t="s">
        <v>94</v>
      </c>
      <c r="D804" s="7" t="s">
        <v>102</v>
      </c>
      <c r="E804" s="7" t="s">
        <v>5</v>
      </c>
      <c r="F804" s="7" t="s">
        <v>5</v>
      </c>
    </row>
    <row r="805" spans="2:6">
      <c r="B805" s="7" t="s">
        <v>3</v>
      </c>
      <c r="C805" s="7" t="s">
        <v>94</v>
      </c>
      <c r="D805" s="7" t="s">
        <v>103</v>
      </c>
      <c r="E805" s="7" t="s">
        <v>1101</v>
      </c>
      <c r="F805" s="7" t="s">
        <v>1102</v>
      </c>
    </row>
    <row r="806" spans="2:6">
      <c r="B806" s="7" t="s">
        <v>3</v>
      </c>
      <c r="C806" s="7" t="s">
        <v>94</v>
      </c>
      <c r="D806" s="7" t="s">
        <v>103</v>
      </c>
      <c r="E806" s="7" t="s">
        <v>1103</v>
      </c>
      <c r="F806" s="7" t="s">
        <v>1104</v>
      </c>
    </row>
    <row r="807" spans="2:6">
      <c r="B807" s="7" t="s">
        <v>3</v>
      </c>
      <c r="C807" s="7" t="s">
        <v>94</v>
      </c>
      <c r="D807" s="7" t="s">
        <v>103</v>
      </c>
      <c r="E807" s="7" t="s">
        <v>1105</v>
      </c>
      <c r="F807" s="7" t="s">
        <v>1106</v>
      </c>
    </row>
    <row r="808" spans="2:6">
      <c r="B808" s="7" t="s">
        <v>3</v>
      </c>
      <c r="C808" s="7" t="s">
        <v>94</v>
      </c>
      <c r="D808" s="7" t="s">
        <v>103</v>
      </c>
      <c r="E808" s="7" t="s">
        <v>1107</v>
      </c>
      <c r="F808" s="7" t="s">
        <v>1108</v>
      </c>
    </row>
    <row r="809" spans="2:6">
      <c r="B809" s="7" t="s">
        <v>3</v>
      </c>
      <c r="C809" s="7" t="s">
        <v>94</v>
      </c>
      <c r="D809" s="7" t="s">
        <v>103</v>
      </c>
      <c r="E809" s="7" t="s">
        <v>1092</v>
      </c>
      <c r="F809" s="7" t="s">
        <v>1109</v>
      </c>
    </row>
    <row r="810" spans="2:6">
      <c r="B810" s="7" t="s">
        <v>3</v>
      </c>
      <c r="C810" s="7" t="s">
        <v>94</v>
      </c>
      <c r="D810" s="7" t="s">
        <v>103</v>
      </c>
      <c r="E810" s="7" t="s">
        <v>1110</v>
      </c>
      <c r="F810" s="7" t="s">
        <v>1111</v>
      </c>
    </row>
    <row r="811" spans="2:6">
      <c r="B811" s="7" t="s">
        <v>3</v>
      </c>
      <c r="C811" s="7" t="s">
        <v>94</v>
      </c>
      <c r="D811" s="7" t="s">
        <v>103</v>
      </c>
      <c r="E811" s="7" t="s">
        <v>1112</v>
      </c>
      <c r="F811" s="7" t="s">
        <v>1113</v>
      </c>
    </row>
    <row r="812" spans="2:6">
      <c r="B812" s="7" t="s">
        <v>3</v>
      </c>
      <c r="C812" s="7" t="s">
        <v>94</v>
      </c>
      <c r="D812" s="7" t="s">
        <v>103</v>
      </c>
      <c r="E812" s="7" t="s">
        <v>1114</v>
      </c>
      <c r="F812" s="7" t="s">
        <v>1115</v>
      </c>
    </row>
    <row r="813" spans="2:6">
      <c r="B813" s="7" t="s">
        <v>3</v>
      </c>
      <c r="C813" s="7" t="s">
        <v>94</v>
      </c>
      <c r="D813" s="7" t="s">
        <v>103</v>
      </c>
      <c r="E813" s="7" t="s">
        <v>1116</v>
      </c>
      <c r="F813" s="7" t="s">
        <v>1117</v>
      </c>
    </row>
    <row r="814" spans="2:6">
      <c r="B814" s="2"/>
    </row>
    <row r="815" spans="2:6">
      <c r="B815" s="2"/>
    </row>
    <row r="816" spans="2:6">
      <c r="B816" s="2"/>
    </row>
    <row r="817" spans="2:2">
      <c r="B817" s="2"/>
    </row>
    <row r="818" spans="2:2">
      <c r="B818" s="2"/>
    </row>
    <row r="819" spans="2:2">
      <c r="B819" s="2"/>
    </row>
    <row r="820" spans="2:2">
      <c r="B820" s="2"/>
    </row>
    <row r="821" spans="2:2">
      <c r="B821" s="2"/>
    </row>
    <row r="822" spans="2:2">
      <c r="B822" s="2"/>
    </row>
    <row r="823" spans="2:2">
      <c r="B823" s="2"/>
    </row>
    <row r="824" spans="2:2">
      <c r="B824" s="2"/>
    </row>
    <row r="825" spans="2:2">
      <c r="B825" s="2"/>
    </row>
    <row r="826" spans="2:2">
      <c r="B826" s="2"/>
    </row>
    <row r="827" spans="2:2">
      <c r="B827" s="2"/>
    </row>
    <row r="828" spans="2:2">
      <c r="B828" s="2"/>
    </row>
    <row r="829" spans="2:2">
      <c r="B829" s="2"/>
    </row>
    <row r="830" spans="2:2">
      <c r="B830" s="2"/>
    </row>
    <row r="831" spans="2:2">
      <c r="B831" s="2"/>
    </row>
    <row r="832" spans="2:2">
      <c r="B832" s="2"/>
    </row>
    <row r="833" spans="2:2">
      <c r="B833" s="2"/>
    </row>
    <row r="834" spans="2:2">
      <c r="B834" s="2"/>
    </row>
    <row r="835" spans="2:2">
      <c r="B835" s="2"/>
    </row>
    <row r="836" spans="2:2">
      <c r="B836" s="2"/>
    </row>
    <row r="837" spans="2:2">
      <c r="B837" s="2"/>
    </row>
    <row r="838" spans="2:2">
      <c r="B838" s="2"/>
    </row>
    <row r="839" spans="2:2">
      <c r="B839" s="2"/>
    </row>
    <row r="840" spans="2:2">
      <c r="B840" s="2"/>
    </row>
    <row r="841" spans="2:2">
      <c r="B841" s="2"/>
    </row>
    <row r="842" spans="2:2">
      <c r="B842" s="2"/>
    </row>
    <row r="843" spans="2:2">
      <c r="B843" s="2"/>
    </row>
    <row r="844" spans="2:2">
      <c r="B844" s="2"/>
    </row>
    <row r="845" spans="2:2">
      <c r="B845" s="2"/>
    </row>
    <row r="846" spans="2:2">
      <c r="B846" s="2"/>
    </row>
    <row r="847" spans="2:2">
      <c r="B847" s="2"/>
    </row>
    <row r="848" spans="2:2">
      <c r="B848" s="2"/>
    </row>
    <row r="849" spans="2:2">
      <c r="B849" s="2"/>
    </row>
    <row r="850" spans="2:2">
      <c r="B850" s="2"/>
    </row>
    <row r="851" spans="2:2">
      <c r="B851" s="2"/>
    </row>
    <row r="852" spans="2:2">
      <c r="B852" s="2"/>
    </row>
    <row r="853" spans="2:2">
      <c r="B853" s="2"/>
    </row>
    <row r="854" spans="2:2">
      <c r="B854" s="2"/>
    </row>
    <row r="855" spans="2:2">
      <c r="B855" s="2"/>
    </row>
    <row r="856" spans="2:2">
      <c r="B856" s="2"/>
    </row>
    <row r="857" spans="2:2">
      <c r="B857" s="2"/>
    </row>
    <row r="858" spans="2:2">
      <c r="B858" s="2"/>
    </row>
    <row r="859" spans="2:2">
      <c r="B859" s="2"/>
    </row>
    <row r="860" spans="2:2">
      <c r="B860" s="2"/>
    </row>
    <row r="861" spans="2:2">
      <c r="B861" s="2"/>
    </row>
    <row r="862" spans="2:2">
      <c r="B862" s="2"/>
    </row>
    <row r="863" spans="2:2">
      <c r="B863" s="2"/>
    </row>
    <row r="864" spans="2:2">
      <c r="B864" s="2"/>
    </row>
    <row r="865" spans="2:2">
      <c r="B865" s="2"/>
    </row>
    <row r="866" spans="2:2">
      <c r="B866" s="2"/>
    </row>
    <row r="867" spans="2:2">
      <c r="B867" s="2"/>
    </row>
    <row r="868" spans="2:2">
      <c r="B868" s="2"/>
    </row>
    <row r="869" spans="2:2">
      <c r="B869" s="2"/>
    </row>
    <row r="870" spans="2:2">
      <c r="B870" s="2"/>
    </row>
    <row r="871" spans="2:2">
      <c r="B871" s="2"/>
    </row>
    <row r="872" spans="2:2">
      <c r="B872" s="2"/>
    </row>
    <row r="873" spans="2:2">
      <c r="B873" s="2"/>
    </row>
    <row r="874" spans="2:2">
      <c r="B874" s="2"/>
    </row>
    <row r="875" spans="2:2">
      <c r="B875" s="2"/>
    </row>
    <row r="876" spans="2:2">
      <c r="B876" s="2"/>
    </row>
    <row r="877" spans="2:2">
      <c r="B877" s="2"/>
    </row>
    <row r="878" spans="2:2">
      <c r="B878" s="2"/>
    </row>
    <row r="879" spans="2:2">
      <c r="B879" s="2"/>
    </row>
    <row r="880" spans="2:2">
      <c r="B880" s="2"/>
    </row>
    <row r="881" spans="2:2">
      <c r="B881" s="2"/>
    </row>
    <row r="882" spans="2:2">
      <c r="B882" s="2"/>
    </row>
    <row r="883" spans="2:2">
      <c r="B883" s="2"/>
    </row>
    <row r="884" spans="2:2">
      <c r="B884" s="2"/>
    </row>
    <row r="885" spans="2:2">
      <c r="B885" s="2"/>
    </row>
    <row r="886" spans="2:2">
      <c r="B886" s="2"/>
    </row>
    <row r="887" spans="2:2">
      <c r="B887" s="2"/>
    </row>
    <row r="888" spans="2:2">
      <c r="B888" s="2"/>
    </row>
    <row r="889" spans="2:2">
      <c r="B889" s="2"/>
    </row>
    <row r="890" spans="2:2">
      <c r="B890" s="2"/>
    </row>
    <row r="891" spans="2:2">
      <c r="B891" s="2"/>
    </row>
    <row r="892" spans="2:2">
      <c r="B892" s="2"/>
    </row>
    <row r="893" spans="2:2">
      <c r="B893" s="2"/>
    </row>
    <row r="894" spans="2:2">
      <c r="B894" s="2"/>
    </row>
    <row r="895" spans="2:2">
      <c r="B895" s="2"/>
    </row>
    <row r="896" spans="2:2">
      <c r="B896" s="2"/>
    </row>
    <row r="897" spans="2:2">
      <c r="B897" s="2"/>
    </row>
    <row r="898" spans="2:2">
      <c r="B898" s="2"/>
    </row>
    <row r="899" spans="2:2">
      <c r="B899" s="2"/>
    </row>
    <row r="900" spans="2:2">
      <c r="B900" s="2"/>
    </row>
    <row r="901" spans="2:2">
      <c r="B901" s="2"/>
    </row>
    <row r="902" spans="2:2">
      <c r="B902" s="2"/>
    </row>
    <row r="903" spans="2:2">
      <c r="B903" s="2"/>
    </row>
    <row r="904" spans="2:2">
      <c r="B904" s="2"/>
    </row>
    <row r="905" spans="2:2">
      <c r="B905" s="2"/>
    </row>
    <row r="906" spans="2:2">
      <c r="B906" s="2"/>
    </row>
    <row r="907" spans="2:2">
      <c r="B907" s="2"/>
    </row>
    <row r="908" spans="2:2">
      <c r="B908" s="2"/>
    </row>
    <row r="909" spans="2:2">
      <c r="B909" s="2"/>
    </row>
    <row r="910" spans="2:2">
      <c r="B910" s="2"/>
    </row>
    <row r="911" spans="2:2">
      <c r="B911" s="2"/>
    </row>
    <row r="912" spans="2:2">
      <c r="B912" s="2"/>
    </row>
    <row r="913" spans="2:2">
      <c r="B913" s="2"/>
    </row>
    <row r="914" spans="2:2">
      <c r="B914" s="2"/>
    </row>
    <row r="915" spans="2:2">
      <c r="B915" s="2"/>
    </row>
    <row r="916" spans="2:2">
      <c r="B916" s="2"/>
    </row>
    <row r="917" spans="2:2">
      <c r="B917" s="2"/>
    </row>
    <row r="918" spans="2:2">
      <c r="B918" s="2"/>
    </row>
    <row r="919" spans="2:2">
      <c r="B919" s="2"/>
    </row>
    <row r="920" spans="2:2">
      <c r="B920" s="2"/>
    </row>
    <row r="921" spans="2:2">
      <c r="B921" s="2"/>
    </row>
    <row r="922" spans="2:2">
      <c r="B922" s="2"/>
    </row>
    <row r="923" spans="2:2">
      <c r="B923" s="2"/>
    </row>
    <row r="924" spans="2:2">
      <c r="B924" s="2"/>
    </row>
    <row r="925" spans="2:2">
      <c r="B925" s="2"/>
    </row>
    <row r="926" spans="2:2">
      <c r="B926" s="2"/>
    </row>
    <row r="927" spans="2:2">
      <c r="B927" s="2"/>
    </row>
    <row r="928" spans="2:2">
      <c r="B928" s="2"/>
    </row>
    <row r="929" spans="2:2">
      <c r="B929" s="2"/>
    </row>
    <row r="930" spans="2:2">
      <c r="B930" s="2"/>
    </row>
    <row r="931" spans="2:2">
      <c r="B931" s="2"/>
    </row>
    <row r="932" spans="2:2">
      <c r="B932" s="2"/>
    </row>
    <row r="933" spans="2:2">
      <c r="B933" s="2"/>
    </row>
    <row r="934" spans="2:2">
      <c r="B934" s="2"/>
    </row>
    <row r="935" spans="2:2">
      <c r="B935" s="2"/>
    </row>
    <row r="936" spans="2:2">
      <c r="B936" s="2"/>
    </row>
    <row r="937" spans="2:2">
      <c r="B937" s="2"/>
    </row>
    <row r="938" spans="2:2">
      <c r="B938" s="2"/>
    </row>
    <row r="939" spans="2:2">
      <c r="B939" s="2"/>
    </row>
    <row r="940" spans="2:2">
      <c r="B940" s="2"/>
    </row>
    <row r="941" spans="2:2">
      <c r="B941" s="2"/>
    </row>
    <row r="942" spans="2:2">
      <c r="B942" s="2"/>
    </row>
    <row r="943" spans="2:2">
      <c r="B943" s="2"/>
    </row>
    <row r="944" spans="2:2">
      <c r="B944" s="2"/>
    </row>
    <row r="945" spans="2:2">
      <c r="B945" s="2"/>
    </row>
    <row r="946" spans="2:2">
      <c r="B946" s="2"/>
    </row>
    <row r="947" spans="2:2">
      <c r="B947" s="2"/>
    </row>
    <row r="948" spans="2:2">
      <c r="B948" s="2"/>
    </row>
    <row r="949" spans="2:2">
      <c r="B949" s="2"/>
    </row>
    <row r="950" spans="2:2">
      <c r="B950" s="2"/>
    </row>
    <row r="951" spans="2:2">
      <c r="B951" s="2"/>
    </row>
    <row r="952" spans="2:2">
      <c r="B952" s="2"/>
    </row>
    <row r="953" spans="2:2">
      <c r="B953" s="2"/>
    </row>
    <row r="954" spans="2:2">
      <c r="B954" s="2"/>
    </row>
    <row r="955" spans="2:2">
      <c r="B955" s="2"/>
    </row>
    <row r="956" spans="2:2">
      <c r="B956" s="2"/>
    </row>
    <row r="957" spans="2:2">
      <c r="B957" s="2"/>
    </row>
    <row r="958" spans="2:2">
      <c r="B958" s="2"/>
    </row>
    <row r="959" spans="2:2">
      <c r="B959" s="2"/>
    </row>
    <row r="960" spans="2:2">
      <c r="B960" s="2"/>
    </row>
    <row r="961" spans="2:2">
      <c r="B961" s="2"/>
    </row>
    <row r="962" spans="2:2">
      <c r="B962" s="2"/>
    </row>
    <row r="963" spans="2:2">
      <c r="B963" s="2"/>
    </row>
    <row r="964" spans="2:2">
      <c r="B964" s="2"/>
    </row>
    <row r="965" spans="2:2">
      <c r="B965" s="2"/>
    </row>
    <row r="966" spans="2:2">
      <c r="B966" s="2"/>
    </row>
    <row r="967" spans="2:2">
      <c r="B967" s="2"/>
    </row>
    <row r="968" spans="2:2">
      <c r="B968" s="2"/>
    </row>
    <row r="969" spans="2:2">
      <c r="B969" s="2"/>
    </row>
    <row r="970" spans="2:2">
      <c r="B970" s="2"/>
    </row>
    <row r="971" spans="2:2">
      <c r="B971" s="2"/>
    </row>
    <row r="972" spans="2:2">
      <c r="B972" s="2"/>
    </row>
    <row r="973" spans="2:2">
      <c r="B973" s="2"/>
    </row>
    <row r="974" spans="2:2">
      <c r="B974" s="2"/>
    </row>
    <row r="975" spans="2:2">
      <c r="B975" s="2"/>
    </row>
    <row r="976" spans="2:2">
      <c r="B976" s="2"/>
    </row>
    <row r="977" spans="2:2">
      <c r="B977" s="2"/>
    </row>
    <row r="978" spans="2:2">
      <c r="B978" s="2"/>
    </row>
    <row r="979" spans="2:2">
      <c r="B979" s="2"/>
    </row>
    <row r="980" spans="2:2">
      <c r="B980" s="2"/>
    </row>
    <row r="981" spans="2:2">
      <c r="B981" s="2"/>
    </row>
    <row r="982" spans="2:2">
      <c r="B982" s="2"/>
    </row>
    <row r="983" spans="2:2">
      <c r="B983" s="2"/>
    </row>
    <row r="984" spans="2:2">
      <c r="B984" s="2"/>
    </row>
    <row r="985" spans="2:2">
      <c r="B985" s="2"/>
    </row>
    <row r="986" spans="2:2">
      <c r="B986" s="2"/>
    </row>
    <row r="987" spans="2:2">
      <c r="B987" s="2"/>
    </row>
    <row r="988" spans="2:2">
      <c r="B988" s="2"/>
    </row>
    <row r="989" spans="2:2">
      <c r="B989" s="2"/>
    </row>
    <row r="990" spans="2:2">
      <c r="B990" s="2"/>
    </row>
    <row r="991" spans="2:2">
      <c r="B991" s="2"/>
    </row>
    <row r="992" spans="2:2">
      <c r="B992" s="2"/>
    </row>
    <row r="993" spans="2:2">
      <c r="B993" s="2"/>
    </row>
    <row r="994" spans="2:2">
      <c r="B994" s="2"/>
    </row>
    <row r="995" spans="2:2">
      <c r="B995" s="2"/>
    </row>
    <row r="996" spans="2:2">
      <c r="B996" s="2"/>
    </row>
    <row r="997" spans="2:2">
      <c r="B997" s="2"/>
    </row>
    <row r="998" spans="2:2">
      <c r="B998" s="2"/>
    </row>
    <row r="999" spans="2:2">
      <c r="B999" s="2"/>
    </row>
    <row r="1000" spans="2:2">
      <c r="B1000" s="2"/>
    </row>
  </sheetData>
  <autoFilter ref="B3:F3" xr:uid="{00000000-0009-0000-0000-000001000000}"/>
  <mergeCells count="1">
    <mergeCell ref="B2:F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Lists!$I$10:$I$11</xm:f>
          </x14:formula1>
          <xm:sqref>B4:B1000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ED81-442C-E342-AE47-90E343FA56CE}">
  <dimension ref="A1:L268"/>
  <sheetViews>
    <sheetView topLeftCell="C1" zoomScaleNormal="100" workbookViewId="0">
      <pane ySplit="1" topLeftCell="A163" activePane="bottomLeft" state="frozen"/>
      <selection pane="bottomLeft" activeCell="G167" sqref="G167"/>
    </sheetView>
  </sheetViews>
  <sheetFormatPr baseColWidth="10" defaultColWidth="3.83203125" defaultRowHeight="19"/>
  <cols>
    <col min="1" max="1" width="16.6640625" style="26" bestFit="1" customWidth="1"/>
    <col min="2" max="2" width="27.1640625" style="12" bestFit="1" customWidth="1"/>
    <col min="3" max="3" width="24.83203125" style="12" bestFit="1" customWidth="1"/>
    <col min="4" max="4" width="48.6640625" style="13" bestFit="1" customWidth="1"/>
    <col min="5" max="5" width="76.5" style="55" customWidth="1"/>
    <col min="6" max="6" width="30.33203125" style="16" customWidth="1"/>
    <col min="7" max="7" width="21.6640625" style="10" customWidth="1"/>
    <col min="8" max="8" width="17" style="21" customWidth="1"/>
    <col min="9" max="9" width="21.33203125" style="11" customWidth="1"/>
    <col min="10" max="10" width="18.5" style="10" customWidth="1"/>
    <col min="11" max="11" width="13" style="10" customWidth="1"/>
    <col min="12" max="12" width="10.83203125" style="10" customWidth="1"/>
    <col min="13" max="16384" width="3.83203125" style="11"/>
  </cols>
  <sheetData>
    <row r="1" spans="1:12" ht="20">
      <c r="A1" s="25" t="s">
        <v>1542</v>
      </c>
      <c r="B1" s="19" t="s">
        <v>1134</v>
      </c>
      <c r="C1" s="19" t="s">
        <v>1374</v>
      </c>
      <c r="D1" s="28" t="s">
        <v>1135</v>
      </c>
      <c r="E1" s="28" t="s">
        <v>1590</v>
      </c>
      <c r="F1" s="20" t="s">
        <v>12</v>
      </c>
      <c r="G1" s="19" t="s">
        <v>1373</v>
      </c>
      <c r="H1" s="20" t="s">
        <v>1387</v>
      </c>
      <c r="I1" s="58" t="s">
        <v>1591</v>
      </c>
      <c r="J1" s="19" t="s">
        <v>1133</v>
      </c>
      <c r="K1" s="19" t="s">
        <v>1136</v>
      </c>
      <c r="L1" s="19" t="s">
        <v>1405</v>
      </c>
    </row>
    <row r="2" spans="1:12" ht="40">
      <c r="A2" s="26">
        <v>1</v>
      </c>
      <c r="B2" s="12" t="s">
        <v>1403</v>
      </c>
      <c r="C2" s="12" t="s">
        <v>1122</v>
      </c>
      <c r="D2" s="36" t="s">
        <v>1196</v>
      </c>
      <c r="E2" s="62" t="s">
        <v>1720</v>
      </c>
      <c r="F2" s="21" t="s">
        <v>1197</v>
      </c>
      <c r="G2" s="37" t="s">
        <v>1592</v>
      </c>
      <c r="H2" s="21">
        <v>0</v>
      </c>
      <c r="I2" s="16" t="s">
        <v>10</v>
      </c>
      <c r="J2" s="57" t="s">
        <v>1593</v>
      </c>
      <c r="K2" s="57"/>
      <c r="L2" s="57"/>
    </row>
    <row r="3" spans="1:12" ht="40">
      <c r="A3" s="26">
        <v>1</v>
      </c>
      <c r="B3" s="12" t="s">
        <v>1403</v>
      </c>
      <c r="C3" s="12" t="s">
        <v>1122</v>
      </c>
      <c r="D3" s="36" t="s">
        <v>1698</v>
      </c>
      <c r="E3" s="62" t="s">
        <v>1699</v>
      </c>
      <c r="F3" s="21" t="s">
        <v>1394</v>
      </c>
      <c r="G3" s="70" t="s">
        <v>1592</v>
      </c>
      <c r="H3" s="21">
        <v>4</v>
      </c>
      <c r="I3" s="16" t="s">
        <v>10</v>
      </c>
      <c r="J3" s="57" t="s">
        <v>1706</v>
      </c>
      <c r="K3" s="57"/>
      <c r="L3" s="57"/>
    </row>
    <row r="4" spans="1:12" ht="76">
      <c r="A4" s="26">
        <v>1</v>
      </c>
      <c r="B4" s="12" t="s">
        <v>1403</v>
      </c>
      <c r="C4" s="12" t="s">
        <v>1122</v>
      </c>
      <c r="D4" s="36" t="s">
        <v>74</v>
      </c>
      <c r="E4" s="62" t="s">
        <v>1700</v>
      </c>
      <c r="F4" s="63" t="s">
        <v>1701</v>
      </c>
      <c r="G4" s="37" t="s">
        <v>1</v>
      </c>
      <c r="H4" s="21">
        <v>0</v>
      </c>
      <c r="I4" s="16"/>
      <c r="J4" s="57" t="s">
        <v>1593</v>
      </c>
      <c r="K4" s="57"/>
      <c r="L4" s="57"/>
    </row>
    <row r="5" spans="1:12" ht="60">
      <c r="A5" s="26">
        <v>1</v>
      </c>
      <c r="B5" s="12" t="s">
        <v>1403</v>
      </c>
      <c r="C5" s="12" t="s">
        <v>1122</v>
      </c>
      <c r="D5" s="36" t="s">
        <v>30</v>
      </c>
      <c r="E5" s="62" t="s">
        <v>1702</v>
      </c>
      <c r="F5" s="21" t="s">
        <v>1594</v>
      </c>
      <c r="G5" s="37" t="s">
        <v>1</v>
      </c>
      <c r="I5" s="16" t="s">
        <v>10</v>
      </c>
      <c r="J5" s="57" t="s">
        <v>1593</v>
      </c>
      <c r="K5" s="57"/>
      <c r="L5" s="57"/>
    </row>
    <row r="6" spans="1:12" ht="40">
      <c r="A6" s="26">
        <v>1</v>
      </c>
      <c r="B6" s="12" t="s">
        <v>1403</v>
      </c>
      <c r="C6" s="12" t="s">
        <v>1122</v>
      </c>
      <c r="D6" s="36" t="s">
        <v>41</v>
      </c>
      <c r="E6" s="62" t="s">
        <v>1721</v>
      </c>
      <c r="F6" s="59" t="s">
        <v>1393</v>
      </c>
      <c r="G6" s="37" t="s">
        <v>1592</v>
      </c>
      <c r="H6" s="21">
        <v>3</v>
      </c>
      <c r="I6" s="16" t="s">
        <v>10</v>
      </c>
      <c r="J6" s="57" t="s">
        <v>1593</v>
      </c>
      <c r="K6" s="57"/>
      <c r="L6" s="57"/>
    </row>
    <row r="7" spans="1:12" ht="60">
      <c r="A7" s="26">
        <v>1</v>
      </c>
      <c r="B7" s="12" t="s">
        <v>1403</v>
      </c>
      <c r="C7" s="12" t="s">
        <v>1122</v>
      </c>
      <c r="D7" s="36" t="s">
        <v>40</v>
      </c>
      <c r="E7" s="62" t="s">
        <v>1722</v>
      </c>
      <c r="F7" s="21" t="s">
        <v>1198</v>
      </c>
      <c r="G7" s="37" t="s">
        <v>1592</v>
      </c>
      <c r="H7" s="21">
        <v>0</v>
      </c>
      <c r="I7" s="16"/>
      <c r="J7" s="57" t="s">
        <v>1593</v>
      </c>
      <c r="K7" s="57"/>
      <c r="L7" s="57"/>
    </row>
    <row r="8" spans="1:12" ht="32">
      <c r="A8" s="26">
        <v>1</v>
      </c>
      <c r="B8" s="12" t="s">
        <v>1403</v>
      </c>
      <c r="C8" s="12" t="s">
        <v>1122</v>
      </c>
      <c r="D8" s="36" t="s">
        <v>1199</v>
      </c>
      <c r="E8" s="62" t="s">
        <v>1723</v>
      </c>
      <c r="F8" s="21" t="s">
        <v>1200</v>
      </c>
      <c r="G8" s="37" t="s">
        <v>1592</v>
      </c>
      <c r="H8" s="21">
        <v>0</v>
      </c>
      <c r="I8" s="16"/>
      <c r="J8" s="57" t="s">
        <v>1593</v>
      </c>
      <c r="K8" s="57"/>
      <c r="L8" s="57"/>
    </row>
    <row r="9" spans="1:12" ht="100">
      <c r="A9" s="26">
        <v>1</v>
      </c>
      <c r="B9" s="12" t="s">
        <v>1403</v>
      </c>
      <c r="C9" s="12" t="s">
        <v>1122</v>
      </c>
      <c r="D9" s="36" t="s">
        <v>75</v>
      </c>
      <c r="E9" s="62" t="s">
        <v>1724</v>
      </c>
      <c r="F9" s="21" t="s">
        <v>1707</v>
      </c>
      <c r="G9" s="37" t="s">
        <v>1592</v>
      </c>
      <c r="H9" s="21">
        <v>3</v>
      </c>
      <c r="I9" s="16"/>
      <c r="J9" s="57" t="s">
        <v>1593</v>
      </c>
      <c r="K9" s="57"/>
      <c r="L9" s="57"/>
    </row>
    <row r="10" spans="1:12" ht="40">
      <c r="A10" s="26">
        <v>1</v>
      </c>
      <c r="B10" s="12" t="s">
        <v>1403</v>
      </c>
      <c r="C10" s="12" t="s">
        <v>1122</v>
      </c>
      <c r="D10" s="36" t="s">
        <v>1206</v>
      </c>
      <c r="E10" s="62" t="s">
        <v>1725</v>
      </c>
      <c r="F10" s="21" t="s">
        <v>1207</v>
      </c>
      <c r="G10" s="37" t="s">
        <v>1592</v>
      </c>
      <c r="H10" s="21">
        <v>3</v>
      </c>
      <c r="I10" s="16" t="s">
        <v>10</v>
      </c>
      <c r="J10" s="57" t="s">
        <v>1593</v>
      </c>
      <c r="K10" s="57"/>
      <c r="L10" s="57"/>
    </row>
    <row r="11" spans="1:12" ht="40">
      <c r="A11" s="26">
        <v>1</v>
      </c>
      <c r="B11" s="12" t="s">
        <v>1403</v>
      </c>
      <c r="C11" s="12" t="s">
        <v>1122</v>
      </c>
      <c r="D11" s="36" t="s">
        <v>1208</v>
      </c>
      <c r="E11" s="62" t="s">
        <v>1726</v>
      </c>
      <c r="F11" s="21" t="s">
        <v>1209</v>
      </c>
      <c r="G11" s="37" t="s">
        <v>1592</v>
      </c>
      <c r="H11" s="21">
        <v>0</v>
      </c>
      <c r="I11" s="16" t="s">
        <v>10</v>
      </c>
      <c r="J11" s="57" t="s">
        <v>1593</v>
      </c>
      <c r="K11" s="57"/>
      <c r="L11" s="57"/>
    </row>
    <row r="12" spans="1:12" ht="60">
      <c r="A12" s="26">
        <v>1</v>
      </c>
      <c r="B12" s="12" t="s">
        <v>1403</v>
      </c>
      <c r="C12" s="12" t="s">
        <v>1122</v>
      </c>
      <c r="D12" s="36" t="s">
        <v>70</v>
      </c>
      <c r="E12" s="62" t="s">
        <v>1703</v>
      </c>
      <c r="F12" s="21" t="s">
        <v>1210</v>
      </c>
      <c r="G12" s="37" t="s">
        <v>1</v>
      </c>
      <c r="H12" s="21">
        <v>0</v>
      </c>
      <c r="I12" s="16" t="s">
        <v>10</v>
      </c>
      <c r="J12" s="57" t="s">
        <v>1593</v>
      </c>
      <c r="K12" s="57"/>
      <c r="L12" s="57"/>
    </row>
    <row r="13" spans="1:12" ht="60">
      <c r="A13" s="26">
        <v>1</v>
      </c>
      <c r="B13" s="12" t="s">
        <v>1403</v>
      </c>
      <c r="C13" s="12" t="s">
        <v>1122</v>
      </c>
      <c r="D13" s="36" t="s">
        <v>69</v>
      </c>
      <c r="E13" s="62" t="s">
        <v>1727</v>
      </c>
      <c r="F13" s="21" t="s">
        <v>1595</v>
      </c>
      <c r="G13" s="37" t="s">
        <v>1</v>
      </c>
      <c r="H13" s="21">
        <v>0</v>
      </c>
      <c r="I13" s="16" t="s">
        <v>10</v>
      </c>
      <c r="J13" s="57" t="s">
        <v>1593</v>
      </c>
      <c r="K13" s="57"/>
      <c r="L13" s="57"/>
    </row>
    <row r="14" spans="1:12" ht="40">
      <c r="A14" s="26">
        <v>1</v>
      </c>
      <c r="B14" s="12" t="s">
        <v>1403</v>
      </c>
      <c r="C14" s="12" t="s">
        <v>1122</v>
      </c>
      <c r="D14" s="36" t="s">
        <v>1211</v>
      </c>
      <c r="E14" s="62" t="s">
        <v>1728</v>
      </c>
      <c r="F14" s="21" t="s">
        <v>1212</v>
      </c>
      <c r="G14" s="37" t="s">
        <v>1592</v>
      </c>
      <c r="H14" s="21">
        <v>0</v>
      </c>
      <c r="I14" s="16" t="s">
        <v>10</v>
      </c>
      <c r="J14" s="57" t="s">
        <v>1593</v>
      </c>
      <c r="K14" s="57"/>
      <c r="L14" s="57"/>
    </row>
    <row r="15" spans="1:12" ht="40">
      <c r="A15" s="26">
        <v>1</v>
      </c>
      <c r="B15" s="12" t="s">
        <v>1403</v>
      </c>
      <c r="C15" s="12" t="s">
        <v>1122</v>
      </c>
      <c r="D15" s="36" t="s">
        <v>1213</v>
      </c>
      <c r="E15" s="62" t="s">
        <v>1729</v>
      </c>
      <c r="F15" s="21" t="s">
        <v>1214</v>
      </c>
      <c r="G15" s="37" t="s">
        <v>1592</v>
      </c>
      <c r="H15" s="21">
        <v>3</v>
      </c>
      <c r="I15" s="16" t="s">
        <v>10</v>
      </c>
      <c r="J15" s="57" t="s">
        <v>1593</v>
      </c>
      <c r="K15" s="57"/>
      <c r="L15" s="57"/>
    </row>
    <row r="16" spans="1:12" ht="40">
      <c r="A16" s="26">
        <v>1</v>
      </c>
      <c r="B16" s="12" t="s">
        <v>1403</v>
      </c>
      <c r="C16" s="12" t="s">
        <v>1122</v>
      </c>
      <c r="D16" s="36" t="s">
        <v>1596</v>
      </c>
      <c r="E16" s="62" t="s">
        <v>1730</v>
      </c>
      <c r="F16" s="21" t="s">
        <v>1597</v>
      </c>
      <c r="G16" s="37" t="s">
        <v>1592</v>
      </c>
      <c r="H16" s="21">
        <v>0</v>
      </c>
      <c r="I16" s="16"/>
      <c r="J16" s="57" t="s">
        <v>1593</v>
      </c>
      <c r="K16" s="57"/>
      <c r="L16" s="57"/>
    </row>
    <row r="17" spans="1:12" ht="32">
      <c r="A17" s="26">
        <v>1</v>
      </c>
      <c r="B17" s="12" t="s">
        <v>1403</v>
      </c>
      <c r="C17" s="12" t="s">
        <v>1122</v>
      </c>
      <c r="D17" s="36" t="s">
        <v>1216</v>
      </c>
      <c r="E17" s="62" t="s">
        <v>1731</v>
      </c>
      <c r="F17" s="21" t="s">
        <v>1217</v>
      </c>
      <c r="G17" s="37" t="s">
        <v>1592</v>
      </c>
      <c r="H17" s="21">
        <v>0</v>
      </c>
      <c r="I17" s="16" t="s">
        <v>10</v>
      </c>
      <c r="J17" s="57" t="s">
        <v>1593</v>
      </c>
      <c r="K17" s="57"/>
      <c r="L17" s="57"/>
    </row>
    <row r="18" spans="1:12" ht="60">
      <c r="A18" s="26">
        <v>1</v>
      </c>
      <c r="B18" s="12" t="s">
        <v>1403</v>
      </c>
      <c r="C18" s="12" t="s">
        <v>1122</v>
      </c>
      <c r="D18" s="36" t="s">
        <v>1598</v>
      </c>
      <c r="E18" s="62" t="s">
        <v>1928</v>
      </c>
      <c r="F18" s="21" t="s">
        <v>1713</v>
      </c>
      <c r="G18" s="37" t="s">
        <v>10</v>
      </c>
      <c r="H18" s="21">
        <v>0</v>
      </c>
      <c r="I18" s="16" t="s">
        <v>10</v>
      </c>
      <c r="J18" s="57" t="s">
        <v>1593</v>
      </c>
      <c r="K18" s="57"/>
      <c r="L18" s="57"/>
    </row>
    <row r="19" spans="1:12" ht="40">
      <c r="A19" s="26">
        <v>1</v>
      </c>
      <c r="B19" s="12" t="s">
        <v>1403</v>
      </c>
      <c r="C19" s="12" t="s">
        <v>1122</v>
      </c>
      <c r="D19" s="36" t="s">
        <v>1218</v>
      </c>
      <c r="E19" s="62" t="s">
        <v>1704</v>
      </c>
      <c r="F19" s="21" t="s">
        <v>1219</v>
      </c>
      <c r="G19" s="37" t="s">
        <v>1</v>
      </c>
      <c r="H19" s="21">
        <v>0</v>
      </c>
      <c r="I19" s="16" t="s">
        <v>10</v>
      </c>
      <c r="J19" s="57" t="s">
        <v>1593</v>
      </c>
      <c r="K19" s="57"/>
      <c r="L19" s="57"/>
    </row>
    <row r="20" spans="1:12" ht="40">
      <c r="A20" s="26">
        <v>1</v>
      </c>
      <c r="B20" s="12" t="s">
        <v>1403</v>
      </c>
      <c r="C20" s="12" t="s">
        <v>1122</v>
      </c>
      <c r="D20" s="36" t="s">
        <v>68</v>
      </c>
      <c r="E20" s="62" t="s">
        <v>1732</v>
      </c>
      <c r="F20" s="21" t="s">
        <v>1599</v>
      </c>
      <c r="G20" s="37" t="s">
        <v>1</v>
      </c>
      <c r="H20" s="21">
        <v>0</v>
      </c>
      <c r="I20" s="16" t="s">
        <v>10</v>
      </c>
      <c r="J20" s="57" t="s">
        <v>1593</v>
      </c>
      <c r="K20" s="57"/>
      <c r="L20" s="57"/>
    </row>
    <row r="21" spans="1:12" ht="32">
      <c r="A21" s="26">
        <v>1</v>
      </c>
      <c r="B21" s="12" t="s">
        <v>1403</v>
      </c>
      <c r="C21" s="12" t="s">
        <v>1122</v>
      </c>
      <c r="D21" s="36" t="s">
        <v>1600</v>
      </c>
      <c r="E21" s="62" t="s">
        <v>1733</v>
      </c>
      <c r="F21" s="21" t="s">
        <v>1392</v>
      </c>
      <c r="G21" s="37" t="s">
        <v>1592</v>
      </c>
      <c r="H21" s="21">
        <v>0</v>
      </c>
      <c r="I21" s="16" t="s">
        <v>10</v>
      </c>
      <c r="J21" s="57" t="s">
        <v>1593</v>
      </c>
      <c r="K21" s="57"/>
      <c r="L21" s="57"/>
    </row>
    <row r="22" spans="1:12" ht="60">
      <c r="A22" s="26">
        <v>1</v>
      </c>
      <c r="B22" s="12" t="s">
        <v>1403</v>
      </c>
      <c r="C22" s="12" t="s">
        <v>1122</v>
      </c>
      <c r="D22" s="36" t="s">
        <v>1399</v>
      </c>
      <c r="E22" s="62" t="s">
        <v>1734</v>
      </c>
      <c r="F22" s="21" t="s">
        <v>1714</v>
      </c>
      <c r="G22" s="37" t="s">
        <v>10</v>
      </c>
      <c r="H22" s="21">
        <v>3</v>
      </c>
      <c r="I22" s="16" t="s">
        <v>10</v>
      </c>
      <c r="J22" s="57" t="s">
        <v>1593</v>
      </c>
      <c r="K22" s="57"/>
      <c r="L22" s="57"/>
    </row>
    <row r="23" spans="1:12" ht="32">
      <c r="A23" s="26">
        <v>1</v>
      </c>
      <c r="B23" s="12" t="s">
        <v>1403</v>
      </c>
      <c r="C23" s="12" t="s">
        <v>1122</v>
      </c>
      <c r="D23" s="36" t="s">
        <v>1395</v>
      </c>
      <c r="E23" s="62" t="s">
        <v>1929</v>
      </c>
      <c r="F23" s="21" t="s">
        <v>1215</v>
      </c>
      <c r="G23" s="37" t="s">
        <v>1592</v>
      </c>
      <c r="H23" s="21">
        <v>0</v>
      </c>
      <c r="I23" s="16" t="s">
        <v>10</v>
      </c>
      <c r="J23" s="57" t="s">
        <v>1593</v>
      </c>
      <c r="K23" s="57"/>
      <c r="L23" s="57"/>
    </row>
    <row r="24" spans="1:12" ht="40">
      <c r="A24" s="26">
        <v>1</v>
      </c>
      <c r="B24" s="12" t="s">
        <v>1403</v>
      </c>
      <c r="C24" s="12" t="s">
        <v>1122</v>
      </c>
      <c r="D24" s="36" t="s">
        <v>1685</v>
      </c>
      <c r="E24" s="62" t="s">
        <v>1735</v>
      </c>
      <c r="F24" s="21" t="s">
        <v>1705</v>
      </c>
      <c r="G24" s="37" t="s">
        <v>1592</v>
      </c>
      <c r="H24" s="21">
        <v>0</v>
      </c>
      <c r="I24" s="16" t="s">
        <v>10</v>
      </c>
      <c r="J24" s="57" t="s">
        <v>1593</v>
      </c>
      <c r="K24" s="57"/>
      <c r="L24" s="57"/>
    </row>
    <row r="25" spans="1:12" ht="60">
      <c r="A25" s="26">
        <v>1</v>
      </c>
      <c r="B25" s="12" t="s">
        <v>1403</v>
      </c>
      <c r="C25" s="12" t="s">
        <v>1122</v>
      </c>
      <c r="D25" s="36" t="s">
        <v>1601</v>
      </c>
      <c r="E25" s="62" t="s">
        <v>1735</v>
      </c>
      <c r="F25" s="21" t="s">
        <v>1602</v>
      </c>
      <c r="G25" s="37" t="s">
        <v>1592</v>
      </c>
      <c r="I25" s="16"/>
      <c r="J25" s="57" t="s">
        <v>1593</v>
      </c>
      <c r="K25" s="57"/>
      <c r="L25" s="57"/>
    </row>
    <row r="26" spans="1:12" ht="40">
      <c r="A26" s="26">
        <v>1</v>
      </c>
      <c r="B26" s="12" t="s">
        <v>1403</v>
      </c>
      <c r="C26" s="12" t="s">
        <v>1122</v>
      </c>
      <c r="D26" s="36" t="s">
        <v>1603</v>
      </c>
      <c r="E26" s="62" t="s">
        <v>1736</v>
      </c>
      <c r="F26" s="21" t="s">
        <v>1604</v>
      </c>
      <c r="G26" s="37" t="s">
        <v>1592</v>
      </c>
      <c r="H26" s="21">
        <v>0</v>
      </c>
      <c r="I26" s="16"/>
      <c r="J26" s="57" t="s">
        <v>1593</v>
      </c>
      <c r="K26" s="57"/>
      <c r="L26" s="57"/>
    </row>
    <row r="27" spans="1:12" ht="120">
      <c r="A27" s="26">
        <v>1</v>
      </c>
      <c r="B27" s="12" t="s">
        <v>1403</v>
      </c>
      <c r="C27" s="12" t="s">
        <v>1122</v>
      </c>
      <c r="D27" s="36" t="s">
        <v>1605</v>
      </c>
      <c r="E27" s="62" t="s">
        <v>1737</v>
      </c>
      <c r="F27" s="21" t="s">
        <v>1715</v>
      </c>
      <c r="G27" s="37" t="s">
        <v>10</v>
      </c>
      <c r="H27" s="21">
        <v>2</v>
      </c>
      <c r="I27" s="16" t="s">
        <v>10</v>
      </c>
      <c r="J27" s="57" t="s">
        <v>1593</v>
      </c>
      <c r="K27" s="57"/>
      <c r="L27" s="57"/>
    </row>
    <row r="28" spans="1:12" ht="32">
      <c r="A28" s="26">
        <v>1</v>
      </c>
      <c r="B28" s="12" t="s">
        <v>1403</v>
      </c>
      <c r="C28" s="12" t="s">
        <v>1122</v>
      </c>
      <c r="D28" s="36" t="s">
        <v>1397</v>
      </c>
      <c r="E28" s="62" t="s">
        <v>1738</v>
      </c>
      <c r="F28" s="16" t="s">
        <v>1398</v>
      </c>
      <c r="G28" s="37" t="s">
        <v>10</v>
      </c>
      <c r="H28" s="21">
        <v>2</v>
      </c>
      <c r="I28" s="16" t="s">
        <v>10</v>
      </c>
      <c r="J28" s="57" t="s">
        <v>10</v>
      </c>
      <c r="K28" s="57"/>
      <c r="L28" s="57"/>
    </row>
    <row r="29" spans="1:12" ht="40">
      <c r="A29" s="26">
        <v>1</v>
      </c>
      <c r="B29" s="12" t="s">
        <v>1403</v>
      </c>
      <c r="C29" s="12" t="s">
        <v>1122</v>
      </c>
      <c r="D29" s="36" t="s">
        <v>1606</v>
      </c>
      <c r="E29" s="62" t="s">
        <v>1739</v>
      </c>
      <c r="F29" s="21" t="s">
        <v>1686</v>
      </c>
      <c r="G29" s="37" t="s">
        <v>1592</v>
      </c>
      <c r="H29" s="21">
        <v>3</v>
      </c>
      <c r="I29" s="16"/>
      <c r="J29" s="57" t="s">
        <v>1593</v>
      </c>
      <c r="K29" s="57"/>
      <c r="L29" s="57"/>
    </row>
    <row r="30" spans="1:12" ht="40">
      <c r="A30" s="26">
        <v>1</v>
      </c>
      <c r="B30" s="12" t="s">
        <v>1403</v>
      </c>
      <c r="C30" s="12" t="s">
        <v>1122</v>
      </c>
      <c r="D30" s="36" t="s">
        <v>1742</v>
      </c>
      <c r="E30" s="62" t="s">
        <v>1741</v>
      </c>
      <c r="F30" s="21" t="s">
        <v>1607</v>
      </c>
      <c r="G30" s="37" t="s">
        <v>1592</v>
      </c>
      <c r="H30" s="21">
        <v>0</v>
      </c>
      <c r="I30" s="16"/>
      <c r="J30" s="57" t="s">
        <v>1593</v>
      </c>
      <c r="K30" s="57"/>
      <c r="L30" s="57"/>
    </row>
    <row r="31" spans="1:12" ht="80">
      <c r="A31" s="26">
        <v>1</v>
      </c>
      <c r="B31" s="12" t="s">
        <v>1403</v>
      </c>
      <c r="C31" s="12" t="s">
        <v>1122</v>
      </c>
      <c r="D31" s="36" t="s">
        <v>1743</v>
      </c>
      <c r="E31" s="62" t="s">
        <v>1740</v>
      </c>
      <c r="F31" s="21" t="s">
        <v>1608</v>
      </c>
      <c r="G31" s="37" t="s">
        <v>1592</v>
      </c>
      <c r="H31" s="21">
        <v>0</v>
      </c>
      <c r="I31" s="16"/>
      <c r="J31" s="57" t="s">
        <v>1593</v>
      </c>
      <c r="K31" s="57"/>
      <c r="L31" s="57"/>
    </row>
    <row r="32" spans="1:12" ht="80">
      <c r="A32" s="26">
        <v>1</v>
      </c>
      <c r="B32" s="12" t="s">
        <v>1403</v>
      </c>
      <c r="C32" s="12" t="s">
        <v>1122</v>
      </c>
      <c r="D32" s="36" t="s">
        <v>1609</v>
      </c>
      <c r="E32" s="62" t="s">
        <v>1744</v>
      </c>
      <c r="F32" s="21" t="s">
        <v>1687</v>
      </c>
      <c r="G32" s="37" t="s">
        <v>1592</v>
      </c>
      <c r="H32" s="21">
        <v>0</v>
      </c>
      <c r="I32" s="16"/>
      <c r="J32" s="57" t="s">
        <v>1593</v>
      </c>
      <c r="K32" s="57"/>
      <c r="L32" s="57"/>
    </row>
    <row r="33" spans="1:12" ht="80">
      <c r="A33" s="26">
        <v>1</v>
      </c>
      <c r="B33" s="12" t="s">
        <v>1403</v>
      </c>
      <c r="C33" s="12" t="s">
        <v>1122</v>
      </c>
      <c r="D33" s="36" t="s">
        <v>1610</v>
      </c>
      <c r="E33" s="62" t="s">
        <v>1745</v>
      </c>
      <c r="F33" s="21" t="s">
        <v>1688</v>
      </c>
      <c r="G33" s="37" t="s">
        <v>1592</v>
      </c>
      <c r="H33" s="21">
        <v>0</v>
      </c>
      <c r="I33" s="16"/>
      <c r="J33" s="57" t="s">
        <v>1593</v>
      </c>
      <c r="K33" s="57"/>
      <c r="L33" s="57"/>
    </row>
    <row r="34" spans="1:12" ht="80">
      <c r="A34" s="26">
        <v>1</v>
      </c>
      <c r="B34" s="12" t="s">
        <v>1403</v>
      </c>
      <c r="C34" s="12" t="s">
        <v>1122</v>
      </c>
      <c r="D34" s="36" t="s">
        <v>1611</v>
      </c>
      <c r="E34" s="62" t="s">
        <v>1746</v>
      </c>
      <c r="F34" s="21" t="s">
        <v>1688</v>
      </c>
      <c r="G34" s="37" t="s">
        <v>1592</v>
      </c>
      <c r="H34" s="21">
        <v>0</v>
      </c>
      <c r="I34" s="16"/>
      <c r="J34" s="57" t="s">
        <v>1593</v>
      </c>
      <c r="K34" s="57"/>
      <c r="L34" s="57"/>
    </row>
    <row r="35" spans="1:12" ht="100">
      <c r="A35" s="26">
        <v>1</v>
      </c>
      <c r="B35" s="12" t="s">
        <v>1403</v>
      </c>
      <c r="C35" s="12" t="s">
        <v>1122</v>
      </c>
      <c r="D35" s="36" t="s">
        <v>1689</v>
      </c>
      <c r="E35" s="62" t="s">
        <v>1747</v>
      </c>
      <c r="F35" s="21" t="s">
        <v>1690</v>
      </c>
      <c r="G35" s="37" t="s">
        <v>1592</v>
      </c>
      <c r="H35" s="21">
        <v>0</v>
      </c>
      <c r="I35" s="16"/>
      <c r="J35" s="57" t="s">
        <v>1593</v>
      </c>
      <c r="K35" s="57"/>
      <c r="L35" s="57"/>
    </row>
    <row r="36" spans="1:12" ht="160">
      <c r="A36" s="26">
        <v>1</v>
      </c>
      <c r="B36" s="12" t="s">
        <v>1403</v>
      </c>
      <c r="C36" s="12" t="s">
        <v>1122</v>
      </c>
      <c r="D36" s="36" t="s">
        <v>1612</v>
      </c>
      <c r="E36" s="62" t="s">
        <v>1748</v>
      </c>
      <c r="F36" s="21" t="s">
        <v>1613</v>
      </c>
      <c r="G36" s="37" t="s">
        <v>10</v>
      </c>
      <c r="H36" s="21">
        <v>0</v>
      </c>
      <c r="I36" s="16"/>
      <c r="J36" s="57" t="s">
        <v>1593</v>
      </c>
      <c r="K36" s="57"/>
      <c r="L36" s="57"/>
    </row>
    <row r="37" spans="1:12" ht="100">
      <c r="A37" s="26">
        <v>1</v>
      </c>
      <c r="B37" s="12" t="s">
        <v>1403</v>
      </c>
      <c r="C37" s="12" t="s">
        <v>1122</v>
      </c>
      <c r="D37" s="36" t="s">
        <v>1614</v>
      </c>
      <c r="E37" s="62" t="s">
        <v>1749</v>
      </c>
      <c r="F37" s="21" t="s">
        <v>1615</v>
      </c>
      <c r="G37" s="37" t="s">
        <v>10</v>
      </c>
      <c r="H37" s="21">
        <v>2</v>
      </c>
      <c r="I37" s="16"/>
      <c r="J37" s="57" t="s">
        <v>1708</v>
      </c>
      <c r="K37" s="57"/>
      <c r="L37" s="57"/>
    </row>
    <row r="38" spans="1:12" ht="40">
      <c r="A38" s="26">
        <v>1</v>
      </c>
      <c r="B38" s="12" t="s">
        <v>1403</v>
      </c>
      <c r="C38" s="12" t="s">
        <v>1122</v>
      </c>
      <c r="D38" s="36" t="s">
        <v>1616</v>
      </c>
      <c r="E38" s="62" t="s">
        <v>1750</v>
      </c>
      <c r="F38" s="21" t="s">
        <v>1691</v>
      </c>
      <c r="G38" s="37" t="s">
        <v>1592</v>
      </c>
      <c r="H38" s="21">
        <v>2</v>
      </c>
      <c r="I38" s="16"/>
      <c r="J38" s="57" t="s">
        <v>1708</v>
      </c>
      <c r="K38" s="57"/>
      <c r="L38" s="57"/>
    </row>
    <row r="39" spans="1:12" ht="120">
      <c r="A39" s="26">
        <v>1</v>
      </c>
      <c r="B39" s="12" t="s">
        <v>1403</v>
      </c>
      <c r="C39" s="12" t="s">
        <v>1122</v>
      </c>
      <c r="D39" s="36" t="s">
        <v>1617</v>
      </c>
      <c r="E39" s="62" t="s">
        <v>1751</v>
      </c>
      <c r="F39" s="21" t="s">
        <v>1692</v>
      </c>
      <c r="G39" s="37" t="s">
        <v>1592</v>
      </c>
      <c r="H39" s="21">
        <v>2</v>
      </c>
      <c r="I39" s="16"/>
      <c r="J39" s="57" t="s">
        <v>1708</v>
      </c>
      <c r="K39" s="57"/>
      <c r="L39" s="57"/>
    </row>
    <row r="40" spans="1:12" ht="80">
      <c r="A40" s="26">
        <v>1</v>
      </c>
      <c r="B40" s="12" t="s">
        <v>1403</v>
      </c>
      <c r="C40" s="12" t="s">
        <v>1122</v>
      </c>
      <c r="D40" s="36" t="s">
        <v>1618</v>
      </c>
      <c r="E40" s="62" t="s">
        <v>1752</v>
      </c>
      <c r="F40" s="21" t="s">
        <v>1619</v>
      </c>
      <c r="G40" s="37" t="s">
        <v>1592</v>
      </c>
      <c r="H40" s="21">
        <v>3</v>
      </c>
      <c r="I40" s="16"/>
      <c r="J40" s="57" t="s">
        <v>1708</v>
      </c>
      <c r="K40" s="57"/>
      <c r="L40" s="57"/>
    </row>
    <row r="41" spans="1:12" ht="60">
      <c r="A41" s="26">
        <v>6</v>
      </c>
      <c r="B41" s="12" t="s">
        <v>1620</v>
      </c>
      <c r="C41" s="12" t="s">
        <v>1121</v>
      </c>
      <c r="D41" s="36" t="s">
        <v>1248</v>
      </c>
      <c r="E41" s="62" t="s">
        <v>1753</v>
      </c>
      <c r="F41" s="21" t="s">
        <v>1540</v>
      </c>
      <c r="G41" s="37" t="s">
        <v>1592</v>
      </c>
      <c r="H41" s="21">
        <v>0</v>
      </c>
      <c r="I41" s="16"/>
      <c r="J41" s="57" t="s">
        <v>1593</v>
      </c>
      <c r="K41" s="57"/>
      <c r="L41" s="57"/>
    </row>
    <row r="42" spans="1:12" ht="80">
      <c r="A42" s="26">
        <v>6</v>
      </c>
      <c r="B42" s="12" t="s">
        <v>1620</v>
      </c>
      <c r="C42" s="12" t="s">
        <v>1121</v>
      </c>
      <c r="D42" s="36" t="s">
        <v>1249</v>
      </c>
      <c r="E42" s="62" t="s">
        <v>1754</v>
      </c>
      <c r="F42" s="21" t="s">
        <v>1539</v>
      </c>
      <c r="G42" s="37" t="s">
        <v>1592</v>
      </c>
      <c r="H42" s="21">
        <v>0</v>
      </c>
      <c r="I42" s="16"/>
      <c r="J42" s="57" t="s">
        <v>1593</v>
      </c>
      <c r="K42" s="57"/>
      <c r="L42" s="57"/>
    </row>
    <row r="43" spans="1:12" ht="80">
      <c r="A43" s="26">
        <v>6</v>
      </c>
      <c r="B43" s="12" t="s">
        <v>1620</v>
      </c>
      <c r="C43" s="12" t="s">
        <v>1121</v>
      </c>
      <c r="D43" s="36" t="s">
        <v>1250</v>
      </c>
      <c r="E43" s="62" t="s">
        <v>1755</v>
      </c>
      <c r="F43" s="21" t="s">
        <v>1541</v>
      </c>
      <c r="G43" s="37" t="s">
        <v>1592</v>
      </c>
      <c r="H43" s="21">
        <v>0</v>
      </c>
      <c r="I43" s="16" t="s">
        <v>10</v>
      </c>
      <c r="J43" s="57" t="s">
        <v>1593</v>
      </c>
      <c r="K43" s="57"/>
      <c r="L43" s="57"/>
    </row>
    <row r="44" spans="1:12" ht="60">
      <c r="A44" s="26">
        <v>6</v>
      </c>
      <c r="B44" s="12" t="s">
        <v>1620</v>
      </c>
      <c r="C44" s="12" t="s">
        <v>1121</v>
      </c>
      <c r="D44" s="36" t="s">
        <v>19</v>
      </c>
      <c r="E44" s="62" t="s">
        <v>1756</v>
      </c>
      <c r="F44" s="21" t="s">
        <v>1251</v>
      </c>
      <c r="G44" s="37" t="s">
        <v>1592</v>
      </c>
      <c r="H44" s="21">
        <v>0</v>
      </c>
      <c r="I44" s="16" t="s">
        <v>10</v>
      </c>
      <c r="J44" s="57" t="s">
        <v>1593</v>
      </c>
      <c r="K44" s="57"/>
      <c r="L44" s="57"/>
    </row>
    <row r="45" spans="1:12" ht="80">
      <c r="A45" s="26">
        <v>6</v>
      </c>
      <c r="B45" s="12" t="s">
        <v>1620</v>
      </c>
      <c r="C45" s="12" t="s">
        <v>1121</v>
      </c>
      <c r="D45" s="36" t="s">
        <v>20</v>
      </c>
      <c r="E45" s="62" t="s">
        <v>1757</v>
      </c>
      <c r="F45" s="21" t="s">
        <v>1252</v>
      </c>
      <c r="G45" s="37" t="s">
        <v>1592</v>
      </c>
      <c r="H45" s="21">
        <v>4</v>
      </c>
      <c r="I45" s="16" t="s">
        <v>10</v>
      </c>
      <c r="J45" s="57" t="s">
        <v>1593</v>
      </c>
      <c r="K45" s="57"/>
      <c r="L45" s="57"/>
    </row>
    <row r="46" spans="1:12" ht="80">
      <c r="A46" s="26">
        <v>6</v>
      </c>
      <c r="B46" s="12" t="s">
        <v>1620</v>
      </c>
      <c r="C46" s="12" t="s">
        <v>1121</v>
      </c>
      <c r="D46" s="36" t="s">
        <v>1253</v>
      </c>
      <c r="E46" s="62" t="s">
        <v>1758</v>
      </c>
      <c r="F46" s="21" t="s">
        <v>1621</v>
      </c>
      <c r="G46" s="37" t="s">
        <v>1592</v>
      </c>
      <c r="H46" s="21">
        <v>0</v>
      </c>
      <c r="I46" s="16" t="s">
        <v>10</v>
      </c>
      <c r="J46" s="57" t="s">
        <v>1593</v>
      </c>
      <c r="K46" s="57"/>
      <c r="L46" s="57"/>
    </row>
    <row r="47" spans="1:12" ht="80">
      <c r="A47" s="26">
        <v>6</v>
      </c>
      <c r="B47" s="12" t="s">
        <v>1620</v>
      </c>
      <c r="C47" s="12" t="s">
        <v>1121</v>
      </c>
      <c r="D47" s="36" t="s">
        <v>21</v>
      </c>
      <c r="E47" s="62" t="s">
        <v>1759</v>
      </c>
      <c r="F47" s="21" t="s">
        <v>1254</v>
      </c>
      <c r="G47" s="37" t="s">
        <v>1592</v>
      </c>
      <c r="H47" s="21">
        <v>0</v>
      </c>
      <c r="I47" s="16" t="s">
        <v>10</v>
      </c>
      <c r="J47" s="57" t="s">
        <v>1593</v>
      </c>
      <c r="K47" s="57"/>
      <c r="L47" s="57"/>
    </row>
    <row r="48" spans="1:12" ht="60">
      <c r="A48" s="26">
        <v>6</v>
      </c>
      <c r="B48" s="12" t="s">
        <v>1620</v>
      </c>
      <c r="C48" s="12" t="s">
        <v>1121</v>
      </c>
      <c r="D48" s="36" t="s">
        <v>22</v>
      </c>
      <c r="E48" s="64" t="s">
        <v>1760</v>
      </c>
      <c r="F48" s="21" t="s">
        <v>1255</v>
      </c>
      <c r="G48" s="37" t="s">
        <v>1592</v>
      </c>
      <c r="H48" s="21">
        <v>3</v>
      </c>
      <c r="I48" s="16" t="s">
        <v>10</v>
      </c>
      <c r="J48" s="57" t="s">
        <v>1593</v>
      </c>
      <c r="K48" s="57"/>
      <c r="L48" s="57"/>
    </row>
    <row r="49" spans="1:12" ht="60">
      <c r="A49" s="26">
        <v>8</v>
      </c>
      <c r="B49" s="12" t="s">
        <v>1622</v>
      </c>
      <c r="C49" s="12" t="s">
        <v>1128</v>
      </c>
      <c r="D49" s="36" t="s">
        <v>1256</v>
      </c>
      <c r="E49" s="62" t="s">
        <v>1761</v>
      </c>
      <c r="F49" s="21" t="s">
        <v>1257</v>
      </c>
      <c r="G49" s="37" t="s">
        <v>10</v>
      </c>
      <c r="H49" s="21">
        <v>0</v>
      </c>
      <c r="I49" s="16" t="s">
        <v>10</v>
      </c>
      <c r="J49" s="57" t="s">
        <v>1706</v>
      </c>
      <c r="K49" s="57"/>
      <c r="L49" s="57"/>
    </row>
    <row r="50" spans="1:12" ht="40">
      <c r="A50" s="26">
        <v>8</v>
      </c>
      <c r="B50" s="12" t="s">
        <v>1622</v>
      </c>
      <c r="C50" s="12" t="s">
        <v>1128</v>
      </c>
      <c r="D50" s="36" t="s">
        <v>1222</v>
      </c>
      <c r="E50" s="62" t="s">
        <v>1762</v>
      </c>
      <c r="F50" s="21" t="s">
        <v>1623</v>
      </c>
      <c r="G50" s="37" t="s">
        <v>10</v>
      </c>
      <c r="H50" s="21">
        <v>0</v>
      </c>
      <c r="I50" s="16" t="s">
        <v>10</v>
      </c>
      <c r="J50" s="57" t="s">
        <v>1593</v>
      </c>
      <c r="K50" s="57"/>
      <c r="L50" s="57"/>
    </row>
    <row r="51" spans="1:12" ht="60">
      <c r="A51" s="26">
        <v>8</v>
      </c>
      <c r="B51" s="12" t="s">
        <v>1622</v>
      </c>
      <c r="C51" s="12" t="s">
        <v>1128</v>
      </c>
      <c r="D51" s="36" t="s">
        <v>1258</v>
      </c>
      <c r="E51" s="62" t="s">
        <v>1763</v>
      </c>
      <c r="F51" s="21" t="s">
        <v>1441</v>
      </c>
      <c r="G51" s="37" t="s">
        <v>10</v>
      </c>
      <c r="H51" s="21">
        <v>0</v>
      </c>
      <c r="I51" s="16" t="s">
        <v>10</v>
      </c>
      <c r="J51" s="57" t="s">
        <v>1593</v>
      </c>
      <c r="K51" s="57"/>
      <c r="L51" s="57"/>
    </row>
    <row r="52" spans="1:12" ht="40">
      <c r="A52" s="26">
        <v>8</v>
      </c>
      <c r="B52" s="12" t="s">
        <v>1622</v>
      </c>
      <c r="C52" s="12" t="s">
        <v>1128</v>
      </c>
      <c r="D52" s="36" t="s">
        <v>1259</v>
      </c>
      <c r="E52" s="62" t="s">
        <v>1764</v>
      </c>
      <c r="F52" s="21" t="s">
        <v>1442</v>
      </c>
      <c r="G52" s="37" t="s">
        <v>1624</v>
      </c>
      <c r="H52" s="21">
        <v>0</v>
      </c>
      <c r="I52" s="16" t="s">
        <v>10</v>
      </c>
      <c r="J52" s="57"/>
      <c r="K52" s="57"/>
      <c r="L52" s="57"/>
    </row>
    <row r="53" spans="1:12" ht="40">
      <c r="A53" s="26">
        <v>8</v>
      </c>
      <c r="B53" s="12" t="s">
        <v>1622</v>
      </c>
      <c r="C53" s="12" t="s">
        <v>1128</v>
      </c>
      <c r="D53" s="36" t="s">
        <v>1260</v>
      </c>
      <c r="E53" s="62" t="s">
        <v>1765</v>
      </c>
      <c r="F53" s="21" t="s">
        <v>1261</v>
      </c>
      <c r="G53" s="37" t="s">
        <v>1592</v>
      </c>
      <c r="H53" s="21">
        <v>0</v>
      </c>
      <c r="I53" s="16"/>
      <c r="J53" s="57" t="s">
        <v>1593</v>
      </c>
      <c r="K53" s="57"/>
      <c r="L53" s="57"/>
    </row>
    <row r="54" spans="1:12" ht="40">
      <c r="A54" s="26">
        <v>8</v>
      </c>
      <c r="B54" s="12" t="s">
        <v>1622</v>
      </c>
      <c r="C54" s="12" t="s">
        <v>1128</v>
      </c>
      <c r="D54" s="36" t="s">
        <v>1263</v>
      </c>
      <c r="E54" s="62" t="s">
        <v>1766</v>
      </c>
      <c r="F54" s="21" t="s">
        <v>1264</v>
      </c>
      <c r="G54" s="37" t="s">
        <v>1592</v>
      </c>
      <c r="H54" s="21">
        <v>0</v>
      </c>
      <c r="I54" s="16" t="s">
        <v>10</v>
      </c>
      <c r="J54" s="57" t="s">
        <v>1593</v>
      </c>
      <c r="K54" s="57"/>
      <c r="L54" s="57"/>
    </row>
    <row r="55" spans="1:12" ht="40">
      <c r="A55" s="26">
        <v>8</v>
      </c>
      <c r="B55" s="12" t="s">
        <v>1622</v>
      </c>
      <c r="C55" s="12" t="s">
        <v>1128</v>
      </c>
      <c r="D55" s="36" t="s">
        <v>1265</v>
      </c>
      <c r="E55" s="62" t="s">
        <v>1767</v>
      </c>
      <c r="F55" s="21" t="s">
        <v>1266</v>
      </c>
      <c r="G55" s="37" t="s">
        <v>1592</v>
      </c>
      <c r="H55" s="21">
        <v>0</v>
      </c>
      <c r="I55" s="16" t="s">
        <v>10</v>
      </c>
      <c r="J55" s="57"/>
      <c r="K55" s="57"/>
      <c r="L55" s="57"/>
    </row>
    <row r="56" spans="1:12" ht="32">
      <c r="A56" s="26">
        <v>8</v>
      </c>
      <c r="B56" s="12" t="s">
        <v>1622</v>
      </c>
      <c r="C56" s="12" t="s">
        <v>1128</v>
      </c>
      <c r="D56" s="36" t="s">
        <v>1267</v>
      </c>
      <c r="E56" s="62" t="s">
        <v>1768</v>
      </c>
      <c r="F56" s="21" t="s">
        <v>1268</v>
      </c>
      <c r="G56" s="37" t="s">
        <v>1592</v>
      </c>
      <c r="H56" s="21">
        <v>0</v>
      </c>
      <c r="I56" s="16" t="s">
        <v>10</v>
      </c>
      <c r="J56" s="57" t="s">
        <v>1593</v>
      </c>
      <c r="K56" s="57"/>
      <c r="L56" s="57"/>
    </row>
    <row r="57" spans="1:12" ht="40">
      <c r="A57" s="26">
        <v>8</v>
      </c>
      <c r="B57" s="12" t="s">
        <v>1622</v>
      </c>
      <c r="C57" s="12" t="s">
        <v>1128</v>
      </c>
      <c r="D57" s="36" t="s">
        <v>1269</v>
      </c>
      <c r="E57" s="62" t="s">
        <v>1769</v>
      </c>
      <c r="F57" s="21" t="s">
        <v>1270</v>
      </c>
      <c r="G57" s="37" t="s">
        <v>1592</v>
      </c>
      <c r="H57" s="21">
        <v>0</v>
      </c>
      <c r="I57" s="16"/>
      <c r="J57" s="57" t="s">
        <v>1593</v>
      </c>
      <c r="K57" s="57"/>
      <c r="L57" s="57"/>
    </row>
    <row r="58" spans="1:12" ht="40">
      <c r="A58" s="26">
        <v>8</v>
      </c>
      <c r="B58" s="12" t="s">
        <v>1622</v>
      </c>
      <c r="C58" s="12" t="s">
        <v>1128</v>
      </c>
      <c r="D58" s="36" t="s">
        <v>1272</v>
      </c>
      <c r="E58" s="62" t="s">
        <v>1770</v>
      </c>
      <c r="F58" s="21" t="s">
        <v>1273</v>
      </c>
      <c r="G58" s="37" t="s">
        <v>1592</v>
      </c>
      <c r="H58" s="21">
        <v>0</v>
      </c>
      <c r="I58" s="16" t="s">
        <v>10</v>
      </c>
      <c r="J58" s="57" t="s">
        <v>1593</v>
      </c>
      <c r="K58" s="57"/>
      <c r="L58" s="57"/>
    </row>
    <row r="59" spans="1:12" ht="32">
      <c r="A59" s="26">
        <v>8</v>
      </c>
      <c r="B59" s="12" t="s">
        <v>1622</v>
      </c>
      <c r="C59" s="12" t="s">
        <v>1128</v>
      </c>
      <c r="D59" s="36" t="s">
        <v>1277</v>
      </c>
      <c r="E59" s="62" t="s">
        <v>1771</v>
      </c>
      <c r="F59" s="21" t="s">
        <v>1278</v>
      </c>
      <c r="G59" s="37" t="s">
        <v>10</v>
      </c>
      <c r="H59" s="21">
        <v>0</v>
      </c>
      <c r="I59" s="16" t="s">
        <v>10</v>
      </c>
      <c r="J59" s="57" t="s">
        <v>1593</v>
      </c>
      <c r="K59" s="57"/>
      <c r="L59" s="57"/>
    </row>
    <row r="60" spans="1:12" ht="60">
      <c r="A60" s="26">
        <v>8</v>
      </c>
      <c r="B60" s="12" t="s">
        <v>1622</v>
      </c>
      <c r="C60" s="12" t="s">
        <v>1128</v>
      </c>
      <c r="D60" s="36" t="s">
        <v>1625</v>
      </c>
      <c r="E60" s="62" t="s">
        <v>1772</v>
      </c>
      <c r="F60" s="21" t="s">
        <v>1626</v>
      </c>
      <c r="G60" s="37" t="s">
        <v>1592</v>
      </c>
      <c r="H60" s="21">
        <v>0</v>
      </c>
      <c r="I60" s="16" t="s">
        <v>10</v>
      </c>
      <c r="J60" s="57" t="s">
        <v>1593</v>
      </c>
      <c r="K60" s="57"/>
      <c r="L60" s="57"/>
    </row>
    <row r="61" spans="1:12" ht="40">
      <c r="A61" s="26">
        <v>8</v>
      </c>
      <c r="B61" s="12" t="s">
        <v>1622</v>
      </c>
      <c r="C61" s="12" t="s">
        <v>1128</v>
      </c>
      <c r="D61" s="36" t="s">
        <v>54</v>
      </c>
      <c r="E61" s="62" t="s">
        <v>1773</v>
      </c>
      <c r="F61" s="21" t="s">
        <v>1282</v>
      </c>
      <c r="G61" s="37" t="s">
        <v>1592</v>
      </c>
      <c r="H61" s="21">
        <v>0</v>
      </c>
      <c r="I61" s="16" t="s">
        <v>10</v>
      </c>
      <c r="J61" s="57" t="s">
        <v>1593</v>
      </c>
      <c r="K61" s="57"/>
      <c r="L61" s="57"/>
    </row>
    <row r="62" spans="1:12" ht="40">
      <c r="A62" s="26">
        <v>8</v>
      </c>
      <c r="B62" s="12" t="s">
        <v>1622</v>
      </c>
      <c r="C62" s="12" t="s">
        <v>1128</v>
      </c>
      <c r="D62" s="36" t="s">
        <v>1628</v>
      </c>
      <c r="E62" s="62" t="s">
        <v>1774</v>
      </c>
      <c r="F62" s="21" t="s">
        <v>1629</v>
      </c>
      <c r="G62" s="37" t="s">
        <v>1627</v>
      </c>
      <c r="H62" s="21">
        <v>0</v>
      </c>
      <c r="I62" s="16" t="s">
        <v>10</v>
      </c>
      <c r="J62" s="57" t="s">
        <v>1593</v>
      </c>
      <c r="K62" s="57"/>
      <c r="L62" s="57"/>
    </row>
    <row r="63" spans="1:12" ht="60">
      <c r="A63" s="26">
        <v>8</v>
      </c>
      <c r="B63" s="12" t="s">
        <v>1622</v>
      </c>
      <c r="C63" s="12" t="s">
        <v>1128</v>
      </c>
      <c r="D63" s="36" t="s">
        <v>1630</v>
      </c>
      <c r="E63" s="62" t="s">
        <v>1775</v>
      </c>
      <c r="F63" s="21" t="s">
        <v>1693</v>
      </c>
      <c r="G63" s="37" t="s">
        <v>1592</v>
      </c>
      <c r="H63" s="21">
        <v>0</v>
      </c>
      <c r="I63" s="16"/>
      <c r="J63" s="57" t="s">
        <v>1593</v>
      </c>
      <c r="K63" s="57"/>
      <c r="L63" s="57"/>
    </row>
    <row r="64" spans="1:12" ht="60">
      <c r="A64" s="26">
        <v>8</v>
      </c>
      <c r="B64" s="12" t="s">
        <v>1622</v>
      </c>
      <c r="C64" s="12" t="s">
        <v>1128</v>
      </c>
      <c r="D64" s="36" t="s">
        <v>1631</v>
      </c>
      <c r="E64" s="64" t="s">
        <v>1776</v>
      </c>
      <c r="F64" s="21" t="s">
        <v>1694</v>
      </c>
      <c r="G64" s="37" t="s">
        <v>10</v>
      </c>
      <c r="H64" s="21">
        <v>4</v>
      </c>
      <c r="I64" s="16"/>
      <c r="J64" s="57" t="s">
        <v>1706</v>
      </c>
      <c r="K64" s="57"/>
      <c r="L64" s="57"/>
    </row>
    <row r="65" spans="1:12" ht="40">
      <c r="A65" s="26">
        <v>8</v>
      </c>
      <c r="B65" s="12" t="s">
        <v>1622</v>
      </c>
      <c r="C65" s="12" t="s">
        <v>1128</v>
      </c>
      <c r="D65" s="36" t="s">
        <v>1632</v>
      </c>
      <c r="E65" s="62" t="s">
        <v>1777</v>
      </c>
      <c r="F65" s="21" t="s">
        <v>1695</v>
      </c>
      <c r="G65" s="37" t="s">
        <v>1592</v>
      </c>
      <c r="I65" s="16"/>
      <c r="J65" s="57" t="s">
        <v>1593</v>
      </c>
      <c r="K65" s="57"/>
      <c r="L65" s="57"/>
    </row>
    <row r="66" spans="1:12" ht="32">
      <c r="A66" s="26">
        <v>8</v>
      </c>
      <c r="B66" s="12" t="s">
        <v>1622</v>
      </c>
      <c r="C66" s="12" t="s">
        <v>1128</v>
      </c>
      <c r="D66" s="36" t="s">
        <v>1284</v>
      </c>
      <c r="E66" s="62" t="s">
        <v>1778</v>
      </c>
      <c r="F66" s="21" t="s">
        <v>1285</v>
      </c>
      <c r="G66" s="37" t="s">
        <v>1592</v>
      </c>
      <c r="H66" s="21">
        <v>0</v>
      </c>
      <c r="I66" s="16" t="s">
        <v>10</v>
      </c>
      <c r="J66" s="57" t="s">
        <v>1593</v>
      </c>
      <c r="K66" s="57"/>
      <c r="L66" s="57"/>
    </row>
    <row r="67" spans="1:12" ht="40">
      <c r="A67" s="26">
        <v>8</v>
      </c>
      <c r="B67" s="12" t="s">
        <v>1622</v>
      </c>
      <c r="C67" s="12" t="s">
        <v>1128</v>
      </c>
      <c r="D67" s="36" t="s">
        <v>1288</v>
      </c>
      <c r="E67" s="62" t="s">
        <v>1779</v>
      </c>
      <c r="F67" s="21" t="s">
        <v>1289</v>
      </c>
      <c r="G67" s="37" t="s">
        <v>1592</v>
      </c>
      <c r="H67" s="21">
        <v>0</v>
      </c>
      <c r="I67" s="16" t="s">
        <v>10</v>
      </c>
      <c r="J67" s="57" t="s">
        <v>1593</v>
      </c>
      <c r="K67" s="57"/>
      <c r="L67" s="57"/>
    </row>
    <row r="68" spans="1:12" ht="40">
      <c r="A68" s="26">
        <v>8</v>
      </c>
      <c r="B68" s="12" t="s">
        <v>1622</v>
      </c>
      <c r="C68" s="12" t="s">
        <v>1128</v>
      </c>
      <c r="D68" s="36" t="s">
        <v>1290</v>
      </c>
      <c r="E68" s="62" t="s">
        <v>1780</v>
      </c>
      <c r="F68" s="21" t="s">
        <v>1291</v>
      </c>
      <c r="G68" s="37" t="s">
        <v>1592</v>
      </c>
      <c r="H68" s="21">
        <v>0</v>
      </c>
      <c r="I68" s="16" t="s">
        <v>10</v>
      </c>
      <c r="J68" s="57" t="s">
        <v>1593</v>
      </c>
      <c r="K68" s="57"/>
      <c r="L68" s="57"/>
    </row>
    <row r="69" spans="1:12" ht="40">
      <c r="A69" s="26">
        <v>8</v>
      </c>
      <c r="B69" s="12" t="s">
        <v>1622</v>
      </c>
      <c r="C69" s="12" t="s">
        <v>1128</v>
      </c>
      <c r="D69" s="36" t="s">
        <v>1292</v>
      </c>
      <c r="E69" s="62" t="s">
        <v>1781</v>
      </c>
      <c r="F69" s="21" t="s">
        <v>1293</v>
      </c>
      <c r="G69" s="37" t="s">
        <v>1592</v>
      </c>
      <c r="H69" s="21">
        <v>0</v>
      </c>
      <c r="I69" s="16" t="s">
        <v>10</v>
      </c>
      <c r="J69" s="57" t="s">
        <v>1593</v>
      </c>
      <c r="K69" s="57"/>
      <c r="L69" s="57"/>
    </row>
    <row r="70" spans="1:12" ht="80">
      <c r="A70" s="26">
        <v>8</v>
      </c>
      <c r="B70" s="12" t="s">
        <v>1622</v>
      </c>
      <c r="C70" s="12" t="s">
        <v>1128</v>
      </c>
      <c r="D70" s="36" t="s">
        <v>53</v>
      </c>
      <c r="E70" s="62" t="s">
        <v>1782</v>
      </c>
      <c r="F70" s="21" t="s">
        <v>1440</v>
      </c>
      <c r="G70" s="37" t="s">
        <v>1592</v>
      </c>
      <c r="H70" s="21">
        <v>3</v>
      </c>
      <c r="I70" s="16"/>
      <c r="J70" s="57" t="s">
        <v>1593</v>
      </c>
      <c r="K70" s="57"/>
      <c r="L70" s="57"/>
    </row>
    <row r="71" spans="1:12" ht="60">
      <c r="A71" s="26">
        <v>8</v>
      </c>
      <c r="B71" s="12" t="s">
        <v>1622</v>
      </c>
      <c r="C71" s="12" t="s">
        <v>1128</v>
      </c>
      <c r="D71" s="36" t="s">
        <v>1294</v>
      </c>
      <c r="E71" s="62" t="s">
        <v>1716</v>
      </c>
      <c r="F71" s="21" t="s">
        <v>1295</v>
      </c>
      <c r="G71" s="37" t="s">
        <v>1592</v>
      </c>
      <c r="H71" s="21">
        <v>0</v>
      </c>
      <c r="I71" s="16"/>
      <c r="J71" s="57" t="s">
        <v>1593</v>
      </c>
      <c r="K71" s="57"/>
      <c r="L71" s="57"/>
    </row>
    <row r="72" spans="1:12" ht="40">
      <c r="A72" s="26">
        <v>8</v>
      </c>
      <c r="B72" s="12" t="s">
        <v>1622</v>
      </c>
      <c r="C72" s="12" t="s">
        <v>1128</v>
      </c>
      <c r="D72" s="36" t="s">
        <v>1297</v>
      </c>
      <c r="E72" s="62" t="s">
        <v>1783</v>
      </c>
      <c r="F72" s="21" t="s">
        <v>1298</v>
      </c>
      <c r="G72" s="37" t="s">
        <v>10</v>
      </c>
      <c r="H72" s="21">
        <v>0</v>
      </c>
      <c r="I72" s="16" t="s">
        <v>10</v>
      </c>
      <c r="J72" s="57" t="s">
        <v>1593</v>
      </c>
      <c r="K72" s="57"/>
      <c r="L72" s="57"/>
    </row>
    <row r="73" spans="1:12" ht="60">
      <c r="A73" s="26">
        <v>8</v>
      </c>
      <c r="B73" s="12" t="s">
        <v>1622</v>
      </c>
      <c r="C73" s="12" t="s">
        <v>1128</v>
      </c>
      <c r="D73" s="36" t="s">
        <v>1633</v>
      </c>
      <c r="E73" s="62" t="s">
        <v>1784</v>
      </c>
      <c r="F73" s="21" t="s">
        <v>1696</v>
      </c>
      <c r="G73" s="37" t="s">
        <v>10</v>
      </c>
      <c r="H73" s="21">
        <v>0</v>
      </c>
      <c r="I73" s="16" t="s">
        <v>10</v>
      </c>
      <c r="J73" s="57" t="s">
        <v>1593</v>
      </c>
      <c r="K73" s="57"/>
      <c r="L73" s="57"/>
    </row>
    <row r="74" spans="1:12" ht="60">
      <c r="A74" s="26">
        <v>8</v>
      </c>
      <c r="B74" s="12" t="s">
        <v>1622</v>
      </c>
      <c r="C74" s="12" t="s">
        <v>1128</v>
      </c>
      <c r="D74" s="36" t="s">
        <v>1634</v>
      </c>
      <c r="E74" s="62" t="s">
        <v>1785</v>
      </c>
      <c r="F74" s="21" t="s">
        <v>1693</v>
      </c>
      <c r="G74" s="37" t="s">
        <v>1592</v>
      </c>
      <c r="H74" s="21">
        <v>3</v>
      </c>
      <c r="I74" s="16" t="s">
        <v>10</v>
      </c>
      <c r="J74" s="57" t="s">
        <v>1593</v>
      </c>
      <c r="K74" s="57"/>
      <c r="L74" s="57"/>
    </row>
    <row r="75" spans="1:12" ht="60">
      <c r="A75" s="26">
        <v>8</v>
      </c>
      <c r="B75" s="12" t="s">
        <v>1622</v>
      </c>
      <c r="C75" s="12" t="s">
        <v>1128</v>
      </c>
      <c r="D75" s="36" t="s">
        <v>1635</v>
      </c>
      <c r="E75" s="62" t="s">
        <v>1786</v>
      </c>
      <c r="F75" s="21" t="s">
        <v>1696</v>
      </c>
      <c r="G75" s="37" t="s">
        <v>1592</v>
      </c>
      <c r="H75" s="21">
        <v>0</v>
      </c>
      <c r="I75" s="16" t="s">
        <v>10</v>
      </c>
      <c r="J75" s="57" t="s">
        <v>1593</v>
      </c>
      <c r="K75" s="57"/>
      <c r="L75" s="57"/>
    </row>
    <row r="76" spans="1:12" ht="60">
      <c r="A76" s="26">
        <v>2</v>
      </c>
      <c r="B76" s="12" t="s">
        <v>1404</v>
      </c>
      <c r="C76" s="12" t="s">
        <v>1521</v>
      </c>
      <c r="D76" s="36" t="s">
        <v>1138</v>
      </c>
      <c r="E76" s="62" t="s">
        <v>1787</v>
      </c>
      <c r="F76" s="21" t="s">
        <v>1139</v>
      </c>
      <c r="G76" s="37"/>
      <c r="H76" s="21">
        <v>5</v>
      </c>
      <c r="I76" s="16" t="s">
        <v>10</v>
      </c>
      <c r="J76" s="57" t="s">
        <v>1706</v>
      </c>
      <c r="K76" s="57"/>
      <c r="L76" s="57"/>
    </row>
    <row r="77" spans="1:12" ht="60">
      <c r="A77" s="26">
        <v>2</v>
      </c>
      <c r="B77" s="12" t="s">
        <v>1404</v>
      </c>
      <c r="C77" s="12" t="s">
        <v>1521</v>
      </c>
      <c r="D77" s="36" t="s">
        <v>1140</v>
      </c>
      <c r="E77" s="62" t="s">
        <v>1788</v>
      </c>
      <c r="F77" s="21" t="s">
        <v>1141</v>
      </c>
      <c r="G77" s="37"/>
      <c r="H77" s="21">
        <v>5</v>
      </c>
      <c r="I77" s="16" t="s">
        <v>10</v>
      </c>
      <c r="J77" s="57" t="s">
        <v>1706</v>
      </c>
      <c r="K77" s="57"/>
      <c r="L77" s="57"/>
    </row>
    <row r="78" spans="1:12" ht="60">
      <c r="A78" s="26">
        <v>2</v>
      </c>
      <c r="B78" s="12" t="s">
        <v>1404</v>
      </c>
      <c r="C78" s="12" t="s">
        <v>1521</v>
      </c>
      <c r="D78" s="36" t="s">
        <v>13</v>
      </c>
      <c r="E78" s="62" t="s">
        <v>1789</v>
      </c>
      <c r="F78" s="21" t="s">
        <v>1142</v>
      </c>
      <c r="G78" s="37"/>
      <c r="H78" s="21">
        <v>5</v>
      </c>
      <c r="I78" s="16" t="s">
        <v>10</v>
      </c>
      <c r="J78" s="57" t="s">
        <v>1706</v>
      </c>
      <c r="K78" s="57"/>
      <c r="L78" s="57"/>
    </row>
    <row r="79" spans="1:12" ht="80">
      <c r="A79" s="26">
        <v>2</v>
      </c>
      <c r="B79" s="12" t="s">
        <v>1404</v>
      </c>
      <c r="C79" s="12" t="s">
        <v>1521</v>
      </c>
      <c r="D79" s="36" t="s">
        <v>1143</v>
      </c>
      <c r="E79" s="62" t="s">
        <v>1790</v>
      </c>
      <c r="F79" s="21" t="s">
        <v>1144</v>
      </c>
      <c r="G79" s="37"/>
      <c r="H79" s="21">
        <v>5</v>
      </c>
      <c r="I79" s="16" t="s">
        <v>10</v>
      </c>
      <c r="J79" s="57" t="s">
        <v>1706</v>
      </c>
      <c r="K79" s="57"/>
      <c r="L79" s="57"/>
    </row>
    <row r="80" spans="1:12" ht="40">
      <c r="A80" s="26">
        <v>2</v>
      </c>
      <c r="B80" s="12" t="s">
        <v>1404</v>
      </c>
      <c r="C80" s="12" t="s">
        <v>1521</v>
      </c>
      <c r="D80" s="36" t="s">
        <v>1314</v>
      </c>
      <c r="E80" s="62" t="s">
        <v>1791</v>
      </c>
      <c r="F80" s="21" t="s">
        <v>1636</v>
      </c>
      <c r="G80" s="37"/>
      <c r="H80" s="21">
        <v>2</v>
      </c>
      <c r="I80" s="16" t="s">
        <v>10</v>
      </c>
      <c r="J80" s="57" t="s">
        <v>1706</v>
      </c>
      <c r="K80" s="57"/>
      <c r="L80" s="57"/>
    </row>
    <row r="81" spans="1:12" ht="40">
      <c r="A81" s="26">
        <v>2</v>
      </c>
      <c r="B81" s="12" t="s">
        <v>1404</v>
      </c>
      <c r="C81" s="12" t="s">
        <v>1521</v>
      </c>
      <c r="D81" s="36" t="s">
        <v>15</v>
      </c>
      <c r="E81" s="62" t="s">
        <v>1792</v>
      </c>
      <c r="F81" s="21" t="s">
        <v>1145</v>
      </c>
      <c r="G81" s="37" t="s">
        <v>1592</v>
      </c>
      <c r="H81" s="21">
        <v>0</v>
      </c>
      <c r="I81" s="16"/>
      <c r="J81" s="57" t="s">
        <v>1593</v>
      </c>
      <c r="K81" s="57"/>
      <c r="L81" s="57"/>
    </row>
    <row r="82" spans="1:12" ht="60">
      <c r="A82" s="26">
        <v>2</v>
      </c>
      <c r="B82" s="12" t="s">
        <v>1404</v>
      </c>
      <c r="C82" s="12" t="s">
        <v>1521</v>
      </c>
      <c r="D82" s="36" t="s">
        <v>1637</v>
      </c>
      <c r="E82" s="62" t="s">
        <v>1793</v>
      </c>
      <c r="F82" s="21" t="s">
        <v>1638</v>
      </c>
      <c r="G82" s="37"/>
      <c r="H82" s="21">
        <v>0</v>
      </c>
      <c r="I82" s="16"/>
      <c r="J82" s="57" t="s">
        <v>1706</v>
      </c>
      <c r="K82" s="57"/>
      <c r="L82" s="57"/>
    </row>
    <row r="83" spans="1:12" ht="60">
      <c r="A83" s="26">
        <v>2</v>
      </c>
      <c r="B83" s="12" t="s">
        <v>1404</v>
      </c>
      <c r="C83" s="12" t="s">
        <v>1521</v>
      </c>
      <c r="D83" s="36" t="s">
        <v>1379</v>
      </c>
      <c r="E83" s="62" t="s">
        <v>1794</v>
      </c>
      <c r="F83" s="21" t="s">
        <v>1639</v>
      </c>
      <c r="G83" s="37"/>
      <c r="H83" s="21">
        <v>0</v>
      </c>
      <c r="I83" s="16"/>
      <c r="J83" s="57" t="s">
        <v>1706</v>
      </c>
      <c r="K83" s="57"/>
      <c r="L83" s="57"/>
    </row>
    <row r="84" spans="1:12" ht="40">
      <c r="A84" s="26">
        <v>2</v>
      </c>
      <c r="B84" s="12" t="s">
        <v>1404</v>
      </c>
      <c r="C84" s="12" t="s">
        <v>1521</v>
      </c>
      <c r="D84" s="36" t="s">
        <v>1640</v>
      </c>
      <c r="E84" s="62" t="s">
        <v>1795</v>
      </c>
      <c r="F84" s="21" t="s">
        <v>1641</v>
      </c>
      <c r="G84" s="37"/>
      <c r="H84" s="21">
        <v>3</v>
      </c>
      <c r="I84" s="16"/>
      <c r="J84" s="57" t="s">
        <v>1706</v>
      </c>
      <c r="K84" s="57"/>
      <c r="L84" s="57"/>
    </row>
    <row r="85" spans="1:12" ht="40">
      <c r="A85" s="26">
        <v>2</v>
      </c>
      <c r="B85" s="12" t="s">
        <v>1404</v>
      </c>
      <c r="C85" s="12" t="s">
        <v>1521</v>
      </c>
      <c r="D85" s="36" t="s">
        <v>1642</v>
      </c>
      <c r="E85" s="62" t="s">
        <v>1796</v>
      </c>
      <c r="F85" s="49" t="s">
        <v>1643</v>
      </c>
      <c r="G85" s="37"/>
      <c r="H85" s="21">
        <v>3</v>
      </c>
      <c r="I85" s="16"/>
      <c r="J85" s="57" t="s">
        <v>1706</v>
      </c>
      <c r="K85" s="57"/>
      <c r="L85" s="57"/>
    </row>
    <row r="86" spans="1:12" ht="60">
      <c r="A86" s="26">
        <v>2</v>
      </c>
      <c r="B86" s="12" t="s">
        <v>1404</v>
      </c>
      <c r="C86" s="12" t="s">
        <v>1521</v>
      </c>
      <c r="D86" s="36" t="s">
        <v>1146</v>
      </c>
      <c r="E86" s="62" t="s">
        <v>1797</v>
      </c>
      <c r="F86" s="49" t="s">
        <v>1445</v>
      </c>
      <c r="G86" s="37" t="s">
        <v>1592</v>
      </c>
      <c r="H86" s="21">
        <v>0</v>
      </c>
      <c r="I86" s="16"/>
      <c r="J86" s="57" t="s">
        <v>1593</v>
      </c>
      <c r="K86" s="57"/>
      <c r="L86" s="57"/>
    </row>
    <row r="87" spans="1:12" ht="220">
      <c r="A87" s="26">
        <v>2</v>
      </c>
      <c r="B87" s="12" t="s">
        <v>1404</v>
      </c>
      <c r="C87" s="12" t="s">
        <v>1521</v>
      </c>
      <c r="D87" s="36" t="s">
        <v>17</v>
      </c>
      <c r="E87" s="62" t="s">
        <v>1798</v>
      </c>
      <c r="F87" s="49" t="s">
        <v>1697</v>
      </c>
      <c r="G87" s="37"/>
      <c r="H87" s="21">
        <v>5</v>
      </c>
      <c r="I87" s="16"/>
      <c r="J87" s="57" t="s">
        <v>1706</v>
      </c>
      <c r="K87" s="57"/>
      <c r="L87" s="57"/>
    </row>
    <row r="88" spans="1:12" ht="80">
      <c r="A88" s="26">
        <v>2</v>
      </c>
      <c r="B88" s="12" t="s">
        <v>1404</v>
      </c>
      <c r="C88" s="12" t="s">
        <v>1521</v>
      </c>
      <c r="D88" s="36" t="s">
        <v>1644</v>
      </c>
      <c r="E88" s="62" t="s">
        <v>1799</v>
      </c>
      <c r="F88" s="49" t="s">
        <v>1645</v>
      </c>
      <c r="G88" s="37" t="s">
        <v>1592</v>
      </c>
      <c r="H88" s="21">
        <v>0</v>
      </c>
      <c r="I88" s="16"/>
      <c r="J88" s="57"/>
      <c r="K88" s="57"/>
      <c r="L88" s="57"/>
    </row>
    <row r="89" spans="1:12" ht="40">
      <c r="A89" s="26">
        <v>2</v>
      </c>
      <c r="B89" s="12" t="s">
        <v>1404</v>
      </c>
      <c r="C89" s="12" t="s">
        <v>1521</v>
      </c>
      <c r="D89" s="36" t="s">
        <v>18</v>
      </c>
      <c r="E89" s="62" t="s">
        <v>1800</v>
      </c>
      <c r="F89" s="49" t="s">
        <v>1147</v>
      </c>
      <c r="G89" s="37" t="s">
        <v>1592</v>
      </c>
      <c r="H89" s="21">
        <v>0</v>
      </c>
      <c r="I89" s="16"/>
      <c r="J89" s="57"/>
      <c r="K89" s="57"/>
      <c r="L89" s="57"/>
    </row>
    <row r="90" spans="1:12" ht="40">
      <c r="A90" s="26">
        <v>2</v>
      </c>
      <c r="B90" s="12" t="s">
        <v>1404</v>
      </c>
      <c r="C90" s="12" t="s">
        <v>1521</v>
      </c>
      <c r="D90" s="36" t="s">
        <v>1646</v>
      </c>
      <c r="E90" s="62" t="s">
        <v>1801</v>
      </c>
      <c r="F90" s="49" t="s">
        <v>1647</v>
      </c>
      <c r="G90" s="37" t="s">
        <v>1592</v>
      </c>
      <c r="H90" s="21">
        <v>0</v>
      </c>
      <c r="I90" s="16"/>
      <c r="J90" s="57"/>
      <c r="K90" s="57"/>
      <c r="L90" s="57"/>
    </row>
    <row r="91" spans="1:12" ht="60">
      <c r="A91" s="26">
        <v>2</v>
      </c>
      <c r="B91" s="12" t="s">
        <v>1404</v>
      </c>
      <c r="C91" s="12" t="s">
        <v>1521</v>
      </c>
      <c r="D91" s="36" t="s">
        <v>1283</v>
      </c>
      <c r="E91" s="62" t="s">
        <v>1802</v>
      </c>
      <c r="F91" s="49" t="s">
        <v>1648</v>
      </c>
      <c r="G91" s="37" t="s">
        <v>1592</v>
      </c>
      <c r="H91" s="21">
        <v>0</v>
      </c>
      <c r="I91" s="16"/>
      <c r="J91" s="57"/>
      <c r="K91" s="57"/>
      <c r="L91" s="57"/>
    </row>
    <row r="92" spans="1:12" ht="60">
      <c r="A92" s="26">
        <v>2</v>
      </c>
      <c r="B92" s="12" t="s">
        <v>1404</v>
      </c>
      <c r="C92" s="12" t="s">
        <v>1521</v>
      </c>
      <c r="D92" s="36" t="s">
        <v>1148</v>
      </c>
      <c r="E92" s="62" t="s">
        <v>1803</v>
      </c>
      <c r="F92" s="49" t="s">
        <v>1444</v>
      </c>
      <c r="G92" s="37" t="s">
        <v>1592</v>
      </c>
      <c r="H92" s="21">
        <v>0</v>
      </c>
      <c r="I92" s="16"/>
      <c r="J92" s="57" t="s">
        <v>1593</v>
      </c>
      <c r="K92" s="57"/>
      <c r="L92" s="57"/>
    </row>
    <row r="93" spans="1:12" ht="40">
      <c r="A93" s="26">
        <v>2</v>
      </c>
      <c r="B93" s="12" t="s">
        <v>1404</v>
      </c>
      <c r="C93" s="12" t="s">
        <v>1129</v>
      </c>
      <c r="D93" s="36" t="s">
        <v>61</v>
      </c>
      <c r="E93" s="62" t="s">
        <v>1930</v>
      </c>
      <c r="F93" s="49" t="s">
        <v>1240</v>
      </c>
      <c r="G93" s="37" t="s">
        <v>1</v>
      </c>
      <c r="H93" s="21">
        <v>0</v>
      </c>
      <c r="I93" s="16"/>
      <c r="J93" s="57"/>
      <c r="K93" s="57"/>
      <c r="L93" s="57"/>
    </row>
    <row r="94" spans="1:12" ht="60">
      <c r="A94" s="26">
        <v>2</v>
      </c>
      <c r="B94" s="12" t="s">
        <v>1404</v>
      </c>
      <c r="C94" s="12" t="s">
        <v>1129</v>
      </c>
      <c r="D94" s="36" t="s">
        <v>62</v>
      </c>
      <c r="E94" s="62" t="s">
        <v>1931</v>
      </c>
      <c r="F94" s="49" t="s">
        <v>1241</v>
      </c>
      <c r="G94" s="37" t="s">
        <v>1</v>
      </c>
      <c r="H94" s="21">
        <v>0</v>
      </c>
      <c r="I94" s="16"/>
      <c r="J94" s="57"/>
      <c r="K94" s="57"/>
      <c r="L94" s="57"/>
    </row>
    <row r="95" spans="1:12" ht="40">
      <c r="A95" s="26">
        <v>2</v>
      </c>
      <c r="B95" s="12" t="s">
        <v>1404</v>
      </c>
      <c r="C95" s="12" t="s">
        <v>1129</v>
      </c>
      <c r="D95" s="36" t="s">
        <v>63</v>
      </c>
      <c r="E95" s="62" t="s">
        <v>1932</v>
      </c>
      <c r="F95" s="49" t="s">
        <v>1242</v>
      </c>
      <c r="G95" s="37" t="s">
        <v>1</v>
      </c>
      <c r="H95" s="21">
        <v>0</v>
      </c>
      <c r="I95" s="16"/>
      <c r="J95" s="57"/>
      <c r="K95" s="57"/>
      <c r="L95" s="57"/>
    </row>
    <row r="96" spans="1:12" ht="80">
      <c r="A96" s="26">
        <v>2</v>
      </c>
      <c r="B96" s="12" t="s">
        <v>1404</v>
      </c>
      <c r="C96" s="12" t="s">
        <v>1129</v>
      </c>
      <c r="D96" s="36" t="s">
        <v>64</v>
      </c>
      <c r="E96" s="62" t="s">
        <v>1933</v>
      </c>
      <c r="F96" s="49" t="s">
        <v>1443</v>
      </c>
      <c r="G96" s="37" t="s">
        <v>1</v>
      </c>
      <c r="H96" s="21">
        <v>0</v>
      </c>
      <c r="I96" s="16"/>
      <c r="J96" s="57"/>
      <c r="K96" s="57"/>
      <c r="L96" s="57"/>
    </row>
    <row r="97" spans="1:12" ht="80">
      <c r="A97" s="26">
        <v>2</v>
      </c>
      <c r="B97" s="12" t="s">
        <v>1404</v>
      </c>
      <c r="C97" s="12" t="s">
        <v>1129</v>
      </c>
      <c r="D97" s="36" t="s">
        <v>65</v>
      </c>
      <c r="E97" s="62" t="s">
        <v>1934</v>
      </c>
      <c r="F97" s="21" t="s">
        <v>1243</v>
      </c>
      <c r="G97" s="37" t="s">
        <v>1</v>
      </c>
      <c r="H97" s="21">
        <v>0</v>
      </c>
      <c r="I97" s="16"/>
      <c r="J97" s="57"/>
      <c r="K97" s="57"/>
      <c r="L97" s="57"/>
    </row>
    <row r="98" spans="1:12" ht="80">
      <c r="A98" s="26">
        <v>2</v>
      </c>
      <c r="B98" s="12" t="s">
        <v>1404</v>
      </c>
      <c r="C98" s="12" t="s">
        <v>1129</v>
      </c>
      <c r="D98" s="36" t="s">
        <v>66</v>
      </c>
      <c r="E98" s="62" t="s">
        <v>1935</v>
      </c>
      <c r="F98" s="21" t="s">
        <v>1244</v>
      </c>
      <c r="G98" s="37" t="s">
        <v>1</v>
      </c>
      <c r="H98" s="21">
        <v>0</v>
      </c>
      <c r="I98" s="16"/>
      <c r="J98" s="57"/>
      <c r="K98" s="57"/>
      <c r="L98" s="57"/>
    </row>
    <row r="99" spans="1:12" ht="40">
      <c r="A99" s="26">
        <v>2</v>
      </c>
      <c r="B99" s="12" t="s">
        <v>1404</v>
      </c>
      <c r="C99" s="12" t="s">
        <v>1129</v>
      </c>
      <c r="D99" s="36" t="s">
        <v>67</v>
      </c>
      <c r="E99" s="62" t="s">
        <v>1936</v>
      </c>
      <c r="F99" s="21" t="s">
        <v>1245</v>
      </c>
      <c r="G99" s="37" t="s">
        <v>1</v>
      </c>
      <c r="H99" s="21">
        <v>0</v>
      </c>
      <c r="I99" s="16"/>
      <c r="J99" s="57"/>
      <c r="K99" s="57"/>
      <c r="L99" s="57"/>
    </row>
    <row r="100" spans="1:12" ht="60">
      <c r="A100" s="26">
        <v>2</v>
      </c>
      <c r="B100" s="12" t="s">
        <v>1404</v>
      </c>
      <c r="C100" s="12" t="s">
        <v>1129</v>
      </c>
      <c r="D100" s="36" t="s">
        <v>1246</v>
      </c>
      <c r="E100" s="62" t="s">
        <v>1937</v>
      </c>
      <c r="F100" s="21" t="s">
        <v>1247</v>
      </c>
      <c r="G100" s="37" t="s">
        <v>1</v>
      </c>
      <c r="H100" s="21">
        <v>0</v>
      </c>
      <c r="I100" s="16"/>
      <c r="J100" s="57"/>
      <c r="K100" s="57"/>
      <c r="L100" s="57"/>
    </row>
    <row r="101" spans="1:12" ht="120">
      <c r="A101" s="26">
        <v>2</v>
      </c>
      <c r="B101" s="12" t="s">
        <v>1404</v>
      </c>
      <c r="C101" s="12" t="s">
        <v>1120</v>
      </c>
      <c r="D101" s="36" t="s">
        <v>14</v>
      </c>
      <c r="E101" s="62" t="s">
        <v>1649</v>
      </c>
      <c r="F101" s="21" t="s">
        <v>1305</v>
      </c>
      <c r="G101" s="37"/>
      <c r="H101" s="21">
        <v>3</v>
      </c>
      <c r="I101" s="16"/>
      <c r="J101" s="57" t="s">
        <v>1706</v>
      </c>
      <c r="K101" s="57"/>
      <c r="L101" s="57"/>
    </row>
    <row r="102" spans="1:12" ht="100">
      <c r="A102" s="26">
        <v>2</v>
      </c>
      <c r="B102" s="12" t="s">
        <v>1404</v>
      </c>
      <c r="C102" s="12" t="s">
        <v>1120</v>
      </c>
      <c r="D102" s="36" t="s">
        <v>1306</v>
      </c>
      <c r="E102" s="62" t="s">
        <v>1649</v>
      </c>
      <c r="F102" s="21" t="s">
        <v>1307</v>
      </c>
      <c r="G102" s="37"/>
      <c r="H102" s="21">
        <v>0</v>
      </c>
      <c r="I102" s="16"/>
      <c r="J102" s="57" t="s">
        <v>1706</v>
      </c>
      <c r="K102" s="57"/>
      <c r="L102" s="57"/>
    </row>
    <row r="103" spans="1:12" ht="60">
      <c r="A103" s="26">
        <v>2</v>
      </c>
      <c r="B103" s="12" t="s">
        <v>1404</v>
      </c>
      <c r="C103" s="12" t="s">
        <v>23</v>
      </c>
      <c r="D103" s="36" t="s">
        <v>1311</v>
      </c>
      <c r="E103" s="62" t="s">
        <v>1804</v>
      </c>
      <c r="F103" s="21" t="s">
        <v>1312</v>
      </c>
      <c r="G103" s="37"/>
      <c r="H103" s="21">
        <v>5</v>
      </c>
      <c r="I103" s="16"/>
      <c r="J103" s="57" t="s">
        <v>1593</v>
      </c>
      <c r="K103" s="57"/>
      <c r="L103" s="57"/>
    </row>
    <row r="104" spans="1:12" ht="100">
      <c r="A104" s="26">
        <v>2</v>
      </c>
      <c r="B104" s="12" t="s">
        <v>1404</v>
      </c>
      <c r="C104" s="12" t="s">
        <v>23</v>
      </c>
      <c r="D104" s="36" t="s">
        <v>1522</v>
      </c>
      <c r="E104" s="62" t="s">
        <v>1805</v>
      </c>
      <c r="F104" s="49" t="s">
        <v>1401</v>
      </c>
      <c r="G104" s="37"/>
      <c r="H104" s="21">
        <v>2</v>
      </c>
      <c r="I104" s="16"/>
      <c r="J104" s="57" t="s">
        <v>1593</v>
      </c>
      <c r="K104" s="57"/>
      <c r="L104" s="57"/>
    </row>
    <row r="105" spans="1:12" ht="60">
      <c r="A105" s="26">
        <v>2</v>
      </c>
      <c r="B105" s="12" t="s">
        <v>1404</v>
      </c>
      <c r="C105" s="12" t="s">
        <v>23</v>
      </c>
      <c r="D105" s="36" t="s">
        <v>25</v>
      </c>
      <c r="E105" s="62" t="s">
        <v>1806</v>
      </c>
      <c r="F105" s="49" t="s">
        <v>1313</v>
      </c>
      <c r="G105" s="37"/>
      <c r="H105" s="21">
        <v>0</v>
      </c>
      <c r="I105" s="16"/>
      <c r="J105" s="57" t="s">
        <v>1593</v>
      </c>
      <c r="K105" s="57"/>
      <c r="L105" s="57"/>
    </row>
    <row r="106" spans="1:12" ht="120">
      <c r="A106" s="26">
        <v>2</v>
      </c>
      <c r="B106" s="12" t="s">
        <v>1404</v>
      </c>
      <c r="C106" s="12" t="s">
        <v>23</v>
      </c>
      <c r="D106" s="36" t="s">
        <v>76</v>
      </c>
      <c r="E106" s="62" t="s">
        <v>1807</v>
      </c>
      <c r="F106" s="21" t="s">
        <v>1315</v>
      </c>
      <c r="G106" s="37" t="s">
        <v>1592</v>
      </c>
      <c r="H106" s="21">
        <v>0</v>
      </c>
      <c r="I106" s="16"/>
      <c r="J106" s="57"/>
      <c r="K106" s="57"/>
      <c r="L106" s="57"/>
    </row>
    <row r="107" spans="1:12" ht="60">
      <c r="A107" s="26">
        <v>2</v>
      </c>
      <c r="B107" s="12" t="s">
        <v>1404</v>
      </c>
      <c r="C107" s="12" t="s">
        <v>23</v>
      </c>
      <c r="D107" s="36" t="s">
        <v>26</v>
      </c>
      <c r="E107" s="62" t="s">
        <v>1808</v>
      </c>
      <c r="F107" s="21" t="s">
        <v>1316</v>
      </c>
      <c r="G107" s="37" t="s">
        <v>10</v>
      </c>
      <c r="H107" s="21">
        <v>0</v>
      </c>
      <c r="I107" s="16"/>
      <c r="J107" s="57"/>
      <c r="K107" s="57"/>
      <c r="L107" s="57"/>
    </row>
    <row r="108" spans="1:12" ht="80">
      <c r="A108" s="26">
        <v>2</v>
      </c>
      <c r="B108" s="12" t="s">
        <v>1404</v>
      </c>
      <c r="C108" s="12" t="s">
        <v>1339</v>
      </c>
      <c r="D108" s="36" t="s">
        <v>1340</v>
      </c>
      <c r="E108" s="62" t="s">
        <v>1650</v>
      </c>
      <c r="F108" s="21" t="s">
        <v>1431</v>
      </c>
      <c r="G108" s="37" t="s">
        <v>1652</v>
      </c>
      <c r="H108" s="21">
        <v>0</v>
      </c>
      <c r="I108" s="16"/>
      <c r="J108" s="57"/>
      <c r="K108" s="57"/>
      <c r="L108" s="57"/>
    </row>
    <row r="109" spans="1:12" ht="40">
      <c r="A109" s="26">
        <v>2</v>
      </c>
      <c r="B109" s="12" t="s">
        <v>1404</v>
      </c>
      <c r="C109" s="12" t="s">
        <v>1339</v>
      </c>
      <c r="D109" s="36" t="s">
        <v>1341</v>
      </c>
      <c r="E109" s="62" t="s">
        <v>1651</v>
      </c>
      <c r="F109" s="21" t="s">
        <v>1433</v>
      </c>
      <c r="G109" s="37" t="s">
        <v>1652</v>
      </c>
      <c r="H109" s="21">
        <v>0</v>
      </c>
      <c r="I109" s="16" t="s">
        <v>10</v>
      </c>
      <c r="J109" s="57"/>
      <c r="K109" s="57"/>
      <c r="L109" s="57"/>
    </row>
    <row r="110" spans="1:12" ht="80">
      <c r="A110" s="26">
        <v>2</v>
      </c>
      <c r="B110" s="12" t="s">
        <v>1404</v>
      </c>
      <c r="C110" s="12" t="s">
        <v>1339</v>
      </c>
      <c r="D110" s="36" t="s">
        <v>1342</v>
      </c>
      <c r="E110" s="62" t="s">
        <v>1653</v>
      </c>
      <c r="F110" s="21" t="s">
        <v>1430</v>
      </c>
      <c r="G110" s="37" t="s">
        <v>1652</v>
      </c>
      <c r="H110" s="21">
        <v>0</v>
      </c>
      <c r="I110" s="16" t="s">
        <v>10</v>
      </c>
      <c r="J110" s="57"/>
      <c r="K110" s="57"/>
      <c r="L110" s="57"/>
    </row>
    <row r="111" spans="1:12" ht="40">
      <c r="A111" s="26">
        <v>2</v>
      </c>
      <c r="B111" s="12" t="s">
        <v>1404</v>
      </c>
      <c r="C111" s="12" t="s">
        <v>1339</v>
      </c>
      <c r="D111" s="36" t="s">
        <v>1343</v>
      </c>
      <c r="E111" s="62" t="s">
        <v>1654</v>
      </c>
      <c r="F111" s="21" t="s">
        <v>1344</v>
      </c>
      <c r="G111" s="37" t="s">
        <v>1652</v>
      </c>
      <c r="H111" s="21">
        <v>0</v>
      </c>
      <c r="I111" s="16" t="s">
        <v>10</v>
      </c>
      <c r="J111" s="57"/>
      <c r="K111" s="57"/>
      <c r="L111" s="57"/>
    </row>
    <row r="112" spans="1:12" ht="120">
      <c r="A112" s="26">
        <v>2</v>
      </c>
      <c r="B112" s="12" t="s">
        <v>1404</v>
      </c>
      <c r="C112" s="12" t="s">
        <v>1339</v>
      </c>
      <c r="D112" s="36" t="s">
        <v>1386</v>
      </c>
      <c r="E112" s="62" t="s">
        <v>1655</v>
      </c>
      <c r="F112" s="21" t="s">
        <v>1432</v>
      </c>
      <c r="G112" s="37" t="s">
        <v>1652</v>
      </c>
      <c r="H112" s="21">
        <v>0</v>
      </c>
      <c r="I112" s="16" t="s">
        <v>10</v>
      </c>
      <c r="J112" s="57"/>
      <c r="K112" s="57"/>
      <c r="L112" s="57"/>
    </row>
    <row r="113" spans="1:12" ht="40">
      <c r="A113" s="26">
        <v>3</v>
      </c>
      <c r="B113" s="12" t="s">
        <v>1656</v>
      </c>
      <c r="C113" s="12" t="s">
        <v>1123</v>
      </c>
      <c r="D113" s="36" t="s">
        <v>1149</v>
      </c>
      <c r="E113" s="62" t="s">
        <v>1809</v>
      </c>
      <c r="F113" s="21" t="s">
        <v>1150</v>
      </c>
      <c r="G113" s="37"/>
      <c r="H113" s="21">
        <v>0</v>
      </c>
      <c r="I113" s="16" t="s">
        <v>10</v>
      </c>
      <c r="J113" s="57"/>
      <c r="K113" s="57"/>
      <c r="L113" s="57"/>
    </row>
    <row r="114" spans="1:12" ht="40">
      <c r="A114" s="26">
        <v>3</v>
      </c>
      <c r="B114" s="12" t="s">
        <v>1656</v>
      </c>
      <c r="C114" s="12" t="s">
        <v>1123</v>
      </c>
      <c r="D114" s="36" t="s">
        <v>1151</v>
      </c>
      <c r="E114" s="62" t="s">
        <v>1810</v>
      </c>
      <c r="F114" s="21" t="s">
        <v>1377</v>
      </c>
      <c r="G114" s="37"/>
      <c r="H114" s="21">
        <v>0</v>
      </c>
      <c r="I114" s="16" t="s">
        <v>10</v>
      </c>
      <c r="J114" s="57"/>
      <c r="K114" s="57"/>
      <c r="L114" s="57"/>
    </row>
    <row r="115" spans="1:12" ht="32">
      <c r="A115" s="26">
        <v>3</v>
      </c>
      <c r="B115" s="12" t="s">
        <v>1656</v>
      </c>
      <c r="C115" s="12" t="s">
        <v>1123</v>
      </c>
      <c r="D115" s="36" t="s">
        <v>31</v>
      </c>
      <c r="E115" s="62" t="s">
        <v>1811</v>
      </c>
      <c r="F115" s="21" t="s">
        <v>1408</v>
      </c>
      <c r="G115" s="37"/>
      <c r="H115" s="21">
        <v>0</v>
      </c>
      <c r="I115" s="16" t="s">
        <v>10</v>
      </c>
      <c r="J115" s="57"/>
      <c r="K115" s="57"/>
      <c r="L115" s="57"/>
    </row>
    <row r="116" spans="1:12" ht="100">
      <c r="A116" s="26">
        <v>3</v>
      </c>
      <c r="B116" s="12" t="s">
        <v>1656</v>
      </c>
      <c r="C116" s="12" t="s">
        <v>1123</v>
      </c>
      <c r="D116" s="36" t="s">
        <v>24</v>
      </c>
      <c r="E116" s="62" t="s">
        <v>1812</v>
      </c>
      <c r="F116" s="21" t="s">
        <v>1152</v>
      </c>
      <c r="G116" s="37"/>
      <c r="H116" s="21">
        <v>0</v>
      </c>
      <c r="I116" s="16" t="s">
        <v>10</v>
      </c>
      <c r="J116" s="57"/>
      <c r="K116" s="57"/>
      <c r="L116" s="57"/>
    </row>
    <row r="117" spans="1:12" ht="40">
      <c r="A117" s="26">
        <v>3</v>
      </c>
      <c r="B117" s="12" t="s">
        <v>1656</v>
      </c>
      <c r="C117" s="12" t="s">
        <v>1123</v>
      </c>
      <c r="D117" s="36" t="s">
        <v>32</v>
      </c>
      <c r="E117" s="62" t="s">
        <v>1813</v>
      </c>
      <c r="F117" s="21" t="s">
        <v>1153</v>
      </c>
      <c r="G117" s="37"/>
      <c r="H117" s="21">
        <v>0</v>
      </c>
      <c r="I117" s="16" t="s">
        <v>10</v>
      </c>
      <c r="J117" s="57"/>
      <c r="K117" s="57"/>
      <c r="L117" s="57"/>
    </row>
    <row r="118" spans="1:12" ht="40">
      <c r="A118" s="26">
        <v>3</v>
      </c>
      <c r="B118" s="12" t="s">
        <v>1656</v>
      </c>
      <c r="C118" s="12" t="s">
        <v>1123</v>
      </c>
      <c r="D118" s="36" t="s">
        <v>33</v>
      </c>
      <c r="E118" s="62" t="s">
        <v>1814</v>
      </c>
      <c r="F118" s="21" t="s">
        <v>1409</v>
      </c>
      <c r="G118" s="37"/>
      <c r="H118" s="21">
        <v>0</v>
      </c>
      <c r="I118" s="16" t="s">
        <v>10</v>
      </c>
      <c r="J118" s="57"/>
      <c r="K118" s="57"/>
      <c r="L118" s="57"/>
    </row>
    <row r="119" spans="1:12" ht="60">
      <c r="A119" s="26">
        <v>3</v>
      </c>
      <c r="B119" s="12" t="s">
        <v>1656</v>
      </c>
      <c r="C119" s="12" t="s">
        <v>1123</v>
      </c>
      <c r="D119" s="36" t="s">
        <v>1154</v>
      </c>
      <c r="E119" s="62" t="s">
        <v>1815</v>
      </c>
      <c r="F119" s="21" t="s">
        <v>1410</v>
      </c>
      <c r="G119" s="37"/>
      <c r="H119" s="21">
        <v>0</v>
      </c>
      <c r="I119" s="16" t="s">
        <v>10</v>
      </c>
      <c r="J119" s="57"/>
      <c r="K119" s="57"/>
      <c r="L119" s="57"/>
    </row>
    <row r="120" spans="1:12" ht="60">
      <c r="A120" s="26">
        <v>3</v>
      </c>
      <c r="B120" s="12" t="s">
        <v>1656</v>
      </c>
      <c r="C120" s="12" t="s">
        <v>1123</v>
      </c>
      <c r="D120" s="36" t="s">
        <v>35</v>
      </c>
      <c r="E120" s="62" t="s">
        <v>1816</v>
      </c>
      <c r="F120" s="21" t="s">
        <v>1155</v>
      </c>
      <c r="G120" s="37"/>
      <c r="H120" s="21">
        <v>0</v>
      </c>
      <c r="I120" s="16" t="s">
        <v>10</v>
      </c>
      <c r="J120" s="57"/>
      <c r="K120" s="57"/>
      <c r="L120" s="57"/>
    </row>
    <row r="121" spans="1:12" ht="80">
      <c r="A121" s="26">
        <v>3</v>
      </c>
      <c r="B121" s="12" t="s">
        <v>1656</v>
      </c>
      <c r="C121" s="12" t="s">
        <v>1123</v>
      </c>
      <c r="D121" s="36" t="s">
        <v>1156</v>
      </c>
      <c r="E121" s="62" t="s">
        <v>1817</v>
      </c>
      <c r="F121" s="21" t="s">
        <v>1376</v>
      </c>
      <c r="G121" s="37"/>
      <c r="H121" s="21">
        <v>0</v>
      </c>
      <c r="I121" s="16" t="s">
        <v>10</v>
      </c>
      <c r="J121" s="57"/>
      <c r="K121" s="57"/>
      <c r="L121" s="57"/>
    </row>
    <row r="122" spans="1:12" ht="40">
      <c r="A122" s="26">
        <v>3</v>
      </c>
      <c r="B122" s="12" t="s">
        <v>1656</v>
      </c>
      <c r="C122" s="12" t="s">
        <v>1123</v>
      </c>
      <c r="D122" s="36" t="s">
        <v>1157</v>
      </c>
      <c r="E122" s="62" t="s">
        <v>1818</v>
      </c>
      <c r="F122" s="21" t="s">
        <v>1411</v>
      </c>
      <c r="G122" s="37"/>
      <c r="H122" s="21">
        <v>0</v>
      </c>
      <c r="I122" s="16" t="s">
        <v>10</v>
      </c>
      <c r="J122" s="57"/>
      <c r="K122" s="57"/>
      <c r="L122" s="57"/>
    </row>
    <row r="123" spans="1:12" ht="40">
      <c r="A123" s="26">
        <v>3</v>
      </c>
      <c r="B123" s="12" t="s">
        <v>1656</v>
      </c>
      <c r="C123" s="12" t="s">
        <v>1123</v>
      </c>
      <c r="D123" s="36" t="s">
        <v>1657</v>
      </c>
      <c r="E123" s="62" t="s">
        <v>1819</v>
      </c>
      <c r="F123" s="21" t="s">
        <v>1658</v>
      </c>
      <c r="G123" s="37"/>
      <c r="H123" s="21">
        <v>0</v>
      </c>
      <c r="I123" s="16" t="s">
        <v>10</v>
      </c>
      <c r="J123" s="57"/>
      <c r="K123" s="57"/>
      <c r="L123" s="57"/>
    </row>
    <row r="124" spans="1:12" ht="60">
      <c r="A124" s="26">
        <v>3</v>
      </c>
      <c r="B124" s="12" t="s">
        <v>1656</v>
      </c>
      <c r="C124" s="12" t="s">
        <v>1123</v>
      </c>
      <c r="D124" s="36" t="s">
        <v>1158</v>
      </c>
      <c r="E124" s="62" t="s">
        <v>1820</v>
      </c>
      <c r="F124" s="21" t="s">
        <v>1415</v>
      </c>
      <c r="G124" s="37"/>
      <c r="H124" s="21">
        <v>0</v>
      </c>
      <c r="I124" s="16" t="s">
        <v>10</v>
      </c>
      <c r="J124" s="57"/>
      <c r="K124" s="57"/>
      <c r="L124" s="57"/>
    </row>
    <row r="125" spans="1:12" ht="60">
      <c r="A125" s="26">
        <v>3</v>
      </c>
      <c r="B125" s="12" t="s">
        <v>1656</v>
      </c>
      <c r="C125" s="12" t="s">
        <v>1123</v>
      </c>
      <c r="D125" s="36" t="s">
        <v>34</v>
      </c>
      <c r="E125" s="62" t="s">
        <v>1821</v>
      </c>
      <c r="F125" s="21" t="s">
        <v>1159</v>
      </c>
      <c r="G125" s="37"/>
      <c r="H125" s="21">
        <v>0</v>
      </c>
      <c r="I125" s="16" t="s">
        <v>10</v>
      </c>
      <c r="J125" s="57"/>
      <c r="K125" s="57"/>
      <c r="L125" s="57"/>
    </row>
    <row r="126" spans="1:12" ht="60">
      <c r="A126" s="26">
        <v>3</v>
      </c>
      <c r="B126" s="12" t="s">
        <v>1656</v>
      </c>
      <c r="C126" s="12" t="s">
        <v>1123</v>
      </c>
      <c r="D126" s="36" t="s">
        <v>1160</v>
      </c>
      <c r="E126" s="62" t="s">
        <v>1822</v>
      </c>
      <c r="F126" s="21" t="s">
        <v>1161</v>
      </c>
      <c r="G126" s="37"/>
      <c r="H126" s="21">
        <v>0</v>
      </c>
      <c r="I126" s="16" t="s">
        <v>10</v>
      </c>
      <c r="J126" s="57"/>
      <c r="K126" s="57"/>
      <c r="L126" s="57"/>
    </row>
    <row r="127" spans="1:12" ht="60">
      <c r="A127" s="26">
        <v>3</v>
      </c>
      <c r="B127" s="12" t="s">
        <v>1656</v>
      </c>
      <c r="C127" s="12" t="s">
        <v>1123</v>
      </c>
      <c r="D127" s="36" t="s">
        <v>1162</v>
      </c>
      <c r="E127" s="62" t="s">
        <v>1823</v>
      </c>
      <c r="F127" s="21" t="s">
        <v>1412</v>
      </c>
      <c r="G127" s="37"/>
      <c r="H127" s="21">
        <v>0</v>
      </c>
      <c r="I127" s="16" t="s">
        <v>10</v>
      </c>
      <c r="J127" s="57"/>
      <c r="K127" s="57"/>
      <c r="L127" s="57"/>
    </row>
    <row r="128" spans="1:12" ht="60">
      <c r="A128" s="26">
        <v>3</v>
      </c>
      <c r="B128" s="12" t="s">
        <v>1656</v>
      </c>
      <c r="C128" s="12" t="s">
        <v>1123</v>
      </c>
      <c r="D128" s="36" t="s">
        <v>1163</v>
      </c>
      <c r="E128" s="62" t="s">
        <v>1824</v>
      </c>
      <c r="F128" s="21" t="s">
        <v>1413</v>
      </c>
      <c r="G128" s="37"/>
      <c r="H128" s="21">
        <v>0</v>
      </c>
      <c r="I128" s="16" t="s">
        <v>10</v>
      </c>
      <c r="J128" s="57"/>
      <c r="K128" s="57"/>
      <c r="L128" s="57"/>
    </row>
    <row r="129" spans="1:12" ht="80">
      <c r="A129" s="26">
        <v>3</v>
      </c>
      <c r="B129" s="12" t="s">
        <v>1656</v>
      </c>
      <c r="C129" s="12" t="s">
        <v>1123</v>
      </c>
      <c r="D129" s="36" t="s">
        <v>1164</v>
      </c>
      <c r="E129" s="62" t="s">
        <v>1825</v>
      </c>
      <c r="F129" s="21" t="s">
        <v>1414</v>
      </c>
      <c r="G129" s="37"/>
      <c r="H129" s="21">
        <v>0</v>
      </c>
      <c r="I129" s="16" t="s">
        <v>10</v>
      </c>
      <c r="J129" s="57"/>
      <c r="K129" s="57"/>
      <c r="L129" s="57"/>
    </row>
    <row r="130" spans="1:12" ht="40">
      <c r="A130" s="26">
        <v>3</v>
      </c>
      <c r="B130" s="12" t="s">
        <v>1656</v>
      </c>
      <c r="C130" s="12" t="s">
        <v>1123</v>
      </c>
      <c r="D130" s="36" t="s">
        <v>1165</v>
      </c>
      <c r="E130" s="62" t="s">
        <v>1826</v>
      </c>
      <c r="F130" s="21" t="s">
        <v>1166</v>
      </c>
      <c r="G130" s="37"/>
      <c r="H130" s="21">
        <v>0</v>
      </c>
      <c r="I130" s="16" t="s">
        <v>10</v>
      </c>
      <c r="J130" s="57"/>
      <c r="K130" s="57"/>
      <c r="L130" s="57"/>
    </row>
    <row r="131" spans="1:12" ht="100">
      <c r="A131" s="26">
        <v>3</v>
      </c>
      <c r="B131" s="12" t="s">
        <v>1656</v>
      </c>
      <c r="C131" s="12" t="s">
        <v>1124</v>
      </c>
      <c r="D131" s="36" t="s">
        <v>1659</v>
      </c>
      <c r="E131" s="62" t="s">
        <v>1827</v>
      </c>
      <c r="F131" s="21" t="s">
        <v>1418</v>
      </c>
      <c r="G131" s="37"/>
      <c r="H131" s="21">
        <v>0</v>
      </c>
      <c r="I131" s="16"/>
      <c r="J131" s="57"/>
      <c r="K131" s="57"/>
      <c r="L131" s="57"/>
    </row>
    <row r="132" spans="1:12" ht="60">
      <c r="A132" s="26">
        <v>3</v>
      </c>
      <c r="B132" s="12" t="s">
        <v>1656</v>
      </c>
      <c r="C132" s="12" t="s">
        <v>1124</v>
      </c>
      <c r="D132" s="36" t="s">
        <v>1167</v>
      </c>
      <c r="E132" s="62" t="s">
        <v>1828</v>
      </c>
      <c r="F132" s="21" t="s">
        <v>1168</v>
      </c>
      <c r="G132" s="37"/>
      <c r="H132" s="21">
        <v>0</v>
      </c>
      <c r="I132" s="16"/>
      <c r="J132" s="57"/>
      <c r="K132" s="57"/>
      <c r="L132" s="57"/>
    </row>
    <row r="133" spans="1:12" ht="40">
      <c r="A133" s="26">
        <v>3</v>
      </c>
      <c r="B133" s="12" t="s">
        <v>1656</v>
      </c>
      <c r="C133" s="12" t="s">
        <v>1124</v>
      </c>
      <c r="D133" s="36" t="s">
        <v>46</v>
      </c>
      <c r="E133" s="62" t="s">
        <v>1829</v>
      </c>
      <c r="F133" s="21" t="s">
        <v>1169</v>
      </c>
      <c r="G133" s="37"/>
      <c r="H133" s="21">
        <v>0</v>
      </c>
      <c r="I133" s="16"/>
      <c r="J133" s="57"/>
      <c r="K133" s="57"/>
      <c r="L133" s="57"/>
    </row>
    <row r="134" spans="1:12" ht="40">
      <c r="A134" s="26">
        <v>3</v>
      </c>
      <c r="B134" s="12" t="s">
        <v>1656</v>
      </c>
      <c r="C134" s="12" t="s">
        <v>1171</v>
      </c>
      <c r="D134" s="36" t="s">
        <v>1172</v>
      </c>
      <c r="E134" s="39"/>
      <c r="F134" s="21" t="s">
        <v>1416</v>
      </c>
      <c r="G134" s="37" t="s">
        <v>1</v>
      </c>
      <c r="H134" s="21">
        <v>0</v>
      </c>
      <c r="I134" s="16" t="s">
        <v>1717</v>
      </c>
      <c r="J134" s="57"/>
      <c r="K134" s="57"/>
      <c r="L134" s="57"/>
    </row>
    <row r="135" spans="1:12" ht="40">
      <c r="A135" s="26">
        <v>3</v>
      </c>
      <c r="B135" s="12" t="s">
        <v>1656</v>
      </c>
      <c r="C135" s="12" t="s">
        <v>1171</v>
      </c>
      <c r="D135" s="36" t="s">
        <v>1173</v>
      </c>
      <c r="E135" s="38"/>
      <c r="F135" s="21" t="s">
        <v>1174</v>
      </c>
      <c r="G135" s="37" t="s">
        <v>1</v>
      </c>
      <c r="H135" s="21">
        <v>0</v>
      </c>
      <c r="I135" s="16" t="s">
        <v>1717</v>
      </c>
      <c r="J135" s="57"/>
      <c r="K135" s="57"/>
      <c r="L135" s="57"/>
    </row>
    <row r="136" spans="1:12" ht="40">
      <c r="A136" s="26">
        <v>3</v>
      </c>
      <c r="B136" s="12" t="s">
        <v>1656</v>
      </c>
      <c r="C136" s="12" t="s">
        <v>1171</v>
      </c>
      <c r="D136" s="36" t="s">
        <v>1175</v>
      </c>
      <c r="E136" s="39"/>
      <c r="F136" s="21" t="s">
        <v>1176</v>
      </c>
      <c r="G136" s="37" t="s">
        <v>1</v>
      </c>
      <c r="H136" s="21">
        <v>0</v>
      </c>
      <c r="I136" s="16" t="s">
        <v>1717</v>
      </c>
      <c r="J136" s="57"/>
      <c r="K136" s="57"/>
      <c r="L136" s="57"/>
    </row>
    <row r="137" spans="1:12" ht="60">
      <c r="A137" s="26">
        <v>13</v>
      </c>
      <c r="B137" s="12" t="s">
        <v>1124</v>
      </c>
      <c r="C137" s="12" t="s">
        <v>1124</v>
      </c>
      <c r="D137" s="36" t="s">
        <v>1202</v>
      </c>
      <c r="E137" s="62" t="s">
        <v>1830</v>
      </c>
      <c r="F137" s="21" t="s">
        <v>1203</v>
      </c>
      <c r="G137" s="37"/>
      <c r="H137" s="21">
        <v>0</v>
      </c>
      <c r="I137" s="16"/>
      <c r="J137" s="57"/>
      <c r="K137" s="57"/>
      <c r="L137" s="57"/>
    </row>
    <row r="138" spans="1:12" ht="40">
      <c r="A138" s="26">
        <v>13</v>
      </c>
      <c r="B138" s="12" t="s">
        <v>1124</v>
      </c>
      <c r="C138" s="12" t="s">
        <v>1124</v>
      </c>
      <c r="D138" s="36" t="s">
        <v>1204</v>
      </c>
      <c r="E138" s="62" t="s">
        <v>1831</v>
      </c>
      <c r="F138" s="21" t="s">
        <v>1205</v>
      </c>
      <c r="G138" s="37"/>
      <c r="H138" s="21">
        <v>0</v>
      </c>
      <c r="I138" s="16"/>
      <c r="J138" s="57"/>
      <c r="K138" s="57"/>
      <c r="L138" s="57"/>
    </row>
    <row r="139" spans="1:12" ht="140">
      <c r="A139" s="26">
        <v>13</v>
      </c>
      <c r="B139" s="12" t="s">
        <v>1660</v>
      </c>
      <c r="C139" s="12" t="s">
        <v>1124</v>
      </c>
      <c r="D139" s="36" t="s">
        <v>36</v>
      </c>
      <c r="E139" s="62" t="s">
        <v>1832</v>
      </c>
      <c r="F139" s="21" t="s">
        <v>1170</v>
      </c>
      <c r="G139" s="37"/>
      <c r="H139" s="21">
        <v>0</v>
      </c>
      <c r="I139" s="16"/>
      <c r="J139" s="57"/>
      <c r="K139" s="57"/>
      <c r="L139" s="57"/>
    </row>
    <row r="140" spans="1:12" ht="40">
      <c r="A140" s="26">
        <v>5</v>
      </c>
      <c r="B140" s="12" t="s">
        <v>1661</v>
      </c>
      <c r="C140" s="12" t="s">
        <v>1177</v>
      </c>
      <c r="D140" s="36" t="s">
        <v>38</v>
      </c>
      <c r="E140" s="62" t="s">
        <v>1833</v>
      </c>
      <c r="F140" s="21" t="s">
        <v>1178</v>
      </c>
      <c r="G140" s="37"/>
      <c r="H140" s="21">
        <v>0</v>
      </c>
      <c r="I140" s="37" t="s">
        <v>1662</v>
      </c>
      <c r="J140" s="57"/>
      <c r="K140" s="57"/>
      <c r="L140" s="57"/>
    </row>
    <row r="141" spans="1:12" ht="60">
      <c r="A141" s="26">
        <v>5</v>
      </c>
      <c r="B141" s="12" t="s">
        <v>1661</v>
      </c>
      <c r="C141" s="12" t="s">
        <v>1177</v>
      </c>
      <c r="D141" s="36" t="s">
        <v>37</v>
      </c>
      <c r="E141" s="62" t="s">
        <v>1834</v>
      </c>
      <c r="F141" s="21" t="s">
        <v>1179</v>
      </c>
      <c r="G141" s="37"/>
      <c r="H141" s="21">
        <v>0</v>
      </c>
      <c r="I141" s="37" t="s">
        <v>1662</v>
      </c>
      <c r="J141" s="57"/>
      <c r="K141" s="57"/>
      <c r="L141" s="57"/>
    </row>
    <row r="142" spans="1:12" ht="40">
      <c r="A142" s="26">
        <v>5</v>
      </c>
      <c r="B142" s="12" t="s">
        <v>1661</v>
      </c>
      <c r="C142" s="12" t="s">
        <v>1300</v>
      </c>
      <c r="D142" s="36" t="s">
        <v>1301</v>
      </c>
      <c r="E142" s="62" t="s">
        <v>1835</v>
      </c>
      <c r="F142" s="21" t="s">
        <v>1302</v>
      </c>
      <c r="G142" s="37"/>
      <c r="H142" s="21">
        <v>0</v>
      </c>
      <c r="I142" s="16"/>
      <c r="J142" s="57"/>
      <c r="K142" s="57"/>
      <c r="L142" s="57"/>
    </row>
    <row r="143" spans="1:12" ht="40">
      <c r="A143" s="26">
        <v>5</v>
      </c>
      <c r="B143" s="12" t="s">
        <v>1661</v>
      </c>
      <c r="C143" s="12" t="s">
        <v>1300</v>
      </c>
      <c r="D143" s="36" t="s">
        <v>1303</v>
      </c>
      <c r="E143" s="62" t="s">
        <v>1835</v>
      </c>
      <c r="F143" s="21" t="s">
        <v>1304</v>
      </c>
      <c r="G143" s="37"/>
      <c r="H143" s="21">
        <v>0</v>
      </c>
      <c r="I143" s="16"/>
      <c r="J143" s="57"/>
      <c r="K143" s="57"/>
      <c r="L143" s="57"/>
    </row>
    <row r="144" spans="1:12" ht="80">
      <c r="A144" s="26">
        <v>12</v>
      </c>
      <c r="B144" s="12" t="s">
        <v>1308</v>
      </c>
      <c r="C144" s="12" t="s">
        <v>1308</v>
      </c>
      <c r="D144" s="36" t="s">
        <v>1309</v>
      </c>
      <c r="E144" s="62" t="s">
        <v>1836</v>
      </c>
      <c r="F144" s="21" t="s">
        <v>1429</v>
      </c>
      <c r="G144" s="37"/>
      <c r="H144" s="21">
        <v>0</v>
      </c>
      <c r="I144" s="16"/>
      <c r="J144" s="57"/>
      <c r="K144" s="57"/>
      <c r="L144" s="57"/>
    </row>
    <row r="145" spans="1:12" ht="60">
      <c r="A145" s="26">
        <v>12</v>
      </c>
      <c r="B145" s="12" t="s">
        <v>1308</v>
      </c>
      <c r="C145" s="12" t="s">
        <v>1308</v>
      </c>
      <c r="D145" s="36" t="s">
        <v>1310</v>
      </c>
      <c r="E145" s="62" t="s">
        <v>1837</v>
      </c>
      <c r="F145" s="21" t="s">
        <v>1428</v>
      </c>
      <c r="G145" s="37"/>
      <c r="H145" s="21">
        <v>4</v>
      </c>
      <c r="I145" s="16"/>
      <c r="J145" s="57" t="s">
        <v>1706</v>
      </c>
      <c r="K145" s="57"/>
      <c r="L145" s="57"/>
    </row>
    <row r="146" spans="1:12" ht="60">
      <c r="A146" s="26">
        <v>3</v>
      </c>
      <c r="B146" s="12" t="s">
        <v>1663</v>
      </c>
      <c r="C146" s="12" t="s">
        <v>1126</v>
      </c>
      <c r="D146" s="36" t="s">
        <v>1664</v>
      </c>
      <c r="E146" s="62" t="s">
        <v>1838</v>
      </c>
      <c r="F146" s="21" t="s">
        <v>1665</v>
      </c>
      <c r="G146" s="37"/>
      <c r="H146" s="21">
        <v>0</v>
      </c>
      <c r="I146" s="16" t="s">
        <v>10</v>
      </c>
      <c r="J146" s="57"/>
      <c r="K146" s="57"/>
      <c r="L146" s="57"/>
    </row>
    <row r="147" spans="1:12" ht="40">
      <c r="A147" s="26">
        <v>3</v>
      </c>
      <c r="B147" s="12" t="s">
        <v>1663</v>
      </c>
      <c r="C147" s="12" t="s">
        <v>1126</v>
      </c>
      <c r="D147" s="36" t="s">
        <v>60</v>
      </c>
      <c r="E147" s="62" t="s">
        <v>1839</v>
      </c>
      <c r="F147" s="21" t="s">
        <v>1223</v>
      </c>
      <c r="G147" s="37"/>
      <c r="H147" s="21">
        <v>0</v>
      </c>
      <c r="I147" s="16" t="s">
        <v>10</v>
      </c>
      <c r="J147" s="57"/>
      <c r="K147" s="57"/>
      <c r="L147" s="57"/>
    </row>
    <row r="148" spans="1:12" ht="40">
      <c r="A148" s="26">
        <v>3</v>
      </c>
      <c r="B148" s="12" t="s">
        <v>1663</v>
      </c>
      <c r="C148" s="12" t="s">
        <v>1126</v>
      </c>
      <c r="D148" s="36" t="s">
        <v>1224</v>
      </c>
      <c r="E148" s="62" t="s">
        <v>1840</v>
      </c>
      <c r="F148" s="21" t="s">
        <v>1225</v>
      </c>
      <c r="G148" s="37"/>
      <c r="H148" s="21">
        <v>0</v>
      </c>
      <c r="I148" s="16" t="s">
        <v>10</v>
      </c>
      <c r="J148" s="57"/>
      <c r="K148" s="57"/>
      <c r="L148" s="57"/>
    </row>
    <row r="149" spans="1:12" ht="40">
      <c r="A149" s="26">
        <v>3</v>
      </c>
      <c r="B149" s="12" t="s">
        <v>1663</v>
      </c>
      <c r="C149" s="12" t="s">
        <v>1126</v>
      </c>
      <c r="D149" s="36" t="s">
        <v>1226</v>
      </c>
      <c r="E149" s="62" t="s">
        <v>1841</v>
      </c>
      <c r="F149" s="21" t="s">
        <v>1227</v>
      </c>
      <c r="G149" s="37"/>
      <c r="H149" s="21">
        <v>0</v>
      </c>
      <c r="I149" s="16" t="s">
        <v>10</v>
      </c>
      <c r="J149" s="57"/>
      <c r="K149" s="57"/>
      <c r="L149" s="57"/>
    </row>
    <row r="150" spans="1:12" ht="32">
      <c r="A150" s="26">
        <v>3</v>
      </c>
      <c r="B150" s="12" t="s">
        <v>1663</v>
      </c>
      <c r="C150" s="12" t="s">
        <v>1126</v>
      </c>
      <c r="D150" s="36" t="s">
        <v>1228</v>
      </c>
      <c r="E150" s="62" t="s">
        <v>1842</v>
      </c>
      <c r="F150" s="21" t="s">
        <v>1229</v>
      </c>
      <c r="G150" s="37"/>
      <c r="H150" s="21">
        <v>0</v>
      </c>
      <c r="I150" s="16" t="s">
        <v>10</v>
      </c>
      <c r="J150" s="57"/>
      <c r="K150" s="57"/>
      <c r="L150" s="57"/>
    </row>
    <row r="151" spans="1:12" ht="60">
      <c r="A151" s="26">
        <v>3</v>
      </c>
      <c r="B151" s="12" t="s">
        <v>1663</v>
      </c>
      <c r="C151" s="12" t="s">
        <v>1126</v>
      </c>
      <c r="D151" s="36" t="s">
        <v>1230</v>
      </c>
      <c r="E151" s="62" t="s">
        <v>1843</v>
      </c>
      <c r="F151" s="21" t="s">
        <v>1231</v>
      </c>
      <c r="G151" s="37"/>
      <c r="H151" s="21">
        <v>0</v>
      </c>
      <c r="I151" s="16"/>
      <c r="J151" s="57"/>
      <c r="K151" s="57"/>
      <c r="L151" s="57"/>
    </row>
    <row r="152" spans="1:12" ht="60">
      <c r="A152" s="26">
        <v>3</v>
      </c>
      <c r="B152" s="12" t="s">
        <v>1663</v>
      </c>
      <c r="C152" s="12" t="s">
        <v>1126</v>
      </c>
      <c r="D152" s="36" t="s">
        <v>59</v>
      </c>
      <c r="E152" s="62" t="s">
        <v>1844</v>
      </c>
      <c r="F152" s="21" t="s">
        <v>1232</v>
      </c>
      <c r="G152" s="37"/>
      <c r="H152" s="21">
        <v>0</v>
      </c>
      <c r="I152" s="16" t="s">
        <v>10</v>
      </c>
      <c r="J152" s="57"/>
      <c r="K152" s="57"/>
      <c r="L152" s="57"/>
    </row>
    <row r="153" spans="1:12" ht="60">
      <c r="A153" s="26">
        <v>3</v>
      </c>
      <c r="B153" s="12" t="s">
        <v>1663</v>
      </c>
      <c r="C153" s="12" t="s">
        <v>1126</v>
      </c>
      <c r="D153" s="36" t="s">
        <v>1378</v>
      </c>
      <c r="E153" s="62" t="s">
        <v>1845</v>
      </c>
      <c r="F153" s="21" t="s">
        <v>1666</v>
      </c>
      <c r="G153" s="37"/>
      <c r="H153" s="21">
        <v>0</v>
      </c>
      <c r="I153" s="16" t="s">
        <v>10</v>
      </c>
      <c r="J153" s="57"/>
      <c r="K153" s="57"/>
      <c r="L153" s="57"/>
    </row>
    <row r="154" spans="1:12" ht="60">
      <c r="A154" s="26">
        <v>3</v>
      </c>
      <c r="B154" s="12" t="s">
        <v>1663</v>
      </c>
      <c r="C154" s="12" t="s">
        <v>1126</v>
      </c>
      <c r="D154" s="36" t="s">
        <v>1233</v>
      </c>
      <c r="E154" s="62" t="s">
        <v>1846</v>
      </c>
      <c r="F154" s="21" t="s">
        <v>1234</v>
      </c>
      <c r="G154" s="37"/>
      <c r="H154" s="21">
        <v>0</v>
      </c>
      <c r="I154" s="16" t="s">
        <v>10</v>
      </c>
      <c r="J154" s="57"/>
      <c r="K154" s="57"/>
      <c r="L154" s="57"/>
    </row>
    <row r="155" spans="1:12" ht="60">
      <c r="A155" s="26">
        <v>3</v>
      </c>
      <c r="B155" s="12" t="s">
        <v>1663</v>
      </c>
      <c r="C155" s="12" t="s">
        <v>1126</v>
      </c>
      <c r="D155" s="36" t="s">
        <v>1235</v>
      </c>
      <c r="E155" s="62" t="s">
        <v>1847</v>
      </c>
      <c r="F155" s="21" t="s">
        <v>1427</v>
      </c>
      <c r="G155" s="37"/>
      <c r="H155" s="21">
        <v>0</v>
      </c>
      <c r="I155" s="16" t="s">
        <v>10</v>
      </c>
      <c r="J155" s="57"/>
      <c r="K155" s="57"/>
      <c r="L155" s="57"/>
    </row>
    <row r="156" spans="1:12" ht="60">
      <c r="A156" s="26">
        <v>3</v>
      </c>
      <c r="B156" s="12" t="s">
        <v>1663</v>
      </c>
      <c r="C156" s="12" t="s">
        <v>1126</v>
      </c>
      <c r="D156" s="36" t="s">
        <v>1236</v>
      </c>
      <c r="E156" s="62" t="s">
        <v>1848</v>
      </c>
      <c r="F156" s="21" t="s">
        <v>1237</v>
      </c>
      <c r="G156" s="37"/>
      <c r="H156" s="21">
        <v>0</v>
      </c>
      <c r="I156" s="16" t="s">
        <v>10</v>
      </c>
      <c r="J156" s="57"/>
      <c r="K156" s="57"/>
      <c r="L156" s="57"/>
    </row>
    <row r="157" spans="1:12" ht="40">
      <c r="A157" s="26">
        <v>3</v>
      </c>
      <c r="B157" s="12" t="s">
        <v>1663</v>
      </c>
      <c r="C157" s="12" t="s">
        <v>1126</v>
      </c>
      <c r="D157" s="36" t="s">
        <v>1238</v>
      </c>
      <c r="E157" s="62" t="s">
        <v>1849</v>
      </c>
      <c r="F157" s="21" t="s">
        <v>1239</v>
      </c>
      <c r="G157" s="37"/>
      <c r="H157" s="21">
        <v>0</v>
      </c>
      <c r="I157" s="16" t="s">
        <v>10</v>
      </c>
      <c r="J157" s="57"/>
      <c r="K157" s="57"/>
      <c r="L157" s="57"/>
    </row>
    <row r="158" spans="1:12" ht="120">
      <c r="A158" s="26">
        <v>3</v>
      </c>
      <c r="B158" s="12" t="s">
        <v>1663</v>
      </c>
      <c r="C158" s="12" t="s">
        <v>1667</v>
      </c>
      <c r="D158" s="36" t="s">
        <v>72</v>
      </c>
      <c r="E158" s="62" t="s">
        <v>1850</v>
      </c>
      <c r="F158" s="21" t="s">
        <v>1668</v>
      </c>
      <c r="G158" s="37"/>
      <c r="H158" s="21">
        <v>0</v>
      </c>
      <c r="I158" s="16"/>
      <c r="J158" s="57"/>
      <c r="K158" s="57"/>
      <c r="L158" s="57"/>
    </row>
    <row r="159" spans="1:12" ht="40">
      <c r="A159" s="26">
        <v>3</v>
      </c>
      <c r="B159" s="12" t="s">
        <v>1663</v>
      </c>
      <c r="C159" s="12" t="s">
        <v>1667</v>
      </c>
      <c r="D159" s="36" t="s">
        <v>1317</v>
      </c>
      <c r="E159" s="62" t="s">
        <v>1851</v>
      </c>
      <c r="F159" s="21" t="s">
        <v>1318</v>
      </c>
      <c r="G159" s="37"/>
      <c r="H159" s="21">
        <v>0</v>
      </c>
      <c r="I159" s="16"/>
      <c r="J159" s="57"/>
      <c r="K159" s="57"/>
      <c r="L159" s="57"/>
    </row>
    <row r="160" spans="1:12" ht="40">
      <c r="A160" s="26">
        <v>3</v>
      </c>
      <c r="B160" s="12" t="s">
        <v>1663</v>
      </c>
      <c r="C160" s="12" t="s">
        <v>1667</v>
      </c>
      <c r="D160" s="36" t="s">
        <v>1319</v>
      </c>
      <c r="E160" s="62" t="s">
        <v>1852</v>
      </c>
      <c r="F160" s="21" t="s">
        <v>1320</v>
      </c>
      <c r="G160" s="37"/>
      <c r="H160" s="21">
        <v>0</v>
      </c>
      <c r="I160" s="16"/>
      <c r="J160" s="57"/>
      <c r="K160" s="57"/>
      <c r="L160" s="57"/>
    </row>
    <row r="161" spans="1:12" ht="60">
      <c r="A161" s="26">
        <v>3</v>
      </c>
      <c r="B161" s="12" t="s">
        <v>1663</v>
      </c>
      <c r="C161" s="12" t="s">
        <v>1667</v>
      </c>
      <c r="D161" s="36" t="s">
        <v>1321</v>
      </c>
      <c r="E161" s="62" t="s">
        <v>1853</v>
      </c>
      <c r="F161" s="21" t="s">
        <v>1322</v>
      </c>
      <c r="G161" s="37"/>
      <c r="H161" s="21">
        <v>0</v>
      </c>
      <c r="I161" s="16"/>
      <c r="J161" s="57"/>
      <c r="K161" s="57"/>
      <c r="L161" s="57"/>
    </row>
    <row r="162" spans="1:12" ht="100">
      <c r="A162" s="26">
        <v>3</v>
      </c>
      <c r="B162" s="12" t="s">
        <v>1663</v>
      </c>
      <c r="C162" s="12" t="s">
        <v>1667</v>
      </c>
      <c r="D162" s="36" t="s">
        <v>71</v>
      </c>
      <c r="E162" s="62" t="s">
        <v>1854</v>
      </c>
      <c r="F162" s="21" t="s">
        <v>1323</v>
      </c>
      <c r="G162" s="37" t="s">
        <v>1592</v>
      </c>
      <c r="H162" s="21">
        <v>0</v>
      </c>
      <c r="I162" s="16"/>
      <c r="J162" s="57"/>
      <c r="K162" s="57"/>
      <c r="L162" s="57"/>
    </row>
    <row r="163" spans="1:12" ht="60">
      <c r="A163" s="26">
        <v>3</v>
      </c>
      <c r="B163" s="12" t="s">
        <v>1663</v>
      </c>
      <c r="C163" s="12" t="s">
        <v>1667</v>
      </c>
      <c r="D163" s="36" t="s">
        <v>73</v>
      </c>
      <c r="E163" s="62" t="s">
        <v>1855</v>
      </c>
      <c r="F163" s="21" t="s">
        <v>1324</v>
      </c>
      <c r="G163" s="37"/>
      <c r="H163" s="21">
        <v>0</v>
      </c>
      <c r="I163" s="16"/>
      <c r="J163" s="57"/>
      <c r="K163" s="57"/>
      <c r="L163" s="57"/>
    </row>
    <row r="164" spans="1:12" ht="40">
      <c r="A164" s="26">
        <v>3</v>
      </c>
      <c r="B164" s="12" t="s">
        <v>1663</v>
      </c>
      <c r="C164" s="12" t="s">
        <v>1667</v>
      </c>
      <c r="D164" s="36" t="s">
        <v>1325</v>
      </c>
      <c r="E164" s="62" t="s">
        <v>1856</v>
      </c>
      <c r="F164" s="21" t="s">
        <v>1326</v>
      </c>
      <c r="G164" s="37"/>
      <c r="H164" s="21">
        <v>0</v>
      </c>
      <c r="I164" s="16"/>
      <c r="J164" s="57"/>
      <c r="K164" s="57"/>
      <c r="L164" s="57"/>
    </row>
    <row r="165" spans="1:12" ht="60">
      <c r="A165" s="26">
        <v>3</v>
      </c>
      <c r="B165" s="12" t="s">
        <v>1663</v>
      </c>
      <c r="C165" s="12" t="s">
        <v>1667</v>
      </c>
      <c r="D165" s="36" t="s">
        <v>1328</v>
      </c>
      <c r="E165" s="62" t="s">
        <v>1857</v>
      </c>
      <c r="F165" s="21" t="s">
        <v>1329</v>
      </c>
      <c r="G165" s="37"/>
      <c r="H165" s="21">
        <v>0</v>
      </c>
      <c r="I165" s="16"/>
      <c r="J165" s="57"/>
      <c r="K165" s="57"/>
      <c r="L165" s="57"/>
    </row>
    <row r="166" spans="1:12" ht="60">
      <c r="A166" s="26">
        <v>3</v>
      </c>
      <c r="B166" s="12" t="s">
        <v>1663</v>
      </c>
      <c r="C166" s="12" t="s">
        <v>1667</v>
      </c>
      <c r="D166" s="36" t="s">
        <v>1330</v>
      </c>
      <c r="E166" s="62" t="s">
        <v>1858</v>
      </c>
      <c r="F166" s="21" t="s">
        <v>1331</v>
      </c>
      <c r="G166" s="37"/>
      <c r="H166" s="21">
        <v>0</v>
      </c>
      <c r="I166" s="16"/>
      <c r="J166" s="57"/>
      <c r="K166" s="57"/>
      <c r="L166" s="57"/>
    </row>
    <row r="167" spans="1:12" ht="60">
      <c r="A167" s="26">
        <v>3</v>
      </c>
      <c r="B167" s="12" t="s">
        <v>1663</v>
      </c>
      <c r="C167" s="12" t="s">
        <v>1667</v>
      </c>
      <c r="D167" s="36" t="s">
        <v>1332</v>
      </c>
      <c r="E167" s="62" t="s">
        <v>1859</v>
      </c>
      <c r="F167" s="21" t="s">
        <v>1333</v>
      </c>
      <c r="G167" s="37" t="s">
        <v>10</v>
      </c>
      <c r="H167" s="21">
        <v>0</v>
      </c>
      <c r="I167" s="16"/>
      <c r="J167" s="57"/>
      <c r="K167" s="57"/>
      <c r="L167" s="57"/>
    </row>
    <row r="168" spans="1:12" ht="60">
      <c r="A168" s="26">
        <v>3</v>
      </c>
      <c r="B168" s="12" t="s">
        <v>1663</v>
      </c>
      <c r="C168" s="12" t="s">
        <v>1667</v>
      </c>
      <c r="D168" s="36" t="s">
        <v>1334</v>
      </c>
      <c r="E168" s="62" t="s">
        <v>1860</v>
      </c>
      <c r="F168" s="21" t="s">
        <v>1417</v>
      </c>
      <c r="G168" s="37"/>
      <c r="H168" s="21">
        <v>0</v>
      </c>
      <c r="I168" s="16"/>
      <c r="J168" s="57"/>
      <c r="K168" s="57"/>
      <c r="L168" s="57"/>
    </row>
    <row r="169" spans="1:12" ht="60">
      <c r="A169" s="26">
        <v>3</v>
      </c>
      <c r="B169" s="12" t="s">
        <v>1663</v>
      </c>
      <c r="C169" s="12" t="s">
        <v>1667</v>
      </c>
      <c r="D169" s="36" t="s">
        <v>1335</v>
      </c>
      <c r="E169" s="62" t="s">
        <v>1861</v>
      </c>
      <c r="F169" s="21" t="s">
        <v>1336</v>
      </c>
      <c r="G169" s="37"/>
      <c r="H169" s="21">
        <v>0</v>
      </c>
      <c r="I169" s="16"/>
      <c r="J169" s="57"/>
      <c r="K169" s="57"/>
      <c r="L169" s="57"/>
    </row>
    <row r="170" spans="1:12" ht="60">
      <c r="A170" s="26">
        <v>3</v>
      </c>
      <c r="B170" s="12" t="s">
        <v>1663</v>
      </c>
      <c r="C170" s="12" t="s">
        <v>1667</v>
      </c>
      <c r="D170" s="36" t="s">
        <v>1337</v>
      </c>
      <c r="E170" s="62" t="s">
        <v>1862</v>
      </c>
      <c r="F170" s="21" t="s">
        <v>1338</v>
      </c>
      <c r="G170" s="37"/>
      <c r="H170" s="21">
        <v>0</v>
      </c>
      <c r="I170" s="16"/>
      <c r="J170" s="57"/>
      <c r="K170" s="57"/>
      <c r="L170" s="57"/>
    </row>
    <row r="171" spans="1:12" ht="100">
      <c r="A171" s="26">
        <v>3</v>
      </c>
      <c r="B171" s="12" t="s">
        <v>1663</v>
      </c>
      <c r="C171" s="12" t="s">
        <v>1400</v>
      </c>
      <c r="D171" s="36" t="s">
        <v>24</v>
      </c>
      <c r="E171" s="62" t="s">
        <v>1812</v>
      </c>
      <c r="F171" s="21" t="s">
        <v>1401</v>
      </c>
      <c r="G171" s="37"/>
      <c r="H171" s="21">
        <v>0</v>
      </c>
      <c r="I171" s="16"/>
      <c r="J171" s="57"/>
      <c r="K171" s="57"/>
      <c r="L171" s="57"/>
    </row>
    <row r="172" spans="1:12" ht="40">
      <c r="A172" s="26">
        <v>3</v>
      </c>
      <c r="B172" s="12" t="s">
        <v>1663</v>
      </c>
      <c r="C172" s="12" t="s">
        <v>1400</v>
      </c>
      <c r="D172" s="36" t="s">
        <v>1327</v>
      </c>
      <c r="E172" s="62" t="s">
        <v>1863</v>
      </c>
      <c r="F172" s="21" t="s">
        <v>1402</v>
      </c>
      <c r="G172" s="37" t="s">
        <v>10</v>
      </c>
      <c r="H172" s="21">
        <v>0</v>
      </c>
      <c r="I172" s="16" t="s">
        <v>10</v>
      </c>
      <c r="J172" s="57"/>
      <c r="K172" s="57"/>
      <c r="L172" s="57"/>
    </row>
    <row r="173" spans="1:12" ht="40">
      <c r="A173" s="26">
        <v>3</v>
      </c>
      <c r="B173" s="12" t="s">
        <v>1663</v>
      </c>
      <c r="C173" s="12" t="s">
        <v>1359</v>
      </c>
      <c r="D173" s="36" t="s">
        <v>1360</v>
      </c>
      <c r="E173" s="38"/>
      <c r="F173" s="21" t="s">
        <v>1361</v>
      </c>
      <c r="G173" s="37" t="s">
        <v>1</v>
      </c>
      <c r="H173" s="21">
        <v>0</v>
      </c>
      <c r="I173" s="16" t="s">
        <v>10</v>
      </c>
      <c r="J173" s="57"/>
      <c r="K173" s="57"/>
      <c r="L173" s="57"/>
    </row>
    <row r="174" spans="1:12" ht="60">
      <c r="A174" s="26">
        <v>3</v>
      </c>
      <c r="B174" s="12" t="s">
        <v>1663</v>
      </c>
      <c r="C174" s="12" t="s">
        <v>1359</v>
      </c>
      <c r="D174" s="36" t="s">
        <v>1362</v>
      </c>
      <c r="E174" s="13"/>
      <c r="F174" s="21" t="s">
        <v>1363</v>
      </c>
      <c r="G174" s="37" t="s">
        <v>1</v>
      </c>
      <c r="H174" s="21">
        <v>0</v>
      </c>
      <c r="I174" s="16" t="s">
        <v>10</v>
      </c>
      <c r="J174" s="57"/>
      <c r="K174" s="57"/>
      <c r="L174" s="57"/>
    </row>
    <row r="175" spans="1:12" ht="60">
      <c r="A175" s="26">
        <v>3</v>
      </c>
      <c r="B175" s="12" t="s">
        <v>1663</v>
      </c>
      <c r="C175" s="12" t="s">
        <v>1359</v>
      </c>
      <c r="D175" s="36" t="s">
        <v>1364</v>
      </c>
      <c r="E175" s="38"/>
      <c r="F175" s="21" t="s">
        <v>1365</v>
      </c>
      <c r="G175" s="37" t="s">
        <v>1</v>
      </c>
      <c r="H175" s="21">
        <v>0</v>
      </c>
      <c r="I175" s="16" t="s">
        <v>10</v>
      </c>
      <c r="J175" s="57"/>
      <c r="K175" s="57"/>
      <c r="L175" s="57"/>
    </row>
    <row r="176" spans="1:12" ht="60">
      <c r="A176" s="26">
        <v>3</v>
      </c>
      <c r="B176" s="12" t="s">
        <v>1663</v>
      </c>
      <c r="C176" s="12" t="s">
        <v>1359</v>
      </c>
      <c r="D176" s="36" t="s">
        <v>1366</v>
      </c>
      <c r="E176" s="38"/>
      <c r="F176" s="21" t="s">
        <v>1367</v>
      </c>
      <c r="G176" s="37" t="s">
        <v>1</v>
      </c>
      <c r="H176" s="21">
        <v>0</v>
      </c>
      <c r="I176" s="16"/>
      <c r="J176" s="57"/>
      <c r="K176" s="57"/>
      <c r="L176" s="57"/>
    </row>
    <row r="177" spans="1:12" ht="40">
      <c r="A177" s="26">
        <v>3</v>
      </c>
      <c r="B177" s="12" t="s">
        <v>1663</v>
      </c>
      <c r="C177" s="12" t="s">
        <v>1359</v>
      </c>
      <c r="D177" s="36" t="s">
        <v>1368</v>
      </c>
      <c r="E177" s="38"/>
      <c r="F177" s="21" t="s">
        <v>1369</v>
      </c>
      <c r="G177" s="37" t="s">
        <v>1</v>
      </c>
      <c r="H177" s="21">
        <v>0</v>
      </c>
      <c r="I177" s="16"/>
      <c r="J177" s="57"/>
      <c r="K177" s="57"/>
      <c r="L177" s="57"/>
    </row>
    <row r="178" spans="1:12" ht="60">
      <c r="A178" s="26">
        <v>3</v>
      </c>
      <c r="B178" s="12" t="s">
        <v>1663</v>
      </c>
      <c r="C178" s="12" t="s">
        <v>1359</v>
      </c>
      <c r="D178" s="36" t="s">
        <v>1370</v>
      </c>
      <c r="E178" s="39"/>
      <c r="F178" s="21" t="s">
        <v>1371</v>
      </c>
      <c r="G178" s="37" t="s">
        <v>1</v>
      </c>
      <c r="H178" s="21">
        <v>0</v>
      </c>
      <c r="I178" s="16"/>
      <c r="J178" s="57"/>
      <c r="K178" s="57"/>
      <c r="L178" s="57"/>
    </row>
    <row r="179" spans="1:12" ht="40">
      <c r="A179" s="26">
        <v>1</v>
      </c>
      <c r="B179" s="12" t="s">
        <v>1669</v>
      </c>
      <c r="C179" s="12" t="s">
        <v>1127</v>
      </c>
      <c r="D179" s="36" t="s">
        <v>1670</v>
      </c>
      <c r="E179" s="62" t="s">
        <v>1864</v>
      </c>
      <c r="F179" s="21" t="s">
        <v>1671</v>
      </c>
      <c r="G179" s="37" t="s">
        <v>1</v>
      </c>
      <c r="H179" s="21">
        <v>0</v>
      </c>
      <c r="I179" s="16"/>
      <c r="J179" s="57"/>
      <c r="K179" s="57"/>
      <c r="L179" s="57"/>
    </row>
    <row r="180" spans="1:12" ht="60">
      <c r="A180" s="26">
        <v>1</v>
      </c>
      <c r="B180" s="12" t="s">
        <v>1669</v>
      </c>
      <c r="C180" s="12" t="s">
        <v>1127</v>
      </c>
      <c r="D180" s="36" t="s">
        <v>85</v>
      </c>
      <c r="E180" s="62" t="s">
        <v>1865</v>
      </c>
      <c r="F180" s="21" t="s">
        <v>1345</v>
      </c>
      <c r="G180" s="37" t="s">
        <v>1</v>
      </c>
      <c r="H180" s="21">
        <v>0</v>
      </c>
      <c r="I180" s="16"/>
      <c r="J180" s="57"/>
      <c r="K180" s="57"/>
      <c r="L180" s="57"/>
    </row>
    <row r="181" spans="1:12" ht="40">
      <c r="A181" s="26">
        <v>1</v>
      </c>
      <c r="B181" s="12" t="s">
        <v>1669</v>
      </c>
      <c r="C181" s="12" t="s">
        <v>1127</v>
      </c>
      <c r="D181" s="36" t="s">
        <v>83</v>
      </c>
      <c r="E181" s="62" t="s">
        <v>1866</v>
      </c>
      <c r="F181" s="21" t="s">
        <v>1346</v>
      </c>
      <c r="G181" s="37" t="s">
        <v>1</v>
      </c>
      <c r="H181" s="21">
        <v>0</v>
      </c>
      <c r="I181" s="16"/>
      <c r="J181" s="57"/>
      <c r="K181" s="57"/>
      <c r="L181" s="57"/>
    </row>
    <row r="182" spans="1:12" ht="60">
      <c r="A182" s="26">
        <v>1</v>
      </c>
      <c r="B182" s="12" t="s">
        <v>1669</v>
      </c>
      <c r="C182" s="12" t="s">
        <v>1127</v>
      </c>
      <c r="D182" s="36" t="s">
        <v>91</v>
      </c>
      <c r="E182" s="62" t="s">
        <v>1867</v>
      </c>
      <c r="F182" s="21" t="s">
        <v>1347</v>
      </c>
      <c r="G182" s="37" t="s">
        <v>1</v>
      </c>
      <c r="H182" s="21">
        <v>0</v>
      </c>
      <c r="I182" s="16"/>
      <c r="J182" s="57"/>
      <c r="K182" s="57"/>
      <c r="L182" s="57"/>
    </row>
    <row r="183" spans="1:12" ht="60">
      <c r="A183" s="26">
        <v>1</v>
      </c>
      <c r="B183" s="12" t="s">
        <v>1669</v>
      </c>
      <c r="C183" s="12" t="s">
        <v>1127</v>
      </c>
      <c r="D183" s="36" t="s">
        <v>80</v>
      </c>
      <c r="E183" s="62" t="s">
        <v>1868</v>
      </c>
      <c r="F183" s="21" t="s">
        <v>1406</v>
      </c>
      <c r="G183" s="37" t="s">
        <v>1</v>
      </c>
      <c r="H183" s="21">
        <v>0</v>
      </c>
      <c r="I183" s="16"/>
      <c r="J183" s="57"/>
      <c r="K183" s="57"/>
      <c r="L183" s="57"/>
    </row>
    <row r="184" spans="1:12" ht="80">
      <c r="A184" s="26">
        <v>1</v>
      </c>
      <c r="B184" s="12" t="s">
        <v>1669</v>
      </c>
      <c r="C184" s="12" t="s">
        <v>1127</v>
      </c>
      <c r="D184" s="36" t="s">
        <v>1391</v>
      </c>
      <c r="E184" s="62" t="s">
        <v>1869</v>
      </c>
      <c r="F184" s="21" t="s">
        <v>1271</v>
      </c>
      <c r="G184" s="37" t="s">
        <v>1</v>
      </c>
      <c r="H184" s="21">
        <v>0</v>
      </c>
      <c r="I184" s="16"/>
      <c r="J184" s="57"/>
      <c r="K184" s="57"/>
      <c r="L184" s="57"/>
    </row>
    <row r="185" spans="1:12" ht="60">
      <c r="A185" s="26">
        <v>1</v>
      </c>
      <c r="B185" s="12" t="s">
        <v>1669</v>
      </c>
      <c r="C185" s="12" t="s">
        <v>1127</v>
      </c>
      <c r="D185" s="36" t="s">
        <v>1012</v>
      </c>
      <c r="E185" s="62" t="s">
        <v>1870</v>
      </c>
      <c r="F185" s="21" t="s">
        <v>1348</v>
      </c>
      <c r="G185" s="37" t="s">
        <v>1</v>
      </c>
      <c r="H185" s="21">
        <v>0</v>
      </c>
      <c r="I185" s="16"/>
      <c r="J185" s="57"/>
      <c r="K185" s="57"/>
      <c r="L185" s="57"/>
    </row>
    <row r="186" spans="1:12" ht="60">
      <c r="A186" s="26">
        <v>1</v>
      </c>
      <c r="B186" s="12" t="s">
        <v>1669</v>
      </c>
      <c r="C186" s="12" t="s">
        <v>1127</v>
      </c>
      <c r="D186" s="36" t="s">
        <v>1390</v>
      </c>
      <c r="E186" s="62" t="s">
        <v>1871</v>
      </c>
      <c r="F186" s="21" t="s">
        <v>1349</v>
      </c>
      <c r="G186" s="37" t="s">
        <v>1</v>
      </c>
      <c r="H186" s="21">
        <v>0</v>
      </c>
      <c r="I186" s="16"/>
      <c r="J186" s="57"/>
      <c r="K186" s="57"/>
      <c r="L186" s="57"/>
    </row>
    <row r="187" spans="1:12" ht="40">
      <c r="A187" s="26">
        <v>1</v>
      </c>
      <c r="B187" s="12" t="s">
        <v>1669</v>
      </c>
      <c r="C187" s="12" t="s">
        <v>1127</v>
      </c>
      <c r="D187" s="36" t="s">
        <v>87</v>
      </c>
      <c r="E187" s="62" t="s">
        <v>1872</v>
      </c>
      <c r="F187" s="21" t="s">
        <v>1281</v>
      </c>
      <c r="G187" s="37" t="s">
        <v>1</v>
      </c>
      <c r="H187" s="21">
        <v>0</v>
      </c>
      <c r="I187" s="16"/>
      <c r="J187" s="57"/>
      <c r="K187" s="57"/>
      <c r="L187" s="57"/>
    </row>
    <row r="188" spans="1:12" ht="80">
      <c r="A188" s="26">
        <v>1</v>
      </c>
      <c r="B188" s="12" t="s">
        <v>1669</v>
      </c>
      <c r="C188" s="12" t="s">
        <v>1127</v>
      </c>
      <c r="D188" s="36" t="s">
        <v>1350</v>
      </c>
      <c r="E188" s="62" t="s">
        <v>1873</v>
      </c>
      <c r="F188" s="21" t="s">
        <v>1407</v>
      </c>
      <c r="G188" s="37" t="s">
        <v>1</v>
      </c>
      <c r="H188" s="21">
        <v>0</v>
      </c>
      <c r="I188" s="16"/>
      <c r="J188" s="57"/>
      <c r="K188" s="57"/>
      <c r="L188" s="57"/>
    </row>
    <row r="189" spans="1:12" ht="60">
      <c r="A189" s="26">
        <v>1</v>
      </c>
      <c r="B189" s="12" t="s">
        <v>1669</v>
      </c>
      <c r="C189" s="12" t="s">
        <v>1127</v>
      </c>
      <c r="D189" s="36" t="s">
        <v>84</v>
      </c>
      <c r="E189" s="62" t="s">
        <v>1874</v>
      </c>
      <c r="F189" s="21" t="s">
        <v>1351</v>
      </c>
      <c r="G189" s="37" t="s">
        <v>1</v>
      </c>
      <c r="H189" s="21">
        <v>0</v>
      </c>
      <c r="I189" s="16"/>
      <c r="J189" s="57"/>
      <c r="K189" s="57"/>
      <c r="L189" s="57"/>
    </row>
    <row r="190" spans="1:12" ht="60">
      <c r="A190" s="26">
        <v>1</v>
      </c>
      <c r="B190" s="12" t="s">
        <v>1669</v>
      </c>
      <c r="C190" s="12" t="s">
        <v>1127</v>
      </c>
      <c r="D190" s="36" t="s">
        <v>82</v>
      </c>
      <c r="E190" s="62" t="s">
        <v>1875</v>
      </c>
      <c r="F190" s="21" t="s">
        <v>1352</v>
      </c>
      <c r="G190" s="37" t="s">
        <v>1</v>
      </c>
      <c r="H190" s="21">
        <v>0</v>
      </c>
      <c r="I190" s="16"/>
      <c r="J190" s="57"/>
      <c r="K190" s="57"/>
      <c r="L190" s="57"/>
    </row>
    <row r="191" spans="1:12" ht="60">
      <c r="A191" s="26">
        <v>1</v>
      </c>
      <c r="B191" s="12" t="s">
        <v>1669</v>
      </c>
      <c r="C191" s="12" t="s">
        <v>1127</v>
      </c>
      <c r="D191" s="13" t="s">
        <v>81</v>
      </c>
      <c r="E191" s="64" t="s">
        <v>1876</v>
      </c>
      <c r="F191" s="21" t="s">
        <v>1353</v>
      </c>
      <c r="G191" s="61" t="s">
        <v>1</v>
      </c>
      <c r="H191" s="21">
        <v>0</v>
      </c>
      <c r="I191" s="60"/>
      <c r="J191" s="61"/>
      <c r="K191" s="61"/>
      <c r="L191" s="61"/>
    </row>
    <row r="192" spans="1:12" ht="100">
      <c r="A192" s="26">
        <v>1</v>
      </c>
      <c r="B192" s="12" t="s">
        <v>1669</v>
      </c>
      <c r="C192" s="12" t="s">
        <v>1127</v>
      </c>
      <c r="D192" s="13" t="s">
        <v>86</v>
      </c>
      <c r="E192" s="64" t="s">
        <v>1877</v>
      </c>
      <c r="F192" s="21" t="s">
        <v>1354</v>
      </c>
      <c r="G192" s="61" t="s">
        <v>1</v>
      </c>
      <c r="H192" s="21">
        <v>0</v>
      </c>
      <c r="I192" s="60" t="s">
        <v>10</v>
      </c>
      <c r="J192" s="61"/>
      <c r="K192" s="61"/>
      <c r="L192" s="61"/>
    </row>
    <row r="193" spans="1:12" ht="60">
      <c r="A193" s="26">
        <v>1</v>
      </c>
      <c r="B193" s="12" t="s">
        <v>1669</v>
      </c>
      <c r="C193" s="12" t="s">
        <v>1127</v>
      </c>
      <c r="D193" s="13" t="s">
        <v>89</v>
      </c>
      <c r="E193" s="64" t="s">
        <v>1878</v>
      </c>
      <c r="F193" s="21" t="s">
        <v>1355</v>
      </c>
      <c r="G193" s="61" t="s">
        <v>1</v>
      </c>
      <c r="H193" s="21">
        <v>0</v>
      </c>
      <c r="I193" s="60" t="s">
        <v>10</v>
      </c>
      <c r="J193" s="61"/>
      <c r="K193" s="61"/>
      <c r="L193" s="61"/>
    </row>
    <row r="194" spans="1:12" ht="40">
      <c r="A194" s="26">
        <v>1</v>
      </c>
      <c r="B194" s="12" t="s">
        <v>1669</v>
      </c>
      <c r="C194" s="12" t="s">
        <v>1127</v>
      </c>
      <c r="D194" s="13" t="s">
        <v>90</v>
      </c>
      <c r="E194" s="64" t="s">
        <v>1879</v>
      </c>
      <c r="F194" s="21" t="s">
        <v>1389</v>
      </c>
      <c r="G194" s="61" t="s">
        <v>1</v>
      </c>
      <c r="H194" s="21">
        <v>0</v>
      </c>
      <c r="I194" s="60" t="s">
        <v>10</v>
      </c>
      <c r="J194" s="61"/>
      <c r="K194" s="61"/>
      <c r="L194" s="61"/>
    </row>
    <row r="195" spans="1:12" ht="60">
      <c r="A195" s="26">
        <v>1</v>
      </c>
      <c r="B195" s="12" t="s">
        <v>1669</v>
      </c>
      <c r="C195" s="12" t="s">
        <v>1127</v>
      </c>
      <c r="D195" s="13" t="s">
        <v>78</v>
      </c>
      <c r="E195" s="64" t="s">
        <v>1882</v>
      </c>
      <c r="F195" s="21" t="s">
        <v>1356</v>
      </c>
      <c r="G195" s="61" t="s">
        <v>1</v>
      </c>
      <c r="H195" s="21">
        <v>0</v>
      </c>
      <c r="I195" s="60"/>
      <c r="J195" s="61"/>
      <c r="K195" s="61"/>
      <c r="L195" s="61"/>
    </row>
    <row r="196" spans="1:12" ht="60">
      <c r="A196" s="26">
        <v>1</v>
      </c>
      <c r="B196" s="12" t="s">
        <v>1669</v>
      </c>
      <c r="C196" s="12" t="s">
        <v>1127</v>
      </c>
      <c r="D196" s="13" t="s">
        <v>77</v>
      </c>
      <c r="E196" s="64" t="s">
        <v>1881</v>
      </c>
      <c r="F196" s="21" t="s">
        <v>1357</v>
      </c>
      <c r="G196" s="61" t="s">
        <v>1</v>
      </c>
      <c r="H196" s="21">
        <v>0</v>
      </c>
      <c r="I196" s="60"/>
      <c r="J196" s="61"/>
      <c r="K196" s="61"/>
      <c r="L196" s="61"/>
    </row>
    <row r="197" spans="1:12" ht="40">
      <c r="A197" s="26">
        <v>1</v>
      </c>
      <c r="B197" s="12" t="s">
        <v>1669</v>
      </c>
      <c r="C197" s="12" t="s">
        <v>1127</v>
      </c>
      <c r="D197" s="13" t="s">
        <v>79</v>
      </c>
      <c r="E197" s="64" t="s">
        <v>1880</v>
      </c>
      <c r="F197" s="21" t="s">
        <v>1358</v>
      </c>
      <c r="G197" s="61" t="s">
        <v>1</v>
      </c>
      <c r="H197" s="21">
        <v>0</v>
      </c>
      <c r="I197" s="60"/>
      <c r="J197" s="61"/>
      <c r="K197" s="61"/>
      <c r="L197" s="61"/>
    </row>
    <row r="198" spans="1:12" ht="40">
      <c r="A198" s="26">
        <v>1</v>
      </c>
      <c r="B198" s="12" t="s">
        <v>1669</v>
      </c>
      <c r="C198" s="12" t="s">
        <v>1127</v>
      </c>
      <c r="D198" s="13" t="s">
        <v>88</v>
      </c>
      <c r="E198" s="64" t="s">
        <v>1883</v>
      </c>
      <c r="F198" s="21" t="s">
        <v>1599</v>
      </c>
      <c r="G198" s="61" t="s">
        <v>1</v>
      </c>
      <c r="H198" s="21">
        <v>0</v>
      </c>
      <c r="I198" s="60"/>
      <c r="J198" s="61"/>
      <c r="K198" s="61"/>
      <c r="L198" s="61"/>
    </row>
    <row r="199" spans="1:12" ht="60">
      <c r="A199" s="26">
        <v>7</v>
      </c>
      <c r="B199" s="12" t="s">
        <v>1672</v>
      </c>
      <c r="C199" s="12" t="s">
        <v>1383</v>
      </c>
      <c r="D199" s="13" t="s">
        <v>1384</v>
      </c>
      <c r="E199" s="56"/>
      <c r="F199" s="21" t="s">
        <v>1420</v>
      </c>
      <c r="G199" s="57" t="s">
        <v>1673</v>
      </c>
      <c r="H199" s="21">
        <v>0</v>
      </c>
    </row>
    <row r="200" spans="1:12" ht="80">
      <c r="A200" s="26">
        <v>7</v>
      </c>
      <c r="B200" s="12" t="s">
        <v>1672</v>
      </c>
      <c r="C200" s="12" t="s">
        <v>1380</v>
      </c>
      <c r="D200" s="13" t="s">
        <v>44</v>
      </c>
      <c r="E200" s="65" t="s">
        <v>1884</v>
      </c>
      <c r="F200" s="21" t="s">
        <v>1421</v>
      </c>
      <c r="G200" s="57" t="s">
        <v>1592</v>
      </c>
      <c r="H200" s="21">
        <v>0</v>
      </c>
    </row>
    <row r="201" spans="1:12" ht="60">
      <c r="A201" s="26">
        <v>7</v>
      </c>
      <c r="B201" s="12" t="s">
        <v>1672</v>
      </c>
      <c r="C201" s="12" t="s">
        <v>483</v>
      </c>
      <c r="D201" s="13" t="s">
        <v>1195</v>
      </c>
      <c r="E201" s="65" t="s">
        <v>1709</v>
      </c>
      <c r="F201" s="21" t="s">
        <v>1385</v>
      </c>
      <c r="G201" s="57" t="s">
        <v>1592</v>
      </c>
    </row>
    <row r="202" spans="1:12" ht="80">
      <c r="A202" s="26">
        <v>7</v>
      </c>
      <c r="B202" s="12" t="s">
        <v>1672</v>
      </c>
      <c r="C202" s="12" t="s">
        <v>483</v>
      </c>
      <c r="D202" s="13" t="s">
        <v>29</v>
      </c>
      <c r="E202" s="65" t="s">
        <v>1710</v>
      </c>
      <c r="F202" s="21" t="s">
        <v>1424</v>
      </c>
      <c r="G202" s="57" t="s">
        <v>1719</v>
      </c>
    </row>
    <row r="203" spans="1:12" ht="80">
      <c r="A203" s="26">
        <v>7</v>
      </c>
      <c r="B203" s="12" t="s">
        <v>1672</v>
      </c>
      <c r="C203" s="12" t="s">
        <v>483</v>
      </c>
      <c r="D203" s="13" t="s">
        <v>27</v>
      </c>
      <c r="E203" s="65" t="s">
        <v>1711</v>
      </c>
      <c r="F203" s="21" t="s">
        <v>1422</v>
      </c>
      <c r="G203" s="57" t="s">
        <v>1719</v>
      </c>
    </row>
    <row r="204" spans="1:12" ht="100">
      <c r="A204" s="26">
        <v>7</v>
      </c>
      <c r="B204" s="12" t="s">
        <v>1672</v>
      </c>
      <c r="C204" s="12" t="s">
        <v>483</v>
      </c>
      <c r="D204" s="13" t="s">
        <v>28</v>
      </c>
      <c r="E204" s="65" t="s">
        <v>1712</v>
      </c>
      <c r="F204" s="21" t="s">
        <v>1423</v>
      </c>
      <c r="G204" s="57" t="s">
        <v>1592</v>
      </c>
    </row>
    <row r="205" spans="1:12" ht="60">
      <c r="A205" s="26">
        <v>7</v>
      </c>
      <c r="B205" s="12" t="s">
        <v>1672</v>
      </c>
      <c r="C205" s="12" t="s">
        <v>483</v>
      </c>
      <c r="D205" s="13" t="s">
        <v>1674</v>
      </c>
      <c r="E205" s="65" t="s">
        <v>1885</v>
      </c>
      <c r="F205" s="21" t="s">
        <v>1675</v>
      </c>
      <c r="G205" s="57" t="s">
        <v>1718</v>
      </c>
    </row>
    <row r="206" spans="1:12" ht="100">
      <c r="A206" s="26">
        <v>7</v>
      </c>
      <c r="B206" s="12" t="s">
        <v>1672</v>
      </c>
      <c r="C206" s="12" t="s">
        <v>1130</v>
      </c>
      <c r="D206" s="13" t="s">
        <v>1220</v>
      </c>
      <c r="E206" s="65" t="s">
        <v>1886</v>
      </c>
      <c r="F206" s="21" t="s">
        <v>1221</v>
      </c>
      <c r="G206" s="57" t="s">
        <v>1592</v>
      </c>
      <c r="H206" s="21">
        <v>0</v>
      </c>
    </row>
    <row r="207" spans="1:12" ht="40">
      <c r="A207" s="26">
        <v>7</v>
      </c>
      <c r="B207" s="12" t="s">
        <v>1672</v>
      </c>
      <c r="C207" s="12" t="s">
        <v>1381</v>
      </c>
      <c r="D207" s="13" t="s">
        <v>1181</v>
      </c>
      <c r="E207" s="66"/>
      <c r="F207" s="21" t="s">
        <v>1182</v>
      </c>
      <c r="G207" s="57" t="s">
        <v>1592</v>
      </c>
      <c r="H207" s="21">
        <v>0</v>
      </c>
    </row>
    <row r="208" spans="1:12" ht="60">
      <c r="A208" s="26">
        <v>7</v>
      </c>
      <c r="B208" s="12" t="s">
        <v>1672</v>
      </c>
      <c r="C208" s="12" t="s">
        <v>1125</v>
      </c>
      <c r="D208" s="13" t="s">
        <v>43</v>
      </c>
      <c r="E208" s="65" t="s">
        <v>1887</v>
      </c>
      <c r="F208" s="21" t="s">
        <v>1425</v>
      </c>
      <c r="G208" s="57" t="s">
        <v>1</v>
      </c>
      <c r="H208" s="21">
        <v>0</v>
      </c>
    </row>
    <row r="209" spans="1:8" ht="80">
      <c r="A209" s="26">
        <v>7</v>
      </c>
      <c r="B209" s="12" t="s">
        <v>1672</v>
      </c>
      <c r="C209" s="12" t="s">
        <v>1125</v>
      </c>
      <c r="D209" s="13" t="s">
        <v>44</v>
      </c>
      <c r="E209" s="65" t="s">
        <v>1888</v>
      </c>
      <c r="F209" s="21" t="s">
        <v>1426</v>
      </c>
      <c r="G209" s="57" t="s">
        <v>1676</v>
      </c>
      <c r="H209" s="21">
        <v>0</v>
      </c>
    </row>
    <row r="210" spans="1:8" ht="80">
      <c r="A210" s="26">
        <v>7</v>
      </c>
      <c r="B210" s="12" t="s">
        <v>1672</v>
      </c>
      <c r="C210" s="12" t="s">
        <v>1125</v>
      </c>
      <c r="D210" s="13" t="s">
        <v>45</v>
      </c>
      <c r="E210" s="65" t="s">
        <v>1889</v>
      </c>
      <c r="F210" s="21" t="s">
        <v>1299</v>
      </c>
      <c r="G210" s="57" t="s">
        <v>1676</v>
      </c>
      <c r="H210" s="21">
        <v>0</v>
      </c>
    </row>
    <row r="211" spans="1:8" ht="32">
      <c r="A211" s="26">
        <v>7</v>
      </c>
      <c r="B211" s="12" t="s">
        <v>1672</v>
      </c>
      <c r="C211" s="12" t="s">
        <v>1382</v>
      </c>
      <c r="D211" s="13" t="s">
        <v>47</v>
      </c>
      <c r="E211" s="65" t="s">
        <v>1890</v>
      </c>
      <c r="F211" s="21" t="s">
        <v>1677</v>
      </c>
      <c r="G211" s="57" t="s">
        <v>1592</v>
      </c>
      <c r="H211" s="21">
        <v>0</v>
      </c>
    </row>
    <row r="212" spans="1:8" ht="32">
      <c r="A212" s="26">
        <v>7</v>
      </c>
      <c r="B212" s="12" t="s">
        <v>1672</v>
      </c>
      <c r="C212" s="12" t="s">
        <v>1382</v>
      </c>
      <c r="D212" s="13" t="s">
        <v>48</v>
      </c>
      <c r="E212" s="65" t="s">
        <v>1891</v>
      </c>
      <c r="F212" s="21" t="s">
        <v>1678</v>
      </c>
      <c r="G212" s="57" t="s">
        <v>1592</v>
      </c>
      <c r="H212" s="21">
        <v>0</v>
      </c>
    </row>
    <row r="213" spans="1:8" ht="60">
      <c r="A213" s="26">
        <v>7</v>
      </c>
      <c r="B213" s="12" t="s">
        <v>1672</v>
      </c>
      <c r="C213" s="12" t="s">
        <v>1382</v>
      </c>
      <c r="D213" s="13" t="s">
        <v>49</v>
      </c>
      <c r="E213" s="65" t="s">
        <v>1892</v>
      </c>
      <c r="F213" s="21" t="s">
        <v>1679</v>
      </c>
      <c r="G213" s="57" t="s">
        <v>1592</v>
      </c>
      <c r="H213" s="21">
        <v>0</v>
      </c>
    </row>
    <row r="214" spans="1:8" ht="32">
      <c r="A214" s="26">
        <v>7</v>
      </c>
      <c r="B214" s="12" t="s">
        <v>1672</v>
      </c>
      <c r="C214" s="12" t="s">
        <v>1382</v>
      </c>
      <c r="D214" s="13" t="s">
        <v>1680</v>
      </c>
      <c r="E214" s="65" t="s">
        <v>1893</v>
      </c>
      <c r="F214" s="16" t="s">
        <v>1681</v>
      </c>
      <c r="G214" s="57" t="s">
        <v>1592</v>
      </c>
      <c r="H214" s="21">
        <v>0</v>
      </c>
    </row>
    <row r="215" spans="1:8" ht="32">
      <c r="A215" s="26">
        <v>7</v>
      </c>
      <c r="B215" s="12" t="s">
        <v>1672</v>
      </c>
      <c r="C215" s="12" t="s">
        <v>1382</v>
      </c>
      <c r="D215" s="13" t="s">
        <v>50</v>
      </c>
      <c r="E215" s="65" t="s">
        <v>1894</v>
      </c>
      <c r="F215" s="16" t="s">
        <v>1682</v>
      </c>
      <c r="G215" s="57" t="s">
        <v>1592</v>
      </c>
      <c r="H215" s="21">
        <v>0</v>
      </c>
    </row>
    <row r="216" spans="1:8" ht="32">
      <c r="A216" s="26">
        <v>7</v>
      </c>
      <c r="B216" s="12" t="s">
        <v>1672</v>
      </c>
      <c r="C216" s="12" t="s">
        <v>1382</v>
      </c>
      <c r="D216" s="13" t="s">
        <v>51</v>
      </c>
      <c r="E216" s="65" t="s">
        <v>1895</v>
      </c>
      <c r="F216" s="16" t="s">
        <v>1683</v>
      </c>
      <c r="G216" s="57" t="s">
        <v>1592</v>
      </c>
      <c r="H216" s="21">
        <v>0</v>
      </c>
    </row>
    <row r="217" spans="1:8" ht="32">
      <c r="A217" s="26">
        <v>7</v>
      </c>
      <c r="B217" s="12" t="s">
        <v>1672</v>
      </c>
      <c r="C217" s="12" t="s">
        <v>1382</v>
      </c>
      <c r="D217" s="13" t="s">
        <v>52</v>
      </c>
      <c r="E217" s="65" t="s">
        <v>1896</v>
      </c>
      <c r="F217" s="16" t="s">
        <v>1684</v>
      </c>
      <c r="G217" s="57" t="s">
        <v>1592</v>
      </c>
      <c r="H217" s="21">
        <v>0</v>
      </c>
    </row>
    <row r="218" spans="1:8">
      <c r="E218" s="54"/>
    </row>
    <row r="219" spans="1:8">
      <c r="E219" s="54"/>
    </row>
    <row r="220" spans="1:8">
      <c r="E220" s="54"/>
    </row>
    <row r="221" spans="1:8">
      <c r="E221" s="54"/>
    </row>
    <row r="222" spans="1:8">
      <c r="E222" s="54"/>
    </row>
    <row r="223" spans="1:8">
      <c r="E223" s="54"/>
    </row>
    <row r="224" spans="1:8">
      <c r="E224" s="54"/>
    </row>
    <row r="225" spans="5:5">
      <c r="E225" s="54"/>
    </row>
    <row r="226" spans="5:5">
      <c r="E226" s="54"/>
    </row>
    <row r="227" spans="5:5">
      <c r="E227" s="54"/>
    </row>
    <row r="228" spans="5:5">
      <c r="E228" s="54"/>
    </row>
    <row r="229" spans="5:5">
      <c r="E229" s="54"/>
    </row>
    <row r="230" spans="5:5">
      <c r="E230" s="54"/>
    </row>
    <row r="231" spans="5:5">
      <c r="E231" s="54"/>
    </row>
    <row r="232" spans="5:5">
      <c r="E232" s="54"/>
    </row>
    <row r="233" spans="5:5">
      <c r="E233" s="54"/>
    </row>
    <row r="234" spans="5:5">
      <c r="E234" s="54"/>
    </row>
    <row r="235" spans="5:5">
      <c r="E235" s="54"/>
    </row>
    <row r="236" spans="5:5">
      <c r="E236" s="54"/>
    </row>
    <row r="237" spans="5:5">
      <c r="E237" s="54"/>
    </row>
    <row r="238" spans="5:5">
      <c r="E238" s="54"/>
    </row>
    <row r="239" spans="5:5">
      <c r="E239" s="54"/>
    </row>
    <row r="240" spans="5:5">
      <c r="E240" s="54"/>
    </row>
    <row r="241" spans="5:5">
      <c r="E241" s="54"/>
    </row>
    <row r="242" spans="5:5">
      <c r="E242" s="54"/>
    </row>
    <row r="243" spans="5:5">
      <c r="E243" s="54"/>
    </row>
    <row r="244" spans="5:5">
      <c r="E244" s="54"/>
    </row>
    <row r="245" spans="5:5">
      <c r="E245" s="54"/>
    </row>
    <row r="246" spans="5:5">
      <c r="E246" s="54"/>
    </row>
    <row r="247" spans="5:5">
      <c r="E247" s="54"/>
    </row>
    <row r="248" spans="5:5">
      <c r="E248" s="54"/>
    </row>
    <row r="249" spans="5:5">
      <c r="E249" s="54"/>
    </row>
    <row r="250" spans="5:5">
      <c r="E250" s="54"/>
    </row>
    <row r="251" spans="5:5">
      <c r="E251" s="54"/>
    </row>
    <row r="252" spans="5:5">
      <c r="E252" s="54"/>
    </row>
    <row r="253" spans="5:5">
      <c r="E253" s="54"/>
    </row>
    <row r="254" spans="5:5">
      <c r="E254" s="54"/>
    </row>
    <row r="255" spans="5:5">
      <c r="E255" s="54"/>
    </row>
    <row r="256" spans="5:5">
      <c r="E256" s="54"/>
    </row>
    <row r="257" spans="5:5">
      <c r="E257" s="54"/>
    </row>
    <row r="258" spans="5:5">
      <c r="E258" s="54"/>
    </row>
    <row r="259" spans="5:5">
      <c r="E259" s="54"/>
    </row>
    <row r="260" spans="5:5">
      <c r="E260" s="54"/>
    </row>
    <row r="261" spans="5:5">
      <c r="E261" s="54"/>
    </row>
    <row r="262" spans="5:5">
      <c r="E262" s="54"/>
    </row>
    <row r="263" spans="5:5">
      <c r="E263" s="54"/>
    </row>
    <row r="264" spans="5:5">
      <c r="E264" s="54"/>
    </row>
    <row r="265" spans="5:5">
      <c r="E265" s="54"/>
    </row>
    <row r="266" spans="5:5">
      <c r="E266" s="54"/>
    </row>
    <row r="267" spans="5:5">
      <c r="E267" s="54"/>
    </row>
    <row r="268" spans="5:5">
      <c r="E268" s="54"/>
    </row>
  </sheetData>
  <conditionalFormatting sqref="G166:G190 G2:G163">
    <cfRule type="iconSet" priority="45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I140">
    <cfRule type="iconSet" priority="2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I141">
    <cfRule type="iconSet" priority="1">
      <iconSet iconSet="4TrafficLights" showValue="0">
        <cfvo type="percent" val="0"/>
        <cfvo type="num" val="1"/>
        <cfvo type="num" val="2"/>
        <cfvo type="num" val="3"/>
      </iconSet>
    </cfRule>
  </conditionalFormatting>
  <hyperlinks>
    <hyperlink ref="E3" r:id="rId1" xr:uid="{155DD22F-8AAF-E44E-8646-5896C3070FFC}"/>
    <hyperlink ref="E4" r:id="rId2" xr:uid="{A4716459-0267-8349-86DE-399C82E4CF27}"/>
    <hyperlink ref="E2" r:id="rId3" xr:uid="{BCD3F466-CEF3-CD4E-9FEF-AE8F47AB6CB9}"/>
    <hyperlink ref="E5" r:id="rId4" xr:uid="{EDB7CFD3-62B7-CB4A-81EE-F0E0E9E44975}"/>
    <hyperlink ref="E7" r:id="rId5" xr:uid="{190AF36D-D1FB-6547-AEA3-FE95B80A46CE}"/>
    <hyperlink ref="E6" r:id="rId6" xr:uid="{B6B9B9DE-DD46-344F-BDEE-E57539BC0EBC}"/>
    <hyperlink ref="E8" r:id="rId7" xr:uid="{66333F31-6E00-6E4E-B475-F4CB8AA5035D}"/>
    <hyperlink ref="E113" r:id="rId8" xr:uid="{7A34E098-392E-6D48-A968-03CF9CC00DAB}"/>
    <hyperlink ref="E9" r:id="rId9" xr:uid="{D0333CEE-D98C-D647-820E-1BE8B3E53B17}"/>
    <hyperlink ref="E10" r:id="rId10" xr:uid="{26956733-18AD-2345-9ABC-BEF650B3C3B3}"/>
    <hyperlink ref="E11" r:id="rId11" xr:uid="{2218DE90-E63F-CF40-A3B6-61A04417BCC1}"/>
    <hyperlink ref="E13" r:id="rId12" xr:uid="{DBCA6071-120E-854E-9628-B5E47B466F00}"/>
    <hyperlink ref="E14" r:id="rId13" xr:uid="{5C25B384-619F-0541-8C5D-27A8CD616997}"/>
    <hyperlink ref="E15" r:id="rId14" xr:uid="{569C8313-714E-6148-AC47-7238FCD2F8A3}"/>
    <hyperlink ref="E16" r:id="rId15" xr:uid="{177FE1F4-EA36-324E-B11B-E8F0770CF858}"/>
    <hyperlink ref="E17" r:id="rId16" xr:uid="{0617BBBA-7AFB-8C44-9759-3CEA0E39EBDD}"/>
    <hyperlink ref="E18" r:id="rId17" xr:uid="{343AFE12-80D6-414C-B654-A3A64862B82F}"/>
    <hyperlink ref="E20" r:id="rId18" xr:uid="{02F0CC61-7568-0B46-8DC4-0F634879E663}"/>
    <hyperlink ref="E21" r:id="rId19" xr:uid="{B262B28D-576C-6843-A02C-D6E505CA174E}"/>
    <hyperlink ref="E22" r:id="rId20" xr:uid="{CBD5BEEB-6B68-3F40-8F2E-523AF1B53A5F}"/>
    <hyperlink ref="E23" r:id="rId21" xr:uid="{2E4921AB-AB0F-5E49-9BD0-9BB4863E1B43}"/>
    <hyperlink ref="E24" r:id="rId22" xr:uid="{A883A225-1988-CB45-BF70-576488D7E01F}"/>
    <hyperlink ref="E25" r:id="rId23" xr:uid="{0CAFEB8C-37FA-8649-AFDC-9E5F412B5288}"/>
    <hyperlink ref="E26" r:id="rId24" xr:uid="{BCAF66FD-03EF-F543-B6F7-9DD9BA253227}"/>
    <hyperlink ref="E27" r:id="rId25" xr:uid="{C1E17767-831D-AB42-9E4B-CE8C847AF223}"/>
    <hyperlink ref="E28" r:id="rId26" xr:uid="{31A4ED48-11C3-1F4D-8267-228EC82200DC}"/>
    <hyperlink ref="E12" r:id="rId27" xr:uid="{862F43B1-9897-3441-AA20-315A813942A7}"/>
    <hyperlink ref="E19" r:id="rId28" xr:uid="{87B3B883-32AB-6349-A95C-8E4821D47E12}"/>
    <hyperlink ref="E29" r:id="rId29" xr:uid="{24DBF1BB-C192-3E40-B09F-E9F69D1F7494}"/>
    <hyperlink ref="E30" r:id="rId30" xr:uid="{9F8A12C5-3B68-CA42-80CB-3132F4B4301A}"/>
    <hyperlink ref="E31" r:id="rId31" xr:uid="{0E7E592C-8409-5A40-B1CD-5C0674B1F4D2}"/>
    <hyperlink ref="E32" r:id="rId32" xr:uid="{8370AC3B-5B17-D649-BD52-598606A2D3EA}"/>
    <hyperlink ref="E33" r:id="rId33" xr:uid="{A52C8777-A8CC-6048-A094-4ACCB7A87014}"/>
    <hyperlink ref="E34" r:id="rId34" xr:uid="{1BAA9439-FEC6-3A43-ACB2-B1976DD93E7E}"/>
    <hyperlink ref="E35" r:id="rId35" xr:uid="{660C6767-23CF-5A4A-9AB9-50B3E22C8ED8}"/>
    <hyperlink ref="E36" r:id="rId36" xr:uid="{EB9795E8-66B9-E643-9CE1-EAC257E4EAB0}"/>
    <hyperlink ref="E37" r:id="rId37" xr:uid="{B7B12738-88B6-DA46-B47D-D634C3CA9364}"/>
    <hyperlink ref="E38" r:id="rId38" xr:uid="{745480CC-4A1B-BA49-AA9F-78B023219A6D}"/>
    <hyperlink ref="E39" r:id="rId39" xr:uid="{6A8A9C0A-8597-B743-BBDE-2DD7BDBBF005}"/>
    <hyperlink ref="E40" r:id="rId40" xr:uid="{7C9F7A74-0B51-9C4C-95AE-C3CF18E11373}"/>
    <hyperlink ref="E41" r:id="rId41" xr:uid="{0CE19E52-048B-244E-A7D5-EE56F3EAC211}"/>
    <hyperlink ref="E42" r:id="rId42" xr:uid="{C7FF9FBE-773A-5947-8F6A-9EDF20E43483}"/>
    <hyperlink ref="E43" r:id="rId43" xr:uid="{29D1DC78-3D01-5B4A-B15B-16D86FEDC0EC}"/>
    <hyperlink ref="E44" r:id="rId44" xr:uid="{F8EA274C-8032-3147-8403-026588C88826}"/>
    <hyperlink ref="E45" r:id="rId45" xr:uid="{317EF990-F9CE-F54F-AFDB-34D1F5ED7A53}"/>
    <hyperlink ref="E51" r:id="rId46" xr:uid="{7D05BC9C-3D83-724D-9282-EBF73727D65A}"/>
    <hyperlink ref="E46" r:id="rId47" xr:uid="{B76445FC-B085-3E4B-AF5A-299B79B6BE25}"/>
    <hyperlink ref="E47" r:id="rId48" xr:uid="{F30DA263-2190-6A4B-8690-8D266F3D5CDB}"/>
    <hyperlink ref="E48" r:id="rId49" xr:uid="{02719816-F6CE-4A45-A2E3-452011846C8B}"/>
    <hyperlink ref="E49" r:id="rId50" xr:uid="{CC5EB0E0-E59C-D549-815F-7D862CD6DF0D}"/>
    <hyperlink ref="E50" r:id="rId51" xr:uid="{C8EF871D-52F5-4442-B697-341458325220}"/>
    <hyperlink ref="E52" r:id="rId52" xr:uid="{A2B6E73F-177A-9446-9459-FCB2B342B5A6}"/>
    <hyperlink ref="E53" r:id="rId53" xr:uid="{EE40C857-1909-C342-96E4-8E5EA23A16FC}"/>
    <hyperlink ref="E54" r:id="rId54" xr:uid="{7D6220DD-AEC6-3846-B9A9-5ED77DC88F20}"/>
    <hyperlink ref="E55" r:id="rId55" xr:uid="{27506DFC-5990-0043-9F58-5524EFE4FE87}"/>
    <hyperlink ref="E56" r:id="rId56" xr:uid="{4C3643CE-03EC-A346-B9D0-55BE19038228}"/>
    <hyperlink ref="E57" r:id="rId57" xr:uid="{98341929-799B-B24A-B120-42349F5B93DC}"/>
    <hyperlink ref="E58" r:id="rId58" xr:uid="{CDCAEBD5-E930-2D4E-95B2-C9509F30CAC8}"/>
    <hyperlink ref="E59" r:id="rId59" xr:uid="{B7A060A8-93D2-2648-AB72-0B02D3A28195}"/>
    <hyperlink ref="E60" r:id="rId60" xr:uid="{8EC7C18E-E8E2-7D45-8420-9989A9639B02}"/>
    <hyperlink ref="E61" r:id="rId61" xr:uid="{79D31F23-D910-CC43-91F3-DBADBDB50823}"/>
    <hyperlink ref="E62" r:id="rId62" xr:uid="{5E80DBF1-DD65-D748-BE5A-E256EB6855F0}"/>
    <hyperlink ref="E64" r:id="rId63" xr:uid="{868B7EE4-EE46-B24A-8F93-D7794294F8BB}"/>
    <hyperlink ref="E65" r:id="rId64" xr:uid="{93D3C00B-55ED-3A4E-A7E7-9F347A248D3F}"/>
    <hyperlink ref="E66" r:id="rId65" xr:uid="{9010B963-1E12-4844-B523-21E1E7E0A1F5}"/>
    <hyperlink ref="E67" r:id="rId66" xr:uid="{AEFDD88A-2ACA-BC4D-A821-AAFBC05A3713}"/>
    <hyperlink ref="E68" r:id="rId67" xr:uid="{84419B2C-946A-1941-A796-6B486E705C94}"/>
    <hyperlink ref="E69" r:id="rId68" xr:uid="{E6BEB3E1-B155-664B-AD7A-7B05C8728721}"/>
    <hyperlink ref="E70" r:id="rId69" xr:uid="{579CE831-F4C2-1041-B4AE-FEB2F3266221}"/>
    <hyperlink ref="E71" r:id="rId70" xr:uid="{CE50FFE1-2EB3-3A48-B3EA-D96D4B697190}"/>
    <hyperlink ref="E72" r:id="rId71" xr:uid="{A0EA737F-15AA-5044-AEF6-A88101BF91CE}"/>
    <hyperlink ref="E73" r:id="rId72" xr:uid="{9D846674-0704-7843-8B4A-E1B8656E52EF}"/>
    <hyperlink ref="E74" r:id="rId73" xr:uid="{118747D8-3E81-9D40-970A-237336BEB6AF}"/>
    <hyperlink ref="E75" r:id="rId74" xr:uid="{53B4E453-C47F-F14C-AA84-C5EBC85EDAE6}"/>
    <hyperlink ref="E76" r:id="rId75" xr:uid="{C18E7C0F-6CBB-294C-A9EE-E46EFE18DDC1}"/>
    <hyperlink ref="E63" r:id="rId76" xr:uid="{176A986F-895D-F74F-9340-4B33C6BDA966}"/>
    <hyperlink ref="E77" r:id="rId77" xr:uid="{40127689-6718-4D44-AD1C-41828BA20C7F}"/>
    <hyperlink ref="E78" r:id="rId78" xr:uid="{62E5957A-9A36-2F4F-BE83-0BE3DB437B9F}"/>
    <hyperlink ref="E79" r:id="rId79" xr:uid="{BD6046D5-AE17-EB4F-8649-391F0937B964}"/>
    <hyperlink ref="E80" r:id="rId80" xr:uid="{DDB27D34-1544-614C-8B34-88125F29C553}"/>
    <hyperlink ref="E81" r:id="rId81" xr:uid="{B119CC26-D17B-D942-A817-2D52ACF85CC2}"/>
    <hyperlink ref="E82" r:id="rId82" xr:uid="{7FAA1A82-0111-3B44-9044-4F6CA31C3843}"/>
    <hyperlink ref="E83" r:id="rId83" xr:uid="{82619D5A-63FF-704B-9C83-2D6B66DF2F26}"/>
    <hyperlink ref="E84" r:id="rId84" xr:uid="{D75F74C8-471E-0B43-8181-DCC06EA751AA}"/>
    <hyperlink ref="E85" r:id="rId85" xr:uid="{4275372D-07E6-EC4E-9AB8-2FAFE84130E8}"/>
    <hyperlink ref="E86" r:id="rId86" xr:uid="{34B95257-9A87-5D41-BD85-072E0B20D74C}"/>
    <hyperlink ref="E87" r:id="rId87" xr:uid="{F362CCF8-FFB1-FA4E-B661-5C845136DAD3}"/>
    <hyperlink ref="E88" r:id="rId88" xr:uid="{E8BC7A0B-802D-8647-9FED-00792DD35236}"/>
    <hyperlink ref="E89" r:id="rId89" xr:uid="{A2CA0046-E91D-3A4F-B650-FA78C373F091}"/>
    <hyperlink ref="E90" r:id="rId90" xr:uid="{F393A1CB-8E16-8D41-8D3C-FCCB950B3C81}"/>
    <hyperlink ref="E91" r:id="rId91" xr:uid="{04B39E64-15CB-FB46-AFD3-FD771DBE7FA9}"/>
    <hyperlink ref="E92" r:id="rId92" xr:uid="{84ABC920-42EF-554D-9F5C-ED3B4EC66D66}"/>
    <hyperlink ref="E101" r:id="rId93" xr:uid="{25DF20FB-5305-7A40-A473-76C98062BCF3}"/>
    <hyperlink ref="E102" r:id="rId94" xr:uid="{2CD8F078-BAD7-DE47-B1AE-7BDD4EDAAA12}"/>
    <hyperlink ref="E103" r:id="rId95" xr:uid="{E7A00C9E-2B86-2842-8855-155BC2342298}"/>
    <hyperlink ref="E104" r:id="rId96" xr:uid="{8E1F5FD7-AE0B-7945-9EBF-672202AEB5D7}"/>
    <hyperlink ref="E105" r:id="rId97" xr:uid="{C25B53C3-72E4-0C44-BA4C-05FB0B13E3C8}"/>
    <hyperlink ref="E106" r:id="rId98" xr:uid="{9D9068DB-67FD-CC40-A6FA-7B1A0FAD370B}"/>
    <hyperlink ref="E107" r:id="rId99" xr:uid="{E90E5C48-736E-D241-AB4C-96CB3A2149C7}"/>
    <hyperlink ref="E108" r:id="rId100" location="/Account_Requests_CreateTravelNotification" xr:uid="{2E0D2835-1135-5C4C-8CAC-DF7E946C803C}"/>
    <hyperlink ref="E109" r:id="rId101" location="/Account_Requests_DeleteTravelNotification" xr:uid="{8001BFF6-9150-054D-98E5-C8FFFAEA07F3}"/>
    <hyperlink ref="E110" r:id="rId102" location="/Account_Requests_GetTravelNotification" xr:uid="{6E68C0C1-D351-634C-AF58-386CC78D5684}"/>
    <hyperlink ref="E111" r:id="rId103" location="/Account_Requests_GetTravelNotificationStatus" xr:uid="{02433342-46C4-2F47-8BA3-21CBCBA61A7B}"/>
    <hyperlink ref="E112" r:id="rId104" location="/Account_Requests_UpdateTravelNotification" xr:uid="{DFB1B5AF-B785-024E-A3B7-CCD97572B71C}"/>
    <hyperlink ref="E114" r:id="rId105" xr:uid="{A8E65C6A-3722-6749-A3DA-7E3D79A0D113}"/>
    <hyperlink ref="E115" r:id="rId106" xr:uid="{2F6736DD-29E1-3E4F-AC6E-13DF2A0AE9FD}"/>
    <hyperlink ref="E116" r:id="rId107" xr:uid="{59359469-A4FB-244B-9101-E89BC2589D2A}"/>
    <hyperlink ref="E117" r:id="rId108" xr:uid="{05E32DBF-7298-B543-B63B-26461C530814}"/>
    <hyperlink ref="E118" r:id="rId109" xr:uid="{2C4E9CD2-E740-B94C-B7EF-3C1F92049387}"/>
    <hyperlink ref="E119" r:id="rId110" xr:uid="{A2F25F42-7204-1E4D-AB04-CC24D7C0BA2F}"/>
    <hyperlink ref="E120" r:id="rId111" xr:uid="{E14F9BC7-ACDF-F54C-8293-161800F5E9D9}"/>
    <hyperlink ref="E121" r:id="rId112" xr:uid="{AFCE3857-0BD3-5641-8BC6-355E1502F10F}"/>
    <hyperlink ref="E122" r:id="rId113" xr:uid="{8CD38958-884E-1348-8810-4D5AA2270E67}"/>
    <hyperlink ref="E123" r:id="rId114" xr:uid="{AFF750A4-138B-944B-B896-FF7660D2381D}"/>
    <hyperlink ref="E124" r:id="rId115" xr:uid="{5A8D6BD3-E0E7-124F-8B28-F8189698AFD1}"/>
    <hyperlink ref="E125" r:id="rId116" xr:uid="{7C3D429F-5B99-984B-B32E-1A55808E2DD3}"/>
    <hyperlink ref="E126" r:id="rId117" xr:uid="{06439192-6390-E74F-9839-1E7552C2849D}"/>
    <hyperlink ref="E127" r:id="rId118" xr:uid="{CE7BC4FA-381B-5842-AE81-47AEC5BFA262}"/>
    <hyperlink ref="E128" r:id="rId119" xr:uid="{638BE247-6501-CF40-9A10-665D32CFBB85}"/>
    <hyperlink ref="E129" r:id="rId120" xr:uid="{01DD21BD-16C9-764F-9BC2-C26A790651FF}"/>
    <hyperlink ref="E130" r:id="rId121" xr:uid="{CABB6DAD-4862-464A-A63B-361109AD4CB2}"/>
    <hyperlink ref="E131" r:id="rId122" xr:uid="{DBA4D909-EFF5-4C4F-B861-7B9E93A4E3A0}"/>
    <hyperlink ref="E132" r:id="rId123" xr:uid="{4D1CE4DC-487B-CA49-B039-9AA752D8FA64}"/>
    <hyperlink ref="E133" r:id="rId124" xr:uid="{EA89FCCD-4B97-3C4C-B2AE-EBABB6F3CF9A}"/>
    <hyperlink ref="E137" r:id="rId125" xr:uid="{1243C382-B47D-774A-9E0F-A9B8EED8AF85}"/>
    <hyperlink ref="E138" r:id="rId126" xr:uid="{9897F9A6-38C3-6C42-8A72-1C20748CCEFC}"/>
    <hyperlink ref="E139" r:id="rId127" xr:uid="{D37FDD8C-94A1-6A43-A7BE-4444122D5A95}"/>
    <hyperlink ref="E140" r:id="rId128" xr:uid="{DB17EC28-6FB2-104A-B1CA-62FCA70B6FC0}"/>
    <hyperlink ref="E141" r:id="rId129" xr:uid="{C93E8CA2-D985-6A43-A290-FED3D8DE34A8}"/>
    <hyperlink ref="E142" r:id="rId130" xr:uid="{71CF28AB-BD58-F647-9DEC-5939E286D922}"/>
    <hyperlink ref="E143" r:id="rId131" xr:uid="{731E31FC-701C-5349-B136-532432EDEF49}"/>
    <hyperlink ref="E144" r:id="rId132" xr:uid="{59C4FA53-BE0F-5041-836D-12DCB62536B8}"/>
    <hyperlink ref="E145" r:id="rId133" xr:uid="{173C7C64-634C-4449-8E2E-1B4D099A8E81}"/>
    <hyperlink ref="E146" r:id="rId134" xr:uid="{EAA7B9FC-7029-264D-A1D4-B142B97AB758}"/>
    <hyperlink ref="E147" r:id="rId135" xr:uid="{D18041CC-9F1D-A642-AB8A-4C3ED9390F3C}"/>
    <hyperlink ref="E148" r:id="rId136" xr:uid="{0F8B83C6-5D2A-E540-9CF4-F9F8FD7CE1A3}"/>
    <hyperlink ref="E149" r:id="rId137" xr:uid="{89045318-CAEE-C847-BB51-0B1C444AFEC9}"/>
    <hyperlink ref="E150" r:id="rId138" xr:uid="{F665AFA9-04F2-3444-8652-C6EDF6301D9C}"/>
    <hyperlink ref="E151" r:id="rId139" xr:uid="{E249958D-5199-E047-A948-1FA7FFC90A53}"/>
    <hyperlink ref="E152" r:id="rId140" xr:uid="{22C68966-F14D-6341-8F3B-C9617E1DF701}"/>
    <hyperlink ref="E153" r:id="rId141" xr:uid="{8A03F9C9-105E-7245-BDC3-C3262E50B532}"/>
    <hyperlink ref="E154" r:id="rId142" xr:uid="{BA999A07-5546-024A-90A9-6D10751DB52B}"/>
    <hyperlink ref="E155" r:id="rId143" xr:uid="{667DB163-4EF7-0642-A96D-17CB10EF442E}"/>
    <hyperlink ref="E156" r:id="rId144" xr:uid="{00284679-0DBC-A042-9160-349A2E4B78A3}"/>
    <hyperlink ref="E157" r:id="rId145" xr:uid="{84230DB0-F12C-2B45-B107-665B45BF4377}"/>
    <hyperlink ref="E158" r:id="rId146" xr:uid="{C1050DB0-44D0-B640-9589-6604B3DD9249}"/>
    <hyperlink ref="E159" r:id="rId147" xr:uid="{0D6A7E1B-18CF-8545-8644-827F62165E8A}"/>
    <hyperlink ref="E160" r:id="rId148" xr:uid="{1FD7B03F-8872-2D41-9795-F7319D67EB69}"/>
    <hyperlink ref="E161" r:id="rId149" xr:uid="{E35E0A66-076A-A04E-A1DC-710975E8BE60}"/>
    <hyperlink ref="E162" r:id="rId150" xr:uid="{73F9F6A0-B370-914A-9A6E-605206F2331D}"/>
    <hyperlink ref="E163" r:id="rId151" xr:uid="{07F7B8F7-76E3-AA47-ACF7-3F98DAFEB488}"/>
    <hyperlink ref="E164" r:id="rId152" xr:uid="{F12EBB00-7A8A-8C40-BC69-0E3B71D5CBF5}"/>
    <hyperlink ref="E165" r:id="rId153" xr:uid="{3B4E2100-F628-BE4E-AE80-AC89E2077FD5}"/>
    <hyperlink ref="E166" r:id="rId154" xr:uid="{7A9C86C3-0D4A-BB4E-8C82-EA136FE7FCB4}"/>
    <hyperlink ref="E167" r:id="rId155" display="https://konydocs.atlassian.net/wiki/spaces/ARBD/pages/1031733733/getUserTransaction+Java+Integration+Service" xr:uid="{2E367214-16EE-E145-AA57-103F86A288E4}"/>
    <hyperlink ref="E168" r:id="rId156" xr:uid="{49696AC1-BDCD-C040-B9C2-2AE113471723}"/>
    <hyperlink ref="E169" r:id="rId157" xr:uid="{70B58270-76C2-1B4C-9F2E-D45B04169DEE}"/>
    <hyperlink ref="E170" r:id="rId158" xr:uid="{EC0A0BB2-F58E-FE46-8BC4-6ADA7119F48F}"/>
    <hyperlink ref="E171" r:id="rId159" xr:uid="{C2FDDABE-F102-694E-BEA5-B1E49F293669}"/>
    <hyperlink ref="E172" r:id="rId160" xr:uid="{659B211F-8148-7D43-8B03-0F40473516C0}"/>
    <hyperlink ref="E179" r:id="rId161" xr:uid="{C53BAE16-17AB-114C-BAB7-CA59858AC131}"/>
    <hyperlink ref="E180" r:id="rId162" xr:uid="{5AE148C6-F1CE-5443-9823-8E1773706278}"/>
    <hyperlink ref="E181" r:id="rId163" xr:uid="{0CE7E2C7-1C98-2748-8ED0-58A242363B56}"/>
    <hyperlink ref="E182" r:id="rId164" xr:uid="{9AB67076-F58F-5D41-8D70-BCE6E578A64C}"/>
    <hyperlink ref="E183" r:id="rId165" xr:uid="{659ABCE2-E5D3-8E4A-8ABA-B54FFF8223C2}"/>
    <hyperlink ref="E184" r:id="rId166" xr:uid="{5F9EA098-D5C8-AB4E-AF31-DB8846C19229}"/>
    <hyperlink ref="E185" r:id="rId167" xr:uid="{7DCCB116-9BEA-8047-AA3E-A1968064BF85}"/>
    <hyperlink ref="E186" r:id="rId168" xr:uid="{15A2FDE0-0ED8-364D-AC13-237CAB4F1199}"/>
    <hyperlink ref="E187" r:id="rId169" xr:uid="{B8E3F8A8-1258-F243-B1F3-D92A01BC5E95}"/>
    <hyperlink ref="E188" r:id="rId170" xr:uid="{9F9671EE-870A-A845-A3B6-6E4BA173069B}"/>
    <hyperlink ref="E189" r:id="rId171" xr:uid="{90600D56-9D5D-3E47-A847-79FE454C0701}"/>
    <hyperlink ref="E190" r:id="rId172" xr:uid="{9BFC6775-C5BD-BE42-97A6-F8DD27EDEE50}"/>
    <hyperlink ref="E191" r:id="rId173" xr:uid="{EFF9F48D-5316-2C45-9620-6F5A00EEB059}"/>
    <hyperlink ref="E192" r:id="rId174" xr:uid="{A6022625-5342-C64F-B9DB-4CFD23B35296}"/>
    <hyperlink ref="E193" r:id="rId175" xr:uid="{3D344B3A-3BDE-0743-8FB7-19DEB6CDE246}"/>
    <hyperlink ref="E194" r:id="rId176" xr:uid="{0C39A015-C032-0D49-BCE8-E600CB6363C3}"/>
    <hyperlink ref="E195" r:id="rId177" xr:uid="{E2E22136-F476-AF47-A94C-A8C0FACDA4A1}"/>
    <hyperlink ref="E196" r:id="rId178" xr:uid="{8BEFB014-9F16-B14C-83AE-6D28617AF355}"/>
    <hyperlink ref="E197" r:id="rId179" xr:uid="{31F963C9-5F4C-4843-BC0D-CC7A60D9134D}"/>
    <hyperlink ref="E198" r:id="rId180" xr:uid="{62F3C00D-7F1E-3140-BA91-4AB0ADC10DCA}"/>
    <hyperlink ref="E200" r:id="rId181" xr:uid="{C0B59611-2C79-3A47-B533-5C82FE08AD9E}"/>
    <hyperlink ref="E201" r:id="rId182" xr:uid="{66D068DD-9D1A-B44A-A143-D431F5F417DC}"/>
    <hyperlink ref="E202" r:id="rId183" xr:uid="{6DA243D1-F9AB-DF4C-8A06-C93DBA30F59B}"/>
    <hyperlink ref="E203" r:id="rId184" xr:uid="{1ADD6EDE-EEEF-1242-ABAA-59A7BA34E9AD}"/>
    <hyperlink ref="E204" r:id="rId185" xr:uid="{C13D7048-05FB-9B43-979D-4D2ED3A31E46}"/>
    <hyperlink ref="E205" r:id="rId186" xr:uid="{86C15A14-85F7-4146-8D6E-F7FF6F2BEB40}"/>
    <hyperlink ref="E206" r:id="rId187" xr:uid="{B6CB94BD-3D99-7140-B703-AEF33B1B064B}"/>
    <hyperlink ref="E208" r:id="rId188" xr:uid="{C34B796B-E972-0E49-BFA0-E0325A8036DD}"/>
    <hyperlink ref="E209" r:id="rId189" xr:uid="{88254B49-C954-CE41-8AE1-75ED2CC7253F}"/>
    <hyperlink ref="E210" r:id="rId190" xr:uid="{0CF24A38-B518-2B4F-AD92-0C65928B135B}"/>
    <hyperlink ref="E211" r:id="rId191" xr:uid="{5C0E5DCC-88D0-5D42-ADDF-0DCE86374AFC}"/>
    <hyperlink ref="E212" r:id="rId192" xr:uid="{B103016E-79E5-0749-94FC-A6D8B6AFE4BB}"/>
    <hyperlink ref="E213" r:id="rId193" xr:uid="{FAB058D6-13E6-EA43-B511-FDC8208A935E}"/>
    <hyperlink ref="E214" r:id="rId194" xr:uid="{E3D97F1F-3258-C740-8ED1-144825600A46}"/>
    <hyperlink ref="E215" r:id="rId195" xr:uid="{2048B6B7-B702-DD4B-AAEB-B1FA4995B6A8}"/>
    <hyperlink ref="E216" r:id="rId196" xr:uid="{BB68113F-A54B-574B-BC20-19040E0F4596}"/>
    <hyperlink ref="E217" r:id="rId197" xr:uid="{4816E6D5-1017-7B43-8250-1287D3432B7C}"/>
    <hyperlink ref="E93" r:id="rId198" xr:uid="{229AAE04-2262-9F46-A0FB-D65668D4D84D}"/>
    <hyperlink ref="E94" r:id="rId199" xr:uid="{19290812-8D50-914E-B20A-F02D04A85C5A}"/>
    <hyperlink ref="E95" r:id="rId200" xr:uid="{FC4A684D-A675-FE4D-A99B-2C8F9CA1226A}"/>
    <hyperlink ref="E96" r:id="rId201" xr:uid="{BB5B3834-D4E0-B743-9C93-EFAA65365A55}"/>
    <hyperlink ref="E97" r:id="rId202" xr:uid="{4C397304-0204-7544-B123-DDD54DF216BA}"/>
    <hyperlink ref="E98" r:id="rId203" xr:uid="{52D7479C-DC7C-D346-9F14-1CFF1CEA5008}"/>
    <hyperlink ref="E99" r:id="rId204" xr:uid="{E492966C-70F4-7748-8CB6-86866EFEED83}"/>
    <hyperlink ref="E100" r:id="rId205" xr:uid="{5377A8A7-323E-C448-B2B4-E774BD6CDF7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8128-172A-9840-B4EF-1C51317FD1A0}">
  <dimension ref="A1:N236"/>
  <sheetViews>
    <sheetView workbookViewId="0">
      <selection activeCell="G186" sqref="G186"/>
    </sheetView>
  </sheetViews>
  <sheetFormatPr baseColWidth="10" defaultRowHeight="19"/>
  <cols>
    <col min="1" max="1" width="14.1640625" style="52" bestFit="1" customWidth="1"/>
    <col min="2" max="2" width="22.5" style="47" bestFit="1" customWidth="1"/>
    <col min="3" max="3" width="25.6640625" style="47" bestFit="1" customWidth="1"/>
    <col min="4" max="4" width="59" style="47" bestFit="1" customWidth="1"/>
    <col min="5" max="5" width="59" style="47" customWidth="1"/>
    <col min="6" max="6" width="65.1640625" style="49" customWidth="1"/>
    <col min="7" max="7" width="21" style="69" bestFit="1" customWidth="1"/>
    <col min="8" max="8" width="21" style="69" customWidth="1"/>
    <col min="9" max="9" width="21.33203125" style="41" bestFit="1" customWidth="1"/>
    <col min="10" max="10" width="21.33203125" style="69" bestFit="1" customWidth="1"/>
    <col min="11" max="11" width="10.5" style="41" bestFit="1" customWidth="1"/>
    <col min="12" max="12" width="9.83203125" style="41" bestFit="1" customWidth="1"/>
    <col min="13" max="13" width="8.33203125" style="41" bestFit="1" customWidth="1"/>
    <col min="14" max="14" width="8.1640625" style="41" bestFit="1" customWidth="1"/>
    <col min="15" max="16384" width="10.83203125" style="41"/>
  </cols>
  <sheetData>
    <row r="1" spans="1:14" s="45" customFormat="1">
      <c r="A1" s="52"/>
      <c r="F1" s="46"/>
      <c r="G1" s="52"/>
      <c r="H1" s="52"/>
      <c r="J1" s="52"/>
      <c r="K1" s="77" t="s">
        <v>1448</v>
      </c>
      <c r="L1" s="77"/>
      <c r="M1" s="77"/>
    </row>
    <row r="2" spans="1:14" s="45" customFormat="1" ht="22" customHeight="1">
      <c r="A2" s="25" t="s">
        <v>1542</v>
      </c>
      <c r="B2" s="19" t="s">
        <v>1134</v>
      </c>
      <c r="C2" s="19" t="s">
        <v>1374</v>
      </c>
      <c r="D2" s="28" t="s">
        <v>1135</v>
      </c>
      <c r="E2" s="28" t="s">
        <v>1897</v>
      </c>
      <c r="F2" s="28" t="s">
        <v>12</v>
      </c>
      <c r="G2" s="68" t="s">
        <v>1373</v>
      </c>
      <c r="H2" s="68" t="s">
        <v>1387</v>
      </c>
      <c r="I2" s="20" t="s">
        <v>1447</v>
      </c>
      <c r="J2" s="67" t="s">
        <v>1133</v>
      </c>
      <c r="K2" s="19" t="s">
        <v>1136</v>
      </c>
      <c r="L2" s="19" t="s">
        <v>1405</v>
      </c>
      <c r="M2" s="19" t="s">
        <v>1137</v>
      </c>
      <c r="N2" s="19" t="s">
        <v>1446</v>
      </c>
    </row>
    <row r="3" spans="1:14" ht="20">
      <c r="A3" s="52">
        <v>21</v>
      </c>
      <c r="B3" s="47" t="s">
        <v>1403</v>
      </c>
      <c r="C3" s="47" t="s">
        <v>1537</v>
      </c>
      <c r="D3" s="36" t="s">
        <v>1531</v>
      </c>
      <c r="E3" s="71" t="s">
        <v>1900</v>
      </c>
      <c r="F3" s="48" t="s">
        <v>1532</v>
      </c>
      <c r="G3" s="52" t="s">
        <v>1592</v>
      </c>
      <c r="H3" s="52">
        <v>0</v>
      </c>
      <c r="J3" s="57"/>
    </row>
    <row r="4" spans="1:14" ht="40">
      <c r="A4" s="52">
        <v>21</v>
      </c>
      <c r="B4" s="47" t="s">
        <v>1403</v>
      </c>
      <c r="C4" s="47" t="s">
        <v>1537</v>
      </c>
      <c r="D4" s="72" t="s">
        <v>1439</v>
      </c>
      <c r="E4" s="71" t="s">
        <v>1898</v>
      </c>
      <c r="F4" s="48" t="s">
        <v>1530</v>
      </c>
      <c r="G4" s="52" t="s">
        <v>1592</v>
      </c>
      <c r="H4" s="52">
        <v>0</v>
      </c>
      <c r="J4" s="52"/>
    </row>
    <row r="5" spans="1:14" ht="32">
      <c r="A5" s="52">
        <v>21</v>
      </c>
      <c r="B5" s="47" t="s">
        <v>1403</v>
      </c>
      <c r="C5" s="47" t="s">
        <v>1537</v>
      </c>
      <c r="D5" s="72" t="s">
        <v>1911</v>
      </c>
      <c r="E5" s="62" t="s">
        <v>1910</v>
      </c>
      <c r="F5" s="74" t="s">
        <v>1912</v>
      </c>
      <c r="G5" s="52" t="s">
        <v>1592</v>
      </c>
      <c r="H5" s="52">
        <v>0</v>
      </c>
      <c r="J5" s="52"/>
    </row>
    <row r="6" spans="1:14" ht="20">
      <c r="A6" s="52">
        <v>21</v>
      </c>
      <c r="B6" s="47" t="s">
        <v>1403</v>
      </c>
      <c r="C6" s="47" t="s">
        <v>1537</v>
      </c>
      <c r="D6" s="72" t="s">
        <v>1437</v>
      </c>
      <c r="E6" s="71" t="s">
        <v>1899</v>
      </c>
      <c r="F6" s="48" t="s">
        <v>1528</v>
      </c>
      <c r="G6" s="52" t="s">
        <v>1592</v>
      </c>
      <c r="H6" s="52">
        <v>0</v>
      </c>
      <c r="J6" s="52"/>
    </row>
    <row r="7" spans="1:14" ht="20">
      <c r="A7" s="52">
        <v>21</v>
      </c>
      <c r="B7" s="47" t="s">
        <v>1403</v>
      </c>
      <c r="C7" s="47" t="s">
        <v>1537</v>
      </c>
      <c r="D7" s="72" t="s">
        <v>1908</v>
      </c>
      <c r="E7" s="71" t="s">
        <v>1904</v>
      </c>
      <c r="F7" s="48" t="s">
        <v>1533</v>
      </c>
      <c r="G7" s="52" t="s">
        <v>1592</v>
      </c>
      <c r="H7" s="52">
        <v>0</v>
      </c>
      <c r="J7" s="52"/>
    </row>
    <row r="8" spans="1:14" ht="20">
      <c r="A8" s="52">
        <v>21</v>
      </c>
      <c r="B8" s="47" t="s">
        <v>1403</v>
      </c>
      <c r="C8" s="47" t="s">
        <v>1537</v>
      </c>
      <c r="D8" s="72" t="s">
        <v>1531</v>
      </c>
      <c r="E8" s="71" t="s">
        <v>1900</v>
      </c>
      <c r="F8" s="48" t="s">
        <v>1534</v>
      </c>
      <c r="G8" s="52" t="s">
        <v>1592</v>
      </c>
      <c r="H8" s="52">
        <v>0</v>
      </c>
      <c r="J8" s="52"/>
    </row>
    <row r="9" spans="1:14" ht="20">
      <c r="A9" s="52">
        <v>21</v>
      </c>
      <c r="B9" s="47" t="s">
        <v>1403</v>
      </c>
      <c r="C9" s="47" t="s">
        <v>1537</v>
      </c>
      <c r="D9" s="72" t="s">
        <v>1438</v>
      </c>
      <c r="E9" s="71" t="s">
        <v>1901</v>
      </c>
      <c r="F9" s="48" t="s">
        <v>1529</v>
      </c>
      <c r="G9" s="52" t="s">
        <v>1592</v>
      </c>
      <c r="H9" s="52">
        <v>0</v>
      </c>
      <c r="J9" s="57"/>
    </row>
    <row r="10" spans="1:14" ht="20">
      <c r="A10" s="52">
        <v>21</v>
      </c>
      <c r="B10" s="47" t="s">
        <v>1403</v>
      </c>
      <c r="C10" s="47" t="s">
        <v>1537</v>
      </c>
      <c r="D10" s="73" t="s">
        <v>1909</v>
      </c>
      <c r="E10" s="71" t="s">
        <v>1903</v>
      </c>
      <c r="F10" s="48" t="s">
        <v>1525</v>
      </c>
      <c r="G10" s="52" t="s">
        <v>1592</v>
      </c>
      <c r="H10" s="52">
        <v>0</v>
      </c>
      <c r="J10" s="52"/>
    </row>
    <row r="11" spans="1:14" ht="20">
      <c r="A11" s="52">
        <v>21</v>
      </c>
      <c r="B11" s="47" t="s">
        <v>1403</v>
      </c>
      <c r="C11" s="47" t="s">
        <v>1537</v>
      </c>
      <c r="D11" s="73" t="s">
        <v>1535</v>
      </c>
      <c r="E11" s="71" t="s">
        <v>1902</v>
      </c>
      <c r="F11" s="48" t="s">
        <v>1536</v>
      </c>
      <c r="G11" s="52" t="s">
        <v>1592</v>
      </c>
      <c r="H11" s="52">
        <v>0</v>
      </c>
      <c r="J11" s="52"/>
    </row>
    <row r="12" spans="1:14" ht="39">
      <c r="A12" s="52">
        <v>21</v>
      </c>
      <c r="B12" s="47" t="s">
        <v>1403</v>
      </c>
      <c r="C12" s="47" t="s">
        <v>1537</v>
      </c>
      <c r="D12" s="73" t="s">
        <v>1925</v>
      </c>
      <c r="E12" s="62" t="s">
        <v>1926</v>
      </c>
      <c r="F12" s="63" t="s">
        <v>1927</v>
      </c>
      <c r="G12" s="52" t="s">
        <v>1592</v>
      </c>
      <c r="H12" s="52">
        <v>0</v>
      </c>
      <c r="J12" s="52"/>
    </row>
    <row r="13" spans="1:14" ht="20">
      <c r="A13" s="52">
        <v>21</v>
      </c>
      <c r="B13" s="47" t="s">
        <v>1403</v>
      </c>
      <c r="C13" s="47" t="s">
        <v>1537</v>
      </c>
      <c r="D13" s="73" t="s">
        <v>1436</v>
      </c>
      <c r="E13" s="71" t="s">
        <v>1905</v>
      </c>
      <c r="F13" s="48" t="s">
        <v>1527</v>
      </c>
      <c r="G13" s="52" t="s">
        <v>10</v>
      </c>
      <c r="H13" s="52">
        <v>0</v>
      </c>
      <c r="J13" s="52"/>
    </row>
    <row r="14" spans="1:14" ht="20">
      <c r="A14" s="52">
        <v>21</v>
      </c>
      <c r="B14" s="47" t="s">
        <v>1403</v>
      </c>
      <c r="C14" s="47" t="s">
        <v>1537</v>
      </c>
      <c r="D14" s="73" t="s">
        <v>1435</v>
      </c>
      <c r="E14" s="71" t="s">
        <v>1906</v>
      </c>
      <c r="F14" s="48" t="s">
        <v>1524</v>
      </c>
      <c r="G14" s="52" t="s">
        <v>1592</v>
      </c>
      <c r="H14" s="52">
        <v>0</v>
      </c>
      <c r="J14" s="52"/>
    </row>
    <row r="15" spans="1:14" ht="20">
      <c r="A15" s="52">
        <v>21</v>
      </c>
      <c r="B15" s="47" t="s">
        <v>1403</v>
      </c>
      <c r="C15" s="47" t="s">
        <v>1537</v>
      </c>
      <c r="D15" s="73" t="s">
        <v>1434</v>
      </c>
      <c r="E15" s="71" t="s">
        <v>1735</v>
      </c>
      <c r="F15" s="48" t="s">
        <v>1523</v>
      </c>
      <c r="G15" s="52" t="s">
        <v>1592</v>
      </c>
      <c r="H15" s="52">
        <v>0</v>
      </c>
      <c r="J15" s="52"/>
    </row>
    <row r="16" spans="1:14" ht="39">
      <c r="A16" s="52">
        <v>21</v>
      </c>
      <c r="B16" s="47" t="s">
        <v>1403</v>
      </c>
      <c r="C16" s="47" t="s">
        <v>1537</v>
      </c>
      <c r="D16" s="73" t="s">
        <v>1922</v>
      </c>
      <c r="E16" s="62" t="s">
        <v>1923</v>
      </c>
      <c r="F16" s="63" t="s">
        <v>1924</v>
      </c>
      <c r="G16" s="52" t="s">
        <v>1592</v>
      </c>
      <c r="H16" s="52"/>
      <c r="J16" s="52"/>
    </row>
    <row r="17" spans="1:12" ht="58">
      <c r="A17" s="52">
        <v>21</v>
      </c>
      <c r="B17" s="47" t="s">
        <v>1403</v>
      </c>
      <c r="C17" s="47" t="s">
        <v>1537</v>
      </c>
      <c r="D17" s="73" t="s">
        <v>1919</v>
      </c>
      <c r="E17" s="62" t="s">
        <v>1920</v>
      </c>
      <c r="F17" s="63" t="s">
        <v>1921</v>
      </c>
      <c r="G17" s="52" t="s">
        <v>1592</v>
      </c>
      <c r="H17" s="52">
        <v>0</v>
      </c>
      <c r="J17" s="52"/>
    </row>
    <row r="18" spans="1:12" ht="32">
      <c r="A18" s="52">
        <v>21</v>
      </c>
      <c r="B18" s="47" t="s">
        <v>1403</v>
      </c>
      <c r="C18" s="47" t="s">
        <v>1537</v>
      </c>
      <c r="D18" s="73" t="s">
        <v>1916</v>
      </c>
      <c r="E18" s="62" t="s">
        <v>1917</v>
      </c>
      <c r="F18" s="75" t="s">
        <v>1918</v>
      </c>
      <c r="G18" s="52" t="s">
        <v>1592</v>
      </c>
      <c r="H18" s="52">
        <v>0</v>
      </c>
      <c r="J18" s="52"/>
    </row>
    <row r="19" spans="1:12" ht="32">
      <c r="A19" s="52">
        <v>21</v>
      </c>
      <c r="B19" s="47" t="s">
        <v>1403</v>
      </c>
      <c r="C19" s="47" t="s">
        <v>1537</v>
      </c>
      <c r="D19" s="73" t="s">
        <v>1913</v>
      </c>
      <c r="E19" s="62" t="s">
        <v>1914</v>
      </c>
      <c r="F19" s="74" t="s">
        <v>1915</v>
      </c>
      <c r="G19" s="52" t="s">
        <v>1592</v>
      </c>
      <c r="H19" s="52">
        <v>0</v>
      </c>
      <c r="J19" s="52"/>
    </row>
    <row r="20" spans="1:12" ht="20">
      <c r="A20" s="52">
        <v>21</v>
      </c>
      <c r="B20" s="47" t="s">
        <v>1403</v>
      </c>
      <c r="C20" s="47" t="s">
        <v>1537</v>
      </c>
      <c r="D20" s="73" t="s">
        <v>1396</v>
      </c>
      <c r="E20" s="71" t="s">
        <v>1907</v>
      </c>
      <c r="F20" s="48" t="s">
        <v>1526</v>
      </c>
      <c r="G20" s="52" t="s">
        <v>1592</v>
      </c>
      <c r="H20" s="52">
        <v>0</v>
      </c>
      <c r="J20" s="52"/>
    </row>
    <row r="21" spans="1:12" ht="32">
      <c r="A21" s="26">
        <v>1</v>
      </c>
      <c r="B21" s="12" t="s">
        <v>1403</v>
      </c>
      <c r="C21" s="12" t="s">
        <v>1122</v>
      </c>
      <c r="D21" s="36" t="s">
        <v>1196</v>
      </c>
      <c r="E21" s="62" t="s">
        <v>1720</v>
      </c>
      <c r="F21" s="21" t="s">
        <v>1197</v>
      </c>
      <c r="G21" s="37" t="s">
        <v>1592</v>
      </c>
      <c r="H21" s="21">
        <v>0</v>
      </c>
      <c r="I21" s="16" t="s">
        <v>10</v>
      </c>
      <c r="J21" s="57" t="s">
        <v>1593</v>
      </c>
      <c r="K21" s="57"/>
      <c r="L21" s="57"/>
    </row>
    <row r="22" spans="1:12" ht="32">
      <c r="A22" s="26">
        <v>1</v>
      </c>
      <c r="B22" s="12" t="s">
        <v>1403</v>
      </c>
      <c r="C22" s="12" t="s">
        <v>1122</v>
      </c>
      <c r="D22" s="36" t="s">
        <v>1698</v>
      </c>
      <c r="E22" s="62" t="s">
        <v>1699</v>
      </c>
      <c r="F22" s="21" t="s">
        <v>1394</v>
      </c>
      <c r="G22" s="70" t="s">
        <v>1592</v>
      </c>
      <c r="H22" s="21">
        <v>4</v>
      </c>
      <c r="I22" s="16" t="s">
        <v>10</v>
      </c>
      <c r="J22" s="57" t="s">
        <v>1706</v>
      </c>
      <c r="K22" s="57"/>
      <c r="L22" s="57"/>
    </row>
    <row r="23" spans="1:12" ht="38">
      <c r="A23" s="26">
        <v>1</v>
      </c>
      <c r="B23" s="12" t="s">
        <v>1403</v>
      </c>
      <c r="C23" s="12" t="s">
        <v>1122</v>
      </c>
      <c r="D23" s="36" t="s">
        <v>74</v>
      </c>
      <c r="E23" s="62" t="s">
        <v>1700</v>
      </c>
      <c r="F23" s="63" t="s">
        <v>1701</v>
      </c>
      <c r="G23" s="37" t="s">
        <v>1</v>
      </c>
      <c r="H23" s="21">
        <v>0</v>
      </c>
      <c r="I23" s="16"/>
      <c r="J23" s="57" t="s">
        <v>1593</v>
      </c>
      <c r="K23" s="57"/>
      <c r="L23" s="57"/>
    </row>
    <row r="24" spans="1:12" ht="32">
      <c r="A24" s="26">
        <v>1</v>
      </c>
      <c r="B24" s="12" t="s">
        <v>1403</v>
      </c>
      <c r="C24" s="12" t="s">
        <v>1122</v>
      </c>
      <c r="D24" s="36" t="s">
        <v>30</v>
      </c>
      <c r="E24" s="62" t="s">
        <v>1702</v>
      </c>
      <c r="F24" s="21" t="s">
        <v>1594</v>
      </c>
      <c r="G24" s="37" t="s">
        <v>1</v>
      </c>
      <c r="H24" s="21"/>
      <c r="I24" s="16" t="s">
        <v>10</v>
      </c>
      <c r="J24" s="57" t="s">
        <v>1593</v>
      </c>
      <c r="K24" s="57"/>
      <c r="L24" s="57"/>
    </row>
    <row r="25" spans="1:12" ht="32">
      <c r="A25" s="26">
        <v>1</v>
      </c>
      <c r="B25" s="12" t="s">
        <v>1403</v>
      </c>
      <c r="C25" s="12" t="s">
        <v>1122</v>
      </c>
      <c r="D25" s="36" t="s">
        <v>41</v>
      </c>
      <c r="E25" s="62" t="s">
        <v>1721</v>
      </c>
      <c r="F25" s="59" t="s">
        <v>1393</v>
      </c>
      <c r="G25" s="37" t="s">
        <v>1592</v>
      </c>
      <c r="H25" s="21">
        <v>3</v>
      </c>
      <c r="I25" s="16" t="s">
        <v>10</v>
      </c>
      <c r="J25" s="57" t="s">
        <v>1593</v>
      </c>
      <c r="K25" s="57"/>
      <c r="L25" s="57"/>
    </row>
    <row r="26" spans="1:12" ht="32">
      <c r="A26" s="26">
        <v>1</v>
      </c>
      <c r="B26" s="12" t="s">
        <v>1403</v>
      </c>
      <c r="C26" s="12" t="s">
        <v>1122</v>
      </c>
      <c r="D26" s="36" t="s">
        <v>40</v>
      </c>
      <c r="E26" s="62" t="s">
        <v>1722</v>
      </c>
      <c r="F26" s="21" t="s">
        <v>1198</v>
      </c>
      <c r="G26" s="37" t="s">
        <v>1592</v>
      </c>
      <c r="H26" s="21">
        <v>0</v>
      </c>
      <c r="I26" s="16"/>
      <c r="J26" s="57" t="s">
        <v>1593</v>
      </c>
      <c r="K26" s="57"/>
      <c r="L26" s="57"/>
    </row>
    <row r="27" spans="1:12" ht="32">
      <c r="A27" s="26">
        <v>1</v>
      </c>
      <c r="B27" s="12" t="s">
        <v>1403</v>
      </c>
      <c r="C27" s="12" t="s">
        <v>1122</v>
      </c>
      <c r="D27" s="36" t="s">
        <v>1199</v>
      </c>
      <c r="E27" s="62" t="s">
        <v>1723</v>
      </c>
      <c r="F27" s="21" t="s">
        <v>1200</v>
      </c>
      <c r="G27" s="37" t="s">
        <v>1592</v>
      </c>
      <c r="H27" s="21">
        <v>0</v>
      </c>
      <c r="I27" s="16"/>
      <c r="J27" s="57" t="s">
        <v>1593</v>
      </c>
      <c r="K27" s="57"/>
      <c r="L27" s="57"/>
    </row>
    <row r="28" spans="1:12" ht="40">
      <c r="A28" s="26">
        <v>1</v>
      </c>
      <c r="B28" s="12" t="s">
        <v>1403</v>
      </c>
      <c r="C28" s="12" t="s">
        <v>1122</v>
      </c>
      <c r="D28" s="36" t="s">
        <v>75</v>
      </c>
      <c r="E28" s="62" t="s">
        <v>1724</v>
      </c>
      <c r="F28" s="21" t="s">
        <v>1707</v>
      </c>
      <c r="G28" s="37" t="s">
        <v>1592</v>
      </c>
      <c r="H28" s="21">
        <v>3</v>
      </c>
      <c r="I28" s="16"/>
      <c r="J28" s="57" t="s">
        <v>1593</v>
      </c>
      <c r="K28" s="57"/>
      <c r="L28" s="57"/>
    </row>
    <row r="29" spans="1:12" ht="32">
      <c r="A29" s="26">
        <v>1</v>
      </c>
      <c r="B29" s="12" t="s">
        <v>1403</v>
      </c>
      <c r="C29" s="12" t="s">
        <v>1122</v>
      </c>
      <c r="D29" s="36" t="s">
        <v>1206</v>
      </c>
      <c r="E29" s="62" t="s">
        <v>1725</v>
      </c>
      <c r="F29" s="21" t="s">
        <v>1207</v>
      </c>
      <c r="G29" s="37" t="s">
        <v>1592</v>
      </c>
      <c r="H29" s="21">
        <v>3</v>
      </c>
      <c r="I29" s="16" t="s">
        <v>10</v>
      </c>
      <c r="J29" s="57" t="s">
        <v>1593</v>
      </c>
      <c r="K29" s="57"/>
      <c r="L29" s="57"/>
    </row>
    <row r="30" spans="1:12" ht="32">
      <c r="A30" s="26">
        <v>1</v>
      </c>
      <c r="B30" s="12" t="s">
        <v>1403</v>
      </c>
      <c r="C30" s="12" t="s">
        <v>1122</v>
      </c>
      <c r="D30" s="36" t="s">
        <v>1208</v>
      </c>
      <c r="E30" s="62" t="s">
        <v>1726</v>
      </c>
      <c r="F30" s="21" t="s">
        <v>1209</v>
      </c>
      <c r="G30" s="37" t="s">
        <v>1592</v>
      </c>
      <c r="H30" s="21">
        <v>0</v>
      </c>
      <c r="I30" s="16" t="s">
        <v>10</v>
      </c>
      <c r="J30" s="57" t="s">
        <v>1593</v>
      </c>
      <c r="K30" s="57"/>
      <c r="L30" s="57"/>
    </row>
    <row r="31" spans="1:12" ht="40">
      <c r="A31" s="26">
        <v>1</v>
      </c>
      <c r="B31" s="12" t="s">
        <v>1403</v>
      </c>
      <c r="C31" s="12" t="s">
        <v>1122</v>
      </c>
      <c r="D31" s="36" t="s">
        <v>70</v>
      </c>
      <c r="E31" s="62" t="s">
        <v>1703</v>
      </c>
      <c r="F31" s="21" t="s">
        <v>1210</v>
      </c>
      <c r="G31" s="37" t="s">
        <v>1</v>
      </c>
      <c r="H31" s="21">
        <v>0</v>
      </c>
      <c r="I31" s="16" t="s">
        <v>10</v>
      </c>
      <c r="J31" s="57" t="s">
        <v>1593</v>
      </c>
      <c r="K31" s="57"/>
      <c r="L31" s="57"/>
    </row>
    <row r="32" spans="1:12" ht="32">
      <c r="A32" s="26">
        <v>1</v>
      </c>
      <c r="B32" s="12" t="s">
        <v>1403</v>
      </c>
      <c r="C32" s="12" t="s">
        <v>1122</v>
      </c>
      <c r="D32" s="36" t="s">
        <v>69</v>
      </c>
      <c r="E32" s="62" t="s">
        <v>1727</v>
      </c>
      <c r="F32" s="21" t="s">
        <v>1595</v>
      </c>
      <c r="G32" s="37" t="s">
        <v>1</v>
      </c>
      <c r="H32" s="21">
        <v>0</v>
      </c>
      <c r="I32" s="16" t="s">
        <v>10</v>
      </c>
      <c r="J32" s="57" t="s">
        <v>1593</v>
      </c>
      <c r="K32" s="57"/>
      <c r="L32" s="57"/>
    </row>
    <row r="33" spans="1:12" ht="32">
      <c r="A33" s="26">
        <v>1</v>
      </c>
      <c r="B33" s="12" t="s">
        <v>1403</v>
      </c>
      <c r="C33" s="12" t="s">
        <v>1122</v>
      </c>
      <c r="D33" s="36" t="s">
        <v>1211</v>
      </c>
      <c r="E33" s="62" t="s">
        <v>1728</v>
      </c>
      <c r="F33" s="21" t="s">
        <v>1212</v>
      </c>
      <c r="G33" s="37" t="s">
        <v>1592</v>
      </c>
      <c r="H33" s="21">
        <v>0</v>
      </c>
      <c r="I33" s="16" t="s">
        <v>10</v>
      </c>
      <c r="J33" s="57" t="s">
        <v>1593</v>
      </c>
      <c r="K33" s="57"/>
      <c r="L33" s="57"/>
    </row>
    <row r="34" spans="1:12" ht="32">
      <c r="A34" s="26">
        <v>1</v>
      </c>
      <c r="B34" s="12" t="s">
        <v>1403</v>
      </c>
      <c r="C34" s="12" t="s">
        <v>1122</v>
      </c>
      <c r="D34" s="36" t="s">
        <v>1213</v>
      </c>
      <c r="E34" s="62" t="s">
        <v>1729</v>
      </c>
      <c r="F34" s="21" t="s">
        <v>1214</v>
      </c>
      <c r="G34" s="37" t="s">
        <v>1592</v>
      </c>
      <c r="H34" s="21">
        <v>3</v>
      </c>
      <c r="I34" s="16" t="s">
        <v>10</v>
      </c>
      <c r="J34" s="57" t="s">
        <v>1593</v>
      </c>
      <c r="K34" s="57"/>
      <c r="L34" s="57"/>
    </row>
    <row r="35" spans="1:12" ht="32">
      <c r="A35" s="26">
        <v>1</v>
      </c>
      <c r="B35" s="12" t="s">
        <v>1403</v>
      </c>
      <c r="C35" s="12" t="s">
        <v>1122</v>
      </c>
      <c r="D35" s="36" t="s">
        <v>1596</v>
      </c>
      <c r="E35" s="62" t="s">
        <v>1730</v>
      </c>
      <c r="F35" s="21" t="s">
        <v>1597</v>
      </c>
      <c r="G35" s="37" t="s">
        <v>1592</v>
      </c>
      <c r="H35" s="21">
        <v>0</v>
      </c>
      <c r="I35" s="16"/>
      <c r="J35" s="57" t="s">
        <v>1593</v>
      </c>
      <c r="K35" s="57"/>
      <c r="L35" s="57"/>
    </row>
    <row r="36" spans="1:12" ht="32">
      <c r="A36" s="26">
        <v>1</v>
      </c>
      <c r="B36" s="12" t="s">
        <v>1403</v>
      </c>
      <c r="C36" s="12" t="s">
        <v>1122</v>
      </c>
      <c r="D36" s="36" t="s">
        <v>1216</v>
      </c>
      <c r="E36" s="62" t="s">
        <v>1731</v>
      </c>
      <c r="F36" s="21" t="s">
        <v>1217</v>
      </c>
      <c r="G36" s="37" t="s">
        <v>1592</v>
      </c>
      <c r="H36" s="21">
        <v>0</v>
      </c>
      <c r="I36" s="16" t="s">
        <v>10</v>
      </c>
      <c r="J36" s="57" t="s">
        <v>1593</v>
      </c>
      <c r="K36" s="57"/>
      <c r="L36" s="57"/>
    </row>
    <row r="37" spans="1:12" ht="40">
      <c r="A37" s="26">
        <v>1</v>
      </c>
      <c r="B37" s="12" t="s">
        <v>1403</v>
      </c>
      <c r="C37" s="12" t="s">
        <v>1122</v>
      </c>
      <c r="D37" s="36" t="s">
        <v>1598</v>
      </c>
      <c r="E37" s="62" t="s">
        <v>1928</v>
      </c>
      <c r="F37" s="21" t="s">
        <v>1713</v>
      </c>
      <c r="G37" s="37" t="s">
        <v>10</v>
      </c>
      <c r="H37" s="21">
        <v>0</v>
      </c>
      <c r="I37" s="16" t="s">
        <v>10</v>
      </c>
      <c r="J37" s="57" t="s">
        <v>1593</v>
      </c>
      <c r="K37" s="57"/>
      <c r="L37" s="57"/>
    </row>
    <row r="38" spans="1:12" ht="32">
      <c r="A38" s="26">
        <v>1</v>
      </c>
      <c r="B38" s="12" t="s">
        <v>1403</v>
      </c>
      <c r="C38" s="12" t="s">
        <v>1122</v>
      </c>
      <c r="D38" s="36" t="s">
        <v>1218</v>
      </c>
      <c r="E38" s="62" t="s">
        <v>1704</v>
      </c>
      <c r="F38" s="21" t="s">
        <v>1219</v>
      </c>
      <c r="G38" s="37" t="s">
        <v>1</v>
      </c>
      <c r="H38" s="21">
        <v>0</v>
      </c>
      <c r="I38" s="16" t="s">
        <v>10</v>
      </c>
      <c r="J38" s="57" t="s">
        <v>1593</v>
      </c>
      <c r="K38" s="57"/>
      <c r="L38" s="57"/>
    </row>
    <row r="39" spans="1:12" ht="32">
      <c r="A39" s="26">
        <v>1</v>
      </c>
      <c r="B39" s="12" t="s">
        <v>1403</v>
      </c>
      <c r="C39" s="12" t="s">
        <v>1122</v>
      </c>
      <c r="D39" s="36" t="s">
        <v>68</v>
      </c>
      <c r="E39" s="62" t="s">
        <v>1732</v>
      </c>
      <c r="F39" s="21" t="s">
        <v>1599</v>
      </c>
      <c r="G39" s="37" t="s">
        <v>1</v>
      </c>
      <c r="H39" s="21">
        <v>0</v>
      </c>
      <c r="I39" s="16" t="s">
        <v>10</v>
      </c>
      <c r="J39" s="57" t="s">
        <v>1593</v>
      </c>
      <c r="K39" s="57"/>
      <c r="L39" s="57"/>
    </row>
    <row r="40" spans="1:12" ht="32">
      <c r="A40" s="26">
        <v>1</v>
      </c>
      <c r="B40" s="12" t="s">
        <v>1403</v>
      </c>
      <c r="C40" s="12" t="s">
        <v>1122</v>
      </c>
      <c r="D40" s="36" t="s">
        <v>1600</v>
      </c>
      <c r="E40" s="62" t="s">
        <v>1733</v>
      </c>
      <c r="F40" s="21" t="s">
        <v>1392</v>
      </c>
      <c r="G40" s="37" t="s">
        <v>1592</v>
      </c>
      <c r="H40" s="21">
        <v>0</v>
      </c>
      <c r="I40" s="16" t="s">
        <v>10</v>
      </c>
      <c r="J40" s="57" t="s">
        <v>1593</v>
      </c>
      <c r="K40" s="57"/>
      <c r="L40" s="57"/>
    </row>
    <row r="41" spans="1:12" ht="40">
      <c r="A41" s="26">
        <v>1</v>
      </c>
      <c r="B41" s="12" t="s">
        <v>1403</v>
      </c>
      <c r="C41" s="12" t="s">
        <v>1122</v>
      </c>
      <c r="D41" s="36" t="s">
        <v>1399</v>
      </c>
      <c r="E41" s="62" t="s">
        <v>1734</v>
      </c>
      <c r="F41" s="21" t="s">
        <v>1714</v>
      </c>
      <c r="G41" s="37" t="s">
        <v>10</v>
      </c>
      <c r="H41" s="21">
        <v>3</v>
      </c>
      <c r="I41" s="16" t="s">
        <v>10</v>
      </c>
      <c r="J41" s="57" t="s">
        <v>1593</v>
      </c>
      <c r="K41" s="57"/>
      <c r="L41" s="57"/>
    </row>
    <row r="42" spans="1:12" ht="32">
      <c r="A42" s="26">
        <v>1</v>
      </c>
      <c r="B42" s="12" t="s">
        <v>1403</v>
      </c>
      <c r="C42" s="12" t="s">
        <v>1122</v>
      </c>
      <c r="D42" s="36" t="s">
        <v>1395</v>
      </c>
      <c r="E42" s="62" t="s">
        <v>1929</v>
      </c>
      <c r="F42" s="21" t="s">
        <v>1215</v>
      </c>
      <c r="G42" s="37" t="s">
        <v>1592</v>
      </c>
      <c r="H42" s="21">
        <v>0</v>
      </c>
      <c r="I42" s="16" t="s">
        <v>10</v>
      </c>
      <c r="J42" s="57" t="s">
        <v>1593</v>
      </c>
      <c r="K42" s="57"/>
      <c r="L42" s="57"/>
    </row>
    <row r="43" spans="1:12" ht="32">
      <c r="A43" s="26">
        <v>1</v>
      </c>
      <c r="B43" s="12" t="s">
        <v>1403</v>
      </c>
      <c r="C43" s="12" t="s">
        <v>1122</v>
      </c>
      <c r="D43" s="36" t="s">
        <v>1685</v>
      </c>
      <c r="E43" s="62" t="s">
        <v>1735</v>
      </c>
      <c r="F43" s="21" t="s">
        <v>1705</v>
      </c>
      <c r="G43" s="37" t="s">
        <v>1592</v>
      </c>
      <c r="H43" s="21">
        <v>0</v>
      </c>
      <c r="I43" s="16" t="s">
        <v>10</v>
      </c>
      <c r="J43" s="57" t="s">
        <v>1593</v>
      </c>
      <c r="K43" s="57"/>
      <c r="L43" s="57"/>
    </row>
    <row r="44" spans="1:12" ht="32">
      <c r="A44" s="26">
        <v>1</v>
      </c>
      <c r="B44" s="12" t="s">
        <v>1403</v>
      </c>
      <c r="C44" s="12" t="s">
        <v>1122</v>
      </c>
      <c r="D44" s="36" t="s">
        <v>1601</v>
      </c>
      <c r="E44" s="62" t="s">
        <v>1735</v>
      </c>
      <c r="F44" s="21" t="s">
        <v>1602</v>
      </c>
      <c r="G44" s="37" t="s">
        <v>1592</v>
      </c>
      <c r="H44" s="21"/>
      <c r="I44" s="16"/>
      <c r="J44" s="57" t="s">
        <v>1593</v>
      </c>
      <c r="K44" s="57"/>
      <c r="L44" s="57"/>
    </row>
    <row r="45" spans="1:12" ht="32">
      <c r="A45" s="26">
        <v>1</v>
      </c>
      <c r="B45" s="12" t="s">
        <v>1403</v>
      </c>
      <c r="C45" s="12" t="s">
        <v>1122</v>
      </c>
      <c r="D45" s="36" t="s">
        <v>1603</v>
      </c>
      <c r="E45" s="62" t="s">
        <v>1736</v>
      </c>
      <c r="F45" s="21" t="s">
        <v>1604</v>
      </c>
      <c r="G45" s="37" t="s">
        <v>1592</v>
      </c>
      <c r="H45" s="21">
        <v>0</v>
      </c>
      <c r="I45" s="16"/>
      <c r="J45" s="57" t="s">
        <v>1593</v>
      </c>
      <c r="K45" s="57"/>
      <c r="L45" s="57"/>
    </row>
    <row r="46" spans="1:12" ht="60">
      <c r="A46" s="26">
        <v>1</v>
      </c>
      <c r="B46" s="12" t="s">
        <v>1403</v>
      </c>
      <c r="C46" s="12" t="s">
        <v>1122</v>
      </c>
      <c r="D46" s="36" t="s">
        <v>1605</v>
      </c>
      <c r="E46" s="62" t="s">
        <v>1737</v>
      </c>
      <c r="F46" s="21" t="s">
        <v>1715</v>
      </c>
      <c r="G46" s="37" t="s">
        <v>10</v>
      </c>
      <c r="H46" s="21">
        <v>2</v>
      </c>
      <c r="I46" s="16" t="s">
        <v>10</v>
      </c>
      <c r="J46" s="57" t="s">
        <v>1593</v>
      </c>
      <c r="K46" s="57"/>
      <c r="L46" s="57"/>
    </row>
    <row r="47" spans="1:12" ht="32">
      <c r="A47" s="26">
        <v>1</v>
      </c>
      <c r="B47" s="12" t="s">
        <v>1403</v>
      </c>
      <c r="C47" s="12" t="s">
        <v>1122</v>
      </c>
      <c r="D47" s="36" t="s">
        <v>1397</v>
      </c>
      <c r="E47" s="62" t="s">
        <v>1738</v>
      </c>
      <c r="F47" s="16" t="s">
        <v>1398</v>
      </c>
      <c r="G47" s="37" t="s">
        <v>10</v>
      </c>
      <c r="H47" s="21">
        <v>2</v>
      </c>
      <c r="I47" s="16" t="s">
        <v>10</v>
      </c>
      <c r="J47" s="57" t="s">
        <v>10</v>
      </c>
      <c r="K47" s="57"/>
      <c r="L47" s="57"/>
    </row>
    <row r="48" spans="1:12" ht="32">
      <c r="A48" s="26">
        <v>1</v>
      </c>
      <c r="B48" s="12" t="s">
        <v>1403</v>
      </c>
      <c r="C48" s="12" t="s">
        <v>1122</v>
      </c>
      <c r="D48" s="36" t="s">
        <v>1606</v>
      </c>
      <c r="E48" s="62" t="s">
        <v>1739</v>
      </c>
      <c r="F48" s="21" t="s">
        <v>1686</v>
      </c>
      <c r="G48" s="37" t="s">
        <v>1592</v>
      </c>
      <c r="H48" s="21">
        <v>3</v>
      </c>
      <c r="I48" s="16"/>
      <c r="J48" s="57" t="s">
        <v>1593</v>
      </c>
      <c r="K48" s="57"/>
      <c r="L48" s="57"/>
    </row>
    <row r="49" spans="1:12" ht="32">
      <c r="A49" s="26">
        <v>1</v>
      </c>
      <c r="B49" s="12" t="s">
        <v>1403</v>
      </c>
      <c r="C49" s="12" t="s">
        <v>1122</v>
      </c>
      <c r="D49" s="36" t="s">
        <v>1742</v>
      </c>
      <c r="E49" s="62" t="s">
        <v>1741</v>
      </c>
      <c r="F49" s="21" t="s">
        <v>1607</v>
      </c>
      <c r="G49" s="37" t="s">
        <v>1592</v>
      </c>
      <c r="H49" s="21">
        <v>0</v>
      </c>
      <c r="I49" s="16"/>
      <c r="J49" s="57" t="s">
        <v>1593</v>
      </c>
      <c r="K49" s="57"/>
      <c r="L49" s="57"/>
    </row>
    <row r="50" spans="1:12" ht="40">
      <c r="A50" s="26">
        <v>1</v>
      </c>
      <c r="B50" s="12" t="s">
        <v>1403</v>
      </c>
      <c r="C50" s="12" t="s">
        <v>1122</v>
      </c>
      <c r="D50" s="36" t="s">
        <v>1743</v>
      </c>
      <c r="E50" s="62" t="s">
        <v>1740</v>
      </c>
      <c r="F50" s="21" t="s">
        <v>1608</v>
      </c>
      <c r="G50" s="37" t="s">
        <v>1592</v>
      </c>
      <c r="H50" s="21">
        <v>0</v>
      </c>
      <c r="I50" s="16"/>
      <c r="J50" s="57" t="s">
        <v>1593</v>
      </c>
      <c r="K50" s="57"/>
      <c r="L50" s="57"/>
    </row>
    <row r="51" spans="1:12" ht="60">
      <c r="A51" s="26">
        <v>1</v>
      </c>
      <c r="B51" s="12" t="s">
        <v>1403</v>
      </c>
      <c r="C51" s="12" t="s">
        <v>1122</v>
      </c>
      <c r="D51" s="36" t="s">
        <v>1609</v>
      </c>
      <c r="E51" s="62" t="s">
        <v>1744</v>
      </c>
      <c r="F51" s="21" t="s">
        <v>1687</v>
      </c>
      <c r="G51" s="37" t="s">
        <v>1592</v>
      </c>
      <c r="H51" s="21">
        <v>0</v>
      </c>
      <c r="I51" s="16"/>
      <c r="J51" s="57" t="s">
        <v>1593</v>
      </c>
      <c r="K51" s="57"/>
      <c r="L51" s="57"/>
    </row>
    <row r="52" spans="1:12" ht="40">
      <c r="A52" s="26">
        <v>1</v>
      </c>
      <c r="B52" s="12" t="s">
        <v>1403</v>
      </c>
      <c r="C52" s="12" t="s">
        <v>1122</v>
      </c>
      <c r="D52" s="36" t="s">
        <v>1610</v>
      </c>
      <c r="E52" s="62" t="s">
        <v>1745</v>
      </c>
      <c r="F52" s="21" t="s">
        <v>1688</v>
      </c>
      <c r="G52" s="37" t="s">
        <v>1592</v>
      </c>
      <c r="H52" s="21">
        <v>0</v>
      </c>
      <c r="I52" s="16"/>
      <c r="J52" s="57" t="s">
        <v>1593</v>
      </c>
      <c r="K52" s="57"/>
      <c r="L52" s="57"/>
    </row>
    <row r="53" spans="1:12" ht="40">
      <c r="A53" s="26">
        <v>1</v>
      </c>
      <c r="B53" s="12" t="s">
        <v>1403</v>
      </c>
      <c r="C53" s="12" t="s">
        <v>1122</v>
      </c>
      <c r="D53" s="36" t="s">
        <v>1611</v>
      </c>
      <c r="E53" s="62" t="s">
        <v>1746</v>
      </c>
      <c r="F53" s="21" t="s">
        <v>1688</v>
      </c>
      <c r="G53" s="37" t="s">
        <v>1592</v>
      </c>
      <c r="H53" s="21">
        <v>0</v>
      </c>
      <c r="I53" s="16"/>
      <c r="J53" s="57" t="s">
        <v>1593</v>
      </c>
      <c r="K53" s="57"/>
      <c r="L53" s="57"/>
    </row>
    <row r="54" spans="1:12" ht="60">
      <c r="A54" s="26">
        <v>1</v>
      </c>
      <c r="B54" s="12" t="s">
        <v>1403</v>
      </c>
      <c r="C54" s="12" t="s">
        <v>1122</v>
      </c>
      <c r="D54" s="36" t="s">
        <v>1689</v>
      </c>
      <c r="E54" s="62" t="s">
        <v>1747</v>
      </c>
      <c r="F54" s="21" t="s">
        <v>1690</v>
      </c>
      <c r="G54" s="37" t="s">
        <v>1592</v>
      </c>
      <c r="H54" s="21">
        <v>0</v>
      </c>
      <c r="I54" s="16"/>
      <c r="J54" s="57" t="s">
        <v>1593</v>
      </c>
      <c r="K54" s="57"/>
      <c r="L54" s="57"/>
    </row>
    <row r="55" spans="1:12" ht="60">
      <c r="A55" s="26">
        <v>1</v>
      </c>
      <c r="B55" s="12" t="s">
        <v>1403</v>
      </c>
      <c r="C55" s="12" t="s">
        <v>1122</v>
      </c>
      <c r="D55" s="36" t="s">
        <v>1612</v>
      </c>
      <c r="E55" s="62" t="s">
        <v>1748</v>
      </c>
      <c r="F55" s="21" t="s">
        <v>1613</v>
      </c>
      <c r="G55" s="37" t="s">
        <v>10</v>
      </c>
      <c r="H55" s="21">
        <v>0</v>
      </c>
      <c r="I55" s="16"/>
      <c r="J55" s="57" t="s">
        <v>1593</v>
      </c>
      <c r="K55" s="57"/>
      <c r="L55" s="57"/>
    </row>
    <row r="56" spans="1:12" ht="60">
      <c r="A56" s="26">
        <v>1</v>
      </c>
      <c r="B56" s="12" t="s">
        <v>1403</v>
      </c>
      <c r="C56" s="12" t="s">
        <v>1122</v>
      </c>
      <c r="D56" s="36" t="s">
        <v>1614</v>
      </c>
      <c r="E56" s="62" t="s">
        <v>1749</v>
      </c>
      <c r="F56" s="21" t="s">
        <v>1615</v>
      </c>
      <c r="G56" s="37" t="s">
        <v>10</v>
      </c>
      <c r="H56" s="21">
        <v>2</v>
      </c>
      <c r="I56" s="16"/>
      <c r="J56" s="57" t="s">
        <v>1708</v>
      </c>
      <c r="K56" s="57"/>
      <c r="L56" s="57"/>
    </row>
    <row r="57" spans="1:12" ht="32">
      <c r="A57" s="26">
        <v>1</v>
      </c>
      <c r="B57" s="12" t="s">
        <v>1403</v>
      </c>
      <c r="C57" s="12" t="s">
        <v>1122</v>
      </c>
      <c r="D57" s="36" t="s">
        <v>1616</v>
      </c>
      <c r="E57" s="62" t="s">
        <v>1750</v>
      </c>
      <c r="F57" s="21" t="s">
        <v>1691</v>
      </c>
      <c r="G57" s="37" t="s">
        <v>1592</v>
      </c>
      <c r="H57" s="21">
        <v>2</v>
      </c>
      <c r="I57" s="16"/>
      <c r="J57" s="57" t="s">
        <v>1708</v>
      </c>
      <c r="K57" s="57"/>
      <c r="L57" s="57"/>
    </row>
    <row r="58" spans="1:12" ht="60">
      <c r="A58" s="26">
        <v>1</v>
      </c>
      <c r="B58" s="12" t="s">
        <v>1403</v>
      </c>
      <c r="C58" s="12" t="s">
        <v>1122</v>
      </c>
      <c r="D58" s="36" t="s">
        <v>1617</v>
      </c>
      <c r="E58" s="62" t="s">
        <v>1751</v>
      </c>
      <c r="F58" s="21" t="s">
        <v>1692</v>
      </c>
      <c r="G58" s="37" t="s">
        <v>1592</v>
      </c>
      <c r="H58" s="21">
        <v>2</v>
      </c>
      <c r="I58" s="16"/>
      <c r="J58" s="57" t="s">
        <v>1708</v>
      </c>
      <c r="K58" s="57"/>
      <c r="L58" s="57"/>
    </row>
    <row r="59" spans="1:12" ht="40">
      <c r="A59" s="26">
        <v>1</v>
      </c>
      <c r="B59" s="12" t="s">
        <v>1403</v>
      </c>
      <c r="C59" s="12" t="s">
        <v>1122</v>
      </c>
      <c r="D59" s="36" t="s">
        <v>1618</v>
      </c>
      <c r="E59" s="62" t="s">
        <v>1752</v>
      </c>
      <c r="F59" s="21" t="s">
        <v>1619</v>
      </c>
      <c r="G59" s="37" t="s">
        <v>1592</v>
      </c>
      <c r="H59" s="21">
        <v>3</v>
      </c>
      <c r="I59" s="16"/>
      <c r="J59" s="57" t="s">
        <v>1708</v>
      </c>
      <c r="K59" s="57"/>
      <c r="L59" s="57"/>
    </row>
    <row r="60" spans="1:12" ht="40">
      <c r="A60" s="26">
        <v>6</v>
      </c>
      <c r="B60" s="12" t="s">
        <v>1620</v>
      </c>
      <c r="C60" s="12" t="s">
        <v>1121</v>
      </c>
      <c r="D60" s="36" t="s">
        <v>1248</v>
      </c>
      <c r="E60" s="62" t="s">
        <v>1753</v>
      </c>
      <c r="F60" s="21" t="s">
        <v>1540</v>
      </c>
      <c r="G60" s="37" t="s">
        <v>1592</v>
      </c>
      <c r="H60" s="21">
        <v>0</v>
      </c>
      <c r="I60" s="16"/>
      <c r="J60" s="57" t="s">
        <v>1593</v>
      </c>
      <c r="K60" s="57"/>
      <c r="L60" s="57"/>
    </row>
    <row r="61" spans="1:12" ht="40">
      <c r="A61" s="26">
        <v>6</v>
      </c>
      <c r="B61" s="12" t="s">
        <v>1620</v>
      </c>
      <c r="C61" s="12" t="s">
        <v>1121</v>
      </c>
      <c r="D61" s="36" t="s">
        <v>1249</v>
      </c>
      <c r="E61" s="62" t="s">
        <v>1754</v>
      </c>
      <c r="F61" s="21" t="s">
        <v>1539</v>
      </c>
      <c r="G61" s="37" t="s">
        <v>1592</v>
      </c>
      <c r="H61" s="21">
        <v>0</v>
      </c>
      <c r="I61" s="16"/>
      <c r="J61" s="57" t="s">
        <v>1593</v>
      </c>
      <c r="K61" s="57"/>
      <c r="L61" s="57"/>
    </row>
    <row r="62" spans="1:12" ht="40">
      <c r="A62" s="26">
        <v>6</v>
      </c>
      <c r="B62" s="12" t="s">
        <v>1620</v>
      </c>
      <c r="C62" s="12" t="s">
        <v>1121</v>
      </c>
      <c r="D62" s="36" t="s">
        <v>1250</v>
      </c>
      <c r="E62" s="62" t="s">
        <v>1755</v>
      </c>
      <c r="F62" s="21" t="s">
        <v>1541</v>
      </c>
      <c r="G62" s="37" t="s">
        <v>1592</v>
      </c>
      <c r="H62" s="21">
        <v>0</v>
      </c>
      <c r="I62" s="16" t="s">
        <v>10</v>
      </c>
      <c r="J62" s="57" t="s">
        <v>1593</v>
      </c>
      <c r="K62" s="57"/>
      <c r="L62" s="57"/>
    </row>
    <row r="63" spans="1:12" ht="32">
      <c r="A63" s="26">
        <v>6</v>
      </c>
      <c r="B63" s="12" t="s">
        <v>1620</v>
      </c>
      <c r="C63" s="12" t="s">
        <v>1121</v>
      </c>
      <c r="D63" s="36" t="s">
        <v>19</v>
      </c>
      <c r="E63" s="62" t="s">
        <v>1756</v>
      </c>
      <c r="F63" s="21" t="s">
        <v>1251</v>
      </c>
      <c r="G63" s="37" t="s">
        <v>1592</v>
      </c>
      <c r="H63" s="21">
        <v>0</v>
      </c>
      <c r="I63" s="16" t="s">
        <v>10</v>
      </c>
      <c r="J63" s="57" t="s">
        <v>1593</v>
      </c>
      <c r="K63" s="57"/>
      <c r="L63" s="57"/>
    </row>
    <row r="64" spans="1:12" ht="40">
      <c r="A64" s="26">
        <v>6</v>
      </c>
      <c r="B64" s="12" t="s">
        <v>1620</v>
      </c>
      <c r="C64" s="12" t="s">
        <v>1121</v>
      </c>
      <c r="D64" s="36" t="s">
        <v>20</v>
      </c>
      <c r="E64" s="62" t="s">
        <v>1757</v>
      </c>
      <c r="F64" s="21" t="s">
        <v>1252</v>
      </c>
      <c r="G64" s="37" t="s">
        <v>1592</v>
      </c>
      <c r="H64" s="21">
        <v>4</v>
      </c>
      <c r="I64" s="16" t="s">
        <v>10</v>
      </c>
      <c r="J64" s="57" t="s">
        <v>1593</v>
      </c>
      <c r="K64" s="57"/>
      <c r="L64" s="57"/>
    </row>
    <row r="65" spans="1:12" ht="40">
      <c r="A65" s="26">
        <v>6</v>
      </c>
      <c r="B65" s="12" t="s">
        <v>1620</v>
      </c>
      <c r="C65" s="12" t="s">
        <v>1121</v>
      </c>
      <c r="D65" s="36" t="s">
        <v>1253</v>
      </c>
      <c r="E65" s="62" t="s">
        <v>1758</v>
      </c>
      <c r="F65" s="21" t="s">
        <v>1621</v>
      </c>
      <c r="G65" s="37" t="s">
        <v>1592</v>
      </c>
      <c r="H65" s="21">
        <v>0</v>
      </c>
      <c r="I65" s="16" t="s">
        <v>10</v>
      </c>
      <c r="J65" s="57" t="s">
        <v>1593</v>
      </c>
      <c r="K65" s="57"/>
      <c r="L65" s="57"/>
    </row>
    <row r="66" spans="1:12" ht="40">
      <c r="A66" s="26">
        <v>6</v>
      </c>
      <c r="B66" s="12" t="s">
        <v>1620</v>
      </c>
      <c r="C66" s="12" t="s">
        <v>1121</v>
      </c>
      <c r="D66" s="36" t="s">
        <v>21</v>
      </c>
      <c r="E66" s="62" t="s">
        <v>1759</v>
      </c>
      <c r="F66" s="21" t="s">
        <v>1254</v>
      </c>
      <c r="G66" s="37" t="s">
        <v>1592</v>
      </c>
      <c r="H66" s="21">
        <v>0</v>
      </c>
      <c r="I66" s="16" t="s">
        <v>10</v>
      </c>
      <c r="J66" s="57" t="s">
        <v>1593</v>
      </c>
      <c r="K66" s="57"/>
      <c r="L66" s="57"/>
    </row>
    <row r="67" spans="1:12" ht="40">
      <c r="A67" s="26">
        <v>6</v>
      </c>
      <c r="B67" s="12" t="s">
        <v>1620</v>
      </c>
      <c r="C67" s="12" t="s">
        <v>1121</v>
      </c>
      <c r="D67" s="36" t="s">
        <v>22</v>
      </c>
      <c r="E67" s="64" t="s">
        <v>1760</v>
      </c>
      <c r="F67" s="21" t="s">
        <v>1255</v>
      </c>
      <c r="G67" s="37" t="s">
        <v>1592</v>
      </c>
      <c r="H67" s="21">
        <v>3</v>
      </c>
      <c r="I67" s="16" t="s">
        <v>10</v>
      </c>
      <c r="J67" s="57" t="s">
        <v>1593</v>
      </c>
      <c r="K67" s="57"/>
      <c r="L67" s="57"/>
    </row>
    <row r="68" spans="1:12" ht="32">
      <c r="A68" s="26">
        <v>8</v>
      </c>
      <c r="B68" s="12" t="s">
        <v>1622</v>
      </c>
      <c r="C68" s="12" t="s">
        <v>1128</v>
      </c>
      <c r="D68" s="36" t="s">
        <v>1256</v>
      </c>
      <c r="E68" s="62" t="s">
        <v>1761</v>
      </c>
      <c r="F68" s="21" t="s">
        <v>1257</v>
      </c>
      <c r="G68" s="37" t="s">
        <v>10</v>
      </c>
      <c r="H68" s="21">
        <v>0</v>
      </c>
      <c r="I68" s="16" t="s">
        <v>10</v>
      </c>
      <c r="J68" s="57" t="s">
        <v>1706</v>
      </c>
      <c r="K68" s="57"/>
      <c r="L68" s="57"/>
    </row>
    <row r="69" spans="1:12" ht="32">
      <c r="A69" s="26">
        <v>8</v>
      </c>
      <c r="B69" s="12" t="s">
        <v>1622</v>
      </c>
      <c r="C69" s="12" t="s">
        <v>1128</v>
      </c>
      <c r="D69" s="36" t="s">
        <v>1222</v>
      </c>
      <c r="E69" s="62" t="s">
        <v>1762</v>
      </c>
      <c r="F69" s="21" t="s">
        <v>1623</v>
      </c>
      <c r="G69" s="37" t="s">
        <v>10</v>
      </c>
      <c r="H69" s="21">
        <v>0</v>
      </c>
      <c r="I69" s="16" t="s">
        <v>10</v>
      </c>
      <c r="J69" s="57" t="s">
        <v>1593</v>
      </c>
      <c r="K69" s="57"/>
      <c r="L69" s="57"/>
    </row>
    <row r="70" spans="1:12" ht="40">
      <c r="A70" s="26">
        <v>8</v>
      </c>
      <c r="B70" s="12" t="s">
        <v>1622</v>
      </c>
      <c r="C70" s="12" t="s">
        <v>1128</v>
      </c>
      <c r="D70" s="36" t="s">
        <v>1258</v>
      </c>
      <c r="E70" s="62" t="s">
        <v>1763</v>
      </c>
      <c r="F70" s="21" t="s">
        <v>1441</v>
      </c>
      <c r="G70" s="37" t="s">
        <v>10</v>
      </c>
      <c r="H70" s="21">
        <v>0</v>
      </c>
      <c r="I70" s="16" t="s">
        <v>10</v>
      </c>
      <c r="J70" s="57" t="s">
        <v>1593</v>
      </c>
      <c r="K70" s="57"/>
      <c r="L70" s="57"/>
    </row>
    <row r="71" spans="1:12" ht="32">
      <c r="A71" s="26">
        <v>8</v>
      </c>
      <c r="B71" s="12" t="s">
        <v>1622</v>
      </c>
      <c r="C71" s="12" t="s">
        <v>1128</v>
      </c>
      <c r="D71" s="36" t="s">
        <v>1259</v>
      </c>
      <c r="E71" s="62" t="s">
        <v>1764</v>
      </c>
      <c r="F71" s="21" t="s">
        <v>1442</v>
      </c>
      <c r="G71" s="37" t="s">
        <v>1624</v>
      </c>
      <c r="H71" s="21">
        <v>0</v>
      </c>
      <c r="I71" s="16" t="s">
        <v>10</v>
      </c>
      <c r="J71" s="57"/>
      <c r="K71" s="57"/>
      <c r="L71" s="57"/>
    </row>
    <row r="72" spans="1:12" ht="32">
      <c r="A72" s="26">
        <v>8</v>
      </c>
      <c r="B72" s="12" t="s">
        <v>1622</v>
      </c>
      <c r="C72" s="12" t="s">
        <v>1128</v>
      </c>
      <c r="D72" s="36" t="s">
        <v>1260</v>
      </c>
      <c r="E72" s="62" t="s">
        <v>1765</v>
      </c>
      <c r="F72" s="21" t="s">
        <v>1261</v>
      </c>
      <c r="G72" s="37" t="s">
        <v>1592</v>
      </c>
      <c r="H72" s="21">
        <v>0</v>
      </c>
      <c r="I72" s="16"/>
      <c r="J72" s="57" t="s">
        <v>1593</v>
      </c>
      <c r="K72" s="57"/>
      <c r="L72" s="57"/>
    </row>
    <row r="73" spans="1:12" ht="32">
      <c r="A73" s="26">
        <v>8</v>
      </c>
      <c r="B73" s="12" t="s">
        <v>1622</v>
      </c>
      <c r="C73" s="12" t="s">
        <v>1128</v>
      </c>
      <c r="D73" s="36" t="s">
        <v>1263</v>
      </c>
      <c r="E73" s="62" t="s">
        <v>1766</v>
      </c>
      <c r="F73" s="21" t="s">
        <v>1264</v>
      </c>
      <c r="G73" s="37" t="s">
        <v>1592</v>
      </c>
      <c r="H73" s="21">
        <v>0</v>
      </c>
      <c r="I73" s="16" t="s">
        <v>10</v>
      </c>
      <c r="J73" s="57" t="s">
        <v>1593</v>
      </c>
      <c r="K73" s="57"/>
      <c r="L73" s="57"/>
    </row>
    <row r="74" spans="1:12" ht="32">
      <c r="A74" s="26">
        <v>8</v>
      </c>
      <c r="B74" s="12" t="s">
        <v>1622</v>
      </c>
      <c r="C74" s="12" t="s">
        <v>1128</v>
      </c>
      <c r="D74" s="36" t="s">
        <v>1265</v>
      </c>
      <c r="E74" s="62" t="s">
        <v>1767</v>
      </c>
      <c r="F74" s="21" t="s">
        <v>1266</v>
      </c>
      <c r="G74" s="37" t="s">
        <v>1592</v>
      </c>
      <c r="H74" s="21">
        <v>0</v>
      </c>
      <c r="I74" s="16" t="s">
        <v>10</v>
      </c>
      <c r="J74" s="57"/>
      <c r="K74" s="57"/>
      <c r="L74" s="57"/>
    </row>
    <row r="75" spans="1:12" ht="32">
      <c r="A75" s="26">
        <v>8</v>
      </c>
      <c r="B75" s="12" t="s">
        <v>1622</v>
      </c>
      <c r="C75" s="12" t="s">
        <v>1128</v>
      </c>
      <c r="D75" s="36" t="s">
        <v>1267</v>
      </c>
      <c r="E75" s="62" t="s">
        <v>1768</v>
      </c>
      <c r="F75" s="21" t="s">
        <v>1268</v>
      </c>
      <c r="G75" s="37" t="s">
        <v>1592</v>
      </c>
      <c r="H75" s="21">
        <v>0</v>
      </c>
      <c r="I75" s="16" t="s">
        <v>10</v>
      </c>
      <c r="J75" s="57" t="s">
        <v>1593</v>
      </c>
      <c r="K75" s="57"/>
      <c r="L75" s="57"/>
    </row>
    <row r="76" spans="1:12" ht="32">
      <c r="A76" s="26">
        <v>8</v>
      </c>
      <c r="B76" s="12" t="s">
        <v>1622</v>
      </c>
      <c r="C76" s="12" t="s">
        <v>1128</v>
      </c>
      <c r="D76" s="36" t="s">
        <v>1269</v>
      </c>
      <c r="E76" s="62" t="s">
        <v>1769</v>
      </c>
      <c r="F76" s="21" t="s">
        <v>1270</v>
      </c>
      <c r="G76" s="37" t="s">
        <v>1592</v>
      </c>
      <c r="H76" s="21">
        <v>0</v>
      </c>
      <c r="I76" s="16"/>
      <c r="J76" s="57" t="s">
        <v>1593</v>
      </c>
      <c r="K76" s="57"/>
      <c r="L76" s="57"/>
    </row>
    <row r="77" spans="1:12" ht="32">
      <c r="A77" s="26">
        <v>8</v>
      </c>
      <c r="B77" s="12" t="s">
        <v>1622</v>
      </c>
      <c r="C77" s="12" t="s">
        <v>1128</v>
      </c>
      <c r="D77" s="36" t="s">
        <v>1272</v>
      </c>
      <c r="E77" s="62" t="s">
        <v>1770</v>
      </c>
      <c r="F77" s="21" t="s">
        <v>1273</v>
      </c>
      <c r="G77" s="37" t="s">
        <v>1592</v>
      </c>
      <c r="H77" s="21">
        <v>0</v>
      </c>
      <c r="I77" s="16" t="s">
        <v>10</v>
      </c>
      <c r="J77" s="57" t="s">
        <v>1593</v>
      </c>
      <c r="K77" s="57"/>
      <c r="L77" s="57"/>
    </row>
    <row r="78" spans="1:12" ht="32">
      <c r="A78" s="26">
        <v>8</v>
      </c>
      <c r="B78" s="12" t="s">
        <v>1622</v>
      </c>
      <c r="C78" s="12" t="s">
        <v>1128</v>
      </c>
      <c r="D78" s="36" t="s">
        <v>1277</v>
      </c>
      <c r="E78" s="62" t="s">
        <v>1771</v>
      </c>
      <c r="F78" s="21" t="s">
        <v>1278</v>
      </c>
      <c r="G78" s="37" t="s">
        <v>10</v>
      </c>
      <c r="H78" s="21">
        <v>0</v>
      </c>
      <c r="I78" s="16" t="s">
        <v>10</v>
      </c>
      <c r="J78" s="57" t="s">
        <v>1593</v>
      </c>
      <c r="K78" s="57"/>
      <c r="L78" s="57"/>
    </row>
    <row r="79" spans="1:12" ht="32">
      <c r="A79" s="26">
        <v>8</v>
      </c>
      <c r="B79" s="12" t="s">
        <v>1622</v>
      </c>
      <c r="C79" s="12" t="s">
        <v>1128</v>
      </c>
      <c r="D79" s="36" t="s">
        <v>1625</v>
      </c>
      <c r="E79" s="62" t="s">
        <v>1772</v>
      </c>
      <c r="F79" s="21" t="s">
        <v>1626</v>
      </c>
      <c r="G79" s="37" t="s">
        <v>1592</v>
      </c>
      <c r="H79" s="21">
        <v>0</v>
      </c>
      <c r="I79" s="16" t="s">
        <v>10</v>
      </c>
      <c r="J79" s="57" t="s">
        <v>1593</v>
      </c>
      <c r="K79" s="57"/>
      <c r="L79" s="57"/>
    </row>
    <row r="80" spans="1:12" ht="32">
      <c r="A80" s="26">
        <v>8</v>
      </c>
      <c r="B80" s="12" t="s">
        <v>1622</v>
      </c>
      <c r="C80" s="12" t="s">
        <v>1128</v>
      </c>
      <c r="D80" s="36" t="s">
        <v>54</v>
      </c>
      <c r="E80" s="62" t="s">
        <v>1773</v>
      </c>
      <c r="F80" s="21" t="s">
        <v>1282</v>
      </c>
      <c r="G80" s="37" t="s">
        <v>1592</v>
      </c>
      <c r="H80" s="21">
        <v>0</v>
      </c>
      <c r="I80" s="16" t="s">
        <v>10</v>
      </c>
      <c r="J80" s="57" t="s">
        <v>1593</v>
      </c>
      <c r="K80" s="57"/>
      <c r="L80" s="57"/>
    </row>
    <row r="81" spans="1:12" ht="32">
      <c r="A81" s="26">
        <v>8</v>
      </c>
      <c r="B81" s="12" t="s">
        <v>1622</v>
      </c>
      <c r="C81" s="12" t="s">
        <v>1128</v>
      </c>
      <c r="D81" s="36" t="s">
        <v>1628</v>
      </c>
      <c r="E81" s="62" t="s">
        <v>1774</v>
      </c>
      <c r="F81" s="21" t="s">
        <v>1629</v>
      </c>
      <c r="G81" s="37" t="s">
        <v>1627</v>
      </c>
      <c r="H81" s="21">
        <v>0</v>
      </c>
      <c r="I81" s="16" t="s">
        <v>10</v>
      </c>
      <c r="J81" s="57" t="s">
        <v>1593</v>
      </c>
      <c r="K81" s="57"/>
      <c r="L81" s="57"/>
    </row>
    <row r="82" spans="1:12" ht="40">
      <c r="A82" s="26">
        <v>8</v>
      </c>
      <c r="B82" s="12" t="s">
        <v>1622</v>
      </c>
      <c r="C82" s="12" t="s">
        <v>1128</v>
      </c>
      <c r="D82" s="36" t="s">
        <v>1630</v>
      </c>
      <c r="E82" s="62" t="s">
        <v>1775</v>
      </c>
      <c r="F82" s="21" t="s">
        <v>1693</v>
      </c>
      <c r="G82" s="37" t="s">
        <v>1592</v>
      </c>
      <c r="H82" s="21">
        <v>0</v>
      </c>
      <c r="I82" s="16"/>
      <c r="J82" s="57" t="s">
        <v>1593</v>
      </c>
      <c r="K82" s="57"/>
      <c r="L82" s="57"/>
    </row>
    <row r="83" spans="1:12" ht="40">
      <c r="A83" s="26">
        <v>8</v>
      </c>
      <c r="B83" s="12" t="s">
        <v>1622</v>
      </c>
      <c r="C83" s="12" t="s">
        <v>1128</v>
      </c>
      <c r="D83" s="36" t="s">
        <v>1631</v>
      </c>
      <c r="E83" s="64" t="s">
        <v>1776</v>
      </c>
      <c r="F83" s="21" t="s">
        <v>1694</v>
      </c>
      <c r="G83" s="37" t="s">
        <v>10</v>
      </c>
      <c r="H83" s="21">
        <v>4</v>
      </c>
      <c r="I83" s="16"/>
      <c r="J83" s="57" t="s">
        <v>1706</v>
      </c>
      <c r="K83" s="57"/>
      <c r="L83" s="57"/>
    </row>
    <row r="84" spans="1:12" ht="32">
      <c r="A84" s="26">
        <v>8</v>
      </c>
      <c r="B84" s="12" t="s">
        <v>1622</v>
      </c>
      <c r="C84" s="12" t="s">
        <v>1128</v>
      </c>
      <c r="D84" s="36" t="s">
        <v>1632</v>
      </c>
      <c r="E84" s="62" t="s">
        <v>1777</v>
      </c>
      <c r="F84" s="21" t="s">
        <v>1695</v>
      </c>
      <c r="G84" s="37" t="s">
        <v>1592</v>
      </c>
      <c r="H84" s="21"/>
      <c r="I84" s="16"/>
      <c r="J84" s="57" t="s">
        <v>1593</v>
      </c>
      <c r="K84" s="57"/>
      <c r="L84" s="57"/>
    </row>
    <row r="85" spans="1:12" ht="32">
      <c r="A85" s="26">
        <v>8</v>
      </c>
      <c r="B85" s="12" t="s">
        <v>1622</v>
      </c>
      <c r="C85" s="12" t="s">
        <v>1128</v>
      </c>
      <c r="D85" s="36" t="s">
        <v>1284</v>
      </c>
      <c r="E85" s="62" t="s">
        <v>1778</v>
      </c>
      <c r="F85" s="21" t="s">
        <v>1285</v>
      </c>
      <c r="G85" s="37" t="s">
        <v>1592</v>
      </c>
      <c r="H85" s="21">
        <v>0</v>
      </c>
      <c r="I85" s="16" t="s">
        <v>10</v>
      </c>
      <c r="J85" s="57" t="s">
        <v>1593</v>
      </c>
      <c r="K85" s="57"/>
      <c r="L85" s="57"/>
    </row>
    <row r="86" spans="1:12" ht="32">
      <c r="A86" s="26">
        <v>8</v>
      </c>
      <c r="B86" s="12" t="s">
        <v>1622</v>
      </c>
      <c r="C86" s="12" t="s">
        <v>1128</v>
      </c>
      <c r="D86" s="36" t="s">
        <v>1288</v>
      </c>
      <c r="E86" s="62" t="s">
        <v>1779</v>
      </c>
      <c r="F86" s="21" t="s">
        <v>1289</v>
      </c>
      <c r="G86" s="37" t="s">
        <v>1592</v>
      </c>
      <c r="H86" s="21">
        <v>0</v>
      </c>
      <c r="I86" s="16" t="s">
        <v>10</v>
      </c>
      <c r="J86" s="57" t="s">
        <v>1593</v>
      </c>
      <c r="K86" s="57"/>
      <c r="L86" s="57"/>
    </row>
    <row r="87" spans="1:12" ht="32">
      <c r="A87" s="26">
        <v>8</v>
      </c>
      <c r="B87" s="12" t="s">
        <v>1622</v>
      </c>
      <c r="C87" s="12" t="s">
        <v>1128</v>
      </c>
      <c r="D87" s="36" t="s">
        <v>1290</v>
      </c>
      <c r="E87" s="62" t="s">
        <v>1780</v>
      </c>
      <c r="F87" s="21" t="s">
        <v>1291</v>
      </c>
      <c r="G87" s="37" t="s">
        <v>1592</v>
      </c>
      <c r="H87" s="21">
        <v>0</v>
      </c>
      <c r="I87" s="16" t="s">
        <v>10</v>
      </c>
      <c r="J87" s="57" t="s">
        <v>1593</v>
      </c>
      <c r="K87" s="57"/>
      <c r="L87" s="57"/>
    </row>
    <row r="88" spans="1:12" ht="32">
      <c r="A88" s="26">
        <v>8</v>
      </c>
      <c r="B88" s="12" t="s">
        <v>1622</v>
      </c>
      <c r="C88" s="12" t="s">
        <v>1128</v>
      </c>
      <c r="D88" s="36" t="s">
        <v>1292</v>
      </c>
      <c r="E88" s="62" t="s">
        <v>1781</v>
      </c>
      <c r="F88" s="21" t="s">
        <v>1293</v>
      </c>
      <c r="G88" s="37" t="s">
        <v>1592</v>
      </c>
      <c r="H88" s="21">
        <v>0</v>
      </c>
      <c r="I88" s="16" t="s">
        <v>10</v>
      </c>
      <c r="J88" s="57" t="s">
        <v>1593</v>
      </c>
      <c r="K88" s="57"/>
      <c r="L88" s="57"/>
    </row>
    <row r="89" spans="1:12" ht="40">
      <c r="A89" s="26">
        <v>8</v>
      </c>
      <c r="B89" s="12" t="s">
        <v>1622</v>
      </c>
      <c r="C89" s="12" t="s">
        <v>1128</v>
      </c>
      <c r="D89" s="36" t="s">
        <v>53</v>
      </c>
      <c r="E89" s="62" t="s">
        <v>1782</v>
      </c>
      <c r="F89" s="21" t="s">
        <v>1440</v>
      </c>
      <c r="G89" s="37" t="s">
        <v>1592</v>
      </c>
      <c r="H89" s="21">
        <v>3</v>
      </c>
      <c r="I89" s="16"/>
      <c r="J89" s="57" t="s">
        <v>1593</v>
      </c>
      <c r="K89" s="57"/>
      <c r="L89" s="57"/>
    </row>
    <row r="90" spans="1:12" ht="32">
      <c r="A90" s="26">
        <v>8</v>
      </c>
      <c r="B90" s="12" t="s">
        <v>1622</v>
      </c>
      <c r="C90" s="12" t="s">
        <v>1128</v>
      </c>
      <c r="D90" s="36" t="s">
        <v>1294</v>
      </c>
      <c r="E90" s="62" t="s">
        <v>1716</v>
      </c>
      <c r="F90" s="21" t="s">
        <v>1295</v>
      </c>
      <c r="G90" s="37" t="s">
        <v>1592</v>
      </c>
      <c r="H90" s="21">
        <v>0</v>
      </c>
      <c r="I90" s="16"/>
      <c r="J90" s="57" t="s">
        <v>1593</v>
      </c>
      <c r="K90" s="57"/>
      <c r="L90" s="57"/>
    </row>
    <row r="91" spans="1:12" ht="32">
      <c r="A91" s="26">
        <v>8</v>
      </c>
      <c r="B91" s="12" t="s">
        <v>1622</v>
      </c>
      <c r="C91" s="12" t="s">
        <v>1128</v>
      </c>
      <c r="D91" s="36" t="s">
        <v>1297</v>
      </c>
      <c r="E91" s="62" t="s">
        <v>1783</v>
      </c>
      <c r="F91" s="21" t="s">
        <v>1298</v>
      </c>
      <c r="G91" s="37" t="s">
        <v>10</v>
      </c>
      <c r="H91" s="21">
        <v>0</v>
      </c>
      <c r="I91" s="16" t="s">
        <v>10</v>
      </c>
      <c r="J91" s="57" t="s">
        <v>1593</v>
      </c>
      <c r="K91" s="57"/>
      <c r="L91" s="57"/>
    </row>
    <row r="92" spans="1:12" ht="40">
      <c r="A92" s="26">
        <v>8</v>
      </c>
      <c r="B92" s="12" t="s">
        <v>1622</v>
      </c>
      <c r="C92" s="12" t="s">
        <v>1128</v>
      </c>
      <c r="D92" s="36" t="s">
        <v>1633</v>
      </c>
      <c r="E92" s="62" t="s">
        <v>1784</v>
      </c>
      <c r="F92" s="21" t="s">
        <v>1696</v>
      </c>
      <c r="G92" s="37" t="s">
        <v>10</v>
      </c>
      <c r="H92" s="21">
        <v>0</v>
      </c>
      <c r="I92" s="16" t="s">
        <v>10</v>
      </c>
      <c r="J92" s="57" t="s">
        <v>1593</v>
      </c>
      <c r="K92" s="57"/>
      <c r="L92" s="57"/>
    </row>
    <row r="93" spans="1:12" ht="40">
      <c r="A93" s="26">
        <v>8</v>
      </c>
      <c r="B93" s="12" t="s">
        <v>1622</v>
      </c>
      <c r="C93" s="12" t="s">
        <v>1128</v>
      </c>
      <c r="D93" s="36" t="s">
        <v>1634</v>
      </c>
      <c r="E93" s="62" t="s">
        <v>1785</v>
      </c>
      <c r="F93" s="21" t="s">
        <v>1693</v>
      </c>
      <c r="G93" s="37" t="s">
        <v>1592</v>
      </c>
      <c r="H93" s="21">
        <v>3</v>
      </c>
      <c r="I93" s="16" t="s">
        <v>10</v>
      </c>
      <c r="J93" s="57" t="s">
        <v>1593</v>
      </c>
      <c r="K93" s="57"/>
      <c r="L93" s="57"/>
    </row>
    <row r="94" spans="1:12" ht="40">
      <c r="A94" s="26">
        <v>8</v>
      </c>
      <c r="B94" s="12" t="s">
        <v>1622</v>
      </c>
      <c r="C94" s="12" t="s">
        <v>1128</v>
      </c>
      <c r="D94" s="36" t="s">
        <v>1635</v>
      </c>
      <c r="E94" s="62" t="s">
        <v>1786</v>
      </c>
      <c r="F94" s="21" t="s">
        <v>1696</v>
      </c>
      <c r="G94" s="37" t="s">
        <v>1592</v>
      </c>
      <c r="H94" s="21">
        <v>0</v>
      </c>
      <c r="I94" s="16" t="s">
        <v>10</v>
      </c>
      <c r="J94" s="57" t="s">
        <v>1593</v>
      </c>
      <c r="K94" s="57"/>
      <c r="L94" s="57"/>
    </row>
    <row r="95" spans="1:12" ht="40">
      <c r="A95" s="26">
        <v>2</v>
      </c>
      <c r="B95" s="12" t="s">
        <v>1404</v>
      </c>
      <c r="C95" s="12" t="s">
        <v>1521</v>
      </c>
      <c r="D95" s="36" t="s">
        <v>1138</v>
      </c>
      <c r="E95" s="62" t="s">
        <v>1787</v>
      </c>
      <c r="F95" s="21" t="s">
        <v>1139</v>
      </c>
      <c r="G95" s="37"/>
      <c r="H95" s="21">
        <v>5</v>
      </c>
      <c r="I95" s="16" t="s">
        <v>10</v>
      </c>
      <c r="J95" s="57" t="s">
        <v>1706</v>
      </c>
      <c r="K95" s="57"/>
      <c r="L95" s="57"/>
    </row>
    <row r="96" spans="1:12" ht="40">
      <c r="A96" s="26">
        <v>2</v>
      </c>
      <c r="B96" s="12" t="s">
        <v>1404</v>
      </c>
      <c r="C96" s="12" t="s">
        <v>1521</v>
      </c>
      <c r="D96" s="36" t="s">
        <v>1140</v>
      </c>
      <c r="E96" s="62" t="s">
        <v>1788</v>
      </c>
      <c r="F96" s="21" t="s">
        <v>1141</v>
      </c>
      <c r="G96" s="37"/>
      <c r="H96" s="21">
        <v>5</v>
      </c>
      <c r="I96" s="16" t="s">
        <v>10</v>
      </c>
      <c r="J96" s="57" t="s">
        <v>1706</v>
      </c>
      <c r="K96" s="57"/>
      <c r="L96" s="57"/>
    </row>
    <row r="97" spans="1:12" ht="32">
      <c r="A97" s="26">
        <v>2</v>
      </c>
      <c r="B97" s="12" t="s">
        <v>1404</v>
      </c>
      <c r="C97" s="12" t="s">
        <v>1521</v>
      </c>
      <c r="D97" s="36" t="s">
        <v>13</v>
      </c>
      <c r="E97" s="62" t="s">
        <v>1789</v>
      </c>
      <c r="F97" s="21" t="s">
        <v>1142</v>
      </c>
      <c r="G97" s="37"/>
      <c r="H97" s="21">
        <v>5</v>
      </c>
      <c r="I97" s="16" t="s">
        <v>10</v>
      </c>
      <c r="J97" s="57" t="s">
        <v>1706</v>
      </c>
      <c r="K97" s="57"/>
      <c r="L97" s="57"/>
    </row>
    <row r="98" spans="1:12" ht="40">
      <c r="A98" s="26">
        <v>2</v>
      </c>
      <c r="B98" s="12" t="s">
        <v>1404</v>
      </c>
      <c r="C98" s="12" t="s">
        <v>1521</v>
      </c>
      <c r="D98" s="36" t="s">
        <v>1143</v>
      </c>
      <c r="E98" s="62" t="s">
        <v>1790</v>
      </c>
      <c r="F98" s="21" t="s">
        <v>1144</v>
      </c>
      <c r="G98" s="37"/>
      <c r="H98" s="21">
        <v>5</v>
      </c>
      <c r="I98" s="16" t="s">
        <v>10</v>
      </c>
      <c r="J98" s="57" t="s">
        <v>1706</v>
      </c>
      <c r="K98" s="57"/>
      <c r="L98" s="57"/>
    </row>
    <row r="99" spans="1:12" ht="32">
      <c r="A99" s="26">
        <v>2</v>
      </c>
      <c r="B99" s="12" t="s">
        <v>1404</v>
      </c>
      <c r="C99" s="12" t="s">
        <v>1521</v>
      </c>
      <c r="D99" s="36" t="s">
        <v>1314</v>
      </c>
      <c r="E99" s="62" t="s">
        <v>1791</v>
      </c>
      <c r="F99" s="21" t="s">
        <v>1636</v>
      </c>
      <c r="G99" s="37"/>
      <c r="H99" s="21">
        <v>2</v>
      </c>
      <c r="I99" s="16" t="s">
        <v>10</v>
      </c>
      <c r="J99" s="57" t="s">
        <v>1706</v>
      </c>
      <c r="K99" s="57"/>
      <c r="L99" s="57"/>
    </row>
    <row r="100" spans="1:12" ht="32">
      <c r="A100" s="26">
        <v>2</v>
      </c>
      <c r="B100" s="12" t="s">
        <v>1404</v>
      </c>
      <c r="C100" s="12" t="s">
        <v>1521</v>
      </c>
      <c r="D100" s="36" t="s">
        <v>15</v>
      </c>
      <c r="E100" s="62" t="s">
        <v>1792</v>
      </c>
      <c r="F100" s="21" t="s">
        <v>1145</v>
      </c>
      <c r="G100" s="37" t="s">
        <v>1592</v>
      </c>
      <c r="H100" s="21">
        <v>0</v>
      </c>
      <c r="I100" s="16"/>
      <c r="J100" s="57" t="s">
        <v>1593</v>
      </c>
      <c r="K100" s="57"/>
      <c r="L100" s="57"/>
    </row>
    <row r="101" spans="1:12" ht="40">
      <c r="A101" s="26">
        <v>2</v>
      </c>
      <c r="B101" s="12" t="s">
        <v>1404</v>
      </c>
      <c r="C101" s="12" t="s">
        <v>1521</v>
      </c>
      <c r="D101" s="36" t="s">
        <v>1637</v>
      </c>
      <c r="E101" s="62" t="s">
        <v>1793</v>
      </c>
      <c r="F101" s="21" t="s">
        <v>1638</v>
      </c>
      <c r="G101" s="37"/>
      <c r="H101" s="21">
        <v>0</v>
      </c>
      <c r="I101" s="16"/>
      <c r="J101" s="57" t="s">
        <v>1706</v>
      </c>
      <c r="K101" s="57"/>
      <c r="L101" s="57"/>
    </row>
    <row r="102" spans="1:12" ht="40">
      <c r="A102" s="26">
        <v>2</v>
      </c>
      <c r="B102" s="12" t="s">
        <v>1404</v>
      </c>
      <c r="C102" s="12" t="s">
        <v>1521</v>
      </c>
      <c r="D102" s="36" t="s">
        <v>1379</v>
      </c>
      <c r="E102" s="62" t="s">
        <v>1794</v>
      </c>
      <c r="F102" s="21" t="s">
        <v>1639</v>
      </c>
      <c r="G102" s="37"/>
      <c r="H102" s="21">
        <v>0</v>
      </c>
      <c r="I102" s="16"/>
      <c r="J102" s="57" t="s">
        <v>1706</v>
      </c>
      <c r="K102" s="57"/>
      <c r="L102" s="57"/>
    </row>
    <row r="103" spans="1:12" ht="32">
      <c r="A103" s="26">
        <v>2</v>
      </c>
      <c r="B103" s="12" t="s">
        <v>1404</v>
      </c>
      <c r="C103" s="12" t="s">
        <v>1521</v>
      </c>
      <c r="D103" s="36" t="s">
        <v>1640</v>
      </c>
      <c r="E103" s="62" t="s">
        <v>1795</v>
      </c>
      <c r="F103" s="21" t="s">
        <v>1641</v>
      </c>
      <c r="G103" s="37"/>
      <c r="H103" s="21">
        <v>3</v>
      </c>
      <c r="I103" s="16"/>
      <c r="J103" s="57" t="s">
        <v>1706</v>
      </c>
      <c r="K103" s="57"/>
      <c r="L103" s="57"/>
    </row>
    <row r="104" spans="1:12" ht="32">
      <c r="A104" s="26">
        <v>2</v>
      </c>
      <c r="B104" s="12" t="s">
        <v>1404</v>
      </c>
      <c r="C104" s="12" t="s">
        <v>1521</v>
      </c>
      <c r="D104" s="36" t="s">
        <v>1642</v>
      </c>
      <c r="E104" s="62" t="s">
        <v>1796</v>
      </c>
      <c r="F104" s="49" t="s">
        <v>1643</v>
      </c>
      <c r="G104" s="37"/>
      <c r="H104" s="21">
        <v>3</v>
      </c>
      <c r="I104" s="16"/>
      <c r="J104" s="57" t="s">
        <v>1706</v>
      </c>
      <c r="K104" s="57"/>
      <c r="L104" s="57"/>
    </row>
    <row r="105" spans="1:12" ht="32">
      <c r="A105" s="26">
        <v>2</v>
      </c>
      <c r="B105" s="12" t="s">
        <v>1404</v>
      </c>
      <c r="C105" s="12" t="s">
        <v>1521</v>
      </c>
      <c r="D105" s="36" t="s">
        <v>1146</v>
      </c>
      <c r="E105" s="62" t="s">
        <v>1797</v>
      </c>
      <c r="F105" s="49" t="s">
        <v>1445</v>
      </c>
      <c r="G105" s="37" t="s">
        <v>1592</v>
      </c>
      <c r="H105" s="21">
        <v>0</v>
      </c>
      <c r="I105" s="16"/>
      <c r="J105" s="57" t="s">
        <v>1593</v>
      </c>
      <c r="K105" s="57"/>
      <c r="L105" s="57"/>
    </row>
    <row r="106" spans="1:12" ht="100">
      <c r="A106" s="26">
        <v>2</v>
      </c>
      <c r="B106" s="12" t="s">
        <v>1404</v>
      </c>
      <c r="C106" s="12" t="s">
        <v>1521</v>
      </c>
      <c r="D106" s="36" t="s">
        <v>17</v>
      </c>
      <c r="E106" s="62" t="s">
        <v>1798</v>
      </c>
      <c r="F106" s="49" t="s">
        <v>1697</v>
      </c>
      <c r="G106" s="37"/>
      <c r="H106" s="21">
        <v>5</v>
      </c>
      <c r="I106" s="16"/>
      <c r="J106" s="57" t="s">
        <v>1706</v>
      </c>
      <c r="K106" s="57"/>
      <c r="L106" s="57"/>
    </row>
    <row r="107" spans="1:12" ht="40">
      <c r="A107" s="26">
        <v>2</v>
      </c>
      <c r="B107" s="12" t="s">
        <v>1404</v>
      </c>
      <c r="C107" s="12" t="s">
        <v>1521</v>
      </c>
      <c r="D107" s="36" t="s">
        <v>1644</v>
      </c>
      <c r="E107" s="62" t="s">
        <v>1799</v>
      </c>
      <c r="F107" s="49" t="s">
        <v>1645</v>
      </c>
      <c r="G107" s="37" t="s">
        <v>1592</v>
      </c>
      <c r="H107" s="21">
        <v>0</v>
      </c>
      <c r="I107" s="16"/>
      <c r="J107" s="57"/>
      <c r="K107" s="57"/>
      <c r="L107" s="57"/>
    </row>
    <row r="108" spans="1:12" ht="32">
      <c r="A108" s="26">
        <v>2</v>
      </c>
      <c r="B108" s="12" t="s">
        <v>1404</v>
      </c>
      <c r="C108" s="12" t="s">
        <v>1521</v>
      </c>
      <c r="D108" s="36" t="s">
        <v>18</v>
      </c>
      <c r="E108" s="62" t="s">
        <v>1800</v>
      </c>
      <c r="F108" s="49" t="s">
        <v>1147</v>
      </c>
      <c r="G108" s="37" t="s">
        <v>1592</v>
      </c>
      <c r="H108" s="21">
        <v>0</v>
      </c>
      <c r="I108" s="16"/>
      <c r="J108" s="57"/>
      <c r="K108" s="57"/>
      <c r="L108" s="57"/>
    </row>
    <row r="109" spans="1:12" ht="32">
      <c r="A109" s="26">
        <v>2</v>
      </c>
      <c r="B109" s="12" t="s">
        <v>1404</v>
      </c>
      <c r="C109" s="12" t="s">
        <v>1521</v>
      </c>
      <c r="D109" s="36" t="s">
        <v>1646</v>
      </c>
      <c r="E109" s="62" t="s">
        <v>1801</v>
      </c>
      <c r="F109" s="49" t="s">
        <v>1647</v>
      </c>
      <c r="G109" s="37" t="s">
        <v>1592</v>
      </c>
      <c r="H109" s="21">
        <v>0</v>
      </c>
      <c r="I109" s="16"/>
      <c r="J109" s="57"/>
      <c r="K109" s="57"/>
      <c r="L109" s="57"/>
    </row>
    <row r="110" spans="1:12" ht="32">
      <c r="A110" s="26">
        <v>2</v>
      </c>
      <c r="B110" s="12" t="s">
        <v>1404</v>
      </c>
      <c r="C110" s="12" t="s">
        <v>1521</v>
      </c>
      <c r="D110" s="36" t="s">
        <v>1283</v>
      </c>
      <c r="E110" s="62" t="s">
        <v>1802</v>
      </c>
      <c r="F110" s="49" t="s">
        <v>1648</v>
      </c>
      <c r="G110" s="37" t="s">
        <v>1592</v>
      </c>
      <c r="H110" s="21">
        <v>0</v>
      </c>
      <c r="I110" s="16"/>
      <c r="J110" s="57"/>
      <c r="K110" s="57"/>
      <c r="L110" s="57"/>
    </row>
    <row r="111" spans="1:12" ht="40">
      <c r="A111" s="26">
        <v>2</v>
      </c>
      <c r="B111" s="12" t="s">
        <v>1404</v>
      </c>
      <c r="C111" s="12" t="s">
        <v>1521</v>
      </c>
      <c r="D111" s="36" t="s">
        <v>1148</v>
      </c>
      <c r="E111" s="62" t="s">
        <v>1803</v>
      </c>
      <c r="F111" s="49" t="s">
        <v>1444</v>
      </c>
      <c r="G111" s="37" t="s">
        <v>1592</v>
      </c>
      <c r="H111" s="21">
        <v>0</v>
      </c>
      <c r="I111" s="16"/>
      <c r="J111" s="57" t="s">
        <v>1593</v>
      </c>
      <c r="K111" s="57"/>
      <c r="L111" s="57"/>
    </row>
    <row r="112" spans="1:12" ht="32">
      <c r="A112" s="26">
        <v>2</v>
      </c>
      <c r="B112" s="12" t="s">
        <v>1404</v>
      </c>
      <c r="C112" s="12" t="s">
        <v>1129</v>
      </c>
      <c r="D112" s="36" t="s">
        <v>61</v>
      </c>
      <c r="E112" s="62" t="s">
        <v>1930</v>
      </c>
      <c r="F112" s="49" t="s">
        <v>1240</v>
      </c>
      <c r="G112" s="37" t="s">
        <v>1</v>
      </c>
      <c r="H112" s="21">
        <v>0</v>
      </c>
      <c r="I112" s="16"/>
      <c r="J112" s="57"/>
      <c r="K112" s="57"/>
      <c r="L112" s="57"/>
    </row>
    <row r="113" spans="1:12" ht="40">
      <c r="A113" s="26">
        <v>2</v>
      </c>
      <c r="B113" s="12" t="s">
        <v>1404</v>
      </c>
      <c r="C113" s="12" t="s">
        <v>1129</v>
      </c>
      <c r="D113" s="36" t="s">
        <v>62</v>
      </c>
      <c r="E113" s="62" t="s">
        <v>1931</v>
      </c>
      <c r="F113" s="49" t="s">
        <v>1241</v>
      </c>
      <c r="G113" s="37" t="s">
        <v>1</v>
      </c>
      <c r="H113" s="21">
        <v>0</v>
      </c>
      <c r="I113" s="16"/>
      <c r="J113" s="57"/>
      <c r="K113" s="57"/>
      <c r="L113" s="57"/>
    </row>
    <row r="114" spans="1:12" ht="32">
      <c r="A114" s="26">
        <v>2</v>
      </c>
      <c r="B114" s="12" t="s">
        <v>1404</v>
      </c>
      <c r="C114" s="12" t="s">
        <v>1129</v>
      </c>
      <c r="D114" s="36" t="s">
        <v>63</v>
      </c>
      <c r="E114" s="62" t="s">
        <v>1932</v>
      </c>
      <c r="F114" s="49" t="s">
        <v>1242</v>
      </c>
      <c r="G114" s="37" t="s">
        <v>1</v>
      </c>
      <c r="H114" s="21">
        <v>0</v>
      </c>
      <c r="I114" s="16"/>
      <c r="J114" s="57"/>
      <c r="K114" s="57"/>
      <c r="L114" s="57"/>
    </row>
    <row r="115" spans="1:12" ht="40">
      <c r="A115" s="26">
        <v>2</v>
      </c>
      <c r="B115" s="12" t="s">
        <v>1404</v>
      </c>
      <c r="C115" s="12" t="s">
        <v>1129</v>
      </c>
      <c r="D115" s="36" t="s">
        <v>64</v>
      </c>
      <c r="E115" s="62" t="s">
        <v>1933</v>
      </c>
      <c r="F115" s="49" t="s">
        <v>1443</v>
      </c>
      <c r="G115" s="37" t="s">
        <v>1</v>
      </c>
      <c r="H115" s="21">
        <v>0</v>
      </c>
      <c r="I115" s="16"/>
      <c r="J115" s="57"/>
      <c r="K115" s="57"/>
      <c r="L115" s="57"/>
    </row>
    <row r="116" spans="1:12" ht="40">
      <c r="A116" s="26">
        <v>2</v>
      </c>
      <c r="B116" s="12" t="s">
        <v>1404</v>
      </c>
      <c r="C116" s="12" t="s">
        <v>1129</v>
      </c>
      <c r="D116" s="36" t="s">
        <v>65</v>
      </c>
      <c r="E116" s="62" t="s">
        <v>1934</v>
      </c>
      <c r="F116" s="21" t="s">
        <v>1243</v>
      </c>
      <c r="G116" s="37" t="s">
        <v>1</v>
      </c>
      <c r="H116" s="21">
        <v>0</v>
      </c>
      <c r="I116" s="16"/>
      <c r="J116" s="57"/>
      <c r="K116" s="57"/>
      <c r="L116" s="57"/>
    </row>
    <row r="117" spans="1:12" ht="40">
      <c r="A117" s="26">
        <v>2</v>
      </c>
      <c r="B117" s="12" t="s">
        <v>1404</v>
      </c>
      <c r="C117" s="12" t="s">
        <v>1129</v>
      </c>
      <c r="D117" s="36" t="s">
        <v>66</v>
      </c>
      <c r="E117" s="62" t="s">
        <v>1935</v>
      </c>
      <c r="F117" s="21" t="s">
        <v>1244</v>
      </c>
      <c r="G117" s="37" t="s">
        <v>1</v>
      </c>
      <c r="H117" s="21">
        <v>0</v>
      </c>
      <c r="I117" s="16"/>
      <c r="J117" s="57"/>
      <c r="K117" s="57"/>
      <c r="L117" s="57"/>
    </row>
    <row r="118" spans="1:12" ht="32">
      <c r="A118" s="26">
        <v>2</v>
      </c>
      <c r="B118" s="12" t="s">
        <v>1404</v>
      </c>
      <c r="C118" s="12" t="s">
        <v>1129</v>
      </c>
      <c r="D118" s="36" t="s">
        <v>67</v>
      </c>
      <c r="E118" s="62" t="s">
        <v>1936</v>
      </c>
      <c r="F118" s="21" t="s">
        <v>1245</v>
      </c>
      <c r="G118" s="37" t="s">
        <v>1</v>
      </c>
      <c r="H118" s="21">
        <v>0</v>
      </c>
      <c r="I118" s="16"/>
      <c r="J118" s="57"/>
      <c r="K118" s="57"/>
      <c r="L118" s="57"/>
    </row>
    <row r="119" spans="1:12" ht="32">
      <c r="A119" s="26">
        <v>2</v>
      </c>
      <c r="B119" s="12" t="s">
        <v>1404</v>
      </c>
      <c r="C119" s="12" t="s">
        <v>1129</v>
      </c>
      <c r="D119" s="36" t="s">
        <v>1246</v>
      </c>
      <c r="E119" s="62" t="s">
        <v>1937</v>
      </c>
      <c r="F119" s="21" t="s">
        <v>1247</v>
      </c>
      <c r="G119" s="37" t="s">
        <v>1</v>
      </c>
      <c r="H119" s="21">
        <v>0</v>
      </c>
      <c r="I119" s="16"/>
      <c r="J119" s="57"/>
      <c r="K119" s="57"/>
      <c r="L119" s="57"/>
    </row>
    <row r="120" spans="1:12" ht="60">
      <c r="A120" s="26">
        <v>2</v>
      </c>
      <c r="B120" s="12" t="s">
        <v>1404</v>
      </c>
      <c r="C120" s="12" t="s">
        <v>1120</v>
      </c>
      <c r="D120" s="36" t="s">
        <v>14</v>
      </c>
      <c r="E120" s="62" t="s">
        <v>1649</v>
      </c>
      <c r="F120" s="21" t="s">
        <v>1305</v>
      </c>
      <c r="G120" s="37"/>
      <c r="H120" s="21">
        <v>3</v>
      </c>
      <c r="I120" s="16"/>
      <c r="J120" s="57" t="s">
        <v>1706</v>
      </c>
      <c r="K120" s="57"/>
      <c r="L120" s="57"/>
    </row>
    <row r="121" spans="1:12" ht="60">
      <c r="A121" s="26">
        <v>2</v>
      </c>
      <c r="B121" s="12" t="s">
        <v>1404</v>
      </c>
      <c r="C121" s="12" t="s">
        <v>1120</v>
      </c>
      <c r="D121" s="36" t="s">
        <v>1306</v>
      </c>
      <c r="E121" s="62" t="s">
        <v>1649</v>
      </c>
      <c r="F121" s="21" t="s">
        <v>1307</v>
      </c>
      <c r="G121" s="37"/>
      <c r="H121" s="21">
        <v>0</v>
      </c>
      <c r="I121" s="16"/>
      <c r="J121" s="57" t="s">
        <v>1706</v>
      </c>
      <c r="K121" s="57"/>
      <c r="L121" s="57"/>
    </row>
    <row r="122" spans="1:12" ht="32">
      <c r="A122" s="26">
        <v>2</v>
      </c>
      <c r="B122" s="12" t="s">
        <v>1404</v>
      </c>
      <c r="C122" s="12" t="s">
        <v>23</v>
      </c>
      <c r="D122" s="36" t="s">
        <v>1311</v>
      </c>
      <c r="E122" s="62" t="s">
        <v>1804</v>
      </c>
      <c r="F122" s="21" t="s">
        <v>1312</v>
      </c>
      <c r="G122" s="37"/>
      <c r="H122" s="21">
        <v>5</v>
      </c>
      <c r="I122" s="16"/>
      <c r="J122" s="57" t="s">
        <v>1593</v>
      </c>
      <c r="K122" s="57"/>
      <c r="L122" s="57"/>
    </row>
    <row r="123" spans="1:12" ht="40">
      <c r="A123" s="26">
        <v>2</v>
      </c>
      <c r="B123" s="12" t="s">
        <v>1404</v>
      </c>
      <c r="C123" s="12" t="s">
        <v>23</v>
      </c>
      <c r="D123" s="36" t="s">
        <v>1522</v>
      </c>
      <c r="E123" s="62" t="s">
        <v>1805</v>
      </c>
      <c r="F123" s="49" t="s">
        <v>1401</v>
      </c>
      <c r="G123" s="37"/>
      <c r="H123" s="21">
        <v>2</v>
      </c>
      <c r="I123" s="16"/>
      <c r="J123" s="57" t="s">
        <v>1593</v>
      </c>
      <c r="K123" s="57"/>
      <c r="L123" s="57"/>
    </row>
    <row r="124" spans="1:12" ht="40">
      <c r="A124" s="26">
        <v>2</v>
      </c>
      <c r="B124" s="12" t="s">
        <v>1404</v>
      </c>
      <c r="C124" s="12" t="s">
        <v>23</v>
      </c>
      <c r="D124" s="36" t="s">
        <v>25</v>
      </c>
      <c r="E124" s="62" t="s">
        <v>1806</v>
      </c>
      <c r="F124" s="49" t="s">
        <v>1313</v>
      </c>
      <c r="G124" s="37"/>
      <c r="H124" s="21">
        <v>0</v>
      </c>
      <c r="I124" s="16"/>
      <c r="J124" s="57" t="s">
        <v>1593</v>
      </c>
      <c r="K124" s="57"/>
      <c r="L124" s="57"/>
    </row>
    <row r="125" spans="1:12" ht="60">
      <c r="A125" s="26">
        <v>2</v>
      </c>
      <c r="B125" s="12" t="s">
        <v>1404</v>
      </c>
      <c r="C125" s="12" t="s">
        <v>23</v>
      </c>
      <c r="D125" s="36" t="s">
        <v>76</v>
      </c>
      <c r="E125" s="62" t="s">
        <v>1807</v>
      </c>
      <c r="F125" s="21" t="s">
        <v>1315</v>
      </c>
      <c r="G125" s="37" t="s">
        <v>1592</v>
      </c>
      <c r="H125" s="21">
        <v>0</v>
      </c>
      <c r="I125" s="16"/>
      <c r="J125" s="57"/>
      <c r="K125" s="57"/>
      <c r="L125" s="57"/>
    </row>
    <row r="126" spans="1:12" ht="40">
      <c r="A126" s="26">
        <v>2</v>
      </c>
      <c r="B126" s="12" t="s">
        <v>1404</v>
      </c>
      <c r="C126" s="12" t="s">
        <v>23</v>
      </c>
      <c r="D126" s="36" t="s">
        <v>26</v>
      </c>
      <c r="E126" s="62" t="s">
        <v>1808</v>
      </c>
      <c r="F126" s="21" t="s">
        <v>1316</v>
      </c>
      <c r="G126" s="37" t="s">
        <v>10</v>
      </c>
      <c r="H126" s="21">
        <v>0</v>
      </c>
      <c r="I126" s="16"/>
      <c r="J126" s="57"/>
      <c r="K126" s="57"/>
      <c r="L126" s="57"/>
    </row>
    <row r="127" spans="1:12" ht="40">
      <c r="A127" s="26">
        <v>2</v>
      </c>
      <c r="B127" s="12" t="s">
        <v>1404</v>
      </c>
      <c r="C127" s="12" t="s">
        <v>1339</v>
      </c>
      <c r="D127" s="36" t="s">
        <v>1340</v>
      </c>
      <c r="E127" s="62" t="s">
        <v>1650</v>
      </c>
      <c r="F127" s="21" t="s">
        <v>1431</v>
      </c>
      <c r="G127" s="37" t="s">
        <v>1652</v>
      </c>
      <c r="H127" s="21">
        <v>0</v>
      </c>
      <c r="I127" s="16"/>
      <c r="J127" s="57"/>
      <c r="K127" s="57"/>
      <c r="L127" s="57"/>
    </row>
    <row r="128" spans="1:12" ht="32">
      <c r="A128" s="26">
        <v>2</v>
      </c>
      <c r="B128" s="12" t="s">
        <v>1404</v>
      </c>
      <c r="C128" s="12" t="s">
        <v>1339</v>
      </c>
      <c r="D128" s="36" t="s">
        <v>1341</v>
      </c>
      <c r="E128" s="62" t="s">
        <v>1651</v>
      </c>
      <c r="F128" s="21" t="s">
        <v>1433</v>
      </c>
      <c r="G128" s="37" t="s">
        <v>1652</v>
      </c>
      <c r="H128" s="21">
        <v>0</v>
      </c>
      <c r="I128" s="16" t="s">
        <v>10</v>
      </c>
      <c r="J128" s="57"/>
      <c r="K128" s="57"/>
      <c r="L128" s="57"/>
    </row>
    <row r="129" spans="1:12" ht="40">
      <c r="A129" s="26">
        <v>2</v>
      </c>
      <c r="B129" s="12" t="s">
        <v>1404</v>
      </c>
      <c r="C129" s="12" t="s">
        <v>1339</v>
      </c>
      <c r="D129" s="36" t="s">
        <v>1342</v>
      </c>
      <c r="E129" s="62" t="s">
        <v>1653</v>
      </c>
      <c r="F129" s="21" t="s">
        <v>1430</v>
      </c>
      <c r="G129" s="37" t="s">
        <v>1652</v>
      </c>
      <c r="H129" s="21">
        <v>0</v>
      </c>
      <c r="I129" s="16" t="s">
        <v>10</v>
      </c>
      <c r="J129" s="57"/>
      <c r="K129" s="57"/>
      <c r="L129" s="57"/>
    </row>
    <row r="130" spans="1:12" ht="32">
      <c r="A130" s="26">
        <v>2</v>
      </c>
      <c r="B130" s="12" t="s">
        <v>1404</v>
      </c>
      <c r="C130" s="12" t="s">
        <v>1339</v>
      </c>
      <c r="D130" s="36" t="s">
        <v>1343</v>
      </c>
      <c r="E130" s="62" t="s">
        <v>1654</v>
      </c>
      <c r="F130" s="21" t="s">
        <v>1344</v>
      </c>
      <c r="G130" s="37" t="s">
        <v>1652</v>
      </c>
      <c r="H130" s="21">
        <v>0</v>
      </c>
      <c r="I130" s="16" t="s">
        <v>10</v>
      </c>
      <c r="J130" s="57"/>
      <c r="K130" s="57"/>
      <c r="L130" s="57"/>
    </row>
    <row r="131" spans="1:12" ht="60">
      <c r="A131" s="26">
        <v>2</v>
      </c>
      <c r="B131" s="12" t="s">
        <v>1404</v>
      </c>
      <c r="C131" s="12" t="s">
        <v>1339</v>
      </c>
      <c r="D131" s="36" t="s">
        <v>1386</v>
      </c>
      <c r="E131" s="62" t="s">
        <v>1655</v>
      </c>
      <c r="F131" s="21" t="s">
        <v>1432</v>
      </c>
      <c r="G131" s="37" t="s">
        <v>1652</v>
      </c>
      <c r="H131" s="21">
        <v>0</v>
      </c>
      <c r="I131" s="16" t="s">
        <v>10</v>
      </c>
      <c r="J131" s="57"/>
      <c r="K131" s="57"/>
      <c r="L131" s="57"/>
    </row>
    <row r="132" spans="1:12" ht="32">
      <c r="A132" s="26">
        <v>3</v>
      </c>
      <c r="B132" s="12" t="s">
        <v>1656</v>
      </c>
      <c r="C132" s="12" t="s">
        <v>1123</v>
      </c>
      <c r="D132" s="36" t="s">
        <v>1149</v>
      </c>
      <c r="E132" s="62" t="s">
        <v>1809</v>
      </c>
      <c r="F132" s="21" t="s">
        <v>1150</v>
      </c>
      <c r="G132" s="37"/>
      <c r="H132" s="21">
        <v>0</v>
      </c>
      <c r="I132" s="16" t="s">
        <v>10</v>
      </c>
      <c r="J132" s="57"/>
      <c r="K132" s="57"/>
      <c r="L132" s="57"/>
    </row>
    <row r="133" spans="1:12" ht="32">
      <c r="A133" s="26">
        <v>3</v>
      </c>
      <c r="B133" s="12" t="s">
        <v>1656</v>
      </c>
      <c r="C133" s="12" t="s">
        <v>1123</v>
      </c>
      <c r="D133" s="36" t="s">
        <v>1151</v>
      </c>
      <c r="E133" s="62" t="s">
        <v>1810</v>
      </c>
      <c r="F133" s="21" t="s">
        <v>1377</v>
      </c>
      <c r="G133" s="37"/>
      <c r="H133" s="21">
        <v>0</v>
      </c>
      <c r="I133" s="16" t="s">
        <v>10</v>
      </c>
      <c r="J133" s="57"/>
      <c r="K133" s="57"/>
      <c r="L133" s="57"/>
    </row>
    <row r="134" spans="1:12" ht="32">
      <c r="A134" s="26">
        <v>3</v>
      </c>
      <c r="B134" s="12" t="s">
        <v>1656</v>
      </c>
      <c r="C134" s="12" t="s">
        <v>1123</v>
      </c>
      <c r="D134" s="36" t="s">
        <v>31</v>
      </c>
      <c r="E134" s="62" t="s">
        <v>1811</v>
      </c>
      <c r="F134" s="21" t="s">
        <v>1408</v>
      </c>
      <c r="G134" s="37"/>
      <c r="H134" s="21">
        <v>0</v>
      </c>
      <c r="I134" s="16" t="s">
        <v>10</v>
      </c>
      <c r="J134" s="57"/>
      <c r="K134" s="57"/>
      <c r="L134" s="57"/>
    </row>
    <row r="135" spans="1:12" ht="60">
      <c r="A135" s="26">
        <v>3</v>
      </c>
      <c r="B135" s="12" t="s">
        <v>1656</v>
      </c>
      <c r="C135" s="12" t="s">
        <v>1123</v>
      </c>
      <c r="D135" s="36" t="s">
        <v>24</v>
      </c>
      <c r="E135" s="62" t="s">
        <v>1812</v>
      </c>
      <c r="F135" s="21" t="s">
        <v>1152</v>
      </c>
      <c r="G135" s="37"/>
      <c r="H135" s="21">
        <v>0</v>
      </c>
      <c r="I135" s="16" t="s">
        <v>10</v>
      </c>
      <c r="J135" s="57"/>
      <c r="K135" s="57"/>
      <c r="L135" s="57"/>
    </row>
    <row r="136" spans="1:12" ht="32">
      <c r="A136" s="26">
        <v>3</v>
      </c>
      <c r="B136" s="12" t="s">
        <v>1656</v>
      </c>
      <c r="C136" s="12" t="s">
        <v>1123</v>
      </c>
      <c r="D136" s="36" t="s">
        <v>32</v>
      </c>
      <c r="E136" s="62" t="s">
        <v>1813</v>
      </c>
      <c r="F136" s="21" t="s">
        <v>1153</v>
      </c>
      <c r="G136" s="37"/>
      <c r="H136" s="21">
        <v>0</v>
      </c>
      <c r="I136" s="16" t="s">
        <v>10</v>
      </c>
      <c r="J136" s="57"/>
      <c r="K136" s="57"/>
      <c r="L136" s="57"/>
    </row>
    <row r="137" spans="1:12" ht="32">
      <c r="A137" s="26">
        <v>3</v>
      </c>
      <c r="B137" s="12" t="s">
        <v>1656</v>
      </c>
      <c r="C137" s="12" t="s">
        <v>1123</v>
      </c>
      <c r="D137" s="36" t="s">
        <v>33</v>
      </c>
      <c r="E137" s="62" t="s">
        <v>1814</v>
      </c>
      <c r="F137" s="21" t="s">
        <v>1409</v>
      </c>
      <c r="G137" s="37"/>
      <c r="H137" s="21">
        <v>0</v>
      </c>
      <c r="I137" s="16" t="s">
        <v>10</v>
      </c>
      <c r="J137" s="57"/>
      <c r="K137" s="57"/>
      <c r="L137" s="57"/>
    </row>
    <row r="138" spans="1:12" ht="40">
      <c r="A138" s="26">
        <v>3</v>
      </c>
      <c r="B138" s="12" t="s">
        <v>1656</v>
      </c>
      <c r="C138" s="12" t="s">
        <v>1123</v>
      </c>
      <c r="D138" s="36" t="s">
        <v>1154</v>
      </c>
      <c r="E138" s="62" t="s">
        <v>1815</v>
      </c>
      <c r="F138" s="21" t="s">
        <v>1410</v>
      </c>
      <c r="G138" s="37"/>
      <c r="H138" s="21">
        <v>0</v>
      </c>
      <c r="I138" s="16" t="s">
        <v>10</v>
      </c>
      <c r="J138" s="57"/>
      <c r="K138" s="57"/>
      <c r="L138" s="57"/>
    </row>
    <row r="139" spans="1:12" ht="40">
      <c r="A139" s="26">
        <v>3</v>
      </c>
      <c r="B139" s="12" t="s">
        <v>1656</v>
      </c>
      <c r="C139" s="12" t="s">
        <v>1123</v>
      </c>
      <c r="D139" s="36" t="s">
        <v>35</v>
      </c>
      <c r="E139" s="62" t="s">
        <v>1816</v>
      </c>
      <c r="F139" s="21" t="s">
        <v>1155</v>
      </c>
      <c r="G139" s="37"/>
      <c r="H139" s="21">
        <v>0</v>
      </c>
      <c r="I139" s="16" t="s">
        <v>10</v>
      </c>
      <c r="J139" s="57"/>
      <c r="K139" s="57"/>
      <c r="L139" s="57"/>
    </row>
    <row r="140" spans="1:12" ht="40">
      <c r="A140" s="26">
        <v>3</v>
      </c>
      <c r="B140" s="12" t="s">
        <v>1656</v>
      </c>
      <c r="C140" s="12" t="s">
        <v>1123</v>
      </c>
      <c r="D140" s="36" t="s">
        <v>1156</v>
      </c>
      <c r="E140" s="62" t="s">
        <v>1817</v>
      </c>
      <c r="F140" s="21" t="s">
        <v>1376</v>
      </c>
      <c r="G140" s="37"/>
      <c r="H140" s="21">
        <v>0</v>
      </c>
      <c r="I140" s="16" t="s">
        <v>10</v>
      </c>
      <c r="J140" s="57"/>
      <c r="K140" s="57"/>
      <c r="L140" s="57"/>
    </row>
    <row r="141" spans="1:12" ht="32">
      <c r="A141" s="26">
        <v>3</v>
      </c>
      <c r="B141" s="12" t="s">
        <v>1656</v>
      </c>
      <c r="C141" s="12" t="s">
        <v>1123</v>
      </c>
      <c r="D141" s="36" t="s">
        <v>1157</v>
      </c>
      <c r="E141" s="62" t="s">
        <v>1818</v>
      </c>
      <c r="F141" s="21" t="s">
        <v>1411</v>
      </c>
      <c r="G141" s="37"/>
      <c r="H141" s="21">
        <v>0</v>
      </c>
      <c r="I141" s="16" t="s">
        <v>10</v>
      </c>
      <c r="J141" s="57"/>
      <c r="K141" s="57"/>
      <c r="L141" s="57"/>
    </row>
    <row r="142" spans="1:12" ht="32">
      <c r="A142" s="26">
        <v>3</v>
      </c>
      <c r="B142" s="12" t="s">
        <v>1656</v>
      </c>
      <c r="C142" s="12" t="s">
        <v>1123</v>
      </c>
      <c r="D142" s="36" t="s">
        <v>1657</v>
      </c>
      <c r="E142" s="62" t="s">
        <v>1819</v>
      </c>
      <c r="F142" s="21" t="s">
        <v>1658</v>
      </c>
      <c r="G142" s="37"/>
      <c r="H142" s="21">
        <v>0</v>
      </c>
      <c r="I142" s="16" t="s">
        <v>10</v>
      </c>
      <c r="J142" s="57"/>
      <c r="K142" s="57"/>
      <c r="L142" s="57"/>
    </row>
    <row r="143" spans="1:12" ht="32">
      <c r="A143" s="26">
        <v>3</v>
      </c>
      <c r="B143" s="12" t="s">
        <v>1656</v>
      </c>
      <c r="C143" s="12" t="s">
        <v>1123</v>
      </c>
      <c r="D143" s="36" t="s">
        <v>1158</v>
      </c>
      <c r="E143" s="62" t="s">
        <v>1820</v>
      </c>
      <c r="F143" s="21" t="s">
        <v>1415</v>
      </c>
      <c r="G143" s="37"/>
      <c r="H143" s="21">
        <v>0</v>
      </c>
      <c r="I143" s="16" t="s">
        <v>10</v>
      </c>
      <c r="J143" s="57"/>
      <c r="K143" s="57"/>
      <c r="L143" s="57"/>
    </row>
    <row r="144" spans="1:12" ht="32">
      <c r="A144" s="26">
        <v>3</v>
      </c>
      <c r="B144" s="12" t="s">
        <v>1656</v>
      </c>
      <c r="C144" s="12" t="s">
        <v>1123</v>
      </c>
      <c r="D144" s="36" t="s">
        <v>34</v>
      </c>
      <c r="E144" s="62" t="s">
        <v>1821</v>
      </c>
      <c r="F144" s="21" t="s">
        <v>1159</v>
      </c>
      <c r="G144" s="37"/>
      <c r="H144" s="21">
        <v>0</v>
      </c>
      <c r="I144" s="16" t="s">
        <v>10</v>
      </c>
      <c r="J144" s="57"/>
      <c r="K144" s="57"/>
      <c r="L144" s="57"/>
    </row>
    <row r="145" spans="1:12" ht="32">
      <c r="A145" s="26">
        <v>3</v>
      </c>
      <c r="B145" s="12" t="s">
        <v>1656</v>
      </c>
      <c r="C145" s="12" t="s">
        <v>1123</v>
      </c>
      <c r="D145" s="36" t="s">
        <v>1160</v>
      </c>
      <c r="E145" s="62" t="s">
        <v>1822</v>
      </c>
      <c r="F145" s="21" t="s">
        <v>1161</v>
      </c>
      <c r="G145" s="37"/>
      <c r="H145" s="21">
        <v>0</v>
      </c>
      <c r="I145" s="16" t="s">
        <v>10</v>
      </c>
      <c r="J145" s="57"/>
      <c r="K145" s="57"/>
      <c r="L145" s="57"/>
    </row>
    <row r="146" spans="1:12" ht="32">
      <c r="A146" s="26">
        <v>3</v>
      </c>
      <c r="B146" s="12" t="s">
        <v>1656</v>
      </c>
      <c r="C146" s="12" t="s">
        <v>1123</v>
      </c>
      <c r="D146" s="36" t="s">
        <v>1162</v>
      </c>
      <c r="E146" s="62" t="s">
        <v>1823</v>
      </c>
      <c r="F146" s="21" t="s">
        <v>1412</v>
      </c>
      <c r="G146" s="37"/>
      <c r="H146" s="21">
        <v>0</v>
      </c>
      <c r="I146" s="16" t="s">
        <v>10</v>
      </c>
      <c r="J146" s="57"/>
      <c r="K146" s="57"/>
      <c r="L146" s="57"/>
    </row>
    <row r="147" spans="1:12" ht="32">
      <c r="A147" s="26">
        <v>3</v>
      </c>
      <c r="B147" s="12" t="s">
        <v>1656</v>
      </c>
      <c r="C147" s="12" t="s">
        <v>1123</v>
      </c>
      <c r="D147" s="36" t="s">
        <v>1163</v>
      </c>
      <c r="E147" s="62" t="s">
        <v>1824</v>
      </c>
      <c r="F147" s="21" t="s">
        <v>1413</v>
      </c>
      <c r="G147" s="37"/>
      <c r="H147" s="21">
        <v>0</v>
      </c>
      <c r="I147" s="16" t="s">
        <v>10</v>
      </c>
      <c r="J147" s="57"/>
      <c r="K147" s="57"/>
      <c r="L147" s="57"/>
    </row>
    <row r="148" spans="1:12" ht="40">
      <c r="A148" s="26">
        <v>3</v>
      </c>
      <c r="B148" s="12" t="s">
        <v>1656</v>
      </c>
      <c r="C148" s="12" t="s">
        <v>1123</v>
      </c>
      <c r="D148" s="36" t="s">
        <v>1164</v>
      </c>
      <c r="E148" s="62" t="s">
        <v>1825</v>
      </c>
      <c r="F148" s="21" t="s">
        <v>1414</v>
      </c>
      <c r="G148" s="37"/>
      <c r="H148" s="21">
        <v>0</v>
      </c>
      <c r="I148" s="16" t="s">
        <v>10</v>
      </c>
      <c r="J148" s="57"/>
      <c r="K148" s="57"/>
      <c r="L148" s="57"/>
    </row>
    <row r="149" spans="1:12" ht="32">
      <c r="A149" s="26">
        <v>3</v>
      </c>
      <c r="B149" s="12" t="s">
        <v>1656</v>
      </c>
      <c r="C149" s="12" t="s">
        <v>1123</v>
      </c>
      <c r="D149" s="36" t="s">
        <v>1165</v>
      </c>
      <c r="E149" s="62" t="s">
        <v>1826</v>
      </c>
      <c r="F149" s="21" t="s">
        <v>1166</v>
      </c>
      <c r="G149" s="37"/>
      <c r="H149" s="21">
        <v>0</v>
      </c>
      <c r="I149" s="16" t="s">
        <v>10</v>
      </c>
      <c r="J149" s="57"/>
      <c r="K149" s="57"/>
      <c r="L149" s="57"/>
    </row>
    <row r="150" spans="1:12" ht="60">
      <c r="A150" s="26">
        <v>3</v>
      </c>
      <c r="B150" s="12" t="s">
        <v>1656</v>
      </c>
      <c r="C150" s="12" t="s">
        <v>1124</v>
      </c>
      <c r="D150" s="36" t="s">
        <v>1659</v>
      </c>
      <c r="E150" s="62" t="s">
        <v>1827</v>
      </c>
      <c r="F150" s="21" t="s">
        <v>1418</v>
      </c>
      <c r="G150" s="37"/>
      <c r="H150" s="21">
        <v>0</v>
      </c>
      <c r="I150" s="16"/>
      <c r="J150" s="57"/>
      <c r="K150" s="57"/>
      <c r="L150" s="57"/>
    </row>
    <row r="151" spans="1:12" ht="32">
      <c r="A151" s="26">
        <v>3</v>
      </c>
      <c r="B151" s="12" t="s">
        <v>1656</v>
      </c>
      <c r="C151" s="12" t="s">
        <v>1124</v>
      </c>
      <c r="D151" s="36" t="s">
        <v>1167</v>
      </c>
      <c r="E151" s="62" t="s">
        <v>1828</v>
      </c>
      <c r="F151" s="21" t="s">
        <v>1168</v>
      </c>
      <c r="G151" s="37"/>
      <c r="H151" s="21">
        <v>0</v>
      </c>
      <c r="I151" s="16"/>
      <c r="J151" s="57"/>
      <c r="K151" s="57"/>
      <c r="L151" s="57"/>
    </row>
    <row r="152" spans="1:12" ht="32">
      <c r="A152" s="26">
        <v>3</v>
      </c>
      <c r="B152" s="12" t="s">
        <v>1656</v>
      </c>
      <c r="C152" s="12" t="s">
        <v>1124</v>
      </c>
      <c r="D152" s="36" t="s">
        <v>46</v>
      </c>
      <c r="E152" s="62" t="s">
        <v>1829</v>
      </c>
      <c r="F152" s="21" t="s">
        <v>1169</v>
      </c>
      <c r="G152" s="37"/>
      <c r="H152" s="21">
        <v>0</v>
      </c>
      <c r="I152" s="16"/>
      <c r="J152" s="57"/>
      <c r="K152" s="57"/>
      <c r="L152" s="57"/>
    </row>
    <row r="153" spans="1:12" ht="21">
      <c r="A153" s="26">
        <v>3</v>
      </c>
      <c r="B153" s="12" t="s">
        <v>1656</v>
      </c>
      <c r="C153" s="12" t="s">
        <v>1171</v>
      </c>
      <c r="D153" s="36" t="s">
        <v>1172</v>
      </c>
      <c r="E153" s="39"/>
      <c r="F153" s="21" t="s">
        <v>1416</v>
      </c>
      <c r="G153" s="37" t="s">
        <v>1</v>
      </c>
      <c r="H153" s="21">
        <v>0</v>
      </c>
      <c r="I153" s="16" t="s">
        <v>1717</v>
      </c>
      <c r="J153" s="57"/>
      <c r="K153" s="57"/>
      <c r="L153" s="57"/>
    </row>
    <row r="154" spans="1:12" ht="21">
      <c r="A154" s="26">
        <v>3</v>
      </c>
      <c r="B154" s="12" t="s">
        <v>1656</v>
      </c>
      <c r="C154" s="12" t="s">
        <v>1171</v>
      </c>
      <c r="D154" s="36" t="s">
        <v>1173</v>
      </c>
      <c r="E154" s="38"/>
      <c r="F154" s="21" t="s">
        <v>1174</v>
      </c>
      <c r="G154" s="37" t="s">
        <v>1</v>
      </c>
      <c r="H154" s="21">
        <v>0</v>
      </c>
      <c r="I154" s="16" t="s">
        <v>1717</v>
      </c>
      <c r="J154" s="57"/>
      <c r="K154" s="57"/>
      <c r="L154" s="57"/>
    </row>
    <row r="155" spans="1:12" ht="21">
      <c r="A155" s="26">
        <v>3</v>
      </c>
      <c r="B155" s="12" t="s">
        <v>1656</v>
      </c>
      <c r="C155" s="12" t="s">
        <v>1171</v>
      </c>
      <c r="D155" s="36" t="s">
        <v>1175</v>
      </c>
      <c r="E155" s="39"/>
      <c r="F155" s="21" t="s">
        <v>1176</v>
      </c>
      <c r="G155" s="37" t="s">
        <v>1</v>
      </c>
      <c r="H155" s="21">
        <v>0</v>
      </c>
      <c r="I155" s="16" t="s">
        <v>1717</v>
      </c>
      <c r="J155" s="57"/>
      <c r="K155" s="57"/>
      <c r="L155" s="57"/>
    </row>
    <row r="156" spans="1:12" ht="32">
      <c r="A156" s="26">
        <v>13</v>
      </c>
      <c r="B156" s="12" t="s">
        <v>1124</v>
      </c>
      <c r="C156" s="12" t="s">
        <v>1124</v>
      </c>
      <c r="D156" s="36" t="s">
        <v>1202</v>
      </c>
      <c r="E156" s="62" t="s">
        <v>1830</v>
      </c>
      <c r="F156" s="21" t="s">
        <v>1203</v>
      </c>
      <c r="G156" s="37"/>
      <c r="H156" s="21">
        <v>0</v>
      </c>
      <c r="I156" s="16"/>
      <c r="J156" s="57"/>
      <c r="K156" s="57"/>
      <c r="L156" s="57"/>
    </row>
    <row r="157" spans="1:12" ht="32">
      <c r="A157" s="26">
        <v>13</v>
      </c>
      <c r="B157" s="12" t="s">
        <v>1124</v>
      </c>
      <c r="C157" s="12" t="s">
        <v>1124</v>
      </c>
      <c r="D157" s="36" t="s">
        <v>1204</v>
      </c>
      <c r="E157" s="62" t="s">
        <v>1831</v>
      </c>
      <c r="F157" s="21" t="s">
        <v>1205</v>
      </c>
      <c r="G157" s="37"/>
      <c r="H157" s="21">
        <v>0</v>
      </c>
      <c r="I157" s="16"/>
      <c r="J157" s="57"/>
      <c r="K157" s="57"/>
      <c r="L157" s="57"/>
    </row>
    <row r="158" spans="1:12" ht="60">
      <c r="A158" s="26">
        <v>13</v>
      </c>
      <c r="B158" s="12" t="s">
        <v>1660</v>
      </c>
      <c r="C158" s="12" t="s">
        <v>1124</v>
      </c>
      <c r="D158" s="36" t="s">
        <v>36</v>
      </c>
      <c r="E158" s="62" t="s">
        <v>1832</v>
      </c>
      <c r="F158" s="21" t="s">
        <v>1170</v>
      </c>
      <c r="G158" s="37"/>
      <c r="H158" s="21">
        <v>0</v>
      </c>
      <c r="I158" s="16"/>
      <c r="J158" s="57"/>
      <c r="K158" s="57"/>
      <c r="L158" s="57"/>
    </row>
    <row r="159" spans="1:12" ht="32">
      <c r="A159" s="26">
        <v>5</v>
      </c>
      <c r="B159" s="12" t="s">
        <v>1661</v>
      </c>
      <c r="C159" s="12" t="s">
        <v>1177</v>
      </c>
      <c r="D159" s="36" t="s">
        <v>38</v>
      </c>
      <c r="E159" s="62" t="s">
        <v>1833</v>
      </c>
      <c r="F159" s="21" t="s">
        <v>1178</v>
      </c>
      <c r="G159" s="37"/>
      <c r="H159" s="21">
        <v>0</v>
      </c>
      <c r="I159" s="37" t="s">
        <v>1662</v>
      </c>
      <c r="J159" s="57"/>
      <c r="K159" s="57"/>
      <c r="L159" s="57"/>
    </row>
    <row r="160" spans="1:12" ht="40">
      <c r="A160" s="26">
        <v>5</v>
      </c>
      <c r="B160" s="12" t="s">
        <v>1661</v>
      </c>
      <c r="C160" s="12" t="s">
        <v>1177</v>
      </c>
      <c r="D160" s="36" t="s">
        <v>37</v>
      </c>
      <c r="E160" s="62" t="s">
        <v>1834</v>
      </c>
      <c r="F160" s="21" t="s">
        <v>1179</v>
      </c>
      <c r="G160" s="37"/>
      <c r="H160" s="21">
        <v>0</v>
      </c>
      <c r="I160" s="37" t="s">
        <v>1662</v>
      </c>
      <c r="J160" s="57"/>
      <c r="K160" s="57"/>
      <c r="L160" s="57"/>
    </row>
    <row r="161" spans="1:12" ht="32">
      <c r="A161" s="26">
        <v>5</v>
      </c>
      <c r="B161" s="12" t="s">
        <v>1661</v>
      </c>
      <c r="C161" s="12" t="s">
        <v>1300</v>
      </c>
      <c r="D161" s="36" t="s">
        <v>1301</v>
      </c>
      <c r="E161" s="62" t="s">
        <v>1835</v>
      </c>
      <c r="F161" s="21" t="s">
        <v>1302</v>
      </c>
      <c r="G161" s="37"/>
      <c r="H161" s="21">
        <v>0</v>
      </c>
      <c r="I161" s="16"/>
      <c r="J161" s="57"/>
      <c r="K161" s="57"/>
      <c r="L161" s="57"/>
    </row>
    <row r="162" spans="1:12" ht="32">
      <c r="A162" s="26">
        <v>5</v>
      </c>
      <c r="B162" s="12" t="s">
        <v>1661</v>
      </c>
      <c r="C162" s="12" t="s">
        <v>1300</v>
      </c>
      <c r="D162" s="36" t="s">
        <v>1303</v>
      </c>
      <c r="E162" s="62" t="s">
        <v>1835</v>
      </c>
      <c r="F162" s="21" t="s">
        <v>1304</v>
      </c>
      <c r="G162" s="37"/>
      <c r="H162" s="21">
        <v>0</v>
      </c>
      <c r="I162" s="16"/>
      <c r="J162" s="57"/>
      <c r="K162" s="57"/>
      <c r="L162" s="57"/>
    </row>
    <row r="163" spans="1:12" ht="40">
      <c r="A163" s="26">
        <v>12</v>
      </c>
      <c r="B163" s="12" t="s">
        <v>1308</v>
      </c>
      <c r="C163" s="12" t="s">
        <v>1308</v>
      </c>
      <c r="D163" s="36" t="s">
        <v>1309</v>
      </c>
      <c r="E163" s="62" t="s">
        <v>1836</v>
      </c>
      <c r="F163" s="21" t="s">
        <v>1429</v>
      </c>
      <c r="G163" s="37"/>
      <c r="H163" s="21">
        <v>0</v>
      </c>
      <c r="I163" s="16"/>
      <c r="J163" s="57"/>
      <c r="K163" s="57"/>
      <c r="L163" s="57"/>
    </row>
    <row r="164" spans="1:12" ht="40">
      <c r="A164" s="26">
        <v>12</v>
      </c>
      <c r="B164" s="12" t="s">
        <v>1308</v>
      </c>
      <c r="C164" s="12" t="s">
        <v>1308</v>
      </c>
      <c r="D164" s="36" t="s">
        <v>1310</v>
      </c>
      <c r="E164" s="62" t="s">
        <v>1837</v>
      </c>
      <c r="F164" s="21" t="s">
        <v>1428</v>
      </c>
      <c r="G164" s="37"/>
      <c r="H164" s="21">
        <v>4</v>
      </c>
      <c r="I164" s="16"/>
      <c r="J164" s="57" t="s">
        <v>1706</v>
      </c>
      <c r="K164" s="57"/>
      <c r="L164" s="57"/>
    </row>
    <row r="165" spans="1:12" ht="40">
      <c r="A165" s="26">
        <v>3</v>
      </c>
      <c r="B165" s="12" t="s">
        <v>1663</v>
      </c>
      <c r="C165" s="12" t="s">
        <v>1126</v>
      </c>
      <c r="D165" s="36" t="s">
        <v>1664</v>
      </c>
      <c r="E165" s="62" t="s">
        <v>1838</v>
      </c>
      <c r="F165" s="21" t="s">
        <v>1665</v>
      </c>
      <c r="G165" s="37"/>
      <c r="H165" s="21">
        <v>0</v>
      </c>
      <c r="I165" s="16" t="s">
        <v>10</v>
      </c>
      <c r="J165" s="57"/>
      <c r="K165" s="57"/>
      <c r="L165" s="57"/>
    </row>
    <row r="166" spans="1:12" ht="32">
      <c r="A166" s="26">
        <v>3</v>
      </c>
      <c r="B166" s="12" t="s">
        <v>1663</v>
      </c>
      <c r="C166" s="12" t="s">
        <v>1126</v>
      </c>
      <c r="D166" s="36" t="s">
        <v>60</v>
      </c>
      <c r="E166" s="62" t="s">
        <v>1839</v>
      </c>
      <c r="F166" s="21" t="s">
        <v>1223</v>
      </c>
      <c r="G166" s="37"/>
      <c r="H166" s="21">
        <v>0</v>
      </c>
      <c r="I166" s="16" t="s">
        <v>10</v>
      </c>
      <c r="J166" s="57"/>
      <c r="K166" s="57"/>
      <c r="L166" s="57"/>
    </row>
    <row r="167" spans="1:12" ht="32">
      <c r="A167" s="26">
        <v>3</v>
      </c>
      <c r="B167" s="12" t="s">
        <v>1663</v>
      </c>
      <c r="C167" s="12" t="s">
        <v>1126</v>
      </c>
      <c r="D167" s="36" t="s">
        <v>1224</v>
      </c>
      <c r="E167" s="62" t="s">
        <v>1840</v>
      </c>
      <c r="F167" s="21" t="s">
        <v>1225</v>
      </c>
      <c r="G167" s="37"/>
      <c r="H167" s="21">
        <v>0</v>
      </c>
      <c r="I167" s="16" t="s">
        <v>10</v>
      </c>
      <c r="J167" s="57"/>
      <c r="K167" s="57"/>
      <c r="L167" s="57"/>
    </row>
    <row r="168" spans="1:12" ht="32">
      <c r="A168" s="26">
        <v>3</v>
      </c>
      <c r="B168" s="12" t="s">
        <v>1663</v>
      </c>
      <c r="C168" s="12" t="s">
        <v>1126</v>
      </c>
      <c r="D168" s="36" t="s">
        <v>1226</v>
      </c>
      <c r="E168" s="62" t="s">
        <v>1841</v>
      </c>
      <c r="F168" s="21" t="s">
        <v>1227</v>
      </c>
      <c r="G168" s="37"/>
      <c r="H168" s="21">
        <v>0</v>
      </c>
      <c r="I168" s="16" t="s">
        <v>10</v>
      </c>
      <c r="J168" s="57"/>
      <c r="K168" s="57"/>
      <c r="L168" s="57"/>
    </row>
    <row r="169" spans="1:12" ht="32">
      <c r="A169" s="26">
        <v>3</v>
      </c>
      <c r="B169" s="12" t="s">
        <v>1663</v>
      </c>
      <c r="C169" s="12" t="s">
        <v>1126</v>
      </c>
      <c r="D169" s="36" t="s">
        <v>1228</v>
      </c>
      <c r="E169" s="62" t="s">
        <v>1842</v>
      </c>
      <c r="F169" s="21" t="s">
        <v>1229</v>
      </c>
      <c r="G169" s="37"/>
      <c r="H169" s="21">
        <v>0</v>
      </c>
      <c r="I169" s="16" t="s">
        <v>10</v>
      </c>
      <c r="J169" s="57"/>
      <c r="K169" s="57"/>
      <c r="L169" s="57"/>
    </row>
    <row r="170" spans="1:12" ht="32">
      <c r="A170" s="26">
        <v>3</v>
      </c>
      <c r="B170" s="12" t="s">
        <v>1663</v>
      </c>
      <c r="C170" s="12" t="s">
        <v>1126</v>
      </c>
      <c r="D170" s="36" t="s">
        <v>1230</v>
      </c>
      <c r="E170" s="62" t="s">
        <v>1843</v>
      </c>
      <c r="F170" s="21" t="s">
        <v>1231</v>
      </c>
      <c r="G170" s="37"/>
      <c r="H170" s="21">
        <v>0</v>
      </c>
      <c r="I170" s="16"/>
      <c r="J170" s="57"/>
      <c r="K170" s="57"/>
      <c r="L170" s="57"/>
    </row>
    <row r="171" spans="1:12" ht="32">
      <c r="A171" s="26">
        <v>3</v>
      </c>
      <c r="B171" s="12" t="s">
        <v>1663</v>
      </c>
      <c r="C171" s="12" t="s">
        <v>1126</v>
      </c>
      <c r="D171" s="36" t="s">
        <v>59</v>
      </c>
      <c r="E171" s="62" t="s">
        <v>1844</v>
      </c>
      <c r="F171" s="21" t="s">
        <v>1232</v>
      </c>
      <c r="G171" s="37"/>
      <c r="H171" s="21">
        <v>0</v>
      </c>
      <c r="I171" s="16" t="s">
        <v>10</v>
      </c>
      <c r="J171" s="57"/>
      <c r="K171" s="57"/>
      <c r="L171" s="57"/>
    </row>
    <row r="172" spans="1:12" ht="40">
      <c r="A172" s="26">
        <v>3</v>
      </c>
      <c r="B172" s="12" t="s">
        <v>1663</v>
      </c>
      <c r="C172" s="12" t="s">
        <v>1126</v>
      </c>
      <c r="D172" s="36" t="s">
        <v>1378</v>
      </c>
      <c r="E172" s="62" t="s">
        <v>1845</v>
      </c>
      <c r="F172" s="21" t="s">
        <v>1666</v>
      </c>
      <c r="G172" s="37"/>
      <c r="H172" s="21">
        <v>0</v>
      </c>
      <c r="I172" s="16" t="s">
        <v>10</v>
      </c>
      <c r="J172" s="57"/>
      <c r="K172" s="57"/>
      <c r="L172" s="57"/>
    </row>
    <row r="173" spans="1:12" ht="32">
      <c r="A173" s="26">
        <v>3</v>
      </c>
      <c r="B173" s="12" t="s">
        <v>1663</v>
      </c>
      <c r="C173" s="12" t="s">
        <v>1126</v>
      </c>
      <c r="D173" s="36" t="s">
        <v>1233</v>
      </c>
      <c r="E173" s="62" t="s">
        <v>1846</v>
      </c>
      <c r="F173" s="21" t="s">
        <v>1234</v>
      </c>
      <c r="G173" s="37"/>
      <c r="H173" s="21">
        <v>0</v>
      </c>
      <c r="I173" s="16" t="s">
        <v>10</v>
      </c>
      <c r="J173" s="57"/>
      <c r="K173" s="57"/>
      <c r="L173" s="57"/>
    </row>
    <row r="174" spans="1:12" ht="40">
      <c r="A174" s="26">
        <v>3</v>
      </c>
      <c r="B174" s="12" t="s">
        <v>1663</v>
      </c>
      <c r="C174" s="12" t="s">
        <v>1126</v>
      </c>
      <c r="D174" s="36" t="s">
        <v>1235</v>
      </c>
      <c r="E174" s="62" t="s">
        <v>1847</v>
      </c>
      <c r="F174" s="21" t="s">
        <v>1427</v>
      </c>
      <c r="G174" s="37"/>
      <c r="H174" s="21">
        <v>0</v>
      </c>
      <c r="I174" s="16" t="s">
        <v>10</v>
      </c>
      <c r="J174" s="57"/>
      <c r="K174" s="57"/>
      <c r="L174" s="57"/>
    </row>
    <row r="175" spans="1:12" ht="32">
      <c r="A175" s="26">
        <v>3</v>
      </c>
      <c r="B175" s="12" t="s">
        <v>1663</v>
      </c>
      <c r="C175" s="12" t="s">
        <v>1126</v>
      </c>
      <c r="D175" s="36" t="s">
        <v>1236</v>
      </c>
      <c r="E175" s="62" t="s">
        <v>1848</v>
      </c>
      <c r="F175" s="21" t="s">
        <v>1237</v>
      </c>
      <c r="G175" s="37"/>
      <c r="H175" s="21">
        <v>0</v>
      </c>
      <c r="I175" s="16" t="s">
        <v>10</v>
      </c>
      <c r="J175" s="57"/>
      <c r="K175" s="57"/>
      <c r="L175" s="57"/>
    </row>
    <row r="176" spans="1:12" ht="32">
      <c r="A176" s="26">
        <v>3</v>
      </c>
      <c r="B176" s="12" t="s">
        <v>1663</v>
      </c>
      <c r="C176" s="12" t="s">
        <v>1126</v>
      </c>
      <c r="D176" s="36" t="s">
        <v>1238</v>
      </c>
      <c r="E176" s="62" t="s">
        <v>1849</v>
      </c>
      <c r="F176" s="21" t="s">
        <v>1239</v>
      </c>
      <c r="G176" s="37"/>
      <c r="H176" s="21">
        <v>0</v>
      </c>
      <c r="I176" s="16" t="s">
        <v>10</v>
      </c>
      <c r="J176" s="57"/>
      <c r="K176" s="57"/>
      <c r="L176" s="57"/>
    </row>
    <row r="177" spans="1:12" ht="60">
      <c r="A177" s="26">
        <v>3</v>
      </c>
      <c r="B177" s="12" t="s">
        <v>1663</v>
      </c>
      <c r="C177" s="12" t="s">
        <v>1667</v>
      </c>
      <c r="D177" s="36" t="s">
        <v>72</v>
      </c>
      <c r="E177" s="62" t="s">
        <v>1850</v>
      </c>
      <c r="F177" s="21" t="s">
        <v>1668</v>
      </c>
      <c r="G177" s="37"/>
      <c r="H177" s="21">
        <v>0</v>
      </c>
      <c r="I177" s="16"/>
      <c r="J177" s="57"/>
      <c r="K177" s="57"/>
      <c r="L177" s="57"/>
    </row>
    <row r="178" spans="1:12" ht="32">
      <c r="A178" s="26">
        <v>3</v>
      </c>
      <c r="B178" s="12" t="s">
        <v>1663</v>
      </c>
      <c r="C178" s="12" t="s">
        <v>1667</v>
      </c>
      <c r="D178" s="36" t="s">
        <v>1317</v>
      </c>
      <c r="E178" s="62" t="s">
        <v>1851</v>
      </c>
      <c r="F178" s="21" t="s">
        <v>1318</v>
      </c>
      <c r="G178" s="37"/>
      <c r="H178" s="21">
        <v>0</v>
      </c>
      <c r="I178" s="16"/>
      <c r="J178" s="57"/>
      <c r="K178" s="57"/>
      <c r="L178" s="57"/>
    </row>
    <row r="179" spans="1:12" ht="32">
      <c r="A179" s="26">
        <v>3</v>
      </c>
      <c r="B179" s="12" t="s">
        <v>1663</v>
      </c>
      <c r="C179" s="12" t="s">
        <v>1667</v>
      </c>
      <c r="D179" s="36" t="s">
        <v>1319</v>
      </c>
      <c r="E179" s="62" t="s">
        <v>1852</v>
      </c>
      <c r="F179" s="21" t="s">
        <v>1320</v>
      </c>
      <c r="G179" s="37"/>
      <c r="H179" s="21">
        <v>0</v>
      </c>
      <c r="I179" s="16"/>
      <c r="J179" s="57"/>
      <c r="K179" s="57"/>
      <c r="L179" s="57"/>
    </row>
    <row r="180" spans="1:12" ht="32">
      <c r="A180" s="26">
        <v>3</v>
      </c>
      <c r="B180" s="12" t="s">
        <v>1663</v>
      </c>
      <c r="C180" s="12" t="s">
        <v>1667</v>
      </c>
      <c r="D180" s="36" t="s">
        <v>1321</v>
      </c>
      <c r="E180" s="62" t="s">
        <v>1853</v>
      </c>
      <c r="F180" s="21" t="s">
        <v>1322</v>
      </c>
      <c r="G180" s="37"/>
      <c r="H180" s="21">
        <v>0</v>
      </c>
      <c r="I180" s="16"/>
      <c r="J180" s="57"/>
      <c r="K180" s="57"/>
      <c r="L180" s="57"/>
    </row>
    <row r="181" spans="1:12" ht="60">
      <c r="A181" s="26">
        <v>3</v>
      </c>
      <c r="B181" s="12" t="s">
        <v>1663</v>
      </c>
      <c r="C181" s="12" t="s">
        <v>1667</v>
      </c>
      <c r="D181" s="36" t="s">
        <v>71</v>
      </c>
      <c r="E181" s="62" t="s">
        <v>1854</v>
      </c>
      <c r="F181" s="21" t="s">
        <v>1323</v>
      </c>
      <c r="G181" s="37" t="s">
        <v>1592</v>
      </c>
      <c r="H181" s="21">
        <v>0</v>
      </c>
      <c r="I181" s="16"/>
      <c r="J181" s="57"/>
      <c r="K181" s="57"/>
      <c r="L181" s="57"/>
    </row>
    <row r="182" spans="1:12" ht="40">
      <c r="A182" s="26">
        <v>3</v>
      </c>
      <c r="B182" s="12" t="s">
        <v>1663</v>
      </c>
      <c r="C182" s="12" t="s">
        <v>1667</v>
      </c>
      <c r="D182" s="36" t="s">
        <v>73</v>
      </c>
      <c r="E182" s="62" t="s">
        <v>1855</v>
      </c>
      <c r="F182" s="21" t="s">
        <v>1324</v>
      </c>
      <c r="G182" s="37"/>
      <c r="H182" s="21">
        <v>0</v>
      </c>
      <c r="I182" s="16"/>
      <c r="J182" s="57"/>
      <c r="K182" s="57"/>
      <c r="L182" s="57"/>
    </row>
    <row r="183" spans="1:12" ht="32">
      <c r="A183" s="26">
        <v>3</v>
      </c>
      <c r="B183" s="12" t="s">
        <v>1663</v>
      </c>
      <c r="C183" s="12" t="s">
        <v>1667</v>
      </c>
      <c r="D183" s="36" t="s">
        <v>1325</v>
      </c>
      <c r="E183" s="62" t="s">
        <v>1856</v>
      </c>
      <c r="F183" s="21" t="s">
        <v>1326</v>
      </c>
      <c r="G183" s="37"/>
      <c r="H183" s="21">
        <v>0</v>
      </c>
      <c r="I183" s="16"/>
      <c r="J183" s="57"/>
      <c r="K183" s="57"/>
      <c r="L183" s="57"/>
    </row>
    <row r="184" spans="1:12" ht="32">
      <c r="A184" s="26">
        <v>3</v>
      </c>
      <c r="B184" s="12" t="s">
        <v>1663</v>
      </c>
      <c r="C184" s="12" t="s">
        <v>1667</v>
      </c>
      <c r="D184" s="36" t="s">
        <v>1328</v>
      </c>
      <c r="E184" s="62" t="s">
        <v>1857</v>
      </c>
      <c r="F184" s="21" t="s">
        <v>1329</v>
      </c>
      <c r="G184" s="37"/>
      <c r="H184" s="21">
        <v>0</v>
      </c>
      <c r="I184" s="16"/>
      <c r="J184" s="57"/>
      <c r="K184" s="57"/>
      <c r="L184" s="57"/>
    </row>
    <row r="185" spans="1:12" ht="32">
      <c r="A185" s="26">
        <v>3</v>
      </c>
      <c r="B185" s="12" t="s">
        <v>1663</v>
      </c>
      <c r="C185" s="12" t="s">
        <v>1667</v>
      </c>
      <c r="D185" s="36" t="s">
        <v>1330</v>
      </c>
      <c r="E185" s="62" t="s">
        <v>1858</v>
      </c>
      <c r="F185" s="21" t="s">
        <v>1331</v>
      </c>
      <c r="G185" s="37"/>
      <c r="H185" s="21">
        <v>0</v>
      </c>
      <c r="I185" s="16"/>
      <c r="J185" s="57"/>
      <c r="K185" s="57"/>
      <c r="L185" s="57"/>
    </row>
    <row r="186" spans="1:12" ht="32">
      <c r="A186" s="26">
        <v>3</v>
      </c>
      <c r="B186" s="12" t="s">
        <v>1663</v>
      </c>
      <c r="C186" s="12" t="s">
        <v>1667</v>
      </c>
      <c r="D186" s="36" t="s">
        <v>1332</v>
      </c>
      <c r="E186" s="62" t="s">
        <v>1859</v>
      </c>
      <c r="F186" s="21" t="s">
        <v>1333</v>
      </c>
      <c r="G186" s="37"/>
      <c r="H186" s="21">
        <v>0</v>
      </c>
      <c r="I186" s="16"/>
      <c r="J186" s="57"/>
      <c r="K186" s="57"/>
      <c r="L186" s="57"/>
    </row>
    <row r="187" spans="1:12" ht="40">
      <c r="A187" s="26">
        <v>3</v>
      </c>
      <c r="B187" s="12" t="s">
        <v>1663</v>
      </c>
      <c r="C187" s="12" t="s">
        <v>1667</v>
      </c>
      <c r="D187" s="36" t="s">
        <v>1334</v>
      </c>
      <c r="E187" s="62" t="s">
        <v>1860</v>
      </c>
      <c r="F187" s="21" t="s">
        <v>1417</v>
      </c>
      <c r="G187" s="37"/>
      <c r="H187" s="21">
        <v>0</v>
      </c>
      <c r="I187" s="16"/>
      <c r="J187" s="57"/>
      <c r="K187" s="57"/>
      <c r="L187" s="57"/>
    </row>
    <row r="188" spans="1:12" ht="40">
      <c r="A188" s="26">
        <v>3</v>
      </c>
      <c r="B188" s="12" t="s">
        <v>1663</v>
      </c>
      <c r="C188" s="12" t="s">
        <v>1667</v>
      </c>
      <c r="D188" s="36" t="s">
        <v>1335</v>
      </c>
      <c r="E188" s="62" t="s">
        <v>1861</v>
      </c>
      <c r="F188" s="21" t="s">
        <v>1336</v>
      </c>
      <c r="G188" s="37"/>
      <c r="H188" s="21">
        <v>0</v>
      </c>
      <c r="I188" s="16"/>
      <c r="J188" s="57"/>
      <c r="K188" s="57"/>
      <c r="L188" s="57"/>
    </row>
    <row r="189" spans="1:12" ht="40">
      <c r="A189" s="26">
        <v>3</v>
      </c>
      <c r="B189" s="12" t="s">
        <v>1663</v>
      </c>
      <c r="C189" s="12" t="s">
        <v>1667</v>
      </c>
      <c r="D189" s="36" t="s">
        <v>1337</v>
      </c>
      <c r="E189" s="62" t="s">
        <v>1862</v>
      </c>
      <c r="F189" s="21" t="s">
        <v>1338</v>
      </c>
      <c r="G189" s="37"/>
      <c r="H189" s="21">
        <v>0</v>
      </c>
      <c r="I189" s="16"/>
      <c r="J189" s="57"/>
      <c r="K189" s="57"/>
      <c r="L189" s="57"/>
    </row>
    <row r="190" spans="1:12" ht="40">
      <c r="A190" s="26">
        <v>3</v>
      </c>
      <c r="B190" s="12" t="s">
        <v>1663</v>
      </c>
      <c r="C190" s="12" t="s">
        <v>1400</v>
      </c>
      <c r="D190" s="36" t="s">
        <v>24</v>
      </c>
      <c r="E190" s="62" t="s">
        <v>1812</v>
      </c>
      <c r="F190" s="21" t="s">
        <v>1401</v>
      </c>
      <c r="G190" s="37"/>
      <c r="H190" s="21">
        <v>0</v>
      </c>
      <c r="I190" s="16"/>
      <c r="J190" s="57"/>
      <c r="K190" s="57"/>
      <c r="L190" s="57"/>
    </row>
    <row r="191" spans="1:12" ht="32">
      <c r="A191" s="26">
        <v>3</v>
      </c>
      <c r="B191" s="12" t="s">
        <v>1663</v>
      </c>
      <c r="C191" s="12" t="s">
        <v>1400</v>
      </c>
      <c r="D191" s="36" t="s">
        <v>1327</v>
      </c>
      <c r="E191" s="62" t="s">
        <v>1863</v>
      </c>
      <c r="F191" s="21" t="s">
        <v>1402</v>
      </c>
      <c r="G191" s="37" t="s">
        <v>10</v>
      </c>
      <c r="H191" s="21">
        <v>0</v>
      </c>
      <c r="I191" s="16" t="s">
        <v>10</v>
      </c>
      <c r="J191" s="57"/>
      <c r="K191" s="57"/>
      <c r="L191" s="57"/>
    </row>
    <row r="192" spans="1:12" ht="21">
      <c r="A192" s="26">
        <v>3</v>
      </c>
      <c r="B192" s="12" t="s">
        <v>1663</v>
      </c>
      <c r="C192" s="12" t="s">
        <v>1359</v>
      </c>
      <c r="D192" s="36" t="s">
        <v>1360</v>
      </c>
      <c r="E192" s="38"/>
      <c r="F192" s="21" t="s">
        <v>1361</v>
      </c>
      <c r="G192" s="37" t="s">
        <v>1</v>
      </c>
      <c r="H192" s="21">
        <v>0</v>
      </c>
      <c r="I192" s="16" t="s">
        <v>10</v>
      </c>
      <c r="J192" s="57"/>
      <c r="K192" s="57"/>
      <c r="L192" s="57"/>
    </row>
    <row r="193" spans="1:12" ht="40">
      <c r="A193" s="26">
        <v>3</v>
      </c>
      <c r="B193" s="12" t="s">
        <v>1663</v>
      </c>
      <c r="C193" s="12" t="s">
        <v>1359</v>
      </c>
      <c r="D193" s="36" t="s">
        <v>1362</v>
      </c>
      <c r="E193" s="13"/>
      <c r="F193" s="21" t="s">
        <v>1363</v>
      </c>
      <c r="G193" s="37" t="s">
        <v>1</v>
      </c>
      <c r="H193" s="21">
        <v>0</v>
      </c>
      <c r="I193" s="16" t="s">
        <v>10</v>
      </c>
      <c r="J193" s="57"/>
      <c r="K193" s="57"/>
      <c r="L193" s="57"/>
    </row>
    <row r="194" spans="1:12" ht="21">
      <c r="A194" s="26">
        <v>3</v>
      </c>
      <c r="B194" s="12" t="s">
        <v>1663</v>
      </c>
      <c r="C194" s="12" t="s">
        <v>1359</v>
      </c>
      <c r="D194" s="36" t="s">
        <v>1364</v>
      </c>
      <c r="E194" s="38"/>
      <c r="F194" s="21" t="s">
        <v>1365</v>
      </c>
      <c r="G194" s="37" t="s">
        <v>1</v>
      </c>
      <c r="H194" s="21">
        <v>0</v>
      </c>
      <c r="I194" s="16" t="s">
        <v>10</v>
      </c>
      <c r="J194" s="57"/>
      <c r="K194" s="57"/>
      <c r="L194" s="57"/>
    </row>
    <row r="195" spans="1:12" ht="40">
      <c r="A195" s="26">
        <v>3</v>
      </c>
      <c r="B195" s="12" t="s">
        <v>1663</v>
      </c>
      <c r="C195" s="12" t="s">
        <v>1359</v>
      </c>
      <c r="D195" s="36" t="s">
        <v>1366</v>
      </c>
      <c r="E195" s="38"/>
      <c r="F195" s="21" t="s">
        <v>1367</v>
      </c>
      <c r="G195" s="37" t="s">
        <v>1</v>
      </c>
      <c r="H195" s="21">
        <v>0</v>
      </c>
      <c r="I195" s="16"/>
      <c r="J195" s="57"/>
      <c r="K195" s="57"/>
      <c r="L195" s="57"/>
    </row>
    <row r="196" spans="1:12" ht="21">
      <c r="A196" s="26">
        <v>3</v>
      </c>
      <c r="B196" s="12" t="s">
        <v>1663</v>
      </c>
      <c r="C196" s="12" t="s">
        <v>1359</v>
      </c>
      <c r="D196" s="36" t="s">
        <v>1368</v>
      </c>
      <c r="E196" s="38"/>
      <c r="F196" s="21" t="s">
        <v>1369</v>
      </c>
      <c r="G196" s="37" t="s">
        <v>1</v>
      </c>
      <c r="H196" s="21">
        <v>0</v>
      </c>
      <c r="I196" s="16"/>
      <c r="J196" s="57"/>
      <c r="K196" s="57"/>
      <c r="L196" s="57"/>
    </row>
    <row r="197" spans="1:12" ht="21">
      <c r="A197" s="26">
        <v>3</v>
      </c>
      <c r="B197" s="12" t="s">
        <v>1663</v>
      </c>
      <c r="C197" s="12" t="s">
        <v>1359</v>
      </c>
      <c r="D197" s="36" t="s">
        <v>1370</v>
      </c>
      <c r="E197" s="39"/>
      <c r="F197" s="21" t="s">
        <v>1371</v>
      </c>
      <c r="G197" s="37" t="s">
        <v>1</v>
      </c>
      <c r="H197" s="21">
        <v>0</v>
      </c>
      <c r="I197" s="16"/>
      <c r="J197" s="57"/>
      <c r="K197" s="57"/>
      <c r="L197" s="57"/>
    </row>
    <row r="198" spans="1:12" ht="32">
      <c r="A198" s="26">
        <v>1</v>
      </c>
      <c r="B198" s="12" t="s">
        <v>1669</v>
      </c>
      <c r="C198" s="12" t="s">
        <v>1127</v>
      </c>
      <c r="D198" s="36" t="s">
        <v>1670</v>
      </c>
      <c r="E198" s="62" t="s">
        <v>1864</v>
      </c>
      <c r="F198" s="21" t="s">
        <v>1671</v>
      </c>
      <c r="G198" s="37" t="s">
        <v>1</v>
      </c>
      <c r="H198" s="21">
        <v>0</v>
      </c>
      <c r="I198" s="16"/>
      <c r="J198" s="57"/>
      <c r="K198" s="57"/>
      <c r="L198" s="57"/>
    </row>
    <row r="199" spans="1:12" ht="32">
      <c r="A199" s="26">
        <v>1</v>
      </c>
      <c r="B199" s="12" t="s">
        <v>1669</v>
      </c>
      <c r="C199" s="12" t="s">
        <v>1127</v>
      </c>
      <c r="D199" s="36" t="s">
        <v>85</v>
      </c>
      <c r="E199" s="62" t="s">
        <v>1865</v>
      </c>
      <c r="F199" s="21" t="s">
        <v>1345</v>
      </c>
      <c r="G199" s="37" t="s">
        <v>1</v>
      </c>
      <c r="H199" s="21">
        <v>0</v>
      </c>
      <c r="I199" s="16"/>
      <c r="J199" s="57"/>
      <c r="K199" s="57"/>
      <c r="L199" s="57"/>
    </row>
    <row r="200" spans="1:12" ht="32">
      <c r="A200" s="26">
        <v>1</v>
      </c>
      <c r="B200" s="12" t="s">
        <v>1669</v>
      </c>
      <c r="C200" s="12" t="s">
        <v>1127</v>
      </c>
      <c r="D200" s="36" t="s">
        <v>83</v>
      </c>
      <c r="E200" s="62" t="s">
        <v>1866</v>
      </c>
      <c r="F200" s="21" t="s">
        <v>1346</v>
      </c>
      <c r="G200" s="37" t="s">
        <v>1</v>
      </c>
      <c r="H200" s="21">
        <v>0</v>
      </c>
      <c r="I200" s="16"/>
      <c r="J200" s="57"/>
      <c r="K200" s="57"/>
      <c r="L200" s="57"/>
    </row>
    <row r="201" spans="1:12" ht="40">
      <c r="A201" s="26">
        <v>1</v>
      </c>
      <c r="B201" s="12" t="s">
        <v>1669</v>
      </c>
      <c r="C201" s="12" t="s">
        <v>1127</v>
      </c>
      <c r="D201" s="36" t="s">
        <v>91</v>
      </c>
      <c r="E201" s="62" t="s">
        <v>1867</v>
      </c>
      <c r="F201" s="21" t="s">
        <v>1347</v>
      </c>
      <c r="G201" s="37" t="s">
        <v>1</v>
      </c>
      <c r="H201" s="21">
        <v>0</v>
      </c>
      <c r="I201" s="16"/>
      <c r="J201" s="57"/>
      <c r="K201" s="57"/>
      <c r="L201" s="57"/>
    </row>
    <row r="202" spans="1:12" ht="40">
      <c r="A202" s="26">
        <v>1</v>
      </c>
      <c r="B202" s="12" t="s">
        <v>1669</v>
      </c>
      <c r="C202" s="12" t="s">
        <v>1127</v>
      </c>
      <c r="D202" s="36" t="s">
        <v>80</v>
      </c>
      <c r="E202" s="62" t="s">
        <v>1868</v>
      </c>
      <c r="F202" s="21" t="s">
        <v>1406</v>
      </c>
      <c r="G202" s="37" t="s">
        <v>1</v>
      </c>
      <c r="H202" s="21">
        <v>0</v>
      </c>
      <c r="I202" s="16"/>
      <c r="J202" s="57"/>
      <c r="K202" s="57"/>
      <c r="L202" s="57"/>
    </row>
    <row r="203" spans="1:12" ht="40">
      <c r="A203" s="26">
        <v>1</v>
      </c>
      <c r="B203" s="12" t="s">
        <v>1669</v>
      </c>
      <c r="C203" s="12" t="s">
        <v>1127</v>
      </c>
      <c r="D203" s="36" t="s">
        <v>1391</v>
      </c>
      <c r="E203" s="62" t="s">
        <v>1869</v>
      </c>
      <c r="F203" s="21" t="s">
        <v>1271</v>
      </c>
      <c r="G203" s="37" t="s">
        <v>1</v>
      </c>
      <c r="H203" s="21">
        <v>0</v>
      </c>
      <c r="I203" s="16"/>
      <c r="J203" s="57"/>
      <c r="K203" s="57"/>
      <c r="L203" s="57"/>
    </row>
    <row r="204" spans="1:12" ht="40">
      <c r="A204" s="26">
        <v>1</v>
      </c>
      <c r="B204" s="12" t="s">
        <v>1669</v>
      </c>
      <c r="C204" s="12" t="s">
        <v>1127</v>
      </c>
      <c r="D204" s="36" t="s">
        <v>1012</v>
      </c>
      <c r="E204" s="62" t="s">
        <v>1870</v>
      </c>
      <c r="F204" s="21" t="s">
        <v>1348</v>
      </c>
      <c r="G204" s="37" t="s">
        <v>1</v>
      </c>
      <c r="H204" s="21">
        <v>0</v>
      </c>
      <c r="I204" s="16"/>
      <c r="J204" s="57"/>
      <c r="K204" s="57"/>
      <c r="L204" s="57"/>
    </row>
    <row r="205" spans="1:12" ht="32">
      <c r="A205" s="26">
        <v>1</v>
      </c>
      <c r="B205" s="12" t="s">
        <v>1669</v>
      </c>
      <c r="C205" s="12" t="s">
        <v>1127</v>
      </c>
      <c r="D205" s="36" t="s">
        <v>1390</v>
      </c>
      <c r="E205" s="62" t="s">
        <v>1871</v>
      </c>
      <c r="F205" s="21" t="s">
        <v>1349</v>
      </c>
      <c r="G205" s="37" t="s">
        <v>1</v>
      </c>
      <c r="H205" s="21">
        <v>0</v>
      </c>
      <c r="I205" s="16"/>
      <c r="J205" s="57"/>
      <c r="K205" s="57"/>
      <c r="L205" s="57"/>
    </row>
    <row r="206" spans="1:12" ht="32">
      <c r="A206" s="26">
        <v>1</v>
      </c>
      <c r="B206" s="12" t="s">
        <v>1669</v>
      </c>
      <c r="C206" s="12" t="s">
        <v>1127</v>
      </c>
      <c r="D206" s="36" t="s">
        <v>87</v>
      </c>
      <c r="E206" s="62" t="s">
        <v>1872</v>
      </c>
      <c r="F206" s="21" t="s">
        <v>1281</v>
      </c>
      <c r="G206" s="37" t="s">
        <v>1</v>
      </c>
      <c r="H206" s="21">
        <v>0</v>
      </c>
      <c r="I206" s="16"/>
      <c r="J206" s="57"/>
      <c r="K206" s="57"/>
      <c r="L206" s="57"/>
    </row>
    <row r="207" spans="1:12" ht="40">
      <c r="A207" s="26">
        <v>1</v>
      </c>
      <c r="B207" s="12" t="s">
        <v>1669</v>
      </c>
      <c r="C207" s="12" t="s">
        <v>1127</v>
      </c>
      <c r="D207" s="36" t="s">
        <v>1350</v>
      </c>
      <c r="E207" s="62" t="s">
        <v>1873</v>
      </c>
      <c r="F207" s="21" t="s">
        <v>1407</v>
      </c>
      <c r="G207" s="37" t="s">
        <v>1</v>
      </c>
      <c r="H207" s="21">
        <v>0</v>
      </c>
      <c r="I207" s="16"/>
      <c r="J207" s="57"/>
      <c r="K207" s="57"/>
      <c r="L207" s="57"/>
    </row>
    <row r="208" spans="1:12" ht="32">
      <c r="A208" s="26">
        <v>1</v>
      </c>
      <c r="B208" s="12" t="s">
        <v>1669</v>
      </c>
      <c r="C208" s="12" t="s">
        <v>1127</v>
      </c>
      <c r="D208" s="36" t="s">
        <v>84</v>
      </c>
      <c r="E208" s="62" t="s">
        <v>1874</v>
      </c>
      <c r="F208" s="21" t="s">
        <v>1351</v>
      </c>
      <c r="G208" s="37" t="s">
        <v>1</v>
      </c>
      <c r="H208" s="21">
        <v>0</v>
      </c>
      <c r="I208" s="16"/>
      <c r="J208" s="57"/>
      <c r="K208" s="57"/>
      <c r="L208" s="57"/>
    </row>
    <row r="209" spans="1:12" ht="32">
      <c r="A209" s="26">
        <v>1</v>
      </c>
      <c r="B209" s="12" t="s">
        <v>1669</v>
      </c>
      <c r="C209" s="12" t="s">
        <v>1127</v>
      </c>
      <c r="D209" s="36" t="s">
        <v>82</v>
      </c>
      <c r="E209" s="62" t="s">
        <v>1875</v>
      </c>
      <c r="F209" s="21" t="s">
        <v>1352</v>
      </c>
      <c r="G209" s="37" t="s">
        <v>1</v>
      </c>
      <c r="H209" s="21">
        <v>0</v>
      </c>
      <c r="I209" s="16"/>
      <c r="J209" s="57"/>
      <c r="K209" s="57"/>
      <c r="L209" s="57"/>
    </row>
    <row r="210" spans="1:12" ht="32">
      <c r="A210" s="26">
        <v>1</v>
      </c>
      <c r="B210" s="12" t="s">
        <v>1669</v>
      </c>
      <c r="C210" s="12" t="s">
        <v>1127</v>
      </c>
      <c r="D210" s="13" t="s">
        <v>81</v>
      </c>
      <c r="E210" s="64" t="s">
        <v>1876</v>
      </c>
      <c r="F210" s="21" t="s">
        <v>1353</v>
      </c>
      <c r="G210" s="61" t="s">
        <v>1</v>
      </c>
      <c r="H210" s="21">
        <v>0</v>
      </c>
      <c r="I210" s="60"/>
      <c r="J210" s="61"/>
      <c r="K210" s="61"/>
      <c r="L210" s="61"/>
    </row>
    <row r="211" spans="1:12" ht="40">
      <c r="A211" s="26">
        <v>1</v>
      </c>
      <c r="B211" s="12" t="s">
        <v>1669</v>
      </c>
      <c r="C211" s="12" t="s">
        <v>1127</v>
      </c>
      <c r="D211" s="13" t="s">
        <v>86</v>
      </c>
      <c r="E211" s="64" t="s">
        <v>1877</v>
      </c>
      <c r="F211" s="21" t="s">
        <v>1354</v>
      </c>
      <c r="G211" s="61" t="s">
        <v>1</v>
      </c>
      <c r="H211" s="21">
        <v>0</v>
      </c>
      <c r="I211" s="60" t="s">
        <v>10</v>
      </c>
      <c r="J211" s="61"/>
      <c r="K211" s="61"/>
      <c r="L211" s="61"/>
    </row>
    <row r="212" spans="1:12" ht="40">
      <c r="A212" s="26">
        <v>1</v>
      </c>
      <c r="B212" s="12" t="s">
        <v>1669</v>
      </c>
      <c r="C212" s="12" t="s">
        <v>1127</v>
      </c>
      <c r="D212" s="13" t="s">
        <v>89</v>
      </c>
      <c r="E212" s="64" t="s">
        <v>1878</v>
      </c>
      <c r="F212" s="21" t="s">
        <v>1355</v>
      </c>
      <c r="G212" s="61" t="s">
        <v>1</v>
      </c>
      <c r="H212" s="21">
        <v>0</v>
      </c>
      <c r="I212" s="60" t="s">
        <v>10</v>
      </c>
      <c r="J212" s="61"/>
      <c r="K212" s="61"/>
      <c r="L212" s="61"/>
    </row>
    <row r="213" spans="1:12" ht="32">
      <c r="A213" s="26">
        <v>1</v>
      </c>
      <c r="B213" s="12" t="s">
        <v>1669</v>
      </c>
      <c r="C213" s="12" t="s">
        <v>1127</v>
      </c>
      <c r="D213" s="13" t="s">
        <v>90</v>
      </c>
      <c r="E213" s="64" t="s">
        <v>1879</v>
      </c>
      <c r="F213" s="21" t="s">
        <v>1389</v>
      </c>
      <c r="G213" s="61" t="s">
        <v>1</v>
      </c>
      <c r="H213" s="21">
        <v>0</v>
      </c>
      <c r="I213" s="60" t="s">
        <v>10</v>
      </c>
      <c r="J213" s="61"/>
      <c r="K213" s="61"/>
      <c r="L213" s="61"/>
    </row>
    <row r="214" spans="1:12" ht="32">
      <c r="A214" s="26">
        <v>1</v>
      </c>
      <c r="B214" s="12" t="s">
        <v>1669</v>
      </c>
      <c r="C214" s="12" t="s">
        <v>1127</v>
      </c>
      <c r="D214" s="13" t="s">
        <v>78</v>
      </c>
      <c r="E214" s="64" t="s">
        <v>1882</v>
      </c>
      <c r="F214" s="21" t="s">
        <v>1356</v>
      </c>
      <c r="G214" s="61" t="s">
        <v>1</v>
      </c>
      <c r="H214" s="21">
        <v>0</v>
      </c>
      <c r="I214" s="60"/>
      <c r="J214" s="61"/>
      <c r="K214" s="61"/>
      <c r="L214" s="61"/>
    </row>
    <row r="215" spans="1:12" ht="40">
      <c r="A215" s="26">
        <v>1</v>
      </c>
      <c r="B215" s="12" t="s">
        <v>1669</v>
      </c>
      <c r="C215" s="12" t="s">
        <v>1127</v>
      </c>
      <c r="D215" s="13" t="s">
        <v>77</v>
      </c>
      <c r="E215" s="64" t="s">
        <v>1881</v>
      </c>
      <c r="F215" s="21" t="s">
        <v>1357</v>
      </c>
      <c r="G215" s="61" t="s">
        <v>1</v>
      </c>
      <c r="H215" s="21">
        <v>0</v>
      </c>
      <c r="I215" s="60"/>
      <c r="J215" s="61"/>
      <c r="K215" s="61"/>
      <c r="L215" s="61"/>
    </row>
    <row r="216" spans="1:12" ht="32">
      <c r="A216" s="26">
        <v>1</v>
      </c>
      <c r="B216" s="12" t="s">
        <v>1669</v>
      </c>
      <c r="C216" s="12" t="s">
        <v>1127</v>
      </c>
      <c r="D216" s="13" t="s">
        <v>79</v>
      </c>
      <c r="E216" s="64" t="s">
        <v>1880</v>
      </c>
      <c r="F216" s="21" t="s">
        <v>1358</v>
      </c>
      <c r="G216" s="61" t="s">
        <v>1</v>
      </c>
      <c r="H216" s="21">
        <v>0</v>
      </c>
      <c r="I216" s="60"/>
      <c r="J216" s="61"/>
      <c r="K216" s="61"/>
      <c r="L216" s="61"/>
    </row>
    <row r="217" spans="1:12" ht="32">
      <c r="A217" s="26">
        <v>1</v>
      </c>
      <c r="B217" s="12" t="s">
        <v>1669</v>
      </c>
      <c r="C217" s="12" t="s">
        <v>1127</v>
      </c>
      <c r="D217" s="13" t="s">
        <v>88</v>
      </c>
      <c r="E217" s="64" t="s">
        <v>1883</v>
      </c>
      <c r="F217" s="21" t="s">
        <v>1599</v>
      </c>
      <c r="G217" s="61" t="s">
        <v>1</v>
      </c>
      <c r="H217" s="21">
        <v>0</v>
      </c>
      <c r="I217" s="60"/>
      <c r="J217" s="61"/>
      <c r="K217" s="61"/>
      <c r="L217" s="61"/>
    </row>
    <row r="218" spans="1:12" ht="40">
      <c r="A218" s="26">
        <v>7</v>
      </c>
      <c r="B218" s="12" t="s">
        <v>1672</v>
      </c>
      <c r="C218" s="12" t="s">
        <v>1383</v>
      </c>
      <c r="D218" s="13" t="s">
        <v>1384</v>
      </c>
      <c r="E218" s="56"/>
      <c r="F218" s="21" t="s">
        <v>1420</v>
      </c>
      <c r="G218" s="57" t="s">
        <v>1673</v>
      </c>
      <c r="H218" s="21">
        <v>0</v>
      </c>
      <c r="I218" s="11"/>
      <c r="J218" s="10"/>
      <c r="K218" s="10"/>
      <c r="L218" s="10"/>
    </row>
    <row r="219" spans="1:12" ht="40">
      <c r="A219" s="26">
        <v>7</v>
      </c>
      <c r="B219" s="12" t="s">
        <v>1672</v>
      </c>
      <c r="C219" s="12" t="s">
        <v>1380</v>
      </c>
      <c r="D219" s="13" t="s">
        <v>44</v>
      </c>
      <c r="E219" s="65" t="s">
        <v>1884</v>
      </c>
      <c r="F219" s="21" t="s">
        <v>1421</v>
      </c>
      <c r="G219" s="57" t="s">
        <v>1592</v>
      </c>
      <c r="H219" s="21">
        <v>0</v>
      </c>
      <c r="I219" s="11"/>
      <c r="J219" s="10"/>
      <c r="K219" s="10"/>
      <c r="L219" s="10"/>
    </row>
    <row r="220" spans="1:12" ht="40">
      <c r="A220" s="26">
        <v>7</v>
      </c>
      <c r="B220" s="12" t="s">
        <v>1672</v>
      </c>
      <c r="C220" s="12" t="s">
        <v>483</v>
      </c>
      <c r="D220" s="13" t="s">
        <v>1195</v>
      </c>
      <c r="E220" s="65" t="s">
        <v>1709</v>
      </c>
      <c r="F220" s="21" t="s">
        <v>1385</v>
      </c>
      <c r="G220" s="57" t="s">
        <v>1592</v>
      </c>
      <c r="H220" s="21"/>
      <c r="I220" s="11"/>
      <c r="J220" s="10"/>
      <c r="K220" s="10"/>
      <c r="L220" s="10"/>
    </row>
    <row r="221" spans="1:12" ht="40">
      <c r="A221" s="26">
        <v>7</v>
      </c>
      <c r="B221" s="12" t="s">
        <v>1672</v>
      </c>
      <c r="C221" s="12" t="s">
        <v>483</v>
      </c>
      <c r="D221" s="13" t="s">
        <v>29</v>
      </c>
      <c r="E221" s="65" t="s">
        <v>1710</v>
      </c>
      <c r="F221" s="21" t="s">
        <v>1424</v>
      </c>
      <c r="G221" s="57" t="s">
        <v>1719</v>
      </c>
      <c r="H221" s="21"/>
      <c r="I221" s="11"/>
      <c r="J221" s="10"/>
      <c r="K221" s="10"/>
      <c r="L221" s="10"/>
    </row>
    <row r="222" spans="1:12" ht="40">
      <c r="A222" s="26">
        <v>7</v>
      </c>
      <c r="B222" s="12" t="s">
        <v>1672</v>
      </c>
      <c r="C222" s="12" t="s">
        <v>483</v>
      </c>
      <c r="D222" s="13" t="s">
        <v>27</v>
      </c>
      <c r="E222" s="65" t="s">
        <v>1711</v>
      </c>
      <c r="F222" s="21" t="s">
        <v>1422</v>
      </c>
      <c r="G222" s="57" t="s">
        <v>1719</v>
      </c>
      <c r="H222" s="21"/>
      <c r="I222" s="11"/>
      <c r="J222" s="10"/>
      <c r="K222" s="10"/>
      <c r="L222" s="10"/>
    </row>
    <row r="223" spans="1:12" ht="40">
      <c r="A223" s="26">
        <v>7</v>
      </c>
      <c r="B223" s="12" t="s">
        <v>1672</v>
      </c>
      <c r="C223" s="12" t="s">
        <v>483</v>
      </c>
      <c r="D223" s="13" t="s">
        <v>28</v>
      </c>
      <c r="E223" s="65" t="s">
        <v>1712</v>
      </c>
      <c r="F223" s="21" t="s">
        <v>1423</v>
      </c>
      <c r="G223" s="57" t="s">
        <v>1592</v>
      </c>
      <c r="H223" s="21"/>
      <c r="I223" s="11"/>
      <c r="J223" s="10"/>
      <c r="K223" s="10"/>
      <c r="L223" s="10"/>
    </row>
    <row r="224" spans="1:12" ht="32">
      <c r="A224" s="26">
        <v>7</v>
      </c>
      <c r="B224" s="12" t="s">
        <v>1672</v>
      </c>
      <c r="C224" s="12" t="s">
        <v>483</v>
      </c>
      <c r="D224" s="13" t="s">
        <v>1674</v>
      </c>
      <c r="E224" s="65" t="s">
        <v>1885</v>
      </c>
      <c r="F224" s="21" t="s">
        <v>1675</v>
      </c>
      <c r="G224" s="57" t="s">
        <v>1718</v>
      </c>
      <c r="H224" s="21"/>
      <c r="I224" s="11"/>
      <c r="J224" s="10"/>
      <c r="K224" s="10"/>
      <c r="L224" s="10"/>
    </row>
    <row r="225" spans="1:12" ht="40">
      <c r="A225" s="26">
        <v>7</v>
      </c>
      <c r="B225" s="12" t="s">
        <v>1672</v>
      </c>
      <c r="C225" s="12" t="s">
        <v>1130</v>
      </c>
      <c r="D225" s="13" t="s">
        <v>1220</v>
      </c>
      <c r="E225" s="65" t="s">
        <v>1886</v>
      </c>
      <c r="F225" s="21" t="s">
        <v>1221</v>
      </c>
      <c r="G225" s="57" t="s">
        <v>1592</v>
      </c>
      <c r="H225" s="21">
        <v>0</v>
      </c>
      <c r="I225" s="11"/>
      <c r="J225" s="10"/>
      <c r="K225" s="10"/>
      <c r="L225" s="10"/>
    </row>
    <row r="226" spans="1:12" ht="20">
      <c r="A226" s="26">
        <v>7</v>
      </c>
      <c r="B226" s="12" t="s">
        <v>1672</v>
      </c>
      <c r="C226" s="12" t="s">
        <v>1381</v>
      </c>
      <c r="D226" s="13" t="s">
        <v>1181</v>
      </c>
      <c r="E226" s="66"/>
      <c r="F226" s="21" t="s">
        <v>1182</v>
      </c>
      <c r="G226" s="57" t="s">
        <v>1592</v>
      </c>
      <c r="H226" s="21">
        <v>0</v>
      </c>
      <c r="I226" s="11"/>
      <c r="J226" s="10"/>
      <c r="K226" s="10"/>
      <c r="L226" s="10"/>
    </row>
    <row r="227" spans="1:12" ht="32">
      <c r="A227" s="26">
        <v>7</v>
      </c>
      <c r="B227" s="12" t="s">
        <v>1672</v>
      </c>
      <c r="C227" s="12" t="s">
        <v>1125</v>
      </c>
      <c r="D227" s="13" t="s">
        <v>43</v>
      </c>
      <c r="E227" s="65" t="s">
        <v>1887</v>
      </c>
      <c r="F227" s="21" t="s">
        <v>1425</v>
      </c>
      <c r="G227" s="57" t="s">
        <v>1</v>
      </c>
      <c r="H227" s="21">
        <v>0</v>
      </c>
      <c r="I227" s="11"/>
      <c r="J227" s="10"/>
      <c r="K227" s="10"/>
      <c r="L227" s="10"/>
    </row>
    <row r="228" spans="1:12" ht="40">
      <c r="A228" s="26">
        <v>7</v>
      </c>
      <c r="B228" s="12" t="s">
        <v>1672</v>
      </c>
      <c r="C228" s="12" t="s">
        <v>1125</v>
      </c>
      <c r="D228" s="13" t="s">
        <v>44</v>
      </c>
      <c r="E228" s="65" t="s">
        <v>1888</v>
      </c>
      <c r="F228" s="21" t="s">
        <v>1426</v>
      </c>
      <c r="G228" s="57" t="s">
        <v>1676</v>
      </c>
      <c r="H228" s="21">
        <v>0</v>
      </c>
      <c r="I228" s="11"/>
      <c r="J228" s="10"/>
      <c r="K228" s="10"/>
      <c r="L228" s="10"/>
    </row>
    <row r="229" spans="1:12" ht="40">
      <c r="A229" s="26">
        <v>7</v>
      </c>
      <c r="B229" s="12" t="s">
        <v>1672</v>
      </c>
      <c r="C229" s="12" t="s">
        <v>1125</v>
      </c>
      <c r="D229" s="13" t="s">
        <v>45</v>
      </c>
      <c r="E229" s="65" t="s">
        <v>1889</v>
      </c>
      <c r="F229" s="21" t="s">
        <v>1299</v>
      </c>
      <c r="G229" s="57" t="s">
        <v>1676</v>
      </c>
      <c r="H229" s="21">
        <v>0</v>
      </c>
      <c r="I229" s="11"/>
      <c r="J229" s="10"/>
      <c r="K229" s="10"/>
      <c r="L229" s="10"/>
    </row>
    <row r="230" spans="1:12" ht="32">
      <c r="A230" s="26">
        <v>7</v>
      </c>
      <c r="B230" s="12" t="s">
        <v>1672</v>
      </c>
      <c r="C230" s="12" t="s">
        <v>1382</v>
      </c>
      <c r="D230" s="13" t="s">
        <v>47</v>
      </c>
      <c r="E230" s="65" t="s">
        <v>1890</v>
      </c>
      <c r="F230" s="21" t="s">
        <v>1677</v>
      </c>
      <c r="G230" s="57" t="s">
        <v>1592</v>
      </c>
      <c r="H230" s="21">
        <v>0</v>
      </c>
      <c r="I230" s="11"/>
      <c r="J230" s="10"/>
      <c r="K230" s="10"/>
      <c r="L230" s="10"/>
    </row>
    <row r="231" spans="1:12" ht="32">
      <c r="A231" s="26">
        <v>7</v>
      </c>
      <c r="B231" s="12" t="s">
        <v>1672</v>
      </c>
      <c r="C231" s="12" t="s">
        <v>1382</v>
      </c>
      <c r="D231" s="13" t="s">
        <v>48</v>
      </c>
      <c r="E231" s="65" t="s">
        <v>1891</v>
      </c>
      <c r="F231" s="21" t="s">
        <v>1678</v>
      </c>
      <c r="G231" s="57" t="s">
        <v>1592</v>
      </c>
      <c r="H231" s="21">
        <v>0</v>
      </c>
      <c r="I231" s="11"/>
      <c r="J231" s="10"/>
      <c r="K231" s="10"/>
      <c r="L231" s="10"/>
    </row>
    <row r="232" spans="1:12" ht="40">
      <c r="A232" s="26">
        <v>7</v>
      </c>
      <c r="B232" s="12" t="s">
        <v>1672</v>
      </c>
      <c r="C232" s="12" t="s">
        <v>1382</v>
      </c>
      <c r="D232" s="13" t="s">
        <v>49</v>
      </c>
      <c r="E232" s="65" t="s">
        <v>1892</v>
      </c>
      <c r="F232" s="21" t="s">
        <v>1679</v>
      </c>
      <c r="G232" s="57" t="s">
        <v>1592</v>
      </c>
      <c r="H232" s="21">
        <v>0</v>
      </c>
      <c r="I232" s="11"/>
      <c r="J232" s="10"/>
      <c r="K232" s="10"/>
      <c r="L232" s="10"/>
    </row>
    <row r="233" spans="1:12" ht="32">
      <c r="A233" s="26">
        <v>7</v>
      </c>
      <c r="B233" s="12" t="s">
        <v>1672</v>
      </c>
      <c r="C233" s="12" t="s">
        <v>1382</v>
      </c>
      <c r="D233" s="13" t="s">
        <v>1680</v>
      </c>
      <c r="E233" s="65" t="s">
        <v>1893</v>
      </c>
      <c r="F233" s="16" t="s">
        <v>1681</v>
      </c>
      <c r="G233" s="57" t="s">
        <v>1592</v>
      </c>
      <c r="H233" s="21">
        <v>0</v>
      </c>
      <c r="I233" s="11"/>
      <c r="J233" s="10"/>
      <c r="K233" s="10"/>
      <c r="L233" s="10"/>
    </row>
    <row r="234" spans="1:12" ht="32">
      <c r="A234" s="26">
        <v>7</v>
      </c>
      <c r="B234" s="12" t="s">
        <v>1672</v>
      </c>
      <c r="C234" s="12" t="s">
        <v>1382</v>
      </c>
      <c r="D234" s="13" t="s">
        <v>50</v>
      </c>
      <c r="E234" s="65" t="s">
        <v>1894</v>
      </c>
      <c r="F234" s="16" t="s">
        <v>1682</v>
      </c>
      <c r="G234" s="57" t="s">
        <v>1592</v>
      </c>
      <c r="H234" s="21">
        <v>0</v>
      </c>
      <c r="I234" s="11"/>
      <c r="J234" s="10"/>
      <c r="K234" s="10"/>
      <c r="L234" s="10"/>
    </row>
    <row r="235" spans="1:12" ht="32">
      <c r="A235" s="26">
        <v>7</v>
      </c>
      <c r="B235" s="12" t="s">
        <v>1672</v>
      </c>
      <c r="C235" s="12" t="s">
        <v>1382</v>
      </c>
      <c r="D235" s="13" t="s">
        <v>51</v>
      </c>
      <c r="E235" s="65" t="s">
        <v>1895</v>
      </c>
      <c r="F235" s="16" t="s">
        <v>1683</v>
      </c>
      <c r="G235" s="57" t="s">
        <v>1592</v>
      </c>
      <c r="H235" s="21">
        <v>0</v>
      </c>
      <c r="I235" s="11"/>
      <c r="J235" s="10"/>
      <c r="K235" s="10"/>
      <c r="L235" s="10"/>
    </row>
    <row r="236" spans="1:12" ht="32">
      <c r="A236" s="26">
        <v>7</v>
      </c>
      <c r="B236" s="12" t="s">
        <v>1672</v>
      </c>
      <c r="C236" s="12" t="s">
        <v>1382</v>
      </c>
      <c r="D236" s="13" t="s">
        <v>52</v>
      </c>
      <c r="E236" s="65" t="s">
        <v>1896</v>
      </c>
      <c r="F236" s="16" t="s">
        <v>1684</v>
      </c>
      <c r="G236" s="57" t="s">
        <v>1592</v>
      </c>
      <c r="H236" s="21">
        <v>0</v>
      </c>
      <c r="I236" s="11"/>
      <c r="J236" s="10"/>
      <c r="K236" s="10"/>
      <c r="L236" s="10"/>
    </row>
  </sheetData>
  <autoFilter ref="A2:N212" xr:uid="{B9E34E1A-2B0E-934D-ADAF-3AFF0D17A5FB}">
    <sortState xmlns:xlrd2="http://schemas.microsoft.com/office/spreadsheetml/2017/richdata2" ref="A3:N212">
      <sortCondition ref="A2:A212"/>
    </sortState>
  </autoFilter>
  <mergeCells count="1">
    <mergeCell ref="K1:M1"/>
  </mergeCells>
  <conditionalFormatting sqref="G185:G209 G21:G182">
    <cfRule type="iconSet" priority="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I159">
    <cfRule type="iconSet" priority="2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I160">
    <cfRule type="iconSet" priority="1">
      <iconSet iconSet="4TrafficLights" showValue="0">
        <cfvo type="percent" val="0"/>
        <cfvo type="num" val="1"/>
        <cfvo type="num" val="2"/>
        <cfvo type="num" val="3"/>
      </iconSet>
    </cfRule>
  </conditionalFormatting>
  <hyperlinks>
    <hyperlink ref="E4" r:id="rId1" location="/Groups_GetGroupEntitlements" xr:uid="{6DFA86AD-BBE4-0040-84EF-932EAE2E0905}"/>
    <hyperlink ref="E6" r:id="rId2" location="/Groups_GetGroupRecords" xr:uid="{DEFE9984-4E67-1F47-AD99-C026E788795A}"/>
    <hyperlink ref="E3" r:id="rId3" xr:uid="{6EFE8A61-976D-5947-8B1A-A370254619D9}"/>
    <hyperlink ref="E9" r:id="rId4" xr:uid="{7A33976E-7F19-F641-8DF2-543FF93CDEB9}"/>
    <hyperlink ref="E11" r:id="rId5" xr:uid="{6032B24E-416A-0246-9509-AE69AA4160CD}"/>
    <hyperlink ref="E10" r:id="rId6" xr:uid="{E40BA039-86A7-B943-A6F3-534B4A18BF15}"/>
    <hyperlink ref="E7" r:id="rId7" xr:uid="{9EA37B86-2C94-0846-A0DF-DB6001AF342F}"/>
    <hyperlink ref="E13" r:id="rId8" xr:uid="{082227E2-2355-DC42-92BA-141E2E6FF2D7}"/>
    <hyperlink ref="E14" r:id="rId9" xr:uid="{3E780F45-D8BE-5B44-B14B-FE9FF4A3BCB8}"/>
    <hyperlink ref="E15" r:id="rId10" xr:uid="{A89B98EF-AB85-B045-8C21-D4E6B6D3E64B}"/>
    <hyperlink ref="E20" r:id="rId11" xr:uid="{66F8B1B9-1CFE-C24F-B8B2-FA4A27E20689}"/>
    <hyperlink ref="E8" r:id="rId12" xr:uid="{A57B8512-0235-5F40-BF06-825C0B486FB9}"/>
    <hyperlink ref="E5" r:id="rId13" xr:uid="{E8270381-2A19-1543-B9E8-102512FEA24E}"/>
    <hyperlink ref="E12" r:id="rId14" xr:uid="{131B1A9F-4115-3F49-B5D4-FF84242BE6E8}"/>
    <hyperlink ref="E16" r:id="rId15" xr:uid="{E3700531-22A2-CE46-93CE-971529965D27}"/>
    <hyperlink ref="E17" r:id="rId16" xr:uid="{882306F2-9F6B-244E-A4DA-9969DDD98F5D}"/>
    <hyperlink ref="E18" r:id="rId17" xr:uid="{DEB9A2CC-6805-3243-A40D-983C2637D409}"/>
    <hyperlink ref="E19" r:id="rId18" xr:uid="{15B04EE0-C5E0-374E-9373-068FBD2A23FE}"/>
    <hyperlink ref="E22" r:id="rId19" xr:uid="{70902578-508F-7A4B-B938-5CE4799FC2E2}"/>
    <hyperlink ref="E23" r:id="rId20" xr:uid="{54EA9767-5FB5-A741-AB80-8421FE465095}"/>
    <hyperlink ref="E21" r:id="rId21" xr:uid="{D169F9E4-BCE9-AA4F-9577-6623179D5DB3}"/>
    <hyperlink ref="E24" r:id="rId22" xr:uid="{E73058E1-7185-9440-950E-9F53B0409B97}"/>
    <hyperlink ref="E26" r:id="rId23" xr:uid="{775EAAB3-1C93-4E46-9D11-6B8835475529}"/>
    <hyperlink ref="E25" r:id="rId24" xr:uid="{55CDDBEA-9154-0144-A6A5-59FC5388BA5B}"/>
    <hyperlink ref="E27" r:id="rId25" xr:uid="{B42E9A27-41C9-F246-AD07-73729E8B0004}"/>
    <hyperlink ref="E132" r:id="rId26" xr:uid="{816B5614-9616-A14E-A938-5A2542AE250D}"/>
    <hyperlink ref="E28" r:id="rId27" xr:uid="{C275B5AB-D4E7-4443-A18B-4BB8C3AA271D}"/>
    <hyperlink ref="E29" r:id="rId28" xr:uid="{28C2AF72-C2D4-B14B-9663-16B3B1AC11B7}"/>
    <hyperlink ref="E30" r:id="rId29" xr:uid="{556BC267-DE3B-BA47-A5EF-724BF374F6B9}"/>
    <hyperlink ref="E32" r:id="rId30" xr:uid="{FEBDA3DD-5367-BA47-83B3-D42F88D3B811}"/>
    <hyperlink ref="E33" r:id="rId31" xr:uid="{60C6DDCF-05F0-D84E-BDD4-1B419C29AE6C}"/>
    <hyperlink ref="E34" r:id="rId32" xr:uid="{7F23F7D2-4040-0D4C-8F19-50DEA2ED60D1}"/>
    <hyperlink ref="E35" r:id="rId33" xr:uid="{00B0E348-6C91-9B46-9C83-7E727D9E6369}"/>
    <hyperlink ref="E36" r:id="rId34" xr:uid="{78348275-38C5-0B4D-8110-3FED043663D4}"/>
    <hyperlink ref="E37" r:id="rId35" xr:uid="{CF72C59E-B148-D040-AEA1-F1276570326C}"/>
    <hyperlink ref="E39" r:id="rId36" xr:uid="{F73ED9F8-3CF8-C243-8C55-98C6912846BE}"/>
    <hyperlink ref="E40" r:id="rId37" xr:uid="{E0F0E2A1-BC60-694B-9305-8084F875FAF3}"/>
    <hyperlink ref="E41" r:id="rId38" xr:uid="{F3618554-F3E0-ED43-AAEF-39F16CE595AE}"/>
    <hyperlink ref="E42" r:id="rId39" xr:uid="{EE235578-492D-5E4E-A4CC-7C5E61C67D15}"/>
    <hyperlink ref="E43" r:id="rId40" xr:uid="{75F6D420-A9D7-9846-9BE9-6527DE498E3C}"/>
    <hyperlink ref="E44" r:id="rId41" xr:uid="{10C028AD-B394-1A4A-A794-51E7E032BD08}"/>
    <hyperlink ref="E45" r:id="rId42" xr:uid="{0A7175C1-B279-844D-A04E-5E5D51E40C6E}"/>
    <hyperlink ref="E46" r:id="rId43" xr:uid="{961B627F-0087-B449-838F-8FC7929F17F6}"/>
    <hyperlink ref="E47" r:id="rId44" xr:uid="{4254C4E6-0FC7-2A4A-B8EB-F024CC162301}"/>
    <hyperlink ref="E31" r:id="rId45" xr:uid="{DAAD00EE-D62C-A941-A5E8-B28653466A08}"/>
    <hyperlink ref="E38" r:id="rId46" xr:uid="{23F5D7A8-4521-3447-95E2-E46CCB9315CD}"/>
    <hyperlink ref="E48" r:id="rId47" xr:uid="{7FBD0643-9623-DD45-BB91-60C946EBC36E}"/>
    <hyperlink ref="E49" r:id="rId48" xr:uid="{1D932A8C-D3A2-FA45-A232-846E104BA391}"/>
    <hyperlink ref="E50" r:id="rId49" xr:uid="{8FA150CE-905E-8048-9B75-E798CFAF1D17}"/>
    <hyperlink ref="E51" r:id="rId50" xr:uid="{15A7530A-E7E1-F342-BB82-D30E1DD25ACD}"/>
    <hyperlink ref="E52" r:id="rId51" xr:uid="{C7F202BF-3A16-FA46-AD2C-8BD28DE0725E}"/>
    <hyperlink ref="E53" r:id="rId52" xr:uid="{52C8D7FA-E88F-7447-B82A-F72B8CB8F648}"/>
    <hyperlink ref="E54" r:id="rId53" xr:uid="{51570A60-DC84-6D40-8F12-4AEBA93B5908}"/>
    <hyperlink ref="E55" r:id="rId54" xr:uid="{9EB2A53A-7CBC-B54B-9966-864BC33B75F0}"/>
    <hyperlink ref="E56" r:id="rId55" xr:uid="{5B7F1807-B4EE-5B44-9FEE-32A203082553}"/>
    <hyperlink ref="E57" r:id="rId56" xr:uid="{0C43372C-4A4F-3D44-A77D-06AFF8A018D6}"/>
    <hyperlink ref="E58" r:id="rId57" xr:uid="{93EA771D-00FB-CB43-96B1-01A17FBA13DB}"/>
    <hyperlink ref="E59" r:id="rId58" xr:uid="{112C1927-07B1-274C-A831-5B13093883AF}"/>
    <hyperlink ref="E60" r:id="rId59" xr:uid="{5D66BCFB-9DFF-C443-BE05-FF260F6892E8}"/>
    <hyperlink ref="E61" r:id="rId60" xr:uid="{EEC9DC8D-905B-8240-B68B-5A831805B270}"/>
    <hyperlink ref="E62" r:id="rId61" xr:uid="{DF212C6C-E710-1149-8976-CBBAA2A3293F}"/>
    <hyperlink ref="E63" r:id="rId62" xr:uid="{2FF7DB42-F507-AF43-A9DB-E3F0E2E93F95}"/>
    <hyperlink ref="E64" r:id="rId63" xr:uid="{00CC4B92-65C3-BF4A-AEFA-04045C5E6754}"/>
    <hyperlink ref="E70" r:id="rId64" xr:uid="{BFFB2400-97B6-0A42-BC5C-FBF72849DDC7}"/>
    <hyperlink ref="E65" r:id="rId65" xr:uid="{0A5FE317-99F3-E34A-AC5D-4F12CF81557A}"/>
    <hyperlink ref="E66" r:id="rId66" xr:uid="{7D488D17-CA4B-3543-A4C1-B62DDA2C3802}"/>
    <hyperlink ref="E67" r:id="rId67" xr:uid="{ABEBFFC7-2565-D344-A53E-857DE0D08D51}"/>
    <hyperlink ref="E68" r:id="rId68" xr:uid="{9700F148-53D1-654E-B2E8-71E4184821D8}"/>
    <hyperlink ref="E69" r:id="rId69" xr:uid="{C574E933-64D4-C147-9084-66C79D8B85A7}"/>
    <hyperlink ref="E71" r:id="rId70" xr:uid="{0B976159-39EA-A241-AB0E-FA74A0FEEEFF}"/>
    <hyperlink ref="E72" r:id="rId71" xr:uid="{C44972F7-F43F-2542-A74F-9BB6E809C3DE}"/>
    <hyperlink ref="E73" r:id="rId72" xr:uid="{E2F530E6-9361-5D40-BB69-A30F09D52131}"/>
    <hyperlink ref="E74" r:id="rId73" xr:uid="{4C76D90C-EC65-CB4C-820F-8147202626FE}"/>
    <hyperlink ref="E75" r:id="rId74" xr:uid="{02F9F876-5E8F-F548-958B-40C3D53BA1A1}"/>
    <hyperlink ref="E76" r:id="rId75" xr:uid="{EB9BE756-B1AA-8E45-A882-DADF1818A8FE}"/>
    <hyperlink ref="E77" r:id="rId76" xr:uid="{52698AED-F2FF-FA4C-9420-0DAD55101759}"/>
    <hyperlink ref="E78" r:id="rId77" xr:uid="{C06D49BF-1C47-EE48-8CEB-5945DB7F71B1}"/>
    <hyperlink ref="E79" r:id="rId78" xr:uid="{7F05578C-DB8A-C442-A720-42051199A433}"/>
    <hyperlink ref="E80" r:id="rId79" xr:uid="{12430394-F0CC-0943-A344-18FE479291BD}"/>
    <hyperlink ref="E81" r:id="rId80" xr:uid="{EDF5A996-5D48-784B-AD04-44C57D6421C1}"/>
    <hyperlink ref="E83" r:id="rId81" xr:uid="{C7DFF553-41EF-AF43-9154-8ABDB83142C9}"/>
    <hyperlink ref="E84" r:id="rId82" xr:uid="{35318CDC-836B-224D-9A55-A35D32B109AD}"/>
    <hyperlink ref="E85" r:id="rId83" xr:uid="{EE5D4B8D-A9A7-7849-BB35-B094E8EE2AAE}"/>
    <hyperlink ref="E86" r:id="rId84" xr:uid="{A309F6C9-9602-0E48-BC53-75E9A0A3A43C}"/>
    <hyperlink ref="E87" r:id="rId85" xr:uid="{A34753B9-C3D9-704C-BC44-0468C4E857BF}"/>
    <hyperlink ref="E88" r:id="rId86" xr:uid="{9477A94D-5F21-0C49-9BE7-24892905519F}"/>
    <hyperlink ref="E89" r:id="rId87" xr:uid="{5055342B-C97D-7142-BF7B-D4CF3F677C3B}"/>
    <hyperlink ref="E90" r:id="rId88" xr:uid="{28E3E673-9D3C-4C4C-94C7-50685C1EDF87}"/>
    <hyperlink ref="E91" r:id="rId89" xr:uid="{61C0C410-7510-9548-AB40-2BA99D343B6B}"/>
    <hyperlink ref="E92" r:id="rId90" xr:uid="{28A5DE59-2918-EC40-A912-8C237368D98A}"/>
    <hyperlink ref="E93" r:id="rId91" xr:uid="{94D2D413-9178-8343-8FE6-3847DD9A8879}"/>
    <hyperlink ref="E94" r:id="rId92" xr:uid="{65151C91-5945-5D41-A638-BF89AE7B2D7F}"/>
    <hyperlink ref="E95" r:id="rId93" xr:uid="{BAE33401-7B68-FA46-9928-B4750CF9B91F}"/>
    <hyperlink ref="E82" r:id="rId94" xr:uid="{88665F43-F19F-8743-B79C-7A9037883E2E}"/>
    <hyperlink ref="E96" r:id="rId95" xr:uid="{91B5274A-516A-C548-9D58-8382A3D99B81}"/>
    <hyperlink ref="E97" r:id="rId96" xr:uid="{32EABAC6-3E81-4541-89D4-807232C2344C}"/>
    <hyperlink ref="E98" r:id="rId97" xr:uid="{A466100B-C4F1-294C-8C99-EA744FEEA4DC}"/>
    <hyperlink ref="E99" r:id="rId98" xr:uid="{256CEAF4-33D4-C341-81E2-AD60498E76D4}"/>
    <hyperlink ref="E100" r:id="rId99" xr:uid="{6096B6F3-F05D-1640-912A-7F218166C11E}"/>
    <hyperlink ref="E101" r:id="rId100" xr:uid="{88A26872-A2E6-AD42-B68D-0034FC50BF87}"/>
    <hyperlink ref="E102" r:id="rId101" xr:uid="{9329BDE5-F57E-7547-B546-9438F996AD90}"/>
    <hyperlink ref="E103" r:id="rId102" xr:uid="{1944E335-D818-644D-8C23-3BAA98F59604}"/>
    <hyperlink ref="E104" r:id="rId103" xr:uid="{707D6356-7719-0647-A34B-4D1264890615}"/>
    <hyperlink ref="E105" r:id="rId104" xr:uid="{F7CC10F5-F8DF-EB4E-91BE-DBCA12DAF45A}"/>
    <hyperlink ref="E106" r:id="rId105" xr:uid="{21C1A790-C016-C148-A0E5-DC437844CC7C}"/>
    <hyperlink ref="E107" r:id="rId106" xr:uid="{D78B4003-7962-6243-8039-59E6AEB371D4}"/>
    <hyperlink ref="E108" r:id="rId107" xr:uid="{A1A46053-8F44-AB4D-B86B-97D482435DEB}"/>
    <hyperlink ref="E109" r:id="rId108" xr:uid="{D73035CB-F9CE-3847-A9AD-B30CB69368A8}"/>
    <hyperlink ref="E110" r:id="rId109" xr:uid="{B6337B18-AF08-3E46-B6EA-76B9724FC0FD}"/>
    <hyperlink ref="E111" r:id="rId110" xr:uid="{65EF06AB-12F3-094C-BE9B-03F53D5C2FA2}"/>
    <hyperlink ref="E120" r:id="rId111" xr:uid="{3221A239-E587-F74A-A94F-1E144240193F}"/>
    <hyperlink ref="E121" r:id="rId112" xr:uid="{AD9C2DE6-A84E-1441-A65D-E02C625186DD}"/>
    <hyperlink ref="E122" r:id="rId113" xr:uid="{FF48854B-DBBE-D746-BEA3-1656824DBCAC}"/>
    <hyperlink ref="E123" r:id="rId114" xr:uid="{6AC39D3F-0DFA-274B-B481-FE5E614872E6}"/>
    <hyperlink ref="E124" r:id="rId115" xr:uid="{0BD7A09C-5349-2049-8BF7-3043116D9E0E}"/>
    <hyperlink ref="E125" r:id="rId116" xr:uid="{1DD259D6-F9E5-974D-9208-A206E12220AC}"/>
    <hyperlink ref="E126" r:id="rId117" xr:uid="{94C2F62B-2345-3A47-9064-17E46245A1FB}"/>
    <hyperlink ref="E127" r:id="rId118" location="/Account_Requests_CreateTravelNotification" xr:uid="{E979833B-498E-5E49-A8B7-F5D19638FB02}"/>
    <hyperlink ref="E128" r:id="rId119" location="/Account_Requests_DeleteTravelNotification" xr:uid="{079AE9F7-5688-A741-8B1F-1FBFBD27E164}"/>
    <hyperlink ref="E129" r:id="rId120" location="/Account_Requests_GetTravelNotification" xr:uid="{06DD5AB4-5058-0449-908E-DB153A30F145}"/>
    <hyperlink ref="E130" r:id="rId121" location="/Account_Requests_GetTravelNotificationStatus" xr:uid="{1D4D365B-08BE-9B40-A86B-87C01DF2418A}"/>
    <hyperlink ref="E131" r:id="rId122" location="/Account_Requests_UpdateTravelNotification" xr:uid="{A8E028DD-2C8C-8345-8514-C5D97BA0FB74}"/>
    <hyperlink ref="E133" r:id="rId123" xr:uid="{884BDEAA-1EF9-B243-9749-01012BB35B9D}"/>
    <hyperlink ref="E134" r:id="rId124" xr:uid="{EC7639CF-C99B-B549-868A-BF6438BAFB0F}"/>
    <hyperlink ref="E135" r:id="rId125" xr:uid="{3A74655B-56D7-C443-AD88-6A531D3E80A6}"/>
    <hyperlink ref="E136" r:id="rId126" xr:uid="{1168FBA5-FD70-164A-BAAA-F88403FC899D}"/>
    <hyperlink ref="E137" r:id="rId127" xr:uid="{AF8F92E9-E461-7047-A0D0-72FC848C595B}"/>
    <hyperlink ref="E138" r:id="rId128" xr:uid="{C9323A76-48DE-5C41-942D-D390E2B795C9}"/>
    <hyperlink ref="E139" r:id="rId129" xr:uid="{2E006F63-A32E-4E47-955E-B756E761C049}"/>
    <hyperlink ref="E140" r:id="rId130" xr:uid="{ED14FE53-4E0F-1D42-9801-ED0A9599C4EF}"/>
    <hyperlink ref="E141" r:id="rId131" xr:uid="{99B4B4C6-2A29-7041-BC6C-850ED1033630}"/>
    <hyperlink ref="E142" r:id="rId132" xr:uid="{AA1C8BE2-670A-B444-895A-E281EE6D7B7E}"/>
    <hyperlink ref="E143" r:id="rId133" xr:uid="{19899CC9-5934-F747-9738-5A12ED09A6ED}"/>
    <hyperlink ref="E144" r:id="rId134" xr:uid="{6CE42CEA-CC49-8B42-95B8-F58A7E6D509A}"/>
    <hyperlink ref="E145" r:id="rId135" xr:uid="{F5234014-8050-A141-B3C2-A9396A50944C}"/>
    <hyperlink ref="E146" r:id="rId136" xr:uid="{5C63B8CA-8C29-114F-AFDD-D90FC07A9027}"/>
    <hyperlink ref="E147" r:id="rId137" xr:uid="{96A0018A-9076-A04E-82F1-609084522BA4}"/>
    <hyperlink ref="E148" r:id="rId138" xr:uid="{514A14AA-CD0A-5444-BF61-AFE974BE6628}"/>
    <hyperlink ref="E149" r:id="rId139" xr:uid="{1972946D-DA14-6E48-9063-19F60B6E89C3}"/>
    <hyperlink ref="E150" r:id="rId140" xr:uid="{AAD0EE99-B9AF-EE42-A7B6-300D157D9460}"/>
    <hyperlink ref="E151" r:id="rId141" xr:uid="{4D5B60F9-59CF-7C45-8179-FE6634810291}"/>
    <hyperlink ref="E152" r:id="rId142" xr:uid="{9D7FF114-A933-4541-BFE0-5CF5E04DC2AD}"/>
    <hyperlink ref="E156" r:id="rId143" xr:uid="{18FF9953-70A0-344E-AB5D-A2DD96426D4A}"/>
    <hyperlink ref="E157" r:id="rId144" xr:uid="{02451952-A4F3-DA4C-B8DE-B9FA8F09D11F}"/>
    <hyperlink ref="E158" r:id="rId145" xr:uid="{DEA16CDD-D492-3C4D-8F21-E46083DC8B3A}"/>
    <hyperlink ref="E159" r:id="rId146" xr:uid="{CF53A34B-433D-894C-A2C8-0F3672890282}"/>
    <hyperlink ref="E160" r:id="rId147" xr:uid="{2B637F77-1DC3-084F-8064-7CEB48F4C417}"/>
    <hyperlink ref="E161" r:id="rId148" xr:uid="{FB61C26D-70FC-0644-9E05-EBF826DE9996}"/>
    <hyperlink ref="E162" r:id="rId149" xr:uid="{EB0C1A79-1538-6243-8B73-B91D5065B8D9}"/>
    <hyperlink ref="E163" r:id="rId150" xr:uid="{C1634F71-0597-084A-B9B2-D89DB2BB2833}"/>
    <hyperlink ref="E164" r:id="rId151" xr:uid="{A3E31053-1086-0346-A29A-4792B4066569}"/>
    <hyperlink ref="E165" r:id="rId152" xr:uid="{D87D5A47-FA3F-9145-8E37-AA6581F278CB}"/>
    <hyperlink ref="E166" r:id="rId153" xr:uid="{6E5EE33F-BB1D-8E43-8243-6099E4DB00A4}"/>
    <hyperlink ref="E167" r:id="rId154" xr:uid="{9E2C2554-BF71-C745-8D40-AADEB3BA8F08}"/>
    <hyperlink ref="E168" r:id="rId155" xr:uid="{27B48829-4E68-5D4F-AFB4-9394A9D15BB5}"/>
    <hyperlink ref="E169" r:id="rId156" xr:uid="{E5A6F942-0853-3E4F-A79D-0324315FC7E8}"/>
    <hyperlink ref="E170" r:id="rId157" xr:uid="{D9C1C7BD-61D5-D247-8D65-08408240B785}"/>
    <hyperlink ref="E171" r:id="rId158" xr:uid="{29205F0A-4916-7044-AFD6-B8EC84814283}"/>
    <hyperlink ref="E172" r:id="rId159" xr:uid="{E4CA0B12-2D01-4A41-9B80-4B0FA98A3C58}"/>
    <hyperlink ref="E173" r:id="rId160" xr:uid="{57CFD907-7FCC-1348-B10D-4E818050E307}"/>
    <hyperlink ref="E174" r:id="rId161" xr:uid="{19E43256-7DBA-4C4B-9ED5-01F066489C05}"/>
    <hyperlink ref="E175" r:id="rId162" xr:uid="{E6B901BB-0570-A247-A509-271F3FDB7477}"/>
    <hyperlink ref="E176" r:id="rId163" xr:uid="{6154E6F5-695F-754B-97E1-8CA38E012021}"/>
    <hyperlink ref="E177" r:id="rId164" xr:uid="{506279B5-DB79-FD4D-BBE4-1B6895269CAC}"/>
    <hyperlink ref="E178" r:id="rId165" xr:uid="{425EAE34-F674-4B45-960D-2E6A62E544E1}"/>
    <hyperlink ref="E179" r:id="rId166" xr:uid="{4BA81D74-1DD1-2B44-BB9B-4E6987CEDC10}"/>
    <hyperlink ref="E180" r:id="rId167" xr:uid="{93A4E011-BB72-4A47-80F7-7F3FF9F94E89}"/>
    <hyperlink ref="E181" r:id="rId168" xr:uid="{0B0F4547-C4EA-EB43-A18B-BBDF6663C7A2}"/>
    <hyperlink ref="E182" r:id="rId169" xr:uid="{FE60EFCB-0CD3-3E40-8A10-86CDBED0413D}"/>
    <hyperlink ref="E183" r:id="rId170" xr:uid="{33CCC143-35F6-224D-8B00-15549DEA17CD}"/>
    <hyperlink ref="E184" r:id="rId171" xr:uid="{B68B27A4-EEF2-5B42-B9DC-89B9F2EDDEFD}"/>
    <hyperlink ref="E185" r:id="rId172" xr:uid="{82414ACB-D4CA-B745-B4E5-D3B541415D47}"/>
    <hyperlink ref="E186" r:id="rId173" display="https://konydocs.atlassian.net/wiki/spaces/ARBD/pages/1031733733/getUserTransaction+Java+Integration+Service" xr:uid="{FDAF596D-4341-4F45-BBC5-128CEA118A6A}"/>
    <hyperlink ref="E187" r:id="rId174" xr:uid="{36199230-ED13-F045-93F6-4C46C62D838E}"/>
    <hyperlink ref="E188" r:id="rId175" xr:uid="{C3984ECD-76E7-724D-95C0-2C6891968E89}"/>
    <hyperlink ref="E189" r:id="rId176" xr:uid="{93540A7B-CB5B-9546-AA9B-CC883E8F355D}"/>
    <hyperlink ref="E190" r:id="rId177" xr:uid="{AF813200-F265-584C-A009-421C66FBD22F}"/>
    <hyperlink ref="E191" r:id="rId178" xr:uid="{A3CBAD17-AE71-2544-8D70-2305CB932418}"/>
    <hyperlink ref="E198" r:id="rId179" xr:uid="{DEC67A72-FFD2-1E40-BBD1-6619AD8BB939}"/>
    <hyperlink ref="E199" r:id="rId180" xr:uid="{F37459BE-7C02-9647-80EE-88701F031905}"/>
    <hyperlink ref="E200" r:id="rId181" xr:uid="{E5C4B230-AACF-594B-A455-F8443BD7879A}"/>
    <hyperlink ref="E201" r:id="rId182" xr:uid="{03132639-9A37-664B-BEB8-002C0760A253}"/>
    <hyperlink ref="E202" r:id="rId183" xr:uid="{CD46EBA6-F55E-094D-BC70-7BB9C80F0CE3}"/>
    <hyperlink ref="E203" r:id="rId184" xr:uid="{51110280-B6AC-2147-9B11-5247F0BAFCB9}"/>
    <hyperlink ref="E204" r:id="rId185" xr:uid="{74B49633-BBDC-904B-94BE-4F6831723DDB}"/>
    <hyperlink ref="E205" r:id="rId186" xr:uid="{866B12ED-7AE1-2649-9445-D5E36EAC6D07}"/>
    <hyperlink ref="E206" r:id="rId187" xr:uid="{C605AE73-E789-604C-ADCF-296CCFD48FE5}"/>
    <hyperlink ref="E207" r:id="rId188" xr:uid="{7DE29500-06E4-3C46-BD44-F962FF37E9C7}"/>
    <hyperlink ref="E208" r:id="rId189" xr:uid="{5ED4433C-A942-D148-A671-8A7493C5B073}"/>
    <hyperlink ref="E209" r:id="rId190" xr:uid="{DD72167B-7189-1241-BB10-25E8E77CF2B0}"/>
    <hyperlink ref="E210" r:id="rId191" xr:uid="{EB4B0594-D67B-1F44-AB9C-0623D2F3C8FC}"/>
    <hyperlink ref="E211" r:id="rId192" xr:uid="{63AFF474-1889-C04C-B044-7F72B00C7BD1}"/>
    <hyperlink ref="E212" r:id="rId193" xr:uid="{D6E45812-FEC3-EF45-907E-F2C75CD1D6FE}"/>
    <hyperlink ref="E213" r:id="rId194" xr:uid="{CFF2A66F-CF47-434B-A40A-94D71F91C945}"/>
    <hyperlink ref="E214" r:id="rId195" xr:uid="{0E4EE2E6-09C6-DB40-AABC-9628F3264848}"/>
    <hyperlink ref="E215" r:id="rId196" xr:uid="{0B7EB08B-A0BB-E74D-BF2C-217CCBDEEC9F}"/>
    <hyperlink ref="E216" r:id="rId197" xr:uid="{7DD42357-A31F-014D-91AF-28F7F8773FD0}"/>
    <hyperlink ref="E217" r:id="rId198" xr:uid="{C38F8773-7BD9-9842-ADB5-144F3F1A9907}"/>
    <hyperlink ref="E219" r:id="rId199" xr:uid="{6CA057C7-4928-224E-A34F-5D26D27FE08A}"/>
    <hyperlink ref="E220" r:id="rId200" xr:uid="{F6F01EBE-D1DE-BC4C-956E-7183FFC69FFB}"/>
    <hyperlink ref="E221" r:id="rId201" xr:uid="{6612F665-8C05-A54A-8981-864D9ACA544E}"/>
    <hyperlink ref="E222" r:id="rId202" xr:uid="{23BBA9C2-F3B1-AF4E-9181-5A5CC3E3BFBA}"/>
    <hyperlink ref="E223" r:id="rId203" xr:uid="{AA4348BD-26D4-2349-B028-A5FBE470FD5B}"/>
    <hyperlink ref="E224" r:id="rId204" xr:uid="{0EB89514-2D1D-084D-B587-F6630888715D}"/>
    <hyperlink ref="E225" r:id="rId205" xr:uid="{29A51426-4E49-B540-A541-736EAB9947DF}"/>
    <hyperlink ref="E227" r:id="rId206" xr:uid="{E717B4D5-E4C7-BC49-84A5-CCE7AB411D9C}"/>
    <hyperlink ref="E228" r:id="rId207" xr:uid="{56E8C822-2E1E-E441-807C-BB664AA7B739}"/>
    <hyperlink ref="E229" r:id="rId208" xr:uid="{75ABE352-D48B-8344-8674-BA3DD4C90A50}"/>
    <hyperlink ref="E230" r:id="rId209" xr:uid="{7BE97899-0617-324A-BD09-71958794144D}"/>
    <hyperlink ref="E231" r:id="rId210" xr:uid="{1DA5EB91-475B-1A4A-B433-3B9F137F56DC}"/>
    <hyperlink ref="E232" r:id="rId211" xr:uid="{4DFF97FC-213C-0B47-91A9-030500070BE3}"/>
    <hyperlink ref="E233" r:id="rId212" xr:uid="{705F92B2-DD7F-CD49-80D9-FDB839EF453A}"/>
    <hyperlink ref="E234" r:id="rId213" xr:uid="{BEDF33C4-9478-244E-A22A-5ACB1488B5CD}"/>
    <hyperlink ref="E235" r:id="rId214" xr:uid="{011ABAAA-D891-A943-BA59-CBB0B47C0BE0}"/>
    <hyperlink ref="E236" r:id="rId215" xr:uid="{C1AFC8FE-5811-2049-A84E-DBCFC64EA61B}"/>
    <hyperlink ref="E112" r:id="rId216" xr:uid="{993FEC8B-866B-FD44-9EDB-4DD5E0625B86}"/>
    <hyperlink ref="E113" r:id="rId217" xr:uid="{680C1AE3-907D-1242-BEBB-006DD6B9DCED}"/>
    <hyperlink ref="E114" r:id="rId218" xr:uid="{64D3E9CE-661F-0747-A17C-5FD0F70136CA}"/>
    <hyperlink ref="E115" r:id="rId219" xr:uid="{81CB659C-972D-4841-9CDD-65237A40A0A1}"/>
    <hyperlink ref="E116" r:id="rId220" xr:uid="{CD26E185-9A3D-4542-B6B5-04810BF96E80}"/>
    <hyperlink ref="E117" r:id="rId221" xr:uid="{A7E4801E-74F9-184D-99C9-48CCF3CAC136}"/>
    <hyperlink ref="E118" r:id="rId222" xr:uid="{869A8781-D137-5F46-AEA0-2DC6AB1BC659}"/>
    <hyperlink ref="E119" r:id="rId223" xr:uid="{C084DACF-C6C5-124F-BA50-1B2ACED1364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814A-3859-D84F-AC76-C93738F1A87C}">
  <dimension ref="A1:M63"/>
  <sheetViews>
    <sheetView tabSelected="1" workbookViewId="0">
      <selection activeCell="D24" sqref="D24"/>
    </sheetView>
  </sheetViews>
  <sheetFormatPr baseColWidth="10" defaultRowHeight="19"/>
  <cols>
    <col min="1" max="1" width="16.6640625" style="52" bestFit="1" customWidth="1"/>
    <col min="2" max="2" width="22.5" style="45" bestFit="1" customWidth="1"/>
    <col min="3" max="3" width="20.6640625" style="45" bestFit="1" customWidth="1"/>
    <col min="4" max="4" width="41.1640625" style="45" customWidth="1"/>
    <col min="5" max="5" width="75.83203125" style="46" customWidth="1"/>
    <col min="6" max="6" width="23.83203125" style="45" customWidth="1"/>
    <col min="7" max="7" width="13.6640625" style="45" bestFit="1" customWidth="1"/>
    <col min="8" max="8" width="21.5" style="45" customWidth="1"/>
    <col min="9" max="9" width="22.33203125" style="45" customWidth="1"/>
    <col min="10" max="16384" width="10.83203125" style="45"/>
  </cols>
  <sheetData>
    <row r="1" spans="1:13">
      <c r="J1" s="77" t="s">
        <v>1448</v>
      </c>
      <c r="K1" s="77"/>
      <c r="L1" s="77"/>
    </row>
    <row r="2" spans="1:13" ht="22" customHeight="1">
      <c r="A2" s="25" t="s">
        <v>1542</v>
      </c>
      <c r="B2" s="19" t="s">
        <v>1134</v>
      </c>
      <c r="C2" s="19" t="s">
        <v>1374</v>
      </c>
      <c r="D2" s="28" t="s">
        <v>1135</v>
      </c>
      <c r="E2" s="28" t="s">
        <v>12</v>
      </c>
      <c r="F2" s="20" t="s">
        <v>1373</v>
      </c>
      <c r="G2" s="19" t="s">
        <v>1387</v>
      </c>
      <c r="H2" s="20" t="s">
        <v>1447</v>
      </c>
      <c r="I2" s="19" t="s">
        <v>1133</v>
      </c>
      <c r="J2" s="19" t="s">
        <v>1136</v>
      </c>
      <c r="K2" s="19" t="s">
        <v>1405</v>
      </c>
      <c r="L2" s="19" t="s">
        <v>1137</v>
      </c>
      <c r="M2" s="19" t="s">
        <v>1446</v>
      </c>
    </row>
    <row r="3" spans="1:13" ht="21">
      <c r="A3" s="52">
        <v>31</v>
      </c>
      <c r="B3" s="45" t="s">
        <v>1403</v>
      </c>
      <c r="C3" s="45" t="s">
        <v>1122</v>
      </c>
      <c r="D3" s="27" t="s">
        <v>1201</v>
      </c>
      <c r="E3" s="43" t="s">
        <v>1482</v>
      </c>
      <c r="F3" s="45" t="s">
        <v>1592</v>
      </c>
      <c r="G3" s="37">
        <v>0</v>
      </c>
    </row>
    <row r="4" spans="1:13" ht="21">
      <c r="A4" s="52">
        <v>31</v>
      </c>
      <c r="B4" s="45" t="s">
        <v>1403</v>
      </c>
      <c r="C4" s="45" t="s">
        <v>1122</v>
      </c>
      <c r="D4" s="27" t="s">
        <v>1457</v>
      </c>
      <c r="E4" s="43" t="s">
        <v>1458</v>
      </c>
      <c r="F4" s="45" t="s">
        <v>1592</v>
      </c>
      <c r="G4" s="37">
        <v>0</v>
      </c>
    </row>
    <row r="5" spans="1:13" ht="21">
      <c r="A5" s="52">
        <v>31</v>
      </c>
      <c r="B5" s="45" t="s">
        <v>1403</v>
      </c>
      <c r="C5" s="45" t="s">
        <v>1122</v>
      </c>
      <c r="D5" s="27" t="s">
        <v>1513</v>
      </c>
      <c r="E5" s="43" t="s">
        <v>1514</v>
      </c>
      <c r="F5" s="45" t="s">
        <v>1592</v>
      </c>
      <c r="G5" s="37">
        <v>0</v>
      </c>
    </row>
    <row r="6" spans="1:13" ht="38">
      <c r="A6" s="52">
        <v>31</v>
      </c>
      <c r="B6" s="45" t="s">
        <v>1403</v>
      </c>
      <c r="C6" s="45" t="s">
        <v>1122</v>
      </c>
      <c r="D6" s="27" t="s">
        <v>1459</v>
      </c>
      <c r="E6" s="43" t="s">
        <v>1460</v>
      </c>
      <c r="F6" s="45" t="s">
        <v>1592</v>
      </c>
      <c r="G6" s="37">
        <v>0</v>
      </c>
    </row>
    <row r="7" spans="1:13" ht="38">
      <c r="A7" s="52">
        <v>31</v>
      </c>
      <c r="B7" s="45" t="s">
        <v>1403</v>
      </c>
      <c r="C7" s="45" t="s">
        <v>1122</v>
      </c>
      <c r="D7" s="27" t="s">
        <v>1451</v>
      </c>
      <c r="E7" s="43" t="s">
        <v>1452</v>
      </c>
      <c r="F7" s="45" t="s">
        <v>1592</v>
      </c>
      <c r="G7" s="37">
        <v>0</v>
      </c>
    </row>
    <row r="8" spans="1:13" ht="21">
      <c r="A8" s="52">
        <v>31</v>
      </c>
      <c r="B8" s="45" t="s">
        <v>1403</v>
      </c>
      <c r="C8" s="45" t="s">
        <v>1122</v>
      </c>
      <c r="D8" s="27" t="s">
        <v>1262</v>
      </c>
      <c r="E8" s="43" t="s">
        <v>1466</v>
      </c>
      <c r="F8" s="45" t="s">
        <v>1592</v>
      </c>
      <c r="G8" s="37">
        <v>0</v>
      </c>
    </row>
    <row r="9" spans="1:13" ht="21">
      <c r="A9" s="52">
        <v>31</v>
      </c>
      <c r="B9" s="45" t="s">
        <v>1403</v>
      </c>
      <c r="C9" s="45" t="s">
        <v>1122</v>
      </c>
      <c r="D9" s="27" t="s">
        <v>1280</v>
      </c>
      <c r="E9" s="44" t="s">
        <v>1503</v>
      </c>
      <c r="F9" s="45" t="s">
        <v>1592</v>
      </c>
      <c r="G9" s="37">
        <v>0</v>
      </c>
    </row>
    <row r="10" spans="1:13" ht="21">
      <c r="A10" s="52">
        <v>31</v>
      </c>
      <c r="B10" s="45" t="s">
        <v>1403</v>
      </c>
      <c r="C10" s="45" t="s">
        <v>1122</v>
      </c>
      <c r="D10" s="27" t="s">
        <v>70</v>
      </c>
      <c r="E10" s="43" t="s">
        <v>1508</v>
      </c>
      <c r="F10" s="45" t="s">
        <v>1592</v>
      </c>
      <c r="G10" s="37">
        <v>0</v>
      </c>
    </row>
    <row r="11" spans="1:13" ht="38">
      <c r="A11" s="52">
        <v>31</v>
      </c>
      <c r="B11" s="45" t="s">
        <v>1403</v>
      </c>
      <c r="C11" s="45" t="s">
        <v>1122</v>
      </c>
      <c r="D11" s="27" t="s">
        <v>1296</v>
      </c>
      <c r="E11" s="43" t="s">
        <v>1520</v>
      </c>
      <c r="F11" s="45" t="s">
        <v>1592</v>
      </c>
      <c r="G11" s="37">
        <v>0</v>
      </c>
    </row>
    <row r="12" spans="1:13" ht="21">
      <c r="A12" s="52">
        <v>31</v>
      </c>
      <c r="B12" s="45" t="s">
        <v>1403</v>
      </c>
      <c r="C12" s="45" t="s">
        <v>1128</v>
      </c>
      <c r="D12" s="27" t="s">
        <v>1274</v>
      </c>
      <c r="E12" s="43" t="s">
        <v>1479</v>
      </c>
      <c r="F12" s="45" t="s">
        <v>1592</v>
      </c>
      <c r="G12" s="37">
        <v>0</v>
      </c>
    </row>
    <row r="13" spans="1:13" ht="21">
      <c r="A13" s="52">
        <v>31</v>
      </c>
      <c r="B13" s="45" t="s">
        <v>1403</v>
      </c>
      <c r="C13" s="45" t="s">
        <v>1128</v>
      </c>
      <c r="D13" s="27" t="s">
        <v>1286</v>
      </c>
      <c r="E13" s="43" t="s">
        <v>1515</v>
      </c>
      <c r="F13" s="45" t="s">
        <v>1592</v>
      </c>
      <c r="G13" s="37">
        <v>0</v>
      </c>
    </row>
    <row r="14" spans="1:13" ht="21">
      <c r="A14" s="52">
        <v>31</v>
      </c>
      <c r="B14" s="45" t="s">
        <v>1403</v>
      </c>
      <c r="C14" s="45" t="s">
        <v>1128</v>
      </c>
      <c r="D14" s="27" t="s">
        <v>1477</v>
      </c>
      <c r="E14" s="43" t="s">
        <v>1478</v>
      </c>
      <c r="F14" s="45" t="s">
        <v>1592</v>
      </c>
      <c r="G14" s="37">
        <v>0</v>
      </c>
    </row>
    <row r="15" spans="1:13" ht="21">
      <c r="A15" s="52">
        <v>31</v>
      </c>
      <c r="B15" s="45" t="s">
        <v>1403</v>
      </c>
      <c r="C15" s="45" t="s">
        <v>1128</v>
      </c>
      <c r="D15" s="27" t="s">
        <v>1206</v>
      </c>
      <c r="E15" s="43" t="s">
        <v>1488</v>
      </c>
      <c r="F15" s="45" t="s">
        <v>1592</v>
      </c>
      <c r="G15" s="37">
        <v>0</v>
      </c>
    </row>
    <row r="16" spans="1:13" ht="21">
      <c r="A16" s="52">
        <v>31</v>
      </c>
      <c r="B16" s="45" t="s">
        <v>1403</v>
      </c>
      <c r="C16" s="45" t="s">
        <v>1128</v>
      </c>
      <c r="D16" s="27" t="s">
        <v>1287</v>
      </c>
      <c r="E16" s="43" t="s">
        <v>1516</v>
      </c>
      <c r="F16" s="45" t="s">
        <v>1592</v>
      </c>
      <c r="G16" s="37">
        <v>0</v>
      </c>
    </row>
    <row r="17" spans="1:7" ht="21">
      <c r="A17" s="52">
        <v>31</v>
      </c>
      <c r="B17" s="45" t="s">
        <v>1403</v>
      </c>
      <c r="C17" s="45" t="s">
        <v>1552</v>
      </c>
      <c r="D17" s="27" t="s">
        <v>1183</v>
      </c>
      <c r="E17" s="43" t="s">
        <v>1465</v>
      </c>
      <c r="F17" s="45" t="s">
        <v>1592</v>
      </c>
      <c r="G17" s="37">
        <v>0</v>
      </c>
    </row>
    <row r="18" spans="1:7" ht="21">
      <c r="A18" s="52">
        <v>31</v>
      </c>
      <c r="B18" s="45" t="s">
        <v>1403</v>
      </c>
      <c r="C18" s="45" t="s">
        <v>1552</v>
      </c>
      <c r="D18" s="27" t="s">
        <v>1186</v>
      </c>
      <c r="E18" s="43" t="s">
        <v>1483</v>
      </c>
      <c r="F18" s="45" t="s">
        <v>1592</v>
      </c>
      <c r="G18" s="37">
        <v>0</v>
      </c>
    </row>
    <row r="19" spans="1:7" ht="21">
      <c r="A19" s="52">
        <v>31</v>
      </c>
      <c r="B19" s="45" t="s">
        <v>1403</v>
      </c>
      <c r="C19" s="45" t="s">
        <v>1552</v>
      </c>
      <c r="D19" s="27" t="s">
        <v>1187</v>
      </c>
      <c r="E19" s="43" t="s">
        <v>1498</v>
      </c>
      <c r="F19" s="45" t="s">
        <v>1592</v>
      </c>
      <c r="G19" s="37">
        <v>0</v>
      </c>
    </row>
    <row r="20" spans="1:7" ht="21">
      <c r="A20" s="52">
        <v>31</v>
      </c>
      <c r="B20" s="45" t="s">
        <v>1403</v>
      </c>
      <c r="C20" s="45" t="s">
        <v>1552</v>
      </c>
      <c r="D20" s="27" t="s">
        <v>1189</v>
      </c>
      <c r="E20" s="43" t="s">
        <v>1506</v>
      </c>
      <c r="F20" s="45" t="s">
        <v>1592</v>
      </c>
      <c r="G20" s="37">
        <v>0</v>
      </c>
    </row>
    <row r="21" spans="1:7" ht="21">
      <c r="A21" s="52">
        <v>31</v>
      </c>
      <c r="B21" s="45" t="s">
        <v>1403</v>
      </c>
      <c r="C21" s="45" t="s">
        <v>1552</v>
      </c>
      <c r="D21" s="27" t="s">
        <v>1190</v>
      </c>
      <c r="E21" s="43" t="s">
        <v>1507</v>
      </c>
      <c r="F21" s="45" t="s">
        <v>1592</v>
      </c>
      <c r="G21" s="37">
        <v>0</v>
      </c>
    </row>
    <row r="22" spans="1:7" ht="21">
      <c r="A22" s="52">
        <v>31</v>
      </c>
      <c r="B22" s="45" t="s">
        <v>1403</v>
      </c>
      <c r="C22" s="45" t="s">
        <v>1552</v>
      </c>
      <c r="D22" s="27" t="s">
        <v>1191</v>
      </c>
      <c r="E22" s="43" t="s">
        <v>1512</v>
      </c>
      <c r="F22" s="45" t="s">
        <v>1592</v>
      </c>
      <c r="G22" s="37">
        <v>0</v>
      </c>
    </row>
    <row r="23" spans="1:7" ht="21">
      <c r="A23" s="52">
        <v>31</v>
      </c>
      <c r="B23" s="45" t="s">
        <v>1403</v>
      </c>
      <c r="C23" s="45" t="s">
        <v>1552</v>
      </c>
      <c r="D23" s="27" t="s">
        <v>1193</v>
      </c>
      <c r="E23" s="43" t="s">
        <v>1518</v>
      </c>
      <c r="F23" s="45" t="s">
        <v>1592</v>
      </c>
      <c r="G23" s="37">
        <v>0</v>
      </c>
    </row>
    <row r="24" spans="1:7" ht="21">
      <c r="A24" s="52">
        <v>32</v>
      </c>
      <c r="B24" s="45" t="s">
        <v>1404</v>
      </c>
      <c r="C24" s="45" t="s">
        <v>1124</v>
      </c>
      <c r="D24" s="27" t="s">
        <v>1463</v>
      </c>
      <c r="E24" s="43" t="s">
        <v>1464</v>
      </c>
      <c r="F24" s="45" t="s">
        <v>1592</v>
      </c>
      <c r="G24" s="37">
        <v>0</v>
      </c>
    </row>
    <row r="25" spans="1:7" ht="21">
      <c r="A25" s="52">
        <v>32</v>
      </c>
      <c r="B25" s="45" t="s">
        <v>1404</v>
      </c>
      <c r="C25" s="45" t="s">
        <v>1339</v>
      </c>
      <c r="D25" s="27" t="s">
        <v>1340</v>
      </c>
      <c r="E25" s="43" t="s">
        <v>1470</v>
      </c>
      <c r="F25" s="45" t="s">
        <v>1592</v>
      </c>
      <c r="G25" s="37">
        <v>0</v>
      </c>
    </row>
    <row r="26" spans="1:7" ht="21">
      <c r="A26" s="52">
        <v>32</v>
      </c>
      <c r="B26" s="45" t="s">
        <v>1404</v>
      </c>
      <c r="C26" s="45" t="s">
        <v>1339</v>
      </c>
      <c r="D26" s="27" t="s">
        <v>1472</v>
      </c>
      <c r="E26" s="43" t="s">
        <v>1473</v>
      </c>
      <c r="F26" s="45" t="s">
        <v>1592</v>
      </c>
      <c r="G26" s="37">
        <v>0</v>
      </c>
    </row>
    <row r="27" spans="1:7" ht="21">
      <c r="A27" s="52">
        <v>32</v>
      </c>
      <c r="B27" s="45" t="s">
        <v>1404</v>
      </c>
      <c r="C27" s="45" t="s">
        <v>1339</v>
      </c>
      <c r="D27" s="27" t="s">
        <v>1342</v>
      </c>
      <c r="E27" s="43" t="s">
        <v>1510</v>
      </c>
      <c r="F27" s="45" t="s">
        <v>1592</v>
      </c>
      <c r="G27" s="37">
        <v>0</v>
      </c>
    </row>
    <row r="28" spans="1:7" ht="21">
      <c r="A28" s="52">
        <v>32</v>
      </c>
      <c r="B28" s="45" t="s">
        <v>1404</v>
      </c>
      <c r="C28" s="45" t="s">
        <v>1339</v>
      </c>
      <c r="D28" s="27" t="s">
        <v>1343</v>
      </c>
      <c r="E28" s="43" t="s">
        <v>1511</v>
      </c>
      <c r="F28" s="45" t="s">
        <v>1592</v>
      </c>
      <c r="G28" s="37">
        <v>0</v>
      </c>
    </row>
    <row r="29" spans="1:7" ht="21">
      <c r="A29" s="52">
        <v>32</v>
      </c>
      <c r="B29" s="45" t="s">
        <v>1404</v>
      </c>
      <c r="C29" s="45" t="s">
        <v>1339</v>
      </c>
      <c r="D29" s="27" t="s">
        <v>1386</v>
      </c>
      <c r="E29" s="43" t="s">
        <v>1519</v>
      </c>
      <c r="F29" s="45" t="s">
        <v>1592</v>
      </c>
      <c r="G29" s="37">
        <v>0</v>
      </c>
    </row>
    <row r="30" spans="1:7" ht="38">
      <c r="A30" s="52">
        <v>35</v>
      </c>
      <c r="B30" s="45" t="s">
        <v>1419</v>
      </c>
      <c r="C30" s="45" t="s">
        <v>1584</v>
      </c>
      <c r="D30" s="27" t="s">
        <v>1461</v>
      </c>
      <c r="E30" s="43" t="s">
        <v>1462</v>
      </c>
      <c r="F30" s="45" t="s">
        <v>1592</v>
      </c>
      <c r="G30" s="37">
        <v>0</v>
      </c>
    </row>
    <row r="31" spans="1:7" ht="21">
      <c r="A31" s="52">
        <v>35</v>
      </c>
      <c r="B31" s="45" t="s">
        <v>1419</v>
      </c>
      <c r="C31" s="45" t="s">
        <v>1584</v>
      </c>
      <c r="D31" s="27" t="s">
        <v>1449</v>
      </c>
      <c r="E31" s="43" t="s">
        <v>1450</v>
      </c>
      <c r="F31" s="45" t="s">
        <v>1592</v>
      </c>
      <c r="G31" s="37">
        <v>0</v>
      </c>
    </row>
    <row r="32" spans="1:7" ht="38">
      <c r="A32" s="52">
        <v>35</v>
      </c>
      <c r="B32" s="45" t="s">
        <v>1419</v>
      </c>
      <c r="C32" s="45" t="s">
        <v>1584</v>
      </c>
      <c r="D32" s="27" t="s">
        <v>1474</v>
      </c>
      <c r="E32" s="43" t="s">
        <v>1475</v>
      </c>
      <c r="F32" s="45" t="s">
        <v>1592</v>
      </c>
      <c r="G32" s="37">
        <v>0</v>
      </c>
    </row>
    <row r="33" spans="1:7" ht="38">
      <c r="A33" s="52">
        <v>35</v>
      </c>
      <c r="B33" s="45" t="s">
        <v>1419</v>
      </c>
      <c r="C33" s="45" t="s">
        <v>1584</v>
      </c>
      <c r="D33" s="27" t="s">
        <v>1453</v>
      </c>
      <c r="E33" s="43" t="s">
        <v>1454</v>
      </c>
      <c r="F33" s="45" t="s">
        <v>1592</v>
      </c>
      <c r="G33" s="37">
        <v>0</v>
      </c>
    </row>
    <row r="34" spans="1:7" ht="38">
      <c r="A34" s="52">
        <v>35</v>
      </c>
      <c r="B34" s="45" t="s">
        <v>1419</v>
      </c>
      <c r="C34" s="45" t="s">
        <v>1584</v>
      </c>
      <c r="D34" s="27" t="s">
        <v>1485</v>
      </c>
      <c r="E34" s="43" t="s">
        <v>1486</v>
      </c>
      <c r="F34" s="45" t="s">
        <v>1592</v>
      </c>
      <c r="G34" s="37">
        <v>0</v>
      </c>
    </row>
    <row r="35" spans="1:7" ht="38">
      <c r="A35" s="52">
        <v>35</v>
      </c>
      <c r="B35" s="45" t="s">
        <v>1419</v>
      </c>
      <c r="C35" s="45" t="s">
        <v>1584</v>
      </c>
      <c r="D35" s="27" t="s">
        <v>1455</v>
      </c>
      <c r="E35" s="43" t="s">
        <v>1456</v>
      </c>
      <c r="F35" s="45" t="s">
        <v>1592</v>
      </c>
      <c r="G35" s="37">
        <v>0</v>
      </c>
    </row>
    <row r="36" spans="1:7" ht="21">
      <c r="A36" s="52">
        <v>35</v>
      </c>
      <c r="B36" s="45" t="s">
        <v>1419</v>
      </c>
      <c r="C36" s="45" t="s">
        <v>1583</v>
      </c>
      <c r="D36" s="27" t="s">
        <v>1375</v>
      </c>
      <c r="E36" s="44" t="s">
        <v>1476</v>
      </c>
      <c r="F36" s="45" t="s">
        <v>1592</v>
      </c>
      <c r="G36" s="37">
        <v>0</v>
      </c>
    </row>
    <row r="37" spans="1:7" ht="38">
      <c r="A37" s="52">
        <v>35</v>
      </c>
      <c r="B37" s="45" t="s">
        <v>1419</v>
      </c>
      <c r="C37" s="45" t="s">
        <v>1583</v>
      </c>
      <c r="D37" s="27" t="s">
        <v>56</v>
      </c>
      <c r="E37" s="43" t="s">
        <v>1502</v>
      </c>
      <c r="F37" s="45" t="s">
        <v>1592</v>
      </c>
      <c r="G37" s="37">
        <v>0</v>
      </c>
    </row>
    <row r="38" spans="1:7" ht="21">
      <c r="A38" s="52">
        <v>35</v>
      </c>
      <c r="B38" s="45" t="s">
        <v>1419</v>
      </c>
      <c r="C38" s="45" t="s">
        <v>1583</v>
      </c>
      <c r="D38" s="27" t="s">
        <v>1384</v>
      </c>
      <c r="E38" s="43" t="s">
        <v>1487</v>
      </c>
      <c r="F38" s="45" t="s">
        <v>1592</v>
      </c>
      <c r="G38" s="37">
        <v>0</v>
      </c>
    </row>
    <row r="39" spans="1:7" ht="21">
      <c r="A39" s="52">
        <v>35</v>
      </c>
      <c r="B39" s="45" t="s">
        <v>1419</v>
      </c>
      <c r="C39" s="45" t="s">
        <v>1583</v>
      </c>
      <c r="D39" s="27" t="s">
        <v>1504</v>
      </c>
      <c r="E39" s="43" t="s">
        <v>1505</v>
      </c>
      <c r="F39" s="45" t="s">
        <v>1592</v>
      </c>
      <c r="G39" s="37">
        <v>0</v>
      </c>
    </row>
    <row r="40" spans="1:7" ht="38">
      <c r="A40" s="52">
        <v>35</v>
      </c>
      <c r="B40" s="45" t="s">
        <v>1419</v>
      </c>
      <c r="C40" s="45" t="s">
        <v>1583</v>
      </c>
      <c r="D40" s="27" t="s">
        <v>1180</v>
      </c>
      <c r="E40" s="43" t="s">
        <v>1491</v>
      </c>
      <c r="F40" s="45" t="s">
        <v>1592</v>
      </c>
      <c r="G40" s="37">
        <v>0</v>
      </c>
    </row>
    <row r="41" spans="1:7" ht="21">
      <c r="A41" s="52">
        <v>35</v>
      </c>
      <c r="B41" s="45" t="s">
        <v>1419</v>
      </c>
      <c r="C41" s="45" t="s">
        <v>1583</v>
      </c>
      <c r="D41" s="27" t="s">
        <v>1208</v>
      </c>
      <c r="E41" s="43" t="s">
        <v>1500</v>
      </c>
      <c r="F41" s="45" t="s">
        <v>1592</v>
      </c>
      <c r="G41" s="37">
        <v>0</v>
      </c>
    </row>
    <row r="42" spans="1:7" ht="21">
      <c r="A42" s="52">
        <v>35</v>
      </c>
      <c r="B42" s="45" t="s">
        <v>1419</v>
      </c>
      <c r="C42" s="45" t="s">
        <v>1583</v>
      </c>
      <c r="D42" s="27" t="s">
        <v>1181</v>
      </c>
      <c r="E42" s="43" t="s">
        <v>1501</v>
      </c>
      <c r="F42" s="45" t="s">
        <v>1592</v>
      </c>
      <c r="G42" s="37">
        <v>0</v>
      </c>
    </row>
    <row r="43" spans="1:7" ht="21">
      <c r="A43" s="52">
        <v>35</v>
      </c>
      <c r="B43" s="45" t="s">
        <v>1419</v>
      </c>
      <c r="C43" s="45" t="s">
        <v>1583</v>
      </c>
      <c r="D43" s="27" t="s">
        <v>1194</v>
      </c>
      <c r="E43" s="43" t="s">
        <v>1509</v>
      </c>
      <c r="F43" s="45" t="s">
        <v>1592</v>
      </c>
      <c r="G43" s="37">
        <v>0</v>
      </c>
    </row>
    <row r="44" spans="1:7" ht="21">
      <c r="A44" s="52">
        <v>35</v>
      </c>
      <c r="B44" s="45" t="s">
        <v>1419</v>
      </c>
      <c r="C44" s="45" t="s">
        <v>1583</v>
      </c>
      <c r="D44" s="27" t="s">
        <v>1489</v>
      </c>
      <c r="E44" s="43" t="s">
        <v>1490</v>
      </c>
      <c r="F44" s="45" t="s">
        <v>1592</v>
      </c>
      <c r="G44" s="37">
        <v>0</v>
      </c>
    </row>
    <row r="45" spans="1:7" ht="21">
      <c r="A45" s="52">
        <v>35</v>
      </c>
      <c r="B45" s="45" t="s">
        <v>1419</v>
      </c>
      <c r="C45" s="45" t="s">
        <v>1583</v>
      </c>
      <c r="D45" s="27" t="s">
        <v>1275</v>
      </c>
      <c r="E45" s="43" t="s">
        <v>1480</v>
      </c>
      <c r="F45" s="45" t="s">
        <v>1592</v>
      </c>
      <c r="G45" s="37">
        <v>0</v>
      </c>
    </row>
    <row r="46" spans="1:7" ht="21">
      <c r="A46" s="52">
        <v>35</v>
      </c>
      <c r="B46" s="45" t="s">
        <v>1419</v>
      </c>
      <c r="C46" s="45" t="s">
        <v>1583</v>
      </c>
      <c r="D46" s="27" t="s">
        <v>1276</v>
      </c>
      <c r="E46" s="43" t="s">
        <v>1481</v>
      </c>
      <c r="F46" s="45" t="s">
        <v>1592</v>
      </c>
      <c r="G46" s="37">
        <v>0</v>
      </c>
    </row>
    <row r="47" spans="1:7" ht="21">
      <c r="A47" s="52">
        <v>35</v>
      </c>
      <c r="B47" s="45" t="s">
        <v>1419</v>
      </c>
      <c r="C47" s="45" t="s">
        <v>1583</v>
      </c>
      <c r="D47" s="27" t="s">
        <v>1279</v>
      </c>
      <c r="E47" s="43" t="s">
        <v>1484</v>
      </c>
      <c r="F47" s="45" t="s">
        <v>1592</v>
      </c>
      <c r="G47" s="37">
        <v>0</v>
      </c>
    </row>
    <row r="48" spans="1:7" ht="21">
      <c r="A48" s="52">
        <v>35</v>
      </c>
      <c r="B48" s="45" t="s">
        <v>1419</v>
      </c>
      <c r="C48" s="45" t="s">
        <v>1582</v>
      </c>
      <c r="D48" s="27" t="s">
        <v>1467</v>
      </c>
      <c r="E48" s="43" t="s">
        <v>1468</v>
      </c>
      <c r="F48" s="45" t="s">
        <v>1592</v>
      </c>
      <c r="G48" s="37">
        <v>0</v>
      </c>
    </row>
    <row r="49" spans="1:7" ht="21">
      <c r="A49" s="52">
        <v>35</v>
      </c>
      <c r="B49" s="45" t="s">
        <v>1419</v>
      </c>
      <c r="C49" s="45" t="s">
        <v>1582</v>
      </c>
      <c r="D49" s="27" t="s">
        <v>1439</v>
      </c>
      <c r="E49" s="43" t="s">
        <v>1492</v>
      </c>
      <c r="F49" s="45" t="s">
        <v>1592</v>
      </c>
      <c r="G49" s="37">
        <v>0</v>
      </c>
    </row>
    <row r="50" spans="1:7" ht="21">
      <c r="A50" s="52">
        <v>35</v>
      </c>
      <c r="B50" s="45" t="s">
        <v>1419</v>
      </c>
      <c r="C50" s="45" t="s">
        <v>1582</v>
      </c>
      <c r="D50" s="27" t="s">
        <v>1437</v>
      </c>
      <c r="E50" s="43" t="s">
        <v>1493</v>
      </c>
      <c r="F50" s="45" t="s">
        <v>1592</v>
      </c>
      <c r="G50" s="37">
        <v>0</v>
      </c>
    </row>
    <row r="51" spans="1:7" ht="21">
      <c r="A51" s="52">
        <v>35</v>
      </c>
      <c r="B51" s="45" t="s">
        <v>1419</v>
      </c>
      <c r="C51" s="45" t="s">
        <v>483</v>
      </c>
      <c r="D51" s="27" t="s">
        <v>1195</v>
      </c>
      <c r="E51" s="43" t="s">
        <v>1494</v>
      </c>
      <c r="F51" s="45" t="s">
        <v>1592</v>
      </c>
      <c r="G51" s="37">
        <v>0</v>
      </c>
    </row>
    <row r="52" spans="1:7" ht="38">
      <c r="A52" s="52">
        <v>35</v>
      </c>
      <c r="B52" s="45" t="s">
        <v>1419</v>
      </c>
      <c r="C52" s="45" t="s">
        <v>483</v>
      </c>
      <c r="D52" s="27" t="s">
        <v>29</v>
      </c>
      <c r="E52" s="43" t="s">
        <v>1495</v>
      </c>
      <c r="F52" s="45" t="s">
        <v>1592</v>
      </c>
      <c r="G52" s="37">
        <v>0</v>
      </c>
    </row>
    <row r="53" spans="1:7" ht="21">
      <c r="A53" s="52">
        <v>35</v>
      </c>
      <c r="B53" s="45" t="s">
        <v>1419</v>
      </c>
      <c r="C53" s="45" t="s">
        <v>483</v>
      </c>
      <c r="D53" s="27" t="s">
        <v>1496</v>
      </c>
      <c r="E53" s="43" t="s">
        <v>1497</v>
      </c>
      <c r="F53" s="45" t="s">
        <v>1592</v>
      </c>
      <c r="G53" s="37">
        <v>0</v>
      </c>
    </row>
    <row r="54" spans="1:7" ht="21">
      <c r="A54" s="52">
        <v>35</v>
      </c>
      <c r="B54" s="45" t="s">
        <v>1419</v>
      </c>
      <c r="C54" s="45" t="s">
        <v>1553</v>
      </c>
      <c r="D54" s="27" t="s">
        <v>1184</v>
      </c>
      <c r="E54" s="43" t="s">
        <v>1469</v>
      </c>
      <c r="F54" s="45" t="s">
        <v>1592</v>
      </c>
      <c r="G54" s="37">
        <v>0</v>
      </c>
    </row>
    <row r="55" spans="1:7" ht="21">
      <c r="A55" s="52">
        <v>35</v>
      </c>
      <c r="B55" s="45" t="s">
        <v>1419</v>
      </c>
      <c r="C55" s="45" t="s">
        <v>1553</v>
      </c>
      <c r="D55" s="27" t="s">
        <v>1185</v>
      </c>
      <c r="E55" s="43" t="s">
        <v>1471</v>
      </c>
      <c r="F55" s="45" t="s">
        <v>1592</v>
      </c>
      <c r="G55" s="37">
        <v>0</v>
      </c>
    </row>
    <row r="56" spans="1:7" ht="21">
      <c r="A56" s="52">
        <v>35</v>
      </c>
      <c r="B56" s="45" t="s">
        <v>1419</v>
      </c>
      <c r="C56" s="45" t="s">
        <v>1553</v>
      </c>
      <c r="D56" s="27" t="s">
        <v>1188</v>
      </c>
      <c r="E56" s="43" t="s">
        <v>1499</v>
      </c>
      <c r="F56" s="45" t="s">
        <v>1592</v>
      </c>
      <c r="G56" s="37">
        <v>0</v>
      </c>
    </row>
    <row r="57" spans="1:7" ht="21">
      <c r="A57" s="52">
        <v>35</v>
      </c>
      <c r="B57" s="45" t="s">
        <v>1419</v>
      </c>
      <c r="C57" s="45" t="s">
        <v>1553</v>
      </c>
      <c r="D57" s="27" t="s">
        <v>1192</v>
      </c>
      <c r="E57" s="43" t="s">
        <v>1517</v>
      </c>
      <c r="F57" s="45" t="s">
        <v>1592</v>
      </c>
      <c r="G57" s="37">
        <v>0</v>
      </c>
    </row>
    <row r="58" spans="1:7" ht="21">
      <c r="G58" s="37"/>
    </row>
    <row r="59" spans="1:7" ht="21">
      <c r="A59" s="52">
        <v>39</v>
      </c>
      <c r="B59" s="45" t="s">
        <v>4</v>
      </c>
      <c r="G59" s="37">
        <v>0</v>
      </c>
    </row>
    <row r="60" spans="1:7" ht="21">
      <c r="G60" s="37"/>
    </row>
    <row r="61" spans="1:7" ht="21">
      <c r="G61" s="37"/>
    </row>
    <row r="62" spans="1:7" ht="21">
      <c r="G62" s="37"/>
    </row>
    <row r="63" spans="1:7" ht="21">
      <c r="G63" s="37"/>
    </row>
  </sheetData>
  <autoFilter ref="A2:M57" xr:uid="{FF03B2BF-C765-5F46-BB31-D0BBB73E3DCE}">
    <sortState xmlns:xlrd2="http://schemas.microsoft.com/office/spreadsheetml/2017/richdata2" ref="A3:M57">
      <sortCondition ref="A2:A57"/>
    </sortState>
  </autoFilter>
  <mergeCells count="1">
    <mergeCell ref="J1:L1"/>
  </mergeCells>
  <conditionalFormatting sqref="G3:G63">
    <cfRule type="iconSet" priority="46">
      <iconSet iconSet="4TrafficLights" showValue="0">
        <cfvo type="percent" val="0"/>
        <cfvo type="num" val="1"/>
        <cfvo type="num" val="2"/>
        <cfvo type="num" val="3"/>
      </iconSet>
    </cfRule>
  </conditionalFormatting>
  <hyperlinks>
    <hyperlink ref="D31" r:id="rId1" location="/Business_Banking_CreateBBCustomerEntitlements" display="https://docs.kony.com/apps/integration/AdminConsoleServicesDocs/ - /Business_Banking_CreateBBCustomerEntitlements" xr:uid="{C6EBD46E-CF9A-0244-ADC4-22150E202884}"/>
    <hyperlink ref="D7" r:id="rId2" location="/Customer_Management_VerifyCustomerSecurityQuestions" display="https://docs.kony.com/apps/integration/AdminConsoleServicesDocs/ - /Customer_Management_VerifyCustomerSecurityQuestions" xr:uid="{A219C858-4EED-FE4C-BD63-439B56E1651F}"/>
    <hyperlink ref="D33" r:id="rId3" location="/Business_Banking_EditBBCustomerEntitlements" display="https://docs.kony.com/apps/integration/AdminConsoleServicesDocs/ - /Business_Banking_EditBBCustomerEntitlements" xr:uid="{85ED83DC-5325-044C-AD09-F7B38F9956EB}"/>
    <hyperlink ref="D35" r:id="rId4" location="/Business_Banking_GetBBCustomerEntitlements" display="https://docs.kony.com/apps/integration/AdminConsoleServicesDocs/ - /Business_Banking_GetBBCustomerEntitlements" xr:uid="{9E9929CD-5C30-1743-A189-BB435A706693}"/>
    <hyperlink ref="D4" r:id="rId5" location="/Customer_Management_RegisterDevice" display="https://docs.kony.com/apps/integration/AdminConsoleServicesDocs/ - /Customer_Management_RegisterDevice" xr:uid="{EFB835E5-9BF3-CC4B-A0BB-59B628A1EF7E}"/>
    <hyperlink ref="D6" r:id="rId6" location="/Customer_Management_UpdateCustomerDeviceInformation" display="https://docs.kony.com/apps/integration/AdminConsoleServicesDocs/ - /Customer_Management_UpdateCustomerDeviceInformation" xr:uid="{67926526-5FED-334A-B9D0-D16752B28AA6}"/>
    <hyperlink ref="D30" r:id="rId7" location="/Business_Banking_CreateBBCustomerEntitlements" display="https://docs.kony.com/apps/integration/AdminConsoleServicesDocs/ - /Business_Banking_CreateBBCustomerEntitlements" xr:uid="{30041A86-CF88-ED40-A28D-1A2A52ABFBCF}"/>
    <hyperlink ref="D24" r:id="rId8" location="/Account_Requests" display="https://docs.kony.com/apps/integration/AdminConsoleServicesDocs/ - /Account_Requests" xr:uid="{12DCD2D8-E138-1147-A496-A173AE0C6E01}"/>
    <hyperlink ref="D17" r:id="rId9" location="/Customer_Request_CreateCustomerRequest" display="https://docs.kony.com/apps/integration/AdminConsoleServicesDocs/ - /Customer_Request_CreateCustomerRequest" xr:uid="{E0A690D8-96F7-DC43-81F5-6A702B0FB821}"/>
    <hyperlink ref="D8" r:id="rId10" location="/Customer_Management_CreateCustomerSecurityQuestions" display="https://docs.kony.com/apps/integration/AdminConsoleServicesDocs/ - /Customer_Management_CreateCustomerSecurityQuestions" xr:uid="{E35768F5-F9E2-0B45-9F44-90F44A9EF9D4}"/>
    <hyperlink ref="D48" r:id="rId11" location="/Groups_CreateGroup" display="https://docs.kony.com/apps/integration/AdminConsoleServicesDocs/ - /Groups_CreateGroup" xr:uid="{6BDFD531-CFBC-5243-80E2-9FB49D04605F}"/>
    <hyperlink ref="D54" r:id="rId12" location="/Static_Content_CreateOutageMessage" display="https://docs.kony.com/apps/integration/AdminConsoleServicesDocs/ - /Static_Content_CreateOutageMessage" xr:uid="{5A6DC8CE-8737-F442-A411-78B5580E1D2B}"/>
    <hyperlink ref="D25" r:id="rId13" location="/Account_Requests_CreateTravelNotification" display="https://docs.kony.com/apps/integration/AdminConsoleServicesDocs/ - /Account_Requests_CreateTravelNotification" xr:uid="{A362285B-7AC0-6F4F-BF2F-3531B905C30A}"/>
    <hyperlink ref="D55" r:id="rId14" location="/Static_Content_DeleteOutageMessage" display="https://docs.kony.com/apps/integration/AdminConsoleServicesDocs/ - /Static_Content_DeleteOutageMessage" xr:uid="{C8CBCFB4-3D77-A14F-871F-02664D8C5B2C}"/>
    <hyperlink ref="D26" r:id="rId15" location="/Account_Requests_DeleteTravelNotification" display="https://docs.kony.com/apps/integration/AdminConsoleServicesDocs/ - /Account_Requests_DeleteTravelNotification" xr:uid="{3BC6865C-3519-1C4D-82D1-EA6133A5CC67}"/>
    <hyperlink ref="D32" r:id="rId16" location="/Business_Banking_EditBBCustomerEntitlements" display="https://docs.kony.com/apps/integration/AdminConsoleServicesDocs/ - /Business_Banking_EditBBCustomerEntitlements" xr:uid="{E48EDCF3-72B3-C847-A9DA-E656B5CA9871}"/>
    <hyperlink ref="D36" r:id="rId17" location="/Product_Managment_FetchBankDetailsBasedOnRoutingNumber" display="https://docs.kony.com/apps/integration/AdminConsoleServicesDocs/ - /Product_Managment_FetchBankDetailsBasedOnRoutingNumber" xr:uid="{FE141616-C2FA-D549-AF0A-9BFC49BC6040}"/>
    <hyperlink ref="D14" r:id="rId18" location="/Customer_Management_FetchCustomerDetailsForOLB" display="https://docs.kony.com/apps/integration/AdminConsoleServicesDocs/ - /Customer_Management_FetchCustomerDetailsForOLB" xr:uid="{D2286F6F-8E82-DC4B-A990-8271A1ACE06A}"/>
    <hyperlink ref="D12" r:id="rId19" location="/Alert_Management_GetAlertPreference" display="https://docs.kony.com/apps/integration/AdminConsoleServicesDocs/ - /Alert_Management_GetAlertPreference" xr:uid="{C6D81D5E-97C7-1D4A-BAC0-2B2DDF5C88A1}"/>
    <hyperlink ref="D45" r:id="rId20" location="/Internal_Users_GetCities" display="https://docs.kony.com/apps/integration/AdminConsoleServicesDocs/ - /Internal_Users_GetCities" xr:uid="{27A0144B-BB70-464A-9EDC-F433AC3EAA14}"/>
    <hyperlink ref="D46" r:id="rId21" location="/Internal_Users_GetCountries" display="https://docs.kony.com/apps/integration/AdminConsoleServicesDocs/ - /Internal_Users_GetCountries" xr:uid="{10DF1B9A-F842-154C-9342-9E7EA4BC4CE7}"/>
    <hyperlink ref="D3" r:id="rId22" location="/Customer_Management_FetchCustomerDetailsForOLB" display="https://docs.kony.com/apps/integration/AdminConsoleServicesDocs/ - /Customer_Management_FetchCustomerDetailsForOLB" xr:uid="{7297BE07-8907-2F4A-BF0C-56F4FF7A680B}"/>
    <hyperlink ref="D18" r:id="rId23" location="/Customer_Request_GetAllMessages_OLB_RB" display="https://docs.kony.com/apps/integration/AdminConsoleServicesDocs/ - /Customer_Request_GetAllMessages_OLB_RB" xr:uid="{E34CD24E-B1D4-0241-A84F-BB600098C6C2}"/>
    <hyperlink ref="D47" r:id="rId24" location="/Internal_Users_GetRegions" display="https://docs.kony.com/apps/integration/AdminConsoleServicesDocs/ - /Internal_Users_GetRegions" xr:uid="{1F594C42-068D-024F-9F9A-23CD202947B8}"/>
    <hyperlink ref="D34" r:id="rId25" location="/Business_Banking_GetBBCustomerEntitlements" display="https://docs.kony.com/apps/integration/AdminConsoleServicesDocs/ - /Business_Banking_GetBBCustomerEntitlements" xr:uid="{E852F70E-FEAF-4549-BC7C-66D405551513}"/>
    <hyperlink ref="D38" r:id="rId26" location="/Customer_Service_GetContactUs" display="https://docs.kony.com/apps/integration/AdminConsoleServicesDocs/ - /Customer_Service_GetContactUs" xr:uid="{E4CEE85F-8D4F-0D41-BCB2-3A3F3EF119AB}"/>
    <hyperlink ref="D15" r:id="rId27" location="/Customer_Management_GetCustomerContact" display="https://docs.kony.com/apps/integration/AdminConsoleServicesDocs/ - /Customer_Management_GetCustomerContact" xr:uid="{D5E39F66-C4E9-AE42-8CBA-09ACA2944940}"/>
    <hyperlink ref="D44" r:id="rId28" location="/Customer_Management_Get_customer_types" display="https://docs.kony.com/apps/integration/AdminConsoleServicesDocs/ - /Customer_Management_Get_customer_types" xr:uid="{76CE0064-8022-2C43-83C1-10E85C3C1DDC}"/>
    <hyperlink ref="D40" r:id="rId29" location="/Static_Content_Get_OLB_FAQs" display="https://docs.kony.com/apps/integration/AdminConsoleServicesDocs/ - /Static_Content_Get_OLB_FAQs" xr:uid="{90DFFB04-4DAA-E44E-963F-4F12321A81B7}"/>
    <hyperlink ref="D49" r:id="rId30" location="/Groups_GetGroupEntitlements" display="https://docs.kony.com/apps/integration/AdminConsoleServicesDocs/ - /Groups_GetGroupEntitlements" xr:uid="{2DED135E-71B5-894B-ABCC-C9EDD3007D65}"/>
    <hyperlink ref="D50" r:id="rId31" location="/Groups_GetGroupRecords" display="https://docs.kony.com/apps/integration/AdminConsoleServicesDocs/ - /Groups_GetGroupRecords" xr:uid="{F4897792-A9C5-6A47-8D02-88EBD3401119}"/>
    <hyperlink ref="D51" r:id="rId32" location="/Location_and_Location_Services_GetLocationDetails" display="https://docs.kony.com/apps/integration/AdminConsoleServicesDocs/ - /Location_and_Location_Services_GetLocationDetails" xr:uid="{CA3833A8-4899-D342-BB08-818A6374E5C3}"/>
    <hyperlink ref="D52" r:id="rId33" location="/Location_and_Location_Services_GetLocationRangeDetails" display="https://docs.kony.com/apps/integration/AdminConsoleServicesDocs/ - /Location_and_Location_Services_GetLocationRangeDetails" xr:uid="{C0FDD863-1D6A-6F48-A00C-64CD7722B643}"/>
    <hyperlink ref="D53" r:id="rId34" location="/Location_and_Location_Services_GetSearchedLocation" display="https://docs.kony.com/apps/integration/AdminConsoleServicesDocs/ - /Location_and_Location_Services_GetSearchedLocation" xr:uid="{F21F180F-705A-FF4B-AD56-9FD74798D71F}"/>
    <hyperlink ref="D19" r:id="rId35" location="/Customer_Request_GetMessageAttachments" display="https://docs.kony.com/apps/integration/AdminConsoleServicesDocs/ - /Customer_Request_GetMessageAttachments" xr:uid="{89B7E0CC-B9F0-C746-B7C0-80D3AFD19A72}"/>
    <hyperlink ref="D56" r:id="rId36" location="/Static_Content_GetOutageMessageOfInactiveServices" display="https://docs.kony.com/apps/integration/AdminConsoleServicesDocs/ - /Static_Content_GetOutageMessageOfInactiveServices" xr:uid="{913676D3-7607-FC47-903A-0FE26D0C04B2}"/>
    <hyperlink ref="D41" r:id="rId37" location="/Static_Content_Policies_Get" display="https://docs.kony.com/apps/integration/AdminConsoleServicesDocs/ - /Static_Content_Policies_Get" xr:uid="{BBDC584C-D25A-9E4F-A6D4-F30EFFA2B95A}"/>
    <hyperlink ref="D42" r:id="rId38" location="/Static_Content_GetPrivacyPolicy" display="https://docs.kony.com/apps/integration/AdminConsoleServicesDocs/ - /Static_Content_GetPrivacyPolicy" xr:uid="{D1CB3841-174A-9D49-902F-AB71AB310068}"/>
    <hyperlink ref="D37" r:id="rId39" location="/Product_Managment_GetProductList" display="https://docs.kony.com/apps/integration/AdminConsoleServicesDocs/ - /Product_Managment_GetProductList" xr:uid="{7C5410D8-A33B-C847-BD84-16329A5DA002}"/>
    <hyperlink ref="D9" r:id="rId40" location="/Customer_Management_FetchRandomSecurityQuestions" display="https://docs.kony.com/apps/integration/AdminConsoleServicesDocs/ - /Customer_Management_FetchRandomSecurityQuestions" xr:uid="{8801B302-570D-A042-9A6A-E153250E6CA5}"/>
    <hyperlink ref="D39" r:id="rId41" location="/Internal_Users_GetRegions_In_detail" display="https://docs.kony.com/apps/integration/AdminConsoleServicesDocs/ - /Internal_Users_GetRegions_In_detail" xr:uid="{F0CA02FB-DF9B-1943-A582-15E1872A443C}"/>
    <hyperlink ref="D20" r:id="rId42" location="/Customer_Request_GetRequestCategory" display="https://docs.kony.com/apps/integration/AdminConsoleServicesDocs/ - /Customer_Request_GetRequestCategory" xr:uid="{4F516925-FC10-B947-9FE1-49D725FA9014}"/>
    <hyperlink ref="D21" r:id="rId43" location="/Customer_Request_GetRequests_OLB_MB" display="https://docs.kony.com/apps/integration/AdminConsoleServicesDocs/ - /Customer_Request_GetRequests_OLB_MB" xr:uid="{0E852587-1A38-BA43-A39C-4EC16F35E9F7}"/>
    <hyperlink ref="D10" r:id="rId44" location="/Security_Questions_GetSecurityQuestions" display="https://docs.kony.com/apps/integration/AdminConsoleServicesDocs/ - /Security_Questions_GetSecurityQuestions" xr:uid="{38C3736F-2D99-1A46-9ECC-6D5CCD47B166}"/>
    <hyperlink ref="D43" r:id="rId45" location="/Static_Content_GetTermsAndConditions" display="https://docs.kony.com/apps/integration/AdminConsoleServicesDocs/ - /Static_Content_GetTermsAndConditions" xr:uid="{CABED71D-02C0-1242-B95A-EAE2FB3E813C}"/>
    <hyperlink ref="D27" r:id="rId46" location="/Account_Requests_GetTravelNotification" display="https://docs.kony.com/apps/integration/AdminConsoleServicesDocs/ - /Account_Requests_GetTravelNotification" xr:uid="{4358677A-8D4A-5443-B80A-AF4F2FEC75D9}"/>
    <hyperlink ref="D28" r:id="rId47" location="/Account_Requests_GetTravelNotificationStatus" display="https://docs.kony.com/apps/integration/AdminConsoleServicesDocs/ - /Account_Requests_GetTravelNotificationStatus" xr:uid="{01BB4D69-AE57-5844-B42D-9C32A0D4F047}"/>
    <hyperlink ref="D22" r:id="rId48" location="/Customer_Request_GetUnreadMessageCount" display="https://docs.kony.com/apps/integration/AdminConsoleServicesDocs/ - /Customer_Request_GetUnreadMessageCount" xr:uid="{342E4226-EE1C-BC4C-B027-9EB531D8BEB3}"/>
    <hyperlink ref="D5" r:id="rId49" location="/Customer_Management_RegisterDevice" display="https://docs.kony.com/apps/integration/AdminConsoleServicesDocs/ - /Customer_Management_RegisterDevice" xr:uid="{328DBD4C-86B4-D14C-9576-E29468B12285}"/>
    <hyperlink ref="D13" r:id="rId50" location="/Alert_Management_UpdateAlert" display="https://docs.kony.com/apps/integration/AdminConsoleServicesDocs/ - /Alert_Management_UpdateAlert" xr:uid="{D0C9C854-8568-7347-9AAF-141317F6189F}"/>
    <hyperlink ref="D16" r:id="rId51" location="/Customer_Management_EditCustomerContact" display="https://docs.kony.com/apps/integration/AdminConsoleServicesDocs/ - /Customer_Management_EditCustomerContact" xr:uid="{65DAC6EC-4218-A14D-9EDA-735246F8F5AB}"/>
    <hyperlink ref="D57" r:id="rId52" location="/Static_Content_UpdateOutageMessage" display="https://docs.kony.com/apps/integration/AdminConsoleServicesDocs/ - /Static_Content_UpdateOutageMessage" xr:uid="{01E5E5EA-0B3D-EC4D-A444-EC9A9E738516}"/>
    <hyperlink ref="D23" r:id="rId53" location="/Customer_Request_UpdateCustomerRequest" display="https://docs.kony.com/apps/integration/AdminConsoleServicesDocs/ - /Customer_Request_UpdateCustomerRequest" xr:uid="{FF97161F-EA5A-F644-A174-C8458201E511}"/>
    <hyperlink ref="D29" r:id="rId54" location="/Account_Requests_UpdateTravelNotification" display="https://docs.kony.com/apps/integration/AdminConsoleServicesDocs/ - /Account_Requests_UpdateTravelNotification" xr:uid="{71A59B7F-9BA7-2B47-B4DA-8FE9CB1DB878}"/>
    <hyperlink ref="D11" r:id="rId55" location="/Customer_Management_VerifyCustomerSecurityQuestions" display="https://docs.kony.com/apps/integration/AdminConsoleServicesDocs/ - /Customer_Management_VerifyCustomerSecurityQuestions" xr:uid="{4008CB05-2D90-3E40-A1AC-0B590E57A0A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12C41-F5A8-F445-AAF5-1DA417147F00}">
  <dimension ref="A1:D32"/>
  <sheetViews>
    <sheetView zoomScale="140" zoomScaleNormal="140" workbookViewId="0">
      <selection activeCell="B10" sqref="B10"/>
    </sheetView>
  </sheetViews>
  <sheetFormatPr baseColWidth="10" defaultRowHeight="15"/>
  <cols>
    <col min="1" max="1" width="30.6640625" bestFit="1" customWidth="1"/>
    <col min="2" max="2" width="37" bestFit="1" customWidth="1"/>
    <col min="4" max="4" width="38.5" style="40" customWidth="1"/>
  </cols>
  <sheetData>
    <row r="1" spans="1:4">
      <c r="A1" s="41"/>
      <c r="B1" s="41"/>
      <c r="C1" s="41"/>
      <c r="D1" s="42"/>
    </row>
    <row r="2" spans="1:4">
      <c r="A2" s="51" t="s">
        <v>1554</v>
      </c>
      <c r="B2" s="51" t="s">
        <v>1938</v>
      </c>
      <c r="C2" s="51" t="s">
        <v>1939</v>
      </c>
      <c r="D2" s="42"/>
    </row>
    <row r="3" spans="1:4">
      <c r="A3" s="41" t="s">
        <v>1555</v>
      </c>
      <c r="B3" s="41"/>
      <c r="C3" s="41"/>
      <c r="D3" s="42"/>
    </row>
    <row r="4" spans="1:4">
      <c r="A4" s="41" t="s">
        <v>1556</v>
      </c>
      <c r="B4" s="41"/>
      <c r="C4" s="41"/>
      <c r="D4" s="42"/>
    </row>
    <row r="5" spans="1:4">
      <c r="A5" s="41" t="s">
        <v>1557</v>
      </c>
      <c r="B5" s="41"/>
      <c r="C5" s="41"/>
      <c r="D5" s="42"/>
    </row>
    <row r="6" spans="1:4" s="2" customFormat="1">
      <c r="A6" s="41" t="s">
        <v>1581</v>
      </c>
      <c r="B6" s="41"/>
      <c r="C6" s="41"/>
      <c r="D6" s="42"/>
    </row>
    <row r="7" spans="1:4">
      <c r="A7" s="41" t="s">
        <v>1558</v>
      </c>
      <c r="B7" s="41"/>
      <c r="C7" s="41"/>
      <c r="D7" s="42"/>
    </row>
    <row r="8" spans="1:4">
      <c r="A8" s="41" t="s">
        <v>1559</v>
      </c>
      <c r="B8" s="41"/>
      <c r="C8" s="41"/>
      <c r="D8" s="42"/>
    </row>
    <row r="9" spans="1:4">
      <c r="A9" s="41" t="s">
        <v>1560</v>
      </c>
      <c r="B9" s="41"/>
      <c r="C9" s="41"/>
      <c r="D9" s="42"/>
    </row>
    <row r="10" spans="1:4">
      <c r="A10" s="41" t="s">
        <v>1561</v>
      </c>
      <c r="B10" s="41"/>
      <c r="C10" s="41"/>
      <c r="D10" s="42"/>
    </row>
    <row r="11" spans="1:4">
      <c r="A11" s="41" t="s">
        <v>1562</v>
      </c>
      <c r="B11" s="41"/>
      <c r="C11" s="41"/>
      <c r="D11" s="42"/>
    </row>
    <row r="12" spans="1:4">
      <c r="A12" s="41" t="s">
        <v>1563</v>
      </c>
      <c r="B12" s="41"/>
      <c r="C12" s="41"/>
      <c r="D12" s="42"/>
    </row>
    <row r="13" spans="1:4">
      <c r="A13" s="41" t="s">
        <v>1564</v>
      </c>
      <c r="B13" s="41"/>
      <c r="C13" s="41"/>
      <c r="D13" s="42"/>
    </row>
    <row r="14" spans="1:4">
      <c r="A14" s="41" t="s">
        <v>1565</v>
      </c>
      <c r="B14" s="41"/>
      <c r="C14" s="41"/>
      <c r="D14" s="42"/>
    </row>
    <row r="15" spans="1:4">
      <c r="A15" s="41" t="s">
        <v>1566</v>
      </c>
      <c r="B15" s="41"/>
      <c r="C15" s="41"/>
      <c r="D15" s="42"/>
    </row>
    <row r="16" spans="1:4">
      <c r="A16" s="41" t="s">
        <v>1567</v>
      </c>
      <c r="B16" s="41"/>
      <c r="C16" s="41"/>
      <c r="D16" s="42"/>
    </row>
    <row r="17" spans="1:4">
      <c r="A17" s="41" t="s">
        <v>1568</v>
      </c>
      <c r="B17" s="41"/>
      <c r="C17" s="41"/>
      <c r="D17" s="42"/>
    </row>
    <row r="18" spans="1:4">
      <c r="A18" s="41" t="s">
        <v>1569</v>
      </c>
      <c r="B18" s="41"/>
      <c r="C18" s="41"/>
      <c r="D18" s="42"/>
    </row>
    <row r="19" spans="1:4">
      <c r="A19" s="41" t="s">
        <v>1570</v>
      </c>
      <c r="B19" s="41"/>
      <c r="C19" s="41"/>
      <c r="D19" s="42"/>
    </row>
    <row r="20" spans="1:4">
      <c r="A20" s="41" t="s">
        <v>1571</v>
      </c>
      <c r="B20" s="41"/>
      <c r="C20" s="41"/>
      <c r="D20" s="42"/>
    </row>
    <row r="21" spans="1:4">
      <c r="A21" s="41" t="s">
        <v>1572</v>
      </c>
      <c r="B21" s="41"/>
      <c r="C21" s="41"/>
      <c r="D21" s="42"/>
    </row>
    <row r="22" spans="1:4">
      <c r="A22" s="41" t="s">
        <v>1573</v>
      </c>
      <c r="B22" s="41"/>
      <c r="C22" s="41"/>
      <c r="D22" s="42"/>
    </row>
    <row r="23" spans="1:4">
      <c r="A23" s="41" t="s">
        <v>1574</v>
      </c>
      <c r="B23" s="41"/>
      <c r="C23" s="41"/>
      <c r="D23" s="42"/>
    </row>
    <row r="24" spans="1:4">
      <c r="A24" s="41" t="s">
        <v>1575</v>
      </c>
      <c r="B24" s="41"/>
      <c r="C24" s="41"/>
      <c r="D24" s="42"/>
    </row>
    <row r="25" spans="1:4">
      <c r="A25" s="41" t="s">
        <v>1538</v>
      </c>
      <c r="B25" s="41"/>
      <c r="C25" s="41"/>
      <c r="D25" s="42"/>
    </row>
    <row r="26" spans="1:4">
      <c r="A26" s="41" t="s">
        <v>1576</v>
      </c>
      <c r="B26" s="41"/>
      <c r="C26" s="41"/>
      <c r="D26" s="42"/>
    </row>
    <row r="27" spans="1:4">
      <c r="A27" s="41" t="s">
        <v>1577</v>
      </c>
      <c r="B27" s="41"/>
      <c r="C27" s="41"/>
      <c r="D27" s="42"/>
    </row>
    <row r="28" spans="1:4">
      <c r="A28" s="41" t="s">
        <v>1578</v>
      </c>
      <c r="B28" s="41"/>
      <c r="C28" s="41"/>
      <c r="D28" s="42"/>
    </row>
    <row r="29" spans="1:4">
      <c r="A29" s="41" t="s">
        <v>1579</v>
      </c>
      <c r="B29" s="41"/>
      <c r="C29" s="41"/>
      <c r="D29" s="42"/>
    </row>
    <row r="30" spans="1:4">
      <c r="A30" s="41" t="s">
        <v>1580</v>
      </c>
      <c r="B30" s="41"/>
      <c r="C30" s="41"/>
      <c r="D30" s="42"/>
    </row>
    <row r="31" spans="1:4">
      <c r="A31" s="41"/>
      <c r="B31" s="41"/>
      <c r="C31" s="41"/>
      <c r="D31" s="42"/>
    </row>
    <row r="32" spans="1:4">
      <c r="A32" s="41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B1:J71"/>
  <sheetViews>
    <sheetView workbookViewId="0">
      <selection activeCell="I12" sqref="I12"/>
    </sheetView>
  </sheetViews>
  <sheetFormatPr baseColWidth="10" defaultColWidth="8.83203125" defaultRowHeight="15"/>
  <cols>
    <col min="2" max="2" width="21.83203125" style="2" customWidth="1"/>
    <col min="3" max="3" width="8.5" style="2" customWidth="1"/>
    <col min="4" max="4" width="44.6640625" style="2" bestFit="1" customWidth="1"/>
    <col min="5" max="5" width="16.5" style="2" bestFit="1" customWidth="1"/>
    <col min="6" max="6" width="9.5" bestFit="1" customWidth="1"/>
    <col min="7" max="7" width="4.83203125" customWidth="1"/>
    <col min="9" max="9" width="22.1640625" bestFit="1" customWidth="1"/>
    <col min="10" max="10" width="16.33203125" customWidth="1"/>
  </cols>
  <sheetData>
    <row r="1" spans="2:10" s="2" customFormat="1"/>
    <row r="2" spans="2:10">
      <c r="B2" s="2" t="s">
        <v>9</v>
      </c>
      <c r="D2" s="2" t="s">
        <v>3</v>
      </c>
      <c r="F2" t="s">
        <v>4</v>
      </c>
      <c r="H2" t="s">
        <v>10</v>
      </c>
      <c r="J2" s="5" t="s">
        <v>97</v>
      </c>
    </row>
    <row r="3" spans="2:10">
      <c r="B3" s="2" t="s">
        <v>3</v>
      </c>
      <c r="D3" s="2" t="s">
        <v>5</v>
      </c>
      <c r="F3" t="s">
        <v>6</v>
      </c>
      <c r="H3" t="s">
        <v>10</v>
      </c>
      <c r="J3" s="4" t="s">
        <v>6</v>
      </c>
    </row>
    <row r="4" spans="2:10">
      <c r="B4" s="2" t="s">
        <v>4</v>
      </c>
      <c r="F4" t="s">
        <v>7</v>
      </c>
      <c r="J4" s="4" t="s">
        <v>7</v>
      </c>
    </row>
    <row r="5" spans="2:10">
      <c r="B5" s="2" t="s">
        <v>98</v>
      </c>
      <c r="F5" t="s">
        <v>8</v>
      </c>
      <c r="J5" s="4" t="s">
        <v>8</v>
      </c>
    </row>
    <row r="10" spans="2:10">
      <c r="B10" s="2" t="s">
        <v>11</v>
      </c>
      <c r="D10" s="3" t="s">
        <v>95</v>
      </c>
      <c r="E10" s="3" t="s">
        <v>96</v>
      </c>
      <c r="I10" s="1" t="s">
        <v>3</v>
      </c>
    </row>
    <row r="11" spans="2:10" s="2" customFormat="1">
      <c r="D11" s="2" t="e">
        <f>IF(#REF!=0,"",#REF!)</f>
        <v>#REF!</v>
      </c>
      <c r="E11" s="2" t="e">
        <f>IF(#REF!=0,"",#REF!)</f>
        <v>#REF!</v>
      </c>
      <c r="I11" s="1" t="s">
        <v>4</v>
      </c>
    </row>
    <row r="12" spans="2:10">
      <c r="B12" s="2" t="s">
        <v>0</v>
      </c>
      <c r="D12" s="2" t="e">
        <f>IF(#REF!=0,"",#REF!)</f>
        <v>#REF!</v>
      </c>
      <c r="E12" s="2" t="e">
        <f>IF(#REF!=0,"",#REF!)</f>
        <v>#REF!</v>
      </c>
    </row>
    <row r="13" spans="2:10">
      <c r="B13" s="2" t="s">
        <v>2</v>
      </c>
      <c r="D13" s="2" t="e">
        <f>IF(#REF!=0,"",#REF!)</f>
        <v>#REF!</v>
      </c>
      <c r="E13" s="2" t="e">
        <f>IF(#REF!=0,"",#REF!)</f>
        <v>#REF!</v>
      </c>
    </row>
    <row r="14" spans="2:10">
      <c r="B14" s="2" t="s">
        <v>1</v>
      </c>
      <c r="D14" s="2" t="e">
        <f>IF(#REF!=0,"",#REF!)</f>
        <v>#REF!</v>
      </c>
      <c r="E14" s="2" t="e">
        <f>IF(#REF!=0,"",#REF!)</f>
        <v>#REF!</v>
      </c>
    </row>
    <row r="15" spans="2:10">
      <c r="D15" s="2" t="e">
        <f>IF(#REF!=0,"",#REF!)</f>
        <v>#REF!</v>
      </c>
      <c r="E15" s="2" t="e">
        <f>IF(#REF!=0,"",#REF!)</f>
        <v>#REF!</v>
      </c>
    </row>
    <row r="16" spans="2:10">
      <c r="D16" s="2" t="e">
        <f>IF(#REF!=0,"",#REF!)</f>
        <v>#REF!</v>
      </c>
      <c r="E16" s="2" t="e">
        <f>IF(#REF!=0,"",#REF!)</f>
        <v>#REF!</v>
      </c>
    </row>
    <row r="17" spans="4:5">
      <c r="D17" s="2" t="e">
        <f>IF(#REF!=0,"",#REF!)</f>
        <v>#REF!</v>
      </c>
      <c r="E17" s="2" t="e">
        <f>IF(#REF!=0,"",#REF!)</f>
        <v>#REF!</v>
      </c>
    </row>
    <row r="18" spans="4:5">
      <c r="D18" s="2" t="e">
        <f>IF(#REF!=0,"",#REF!)</f>
        <v>#REF!</v>
      </c>
      <c r="E18" s="2" t="e">
        <f>IF(#REF!=0,"",#REF!)</f>
        <v>#REF!</v>
      </c>
    </row>
    <row r="19" spans="4:5">
      <c r="D19" s="2" t="e">
        <f>IF(#REF!=0,"",#REF!)</f>
        <v>#REF!</v>
      </c>
      <c r="E19" s="2" t="e">
        <f>IF(#REF!=0,"",#REF!)</f>
        <v>#REF!</v>
      </c>
    </row>
    <row r="20" spans="4:5">
      <c r="D20" s="2" t="e">
        <f>IF(#REF!=0,"",#REF!)</f>
        <v>#REF!</v>
      </c>
      <c r="E20" s="2" t="e">
        <f>IF(#REF!=0,"",#REF!)</f>
        <v>#REF!</v>
      </c>
    </row>
    <row r="21" spans="4:5">
      <c r="D21" s="2" t="e">
        <f>IF(#REF!=0,"",#REF!)</f>
        <v>#REF!</v>
      </c>
      <c r="E21" s="2" t="e">
        <f>IF(#REF!=0,"",#REF!)</f>
        <v>#REF!</v>
      </c>
    </row>
    <row r="22" spans="4:5">
      <c r="D22" s="2" t="e">
        <f>IF(#REF!=0,"",#REF!)</f>
        <v>#REF!</v>
      </c>
      <c r="E22" s="2" t="e">
        <f>IF(#REF!=0,"",#REF!)</f>
        <v>#REF!</v>
      </c>
    </row>
    <row r="23" spans="4:5">
      <c r="D23" s="2" t="e">
        <f>IF(#REF!=0,"",#REF!)</f>
        <v>#REF!</v>
      </c>
      <c r="E23" s="2" t="e">
        <f>IF(#REF!=0,"",#REF!)</f>
        <v>#REF!</v>
      </c>
    </row>
    <row r="24" spans="4:5">
      <c r="D24" s="2" t="e">
        <f>IF(#REF!=0,"",#REF!)</f>
        <v>#REF!</v>
      </c>
      <c r="E24" s="2" t="e">
        <f>IF(#REF!=0,"",#REF!)</f>
        <v>#REF!</v>
      </c>
    </row>
    <row r="25" spans="4:5">
      <c r="D25" s="2" t="e">
        <f>IF(#REF!=0,"",#REF!)</f>
        <v>#REF!</v>
      </c>
      <c r="E25" s="2" t="e">
        <f>IF(#REF!=0,"",#REF!)</f>
        <v>#REF!</v>
      </c>
    </row>
    <row r="26" spans="4:5">
      <c r="D26" s="2" t="e">
        <f>IF(#REF!=0,"",#REF!)</f>
        <v>#REF!</v>
      </c>
      <c r="E26" s="2" t="e">
        <f>IF(#REF!=0,"",#REF!)</f>
        <v>#REF!</v>
      </c>
    </row>
    <row r="27" spans="4:5">
      <c r="D27" s="2" t="e">
        <f>IF(#REF!=0,"",#REF!)</f>
        <v>#REF!</v>
      </c>
      <c r="E27" s="2" t="e">
        <f>IF(#REF!=0,"",#REF!)</f>
        <v>#REF!</v>
      </c>
    </row>
    <row r="28" spans="4:5">
      <c r="D28" s="2" t="e">
        <f>IF(#REF!=0,"",#REF!)</f>
        <v>#REF!</v>
      </c>
      <c r="E28" s="2" t="e">
        <f>IF(#REF!=0,"",#REF!)</f>
        <v>#REF!</v>
      </c>
    </row>
    <row r="29" spans="4:5">
      <c r="D29" s="2" t="e">
        <f>IF(#REF!=0,"",#REF!)</f>
        <v>#REF!</v>
      </c>
      <c r="E29" s="2" t="e">
        <f>IF(#REF!=0,"",#REF!)</f>
        <v>#REF!</v>
      </c>
    </row>
    <row r="30" spans="4:5">
      <c r="D30" s="2" t="e">
        <f>IF(#REF!=0,"",#REF!)</f>
        <v>#REF!</v>
      </c>
      <c r="E30" s="2" t="e">
        <f>IF(#REF!=0,"",#REF!)</f>
        <v>#REF!</v>
      </c>
    </row>
    <row r="31" spans="4:5">
      <c r="D31" s="2" t="e">
        <f>IF(#REF!=0,"",#REF!)</f>
        <v>#REF!</v>
      </c>
      <c r="E31" s="2" t="e">
        <f>IF(#REF!=0,"",#REF!)</f>
        <v>#REF!</v>
      </c>
    </row>
    <row r="32" spans="4:5">
      <c r="D32" s="2" t="e">
        <f>IF(#REF!=0,"",#REF!)</f>
        <v>#REF!</v>
      </c>
      <c r="E32" s="2" t="e">
        <f>IF(#REF!=0,"",#REF!)</f>
        <v>#REF!</v>
      </c>
    </row>
    <row r="33" spans="4:5">
      <c r="D33" s="2" t="e">
        <f>IF(#REF!=0,"",#REF!)</f>
        <v>#REF!</v>
      </c>
      <c r="E33" s="2" t="e">
        <f>IF(#REF!=0,"",#REF!)</f>
        <v>#REF!</v>
      </c>
    </row>
    <row r="34" spans="4:5">
      <c r="D34" s="2" t="e">
        <f>IF(#REF!=0,"",#REF!)</f>
        <v>#REF!</v>
      </c>
      <c r="E34" s="2" t="e">
        <f>IF(#REF!=0,"",#REF!)</f>
        <v>#REF!</v>
      </c>
    </row>
    <row r="35" spans="4:5">
      <c r="D35" s="2" t="e">
        <f>IF(#REF!=0,"",#REF!)</f>
        <v>#REF!</v>
      </c>
      <c r="E35" s="2" t="e">
        <f>IF(#REF!=0,"",#REF!)</f>
        <v>#REF!</v>
      </c>
    </row>
    <row r="36" spans="4:5">
      <c r="D36" s="2" t="e">
        <f>IF(#REF!=0,"",#REF!)</f>
        <v>#REF!</v>
      </c>
      <c r="E36" s="2" t="e">
        <f>IF(#REF!=0,"",#REF!)</f>
        <v>#REF!</v>
      </c>
    </row>
    <row r="37" spans="4:5">
      <c r="D37" s="2" t="e">
        <f>IF(#REF!=0,"",#REF!)</f>
        <v>#REF!</v>
      </c>
      <c r="E37" s="2" t="e">
        <f>IF(#REF!=0,"",#REF!)</f>
        <v>#REF!</v>
      </c>
    </row>
    <row r="38" spans="4:5">
      <c r="D38" s="2" t="e">
        <f>IF(#REF!=0,"",#REF!)</f>
        <v>#REF!</v>
      </c>
      <c r="E38" s="2" t="e">
        <f>IF(#REF!=0,"",#REF!)</f>
        <v>#REF!</v>
      </c>
    </row>
    <row r="39" spans="4:5">
      <c r="D39" s="2" t="e">
        <f>IF(#REF!=0,"",#REF!)</f>
        <v>#REF!</v>
      </c>
      <c r="E39" s="2" t="e">
        <f>IF(#REF!=0,"",#REF!)</f>
        <v>#REF!</v>
      </c>
    </row>
    <row r="40" spans="4:5">
      <c r="D40" s="2" t="e">
        <f>IF(#REF!=0,"",#REF!)</f>
        <v>#REF!</v>
      </c>
      <c r="E40" s="2" t="e">
        <f>IF(#REF!=0,"",#REF!)</f>
        <v>#REF!</v>
      </c>
    </row>
    <row r="41" spans="4:5">
      <c r="D41" s="2" t="e">
        <f>IF(#REF!=0,"",#REF!)</f>
        <v>#REF!</v>
      </c>
      <c r="E41" s="2" t="e">
        <f>IF(#REF!=0,"",#REF!)</f>
        <v>#REF!</v>
      </c>
    </row>
    <row r="42" spans="4:5">
      <c r="D42" s="2" t="e">
        <f>IF(#REF!=0,"",#REF!)</f>
        <v>#REF!</v>
      </c>
      <c r="E42" s="2" t="e">
        <f>IF(#REF!=0,"",#REF!)</f>
        <v>#REF!</v>
      </c>
    </row>
    <row r="43" spans="4:5">
      <c r="D43" s="2" t="e">
        <f>IF(#REF!=0,"",#REF!)</f>
        <v>#REF!</v>
      </c>
      <c r="E43" s="2" t="e">
        <f>IF(#REF!=0,"",#REF!)</f>
        <v>#REF!</v>
      </c>
    </row>
    <row r="44" spans="4:5">
      <c r="D44" s="2" t="e">
        <f>IF(#REF!=0,"",#REF!)</f>
        <v>#REF!</v>
      </c>
      <c r="E44" s="2" t="e">
        <f>IF(#REF!=0,"",#REF!)</f>
        <v>#REF!</v>
      </c>
    </row>
    <row r="45" spans="4:5">
      <c r="D45" s="2" t="e">
        <f>IF(#REF!=0,"",#REF!)</f>
        <v>#REF!</v>
      </c>
      <c r="E45" s="2" t="e">
        <f>IF(#REF!=0,"",#REF!)</f>
        <v>#REF!</v>
      </c>
    </row>
    <row r="46" spans="4:5">
      <c r="D46" s="2" t="e">
        <f>IF(#REF!=0,"",#REF!)</f>
        <v>#REF!</v>
      </c>
      <c r="E46" s="2" t="e">
        <f>IF(#REF!=0,"",#REF!)</f>
        <v>#REF!</v>
      </c>
    </row>
    <row r="47" spans="4:5">
      <c r="D47" s="2" t="e">
        <f>IF(#REF!=0,"",#REF!)</f>
        <v>#REF!</v>
      </c>
      <c r="E47" s="2" t="e">
        <f>IF(#REF!=0,"",#REF!)</f>
        <v>#REF!</v>
      </c>
    </row>
    <row r="48" spans="4:5">
      <c r="D48" s="2" t="e">
        <f>IF(#REF!=0,"",#REF!)</f>
        <v>#REF!</v>
      </c>
      <c r="E48" s="2" t="e">
        <f>IF(#REF!=0,"",#REF!)</f>
        <v>#REF!</v>
      </c>
    </row>
    <row r="49" spans="4:5">
      <c r="D49" s="2" t="e">
        <f>IF(#REF!=0,"",#REF!)</f>
        <v>#REF!</v>
      </c>
      <c r="E49" s="2" t="e">
        <f>IF(#REF!=0,"",#REF!)</f>
        <v>#REF!</v>
      </c>
    </row>
    <row r="50" spans="4:5">
      <c r="D50" s="2" t="e">
        <f>IF(#REF!=0,"",#REF!)</f>
        <v>#REF!</v>
      </c>
      <c r="E50" s="2" t="e">
        <f>IF(#REF!=0,"",#REF!)</f>
        <v>#REF!</v>
      </c>
    </row>
    <row r="51" spans="4:5">
      <c r="D51" s="2" t="e">
        <f>IF(#REF!=0,"",#REF!)</f>
        <v>#REF!</v>
      </c>
      <c r="E51" s="2" t="e">
        <f>IF(#REF!=0,"",#REF!)</f>
        <v>#REF!</v>
      </c>
    </row>
    <row r="52" spans="4:5" s="2" customFormat="1">
      <c r="D52" s="2" t="e">
        <f>IF(#REF!=0,"",#REF!)</f>
        <v>#REF!</v>
      </c>
      <c r="E52" s="2" t="e">
        <f>IF(#REF!=0,"",#REF!)</f>
        <v>#REF!</v>
      </c>
    </row>
    <row r="53" spans="4:5">
      <c r="D53" s="2" t="e">
        <f>IF(#REF!=0,"",#REF!)</f>
        <v>#REF!</v>
      </c>
      <c r="E53" s="2" t="e">
        <f>IF(#REF!=0,"",#REF!)</f>
        <v>#REF!</v>
      </c>
    </row>
    <row r="54" spans="4:5">
      <c r="D54" s="2" t="e">
        <f>IF(#REF!=0,"",#REF!)</f>
        <v>#REF!</v>
      </c>
      <c r="E54" s="2" t="e">
        <f>IF(#REF!=0,"",#REF!)</f>
        <v>#REF!</v>
      </c>
    </row>
    <row r="55" spans="4:5">
      <c r="D55" s="2" t="e">
        <f>IF(#REF!=0,"",#REF!)</f>
        <v>#REF!</v>
      </c>
      <c r="E55" s="2" t="e">
        <f>IF(#REF!=0,"",#REF!)</f>
        <v>#REF!</v>
      </c>
    </row>
    <row r="56" spans="4:5">
      <c r="D56" s="2" t="e">
        <f>IF(#REF!=0,"",#REF!)</f>
        <v>#REF!</v>
      </c>
      <c r="E56" s="2" t="e">
        <f>IF(#REF!=0,"",#REF!)</f>
        <v>#REF!</v>
      </c>
    </row>
    <row r="57" spans="4:5">
      <c r="D57" s="2" t="e">
        <f>IF(#REF!=0,"",#REF!)</f>
        <v>#REF!</v>
      </c>
      <c r="E57" s="2" t="e">
        <f>IF(#REF!=0,"",#REF!)</f>
        <v>#REF!</v>
      </c>
    </row>
    <row r="58" spans="4:5">
      <c r="D58" s="2" t="e">
        <f>IF(#REF!=0,"",#REF!)</f>
        <v>#REF!</v>
      </c>
      <c r="E58" s="2" t="e">
        <f>IF(#REF!=0,"",#REF!)</f>
        <v>#REF!</v>
      </c>
    </row>
    <row r="59" spans="4:5">
      <c r="D59" s="2" t="e">
        <f>IF(#REF!=0,"",#REF!)</f>
        <v>#REF!</v>
      </c>
      <c r="E59" s="2" t="e">
        <f>IF(#REF!=0,"",#REF!)</f>
        <v>#REF!</v>
      </c>
    </row>
    <row r="60" spans="4:5">
      <c r="D60" s="2" t="e">
        <f>IF(#REF!=0,"",#REF!)</f>
        <v>#REF!</v>
      </c>
      <c r="E60" s="2" t="e">
        <f>IF(#REF!=0,"",#REF!)</f>
        <v>#REF!</v>
      </c>
    </row>
    <row r="61" spans="4:5">
      <c r="D61" s="2" t="e">
        <f>IF(#REF!=0,"",#REF!)</f>
        <v>#REF!</v>
      </c>
      <c r="E61" s="2" t="e">
        <f>IF(#REF!=0,"",#REF!)</f>
        <v>#REF!</v>
      </c>
    </row>
    <row r="62" spans="4:5">
      <c r="D62" s="2" t="e">
        <f>IF(#REF!=0,"",#REF!)</f>
        <v>#REF!</v>
      </c>
      <c r="E62" s="2" t="e">
        <f>IF(#REF!=0,"",#REF!)</f>
        <v>#REF!</v>
      </c>
    </row>
    <row r="63" spans="4:5">
      <c r="D63" s="2" t="e">
        <f>IF(#REF!=0,"",#REF!)</f>
        <v>#REF!</v>
      </c>
      <c r="E63" s="2" t="e">
        <f>IF(#REF!=0,"",#REF!)</f>
        <v>#REF!</v>
      </c>
    </row>
    <row r="64" spans="4:5">
      <c r="D64" s="2" t="e">
        <f>IF(#REF!=0,"",#REF!)</f>
        <v>#REF!</v>
      </c>
      <c r="E64" s="2" t="e">
        <f>IF(#REF!=0,"",#REF!)</f>
        <v>#REF!</v>
      </c>
    </row>
    <row r="65" spans="4:5">
      <c r="D65" s="2" t="e">
        <f>IF(#REF!=0,"",#REF!)</f>
        <v>#REF!</v>
      </c>
      <c r="E65" s="2" t="e">
        <f>IF(#REF!=0,"",#REF!)</f>
        <v>#REF!</v>
      </c>
    </row>
    <row r="66" spans="4:5">
      <c r="D66" s="2" t="e">
        <f>IF(#REF!=0,"",#REF!)</f>
        <v>#REF!</v>
      </c>
      <c r="E66" s="2" t="e">
        <f>IF(#REF!=0,"",#REF!)</f>
        <v>#REF!</v>
      </c>
    </row>
    <row r="67" spans="4:5">
      <c r="D67" s="2" t="e">
        <f>IF(#REF!=0,"",#REF!)</f>
        <v>#REF!</v>
      </c>
      <c r="E67" s="2" t="e">
        <f>IF(#REF!=0,"",#REF!)</f>
        <v>#REF!</v>
      </c>
    </row>
    <row r="68" spans="4:5">
      <c r="D68" s="2" t="e">
        <f>IF(#REF!=0,"",#REF!)</f>
        <v>#REF!</v>
      </c>
      <c r="E68" s="2" t="e">
        <f>IF(#REF!=0,"",#REF!)</f>
        <v>#REF!</v>
      </c>
    </row>
    <row r="69" spans="4:5">
      <c r="D69" s="2" t="e">
        <f>IF(#REF!=0,"",#REF!)</f>
        <v>#REF!</v>
      </c>
      <c r="E69" s="2" t="e">
        <f>IF(#REF!=0,"",#REF!)</f>
        <v>#REF!</v>
      </c>
    </row>
    <row r="70" spans="4:5">
      <c r="D70" s="2" t="e">
        <f>IF(#REF!=0,"",#REF!)</f>
        <v>#REF!</v>
      </c>
      <c r="E70" s="2" t="e">
        <f>IF(#REF!=0,"",#REF!)</f>
        <v>#REF!</v>
      </c>
    </row>
    <row r="71" spans="4:5">
      <c r="D71" s="2" t="e">
        <f>IF(#REF!=0,"",#REF!)</f>
        <v>#REF!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04653a278c57ed01c5d0ff54082cfac6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df684b34901e9e296bc0697146f16bc5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4B39BF-A938-47D3-BFFC-92B7E928902F}"/>
</file>

<file path=customXml/itemProps2.xml><?xml version="1.0" encoding="utf-8"?>
<ds:datastoreItem xmlns:ds="http://schemas.openxmlformats.org/officeDocument/2006/customXml" ds:itemID="{C1AA9F56-6655-416C-9F61-D7E70472E176}"/>
</file>

<file path=customXml/itemProps3.xml><?xml version="1.0" encoding="utf-8"?>
<ds:datastoreItem xmlns:ds="http://schemas.openxmlformats.org/officeDocument/2006/customXml" ds:itemID="{D9DE909F-DFC1-406F-9505-A9140DC7DC70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Summary</vt:lpstr>
      <vt:lpstr>Kony RB - Services Detail</vt:lpstr>
      <vt:lpstr>Retail Banking</vt:lpstr>
      <vt:lpstr>Business Banking</vt:lpstr>
      <vt:lpstr>Customer 360</vt:lpstr>
      <vt:lpstr>Vendor List</vt:lpstr>
      <vt:lpstr>Lists</vt:lpstr>
      <vt:lpstr>Custom</vt:lpstr>
      <vt:lpstr>Development</vt:lpstr>
      <vt:lpstr>Effort</vt:lpstr>
      <vt:lpstr>NoDev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Office User</dc:creator>
  <cp:lastModifiedBy>Microsoft Office User</cp:lastModifiedBy>
  <dcterms:created xsi:type="dcterms:W3CDTF">2018-01-29T16:14:24Z</dcterms:created>
  <dcterms:modified xsi:type="dcterms:W3CDTF">2020-03-02T15:58:49Z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115600</vt:r8>
  </property>
  <property fmtid="{D5CDD505-2E9C-101B-9397-08002B2CF9AE}" pid="4" name="URL">
    <vt:lpwstr/>
  </property>
  <property fmtid="{D5CDD505-2E9C-101B-9397-08002B2CF9AE}" pid="5" name="MediaServiceImageTags">
    <vt:lpwstr/>
  </property>
</Properties>
</file>