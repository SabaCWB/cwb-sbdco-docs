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wb.local\shared\UsersMyDocs\mazas\Documents\CWB Current\"/>
    </mc:Choice>
  </mc:AlternateContent>
  <bookViews>
    <workbookView xWindow="240" yWindow="96" windowWidth="24780" windowHeight="11832" tabRatio="803" activeTab="1"/>
  </bookViews>
  <sheets>
    <sheet name="Legend" sheetId="16" r:id="rId1"/>
    <sheet name="UC" sheetId="1" r:id="rId2"/>
    <sheet name="Apex" sheetId="11" r:id="rId3"/>
    <sheet name="StdCHQ" sheetId="3" r:id="rId4"/>
    <sheet name="Summit" sheetId="4" r:id="rId5"/>
    <sheet name="Peak" sheetId="13" r:id="rId6"/>
    <sheet name="Gold Leaf PLUS" sheetId="12" r:id="rId7"/>
    <sheet name="Student" sheetId="7" r:id="rId8"/>
    <sheet name="Youth" sheetId="8" r:id="rId9"/>
    <sheet name="US Chequing" sheetId="10" r:id="rId10"/>
    <sheet name="US Savings" sheetId="19" r:id="rId11"/>
    <sheet name="Online Accounts" sheetId="21" r:id="rId12"/>
  </sheets>
  <calcPr calcId="162913"/>
</workbook>
</file>

<file path=xl/calcChain.xml><?xml version="1.0" encoding="utf-8"?>
<calcChain xmlns="http://schemas.openxmlformats.org/spreadsheetml/2006/main">
  <c r="B2" i="21" l="1"/>
  <c r="B2" i="19"/>
  <c r="B2" i="4"/>
  <c r="B2" i="10" l="1"/>
  <c r="B2" i="1" l="1"/>
  <c r="B2" i="8" l="1"/>
  <c r="B2" i="7"/>
  <c r="B2" i="12"/>
  <c r="B2" i="13"/>
  <c r="B2" i="3"/>
  <c r="B2" i="11"/>
</calcChain>
</file>

<file path=xl/sharedStrings.xml><?xml version="1.0" encoding="utf-8"?>
<sst xmlns="http://schemas.openxmlformats.org/spreadsheetml/2006/main" count="1662" uniqueCount="633">
  <si>
    <t>CWB</t>
  </si>
  <si>
    <t>Monthly Fee</t>
  </si>
  <si>
    <t>Per Item Charge</t>
  </si>
  <si>
    <t>No Charge</t>
  </si>
  <si>
    <t>Free Transactions</t>
  </si>
  <si>
    <t>Unlimited</t>
  </si>
  <si>
    <t>Restrictions</t>
  </si>
  <si>
    <t>Fees Waived</t>
  </si>
  <si>
    <t>Scotia</t>
  </si>
  <si>
    <t>TD</t>
  </si>
  <si>
    <t>CIBC</t>
  </si>
  <si>
    <t>RBC</t>
  </si>
  <si>
    <t>BMO</t>
  </si>
  <si>
    <t>ATB</t>
  </si>
  <si>
    <t>HSBC</t>
  </si>
  <si>
    <t>Interest Bearing?</t>
  </si>
  <si>
    <t>Y</t>
  </si>
  <si>
    <t>Additional Benefits</t>
  </si>
  <si>
    <t>Statements</t>
  </si>
  <si>
    <t>Line of Credit</t>
  </si>
  <si>
    <t>Subject to approval</t>
  </si>
  <si>
    <t>Unlimited Interac Direct Payments</t>
  </si>
  <si>
    <t>Unlimited ABM/Interac/Cirrus access</t>
  </si>
  <si>
    <t>Annual fee waived for CWT Self-Directed RRSP account</t>
  </si>
  <si>
    <t>Cheques</t>
  </si>
  <si>
    <t>Bank Paid</t>
  </si>
  <si>
    <t>Free monthly electronic paperless statements w/cheque images; optional mailed statements at no cost</t>
  </si>
  <si>
    <t>Certified Cheques</t>
  </si>
  <si>
    <t>Safety Deposit Box</t>
  </si>
  <si>
    <t>Small safety deposit box (Value up to $60 annually)</t>
  </si>
  <si>
    <t>Free paperless or monthly mailed statements</t>
  </si>
  <si>
    <t>No TD or network fee</t>
  </si>
  <si>
    <t>Minimum balance &gt;=$5,000</t>
  </si>
  <si>
    <t>NA</t>
  </si>
  <si>
    <t>CIBC PremierService Account</t>
  </si>
  <si>
    <t>No annual fees on select CIBC credit cards (up to $120/year)</t>
  </si>
  <si>
    <t>Bank Drafts</t>
  </si>
  <si>
    <t>Stop Payments</t>
  </si>
  <si>
    <t>Free paperless statements</t>
  </si>
  <si>
    <t>RBC VIP Banking</t>
  </si>
  <si>
    <t>Two additional Canadian and one US personal account with monthly fees waived</t>
  </si>
  <si>
    <t>Servus</t>
  </si>
  <si>
    <t>VanCity</t>
  </si>
  <si>
    <t>Free access to myFinanceTracker</t>
  </si>
  <si>
    <t>Free cross-border debit</t>
  </si>
  <si>
    <t>Premium Plan</t>
  </si>
  <si>
    <t>Minimum balance &gt;$5,000</t>
  </si>
  <si>
    <t>Personal Premium Unlimited Plan</t>
  </si>
  <si>
    <t>Free paper statements with cheque images or e-statements</t>
  </si>
  <si>
    <t>1 free Credential Direct RRSP Trustee Fee</t>
  </si>
  <si>
    <t>HSBC Premier</t>
  </si>
  <si>
    <t>HSBC Premier World Master Card with no annual fee</t>
  </si>
  <si>
    <t>Access to exclusive HSBC Premier toll-free customer service line</t>
  </si>
  <si>
    <t>Access to HSBC Premier Family Services</t>
  </si>
  <si>
    <t>Children receive access to Premier Youth Savings Account</t>
  </si>
  <si>
    <t>Travel insurance for client and family</t>
  </si>
  <si>
    <t>Access up to USD$2,000 or currency equivalent emergency cash</t>
  </si>
  <si>
    <t>Free paper statements or electronic statements</t>
  </si>
  <si>
    <t>Subject to approval (preferred rate)</t>
  </si>
  <si>
    <t>N</t>
  </si>
  <si>
    <t>Apex</t>
  </si>
  <si>
    <t>Credit Card</t>
  </si>
  <si>
    <t>Travelers Cheques</t>
  </si>
  <si>
    <t>Free (CDN/US)</t>
  </si>
  <si>
    <t>Free</t>
  </si>
  <si>
    <t>2 free per year</t>
  </si>
  <si>
    <t>No commission fee (CDN/US)</t>
  </si>
  <si>
    <t>One TD Credit Card (Value up to $170) and TD US Dollar Visa with Annual Fee waived (US$39)</t>
  </si>
  <si>
    <t>Discounted</t>
  </si>
  <si>
    <t>$20 discount</t>
  </si>
  <si>
    <t>Foreign Exchange</t>
  </si>
  <si>
    <t>Preferred rate</t>
  </si>
  <si>
    <t>Wires</t>
  </si>
  <si>
    <t>Free Incoming and outgoing wire transfers in CAD, USD, or foreign funds</t>
  </si>
  <si>
    <t>Advertise Personal Account Manager</t>
  </si>
  <si>
    <t>Mortgage Appraisals</t>
  </si>
  <si>
    <t>Added Accounts</t>
  </si>
  <si>
    <t>Free US Dollar Account; 1/4% interest bonus on 1-5 year GICs</t>
  </si>
  <si>
    <t>ATM</t>
  </si>
  <si>
    <t>$200 credit towards legal and/or appraisal fees when applying for a CWB residential mortgage; No renewal fee on CWB residential mortgages or second mortgage loans</t>
  </si>
  <si>
    <t>10 free ATM-Interac; then $1.50 each &amp; 5 free ATM-Cirrus; then $3.00 each</t>
  </si>
  <si>
    <t>No handling charge - US dollar items in Canadian clearing</t>
  </si>
  <si>
    <t>Free internal fund transfers</t>
  </si>
  <si>
    <t>Free bank confirmations</t>
  </si>
  <si>
    <t>Traveller's Cheques</t>
  </si>
  <si>
    <t>Commision fee waived (CDN/USD)</t>
  </si>
  <si>
    <t>Bank Confirmations</t>
  </si>
  <si>
    <t>Drafts</t>
  </si>
  <si>
    <t>Free (CDN Only)</t>
  </si>
  <si>
    <t>Scotia One</t>
  </si>
  <si>
    <t>Scotia InfoAlerts (receive account information via text or email)</t>
  </si>
  <si>
    <t>Unlimited self-serve transactions (cheques, POS purchases, online transfers); 1 free teller transaction per month</t>
  </si>
  <si>
    <t>$1.50 for each teller transaction</t>
  </si>
  <si>
    <t>Option to add Bank The Rest savings program</t>
  </si>
  <si>
    <t>SCENE program available</t>
  </si>
  <si>
    <t>$20 off the 1st year's annual fee of a premium TD Credit Card (only new accounts)</t>
  </si>
  <si>
    <t>Na</t>
  </si>
  <si>
    <t>RBC Signature No Limit Banking</t>
  </si>
  <si>
    <t>RBC No Limit Banking</t>
  </si>
  <si>
    <t>Up to a $39 rebate on the annual fee of any eligible RBC Royal Bank</t>
  </si>
  <si>
    <t>Free eStatement and eNotifications including cheque images  or free monthly paper statement</t>
  </si>
  <si>
    <t>$12.00 annual discount on a safety deposit box</t>
  </si>
  <si>
    <t>5 free cross-border debit per month; $1.00 thereafter</t>
  </si>
  <si>
    <t>Free withdrawals; 3 withdrawals from other bank ATMs refunded per month, $1.50 thereafter; PLUS System: $3.00 each (Canada/US); PLUS System $5.00 each (outside Canada/US)</t>
  </si>
  <si>
    <t>Free withdrawals; $1.50 per Interac transaction; $3.00 per PLUS System transaction (Canada/US); $5.00 per PLUS System transaction (outside Canada/US)</t>
  </si>
  <si>
    <t>Multiproduct rebate (see Additional benefits)</t>
  </si>
  <si>
    <t>Performance Plan</t>
  </si>
  <si>
    <t>No additional fee for overdraft protection</t>
  </si>
  <si>
    <t>Make debit purchases at merchants outside of Canada at no additional fee</t>
  </si>
  <si>
    <t>Free eStatements</t>
  </si>
  <si>
    <t>Add a Premium Rate Savings or US Premium Rate Savings account at no extra cost</t>
  </si>
  <si>
    <t>AIR MILES Plan</t>
  </si>
  <si>
    <t>Plus Plan</t>
  </si>
  <si>
    <t>30 transactions included (in branch, by phone, online, or at BMO ATM)</t>
  </si>
  <si>
    <t>Free for children and students</t>
  </si>
  <si>
    <t>ATB Advantage Account</t>
  </si>
  <si>
    <t>Unlimited Account</t>
  </si>
  <si>
    <t>No added fee overdraft protection</t>
  </si>
  <si>
    <t>Free eStatements with cheque images</t>
  </si>
  <si>
    <t>Personal Unlimited Plan</t>
  </si>
  <si>
    <t>100 free</t>
  </si>
  <si>
    <t>5 free coverdrafts; then $5.00 each</t>
  </si>
  <si>
    <t>Personal e-Plan 60</t>
  </si>
  <si>
    <t xml:space="preserve">Servus </t>
  </si>
  <si>
    <t>Personal Plan 60</t>
  </si>
  <si>
    <t>Minimum balance &gt;$2,500</t>
  </si>
  <si>
    <t>Minimum balance &gt;$1,000</t>
  </si>
  <si>
    <t>1 free ATM-Interac; then $1.50 each &amp; ATM-Cirrus $3.00 each</t>
  </si>
  <si>
    <t>E-Package Chequing</t>
  </si>
  <si>
    <t>Unlimited (debit card, cheque, preauthorized payment, and online/mobile transactions)</t>
  </si>
  <si>
    <t>Free ATM debit card withdrawals/transfers from and between Vancity accounts</t>
  </si>
  <si>
    <t>HSBC Advance</t>
  </si>
  <si>
    <t>HSBC Performance Chequing-Unlimited</t>
  </si>
  <si>
    <t xml:space="preserve">$1.50 per transaction (in Canada); $3.00 per transaction (outside of Canada) </t>
  </si>
  <si>
    <t>Manage your global HSBC accounts online on one screen with Global View</t>
  </si>
  <si>
    <t>Transfer money between global HSBC accounts online with Global Transfers</t>
  </si>
  <si>
    <t>Emergency cash assistance at HSBC branches worldwide</t>
  </si>
  <si>
    <t>Standard Chequing</t>
  </si>
  <si>
    <t>$0.75 per paper; $0.60 per electronic</t>
  </si>
  <si>
    <t>$0.60 per EXCHANGE Network withdrawal; $1.50 per Non-EXCHANGE Network withdrawal</t>
  </si>
  <si>
    <t>Waived if minimum balance &gt; $1,000</t>
  </si>
  <si>
    <t>Monthly paper statements with cheque images $2.00</t>
  </si>
  <si>
    <t>Basic Banking Plan</t>
  </si>
  <si>
    <t>Waived if minimum balance &gt; $2,000</t>
  </si>
  <si>
    <t>No charge for Scotia InfoAlerts</t>
  </si>
  <si>
    <t>$1.00 each</t>
  </si>
  <si>
    <t>$1.50 per non-Scotiabank ATM transaction (Interac)</t>
  </si>
  <si>
    <t>Paper statements with cheque images $2.00/month</t>
  </si>
  <si>
    <t>Basic Banking Account</t>
  </si>
  <si>
    <t>12 debit transactions (a combination of self-service and up to 4-teller assisted transactions) including (cheques, Interac Direct Payemnt purchases, cash withdrawals, account transfers and bill payments)</t>
  </si>
  <si>
    <t>CIBC Everyday Chequing Account</t>
  </si>
  <si>
    <t>RBC Day to Day Banking</t>
  </si>
  <si>
    <t>$0 monthly fee with MultiProduct Rebate</t>
  </si>
  <si>
    <t>$1.50 per non-RBC ATM; $3.00 per PLUS System ATM (Canada/US); $5.00 per PLUS System ATM (outside Canada/US)</t>
  </si>
  <si>
    <t>Practical Plan</t>
  </si>
  <si>
    <t>Access to BMO MoneyLogic</t>
  </si>
  <si>
    <t>Paper statements with cheque images $2.50/month</t>
  </si>
  <si>
    <t>Free eStatement</t>
  </si>
  <si>
    <t>$1.50 per non-BMO ATM (Canada); $3.00 per non-BMO ATM (US); $5.00 per non-BMO ATM (outside Canada/US)</t>
  </si>
  <si>
    <t>Make debit purchases outside of Canada for no additional fee</t>
  </si>
  <si>
    <t>Basic Account</t>
  </si>
  <si>
    <t>15 included</t>
  </si>
  <si>
    <t>Personal Plan 30</t>
  </si>
  <si>
    <t>3 free in-branch bill payments then $1.50 each</t>
  </si>
  <si>
    <t>Free fund transfers between Servus accounts</t>
  </si>
  <si>
    <t>$1.50 per other Canadian non Credit Union Interac-ATM; $3.00 per other foreign Financial Institution Cirrus-ATM</t>
  </si>
  <si>
    <t>Personal Pay-As You-Go</t>
  </si>
  <si>
    <t>Pay-As-You-Go Chequing</t>
  </si>
  <si>
    <t>$0.70 per in-person transaction; $0.50 per electronic transaction; $0.50 per cheque/preauthorized payment ; free online/mobile transactions</t>
  </si>
  <si>
    <t>$2.50 for paper statements with cheque images</t>
  </si>
  <si>
    <t>Performance Chequing - Limited</t>
  </si>
  <si>
    <t>$1.00 per in-branch withdrawal; $1.50 per in branch bill payment; $0.75 per cheque; $0.60 per self-serve debit transaction</t>
  </si>
  <si>
    <t>No fee for HSBC &amp; EXCHANGE ATMs; $1.50 other atms (canada); $3.00 ATM (outside Canada)</t>
  </si>
  <si>
    <t>Free statements</t>
  </si>
  <si>
    <t>Student Banking Advantage Plan</t>
  </si>
  <si>
    <t>Learn VISA Card, SCENE Visa Card, and Special Grad Auto Loan programs available (subject to approval)</t>
  </si>
  <si>
    <t>Overdraft protection (subject to credit approval); regular fees apply</t>
  </si>
  <si>
    <t>Cash withdrawls available when outside Canada</t>
  </si>
  <si>
    <t>$2.00/month for paper statements w/cheque image return</t>
  </si>
  <si>
    <t>Full-time, post-secondary student</t>
  </si>
  <si>
    <t>$1.00 per item</t>
  </si>
  <si>
    <t>Full-time post-secondary student</t>
  </si>
  <si>
    <t>Full-time post-secondary student (effective 12 months, then must re-apply)</t>
  </si>
  <si>
    <t>$2.50/month for paper statements w/cheque image return</t>
  </si>
  <si>
    <t>RBC No Limit Banking for Students</t>
  </si>
  <si>
    <t>Full monthly fee rebated with a qualifying investment and credit card</t>
  </si>
  <si>
    <t>$1.50 per non-RBC withdrawal;  $3 per PLUS system withdrawal (inside US/Canada); $5 per PLUS system withdrawal (outside Canada/US)</t>
  </si>
  <si>
    <t>Free eStatement and eNotifications or free monthly paper statement</t>
  </si>
  <si>
    <t>Up to $39 a year off the annual fee of a Signature RBC Rewards, RBC Visa Cash Back Visa, or WestJet RBC MasterCard</t>
  </si>
  <si>
    <t>No-fee travellers cheques</t>
  </si>
  <si>
    <t>Unlimited POS transactions on the Maestro network globally</t>
  </si>
  <si>
    <t>Students First Account</t>
  </si>
  <si>
    <t>Students First Line of Credit: Borrow up to $10,000 per academic year at a low interest rate</t>
  </si>
  <si>
    <t>Up to $2,000 limit on a Students First MasterCard</t>
  </si>
  <si>
    <t>Age 17 to 25</t>
  </si>
  <si>
    <t>Student</t>
  </si>
  <si>
    <t>Personal Overdraft or Line of Credit subject to approval</t>
  </si>
  <si>
    <t>Not available</t>
  </si>
  <si>
    <t>Youth</t>
  </si>
  <si>
    <t>$1.50 per non-EXCHANGE network withdrawal</t>
  </si>
  <si>
    <t>Getting There Savings</t>
  </si>
  <si>
    <t>Bank the Rest available</t>
  </si>
  <si>
    <t>&lt;19 years old</t>
  </si>
  <si>
    <t>TD Youth Account</t>
  </si>
  <si>
    <t>CIBC Advantage for Youth</t>
  </si>
  <si>
    <t>Free paperless record keeping</t>
  </si>
  <si>
    <t>&lt;=12 years old</t>
  </si>
  <si>
    <t xml:space="preserve">BMO </t>
  </si>
  <si>
    <t>Generation Account</t>
  </si>
  <si>
    <t>13 to 18 years old</t>
  </si>
  <si>
    <t>Free paper statements with cheque image return</t>
  </si>
  <si>
    <t>Youth Plan 60</t>
  </si>
  <si>
    <t>0 to 16 years old</t>
  </si>
  <si>
    <t>60 included</t>
  </si>
  <si>
    <t>1 free, then $1.50 per other Canadian non Credit Union Interac-ATM; $3.00 per other foreign Financial Institution Cirrus-ATM</t>
  </si>
  <si>
    <t>Gold Leaf PLUS</t>
  </si>
  <si>
    <t>Additional Benefits:</t>
  </si>
  <si>
    <t>$15 reduction in annual safe deposit box rental fee</t>
  </si>
  <si>
    <t>Commission waived on USD and CAD Traveller's Cheques</t>
  </si>
  <si>
    <t>Free CDN Bank Drafts</t>
  </si>
  <si>
    <t>Monthly interest on Long Term GIC directly deposited into CWB demand account</t>
  </si>
  <si>
    <t>Free cheque certification</t>
  </si>
  <si>
    <t>Monthly electronic paperless statements with cheque images</t>
  </si>
  <si>
    <t>Age 59 or older</t>
  </si>
  <si>
    <t>Rate</t>
  </si>
  <si>
    <t>$5.00 per debit</t>
  </si>
  <si>
    <t>Summit Savings</t>
  </si>
  <si>
    <t>TD High Interest Savings</t>
  </si>
  <si>
    <t>CIBC eAdvantage Savings Account</t>
  </si>
  <si>
    <t>RBC High Interest eSavings</t>
  </si>
  <si>
    <t>Free eStatement and eNotifications</t>
  </si>
  <si>
    <t>One free banking transfer out per month</t>
  </si>
  <si>
    <t>Springboard Savings Account</t>
  </si>
  <si>
    <t>1 free debit transfer per month</t>
  </si>
  <si>
    <t>Free electronic statements</t>
  </si>
  <si>
    <t>High Yield Savings</t>
  </si>
  <si>
    <t>Free bill payments and transfers</t>
  </si>
  <si>
    <t>Jumpstart High Interest Savings Account</t>
  </si>
  <si>
    <t>Peak Performance</t>
  </si>
  <si>
    <t>Minimum monthly balance &gt; $10,000</t>
  </si>
  <si>
    <t>2 transactions (excluding ITTB)</t>
  </si>
  <si>
    <t>$1.25 per debit</t>
  </si>
  <si>
    <t>Money Master Savings Account</t>
  </si>
  <si>
    <t>Unlimited free transfers</t>
  </si>
  <si>
    <t>TD Every Day Savings</t>
  </si>
  <si>
    <t>1 free debit per month; free transfers</t>
  </si>
  <si>
    <t>CIBC Premium Growth Account</t>
  </si>
  <si>
    <t>CIBC Bonus Savings Account</t>
  </si>
  <si>
    <t>RBC Day to Day Savings</t>
  </si>
  <si>
    <t>Free eStatement and Free eNotifications</t>
  </si>
  <si>
    <t>1 free debit per month; Free online transfers</t>
  </si>
  <si>
    <t>RBC Enhanced Savings</t>
  </si>
  <si>
    <t>Premium Rate Savings Account</t>
  </si>
  <si>
    <t>$1.00 per item (transfers, bill payment, ); $5.00 per ATM withdrawal/in-branch withdrawal</t>
  </si>
  <si>
    <t>Personal Savings</t>
  </si>
  <si>
    <t>25% off on selected chequing account fees</t>
  </si>
  <si>
    <t>Age 60 or older</t>
  </si>
  <si>
    <t>Varies with account choice</t>
  </si>
  <si>
    <t>Varies with Account Choice</t>
  </si>
  <si>
    <t>Senior's Rebated Accounts</t>
  </si>
  <si>
    <t>Free bank drafts</t>
  </si>
  <si>
    <t>Free money orders</t>
  </si>
  <si>
    <t>Seniors Accounts</t>
  </si>
  <si>
    <t>$4 off the monthly fee for selected accounts</t>
  </si>
  <si>
    <t>Eligible Accounts: Practical Plan, Plus Plan, Performance Plan, AIR MILES Plan, Premium Plan, Pay-As-You-Go</t>
  </si>
  <si>
    <t>Freedom Account</t>
  </si>
  <si>
    <t>Free Money Orders</t>
  </si>
  <si>
    <t>Free American Express Travellers cheques</t>
  </si>
  <si>
    <t>$10 discount on safety deposit box</t>
  </si>
  <si>
    <t>Seniors Unlimited</t>
  </si>
  <si>
    <t>$10 discount on a safety deposit box</t>
  </si>
  <si>
    <t>Commission Free traveller's cheques</t>
  </si>
  <si>
    <t>US Dollar Personal Account</t>
  </si>
  <si>
    <t>US$1.00 per debit</t>
  </si>
  <si>
    <t>Monthly paperless statement with cheque images</t>
  </si>
  <si>
    <t>Ultimate Choice have service fees waived for USD account with $1000 minimum monthly balance</t>
  </si>
  <si>
    <t>Personalized cheques at manufacturer's price</t>
  </si>
  <si>
    <t>Scotia US Dollar Daily Interest Account</t>
  </si>
  <si>
    <t>Minimum Balance &gt;= $200</t>
  </si>
  <si>
    <t>Commission-free USD money orders and USD drafts</t>
  </si>
  <si>
    <t xml:space="preserve">2 debits included </t>
  </si>
  <si>
    <t>&lt;$1,000: 0.00%                    $1,000-$4,999: 0.010% $5,000-$9,999: 0.025% $10,000-$24,999: 0.050% $25,000-$59,999: 0.100% &gt;$60,000: 0.150%</t>
  </si>
  <si>
    <t>US Dollar Daily Interest Chequing Account</t>
  </si>
  <si>
    <t>Free paperless recordkeeping or online statements</t>
  </si>
  <si>
    <t>As of:</t>
  </si>
  <si>
    <t>Unlimited no-fee USD transactions (cheques, withdrawals, in-branch bill payments, transfers)</t>
  </si>
  <si>
    <t>Annual fee waived for TD USD Visa Card (Up to $39 value)</t>
  </si>
  <si>
    <t>Minimum Balance &gt;= $3,000</t>
  </si>
  <si>
    <t>Rate Tiers</t>
  </si>
  <si>
    <t>Rate Calculation</t>
  </si>
  <si>
    <t>Portion that sits within each tier</t>
  </si>
  <si>
    <t>At the applicable rate tier</t>
  </si>
  <si>
    <t>CIBC US$ Personal Account</t>
  </si>
  <si>
    <t>Free eStatement with cheque images</t>
  </si>
  <si>
    <t>RBC US High Interest eSavings</t>
  </si>
  <si>
    <t>1 debit included</t>
  </si>
  <si>
    <t>U.S. Primary Chequing Account</t>
  </si>
  <si>
    <t>NA (Bundled with Bank Plan)</t>
  </si>
  <si>
    <t>Depends on Bank Plan</t>
  </si>
  <si>
    <t>U.S. Premium Rate Savings Account</t>
  </si>
  <si>
    <t>Per Annum</t>
  </si>
  <si>
    <t>U.S. Savings Account</t>
  </si>
  <si>
    <t>Free in-branch withdrawals and transfers</t>
  </si>
  <si>
    <t>Not Specified</t>
  </si>
  <si>
    <t>Personal US Pay-As-You-Go</t>
  </si>
  <si>
    <t>Personal US Savings</t>
  </si>
  <si>
    <t>Not Available</t>
  </si>
  <si>
    <t>US Dollar Chequing</t>
  </si>
  <si>
    <t>$0.70 per In-Person transaction; $0.50 per cheque payments and preauthorized payments; Free Online and Mobile Transactions</t>
  </si>
  <si>
    <t>$2.50/month for cheque images in monthly statements</t>
  </si>
  <si>
    <t>First 50 cheques Bank Paid for clients 55+</t>
  </si>
  <si>
    <t>$0-$4,999.99: 0.05%         $5,000-$24,999.99: 0.10% $25,000-$59,999.99: 0.15% &gt; $60,000: 0.20%</t>
  </si>
  <si>
    <t>DCB</t>
  </si>
  <si>
    <t>Portion within each tier</t>
  </si>
  <si>
    <t>At applicable rate tier</t>
  </si>
  <si>
    <t>$0-$1,000: 0.050% $1,000.01-$3,000: 0.100% &gt;$3,000.01: 0.150%</t>
  </si>
  <si>
    <t>Rate Calulation</t>
  </si>
  <si>
    <t>&lt; $500: 0.050%                    &gt; $500: 0.100%</t>
  </si>
  <si>
    <t>Applicable rate tier</t>
  </si>
  <si>
    <t>Unlimited transfers between CWB accounts</t>
  </si>
  <si>
    <t>Apex Account</t>
  </si>
  <si>
    <t>Standard Chequing Account</t>
  </si>
  <si>
    <t>Summit Savings Account</t>
  </si>
  <si>
    <t>Peak Performance Account</t>
  </si>
  <si>
    <t>Gold Leaf PLUS Package</t>
  </si>
  <si>
    <t>Student Account</t>
  </si>
  <si>
    <t>Youth Account</t>
  </si>
  <si>
    <t>Other Features:</t>
  </si>
  <si>
    <t>Interest:</t>
  </si>
  <si>
    <t xml:space="preserve"> &gt;= $25,000 Minimum monthly balance</t>
  </si>
  <si>
    <t>Smart Saver Account</t>
  </si>
  <si>
    <t>Personal Account Competitive Comparison</t>
  </si>
  <si>
    <t>Unlimited (Cheques, ATM deposits, withdrawals, bill payments, debit-card)</t>
  </si>
  <si>
    <t>Free paperless record keeping or online or paper statements</t>
  </si>
  <si>
    <t>cheque images $2.00/month</t>
  </si>
  <si>
    <t>Free eStatement and eNotifications w/cheque images, paper statement</t>
  </si>
  <si>
    <t xml:space="preserve">RBC  </t>
  </si>
  <si>
    <t>Free eStatment and eNotificaitons including cheque images or free monthly paper statement; month paper statement with cheque images $2.00</t>
  </si>
  <si>
    <t>1 free RBC ATM cash withdrawal per monthly cycle, free unassisted debits to RBC accounts</t>
  </si>
  <si>
    <t>Free eStatement and Free eNotifications, free paper statement</t>
  </si>
  <si>
    <t>RBC Student Banking</t>
  </si>
  <si>
    <t xml:space="preserve">N </t>
  </si>
  <si>
    <t>$2.00 paper statement with cheque images</t>
  </si>
  <si>
    <t>Free paper statement with cheque images or free e-Statement</t>
  </si>
  <si>
    <t>Paper statements $2.00/month</t>
  </si>
  <si>
    <t>Cheque Image Return $2.00/month</t>
  </si>
  <si>
    <t>Unlimited ATM Withdrawals</t>
  </si>
  <si>
    <t>Preferred FX rates</t>
  </si>
  <si>
    <t>Eligible Accounts: Every Day Chequing, Unlimited Chequing, All-Inclusive Plan</t>
  </si>
  <si>
    <t>Borderless Plan</t>
  </si>
  <si>
    <t>50% off regular monthly fee with CIBC Homeowner Banking Bundle</t>
  </si>
  <si>
    <t>No fee</t>
  </si>
  <si>
    <t>Age 60 and older</t>
  </si>
  <si>
    <t>0 to 19 years old</t>
  </si>
  <si>
    <t>Seniors' Discount</t>
  </si>
  <si>
    <t>eligible accounts: Basic Banking Account, Basic Banking Plan, Scotia One, Moneyback Account, US Daily Interest Savings, EURO Daily Interest Savings</t>
  </si>
  <si>
    <t>Bi-annually Product Development performs a competitive comparison of the personal chequing and savings accounts available in the market. The competitive comparison is a good tool to use to stay informed about other Fis offerings in the marketplace. To view the competitive comparison for each account type use the navigation links below or the tabs at the bottom of the spreadsheet.</t>
  </si>
  <si>
    <t>E-Transfers</t>
  </si>
  <si>
    <t xml:space="preserve">5 free at Interac network (in Canada), $1.50 thereafter
$5.00  at Cirrus network (outside Canada) </t>
  </si>
  <si>
    <t xml:space="preserve">$1.50 at Interac Network (in Canada)  
$5.00  at Cirrus network (outside Canada) </t>
  </si>
  <si>
    <t>Pay As You Go Account</t>
  </si>
  <si>
    <t>E-Transfer</t>
  </si>
  <si>
    <t>2 free Interac withdrawals (non-Scotiabank), $1.50 thereafter
$3.00 Visa or PLUS system in Canada
$5.00 outside Canada</t>
  </si>
  <si>
    <t>Free cash withdrawals; $1.50 per Interac withdrawal (non-Scotiabank)
$3.00 within US
$5.00 outside NA</t>
  </si>
  <si>
    <t>1.25% commission</t>
  </si>
  <si>
    <t>25 debits (cheques, Interac Direct Payment purchases, cash withdrawals/account transfers/bill payments)</t>
  </si>
  <si>
    <t>$1.50 per Interac withdrawal (non-Scotiabank)
$3.00 within US
$5.00 outside NA</t>
  </si>
  <si>
    <t>Unlimited transfers between Scotia accounts</t>
  </si>
  <si>
    <t>$1.00 USD</t>
  </si>
  <si>
    <t>Free paper statements
$2.50 paper statements with cheque return</t>
  </si>
  <si>
    <t>Free paperless or paper statements</t>
  </si>
  <si>
    <t>All Inclusive Banking Plan</t>
  </si>
  <si>
    <t>Unlimited Chequing</t>
  </si>
  <si>
    <t>Everyday Chequing</t>
  </si>
  <si>
    <t xml:space="preserve">Minimum Chequing </t>
  </si>
  <si>
    <t xml:space="preserve">Free paperless statements
$2.00 for monthly statement
</t>
  </si>
  <si>
    <t>Minimum balance &gt;$3,500</t>
  </si>
  <si>
    <t>12 included</t>
  </si>
  <si>
    <t>Free Paper statements with cheque images</t>
  </si>
  <si>
    <t>If you notice other special offers in your region, we encourage you to forward the details to Product Development and we can update the competitive comparison accordingly.</t>
  </si>
  <si>
    <t>Scotia Savings Accelerator Account</t>
  </si>
  <si>
    <t>1% commission</t>
  </si>
  <si>
    <t>$10.00 for account holders
$15.00 for others</t>
  </si>
  <si>
    <t>$0-$59,999.99:  0.05%
&gt;= $60,000: 0.40%</t>
  </si>
  <si>
    <t>$10.00 for cheque issuer
$15.00 for recipient</t>
  </si>
  <si>
    <t>e-Transfer</t>
  </si>
  <si>
    <t>Kids Discount</t>
  </si>
  <si>
    <t>Depends on plan</t>
  </si>
  <si>
    <t>Teens Discount</t>
  </si>
  <si>
    <t>Student Plan</t>
  </si>
  <si>
    <t>1 free withdrawal/transfer</t>
  </si>
  <si>
    <t>$1.50 each &amp; ATM-Cirrus $3.00 each</t>
  </si>
  <si>
    <t>17-25 Be Free Daily Banking Plan</t>
  </si>
  <si>
    <t>US Dollar Chequing Account</t>
  </si>
  <si>
    <t>with another chequing account</t>
  </si>
  <si>
    <t>Free Paper Statements</t>
  </si>
  <si>
    <t>Fee covers up to 5 premier accounts</t>
  </si>
  <si>
    <t>$4 or 25% off the monthly fee for selected accounts</t>
  </si>
  <si>
    <t xml:space="preserve">Eligible Accounts: Day to Day, No Limit, Signature No Limit and VIP </t>
  </si>
  <si>
    <t>Free Drafts and Money Orders</t>
  </si>
  <si>
    <t>One free cheque order per year</t>
  </si>
  <si>
    <t>$4 off regular monthly fees for selected accounts</t>
  </si>
  <si>
    <t>Free EasyWeb View Cheque Service</t>
  </si>
  <si>
    <t>Minimum balance &gt;=$4,000</t>
  </si>
  <si>
    <t>Waived if minimum balance &gt; $3,000</t>
  </si>
  <si>
    <t>12 Including 2 full service transactions</t>
  </si>
  <si>
    <t>Fee waived for Seniors on GIS, RDSP Beneficiaries, students and youth</t>
  </si>
  <si>
    <t>$0-$4,999.99: 0.05%             &gt; $5,000: 0.10%</t>
  </si>
  <si>
    <t>4.95 ($1.95 with a CAD All-Inclusive Plan)</t>
  </si>
  <si>
    <t>$1.25 USD</t>
  </si>
  <si>
    <t>Minimum Balance &gt;= $1,500</t>
  </si>
  <si>
    <t>Safety Deposit Boxes</t>
  </si>
  <si>
    <t>Multiproduct rebate: with qualifying investment, credit card, and mortgage or RBC Homeline Plan monthly fee is $8.95</t>
  </si>
  <si>
    <t>$20 for issuer
$30 for Client Payor
$40 for non-client</t>
  </si>
  <si>
    <t>Multiproduct rebate: with RBC Royal Bank Investment, eligible RBC Rewards credit card, and RBC Royal Bank residential mortgage or RBC homeline plan monthly fee $5.95</t>
  </si>
  <si>
    <t>13 or over, Full-time student</t>
  </si>
  <si>
    <t>$10.95 Discount</t>
  </si>
  <si>
    <t xml:space="preserve">$10.95 discount  </t>
  </si>
  <si>
    <t>$10.95 discount from Plus, Performance or Premium Plan</t>
  </si>
  <si>
    <t xml:space="preserve">Scotia  </t>
  </si>
  <si>
    <t>Investment Rate Bonus of 0.1%</t>
  </si>
  <si>
    <t>No charge</t>
  </si>
  <si>
    <t xml:space="preserve">Free  </t>
  </si>
  <si>
    <t>$12 discount</t>
  </si>
  <si>
    <t>$1.15 (max of $25.00)</t>
  </si>
  <si>
    <t>Minimum balance &gt; $5,000</t>
  </si>
  <si>
    <t>Van City</t>
  </si>
  <si>
    <t>Plan 24</t>
  </si>
  <si>
    <t>$0.70 for in person transactions
$0.50 for electronic</t>
  </si>
  <si>
    <t>Monthly electronic paperless statements with cheque images or paper statements for $1.00/month</t>
  </si>
  <si>
    <t>$1.50 per Non-EXCHANGE Withdrawal</t>
  </si>
  <si>
    <t>Minimum balance &gt;=$3,000</t>
  </si>
  <si>
    <t>Age 57 and over</t>
  </si>
  <si>
    <t>$1.50 per non-EXCHANGE withdrawal</t>
  </si>
  <si>
    <t>$0-$5,000: 0.100%                 $5,000.01-$25,000: 0.100% $25,000.01-$300,000: 0.150%</t>
  </si>
  <si>
    <t>Full-time post-secondary student, aged 18 to 26</t>
  </si>
  <si>
    <t>$0-$500: 0.050% &gt;$500.01: 0.500%</t>
  </si>
  <si>
    <t>$0-$999.99: 0%
$1,000-$4,999.99: 0.01%
$5,000-$9,999.99: 0.025%
$10,000-$24,999.99: 0.05%
&gt;$25,000: 0.10%</t>
  </si>
  <si>
    <t>$0-$4,999.99: 0%                          $5,000-$9,999.99: 0.001% $10,000-$24,999.99: 0.005% $25,000-$59,999.999: 0.01% $60,000-$99,999.99: 0.025% $100,000-$149,999.99: 0.05% &gt;$150,000: 0.15%</t>
  </si>
  <si>
    <t>$0-$2,999.99: 0.05% &gt;=$3,000: 0.10%</t>
  </si>
  <si>
    <t>Free paperless statements
Free monthly statement with cheque images</t>
  </si>
  <si>
    <t>Scotia Momentum Chequing Account</t>
  </si>
  <si>
    <t>Free when bundling with existing ATB chequing account, or pay $2.95 USD</t>
  </si>
  <si>
    <t>CIBC Smart Account</t>
  </si>
  <si>
    <t>Minimum balance &gt;=$3,000; and a recurring direct deposit or 2 pre-authorized payments each month</t>
  </si>
  <si>
    <t>12 ($1.25 for each additional transaction over 12, to no more than $14.95 monthly fee for unlimited transactions)</t>
  </si>
  <si>
    <t>Up to $100: $0.50; Over $100: $1.00</t>
  </si>
  <si>
    <t>$2.00 per non-TD ATM (Canada); $3 per PLUS system withdrawal (inside US/Mexico); $5 per PLUS system withdrawal (outside Canada/US/Mexico)</t>
  </si>
  <si>
    <t>1% cash back on all your debit purchases - up to $300 back per year</t>
  </si>
  <si>
    <t>Discounts on Global Transfers:
Transfer of $50–$999.99: $5.00
Transfer of $1,000–$5,000: No fee
Transfer to special countries: $15.00</t>
  </si>
  <si>
    <t>2.5% reduction to your approved interest rate on personal unsecured lines of credit to a minimum of Prime+3%</t>
  </si>
  <si>
    <t>Free (single Signature)</t>
  </si>
  <si>
    <t>Free at ATB Branches
2 free outside Alberta (1.50 after)
$5.00 outside Canada</t>
  </si>
  <si>
    <t>Free at ATB Branches
1 free outside Alberta (1.50 after)
$5.00 outside Canada</t>
  </si>
  <si>
    <t xml:space="preserve">Free at ATB Branches
$1.50 at Interac Network (in Canada)  
$5.00  at Cirrus network (outside Canada) </t>
  </si>
  <si>
    <t>Free online statements</t>
  </si>
  <si>
    <t>e-Transfers</t>
  </si>
  <si>
    <t>Minimum balance &gt;$6,000</t>
  </si>
  <si>
    <t>Free electronic statement w/cheque images 
$2 Paper statement</t>
  </si>
  <si>
    <t>Minimum balance &gt;$4,000</t>
  </si>
  <si>
    <t>1 Free Non-BMO withdrawals per month
$1.50</t>
  </si>
  <si>
    <t>Earn 50 AIR MILES Reward miles/month when your monthly account balance is greater than $4000</t>
  </si>
  <si>
    <t xml:space="preserve">Earn 1 AIR MILES Reward mile for every $30 you spend using your debit card
</t>
  </si>
  <si>
    <t>$2.00 per non-BMO ATM (Canada); $3.00 per non-BMO ATM (US); $5.00 per non-BMO ATM (outside Canada/US)</t>
  </si>
  <si>
    <t>Savings Builder</t>
  </si>
  <si>
    <t>No annual admin fees on Mutual Fund RRSPs or RESPs; 30% rebate with CIBC Total Banking Rebate (CIBC Mortgage or Line of Credit, CIBC Investment and CIBC credit card or Creditor Insurance)</t>
  </si>
  <si>
    <t>Age 65 or older</t>
  </si>
  <si>
    <t>$2.00 for non-CIBC ATMs</t>
  </si>
  <si>
    <t>CIBC Smart for Students</t>
  </si>
  <si>
    <t>$2.00 per non-CIBC withdrawal</t>
  </si>
  <si>
    <t>$2.00 per non-CIBC ATM (Canada)</t>
  </si>
  <si>
    <t>$0-$999.99: 0.005%
$1,000-$2,999.99: 0.01%
$3,000-$4,999.99: 0.02% &gt;$5,000: 0.05%</t>
  </si>
  <si>
    <t>Age 65 and older</t>
  </si>
  <si>
    <t>Virtual Visa Debit</t>
  </si>
  <si>
    <t>2 free, $1.00 after</t>
  </si>
  <si>
    <t>Free paperless statements
$2.25 for monthly statement
 $2.50 with cheque images</t>
  </si>
  <si>
    <t>2 free</t>
  </si>
  <si>
    <t>Free paperless statements
$2.25for monthly statement
 $2.50 with cheque images</t>
  </si>
  <si>
    <t>Increased bonus when no money is debited</t>
  </si>
  <si>
    <t>Momentum PLUS Savings Account</t>
  </si>
  <si>
    <t xml:space="preserve">&lt;$5000: 0.05%;                        $5000 -$249,999: 1.05%  $250,000 or more: 1.15%            </t>
  </si>
  <si>
    <t xml:space="preserve">$0-$4,999.99: 0%                   &gt;$5,000: 0.50% </t>
  </si>
  <si>
    <t>ePremium Savings</t>
  </si>
  <si>
    <t>$2.00 per non-TD ATM; $3.00 Foreign ATM (Inside US/Mexico); $5.00 Foreign ATM (Outside US/Mexico)</t>
  </si>
  <si>
    <t>$200 credit</t>
  </si>
  <si>
    <t>2 free ATM-Interac; then $1.50 each &amp; ATM-Cirrus $3.00 each</t>
  </si>
  <si>
    <t>60 free electronic transactions; then $1.10</t>
  </si>
  <si>
    <t>2 free, then $1.50</t>
  </si>
  <si>
    <t>0-4999.99: 0.01%
5000-24999.99: 0.03%
&gt;25000: 0.05%</t>
  </si>
  <si>
    <t>The Ultimate Account</t>
  </si>
  <si>
    <t>e-Transfer Request</t>
  </si>
  <si>
    <t>Autodeposit</t>
  </si>
  <si>
    <t>Discounts on Global Transfers:
Transfer of $50–$999.99: $5.00
Transfer of $1,000–$5,000: $0.00
Transfer to special countries: $15.00</t>
  </si>
  <si>
    <t>$120 fee waived on ATB World Elite Mastercard
$19 fee waived for USD MC</t>
  </si>
  <si>
    <t>$150 fee waived for World Elite Mastercard</t>
  </si>
  <si>
    <t>Include Premium Rate Savings, Primary Chequing, and US Premium Rate Savings at no additional cost (up to 20)</t>
  </si>
  <si>
    <t>Overdraft Protection</t>
  </si>
  <si>
    <t>Maintain a $100,000 balance in combined personal deposits and investments with HSBC
Reach a total mortgage balance of $500,000 or more
Have an active Premier Account</t>
  </si>
  <si>
    <t>Preferred rates on mortgages, deposit and credit solutions</t>
  </si>
  <si>
    <t>Unlimited
Unlimited rebates on charges from other banks within Canada</t>
  </si>
  <si>
    <t>Discount on all sizes</t>
  </si>
  <si>
    <t>$120 waived one RBC Royal Bank premium credit card</t>
  </si>
  <si>
    <t>Unlimited
Interac and PLUS System network fees waived</t>
  </si>
  <si>
    <t>NA
$19.95 After multi-product rebate(With VIP account and two or more eligible RBC products)</t>
  </si>
  <si>
    <t>Other Features</t>
  </si>
  <si>
    <t xml:space="preserve">Interest  </t>
  </si>
  <si>
    <t>$2.00 Non-BMO ATMs</t>
  </si>
  <si>
    <t>Free eStatements
$2.00 paper statement</t>
  </si>
  <si>
    <t>Get 100 Bonus miles with a direct deposit setup
Earn 20 bonus miles with a preauth debit setup</t>
  </si>
  <si>
    <t>Add up to 20 accounts at no extra cost</t>
  </si>
  <si>
    <t>Minimum balance &gt;$3,000</t>
  </si>
  <si>
    <t xml:space="preserve">
$2.00 per non-BMO ATM (Canada); $3.00 per non-BMO ATM (US); $5.00 per non-BMO ATM (outside Canada/US)</t>
  </si>
  <si>
    <t>$2.00 per Non-CIBC bank machine withdrawal
$3.00 in US
$5.00 outside of US and Canada</t>
  </si>
  <si>
    <t>$2.25 for monthly statement
$2.75 with cheque images</t>
  </si>
  <si>
    <t>$50.00/hour</t>
  </si>
  <si>
    <t>Credit limit &lt;$5,000: $5.00 monthly plus interest
Credit limit &gt;$5,000: interest only</t>
  </si>
  <si>
    <r>
      <t xml:space="preserve">Link your card and instantly save 3¢/L on fuel </t>
    </r>
    <r>
      <rPr>
        <sz val="11"/>
        <color rgb="FF252525"/>
        <rFont val="Arial"/>
        <family val="2"/>
      </rPr>
      <t>and always earn 20% more Petro-Points at Petro-Canada locations</t>
    </r>
  </si>
  <si>
    <t>$4.00 monthly plus interest</t>
  </si>
  <si>
    <t>Scotia Rewards Travel Points available</t>
  </si>
  <si>
    <t>$0.00 monthly fee if not used, $5.00 per month if used plus interest</t>
  </si>
  <si>
    <t>Free withdrawals
in Canada, no TD fees to use any ATM in Canada; $3CDN for PLUS system withdrawals (US &amp; Mexico); PLUS system withdrawals (outside Canada/US/Mexico) $5 each</t>
  </si>
  <si>
    <t>Free Paperless Record Keeping or Online Statements
$2.00 per paper statement</t>
  </si>
  <si>
    <t>$2.00 paper statements, $2.50  with cheque images</t>
  </si>
  <si>
    <t>60 free</t>
  </si>
  <si>
    <t>$5.00 each</t>
  </si>
  <si>
    <t>Request Money</t>
  </si>
  <si>
    <t>Additional Features</t>
  </si>
  <si>
    <t>Free if not used</t>
  </si>
  <si>
    <t>$5.00 plus interest</t>
  </si>
  <si>
    <t>2 free
$1.00 after</t>
  </si>
  <si>
    <t>Student Chequing Account</t>
  </si>
  <si>
    <t>$39 rebate on a credit card</t>
  </si>
  <si>
    <t>Save $0.03 per litre and earn 20% more points at petro canada</t>
  </si>
  <si>
    <t>Free Student Price Card</t>
  </si>
  <si>
    <t>Free statement
 with cheque images</t>
  </si>
  <si>
    <t>Scene or Scotia rewards</t>
  </si>
  <si>
    <t xml:space="preserve"> &lt;$100: $0.50
&gt;$100: $1.00</t>
  </si>
  <si>
    <t>Leo's Young Savers Account</t>
  </si>
  <si>
    <t>Smart for Seniors</t>
  </si>
  <si>
    <t>$4.95 discount on Smart Account
$3.90 discount on Everyday Chequing Account
$4.00 discount on PremierService Account</t>
  </si>
  <si>
    <t>$0-$15,000,000: 1.15%;                &gt;=$15,000,000: 0.50%</t>
  </si>
  <si>
    <t>$0.75 USD</t>
  </si>
  <si>
    <t>High Rate Savings</t>
  </si>
  <si>
    <t>USD High Rate Savings</t>
  </si>
  <si>
    <t>$0-$24,999.99: 0.10%
$25,000-$49,999.99: 0.20%
$50,000-$99,999.99: 0.25%
$100,000 &amp; over: 0.30%</t>
  </si>
  <si>
    <t>USD Performance Chequing-Unlimited</t>
  </si>
  <si>
    <t>USD Performance Chequing-Limited</t>
  </si>
  <si>
    <t>Inside Canada: $1.50
Outside Canada: $5.00</t>
  </si>
  <si>
    <t>$2.00
With Cheque Images: $2.50</t>
  </si>
  <si>
    <t>Cross-Border Debits: $1.00</t>
  </si>
  <si>
    <t>$2.00 USD</t>
  </si>
  <si>
    <t>No-Fee All-In Digital Account</t>
  </si>
  <si>
    <t>Bank Unlimited Plan</t>
  </si>
  <si>
    <t>High Interest e-Savings</t>
  </si>
  <si>
    <t>Personal ePlan 60</t>
  </si>
  <si>
    <t>Monthly Fee Waived</t>
  </si>
  <si>
    <t>Unlimited Digital</t>
  </si>
  <si>
    <t>Unlimited Self Serve</t>
  </si>
  <si>
    <t>1 free</t>
  </si>
  <si>
    <t>$5.00 per in-branch and call centre transactions
$1.25 manual bill payments through phone</t>
  </si>
  <si>
    <t>$2.50 per in-branch transactions</t>
  </si>
  <si>
    <t>$1.25 in-branch
$1.10 self-serve</t>
  </si>
  <si>
    <t xml:space="preserve">Interac: $1.50
Plus System: $3.00
</t>
  </si>
  <si>
    <t>?</t>
  </si>
  <si>
    <t>Attached $5,000-$50,000 LOC</t>
  </si>
  <si>
    <t xml:space="preserve">Annual $150 rebate on credit card
</t>
  </si>
  <si>
    <t>Based on prime Rate</t>
  </si>
  <si>
    <t>&gt;=$1,000: 0.25%</t>
  </si>
  <si>
    <t>Must qualify for a line of credit first</t>
  </si>
  <si>
    <t>Must have a credit card, and use it once per month
Have a savings account
Must deposit $1,500 per month
Must be a new client</t>
  </si>
  <si>
    <t>U.S. Personal Account</t>
  </si>
  <si>
    <t>Paper Statement: NA</t>
  </si>
  <si>
    <t>Quarterly personal portfolio statements</t>
  </si>
  <si>
    <t>Available in registered and non-registered plans</t>
  </si>
  <si>
    <t>Paper Statement: $2.25</t>
  </si>
  <si>
    <t>Paper Statement: $2.00</t>
  </si>
  <si>
    <t>Vancity</t>
  </si>
  <si>
    <t>Plan 24 Savings Plus</t>
  </si>
  <si>
    <t>&gt;= $5,000: 0.20%</t>
  </si>
  <si>
    <t>Coast Capital</t>
  </si>
  <si>
    <t>High Interest Savings Account</t>
  </si>
  <si>
    <t>1.05%
90 Day: 1.80%
180 Day: 1.85%
270 Day: 1.90%
360 Day: 1.95%</t>
  </si>
  <si>
    <t>$0-$4,999: 0.05%
$5,000-$24,999: 0.10%
&gt; $25,000: 0.10%</t>
  </si>
  <si>
    <t xml:space="preserve">$0-$4,999.99: 0.05%
$5,000-$99,999.99: 0.10%
$100,000-$15,000,000: 0.15%
</t>
  </si>
  <si>
    <t>Bonus Savings rate of 3.25% for 90 days</t>
  </si>
  <si>
    <t>Free Monthly Statement</t>
  </si>
  <si>
    <t>Free in Canada
$3.00 in US plus 2.5% Admin fee
$5.00 outside NA plus 2.5%</t>
  </si>
  <si>
    <t>See Restrictions</t>
  </si>
  <si>
    <t xml:space="preserve">$0-$4,999.99: 0.10%                   $5,000 and over: 1.10% </t>
  </si>
  <si>
    <t xml:space="preserve"> </t>
  </si>
  <si>
    <t>E-Transfer Request</t>
  </si>
  <si>
    <t>E-Transfer Autodeposit</t>
  </si>
  <si>
    <t>Discounts on Global Transfers:
Transfer of $50–$999.99: $5.00+overlimit fee
Transfer of $1,000–$5,000: overlimit fee
Transfer to special countries: $15.00=overlimit fee</t>
  </si>
  <si>
    <t>Minimum charge of $4.00 if used</t>
  </si>
  <si>
    <t>0.20%
$0-$250,000: 1.60% if balance is increased by $200 each month
&gt;$250,000: 0.20%</t>
  </si>
  <si>
    <t>Based on applicable bank plan</t>
  </si>
  <si>
    <t>$2.25 monthly Statement
$2.75 with cheque images</t>
  </si>
  <si>
    <t xml:space="preserve">&lt;$5000: 0.00%           &gt;$5000: 1.20%
                     </t>
  </si>
  <si>
    <t xml:space="preserve">$2.25 monthly Statement
</t>
  </si>
  <si>
    <t>USA Smart Account</t>
  </si>
  <si>
    <t>$1.25 up to a max of $14.95</t>
  </si>
  <si>
    <t>$10.00 per transfer</t>
  </si>
  <si>
    <t>Minimum balance &gt;=$5,000, or $150,000 in mortgages</t>
  </si>
  <si>
    <t>Free withdrawls at all HSBC ATMs in Canada and THE EXCHANGE
5 rebates for using other bank ATMS
$5.00 outside Canada</t>
  </si>
  <si>
    <t>$0-$24,999.99: 0.55%
$25,000-$49,999.99: 1.10% $50,000-$99,999.99: 1.15% $100,000 &amp; over: 1.25%</t>
  </si>
  <si>
    <t>12 Free (CDN/US) per year
$8.50 after</t>
  </si>
  <si>
    <t>Up to a $60 discount</t>
  </si>
  <si>
    <r>
      <t>Link your card and instantly save 3¢/L on fuel</t>
    </r>
    <r>
      <rPr>
        <sz val="3"/>
        <color rgb="FF006AC3"/>
        <rFont val="Arial"/>
        <family val="2"/>
      </rPr>
      <t>14</t>
    </r>
    <r>
      <rPr>
        <sz val="7"/>
        <color rgb="FF252525"/>
        <rFont val="Arial"/>
        <family val="2"/>
      </rPr>
      <t> and always earn 20% more Petro-Points</t>
    </r>
    <r>
      <rPr>
        <sz val="3"/>
        <color rgb="FF006AC3"/>
        <rFont val="Arial"/>
        <family val="2"/>
      </rPr>
      <t>15</t>
    </r>
    <r>
      <rPr>
        <sz val="7"/>
        <color rgb="FF252525"/>
        <rFont val="Arial"/>
        <family val="2"/>
      </rPr>
      <t xml:space="preserve"> at Petro-Canada locations </t>
    </r>
  </si>
  <si>
    <t>6 free per year
$8.50</t>
  </si>
  <si>
    <t>$5.00 monthly plus interest</t>
  </si>
  <si>
    <t xml:space="preserve">RBC </t>
  </si>
  <si>
    <t>NOMI Find &amp; Save</t>
  </si>
  <si>
    <t>Free e-statement</t>
  </si>
  <si>
    <t xml:space="preserve">NOMI Find &amp; Save will learn your transaction patterns, find those extra dollars that we think you won’t miss, and then set them aside for you automatically. </t>
  </si>
  <si>
    <t>$5.00 Monthly + Interest</t>
  </si>
  <si>
    <t xml:space="preserve">6, </t>
  </si>
  <si>
    <t>Virtual Visa Debit for online purchases</t>
  </si>
  <si>
    <t>0-9,999.99: 0.00%
&gt;10,000: 1.20%</t>
  </si>
  <si>
    <t>Visa Debit</t>
  </si>
  <si>
    <t>SCENE Rewards or Scotia Travel Rewards</t>
  </si>
  <si>
    <t xml:space="preserve">$0-$4,999.99: 0.10%                   $5,000-$100,000: 1.05%
&gt;$100,000: 1.20% </t>
  </si>
  <si>
    <t>$2.00 quarterly paper statements</t>
  </si>
  <si>
    <t>If minimum balance &lt;$1,000: Free
$0.70 per paper transaction</t>
  </si>
  <si>
    <t>Chequing Plus</t>
  </si>
  <si>
    <t>Free First order of 50</t>
  </si>
  <si>
    <t>$5 discount</t>
  </si>
  <si>
    <t>FREE cheque orders of 50 Vancity personalized cheques</t>
  </si>
  <si>
    <t>FREE travellers cheques</t>
  </si>
  <si>
    <t>FREE official cheques</t>
  </si>
  <si>
    <t>FREE US dollar drafts</t>
  </si>
  <si>
    <t>$5 off safety deposit box charges</t>
  </si>
  <si>
    <t>US Dollar Savings Account</t>
  </si>
  <si>
    <t>Online Only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</si>
</sst>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0_);[Red]\(&quot;$&quot;#,##0\)"/>
    <numFmt numFmtId="7" formatCode="&quot;$&quot;#,##0.00_);\(&quot;$&quot;#,##0.00\)"/>
    <numFmt numFmtId="8" formatCode="&quot;$&quot;#,##0.00_);[Red]\(&quot;$&quot;#,##0.00\)"/>
    <numFmt numFmtId="44" formatCode="_(&quot;$&quot;* #,##0.00_);_(&quot;$&quot;* \(#,##0.00\);_(&quot;$&quot;* &quot;-&quot;??_);_(@_)"/>
    <numFmt numFmtId="164" formatCode="&quot;$&quot;#,##0.00"/>
    <numFmt numFmtId="165" formatCode="0.000%"/>
    <numFmt numFmtId="166" formatCode="[$-F800]dddd\,\ mmmm\ dd\,\ yy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12"/>
      <name val="Calibri"/>
      <family val="2"/>
      <scheme val="minor"/>
    </font>
    <font>
      <sz val="14"/>
      <color theme="1"/>
      <name val="Calibri"/>
      <family val="2"/>
      <scheme val="minor"/>
    </font>
    <font>
      <b/>
      <sz val="14"/>
      <color theme="1"/>
      <name val="Calibri"/>
      <family val="2"/>
      <scheme val="minor"/>
    </font>
    <font>
      <u/>
      <sz val="11"/>
      <color theme="10"/>
      <name val="Calibri"/>
      <family val="2"/>
      <scheme val="minor"/>
    </font>
    <font>
      <b/>
      <sz val="16"/>
      <color theme="0"/>
      <name val="Calibri"/>
      <family val="2"/>
      <scheme val="minor"/>
    </font>
    <font>
      <sz val="11"/>
      <name val="Calibri"/>
      <family val="2"/>
      <scheme val="minor"/>
    </font>
    <font>
      <sz val="11"/>
      <color rgb="FF252525"/>
      <name val="Arial"/>
      <family val="2"/>
    </font>
    <font>
      <b/>
      <sz val="14"/>
      <name val="Calibri"/>
      <family val="2"/>
      <scheme val="minor"/>
    </font>
    <font>
      <b/>
      <sz val="18"/>
      <name val="Calibri"/>
      <family val="2"/>
      <scheme val="minor"/>
    </font>
    <font>
      <sz val="18"/>
      <color theme="1"/>
      <name val="Calibri"/>
      <family val="2"/>
      <scheme val="minor"/>
    </font>
    <font>
      <sz val="7"/>
      <color rgb="FF252525"/>
      <name val="Arial"/>
      <family val="2"/>
    </font>
    <font>
      <sz val="3"/>
      <color rgb="FF006AC3"/>
      <name val="Arial"/>
      <family val="2"/>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3499862666707357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s>
  <cellStyleXfs count="4">
    <xf numFmtId="0" fontId="0" fillId="0" borderId="0"/>
    <xf numFmtId="44" fontId="1" fillId="0" borderId="0" applyFon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270">
    <xf numFmtId="0" fontId="0" fillId="0" borderId="0" xfId="0"/>
    <xf numFmtId="164" fontId="0" fillId="0" borderId="0" xfId="0" applyNumberFormat="1"/>
    <xf numFmtId="0" fontId="3" fillId="0" borderId="0" xfId="0" applyFont="1"/>
    <xf numFmtId="0" fontId="0" fillId="0" borderId="1" xfId="0" applyBorder="1" applyAlignment="1">
      <alignment horizontal="center" wrapText="1"/>
    </xf>
    <xf numFmtId="0" fontId="2" fillId="0" borderId="0" xfId="0" applyFont="1"/>
    <xf numFmtId="0" fontId="0" fillId="0" borderId="7" xfId="0" applyBorder="1" applyAlignment="1">
      <alignment horizontal="center" wrapText="1"/>
    </xf>
    <xf numFmtId="0" fontId="0" fillId="0" borderId="14" xfId="0" applyBorder="1" applyAlignment="1">
      <alignment horizontal="center" wrapText="1"/>
    </xf>
    <xf numFmtId="0" fontId="0" fillId="0" borderId="1" xfId="0" applyFill="1" applyBorder="1" applyAlignment="1">
      <alignment horizontal="center" wrapText="1"/>
    </xf>
    <xf numFmtId="0" fontId="2" fillId="2" borderId="1" xfId="0" applyFont="1" applyFill="1" applyBorder="1" applyAlignment="1">
      <alignment wrapText="1"/>
    </xf>
    <xf numFmtId="164" fontId="0" fillId="0" borderId="1" xfId="1" applyNumberFormat="1" applyFont="1" applyBorder="1" applyAlignment="1">
      <alignment horizontal="center" wrapText="1"/>
    </xf>
    <xf numFmtId="164" fontId="0" fillId="0" borderId="1" xfId="0" applyNumberFormat="1" applyBorder="1" applyAlignment="1">
      <alignment horizontal="center" wrapText="1"/>
    </xf>
    <xf numFmtId="0" fontId="0" fillId="0" borderId="3" xfId="0" applyFill="1" applyBorder="1" applyAlignment="1">
      <alignment horizontal="center" wrapText="1"/>
    </xf>
    <xf numFmtId="0" fontId="0" fillId="2" borderId="0" xfId="0" applyFill="1" applyBorder="1" applyAlignment="1">
      <alignment horizontal="center" wrapText="1"/>
    </xf>
    <xf numFmtId="0" fontId="0" fillId="2" borderId="15" xfId="0" applyFill="1" applyBorder="1" applyAlignment="1">
      <alignment horizontal="center" wrapText="1"/>
    </xf>
    <xf numFmtId="0" fontId="0" fillId="2" borderId="3" xfId="0" applyFill="1" applyBorder="1" applyAlignment="1">
      <alignment horizontal="center" wrapText="1"/>
    </xf>
    <xf numFmtId="0" fontId="0" fillId="2" borderId="1" xfId="0" applyFill="1" applyBorder="1" applyAlignment="1">
      <alignment horizontal="center" wrapText="1"/>
    </xf>
    <xf numFmtId="0" fontId="0" fillId="2" borderId="6" xfId="0" applyFill="1" applyBorder="1" applyAlignment="1">
      <alignment horizontal="center" wrapText="1"/>
    </xf>
    <xf numFmtId="0" fontId="0" fillId="0" borderId="15" xfId="0" applyFill="1" applyBorder="1" applyAlignment="1">
      <alignment horizontal="center" wrapText="1"/>
    </xf>
    <xf numFmtId="0" fontId="0" fillId="0" borderId="15" xfId="0" applyBorder="1" applyAlignment="1">
      <alignment horizontal="center" wrapText="1"/>
    </xf>
    <xf numFmtId="0" fontId="0" fillId="0" borderId="14" xfId="0" applyFill="1" applyBorder="1" applyAlignment="1">
      <alignment horizontal="center" wrapText="1"/>
    </xf>
    <xf numFmtId="0" fontId="4" fillId="4" borderId="1" xfId="0" applyFont="1" applyFill="1" applyBorder="1" applyAlignment="1">
      <alignment horizontal="center" wrapText="1"/>
    </xf>
    <xf numFmtId="164" fontId="4" fillId="4" borderId="1" xfId="0" applyNumberFormat="1" applyFont="1" applyFill="1" applyBorder="1" applyAlignment="1">
      <alignment wrapText="1"/>
    </xf>
    <xf numFmtId="0" fontId="4" fillId="4" borderId="1" xfId="0" applyFont="1" applyFill="1" applyBorder="1" applyAlignment="1">
      <alignment wrapText="1"/>
    </xf>
    <xf numFmtId="0" fontId="4" fillId="4" borderId="18" xfId="0" applyFont="1" applyFill="1" applyBorder="1" applyAlignment="1">
      <alignment wrapText="1"/>
    </xf>
    <xf numFmtId="0" fontId="4" fillId="4" borderId="20" xfId="0" applyFont="1" applyFill="1" applyBorder="1" applyAlignment="1">
      <alignment wrapText="1"/>
    </xf>
    <xf numFmtId="0" fontId="4" fillId="4" borderId="14" xfId="0" applyFont="1" applyFill="1" applyBorder="1" applyAlignment="1">
      <alignment wrapText="1"/>
    </xf>
    <xf numFmtId="0" fontId="0" fillId="0" borderId="8" xfId="0" applyBorder="1" applyAlignment="1">
      <alignment horizontal="center" wrapText="1"/>
    </xf>
    <xf numFmtId="164" fontId="0" fillId="2" borderId="1" xfId="1" applyNumberFormat="1" applyFont="1" applyFill="1" applyBorder="1" applyAlignment="1">
      <alignment horizontal="center" wrapText="1"/>
    </xf>
    <xf numFmtId="0" fontId="7" fillId="4" borderId="7" xfId="0" applyFont="1" applyFill="1" applyBorder="1"/>
    <xf numFmtId="0" fontId="0" fillId="2" borderId="0" xfId="0" applyFill="1"/>
    <xf numFmtId="0" fontId="8" fillId="2" borderId="0" xfId="2" applyFill="1"/>
    <xf numFmtId="8" fontId="0" fillId="0" borderId="1" xfId="0" applyNumberFormat="1" applyFill="1" applyBorder="1" applyAlignment="1">
      <alignment horizontal="center" wrapText="1"/>
    </xf>
    <xf numFmtId="8" fontId="0" fillId="2" borderId="1" xfId="0" applyNumberFormat="1" applyFill="1" applyBorder="1" applyAlignment="1">
      <alignment horizontal="center" wrapText="1"/>
    </xf>
    <xf numFmtId="6" fontId="0" fillId="0" borderId="1" xfId="0" applyNumberFormat="1" applyFill="1" applyBorder="1" applyAlignment="1">
      <alignment horizontal="center" wrapText="1"/>
    </xf>
    <xf numFmtId="165" fontId="0" fillId="0" borderId="1" xfId="0" applyNumberFormat="1" applyFill="1" applyBorder="1" applyAlignment="1">
      <alignment horizontal="center" wrapText="1"/>
    </xf>
    <xf numFmtId="10" fontId="0" fillId="0" borderId="1" xfId="3" applyNumberFormat="1" applyFont="1" applyFill="1" applyBorder="1" applyAlignment="1">
      <alignment horizontal="center" wrapText="1"/>
    </xf>
    <xf numFmtId="0" fontId="4" fillId="2" borderId="0" xfId="0" applyFont="1" applyFill="1" applyAlignment="1">
      <alignment horizontal="left"/>
    </xf>
    <xf numFmtId="0" fontId="4" fillId="3" borderId="1" xfId="0" applyFont="1" applyFill="1" applyBorder="1" applyAlignment="1">
      <alignment horizontal="center" wrapText="1"/>
    </xf>
    <xf numFmtId="10" fontId="0" fillId="0" borderId="1" xfId="0" applyNumberFormat="1" applyFill="1" applyBorder="1" applyAlignment="1">
      <alignment horizontal="center" wrapText="1"/>
    </xf>
    <xf numFmtId="0" fontId="4" fillId="4" borderId="1" xfId="0" applyFont="1" applyFill="1" applyBorder="1" applyAlignment="1">
      <alignment horizontal="center" wrapText="1"/>
    </xf>
    <xf numFmtId="164" fontId="0" fillId="2" borderId="1" xfId="0" applyNumberFormat="1" applyFill="1" applyBorder="1" applyAlignment="1">
      <alignment horizontal="center" wrapText="1"/>
    </xf>
    <xf numFmtId="8" fontId="0" fillId="0" borderId="1" xfId="0" applyNumberFormat="1" applyFill="1" applyBorder="1" applyAlignment="1">
      <alignment horizontal="center" wrapText="1"/>
    </xf>
    <xf numFmtId="0" fontId="0" fillId="0" borderId="1" xfId="0" applyBorder="1" applyAlignment="1">
      <alignment horizontal="center" wrapText="1"/>
    </xf>
    <xf numFmtId="0" fontId="0" fillId="0" borderId="1" xfId="0" applyFill="1" applyBorder="1" applyAlignment="1">
      <alignment horizontal="center" wrapText="1"/>
    </xf>
    <xf numFmtId="0" fontId="0" fillId="2" borderId="1" xfId="0" applyFill="1" applyBorder="1" applyAlignment="1">
      <alignment horizontal="center" wrapText="1"/>
    </xf>
    <xf numFmtId="164" fontId="0" fillId="0" borderId="1" xfId="0" applyNumberFormat="1" applyFill="1" applyBorder="1" applyAlignment="1">
      <alignment horizontal="center" wrapText="1"/>
    </xf>
    <xf numFmtId="0" fontId="0" fillId="0" borderId="1" xfId="0" applyBorder="1"/>
    <xf numFmtId="0" fontId="0" fillId="2" borderId="1" xfId="0" applyFill="1" applyBorder="1"/>
    <xf numFmtId="0" fontId="0" fillId="2" borderId="30" xfId="0" applyFill="1" applyBorder="1" applyAlignment="1">
      <alignment horizontal="center" vertical="top" wrapText="1"/>
    </xf>
    <xf numFmtId="0" fontId="0" fillId="2" borderId="31" xfId="0" applyFill="1" applyBorder="1" applyAlignment="1">
      <alignment horizontal="center" vertical="top" wrapText="1"/>
    </xf>
    <xf numFmtId="0" fontId="0" fillId="2" borderId="11" xfId="0" applyFill="1" applyBorder="1" applyAlignment="1">
      <alignment horizontal="center" vertical="top" wrapText="1"/>
    </xf>
    <xf numFmtId="0" fontId="0" fillId="2" borderId="19" xfId="0" applyFill="1" applyBorder="1" applyAlignment="1">
      <alignment horizontal="center" vertical="top" wrapText="1"/>
    </xf>
    <xf numFmtId="0" fontId="0" fillId="2" borderId="15" xfId="0" applyFill="1" applyBorder="1" applyAlignment="1">
      <alignment horizontal="center" vertical="top" wrapText="1"/>
    </xf>
    <xf numFmtId="0" fontId="0" fillId="0" borderId="0" xfId="0" applyAlignment="1">
      <alignment horizontal="left" vertical="top"/>
    </xf>
    <xf numFmtId="0" fontId="0" fillId="0" borderId="0" xfId="0" applyAlignment="1">
      <alignment vertical="top"/>
    </xf>
    <xf numFmtId="0" fontId="4" fillId="2" borderId="0" xfId="0" applyFont="1" applyFill="1" applyAlignment="1">
      <alignment horizontal="left" vertical="top"/>
    </xf>
    <xf numFmtId="0" fontId="2" fillId="2" borderId="1" xfId="0" applyFont="1" applyFill="1" applyBorder="1" applyAlignment="1">
      <alignment vertical="top" wrapText="1"/>
    </xf>
    <xf numFmtId="0" fontId="4" fillId="3" borderId="1" xfId="0" applyFont="1" applyFill="1" applyBorder="1" applyAlignment="1">
      <alignment horizontal="center" vertical="top" wrapText="1"/>
    </xf>
    <xf numFmtId="0" fontId="3" fillId="0" borderId="0" xfId="0" applyFont="1" applyAlignment="1">
      <alignment vertical="top"/>
    </xf>
    <xf numFmtId="0" fontId="4" fillId="4" borderId="1" xfId="0" applyFont="1" applyFill="1" applyBorder="1" applyAlignment="1">
      <alignment horizontal="center" vertical="top" wrapText="1"/>
    </xf>
    <xf numFmtId="164" fontId="4" fillId="4" borderId="1" xfId="0" applyNumberFormat="1" applyFont="1" applyFill="1" applyBorder="1" applyAlignment="1">
      <alignment vertical="top" wrapText="1"/>
    </xf>
    <xf numFmtId="164" fontId="0" fillId="0" borderId="1" xfId="1" applyNumberFormat="1" applyFont="1" applyFill="1" applyBorder="1" applyAlignment="1">
      <alignment horizontal="center" vertical="top" wrapText="1"/>
    </xf>
    <xf numFmtId="164" fontId="0" fillId="0" borderId="1" xfId="0" applyNumberFormat="1" applyFill="1" applyBorder="1" applyAlignment="1">
      <alignment horizontal="center" vertical="top" wrapText="1"/>
    </xf>
    <xf numFmtId="164" fontId="0" fillId="2" borderId="1" xfId="0" applyNumberFormat="1" applyFill="1" applyBorder="1" applyAlignment="1">
      <alignment horizontal="center" vertical="top" wrapText="1"/>
    </xf>
    <xf numFmtId="164" fontId="0" fillId="0" borderId="0" xfId="0" applyNumberFormat="1" applyAlignment="1">
      <alignment vertical="top"/>
    </xf>
    <xf numFmtId="0" fontId="4" fillId="4" borderId="1" xfId="0" applyFont="1" applyFill="1" applyBorder="1" applyAlignment="1">
      <alignment vertical="top" wrapText="1"/>
    </xf>
    <xf numFmtId="0" fontId="0" fillId="0" borderId="1" xfId="0" applyFill="1" applyBorder="1" applyAlignment="1">
      <alignment horizontal="center" vertical="top" wrapText="1"/>
    </xf>
    <xf numFmtId="0" fontId="0" fillId="0" borderId="3" xfId="0" applyFill="1" applyBorder="1" applyAlignment="1">
      <alignment horizontal="center" vertical="top" wrapText="1"/>
    </xf>
    <xf numFmtId="8" fontId="0" fillId="0" borderId="1" xfId="0" applyNumberFormat="1" applyFill="1" applyBorder="1" applyAlignment="1">
      <alignment horizontal="center" vertical="top" wrapText="1"/>
    </xf>
    <xf numFmtId="0" fontId="0" fillId="6" borderId="1" xfId="0" applyFill="1" applyBorder="1" applyAlignment="1">
      <alignment horizontal="center" vertical="top" wrapText="1"/>
    </xf>
    <xf numFmtId="8" fontId="0" fillId="6" borderId="1" xfId="0" applyNumberFormat="1" applyFill="1" applyBorder="1" applyAlignment="1">
      <alignment horizontal="center" vertical="top" wrapText="1"/>
    </xf>
    <xf numFmtId="0" fontId="4" fillId="4" borderId="3" xfId="0" applyFont="1" applyFill="1" applyBorder="1" applyAlignment="1">
      <alignment vertical="top" wrapText="1"/>
    </xf>
    <xf numFmtId="0" fontId="0" fillId="2" borderId="3" xfId="0" applyFill="1" applyBorder="1" applyAlignment="1">
      <alignment horizontal="center" vertical="top" wrapText="1"/>
    </xf>
    <xf numFmtId="0" fontId="4" fillId="4" borderId="21" xfId="0" applyFont="1" applyFill="1" applyBorder="1" applyAlignment="1">
      <alignment vertical="top" wrapText="1"/>
    </xf>
    <xf numFmtId="0" fontId="4" fillId="4" borderId="22" xfId="0" applyFont="1" applyFill="1" applyBorder="1" applyAlignment="1">
      <alignment vertical="top" wrapText="1"/>
    </xf>
    <xf numFmtId="0" fontId="0" fillId="2" borderId="6" xfId="0" applyFill="1" applyBorder="1" applyAlignment="1">
      <alignment horizontal="center" vertical="top" wrapText="1"/>
    </xf>
    <xf numFmtId="0" fontId="0" fillId="0" borderId="26" xfId="0" applyFill="1" applyBorder="1" applyAlignment="1">
      <alignment horizontal="center" vertical="top" wrapText="1"/>
    </xf>
    <xf numFmtId="0" fontId="4" fillId="4" borderId="24" xfId="0" applyFont="1" applyFill="1" applyBorder="1" applyAlignment="1">
      <alignment vertical="top" wrapText="1"/>
    </xf>
    <xf numFmtId="0" fontId="0" fillId="2" borderId="10" xfId="0" applyFill="1" applyBorder="1" applyAlignment="1">
      <alignment horizontal="center" vertical="top" wrapText="1"/>
    </xf>
    <xf numFmtId="0" fontId="0" fillId="2" borderId="12" xfId="0" applyFill="1" applyBorder="1" applyAlignment="1">
      <alignment horizontal="center" vertical="top" wrapText="1"/>
    </xf>
    <xf numFmtId="0" fontId="4" fillId="4" borderId="14" xfId="0" applyFont="1" applyFill="1" applyBorder="1" applyAlignment="1">
      <alignment vertical="top" wrapText="1"/>
    </xf>
    <xf numFmtId="0" fontId="0" fillId="0" borderId="14" xfId="0" applyFill="1" applyBorder="1" applyAlignment="1">
      <alignment horizontal="center" vertical="top" wrapText="1"/>
    </xf>
    <xf numFmtId="0" fontId="0" fillId="0" borderId="14" xfId="0" applyBorder="1" applyAlignment="1">
      <alignment horizontal="center" vertical="top" wrapText="1"/>
    </xf>
    <xf numFmtId="0" fontId="0" fillId="0" borderId="1" xfId="0" applyBorder="1" applyAlignment="1">
      <alignment horizontal="center" vertical="top" wrapText="1"/>
    </xf>
    <xf numFmtId="0" fontId="2" fillId="0" borderId="0" xfId="0" applyFont="1" applyAlignment="1">
      <alignment vertical="top"/>
    </xf>
    <xf numFmtId="0" fontId="8" fillId="2" borderId="0" xfId="2" applyFill="1" applyAlignment="1">
      <alignment horizontal="left" vertical="top"/>
    </xf>
    <xf numFmtId="0" fontId="4" fillId="4" borderId="1" xfId="0" applyFont="1" applyFill="1" applyBorder="1" applyAlignment="1">
      <alignment horizontal="left" vertical="top"/>
    </xf>
    <xf numFmtId="0" fontId="4" fillId="4" borderId="7" xfId="0" applyFont="1" applyFill="1" applyBorder="1" applyAlignment="1">
      <alignment horizontal="left" vertical="top"/>
    </xf>
    <xf numFmtId="164" fontId="0" fillId="0" borderId="1" xfId="1" applyNumberFormat="1" applyFont="1" applyBorder="1" applyAlignment="1">
      <alignment horizontal="center" vertical="top" wrapText="1"/>
    </xf>
    <xf numFmtId="164" fontId="0" fillId="0" borderId="1" xfId="0" applyNumberFormat="1" applyBorder="1" applyAlignment="1">
      <alignment horizontal="center" vertical="top" wrapText="1"/>
    </xf>
    <xf numFmtId="0" fontId="0" fillId="0" borderId="3" xfId="0" applyBorder="1" applyAlignment="1">
      <alignment horizontal="center" vertical="top" wrapText="1"/>
    </xf>
    <xf numFmtId="0" fontId="0" fillId="2" borderId="13" xfId="0" applyFill="1" applyBorder="1" applyAlignment="1">
      <alignment horizontal="center" vertical="top" wrapText="1"/>
    </xf>
    <xf numFmtId="8" fontId="0" fillId="0" borderId="1" xfId="0" applyNumberFormat="1" applyBorder="1" applyAlignment="1">
      <alignment horizontal="center" vertical="top" wrapText="1"/>
    </xf>
    <xf numFmtId="10" fontId="0" fillId="0" borderId="14" xfId="0" applyNumberFormat="1" applyFill="1" applyBorder="1" applyAlignment="1">
      <alignment horizontal="center" vertical="top" wrapText="1"/>
    </xf>
    <xf numFmtId="10" fontId="0" fillId="0" borderId="1" xfId="0" applyNumberFormat="1" applyFill="1" applyBorder="1" applyAlignment="1">
      <alignment horizontal="center" vertical="top" wrapText="1"/>
    </xf>
    <xf numFmtId="10" fontId="10" fillId="0" borderId="14" xfId="0" applyNumberFormat="1" applyFont="1" applyFill="1" applyBorder="1" applyAlignment="1">
      <alignment horizontal="center" vertical="top" wrapText="1"/>
    </xf>
    <xf numFmtId="0" fontId="0" fillId="0" borderId="0" xfId="0" applyBorder="1" applyAlignment="1">
      <alignment vertical="top"/>
    </xf>
    <xf numFmtId="0" fontId="2" fillId="0" borderId="0" xfId="0" applyFont="1" applyBorder="1" applyAlignment="1">
      <alignment vertical="top"/>
    </xf>
    <xf numFmtId="0" fontId="0" fillId="2" borderId="4" xfId="0" applyFill="1" applyBorder="1" applyAlignment="1">
      <alignment horizontal="center" vertical="top" wrapText="1"/>
    </xf>
    <xf numFmtId="0" fontId="0" fillId="2" borderId="32" xfId="0" applyFill="1" applyBorder="1" applyAlignment="1">
      <alignment horizontal="center" vertical="top" wrapText="1"/>
    </xf>
    <xf numFmtId="0" fontId="0" fillId="2" borderId="33" xfId="0" applyFill="1" applyBorder="1" applyAlignment="1">
      <alignment horizontal="center" vertical="top" wrapText="1"/>
    </xf>
    <xf numFmtId="0" fontId="0" fillId="2" borderId="26" xfId="0" applyFill="1" applyBorder="1" applyAlignment="1">
      <alignment horizontal="center" vertical="top" wrapText="1"/>
    </xf>
    <xf numFmtId="0" fontId="0" fillId="2" borderId="15" xfId="0" applyFill="1" applyBorder="1" applyAlignment="1">
      <alignment vertical="top"/>
    </xf>
    <xf numFmtId="0" fontId="0" fillId="2" borderId="8" xfId="0" applyFill="1" applyBorder="1" applyAlignment="1">
      <alignment horizontal="center" vertical="top" wrapText="1"/>
    </xf>
    <xf numFmtId="0" fontId="0" fillId="0" borderId="0" xfId="0" applyFill="1" applyAlignment="1">
      <alignment vertical="top"/>
    </xf>
    <xf numFmtId="0" fontId="0" fillId="2" borderId="17" xfId="0" applyFill="1" applyBorder="1" applyAlignment="1">
      <alignment horizontal="center" vertical="top" wrapText="1"/>
    </xf>
    <xf numFmtId="165" fontId="0" fillId="0" borderId="14" xfId="0" applyNumberFormat="1" applyFill="1" applyBorder="1" applyAlignment="1">
      <alignment horizontal="center" vertical="top" wrapText="1"/>
    </xf>
    <xf numFmtId="0" fontId="2" fillId="2" borderId="0" xfId="0" applyFont="1" applyFill="1" applyBorder="1" applyAlignment="1">
      <alignment vertical="top" wrapText="1"/>
    </xf>
    <xf numFmtId="0" fontId="2" fillId="2" borderId="35" xfId="0" applyFont="1" applyFill="1" applyBorder="1" applyAlignment="1">
      <alignment vertical="top" wrapText="1"/>
    </xf>
    <xf numFmtId="164" fontId="0" fillId="0" borderId="3" xfId="0" applyNumberFormat="1" applyBorder="1" applyAlignment="1">
      <alignment horizontal="center" vertical="top" wrapText="1"/>
    </xf>
    <xf numFmtId="0" fontId="0" fillId="2" borderId="27" xfId="0" applyFill="1" applyBorder="1" applyAlignment="1">
      <alignment horizontal="center" vertical="top" wrapText="1"/>
    </xf>
    <xf numFmtId="0" fontId="0" fillId="2" borderId="10" xfId="0" applyFill="1" applyBorder="1" applyAlignment="1">
      <alignment vertical="top"/>
    </xf>
    <xf numFmtId="164" fontId="0" fillId="0" borderId="14" xfId="0" applyNumberFormat="1" applyBorder="1" applyAlignment="1">
      <alignment horizontal="center" vertical="top" wrapText="1"/>
    </xf>
    <xf numFmtId="165" fontId="0" fillId="0" borderId="1" xfId="0" applyNumberFormat="1" applyFill="1" applyBorder="1" applyAlignment="1">
      <alignment horizontal="center" vertical="top" wrapText="1"/>
    </xf>
    <xf numFmtId="165" fontId="0" fillId="0" borderId="1" xfId="0" applyNumberFormat="1" applyBorder="1" applyAlignment="1">
      <alignment horizontal="center" vertical="top" wrapText="1"/>
    </xf>
    <xf numFmtId="9" fontId="0" fillId="0" borderId="1" xfId="0" applyNumberFormat="1" applyBorder="1" applyAlignment="1">
      <alignment horizontal="center" vertical="top" wrapText="1"/>
    </xf>
    <xf numFmtId="0" fontId="0" fillId="2" borderId="1" xfId="0" applyFill="1" applyBorder="1" applyAlignment="1">
      <alignment horizontal="center" vertical="top" wrapText="1"/>
    </xf>
    <xf numFmtId="0" fontId="10" fillId="0" borderId="1" xfId="0" applyFont="1" applyFill="1" applyBorder="1" applyAlignment="1">
      <alignment horizontal="center" wrapText="1"/>
    </xf>
    <xf numFmtId="0" fontId="4" fillId="4" borderId="26" xfId="0" applyFont="1" applyFill="1" applyBorder="1" applyAlignment="1">
      <alignment horizontal="left" wrapText="1"/>
    </xf>
    <xf numFmtId="0" fontId="4" fillId="4" borderId="2" xfId="0" applyFont="1" applyFill="1" applyBorder="1" applyAlignment="1">
      <alignment horizontal="left" wrapText="1"/>
    </xf>
    <xf numFmtId="10" fontId="0" fillId="0" borderId="1" xfId="3" applyNumberFormat="1" applyFont="1" applyBorder="1" applyAlignment="1">
      <alignment horizontal="center" vertical="top" wrapText="1"/>
    </xf>
    <xf numFmtId="164" fontId="0" fillId="6" borderId="1" xfId="1" applyNumberFormat="1" applyFont="1" applyFill="1" applyBorder="1" applyAlignment="1">
      <alignment horizontal="center" vertical="top" wrapText="1"/>
    </xf>
    <xf numFmtId="0" fontId="0" fillId="2" borderId="31" xfId="0" applyFill="1" applyBorder="1" applyAlignment="1">
      <alignment horizontal="center" vertical="top" wrapText="1"/>
    </xf>
    <xf numFmtId="0" fontId="0" fillId="2" borderId="11" xfId="0" applyFill="1" applyBorder="1" applyAlignment="1">
      <alignment horizontal="center" vertical="top" wrapText="1"/>
    </xf>
    <xf numFmtId="0" fontId="0" fillId="2" borderId="19" xfId="0" applyFill="1" applyBorder="1" applyAlignment="1">
      <alignment horizontal="center" vertical="top" wrapText="1"/>
    </xf>
    <xf numFmtId="0" fontId="5" fillId="0" borderId="0" xfId="0" applyFont="1" applyAlignment="1"/>
    <xf numFmtId="0" fontId="4" fillId="4" borderId="7" xfId="0" applyFont="1" applyFill="1" applyBorder="1" applyAlignment="1">
      <alignment wrapText="1"/>
    </xf>
    <xf numFmtId="0" fontId="4" fillId="4" borderId="26" xfId="0" applyFont="1" applyFill="1" applyBorder="1" applyAlignment="1">
      <alignment wrapText="1"/>
    </xf>
    <xf numFmtId="0" fontId="4" fillId="4" borderId="2" xfId="0" applyFont="1" applyFill="1" applyBorder="1" applyAlignment="1">
      <alignment wrapText="1"/>
    </xf>
    <xf numFmtId="0" fontId="0" fillId="2" borderId="3" xfId="0" applyFill="1" applyBorder="1" applyAlignment="1">
      <alignment vertical="top" wrapText="1"/>
    </xf>
    <xf numFmtId="0" fontId="0" fillId="2" borderId="15" xfId="0" applyFill="1" applyBorder="1" applyAlignment="1">
      <alignment vertical="top" wrapText="1"/>
    </xf>
    <xf numFmtId="0" fontId="0" fillId="2" borderId="14" xfId="0" applyFill="1" applyBorder="1" applyAlignment="1">
      <alignment vertical="top" wrapText="1"/>
    </xf>
    <xf numFmtId="0" fontId="8" fillId="4" borderId="1" xfId="2" applyFill="1" applyBorder="1" applyAlignment="1">
      <alignment horizontal="center" wrapText="1"/>
    </xf>
    <xf numFmtId="0" fontId="8" fillId="3" borderId="1" xfId="2" applyFill="1" applyBorder="1" applyAlignment="1">
      <alignment horizontal="center" wrapText="1"/>
    </xf>
    <xf numFmtId="7" fontId="0" fillId="6" borderId="1" xfId="1" applyNumberFormat="1" applyFont="1" applyFill="1" applyBorder="1" applyAlignment="1">
      <alignment horizontal="center" wrapText="1"/>
    </xf>
    <xf numFmtId="0" fontId="8" fillId="3" borderId="1" xfId="2" applyFill="1" applyBorder="1" applyAlignment="1">
      <alignment horizontal="center" vertical="top" wrapText="1"/>
    </xf>
    <xf numFmtId="164" fontId="0" fillId="5" borderId="1" xfId="0" applyNumberFormat="1" applyFill="1" applyBorder="1" applyAlignment="1">
      <alignment horizontal="center" wrapText="1"/>
    </xf>
    <xf numFmtId="164" fontId="4" fillId="2" borderId="0" xfId="0" applyNumberFormat="1" applyFont="1" applyFill="1" applyAlignment="1">
      <alignment horizontal="left"/>
    </xf>
    <xf numFmtId="164" fontId="2" fillId="2" borderId="1" xfId="0" applyNumberFormat="1" applyFont="1" applyFill="1" applyBorder="1" applyAlignment="1">
      <alignment wrapText="1"/>
    </xf>
    <xf numFmtId="164" fontId="4" fillId="3" borderId="1" xfId="0" applyNumberFormat="1" applyFont="1" applyFill="1" applyBorder="1" applyAlignment="1">
      <alignment horizontal="center" wrapText="1"/>
    </xf>
    <xf numFmtId="164" fontId="8" fillId="3" borderId="1" xfId="2" applyNumberFormat="1" applyFill="1" applyBorder="1" applyAlignment="1">
      <alignment horizontal="center" wrapText="1"/>
    </xf>
    <xf numFmtId="164" fontId="4" fillId="4" borderId="1" xfId="0" applyNumberFormat="1" applyFont="1" applyFill="1" applyBorder="1" applyAlignment="1">
      <alignment horizontal="center" wrapText="1"/>
    </xf>
    <xf numFmtId="164" fontId="8" fillId="4" borderId="1" xfId="2" applyNumberFormat="1" applyFill="1" applyBorder="1" applyAlignment="1">
      <alignment horizontal="center" wrapText="1"/>
    </xf>
    <xf numFmtId="164" fontId="4" fillId="4" borderId="1" xfId="0" applyNumberFormat="1" applyFont="1" applyFill="1" applyBorder="1" applyAlignment="1">
      <alignment horizontal="left" vertical="top"/>
    </xf>
    <xf numFmtId="164" fontId="4" fillId="4" borderId="3" xfId="0" applyNumberFormat="1" applyFont="1" applyFill="1" applyBorder="1" applyAlignment="1">
      <alignment wrapText="1"/>
    </xf>
    <xf numFmtId="164" fontId="0" fillId="0" borderId="3" xfId="0" applyNumberFormat="1" applyFill="1" applyBorder="1" applyAlignment="1">
      <alignment horizontal="center" wrapText="1"/>
    </xf>
    <xf numFmtId="164" fontId="4" fillId="4" borderId="21" xfId="0" applyNumberFormat="1" applyFont="1" applyFill="1" applyBorder="1" applyAlignment="1">
      <alignment wrapText="1"/>
    </xf>
    <xf numFmtId="164" fontId="10" fillId="2" borderId="1" xfId="0" applyNumberFormat="1" applyFont="1" applyFill="1" applyBorder="1" applyAlignment="1">
      <alignment horizontal="center" wrapText="1"/>
    </xf>
    <xf numFmtId="164" fontId="0" fillId="0" borderId="19" xfId="0" applyNumberFormat="1" applyFill="1" applyBorder="1" applyAlignment="1">
      <alignment horizontal="center" wrapText="1"/>
    </xf>
    <xf numFmtId="164" fontId="4" fillId="4" borderId="22" xfId="0" applyNumberFormat="1" applyFont="1" applyFill="1" applyBorder="1" applyAlignment="1">
      <alignment wrapText="1"/>
    </xf>
    <xf numFmtId="164" fontId="10" fillId="0" borderId="1" xfId="0" applyNumberFormat="1" applyFont="1" applyFill="1" applyBorder="1" applyAlignment="1">
      <alignment horizontal="center" wrapText="1"/>
    </xf>
    <xf numFmtId="164" fontId="0" fillId="0" borderId="1" xfId="0" applyNumberFormat="1" applyFill="1" applyBorder="1" applyAlignment="1">
      <alignment wrapText="1"/>
    </xf>
    <xf numFmtId="164" fontId="0" fillId="0" borderId="1" xfId="0" applyNumberFormat="1" applyFill="1" applyBorder="1"/>
    <xf numFmtId="164" fontId="4" fillId="4" borderId="23" xfId="0" applyNumberFormat="1" applyFont="1" applyFill="1" applyBorder="1" applyAlignment="1">
      <alignment wrapText="1"/>
    </xf>
    <xf numFmtId="164" fontId="4" fillId="4" borderId="24" xfId="0" applyNumberFormat="1" applyFont="1" applyFill="1" applyBorder="1" applyAlignment="1">
      <alignment wrapText="1"/>
    </xf>
    <xf numFmtId="164" fontId="0" fillId="0" borderId="10" xfId="0" applyNumberFormat="1" applyFill="1" applyBorder="1" applyAlignment="1">
      <alignment horizontal="center" wrapText="1"/>
    </xf>
    <xf numFmtId="164" fontId="0" fillId="0" borderId="14" xfId="0" applyNumberFormat="1" applyFill="1" applyBorder="1" applyAlignment="1">
      <alignment horizontal="center" wrapText="1"/>
    </xf>
    <xf numFmtId="164" fontId="4" fillId="4" borderId="25" xfId="0" applyNumberFormat="1" applyFont="1" applyFill="1" applyBorder="1" applyAlignment="1">
      <alignment wrapText="1"/>
    </xf>
    <xf numFmtId="164" fontId="4" fillId="4" borderId="14" xfId="0" applyNumberFormat="1" applyFont="1" applyFill="1" applyBorder="1" applyAlignment="1">
      <alignment wrapText="1"/>
    </xf>
    <xf numFmtId="164" fontId="0" fillId="0" borderId="14" xfId="0" applyNumberFormat="1" applyBorder="1" applyAlignment="1">
      <alignment horizontal="center" wrapText="1"/>
    </xf>
    <xf numFmtId="0" fontId="8" fillId="4" borderId="1" xfId="2" applyFill="1" applyBorder="1" applyAlignment="1">
      <alignment horizontal="center" vertical="top" wrapText="1"/>
    </xf>
    <xf numFmtId="0" fontId="0" fillId="2" borderId="14" xfId="0" applyFill="1" applyBorder="1" applyAlignment="1">
      <alignment horizontal="center" wrapText="1"/>
    </xf>
    <xf numFmtId="164" fontId="0" fillId="0" borderId="0" xfId="0" applyNumberFormat="1" applyAlignment="1">
      <alignment horizontal="left" vertical="top"/>
    </xf>
    <xf numFmtId="164" fontId="4" fillId="2" borderId="0" xfId="0" applyNumberFormat="1" applyFont="1" applyFill="1" applyAlignment="1">
      <alignment horizontal="left" vertical="top"/>
    </xf>
    <xf numFmtId="164" fontId="0" fillId="2" borderId="0" xfId="0" applyNumberFormat="1" applyFill="1" applyAlignment="1">
      <alignment horizontal="left" vertical="top"/>
    </xf>
    <xf numFmtId="164" fontId="2" fillId="2" borderId="1" xfId="0" applyNumberFormat="1" applyFont="1" applyFill="1" applyBorder="1" applyAlignment="1">
      <alignment vertical="top" wrapText="1"/>
    </xf>
    <xf numFmtId="164" fontId="4" fillId="3" borderId="1" xfId="0" applyNumberFormat="1" applyFont="1" applyFill="1" applyBorder="1" applyAlignment="1">
      <alignment horizontal="center" vertical="top" wrapText="1"/>
    </xf>
    <xf numFmtId="164" fontId="8" fillId="3" borderId="1" xfId="2" applyNumberFormat="1" applyFill="1" applyBorder="1" applyAlignment="1">
      <alignment horizontal="center" vertical="top" wrapText="1"/>
    </xf>
    <xf numFmtId="164" fontId="4" fillId="4" borderId="1" xfId="0" applyNumberFormat="1" applyFont="1" applyFill="1" applyBorder="1" applyAlignment="1">
      <alignment horizontal="center" vertical="top" wrapText="1"/>
    </xf>
    <xf numFmtId="164" fontId="8" fillId="4" borderId="1" xfId="2" applyNumberFormat="1" applyFill="1" applyBorder="1" applyAlignment="1">
      <alignment horizontal="center" vertical="top" wrapText="1"/>
    </xf>
    <xf numFmtId="164" fontId="0" fillId="0" borderId="3" xfId="0" applyNumberFormat="1" applyFill="1" applyBorder="1" applyAlignment="1">
      <alignment horizontal="center" vertical="top" wrapText="1"/>
    </xf>
    <xf numFmtId="164" fontId="0" fillId="2" borderId="1" xfId="1" applyNumberFormat="1" applyFont="1" applyFill="1" applyBorder="1" applyAlignment="1">
      <alignment horizontal="center" vertical="top" wrapText="1"/>
    </xf>
    <xf numFmtId="164" fontId="4" fillId="4" borderId="3" xfId="0" applyNumberFormat="1" applyFont="1" applyFill="1" applyBorder="1" applyAlignment="1">
      <alignment vertical="top" wrapText="1"/>
    </xf>
    <xf numFmtId="164" fontId="0" fillId="2" borderId="3" xfId="0" applyNumberFormat="1" applyFill="1" applyBorder="1" applyAlignment="1">
      <alignment horizontal="center" vertical="top" wrapText="1"/>
    </xf>
    <xf numFmtId="164" fontId="4" fillId="4" borderId="14" xfId="0" applyNumberFormat="1" applyFont="1" applyFill="1" applyBorder="1" applyAlignment="1">
      <alignment vertical="top" wrapText="1"/>
    </xf>
    <xf numFmtId="164" fontId="0" fillId="2" borderId="19" xfId="0" applyNumberFormat="1" applyFill="1" applyBorder="1" applyAlignment="1">
      <alignment horizontal="center" vertical="top" wrapText="1"/>
    </xf>
    <xf numFmtId="164" fontId="0" fillId="2" borderId="30" xfId="0" applyNumberFormat="1" applyFill="1" applyBorder="1" applyAlignment="1">
      <alignment horizontal="center" vertical="top" wrapText="1"/>
    </xf>
    <xf numFmtId="164" fontId="0" fillId="2" borderId="6" xfId="0" applyNumberFormat="1" applyFill="1" applyBorder="1" applyAlignment="1">
      <alignment horizontal="center" vertical="top" wrapText="1"/>
    </xf>
    <xf numFmtId="164" fontId="0" fillId="2" borderId="15" xfId="0" applyNumberFormat="1" applyFill="1" applyBorder="1" applyAlignment="1">
      <alignment horizontal="center" vertical="top" wrapText="1"/>
    </xf>
    <xf numFmtId="164" fontId="0" fillId="2" borderId="31" xfId="0" applyNumberFormat="1" applyFill="1" applyBorder="1" applyAlignment="1">
      <alignment horizontal="center" vertical="top" wrapText="1"/>
    </xf>
    <xf numFmtId="164" fontId="0" fillId="0" borderId="1" xfId="0" applyNumberFormat="1" applyFill="1" applyBorder="1" applyAlignment="1">
      <alignment vertical="top"/>
    </xf>
    <xf numFmtId="164" fontId="0" fillId="2" borderId="10" xfId="0" applyNumberFormat="1" applyFill="1" applyBorder="1" applyAlignment="1">
      <alignment horizontal="center" vertical="top" wrapText="1"/>
    </xf>
    <xf numFmtId="164" fontId="0" fillId="2" borderId="12" xfId="0" applyNumberFormat="1" applyFill="1" applyBorder="1" applyAlignment="1">
      <alignment horizontal="center" vertical="top" wrapText="1"/>
    </xf>
    <xf numFmtId="164" fontId="0" fillId="2" borderId="11" xfId="0" applyNumberFormat="1" applyFill="1" applyBorder="1" applyAlignment="1">
      <alignment horizontal="center" vertical="top" wrapText="1"/>
    </xf>
    <xf numFmtId="3" fontId="0" fillId="0" borderId="1" xfId="0" applyNumberFormat="1" applyFill="1" applyBorder="1" applyAlignment="1">
      <alignment horizontal="center" vertical="top" wrapText="1"/>
    </xf>
    <xf numFmtId="3" fontId="0" fillId="2" borderId="1" xfId="0" applyNumberFormat="1" applyFill="1" applyBorder="1" applyAlignment="1">
      <alignment horizontal="center" vertical="top" wrapText="1"/>
    </xf>
    <xf numFmtId="164" fontId="5" fillId="0" borderId="0" xfId="0" applyNumberFormat="1" applyFont="1" applyAlignment="1">
      <alignment horizontal="center" vertical="top"/>
    </xf>
    <xf numFmtId="164" fontId="3" fillId="0" borderId="0" xfId="0" applyNumberFormat="1" applyFont="1" applyAlignment="1">
      <alignment vertical="top"/>
    </xf>
    <xf numFmtId="164" fontId="0" fillId="6" borderId="1" xfId="0" applyNumberFormat="1" applyFill="1" applyBorder="1" applyAlignment="1">
      <alignment horizontal="center" vertical="top" wrapText="1"/>
    </xf>
    <xf numFmtId="164" fontId="0" fillId="2" borderId="29" xfId="0" applyNumberFormat="1" applyFill="1" applyBorder="1" applyAlignment="1">
      <alignment horizontal="center" vertical="top" wrapText="1"/>
    </xf>
    <xf numFmtId="164" fontId="0" fillId="2" borderId="2" xfId="0" applyNumberFormat="1" applyFill="1" applyBorder="1" applyAlignment="1">
      <alignment horizontal="center" vertical="top" wrapText="1"/>
    </xf>
    <xf numFmtId="164" fontId="0" fillId="2" borderId="28" xfId="0" applyNumberFormat="1" applyFill="1" applyBorder="1" applyAlignment="1">
      <alignment horizontal="center" vertical="top" wrapText="1"/>
    </xf>
    <xf numFmtId="164" fontId="0" fillId="2" borderId="13" xfId="0" applyNumberFormat="1" applyFill="1" applyBorder="1" applyAlignment="1">
      <alignment horizontal="center" vertical="top" wrapText="1"/>
    </xf>
    <xf numFmtId="164" fontId="0" fillId="2" borderId="14" xfId="0" applyNumberFormat="1" applyFill="1" applyBorder="1" applyAlignment="1">
      <alignment horizontal="center" vertical="top" wrapText="1"/>
    </xf>
    <xf numFmtId="164" fontId="2" fillId="0" borderId="0" xfId="0" applyNumberFormat="1" applyFont="1" applyAlignment="1">
      <alignment vertical="top"/>
    </xf>
    <xf numFmtId="164" fontId="0" fillId="6" borderId="3" xfId="0" applyNumberFormat="1" applyFill="1" applyBorder="1" applyAlignment="1">
      <alignment horizontal="center" vertical="top" wrapText="1"/>
    </xf>
    <xf numFmtId="164" fontId="4" fillId="4" borderId="16" xfId="0" applyNumberFormat="1" applyFont="1" applyFill="1" applyBorder="1" applyAlignment="1">
      <alignment vertical="top" wrapText="1"/>
    </xf>
    <xf numFmtId="164" fontId="0" fillId="2" borderId="4" xfId="0" applyNumberFormat="1" applyFill="1" applyBorder="1" applyAlignment="1">
      <alignment horizontal="center" vertical="top" wrapText="1"/>
    </xf>
    <xf numFmtId="164" fontId="0" fillId="2" borderId="32" xfId="0" applyNumberFormat="1" applyFill="1" applyBorder="1" applyAlignment="1">
      <alignment horizontal="center" vertical="top" wrapText="1"/>
    </xf>
    <xf numFmtId="164" fontId="4" fillId="4" borderId="18" xfId="0" applyNumberFormat="1" applyFont="1" applyFill="1" applyBorder="1" applyAlignment="1">
      <alignment vertical="top" wrapText="1"/>
    </xf>
    <xf numFmtId="164" fontId="0" fillId="2" borderId="26" xfId="0" applyNumberFormat="1" applyFill="1" applyBorder="1" applyAlignment="1">
      <alignment horizontal="center" vertical="top" wrapText="1"/>
    </xf>
    <xf numFmtId="164" fontId="0" fillId="2" borderId="15" xfId="0" applyNumberFormat="1" applyFill="1" applyBorder="1" applyAlignment="1">
      <alignment vertical="top"/>
    </xf>
    <xf numFmtId="164" fontId="0" fillId="2" borderId="25" xfId="0" applyNumberFormat="1" applyFill="1" applyBorder="1" applyAlignment="1">
      <alignment horizontal="center" vertical="top" wrapText="1"/>
    </xf>
    <xf numFmtId="164" fontId="0" fillId="0" borderId="8" xfId="0" applyNumberFormat="1" applyFill="1" applyBorder="1" applyAlignment="1">
      <alignment horizontal="center" vertical="top" wrapText="1"/>
    </xf>
    <xf numFmtId="164" fontId="0" fillId="2" borderId="8" xfId="0" applyNumberFormat="1" applyFill="1" applyBorder="1" applyAlignment="1">
      <alignment horizontal="center" vertical="top" wrapText="1"/>
    </xf>
    <xf numFmtId="164" fontId="4" fillId="4" borderId="34" xfId="0" applyNumberFormat="1" applyFont="1" applyFill="1" applyBorder="1" applyAlignment="1">
      <alignment vertical="top" wrapText="1"/>
    </xf>
    <xf numFmtId="164" fontId="0" fillId="2" borderId="9" xfId="0" applyNumberFormat="1" applyFill="1" applyBorder="1" applyAlignment="1">
      <alignment horizontal="center" vertical="top" wrapText="1"/>
    </xf>
    <xf numFmtId="3" fontId="0" fillId="0" borderId="1" xfId="0" applyNumberFormat="1" applyBorder="1" applyAlignment="1">
      <alignment horizontal="center" vertical="top" wrapText="1"/>
    </xf>
    <xf numFmtId="164" fontId="0" fillId="0" borderId="0" xfId="0" applyNumberFormat="1" applyAlignment="1">
      <alignment horizontal="center" vertical="top" wrapText="1"/>
    </xf>
    <xf numFmtId="0" fontId="0" fillId="2" borderId="8" xfId="0" applyFill="1" applyBorder="1" applyAlignment="1">
      <alignment vertical="top"/>
    </xf>
    <xf numFmtId="0" fontId="0" fillId="2" borderId="12" xfId="0" applyFill="1" applyBorder="1" applyAlignment="1">
      <alignment vertical="top"/>
    </xf>
    <xf numFmtId="8" fontId="0" fillId="0" borderId="3" xfId="0" applyNumberFormat="1" applyBorder="1" applyAlignment="1">
      <alignment horizontal="center" vertical="top" wrapText="1"/>
    </xf>
    <xf numFmtId="164" fontId="0" fillId="0" borderId="1" xfId="1" applyNumberFormat="1" applyFont="1" applyFill="1" applyBorder="1" applyAlignment="1">
      <alignment horizontal="center" wrapText="1"/>
    </xf>
    <xf numFmtId="0" fontId="4" fillId="2" borderId="1" xfId="0" applyFont="1" applyFill="1" applyBorder="1" applyAlignment="1">
      <alignment wrapText="1"/>
    </xf>
    <xf numFmtId="0" fontId="0" fillId="0" borderId="1" xfId="0" applyFill="1" applyBorder="1" applyAlignment="1">
      <alignment horizontal="left" vertical="top" wrapText="1"/>
    </xf>
    <xf numFmtId="10" fontId="10" fillId="0" borderId="1" xfId="0" applyNumberFormat="1" applyFont="1" applyFill="1" applyBorder="1" applyAlignment="1">
      <alignment horizontal="center" vertical="top" wrapText="1"/>
    </xf>
    <xf numFmtId="164" fontId="10" fillId="4" borderId="1" xfId="0" applyNumberFormat="1" applyFont="1" applyFill="1" applyBorder="1" applyAlignment="1">
      <alignment wrapText="1"/>
    </xf>
    <xf numFmtId="164" fontId="0" fillId="7" borderId="1" xfId="1" applyNumberFormat="1" applyFont="1" applyFill="1" applyBorder="1" applyAlignment="1">
      <alignment horizontal="center" wrapText="1"/>
    </xf>
    <xf numFmtId="164" fontId="0" fillId="7" borderId="1" xfId="0" applyNumberFormat="1" applyFill="1" applyBorder="1" applyAlignment="1">
      <alignment horizontal="center" wrapText="1"/>
    </xf>
    <xf numFmtId="0" fontId="10" fillId="4" borderId="1" xfId="0" applyFont="1" applyFill="1" applyBorder="1" applyAlignment="1">
      <alignment wrapText="1"/>
    </xf>
    <xf numFmtId="0" fontId="0" fillId="7" borderId="1" xfId="0" applyFill="1" applyBorder="1" applyAlignment="1">
      <alignment horizontal="center" wrapText="1"/>
    </xf>
    <xf numFmtId="0" fontId="10" fillId="4" borderId="3" xfId="0" applyFont="1" applyFill="1" applyBorder="1" applyAlignment="1">
      <alignment wrapText="1"/>
    </xf>
    <xf numFmtId="0" fontId="0" fillId="7" borderId="3" xfId="0" applyFill="1" applyBorder="1" applyAlignment="1">
      <alignment horizontal="center" wrapText="1"/>
    </xf>
    <xf numFmtId="8" fontId="0" fillId="2" borderId="3" xfId="0" applyNumberFormat="1" applyFill="1" applyBorder="1" applyAlignment="1">
      <alignment horizontal="center" wrapText="1"/>
    </xf>
    <xf numFmtId="0" fontId="12" fillId="4" borderId="7" xfId="0" applyFont="1" applyFill="1" applyBorder="1" applyAlignment="1">
      <alignment horizontal="left" vertical="top"/>
    </xf>
    <xf numFmtId="0" fontId="4" fillId="7" borderId="26" xfId="0" applyFont="1" applyFill="1" applyBorder="1" applyAlignment="1">
      <alignment horizontal="left" vertical="top"/>
    </xf>
    <xf numFmtId="0" fontId="4" fillId="4" borderId="26" xfId="0" applyFont="1" applyFill="1" applyBorder="1" applyAlignment="1">
      <alignment horizontal="left" vertical="top"/>
    </xf>
    <xf numFmtId="0" fontId="10" fillId="4" borderId="14" xfId="0" applyFont="1" applyFill="1" applyBorder="1" applyAlignment="1">
      <alignment horizontal="left" vertical="top"/>
    </xf>
    <xf numFmtId="8" fontId="0" fillId="7" borderId="14" xfId="0" applyNumberFormat="1" applyFill="1" applyBorder="1" applyAlignment="1">
      <alignment horizontal="center" wrapText="1"/>
    </xf>
    <xf numFmtId="8" fontId="0" fillId="2" borderId="14" xfId="0" applyNumberFormat="1" applyFill="1" applyBorder="1" applyAlignment="1">
      <alignment horizontal="center" wrapText="1"/>
    </xf>
    <xf numFmtId="0" fontId="0" fillId="7" borderId="14" xfId="0" applyFill="1" applyBorder="1" applyAlignment="1">
      <alignment horizontal="center" wrapText="1"/>
    </xf>
    <xf numFmtId="8" fontId="10" fillId="7" borderId="14" xfId="0" applyNumberFormat="1" applyFont="1" applyFill="1" applyBorder="1" applyAlignment="1">
      <alignment horizontal="center" wrapText="1"/>
    </xf>
    <xf numFmtId="8" fontId="10" fillId="2" borderId="14" xfId="0" applyNumberFormat="1" applyFont="1" applyFill="1" applyBorder="1" applyAlignment="1">
      <alignment horizontal="center" wrapText="1"/>
    </xf>
    <xf numFmtId="0" fontId="10" fillId="7" borderId="14" xfId="0" applyFont="1" applyFill="1" applyBorder="1" applyAlignment="1">
      <alignment horizontal="center" wrapText="1"/>
    </xf>
    <xf numFmtId="0" fontId="10" fillId="2" borderId="14" xfId="0" applyFont="1" applyFill="1" applyBorder="1" applyAlignment="1">
      <alignment horizontal="center" wrapText="1"/>
    </xf>
    <xf numFmtId="0" fontId="10" fillId="4" borderId="21" xfId="0" applyFont="1" applyFill="1" applyBorder="1" applyAlignment="1">
      <alignment wrapText="1"/>
    </xf>
    <xf numFmtId="0" fontId="0" fillId="0" borderId="5" xfId="0" applyFill="1" applyBorder="1" applyAlignment="1">
      <alignment horizontal="center" wrapText="1"/>
    </xf>
    <xf numFmtId="0" fontId="10" fillId="4" borderId="14" xfId="0" applyFont="1" applyFill="1" applyBorder="1" applyAlignment="1">
      <alignment wrapText="1"/>
    </xf>
    <xf numFmtId="10" fontId="0" fillId="0" borderId="14" xfId="0" applyNumberFormat="1" applyFill="1" applyBorder="1" applyAlignment="1">
      <alignment horizontal="center" wrapText="1"/>
    </xf>
    <xf numFmtId="0" fontId="13" fillId="0" borderId="0" xfId="0" applyFont="1" applyAlignment="1">
      <alignment vertical="top"/>
    </xf>
    <xf numFmtId="0" fontId="14" fillId="0" borderId="0" xfId="0" applyFont="1" applyAlignment="1">
      <alignment vertical="top"/>
    </xf>
    <xf numFmtId="0" fontId="13" fillId="2" borderId="1" xfId="0" applyFont="1" applyFill="1" applyBorder="1" applyAlignment="1">
      <alignment horizontal="left" vertical="top"/>
    </xf>
    <xf numFmtId="164" fontId="5" fillId="0" borderId="0" xfId="0" applyNumberFormat="1" applyFont="1" applyAlignment="1">
      <alignment horizontal="left" vertical="top"/>
    </xf>
    <xf numFmtId="0" fontId="0" fillId="2" borderId="19" xfId="0" applyFill="1" applyBorder="1" applyAlignment="1">
      <alignment horizontal="center" vertical="top" wrapText="1"/>
    </xf>
    <xf numFmtId="0" fontId="0" fillId="2" borderId="30" xfId="0" applyFill="1" applyBorder="1" applyAlignment="1">
      <alignment horizontal="center" vertical="top" wrapText="1"/>
    </xf>
    <xf numFmtId="0" fontId="0" fillId="2" borderId="31" xfId="0" applyFill="1" applyBorder="1" applyAlignment="1">
      <alignment horizontal="center" vertical="top" wrapText="1"/>
    </xf>
    <xf numFmtId="0" fontId="0" fillId="2" borderId="11" xfId="0" applyFill="1" applyBorder="1" applyAlignment="1">
      <alignment horizontal="center" vertical="top" wrapText="1"/>
    </xf>
    <xf numFmtId="166" fontId="0" fillId="2" borderId="0" xfId="0" applyNumberFormat="1" applyFill="1" applyAlignment="1">
      <alignment horizontal="left"/>
    </xf>
    <xf numFmtId="166" fontId="0" fillId="2" borderId="0" xfId="0" applyNumberFormat="1" applyFill="1" applyAlignment="1">
      <alignment horizontal="left" vertical="top"/>
    </xf>
    <xf numFmtId="166" fontId="4" fillId="3" borderId="1" xfId="0" applyNumberFormat="1" applyFont="1" applyFill="1" applyBorder="1" applyAlignment="1">
      <alignment horizontal="center" vertical="top" wrapText="1"/>
    </xf>
    <xf numFmtId="166" fontId="14" fillId="2" borderId="1" xfId="0" applyNumberFormat="1" applyFont="1" applyFill="1" applyBorder="1" applyAlignment="1">
      <alignment horizontal="left" vertical="top"/>
    </xf>
    <xf numFmtId="10" fontId="0" fillId="2" borderId="1" xfId="0" applyNumberFormat="1" applyFill="1" applyBorder="1" applyAlignment="1">
      <alignment horizontal="center" vertical="top" wrapText="1"/>
    </xf>
    <xf numFmtId="164" fontId="0" fillId="0" borderId="1" xfId="0" applyNumberFormat="1" applyBorder="1" applyAlignment="1">
      <alignment vertical="top"/>
    </xf>
    <xf numFmtId="166" fontId="0" fillId="0" borderId="0" xfId="0" applyNumberFormat="1" applyAlignment="1">
      <alignment vertical="top"/>
    </xf>
    <xf numFmtId="0" fontId="9" fillId="3" borderId="6" xfId="0" applyFont="1" applyFill="1" applyBorder="1" applyAlignment="1">
      <alignment horizontal="left"/>
    </xf>
    <xf numFmtId="0" fontId="9" fillId="3" borderId="25" xfId="0" applyFont="1" applyFill="1" applyBorder="1" applyAlignment="1">
      <alignment horizontal="left"/>
    </xf>
    <xf numFmtId="0" fontId="9" fillId="3" borderId="13" xfId="0" applyFont="1" applyFill="1" applyBorder="1" applyAlignment="1">
      <alignment horizontal="left"/>
    </xf>
    <xf numFmtId="15" fontId="6" fillId="4" borderId="26" xfId="0" applyNumberFormat="1" applyFont="1" applyFill="1" applyBorder="1" applyAlignment="1">
      <alignment horizontal="left"/>
    </xf>
    <xf numFmtId="0" fontId="6" fillId="4" borderId="26" xfId="0" applyFont="1" applyFill="1" applyBorder="1" applyAlignment="1">
      <alignment horizontal="left"/>
    </xf>
    <xf numFmtId="0" fontId="6" fillId="4" borderId="2" xfId="0" applyFont="1" applyFill="1" applyBorder="1" applyAlignment="1">
      <alignment horizontal="left"/>
    </xf>
    <xf numFmtId="0" fontId="0" fillId="2" borderId="0" xfId="0" applyFill="1" applyAlignment="1">
      <alignment horizontal="left" wrapText="1"/>
    </xf>
    <xf numFmtId="164" fontId="5" fillId="0" borderId="0" xfId="0" applyNumberFormat="1" applyFont="1" applyAlignment="1">
      <alignment horizontal="left"/>
    </xf>
    <xf numFmtId="164" fontId="5" fillId="0" borderId="0" xfId="0" applyNumberFormat="1" applyFont="1" applyAlignment="1">
      <alignment horizontal="left" vertical="top"/>
    </xf>
    <xf numFmtId="0" fontId="5" fillId="0" borderId="0" xfId="0" applyFont="1" applyAlignment="1">
      <alignment horizontal="left"/>
    </xf>
    <xf numFmtId="0" fontId="5" fillId="0" borderId="0" xfId="0" applyFont="1" applyAlignment="1">
      <alignment horizontal="left" vertical="top"/>
    </xf>
    <xf numFmtId="0" fontId="0" fillId="2" borderId="19" xfId="0" applyFill="1" applyBorder="1" applyAlignment="1">
      <alignment horizontal="center" vertical="top" wrapText="1"/>
    </xf>
    <xf numFmtId="0" fontId="0" fillId="2" borderId="15" xfId="0" applyFill="1" applyBorder="1" applyAlignment="1">
      <alignment horizontal="center" vertical="top" wrapText="1"/>
    </xf>
    <xf numFmtId="0" fontId="0" fillId="2" borderId="30" xfId="0" applyFill="1" applyBorder="1" applyAlignment="1">
      <alignment horizontal="center" vertical="top" wrapText="1"/>
    </xf>
    <xf numFmtId="0" fontId="0" fillId="2" borderId="31" xfId="0" applyFill="1" applyBorder="1" applyAlignment="1">
      <alignment horizontal="center" vertical="top" wrapText="1"/>
    </xf>
    <xf numFmtId="0" fontId="0" fillId="2" borderId="11" xfId="0" applyFill="1" applyBorder="1" applyAlignment="1">
      <alignment horizontal="center" vertical="top" wrapText="1"/>
    </xf>
  </cellXfs>
  <cellStyles count="4">
    <cellStyle name="Currency" xfId="1" builtinId="4"/>
    <cellStyle name="Hyperlink" xfId="2" builtinId="8"/>
    <cellStyle name="Normal" xfId="0" builtinId="0"/>
    <cellStyle name="Percent" xfId="3"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www.hsbc.ca/1/2/personal/banking/accounts/chequing-accounts/premier-chequing-overview" TargetMode="External"/><Relationship Id="rId13" Type="http://schemas.openxmlformats.org/officeDocument/2006/relationships/hyperlink" Target="https://www.servus.ca/life/daily-banking/bank-accounts/daily-banking-accounts" TargetMode="External"/><Relationship Id="rId3" Type="http://schemas.openxmlformats.org/officeDocument/2006/relationships/hyperlink" Target="https://www.bmo.com/main/personal/bank-accounts/" TargetMode="External"/><Relationship Id="rId7" Type="http://schemas.openxmlformats.org/officeDocument/2006/relationships/hyperlink" Target="http://www.hsbc.ca/1/2/personal/banking/accounts/chequing-accounts" TargetMode="External"/><Relationship Id="rId12" Type="http://schemas.openxmlformats.org/officeDocument/2006/relationships/hyperlink" Target="https://www.td.com/ca/en/personal-banking/products/bank-accounts/chequing-accounts/all-inclusive-banking-plan/" TargetMode="External"/><Relationship Id="rId2" Type="http://schemas.openxmlformats.org/officeDocument/2006/relationships/hyperlink" Target="https://get.atb.com/Personal/Bank/c/2000/2001" TargetMode="External"/><Relationship Id="rId1" Type="http://schemas.openxmlformats.org/officeDocument/2006/relationships/hyperlink" Target="https://get.atb.com/Personal/Bank/Chequing-Accounts/ATB-Advantage-Account/p/2300" TargetMode="External"/><Relationship Id="rId6" Type="http://schemas.openxmlformats.org/officeDocument/2006/relationships/hyperlink" Target="https://www.cibc.com/en/personal-banking/bank-accounts/chequing-accounts/premierservice.html" TargetMode="External"/><Relationship Id="rId11" Type="http://schemas.openxmlformats.org/officeDocument/2006/relationships/hyperlink" Target="https://www.td.com/ca/en/personal-banking/products/bank-accounts/chequing-accounts/" TargetMode="External"/><Relationship Id="rId5" Type="http://schemas.openxmlformats.org/officeDocument/2006/relationships/hyperlink" Target="https://www.cibc.com/en/personal-banking/bank-accounts.html" TargetMode="External"/><Relationship Id="rId15" Type="http://schemas.openxmlformats.org/officeDocument/2006/relationships/printerSettings" Target="../printerSettings/printerSettings1.bin"/><Relationship Id="rId10" Type="http://schemas.openxmlformats.org/officeDocument/2006/relationships/hyperlink" Target="https://www.rbcroyalbank.com/accounts/vip-banking.html" TargetMode="External"/><Relationship Id="rId4" Type="http://schemas.openxmlformats.org/officeDocument/2006/relationships/hyperlink" Target="https://www.bmo.com/main/personal/bank-accounts/premium-plan/" TargetMode="External"/><Relationship Id="rId9" Type="http://schemas.openxmlformats.org/officeDocument/2006/relationships/hyperlink" Target="https://www.rbcroyalbank.com/accounts/chequing-accounts.html" TargetMode="External"/><Relationship Id="rId14" Type="http://schemas.openxmlformats.org/officeDocument/2006/relationships/hyperlink" Target="https://www.servus.ca/Life/Daily-Banking/Bank-accounts/Daily-banking-accounts/Personal-Premium-Unlimited-Pla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bmo.com/main/personal/bank-accounts/plus-plan/" TargetMode="External"/><Relationship Id="rId13" Type="http://schemas.openxmlformats.org/officeDocument/2006/relationships/hyperlink" Target="http://www.hsbc.ca/1/2/personal/banking/accounts/chequing-accounts/advance-chequing-overview" TargetMode="External"/><Relationship Id="rId18" Type="http://schemas.openxmlformats.org/officeDocument/2006/relationships/hyperlink" Target="http://www.scotiabank.com/ca/en/0,,11,00.html" TargetMode="External"/><Relationship Id="rId26" Type="http://schemas.openxmlformats.org/officeDocument/2006/relationships/hyperlink" Target="https://www.servus.ca/life/daily-banking/bank-accounts/daily-banking-accounts" TargetMode="External"/><Relationship Id="rId3" Type="http://schemas.openxmlformats.org/officeDocument/2006/relationships/hyperlink" Target="https://www.bmo.com/main/personal/bank-accounts/performance-plan/" TargetMode="External"/><Relationship Id="rId21" Type="http://schemas.openxmlformats.org/officeDocument/2006/relationships/hyperlink" Target="http://www.scotiabank.com/ca/en/0,,51,00.html" TargetMode="External"/><Relationship Id="rId7" Type="http://schemas.openxmlformats.org/officeDocument/2006/relationships/hyperlink" Target="https://www.bmo.com/main/personal/bank-accounts/air-miles-plan/" TargetMode="External"/><Relationship Id="rId12" Type="http://schemas.openxmlformats.org/officeDocument/2006/relationships/hyperlink" Target="http://www.hsbc.ca/1/2/personal/banking/accounts/chequing-accounts" TargetMode="External"/><Relationship Id="rId17" Type="http://schemas.openxmlformats.org/officeDocument/2006/relationships/hyperlink" Target="https://www.rbcroyalbank.com/accounts/no-limit-banking.html" TargetMode="External"/><Relationship Id="rId25" Type="http://schemas.openxmlformats.org/officeDocument/2006/relationships/hyperlink" Target="https://www.servus.ca/life/daily-banking/bank-accounts/daily-banking-accounts" TargetMode="External"/><Relationship Id="rId2" Type="http://schemas.openxmlformats.org/officeDocument/2006/relationships/hyperlink" Target="https://get.atb.com/Personal/Bank/Chequing-Accounts/Unlimited-Account/p/2303" TargetMode="External"/><Relationship Id="rId16" Type="http://schemas.openxmlformats.org/officeDocument/2006/relationships/hyperlink" Target="https://www.rbcroyalbank.com/accounts/signature-no-limit-banking.html" TargetMode="External"/><Relationship Id="rId20" Type="http://schemas.openxmlformats.org/officeDocument/2006/relationships/hyperlink" Target="http://www.scotiabank.com/ca/en/0,,48,00.html" TargetMode="External"/><Relationship Id="rId29" Type="http://schemas.openxmlformats.org/officeDocument/2006/relationships/hyperlink" Target="https://www.servus.ca/Life/Daily-Banking/Bank-accounts/Daily-banking-accounts/Personal-Plan-60" TargetMode="External"/><Relationship Id="rId1" Type="http://schemas.openxmlformats.org/officeDocument/2006/relationships/hyperlink" Target="https://get.atb.com/Personal/Bank/c/2000/2001" TargetMode="External"/><Relationship Id="rId6" Type="http://schemas.openxmlformats.org/officeDocument/2006/relationships/hyperlink" Target="https://www.bmo.com/main/personal/bank-accounts/" TargetMode="External"/><Relationship Id="rId11" Type="http://schemas.openxmlformats.org/officeDocument/2006/relationships/hyperlink" Target="http://www.hsbc.ca/1/2/personal/banking/accounts/chequing-accounts" TargetMode="External"/><Relationship Id="rId24" Type="http://schemas.openxmlformats.org/officeDocument/2006/relationships/hyperlink" Target="https://www.servus.ca/life/daily-banking/bank-accounts/daily-banking-accounts" TargetMode="External"/><Relationship Id="rId5" Type="http://schemas.openxmlformats.org/officeDocument/2006/relationships/hyperlink" Target="https://www.bmo.com/main/personal/bank-accounts/" TargetMode="External"/><Relationship Id="rId15" Type="http://schemas.openxmlformats.org/officeDocument/2006/relationships/hyperlink" Target="https://www.rbcroyalbank.com/accounts/chequing-accounts.htmlhttps:/www.rbcroyalbank.com/accounts/chequing-accounts.html" TargetMode="External"/><Relationship Id="rId23" Type="http://schemas.openxmlformats.org/officeDocument/2006/relationships/hyperlink" Target="https://www.td.com/ca/en/personal-banking/products/bank-accounts/chequing-accounts/unlimited-chequing-account/" TargetMode="External"/><Relationship Id="rId28" Type="http://schemas.openxmlformats.org/officeDocument/2006/relationships/hyperlink" Target="https://www.servus.ca/Life/Daily-Banking/Bank-accounts/Daily-banking-accounts/Personal-ePlan-60" TargetMode="External"/><Relationship Id="rId10" Type="http://schemas.openxmlformats.org/officeDocument/2006/relationships/hyperlink" Target="https://www.cibc.com/en/personal-banking/bank-accounts/chequing-accounts/smart-account.html" TargetMode="External"/><Relationship Id="rId19" Type="http://schemas.openxmlformats.org/officeDocument/2006/relationships/hyperlink" Target="http://www.scotiabank.com/ca/en/0,,11,00.html" TargetMode="External"/><Relationship Id="rId31" Type="http://schemas.openxmlformats.org/officeDocument/2006/relationships/printerSettings" Target="../printerSettings/printerSettings2.bin"/><Relationship Id="rId4" Type="http://schemas.openxmlformats.org/officeDocument/2006/relationships/hyperlink" Target="https://www.bmo.com/main/personal/bank-accounts/" TargetMode="External"/><Relationship Id="rId9" Type="http://schemas.openxmlformats.org/officeDocument/2006/relationships/hyperlink" Target="https://www.cibc.com/en/personal-banking/bank-accounts/chequing-accounts.html" TargetMode="External"/><Relationship Id="rId14" Type="http://schemas.openxmlformats.org/officeDocument/2006/relationships/hyperlink" Target="https://www.rbcroyalbank.com/accounts/chequing-accounts.html" TargetMode="External"/><Relationship Id="rId22" Type="http://schemas.openxmlformats.org/officeDocument/2006/relationships/hyperlink" Target="https://www.td.com/ca/en/personal-banking/products/bank-accounts/chequing-accounts/" TargetMode="External"/><Relationship Id="rId27" Type="http://schemas.openxmlformats.org/officeDocument/2006/relationships/hyperlink" Target="https://www.servus.ca/Life/Daily-Banking/Bank-accounts/Daily-banking-accounts/Personal-Unlimited-Plan" TargetMode="External"/><Relationship Id="rId30" Type="http://schemas.openxmlformats.org/officeDocument/2006/relationships/hyperlink" Target="http://www.hsbc.ca/1/2/personal/banking/accounts/chequing-accounts/perf-chequing-unlimited-detail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ibc.com/en/personal-banking/bank-accounts/chequing-accounts/everyday-chequing-account.html" TargetMode="External"/><Relationship Id="rId13" Type="http://schemas.openxmlformats.org/officeDocument/2006/relationships/hyperlink" Target="http://www.scotiabank.com/ca/en/0,,11,00.html" TargetMode="External"/><Relationship Id="rId18" Type="http://schemas.openxmlformats.org/officeDocument/2006/relationships/hyperlink" Target="https://www.servus.ca/Life/Daily-Banking/Bank-accounts/Daily-banking-accounts/Personal-Plan-60" TargetMode="External"/><Relationship Id="rId26" Type="http://schemas.openxmlformats.org/officeDocument/2006/relationships/hyperlink" Target="https://www.vancity.com/Banking/ChequingAccounts/" TargetMode="External"/><Relationship Id="rId3" Type="http://schemas.openxmlformats.org/officeDocument/2006/relationships/hyperlink" Target="https://get.atb.com/Personal/c/2000" TargetMode="External"/><Relationship Id="rId21" Type="http://schemas.openxmlformats.org/officeDocument/2006/relationships/hyperlink" Target="https://www.td.com/ca/en/personal-banking/products/bank-accounts/chequing-accounts/" TargetMode="External"/><Relationship Id="rId7" Type="http://schemas.openxmlformats.org/officeDocument/2006/relationships/hyperlink" Target="https://www.cibc.com/en/personal-banking/bank-accounts/chequing-accounts.html" TargetMode="External"/><Relationship Id="rId12" Type="http://schemas.openxmlformats.org/officeDocument/2006/relationships/hyperlink" Target="https://www.rbcroyalbank.com/accounts/day-to-day-banking.html" TargetMode="External"/><Relationship Id="rId17" Type="http://schemas.openxmlformats.org/officeDocument/2006/relationships/hyperlink" Target="https://www.servus.ca/Life/Daily-Banking/Bank-accounts/Daily-banking-accounts/Personal-Plan-60" TargetMode="External"/><Relationship Id="rId25" Type="http://schemas.openxmlformats.org/officeDocument/2006/relationships/hyperlink" Target="https://www.vancity.com/Banking/ChequingAccounts/PayAsYouGo/" TargetMode="External"/><Relationship Id="rId2" Type="http://schemas.openxmlformats.org/officeDocument/2006/relationships/hyperlink" Target="https://get.atb.com/Personal/c/2000" TargetMode="External"/><Relationship Id="rId16" Type="http://schemas.openxmlformats.org/officeDocument/2006/relationships/hyperlink" Target="http://www.scotiabank.com/ca/en/0,,50,00.html" TargetMode="External"/><Relationship Id="rId20" Type="http://schemas.openxmlformats.org/officeDocument/2006/relationships/hyperlink" Target="https://www.servus.ca/Life/Daily-Banking/Bank-accounts/Daily-banking-accounts/Pay-as-you-go" TargetMode="External"/><Relationship Id="rId1" Type="http://schemas.openxmlformats.org/officeDocument/2006/relationships/hyperlink" Target="https://www.bmo.com/main/personal/bank-accounts/" TargetMode="External"/><Relationship Id="rId6" Type="http://schemas.openxmlformats.org/officeDocument/2006/relationships/hyperlink" Target="https://www.bmo.com/main/personal/bank-accounts/practical-plan/" TargetMode="External"/><Relationship Id="rId11" Type="http://schemas.openxmlformats.org/officeDocument/2006/relationships/hyperlink" Target="https://www.rbcroyalbank.com/accounts/chequing-accounts.html" TargetMode="External"/><Relationship Id="rId24" Type="http://schemas.openxmlformats.org/officeDocument/2006/relationships/hyperlink" Target="https://www.td.com/ca/en/personal-banking/products/bank-accounts/chequing-accounts/minimum-chequing-account_b/?s_tnt=467648:1:0&amp;" TargetMode="External"/><Relationship Id="rId5" Type="http://schemas.openxmlformats.org/officeDocument/2006/relationships/hyperlink" Target="https://get.atb.com/Personal/Bank/Chequing-Accounts/Pay-As-You-Go-Account/p/2302" TargetMode="External"/><Relationship Id="rId15" Type="http://schemas.openxmlformats.org/officeDocument/2006/relationships/hyperlink" Target="http://www.scotiabank.com/ca/en/0,,24,00.html" TargetMode="External"/><Relationship Id="rId23" Type="http://schemas.openxmlformats.org/officeDocument/2006/relationships/hyperlink" Target="https://www.td.com/ca/en/personal-banking/products/bank-accounts/chequing-accounts/every-day-chequing-account/" TargetMode="External"/><Relationship Id="rId10" Type="http://schemas.openxmlformats.org/officeDocument/2006/relationships/hyperlink" Target="http://www.hsbc.ca/1/2/personal/banking/accounts/chequing-accounts/perf-chequing-limited-details" TargetMode="External"/><Relationship Id="rId19" Type="http://schemas.openxmlformats.org/officeDocument/2006/relationships/hyperlink" Target="https://www.servus.ca/Life/Daily-Banking/Bank-accounts/Daily-banking-accounts/Personal-Plan-30" TargetMode="External"/><Relationship Id="rId4" Type="http://schemas.openxmlformats.org/officeDocument/2006/relationships/hyperlink" Target="https://get.atb.com/Personal/Bank/Chequing-Accounts/Basic-Account/p/2301" TargetMode="External"/><Relationship Id="rId9" Type="http://schemas.openxmlformats.org/officeDocument/2006/relationships/hyperlink" Target="http://www.hsbc.ca/1/2/personal/banking/accounts/chequing-accounts" TargetMode="External"/><Relationship Id="rId14" Type="http://schemas.openxmlformats.org/officeDocument/2006/relationships/hyperlink" Target="http://www.scotiabank.com/ca/en/0,,11,00.html" TargetMode="External"/><Relationship Id="rId22" Type="http://schemas.openxmlformats.org/officeDocument/2006/relationships/hyperlink" Target="https://www.td.com/ca/en/personal-banking/products/bank-accounts/chequing-accounts/" TargetMode="External"/><Relationship Id="rId27"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www.hsbc.ca/1/2/personal/banking/accounts/savings-accounts/high-rate-savings-overview" TargetMode="External"/><Relationship Id="rId13" Type="http://schemas.openxmlformats.org/officeDocument/2006/relationships/hyperlink" Target="https://www.td.com/ca/en/personal-banking/products/bank-accounts/savings-accounts/high-interest-savings-account/" TargetMode="External"/><Relationship Id="rId3" Type="http://schemas.openxmlformats.org/officeDocument/2006/relationships/hyperlink" Target="https://www.servus.ca/-/media/Servus/Documents/personal-banking-accounts-comparison.ashx?la=en&amp;hash=4390665701EEE73C63A115BBBAFF4E0EC4E40B3B" TargetMode="External"/><Relationship Id="rId7" Type="http://schemas.openxmlformats.org/officeDocument/2006/relationships/hyperlink" Target="https://www.cibc.com/en/personal-banking/bank-accounts/savings-accounts/eadvantage-savings-account.html" TargetMode="External"/><Relationship Id="rId12" Type="http://schemas.openxmlformats.org/officeDocument/2006/relationships/hyperlink" Target="https://www.servus.ca/Life/Daily-Banking/Bank-accounts/Savings-accounts/High-Yield-Savings" TargetMode="External"/><Relationship Id="rId17" Type="http://schemas.openxmlformats.org/officeDocument/2006/relationships/printerSettings" Target="../printerSettings/printerSettings4.bin"/><Relationship Id="rId2" Type="http://schemas.openxmlformats.org/officeDocument/2006/relationships/hyperlink" Target="https://www.bmo.com/main/personal/bank-accounts/savings/" TargetMode="External"/><Relationship Id="rId16" Type="http://schemas.openxmlformats.org/officeDocument/2006/relationships/hyperlink" Target="https://www.coastcapitalsavings.com/DayToDayBanking/SavingsAccounts/" TargetMode="External"/><Relationship Id="rId1" Type="http://schemas.openxmlformats.org/officeDocument/2006/relationships/hyperlink" Target="https://www.bmo.com/main/personal/bank-accounts/" TargetMode="External"/><Relationship Id="rId6" Type="http://schemas.openxmlformats.org/officeDocument/2006/relationships/hyperlink" Target="https://www.bmo.com/main/personal/bank-accounts/savings-builder/" TargetMode="External"/><Relationship Id="rId11" Type="http://schemas.openxmlformats.org/officeDocument/2006/relationships/hyperlink" Target="http://www.scotiabank.com/ca/en/0,,8625,00.html" TargetMode="External"/><Relationship Id="rId5" Type="http://schemas.openxmlformats.org/officeDocument/2006/relationships/hyperlink" Target="https://www.bmo.com/main/personal/bank-accounts/smart-saver/" TargetMode="External"/><Relationship Id="rId15" Type="http://schemas.openxmlformats.org/officeDocument/2006/relationships/hyperlink" Target="https://www.vancity.com/Banking/SavingsAccounts/Jumpstart/?xcid=pers_megamenu_jumpstart" TargetMode="External"/><Relationship Id="rId10" Type="http://schemas.openxmlformats.org/officeDocument/2006/relationships/hyperlink" Target="http://www.scotiabank.com/ca/en/0,,11823,00.html" TargetMode="External"/><Relationship Id="rId4" Type="http://schemas.openxmlformats.org/officeDocument/2006/relationships/hyperlink" Target="https://get.atb.com/Personal/Bank/Savings-Accounts/Springboard-Savings%26%23174%3B-Account/p/2305" TargetMode="External"/><Relationship Id="rId9" Type="http://schemas.openxmlformats.org/officeDocument/2006/relationships/hyperlink" Target="https://www.rbcroyalbank.com/accounts/e-savings.html" TargetMode="External"/><Relationship Id="rId14" Type="http://schemas.openxmlformats.org/officeDocument/2006/relationships/hyperlink" Target="https://www.td.com/ca/en/personal-banking/products/bank-accounts/savings-accounts/epremium-savings-account/"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d.com/ca/en/personal-banking/products/bank-accounts/savings-accounts/every-day-savings-account/" TargetMode="External"/><Relationship Id="rId3" Type="http://schemas.openxmlformats.org/officeDocument/2006/relationships/hyperlink" Target="https://www.cibc.com/en/personal-banking/bank-accounts/savings-accounts/premium-growth-account.html" TargetMode="External"/><Relationship Id="rId7" Type="http://schemas.openxmlformats.org/officeDocument/2006/relationships/hyperlink" Target="https://www.servus.ca/Life/Daily-Banking/Bank-accounts/Savings-accounts/Personal-Savings" TargetMode="External"/><Relationship Id="rId12" Type="http://schemas.openxmlformats.org/officeDocument/2006/relationships/printerSettings" Target="../printerSettings/printerSettings5.bin"/><Relationship Id="rId2" Type="http://schemas.openxmlformats.org/officeDocument/2006/relationships/hyperlink" Target="https://www.cibc.com/en/personal-banking/bank-accounts/savings-accounts/bonus-savings.html" TargetMode="External"/><Relationship Id="rId1" Type="http://schemas.openxmlformats.org/officeDocument/2006/relationships/hyperlink" Target="https://www.bmo.com/main/personal/bank-accounts/savings/" TargetMode="External"/><Relationship Id="rId6" Type="http://schemas.openxmlformats.org/officeDocument/2006/relationships/hyperlink" Target="http://www.scotiabank.com/ca/en/0,,56,00.html" TargetMode="External"/><Relationship Id="rId11" Type="http://schemas.openxmlformats.org/officeDocument/2006/relationships/hyperlink" Target="https://www.rbcroyalbank.com/accounts/nomi-find-and-save.html" TargetMode="External"/><Relationship Id="rId5" Type="http://schemas.openxmlformats.org/officeDocument/2006/relationships/hyperlink" Target="https://www.rbcroyalbank.com/accounts/day-to-day-savings.html" TargetMode="External"/><Relationship Id="rId10" Type="http://schemas.openxmlformats.org/officeDocument/2006/relationships/hyperlink" Target="https://www.bmo.com/main/personal/bank-accounts/premium-rate-savings/" TargetMode="External"/><Relationship Id="rId4" Type="http://schemas.openxmlformats.org/officeDocument/2006/relationships/hyperlink" Target="https://www.rbcroyalbank.com/accounts/enhanced-savings.html" TargetMode="External"/><Relationship Id="rId9" Type="http://schemas.openxmlformats.org/officeDocument/2006/relationships/hyperlink" Target="https://www.vancity.com/Banking/SavingsAccounts/Plan2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scotiabank.com/ca/en/0,,15,00.html" TargetMode="External"/><Relationship Id="rId2" Type="http://schemas.openxmlformats.org/officeDocument/2006/relationships/hyperlink" Target="https://www.cibc.com/en/personal-banking/bank-accounts/senior-banking-offers.html" TargetMode="External"/><Relationship Id="rId1" Type="http://schemas.openxmlformats.org/officeDocument/2006/relationships/hyperlink" Target="https://www.bmo.com/main/personal/bank-accounts/" TargetMode="External"/><Relationship Id="rId5" Type="http://schemas.openxmlformats.org/officeDocument/2006/relationships/printerSettings" Target="../printerSettings/printerSettings6.bin"/><Relationship Id="rId4" Type="http://schemas.openxmlformats.org/officeDocument/2006/relationships/hyperlink" Target="http://www.hsbc.ca/1/2/personal/banking/accounts/chequing-accounts/perf-chequing-unlimited-detail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ervus.ca/life/daily-banking/bank-accounts/daily-banking-accounts" TargetMode="External"/><Relationship Id="rId3" Type="http://schemas.openxmlformats.org/officeDocument/2006/relationships/hyperlink" Target="https://www.cibc.com/en/student/bank-accounts.html" TargetMode="External"/><Relationship Id="rId7" Type="http://schemas.openxmlformats.org/officeDocument/2006/relationships/hyperlink" Target="https://get.atb.com/Personal/Bank/Student-Accounts/Students-First-Account/p/2307" TargetMode="External"/><Relationship Id="rId2" Type="http://schemas.openxmlformats.org/officeDocument/2006/relationships/hyperlink" Target="https://www.td.com/ca/en/personal-banking/products/bank-accounts/chequing-accounts/student-chequing-account_b/?s_tnt=467648:1:0&amp;" TargetMode="External"/><Relationship Id="rId1" Type="http://schemas.openxmlformats.org/officeDocument/2006/relationships/hyperlink" Target="https://www.bmo.com/main/personal/bank-accounts/" TargetMode="External"/><Relationship Id="rId6" Type="http://schemas.openxmlformats.org/officeDocument/2006/relationships/hyperlink" Target="http://www.scotiabank.com/ca/en/0,,60,00.html" TargetMode="External"/><Relationship Id="rId5" Type="http://schemas.openxmlformats.org/officeDocument/2006/relationships/hyperlink" Target="https://www.rbcroyalbank.com/accounts/student-banking.html" TargetMode="External"/><Relationship Id="rId10" Type="http://schemas.openxmlformats.org/officeDocument/2006/relationships/printerSettings" Target="../printerSettings/printerSettings7.bin"/><Relationship Id="rId4" Type="http://schemas.openxmlformats.org/officeDocument/2006/relationships/hyperlink" Target="https://www.rbcroyalbank.com/accounts/student-banking-no-limit.html" TargetMode="External"/><Relationship Id="rId9" Type="http://schemas.openxmlformats.org/officeDocument/2006/relationships/hyperlink" Target="http://www.hsbc.ca/1/2/personal/banking/accounts/chequing-accounts/perf-chequing-unlimited-detail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servus.ca/Life/Daily-Banking/Bank-accounts/Daily-banking-accounts/Youth-Plan-60" TargetMode="External"/><Relationship Id="rId3" Type="http://schemas.openxmlformats.org/officeDocument/2006/relationships/hyperlink" Target="https://www.td.com/ca/en/personal-banking/products/bank-accounts/savings-accounts/youth-account/" TargetMode="External"/><Relationship Id="rId7" Type="http://schemas.openxmlformats.org/officeDocument/2006/relationships/hyperlink" Target="https://get.atb.com/Personal/Bank/Youth-Accounts/Generation-Account/p/2315" TargetMode="External"/><Relationship Id="rId2" Type="http://schemas.openxmlformats.org/officeDocument/2006/relationships/hyperlink" Target="https://www.bmo.com/main/personal/bank-accounts/" TargetMode="External"/><Relationship Id="rId1" Type="http://schemas.openxmlformats.org/officeDocument/2006/relationships/hyperlink" Target="https://www.bmo.com/main/personal/bank-accounts/" TargetMode="External"/><Relationship Id="rId6" Type="http://schemas.openxmlformats.org/officeDocument/2006/relationships/hyperlink" Target="http://www.scotiabank.com/ca/en/0,,61,00.html" TargetMode="External"/><Relationship Id="rId5" Type="http://schemas.openxmlformats.org/officeDocument/2006/relationships/hyperlink" Target="https://www.rbcroyalbank.com/accounts/leo-young-savers-account.html" TargetMode="External"/><Relationship Id="rId10" Type="http://schemas.openxmlformats.org/officeDocument/2006/relationships/printerSettings" Target="../printerSettings/printerSettings8.bin"/><Relationship Id="rId4" Type="http://schemas.openxmlformats.org/officeDocument/2006/relationships/hyperlink" Target="https://www.cibc.com/en/personal-banking/bank-accounts/youth-banking-offers.html" TargetMode="External"/><Relationship Id="rId9" Type="http://schemas.openxmlformats.org/officeDocument/2006/relationships/hyperlink" Target="https://www.servus.ca/-/media/Servus/Documents/personal-banking-accounts-comparison.ashx?la=en&amp;hash=4390665701EEE73C63A115BBBAFF4E0EC4E40B3B"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cibc.com/en/personal/checking/smart-account.html" TargetMode="External"/><Relationship Id="rId2" Type="http://schemas.openxmlformats.org/officeDocument/2006/relationships/hyperlink" Target="https://www.rbcroyalbank.com/accounts/us-personal-account.html" TargetMode="External"/><Relationship Id="rId1" Type="http://schemas.openxmlformats.org/officeDocument/2006/relationships/hyperlink" Target="https://www.bmo.com/main/personal/bank-accounts/" TargetMode="External"/><Relationship Id="rId4"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www.hsbc.ca/1/2/personal/banking/accounts/foreign-currency-accounts/foreign-currency-usd-details" TargetMode="External"/><Relationship Id="rId2" Type="http://schemas.openxmlformats.org/officeDocument/2006/relationships/hyperlink" Target="https://www.cibc.com/en/personal-banking/bank-accounts/savings-accounts/us-personal-account.html" TargetMode="External"/><Relationship Id="rId1" Type="http://schemas.openxmlformats.org/officeDocument/2006/relationships/hyperlink" Target="https://www.bmo.com/main/personal/bank-accounts/" TargetMode="External"/><Relationship Id="rId6" Type="http://schemas.openxmlformats.org/officeDocument/2006/relationships/hyperlink" Target="http://www.scotiabank.com/ca/en/0,,59,00.html" TargetMode="External"/><Relationship Id="rId5" Type="http://schemas.openxmlformats.org/officeDocument/2006/relationships/hyperlink" Target="https://www.servus.ca/life/daily-banking/bank-accounts/savings-accounts/personal-savings" TargetMode="External"/><Relationship Id="rId4" Type="http://schemas.openxmlformats.org/officeDocument/2006/relationships/hyperlink" Target="https://www.rbcroyalbank.com/accounts/us-e-savings.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zoomScaleNormal="100" workbookViewId="0">
      <selection activeCell="A19" sqref="A19"/>
    </sheetView>
  </sheetViews>
  <sheetFormatPr defaultColWidth="0" defaultRowHeight="14.4" zeroHeight="1" x14ac:dyDescent="0.3"/>
  <cols>
    <col min="1" max="12" width="9.109375" customWidth="1"/>
    <col min="13" max="16384" width="9.109375" hidden="1"/>
  </cols>
  <sheetData>
    <row r="1" spans="1:12" ht="21" x14ac:dyDescent="0.4">
      <c r="A1" s="254" t="s">
        <v>331</v>
      </c>
      <c r="B1" s="255"/>
      <c r="C1" s="255"/>
      <c r="D1" s="255"/>
      <c r="E1" s="255"/>
      <c r="F1" s="255"/>
      <c r="G1" s="255"/>
      <c r="H1" s="255"/>
      <c r="I1" s="255"/>
      <c r="J1" s="255"/>
      <c r="K1" s="255"/>
      <c r="L1" s="256"/>
    </row>
    <row r="2" spans="1:12" ht="18" x14ac:dyDescent="0.35">
      <c r="A2" s="28" t="s">
        <v>284</v>
      </c>
      <c r="B2" s="257">
        <v>43501</v>
      </c>
      <c r="C2" s="258"/>
      <c r="D2" s="258"/>
      <c r="E2" s="258"/>
      <c r="F2" s="258"/>
      <c r="G2" s="258"/>
      <c r="H2" s="258"/>
      <c r="I2" s="258"/>
      <c r="J2" s="258"/>
      <c r="K2" s="258"/>
      <c r="L2" s="259"/>
    </row>
    <row r="3" spans="1:12" x14ac:dyDescent="0.3">
      <c r="A3" s="29"/>
      <c r="B3" s="29"/>
      <c r="C3" s="29"/>
      <c r="D3" s="29"/>
      <c r="E3" s="29"/>
      <c r="F3" s="29"/>
      <c r="G3" s="29"/>
      <c r="H3" s="29"/>
      <c r="I3" s="29"/>
      <c r="J3" s="29"/>
      <c r="K3" s="29"/>
      <c r="L3" s="29"/>
    </row>
    <row r="4" spans="1:12" x14ac:dyDescent="0.3">
      <c r="A4" s="260" t="s">
        <v>356</v>
      </c>
      <c r="B4" s="260"/>
      <c r="C4" s="260"/>
      <c r="D4" s="260"/>
      <c r="E4" s="260"/>
      <c r="F4" s="260"/>
      <c r="G4" s="260"/>
      <c r="H4" s="260"/>
      <c r="I4" s="260"/>
      <c r="J4" s="260"/>
      <c r="K4" s="260"/>
      <c r="L4" s="260"/>
    </row>
    <row r="5" spans="1:12" x14ac:dyDescent="0.3">
      <c r="A5" s="260"/>
      <c r="B5" s="260"/>
      <c r="C5" s="260"/>
      <c r="D5" s="260"/>
      <c r="E5" s="260"/>
      <c r="F5" s="260"/>
      <c r="G5" s="260"/>
      <c r="H5" s="260"/>
      <c r="I5" s="260"/>
      <c r="J5" s="260"/>
      <c r="K5" s="260"/>
      <c r="L5" s="260"/>
    </row>
    <row r="6" spans="1:12" x14ac:dyDescent="0.3">
      <c r="A6" s="260"/>
      <c r="B6" s="260"/>
      <c r="C6" s="260"/>
      <c r="D6" s="260"/>
      <c r="E6" s="260"/>
      <c r="F6" s="260"/>
      <c r="G6" s="260"/>
      <c r="H6" s="260"/>
      <c r="I6" s="260"/>
      <c r="J6" s="260"/>
      <c r="K6" s="260"/>
      <c r="L6" s="260"/>
    </row>
    <row r="7" spans="1:12" x14ac:dyDescent="0.3">
      <c r="A7" s="260"/>
      <c r="B7" s="260"/>
      <c r="C7" s="260"/>
      <c r="D7" s="260"/>
      <c r="E7" s="260"/>
      <c r="F7" s="260"/>
      <c r="G7" s="260"/>
      <c r="H7" s="260"/>
      <c r="I7" s="260"/>
      <c r="J7" s="260"/>
      <c r="K7" s="260"/>
      <c r="L7" s="260"/>
    </row>
    <row r="8" spans="1:12" x14ac:dyDescent="0.3">
      <c r="A8" s="29"/>
      <c r="B8" s="29"/>
      <c r="C8" s="29"/>
      <c r="D8" s="29"/>
      <c r="E8" s="29"/>
      <c r="F8" s="29"/>
      <c r="G8" s="29"/>
      <c r="H8" s="29"/>
      <c r="I8" s="29"/>
      <c r="J8" s="29"/>
      <c r="K8" s="29"/>
      <c r="L8" s="29"/>
    </row>
    <row r="9" spans="1:12" x14ac:dyDescent="0.3">
      <c r="A9" s="85" t="s">
        <v>489</v>
      </c>
      <c r="B9" s="29"/>
      <c r="C9" s="29"/>
      <c r="D9" s="29"/>
      <c r="E9" s="29"/>
      <c r="F9" s="29"/>
      <c r="G9" s="29"/>
      <c r="H9" s="29"/>
      <c r="I9" s="29"/>
      <c r="J9" s="29"/>
      <c r="K9" s="29"/>
      <c r="L9" s="29"/>
    </row>
    <row r="10" spans="1:12" x14ac:dyDescent="0.3">
      <c r="A10" s="30" t="s">
        <v>60</v>
      </c>
      <c r="B10" s="29"/>
      <c r="C10" s="29"/>
      <c r="D10" s="29"/>
      <c r="E10" s="29"/>
      <c r="F10" s="29"/>
      <c r="G10" s="29"/>
      <c r="H10" s="29"/>
      <c r="I10" s="29"/>
      <c r="J10" s="29"/>
      <c r="K10" s="29"/>
      <c r="L10" s="29"/>
    </row>
    <row r="11" spans="1:12" x14ac:dyDescent="0.3">
      <c r="A11" s="30" t="s">
        <v>137</v>
      </c>
      <c r="B11" s="29"/>
      <c r="C11" s="29"/>
      <c r="D11" s="29"/>
      <c r="E11" s="29"/>
      <c r="F11" s="29"/>
      <c r="G11" s="29"/>
      <c r="H11" s="29"/>
      <c r="I11" s="29"/>
      <c r="J11" s="29"/>
      <c r="K11" s="29"/>
      <c r="L11" s="29"/>
    </row>
    <row r="12" spans="1:12" x14ac:dyDescent="0.3">
      <c r="A12" s="30" t="s">
        <v>322</v>
      </c>
      <c r="B12" s="29"/>
      <c r="C12" s="29"/>
      <c r="D12" s="29"/>
      <c r="E12" s="29"/>
      <c r="F12" s="29"/>
      <c r="G12" s="29"/>
      <c r="H12" s="29"/>
      <c r="I12" s="29"/>
      <c r="J12" s="29"/>
      <c r="K12" s="29"/>
      <c r="L12" s="29"/>
    </row>
    <row r="13" spans="1:12" x14ac:dyDescent="0.3">
      <c r="A13" s="30" t="s">
        <v>323</v>
      </c>
      <c r="B13" s="29"/>
      <c r="C13" s="29"/>
      <c r="D13" s="29"/>
      <c r="E13" s="29"/>
      <c r="F13" s="29"/>
      <c r="G13" s="29"/>
      <c r="H13" s="29"/>
      <c r="I13" s="29"/>
      <c r="J13" s="29"/>
      <c r="K13" s="29"/>
      <c r="L13" s="29"/>
    </row>
    <row r="14" spans="1:12" x14ac:dyDescent="0.3">
      <c r="A14" s="30" t="s">
        <v>324</v>
      </c>
      <c r="B14" s="29"/>
      <c r="C14" s="29"/>
      <c r="D14" s="29"/>
      <c r="E14" s="29"/>
      <c r="F14" s="29"/>
      <c r="G14" s="29"/>
      <c r="H14" s="29"/>
      <c r="I14" s="29"/>
      <c r="J14" s="29"/>
      <c r="K14" s="29"/>
      <c r="L14" s="29"/>
    </row>
    <row r="15" spans="1:12" x14ac:dyDescent="0.3">
      <c r="A15" s="30" t="s">
        <v>325</v>
      </c>
      <c r="B15" s="29"/>
      <c r="C15" s="29"/>
      <c r="D15" s="29"/>
      <c r="E15" s="29"/>
      <c r="F15" s="29"/>
      <c r="G15" s="29"/>
      <c r="H15" s="29"/>
      <c r="I15" s="29"/>
      <c r="J15" s="29"/>
      <c r="K15" s="29"/>
      <c r="L15" s="29"/>
    </row>
    <row r="16" spans="1:12" x14ac:dyDescent="0.3">
      <c r="A16" s="30" t="s">
        <v>326</v>
      </c>
      <c r="B16" s="29"/>
      <c r="C16" s="29"/>
      <c r="D16" s="29"/>
      <c r="E16" s="29"/>
      <c r="F16" s="29"/>
      <c r="G16" s="29"/>
      <c r="H16" s="29"/>
      <c r="I16" s="29"/>
      <c r="J16" s="29"/>
      <c r="K16" s="29"/>
      <c r="L16" s="29"/>
    </row>
    <row r="17" spans="1:12" x14ac:dyDescent="0.3">
      <c r="A17" s="30" t="s">
        <v>393</v>
      </c>
      <c r="B17" s="29"/>
      <c r="C17" s="29"/>
      <c r="D17" s="29"/>
      <c r="E17" s="29"/>
      <c r="F17" s="29"/>
      <c r="G17" s="29"/>
      <c r="H17" s="29"/>
      <c r="I17" s="29"/>
      <c r="J17" s="29"/>
      <c r="K17" s="29"/>
      <c r="L17" s="29"/>
    </row>
    <row r="18" spans="1:12" x14ac:dyDescent="0.3">
      <c r="A18" s="30" t="s">
        <v>631</v>
      </c>
      <c r="B18" s="29"/>
      <c r="C18" s="29"/>
      <c r="D18" s="29"/>
      <c r="E18" s="29"/>
      <c r="F18" s="29"/>
      <c r="G18" s="29"/>
      <c r="H18" s="29"/>
      <c r="I18" s="29"/>
      <c r="J18" s="29"/>
      <c r="K18" s="29"/>
      <c r="L18" s="29"/>
    </row>
    <row r="19" spans="1:12" x14ac:dyDescent="0.3">
      <c r="A19" s="30" t="s">
        <v>632</v>
      </c>
      <c r="B19" s="29"/>
      <c r="C19" s="29"/>
      <c r="D19" s="29"/>
      <c r="E19" s="29"/>
      <c r="F19" s="29"/>
      <c r="G19" s="29"/>
      <c r="H19" s="29"/>
      <c r="I19" s="29"/>
      <c r="J19" s="29"/>
      <c r="K19" s="29"/>
      <c r="L19" s="29"/>
    </row>
    <row r="20" spans="1:12" x14ac:dyDescent="0.3">
      <c r="A20" s="29"/>
      <c r="B20" s="29"/>
      <c r="C20" s="29"/>
      <c r="D20" s="29"/>
      <c r="E20" s="29"/>
      <c r="F20" s="29"/>
      <c r="G20" s="29"/>
      <c r="H20" s="29"/>
      <c r="I20" s="29"/>
      <c r="J20" s="29"/>
      <c r="K20" s="29"/>
      <c r="L20" s="29"/>
    </row>
    <row r="21" spans="1:12" x14ac:dyDescent="0.3">
      <c r="A21" s="260" t="s">
        <v>379</v>
      </c>
      <c r="B21" s="260"/>
      <c r="C21" s="260"/>
      <c r="D21" s="260"/>
      <c r="E21" s="260"/>
      <c r="F21" s="260"/>
      <c r="G21" s="260"/>
      <c r="H21" s="260"/>
      <c r="I21" s="260"/>
      <c r="J21" s="260"/>
      <c r="K21" s="260"/>
      <c r="L21" s="260"/>
    </row>
    <row r="22" spans="1:12" x14ac:dyDescent="0.3">
      <c r="A22" s="260"/>
      <c r="B22" s="260"/>
      <c r="C22" s="260"/>
      <c r="D22" s="260"/>
      <c r="E22" s="260"/>
      <c r="F22" s="260"/>
      <c r="G22" s="260"/>
      <c r="H22" s="260"/>
      <c r="I22" s="260"/>
      <c r="J22" s="260"/>
      <c r="K22" s="260"/>
      <c r="L22" s="260"/>
    </row>
  </sheetData>
  <mergeCells count="4">
    <mergeCell ref="A1:L1"/>
    <mergeCell ref="B2:L2"/>
    <mergeCell ref="A21:L22"/>
    <mergeCell ref="A4:L7"/>
  </mergeCells>
  <hyperlinks>
    <hyperlink ref="A9" location="UC!A1" display="Ultimate Choice Account"/>
    <hyperlink ref="A10" location="Apex!A1" display="Apex"/>
    <hyperlink ref="A11" location="StdCHQ!A1" display="Standard Chequing"/>
    <hyperlink ref="A12" location="Summit!A1" display="Summit Savings Account"/>
    <hyperlink ref="A13" location="Peak!A1" display="Peak Performance Account"/>
    <hyperlink ref="A14" location="'Gold Leaf PLUS'!A1" display="Gold Leaf PLUS Package"/>
    <hyperlink ref="A15" location="Student!A1" display="Student Account"/>
    <hyperlink ref="A16" location="Youth!A1" display="Youth Account"/>
    <hyperlink ref="A17" location="'Us Dollar'!A1" display="US Dollar Personal Account"/>
    <hyperlink ref="A18" location="'US Savings'!A1" display="US Dollar Savings Account"/>
    <hyperlink ref="A19" location="'Online Accounts'!A1" display="Online Only Account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tabSelected="1" zoomScale="90" zoomScaleNormal="90" workbookViewId="0">
      <pane xSplit="1" ySplit="4" topLeftCell="B5" activePane="bottomRight" state="frozen"/>
      <selection activeCell="A9" sqref="A9"/>
      <selection pane="topRight" activeCell="A9" sqref="A9"/>
      <selection pane="bottomLeft" activeCell="A9" sqref="A9"/>
      <selection pane="bottomRight" activeCell="B14" sqref="B14"/>
    </sheetView>
  </sheetViews>
  <sheetFormatPr defaultRowHeight="14.4" x14ac:dyDescent="0.3"/>
  <cols>
    <col min="1" max="1" width="19.88671875" style="4" customWidth="1"/>
    <col min="2" max="4" width="30.77734375" customWidth="1"/>
    <col min="5" max="5" width="26.77734375" customWidth="1"/>
    <col min="6" max="6" width="33.21875" bestFit="1" customWidth="1"/>
    <col min="7" max="9" width="30.77734375" customWidth="1"/>
  </cols>
  <sheetData>
    <row r="1" spans="1:9" ht="15.6" x14ac:dyDescent="0.3">
      <c r="A1" s="125" t="s">
        <v>489</v>
      </c>
      <c r="B1" s="125"/>
    </row>
    <row r="2" spans="1:9" x14ac:dyDescent="0.3">
      <c r="A2" s="36" t="s">
        <v>284</v>
      </c>
      <c r="B2" s="247">
        <f>Legend!B2</f>
        <v>43501</v>
      </c>
    </row>
    <row r="3" spans="1:9" s="2" customFormat="1" x14ac:dyDescent="0.3">
      <c r="A3" s="8"/>
      <c r="B3" s="37" t="s">
        <v>0</v>
      </c>
      <c r="C3" s="133" t="s">
        <v>13</v>
      </c>
      <c r="D3" s="133" t="s">
        <v>12</v>
      </c>
      <c r="E3" s="133" t="s">
        <v>10</v>
      </c>
      <c r="F3" s="133" t="s">
        <v>14</v>
      </c>
      <c r="G3" s="133" t="s">
        <v>11</v>
      </c>
      <c r="H3" s="133" t="s">
        <v>9</v>
      </c>
      <c r="I3" s="133" t="s">
        <v>41</v>
      </c>
    </row>
    <row r="4" spans="1:9" s="2" customFormat="1" x14ac:dyDescent="0.3">
      <c r="A4" s="8"/>
      <c r="B4" s="39" t="s">
        <v>489</v>
      </c>
      <c r="C4" s="132" t="s">
        <v>115</v>
      </c>
      <c r="D4" s="132" t="s">
        <v>45</v>
      </c>
      <c r="E4" s="132" t="s">
        <v>34</v>
      </c>
      <c r="F4" s="132" t="s">
        <v>50</v>
      </c>
      <c r="G4" s="132" t="s">
        <v>39</v>
      </c>
      <c r="H4" s="132" t="s">
        <v>371</v>
      </c>
      <c r="I4" s="132" t="s">
        <v>47</v>
      </c>
    </row>
    <row r="5" spans="1:9" s="1" customFormat="1" x14ac:dyDescent="0.3">
      <c r="A5" s="21" t="s">
        <v>1</v>
      </c>
      <c r="B5" s="27">
        <v>25</v>
      </c>
      <c r="C5" s="45">
        <v>21.95</v>
      </c>
      <c r="D5" s="45">
        <v>30</v>
      </c>
      <c r="E5" s="40">
        <v>28.95</v>
      </c>
      <c r="F5" s="10">
        <v>34.950000000000003</v>
      </c>
      <c r="G5" s="40">
        <v>30</v>
      </c>
      <c r="H5" s="40">
        <v>29.95</v>
      </c>
      <c r="I5" s="10">
        <v>25</v>
      </c>
    </row>
    <row r="6" spans="1:9" ht="57.6" x14ac:dyDescent="0.3">
      <c r="A6" s="22" t="s">
        <v>7</v>
      </c>
      <c r="B6" s="44" t="s">
        <v>46</v>
      </c>
      <c r="C6" s="43" t="s">
        <v>32</v>
      </c>
      <c r="D6" s="42" t="s">
        <v>457</v>
      </c>
      <c r="E6" s="44" t="s">
        <v>33</v>
      </c>
      <c r="F6" s="42" t="s">
        <v>587</v>
      </c>
      <c r="G6" s="44" t="s">
        <v>503</v>
      </c>
      <c r="H6" s="44" t="s">
        <v>32</v>
      </c>
      <c r="I6" s="43" t="s">
        <v>425</v>
      </c>
    </row>
    <row r="7" spans="1:9" x14ac:dyDescent="0.3">
      <c r="A7" s="22" t="s">
        <v>4</v>
      </c>
      <c r="B7" s="42" t="s">
        <v>5</v>
      </c>
      <c r="C7" s="43" t="s">
        <v>5</v>
      </c>
      <c r="D7" s="42" t="s">
        <v>5</v>
      </c>
      <c r="E7" s="42" t="s">
        <v>5</v>
      </c>
      <c r="F7" s="42" t="s">
        <v>5</v>
      </c>
      <c r="G7" s="42" t="s">
        <v>5</v>
      </c>
      <c r="H7" s="42" t="s">
        <v>5</v>
      </c>
      <c r="I7" s="42" t="s">
        <v>5</v>
      </c>
    </row>
    <row r="8" spans="1:9" x14ac:dyDescent="0.3">
      <c r="A8" s="22" t="s">
        <v>2</v>
      </c>
      <c r="B8" s="42" t="s">
        <v>3</v>
      </c>
      <c r="C8" s="42" t="s">
        <v>421</v>
      </c>
      <c r="D8" s="42" t="s">
        <v>3</v>
      </c>
      <c r="E8" s="42" t="s">
        <v>3</v>
      </c>
      <c r="F8" s="42" t="s">
        <v>3</v>
      </c>
      <c r="G8" s="42" t="s">
        <v>3</v>
      </c>
      <c r="H8" s="42" t="s">
        <v>3</v>
      </c>
      <c r="I8" s="42" t="s">
        <v>3</v>
      </c>
    </row>
    <row r="9" spans="1:9" x14ac:dyDescent="0.3">
      <c r="A9" s="87" t="s">
        <v>327</v>
      </c>
      <c r="B9" s="118"/>
      <c r="C9" s="118"/>
      <c r="D9" s="118"/>
      <c r="E9" s="118"/>
      <c r="F9" s="119"/>
      <c r="G9" s="118"/>
      <c r="H9" s="118"/>
      <c r="I9" s="118"/>
    </row>
    <row r="10" spans="1:9" ht="72" x14ac:dyDescent="0.3">
      <c r="A10" s="22" t="s">
        <v>78</v>
      </c>
      <c r="B10" s="42" t="s">
        <v>22</v>
      </c>
      <c r="C10" s="43" t="s">
        <v>358</v>
      </c>
      <c r="D10" s="40">
        <v>0</v>
      </c>
      <c r="E10" s="44" t="s">
        <v>586</v>
      </c>
      <c r="F10" s="42" t="s">
        <v>499</v>
      </c>
      <c r="G10" s="44" t="s">
        <v>502</v>
      </c>
      <c r="H10" s="44" t="s">
        <v>346</v>
      </c>
      <c r="I10" s="42" t="s">
        <v>80</v>
      </c>
    </row>
    <row r="11" spans="1:9" x14ac:dyDescent="0.3">
      <c r="A11" s="22" t="s">
        <v>361</v>
      </c>
      <c r="B11" s="134">
        <v>0</v>
      </c>
      <c r="C11" s="134">
        <v>0</v>
      </c>
      <c r="D11" s="134">
        <v>0</v>
      </c>
      <c r="E11" s="134">
        <v>0</v>
      </c>
      <c r="F11" s="134">
        <v>0</v>
      </c>
      <c r="G11" s="134" t="s">
        <v>64</v>
      </c>
      <c r="H11" s="134">
        <v>0</v>
      </c>
      <c r="I11" s="134">
        <v>0</v>
      </c>
    </row>
    <row r="12" spans="1:9" x14ac:dyDescent="0.3">
      <c r="A12" s="22" t="s">
        <v>490</v>
      </c>
      <c r="B12" s="134" t="s">
        <v>33</v>
      </c>
      <c r="C12" s="134">
        <v>1.5</v>
      </c>
      <c r="D12" s="134"/>
      <c r="E12" s="134"/>
      <c r="F12" s="134"/>
      <c r="G12" s="134"/>
      <c r="H12" s="134"/>
      <c r="I12" s="134"/>
    </row>
    <row r="13" spans="1:9" x14ac:dyDescent="0.3">
      <c r="A13" s="22" t="s">
        <v>491</v>
      </c>
      <c r="B13" s="134" t="s">
        <v>33</v>
      </c>
      <c r="C13" s="134">
        <v>0</v>
      </c>
      <c r="D13" s="134"/>
      <c r="E13" s="134"/>
      <c r="F13" s="134"/>
      <c r="G13" s="134"/>
      <c r="H13" s="134"/>
      <c r="I13" s="134"/>
    </row>
    <row r="14" spans="1:9" ht="57.6" x14ac:dyDescent="0.3">
      <c r="A14" s="22" t="s">
        <v>19</v>
      </c>
      <c r="B14" s="43" t="s">
        <v>20</v>
      </c>
      <c r="C14" s="43" t="s">
        <v>450</v>
      </c>
      <c r="D14" s="43" t="s">
        <v>20</v>
      </c>
      <c r="E14" s="43" t="s">
        <v>20</v>
      </c>
      <c r="F14" s="43" t="s">
        <v>58</v>
      </c>
      <c r="G14" s="43" t="s">
        <v>33</v>
      </c>
      <c r="H14" s="43" t="s">
        <v>33</v>
      </c>
      <c r="I14" s="43" t="s">
        <v>33</v>
      </c>
    </row>
    <row r="15" spans="1:9" ht="43.2" x14ac:dyDescent="0.3">
      <c r="A15" s="22" t="s">
        <v>61</v>
      </c>
      <c r="B15" s="11" t="s">
        <v>33</v>
      </c>
      <c r="C15" s="11" t="s">
        <v>493</v>
      </c>
      <c r="D15" s="11" t="s">
        <v>494</v>
      </c>
      <c r="E15" s="11" t="s">
        <v>35</v>
      </c>
      <c r="F15" s="11" t="s">
        <v>51</v>
      </c>
      <c r="G15" s="11" t="s">
        <v>501</v>
      </c>
      <c r="H15" s="11" t="s">
        <v>67</v>
      </c>
      <c r="I15" s="11" t="s">
        <v>33</v>
      </c>
    </row>
    <row r="16" spans="1:9" x14ac:dyDescent="0.3">
      <c r="A16" s="25" t="s">
        <v>496</v>
      </c>
      <c r="B16" s="11"/>
      <c r="C16" s="43" t="s">
        <v>64</v>
      </c>
      <c r="D16" s="42" t="s">
        <v>422</v>
      </c>
      <c r="E16" s="11" t="s">
        <v>64</v>
      </c>
      <c r="F16" s="11"/>
      <c r="G16" s="11" t="s">
        <v>64</v>
      </c>
      <c r="H16" s="11"/>
      <c r="I16" s="11" t="s">
        <v>64</v>
      </c>
    </row>
    <row r="17" spans="1:9" x14ac:dyDescent="0.3">
      <c r="A17" s="25" t="s">
        <v>24</v>
      </c>
      <c r="B17" s="42" t="s">
        <v>25</v>
      </c>
      <c r="C17" s="42" t="s">
        <v>25</v>
      </c>
      <c r="D17" s="42" t="s">
        <v>25</v>
      </c>
      <c r="E17" s="42" t="s">
        <v>25</v>
      </c>
      <c r="F17" s="42" t="s">
        <v>25</v>
      </c>
      <c r="G17" s="42" t="s">
        <v>25</v>
      </c>
      <c r="H17" s="42" t="s">
        <v>25</v>
      </c>
      <c r="I17" s="42" t="s">
        <v>25</v>
      </c>
    </row>
    <row r="18" spans="1:9" ht="28.8" x14ac:dyDescent="0.3">
      <c r="A18" s="22" t="s">
        <v>36</v>
      </c>
      <c r="B18" s="43" t="s">
        <v>63</v>
      </c>
      <c r="C18" s="45">
        <v>0</v>
      </c>
      <c r="D18" s="45">
        <v>0</v>
      </c>
      <c r="E18" s="43" t="s">
        <v>63</v>
      </c>
      <c r="F18" s="43" t="s">
        <v>63</v>
      </c>
      <c r="G18" s="43" t="s">
        <v>605</v>
      </c>
      <c r="H18" s="43" t="s">
        <v>63</v>
      </c>
      <c r="I18" s="43" t="s">
        <v>63</v>
      </c>
    </row>
    <row r="19" spans="1:9" x14ac:dyDescent="0.3">
      <c r="A19" s="22" t="s">
        <v>27</v>
      </c>
      <c r="B19" s="43" t="s">
        <v>64</v>
      </c>
      <c r="C19" s="45">
        <v>0</v>
      </c>
      <c r="D19" s="45">
        <v>0</v>
      </c>
      <c r="E19" s="43" t="s">
        <v>64</v>
      </c>
      <c r="F19" s="33">
        <v>15</v>
      </c>
      <c r="G19" s="43" t="s">
        <v>65</v>
      </c>
      <c r="H19" s="43" t="s">
        <v>64</v>
      </c>
      <c r="I19" s="43" t="s">
        <v>64</v>
      </c>
    </row>
    <row r="20" spans="1:9" x14ac:dyDescent="0.3">
      <c r="A20" s="22" t="s">
        <v>62</v>
      </c>
      <c r="B20" s="43" t="s">
        <v>33</v>
      </c>
      <c r="C20" s="43" t="s">
        <v>451</v>
      </c>
      <c r="D20" s="43" t="s">
        <v>33</v>
      </c>
      <c r="E20" s="43" t="s">
        <v>66</v>
      </c>
      <c r="F20" s="43" t="s">
        <v>66</v>
      </c>
      <c r="G20" s="43" t="s">
        <v>66</v>
      </c>
      <c r="H20" s="43" t="s">
        <v>66</v>
      </c>
      <c r="I20" s="43" t="s">
        <v>66</v>
      </c>
    </row>
    <row r="21" spans="1:9" x14ac:dyDescent="0.3">
      <c r="A21" s="22" t="s">
        <v>37</v>
      </c>
      <c r="B21" s="43" t="s">
        <v>64</v>
      </c>
      <c r="C21" s="43">
        <v>0</v>
      </c>
      <c r="D21" s="45">
        <v>0</v>
      </c>
      <c r="E21" s="43" t="s">
        <v>64</v>
      </c>
      <c r="F21" s="43" t="s">
        <v>64</v>
      </c>
      <c r="G21" s="43">
        <v>0</v>
      </c>
      <c r="H21" s="43" t="s">
        <v>33</v>
      </c>
      <c r="I21" s="43" t="s">
        <v>33</v>
      </c>
    </row>
    <row r="22" spans="1:9" x14ac:dyDescent="0.3">
      <c r="A22" s="22" t="s">
        <v>70</v>
      </c>
      <c r="B22" s="43" t="s">
        <v>33</v>
      </c>
      <c r="C22" s="43" t="s">
        <v>33</v>
      </c>
      <c r="D22" s="43" t="s">
        <v>33</v>
      </c>
      <c r="E22" s="43" t="s">
        <v>33</v>
      </c>
      <c r="F22" s="43" t="s">
        <v>33</v>
      </c>
      <c r="G22" s="43" t="s">
        <v>33</v>
      </c>
      <c r="H22" s="43" t="s">
        <v>71</v>
      </c>
      <c r="I22" s="43" t="s">
        <v>33</v>
      </c>
    </row>
    <row r="23" spans="1:9" ht="43.2" x14ac:dyDescent="0.3">
      <c r="A23" s="22" t="s">
        <v>72</v>
      </c>
      <c r="B23" s="43" t="s">
        <v>73</v>
      </c>
      <c r="C23" s="43" t="s">
        <v>33</v>
      </c>
      <c r="D23" s="43" t="s">
        <v>33</v>
      </c>
      <c r="E23" s="43" t="s">
        <v>33</v>
      </c>
      <c r="F23" s="43" t="s">
        <v>71</v>
      </c>
      <c r="G23" s="43" t="s">
        <v>33</v>
      </c>
      <c r="H23" s="43" t="s">
        <v>33</v>
      </c>
      <c r="I23" s="43" t="s">
        <v>33</v>
      </c>
    </row>
    <row r="24" spans="1:9" ht="28.8" x14ac:dyDescent="0.3">
      <c r="A24" s="22" t="s">
        <v>74</v>
      </c>
      <c r="B24" s="43" t="s">
        <v>16</v>
      </c>
      <c r="C24" s="43" t="s">
        <v>59</v>
      </c>
      <c r="D24" s="43" t="s">
        <v>59</v>
      </c>
      <c r="E24" s="43" t="s">
        <v>59</v>
      </c>
      <c r="F24" s="43" t="s">
        <v>16</v>
      </c>
      <c r="G24" s="43" t="s">
        <v>59</v>
      </c>
      <c r="H24" s="43" t="s">
        <v>59</v>
      </c>
      <c r="I24" s="43" t="s">
        <v>59</v>
      </c>
    </row>
    <row r="25" spans="1:9" ht="86.4" x14ac:dyDescent="0.3">
      <c r="A25" s="22" t="s">
        <v>75</v>
      </c>
      <c r="B25" s="43" t="s">
        <v>79</v>
      </c>
      <c r="C25" s="43" t="s">
        <v>33</v>
      </c>
      <c r="D25" s="43" t="s">
        <v>33</v>
      </c>
      <c r="E25" s="43" t="s">
        <v>33</v>
      </c>
      <c r="F25" s="43" t="s">
        <v>33</v>
      </c>
      <c r="G25" s="43"/>
      <c r="H25" s="43" t="s">
        <v>33</v>
      </c>
      <c r="I25" s="43" t="s">
        <v>484</v>
      </c>
    </row>
    <row r="26" spans="1:9" ht="57.6" x14ac:dyDescent="0.3">
      <c r="A26" s="22" t="s">
        <v>76</v>
      </c>
      <c r="B26" s="43" t="s">
        <v>33</v>
      </c>
      <c r="C26" s="43" t="s">
        <v>33</v>
      </c>
      <c r="D26" s="43" t="s">
        <v>495</v>
      </c>
      <c r="E26" s="43" t="s">
        <v>33</v>
      </c>
      <c r="F26" s="43" t="s">
        <v>33</v>
      </c>
      <c r="G26" s="43" t="s">
        <v>40</v>
      </c>
      <c r="H26" s="43" t="s">
        <v>77</v>
      </c>
      <c r="I26" s="43" t="s">
        <v>33</v>
      </c>
    </row>
    <row r="27" spans="1:9" ht="28.8" x14ac:dyDescent="0.3">
      <c r="A27" s="22" t="s">
        <v>28</v>
      </c>
      <c r="B27" s="43" t="s">
        <v>33</v>
      </c>
      <c r="C27" s="43" t="s">
        <v>423</v>
      </c>
      <c r="D27" s="43" t="s">
        <v>68</v>
      </c>
      <c r="E27" s="43" t="s">
        <v>33</v>
      </c>
      <c r="F27" s="43" t="s">
        <v>500</v>
      </c>
      <c r="G27" s="43" t="s">
        <v>606</v>
      </c>
      <c r="H27" s="43" t="s">
        <v>29</v>
      </c>
      <c r="I27" s="43" t="s">
        <v>69</v>
      </c>
    </row>
    <row r="28" spans="1:9" ht="57.6" x14ac:dyDescent="0.3">
      <c r="A28" s="22" t="s">
        <v>18</v>
      </c>
      <c r="B28" s="43" t="s">
        <v>26</v>
      </c>
      <c r="C28" s="43" t="s">
        <v>118</v>
      </c>
      <c r="D28" s="43" t="s">
        <v>458</v>
      </c>
      <c r="E28" s="43" t="s">
        <v>585</v>
      </c>
      <c r="F28" s="43" t="s">
        <v>57</v>
      </c>
      <c r="G28" s="43" t="s">
        <v>335</v>
      </c>
      <c r="H28" s="43" t="s">
        <v>30</v>
      </c>
      <c r="I28" s="43" t="s">
        <v>48</v>
      </c>
    </row>
    <row r="29" spans="1:9" ht="15" customHeight="1" x14ac:dyDescent="0.3">
      <c r="A29" s="126" t="s">
        <v>216</v>
      </c>
      <c r="B29" s="127"/>
      <c r="C29" s="127"/>
      <c r="D29" s="127"/>
      <c r="E29" s="127"/>
      <c r="F29" s="128"/>
      <c r="G29" s="127"/>
      <c r="H29" s="127"/>
      <c r="I29" s="127"/>
    </row>
    <row r="30" spans="1:9" ht="30" customHeight="1" x14ac:dyDescent="0.3">
      <c r="A30" s="23" t="s">
        <v>17</v>
      </c>
      <c r="B30" s="6" t="s">
        <v>21</v>
      </c>
      <c r="C30" s="43" t="s">
        <v>420</v>
      </c>
      <c r="D30" s="42" t="s">
        <v>190</v>
      </c>
      <c r="E30" s="129" t="s">
        <v>465</v>
      </c>
      <c r="F30" s="42" t="s">
        <v>52</v>
      </c>
      <c r="G30" s="42" t="s">
        <v>44</v>
      </c>
      <c r="H30" s="12" t="s">
        <v>31</v>
      </c>
      <c r="I30" s="42" t="s">
        <v>49</v>
      </c>
    </row>
    <row r="31" spans="1:9" ht="72" x14ac:dyDescent="0.3">
      <c r="A31" s="23"/>
      <c r="B31" s="5" t="s">
        <v>81</v>
      </c>
      <c r="C31" s="117" t="s">
        <v>492</v>
      </c>
      <c r="D31" s="17" t="s">
        <v>584</v>
      </c>
      <c r="E31" s="130"/>
      <c r="F31" s="42" t="s">
        <v>53</v>
      </c>
      <c r="G31" s="42" t="s">
        <v>607</v>
      </c>
      <c r="H31" s="44" t="s">
        <v>402</v>
      </c>
    </row>
    <row r="32" spans="1:9" ht="28.8" x14ac:dyDescent="0.3">
      <c r="A32" s="23"/>
      <c r="B32" s="5" t="s">
        <v>82</v>
      </c>
      <c r="C32" s="46"/>
      <c r="E32" s="131"/>
      <c r="F32" s="42" t="s">
        <v>54</v>
      </c>
      <c r="G32" s="42"/>
      <c r="I32" s="44"/>
    </row>
    <row r="33" spans="1:9" x14ac:dyDescent="0.3">
      <c r="A33" s="23"/>
      <c r="B33" s="5" t="s">
        <v>83</v>
      </c>
      <c r="C33" s="46"/>
      <c r="D33" s="42"/>
      <c r="E33" s="44"/>
      <c r="F33" s="46" t="s">
        <v>396</v>
      </c>
      <c r="G33" s="42"/>
      <c r="I33" s="47"/>
    </row>
    <row r="34" spans="1:9" ht="28.8" x14ac:dyDescent="0.3">
      <c r="A34" s="24"/>
      <c r="B34" s="16" t="s">
        <v>23</v>
      </c>
      <c r="C34" s="43"/>
      <c r="E34" s="44"/>
      <c r="F34" s="42" t="s">
        <v>55</v>
      </c>
      <c r="G34" s="42"/>
      <c r="H34" s="13"/>
      <c r="I34" s="44"/>
    </row>
    <row r="35" spans="1:9" ht="28.8" x14ac:dyDescent="0.3">
      <c r="A35" s="24"/>
      <c r="C35" s="44"/>
      <c r="D35" s="46"/>
      <c r="E35" s="44"/>
      <c r="F35" s="42" t="s">
        <v>56</v>
      </c>
      <c r="G35" s="42"/>
      <c r="H35" s="13"/>
      <c r="I35" s="44"/>
    </row>
    <row r="36" spans="1:9" ht="28.8" x14ac:dyDescent="0.3">
      <c r="A36" s="24"/>
      <c r="B36" s="26"/>
      <c r="C36" s="44"/>
      <c r="D36" s="44"/>
      <c r="E36" s="44"/>
      <c r="F36" s="44" t="s">
        <v>498</v>
      </c>
      <c r="G36" s="42"/>
      <c r="H36" s="13"/>
      <c r="I36" s="44"/>
    </row>
    <row r="37" spans="1:9" x14ac:dyDescent="0.3">
      <c r="A37" s="126" t="s">
        <v>328</v>
      </c>
      <c r="B37" s="127"/>
      <c r="C37" s="127"/>
      <c r="D37" s="127"/>
      <c r="E37" s="127"/>
      <c r="F37" s="128"/>
      <c r="G37" s="127"/>
      <c r="H37" s="127"/>
      <c r="I37" s="127"/>
    </row>
    <row r="38" spans="1:9" x14ac:dyDescent="0.3">
      <c r="A38" s="22" t="s">
        <v>15</v>
      </c>
      <c r="B38" s="42" t="s">
        <v>16</v>
      </c>
      <c r="C38" s="43" t="s">
        <v>59</v>
      </c>
      <c r="D38" s="43" t="s">
        <v>59</v>
      </c>
      <c r="E38" s="42" t="s">
        <v>16</v>
      </c>
      <c r="F38" s="42" t="s">
        <v>59</v>
      </c>
      <c r="G38" s="43" t="s">
        <v>59</v>
      </c>
      <c r="H38" s="43" t="s">
        <v>59</v>
      </c>
      <c r="I38" s="42" t="s">
        <v>59</v>
      </c>
    </row>
    <row r="39" spans="1:9" x14ac:dyDescent="0.3">
      <c r="A39" s="25" t="s">
        <v>289</v>
      </c>
      <c r="B39" s="6" t="s">
        <v>312</v>
      </c>
      <c r="C39" s="6" t="s">
        <v>33</v>
      </c>
      <c r="D39" s="6" t="s">
        <v>33</v>
      </c>
      <c r="E39" s="6" t="s">
        <v>312</v>
      </c>
      <c r="F39" s="6" t="s">
        <v>33</v>
      </c>
      <c r="G39" s="6" t="s">
        <v>33</v>
      </c>
      <c r="H39" s="6" t="s">
        <v>33</v>
      </c>
      <c r="I39" s="6" t="s">
        <v>33</v>
      </c>
    </row>
    <row r="40" spans="1:9" x14ac:dyDescent="0.3">
      <c r="A40" s="25" t="s">
        <v>289</v>
      </c>
      <c r="B40" s="19" t="s">
        <v>291</v>
      </c>
      <c r="C40" s="19" t="s">
        <v>33</v>
      </c>
      <c r="D40" s="19" t="s">
        <v>33</v>
      </c>
      <c r="E40" s="19" t="s">
        <v>313</v>
      </c>
      <c r="F40" s="6" t="s">
        <v>33</v>
      </c>
      <c r="G40" s="19" t="s">
        <v>33</v>
      </c>
      <c r="H40" s="19" t="s">
        <v>33</v>
      </c>
      <c r="I40" s="6" t="s">
        <v>33</v>
      </c>
    </row>
    <row r="41" spans="1:9" ht="28.8" x14ac:dyDescent="0.3">
      <c r="A41" s="25" t="s">
        <v>288</v>
      </c>
      <c r="B41" s="19" t="s">
        <v>578</v>
      </c>
      <c r="C41" s="19" t="s">
        <v>33</v>
      </c>
      <c r="D41" s="19" t="s">
        <v>33</v>
      </c>
      <c r="E41" s="19" t="s">
        <v>383</v>
      </c>
      <c r="F41" s="6" t="s">
        <v>33</v>
      </c>
      <c r="G41" s="19" t="s">
        <v>33</v>
      </c>
      <c r="H41" s="19" t="s">
        <v>33</v>
      </c>
      <c r="I41" s="6" t="s">
        <v>33</v>
      </c>
    </row>
    <row r="42" spans="1:9" ht="86.4" x14ac:dyDescent="0.3">
      <c r="A42" s="22" t="s">
        <v>6</v>
      </c>
      <c r="B42" s="43" t="s">
        <v>33</v>
      </c>
      <c r="C42" s="43" t="s">
        <v>33</v>
      </c>
      <c r="D42" s="43" t="s">
        <v>33</v>
      </c>
      <c r="E42" s="43" t="s">
        <v>33</v>
      </c>
      <c r="F42" s="42" t="s">
        <v>497</v>
      </c>
      <c r="G42" s="43" t="s">
        <v>33</v>
      </c>
      <c r="H42" s="43" t="s">
        <v>33</v>
      </c>
      <c r="I42" s="42" t="s">
        <v>33</v>
      </c>
    </row>
  </sheetData>
  <hyperlinks>
    <hyperlink ref="C4" r:id="rId1"/>
    <hyperlink ref="C3" r:id="rId2"/>
    <hyperlink ref="D3" r:id="rId3"/>
    <hyperlink ref="D4" r:id="rId4"/>
    <hyperlink ref="E3" r:id="rId5"/>
    <hyperlink ref="E4" r:id="rId6"/>
    <hyperlink ref="F3" r:id="rId7"/>
    <hyperlink ref="F4" r:id="rId8"/>
    <hyperlink ref="G3" r:id="rId9"/>
    <hyperlink ref="G4" r:id="rId10"/>
    <hyperlink ref="H3" r:id="rId11"/>
    <hyperlink ref="H4" r:id="rId12"/>
    <hyperlink ref="I3" r:id="rId13"/>
    <hyperlink ref="I4" r:id="rId14"/>
  </hyperlinks>
  <pageMargins left="0.7" right="0.7" top="0.75" bottom="0.75" header="0.3" footer="0.3"/>
  <pageSetup paperSize="5" scale="38" orientation="landscape"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5"/>
  <sheetViews>
    <sheetView zoomScale="90" zoomScaleNormal="90" workbookViewId="0">
      <pane xSplit="1" ySplit="4" topLeftCell="B5" activePane="bottomRight" state="frozen"/>
      <selection activeCell="A9" sqref="A9"/>
      <selection pane="topRight" activeCell="A9" sqref="A9"/>
      <selection pane="bottomLeft" activeCell="A9" sqref="A9"/>
      <selection pane="bottomRight" activeCell="A39" sqref="A39"/>
    </sheetView>
  </sheetViews>
  <sheetFormatPr defaultRowHeight="14.4" x14ac:dyDescent="0.3"/>
  <cols>
    <col min="1" max="1" width="18.88671875" style="4" customWidth="1"/>
    <col min="2" max="2" width="22.5546875" customWidth="1"/>
    <col min="3" max="6" width="21.77734375" customWidth="1"/>
    <col min="7" max="7" width="22.21875" customWidth="1"/>
    <col min="8" max="17" width="21.77734375" customWidth="1"/>
  </cols>
  <sheetData>
    <row r="1" spans="1:17" ht="15.6" x14ac:dyDescent="0.3">
      <c r="A1" s="261" t="s">
        <v>320</v>
      </c>
      <c r="B1" s="261"/>
      <c r="C1" s="1"/>
      <c r="D1" s="1"/>
      <c r="E1" s="1"/>
      <c r="F1" s="1"/>
      <c r="G1" s="1"/>
      <c r="H1" s="1"/>
      <c r="I1" s="1"/>
      <c r="J1" s="1"/>
      <c r="K1" s="1"/>
      <c r="L1" s="1"/>
      <c r="M1" s="1"/>
      <c r="N1" s="1"/>
      <c r="O1" s="1"/>
      <c r="P1" s="1"/>
      <c r="Q1" s="1"/>
    </row>
    <row r="2" spans="1:17" x14ac:dyDescent="0.3">
      <c r="A2" s="137" t="s">
        <v>284</v>
      </c>
      <c r="B2" s="247">
        <f>Legend!B2</f>
        <v>43501</v>
      </c>
      <c r="C2" s="1"/>
      <c r="D2" s="1"/>
      <c r="E2" s="1"/>
      <c r="F2" s="1"/>
      <c r="G2" s="1"/>
      <c r="H2" s="1"/>
      <c r="I2" s="1"/>
      <c r="J2" s="1"/>
      <c r="K2" s="1"/>
      <c r="L2" s="1"/>
      <c r="M2" s="1"/>
      <c r="N2" s="1"/>
      <c r="O2" s="1"/>
      <c r="P2" s="1"/>
      <c r="Q2" s="1"/>
    </row>
    <row r="3" spans="1:17" s="2" customFormat="1" x14ac:dyDescent="0.3">
      <c r="A3" s="138"/>
      <c r="B3" s="139" t="s">
        <v>0</v>
      </c>
      <c r="C3" s="140" t="s">
        <v>13</v>
      </c>
      <c r="D3" s="140" t="s">
        <v>12</v>
      </c>
      <c r="E3" s="140" t="s">
        <v>12</v>
      </c>
      <c r="F3" s="140" t="s">
        <v>12</v>
      </c>
      <c r="G3" s="140" t="s">
        <v>10</v>
      </c>
      <c r="H3" s="140" t="s">
        <v>14</v>
      </c>
      <c r="I3" s="140" t="s">
        <v>14</v>
      </c>
      <c r="J3" s="140" t="s">
        <v>11</v>
      </c>
      <c r="K3" s="140" t="s">
        <v>336</v>
      </c>
      <c r="L3" s="140" t="s">
        <v>8</v>
      </c>
      <c r="M3" s="140" t="s">
        <v>8</v>
      </c>
      <c r="N3" s="140" t="s">
        <v>41</v>
      </c>
      <c r="O3" s="140" t="s">
        <v>41</v>
      </c>
      <c r="P3" s="140" t="s">
        <v>123</v>
      </c>
      <c r="Q3" s="140" t="s">
        <v>9</v>
      </c>
    </row>
    <row r="4" spans="1:17" s="2" customFormat="1" ht="28.8" x14ac:dyDescent="0.3">
      <c r="A4" s="138"/>
      <c r="B4" s="141" t="s">
        <v>60</v>
      </c>
      <c r="C4" s="142" t="s">
        <v>116</v>
      </c>
      <c r="D4" s="142" t="s">
        <v>106</v>
      </c>
      <c r="E4" s="142" t="s">
        <v>111</v>
      </c>
      <c r="F4" s="142" t="s">
        <v>112</v>
      </c>
      <c r="G4" s="142" t="s">
        <v>443</v>
      </c>
      <c r="H4" s="142" t="s">
        <v>131</v>
      </c>
      <c r="I4" s="142" t="s">
        <v>132</v>
      </c>
      <c r="J4" s="142" t="s">
        <v>97</v>
      </c>
      <c r="K4" s="142" t="s">
        <v>98</v>
      </c>
      <c r="L4" s="142" t="s">
        <v>441</v>
      </c>
      <c r="M4" s="142" t="s">
        <v>89</v>
      </c>
      <c r="N4" s="142" t="s">
        <v>119</v>
      </c>
      <c r="O4" s="142" t="s">
        <v>122</v>
      </c>
      <c r="P4" s="142" t="s">
        <v>124</v>
      </c>
      <c r="Q4" s="142" t="s">
        <v>372</v>
      </c>
    </row>
    <row r="5" spans="1:17" s="1" customFormat="1" x14ac:dyDescent="0.3">
      <c r="A5" s="21" t="s">
        <v>1</v>
      </c>
      <c r="B5" s="9">
        <v>14.25</v>
      </c>
      <c r="C5" s="45">
        <v>9.9499999999999993</v>
      </c>
      <c r="D5" s="45">
        <v>15.95</v>
      </c>
      <c r="E5" s="45">
        <v>15.95</v>
      </c>
      <c r="F5" s="45">
        <v>10.95</v>
      </c>
      <c r="G5" s="40">
        <v>4.95</v>
      </c>
      <c r="H5" s="10">
        <v>25</v>
      </c>
      <c r="I5" s="45">
        <v>14.95</v>
      </c>
      <c r="J5" s="40">
        <v>14.95</v>
      </c>
      <c r="K5" s="45">
        <v>10.95</v>
      </c>
      <c r="L5" s="10">
        <v>15.95</v>
      </c>
      <c r="M5" s="45">
        <v>13.95</v>
      </c>
      <c r="N5" s="40">
        <v>14.95</v>
      </c>
      <c r="O5" s="45">
        <v>11.95</v>
      </c>
      <c r="P5" s="45">
        <v>11.95</v>
      </c>
      <c r="Q5" s="40">
        <v>15.95</v>
      </c>
    </row>
    <row r="6" spans="1:17" ht="72" x14ac:dyDescent="0.3">
      <c r="A6" s="21" t="s">
        <v>7</v>
      </c>
      <c r="B6" s="10" t="s">
        <v>431</v>
      </c>
      <c r="C6" s="45" t="s">
        <v>125</v>
      </c>
      <c r="D6" s="45" t="s">
        <v>459</v>
      </c>
      <c r="E6" s="45" t="s">
        <v>33</v>
      </c>
      <c r="F6" s="45" t="s">
        <v>510</v>
      </c>
      <c r="G6" s="45" t="s">
        <v>444</v>
      </c>
      <c r="H6" s="10" t="s">
        <v>602</v>
      </c>
      <c r="I6" s="40" t="s">
        <v>33</v>
      </c>
      <c r="J6" s="45" t="s">
        <v>105</v>
      </c>
      <c r="K6" s="45" t="s">
        <v>105</v>
      </c>
      <c r="L6" s="10" t="s">
        <v>33</v>
      </c>
      <c r="M6" s="45" t="s">
        <v>403</v>
      </c>
      <c r="N6" s="45" t="s">
        <v>459</v>
      </c>
      <c r="O6" s="45" t="s">
        <v>125</v>
      </c>
      <c r="P6" s="40" t="s">
        <v>376</v>
      </c>
      <c r="Q6" s="45" t="s">
        <v>403</v>
      </c>
    </row>
    <row r="7" spans="1:17" ht="72" x14ac:dyDescent="0.3">
      <c r="A7" s="21" t="s">
        <v>4</v>
      </c>
      <c r="B7" s="10" t="s">
        <v>5</v>
      </c>
      <c r="C7" s="40" t="s">
        <v>5</v>
      </c>
      <c r="D7" s="45" t="s">
        <v>5</v>
      </c>
      <c r="E7" s="45" t="s">
        <v>5</v>
      </c>
      <c r="F7" s="45" t="s">
        <v>113</v>
      </c>
      <c r="G7" s="45" t="s">
        <v>445</v>
      </c>
      <c r="H7" s="10" t="s">
        <v>5</v>
      </c>
      <c r="I7" s="40" t="s">
        <v>5</v>
      </c>
      <c r="J7" s="40" t="s">
        <v>5</v>
      </c>
      <c r="K7" s="45" t="s">
        <v>5</v>
      </c>
      <c r="L7" s="10" t="s">
        <v>91</v>
      </c>
      <c r="M7" s="40" t="s">
        <v>5</v>
      </c>
      <c r="N7" s="40" t="s">
        <v>5</v>
      </c>
      <c r="O7" s="40" t="s">
        <v>486</v>
      </c>
      <c r="P7" s="40" t="s">
        <v>523</v>
      </c>
      <c r="Q7" s="40" t="s">
        <v>332</v>
      </c>
    </row>
    <row r="8" spans="1:17" ht="28.8" x14ac:dyDescent="0.3">
      <c r="A8" s="21" t="s">
        <v>2</v>
      </c>
      <c r="B8" s="10" t="s">
        <v>33</v>
      </c>
      <c r="C8" s="40" t="s">
        <v>33</v>
      </c>
      <c r="D8" s="40" t="s">
        <v>33</v>
      </c>
      <c r="E8" s="40" t="s">
        <v>33</v>
      </c>
      <c r="F8" s="40">
        <v>1.25</v>
      </c>
      <c r="G8" s="40">
        <v>1.25</v>
      </c>
      <c r="H8" s="10" t="s">
        <v>33</v>
      </c>
      <c r="I8" s="40" t="s">
        <v>33</v>
      </c>
      <c r="J8" s="40" t="s">
        <v>33</v>
      </c>
      <c r="K8" s="40" t="s">
        <v>33</v>
      </c>
      <c r="L8" s="10" t="s">
        <v>92</v>
      </c>
      <c r="M8" s="40" t="s">
        <v>33</v>
      </c>
      <c r="N8" s="40" t="s">
        <v>33</v>
      </c>
      <c r="O8" s="40">
        <v>1.25</v>
      </c>
      <c r="P8" s="40">
        <v>1.1000000000000001</v>
      </c>
      <c r="Q8" s="40" t="s">
        <v>33</v>
      </c>
    </row>
    <row r="9" spans="1:17" x14ac:dyDescent="0.3">
      <c r="A9" s="21" t="s">
        <v>504</v>
      </c>
      <c r="B9" s="21"/>
      <c r="C9" s="21"/>
      <c r="D9" s="21"/>
      <c r="E9" s="21"/>
      <c r="F9" s="21"/>
      <c r="G9" s="21"/>
      <c r="H9" s="21"/>
      <c r="I9" s="21"/>
      <c r="J9" s="21"/>
      <c r="K9" s="21"/>
      <c r="L9" s="21"/>
      <c r="M9" s="21"/>
      <c r="N9" s="21"/>
      <c r="O9" s="21"/>
      <c r="P9" s="21"/>
      <c r="Q9" s="21"/>
    </row>
    <row r="10" spans="1:17" ht="129.6" x14ac:dyDescent="0.3">
      <c r="A10" s="21" t="s">
        <v>78</v>
      </c>
      <c r="B10" s="45" t="s">
        <v>430</v>
      </c>
      <c r="C10" s="40" t="s">
        <v>452</v>
      </c>
      <c r="D10" s="40" t="s">
        <v>460</v>
      </c>
      <c r="E10" s="40" t="s">
        <v>506</v>
      </c>
      <c r="F10" s="45" t="s">
        <v>511</v>
      </c>
      <c r="G10" s="45" t="s">
        <v>512</v>
      </c>
      <c r="H10" s="10" t="s">
        <v>603</v>
      </c>
      <c r="I10" s="40" t="s">
        <v>133</v>
      </c>
      <c r="J10" s="45" t="s">
        <v>103</v>
      </c>
      <c r="K10" s="45" t="s">
        <v>104</v>
      </c>
      <c r="L10" s="45" t="s">
        <v>362</v>
      </c>
      <c r="M10" s="45" t="s">
        <v>363</v>
      </c>
      <c r="N10" s="45" t="s">
        <v>485</v>
      </c>
      <c r="O10" s="45" t="s">
        <v>127</v>
      </c>
      <c r="P10" s="45" t="s">
        <v>127</v>
      </c>
      <c r="Q10" s="45" t="s">
        <v>520</v>
      </c>
    </row>
    <row r="11" spans="1:17" x14ac:dyDescent="0.3">
      <c r="A11" s="143" t="s">
        <v>357</v>
      </c>
      <c r="B11" s="136">
        <v>1</v>
      </c>
      <c r="C11" s="136">
        <v>0</v>
      </c>
      <c r="D11" s="136">
        <v>0</v>
      </c>
      <c r="E11" s="136">
        <v>0</v>
      </c>
      <c r="F11" s="136">
        <v>0</v>
      </c>
      <c r="G11" s="136">
        <v>0</v>
      </c>
      <c r="H11" s="136">
        <v>0</v>
      </c>
      <c r="I11" s="136">
        <v>0</v>
      </c>
      <c r="J11" s="136">
        <v>0</v>
      </c>
      <c r="K11" s="136">
        <v>0</v>
      </c>
      <c r="L11" s="136" t="s">
        <v>474</v>
      </c>
      <c r="M11" s="136" t="s">
        <v>476</v>
      </c>
      <c r="N11" s="136">
        <v>0</v>
      </c>
      <c r="O11" s="136">
        <v>0</v>
      </c>
      <c r="P11" s="136">
        <v>1.5</v>
      </c>
      <c r="Q11" s="136">
        <v>0</v>
      </c>
    </row>
    <row r="12" spans="1:17" x14ac:dyDescent="0.3">
      <c r="A12" s="143" t="s">
        <v>490</v>
      </c>
      <c r="B12" s="136"/>
      <c r="C12" s="136">
        <v>1.5</v>
      </c>
      <c r="D12" s="136"/>
      <c r="E12" s="136"/>
      <c r="F12" s="136"/>
      <c r="G12" s="136"/>
      <c r="H12" s="136" t="s">
        <v>33</v>
      </c>
      <c r="I12" s="136" t="s">
        <v>33</v>
      </c>
      <c r="J12" s="136"/>
      <c r="K12" s="136"/>
      <c r="L12" s="136"/>
      <c r="M12" s="136"/>
      <c r="N12" s="136"/>
      <c r="O12" s="136"/>
      <c r="P12" s="136"/>
      <c r="Q12" s="136"/>
    </row>
    <row r="13" spans="1:17" x14ac:dyDescent="0.3">
      <c r="A13" s="143" t="s">
        <v>491</v>
      </c>
      <c r="B13" s="136"/>
      <c r="C13" s="136">
        <v>0</v>
      </c>
      <c r="D13" s="136"/>
      <c r="E13" s="136"/>
      <c r="F13" s="136"/>
      <c r="G13" s="136"/>
      <c r="H13" s="136" t="s">
        <v>33</v>
      </c>
      <c r="I13" s="136" t="s">
        <v>33</v>
      </c>
      <c r="J13" s="136"/>
      <c r="K13" s="136"/>
      <c r="L13" s="136"/>
      <c r="M13" s="136"/>
      <c r="N13" s="136"/>
      <c r="O13" s="136"/>
      <c r="P13" s="136"/>
      <c r="Q13" s="136"/>
    </row>
    <row r="14" spans="1:17" ht="28.8" x14ac:dyDescent="0.3">
      <c r="A14" s="21" t="s">
        <v>87</v>
      </c>
      <c r="B14" s="45" t="s">
        <v>88</v>
      </c>
      <c r="C14" s="45">
        <v>7.5</v>
      </c>
      <c r="D14" s="45" t="s">
        <v>33</v>
      </c>
      <c r="E14" s="45" t="s">
        <v>33</v>
      </c>
      <c r="F14" s="45" t="s">
        <v>33</v>
      </c>
      <c r="G14" s="45">
        <v>7.5</v>
      </c>
      <c r="H14" s="10">
        <v>7.5</v>
      </c>
      <c r="I14" s="10">
        <v>7.5</v>
      </c>
      <c r="J14" s="45" t="s">
        <v>608</v>
      </c>
      <c r="K14" s="45">
        <v>8.5</v>
      </c>
      <c r="L14" s="45" t="s">
        <v>33</v>
      </c>
      <c r="M14" s="45">
        <v>7.5</v>
      </c>
      <c r="N14" s="45">
        <v>7</v>
      </c>
      <c r="O14" s="45">
        <v>7</v>
      </c>
      <c r="P14" s="45" t="s">
        <v>33</v>
      </c>
      <c r="Q14" s="45">
        <v>7.5</v>
      </c>
    </row>
    <row r="15" spans="1:17" x14ac:dyDescent="0.3">
      <c r="A15" s="21" t="s">
        <v>19</v>
      </c>
      <c r="B15" s="45" t="s">
        <v>20</v>
      </c>
      <c r="C15" s="45" t="s">
        <v>33</v>
      </c>
      <c r="D15" s="45" t="s">
        <v>33</v>
      </c>
      <c r="E15" s="45" t="s">
        <v>33</v>
      </c>
      <c r="F15" s="45" t="s">
        <v>33</v>
      </c>
      <c r="G15" s="45" t="s">
        <v>33</v>
      </c>
      <c r="H15" s="10" t="s">
        <v>33</v>
      </c>
      <c r="I15" s="10" t="s">
        <v>33</v>
      </c>
      <c r="J15" s="45" t="s">
        <v>33</v>
      </c>
      <c r="K15" s="45" t="s">
        <v>33</v>
      </c>
      <c r="L15" s="45" t="s">
        <v>33</v>
      </c>
      <c r="M15" s="45" t="s">
        <v>33</v>
      </c>
      <c r="N15" s="45" t="s">
        <v>33</v>
      </c>
      <c r="O15" s="45" t="s">
        <v>33</v>
      </c>
      <c r="P15" s="45" t="s">
        <v>33</v>
      </c>
      <c r="Q15" s="45" t="s">
        <v>33</v>
      </c>
    </row>
    <row r="16" spans="1:17" ht="72" x14ac:dyDescent="0.3">
      <c r="A16" s="21" t="s">
        <v>496</v>
      </c>
      <c r="B16" s="45"/>
      <c r="C16" s="45" t="s">
        <v>593</v>
      </c>
      <c r="D16" s="45">
        <v>5</v>
      </c>
      <c r="E16" s="45">
        <v>5</v>
      </c>
      <c r="F16" s="45">
        <v>5</v>
      </c>
      <c r="G16" s="45"/>
      <c r="H16" s="10" t="s">
        <v>515</v>
      </c>
      <c r="I16" s="10" t="s">
        <v>515</v>
      </c>
      <c r="J16" s="45">
        <v>0</v>
      </c>
      <c r="K16" s="45" t="s">
        <v>609</v>
      </c>
      <c r="L16" s="45" t="s">
        <v>519</v>
      </c>
      <c r="M16" s="45" t="s">
        <v>519</v>
      </c>
      <c r="N16" s="45" t="s">
        <v>121</v>
      </c>
      <c r="O16" s="45" t="s">
        <v>524</v>
      </c>
      <c r="P16" s="45" t="s">
        <v>524</v>
      </c>
      <c r="Q16" s="45"/>
    </row>
    <row r="17" spans="1:17" x14ac:dyDescent="0.3">
      <c r="A17" s="158" t="s">
        <v>24</v>
      </c>
      <c r="B17" s="159" t="s">
        <v>25</v>
      </c>
      <c r="C17" s="159" t="s">
        <v>33</v>
      </c>
      <c r="D17" s="159" t="s">
        <v>33</v>
      </c>
      <c r="E17" s="159" t="s">
        <v>33</v>
      </c>
      <c r="F17" s="159" t="s">
        <v>33</v>
      </c>
      <c r="G17" s="10" t="s">
        <v>33</v>
      </c>
      <c r="H17" s="156" t="s">
        <v>25</v>
      </c>
      <c r="I17" s="156" t="s">
        <v>25</v>
      </c>
      <c r="J17" s="159">
        <v>0</v>
      </c>
      <c r="K17" s="159" t="s">
        <v>33</v>
      </c>
      <c r="L17" s="159" t="s">
        <v>33</v>
      </c>
      <c r="M17" s="159" t="s">
        <v>33</v>
      </c>
      <c r="N17" s="159" t="s">
        <v>120</v>
      </c>
      <c r="O17" s="159" t="s">
        <v>33</v>
      </c>
      <c r="P17" s="159" t="s">
        <v>33</v>
      </c>
      <c r="Q17" s="159" t="s">
        <v>33</v>
      </c>
    </row>
    <row r="18" spans="1:17" ht="28.8" x14ac:dyDescent="0.3">
      <c r="A18" s="21" t="s">
        <v>84</v>
      </c>
      <c r="B18" s="45" t="s">
        <v>33</v>
      </c>
      <c r="C18" s="45" t="s">
        <v>33</v>
      </c>
      <c r="D18" s="45" t="s">
        <v>351</v>
      </c>
      <c r="E18" s="45" t="s">
        <v>33</v>
      </c>
      <c r="F18" s="45" t="s">
        <v>85</v>
      </c>
      <c r="G18" s="45" t="s">
        <v>381</v>
      </c>
      <c r="H18" s="10" t="s">
        <v>33</v>
      </c>
      <c r="I18" s="10" t="s">
        <v>33</v>
      </c>
      <c r="J18" s="45"/>
      <c r="K18" s="45" t="s">
        <v>364</v>
      </c>
      <c r="L18" s="45" t="s">
        <v>33</v>
      </c>
      <c r="M18" s="45" t="s">
        <v>364</v>
      </c>
      <c r="N18" s="45" t="s">
        <v>33</v>
      </c>
      <c r="O18" s="45" t="s">
        <v>33</v>
      </c>
      <c r="P18" s="45" t="s">
        <v>33</v>
      </c>
      <c r="Q18" s="45" t="s">
        <v>381</v>
      </c>
    </row>
    <row r="19" spans="1:17" x14ac:dyDescent="0.3">
      <c r="A19" s="21" t="s">
        <v>86</v>
      </c>
      <c r="B19" s="45" t="s">
        <v>64</v>
      </c>
      <c r="C19" s="45" t="s">
        <v>33</v>
      </c>
      <c r="D19" s="45" t="s">
        <v>33</v>
      </c>
      <c r="E19" s="45" t="s">
        <v>33</v>
      </c>
      <c r="F19" s="45" t="s">
        <v>33</v>
      </c>
      <c r="G19" s="45">
        <v>16.5</v>
      </c>
      <c r="H19" s="10" t="s">
        <v>514</v>
      </c>
      <c r="I19" s="10" t="s">
        <v>514</v>
      </c>
      <c r="J19" s="45" t="s">
        <v>33</v>
      </c>
      <c r="K19" s="45" t="s">
        <v>33</v>
      </c>
      <c r="L19" s="45" t="s">
        <v>33</v>
      </c>
      <c r="M19" s="45" t="s">
        <v>33</v>
      </c>
      <c r="N19" s="45" t="s">
        <v>33</v>
      </c>
      <c r="O19" s="45" t="s">
        <v>33</v>
      </c>
      <c r="P19" s="45" t="s">
        <v>33</v>
      </c>
      <c r="Q19" s="45" t="s">
        <v>64</v>
      </c>
    </row>
    <row r="20" spans="1:17" ht="43.2" x14ac:dyDescent="0.3">
      <c r="A20" s="144" t="s">
        <v>27</v>
      </c>
      <c r="B20" s="145" t="s">
        <v>64</v>
      </c>
      <c r="C20" s="45" t="s">
        <v>33</v>
      </c>
      <c r="D20" s="145" t="s">
        <v>33</v>
      </c>
      <c r="E20" s="45" t="s">
        <v>33</v>
      </c>
      <c r="F20" s="45" t="s">
        <v>33</v>
      </c>
      <c r="G20" s="45" t="s">
        <v>384</v>
      </c>
      <c r="H20" s="10">
        <v>15</v>
      </c>
      <c r="I20" s="10">
        <v>15</v>
      </c>
      <c r="J20" s="145" t="s">
        <v>413</v>
      </c>
      <c r="K20" s="145" t="s">
        <v>413</v>
      </c>
      <c r="L20" s="45" t="s">
        <v>33</v>
      </c>
      <c r="M20" s="45" t="s">
        <v>33</v>
      </c>
      <c r="N20" s="45" t="s">
        <v>33</v>
      </c>
      <c r="O20" s="45" t="s">
        <v>33</v>
      </c>
      <c r="P20" s="45" t="s">
        <v>33</v>
      </c>
      <c r="Q20" s="145" t="s">
        <v>382</v>
      </c>
    </row>
    <row r="21" spans="1:17" ht="101.4" thickBot="1" x14ac:dyDescent="0.35">
      <c r="A21" s="21" t="s">
        <v>18</v>
      </c>
      <c r="B21" s="45" t="s">
        <v>429</v>
      </c>
      <c r="C21" s="45" t="s">
        <v>118</v>
      </c>
      <c r="D21" s="45" t="s">
        <v>507</v>
      </c>
      <c r="E21" s="45" t="s">
        <v>507</v>
      </c>
      <c r="F21" s="45" t="s">
        <v>507</v>
      </c>
      <c r="G21" s="45" t="s">
        <v>513</v>
      </c>
      <c r="H21" s="10" t="s">
        <v>57</v>
      </c>
      <c r="I21" s="40">
        <v>2</v>
      </c>
      <c r="J21" s="45" t="s">
        <v>100</v>
      </c>
      <c r="K21" s="45" t="s">
        <v>337</v>
      </c>
      <c r="L21" s="45" t="s">
        <v>475</v>
      </c>
      <c r="M21" s="45" t="s">
        <v>475</v>
      </c>
      <c r="N21" s="45" t="s">
        <v>522</v>
      </c>
      <c r="O21" s="45" t="s">
        <v>522</v>
      </c>
      <c r="P21" s="45" t="s">
        <v>522</v>
      </c>
      <c r="Q21" s="45" t="s">
        <v>521</v>
      </c>
    </row>
    <row r="22" spans="1:17" ht="15" thickBot="1" x14ac:dyDescent="0.35">
      <c r="A22" s="146" t="s">
        <v>17</v>
      </c>
      <c r="B22" s="146"/>
      <c r="C22" s="146"/>
      <c r="D22" s="146"/>
      <c r="E22" s="146"/>
      <c r="F22" s="146"/>
      <c r="G22" s="146"/>
      <c r="H22" s="146"/>
      <c r="I22" s="146"/>
      <c r="J22" s="146"/>
      <c r="K22" s="146"/>
      <c r="L22" s="146"/>
      <c r="M22" s="146"/>
      <c r="N22" s="146"/>
      <c r="O22" s="146"/>
      <c r="P22" s="146"/>
      <c r="Q22" s="146"/>
    </row>
    <row r="23" spans="1:17" ht="57.6" x14ac:dyDescent="0.3">
      <c r="A23" s="146"/>
      <c r="B23" s="45"/>
      <c r="C23" s="45" t="s">
        <v>117</v>
      </c>
      <c r="D23" s="45" t="s">
        <v>108</v>
      </c>
      <c r="E23" s="45" t="s">
        <v>108</v>
      </c>
      <c r="F23" s="45" t="s">
        <v>108</v>
      </c>
      <c r="G23" s="45"/>
      <c r="H23" s="147" t="s">
        <v>134</v>
      </c>
      <c r="I23" s="40"/>
      <c r="J23" s="45" t="s">
        <v>99</v>
      </c>
      <c r="K23" s="148"/>
      <c r="L23" s="45" t="s">
        <v>448</v>
      </c>
      <c r="M23" s="45" t="s">
        <v>90</v>
      </c>
      <c r="N23" s="45"/>
      <c r="O23" s="45"/>
      <c r="P23" s="45"/>
      <c r="Q23" s="45" t="s">
        <v>95</v>
      </c>
    </row>
    <row r="24" spans="1:17" ht="115.2" x14ac:dyDescent="0.3">
      <c r="A24" s="149"/>
      <c r="B24" s="45"/>
      <c r="C24" s="150" t="s">
        <v>449</v>
      </c>
      <c r="D24" s="45" t="s">
        <v>509</v>
      </c>
      <c r="E24" s="45" t="s">
        <v>110</v>
      </c>
      <c r="F24" s="45" t="s">
        <v>509</v>
      </c>
      <c r="G24" s="45"/>
      <c r="H24" s="40" t="s">
        <v>135</v>
      </c>
      <c r="I24" s="40"/>
      <c r="J24" s="45" t="s">
        <v>516</v>
      </c>
      <c r="K24" s="45" t="s">
        <v>414</v>
      </c>
      <c r="L24" s="45"/>
      <c r="M24" s="45" t="s">
        <v>93</v>
      </c>
      <c r="N24" s="45"/>
      <c r="O24" s="45"/>
      <c r="P24" s="45"/>
      <c r="Q24" s="40" t="s">
        <v>402</v>
      </c>
    </row>
    <row r="25" spans="1:17" ht="85.2" x14ac:dyDescent="0.3">
      <c r="A25" s="149"/>
      <c r="B25" s="45"/>
      <c r="D25" s="1"/>
      <c r="E25" s="45" t="s">
        <v>508</v>
      </c>
      <c r="F25" s="45" t="s">
        <v>114</v>
      </c>
      <c r="G25" s="151"/>
      <c r="H25" s="40" t="s">
        <v>136</v>
      </c>
      <c r="I25" s="40"/>
      <c r="J25" s="45"/>
      <c r="K25" s="45" t="s">
        <v>516</v>
      </c>
      <c r="L25" s="45"/>
      <c r="M25" s="45" t="s">
        <v>94</v>
      </c>
      <c r="N25" s="45"/>
      <c r="O25" s="45"/>
      <c r="P25" s="45"/>
    </row>
    <row r="26" spans="1:17" ht="86.4" x14ac:dyDescent="0.3">
      <c r="A26" s="149"/>
      <c r="B26" s="45"/>
      <c r="C26" s="45"/>
      <c r="D26" s="1"/>
      <c r="E26" s="45" t="s">
        <v>462</v>
      </c>
      <c r="F26" s="1"/>
      <c r="G26" s="45"/>
      <c r="H26" s="40"/>
      <c r="I26" s="40"/>
      <c r="J26" s="45" t="s">
        <v>412</v>
      </c>
      <c r="K26" s="45"/>
      <c r="L26" s="45"/>
      <c r="M26" s="45" t="s">
        <v>518</v>
      </c>
      <c r="N26" s="45"/>
      <c r="O26" s="45"/>
      <c r="P26" s="45"/>
      <c r="Q26" s="45"/>
    </row>
    <row r="27" spans="1:17" ht="72" x14ac:dyDescent="0.3">
      <c r="A27" s="149"/>
      <c r="B27" s="45"/>
      <c r="C27" s="45"/>
      <c r="D27" s="45"/>
      <c r="E27" s="45" t="s">
        <v>461</v>
      </c>
      <c r="F27" s="45"/>
      <c r="G27" s="152"/>
      <c r="H27" s="40"/>
      <c r="I27" s="40"/>
      <c r="J27" s="45" t="s">
        <v>101</v>
      </c>
      <c r="K27" s="45"/>
      <c r="L27" s="45"/>
      <c r="M27" s="45" t="s">
        <v>618</v>
      </c>
      <c r="N27" s="45"/>
      <c r="O27" s="45"/>
      <c r="P27" s="45"/>
      <c r="Q27" s="45"/>
    </row>
    <row r="28" spans="1:17" ht="43.2" x14ac:dyDescent="0.3">
      <c r="A28" s="153"/>
      <c r="B28" s="45"/>
      <c r="C28" s="45"/>
      <c r="D28" s="45"/>
      <c r="E28" s="45"/>
      <c r="F28" s="45"/>
      <c r="G28" s="152"/>
      <c r="H28" s="40"/>
      <c r="I28" s="40"/>
      <c r="J28" s="45" t="s">
        <v>102</v>
      </c>
      <c r="K28" s="45"/>
      <c r="L28" s="45"/>
      <c r="M28" s="45"/>
      <c r="N28" s="45"/>
      <c r="O28" s="45"/>
      <c r="P28" s="45"/>
      <c r="Q28" s="45"/>
    </row>
    <row r="29" spans="1:17" ht="15" thickBot="1" x14ac:dyDescent="0.35">
      <c r="A29" s="154"/>
      <c r="B29" s="45"/>
      <c r="C29" s="45"/>
      <c r="D29" s="155"/>
      <c r="E29" s="45"/>
      <c r="F29" s="45"/>
      <c r="G29" s="45"/>
      <c r="H29" s="40"/>
      <c r="I29" s="40"/>
      <c r="J29" s="156"/>
      <c r="K29" s="155"/>
      <c r="L29" s="45"/>
      <c r="M29" s="45"/>
      <c r="N29" s="45"/>
      <c r="O29" s="45"/>
      <c r="P29" s="45"/>
      <c r="Q29" s="45"/>
    </row>
    <row r="30" spans="1:17" x14ac:dyDescent="0.3">
      <c r="A30" s="157" t="s">
        <v>505</v>
      </c>
      <c r="B30" s="157"/>
      <c r="C30" s="157"/>
      <c r="D30" s="157"/>
      <c r="E30" s="157"/>
      <c r="F30" s="157"/>
      <c r="G30" s="157"/>
      <c r="H30" s="157"/>
      <c r="I30" s="157"/>
      <c r="J30" s="157"/>
      <c r="K30" s="157"/>
      <c r="L30" s="157"/>
      <c r="M30" s="157"/>
      <c r="N30" s="157"/>
      <c r="O30" s="157"/>
      <c r="P30" s="157"/>
      <c r="Q30" s="157"/>
    </row>
    <row r="31" spans="1:17" x14ac:dyDescent="0.3">
      <c r="A31" s="21" t="s">
        <v>15</v>
      </c>
      <c r="B31" s="45" t="s">
        <v>16</v>
      </c>
      <c r="C31" s="45" t="s">
        <v>59</v>
      </c>
      <c r="D31" s="45" t="s">
        <v>59</v>
      </c>
      <c r="E31" s="45" t="s">
        <v>59</v>
      </c>
      <c r="F31" s="45" t="s">
        <v>59</v>
      </c>
      <c r="G31" s="45" t="s">
        <v>59</v>
      </c>
      <c r="H31" s="10" t="s">
        <v>59</v>
      </c>
      <c r="I31" s="40" t="s">
        <v>59</v>
      </c>
      <c r="J31" s="45" t="s">
        <v>59</v>
      </c>
      <c r="K31" s="45" t="s">
        <v>59</v>
      </c>
      <c r="L31" s="45" t="s">
        <v>59</v>
      </c>
      <c r="M31" s="45" t="s">
        <v>59</v>
      </c>
      <c r="N31" s="45" t="s">
        <v>59</v>
      </c>
      <c r="O31" s="45" t="s">
        <v>59</v>
      </c>
      <c r="P31" s="45" t="s">
        <v>59</v>
      </c>
      <c r="Q31" s="45" t="s">
        <v>59</v>
      </c>
    </row>
    <row r="32" spans="1:17" x14ac:dyDescent="0.3">
      <c r="A32" s="158" t="s">
        <v>289</v>
      </c>
      <c r="B32" s="156" t="s">
        <v>312</v>
      </c>
      <c r="C32" s="45" t="s">
        <v>33</v>
      </c>
      <c r="D32" s="156" t="s">
        <v>33</v>
      </c>
      <c r="E32" s="45" t="s">
        <v>33</v>
      </c>
      <c r="F32" s="45" t="s">
        <v>33</v>
      </c>
      <c r="G32" s="45" t="s">
        <v>33</v>
      </c>
      <c r="H32" s="10" t="s">
        <v>33</v>
      </c>
      <c r="I32" s="10" t="s">
        <v>33</v>
      </c>
      <c r="J32" s="156" t="s">
        <v>33</v>
      </c>
      <c r="K32" s="156" t="s">
        <v>33</v>
      </c>
      <c r="L32" s="45" t="s">
        <v>33</v>
      </c>
      <c r="M32" s="45" t="s">
        <v>33</v>
      </c>
      <c r="N32" s="45" t="s">
        <v>33</v>
      </c>
      <c r="O32" s="45" t="s">
        <v>33</v>
      </c>
      <c r="P32" s="45" t="s">
        <v>33</v>
      </c>
      <c r="Q32" s="156" t="s">
        <v>33</v>
      </c>
    </row>
    <row r="33" spans="1:17" x14ac:dyDescent="0.3">
      <c r="A33" s="158" t="s">
        <v>289</v>
      </c>
      <c r="B33" s="156" t="s">
        <v>314</v>
      </c>
      <c r="C33" s="156" t="s">
        <v>33</v>
      </c>
      <c r="D33" s="156" t="s">
        <v>33</v>
      </c>
      <c r="E33" s="156" t="s">
        <v>33</v>
      </c>
      <c r="F33" s="156" t="s">
        <v>33</v>
      </c>
      <c r="G33" s="45" t="s">
        <v>33</v>
      </c>
      <c r="H33" s="159" t="s">
        <v>33</v>
      </c>
      <c r="I33" s="159" t="s">
        <v>33</v>
      </c>
      <c r="J33" s="156" t="s">
        <v>33</v>
      </c>
      <c r="K33" s="156" t="s">
        <v>33</v>
      </c>
      <c r="L33" s="156" t="s">
        <v>33</v>
      </c>
      <c r="M33" s="156" t="s">
        <v>33</v>
      </c>
      <c r="N33" s="156" t="s">
        <v>33</v>
      </c>
      <c r="O33" s="156" t="s">
        <v>33</v>
      </c>
      <c r="P33" s="156" t="s">
        <v>33</v>
      </c>
      <c r="Q33" s="156" t="s">
        <v>33</v>
      </c>
    </row>
    <row r="34" spans="1:17" ht="43.2" x14ac:dyDescent="0.3">
      <c r="A34" s="158" t="s">
        <v>288</v>
      </c>
      <c r="B34" s="156" t="s">
        <v>315</v>
      </c>
      <c r="C34" s="156" t="s">
        <v>33</v>
      </c>
      <c r="D34" s="156" t="s">
        <v>33</v>
      </c>
      <c r="E34" s="156" t="s">
        <v>33</v>
      </c>
      <c r="F34" s="156" t="s">
        <v>33</v>
      </c>
      <c r="G34" s="45" t="s">
        <v>33</v>
      </c>
      <c r="H34" s="156" t="s">
        <v>33</v>
      </c>
      <c r="I34" s="156" t="s">
        <v>33</v>
      </c>
      <c r="J34" s="156" t="s">
        <v>33</v>
      </c>
      <c r="K34" s="156" t="s">
        <v>33</v>
      </c>
      <c r="L34" s="156" t="s">
        <v>33</v>
      </c>
      <c r="M34" s="156" t="s">
        <v>33</v>
      </c>
      <c r="N34" s="156" t="s">
        <v>33</v>
      </c>
      <c r="O34" s="156" t="s">
        <v>33</v>
      </c>
      <c r="P34" s="156" t="s">
        <v>33</v>
      </c>
      <c r="Q34" s="156" t="s">
        <v>33</v>
      </c>
    </row>
    <row r="35" spans="1:17" x14ac:dyDescent="0.3">
      <c r="A35" s="21" t="s">
        <v>6</v>
      </c>
      <c r="B35" s="10" t="s">
        <v>33</v>
      </c>
      <c r="C35" s="10" t="s">
        <v>33</v>
      </c>
      <c r="D35" s="10" t="s">
        <v>33</v>
      </c>
      <c r="E35" s="10" t="s">
        <v>33</v>
      </c>
      <c r="F35" s="10" t="s">
        <v>33</v>
      </c>
      <c r="G35" s="10" t="s">
        <v>33</v>
      </c>
      <c r="H35" s="45" t="s">
        <v>33</v>
      </c>
      <c r="I35" s="45" t="s">
        <v>33</v>
      </c>
      <c r="J35" s="10" t="s">
        <v>33</v>
      </c>
      <c r="K35" s="10" t="s">
        <v>33</v>
      </c>
      <c r="L35" s="10" t="s">
        <v>96</v>
      </c>
      <c r="M35" s="10" t="s">
        <v>33</v>
      </c>
      <c r="N35" s="10" t="s">
        <v>33</v>
      </c>
      <c r="O35" s="10" t="s">
        <v>33</v>
      </c>
      <c r="P35" s="10" t="s">
        <v>33</v>
      </c>
      <c r="Q35" s="10" t="s">
        <v>33</v>
      </c>
    </row>
  </sheetData>
  <mergeCells count="1">
    <mergeCell ref="A1:B1"/>
  </mergeCells>
  <hyperlinks>
    <hyperlink ref="C3" r:id="rId1"/>
    <hyperlink ref="C4" r:id="rId2"/>
    <hyperlink ref="D4" r:id="rId3"/>
    <hyperlink ref="D3" r:id="rId4"/>
    <hyperlink ref="E3" r:id="rId5"/>
    <hyperlink ref="F3" r:id="rId6"/>
    <hyperlink ref="E4" r:id="rId7"/>
    <hyperlink ref="F4" r:id="rId8"/>
    <hyperlink ref="G3" r:id="rId9"/>
    <hyperlink ref="G4" r:id="rId10"/>
    <hyperlink ref="I3" r:id="rId11"/>
    <hyperlink ref="H3" r:id="rId12"/>
    <hyperlink ref="H4" r:id="rId13"/>
    <hyperlink ref="J3" r:id="rId14"/>
    <hyperlink ref="K3" r:id="rId15"/>
    <hyperlink ref="J4" r:id="rId16"/>
    <hyperlink ref="K4" r:id="rId17"/>
    <hyperlink ref="L3" r:id="rId18"/>
    <hyperlink ref="M3" r:id="rId19"/>
    <hyperlink ref="L4" r:id="rId20"/>
    <hyperlink ref="M4" r:id="rId21"/>
    <hyperlink ref="Q3" r:id="rId22"/>
    <hyperlink ref="Q4" r:id="rId23"/>
    <hyperlink ref="N3" r:id="rId24"/>
    <hyperlink ref="O3" r:id="rId25"/>
    <hyperlink ref="P3" r:id="rId26"/>
    <hyperlink ref="N4" r:id="rId27"/>
    <hyperlink ref="O4" r:id="rId28"/>
    <hyperlink ref="P4" r:id="rId29"/>
    <hyperlink ref="I4" r:id="rId30"/>
  </hyperlinks>
  <pageMargins left="0.7" right="0.7" top="0.75" bottom="0.75" header="0.3" footer="0.3"/>
  <pageSetup paperSize="5" scale="34" orientation="landscape" r:id="rId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zoomScale="90" zoomScaleNormal="90" workbookViewId="0">
      <pane xSplit="1" ySplit="4" topLeftCell="B5" activePane="bottomRight" state="frozen"/>
      <selection activeCell="A9" sqref="A9"/>
      <selection pane="topRight" activeCell="A9" sqref="A9"/>
      <selection pane="bottomLeft" activeCell="A9" sqref="A9"/>
      <selection pane="bottomRight" activeCell="A24" sqref="A24:XFD31"/>
    </sheetView>
  </sheetViews>
  <sheetFormatPr defaultColWidth="9.109375" defaultRowHeight="14.4" x14ac:dyDescent="0.3"/>
  <cols>
    <col min="1" max="1" width="18.88671875" style="84" customWidth="1"/>
    <col min="2" max="15" width="21.77734375" style="54" customWidth="1"/>
    <col min="16" max="16384" width="9.109375" style="54"/>
  </cols>
  <sheetData>
    <row r="1" spans="1:15" ht="15.6" x14ac:dyDescent="0.3">
      <c r="A1" s="262" t="s">
        <v>321</v>
      </c>
      <c r="B1" s="262"/>
      <c r="C1" s="64"/>
      <c r="D1" s="64"/>
      <c r="E1" s="64"/>
      <c r="F1" s="64"/>
      <c r="G1" s="64"/>
      <c r="H1" s="64"/>
      <c r="I1" s="64"/>
      <c r="J1" s="64"/>
      <c r="K1" s="64"/>
      <c r="L1" s="64"/>
      <c r="M1" s="162"/>
      <c r="N1" s="162"/>
      <c r="O1" s="64"/>
    </row>
    <row r="2" spans="1:15" x14ac:dyDescent="0.3">
      <c r="A2" s="163" t="s">
        <v>284</v>
      </c>
      <c r="B2" s="248">
        <f>Legend!B2</f>
        <v>43501</v>
      </c>
      <c r="C2" s="64"/>
      <c r="D2" s="64"/>
      <c r="E2" s="64"/>
      <c r="F2" s="64"/>
      <c r="G2" s="64"/>
      <c r="H2" s="64"/>
      <c r="I2" s="64"/>
      <c r="J2" s="64"/>
      <c r="K2" s="64"/>
      <c r="L2" s="64"/>
      <c r="M2" s="162"/>
      <c r="N2" s="162"/>
      <c r="O2" s="64"/>
    </row>
    <row r="3" spans="1:15" s="58" customFormat="1" x14ac:dyDescent="0.3">
      <c r="A3" s="165"/>
      <c r="B3" s="166" t="s">
        <v>0</v>
      </c>
      <c r="C3" s="167" t="s">
        <v>13</v>
      </c>
      <c r="D3" s="167" t="s">
        <v>13</v>
      </c>
      <c r="E3" s="167" t="s">
        <v>12</v>
      </c>
      <c r="F3" s="167" t="s">
        <v>10</v>
      </c>
      <c r="G3" s="167" t="s">
        <v>14</v>
      </c>
      <c r="H3" s="167" t="s">
        <v>11</v>
      </c>
      <c r="I3" s="167" t="s">
        <v>8</v>
      </c>
      <c r="J3" s="167" t="s">
        <v>8</v>
      </c>
      <c r="K3" s="167" t="s">
        <v>41</v>
      </c>
      <c r="L3" s="167" t="s">
        <v>41</v>
      </c>
      <c r="M3" s="167" t="s">
        <v>9</v>
      </c>
      <c r="N3" s="167" t="s">
        <v>9</v>
      </c>
      <c r="O3" s="167" t="s">
        <v>42</v>
      </c>
    </row>
    <row r="4" spans="1:15" s="58" customFormat="1" ht="28.8" x14ac:dyDescent="0.3">
      <c r="A4" s="165"/>
      <c r="B4" s="168" t="s">
        <v>137</v>
      </c>
      <c r="C4" s="169" t="s">
        <v>160</v>
      </c>
      <c r="D4" s="169" t="s">
        <v>360</v>
      </c>
      <c r="E4" s="169" t="s">
        <v>154</v>
      </c>
      <c r="F4" s="169" t="s">
        <v>150</v>
      </c>
      <c r="G4" s="169" t="s">
        <v>170</v>
      </c>
      <c r="H4" s="169" t="s">
        <v>151</v>
      </c>
      <c r="I4" s="169" t="s">
        <v>142</v>
      </c>
      <c r="J4" s="169" t="s">
        <v>148</v>
      </c>
      <c r="K4" s="169" t="s">
        <v>162</v>
      </c>
      <c r="L4" s="169" t="s">
        <v>166</v>
      </c>
      <c r="M4" s="169" t="s">
        <v>373</v>
      </c>
      <c r="N4" s="169" t="s">
        <v>374</v>
      </c>
      <c r="O4" s="169" t="s">
        <v>167</v>
      </c>
    </row>
    <row r="5" spans="1:15" s="64" customFormat="1" x14ac:dyDescent="0.3">
      <c r="A5" s="60" t="s">
        <v>1</v>
      </c>
      <c r="B5" s="61">
        <v>4</v>
      </c>
      <c r="C5" s="62">
        <v>3.95</v>
      </c>
      <c r="D5" s="62">
        <v>0</v>
      </c>
      <c r="E5" s="62">
        <v>4</v>
      </c>
      <c r="F5" s="62">
        <v>3.9</v>
      </c>
      <c r="G5" s="63">
        <v>4</v>
      </c>
      <c r="H5" s="62">
        <v>4</v>
      </c>
      <c r="I5" s="62">
        <v>10.95</v>
      </c>
      <c r="J5" s="62">
        <v>3.95</v>
      </c>
      <c r="K5" s="62">
        <v>10.95</v>
      </c>
      <c r="L5" s="63">
        <v>0</v>
      </c>
      <c r="M5" s="62">
        <v>10.95</v>
      </c>
      <c r="N5" s="62">
        <v>3.95</v>
      </c>
      <c r="O5" s="63">
        <v>0</v>
      </c>
    </row>
    <row r="6" spans="1:15" ht="28.8" x14ac:dyDescent="0.3">
      <c r="A6" s="60" t="s">
        <v>7</v>
      </c>
      <c r="B6" s="62" t="s">
        <v>140</v>
      </c>
      <c r="C6" s="62" t="s">
        <v>33</v>
      </c>
      <c r="D6" s="63" t="s">
        <v>33</v>
      </c>
      <c r="E6" s="62" t="s">
        <v>143</v>
      </c>
      <c r="F6" s="62" t="s">
        <v>33</v>
      </c>
      <c r="G6" s="63" t="s">
        <v>33</v>
      </c>
      <c r="H6" s="62" t="s">
        <v>152</v>
      </c>
      <c r="I6" s="62" t="s">
        <v>404</v>
      </c>
      <c r="J6" s="62" t="s">
        <v>33</v>
      </c>
      <c r="K6" s="62" t="s">
        <v>404</v>
      </c>
      <c r="L6" s="63" t="s">
        <v>33</v>
      </c>
      <c r="M6" s="62" t="s">
        <v>404</v>
      </c>
      <c r="N6" s="62" t="s">
        <v>143</v>
      </c>
      <c r="O6" s="63" t="s">
        <v>140</v>
      </c>
    </row>
    <row r="7" spans="1:15" ht="144" x14ac:dyDescent="0.3">
      <c r="A7" s="60" t="s">
        <v>4</v>
      </c>
      <c r="B7" s="184" t="s">
        <v>161</v>
      </c>
      <c r="C7" s="184">
        <v>15</v>
      </c>
      <c r="D7" s="185" t="s">
        <v>33</v>
      </c>
      <c r="E7" s="184" t="s">
        <v>377</v>
      </c>
      <c r="F7" s="184">
        <v>12</v>
      </c>
      <c r="G7" s="184">
        <v>14</v>
      </c>
      <c r="H7" s="184">
        <v>12</v>
      </c>
      <c r="I7" s="184" t="s">
        <v>365</v>
      </c>
      <c r="J7" s="184" t="s">
        <v>149</v>
      </c>
      <c r="K7" s="185">
        <v>30</v>
      </c>
      <c r="L7" s="185" t="s">
        <v>33</v>
      </c>
      <c r="M7" s="184">
        <v>25</v>
      </c>
      <c r="N7" s="184" t="s">
        <v>405</v>
      </c>
      <c r="O7" s="63" t="s">
        <v>140</v>
      </c>
    </row>
    <row r="8" spans="1:15" ht="115.2" x14ac:dyDescent="0.3">
      <c r="A8" s="60" t="s">
        <v>2</v>
      </c>
      <c r="B8" s="62" t="s">
        <v>138</v>
      </c>
      <c r="C8" s="61">
        <v>1</v>
      </c>
      <c r="D8" s="171" t="s">
        <v>424</v>
      </c>
      <c r="E8" s="62">
        <v>1.25</v>
      </c>
      <c r="F8" s="62">
        <v>1.25</v>
      </c>
      <c r="G8" s="63" t="s">
        <v>171</v>
      </c>
      <c r="H8" s="62" t="s">
        <v>145</v>
      </c>
      <c r="I8" s="62">
        <v>1.25</v>
      </c>
      <c r="J8" s="62">
        <v>1.25</v>
      </c>
      <c r="K8" s="63">
        <v>1.25</v>
      </c>
      <c r="L8" s="63">
        <v>1.25</v>
      </c>
      <c r="M8" s="62">
        <v>1.25</v>
      </c>
      <c r="N8" s="62">
        <v>1.25</v>
      </c>
      <c r="O8" s="63" t="s">
        <v>168</v>
      </c>
    </row>
    <row r="9" spans="1:15" x14ac:dyDescent="0.3">
      <c r="A9" s="60" t="s">
        <v>504</v>
      </c>
      <c r="B9" s="60"/>
      <c r="C9" s="60"/>
      <c r="D9" s="60"/>
      <c r="E9" s="60"/>
      <c r="F9" s="60"/>
      <c r="G9" s="60"/>
      <c r="H9" s="60"/>
      <c r="I9" s="60"/>
      <c r="J9" s="60"/>
      <c r="K9" s="60"/>
      <c r="L9" s="60"/>
      <c r="M9" s="60"/>
      <c r="N9" s="60"/>
      <c r="O9" s="60"/>
    </row>
    <row r="10" spans="1:15" ht="28.8" x14ac:dyDescent="0.3">
      <c r="A10" s="143" t="s">
        <v>357</v>
      </c>
      <c r="B10" s="121">
        <v>1</v>
      </c>
      <c r="C10" s="121">
        <v>1.5</v>
      </c>
      <c r="D10" s="121">
        <v>1.5</v>
      </c>
      <c r="E10" s="121">
        <v>0</v>
      </c>
      <c r="F10" s="121">
        <v>1.5</v>
      </c>
      <c r="G10" s="121">
        <v>0</v>
      </c>
      <c r="H10" s="121">
        <v>0</v>
      </c>
      <c r="I10" s="121" t="s">
        <v>529</v>
      </c>
      <c r="J10" s="121" t="s">
        <v>529</v>
      </c>
      <c r="K10" s="121">
        <v>0</v>
      </c>
      <c r="L10" s="121">
        <v>1.5</v>
      </c>
      <c r="M10" s="121">
        <v>0</v>
      </c>
      <c r="N10" s="121" t="s">
        <v>446</v>
      </c>
      <c r="O10" s="121">
        <v>0.9</v>
      </c>
    </row>
    <row r="11" spans="1:15" x14ac:dyDescent="0.3">
      <c r="A11" s="143" t="s">
        <v>490</v>
      </c>
      <c r="B11" s="121"/>
      <c r="C11" s="121">
        <v>1.5</v>
      </c>
      <c r="D11" s="121">
        <v>1.5</v>
      </c>
      <c r="E11" s="121"/>
      <c r="F11" s="121"/>
      <c r="G11" s="121"/>
      <c r="H11" s="121"/>
      <c r="I11" s="121"/>
      <c r="J11" s="121"/>
      <c r="K11" s="121"/>
      <c r="L11" s="121"/>
      <c r="M11" s="121"/>
      <c r="N11" s="121"/>
      <c r="O11" s="121"/>
    </row>
    <row r="12" spans="1:15" x14ac:dyDescent="0.3">
      <c r="A12" s="143" t="s">
        <v>491</v>
      </c>
      <c r="B12" s="121"/>
      <c r="C12" s="121">
        <v>0</v>
      </c>
      <c r="D12" s="121">
        <v>0</v>
      </c>
      <c r="E12" s="121"/>
      <c r="F12" s="121"/>
      <c r="G12" s="121"/>
      <c r="H12" s="121"/>
      <c r="I12" s="121"/>
      <c r="J12" s="121"/>
      <c r="K12" s="121"/>
      <c r="L12" s="121"/>
      <c r="M12" s="121"/>
      <c r="N12" s="121"/>
      <c r="O12" s="121"/>
    </row>
    <row r="13" spans="1:15" ht="86.4" x14ac:dyDescent="0.3">
      <c r="A13" s="60" t="s">
        <v>78</v>
      </c>
      <c r="B13" s="62" t="s">
        <v>139</v>
      </c>
      <c r="C13" s="40" t="s">
        <v>453</v>
      </c>
      <c r="D13" s="62" t="s">
        <v>359</v>
      </c>
      <c r="E13" s="62" t="s">
        <v>463</v>
      </c>
      <c r="F13" s="62">
        <v>2</v>
      </c>
      <c r="G13" s="63" t="s">
        <v>172</v>
      </c>
      <c r="H13" s="62" t="s">
        <v>153</v>
      </c>
      <c r="I13" s="62" t="s">
        <v>366</v>
      </c>
      <c r="J13" s="62" t="s">
        <v>366</v>
      </c>
      <c r="K13" s="63" t="s">
        <v>165</v>
      </c>
      <c r="L13" s="63" t="s">
        <v>165</v>
      </c>
      <c r="M13" s="62" t="s">
        <v>483</v>
      </c>
      <c r="N13" s="62" t="s">
        <v>483</v>
      </c>
      <c r="O13" s="63"/>
    </row>
    <row r="14" spans="1:15" x14ac:dyDescent="0.3">
      <c r="A14" s="60" t="s">
        <v>24</v>
      </c>
      <c r="B14" s="62" t="s">
        <v>33</v>
      </c>
      <c r="C14" s="62" t="s">
        <v>33</v>
      </c>
      <c r="D14" s="89" t="s">
        <v>33</v>
      </c>
      <c r="E14" s="62" t="s">
        <v>33</v>
      </c>
      <c r="F14" s="62" t="s">
        <v>33</v>
      </c>
      <c r="G14" s="89" t="s">
        <v>33</v>
      </c>
      <c r="H14" s="62" t="s">
        <v>33</v>
      </c>
      <c r="I14" s="62" t="s">
        <v>33</v>
      </c>
      <c r="J14" s="62" t="s">
        <v>33</v>
      </c>
      <c r="K14" s="89" t="s">
        <v>33</v>
      </c>
      <c r="L14" s="89" t="s">
        <v>33</v>
      </c>
      <c r="M14" s="62" t="s">
        <v>33</v>
      </c>
      <c r="N14" s="62" t="s">
        <v>33</v>
      </c>
      <c r="O14" s="89" t="s">
        <v>33</v>
      </c>
    </row>
    <row r="15" spans="1:15" ht="28.8" x14ac:dyDescent="0.3">
      <c r="A15" s="60" t="s">
        <v>496</v>
      </c>
      <c r="B15" s="62"/>
      <c r="C15" s="62" t="s">
        <v>527</v>
      </c>
      <c r="D15" s="89"/>
      <c r="E15" s="62">
        <v>5</v>
      </c>
      <c r="F15" s="62"/>
      <c r="G15" s="62" t="s">
        <v>528</v>
      </c>
      <c r="H15" s="62" t="s">
        <v>517</v>
      </c>
      <c r="I15" s="62"/>
      <c r="J15" s="62"/>
      <c r="K15" s="89">
        <v>5</v>
      </c>
      <c r="L15" s="89">
        <v>5</v>
      </c>
      <c r="N15" s="62"/>
      <c r="O15" s="89"/>
    </row>
    <row r="16" spans="1:15" ht="86.4" x14ac:dyDescent="0.3">
      <c r="A16" s="60" t="s">
        <v>18</v>
      </c>
      <c r="B16" s="62" t="s">
        <v>141</v>
      </c>
      <c r="C16" s="62" t="s">
        <v>156</v>
      </c>
      <c r="D16" s="63" t="s">
        <v>156</v>
      </c>
      <c r="E16" s="62" t="s">
        <v>378</v>
      </c>
      <c r="F16" s="62" t="s">
        <v>64</v>
      </c>
      <c r="G16" s="63" t="s">
        <v>173</v>
      </c>
      <c r="H16" s="62" t="s">
        <v>147</v>
      </c>
      <c r="I16" s="62" t="s">
        <v>477</v>
      </c>
      <c r="J16" s="62" t="s">
        <v>440</v>
      </c>
      <c r="K16" s="63" t="s">
        <v>169</v>
      </c>
      <c r="L16" s="63" t="s">
        <v>169</v>
      </c>
      <c r="M16" s="62" t="s">
        <v>344</v>
      </c>
      <c r="N16" s="62" t="s">
        <v>334</v>
      </c>
      <c r="O16" s="63" t="s">
        <v>169</v>
      </c>
    </row>
    <row r="17" spans="1:15" x14ac:dyDescent="0.3">
      <c r="A17" s="60" t="s">
        <v>526</v>
      </c>
      <c r="B17" s="60"/>
      <c r="C17" s="60"/>
      <c r="D17" s="60"/>
      <c r="E17" s="60"/>
      <c r="F17" s="60"/>
      <c r="G17" s="60"/>
      <c r="H17" s="60"/>
      <c r="I17" s="60"/>
      <c r="J17" s="60"/>
      <c r="K17" s="60"/>
      <c r="L17" s="60"/>
      <c r="M17" s="60"/>
      <c r="N17" s="60"/>
      <c r="O17" s="60"/>
    </row>
    <row r="18" spans="1:15" ht="158.4" x14ac:dyDescent="0.3">
      <c r="A18" s="60"/>
      <c r="B18" s="62"/>
      <c r="C18" s="150" t="s">
        <v>449</v>
      </c>
      <c r="D18" s="150" t="s">
        <v>592</v>
      </c>
      <c r="E18" s="62" t="s">
        <v>155</v>
      </c>
      <c r="F18" s="62" t="s">
        <v>350</v>
      </c>
      <c r="G18" s="63"/>
      <c r="H18" s="45" t="s">
        <v>516</v>
      </c>
      <c r="I18" s="62" t="s">
        <v>144</v>
      </c>
      <c r="J18" s="62"/>
      <c r="K18" s="63" t="s">
        <v>163</v>
      </c>
      <c r="L18" s="63"/>
      <c r="M18" s="62"/>
      <c r="N18" s="62"/>
      <c r="O18" s="63"/>
    </row>
    <row r="19" spans="1:15" ht="57.6" x14ac:dyDescent="0.3">
      <c r="A19" s="60"/>
      <c r="B19" s="62"/>
      <c r="C19" s="62"/>
      <c r="D19" s="63"/>
      <c r="E19" s="62" t="s">
        <v>159</v>
      </c>
      <c r="F19" s="180"/>
      <c r="G19" s="63"/>
      <c r="H19" s="62"/>
      <c r="I19" s="62" t="s">
        <v>619</v>
      </c>
      <c r="J19" s="62" t="s">
        <v>619</v>
      </c>
      <c r="K19" s="63" t="s">
        <v>164</v>
      </c>
      <c r="L19" s="63"/>
      <c r="M19" s="62" t="s">
        <v>345</v>
      </c>
      <c r="N19" s="62" t="s">
        <v>406</v>
      </c>
      <c r="O19" s="63"/>
    </row>
    <row r="20" spans="1:15" x14ac:dyDescent="0.3">
      <c r="A20" s="60"/>
      <c r="B20" s="62"/>
      <c r="C20" s="62"/>
      <c r="D20" s="63"/>
      <c r="E20" s="62"/>
      <c r="F20" s="180"/>
      <c r="G20" s="63"/>
      <c r="H20" s="62"/>
      <c r="I20" s="62" t="s">
        <v>618</v>
      </c>
      <c r="J20" s="62" t="s">
        <v>618</v>
      </c>
      <c r="K20" s="63"/>
      <c r="L20" s="63"/>
      <c r="M20" s="62"/>
      <c r="N20" s="62"/>
      <c r="O20" s="63"/>
    </row>
    <row r="21" spans="1:15" ht="43.2" x14ac:dyDescent="0.3">
      <c r="A21" s="60" t="s">
        <v>15</v>
      </c>
      <c r="B21" s="62" t="s">
        <v>59</v>
      </c>
      <c r="C21" s="62" t="s">
        <v>59</v>
      </c>
      <c r="D21" s="63" t="s">
        <v>341</v>
      </c>
      <c r="E21" s="62" t="s">
        <v>59</v>
      </c>
      <c r="F21" s="62" t="s">
        <v>59</v>
      </c>
      <c r="G21" s="63" t="s">
        <v>59</v>
      </c>
      <c r="H21" s="62" t="s">
        <v>59</v>
      </c>
      <c r="I21" s="62" t="s">
        <v>59</v>
      </c>
      <c r="J21" s="62" t="s">
        <v>59</v>
      </c>
      <c r="K21" s="63" t="s">
        <v>59</v>
      </c>
      <c r="L21" s="63" t="s">
        <v>59</v>
      </c>
      <c r="M21" s="62" t="s">
        <v>59</v>
      </c>
      <c r="N21" s="62" t="s">
        <v>59</v>
      </c>
      <c r="O21" s="63" t="s">
        <v>488</v>
      </c>
    </row>
    <row r="22" spans="1:15" x14ac:dyDescent="0.3">
      <c r="A22" s="60" t="s">
        <v>6</v>
      </c>
      <c r="B22" s="62" t="s">
        <v>33</v>
      </c>
      <c r="C22" s="62" t="s">
        <v>33</v>
      </c>
      <c r="D22" s="89" t="s">
        <v>33</v>
      </c>
      <c r="E22" s="62" t="s">
        <v>33</v>
      </c>
      <c r="F22" s="62" t="s">
        <v>33</v>
      </c>
      <c r="G22" s="89" t="s">
        <v>33</v>
      </c>
      <c r="H22" s="62" t="s">
        <v>33</v>
      </c>
      <c r="I22" s="62" t="s">
        <v>33</v>
      </c>
      <c r="J22" s="62" t="s">
        <v>33</v>
      </c>
      <c r="K22" s="89" t="s">
        <v>33</v>
      </c>
      <c r="L22" s="89" t="s">
        <v>33</v>
      </c>
      <c r="M22" s="62" t="s">
        <v>33</v>
      </c>
      <c r="N22" s="62" t="s">
        <v>33</v>
      </c>
      <c r="O22" s="89" t="s">
        <v>33</v>
      </c>
    </row>
  </sheetData>
  <mergeCells count="1">
    <mergeCell ref="A1:B1"/>
  </mergeCells>
  <hyperlinks>
    <hyperlink ref="E3" r:id="rId1"/>
    <hyperlink ref="C3" r:id="rId2" location="2001"/>
    <hyperlink ref="D3" r:id="rId3" location="2001"/>
    <hyperlink ref="C4" r:id="rId4"/>
    <hyperlink ref="D4" r:id="rId5"/>
    <hyperlink ref="E4" r:id="rId6"/>
    <hyperlink ref="F3" r:id="rId7"/>
    <hyperlink ref="F4" r:id="rId8"/>
    <hyperlink ref="G3" r:id="rId9"/>
    <hyperlink ref="G4" r:id="rId10"/>
    <hyperlink ref="H3" r:id="rId11"/>
    <hyperlink ref="H4" r:id="rId12"/>
    <hyperlink ref="I3" r:id="rId13"/>
    <hyperlink ref="J3" r:id="rId14"/>
    <hyperlink ref="I4" r:id="rId15"/>
    <hyperlink ref="J4" r:id="rId16"/>
    <hyperlink ref="K3" r:id="rId17"/>
    <hyperlink ref="L3" r:id="rId18"/>
    <hyperlink ref="K4" r:id="rId19"/>
    <hyperlink ref="L4" r:id="rId20"/>
    <hyperlink ref="M3" r:id="rId21"/>
    <hyperlink ref="N3" r:id="rId22"/>
    <hyperlink ref="M4" r:id="rId23"/>
    <hyperlink ref="N4" r:id="rId24"/>
    <hyperlink ref="O4" r:id="rId25"/>
    <hyperlink ref="O3" r:id="rId26"/>
  </hyperlinks>
  <pageMargins left="0.7" right="0.7" top="0.75" bottom="0.75" header="0.3" footer="0.3"/>
  <pageSetup paperSize="5" scale="47" orientation="landscape" r:id="rId2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90" zoomScaleNormal="90" workbookViewId="0">
      <pane xSplit="1" ySplit="4" topLeftCell="B5" activePane="bottomRight" state="frozen"/>
      <selection activeCell="A9" sqref="A9"/>
      <selection pane="topRight" activeCell="A9" sqref="A9"/>
      <selection pane="bottomLeft" activeCell="A9" sqref="A9"/>
      <selection pane="bottomRight" activeCell="A17" sqref="A17:XFD22"/>
    </sheetView>
  </sheetViews>
  <sheetFormatPr defaultColWidth="9.109375" defaultRowHeight="14.4" x14ac:dyDescent="0.3"/>
  <cols>
    <col min="1" max="1" width="25.88671875" style="97" customWidth="1"/>
    <col min="2" max="2" width="25.88671875" style="96" customWidth="1"/>
    <col min="3" max="3" width="23.21875" style="96" customWidth="1"/>
    <col min="4" max="6" width="21.77734375" style="96" customWidth="1"/>
    <col min="7" max="7" width="25.109375" style="96" customWidth="1"/>
    <col min="8" max="8" width="21.77734375" style="96" customWidth="1"/>
    <col min="9" max="9" width="24.109375" style="96" customWidth="1"/>
    <col min="10" max="11" width="21.77734375" style="96" customWidth="1"/>
    <col min="12" max="13" width="22.77734375" style="96" customWidth="1"/>
    <col min="14" max="15" width="21.77734375" style="96" customWidth="1"/>
    <col min="16" max="16384" width="9.109375" style="96"/>
  </cols>
  <sheetData>
    <row r="1" spans="1:15" s="54" customFormat="1" ht="23.4" x14ac:dyDescent="0.3">
      <c r="A1" s="239" t="s">
        <v>322</v>
      </c>
      <c r="B1" s="240"/>
      <c r="L1" s="53"/>
      <c r="M1" s="53"/>
    </row>
    <row r="2" spans="1:15" s="54" customFormat="1" ht="34.5" customHeight="1" x14ac:dyDescent="0.3">
      <c r="A2" s="241" t="s">
        <v>284</v>
      </c>
      <c r="B2" s="250">
        <f>Legend!B2</f>
        <v>43501</v>
      </c>
      <c r="L2" s="53"/>
      <c r="M2" s="53"/>
    </row>
    <row r="3" spans="1:15" s="58" customFormat="1" x14ac:dyDescent="0.3">
      <c r="A3" s="56"/>
      <c r="B3" s="249" t="s">
        <v>0</v>
      </c>
      <c r="C3" s="57" t="s">
        <v>13</v>
      </c>
      <c r="D3" s="135" t="s">
        <v>12</v>
      </c>
      <c r="E3" s="135" t="s">
        <v>12</v>
      </c>
      <c r="F3" s="57" t="s">
        <v>10</v>
      </c>
      <c r="G3" s="57" t="s">
        <v>14</v>
      </c>
      <c r="H3" s="57" t="s">
        <v>11</v>
      </c>
      <c r="I3" s="57" t="s">
        <v>8</v>
      </c>
      <c r="J3" s="57" t="s">
        <v>419</v>
      </c>
      <c r="K3" s="135" t="s">
        <v>41</v>
      </c>
      <c r="L3" s="57" t="s">
        <v>9</v>
      </c>
      <c r="M3" s="57" t="s">
        <v>9</v>
      </c>
      <c r="N3" s="57" t="s">
        <v>42</v>
      </c>
      <c r="O3" s="57" t="s">
        <v>579</v>
      </c>
    </row>
    <row r="4" spans="1:15" s="58" customFormat="1" ht="28.8" x14ac:dyDescent="0.3">
      <c r="A4" s="56"/>
      <c r="B4" s="59" t="s">
        <v>226</v>
      </c>
      <c r="C4" s="160" t="s">
        <v>232</v>
      </c>
      <c r="D4" s="160" t="s">
        <v>330</v>
      </c>
      <c r="E4" s="160" t="s">
        <v>464</v>
      </c>
      <c r="F4" s="160" t="s">
        <v>228</v>
      </c>
      <c r="G4" s="160" t="s">
        <v>542</v>
      </c>
      <c r="H4" s="160" t="s">
        <v>229</v>
      </c>
      <c r="I4" s="160" t="s">
        <v>380</v>
      </c>
      <c r="J4" s="160" t="s">
        <v>479</v>
      </c>
      <c r="K4" s="160" t="s">
        <v>235</v>
      </c>
      <c r="L4" s="160" t="s">
        <v>227</v>
      </c>
      <c r="M4" s="160" t="s">
        <v>482</v>
      </c>
      <c r="N4" s="160" t="s">
        <v>237</v>
      </c>
      <c r="O4" s="160" t="s">
        <v>580</v>
      </c>
    </row>
    <row r="5" spans="1:15" s="64" customFormat="1" x14ac:dyDescent="0.3">
      <c r="A5" s="60" t="s">
        <v>1</v>
      </c>
      <c r="B5" s="61">
        <v>0</v>
      </c>
      <c r="C5" s="89">
        <v>0</v>
      </c>
      <c r="D5" s="62">
        <v>0</v>
      </c>
      <c r="E5" s="62">
        <v>0</v>
      </c>
      <c r="F5" s="62">
        <v>0</v>
      </c>
      <c r="G5" s="89">
        <v>0</v>
      </c>
      <c r="H5" s="62">
        <v>0</v>
      </c>
      <c r="I5" s="62">
        <v>0</v>
      </c>
      <c r="J5" s="62">
        <v>0</v>
      </c>
      <c r="K5" s="89">
        <v>0</v>
      </c>
      <c r="L5" s="62">
        <v>0</v>
      </c>
      <c r="M5" s="62">
        <v>0</v>
      </c>
      <c r="N5" s="89">
        <v>0</v>
      </c>
      <c r="O5" s="89">
        <v>0</v>
      </c>
    </row>
    <row r="6" spans="1:15" s="54" customFormat="1" ht="28.8" x14ac:dyDescent="0.3">
      <c r="A6" s="65" t="s">
        <v>7</v>
      </c>
      <c r="B6" s="66" t="s">
        <v>33</v>
      </c>
      <c r="C6" s="83" t="s">
        <v>33</v>
      </c>
      <c r="D6" s="66" t="s">
        <v>33</v>
      </c>
      <c r="E6" s="66" t="s">
        <v>33</v>
      </c>
      <c r="F6" s="66" t="s">
        <v>33</v>
      </c>
      <c r="G6" s="83" t="s">
        <v>33</v>
      </c>
      <c r="H6" s="66" t="s">
        <v>33</v>
      </c>
      <c r="I6" s="66" t="s">
        <v>33</v>
      </c>
      <c r="J6" s="66" t="s">
        <v>33</v>
      </c>
      <c r="K6" s="83" t="s">
        <v>33</v>
      </c>
      <c r="L6" s="66" t="s">
        <v>329</v>
      </c>
      <c r="M6" s="66" t="s">
        <v>33</v>
      </c>
      <c r="N6" s="83" t="s">
        <v>33</v>
      </c>
      <c r="O6" s="83" t="s">
        <v>33</v>
      </c>
    </row>
    <row r="7" spans="1:15" s="54" customFormat="1" ht="57.6" x14ac:dyDescent="0.3">
      <c r="A7" s="65" t="s">
        <v>4</v>
      </c>
      <c r="B7" s="66" t="s">
        <v>319</v>
      </c>
      <c r="C7" s="83" t="s">
        <v>233</v>
      </c>
      <c r="D7" s="66" t="s">
        <v>231</v>
      </c>
      <c r="E7" s="66" t="s">
        <v>231</v>
      </c>
      <c r="F7" s="66">
        <v>0</v>
      </c>
      <c r="G7" s="83">
        <v>3</v>
      </c>
      <c r="H7" s="66" t="s">
        <v>338</v>
      </c>
      <c r="I7" s="66" t="s">
        <v>367</v>
      </c>
      <c r="J7" s="66" t="s">
        <v>367</v>
      </c>
      <c r="K7" s="83" t="s">
        <v>390</v>
      </c>
      <c r="L7" s="66">
        <v>0</v>
      </c>
      <c r="M7" s="66">
        <v>0</v>
      </c>
      <c r="N7" s="83" t="s">
        <v>236</v>
      </c>
      <c r="O7" s="83">
        <v>10</v>
      </c>
    </row>
    <row r="8" spans="1:15" s="54" customFormat="1" x14ac:dyDescent="0.3">
      <c r="A8" s="65" t="s">
        <v>2</v>
      </c>
      <c r="B8" s="66" t="s">
        <v>225</v>
      </c>
      <c r="C8" s="92">
        <v>5</v>
      </c>
      <c r="D8" s="66" t="s">
        <v>225</v>
      </c>
      <c r="E8" s="68">
        <v>5</v>
      </c>
      <c r="F8" s="66" t="s">
        <v>225</v>
      </c>
      <c r="G8" s="92">
        <v>5</v>
      </c>
      <c r="H8" s="68">
        <v>5</v>
      </c>
      <c r="I8" s="68">
        <v>5</v>
      </c>
      <c r="J8" s="68">
        <v>5</v>
      </c>
      <c r="K8" s="92">
        <v>5</v>
      </c>
      <c r="L8" s="68">
        <v>5</v>
      </c>
      <c r="M8" s="68">
        <v>5</v>
      </c>
      <c r="N8" s="92">
        <v>5</v>
      </c>
      <c r="O8" s="92">
        <v>1</v>
      </c>
    </row>
    <row r="9" spans="1:15" s="64" customFormat="1" x14ac:dyDescent="0.3">
      <c r="A9" s="143" t="s">
        <v>361</v>
      </c>
      <c r="B9" s="188">
        <v>1</v>
      </c>
      <c r="C9" s="188">
        <v>1.5</v>
      </c>
      <c r="D9" s="188">
        <v>1</v>
      </c>
      <c r="E9" s="188" t="s">
        <v>33</v>
      </c>
      <c r="F9" s="188">
        <v>1.5</v>
      </c>
      <c r="G9" s="188">
        <v>0</v>
      </c>
      <c r="H9" s="188">
        <v>1</v>
      </c>
      <c r="I9" s="188">
        <v>1</v>
      </c>
      <c r="J9" s="188">
        <v>1</v>
      </c>
      <c r="K9" s="188">
        <v>1.5</v>
      </c>
      <c r="L9" s="188" t="s">
        <v>33</v>
      </c>
      <c r="M9" s="188" t="s">
        <v>33</v>
      </c>
      <c r="N9" s="188">
        <v>0.9</v>
      </c>
      <c r="O9" s="188"/>
    </row>
    <row r="10" spans="1:15" s="64" customFormat="1" ht="72" x14ac:dyDescent="0.3">
      <c r="A10" s="143" t="s">
        <v>78</v>
      </c>
      <c r="B10" s="63" t="s">
        <v>33</v>
      </c>
      <c r="C10" s="63">
        <v>1.5</v>
      </c>
      <c r="D10" s="63"/>
      <c r="E10" s="63">
        <v>5</v>
      </c>
      <c r="F10" s="63">
        <v>2</v>
      </c>
      <c r="G10" s="63"/>
      <c r="H10" s="63" t="s">
        <v>366</v>
      </c>
      <c r="I10" s="63"/>
      <c r="J10" s="63"/>
      <c r="K10" s="63">
        <v>5</v>
      </c>
      <c r="L10" s="62" t="s">
        <v>483</v>
      </c>
      <c r="M10" s="62" t="s">
        <v>483</v>
      </c>
      <c r="N10" s="63">
        <v>5</v>
      </c>
      <c r="O10" s="63"/>
    </row>
    <row r="11" spans="1:15" s="54" customFormat="1" ht="43.2" x14ac:dyDescent="0.3">
      <c r="A11" s="65" t="s">
        <v>18</v>
      </c>
      <c r="B11" s="83" t="s">
        <v>222</v>
      </c>
      <c r="C11" s="66" t="s">
        <v>234</v>
      </c>
      <c r="D11" s="66" t="s">
        <v>234</v>
      </c>
      <c r="E11" s="66" t="s">
        <v>234</v>
      </c>
      <c r="F11" s="66" t="s">
        <v>38</v>
      </c>
      <c r="G11" s="62">
        <v>2</v>
      </c>
      <c r="H11" s="66" t="s">
        <v>230</v>
      </c>
      <c r="I11" s="66" t="s">
        <v>571</v>
      </c>
      <c r="J11" s="66" t="s">
        <v>571</v>
      </c>
      <c r="K11" s="68" t="s">
        <v>575</v>
      </c>
      <c r="L11" s="68" t="s">
        <v>575</v>
      </c>
      <c r="M11" s="66" t="s">
        <v>38</v>
      </c>
      <c r="N11" s="66"/>
      <c r="O11" s="66"/>
    </row>
    <row r="12" spans="1:15" s="54" customFormat="1" ht="15" customHeight="1" x14ac:dyDescent="0.3">
      <c r="A12" s="65" t="s">
        <v>216</v>
      </c>
      <c r="B12" s="65"/>
      <c r="C12" s="65"/>
      <c r="D12" s="65"/>
      <c r="E12" s="65"/>
      <c r="F12" s="65"/>
      <c r="G12" s="65"/>
      <c r="H12" s="65"/>
      <c r="I12" s="65"/>
      <c r="J12" s="65"/>
      <c r="K12" s="65"/>
      <c r="L12" s="65"/>
      <c r="M12" s="65"/>
      <c r="N12" s="65"/>
      <c r="O12" s="65"/>
    </row>
    <row r="13" spans="1:15" s="54" customFormat="1" ht="115.2" x14ac:dyDescent="0.3">
      <c r="A13" s="65"/>
      <c r="B13" s="116"/>
      <c r="C13" s="117" t="s">
        <v>449</v>
      </c>
      <c r="D13" s="66"/>
      <c r="E13" s="66"/>
      <c r="F13" s="66"/>
      <c r="G13" s="66"/>
      <c r="H13" s="66" t="s">
        <v>549</v>
      </c>
      <c r="I13" s="66" t="s">
        <v>572</v>
      </c>
      <c r="J13" s="66" t="s">
        <v>478</v>
      </c>
      <c r="K13" s="66"/>
      <c r="L13" s="66"/>
      <c r="M13" s="66"/>
      <c r="N13" s="66"/>
      <c r="O13" s="66"/>
    </row>
    <row r="14" spans="1:15" s="54" customFormat="1" ht="28.8" x14ac:dyDescent="0.3">
      <c r="A14" s="65"/>
      <c r="B14" s="116"/>
      <c r="C14" s="66"/>
      <c r="D14" s="66"/>
      <c r="E14" s="66"/>
      <c r="F14" s="66"/>
      <c r="G14" s="66"/>
      <c r="H14" s="66"/>
      <c r="I14" s="66" t="s">
        <v>573</v>
      </c>
      <c r="J14" s="66"/>
      <c r="K14" s="66"/>
      <c r="L14" s="66"/>
      <c r="M14" s="66"/>
      <c r="N14" s="66"/>
      <c r="O14" s="66"/>
    </row>
    <row r="15" spans="1:15" s="54" customFormat="1" ht="72" x14ac:dyDescent="0.3">
      <c r="A15" s="65" t="s">
        <v>224</v>
      </c>
      <c r="B15" s="66" t="s">
        <v>540</v>
      </c>
      <c r="C15" s="116" t="s">
        <v>588</v>
      </c>
      <c r="D15" s="251">
        <v>9.4999999999999998E-3</v>
      </c>
      <c r="E15" s="251" t="s">
        <v>594</v>
      </c>
      <c r="F15" s="116" t="s">
        <v>597</v>
      </c>
      <c r="G15" s="116" t="s">
        <v>604</v>
      </c>
      <c r="H15" s="251">
        <v>1.0500000000000001E-2</v>
      </c>
      <c r="I15" s="214" t="s">
        <v>480</v>
      </c>
      <c r="J15" s="66" t="s">
        <v>581</v>
      </c>
      <c r="K15" s="66" t="s">
        <v>620</v>
      </c>
      <c r="L15" s="66" t="s">
        <v>481</v>
      </c>
      <c r="M15" s="66" t="s">
        <v>617</v>
      </c>
      <c r="N15" s="215">
        <v>7.0000000000000001E-3</v>
      </c>
      <c r="O15" s="215">
        <v>8.0000000000000002E-3</v>
      </c>
    </row>
    <row r="16" spans="1:15" s="54" customFormat="1" x14ac:dyDescent="0.3">
      <c r="A16" s="84"/>
    </row>
  </sheetData>
  <hyperlinks>
    <hyperlink ref="D3" r:id="rId1"/>
    <hyperlink ref="E3" r:id="rId2"/>
    <hyperlink ref="K3" r:id="rId3"/>
    <hyperlink ref="C4" r:id="rId4"/>
    <hyperlink ref="D4" r:id="rId5"/>
    <hyperlink ref="E4" r:id="rId6"/>
    <hyperlink ref="F4" r:id="rId7"/>
    <hyperlink ref="G4" r:id="rId8"/>
    <hyperlink ref="H4" r:id="rId9"/>
    <hyperlink ref="J4" r:id="rId10"/>
    <hyperlink ref="I4" r:id="rId11"/>
    <hyperlink ref="K4" r:id="rId12"/>
    <hyperlink ref="L4" r:id="rId13"/>
    <hyperlink ref="M4" r:id="rId14"/>
    <hyperlink ref="N4" r:id="rId15"/>
    <hyperlink ref="O4" r:id="rId16"/>
  </hyperlinks>
  <pageMargins left="0.7" right="0.7" top="0.75" bottom="0.75" header="0.3" footer="0.3"/>
  <pageSetup paperSize="5" scale="60" orientation="landscape"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zoomScale="90" zoomScaleNormal="90" workbookViewId="0">
      <pane xSplit="1" ySplit="4" topLeftCell="B5" activePane="bottomRight" state="frozen"/>
      <selection activeCell="A9" sqref="A9"/>
      <selection pane="topRight" activeCell="A9" sqref="A9"/>
      <selection pane="bottomLeft" activeCell="A9" sqref="A9"/>
      <selection pane="bottomRight" activeCell="A16" sqref="A16:XFD22"/>
    </sheetView>
  </sheetViews>
  <sheetFormatPr defaultRowHeight="14.4" x14ac:dyDescent="0.3"/>
  <cols>
    <col min="1" max="1" width="18.88671875" style="4" customWidth="1"/>
    <col min="2" max="2" width="26" customWidth="1"/>
    <col min="3" max="3" width="21.77734375" customWidth="1"/>
    <col min="4" max="4" width="22.77734375" customWidth="1"/>
    <col min="5" max="5" width="21.77734375" customWidth="1"/>
    <col min="6" max="7" width="27" customWidth="1"/>
    <col min="8" max="8" width="23" customWidth="1"/>
    <col min="9" max="10" width="21.77734375" customWidth="1"/>
    <col min="11" max="11" width="22.77734375" customWidth="1"/>
    <col min="12" max="12" width="17.44140625" customWidth="1"/>
  </cols>
  <sheetData>
    <row r="1" spans="1:12" ht="15.6" x14ac:dyDescent="0.3">
      <c r="A1" s="263" t="s">
        <v>323</v>
      </c>
      <c r="B1" s="263"/>
    </row>
    <row r="2" spans="1:12" x14ac:dyDescent="0.3">
      <c r="A2" s="36" t="s">
        <v>284</v>
      </c>
      <c r="B2" s="247">
        <f>Legend!B2</f>
        <v>43501</v>
      </c>
    </row>
    <row r="3" spans="1:12" s="2" customFormat="1" x14ac:dyDescent="0.3">
      <c r="A3" s="8"/>
      <c r="B3" s="37" t="s">
        <v>0</v>
      </c>
      <c r="C3" s="133" t="s">
        <v>12</v>
      </c>
      <c r="D3" s="37" t="s">
        <v>10</v>
      </c>
      <c r="E3" s="37" t="s">
        <v>10</v>
      </c>
      <c r="F3" s="37" t="s">
        <v>11</v>
      </c>
      <c r="G3" s="37" t="s">
        <v>610</v>
      </c>
      <c r="H3" s="37" t="s">
        <v>11</v>
      </c>
      <c r="I3" s="37" t="s">
        <v>8</v>
      </c>
      <c r="J3" s="37" t="s">
        <v>41</v>
      </c>
      <c r="K3" s="37" t="s">
        <v>9</v>
      </c>
      <c r="L3" s="37" t="s">
        <v>426</v>
      </c>
    </row>
    <row r="4" spans="1:12" s="2" customFormat="1" ht="28.8" x14ac:dyDescent="0.3">
      <c r="A4" s="8"/>
      <c r="B4" s="20" t="s">
        <v>238</v>
      </c>
      <c r="C4" s="132" t="s">
        <v>252</v>
      </c>
      <c r="D4" s="132" t="s">
        <v>247</v>
      </c>
      <c r="E4" s="132" t="s">
        <v>246</v>
      </c>
      <c r="F4" s="132" t="s">
        <v>251</v>
      </c>
      <c r="G4" s="132" t="s">
        <v>611</v>
      </c>
      <c r="H4" s="132" t="s">
        <v>248</v>
      </c>
      <c r="I4" s="132" t="s">
        <v>242</v>
      </c>
      <c r="J4" s="132" t="s">
        <v>254</v>
      </c>
      <c r="K4" s="132" t="s">
        <v>244</v>
      </c>
      <c r="L4" s="132" t="s">
        <v>427</v>
      </c>
    </row>
    <row r="5" spans="1:12" s="1" customFormat="1" x14ac:dyDescent="0.3">
      <c r="A5" s="21" t="s">
        <v>1</v>
      </c>
      <c r="B5" s="9">
        <v>0</v>
      </c>
      <c r="C5" s="10">
        <v>0</v>
      </c>
      <c r="D5" s="10">
        <v>0</v>
      </c>
      <c r="E5" s="10">
        <v>0</v>
      </c>
      <c r="F5" s="10">
        <v>0</v>
      </c>
      <c r="G5" s="10">
        <v>0</v>
      </c>
      <c r="H5" s="10">
        <v>0</v>
      </c>
      <c r="I5" s="10">
        <v>0</v>
      </c>
      <c r="J5" s="10">
        <v>0</v>
      </c>
      <c r="K5" s="10">
        <v>0</v>
      </c>
      <c r="L5" s="10">
        <v>0</v>
      </c>
    </row>
    <row r="6" spans="1:12" ht="28.8" x14ac:dyDescent="0.3">
      <c r="A6" s="22" t="s">
        <v>7</v>
      </c>
      <c r="B6" s="3" t="s">
        <v>239</v>
      </c>
      <c r="C6" s="3" t="s">
        <v>33</v>
      </c>
      <c r="D6" s="18" t="s">
        <v>33</v>
      </c>
      <c r="E6" s="17" t="s">
        <v>33</v>
      </c>
      <c r="F6" s="17" t="s">
        <v>33</v>
      </c>
      <c r="G6" s="17" t="s">
        <v>33</v>
      </c>
      <c r="H6" s="3" t="s">
        <v>33</v>
      </c>
      <c r="I6" s="3" t="s">
        <v>33</v>
      </c>
      <c r="J6" s="3" t="s">
        <v>33</v>
      </c>
      <c r="K6" s="3" t="s">
        <v>33</v>
      </c>
      <c r="L6" s="3" t="s">
        <v>33</v>
      </c>
    </row>
    <row r="7" spans="1:12" ht="28.8" x14ac:dyDescent="0.3">
      <c r="A7" s="22" t="s">
        <v>4</v>
      </c>
      <c r="B7" s="3" t="s">
        <v>240</v>
      </c>
      <c r="C7" s="7" t="s">
        <v>595</v>
      </c>
      <c r="D7" s="7">
        <v>1</v>
      </c>
      <c r="E7" s="7" t="s">
        <v>33</v>
      </c>
      <c r="F7" s="7" t="s">
        <v>250</v>
      </c>
      <c r="G7" s="43" t="s">
        <v>33</v>
      </c>
      <c r="H7" s="7" t="s">
        <v>250</v>
      </c>
      <c r="I7" s="7" t="s">
        <v>243</v>
      </c>
      <c r="J7" s="44">
        <v>1</v>
      </c>
      <c r="K7" s="44" t="s">
        <v>245</v>
      </c>
      <c r="L7" s="15">
        <v>10</v>
      </c>
    </row>
    <row r="8" spans="1:12" ht="57.6" x14ac:dyDescent="0.3">
      <c r="A8" s="22" t="s">
        <v>2</v>
      </c>
      <c r="B8" s="3" t="s">
        <v>241</v>
      </c>
      <c r="C8" s="7" t="s">
        <v>253</v>
      </c>
      <c r="D8" s="31">
        <v>5</v>
      </c>
      <c r="E8" s="31">
        <v>1.5</v>
      </c>
      <c r="F8" s="41">
        <v>2</v>
      </c>
      <c r="G8" s="43" t="s">
        <v>33</v>
      </c>
      <c r="H8" s="41">
        <v>2</v>
      </c>
      <c r="I8" s="41">
        <v>5</v>
      </c>
      <c r="J8" s="44">
        <v>1.25</v>
      </c>
      <c r="K8" s="32">
        <v>3</v>
      </c>
      <c r="L8" s="15" t="s">
        <v>428</v>
      </c>
    </row>
    <row r="9" spans="1:12" s="1" customFormat="1" ht="28.8" x14ac:dyDescent="0.3">
      <c r="A9" s="143" t="s">
        <v>385</v>
      </c>
      <c r="B9" s="10"/>
      <c r="C9" s="45"/>
      <c r="D9" s="45">
        <v>1.5</v>
      </c>
      <c r="E9" s="45">
        <v>1.5</v>
      </c>
      <c r="F9" s="212">
        <v>1</v>
      </c>
      <c r="G9" s="43" t="s">
        <v>33</v>
      </c>
      <c r="H9" s="212">
        <v>1</v>
      </c>
      <c r="I9" s="45"/>
      <c r="J9" s="40">
        <v>1.5</v>
      </c>
      <c r="K9" s="40" t="s">
        <v>446</v>
      </c>
      <c r="L9" s="40"/>
    </row>
    <row r="10" spans="1:12" ht="86.4" x14ac:dyDescent="0.3">
      <c r="A10" s="86" t="s">
        <v>78</v>
      </c>
      <c r="B10" s="42"/>
      <c r="C10" s="43"/>
      <c r="D10" s="41">
        <v>2</v>
      </c>
      <c r="E10" s="41">
        <v>2</v>
      </c>
      <c r="F10" s="173" t="s">
        <v>366</v>
      </c>
      <c r="G10" s="43" t="s">
        <v>33</v>
      </c>
      <c r="H10" s="173" t="s">
        <v>366</v>
      </c>
      <c r="I10" s="43"/>
      <c r="J10" s="63" t="s">
        <v>165</v>
      </c>
      <c r="K10" s="63" t="s">
        <v>483</v>
      </c>
      <c r="L10" s="32"/>
    </row>
    <row r="11" spans="1:12" ht="57.6" x14ac:dyDescent="0.3">
      <c r="A11" s="22" t="s">
        <v>18</v>
      </c>
      <c r="B11" s="3"/>
      <c r="C11" s="31">
        <v>2</v>
      </c>
      <c r="D11" s="7" t="s">
        <v>596</v>
      </c>
      <c r="E11" s="7" t="s">
        <v>596</v>
      </c>
      <c r="F11" s="7" t="s">
        <v>339</v>
      </c>
      <c r="G11" s="43" t="s">
        <v>612</v>
      </c>
      <c r="H11" s="7" t="s">
        <v>249</v>
      </c>
      <c r="I11" s="7" t="s">
        <v>574</v>
      </c>
      <c r="J11" s="3" t="s">
        <v>575</v>
      </c>
      <c r="K11" s="42" t="s">
        <v>575</v>
      </c>
      <c r="L11" s="3"/>
    </row>
    <row r="12" spans="1:12" ht="15" thickBot="1" x14ac:dyDescent="0.35">
      <c r="A12" s="22" t="s">
        <v>17</v>
      </c>
      <c r="B12" s="22"/>
      <c r="C12" s="22"/>
      <c r="D12" s="22"/>
      <c r="E12" s="22"/>
      <c r="F12" s="22"/>
      <c r="G12" s="22"/>
      <c r="H12" s="22"/>
      <c r="I12" s="22"/>
      <c r="J12" s="22"/>
      <c r="K12" s="22"/>
      <c r="L12" s="22"/>
    </row>
    <row r="13" spans="1:12" ht="86.4" x14ac:dyDescent="0.3">
      <c r="A13" s="22"/>
      <c r="B13" s="213"/>
      <c r="C13" s="213"/>
      <c r="D13" s="213"/>
      <c r="E13" s="213"/>
      <c r="F13" s="124" t="s">
        <v>549</v>
      </c>
      <c r="G13" s="243" t="s">
        <v>613</v>
      </c>
      <c r="H13" s="124" t="s">
        <v>549</v>
      </c>
      <c r="I13" s="213"/>
      <c r="J13" s="213"/>
      <c r="K13" s="213"/>
      <c r="L13" s="213"/>
    </row>
    <row r="14" spans="1:12" ht="100.8" x14ac:dyDescent="0.3">
      <c r="A14" s="22" t="s">
        <v>224</v>
      </c>
      <c r="B14" s="7" t="s">
        <v>434</v>
      </c>
      <c r="C14" s="34">
        <v>5.0000000000000001E-4</v>
      </c>
      <c r="D14" s="45" t="s">
        <v>439</v>
      </c>
      <c r="E14" s="38">
        <v>5.0000000000000001E-4</v>
      </c>
      <c r="F14" s="38" t="s">
        <v>438</v>
      </c>
      <c r="G14" s="38">
        <v>5.0000000000000001E-3</v>
      </c>
      <c r="H14" s="38" t="s">
        <v>471</v>
      </c>
      <c r="I14" s="38">
        <v>2.0000000000000001E-4</v>
      </c>
      <c r="J14" s="38">
        <v>5.0000000000000001E-4</v>
      </c>
      <c r="K14" s="38">
        <v>5.0000000000000001E-4</v>
      </c>
      <c r="L14" s="35">
        <v>5.0000000000000001E-4</v>
      </c>
    </row>
  </sheetData>
  <mergeCells count="1">
    <mergeCell ref="A1:B1"/>
  </mergeCells>
  <hyperlinks>
    <hyperlink ref="C3" r:id="rId1"/>
    <hyperlink ref="D4" r:id="rId2"/>
    <hyperlink ref="E4" r:id="rId3"/>
    <hyperlink ref="F4" r:id="rId4"/>
    <hyperlink ref="H4" r:id="rId5"/>
    <hyperlink ref="I4" r:id="rId6"/>
    <hyperlink ref="J4" r:id="rId7"/>
    <hyperlink ref="K4" r:id="rId8"/>
    <hyperlink ref="L4" r:id="rId9"/>
    <hyperlink ref="C4" r:id="rId10"/>
    <hyperlink ref="G4" r:id="rId11"/>
  </hyperlinks>
  <pageMargins left="0.7" right="0.7" top="0.75" bottom="0.75" header="0.3" footer="0.3"/>
  <pageSetup paperSize="5" scale="65" orientation="landscape"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zoomScaleNormal="100" workbookViewId="0">
      <pane xSplit="1" ySplit="4" topLeftCell="B5" activePane="bottomRight" state="frozen"/>
      <selection activeCell="A9" sqref="A9"/>
      <selection pane="topRight" activeCell="A9" sqref="A9"/>
      <selection pane="bottomLeft" activeCell="A9" sqref="A9"/>
      <selection pane="bottomRight" activeCell="A24" sqref="A24:XFD29"/>
    </sheetView>
  </sheetViews>
  <sheetFormatPr defaultColWidth="9.109375" defaultRowHeight="14.4" x14ac:dyDescent="0.3"/>
  <cols>
    <col min="1" max="1" width="20.109375" style="194" customWidth="1"/>
    <col min="2" max="4" width="21.77734375" style="64" customWidth="1"/>
    <col min="5" max="5" width="29.5546875" style="64" customWidth="1"/>
    <col min="6" max="7" width="21.77734375" style="64" customWidth="1"/>
    <col min="8" max="8" width="24.109375" style="64" customWidth="1"/>
    <col min="9" max="12" width="21.77734375" style="64" customWidth="1"/>
    <col min="13" max="16384" width="9.109375" style="64"/>
  </cols>
  <sheetData>
    <row r="1" spans="1:12" ht="15.6" x14ac:dyDescent="0.3">
      <c r="A1" s="262" t="s">
        <v>324</v>
      </c>
      <c r="B1" s="262"/>
      <c r="C1" s="242"/>
      <c r="E1" s="186"/>
      <c r="I1" s="186"/>
    </row>
    <row r="2" spans="1:12" x14ac:dyDescent="0.3">
      <c r="A2" s="163" t="s">
        <v>284</v>
      </c>
      <c r="B2" s="248">
        <f>Legend!B2</f>
        <v>43501</v>
      </c>
      <c r="C2" s="164"/>
      <c r="E2" s="164"/>
      <c r="I2" s="164"/>
    </row>
    <row r="3" spans="1:12" s="187" customFormat="1" x14ac:dyDescent="0.3">
      <c r="A3" s="165"/>
      <c r="B3" s="166" t="s">
        <v>0</v>
      </c>
      <c r="C3" s="166" t="s">
        <v>14</v>
      </c>
      <c r="D3" s="166" t="s">
        <v>9</v>
      </c>
      <c r="E3" s="166" t="s">
        <v>10</v>
      </c>
      <c r="F3" s="166" t="s">
        <v>11</v>
      </c>
      <c r="G3" s="167" t="s">
        <v>12</v>
      </c>
      <c r="H3" s="166" t="s">
        <v>8</v>
      </c>
      <c r="I3" s="166" t="s">
        <v>13</v>
      </c>
      <c r="J3" s="166" t="s">
        <v>41</v>
      </c>
      <c r="K3" s="166" t="s">
        <v>576</v>
      </c>
      <c r="L3" s="166" t="s">
        <v>42</v>
      </c>
    </row>
    <row r="4" spans="1:12" s="187" customFormat="1" ht="28.8" x14ac:dyDescent="0.3">
      <c r="A4" s="165"/>
      <c r="B4" s="168" t="s">
        <v>215</v>
      </c>
      <c r="C4" s="142" t="s">
        <v>132</v>
      </c>
      <c r="D4" s="168" t="s">
        <v>259</v>
      </c>
      <c r="E4" s="169" t="s">
        <v>538</v>
      </c>
      <c r="F4" s="168"/>
      <c r="G4" s="168" t="s">
        <v>262</v>
      </c>
      <c r="H4" s="169" t="s">
        <v>354</v>
      </c>
      <c r="I4" s="168" t="s">
        <v>265</v>
      </c>
      <c r="J4" s="168" t="s">
        <v>269</v>
      </c>
      <c r="K4" s="168" t="s">
        <v>577</v>
      </c>
      <c r="L4" s="168" t="s">
        <v>623</v>
      </c>
    </row>
    <row r="5" spans="1:12" ht="72" x14ac:dyDescent="0.3">
      <c r="A5" s="60" t="s">
        <v>1</v>
      </c>
      <c r="B5" s="88">
        <v>0</v>
      </c>
      <c r="C5" s="88"/>
      <c r="D5" s="89" t="s">
        <v>255</v>
      </c>
      <c r="E5" s="89" t="s">
        <v>539</v>
      </c>
      <c r="F5" s="89" t="s">
        <v>397</v>
      </c>
      <c r="G5" s="89" t="s">
        <v>263</v>
      </c>
      <c r="H5" s="88" t="s">
        <v>401</v>
      </c>
      <c r="I5" s="89">
        <v>0</v>
      </c>
      <c r="J5" s="89">
        <v>0</v>
      </c>
      <c r="K5" s="89">
        <v>0</v>
      </c>
      <c r="L5" s="89">
        <v>0</v>
      </c>
    </row>
    <row r="6" spans="1:12" ht="28.8" x14ac:dyDescent="0.3">
      <c r="A6" s="60" t="s">
        <v>7</v>
      </c>
      <c r="B6" s="89" t="s">
        <v>33</v>
      </c>
      <c r="C6" s="89"/>
      <c r="D6" s="89" t="s">
        <v>257</v>
      </c>
      <c r="E6" s="89" t="s">
        <v>33</v>
      </c>
      <c r="F6" s="89" t="s">
        <v>257</v>
      </c>
      <c r="G6" s="89" t="s">
        <v>257</v>
      </c>
      <c r="H6" s="89" t="s">
        <v>257</v>
      </c>
      <c r="I6" s="89" t="s">
        <v>33</v>
      </c>
      <c r="J6" s="89" t="s">
        <v>33</v>
      </c>
      <c r="K6" s="89" t="s">
        <v>33</v>
      </c>
      <c r="L6" s="89" t="s">
        <v>33</v>
      </c>
    </row>
    <row r="7" spans="1:12" ht="28.8" x14ac:dyDescent="0.3">
      <c r="A7" s="60" t="s">
        <v>4</v>
      </c>
      <c r="B7" s="89" t="s">
        <v>5</v>
      </c>
      <c r="C7" s="89"/>
      <c r="D7" s="89" t="s">
        <v>257</v>
      </c>
      <c r="E7" s="89" t="s">
        <v>257</v>
      </c>
      <c r="F7" s="89" t="s">
        <v>257</v>
      </c>
      <c r="G7" s="89" t="s">
        <v>257</v>
      </c>
      <c r="H7" s="89" t="s">
        <v>257</v>
      </c>
      <c r="I7" s="89" t="s">
        <v>5</v>
      </c>
      <c r="J7" s="89" t="s">
        <v>5</v>
      </c>
      <c r="K7" s="89" t="s">
        <v>5</v>
      </c>
      <c r="L7" s="89" t="s">
        <v>5</v>
      </c>
    </row>
    <row r="8" spans="1:12" ht="28.8" x14ac:dyDescent="0.3">
      <c r="A8" s="60" t="s">
        <v>2</v>
      </c>
      <c r="B8" s="89" t="s">
        <v>33</v>
      </c>
      <c r="C8" s="89"/>
      <c r="D8" s="89" t="s">
        <v>257</v>
      </c>
      <c r="E8" s="89" t="s">
        <v>257</v>
      </c>
      <c r="F8" s="89" t="s">
        <v>257</v>
      </c>
      <c r="G8" s="89" t="s">
        <v>257</v>
      </c>
      <c r="H8" s="89" t="s">
        <v>257</v>
      </c>
      <c r="I8" s="89" t="s">
        <v>33</v>
      </c>
      <c r="J8" s="89" t="s">
        <v>33</v>
      </c>
      <c r="K8" s="89" t="s">
        <v>33</v>
      </c>
      <c r="L8" s="89">
        <v>5</v>
      </c>
    </row>
    <row r="9" spans="1:12" ht="16.5" customHeight="1" x14ac:dyDescent="0.3">
      <c r="A9" s="143" t="s">
        <v>361</v>
      </c>
      <c r="B9" s="188">
        <v>1</v>
      </c>
      <c r="C9" s="188"/>
      <c r="D9" s="188">
        <v>0</v>
      </c>
      <c r="E9" s="188">
        <v>0</v>
      </c>
      <c r="F9" s="188">
        <v>0</v>
      </c>
      <c r="G9" s="188">
        <v>0</v>
      </c>
      <c r="H9" s="188" t="s">
        <v>257</v>
      </c>
      <c r="I9" s="188">
        <v>0</v>
      </c>
      <c r="J9" s="188">
        <v>1.5</v>
      </c>
      <c r="K9" s="188">
        <v>0.9</v>
      </c>
      <c r="L9" s="188">
        <v>0.9</v>
      </c>
    </row>
    <row r="10" spans="1:12" ht="16.5" customHeight="1" x14ac:dyDescent="0.3">
      <c r="A10" s="143" t="s">
        <v>590</v>
      </c>
      <c r="B10" s="188" t="s">
        <v>589</v>
      </c>
      <c r="C10" s="188"/>
      <c r="D10" s="188"/>
      <c r="E10" s="188"/>
      <c r="F10" s="188"/>
      <c r="G10" s="188"/>
      <c r="H10" s="188"/>
      <c r="I10" s="188">
        <v>1.5</v>
      </c>
      <c r="J10" s="188"/>
      <c r="K10" s="188"/>
      <c r="L10" s="188"/>
    </row>
    <row r="11" spans="1:12" ht="16.5" customHeight="1" x14ac:dyDescent="0.3">
      <c r="A11" s="143" t="s">
        <v>591</v>
      </c>
      <c r="B11" s="188"/>
      <c r="C11" s="188"/>
      <c r="D11" s="188"/>
      <c r="E11" s="188"/>
      <c r="F11" s="188"/>
      <c r="G11" s="188"/>
      <c r="H11" s="188"/>
      <c r="I11" s="188">
        <v>0</v>
      </c>
      <c r="J11" s="188"/>
      <c r="K11" s="188"/>
      <c r="L11" s="188"/>
    </row>
    <row r="12" spans="1:12" ht="57.6" x14ac:dyDescent="0.3">
      <c r="A12" s="60" t="s">
        <v>78</v>
      </c>
      <c r="B12" s="62"/>
      <c r="C12" s="62"/>
      <c r="D12" s="89" t="s">
        <v>257</v>
      </c>
      <c r="E12" s="62" t="s">
        <v>467</v>
      </c>
      <c r="F12" s="62"/>
      <c r="G12" s="62"/>
      <c r="H12" s="62"/>
      <c r="I12" s="40" t="s">
        <v>452</v>
      </c>
      <c r="J12" s="62" t="s">
        <v>391</v>
      </c>
      <c r="K12" s="62">
        <v>0</v>
      </c>
      <c r="L12" s="62">
        <v>0</v>
      </c>
    </row>
    <row r="13" spans="1:12" ht="28.8" x14ac:dyDescent="0.3">
      <c r="A13" s="60" t="s">
        <v>15</v>
      </c>
      <c r="B13" s="89" t="s">
        <v>16</v>
      </c>
      <c r="C13" s="89"/>
      <c r="D13" s="89" t="s">
        <v>257</v>
      </c>
      <c r="E13" s="89" t="s">
        <v>257</v>
      </c>
      <c r="F13" s="89"/>
      <c r="G13" s="89" t="s">
        <v>257</v>
      </c>
      <c r="H13" s="89" t="s">
        <v>257</v>
      </c>
      <c r="I13" s="89" t="s">
        <v>33</v>
      </c>
      <c r="J13" s="89" t="s">
        <v>16</v>
      </c>
      <c r="K13" s="89" t="s">
        <v>16</v>
      </c>
      <c r="L13" s="89"/>
    </row>
    <row r="14" spans="1:12" ht="43.2" x14ac:dyDescent="0.3">
      <c r="A14" s="172" t="s">
        <v>18</v>
      </c>
      <c r="B14" s="109" t="s">
        <v>222</v>
      </c>
      <c r="C14" s="109"/>
      <c r="D14" s="109" t="s">
        <v>38</v>
      </c>
      <c r="E14" s="109" t="s">
        <v>205</v>
      </c>
      <c r="F14" s="109"/>
      <c r="G14" s="109" t="s">
        <v>205</v>
      </c>
      <c r="H14" s="109" t="s">
        <v>38</v>
      </c>
      <c r="I14" s="109" t="s">
        <v>210</v>
      </c>
      <c r="J14" s="109" t="s">
        <v>210</v>
      </c>
      <c r="K14" s="109"/>
      <c r="L14" s="109"/>
    </row>
    <row r="15" spans="1:12" ht="86.4" x14ac:dyDescent="0.3">
      <c r="A15" s="60" t="s">
        <v>216</v>
      </c>
      <c r="B15" s="63" t="s">
        <v>217</v>
      </c>
      <c r="C15" s="63"/>
      <c r="D15" s="63" t="s">
        <v>348</v>
      </c>
      <c r="E15" s="63" t="s">
        <v>260</v>
      </c>
      <c r="F15" s="63" t="s">
        <v>398</v>
      </c>
      <c r="G15" s="63" t="s">
        <v>264</v>
      </c>
      <c r="H15" s="63" t="s">
        <v>355</v>
      </c>
      <c r="I15" s="63" t="s">
        <v>399</v>
      </c>
      <c r="J15" s="63" t="s">
        <v>121</v>
      </c>
      <c r="K15" s="63"/>
      <c r="L15" s="89"/>
    </row>
    <row r="16" spans="1:12" ht="43.2" x14ac:dyDescent="0.3">
      <c r="A16" s="60" t="s">
        <v>87</v>
      </c>
      <c r="B16" s="63" t="s">
        <v>218</v>
      </c>
      <c r="C16" s="63"/>
      <c r="D16" s="63"/>
      <c r="E16" s="63" t="s">
        <v>261</v>
      </c>
      <c r="F16" s="63"/>
      <c r="G16" s="63"/>
      <c r="H16" s="63"/>
      <c r="I16" s="63" t="s">
        <v>267</v>
      </c>
      <c r="J16" s="63" t="s">
        <v>270</v>
      </c>
      <c r="K16" s="63"/>
      <c r="L16" s="89">
        <v>0</v>
      </c>
    </row>
    <row r="17" spans="1:12" ht="28.8" x14ac:dyDescent="0.3">
      <c r="A17" s="60" t="s">
        <v>411</v>
      </c>
      <c r="B17" s="63" t="s">
        <v>219</v>
      </c>
      <c r="C17" s="63"/>
      <c r="D17" s="63"/>
      <c r="E17" s="63"/>
      <c r="F17" s="63"/>
      <c r="G17" s="63"/>
      <c r="H17" s="63"/>
      <c r="I17" s="63" t="s">
        <v>268</v>
      </c>
      <c r="J17" s="63" t="s">
        <v>271</v>
      </c>
      <c r="K17" s="63"/>
      <c r="L17" s="89" t="s">
        <v>625</v>
      </c>
    </row>
    <row r="18" spans="1:12" ht="57.6" x14ac:dyDescent="0.3">
      <c r="A18" s="60" t="s">
        <v>84</v>
      </c>
      <c r="B18" s="63" t="s">
        <v>220</v>
      </c>
      <c r="C18" s="63"/>
      <c r="D18" s="63"/>
      <c r="E18" s="63"/>
      <c r="F18" s="63"/>
      <c r="G18" s="63"/>
      <c r="H18" s="63"/>
      <c r="I18" s="63"/>
      <c r="J18" s="63" t="s">
        <v>266</v>
      </c>
      <c r="K18" s="63"/>
      <c r="L18" s="89"/>
    </row>
    <row r="19" spans="1:12" x14ac:dyDescent="0.3">
      <c r="A19" s="60"/>
      <c r="B19" s="63" t="s">
        <v>221</v>
      </c>
      <c r="C19" s="63"/>
      <c r="D19" s="63"/>
      <c r="E19" s="63"/>
      <c r="F19" s="63"/>
      <c r="G19" s="63"/>
      <c r="H19" s="63"/>
      <c r="I19" s="63"/>
      <c r="J19" s="63"/>
      <c r="K19" s="63"/>
      <c r="L19" s="89"/>
    </row>
    <row r="20" spans="1:12" ht="28.8" x14ac:dyDescent="0.3">
      <c r="A20" s="60" t="s">
        <v>24</v>
      </c>
      <c r="B20" s="89" t="s">
        <v>25</v>
      </c>
      <c r="C20" s="89"/>
      <c r="D20" s="89" t="s">
        <v>258</v>
      </c>
      <c r="E20" s="89"/>
      <c r="F20" s="89"/>
      <c r="G20" s="89" t="s">
        <v>258</v>
      </c>
      <c r="H20" s="89" t="s">
        <v>258</v>
      </c>
      <c r="I20" s="89" t="s">
        <v>400</v>
      </c>
      <c r="J20" s="89" t="s">
        <v>64</v>
      </c>
      <c r="K20" s="89"/>
      <c r="L20" s="89"/>
    </row>
    <row r="21" spans="1:12" ht="43.2" x14ac:dyDescent="0.3">
      <c r="A21" s="60" t="s">
        <v>224</v>
      </c>
      <c r="B21" s="89"/>
      <c r="C21" s="89"/>
      <c r="D21" s="89"/>
      <c r="E21" s="89"/>
      <c r="F21" s="89"/>
      <c r="G21" s="89"/>
      <c r="H21" s="89"/>
      <c r="I21" s="89"/>
      <c r="J21" s="89"/>
      <c r="K21" s="120">
        <v>5.0000000000000001E-4</v>
      </c>
      <c r="L21" s="63" t="s">
        <v>488</v>
      </c>
    </row>
    <row r="22" spans="1:12" x14ac:dyDescent="0.3">
      <c r="A22" s="60" t="s">
        <v>6</v>
      </c>
      <c r="B22" s="89" t="s">
        <v>432</v>
      </c>
      <c r="C22" s="89"/>
      <c r="D22" s="89" t="s">
        <v>256</v>
      </c>
      <c r="E22" s="89" t="s">
        <v>466</v>
      </c>
      <c r="F22" s="89" t="s">
        <v>472</v>
      </c>
      <c r="G22" s="89" t="s">
        <v>352</v>
      </c>
      <c r="H22" s="89" t="s">
        <v>256</v>
      </c>
      <c r="I22" s="89" t="s">
        <v>223</v>
      </c>
      <c r="J22" s="89" t="s">
        <v>256</v>
      </c>
      <c r="K22" s="89"/>
      <c r="L22" s="89"/>
    </row>
  </sheetData>
  <mergeCells count="1">
    <mergeCell ref="A1:B1"/>
  </mergeCells>
  <hyperlinks>
    <hyperlink ref="G3" r:id="rId1"/>
    <hyperlink ref="E4" r:id="rId2" display="Senior Discount"/>
    <hyperlink ref="H4" r:id="rId3"/>
    <hyperlink ref="C4" r:id="rId4"/>
  </hyperlinks>
  <pageMargins left="0.7" right="0.7" top="0.75" bottom="0.75" header="0.3" footer="0.3"/>
  <pageSetup paperSize="5" scale="54"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zoomScaleNormal="100" workbookViewId="0">
      <pane xSplit="1" ySplit="4" topLeftCell="B5" activePane="bottomRight" state="frozen"/>
      <selection activeCell="A9" sqref="A9"/>
      <selection pane="topRight" activeCell="A9" sqref="A9"/>
      <selection pane="bottomLeft" activeCell="A9" sqref="A9"/>
      <selection pane="bottomRight" activeCell="B6" sqref="B6"/>
    </sheetView>
  </sheetViews>
  <sheetFormatPr defaultColWidth="9.109375" defaultRowHeight="14.4" x14ac:dyDescent="0.3"/>
  <cols>
    <col min="1" max="1" width="15.21875" style="194" bestFit="1" customWidth="1"/>
    <col min="2" max="11" width="21.77734375" style="64" customWidth="1"/>
    <col min="12" max="12" width="19.44140625" style="64" customWidth="1"/>
    <col min="13" max="16384" width="9.109375" style="64"/>
  </cols>
  <sheetData>
    <row r="1" spans="1:12" ht="15.6" x14ac:dyDescent="0.3">
      <c r="A1" s="262" t="s">
        <v>325</v>
      </c>
      <c r="B1" s="262"/>
      <c r="C1" s="242"/>
      <c r="D1" s="162"/>
    </row>
    <row r="2" spans="1:12" x14ac:dyDescent="0.3">
      <c r="A2" s="163" t="s">
        <v>284</v>
      </c>
      <c r="B2" s="248">
        <f>Legend!B2</f>
        <v>43501</v>
      </c>
      <c r="C2" s="164"/>
      <c r="D2" s="162"/>
    </row>
    <row r="3" spans="1:12" s="187" customFormat="1" x14ac:dyDescent="0.3">
      <c r="A3" s="165"/>
      <c r="B3" s="166" t="s">
        <v>0</v>
      </c>
      <c r="C3" s="166" t="s">
        <v>14</v>
      </c>
      <c r="D3" s="166" t="s">
        <v>9</v>
      </c>
      <c r="E3" s="166" t="s">
        <v>10</v>
      </c>
      <c r="F3" s="166" t="s">
        <v>11</v>
      </c>
      <c r="G3" s="166" t="s">
        <v>11</v>
      </c>
      <c r="H3" s="167" t="s">
        <v>12</v>
      </c>
      <c r="I3" s="166" t="s">
        <v>8</v>
      </c>
      <c r="J3" s="166" t="s">
        <v>13</v>
      </c>
      <c r="K3" s="167" t="s">
        <v>41</v>
      </c>
      <c r="L3" s="166" t="s">
        <v>42</v>
      </c>
    </row>
    <row r="4" spans="1:12" s="187" customFormat="1" ht="28.8" x14ac:dyDescent="0.3">
      <c r="A4" s="165"/>
      <c r="B4" s="168" t="s">
        <v>195</v>
      </c>
      <c r="C4" s="142" t="s">
        <v>132</v>
      </c>
      <c r="D4" s="169" t="s">
        <v>530</v>
      </c>
      <c r="E4" s="169" t="s">
        <v>468</v>
      </c>
      <c r="F4" s="169" t="s">
        <v>184</v>
      </c>
      <c r="G4" s="169" t="s">
        <v>340</v>
      </c>
      <c r="H4" s="168" t="s">
        <v>389</v>
      </c>
      <c r="I4" s="169" t="s">
        <v>174</v>
      </c>
      <c r="J4" s="169" t="s">
        <v>191</v>
      </c>
      <c r="K4" s="168" t="s">
        <v>392</v>
      </c>
      <c r="L4" s="169" t="s">
        <v>623</v>
      </c>
    </row>
    <row r="5" spans="1:12" x14ac:dyDescent="0.3">
      <c r="A5" s="60" t="s">
        <v>1</v>
      </c>
      <c r="B5" s="88">
        <v>0</v>
      </c>
      <c r="C5" s="88">
        <v>4</v>
      </c>
      <c r="D5" s="89">
        <v>0</v>
      </c>
      <c r="E5" s="89">
        <v>0</v>
      </c>
      <c r="F5" s="89">
        <v>10.95</v>
      </c>
      <c r="G5" s="63">
        <v>0</v>
      </c>
      <c r="H5" s="62" t="s">
        <v>416</v>
      </c>
      <c r="I5" s="89">
        <v>0</v>
      </c>
      <c r="J5" s="89">
        <v>0</v>
      </c>
      <c r="K5" s="89">
        <v>0</v>
      </c>
      <c r="L5" s="89">
        <v>0</v>
      </c>
    </row>
    <row r="6" spans="1:12" ht="57.6" x14ac:dyDescent="0.3">
      <c r="A6" s="60" t="s">
        <v>7</v>
      </c>
      <c r="B6" s="89" t="s">
        <v>33</v>
      </c>
      <c r="C6" s="89"/>
      <c r="D6" s="89" t="s">
        <v>33</v>
      </c>
      <c r="E6" s="89" t="s">
        <v>33</v>
      </c>
      <c r="F6" s="89" t="s">
        <v>185</v>
      </c>
      <c r="G6" s="63" t="s">
        <v>33</v>
      </c>
      <c r="H6" s="89" t="s">
        <v>387</v>
      </c>
      <c r="I6" s="89" t="s">
        <v>33</v>
      </c>
      <c r="J6" s="89" t="s">
        <v>33</v>
      </c>
      <c r="K6" s="89" t="s">
        <v>33</v>
      </c>
      <c r="L6" s="89" t="s">
        <v>33</v>
      </c>
    </row>
    <row r="7" spans="1:12" ht="28.8" x14ac:dyDescent="0.3">
      <c r="A7" s="60" t="s">
        <v>4</v>
      </c>
      <c r="B7" s="207" t="s">
        <v>5</v>
      </c>
      <c r="C7" s="207"/>
      <c r="D7" s="207">
        <v>25</v>
      </c>
      <c r="E7" s="207" t="s">
        <v>5</v>
      </c>
      <c r="F7" s="207" t="s">
        <v>5</v>
      </c>
      <c r="G7" s="185">
        <v>25</v>
      </c>
      <c r="H7" s="207" t="s">
        <v>387</v>
      </c>
      <c r="I7" s="207" t="s">
        <v>5</v>
      </c>
      <c r="J7" s="184" t="s">
        <v>5</v>
      </c>
      <c r="K7" s="207" t="s">
        <v>5</v>
      </c>
      <c r="L7" s="184" t="s">
        <v>5</v>
      </c>
    </row>
    <row r="8" spans="1:12" x14ac:dyDescent="0.3">
      <c r="A8" s="60" t="s">
        <v>2</v>
      </c>
      <c r="B8" s="89" t="s">
        <v>33</v>
      </c>
      <c r="C8" s="89"/>
      <c r="D8" s="62">
        <v>1.25</v>
      </c>
      <c r="E8" s="89" t="s">
        <v>33</v>
      </c>
      <c r="F8" s="89" t="s">
        <v>33</v>
      </c>
      <c r="G8" s="63" t="s">
        <v>180</v>
      </c>
      <c r="H8" s="207" t="s">
        <v>387</v>
      </c>
      <c r="I8" s="89" t="s">
        <v>33</v>
      </c>
      <c r="J8" s="62" t="s">
        <v>33</v>
      </c>
      <c r="K8" s="89" t="s">
        <v>33</v>
      </c>
      <c r="L8" s="62" t="s">
        <v>33</v>
      </c>
    </row>
    <row r="9" spans="1:12" x14ac:dyDescent="0.3">
      <c r="A9" s="143" t="s">
        <v>361</v>
      </c>
      <c r="B9" s="188">
        <v>1</v>
      </c>
      <c r="C9" s="188"/>
      <c r="D9" s="188">
        <v>0</v>
      </c>
      <c r="E9" s="188">
        <v>0</v>
      </c>
      <c r="F9" s="188">
        <v>0</v>
      </c>
      <c r="G9" s="188">
        <v>0</v>
      </c>
      <c r="H9" s="195">
        <v>0</v>
      </c>
      <c r="I9" s="188">
        <v>0</v>
      </c>
      <c r="J9" s="195">
        <v>0</v>
      </c>
      <c r="K9" s="195" t="s">
        <v>487</v>
      </c>
      <c r="L9" s="195"/>
    </row>
    <row r="10" spans="1:12" ht="100.8" x14ac:dyDescent="0.3">
      <c r="A10" s="60" t="s">
        <v>78</v>
      </c>
      <c r="B10" s="62" t="s">
        <v>433</v>
      </c>
      <c r="C10" s="62"/>
      <c r="D10" s="62" t="s">
        <v>447</v>
      </c>
      <c r="E10" s="89" t="s">
        <v>469</v>
      </c>
      <c r="F10" s="89" t="s">
        <v>186</v>
      </c>
      <c r="G10" s="63" t="s">
        <v>186</v>
      </c>
      <c r="H10" s="207" t="s">
        <v>387</v>
      </c>
      <c r="I10" s="62" t="s">
        <v>366</v>
      </c>
      <c r="J10" s="40" t="s">
        <v>452</v>
      </c>
      <c r="K10" s="109" t="s">
        <v>165</v>
      </c>
      <c r="L10" s="40"/>
    </row>
    <row r="11" spans="1:12" ht="15" thickBot="1" x14ac:dyDescent="0.35">
      <c r="A11" s="60" t="s">
        <v>15</v>
      </c>
      <c r="B11" s="62" t="s">
        <v>59</v>
      </c>
      <c r="C11" s="62"/>
      <c r="D11" s="62" t="s">
        <v>59</v>
      </c>
      <c r="E11" s="89" t="s">
        <v>59</v>
      </c>
      <c r="F11" s="89" t="s">
        <v>59</v>
      </c>
      <c r="G11" s="63" t="s">
        <v>341</v>
      </c>
      <c r="H11" s="89" t="s">
        <v>59</v>
      </c>
      <c r="I11" s="62" t="s">
        <v>59</v>
      </c>
      <c r="J11" s="89" t="s">
        <v>59</v>
      </c>
      <c r="K11" s="89" t="s">
        <v>59</v>
      </c>
      <c r="L11" s="89"/>
    </row>
    <row r="12" spans="1:12" ht="72.599999999999994" thickBot="1" x14ac:dyDescent="0.35">
      <c r="A12" s="172" t="s">
        <v>18</v>
      </c>
      <c r="B12" s="170" t="s">
        <v>197</v>
      </c>
      <c r="C12" s="170"/>
      <c r="D12" s="62" t="s">
        <v>375</v>
      </c>
      <c r="E12" s="175" t="s">
        <v>183</v>
      </c>
      <c r="F12" s="109" t="s">
        <v>187</v>
      </c>
      <c r="G12" s="173" t="s">
        <v>178</v>
      </c>
      <c r="H12" s="109" t="s">
        <v>157</v>
      </c>
      <c r="I12" s="62" t="s">
        <v>534</v>
      </c>
      <c r="J12" s="109" t="s">
        <v>210</v>
      </c>
      <c r="K12" s="109">
        <v>0</v>
      </c>
      <c r="L12" s="109"/>
    </row>
    <row r="13" spans="1:12" ht="115.2" x14ac:dyDescent="0.3">
      <c r="A13" s="196" t="s">
        <v>17</v>
      </c>
      <c r="B13" s="189" t="s">
        <v>196</v>
      </c>
      <c r="C13" s="189"/>
      <c r="D13" s="175"/>
      <c r="E13" s="175"/>
      <c r="F13" s="197" t="s">
        <v>473</v>
      </c>
      <c r="G13" s="197" t="s">
        <v>43</v>
      </c>
      <c r="H13" s="197" t="s">
        <v>418</v>
      </c>
      <c r="I13" s="198" t="s">
        <v>175</v>
      </c>
      <c r="J13" s="150" t="s">
        <v>449</v>
      </c>
      <c r="K13" s="176"/>
      <c r="L13" s="150"/>
    </row>
    <row r="14" spans="1:12" ht="43.2" x14ac:dyDescent="0.3">
      <c r="A14" s="199"/>
      <c r="B14" s="191"/>
      <c r="C14" s="191"/>
      <c r="D14" s="178"/>
      <c r="E14" s="178"/>
      <c r="F14" s="190" t="s">
        <v>531</v>
      </c>
      <c r="G14" s="208" t="s">
        <v>532</v>
      </c>
      <c r="H14" s="63" t="s">
        <v>189</v>
      </c>
      <c r="I14" s="200" t="s">
        <v>535</v>
      </c>
      <c r="J14" s="177" t="s">
        <v>193</v>
      </c>
      <c r="K14" s="179"/>
      <c r="L14" s="177"/>
    </row>
    <row r="15" spans="1:12" ht="72" x14ac:dyDescent="0.3">
      <c r="A15" s="199"/>
      <c r="B15" s="191"/>
      <c r="C15" s="191"/>
      <c r="D15" s="178"/>
      <c r="E15" s="201"/>
      <c r="F15" s="190"/>
      <c r="G15" s="192" t="s">
        <v>188</v>
      </c>
      <c r="H15" s="63" t="s">
        <v>107</v>
      </c>
      <c r="I15" s="200" t="s">
        <v>176</v>
      </c>
      <c r="J15" s="109" t="s">
        <v>192</v>
      </c>
      <c r="K15" s="179"/>
      <c r="L15" s="109"/>
    </row>
    <row r="16" spans="1:12" ht="43.2" x14ac:dyDescent="0.3">
      <c r="A16" s="199"/>
      <c r="B16" s="191"/>
      <c r="C16" s="191"/>
      <c r="D16" s="178"/>
      <c r="E16" s="201"/>
      <c r="F16" s="192"/>
      <c r="G16" s="192" t="s">
        <v>616</v>
      </c>
      <c r="H16" s="63" t="s">
        <v>533</v>
      </c>
      <c r="I16" s="202" t="s">
        <v>177</v>
      </c>
      <c r="J16" s="203"/>
      <c r="K16" s="179"/>
      <c r="L16" s="203"/>
    </row>
    <row r="17" spans="1:12" x14ac:dyDescent="0.3">
      <c r="A17" s="199"/>
      <c r="B17" s="191"/>
      <c r="C17" s="191"/>
      <c r="D17" s="178"/>
      <c r="E17" s="201"/>
      <c r="F17" s="173"/>
      <c r="G17" s="192"/>
      <c r="H17" s="192"/>
      <c r="I17" s="177"/>
      <c r="J17" s="204"/>
      <c r="K17" s="179"/>
      <c r="L17" s="204"/>
    </row>
    <row r="18" spans="1:12" x14ac:dyDescent="0.3">
      <c r="A18" s="199"/>
      <c r="B18" s="191"/>
      <c r="C18" s="191"/>
      <c r="D18" s="178"/>
      <c r="E18" s="178"/>
      <c r="F18" s="178"/>
      <c r="G18" s="178"/>
      <c r="H18" s="173"/>
      <c r="I18" s="204"/>
      <c r="J18" s="204"/>
      <c r="K18" s="179"/>
      <c r="L18" s="204"/>
    </row>
    <row r="19" spans="1:12" x14ac:dyDescent="0.3">
      <c r="A19" s="199"/>
      <c r="B19" s="191"/>
      <c r="C19" s="191"/>
      <c r="D19" s="178"/>
      <c r="E19" s="178"/>
      <c r="F19" s="178"/>
      <c r="G19" s="178"/>
      <c r="H19" s="178"/>
      <c r="I19" s="204"/>
      <c r="J19" s="204"/>
      <c r="K19" s="179"/>
      <c r="L19" s="204"/>
    </row>
    <row r="20" spans="1:12" ht="15" thickBot="1" x14ac:dyDescent="0.35">
      <c r="A20" s="205"/>
      <c r="B20" s="206"/>
      <c r="C20" s="206"/>
      <c r="D20" s="181"/>
      <c r="E20" s="181"/>
      <c r="F20" s="181"/>
      <c r="G20" s="181"/>
      <c r="H20" s="181"/>
      <c r="I20" s="182"/>
      <c r="J20" s="182"/>
      <c r="K20" s="183"/>
      <c r="L20" s="182"/>
    </row>
    <row r="21" spans="1:12" x14ac:dyDescent="0.3">
      <c r="A21" s="174" t="s">
        <v>24</v>
      </c>
      <c r="B21" s="112" t="s">
        <v>33</v>
      </c>
      <c r="C21" s="112"/>
      <c r="D21" s="112" t="s">
        <v>33</v>
      </c>
      <c r="E21" s="112" t="s">
        <v>33</v>
      </c>
      <c r="F21" s="112" t="s">
        <v>33</v>
      </c>
      <c r="G21" s="193" t="s">
        <v>33</v>
      </c>
      <c r="H21" s="112" t="s">
        <v>33</v>
      </c>
      <c r="I21" s="112" t="s">
        <v>33</v>
      </c>
      <c r="J21" s="112" t="s">
        <v>68</v>
      </c>
      <c r="K21" s="112" t="s">
        <v>33</v>
      </c>
      <c r="L21" s="112" t="s">
        <v>624</v>
      </c>
    </row>
    <row r="22" spans="1:12" ht="57.6" x14ac:dyDescent="0.3">
      <c r="A22" s="60" t="s">
        <v>6</v>
      </c>
      <c r="B22" s="89" t="s">
        <v>435</v>
      </c>
      <c r="C22" s="89"/>
      <c r="D22" s="89" t="s">
        <v>179</v>
      </c>
      <c r="E22" s="89" t="s">
        <v>182</v>
      </c>
      <c r="F22" s="63" t="s">
        <v>415</v>
      </c>
      <c r="G22" s="63" t="s">
        <v>415</v>
      </c>
      <c r="H22" s="89" t="s">
        <v>179</v>
      </c>
      <c r="I22" s="89" t="s">
        <v>181</v>
      </c>
      <c r="J22" s="89" t="s">
        <v>179</v>
      </c>
      <c r="K22" s="89" t="s">
        <v>194</v>
      </c>
      <c r="L22" s="89"/>
    </row>
    <row r="23" spans="1:12" ht="43.2" x14ac:dyDescent="0.3">
      <c r="A23" s="60" t="s">
        <v>224</v>
      </c>
      <c r="B23" s="252"/>
      <c r="C23" s="252"/>
      <c r="D23" s="252"/>
      <c r="E23" s="252"/>
      <c r="F23" s="252"/>
      <c r="G23" s="252"/>
      <c r="H23" s="252"/>
      <c r="I23" s="252"/>
      <c r="J23" s="252"/>
      <c r="K23" s="252"/>
      <c r="L23" s="63" t="s">
        <v>488</v>
      </c>
    </row>
  </sheetData>
  <mergeCells count="1">
    <mergeCell ref="A1:B1"/>
  </mergeCells>
  <hyperlinks>
    <hyperlink ref="H3" r:id="rId1"/>
    <hyperlink ref="D4" r:id="rId2"/>
    <hyperlink ref="E4" r:id="rId3"/>
    <hyperlink ref="F4" r:id="rId4"/>
    <hyperlink ref="G4" r:id="rId5"/>
    <hyperlink ref="I4" r:id="rId6"/>
    <hyperlink ref="J4" r:id="rId7"/>
    <hyperlink ref="K3" r:id="rId8"/>
    <hyperlink ref="C4" r:id="rId9"/>
  </hyperlinks>
  <pageMargins left="0.7" right="0.7" top="0.75" bottom="0.75" header="0.3" footer="0.3"/>
  <pageSetup paperSize="5" scale="44" orientation="landscape"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zoomScaleNormal="100" workbookViewId="0">
      <pane xSplit="1" ySplit="4" topLeftCell="B5" activePane="bottomRight" state="frozen"/>
      <selection activeCell="A9" sqref="A9"/>
      <selection pane="topRight" activeCell="A9" sqref="A9"/>
      <selection pane="bottomLeft" activeCell="A9" sqref="A9"/>
      <selection pane="bottomRight" activeCell="A27" sqref="A27:XFD32"/>
    </sheetView>
  </sheetViews>
  <sheetFormatPr defaultColWidth="9.109375" defaultRowHeight="14.4" x14ac:dyDescent="0.3"/>
  <cols>
    <col min="1" max="1" width="18.88671875" style="84" customWidth="1"/>
    <col min="2" max="5" width="21.77734375" style="104" customWidth="1"/>
    <col min="6" max="7" width="21.77734375" style="54" customWidth="1"/>
    <col min="8" max="9" width="21.77734375" style="104" customWidth="1"/>
    <col min="10" max="10" width="21.77734375" style="54" customWidth="1"/>
    <col min="11" max="11" width="16.44140625" style="54" customWidth="1"/>
    <col min="12" max="12" width="18.5546875" style="54" customWidth="1"/>
    <col min="13" max="16384" width="9.109375" style="54"/>
  </cols>
  <sheetData>
    <row r="1" spans="1:12" ht="15.6" x14ac:dyDescent="0.3">
      <c r="A1" s="264" t="s">
        <v>326</v>
      </c>
      <c r="B1" s="264"/>
      <c r="C1" s="54"/>
      <c r="D1" s="54"/>
      <c r="E1" s="54"/>
      <c r="H1" s="54"/>
      <c r="I1" s="54"/>
    </row>
    <row r="2" spans="1:12" x14ac:dyDescent="0.3">
      <c r="A2" s="55" t="s">
        <v>284</v>
      </c>
      <c r="B2" s="248">
        <f>Legend!B2</f>
        <v>43501</v>
      </c>
    </row>
    <row r="3" spans="1:12" s="58" customFormat="1" x14ac:dyDescent="0.3">
      <c r="A3" s="56"/>
      <c r="B3" s="57" t="s">
        <v>0</v>
      </c>
      <c r="C3" s="57" t="s">
        <v>9</v>
      </c>
      <c r="D3" s="57" t="s">
        <v>10</v>
      </c>
      <c r="E3" s="57" t="s">
        <v>11</v>
      </c>
      <c r="F3" s="135" t="s">
        <v>12</v>
      </c>
      <c r="G3" s="135" t="s">
        <v>207</v>
      </c>
      <c r="H3" s="57" t="s">
        <v>8</v>
      </c>
      <c r="I3" s="57" t="s">
        <v>13</v>
      </c>
      <c r="J3" s="135" t="s">
        <v>41</v>
      </c>
      <c r="K3" s="135" t="s">
        <v>576</v>
      </c>
      <c r="L3" s="135" t="s">
        <v>42</v>
      </c>
    </row>
    <row r="4" spans="1:12" s="58" customFormat="1" ht="28.8" x14ac:dyDescent="0.3">
      <c r="A4" s="56"/>
      <c r="B4" s="59" t="s">
        <v>198</v>
      </c>
      <c r="C4" s="160" t="s">
        <v>203</v>
      </c>
      <c r="D4" s="160" t="s">
        <v>204</v>
      </c>
      <c r="E4" s="160" t="s">
        <v>537</v>
      </c>
      <c r="F4" s="59" t="s">
        <v>386</v>
      </c>
      <c r="G4" s="59" t="s">
        <v>388</v>
      </c>
      <c r="H4" s="160" t="s">
        <v>200</v>
      </c>
      <c r="I4" s="160" t="s">
        <v>208</v>
      </c>
      <c r="J4" s="160" t="s">
        <v>211</v>
      </c>
      <c r="K4" s="160" t="s">
        <v>577</v>
      </c>
      <c r="L4" s="160" t="s">
        <v>623</v>
      </c>
    </row>
    <row r="5" spans="1:12" s="64" customFormat="1" x14ac:dyDescent="0.3">
      <c r="A5" s="60" t="s">
        <v>1</v>
      </c>
      <c r="B5" s="61">
        <v>0</v>
      </c>
      <c r="C5" s="62">
        <v>0</v>
      </c>
      <c r="D5" s="62">
        <v>0</v>
      </c>
      <c r="E5" s="62">
        <v>0</v>
      </c>
      <c r="F5" s="62" t="s">
        <v>417</v>
      </c>
      <c r="G5" s="62" t="s">
        <v>417</v>
      </c>
      <c r="H5" s="62">
        <v>0</v>
      </c>
      <c r="I5" s="62">
        <v>0</v>
      </c>
      <c r="J5" s="89">
        <v>0</v>
      </c>
      <c r="K5" s="89">
        <v>0</v>
      </c>
      <c r="L5" s="89">
        <v>0</v>
      </c>
    </row>
    <row r="6" spans="1:12" x14ac:dyDescent="0.3">
      <c r="A6" s="65" t="s">
        <v>7</v>
      </c>
      <c r="B6" s="66" t="s">
        <v>33</v>
      </c>
      <c r="C6" s="66" t="s">
        <v>33</v>
      </c>
      <c r="D6" s="66" t="s">
        <v>33</v>
      </c>
      <c r="E6" s="66" t="s">
        <v>33</v>
      </c>
      <c r="F6" s="83" t="s">
        <v>387</v>
      </c>
      <c r="G6" s="83" t="s">
        <v>387</v>
      </c>
      <c r="H6" s="66" t="s">
        <v>33</v>
      </c>
      <c r="I6" s="66" t="s">
        <v>33</v>
      </c>
      <c r="J6" s="83" t="s">
        <v>33</v>
      </c>
      <c r="K6" s="83" t="s">
        <v>33</v>
      </c>
      <c r="L6" s="83" t="s">
        <v>33</v>
      </c>
    </row>
    <row r="7" spans="1:12" x14ac:dyDescent="0.3">
      <c r="A7" s="65" t="s">
        <v>4</v>
      </c>
      <c r="B7" s="66" t="s">
        <v>5</v>
      </c>
      <c r="C7" s="66" t="s">
        <v>5</v>
      </c>
      <c r="D7" s="66" t="s">
        <v>5</v>
      </c>
      <c r="E7" s="66" t="s">
        <v>161</v>
      </c>
      <c r="F7" s="83" t="s">
        <v>387</v>
      </c>
      <c r="G7" s="83" t="s">
        <v>387</v>
      </c>
      <c r="H7" s="66" t="s">
        <v>5</v>
      </c>
      <c r="I7" s="66" t="s">
        <v>5</v>
      </c>
      <c r="J7" s="83" t="s">
        <v>213</v>
      </c>
      <c r="K7" s="83" t="s">
        <v>5</v>
      </c>
      <c r="L7" s="83" t="s">
        <v>5</v>
      </c>
    </row>
    <row r="8" spans="1:12" x14ac:dyDescent="0.3">
      <c r="A8" s="65" t="s">
        <v>2</v>
      </c>
      <c r="B8" s="66" t="s">
        <v>33</v>
      </c>
      <c r="C8" s="66" t="s">
        <v>33</v>
      </c>
      <c r="D8" s="66" t="s">
        <v>33</v>
      </c>
      <c r="E8" s="66" t="s">
        <v>180</v>
      </c>
      <c r="F8" s="83" t="s">
        <v>387</v>
      </c>
      <c r="G8" s="83" t="s">
        <v>387</v>
      </c>
      <c r="H8" s="66" t="s">
        <v>33</v>
      </c>
      <c r="I8" s="66" t="s">
        <v>33</v>
      </c>
      <c r="J8" s="92">
        <v>1.25</v>
      </c>
      <c r="K8" s="92" t="s">
        <v>33</v>
      </c>
      <c r="L8" s="83" t="s">
        <v>33</v>
      </c>
    </row>
    <row r="9" spans="1:12" ht="28.8" x14ac:dyDescent="0.3">
      <c r="A9" s="86" t="s">
        <v>361</v>
      </c>
      <c r="B9" s="70">
        <v>1</v>
      </c>
      <c r="C9" s="70" t="s">
        <v>536</v>
      </c>
      <c r="D9" s="70">
        <v>0</v>
      </c>
      <c r="E9" s="70">
        <v>0</v>
      </c>
      <c r="F9" s="70">
        <v>0</v>
      </c>
      <c r="G9" s="70">
        <v>0</v>
      </c>
      <c r="H9" s="69" t="s">
        <v>476</v>
      </c>
      <c r="I9" s="70">
        <v>0</v>
      </c>
      <c r="J9" s="70" t="s">
        <v>487</v>
      </c>
      <c r="K9" s="70">
        <v>0.9</v>
      </c>
      <c r="L9" s="70">
        <v>0.9</v>
      </c>
    </row>
    <row r="10" spans="1:12" x14ac:dyDescent="0.3">
      <c r="A10" s="65" t="s">
        <v>15</v>
      </c>
      <c r="B10" s="66" t="s">
        <v>16</v>
      </c>
      <c r="C10" s="66" t="s">
        <v>16</v>
      </c>
      <c r="D10" s="66" t="s">
        <v>16</v>
      </c>
      <c r="E10" s="66" t="s">
        <v>16</v>
      </c>
      <c r="F10" s="83" t="s">
        <v>33</v>
      </c>
      <c r="G10" s="83" t="s">
        <v>33</v>
      </c>
      <c r="H10" s="66" t="s">
        <v>16</v>
      </c>
      <c r="I10" s="66" t="s">
        <v>16</v>
      </c>
      <c r="J10" s="83" t="s">
        <v>303</v>
      </c>
      <c r="K10" s="83" t="s">
        <v>16</v>
      </c>
      <c r="L10" s="83" t="s">
        <v>16</v>
      </c>
    </row>
    <row r="11" spans="1:12" ht="100.8" x14ac:dyDescent="0.3">
      <c r="A11" s="65" t="s">
        <v>78</v>
      </c>
      <c r="B11" s="66" t="s">
        <v>199</v>
      </c>
      <c r="C11" s="66" t="s">
        <v>447</v>
      </c>
      <c r="D11" s="66" t="s">
        <v>470</v>
      </c>
      <c r="E11" s="66" t="s">
        <v>186</v>
      </c>
      <c r="F11" s="90" t="s">
        <v>158</v>
      </c>
      <c r="G11" s="90" t="s">
        <v>158</v>
      </c>
      <c r="H11" s="67" t="s">
        <v>146</v>
      </c>
      <c r="I11" s="67" t="s">
        <v>454</v>
      </c>
      <c r="J11" s="90" t="s">
        <v>214</v>
      </c>
      <c r="K11" s="90" t="s">
        <v>16</v>
      </c>
      <c r="L11" s="109">
        <v>0</v>
      </c>
    </row>
    <row r="12" spans="1:12" ht="58.2" thickBot="1" x14ac:dyDescent="0.35">
      <c r="A12" s="71" t="s">
        <v>18</v>
      </c>
      <c r="B12" s="67" t="s">
        <v>197</v>
      </c>
      <c r="C12" s="67" t="s">
        <v>333</v>
      </c>
      <c r="D12" s="67" t="s">
        <v>64</v>
      </c>
      <c r="E12" s="67" t="s">
        <v>187</v>
      </c>
      <c r="F12" s="90" t="s">
        <v>157</v>
      </c>
      <c r="G12" s="90" t="s">
        <v>157</v>
      </c>
      <c r="H12" s="67" t="s">
        <v>370</v>
      </c>
      <c r="I12" s="67" t="s">
        <v>455</v>
      </c>
      <c r="J12" s="90" t="s">
        <v>343</v>
      </c>
      <c r="K12" s="90"/>
      <c r="L12" s="109"/>
    </row>
    <row r="13" spans="1:12" ht="72" x14ac:dyDescent="0.3">
      <c r="A13" s="73" t="s">
        <v>17</v>
      </c>
      <c r="B13" s="51"/>
      <c r="C13" s="51"/>
      <c r="D13" s="51"/>
      <c r="E13" s="51" t="s">
        <v>342</v>
      </c>
      <c r="F13" s="98" t="s">
        <v>418</v>
      </c>
      <c r="G13" s="98" t="s">
        <v>418</v>
      </c>
      <c r="H13" s="105" t="s">
        <v>94</v>
      </c>
      <c r="I13" s="100"/>
      <c r="J13" s="48"/>
      <c r="K13" s="75" t="s">
        <v>626</v>
      </c>
      <c r="L13" s="244"/>
    </row>
    <row r="14" spans="1:12" ht="28.8" x14ac:dyDescent="0.3">
      <c r="A14" s="74"/>
      <c r="B14" s="52"/>
      <c r="C14" s="52"/>
      <c r="D14" s="52"/>
      <c r="E14" s="52"/>
      <c r="F14" s="91"/>
      <c r="G14" s="91"/>
      <c r="H14" s="75" t="s">
        <v>201</v>
      </c>
      <c r="I14" s="75"/>
      <c r="J14" s="49"/>
      <c r="K14" s="75" t="s">
        <v>627</v>
      </c>
      <c r="L14" s="245"/>
    </row>
    <row r="15" spans="1:12" ht="28.8" x14ac:dyDescent="0.3">
      <c r="A15" s="74"/>
      <c r="B15" s="52"/>
      <c r="C15" s="52"/>
      <c r="D15" s="52"/>
      <c r="E15" s="52"/>
      <c r="F15" s="72"/>
      <c r="G15" s="72"/>
      <c r="H15" s="103"/>
      <c r="I15" s="103"/>
      <c r="J15" s="49"/>
      <c r="K15" s="75" t="s">
        <v>628</v>
      </c>
      <c r="L15" s="245"/>
    </row>
    <row r="16" spans="1:12" ht="28.8" x14ac:dyDescent="0.3">
      <c r="A16" s="74"/>
      <c r="B16" s="52"/>
      <c r="C16" s="52"/>
      <c r="D16" s="52"/>
      <c r="E16" s="52"/>
      <c r="F16" s="52"/>
      <c r="G16" s="52"/>
      <c r="H16" s="103"/>
      <c r="I16" s="103"/>
      <c r="J16" s="49"/>
      <c r="K16" s="75" t="s">
        <v>629</v>
      </c>
      <c r="L16" s="245"/>
    </row>
    <row r="17" spans="1:12" ht="43.2" x14ac:dyDescent="0.3">
      <c r="A17" s="74"/>
      <c r="B17" s="52"/>
      <c r="C17" s="52"/>
      <c r="D17" s="52"/>
      <c r="E17" s="52"/>
      <c r="F17" s="52"/>
      <c r="G17" s="52"/>
      <c r="H17" s="103"/>
      <c r="I17" s="103"/>
      <c r="J17" s="49"/>
      <c r="K17" s="75" t="s">
        <v>630</v>
      </c>
      <c r="L17" s="245"/>
    </row>
    <row r="18" spans="1:12" x14ac:dyDescent="0.3">
      <c r="A18" s="74"/>
      <c r="B18" s="52"/>
      <c r="C18" s="52"/>
      <c r="D18" s="52"/>
      <c r="E18" s="52"/>
      <c r="F18" s="52"/>
      <c r="G18" s="52"/>
      <c r="H18" s="103"/>
      <c r="I18" s="103"/>
      <c r="J18" s="49"/>
      <c r="K18" s="122"/>
      <c r="L18" s="245"/>
    </row>
    <row r="19" spans="1:12" x14ac:dyDescent="0.3">
      <c r="A19" s="74"/>
      <c r="B19" s="52"/>
      <c r="C19" s="52"/>
      <c r="D19" s="52"/>
      <c r="E19" s="52"/>
      <c r="F19" s="52"/>
      <c r="G19" s="52"/>
      <c r="H19" s="103"/>
      <c r="I19" s="103"/>
      <c r="J19" s="49"/>
      <c r="K19" s="122"/>
      <c r="L19" s="245"/>
    </row>
    <row r="20" spans="1:12" ht="15" thickBot="1" x14ac:dyDescent="0.35">
      <c r="A20" s="77"/>
      <c r="B20" s="78"/>
      <c r="C20" s="78"/>
      <c r="D20" s="78"/>
      <c r="E20" s="78"/>
      <c r="F20" s="78"/>
      <c r="G20" s="78"/>
      <c r="H20" s="79"/>
      <c r="I20" s="79"/>
      <c r="J20" s="50"/>
      <c r="K20" s="123"/>
      <c r="L20" s="246"/>
    </row>
    <row r="21" spans="1:12" x14ac:dyDescent="0.3">
      <c r="A21" s="80" t="s">
        <v>316</v>
      </c>
      <c r="B21" s="81" t="s">
        <v>312</v>
      </c>
      <c r="C21" s="81" t="s">
        <v>312</v>
      </c>
      <c r="D21" s="81" t="s">
        <v>312</v>
      </c>
      <c r="E21" s="81" t="s">
        <v>312</v>
      </c>
      <c r="F21" s="82" t="s">
        <v>33</v>
      </c>
      <c r="G21" s="82" t="s">
        <v>33</v>
      </c>
      <c r="H21" s="81" t="s">
        <v>312</v>
      </c>
      <c r="I21" s="81" t="s">
        <v>312</v>
      </c>
      <c r="J21" s="82" t="s">
        <v>33</v>
      </c>
      <c r="K21" s="82"/>
      <c r="L21" s="82"/>
    </row>
    <row r="22" spans="1:12" ht="28.8" x14ac:dyDescent="0.3">
      <c r="A22" s="80" t="s">
        <v>316</v>
      </c>
      <c r="B22" s="81" t="s">
        <v>291</v>
      </c>
      <c r="C22" s="81" t="s">
        <v>290</v>
      </c>
      <c r="D22" s="81" t="s">
        <v>291</v>
      </c>
      <c r="E22" s="81" t="s">
        <v>291</v>
      </c>
      <c r="F22" s="82" t="s">
        <v>33</v>
      </c>
      <c r="G22" s="82" t="s">
        <v>33</v>
      </c>
      <c r="H22" s="81" t="s">
        <v>291</v>
      </c>
      <c r="I22" s="81" t="s">
        <v>318</v>
      </c>
      <c r="J22" s="82" t="s">
        <v>33</v>
      </c>
      <c r="K22" s="82"/>
      <c r="L22" s="82"/>
    </row>
    <row r="23" spans="1:12" ht="57.6" x14ac:dyDescent="0.3">
      <c r="A23" s="80" t="s">
        <v>288</v>
      </c>
      <c r="B23" s="81" t="s">
        <v>436</v>
      </c>
      <c r="C23" s="81" t="s">
        <v>407</v>
      </c>
      <c r="D23" s="93">
        <v>1.5E-3</v>
      </c>
      <c r="E23" s="106">
        <v>1E-4</v>
      </c>
      <c r="F23" s="82" t="s">
        <v>33</v>
      </c>
      <c r="G23" s="82" t="s">
        <v>33</v>
      </c>
      <c r="H23" s="81" t="s">
        <v>317</v>
      </c>
      <c r="I23" s="95">
        <v>1E-3</v>
      </c>
      <c r="J23" s="94">
        <v>1E-3</v>
      </c>
      <c r="K23" s="94">
        <v>5.0000000000000001E-4</v>
      </c>
      <c r="L23" s="63" t="s">
        <v>488</v>
      </c>
    </row>
    <row r="24" spans="1:12" x14ac:dyDescent="0.3">
      <c r="A24" s="80" t="s">
        <v>24</v>
      </c>
      <c r="B24" s="81" t="s">
        <v>33</v>
      </c>
      <c r="C24" s="81" t="s">
        <v>33</v>
      </c>
      <c r="D24" s="81" t="s">
        <v>33</v>
      </c>
      <c r="E24" s="81" t="s">
        <v>33</v>
      </c>
      <c r="F24" s="82" t="s">
        <v>33</v>
      </c>
      <c r="G24" s="82" t="s">
        <v>33</v>
      </c>
      <c r="H24" s="81" t="s">
        <v>33</v>
      </c>
      <c r="I24" s="81" t="s">
        <v>33</v>
      </c>
      <c r="J24" s="82" t="s">
        <v>33</v>
      </c>
      <c r="K24" s="82"/>
      <c r="L24" s="82"/>
    </row>
    <row r="25" spans="1:12" x14ac:dyDescent="0.3">
      <c r="A25" s="65" t="s">
        <v>6</v>
      </c>
      <c r="B25" s="66" t="s">
        <v>202</v>
      </c>
      <c r="C25" s="66" t="s">
        <v>202</v>
      </c>
      <c r="D25" s="66" t="s">
        <v>202</v>
      </c>
      <c r="E25" s="66" t="s">
        <v>202</v>
      </c>
      <c r="F25" s="83" t="s">
        <v>206</v>
      </c>
      <c r="G25" s="83" t="s">
        <v>209</v>
      </c>
      <c r="H25" s="66" t="s">
        <v>202</v>
      </c>
      <c r="I25" s="66" t="s">
        <v>353</v>
      </c>
      <c r="J25" s="83" t="s">
        <v>212</v>
      </c>
      <c r="K25" s="83"/>
      <c r="L25" s="83"/>
    </row>
  </sheetData>
  <mergeCells count="1">
    <mergeCell ref="A1:B1"/>
  </mergeCells>
  <hyperlinks>
    <hyperlink ref="F3" r:id="rId1"/>
    <hyperlink ref="G3" r:id="rId2"/>
    <hyperlink ref="C4" r:id="rId3"/>
    <hyperlink ref="D4" r:id="rId4"/>
    <hyperlink ref="E4" r:id="rId5"/>
    <hyperlink ref="H4" r:id="rId6"/>
    <hyperlink ref="I4" r:id="rId7"/>
    <hyperlink ref="J4" r:id="rId8"/>
    <hyperlink ref="J3" r:id="rId9"/>
  </hyperlinks>
  <pageMargins left="0.7" right="0.7" top="0.75" bottom="0.75" header="0.3" footer="0.3"/>
  <pageSetup paperSize="5" scale="50" orientation="landscape"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zoomScaleNormal="100" workbookViewId="0">
      <pane xSplit="1" ySplit="4" topLeftCell="B5" activePane="bottomRight" state="frozen"/>
      <selection activeCell="A9" sqref="A9"/>
      <selection pane="topRight" activeCell="A9" sqref="A9"/>
      <selection pane="bottomLeft" activeCell="A9" sqref="A9"/>
      <selection pane="bottomRight" activeCell="A25" sqref="A25:XFD31"/>
    </sheetView>
  </sheetViews>
  <sheetFormatPr defaultColWidth="9.109375" defaultRowHeight="14.4" x14ac:dyDescent="0.3"/>
  <cols>
    <col min="1" max="1" width="20" style="84" customWidth="1"/>
    <col min="2" max="5" width="21.77734375" style="54" customWidth="1"/>
    <col min="6" max="7" width="24.5546875" style="54" customWidth="1"/>
    <col min="8" max="9" width="21.77734375" style="54" customWidth="1"/>
    <col min="10" max="10" width="23.21875" style="54" customWidth="1"/>
    <col min="11" max="11" width="23.44140625" style="54" customWidth="1"/>
    <col min="12" max="12" width="24.21875" style="54" customWidth="1"/>
    <col min="13" max="16384" width="9.109375" style="54"/>
  </cols>
  <sheetData>
    <row r="1" spans="1:12" ht="15.6" x14ac:dyDescent="0.3">
      <c r="A1" s="264" t="s">
        <v>272</v>
      </c>
      <c r="B1" s="264"/>
      <c r="J1" s="53"/>
    </row>
    <row r="2" spans="1:12" x14ac:dyDescent="0.3">
      <c r="A2" s="55" t="s">
        <v>284</v>
      </c>
      <c r="B2" s="248">
        <f>Legend!B2</f>
        <v>43501</v>
      </c>
      <c r="J2" s="53"/>
    </row>
    <row r="3" spans="1:12" s="58" customFormat="1" x14ac:dyDescent="0.3">
      <c r="A3" s="107"/>
      <c r="B3" s="57" t="s">
        <v>0</v>
      </c>
      <c r="C3" s="57" t="s">
        <v>13</v>
      </c>
      <c r="D3" s="135" t="s">
        <v>12</v>
      </c>
      <c r="E3" s="135" t="s">
        <v>10</v>
      </c>
      <c r="F3" s="57" t="s">
        <v>14</v>
      </c>
      <c r="G3" s="57" t="s">
        <v>14</v>
      </c>
      <c r="H3" s="57" t="s">
        <v>11</v>
      </c>
      <c r="I3" s="57" t="s">
        <v>41</v>
      </c>
      <c r="J3" s="57" t="s">
        <v>9</v>
      </c>
      <c r="K3" s="57" t="s">
        <v>9</v>
      </c>
      <c r="L3" s="57" t="s">
        <v>42</v>
      </c>
    </row>
    <row r="4" spans="1:12" s="58" customFormat="1" ht="28.8" x14ac:dyDescent="0.3">
      <c r="A4" s="108"/>
      <c r="B4" s="59" t="s">
        <v>272</v>
      </c>
      <c r="C4" s="59" t="s">
        <v>393</v>
      </c>
      <c r="D4" s="59" t="s">
        <v>296</v>
      </c>
      <c r="E4" s="160" t="s">
        <v>599</v>
      </c>
      <c r="F4" s="160" t="s">
        <v>545</v>
      </c>
      <c r="G4" s="160" t="s">
        <v>546</v>
      </c>
      <c r="H4" s="160" t="s">
        <v>570</v>
      </c>
      <c r="I4" s="59" t="s">
        <v>304</v>
      </c>
      <c r="J4" s="59" t="s">
        <v>349</v>
      </c>
      <c r="K4" s="59" t="s">
        <v>282</v>
      </c>
      <c r="L4" s="59" t="s">
        <v>307</v>
      </c>
    </row>
    <row r="5" spans="1:12" s="64" customFormat="1" ht="57.6" x14ac:dyDescent="0.3">
      <c r="A5" s="60" t="s">
        <v>1</v>
      </c>
      <c r="B5" s="88">
        <v>0</v>
      </c>
      <c r="C5" s="62" t="s">
        <v>442</v>
      </c>
      <c r="D5" s="89" t="s">
        <v>297</v>
      </c>
      <c r="E5" s="89">
        <v>4.95</v>
      </c>
      <c r="F5" s="89">
        <v>14.95</v>
      </c>
      <c r="G5" s="89">
        <v>4</v>
      </c>
      <c r="H5" s="89" t="s">
        <v>550</v>
      </c>
      <c r="I5" s="89">
        <v>0</v>
      </c>
      <c r="J5" s="89" t="s">
        <v>408</v>
      </c>
      <c r="K5" s="89">
        <v>0</v>
      </c>
      <c r="L5" s="89">
        <v>0</v>
      </c>
    </row>
    <row r="6" spans="1:12" ht="28.8" x14ac:dyDescent="0.3">
      <c r="A6" s="65" t="s">
        <v>7</v>
      </c>
      <c r="B6" s="83" t="s">
        <v>33</v>
      </c>
      <c r="C6" s="83" t="s">
        <v>394</v>
      </c>
      <c r="D6" s="83" t="s">
        <v>298</v>
      </c>
      <c r="E6" s="89">
        <v>3000</v>
      </c>
      <c r="F6" s="83" t="s">
        <v>33</v>
      </c>
      <c r="G6" s="83" t="s">
        <v>33</v>
      </c>
      <c r="H6" s="83" t="s">
        <v>33</v>
      </c>
      <c r="I6" s="83" t="s">
        <v>33</v>
      </c>
      <c r="J6" s="83" t="s">
        <v>287</v>
      </c>
      <c r="K6" s="83" t="s">
        <v>410</v>
      </c>
      <c r="L6" s="83" t="s">
        <v>33</v>
      </c>
    </row>
    <row r="7" spans="1:12" ht="57.6" x14ac:dyDescent="0.3">
      <c r="A7" s="65" t="s">
        <v>4</v>
      </c>
      <c r="B7" s="83" t="s">
        <v>33</v>
      </c>
      <c r="C7" s="83">
        <v>12</v>
      </c>
      <c r="D7" s="83" t="s">
        <v>298</v>
      </c>
      <c r="E7" s="83">
        <v>12</v>
      </c>
      <c r="F7" s="66" t="s">
        <v>5</v>
      </c>
      <c r="G7" s="66">
        <v>14</v>
      </c>
      <c r="H7" s="83" t="s">
        <v>615</v>
      </c>
      <c r="I7" s="83" t="s">
        <v>33</v>
      </c>
      <c r="J7" s="83" t="s">
        <v>285</v>
      </c>
      <c r="K7" s="83" t="s">
        <v>33</v>
      </c>
      <c r="L7" s="83" t="s">
        <v>295</v>
      </c>
    </row>
    <row r="8" spans="1:12" ht="86.4" x14ac:dyDescent="0.3">
      <c r="A8" s="65" t="s">
        <v>2</v>
      </c>
      <c r="B8" s="83" t="s">
        <v>273</v>
      </c>
      <c r="C8" s="83" t="s">
        <v>368</v>
      </c>
      <c r="D8" s="83" t="s">
        <v>298</v>
      </c>
      <c r="E8" s="83" t="s">
        <v>600</v>
      </c>
      <c r="F8" s="92" t="s">
        <v>33</v>
      </c>
      <c r="G8" s="63" t="s">
        <v>171</v>
      </c>
      <c r="H8" s="83" t="s">
        <v>368</v>
      </c>
      <c r="I8" s="89">
        <v>1.25</v>
      </c>
      <c r="J8" s="83" t="s">
        <v>33</v>
      </c>
      <c r="K8" s="66" t="s">
        <v>409</v>
      </c>
      <c r="L8" s="83" t="s">
        <v>308</v>
      </c>
    </row>
    <row r="9" spans="1:12" ht="28.8" x14ac:dyDescent="0.3">
      <c r="A9" s="65" t="s">
        <v>78</v>
      </c>
      <c r="B9" s="83"/>
      <c r="C9" s="83" t="s">
        <v>33</v>
      </c>
      <c r="D9" s="83"/>
      <c r="E9" s="83">
        <v>1.25</v>
      </c>
      <c r="F9" s="92" t="s">
        <v>547</v>
      </c>
      <c r="G9" s="92" t="s">
        <v>547</v>
      </c>
      <c r="H9" s="83" t="s">
        <v>33</v>
      </c>
      <c r="I9" s="83"/>
      <c r="J9" s="83"/>
      <c r="K9" s="66"/>
      <c r="L9" s="83"/>
    </row>
    <row r="10" spans="1:12" x14ac:dyDescent="0.3">
      <c r="A10" s="65" t="s">
        <v>456</v>
      </c>
      <c r="B10" s="83"/>
      <c r="C10" s="83" t="s">
        <v>33</v>
      </c>
      <c r="D10" s="83"/>
      <c r="E10" s="83" t="s">
        <v>33</v>
      </c>
      <c r="F10" s="92"/>
      <c r="G10" s="92"/>
      <c r="H10" s="83" t="s">
        <v>33</v>
      </c>
      <c r="I10" s="83"/>
      <c r="J10" s="83"/>
      <c r="K10" s="66"/>
      <c r="L10" s="83"/>
    </row>
    <row r="11" spans="1:12" x14ac:dyDescent="0.3">
      <c r="A11" s="71" t="s">
        <v>496</v>
      </c>
      <c r="B11" s="90"/>
      <c r="C11" s="90"/>
      <c r="D11" s="90"/>
      <c r="E11" s="90" t="s">
        <v>601</v>
      </c>
      <c r="F11" s="211"/>
      <c r="G11" s="211"/>
      <c r="H11" s="90" t="s">
        <v>614</v>
      </c>
      <c r="I11" s="90"/>
      <c r="J11" s="90"/>
      <c r="K11" s="67"/>
      <c r="L11" s="90"/>
    </row>
    <row r="12" spans="1:12" ht="43.8" thickBot="1" x14ac:dyDescent="0.35">
      <c r="A12" s="71" t="s">
        <v>18</v>
      </c>
      <c r="B12" s="90" t="s">
        <v>274</v>
      </c>
      <c r="C12" s="90" t="s">
        <v>395</v>
      </c>
      <c r="D12" s="90" t="s">
        <v>109</v>
      </c>
      <c r="E12" s="109">
        <v>2.25</v>
      </c>
      <c r="F12" s="211" t="s">
        <v>548</v>
      </c>
      <c r="G12" s="211" t="s">
        <v>548</v>
      </c>
      <c r="H12" s="90" t="s">
        <v>293</v>
      </c>
      <c r="I12" s="90" t="s">
        <v>507</v>
      </c>
      <c r="J12" s="67" t="s">
        <v>283</v>
      </c>
      <c r="K12" s="67" t="s">
        <v>283</v>
      </c>
      <c r="L12" s="90" t="s">
        <v>309</v>
      </c>
    </row>
    <row r="13" spans="1:12" ht="28.8" x14ac:dyDescent="0.3">
      <c r="A13" s="73" t="s">
        <v>17</v>
      </c>
      <c r="B13" s="265" t="s">
        <v>275</v>
      </c>
      <c r="C13" s="51"/>
      <c r="D13" s="51" t="s">
        <v>298</v>
      </c>
      <c r="E13" s="100"/>
      <c r="F13" s="100"/>
      <c r="G13" s="100"/>
      <c r="H13" s="51"/>
      <c r="I13" s="51"/>
      <c r="J13" s="99"/>
      <c r="K13" s="51"/>
      <c r="L13" s="51" t="s">
        <v>310</v>
      </c>
    </row>
    <row r="14" spans="1:12" ht="43.2" x14ac:dyDescent="0.3">
      <c r="A14" s="74"/>
      <c r="B14" s="266"/>
      <c r="C14" s="52"/>
      <c r="D14" s="52"/>
      <c r="E14" s="103"/>
      <c r="F14" s="103"/>
      <c r="G14" s="103"/>
      <c r="H14" s="52"/>
      <c r="I14" s="52"/>
      <c r="J14" s="101" t="s">
        <v>286</v>
      </c>
      <c r="K14" s="52"/>
      <c r="L14" s="52"/>
    </row>
    <row r="15" spans="1:12" x14ac:dyDescent="0.3">
      <c r="A15" s="74"/>
      <c r="B15" s="266"/>
      <c r="C15" s="52"/>
      <c r="D15" s="52"/>
      <c r="E15" s="103"/>
      <c r="F15" s="103"/>
      <c r="G15" s="103"/>
      <c r="H15" s="52"/>
      <c r="I15" s="52"/>
      <c r="J15" s="76" t="s">
        <v>347</v>
      </c>
      <c r="K15" s="52"/>
      <c r="L15" s="52"/>
    </row>
    <row r="16" spans="1:12" x14ac:dyDescent="0.3">
      <c r="A16" s="74"/>
      <c r="B16" s="266"/>
      <c r="C16" s="52"/>
      <c r="D16" s="52"/>
      <c r="E16" s="103"/>
      <c r="F16" s="209"/>
      <c r="G16" s="209"/>
      <c r="H16" s="52"/>
      <c r="I16" s="52"/>
      <c r="J16" s="101"/>
      <c r="K16" s="52"/>
      <c r="L16" s="52"/>
    </row>
    <row r="17" spans="1:12" x14ac:dyDescent="0.3">
      <c r="A17" s="74"/>
      <c r="B17" s="52"/>
      <c r="C17" s="52"/>
      <c r="D17" s="52"/>
      <c r="E17" s="103"/>
      <c r="F17" s="209"/>
      <c r="G17" s="209"/>
      <c r="H17" s="52"/>
      <c r="I17" s="52"/>
      <c r="J17" s="101"/>
      <c r="K17" s="52"/>
      <c r="L17" s="52"/>
    </row>
    <row r="18" spans="1:12" ht="15" thickBot="1" x14ac:dyDescent="0.35">
      <c r="A18" s="77"/>
      <c r="B18" s="78"/>
      <c r="C18" s="78"/>
      <c r="D18" s="78"/>
      <c r="E18" s="79"/>
      <c r="F18" s="210"/>
      <c r="G18" s="210"/>
      <c r="H18" s="78"/>
      <c r="I18" s="78"/>
      <c r="J18" s="110"/>
      <c r="K18" s="78"/>
      <c r="L18" s="78"/>
    </row>
    <row r="19" spans="1:12" s="64" customFormat="1" ht="28.8" x14ac:dyDescent="0.3">
      <c r="A19" s="174" t="s">
        <v>24</v>
      </c>
      <c r="B19" s="112" t="s">
        <v>276</v>
      </c>
      <c r="C19" s="112" t="s">
        <v>33</v>
      </c>
      <c r="D19" s="112" t="s">
        <v>33</v>
      </c>
      <c r="E19" s="112"/>
      <c r="F19" s="112">
        <v>0</v>
      </c>
      <c r="G19" s="112"/>
      <c r="H19" s="112" t="s">
        <v>33</v>
      </c>
      <c r="I19" s="112" t="s">
        <v>33</v>
      </c>
      <c r="J19" s="112" t="s">
        <v>25</v>
      </c>
      <c r="K19" s="112" t="s">
        <v>33</v>
      </c>
      <c r="L19" s="112" t="s">
        <v>33</v>
      </c>
    </row>
    <row r="20" spans="1:12" x14ac:dyDescent="0.3">
      <c r="A20" s="86" t="s">
        <v>15</v>
      </c>
      <c r="B20" s="83" t="s">
        <v>59</v>
      </c>
      <c r="C20" s="83" t="s">
        <v>59</v>
      </c>
      <c r="D20" s="83" t="s">
        <v>59</v>
      </c>
      <c r="E20" s="83"/>
      <c r="F20" s="83"/>
      <c r="G20" s="83"/>
      <c r="H20" s="83" t="s">
        <v>59</v>
      </c>
      <c r="I20" s="83" t="s">
        <v>59</v>
      </c>
      <c r="J20" s="66" t="s">
        <v>16</v>
      </c>
      <c r="K20" s="66" t="s">
        <v>16</v>
      </c>
      <c r="L20" s="83" t="s">
        <v>16</v>
      </c>
    </row>
    <row r="21" spans="1:12" x14ac:dyDescent="0.3">
      <c r="A21" s="65" t="s">
        <v>289</v>
      </c>
      <c r="B21" s="83" t="s">
        <v>33</v>
      </c>
      <c r="C21" s="83" t="s">
        <v>33</v>
      </c>
      <c r="D21" s="83" t="s">
        <v>33</v>
      </c>
      <c r="E21" s="83"/>
      <c r="F21" s="83"/>
      <c r="G21" s="83"/>
      <c r="H21" s="83" t="s">
        <v>33</v>
      </c>
      <c r="I21" s="83" t="s">
        <v>33</v>
      </c>
      <c r="J21" s="83" t="s">
        <v>312</v>
      </c>
      <c r="K21" s="83" t="s">
        <v>312</v>
      </c>
      <c r="L21" s="83" t="s">
        <v>303</v>
      </c>
    </row>
    <row r="22" spans="1:12" ht="28.8" x14ac:dyDescent="0.3">
      <c r="A22" s="65" t="s">
        <v>289</v>
      </c>
      <c r="B22" s="83" t="s">
        <v>33</v>
      </c>
      <c r="C22" s="83" t="s">
        <v>33</v>
      </c>
      <c r="D22" s="83" t="s">
        <v>33</v>
      </c>
      <c r="E22" s="83"/>
      <c r="F22" s="83"/>
      <c r="G22" s="83"/>
      <c r="H22" s="83" t="s">
        <v>33</v>
      </c>
      <c r="I22" s="83" t="s">
        <v>33</v>
      </c>
      <c r="J22" s="83" t="s">
        <v>290</v>
      </c>
      <c r="K22" s="83" t="s">
        <v>290</v>
      </c>
      <c r="L22" s="83" t="s">
        <v>303</v>
      </c>
    </row>
    <row r="23" spans="1:12" ht="86.4" x14ac:dyDescent="0.3">
      <c r="A23" s="65" t="s">
        <v>288</v>
      </c>
      <c r="B23" s="83" t="s">
        <v>33</v>
      </c>
      <c r="C23" s="114" t="s">
        <v>33</v>
      </c>
      <c r="D23" s="83" t="s">
        <v>33</v>
      </c>
      <c r="E23" s="83"/>
      <c r="F23" s="66"/>
      <c r="G23" s="66"/>
      <c r="H23" s="83" t="s">
        <v>33</v>
      </c>
      <c r="I23" s="115">
        <v>0</v>
      </c>
      <c r="J23" s="66" t="s">
        <v>437</v>
      </c>
      <c r="K23" s="66" t="s">
        <v>437</v>
      </c>
      <c r="L23" s="83" t="s">
        <v>311</v>
      </c>
    </row>
  </sheetData>
  <mergeCells count="2">
    <mergeCell ref="B13:B16"/>
    <mergeCell ref="A1:B1"/>
  </mergeCells>
  <hyperlinks>
    <hyperlink ref="D3" r:id="rId1"/>
    <hyperlink ref="H4" r:id="rId2" display="U.S. Personal Banking"/>
    <hyperlink ref="E4" r:id="rId3"/>
  </hyperlinks>
  <pageMargins left="0.7" right="0.7" top="0.75" bottom="0.75" header="0.3" footer="0.3"/>
  <pageSetup paperSize="5" scale="48"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pane xSplit="1" ySplit="4" topLeftCell="B5" activePane="bottomRight" state="frozen"/>
      <selection pane="topRight" activeCell="B1" sqref="B1"/>
      <selection pane="bottomLeft" activeCell="A5" sqref="A5"/>
      <selection pane="bottomRight" activeCell="A24" sqref="A24:XFD28"/>
    </sheetView>
  </sheetViews>
  <sheetFormatPr defaultRowHeight="14.4" x14ac:dyDescent="0.3"/>
  <cols>
    <col min="1" max="1" width="18.88671875" style="84" customWidth="1"/>
    <col min="2" max="3" width="21.77734375" style="54" customWidth="1"/>
    <col min="4" max="4" width="24.5546875" style="54" customWidth="1"/>
    <col min="5" max="5" width="23.77734375" style="54" customWidth="1"/>
    <col min="6" max="6" width="21.77734375" style="54" customWidth="1"/>
    <col min="7" max="7" width="24.109375" style="54" customWidth="1"/>
    <col min="8" max="8" width="21.77734375" style="54" customWidth="1"/>
  </cols>
  <sheetData>
    <row r="1" spans="1:8" x14ac:dyDescent="0.3">
      <c r="A1"/>
    </row>
    <row r="2" spans="1:8" x14ac:dyDescent="0.3">
      <c r="A2" s="55" t="s">
        <v>284</v>
      </c>
      <c r="B2" s="253">
        <f>Legend!B2</f>
        <v>43501</v>
      </c>
    </row>
    <row r="3" spans="1:8" x14ac:dyDescent="0.3">
      <c r="A3" s="107"/>
      <c r="B3" s="57" t="s">
        <v>13</v>
      </c>
      <c r="C3" s="135" t="s">
        <v>12</v>
      </c>
      <c r="D3" s="57" t="s">
        <v>10</v>
      </c>
      <c r="E3" s="57" t="s">
        <v>14</v>
      </c>
      <c r="F3" s="57" t="s">
        <v>11</v>
      </c>
      <c r="G3" s="57" t="s">
        <v>8</v>
      </c>
      <c r="H3" s="57" t="s">
        <v>41</v>
      </c>
    </row>
    <row r="4" spans="1:8" ht="28.8" x14ac:dyDescent="0.3">
      <c r="A4" s="108"/>
      <c r="B4" s="59" t="s">
        <v>301</v>
      </c>
      <c r="C4" s="59" t="s">
        <v>299</v>
      </c>
      <c r="D4" s="160" t="s">
        <v>292</v>
      </c>
      <c r="E4" s="160" t="s">
        <v>543</v>
      </c>
      <c r="F4" s="160" t="s">
        <v>294</v>
      </c>
      <c r="G4" s="160" t="s">
        <v>277</v>
      </c>
      <c r="H4" s="160" t="s">
        <v>305</v>
      </c>
    </row>
    <row r="5" spans="1:8" ht="28.8" x14ac:dyDescent="0.3">
      <c r="A5" s="60" t="s">
        <v>1</v>
      </c>
      <c r="B5" s="89">
        <v>0</v>
      </c>
      <c r="C5" s="89" t="s">
        <v>297</v>
      </c>
      <c r="D5" s="89">
        <v>0</v>
      </c>
      <c r="E5" s="89">
        <v>0</v>
      </c>
      <c r="F5" s="89">
        <v>0</v>
      </c>
      <c r="G5" s="89" t="s">
        <v>368</v>
      </c>
      <c r="H5" s="89">
        <v>0</v>
      </c>
    </row>
    <row r="6" spans="1:8" x14ac:dyDescent="0.3">
      <c r="A6" s="65" t="s">
        <v>7</v>
      </c>
      <c r="B6" s="83" t="s">
        <v>33</v>
      </c>
      <c r="C6" s="83" t="s">
        <v>298</v>
      </c>
      <c r="D6" s="83" t="s">
        <v>33</v>
      </c>
      <c r="E6" s="89" t="s">
        <v>33</v>
      </c>
      <c r="F6" s="83" t="s">
        <v>33</v>
      </c>
      <c r="G6" s="83" t="s">
        <v>278</v>
      </c>
      <c r="H6" s="83" t="s">
        <v>33</v>
      </c>
    </row>
    <row r="7" spans="1:8" ht="43.2" x14ac:dyDescent="0.3">
      <c r="A7" s="65" t="s">
        <v>4</v>
      </c>
      <c r="B7" s="83" t="s">
        <v>302</v>
      </c>
      <c r="C7" s="83" t="s">
        <v>298</v>
      </c>
      <c r="D7" s="66" t="s">
        <v>33</v>
      </c>
      <c r="E7" s="89" t="s">
        <v>33</v>
      </c>
      <c r="F7" s="83" t="s">
        <v>295</v>
      </c>
      <c r="G7" s="83" t="s">
        <v>280</v>
      </c>
      <c r="H7" s="66" t="s">
        <v>33</v>
      </c>
    </row>
    <row r="8" spans="1:8" x14ac:dyDescent="0.3">
      <c r="A8" s="65" t="s">
        <v>2</v>
      </c>
      <c r="B8" s="92">
        <v>5</v>
      </c>
      <c r="C8" s="83" t="s">
        <v>298</v>
      </c>
      <c r="D8" s="92" t="s">
        <v>541</v>
      </c>
      <c r="E8" s="89" t="s">
        <v>368</v>
      </c>
      <c r="F8" s="92">
        <v>3</v>
      </c>
      <c r="G8" s="92" t="s">
        <v>368</v>
      </c>
      <c r="H8" s="89">
        <v>1.25</v>
      </c>
    </row>
    <row r="9" spans="1:8" x14ac:dyDescent="0.3">
      <c r="A9" s="65" t="s">
        <v>78</v>
      </c>
      <c r="B9" s="83" t="s">
        <v>33</v>
      </c>
      <c r="C9" s="83"/>
      <c r="D9" s="92" t="s">
        <v>33</v>
      </c>
      <c r="E9" s="89" t="s">
        <v>33</v>
      </c>
      <c r="F9" s="83" t="s">
        <v>33</v>
      </c>
      <c r="G9" s="92"/>
      <c r="H9" s="83"/>
    </row>
    <row r="10" spans="1:8" x14ac:dyDescent="0.3">
      <c r="A10" s="65" t="s">
        <v>456</v>
      </c>
      <c r="B10" s="83" t="s">
        <v>33</v>
      </c>
      <c r="C10" s="83"/>
      <c r="D10" s="92" t="s">
        <v>33</v>
      </c>
      <c r="E10" s="89" t="s">
        <v>33</v>
      </c>
      <c r="F10" s="83" t="s">
        <v>33</v>
      </c>
      <c r="G10" s="92"/>
      <c r="H10" s="83"/>
    </row>
    <row r="11" spans="1:8" ht="43.8" thickBot="1" x14ac:dyDescent="0.35">
      <c r="A11" s="71" t="s">
        <v>18</v>
      </c>
      <c r="B11" s="90" t="s">
        <v>109</v>
      </c>
      <c r="C11" s="90" t="s">
        <v>109</v>
      </c>
      <c r="D11" s="83" t="s">
        <v>598</v>
      </c>
      <c r="E11" s="109">
        <v>0</v>
      </c>
      <c r="F11" s="90" t="s">
        <v>293</v>
      </c>
      <c r="G11" s="90" t="s">
        <v>369</v>
      </c>
      <c r="H11" s="90" t="s">
        <v>621</v>
      </c>
    </row>
    <row r="12" spans="1:8" ht="43.2" x14ac:dyDescent="0.3">
      <c r="A12" s="73" t="s">
        <v>17</v>
      </c>
      <c r="B12" s="51"/>
      <c r="C12" s="51" t="s">
        <v>298</v>
      </c>
      <c r="D12" s="51"/>
      <c r="E12" s="267"/>
      <c r="F12" s="51"/>
      <c r="G12" s="51" t="s">
        <v>279</v>
      </c>
      <c r="H12" s="51"/>
    </row>
    <row r="13" spans="1:8" x14ac:dyDescent="0.3">
      <c r="A13" s="74"/>
      <c r="B13" s="52"/>
      <c r="C13" s="52"/>
      <c r="D13" s="52"/>
      <c r="E13" s="268"/>
      <c r="F13" s="52"/>
      <c r="G13" s="52"/>
      <c r="H13" s="52"/>
    </row>
    <row r="14" spans="1:8" x14ac:dyDescent="0.3">
      <c r="A14" s="74"/>
      <c r="B14" s="52"/>
      <c r="C14" s="52"/>
      <c r="D14" s="52"/>
      <c r="E14" s="268"/>
      <c r="F14" s="52"/>
      <c r="G14" s="52"/>
      <c r="H14" s="52"/>
    </row>
    <row r="15" spans="1:8" x14ac:dyDescent="0.3">
      <c r="A15" s="74"/>
      <c r="B15" s="52"/>
      <c r="C15" s="52"/>
      <c r="D15" s="102"/>
      <c r="E15" s="268"/>
      <c r="F15" s="52"/>
      <c r="G15" s="52"/>
      <c r="H15" s="52"/>
    </row>
    <row r="16" spans="1:8" x14ac:dyDescent="0.3">
      <c r="A16" s="74"/>
      <c r="B16" s="52"/>
      <c r="C16" s="52"/>
      <c r="D16" s="102"/>
      <c r="E16" s="268"/>
      <c r="F16" s="52"/>
      <c r="G16" s="52"/>
      <c r="H16" s="52"/>
    </row>
    <row r="17" spans="1:8" ht="15" thickBot="1" x14ac:dyDescent="0.35">
      <c r="A17" s="77"/>
      <c r="B17" s="78"/>
      <c r="C17" s="78"/>
      <c r="D17" s="111"/>
      <c r="E17" s="269"/>
      <c r="F17" s="78"/>
      <c r="G17" s="78"/>
      <c r="H17" s="78"/>
    </row>
    <row r="18" spans="1:8" x14ac:dyDescent="0.3">
      <c r="A18" s="174" t="s">
        <v>24</v>
      </c>
      <c r="B18" s="112" t="s">
        <v>33</v>
      </c>
      <c r="C18" s="112" t="s">
        <v>33</v>
      </c>
      <c r="D18" s="112" t="s">
        <v>33</v>
      </c>
      <c r="E18" s="112"/>
      <c r="F18" s="112" t="s">
        <v>33</v>
      </c>
      <c r="G18" s="112" t="s">
        <v>33</v>
      </c>
      <c r="H18" s="112" t="s">
        <v>33</v>
      </c>
    </row>
    <row r="19" spans="1:8" x14ac:dyDescent="0.3">
      <c r="A19" s="86" t="s">
        <v>15</v>
      </c>
      <c r="B19" s="83" t="s">
        <v>16</v>
      </c>
      <c r="C19" s="83" t="s">
        <v>16</v>
      </c>
      <c r="D19" s="83" t="s">
        <v>16</v>
      </c>
      <c r="E19" s="89" t="s">
        <v>16</v>
      </c>
      <c r="F19" s="83" t="s">
        <v>16</v>
      </c>
      <c r="G19" s="83" t="s">
        <v>16</v>
      </c>
      <c r="H19" s="83" t="s">
        <v>16</v>
      </c>
    </row>
    <row r="20" spans="1:8" x14ac:dyDescent="0.3">
      <c r="A20" s="65" t="s">
        <v>289</v>
      </c>
      <c r="B20" s="83" t="s">
        <v>303</v>
      </c>
      <c r="C20" s="83" t="s">
        <v>300</v>
      </c>
      <c r="D20" s="83" t="s">
        <v>312</v>
      </c>
      <c r="E20" s="83" t="s">
        <v>33</v>
      </c>
      <c r="F20" s="83" t="s">
        <v>312</v>
      </c>
      <c r="G20" s="83" t="s">
        <v>312</v>
      </c>
      <c r="H20" s="83" t="s">
        <v>306</v>
      </c>
    </row>
    <row r="21" spans="1:8" ht="28.8" x14ac:dyDescent="0.3">
      <c r="A21" s="65" t="s">
        <v>289</v>
      </c>
      <c r="B21" s="83" t="s">
        <v>303</v>
      </c>
      <c r="C21" s="83" t="s">
        <v>290</v>
      </c>
      <c r="D21" s="83" t="s">
        <v>290</v>
      </c>
      <c r="E21" s="83" t="s">
        <v>33</v>
      </c>
      <c r="F21" s="83" t="s">
        <v>33</v>
      </c>
      <c r="G21" s="83" t="s">
        <v>291</v>
      </c>
      <c r="H21" s="83" t="s">
        <v>306</v>
      </c>
    </row>
    <row r="22" spans="1:8" ht="86.4" x14ac:dyDescent="0.3">
      <c r="A22" s="65" t="s">
        <v>288</v>
      </c>
      <c r="B22" s="83" t="s">
        <v>582</v>
      </c>
      <c r="C22" s="113">
        <v>5.0000000000000001E-4</v>
      </c>
      <c r="D22" s="94">
        <v>2.5000000000000001E-3</v>
      </c>
      <c r="E22" s="83" t="s">
        <v>544</v>
      </c>
      <c r="F22" s="113">
        <v>2.5000000000000001E-3</v>
      </c>
      <c r="G22" s="83" t="s">
        <v>281</v>
      </c>
      <c r="H22" s="83" t="s">
        <v>583</v>
      </c>
    </row>
  </sheetData>
  <mergeCells count="1">
    <mergeCell ref="E12:E17"/>
  </mergeCells>
  <hyperlinks>
    <hyperlink ref="C3" r:id="rId1"/>
    <hyperlink ref="D4" r:id="rId2"/>
    <hyperlink ref="E4" r:id="rId3"/>
    <hyperlink ref="F4" r:id="rId4"/>
    <hyperlink ref="H4" r:id="rId5"/>
    <hyperlink ref="G4" r:id="rId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pane xSplit="1" ySplit="4" topLeftCell="B5" activePane="bottomRight" state="frozen"/>
      <selection activeCell="A9" sqref="A9"/>
      <selection pane="topRight" activeCell="A9" sqref="A9"/>
      <selection pane="bottomLeft" activeCell="A9" sqref="A9"/>
      <selection pane="bottomRight" activeCell="A19" sqref="A19:XFD26"/>
    </sheetView>
  </sheetViews>
  <sheetFormatPr defaultRowHeight="14.4" x14ac:dyDescent="0.3"/>
  <cols>
    <col min="1" max="1" width="18.88671875" style="4" customWidth="1"/>
    <col min="2" max="2" width="22.5546875" customWidth="1"/>
    <col min="3" max="4" width="21.77734375" customWidth="1"/>
    <col min="5" max="5" width="22.21875" customWidth="1"/>
    <col min="6" max="10" width="21.77734375" customWidth="1"/>
  </cols>
  <sheetData>
    <row r="1" spans="1:10" ht="15.6" x14ac:dyDescent="0.3">
      <c r="A1" s="263" t="s">
        <v>320</v>
      </c>
      <c r="B1" s="263"/>
    </row>
    <row r="2" spans="1:10" x14ac:dyDescent="0.3">
      <c r="A2" s="36" t="s">
        <v>284</v>
      </c>
      <c r="B2" s="247">
        <f>Legend!B2</f>
        <v>43501</v>
      </c>
    </row>
    <row r="3" spans="1:10" s="2" customFormat="1" x14ac:dyDescent="0.3">
      <c r="A3" s="8"/>
      <c r="B3" s="37" t="s">
        <v>0</v>
      </c>
      <c r="C3" s="37" t="s">
        <v>13</v>
      </c>
      <c r="D3" s="37" t="s">
        <v>12</v>
      </c>
      <c r="E3" s="37" t="s">
        <v>10</v>
      </c>
      <c r="F3" s="37" t="s">
        <v>14</v>
      </c>
      <c r="G3" s="37" t="s">
        <v>11</v>
      </c>
      <c r="H3" s="37" t="s">
        <v>8</v>
      </c>
      <c r="I3" s="37" t="s">
        <v>41</v>
      </c>
      <c r="J3" s="37" t="s">
        <v>42</v>
      </c>
    </row>
    <row r="4" spans="1:10" s="2" customFormat="1" ht="28.8" x14ac:dyDescent="0.3">
      <c r="A4" s="8"/>
      <c r="B4" s="39" t="s">
        <v>33</v>
      </c>
      <c r="C4" s="39" t="s">
        <v>551</v>
      </c>
      <c r="D4" s="39" t="s">
        <v>552</v>
      </c>
      <c r="E4" s="39" t="s">
        <v>33</v>
      </c>
      <c r="F4" s="39"/>
      <c r="G4" s="39" t="s">
        <v>553</v>
      </c>
      <c r="H4" s="39" t="s">
        <v>33</v>
      </c>
      <c r="I4" s="39" t="s">
        <v>554</v>
      </c>
      <c r="J4" s="39" t="s">
        <v>128</v>
      </c>
    </row>
    <row r="5" spans="1:10" s="1" customFormat="1" x14ac:dyDescent="0.3">
      <c r="A5" s="216" t="s">
        <v>1</v>
      </c>
      <c r="B5" s="217"/>
      <c r="C5" s="40">
        <v>0</v>
      </c>
      <c r="D5" s="45">
        <v>0</v>
      </c>
      <c r="E5" s="218"/>
      <c r="F5" s="45"/>
      <c r="G5" s="40">
        <v>0</v>
      </c>
      <c r="H5" s="218"/>
      <c r="I5" s="40">
        <v>10.95</v>
      </c>
      <c r="J5" s="40">
        <v>7.75</v>
      </c>
    </row>
    <row r="6" spans="1:10" ht="28.8" x14ac:dyDescent="0.3">
      <c r="A6" s="219" t="s">
        <v>555</v>
      </c>
      <c r="B6" s="220"/>
      <c r="C6" s="43" t="s">
        <v>33</v>
      </c>
      <c r="D6" s="43" t="s">
        <v>33</v>
      </c>
      <c r="E6" s="220"/>
      <c r="F6" s="44"/>
      <c r="G6" s="44" t="s">
        <v>33</v>
      </c>
      <c r="H6" s="220"/>
      <c r="I6" s="33">
        <v>2500</v>
      </c>
      <c r="J6" s="44" t="s">
        <v>126</v>
      </c>
    </row>
    <row r="7" spans="1:10" ht="72" x14ac:dyDescent="0.3">
      <c r="A7" s="219" t="s">
        <v>4</v>
      </c>
      <c r="B7" s="220"/>
      <c r="C7" s="44" t="s">
        <v>556</v>
      </c>
      <c r="D7" s="43" t="s">
        <v>557</v>
      </c>
      <c r="E7" s="220"/>
      <c r="F7" s="44"/>
      <c r="G7" s="44" t="s">
        <v>558</v>
      </c>
      <c r="H7" s="220"/>
      <c r="I7" s="44">
        <v>60</v>
      </c>
      <c r="J7" s="44" t="s">
        <v>129</v>
      </c>
    </row>
    <row r="8" spans="1:10" ht="57.6" x14ac:dyDescent="0.3">
      <c r="A8" s="221" t="s">
        <v>2</v>
      </c>
      <c r="B8" s="222"/>
      <c r="C8" s="14" t="s">
        <v>559</v>
      </c>
      <c r="D8" s="14" t="s">
        <v>560</v>
      </c>
      <c r="E8" s="222"/>
      <c r="F8" s="14"/>
      <c r="G8" s="223">
        <v>5</v>
      </c>
      <c r="H8" s="222"/>
      <c r="I8" s="14" t="s">
        <v>561</v>
      </c>
      <c r="J8" s="14" t="s">
        <v>622</v>
      </c>
    </row>
    <row r="9" spans="1:10" ht="57.6" x14ac:dyDescent="0.3">
      <c r="A9" s="219" t="s">
        <v>78</v>
      </c>
      <c r="B9" s="220"/>
      <c r="C9" s="43" t="s">
        <v>452</v>
      </c>
      <c r="D9" s="44" t="s">
        <v>64</v>
      </c>
      <c r="E9" s="220"/>
      <c r="F9" s="44"/>
      <c r="G9" s="43" t="s">
        <v>562</v>
      </c>
      <c r="H9" s="220"/>
      <c r="I9" s="43" t="s">
        <v>485</v>
      </c>
      <c r="J9" s="44" t="s">
        <v>130</v>
      </c>
    </row>
    <row r="10" spans="1:10" ht="18" x14ac:dyDescent="0.3">
      <c r="A10" s="224" t="s">
        <v>357</v>
      </c>
      <c r="B10" s="225"/>
      <c r="C10" s="226"/>
      <c r="D10" s="226"/>
      <c r="E10" s="225"/>
      <c r="F10" s="226"/>
      <c r="G10" s="226"/>
      <c r="H10" s="225"/>
      <c r="I10" s="226"/>
      <c r="J10" s="226"/>
    </row>
    <row r="11" spans="1:10" x14ac:dyDescent="0.3">
      <c r="A11" s="227" t="s">
        <v>361</v>
      </c>
      <c r="B11" s="228"/>
      <c r="C11" s="161" t="s">
        <v>64</v>
      </c>
      <c r="D11" s="229" t="s">
        <v>64</v>
      </c>
      <c r="E11" s="230"/>
      <c r="F11" s="161"/>
      <c r="G11" s="229">
        <v>1</v>
      </c>
      <c r="H11" s="228"/>
      <c r="I11" s="229">
        <v>1.5</v>
      </c>
      <c r="J11" s="229"/>
    </row>
    <row r="12" spans="1:10" x14ac:dyDescent="0.3">
      <c r="A12" s="227" t="s">
        <v>525</v>
      </c>
      <c r="B12" s="231"/>
      <c r="C12" s="232">
        <v>1.5</v>
      </c>
      <c r="D12" s="232" t="s">
        <v>563</v>
      </c>
      <c r="E12" s="233"/>
      <c r="F12" s="234"/>
      <c r="G12" s="234" t="s">
        <v>563</v>
      </c>
      <c r="H12" s="231"/>
      <c r="I12" s="232"/>
      <c r="J12" s="232"/>
    </row>
    <row r="13" spans="1:10" ht="15" thickBot="1" x14ac:dyDescent="0.35">
      <c r="A13" s="227" t="s">
        <v>491</v>
      </c>
      <c r="B13" s="231"/>
      <c r="C13" s="234" t="s">
        <v>64</v>
      </c>
      <c r="D13" s="232" t="s">
        <v>563</v>
      </c>
      <c r="E13" s="233"/>
      <c r="F13" s="234"/>
      <c r="G13" s="234" t="s">
        <v>563</v>
      </c>
      <c r="H13" s="231"/>
      <c r="I13" s="232"/>
      <c r="J13" s="232"/>
    </row>
    <row r="14" spans="1:10" ht="43.2" x14ac:dyDescent="0.3">
      <c r="A14" s="235" t="s">
        <v>17</v>
      </c>
      <c r="B14" s="220"/>
      <c r="C14" s="43" t="s">
        <v>564</v>
      </c>
      <c r="D14" s="236" t="s">
        <v>565</v>
      </c>
      <c r="E14" s="220"/>
      <c r="F14" s="44"/>
      <c r="G14" s="43"/>
      <c r="H14" s="220"/>
      <c r="I14" s="43" t="s">
        <v>121</v>
      </c>
      <c r="J14" s="44"/>
    </row>
    <row r="15" spans="1:10" x14ac:dyDescent="0.3">
      <c r="A15" s="237" t="s">
        <v>289</v>
      </c>
      <c r="B15" s="230"/>
      <c r="C15" s="19" t="s">
        <v>566</v>
      </c>
      <c r="D15" s="19" t="s">
        <v>33</v>
      </c>
      <c r="E15" s="220"/>
      <c r="F15" s="42"/>
      <c r="G15" s="19" t="s">
        <v>33</v>
      </c>
      <c r="H15" s="220"/>
      <c r="I15" s="43" t="s">
        <v>33</v>
      </c>
      <c r="J15" s="42" t="s">
        <v>33</v>
      </c>
    </row>
    <row r="16" spans="1:10" x14ac:dyDescent="0.3">
      <c r="A16" s="237" t="s">
        <v>288</v>
      </c>
      <c r="B16" s="230"/>
      <c r="C16" s="19" t="s">
        <v>567</v>
      </c>
      <c r="D16" s="19" t="s">
        <v>33</v>
      </c>
      <c r="E16" s="220"/>
      <c r="F16" s="19"/>
      <c r="G16" s="238">
        <v>8.9999999999999993E-3</v>
      </c>
      <c r="H16" s="230"/>
      <c r="I16" s="19" t="s">
        <v>33</v>
      </c>
      <c r="J16" s="6" t="s">
        <v>33</v>
      </c>
    </row>
    <row r="17" spans="1:10" ht="100.8" x14ac:dyDescent="0.3">
      <c r="A17" s="219" t="s">
        <v>6</v>
      </c>
      <c r="B17" s="220"/>
      <c r="C17" s="42" t="s">
        <v>568</v>
      </c>
      <c r="D17" s="42" t="s">
        <v>569</v>
      </c>
      <c r="E17" s="220"/>
      <c r="F17" s="43"/>
      <c r="G17" s="42" t="s">
        <v>33</v>
      </c>
      <c r="H17" s="220"/>
      <c r="I17" s="42" t="s">
        <v>33</v>
      </c>
      <c r="J17" s="42" t="s">
        <v>33</v>
      </c>
    </row>
  </sheetData>
  <mergeCells count="1">
    <mergeCell ref="A1:B1"/>
  </mergeCells>
  <pageMargins left="0.7" right="0.7" top="0.75" bottom="0.75" header="0.3" footer="0.3"/>
  <pageSetup paperSize="5" scale="3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8B888598-C284-462C-A82A-64084479B3D5}"/>
</file>

<file path=customXml/itemProps2.xml><?xml version="1.0" encoding="utf-8"?>
<ds:datastoreItem xmlns:ds="http://schemas.openxmlformats.org/officeDocument/2006/customXml" ds:itemID="{DC64A373-1592-40CB-AB0A-096E96A75561}"/>
</file>

<file path=customXml/itemProps3.xml><?xml version="1.0" encoding="utf-8"?>
<ds:datastoreItem xmlns:ds="http://schemas.openxmlformats.org/officeDocument/2006/customXml" ds:itemID="{51DBC3E1-C7EB-4E5B-88EA-99D4FB9DCFA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Legend</vt:lpstr>
      <vt:lpstr>UC</vt:lpstr>
      <vt:lpstr>Apex</vt:lpstr>
      <vt:lpstr>StdCHQ</vt:lpstr>
      <vt:lpstr>Summit</vt:lpstr>
      <vt:lpstr>Peak</vt:lpstr>
      <vt:lpstr>Gold Leaf PLUS</vt:lpstr>
      <vt:lpstr>Student</vt:lpstr>
      <vt:lpstr>Youth</vt:lpstr>
      <vt:lpstr>US Chequing</vt:lpstr>
      <vt:lpstr>US Savings</vt:lpstr>
      <vt:lpstr>Online Accounts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Information Services</dc:creator>
  <cp:lastModifiedBy>Sandra Maza</cp:lastModifiedBy>
  <cp:lastPrinted>2016-08-30T14:16:33Z</cp:lastPrinted>
  <dcterms:created xsi:type="dcterms:W3CDTF">2012-11-20T21:19:45Z</dcterms:created>
  <dcterms:modified xsi:type="dcterms:W3CDTF">2020-01-06T17:25:46Z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36500</vt:r8>
  </property>
  <property fmtid="{D5CDD505-2E9C-101B-9397-08002B2CF9AE}" pid="4" name="URL">
    <vt:lpwstr/>
  </property>
  <property fmtid="{D5CDD505-2E9C-101B-9397-08002B2CF9AE}" pid="5" name="MediaServiceImageTags">
    <vt:lpwstr/>
  </property>
</Properties>
</file>