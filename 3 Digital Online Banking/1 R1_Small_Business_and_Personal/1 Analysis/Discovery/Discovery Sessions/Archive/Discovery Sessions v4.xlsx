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0" yWindow="0" windowWidth="28800" windowHeight="12225"/>
  </bookViews>
  <sheets>
    <sheet name="Timeline" sheetId="1" r:id="rId1"/>
    <sheet name="Questions" sheetId="2" r:id="rId2"/>
    <sheet name="References"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 i="1"/>
  <c r="D38" i="1"/>
</calcChain>
</file>

<file path=xl/sharedStrings.xml><?xml version="1.0" encoding="utf-8"?>
<sst xmlns="http://schemas.openxmlformats.org/spreadsheetml/2006/main" count="222" uniqueCount="183">
  <si>
    <t>Date</t>
  </si>
  <si>
    <t>Time</t>
  </si>
  <si>
    <t>Duration</t>
  </si>
  <si>
    <t>Session Name</t>
  </si>
  <si>
    <t>Topics</t>
  </si>
  <si>
    <t>Ecosystem Review</t>
  </si>
  <si>
    <t>Pradeep</t>
  </si>
  <si>
    <t>Design</t>
  </si>
  <si>
    <t>Eve</t>
  </si>
  <si>
    <t>Post-Login</t>
  </si>
  <si>
    <t>Quick Balance / Pre-Login Preview
Locate Us: Find ATM / Branch
Interest Rates 
Timeouts
Terms &amp; Conditions
Privacy Policy</t>
  </si>
  <si>
    <t>Accounts Dashboard
Account Detail
Transaction Detail</t>
  </si>
  <si>
    <t>User Profile Settings
Change Username
Change Password
Personal Details</t>
  </si>
  <si>
    <t>3rd Party Integrations 1</t>
  </si>
  <si>
    <t>ID Management/MFA - Okta
Statements - DOXIM
Bill Pay - Central One
Check Images - DOXIM
Mulesoft Layer</t>
  </si>
  <si>
    <t>3rd Party Integrations 2</t>
  </si>
  <si>
    <t>Card Control</t>
  </si>
  <si>
    <t>C360</t>
  </si>
  <si>
    <t>Marketing</t>
  </si>
  <si>
    <t>Mobile:
Pre-login advertisements
Post-login advertisements
Accounts list advertisements
OLB:
Pre-login advertisements
Post-login advertisements
Accounts list advertisements
Delivery</t>
  </si>
  <si>
    <t>Questions and Roll-over</t>
  </si>
  <si>
    <t>Small Business Demo</t>
  </si>
  <si>
    <t>Personal Banking Demo</t>
  </si>
  <si>
    <t>Temenos Participants</t>
  </si>
  <si>
    <t>Client Participants</t>
  </si>
  <si>
    <t>Pradeep and Eve</t>
  </si>
  <si>
    <t>Comments</t>
  </si>
  <si>
    <t>Q: What are the standard reports? 
A: Eve will explore and confirm.
Q: What is the format of Analytics?
A: Tables, forms and charts within C360 - provide demo prior to session</t>
  </si>
  <si>
    <t>Wires</t>
  </si>
  <si>
    <t>User Management</t>
  </si>
  <si>
    <t>T24 &amp;Mulesoft Review</t>
  </si>
  <si>
    <t>Review T24 needs and intro to Mulesoft team</t>
  </si>
  <si>
    <t>C360 Demo</t>
  </si>
  <si>
    <t>This may be technical in nature.  Corresponding documentation will be coming</t>
  </si>
  <si>
    <t>Partners</t>
  </si>
  <si>
    <t>Current State demo of Temenos Small Business</t>
  </si>
  <si>
    <t>Current State demo of Temenos Personal</t>
  </si>
  <si>
    <t>Technical review of Temenos system components</t>
  </si>
  <si>
    <t>Contingency if additional time is needed.</t>
  </si>
  <si>
    <t>Objective</t>
  </si>
  <si>
    <t>To provide a high level demo of the current state small business banking platform.  CWB should be taking note of questions they may want to ask in future discovery sessions related to a specific area of the platform.</t>
  </si>
  <si>
    <t>To provide a high level demo of the current state personal banking platform.  CWB should be taking note of questions they may want to ask in future discovery sessions related to a specific area of the platform.</t>
  </si>
  <si>
    <t xml:space="preserve">To provide a high level overview of the different components of the DBX platform and how it interacts with third parties, core system, etc.  </t>
  </si>
  <si>
    <t>Discuss the gaps discovered by both the CWB and Temenos teams and come to a general consensus on the initial list of gaps that need filled.  This will help inform the remaining sessions on specific items we will need to collect details on.</t>
  </si>
  <si>
    <t>Initial review of potential gaps</t>
  </si>
  <si>
    <t>Gap Analysis Review (CWB / Kony)</t>
  </si>
  <si>
    <t xml:space="preserve">Discuss the overall branding approach to the project.  
PREREQUISITE: Branding Questionaire should be returned to Temenos prior to this session. </t>
  </si>
  <si>
    <t xml:space="preserve">Review the known state of the T24 Mulesoft layer and the expected transactions DBX will need to pass. </t>
  </si>
  <si>
    <t>Authentication and Login</t>
  </si>
  <si>
    <t>Enrollment criteria
Register Existing Customer for Digital Banking 
Username and password
Multi-Factor Authentication/ OTP
Biometric / Touch ID / Fingerprint
Device Registration
SSO across other interfaces</t>
  </si>
  <si>
    <t xml:space="preserve">Review of the different enrollment criteria for the different streams (small business and personal).  Make decisions on enrollment needs including new business or personal users and existing registered business or personel users. </t>
  </si>
  <si>
    <t>Review of general features available to a user once logged in.</t>
  </si>
  <si>
    <t xml:space="preserve">Business Banking:
1. Account Manager : Provides name and email of  Account Manager 
2. SIN / Business number : Provides SIN of account signer. SIN info should not be available on delegate profile 
3. Accounts and Investments  : To display a full view of client in a snapshot - all products across the bank including wealth, credit cards, all CIFs etc.
Retail:
Accounts Dashboard
Details / Summary / Info
Account information request
</t>
  </si>
  <si>
    <t>PFM
Business Accounts Management
Consolidation / Aggregation</t>
  </si>
  <si>
    <t xml:space="preserve">Personal Finance Management
Add Accounts from External Banks
View Balances from External Banks
Manage External Bank accounts
Business User Account Management
Account Consolidation Manager
DEPOSITS: Consolidate CWB personal bank accounts
</t>
  </si>
  <si>
    <t>Determine how CWB manages these today. How does CWB see the future state of these features? Determine current API support for cardless cash.</t>
  </si>
  <si>
    <t>Transaction Management
Cardless Cash</t>
  </si>
  <si>
    <t>Automation</t>
  </si>
  <si>
    <t>What is current state vs expected future state.  How do you expect these to work within digital?</t>
  </si>
  <si>
    <t>Bill Pay</t>
  </si>
  <si>
    <t xml:space="preserve">Immediate Bill Payment
Future Dated Bill Payment
Cancel Future Dated Bill Payment
Create Recurring Bill Payments
Remove Recurring Bill Payments
Get future dated bill payments list
List Member Recurring Payments
Validate Biller 
</t>
  </si>
  <si>
    <t xml:space="preserve">Details on the topics in column E. </t>
  </si>
  <si>
    <t>Retail Transfers
P2P
EFT</t>
  </si>
  <si>
    <t xml:space="preserve">Transfer Flow
Transfer History
Beneficiary management
Cash Position Chart (Transfer Dashboard)
Create Scheduled transfers
Cancel Scheduled transfers
List Scheduled transfers
MeToMe Transfers
Intra - Member Transfers
Inter - Member Transfers
Interac e-Transfer – Debit 
Interac e-Transfer – Credit 
Cancel Interac e-Transfer – Debit 
Cancel Interac e-Transfer – Credit 
CRA Funds Transfers vs. Transfers
Pre - Authorized Payments 
Cross Currency Transfer 
ACH Bulk Transfers </t>
  </si>
  <si>
    <t>Can we use same Transfers screen/module with customization? CRA Funds Transfers has 2 unique items:
1. File or Remit (may mean just transfer)
2. View Payment History (in Transfers,  should be covered)
Do we need a different UI for CRA Funds Transfers?</t>
  </si>
  <si>
    <t>Small Business Transfers</t>
  </si>
  <si>
    <t xml:space="preserve">Transfer to Beneficiaries 
Transfer to  Others  - One off payments 
Transfer to Self
Bill Payments 
Tax Payments 
Pre - Authorized Payments 
Cross Currency Transfer 
ACH Bulk Transfers </t>
  </si>
  <si>
    <t>Checks Management</t>
  </si>
  <si>
    <t>Propose stop payment
Create stop payment
Remove stop payment
List Stop Payments
Stop Payment inquiry</t>
  </si>
  <si>
    <t>RDC</t>
  </si>
  <si>
    <t>RDC Deposits_x000D_
Cancel RDC Deposits</t>
  </si>
  <si>
    <t xml:space="preserve">Personal and business RDC including business rules.  SCAN checks is in another session. </t>
  </si>
  <si>
    <t>Statements</t>
  </si>
  <si>
    <t>Statement inquiry
Statements Enrollment</t>
  </si>
  <si>
    <t>How do statements work. 
How long are statements stored?
What are regulatory requirements for statement enrollment?
If a user opts out of estatements should they still be able to view them?</t>
  </si>
  <si>
    <t xml:space="preserve">Wires Transfers
</t>
  </si>
  <si>
    <t>Details on how CWB does wires, what vendor(s)?   
Western Union - Will this move through Wire Transfer module?
SSO out, API posted to T24?</t>
  </si>
  <si>
    <t xml:space="preserve">Favorite Accounts
Account Nicknames / Descriptions
User pictures
Update access code or Password
Forgot Username
Forgot Password
</t>
  </si>
  <si>
    <t xml:space="preserve">How do you want these sections to work?  Where does this information come from, where does it get stored (pictures)? </t>
  </si>
  <si>
    <t>Alerts and Notifications</t>
  </si>
  <si>
    <t>Account Alerts
Security Alerts
Card Alerts
Timing of Alert Delivery - real time/batch
Member Delinquency Messages
Member Financial Reminders
Manage Messages and Alerts</t>
  </si>
  <si>
    <t>What are you doing today.  
1. Small Business Alerts: 
a. Txn Pending Approval
b. Txn about to Expire
2. Manage Alerts Contacts and Mobile Nicknames
a. Add contact
b. Edit Contact
c. Delete contact
d. Disable contact
e. View alerts history
3. Manage Mobile Nicknames
-- Where stored?</t>
  </si>
  <si>
    <t xml:space="preserve">Specific details on third party integrations including client specific parameters and endpoints. </t>
  </si>
  <si>
    <t>RDC - Central One
Marketing Conversion from Central One
Push Notifications
Account Opening
Open API Integration : 
1. Integrate to accounting platforms( Sage, Zero, QuickBooks etc.). Being able to pull data from  third party service providers to provide insights  from their accounting software
2. Ability to push data from T24  to clients through secured data push instead of screen scraping  
3. Ability to integrate with third party to provide non banking services to our clients</t>
  </si>
  <si>
    <t>Debit Cards - OLB vs. Mobile
Credit Cards - OLB vs. Mobile
Report Lost &amp; Stolen Cards: Is this by phone today, with future state to implement a service?</t>
  </si>
  <si>
    <t>A: What does it mean? Admin or Management?
A: Mostly Business Related and few technical participants. 
Topics example: What are kind of debit and credit cards. 
- I want to able the lock the card. 
- I need to report Stolen. 
- What options are available to control cards?</t>
  </si>
  <si>
    <t>Demo of C360 with Q&amp;A</t>
  </si>
  <si>
    <t xml:space="preserve">High level demo of the C360 platform and how it is used.  CWB should take note of questions they may have that would feed into the C360 workshop. </t>
  </si>
  <si>
    <t>Assisted Services (Tap to Call, FAQs, Search What’s New)
Secure Messaging
Help
Standard Reports
Temenos Analytics
Customer profile Enquiry</t>
  </si>
  <si>
    <t xml:space="preserve">High level questions relating to expectations related to C360. </t>
  </si>
  <si>
    <t>What our system does now, what is the expectation for mobile and OLB in relation to marketing messages and placement.</t>
  </si>
  <si>
    <t>Create Business User 
View Users List
View User Profile Details
Manage User
Edit Business User
Search for Business User 
Business User Status
Entitlements / Load permissions
MDSB Signer information</t>
  </si>
  <si>
    <t>What are permissions for creating and managing users (C360?)?
What is a "signer"  and what are the expectations for signer info?</t>
  </si>
  <si>
    <t>Vendor Management</t>
  </si>
  <si>
    <t>Add customer vendor
Remove customer vendor
Get customer vendor list_x000D_
Institutional vendor list_x000D_
Institutional vendor categories</t>
  </si>
  <si>
    <t>What are CWB's expectations and details for Vendor Management?</t>
  </si>
  <si>
    <t>Products Management</t>
  </si>
  <si>
    <t>Propose Term Product
Product Enquiry rates_x000D_
Individual Product information</t>
  </si>
  <si>
    <t>Small Business Specialization</t>
  </si>
  <si>
    <t>Customer profile Enquiry
Accounts Management:
- Consolidate Accounts
- Manage Delegate Access to Consolidated Accounts
-- Aggregation: Manage External Bank accounts
RDC: Scan Check Image 
Transactions Management:
- Recall Transactions 
- Expired Transactions
- List of Approved, Rejected, Recalled, or Expired  by Business user</t>
  </si>
  <si>
    <t>Discuss and provide details relating to each item in Column E</t>
  </si>
  <si>
    <t>Taxes</t>
  </si>
  <si>
    <t>Business Taxes Payments</t>
  </si>
  <si>
    <t>What are CWB's expecations for tax payments (business and technical details)?
1. Add CRA Business account number
2. GST/HST 34 Filing and Remittance
3. GST/HST Amount Owing Remittance (RC 159)
4. GST/HST Interim Payment Remittance (RC 160)
5. Corporation Tax (RC 159/RC 160)
6. Payroll and Source Deductin - Current Year 
7. CRA Filing and Payments
8. File or Remit
9. View Payment/Filing History
10. Delete an account</t>
  </si>
  <si>
    <t>Utilities</t>
  </si>
  <si>
    <t>FX Calculator</t>
  </si>
  <si>
    <t>Pulled from a service?_x000D_
Link out to public site?_x000D_
Hardcoded data?</t>
  </si>
  <si>
    <t>AML</t>
  </si>
  <si>
    <t>Policy requires information be collected and retained for all CWBdirect Business users who conduct transactions, regardless of amount, currency or destination. 
Who stores?
Is this captured in our audit logs?</t>
  </si>
  <si>
    <t>Any requirements regarding anti money laudering</t>
  </si>
  <si>
    <t>BIG - Andy LePage
BIG-Sandra Dakurah-Baijards
BIG-Ryan Slack</t>
  </si>
  <si>
    <t xml:space="preserve">Reinhardt Tonn
Andrew Petesky
Stacy Schmidt 
Sunil Prashar
Efosa Okonkwo
Francis Ho
Roney Simon Mathews
Brad Miller
Mark Doubinin
Lisa Rindero
Charlotte Morgan </t>
  </si>
  <si>
    <t>Branding Design elements</t>
  </si>
  <si>
    <t>Why do we need to provide SIN? Need clarification</t>
  </si>
  <si>
    <t xml:space="preserve">Lisa Rindero
Charlotte Morgan 
Roney Simon
Reinhardt Tonn
Christina Mullin
Francis Ho
Stacy Schmidt 
Sunil Prashar 
Adam Skoreyko
Efosa Okonkwo
Sandra Murillo Paz
</t>
  </si>
  <si>
    <t xml:space="preserve">Jon Wesling
Stacy Schmidt 
Efosa Okonkwo
Sunil Prashar 
Adam Skoreyko
Francis Ho
Lisa Rindero
Charlotte Morgan
</t>
  </si>
  <si>
    <t>Answer any questions temenos has in relation to the needs of CWB for displaying accounts, account numbers, account details (rates, balances, etc.), and transactions.</t>
  </si>
  <si>
    <t>Categorizations of expenses and where do categories come from?
Who is transaction cleansing vendor. 
Pro-active insights to customer (XAI?)
Spending Patterns and how far back (18 months) and how long to keep (18 months)?
List of accounts across all FI's
Signer Officer can email users
Will this link into C360?
1. Consolidate account/link multiple accounts
2. manage, delegate access to consolidated accounts
3. remove consolidated accounts</t>
  </si>
  <si>
    <t>Disputed Transactions
Multi-currency: CAD, US. Any others? 
What does base product support?
Cardless Cash:
1. Pre-stage a cash withdrawal without debit card
2. View history of cardless cash withdrawals
3. Overdraft notification/warning</t>
  </si>
  <si>
    <t xml:space="preserve">Lisa Rindero
Charlotte Morgan 
Roney Simon
Reinhardt Tonn
Christina Mullin
Francis Ho
Stacy Schmidt 
Sunil Prashar 
Adam Skoreyko
Efosa Okonkwo
Sandra Murillo Paz
Francis Ho
Kelvin Fernando
</t>
  </si>
  <si>
    <t xml:space="preserve">Lisa Rindero
Charlotte Morgan 
Roney Simon
Reinhardt Tonn
Christina Mullin
Francis Ho
Stacy Schmidt 
Sunil Prashar 
Adam Skoreyko
Efosa Okonkwo
Sandra Murillo Paz
Kelvin Fernando
</t>
  </si>
  <si>
    <t>Lisa Rindero
Charlotte Morgan 
Roney Simon
Reinhardt Tonn
Christina Mullin
Stacy Schmidt 
Sunil Prashar 
Adam Skoreyko
Efosa Okonkwo
Sandra Murillo Paz
Francis Ho
Kelvin Fernando</t>
  </si>
  <si>
    <t>Debit cards-
Credit cards-
Reinhardt Tonn
Andrew Petesky
Francis Ho
Stacy Schmidt 
Sunil Prashar 
Adam Skoreyko
Efosa Okonkwo
Sandra Murillo Paz
Lisa Rindero
Charlotte Morgan
Anthony Danda
Meagan Kelly</t>
  </si>
  <si>
    <t>Kate and CWB Digital Group Calendar - added to all sessions
Jogi, Christina, Jason, and Doug - Optional to all sessions</t>
  </si>
  <si>
    <t>Andrew Petesky
Reinhardt Tonn
Stacy Schmidt 
Adam Skoreyko
Jogi Nijjar
Sunil Prashar
Efosa Okonkwo
Lisa Rindero
Charlotte Morgan 
Candyse Watkinson
Mark Doubinin</t>
  </si>
  <si>
    <r>
      <t>Stacy Schmidt 
Efosa Okonkwo
Sunil Prashar 
Adam Skoreyko
Mark Foote</t>
    </r>
    <r>
      <rPr>
        <sz val="11"/>
        <color rgb="FFFF0000"/>
        <rFont val="Calibri"/>
        <family val="2"/>
        <scheme val="minor"/>
      </rPr>
      <t xml:space="preserve">
</t>
    </r>
    <r>
      <rPr>
        <sz val="11"/>
        <color theme="1"/>
        <rFont val="Calibri"/>
        <family val="2"/>
        <scheme val="minor"/>
      </rPr>
      <t>Lisa Rindero
Charlotte Morgan 
Jose Barrill
Reinhardt Tonn</t>
    </r>
  </si>
  <si>
    <t>Item #</t>
  </si>
  <si>
    <t>Sandra Murillo Paz
Stacy Schmidt 
Efosa Okonkwo
Sunil Prashar 
Francis Ho
Kelvin Fernando</t>
  </si>
  <si>
    <t>Roney Simon
Reinhardt Tonn
Andrew Petesky
Stacy Schmidt 
Efosa Okonkwo
Sunil Prashar 
Adam Skoreyko
Francis Ho
Thomas Matthews (IAM)
Vikram Singh
Christina Mullin</t>
  </si>
  <si>
    <t xml:space="preserve">Stacy Schmidt 
Efosa Okonkwo
Sunil Prashar 
Adam Skoreyko
Francis Ho
Sandra Murillo Paz
Kelvin Fernando
Christina Mullin
</t>
  </si>
  <si>
    <t>Candyse Watkinson
Stacy Schmidt 
Efosa Okonkwo
Sunil Prashar 
Adam Skoreyko
Sandra Murillo Paz
Francis Ho
Lisa Rindero
Charlotte Morgan
Reinhardt Tonn
Kelvin Fernando
Anthony Danda
Meagan Kelly
Christina Mullin</t>
  </si>
  <si>
    <t xml:space="preserve">Candyse Watkinson
Stacy Schmidt 
Efosa Okonkwo
Sunil Prashar 
Adam Skoreyko
Lisa Rindero
Charlotte Morgan
Francis Ho
Reinhardt Tonn
Sandra Murillo Paz
Kelvin Fernando
Anthony Danda
Meagan Kelly
Christina Mullin
</t>
  </si>
  <si>
    <t>Candyse Watkinson
Stacy Schmidt 
Efosa Okonkwo
Sunil Prashar 
Adam Skoreyko
Francis Ho
Reinhardt Tonn
Lisa Rindero
Charlotte Morgan
Anthony Danda
Meagan Kelly
Christina Mullin</t>
  </si>
  <si>
    <t>Cheri Wong
Ryan Sagert 
Candyse Watkinson
Stacy Schmidt 
Efosa Okonkwo
Sunil Prashar 
Adam Skoreyko
Francis Ho
Lisa Rindero
Charlotte Morgan
ReinhardtTonn
Mark Doubinin
Christina Mullin
Anthony Danda</t>
  </si>
  <si>
    <t>Stacy Schmidt 
Efosa Okonkwo
Sunil Prashar 
Adam Skoreyko
Francis Ho
Reinhardt Tonn
Lisa Rindero
Charlotte Morgan
Nick Culo
Gordon Wickstrom
Christina Mullin</t>
  </si>
  <si>
    <t>Cheri Wong
Ryan Sagert 
Candyse Watkinson
Stacy Schmidt 
Efosa Okonkwo
Sunil Prashar 
Adam Skoreyko
Lisa Rindero
Charlotte Morgan
Anthony Danda
Meagan Kelly
ReinhardtTonn
Mark Doubinin
Christina Mullin</t>
  </si>
  <si>
    <t xml:space="preserve">Need to add EFT
Need to split into different sessions (personal and business)
</t>
  </si>
  <si>
    <t>Cheri Wong
Ryan Sagert 
Candyse Watkinson
Stacy Schmidt 
Efosa Okonkwo
Sunil Prashar 
Adam Skoreyko
Francis Ho
Lisa Rindero
Charlotte Morgan
Reinhardt Tonn
Anthony Danda
Meagan Kelly
Christina Mullin</t>
  </si>
  <si>
    <t>Cheri Wong
Ryan Sagert 
Candyse Watkinson
Stacy Schmidt 
Efosa Okonkwo
Sunil Prashar 
Adam Skoreyko
Francis Ho
Christina Mullin
Lisa Rindero
Charlotte Morgan
Anthony Danda
Meagan Kelly
ReinhardtTonn
Mark Doubinin</t>
  </si>
  <si>
    <t>Stacy Schmidt 
Efosa Okonkwo
Sunil Prashar 
Adam Skoreyko
Charlotte Morgan
Francis Ho
Lisa Rindero
ReinhardtTonn
Mark Doubinin
Anthony Danda
Meagan Kelly
Christina Mullin</t>
  </si>
  <si>
    <t>Cheri Wong
Ryan Sagert 
Stacy Schmidt 
Efosa Okonkwo
Sunil Prashar 
Adam Skoreyko
Francis Ho
Lisa Rindero
Charlotte Morgan
Anthony Danda
Meagan Kelly
ReinhardtTonn
Mark Doubinin
Christina Mullin</t>
  </si>
  <si>
    <t>Roney Simon
Stacy Schmidt 
Efosa Okonkwo
Sunil Prashar 
Adam Skoreyko
Thomas Matthews (IAM)
Reinhardt Tonn
Lisa Rindero
Charlotte Morgan
Christina Mullin</t>
  </si>
  <si>
    <t>Reinhardt Tonn
Roney Simon
Stacy Schmidt 
Efosa Okonkwo
Sunil Prashar 
Adam Skoreyko
Francis Ho
Lisa Rindero
Charlotte Morgan
Nick Culo
Gordon Wickstrom
Christina Mullin</t>
  </si>
  <si>
    <t>missing integrations from list, list not complete and does not form full suite of requirements</t>
  </si>
  <si>
    <t xml:space="preserve">Reinhardt Tonn
Jogi Nijjar
Andrew Petesky 
Stacy Schmidt 
Sunil Prashar 
Adam Skoreyko
Efosa Okonkwo
Francis Ho
Christina Mullin
Lisa Rindero
Charlotte Morgan
Thomas Mathews (IAM) </t>
  </si>
  <si>
    <t xml:space="preserve">Reinhardt Tonn
Jogi Nijjar
Andrew Petesky 
Stacy Schmidt 
Sunil Prashar 
Adam Skoreyko
Efosa Okonkwo
Lisa Rindero
Charlotte Morgan
Christina Mullin
</t>
  </si>
  <si>
    <t xml:space="preserve">Lisa Rindero
Charlotte Morgan 
Roney Simon
Reinhardt Tonn
Christina Mullin
Francis Ho
Stacy Schmidt 
Sunil Prashar 
Adam Skoreyko
Efosa Okonkwo
Sandra Murillo Paz
Christina Mullin
</t>
  </si>
  <si>
    <t>Stacy Schmidt 
Sunil Prashar 
Adam Skoreyko
Efosa Okonkwo
ReinhardtTonn
Mark Doubinin</t>
  </si>
  <si>
    <t>Stacy Schmidt 
Efosa Okonkwo
Sunil Prashar 
Adam Skoreyko
Francis Ho</t>
  </si>
  <si>
    <t xml:space="preserve">Stacy Schmidt 
Efosa Okonkwo
Sunil Prashar 
Adam Skoreyko
Charlotte Morgan
Francis Ho
Lisa Rindero
</t>
  </si>
  <si>
    <t>Cheri Wong
Ryan Sagert 
Stacy Schmidt 
Efosa Okonkwo
Sunil Prashar 
Adam Skoreyko
Francis Ho
Anthony Danda
Meagan Kelly
Lisa Rindero
Charlotte Morgan
Reinhardt Tonn</t>
  </si>
  <si>
    <t xml:space="preserve">Reinhardt Tonn
Roney Simon
Stacy Schmidt 
Efosa Okonkwo
Sunil Prashar 
Adam Skoreyko
Francis Ho
Anthony Danda
Meagan Kelly
Diana Tran
Lisa Rindero
Charlotte Morgan
</t>
  </si>
  <si>
    <t>Stacy Schmidt 
Sunil Prashar
Efosa Okonkwo
Lisa Rindero
Charlotte Morgan
Reinhardt Tonn</t>
  </si>
  <si>
    <t>Status</t>
  </si>
  <si>
    <t xml:space="preserve">Document Link </t>
  </si>
  <si>
    <t>Eco System Spreadsheet</t>
  </si>
  <si>
    <t>CWB-Temenos Initial Gap Analysis</t>
  </si>
  <si>
    <t>Required Services for DBX</t>
  </si>
  <si>
    <t>Alerts Requirements</t>
  </si>
  <si>
    <t>C360 Roles and Permissions</t>
  </si>
  <si>
    <t>BIG-Andy LePage
BIG-Mikael Rouhiainen
BIG-Ryan Slack
BIG-Zarna Prajapati</t>
  </si>
  <si>
    <t xml:space="preserve">BIG-Andy LePage
BIG-Mikael Rouhiainen
BIG-Ryan Slack
BIG-Zarna Prajapati
</t>
  </si>
  <si>
    <t xml:space="preserve">Cristha
Optional:
Eve McGivern
Doug Cluck
Paul Shannon
</t>
  </si>
  <si>
    <t>Karthi
Optional:
Eve McGivern
Doug Cluck
Paul Shannon</t>
  </si>
  <si>
    <t>Eve and Pradeep
Optional:
Doug Cluck
Paul Shannon</t>
  </si>
  <si>
    <t>Eve McGivern
Optional:
Eve McGivern
Doug Cluck
Paul Shannon</t>
  </si>
  <si>
    <t>Eve McGivern
Optional:
Doug Cluck
Paul Shannon</t>
  </si>
  <si>
    <t>Eve and Pradeep and Karthi
Optional:
Doug Cluck
Paul Shannon</t>
  </si>
  <si>
    <t>Pradeep and Eve
Optional:
Doug Cluck
Paul Shannon</t>
  </si>
  <si>
    <t>Pradeep
Optional:
Eve McGivern
Doug Cluck
Paul Shannon</t>
  </si>
  <si>
    <t>Predeep
Optional:
Eve McGivern
Doug Cluck
Paul Shannon</t>
  </si>
  <si>
    <t>Eve and Christa
Optional:
Doug Cluck
Paul Shannon</t>
  </si>
  <si>
    <t>Eve McGivern
Doug Cluck
Paul Shannon</t>
  </si>
  <si>
    <t>Expected date for session materials from Temenos</t>
  </si>
  <si>
    <t>UX Questionnaire</t>
  </si>
  <si>
    <t xml:space="preserve">Chat bot: 
- Card Management Bot
- ATM / branch Location Bot
- FAQs
- Client Support </t>
  </si>
  <si>
    <t>Waiting on Session Materials</t>
  </si>
  <si>
    <t>Scheduled Session</t>
  </si>
  <si>
    <t>Completed Session</t>
  </si>
  <si>
    <t>Held Session</t>
  </si>
  <si>
    <t>Work In Progress</t>
  </si>
  <si>
    <t>Received Session Materials</t>
  </si>
  <si>
    <t>Reviewing Session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</si>
</sst>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sz val="11"/>
      <color rgb="FFFF0000"/>
      <name val="Calibri"/>
      <family val="2"/>
      <scheme val="minor"/>
    </font>
    <font>
      <sz val="11"/>
      <color theme="4"/>
      <name val="Calibri"/>
      <family val="2"/>
      <scheme val="minor"/>
    </font>
    <font>
      <sz val="11"/>
      <color theme="1"/>
      <name val="Calibri"/>
      <family val="2"/>
      <scheme val="minor"/>
    </font>
    <font>
      <sz val="12"/>
      <name val="Arial"/>
      <family val="2"/>
    </font>
    <font>
      <sz val="12"/>
      <color theme="1"/>
      <name val="Calibri"/>
      <family val="2"/>
      <scheme val="minor"/>
    </font>
    <font>
      <sz val="11"/>
      <name val="Calibri"/>
      <family val="2"/>
      <scheme val="minor"/>
    </font>
    <font>
      <b/>
      <sz val="11"/>
      <color rgb="FFFF0000"/>
      <name val="Calibri"/>
      <family val="2"/>
      <scheme val="minor"/>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5">
    <xf numFmtId="0" fontId="0" fillId="0" borderId="0"/>
    <xf numFmtId="0" fontId="5" fillId="0" borderId="0"/>
    <xf numFmtId="0" fontId="4" fillId="0" borderId="0"/>
    <xf numFmtId="0" fontId="6" fillId="0" borderId="0"/>
    <xf numFmtId="0" fontId="9" fillId="0" borderId="0" applyNumberFormat="0" applyFill="0" applyBorder="0" applyAlignment="0" applyProtection="0"/>
  </cellStyleXfs>
  <cellXfs count="41">
    <xf numFmtId="0" fontId="0" fillId="0" borderId="0" xfId="0"/>
    <xf numFmtId="0" fontId="1" fillId="0" borderId="1" xfId="0" applyFont="1" applyFill="1" applyBorder="1" applyAlignment="1">
      <alignment vertical="top" wrapText="1"/>
    </xf>
    <xf numFmtId="0" fontId="1" fillId="0" borderId="0" xfId="0" applyFont="1" applyFill="1" applyAlignment="1">
      <alignment vertical="top" wrapText="1"/>
    </xf>
    <xf numFmtId="0" fontId="1" fillId="0" borderId="1" xfId="0" applyFont="1" applyFill="1" applyBorder="1" applyAlignment="1">
      <alignment horizontal="right" vertical="top" wrapText="1"/>
    </xf>
    <xf numFmtId="0" fontId="0" fillId="0" borderId="0" xfId="0" applyFill="1" applyAlignment="1">
      <alignment horizontal="right" vertical="top" wrapText="1"/>
    </xf>
    <xf numFmtId="0" fontId="0" fillId="0" borderId="0" xfId="0" applyFont="1" applyFill="1" applyAlignment="1">
      <alignment vertical="top" wrapText="1"/>
    </xf>
    <xf numFmtId="0" fontId="2" fillId="0" borderId="1" xfId="0" applyFont="1" applyFill="1" applyBorder="1" applyAlignment="1">
      <alignment vertical="top" wrapText="1"/>
    </xf>
    <xf numFmtId="0" fontId="3" fillId="0" borderId="1" xfId="0" applyFont="1" applyFill="1" applyBorder="1" applyAlignment="1">
      <alignment vertical="top" wrapText="1"/>
    </xf>
    <xf numFmtId="0" fontId="7" fillId="0" borderId="1" xfId="0" applyFont="1" applyFill="1" applyBorder="1" applyAlignment="1">
      <alignment vertical="top" wrapText="1"/>
    </xf>
    <xf numFmtId="0" fontId="0" fillId="0" borderId="1" xfId="0" applyFont="1" applyFill="1" applyBorder="1" applyAlignment="1">
      <alignment vertical="top" wrapText="1"/>
    </xf>
    <xf numFmtId="0" fontId="0" fillId="0" borderId="0" xfId="0" applyFill="1" applyAlignment="1">
      <alignment vertical="top" wrapText="1"/>
    </xf>
    <xf numFmtId="0" fontId="0" fillId="0" borderId="1" xfId="0" applyFill="1" applyBorder="1" applyAlignment="1">
      <alignment vertical="top" wrapText="1"/>
    </xf>
    <xf numFmtId="0" fontId="0" fillId="0" borderId="1" xfId="0" applyFill="1" applyBorder="1" applyAlignment="1">
      <alignment horizontal="right" vertical="top" wrapText="1"/>
    </xf>
    <xf numFmtId="0" fontId="0" fillId="0" borderId="1" xfId="0" applyFill="1" applyBorder="1" applyAlignment="1">
      <alignment horizontal="left" vertical="top" wrapText="1"/>
    </xf>
    <xf numFmtId="49" fontId="0" fillId="0" borderId="1" xfId="0" applyNumberFormat="1" applyFill="1" applyBorder="1" applyAlignment="1" applyProtection="1">
      <alignment vertical="top" wrapText="1"/>
      <protection locked="0"/>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vertical="top" wrapText="1"/>
    </xf>
    <xf numFmtId="0" fontId="8" fillId="0" borderId="1" xfId="0" applyFont="1" applyFill="1" applyBorder="1" applyAlignment="1">
      <alignment vertical="top" wrapText="1"/>
    </xf>
    <xf numFmtId="0" fontId="1" fillId="0" borderId="2" xfId="0" applyFont="1" applyFill="1" applyBorder="1" applyAlignment="1">
      <alignment vertical="top" wrapText="1"/>
    </xf>
    <xf numFmtId="16" fontId="0" fillId="0" borderId="2" xfId="0" applyNumberFormat="1" applyFill="1" applyBorder="1" applyAlignment="1">
      <alignment vertical="top" wrapText="1"/>
    </xf>
    <xf numFmtId="0" fontId="0" fillId="0" borderId="2" xfId="0" applyFill="1" applyBorder="1" applyAlignment="1">
      <alignment vertical="top" wrapText="1"/>
    </xf>
    <xf numFmtId="0" fontId="9" fillId="0" borderId="1" xfId="4" applyFill="1" applyBorder="1" applyAlignment="1">
      <alignment vertical="top" wrapText="1"/>
    </xf>
    <xf numFmtId="0" fontId="0" fillId="0" borderId="1" xfId="0" applyFont="1" applyFill="1" applyBorder="1" applyAlignment="1">
      <alignment horizontal="left" vertical="top" wrapText="1"/>
    </xf>
    <xf numFmtId="0" fontId="0" fillId="2" borderId="1" xfId="0" applyFont="1" applyFill="1" applyBorder="1" applyAlignment="1">
      <alignment vertical="top" wrapText="1"/>
    </xf>
    <xf numFmtId="16" fontId="0" fillId="2" borderId="2" xfId="0" applyNumberFormat="1" applyFont="1" applyFill="1" applyBorder="1" applyAlignment="1">
      <alignment vertical="top" wrapText="1"/>
    </xf>
    <xf numFmtId="20" fontId="0" fillId="2" borderId="1" xfId="0" applyNumberFormat="1" applyFont="1" applyFill="1" applyBorder="1" applyAlignment="1">
      <alignment vertical="top" wrapText="1"/>
    </xf>
    <xf numFmtId="0" fontId="0" fillId="2" borderId="1" xfId="0" applyFont="1" applyFill="1" applyBorder="1" applyAlignment="1">
      <alignment horizontal="right" vertical="top" wrapText="1"/>
    </xf>
    <xf numFmtId="0" fontId="7" fillId="2" borderId="1" xfId="0" applyFont="1" applyFill="1" applyBorder="1" applyAlignment="1">
      <alignment vertical="top" wrapText="1"/>
    </xf>
    <xf numFmtId="0" fontId="0" fillId="2" borderId="1" xfId="0" applyFill="1" applyBorder="1" applyAlignment="1">
      <alignment vertical="top" wrapText="1"/>
    </xf>
    <xf numFmtId="0" fontId="0" fillId="2" borderId="0" xfId="0" applyFont="1" applyFill="1" applyAlignment="1">
      <alignment vertical="top" wrapText="1"/>
    </xf>
    <xf numFmtId="16" fontId="0" fillId="2" borderId="2" xfId="0" applyNumberFormat="1" applyFill="1" applyBorder="1" applyAlignment="1">
      <alignment vertical="top" wrapText="1"/>
    </xf>
    <xf numFmtId="20" fontId="0" fillId="2" borderId="1" xfId="0" applyNumberFormat="1" applyFill="1" applyBorder="1" applyAlignment="1">
      <alignment vertical="top" wrapText="1"/>
    </xf>
    <xf numFmtId="0" fontId="0" fillId="2" borderId="1" xfId="0" applyFill="1" applyBorder="1" applyAlignment="1">
      <alignment horizontal="right" vertical="top" wrapText="1"/>
    </xf>
    <xf numFmtId="0" fontId="10" fillId="0" borderId="1" xfId="0" applyFont="1" applyFill="1" applyBorder="1" applyAlignment="1">
      <alignment vertical="top" wrapText="1"/>
    </xf>
    <xf numFmtId="0" fontId="7" fillId="0" borderId="1" xfId="0" applyFont="1" applyFill="1" applyBorder="1" applyAlignment="1">
      <alignment horizontal="left" vertical="top" wrapText="1"/>
    </xf>
    <xf numFmtId="0" fontId="7" fillId="0" borderId="4" xfId="0" applyFont="1" applyFill="1" applyBorder="1" applyAlignment="1">
      <alignment vertical="top" wrapText="1"/>
    </xf>
    <xf numFmtId="0" fontId="7" fillId="0" borderId="0" xfId="0" applyFont="1" applyFill="1" applyAlignment="1">
      <alignment vertical="top" wrapText="1"/>
    </xf>
    <xf numFmtId="49" fontId="7" fillId="0" borderId="1" xfId="0" applyNumberFormat="1" applyFont="1" applyFill="1" applyBorder="1" applyAlignment="1" applyProtection="1">
      <alignment vertical="top" wrapText="1"/>
      <protection locked="0"/>
    </xf>
    <xf numFmtId="20" fontId="0" fillId="0" borderId="1" xfId="0" applyNumberFormat="1" applyFill="1" applyBorder="1" applyAlignment="1">
      <alignment vertical="top" wrapText="1"/>
    </xf>
    <xf numFmtId="0" fontId="9" fillId="2" borderId="1" xfId="4" applyFill="1" applyBorder="1" applyAlignment="1">
      <alignment vertical="top" wrapText="1"/>
    </xf>
  </cellXfs>
  <cellStyles count="5">
    <cellStyle name="Hyperlink" xfId="4" builtinId="8"/>
    <cellStyle name="Normal" xfId="0" builtinId="0"/>
    <cellStyle name="Normal 2" xfId="3"/>
    <cellStyle name="Normal 3" xfId="1"/>
    <cellStyle name="Normal 3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Required%20Services%20for%20DBX%20-%2020%20Mar%202020.xlsx" TargetMode="External"/><Relationship Id="rId7" Type="http://schemas.openxmlformats.org/officeDocument/2006/relationships/printerSettings" Target="../printerSettings/printerSettings1.bin"/><Relationship Id="rId2" Type="http://schemas.openxmlformats.org/officeDocument/2006/relationships/hyperlink" Target="../CWB-Temenos%20Gap%20Analysis%20for%20Review.xlsx" TargetMode="External"/><Relationship Id="rId1" Type="http://schemas.openxmlformats.org/officeDocument/2006/relationships/hyperlink" Target="Technical%20Ecosystem%20Review.xlsx" TargetMode="External"/><Relationship Id="rId6" Type="http://schemas.openxmlformats.org/officeDocument/2006/relationships/hyperlink" Target="../UX%20Deliverables%20Infinity.docx" TargetMode="External"/><Relationship Id="rId5" Type="http://schemas.openxmlformats.org/officeDocument/2006/relationships/hyperlink" Target="../C360%20Roles%20and%20Permissions%20Template%20-%204-2-4_V1_%20Updated." TargetMode="External"/><Relationship Id="rId4" Type="http://schemas.openxmlformats.org/officeDocument/2006/relationships/hyperlink" Target="Alerts%20Requirement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70" zoomScaleNormal="70" workbookViewId="0">
      <pane ySplit="1" topLeftCell="A25" activePane="bottomLeft" state="frozen"/>
      <selection activeCell="E1" sqref="E1"/>
      <selection pane="bottomLeft" activeCell="C27" sqref="C27"/>
    </sheetView>
  </sheetViews>
  <sheetFormatPr defaultColWidth="9.140625" defaultRowHeight="15" x14ac:dyDescent="0.25"/>
  <cols>
    <col min="1" max="3" width="9.140625" style="10"/>
    <col min="4" max="4" width="9.140625" style="4"/>
    <col min="5" max="5" width="33.7109375" style="37" customWidth="1"/>
    <col min="6" max="6" width="39.140625" style="37" customWidth="1"/>
    <col min="7" max="7" width="39.140625" style="10" customWidth="1"/>
    <col min="8" max="8" width="20.42578125" style="10" customWidth="1"/>
    <col min="9" max="9" width="20.42578125" style="10" bestFit="1" customWidth="1"/>
    <col min="10" max="10" width="25" style="10" customWidth="1"/>
    <col min="11" max="11" width="44.140625" style="10" customWidth="1"/>
    <col min="12" max="12" width="26.28515625" style="10" customWidth="1"/>
    <col min="13" max="13" width="44.140625" style="10" customWidth="1"/>
    <col min="14" max="14" width="16.5703125" style="10" customWidth="1"/>
    <col min="15" max="16384" width="9.140625" style="10"/>
  </cols>
  <sheetData>
    <row r="1" spans="1:14" s="2" customFormat="1" ht="30" x14ac:dyDescent="0.25">
      <c r="A1" s="1" t="s">
        <v>126</v>
      </c>
      <c r="B1" s="19" t="s">
        <v>0</v>
      </c>
      <c r="C1" s="1" t="s">
        <v>1</v>
      </c>
      <c r="D1" s="3" t="s">
        <v>2</v>
      </c>
      <c r="E1" s="34" t="s">
        <v>3</v>
      </c>
      <c r="F1" s="34" t="s">
        <v>4</v>
      </c>
      <c r="G1" s="1" t="s">
        <v>39</v>
      </c>
      <c r="H1" s="1" t="s">
        <v>23</v>
      </c>
      <c r="I1" s="1" t="s">
        <v>24</v>
      </c>
      <c r="J1" s="1" t="s">
        <v>34</v>
      </c>
      <c r="K1" s="1" t="s">
        <v>26</v>
      </c>
      <c r="L1" s="1" t="s">
        <v>173</v>
      </c>
      <c r="M1" s="1" t="s">
        <v>154</v>
      </c>
      <c r="N1" s="1" t="s">
        <v>153</v>
      </c>
    </row>
    <row r="2" spans="1:14" s="5" customFormat="1" ht="210" x14ac:dyDescent="0.25">
      <c r="A2" s="24">
        <v>1</v>
      </c>
      <c r="B2" s="25">
        <v>43927</v>
      </c>
      <c r="C2" s="26">
        <v>0.52083333333333337</v>
      </c>
      <c r="D2" s="27">
        <v>1.5</v>
      </c>
      <c r="E2" s="28" t="s">
        <v>21</v>
      </c>
      <c r="F2" s="28" t="s">
        <v>35</v>
      </c>
      <c r="G2" s="24" t="s">
        <v>40</v>
      </c>
      <c r="H2" s="24" t="s">
        <v>25</v>
      </c>
      <c r="I2" s="29" t="s">
        <v>119</v>
      </c>
      <c r="J2" s="30"/>
      <c r="K2" s="29" t="s">
        <v>123</v>
      </c>
      <c r="L2" s="29"/>
      <c r="M2" s="29"/>
      <c r="N2" s="24" t="s">
        <v>178</v>
      </c>
    </row>
    <row r="3" spans="1:14" s="5" customFormat="1" ht="195" x14ac:dyDescent="0.25">
      <c r="A3" s="24">
        <f>A2+1</f>
        <v>2</v>
      </c>
      <c r="B3" s="25">
        <v>43929</v>
      </c>
      <c r="C3" s="26">
        <v>4.1666666666666664E-2</v>
      </c>
      <c r="D3" s="27">
        <v>1.5</v>
      </c>
      <c r="E3" s="28" t="s">
        <v>22</v>
      </c>
      <c r="F3" s="28" t="s">
        <v>36</v>
      </c>
      <c r="G3" s="24" t="s">
        <v>41</v>
      </c>
      <c r="H3" s="24" t="s">
        <v>25</v>
      </c>
      <c r="I3" s="29" t="s">
        <v>120</v>
      </c>
      <c r="J3" s="24"/>
      <c r="K3" s="24"/>
      <c r="L3" s="24"/>
      <c r="M3" s="24"/>
      <c r="N3" s="24" t="s">
        <v>178</v>
      </c>
    </row>
    <row r="4" spans="1:14" ht="180" x14ac:dyDescent="0.25">
      <c r="A4" s="9">
        <f t="shared" ref="A4:A36" si="0">A3+1</f>
        <v>3</v>
      </c>
      <c r="B4" s="20">
        <v>43936</v>
      </c>
      <c r="C4" s="39">
        <v>0.125</v>
      </c>
      <c r="D4" s="12">
        <v>1</v>
      </c>
      <c r="E4" s="8" t="s">
        <v>5</v>
      </c>
      <c r="F4" s="8" t="s">
        <v>37</v>
      </c>
      <c r="G4" s="11" t="s">
        <v>42</v>
      </c>
      <c r="H4" s="11" t="s">
        <v>6</v>
      </c>
      <c r="I4" s="11" t="s">
        <v>111</v>
      </c>
      <c r="J4" s="11" t="s">
        <v>110</v>
      </c>
      <c r="K4" s="11"/>
      <c r="L4" s="11"/>
      <c r="M4" s="22" t="s">
        <v>155</v>
      </c>
      <c r="N4" s="9" t="s">
        <v>180</v>
      </c>
    </row>
    <row r="5" spans="1:14" ht="90" x14ac:dyDescent="0.25">
      <c r="A5" s="9">
        <f t="shared" si="0"/>
        <v>4</v>
      </c>
      <c r="B5" s="21"/>
      <c r="C5" s="11"/>
      <c r="D5" s="12">
        <v>2</v>
      </c>
      <c r="E5" s="8" t="s">
        <v>7</v>
      </c>
      <c r="F5" s="8" t="s">
        <v>112</v>
      </c>
      <c r="G5" s="11" t="s">
        <v>46</v>
      </c>
      <c r="H5" s="11" t="s">
        <v>162</v>
      </c>
      <c r="I5" s="11" t="s">
        <v>127</v>
      </c>
      <c r="J5" s="11"/>
      <c r="K5" s="6"/>
      <c r="L5" s="6"/>
      <c r="M5" s="22" t="s">
        <v>174</v>
      </c>
      <c r="N5" s="9" t="s">
        <v>182</v>
      </c>
    </row>
    <row r="6" spans="1:14" ht="90" x14ac:dyDescent="0.25">
      <c r="A6" s="24">
        <f t="shared" si="0"/>
        <v>5</v>
      </c>
      <c r="B6" s="31">
        <v>43937</v>
      </c>
      <c r="C6" s="32">
        <v>0.4375</v>
      </c>
      <c r="D6" s="33">
        <v>2</v>
      </c>
      <c r="E6" s="28" t="s">
        <v>45</v>
      </c>
      <c r="F6" s="28" t="s">
        <v>44</v>
      </c>
      <c r="G6" s="29" t="s">
        <v>43</v>
      </c>
      <c r="H6" s="29" t="s">
        <v>8</v>
      </c>
      <c r="I6" s="29" t="s">
        <v>152</v>
      </c>
      <c r="J6" s="29"/>
      <c r="K6" s="29"/>
      <c r="L6" s="29"/>
      <c r="M6" s="40" t="s">
        <v>156</v>
      </c>
      <c r="N6" s="24" t="s">
        <v>178</v>
      </c>
    </row>
    <row r="7" spans="1:14" ht="165" x14ac:dyDescent="0.25">
      <c r="A7" s="9">
        <f t="shared" si="0"/>
        <v>6</v>
      </c>
      <c r="B7" s="20">
        <v>43950</v>
      </c>
      <c r="C7" s="11"/>
      <c r="D7" s="12">
        <v>2</v>
      </c>
      <c r="E7" s="8" t="s">
        <v>30</v>
      </c>
      <c r="F7" s="8" t="s">
        <v>31</v>
      </c>
      <c r="G7" s="11" t="s">
        <v>47</v>
      </c>
      <c r="H7" s="11" t="s">
        <v>163</v>
      </c>
      <c r="I7" s="11" t="s">
        <v>124</v>
      </c>
      <c r="J7" s="11" t="s">
        <v>160</v>
      </c>
      <c r="K7" s="11" t="s">
        <v>33</v>
      </c>
      <c r="L7" s="11"/>
      <c r="M7" s="22" t="s">
        <v>157</v>
      </c>
      <c r="N7" s="9" t="s">
        <v>182</v>
      </c>
    </row>
    <row r="8" spans="1:14" ht="180" x14ac:dyDescent="0.25">
      <c r="A8" s="9">
        <f t="shared" si="0"/>
        <v>7</v>
      </c>
      <c r="B8" s="21"/>
      <c r="C8" s="11"/>
      <c r="D8" s="12">
        <v>2</v>
      </c>
      <c r="E8" s="8" t="s">
        <v>48</v>
      </c>
      <c r="F8" s="8" t="s">
        <v>49</v>
      </c>
      <c r="G8" s="11" t="s">
        <v>50</v>
      </c>
      <c r="H8" s="11" t="s">
        <v>164</v>
      </c>
      <c r="I8" s="11" t="s">
        <v>128</v>
      </c>
      <c r="J8" s="11" t="s">
        <v>161</v>
      </c>
      <c r="K8" s="18"/>
      <c r="L8" s="18"/>
      <c r="M8" s="18"/>
      <c r="N8" s="9"/>
    </row>
    <row r="9" spans="1:14" ht="135" x14ac:dyDescent="0.25">
      <c r="A9" s="9">
        <f t="shared" si="0"/>
        <v>8</v>
      </c>
      <c r="B9" s="21"/>
      <c r="C9" s="11"/>
      <c r="D9" s="12">
        <v>1</v>
      </c>
      <c r="E9" s="8" t="s">
        <v>9</v>
      </c>
      <c r="F9" s="8" t="s">
        <v>10</v>
      </c>
      <c r="G9" s="11" t="s">
        <v>51</v>
      </c>
      <c r="H9" s="11" t="s">
        <v>166</v>
      </c>
      <c r="I9" s="11" t="s">
        <v>129</v>
      </c>
      <c r="J9" s="11"/>
      <c r="K9" s="11"/>
      <c r="L9" s="11"/>
      <c r="M9" s="11"/>
      <c r="N9" s="9"/>
    </row>
    <row r="10" spans="1:14" ht="240" x14ac:dyDescent="0.25">
      <c r="A10" s="9">
        <f t="shared" si="0"/>
        <v>9</v>
      </c>
      <c r="B10" s="21"/>
      <c r="C10" s="11"/>
      <c r="D10" s="12">
        <v>2</v>
      </c>
      <c r="E10" s="8" t="s">
        <v>11</v>
      </c>
      <c r="F10" s="38" t="s">
        <v>52</v>
      </c>
      <c r="G10" s="14" t="s">
        <v>116</v>
      </c>
      <c r="H10" s="11" t="s">
        <v>165</v>
      </c>
      <c r="I10" s="11" t="s">
        <v>130</v>
      </c>
      <c r="J10" s="11"/>
      <c r="K10" s="11" t="s">
        <v>113</v>
      </c>
      <c r="L10" s="11"/>
      <c r="M10" s="11"/>
      <c r="N10" s="9"/>
    </row>
    <row r="11" spans="1:14" ht="255" x14ac:dyDescent="0.25">
      <c r="A11" s="9">
        <f t="shared" si="0"/>
        <v>10</v>
      </c>
      <c r="B11" s="15"/>
      <c r="C11" s="11"/>
      <c r="D11" s="12">
        <v>3</v>
      </c>
      <c r="E11" s="8" t="s">
        <v>53</v>
      </c>
      <c r="F11" s="38" t="s">
        <v>54</v>
      </c>
      <c r="G11" s="14" t="s">
        <v>117</v>
      </c>
      <c r="H11" s="11" t="s">
        <v>164</v>
      </c>
      <c r="I11" s="11" t="s">
        <v>131</v>
      </c>
      <c r="J11" s="11"/>
      <c r="K11" s="11"/>
      <c r="L11" s="11"/>
      <c r="M11" s="11"/>
      <c r="N11" s="9"/>
    </row>
    <row r="12" spans="1:14" ht="180" x14ac:dyDescent="0.25">
      <c r="A12" s="9">
        <f t="shared" si="0"/>
        <v>11</v>
      </c>
      <c r="B12" s="21"/>
      <c r="C12" s="11"/>
      <c r="D12" s="12">
        <v>2</v>
      </c>
      <c r="E12" s="8" t="s">
        <v>56</v>
      </c>
      <c r="F12" s="8" t="s">
        <v>118</v>
      </c>
      <c r="G12" s="11" t="s">
        <v>55</v>
      </c>
      <c r="H12" s="11" t="s">
        <v>164</v>
      </c>
      <c r="I12" s="11" t="s">
        <v>132</v>
      </c>
      <c r="J12" s="11"/>
      <c r="K12" s="11"/>
      <c r="L12" s="11"/>
      <c r="M12" s="11"/>
      <c r="N12" s="9"/>
    </row>
    <row r="13" spans="1:14" ht="165" x14ac:dyDescent="0.25">
      <c r="A13" s="9">
        <f t="shared" si="0"/>
        <v>12</v>
      </c>
      <c r="B13" s="15"/>
      <c r="C13" s="11"/>
      <c r="D13" s="12">
        <v>1</v>
      </c>
      <c r="E13" s="8" t="s">
        <v>57</v>
      </c>
      <c r="F13" s="38" t="s">
        <v>175</v>
      </c>
      <c r="G13" s="14" t="s">
        <v>58</v>
      </c>
      <c r="H13" s="11" t="s">
        <v>164</v>
      </c>
      <c r="I13" s="11" t="s">
        <v>134</v>
      </c>
      <c r="J13" s="11"/>
      <c r="K13" s="6"/>
      <c r="L13" s="6"/>
      <c r="M13" s="6"/>
      <c r="N13" s="9"/>
    </row>
    <row r="14" spans="1:14" ht="210" x14ac:dyDescent="0.25">
      <c r="A14" s="9">
        <f t="shared" si="0"/>
        <v>13</v>
      </c>
      <c r="B14" s="15"/>
      <c r="C14" s="11"/>
      <c r="D14" s="12">
        <v>2</v>
      </c>
      <c r="E14" s="8" t="s">
        <v>59</v>
      </c>
      <c r="F14" s="8" t="s">
        <v>60</v>
      </c>
      <c r="G14" s="11" t="s">
        <v>61</v>
      </c>
      <c r="H14" s="11" t="s">
        <v>166</v>
      </c>
      <c r="I14" s="11" t="s">
        <v>133</v>
      </c>
      <c r="J14" s="11"/>
      <c r="K14" s="11"/>
      <c r="L14" s="11"/>
      <c r="M14" s="11"/>
      <c r="N14" s="9"/>
    </row>
    <row r="15" spans="1:14" ht="409.5" x14ac:dyDescent="0.25">
      <c r="A15" s="9">
        <f t="shared" si="0"/>
        <v>14</v>
      </c>
      <c r="B15" s="21"/>
      <c r="C15" s="11"/>
      <c r="D15" s="12">
        <v>3</v>
      </c>
      <c r="E15" s="8" t="s">
        <v>62</v>
      </c>
      <c r="F15" s="8" t="s">
        <v>63</v>
      </c>
      <c r="G15" s="13" t="s">
        <v>64</v>
      </c>
      <c r="H15" s="11" t="s">
        <v>167</v>
      </c>
      <c r="I15" s="11" t="s">
        <v>135</v>
      </c>
      <c r="J15" s="11"/>
      <c r="K15" s="11"/>
      <c r="L15" s="11"/>
      <c r="M15" s="11"/>
      <c r="N15" s="9"/>
    </row>
    <row r="16" spans="1:14" ht="210" x14ac:dyDescent="0.25">
      <c r="A16" s="9">
        <f t="shared" si="0"/>
        <v>15</v>
      </c>
      <c r="B16" s="15"/>
      <c r="C16" s="11"/>
      <c r="D16" s="12">
        <v>4</v>
      </c>
      <c r="E16" s="8" t="s">
        <v>65</v>
      </c>
      <c r="F16" s="8" t="s">
        <v>66</v>
      </c>
      <c r="G16" s="11" t="s">
        <v>61</v>
      </c>
      <c r="H16" s="11" t="s">
        <v>167</v>
      </c>
      <c r="I16" s="11" t="s">
        <v>137</v>
      </c>
      <c r="J16" s="11"/>
      <c r="K16" s="11" t="s">
        <v>136</v>
      </c>
      <c r="L16" s="11"/>
      <c r="M16" s="11"/>
      <c r="N16" s="9"/>
    </row>
    <row r="17" spans="1:14" ht="210" x14ac:dyDescent="0.25">
      <c r="A17" s="9">
        <f t="shared" si="0"/>
        <v>16</v>
      </c>
      <c r="B17" s="15"/>
      <c r="C17" s="11"/>
      <c r="D17" s="12">
        <v>1</v>
      </c>
      <c r="E17" s="8" t="s">
        <v>67</v>
      </c>
      <c r="F17" s="8" t="s">
        <v>68</v>
      </c>
      <c r="G17" s="11" t="s">
        <v>61</v>
      </c>
      <c r="H17" s="11" t="s">
        <v>166</v>
      </c>
      <c r="I17" s="11" t="s">
        <v>137</v>
      </c>
      <c r="J17" s="11"/>
      <c r="K17" s="11"/>
      <c r="L17" s="11"/>
      <c r="M17" s="11"/>
      <c r="N17" s="9"/>
    </row>
    <row r="18" spans="1:14" ht="225" x14ac:dyDescent="0.25">
      <c r="A18" s="9">
        <f t="shared" si="0"/>
        <v>17</v>
      </c>
      <c r="B18" s="15"/>
      <c r="C18" s="13"/>
      <c r="D18" s="13">
        <v>1</v>
      </c>
      <c r="E18" s="35" t="s">
        <v>69</v>
      </c>
      <c r="F18" s="35" t="s">
        <v>70</v>
      </c>
      <c r="G18" s="13" t="s">
        <v>71</v>
      </c>
      <c r="H18" s="13" t="s">
        <v>166</v>
      </c>
      <c r="I18" s="11" t="s">
        <v>138</v>
      </c>
      <c r="J18" s="13"/>
      <c r="K18" s="13"/>
      <c r="L18" s="13"/>
      <c r="M18" s="13"/>
      <c r="N18" s="9"/>
    </row>
    <row r="19" spans="1:14" ht="180" x14ac:dyDescent="0.25">
      <c r="A19" s="9">
        <f t="shared" si="0"/>
        <v>18</v>
      </c>
      <c r="B19" s="15"/>
      <c r="C19" s="13"/>
      <c r="D19" s="13">
        <v>1</v>
      </c>
      <c r="E19" s="35" t="s">
        <v>72</v>
      </c>
      <c r="F19" s="35" t="s">
        <v>73</v>
      </c>
      <c r="G19" s="13" t="s">
        <v>74</v>
      </c>
      <c r="H19" s="13" t="s">
        <v>166</v>
      </c>
      <c r="I19" s="11" t="s">
        <v>139</v>
      </c>
      <c r="J19" s="13"/>
      <c r="K19" s="13"/>
      <c r="L19" s="13"/>
      <c r="M19" s="13"/>
      <c r="N19" s="9"/>
    </row>
    <row r="20" spans="1:14" ht="210" x14ac:dyDescent="0.25">
      <c r="A20" s="9">
        <f t="shared" si="0"/>
        <v>19</v>
      </c>
      <c r="B20" s="21"/>
      <c r="C20" s="11"/>
      <c r="D20" s="12">
        <v>1</v>
      </c>
      <c r="E20" s="8" t="s">
        <v>28</v>
      </c>
      <c r="F20" s="35" t="s">
        <v>75</v>
      </c>
      <c r="G20" s="23" t="s">
        <v>76</v>
      </c>
      <c r="H20" s="23" t="s">
        <v>164</v>
      </c>
      <c r="I20" s="11" t="s">
        <v>140</v>
      </c>
      <c r="J20" s="11"/>
      <c r="K20" s="11"/>
      <c r="L20" s="11"/>
      <c r="M20" s="11"/>
      <c r="N20" s="9"/>
    </row>
    <row r="21" spans="1:14" ht="165" x14ac:dyDescent="0.25">
      <c r="A21" s="9">
        <f t="shared" si="0"/>
        <v>20</v>
      </c>
      <c r="B21" s="21"/>
      <c r="C21" s="11"/>
      <c r="D21" s="12">
        <v>2</v>
      </c>
      <c r="E21" s="8" t="s">
        <v>12</v>
      </c>
      <c r="F21" s="8" t="s">
        <v>77</v>
      </c>
      <c r="G21" s="11" t="s">
        <v>78</v>
      </c>
      <c r="H21" s="11" t="s">
        <v>166</v>
      </c>
      <c r="I21" s="11" t="s">
        <v>141</v>
      </c>
      <c r="J21" s="11"/>
      <c r="K21" s="11"/>
      <c r="L21" s="11"/>
      <c r="M21" s="11"/>
      <c r="N21" s="9"/>
    </row>
    <row r="22" spans="1:14" ht="225" x14ac:dyDescent="0.25">
      <c r="A22" s="9">
        <f t="shared" si="0"/>
        <v>21</v>
      </c>
      <c r="B22" s="21"/>
      <c r="C22" s="11"/>
      <c r="D22" s="12">
        <v>2</v>
      </c>
      <c r="E22" s="8" t="s">
        <v>79</v>
      </c>
      <c r="F22" s="8" t="s">
        <v>80</v>
      </c>
      <c r="G22" s="11" t="s">
        <v>81</v>
      </c>
      <c r="H22" s="11" t="s">
        <v>168</v>
      </c>
      <c r="I22" s="11" t="s">
        <v>142</v>
      </c>
      <c r="J22" s="11"/>
      <c r="K22" s="6"/>
      <c r="L22" s="6"/>
      <c r="M22" s="22" t="s">
        <v>158</v>
      </c>
      <c r="N22" s="9" t="s">
        <v>182</v>
      </c>
    </row>
    <row r="23" spans="1:14" ht="195" x14ac:dyDescent="0.25">
      <c r="A23" s="9">
        <f t="shared" si="0"/>
        <v>22</v>
      </c>
      <c r="B23" s="21"/>
      <c r="C23" s="11"/>
      <c r="D23" s="12">
        <v>4</v>
      </c>
      <c r="E23" s="8" t="s">
        <v>13</v>
      </c>
      <c r="F23" s="8" t="s">
        <v>14</v>
      </c>
      <c r="G23" s="11" t="s">
        <v>82</v>
      </c>
      <c r="H23" s="11" t="s">
        <v>169</v>
      </c>
      <c r="I23" s="11" t="s">
        <v>144</v>
      </c>
      <c r="J23" s="11" t="s">
        <v>110</v>
      </c>
      <c r="K23" s="11" t="s">
        <v>143</v>
      </c>
      <c r="L23" s="11"/>
      <c r="M23" s="11"/>
      <c r="N23" s="9"/>
    </row>
    <row r="24" spans="1:14" ht="255" x14ac:dyDescent="0.25">
      <c r="A24" s="9">
        <f t="shared" si="0"/>
        <v>23</v>
      </c>
      <c r="B24" s="21"/>
      <c r="C24" s="11"/>
      <c r="D24" s="12">
        <v>4</v>
      </c>
      <c r="E24" s="8" t="s">
        <v>15</v>
      </c>
      <c r="F24" s="8" t="s">
        <v>83</v>
      </c>
      <c r="G24" s="11" t="s">
        <v>82</v>
      </c>
      <c r="H24" s="11" t="s">
        <v>170</v>
      </c>
      <c r="I24" s="11" t="s">
        <v>145</v>
      </c>
      <c r="J24" s="11" t="s">
        <v>110</v>
      </c>
      <c r="K24" s="11" t="s">
        <v>143</v>
      </c>
      <c r="L24" s="11"/>
      <c r="M24" s="11"/>
      <c r="N24" s="9"/>
    </row>
    <row r="25" spans="1:14" ht="210" x14ac:dyDescent="0.25">
      <c r="A25" s="9">
        <f t="shared" si="0"/>
        <v>24</v>
      </c>
      <c r="B25" s="21"/>
      <c r="C25" s="11"/>
      <c r="D25" s="12">
        <v>1</v>
      </c>
      <c r="E25" s="8" t="s">
        <v>16</v>
      </c>
      <c r="F25" s="8" t="s">
        <v>84</v>
      </c>
      <c r="G25" s="11" t="s">
        <v>85</v>
      </c>
      <c r="H25" s="11" t="s">
        <v>166</v>
      </c>
      <c r="I25" s="11" t="s">
        <v>122</v>
      </c>
      <c r="J25" s="11"/>
      <c r="K25" s="11"/>
      <c r="L25" s="11"/>
      <c r="M25" s="11"/>
      <c r="N25" s="9"/>
    </row>
    <row r="26" spans="1:14" ht="195" x14ac:dyDescent="0.25">
      <c r="A26" s="9">
        <f t="shared" si="0"/>
        <v>25</v>
      </c>
      <c r="B26" s="20">
        <v>43956</v>
      </c>
      <c r="C26" s="39">
        <v>8.3333333333333329E-2</v>
      </c>
      <c r="D26" s="12">
        <v>1</v>
      </c>
      <c r="E26" s="8" t="s">
        <v>32</v>
      </c>
      <c r="F26" s="8" t="s">
        <v>86</v>
      </c>
      <c r="G26" s="11" t="s">
        <v>87</v>
      </c>
      <c r="H26" s="11" t="s">
        <v>166</v>
      </c>
      <c r="I26" s="11" t="s">
        <v>146</v>
      </c>
      <c r="J26" s="11"/>
      <c r="K26" s="11"/>
      <c r="L26" s="11"/>
      <c r="M26" s="11"/>
      <c r="N26" s="9"/>
    </row>
    <row r="27" spans="1:14" ht="195" x14ac:dyDescent="0.25">
      <c r="A27" s="9">
        <f t="shared" si="0"/>
        <v>26</v>
      </c>
      <c r="B27" s="20">
        <v>43956</v>
      </c>
      <c r="C27" s="39">
        <v>0.125</v>
      </c>
      <c r="D27" s="12">
        <v>1.5</v>
      </c>
      <c r="E27" s="8" t="s">
        <v>17</v>
      </c>
      <c r="F27" s="8" t="s">
        <v>88</v>
      </c>
      <c r="G27" s="11" t="s">
        <v>89</v>
      </c>
      <c r="H27" s="11" t="s">
        <v>166</v>
      </c>
      <c r="I27" s="11" t="s">
        <v>120</v>
      </c>
      <c r="J27" s="11"/>
      <c r="K27" s="11" t="s">
        <v>27</v>
      </c>
      <c r="L27" s="11"/>
      <c r="M27" s="22" t="s">
        <v>159</v>
      </c>
      <c r="N27" s="9" t="s">
        <v>182</v>
      </c>
    </row>
    <row r="28" spans="1:14" ht="180" x14ac:dyDescent="0.25">
      <c r="A28" s="9">
        <f t="shared" si="0"/>
        <v>27</v>
      </c>
      <c r="B28" s="21"/>
      <c r="C28" s="11"/>
      <c r="D28" s="12">
        <v>1</v>
      </c>
      <c r="E28" s="8" t="s">
        <v>18</v>
      </c>
      <c r="F28" s="8" t="s">
        <v>19</v>
      </c>
      <c r="G28" s="11" t="s">
        <v>90</v>
      </c>
      <c r="H28" s="11" t="s">
        <v>171</v>
      </c>
      <c r="I28" s="11" t="s">
        <v>147</v>
      </c>
      <c r="J28" s="11"/>
      <c r="K28" s="11"/>
      <c r="L28" s="11"/>
      <c r="M28" s="11"/>
      <c r="N28" s="9"/>
    </row>
    <row r="29" spans="1:14" ht="180" x14ac:dyDescent="0.25">
      <c r="A29" s="9">
        <f t="shared" si="0"/>
        <v>28</v>
      </c>
      <c r="B29" s="21"/>
      <c r="C29" s="11"/>
      <c r="D29" s="12">
        <v>4</v>
      </c>
      <c r="E29" s="8" t="s">
        <v>29</v>
      </c>
      <c r="F29" s="8" t="s">
        <v>91</v>
      </c>
      <c r="G29" s="11" t="s">
        <v>92</v>
      </c>
      <c r="H29" s="11" t="s">
        <v>168</v>
      </c>
      <c r="I29" s="11" t="s">
        <v>114</v>
      </c>
      <c r="J29" s="11"/>
      <c r="K29" s="11"/>
      <c r="L29" s="11"/>
      <c r="M29" s="11"/>
      <c r="N29" s="9"/>
    </row>
    <row r="30" spans="1:14" ht="75" x14ac:dyDescent="0.25">
      <c r="A30" s="9">
        <f t="shared" si="0"/>
        <v>29</v>
      </c>
      <c r="B30" s="15"/>
      <c r="C30" s="11"/>
      <c r="D30" s="11">
        <v>2</v>
      </c>
      <c r="E30" s="8" t="s">
        <v>93</v>
      </c>
      <c r="F30" s="8" t="s">
        <v>94</v>
      </c>
      <c r="G30" s="11" t="s">
        <v>95</v>
      </c>
      <c r="H30" s="11" t="s">
        <v>168</v>
      </c>
      <c r="I30" s="11" t="s">
        <v>148</v>
      </c>
      <c r="J30" s="11"/>
      <c r="K30" s="11"/>
      <c r="L30" s="11"/>
      <c r="M30" s="11"/>
      <c r="N30" s="9"/>
    </row>
    <row r="31" spans="1:14" ht="120" x14ac:dyDescent="0.25">
      <c r="A31" s="9">
        <f t="shared" si="0"/>
        <v>30</v>
      </c>
      <c r="B31" s="15"/>
      <c r="C31" s="11"/>
      <c r="D31" s="11">
        <v>2</v>
      </c>
      <c r="E31" s="8" t="s">
        <v>96</v>
      </c>
      <c r="F31" s="8" t="s">
        <v>97</v>
      </c>
      <c r="G31" s="11" t="s">
        <v>95</v>
      </c>
      <c r="H31" s="11" t="s">
        <v>168</v>
      </c>
      <c r="I31" s="11" t="s">
        <v>149</v>
      </c>
      <c r="J31" s="11"/>
      <c r="K31" s="11"/>
      <c r="L31" s="11"/>
      <c r="M31" s="11"/>
      <c r="N31" s="9"/>
    </row>
    <row r="32" spans="1:14" ht="240" x14ac:dyDescent="0.25">
      <c r="A32" s="9">
        <f t="shared" si="0"/>
        <v>31</v>
      </c>
      <c r="B32" s="15"/>
      <c r="C32" s="11"/>
      <c r="D32" s="11">
        <v>2</v>
      </c>
      <c r="E32" s="8" t="s">
        <v>98</v>
      </c>
      <c r="F32" s="8" t="s">
        <v>99</v>
      </c>
      <c r="G32" s="11" t="s">
        <v>100</v>
      </c>
      <c r="H32" s="11" t="s">
        <v>168</v>
      </c>
      <c r="I32" s="11" t="s">
        <v>115</v>
      </c>
      <c r="J32" s="11"/>
      <c r="K32" s="11"/>
      <c r="L32" s="11"/>
      <c r="M32" s="11"/>
      <c r="N32" s="9"/>
    </row>
    <row r="33" spans="1:14" ht="240" x14ac:dyDescent="0.25">
      <c r="A33" s="9">
        <f t="shared" si="0"/>
        <v>32</v>
      </c>
      <c r="B33" s="15"/>
      <c r="C33" s="11"/>
      <c r="D33" s="11">
        <v>2</v>
      </c>
      <c r="E33" s="8" t="s">
        <v>101</v>
      </c>
      <c r="F33" s="8" t="s">
        <v>102</v>
      </c>
      <c r="G33" s="11" t="s">
        <v>103</v>
      </c>
      <c r="H33" s="11" t="s">
        <v>164</v>
      </c>
      <c r="I33" s="11" t="s">
        <v>150</v>
      </c>
      <c r="J33" s="11"/>
      <c r="K33" s="11"/>
      <c r="L33" s="11"/>
      <c r="M33" s="11"/>
      <c r="N33" s="9"/>
    </row>
    <row r="34" spans="1:14" ht="195" x14ac:dyDescent="0.25">
      <c r="A34" s="9">
        <f t="shared" si="0"/>
        <v>33</v>
      </c>
      <c r="B34" s="15"/>
      <c r="C34" s="11"/>
      <c r="D34" s="11">
        <v>1</v>
      </c>
      <c r="E34" s="8" t="s">
        <v>104</v>
      </c>
      <c r="F34" s="8" t="s">
        <v>105</v>
      </c>
      <c r="G34" s="11" t="s">
        <v>106</v>
      </c>
      <c r="H34" s="11" t="s">
        <v>166</v>
      </c>
      <c r="I34" s="11" t="s">
        <v>151</v>
      </c>
      <c r="J34" s="11"/>
      <c r="K34" s="11"/>
      <c r="L34" s="11"/>
      <c r="M34" s="11"/>
      <c r="N34" s="9"/>
    </row>
    <row r="35" spans="1:14" ht="144.75" customHeight="1" x14ac:dyDescent="0.25">
      <c r="A35" s="9">
        <f t="shared" si="0"/>
        <v>34</v>
      </c>
      <c r="B35" s="16"/>
      <c r="C35" s="17"/>
      <c r="D35" s="17">
        <v>1</v>
      </c>
      <c r="E35" s="36" t="s">
        <v>107</v>
      </c>
      <c r="F35" s="36" t="s">
        <v>108</v>
      </c>
      <c r="G35" s="17" t="s">
        <v>109</v>
      </c>
      <c r="H35" s="17" t="s">
        <v>166</v>
      </c>
      <c r="I35" s="11" t="s">
        <v>125</v>
      </c>
      <c r="J35" s="17"/>
      <c r="K35" s="17"/>
      <c r="L35" s="17"/>
      <c r="M35" s="17"/>
      <c r="N35" s="9"/>
    </row>
    <row r="36" spans="1:14" ht="180" x14ac:dyDescent="0.25">
      <c r="A36" s="9">
        <f t="shared" si="0"/>
        <v>35</v>
      </c>
      <c r="B36" s="21"/>
      <c r="C36" s="11"/>
      <c r="D36" s="12">
        <v>4</v>
      </c>
      <c r="E36" s="8" t="s">
        <v>20</v>
      </c>
      <c r="F36" s="8" t="s">
        <v>38</v>
      </c>
      <c r="G36" s="11"/>
      <c r="H36" s="11" t="s">
        <v>172</v>
      </c>
      <c r="I36" s="11" t="s">
        <v>121</v>
      </c>
      <c r="J36" s="7"/>
      <c r="K36" s="11"/>
      <c r="L36" s="11"/>
      <c r="M36" s="11"/>
      <c r="N36" s="9"/>
    </row>
    <row r="38" spans="1:14" x14ac:dyDescent="0.25">
      <c r="D38" s="4">
        <f>SUM(D4:D36)</f>
        <v>65.5</v>
      </c>
    </row>
  </sheetData>
  <hyperlinks>
    <hyperlink ref="M4" r:id="rId1"/>
    <hyperlink ref="M6" r:id="rId2"/>
    <hyperlink ref="M7" r:id="rId3"/>
    <hyperlink ref="M22" r:id="rId4"/>
    <hyperlink ref="M27" r:id="rId5"/>
    <hyperlink ref="M5" r:id="rId6"/>
  </hyperlinks>
  <pageMargins left="0.7" right="0.7" top="0.75" bottom="0.75" header="0.3" footer="0.3"/>
  <pageSetup orientation="portrait" r:id="rId7"/>
  <extLst>
    <ext xmlns:x14="http://schemas.microsoft.com/office/spreadsheetml/2009/9/main" uri="{CCE6A557-97BC-4b89-ADB6-D9C93CAAB3DF}">
      <x14:dataValidations xmlns:xm="http://schemas.microsoft.com/office/excel/2006/main" count="5">
        <x14:dataValidation type="list" allowBlank="1" showInputMessage="1" showErrorMessage="1">
          <x14:formula1>
            <xm:f>References!$A$2:$A$8</xm:f>
          </x14:formula1>
          <xm:sqref>N4:N5 N7:N21 N23:N26 N28:N36</xm:sqref>
        </x14:dataValidation>
        <x14:dataValidation type="list" allowBlank="1" showInputMessage="1" showErrorMessage="1">
          <x14:formula1>
            <xm:f>References!$A$2:$A$8</xm:f>
          </x14:formula1>
          <xm:sqref>N22</xm:sqref>
        </x14:dataValidation>
        <x14:dataValidation type="list" allowBlank="1" showInputMessage="1" showErrorMessage="1">
          <x14:formula1>
            <xm:f>References!$A$2:$A$8</xm:f>
          </x14:formula1>
          <xm:sqref>N27</xm:sqref>
        </x14:dataValidation>
        <x14:dataValidation type="list" allowBlank="1" showInputMessage="1" showErrorMessage="1">
          <x14:formula1>
            <xm:f>References!$A$3:$A$8</xm:f>
          </x14:formula1>
          <xm:sqref>N2:N3</xm:sqref>
        </x14:dataValidation>
        <x14:dataValidation type="list" allowBlank="1" showInputMessage="1" showErrorMessage="1">
          <x14:formula1>
            <xm:f>References!$A$3:$A$8</xm:f>
          </x14:formula1>
          <xm:sqref>N6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5" sqref="A5"/>
    </sheetView>
  </sheetViews>
  <sheetFormatPr defaultRowHeight="15" x14ac:dyDescent="0.25"/>
  <sheetData>
    <row r="1" spans="1:1" x14ac:dyDescent="0.25">
      <c r="A1" t="s">
        <v>153</v>
      </c>
    </row>
    <row r="2" spans="1:1" x14ac:dyDescent="0.25">
      <c r="A2" t="s">
        <v>176</v>
      </c>
    </row>
    <row r="3" spans="1:1" x14ac:dyDescent="0.25">
      <c r="A3" t="s">
        <v>181</v>
      </c>
    </row>
    <row r="4" spans="1:1" x14ac:dyDescent="0.25">
      <c r="A4" t="s">
        <v>182</v>
      </c>
    </row>
    <row r="5" spans="1:1" x14ac:dyDescent="0.25">
      <c r="A5" t="s">
        <v>177</v>
      </c>
    </row>
    <row r="6" spans="1:1" x14ac:dyDescent="0.25">
      <c r="A6" t="s">
        <v>179</v>
      </c>
    </row>
    <row r="7" spans="1:1" x14ac:dyDescent="0.25">
      <c r="A7" t="s">
        <v>180</v>
      </c>
    </row>
    <row r="8" spans="1:1" x14ac:dyDescent="0.25">
      <c r="A8" t="s">
        <v>178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3327F722-D37B-422A-97F2-03EC00946217}">
  <ds:schemaRefs>
    <ds:schemaRef ds:uri="http://schemas.microsoft.com/sharepoint/v3/contenttype/forms"/>
  </ds:schemaRefs>
</ds:datastoreItem>
</file>

<file path=customXml/itemProps2.xml><?xml version="1.0" encoding="utf-8"?>
<ds:datastoreItem xmlns:ds="http://schemas.openxmlformats.org/officeDocument/2006/customXml" ds:itemID="{73FE47CD-7B06-4267-95FD-34DAEA5D1107}"/>
</file>

<file path=customXml/itemProps3.xml><?xml version="1.0" encoding="utf-8"?>
<ds:datastoreItem xmlns:ds="http://schemas.openxmlformats.org/officeDocument/2006/customXml" ds:itemID="{FD22F150-C8AD-46B2-9BF2-F0B835CC133E}">
  <ds:schemaRef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Timeline</vt:lpstr>
      <vt:lpstr>Questions</vt:lpstr>
      <vt:lpstr>References</vt:lpstr>
    </vt:vector>
  </TitlesOfParts>
  <Manager/>
  <Company>Temenos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Bricker</dc:creator>
  <cp:keywords/>
  <dc:description/>
  <cp:lastModifiedBy>Genevieve Parrent</cp:lastModifiedBy>
  <cp:revision/>
  <dcterms:created xsi:type="dcterms:W3CDTF">2020-03-24T13:13:07Z</dcterms:created>
  <dcterms:modified xsi:type="dcterms:W3CDTF">2020-04-30T20:21:57Z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