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9"/>
  <workbookPr defaultThemeVersion="166925"/>
  <mc:AlternateContent xmlns:mc="http://schemas.openxmlformats.org/markup-compatibility/2006">
    <mc:Choice Requires="x15">
      <x15ac:absPath xmlns:x15ac="http://schemas.microsoft.com/office/spreadsheetml/2010/11/ac" url="https://sp.cwb.local/projects/pmo2/Digital Program/Digital Program SharePoint/3 Digital Online Banking/1 DOB_R1_Small_Business_and_Personal/1 Analysis/Requirements/"/>
    </mc:Choice>
  </mc:AlternateContent>
  <xr:revisionPtr revIDLastSave="20" documentId="13_ncr:1_{A11A1EFD-9BEE-41B7-A3FE-50796F3D459D}" xr6:coauthVersionLast="47" xr6:coauthVersionMax="47" xr10:uidLastSave="{98D21ABD-8039-4B8A-8C91-A223CB0676EB}"/>
  <bookViews>
    <workbookView xWindow="-98" yWindow="-98" windowWidth="20715" windowHeight="13276" tabRatio="511" xr2:uid="{00000000-000D-0000-FFFF-FFFF00000000}"/>
  </bookViews>
  <sheets>
    <sheet name="Sheet1" sheetId="2" r:id="rId1"/>
  </sheets>
  <definedNames>
    <definedName name="_xlnm._FilterDatabase" localSheetId="0" hidden="1">Sheet1!$A$1:$O$1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2" l="1"/>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alcChain>
</file>

<file path=xl/sharedStrings.xml><?xml version="1.0" encoding="utf-8"?>
<sst xmlns="http://schemas.openxmlformats.org/spreadsheetml/2006/main" count="997" uniqueCount="495">
  <si>
    <t>S/N</t>
  </si>
  <si>
    <t>SOW</t>
  </si>
  <si>
    <t>Covered by Temenos's traceability from " Req - Items Deferred from R1"</t>
  </si>
  <si>
    <t>Deferral Status R1</t>
  </si>
  <si>
    <t xml:space="preserve">Related User Story/Defect </t>
  </si>
  <si>
    <t>Feature</t>
  </si>
  <si>
    <t>Module</t>
  </si>
  <si>
    <t xml:space="preserve">Description </t>
  </si>
  <si>
    <t>Comments</t>
  </si>
  <si>
    <t>Feature Type</t>
  </si>
  <si>
    <t xml:space="preserve">Decision By </t>
  </si>
  <si>
    <t>Date</t>
  </si>
  <si>
    <t xml:space="preserve">Channel </t>
  </si>
  <si>
    <t>Delivery</t>
  </si>
  <si>
    <t xml:space="preserve">User Story Number </t>
  </si>
  <si>
    <t>SOW326</t>
  </si>
  <si>
    <t>No</t>
  </si>
  <si>
    <t xml:space="preserve">Partial </t>
  </si>
  <si>
    <t>5.1.4</t>
  </si>
  <si>
    <t>CRA - GST Taxes</t>
  </si>
  <si>
    <t>Taxes</t>
  </si>
  <si>
    <t>Have each field label include line number</t>
  </si>
  <si>
    <t>UX</t>
  </si>
  <si>
    <t>CM</t>
  </si>
  <si>
    <t>Dec 9 2020</t>
  </si>
  <si>
    <t>DBX Approval on Teams</t>
  </si>
  <si>
    <t>Enhance the usability to better match the user's flow when filling out tax forms, particularly for fields that have calculations needed ("Box 105 should equal Box 108+109"). Change box to line on the forms</t>
  </si>
  <si>
    <t>SOW0</t>
  </si>
  <si>
    <t>Remember Me</t>
  </si>
  <si>
    <t>Authentication</t>
  </si>
  <si>
    <t>Standardize: "remember me" --&gt; "Remember Me"  </t>
  </si>
  <si>
    <t>SMP</t>
  </si>
  <si>
    <t>Jan  26 2021</t>
  </si>
  <si>
    <t>SOW170
SOW281</t>
  </si>
  <si>
    <t>Yes</t>
  </si>
  <si>
    <t>Full</t>
  </si>
  <si>
    <t>TBD</t>
  </si>
  <si>
    <t>Me 2 Me</t>
  </si>
  <si>
    <t>Fund Transfer</t>
  </si>
  <si>
    <t>Deferring Me2Me transfers from R1. It is still in scope as a requirement, to be planned and delivered in a subsequent release. Has to be in place for Motive</t>
  </si>
  <si>
    <t>Functional</t>
  </si>
  <si>
    <t>Dec 18 2020</t>
  </si>
  <si>
    <t>SOW3</t>
  </si>
  <si>
    <t xml:space="preserve">14.1.5
14.1.8
14.1.11
14.1.14
</t>
  </si>
  <si>
    <t>Tax Payment Confirmation</t>
  </si>
  <si>
    <t xml:space="preserve">Confirmation page on taxes ( 1 pager )is inconsistent with fund transfer and payments where 2 -pager template is used. Post R1 have it changed to </t>
  </si>
  <si>
    <t>Team</t>
  </si>
  <si>
    <t>Jan 20 2021</t>
  </si>
  <si>
    <t>Internal Team Review</t>
  </si>
  <si>
    <t>SOW290
SOW291
SOW292
SOW325</t>
  </si>
  <si>
    <t>15.1.9
15.1.5</t>
  </si>
  <si>
    <t>Transaction Acknowledgement</t>
  </si>
  <si>
    <t>The acknowledgment page for approval and reject is not consistent with the 2 pager acknowledgement page displayed where no approval is required for a transaction. See Fund Transfer user story 4.4.3 for reference.
Pack for post R1 possible enhancement for consistency through out the platform</t>
  </si>
  <si>
    <t xml:space="preserve">Team  </t>
  </si>
  <si>
    <t>Jan 20,2021</t>
  </si>
  <si>
    <t>SOW178</t>
  </si>
  <si>
    <t>14.3.2</t>
  </si>
  <si>
    <t>Bill Payment  - Notes</t>
  </si>
  <si>
    <t>Payment</t>
  </si>
  <si>
    <t>Bill Payment – Notes field within Pay a Bill</t>
  </si>
  <si>
    <t>The notes field is available OOTB however any info entered here will not be seen in account history for bill payment. Data entered into the field  on Infinity is not returned in the ISO messaging after the bill is processed.  It will require development on T24 to have that returned. Consensus is to have the field removed for R1</t>
  </si>
  <si>
    <t>Feb 04 2021</t>
  </si>
  <si>
    <t>CWB User Story &amp; UX Review Concurrence obtained in Internal Team Review</t>
  </si>
  <si>
    <t>SOW7</t>
  </si>
  <si>
    <t>CRA  - Funds Transfer</t>
  </si>
  <si>
    <t xml:space="preserve">Payment </t>
  </si>
  <si>
    <t>Ability to perform multiple transfers to and from different accounts at the same time (similar to bulk transfer - paying one tax payment from multiple accounts) Remove this from scope from R1. Let's keep on the list for post R1 and revisit priority later.</t>
  </si>
  <si>
    <t>This is not standard functionality today. There is limited perceived value from the client perspective given the overall complexity of each tax form making it difficult from a UX viewpoint to offer a bill payment interaction that could encompass multiple tax forms within one experience.
Potential reconciliation issues were raised for the back office staff if a single payment was made from multiple accounts given the nature of how T24 process and records these transactions.
 T24 transact can only process a single payment at one time, which would then require a mechanism by which Infinity/Mule would store the multiple payments in sequential order to be processed by T24 transact. This level of functionality would require development and would introduce additional risk into the payment process.</t>
  </si>
  <si>
    <t>Jan 04 2021</t>
  </si>
  <si>
    <t>SOW37</t>
  </si>
  <si>
    <t>Advertisement</t>
  </si>
  <si>
    <t>Marketing</t>
  </si>
  <si>
    <t>Post-Login Full Screen Advertisement ( Immediately after login)</t>
  </si>
  <si>
    <t>Full screen advertisement immediately after login. CWB requirement is to have different banners for Retail and Business. Infinity OOTB (w/o customization) provides same banner for both.
CWB okay to go with same banner for R1, and then customize to meet requirement afterwards</t>
  </si>
  <si>
    <t>SS</t>
  </si>
  <si>
    <t>Feb 02 2021</t>
  </si>
  <si>
    <t>DBX on Teams</t>
  </si>
  <si>
    <t>SOW38</t>
  </si>
  <si>
    <t>Accounts list Advertisements - In-feed banner advertisements on the Accounts List screen</t>
  </si>
  <si>
    <t xml:space="preserve">
CWB requirement is to have different banners for Retail and Business. Infinity OOTB (w/o customization) provides  same banner for both. CWB okay to go with same banner for R1, and then customize to meet requirement afterwards</t>
  </si>
  <si>
    <t>SOW171</t>
  </si>
  <si>
    <t>Partial</t>
  </si>
  <si>
    <t>4.3.1
13.1.X</t>
  </si>
  <si>
    <t>Move Money -  Between CWB Accounts (Notes)</t>
  </si>
  <si>
    <t>The Notes (optional) field on the form allows a maximum of 30 characters and there is nothing that notifies clients of the character limit</t>
  </si>
  <si>
    <t>Agreed to change the default in-field text from "Enter notes" to " Enter up to 30 characters". This impacts fund transfer and cross currency transfers</t>
  </si>
  <si>
    <t>SMP
AS</t>
  </si>
  <si>
    <t>R1.2</t>
  </si>
  <si>
    <t>SOW165</t>
  </si>
  <si>
    <t>E- Transfer</t>
  </si>
  <si>
    <t>Schedule Interact  E- Transfer for future date</t>
  </si>
  <si>
    <t>Assign a future date for e-Transfer payment instead of paying immediately. Also consider possibility to set up recurring payments as well.</t>
  </si>
  <si>
    <t>Out of Scope R1 per 12/3 Workshop Meeting</t>
  </si>
  <si>
    <t>Dec 03 2020</t>
  </si>
  <si>
    <t>Updated sprint plan received as at 01/08/2021</t>
  </si>
  <si>
    <t>SOW166</t>
  </si>
  <si>
    <t>Update or cancel scheduled e-Transfers</t>
  </si>
  <si>
    <t>Ability to modify the details or cancel the e-Transfer transfer.</t>
  </si>
  <si>
    <t>Updated sprint plan received as at  01/08/2021</t>
  </si>
  <si>
    <t>SOW298</t>
  </si>
  <si>
    <t>Multi-factor Authentication</t>
  </si>
  <si>
    <t>Multi-factor Authentication - Post Login Scenarios (Future release linked to Wires and EFT)</t>
  </si>
  <si>
    <t>Multi-factor authentication and step-up authentication; for example, by using OTP (phone or email), Facial Authentication, challenge questions, and more</t>
  </si>
  <si>
    <t>SOW257</t>
  </si>
  <si>
    <t>Content Management</t>
  </si>
  <si>
    <t>Administration</t>
  </si>
  <si>
    <t>View Credential Policies</t>
  </si>
  <si>
    <t>View Credential Definitions</t>
  </si>
  <si>
    <t>SOW193</t>
  </si>
  <si>
    <t>2.1.5</t>
  </si>
  <si>
    <t>Secure Message Attachment</t>
  </si>
  <si>
    <t>Secure Messages</t>
  </si>
  <si>
    <t>Allow users to upload image file type to secure messages to include .tiff and bitmaps</t>
  </si>
  <si>
    <t>Temenos to obtain development effort if not already embedded in the sprints for R1. Image file type supported OTB are  .png, .jpg., and jpeg as attachments in Online Banking. Marked as Nice to Have</t>
  </si>
  <si>
    <t xml:space="preserve">Discussion with Christina, Jason, Gerry, Jason, Stacy, Stephen Scott, Doug, Lauren, Ashley, Andrew - marked as nice to have </t>
  </si>
  <si>
    <t>Oct 08 2020</t>
  </si>
  <si>
    <t xml:space="preserve">From &lt;https://kony-appfactory.atlassian.net/wiki/spaces/CWB/pages/1657308170/Customization+Requests&gt; </t>
  </si>
  <si>
    <t>Secure message - attachment support in Mobile</t>
  </si>
  <si>
    <t xml:space="preserve">Allow users to upload, view and download attachments to / from secure messages in mobile. </t>
  </si>
  <si>
    <t>OLB supports attachment in txt, doc,docx,pdf,jpg,jpeg formats. Temenos to obtain development effort if not already embedded in the sprints for R1. Marked as Nice to Have</t>
  </si>
  <si>
    <t>Discussion with Christina, Jason, Gerry, Jason, Stacy, Stephen Scott, Doug, Lauren, Ashley, Andrew - marked as nice to have as priority</t>
  </si>
  <si>
    <t>Secure message - attachment limitation</t>
  </si>
  <si>
    <t>Increase file size limitation from 1MB to allow user to attach larger files</t>
  </si>
  <si>
    <t>Temenos to obtain development effort if not already embedded in the sprints for R1. Marked as Should Have</t>
  </si>
  <si>
    <t>2.2.9
2.2.1</t>
  </si>
  <si>
    <t>Display a loading icon/gif on the splash screen after 3 seconds to show the app is still loading</t>
  </si>
  <si>
    <t>Splash</t>
  </si>
  <si>
    <t xml:space="preserve">Set a timer of 3 seconds and then display a loading icon when the 3 seconds elapses and app is not loaded. Loading icon is to make the user aware of processing. </t>
  </si>
  <si>
    <t>Descoped from R1. Custom Development required</t>
  </si>
  <si>
    <t>Discussion with Christina, Jason, Gerry, Jason, Stacy, Stephen Scott, Doug, Lauren, Ashley, Andrew - descoped for Release 1</t>
  </si>
  <si>
    <t>SOW319</t>
  </si>
  <si>
    <t xml:space="preserve">Credit Cards </t>
  </si>
  <si>
    <t>credit Card</t>
  </si>
  <si>
    <t xml:space="preserve">Integrate into a widget to show Credit Card information or show Credit Card  info in an iFrame. Applies to Mobile only.
</t>
  </si>
  <si>
    <t xml:space="preserve">To finalize approach with CWB, Product Team (BRIM)and Vendor. The scope for the BRIM integration is limited to Account Details &amp; Transactions for R1A. Other features are offered through the BRIM white-labeled application (card controls, notifications, card request, limit,  reporting, etc) would still need to be done via their site. Longer term we plan to provide SSO authentication to BRIM and ideally present the BRIM app through an iframe inside of Infinity to manage these other features. </t>
  </si>
  <si>
    <t>Sep 09 2020</t>
  </si>
  <si>
    <t>SOW197</t>
  </si>
  <si>
    <t>10.1.2</t>
  </si>
  <si>
    <t>Contact us</t>
  </si>
  <si>
    <t>Contact us button when tapped should direct user to appropriate pages</t>
  </si>
  <si>
    <t xml:space="preserve"> 
For release 1, redirect the user to CWB site  (customize to redirect to CWB site). https://www.cwbank.com/contact-us . 
Post R1 redirect the user to the native email app with CWB email prepopulated in the "To" field. The contact us page will need to be updated to accommodate multiple phone numbers / emails for  different customer types - Retail, Business, Commercial for post R1. We will need to make this dynamic.</t>
  </si>
  <si>
    <t>SOW251
SOW129</t>
  </si>
  <si>
    <t xml:space="preserve">3.3.2
3.3.6
3.3.9
3.3.16
3.3.18
3.3.20
</t>
  </si>
  <si>
    <t>Chequing and Savings Balances</t>
  </si>
  <si>
    <t>Dashboard</t>
  </si>
  <si>
    <t>Change the GetAccounts Balances and rendering from available to current balance</t>
  </si>
  <si>
    <t>Stick to the original requirement to stay with Available Balance for Release 1 and change will be mitigated through OCM communication</t>
  </si>
  <si>
    <t>Sep 21 2020</t>
  </si>
  <si>
    <t>SOW311</t>
  </si>
  <si>
    <t>RDC Approvals</t>
  </si>
  <si>
    <t>RDC</t>
  </si>
  <si>
    <t>Provide Entitlements for RDC approvals for Small Businesses - signors should be able to assign users in their business entitlements for RDC deposit approvals</t>
  </si>
  <si>
    <t>Moving forward with OOTB, this would be an R2 item</t>
  </si>
  <si>
    <t>Nov 17 2020</t>
  </si>
  <si>
    <t>GST Templates</t>
  </si>
  <si>
    <t>CRA Taxes</t>
  </si>
  <si>
    <t>Tax Form Templates  - order of fields</t>
  </si>
  <si>
    <t>Enhance the usability to better match the user's flow when filling out tax forms, particularly for fields that have calculations needed ("Box 105 should equal Box 108+109")</t>
  </si>
  <si>
    <t>SOW124</t>
  </si>
  <si>
    <t>4.1.2</t>
  </si>
  <si>
    <t>Default login</t>
  </si>
  <si>
    <t>Device Registration</t>
  </si>
  <si>
    <t>change the label below the client selected default log in method to " Enabled and set as default log in". T</t>
  </si>
  <si>
    <t>When a default login method has been selected, the label below should read Enabled and set as default log in. The label currentl reads Default login and should be changed post R1</t>
  </si>
  <si>
    <t>SOW173
SOW174
SOW163</t>
  </si>
  <si>
    <t>13x
14X</t>
  </si>
  <si>
    <t>Blank Fields</t>
  </si>
  <si>
    <t>Payments
Transfers</t>
  </si>
  <si>
    <t>Standardize display of blank fields across different features on the platform</t>
  </si>
  <si>
    <t>Standardize optional fields where users do not input anything left empty. The fields should display consistently across the app with a  dash, blank or "N/A".  Recommendation is to use a dash( -)</t>
  </si>
  <si>
    <t>Jan 26 2021</t>
  </si>
  <si>
    <t>SOW130</t>
  </si>
  <si>
    <t>3.4.X</t>
  </si>
  <si>
    <t>Accounts Details/Summary</t>
  </si>
  <si>
    <t>Accounts</t>
  </si>
  <si>
    <t>Change Account Summary label to Account Details</t>
  </si>
  <si>
    <t>Change Account Summary label to Account Details for all products on Mobile and OLB</t>
  </si>
  <si>
    <t>Jan 28 2021</t>
  </si>
  <si>
    <t>SOW160
SOW161</t>
  </si>
  <si>
    <t>14.3.11
14.3.12</t>
  </si>
  <si>
    <t>Bill Payment</t>
  </si>
  <si>
    <t>Include a search bar in the Scheduled and History Tab for retail and business.</t>
  </si>
  <si>
    <t>The search bar is only available on Manage Payee, Scheduled and History for combined view OOTB on Manage Payee tab only. CM okay to prioritize History over Scheduled. Awaiting feedback from Temenos</t>
  </si>
  <si>
    <t>Feb 16 2021</t>
  </si>
  <si>
    <t>SOW216</t>
  </si>
  <si>
    <t>12.1.15</t>
  </si>
  <si>
    <t>Payment and Transaction Alerts</t>
  </si>
  <si>
    <t>Alerts</t>
  </si>
  <si>
    <t>Manage payments and transaction alerts</t>
  </si>
  <si>
    <t>Scope review for R1 was to accommodate only alerts in current state. Other alert requirements previously provided to temenos should be post R1</t>
  </si>
  <si>
    <t>Scope review for R1</t>
  </si>
  <si>
    <t>SOW291
SOW290
SOW292</t>
  </si>
  <si>
    <t>15.2.X</t>
  </si>
  <si>
    <t>List of Approved, Rejected and Expired Transactions</t>
  </si>
  <si>
    <t xml:space="preserve">Approvals &amp; Request </t>
  </si>
  <si>
    <t>Ability for an approver to see the list of transactions that he/she approved, rejected and those that expired because no action was taken.Somewhat similar to an archive f transaction in C1</t>
  </si>
  <si>
    <t xml:space="preserve">A list that shows the transactions that have been approved, rejected or expired  on the Approver queue or Initiator. </t>
  </si>
  <si>
    <t>SOW291</t>
  </si>
  <si>
    <t xml:space="preserve">Approval Alert </t>
  </si>
  <si>
    <t>Need to configure alerts for transaction approvals – where a business approver needs to approve a transaction. Thebsuiness user should get an alert to notify  them of transactions requiring approval. </t>
  </si>
  <si>
    <t>Added to the backlog because the Tranasaction Manager was a customization   and alerting was not configured to it as a customization</t>
  </si>
  <si>
    <t>Feb 24 2021</t>
  </si>
  <si>
    <t>Approval</t>
  </si>
  <si>
    <t>For a profile with 2 or more to sign, with one of the signers being able to initiate a transaction; the expectation is that the action to create should be seen as both create and approve  that only then requires additional action fro the 2nd signer to approve. The solution that has been developed for by Temenos requires that the signer who creates the transaction needs to carry out an additional action to approve the transaction before it goes to the 2nd signer</t>
  </si>
  <si>
    <t>Consider enhancing the experience to be similar to what it is currently so that when a signer with create access initiates a transaction, no addiotional action is required from the signer to approve the transaction.</t>
  </si>
  <si>
    <t>15.2.17</t>
  </si>
  <si>
    <t>Approval &amp; Requests</t>
  </si>
  <si>
    <t xml:space="preserve">Enabling transaction approval where more than 2 Approvers are required </t>
  </si>
  <si>
    <t>Current solution provided by Temenos is only for 1 or 2 approvers.</t>
  </si>
  <si>
    <t>SOW65</t>
  </si>
  <si>
    <t>16.17.2
16.17.3
16.17.4
16.18.2
16.18.3
16.18.4</t>
  </si>
  <si>
    <t>E-Transfer</t>
  </si>
  <si>
    <t>Funds Transfer</t>
  </si>
  <si>
    <t xml:space="preserve">Fulfil E-Transfer Requests - Include addtiitional fields in the screen. The fileds are:	
Invoice Number
Invoice Due By Date
Note (i.e. a note from the Requestor to the CWB user)
</t>
  </si>
  <si>
    <t>These are optional fields  be added to the Fulfill an Interac e-Transfer Request Money screen, confirmation and acknowledgements, for Retail and SBB, and for Online Banking and Mobile.</t>
  </si>
  <si>
    <t>AS
CM</t>
  </si>
  <si>
    <t>3.4X</t>
  </si>
  <si>
    <t xml:space="preserve">Pre-authorized debit form </t>
  </si>
  <si>
    <t>Generate pre-authorised debit pdf  form (  a void cheque)with account information such as Account name, Account Number, Transit/Branch Number and Institution Number</t>
  </si>
  <si>
    <t>Use the details in Account Info tab for each account</t>
  </si>
  <si>
    <t>SOW190</t>
  </si>
  <si>
    <t>3.1.22</t>
  </si>
  <si>
    <t xml:space="preserve">Stop Cheque </t>
  </si>
  <si>
    <t xml:space="preserve">The Infinity Stop Cheque and Stop Payment function includes a field for the Date of Request Field. The intent of this field is to display the date the stop request was made. This date is captured and sent to T24. However when a user is reviewing the request history, the Date Requested field is not returned from T24. CWB does require this field (should) and a decision is required on how to solution this field. The four options discussed are as follows 
 • Change the API to return the Date of Request
• Suppress the field
• Display the date based on what Infinity captures when (needs to be validated if this is technically possible). This would be a temporary solution.
• Leave it blank
</t>
  </si>
  <si>
    <t>The request create date is required.
Suppresssing and leaving it blank are not options as date is on the screen and part of the user story.
Next step is to ask Temenos what would suffice as a solution.</t>
  </si>
  <si>
    <t xml:space="preserve">SOW142 </t>
  </si>
  <si>
    <t>E-Bills</t>
  </si>
  <si>
    <t>Pay Bill</t>
  </si>
  <si>
    <t>Bill Payment Enrollment   - Activate Bill Payment for a user</t>
  </si>
  <si>
    <t xml:space="preserve">E-Bill functionality not available in CWB currently </t>
  </si>
  <si>
    <t>BA decison log</t>
  </si>
  <si>
    <t> </t>
  </si>
  <si>
    <t>SOW158 SOW146
SOW145</t>
  </si>
  <si>
    <t>14.3.1</t>
  </si>
  <si>
    <t xml:space="preserve">Bill Pay </t>
  </si>
  <si>
    <t xml:space="preserve">Pay a registered biller.Pay multiple bills together </t>
  </si>
  <si>
    <t>Last Payment field removed for R1 Must be added back post R1.Story Approved with AC of Last Payment field removed</t>
  </si>
  <si>
    <t>E-Transfer Security Question</t>
  </si>
  <si>
    <t xml:space="preserve">Funds Transfer </t>
  </si>
  <si>
    <t>1. The ability to set up and store the security question and answer per recipient (still editable but via edit recipient details api); and 2. The ability to change the security question and answer ad hoc (i.e. whenever a new payment is made). Depending on the how the Interec API works, it may or may not overwrite the Security question and answer already in place for that recipient</t>
  </si>
  <si>
    <t xml:space="preserve">
Currently our system only allows for Option 1, the foregoing thought that only Option 2 was needed in the new platform, but the decision is now both Options 1 and 2 for Infinity.</t>
  </si>
  <si>
    <t>As Per Email from Gerry W dated Feb 03, 2021</t>
  </si>
  <si>
    <t>SOW234</t>
  </si>
  <si>
    <t xml:space="preserve">Virtual Company </t>
  </si>
  <si>
    <t>Spotlight</t>
  </si>
  <si>
    <t>The  virtual company functionality to support CWB's multi-CIF business customers</t>
  </si>
  <si>
    <t xml:space="preserve">For R1 Infinity will support funcitonality for a combined profile of one retail and one busienss CIF only </t>
  </si>
  <si>
    <t>SOW142 SOW162 SOW143 SOW158 SOW16
SOW235</t>
  </si>
  <si>
    <t>14.3.X</t>
  </si>
  <si>
    <t>Payments &amp; Withdrawals</t>
  </si>
  <si>
    <t>Virtual company functionality to support CWB's multi-CIF business customers for bill payment   - Add Payee, make a payment, delete payee, schedule a payment</t>
  </si>
  <si>
    <t>For R1 Infinity will support funcitonality for a combined profile of one retail and one busienss CIF. The  virtual company functionality to support CWB's multi-CIF business customers is not avilable ib the 2020.07 release</t>
  </si>
  <si>
    <t>SOW141</t>
  </si>
  <si>
    <t>15.1.5
15.1.9</t>
  </si>
  <si>
    <t>Statements</t>
  </si>
  <si>
    <t>View and Download Statements</t>
  </si>
  <si>
    <t>Download statement chnages required in Infinty to align with Doxim.  Doxim statements are consolidated at CIF level. Infinity functionlity is at account level. Re-design of Infinity view statement screen, add View Statements link to hamburger menu under "Accounts"</t>
  </si>
  <si>
    <t>Gerry Weber</t>
  </si>
  <si>
    <t>SOW168</t>
  </si>
  <si>
    <t>16.4.1
16.4.2
16.4.3
16.4.4</t>
  </si>
  <si>
    <t>e-Transfer</t>
  </si>
  <si>
    <t xml:space="preserve">Fund Transfer </t>
  </si>
  <si>
    <t>Ability to add interac e-transfer recipient by importing existing mobile contact through mobile banking app</t>
  </si>
  <si>
    <t>Not in OOTB, Backlog for post R1. Email 03/11/2021 from Lauren: I reviewed this requirement with Christina and Stacy yesterday and they confirmed this is not required for R1. This decision is also documented as #3 in yesterday’s daily leadership update (Sprint 15A - SOW168 – Christina and Stacy confirmed mobile contact import to populate Bill Pay and e-transfer recipients not needed for R1. Item backlogged for future release prioritization).</t>
  </si>
  <si>
    <t>BA decison log as per decison between between CM, SS and Lauren</t>
  </si>
  <si>
    <t xml:space="preserve">SOW188
</t>
  </si>
  <si>
    <t>16.9.1</t>
  </si>
  <si>
    <t>Remote Deposit Capture</t>
  </si>
  <si>
    <t>Cheque Management</t>
  </si>
  <si>
    <t>View pending and recent cheque deposit functionality.</t>
  </si>
  <si>
    <t xml:space="preserve">
The list of posted deposits and cheque images is not available on the C1 API. User can just deposit a cheque, and cannot view the details of posted Deposits. Decision is to surpress the list of cheque deposits and surpress the search bar since we do not have anything to search.
 It  will be suppressed from RDC. </t>
  </si>
  <si>
    <t>SOW189</t>
  </si>
  <si>
    <t>16.9.4</t>
  </si>
  <si>
    <t>View Cheque images</t>
  </si>
  <si>
    <t>Suppress feature for R1 - For specific transactions, view the back / front Cheque images. Only on-us Cheques will display and will come from DOXIM; is dependent upon integration with MS and Doxim.</t>
  </si>
  <si>
    <t>List of Approved, Rejected, Pending approval by Business user Include Expired and Recalled into the list  of Approved, Rejected, and  Pending approval by Business user</t>
  </si>
  <si>
    <t>The rules for how long these items should remain visible in the Transaction Manager “Requested” list.   These items are to be purged from this viewed after 35 days and archived information for 7 years. Decision is to move the purge and archive funtctionlaity to a different SoW.</t>
  </si>
  <si>
    <t>BA Decision log</t>
  </si>
  <si>
    <t>SOW 235</t>
  </si>
  <si>
    <t>16.19.4</t>
  </si>
  <si>
    <t>Employee Management</t>
  </si>
  <si>
    <t>Create a Company - Add a limiit</t>
  </si>
  <si>
    <t>Fetching account whie adding a company - Temenos needs to figure out how to represent a "no limit" value in Spotlight.   The current state would show a max limit of $999,999,999.00. How ever customer would see this limit in the user admin tool in Infinity. This is not a desired UX. Request to split SOW</t>
  </si>
  <si>
    <t xml:space="preserve">Team Review </t>
  </si>
  <si>
    <t>AML</t>
  </si>
  <si>
    <t xml:space="preserve">Policy requires information be collected and retained for all CWBdirect Business users who conduct transactions, regardless of amount, currency or destination.  On a daily basis AML Compliance will scan a list of CWBdirect Business users </t>
  </si>
  <si>
    <t>Not listed in SOW but provided as part of CWB initial backlog</t>
  </si>
  <si>
    <t>SOW34
SOW35
SOW68</t>
  </si>
  <si>
    <t>13.3.7</t>
  </si>
  <si>
    <t xml:space="preserve">Multi Tier FX rates - Transfer /FX Calculator </t>
  </si>
  <si>
    <t xml:space="preserve">FX Rate </t>
  </si>
  <si>
    <t>The need to have a multi-tiered functionaity for different rates based on applicable preferential  rate on T24. FX transaction table within T24 has six distinct tiers of rates available to  customer types, clients and staff. However, the least favorable rate for either (Customer – Cash) is always used  when committing the transaction via C1 because it poses less FX risk for the bank.</t>
  </si>
  <si>
    <t>The Transact team is planning on developing  an API that will allow for the complete FX rate table to be used in a future release, but will be unavailable in time for R1.  The team recognizes that this is a less than ideal experience for the client and does not position CWB’s digital platform favorably when it comes to cross-currency transactions committed on the platform, however given the time available and  the real impact will likely be a lack of cross-currency transactions for more sensitive clients. The recommendation is to proceed with the current functionality of utilizing the “Customer – Cash” rate within all FX transactions until the enhanced API for FX rates is available. 
Decision is to include multi tier FX rates post R1.1</t>
  </si>
  <si>
    <t>Teams</t>
  </si>
  <si>
    <t>14.3.5</t>
  </si>
  <si>
    <t>Biller Details</t>
  </si>
  <si>
    <t>The Base Infinity application includes a "Last Payment" date field which display the last payment amount and date for a specific payee. This informaiton is seen on payment, confirmation, and acknowledgement screens.</t>
  </si>
  <si>
    <t>In current state T24 does not maintain a separate indexed data source for bill payments. To populate this field, Infinity would require complex filtering from get all accounts call. There is a technical risk of poor performance and a degraded user experience due to the complexity of this data load. The last payment for a specific biller is available in the account history making the information redundant on payment screens. In addition, the "Last Payment" is not required on any of the payment screens and seen is a distraction to the intended use of these payment screens. This could be re-addressed once the Data Lake is available where the technical risk of poor performance could be mitigated. 
Decision is to suppress this field for R1 only. It needs to be added back in a post R1 release before the program ends.</t>
  </si>
  <si>
    <t>SOW162</t>
  </si>
  <si>
    <t>14.3.17
14.3.19</t>
  </si>
  <si>
    <t>Lack of a button at the end of some flows, to go back to a "home". For some features we do have an "Accounts" button at the bottom of the page (story 14.3.19 is a good example). For things like Add payees (story 14.3.17) we don't have an "Accounts" button at the bottom of the page, forcing users to tap the back arrow many times to get to the start of the flow or a home page (their accounts dashboard).</t>
  </si>
  <si>
    <t xml:space="preserve"> This could cause confusion with clients and potentially allow them to perform the same transaction they just did, by mistake. </t>
  </si>
  <si>
    <t>3.1X
15.2X</t>
  </si>
  <si>
    <t xml:space="preserve">Transactions - Stop Cheques </t>
  </si>
  <si>
    <t xml:space="preserve">Stop Cheque Request needs to go through the approval process/matrix, where Account signer can approve the request made by user. </t>
  </si>
  <si>
    <t xml:space="preserve">The Stop Cheque workflow needs to be included as transction type in Approvals workflow. It is a gap and should be part of Infinity product enhancement </t>
  </si>
  <si>
    <t>SOW261</t>
  </si>
  <si>
    <t>10.1.1</t>
  </si>
  <si>
    <t>Transaction Activity Logs</t>
  </si>
  <si>
    <t>Transaction and Audit Logs</t>
  </si>
  <si>
    <t>View the logs of all the transactions initiated with the OLB and mobile app channels and filter the results
Access will be entitlement driven at the client and user level</t>
  </si>
  <si>
    <t>SOW317</t>
  </si>
  <si>
    <t>Cheque Reorder</t>
  </si>
  <si>
    <t>Check Management</t>
  </si>
  <si>
    <t xml:space="preserve">Linkout to Check reorder site to allow users to reorder checks from 3rd parties through Infiinity </t>
  </si>
  <si>
    <t>Option considered  is to use FINATRA platform  via SSO. Finatra is building a new platform for cheque reordering. At launch, API will not be available but it is on the FINATRA road map to make API availabe with SSO. CWB Decison is to maintain current bank process for cheque reordering</t>
  </si>
  <si>
    <t>Custom skins for buttons and links to address color compliance issue</t>
  </si>
  <si>
    <t>All</t>
  </si>
  <si>
    <t>Temenos Dev team confirmed it equires customization. CWB okay to effect changes post R1</t>
  </si>
  <si>
    <t>Customization Request - Confluence</t>
  </si>
  <si>
    <t>SOW285</t>
  </si>
  <si>
    <t>Consolidation of Accounts</t>
  </si>
  <si>
    <t>The application should support the user’s ability to consolidate their Digital Banking Profiles - currently this can only be done in Spotlight and only for 2 profiles (one Retail and one SBB) .- The user could have more than 2 profiles and should also be able to complete this as a self service feature</t>
  </si>
  <si>
    <t>Only able to combine 1 Business and 1 Personal profile</t>
  </si>
  <si>
    <t xml:space="preserve">Secure Message - Combined Profile </t>
  </si>
  <si>
    <t>Implement business logic to categorize messages and notifications between SBB and Retail for hybrid users</t>
  </si>
  <si>
    <t>Allow an intuitive way for customers to view messages specific to each Channel</t>
  </si>
  <si>
    <t>ACH (EFT Canada)</t>
  </si>
  <si>
    <t>Transfers</t>
  </si>
  <si>
    <t>Create a Direct Deposit template</t>
  </si>
  <si>
    <t>Create a Direct Deposit template with account details and branch number for an EFT payment. Initiating a direct deposit from a payor to payee. There are 3-4 different types of template - theres direct deposit, pre-authorized payment (pulling the funds), etc.</t>
  </si>
  <si>
    <t>SOW mapping Document received from Dino</t>
  </si>
  <si>
    <t>SOW179</t>
  </si>
  <si>
    <t>Create an EFT Template</t>
  </si>
  <si>
    <t xml:space="preserve">Create an EFT Template </t>
  </si>
  <si>
    <t>SOW18</t>
  </si>
  <si>
    <t>Make Payment without Template</t>
  </si>
  <si>
    <t>Create an EFT Transaction without using a Template</t>
  </si>
  <si>
    <t>SOW180</t>
  </si>
  <si>
    <t>Make Payment with Template</t>
  </si>
  <si>
    <t>Create an EFT Transaction using a Template</t>
  </si>
  <si>
    <t>SOW181</t>
  </si>
  <si>
    <t>ACH (EFT) History</t>
  </si>
  <si>
    <t>Transactions &amp; its details</t>
  </si>
  <si>
    <t>SOW182</t>
  </si>
  <si>
    <t>ACH (EFT) Files</t>
  </si>
  <si>
    <t>Upload an EFT File for bulk EFT Transactions</t>
  </si>
  <si>
    <t>SOW75</t>
  </si>
  <si>
    <t>EFT Bulk Transfers upload</t>
  </si>
  <si>
    <t>The ability to upload a CSV via the UI and convert to the proper payment type.</t>
  </si>
  <si>
    <t>SOW82</t>
  </si>
  <si>
    <t>ACH (EFT) Bulk Transfers</t>
  </si>
  <si>
    <t>EFT Bulk Transfers</t>
  </si>
  <si>
    <t>SOW177</t>
  </si>
  <si>
    <t xml:space="preserve">International Transfers </t>
  </si>
  <si>
    <t xml:space="preserve">Transfers </t>
  </si>
  <si>
    <t>Wires</t>
  </si>
  <si>
    <t>SOW172</t>
  </si>
  <si>
    <t>Fund Transfers</t>
  </si>
  <si>
    <t>Transfer to another person's account in other financial institution.Add members of other banks as recipients by providing their Account Number, Bank Name, Account Type (Chequeing/Savings), Account Holder's Name /Beneficiary's Name, and Nickname details.</t>
  </si>
  <si>
    <t>Need CWB backend to support this feature.</t>
  </si>
  <si>
    <t xml:space="preserve">Post R1 items prioritization by Temenos received from Dino </t>
  </si>
  <si>
    <t>SOW201</t>
  </si>
  <si>
    <t>Communication Details</t>
  </si>
  <si>
    <t>Profile Management</t>
  </si>
  <si>
    <t xml:space="preserve">Manage address, phone, email details.Ability for users to view/update their profile – includes contact information (email ID, phone number, address). </t>
  </si>
  <si>
    <t>Release v20.07 of Infinity does not allow business users to update their contact details through the digital banking channel.</t>
  </si>
  <si>
    <t>SOW204</t>
  </si>
  <si>
    <t>Login Credentials</t>
  </si>
  <si>
    <t>Update password.Modify the username or password by providing the 6-digit secure code sent to the registered mobile number / email.</t>
  </si>
  <si>
    <t>Being implemented using Okta Widget in R1. May need to be implemented in Post-R1 using a different approach.</t>
  </si>
  <si>
    <t>SOW21</t>
  </si>
  <si>
    <t>User Preferences</t>
  </si>
  <si>
    <t>Personalization</t>
  </si>
  <si>
    <t>Security settings</t>
  </si>
  <si>
    <t>Reset the list of security questions, as well as the secure access code delivery option for an individual customer (not an employee).</t>
  </si>
  <si>
    <t>SOW282</t>
  </si>
  <si>
    <t>External Accounts</t>
  </si>
  <si>
    <t>Manage External Bank accounts</t>
  </si>
  <si>
    <t xml:space="preserve">Remove external accounts added for transfers </t>
  </si>
  <si>
    <t>SOW62</t>
  </si>
  <si>
    <t xml:space="preserve">Transactions </t>
  </si>
  <si>
    <t>Pending Transactions.Remove pending transactions. They will not be displayed on the transactions dashboard.</t>
  </si>
  <si>
    <t>May not be applicable after BRIM integration is implemented.  Transact does not have 'Pending' transaction status.</t>
  </si>
  <si>
    <t>SOW205</t>
  </si>
  <si>
    <t>Update username.
Modify the username or password by providing the 6-digit secure code sent to the registered mobile number / email.</t>
  </si>
  <si>
    <t>SOW195</t>
  </si>
  <si>
    <t>Need to validate with Temenos traceability for post R1</t>
  </si>
  <si>
    <t xml:space="preserve">Notification </t>
  </si>
  <si>
    <t xml:space="preserve">Messages </t>
  </si>
  <si>
    <t>Standardize labels Remove vs Delete icon</t>
  </si>
  <si>
    <t>Some message category has the bin label as delete and some remove. Should be  standard across board.</t>
  </si>
  <si>
    <t>19.3.1
19.3.2</t>
  </si>
  <si>
    <t xml:space="preserve">View Ads on Dashboard as Retail, Business or Combined Profile </t>
  </si>
  <si>
    <t>Ad Campaigns</t>
  </si>
  <si>
    <t xml:space="preserve">View Ads on Dashboard as Retail, Business or Combined Profile. For  Combined Profile, OOTB functionality displays only business ads. A combined profile user will have to switch to the retail dashbaord view to see the retails ads.CWB prefers that the combined profile should display both retail and business ads. OOTB  ad per customer type is 3. </t>
  </si>
  <si>
    <t xml:space="preserve"> Temenos team to check with the dev team on how this can be achieved, and what is the max ads per customer type</t>
  </si>
  <si>
    <t>SOW97</t>
  </si>
  <si>
    <t>19.2.4
19.3.5
19.2.6</t>
  </si>
  <si>
    <t xml:space="preserve">Menus for mobile </t>
  </si>
  <si>
    <t xml:space="preserve">Menus &amp; Navigation </t>
  </si>
  <si>
    <t>Update the mobile menu to include titles for each section.</t>
  </si>
  <si>
    <t>Based on the effort estimate advised to make the updates now, CM okay to defer to the next release i.e. R1.2.  Temenos to ensure this is delivered in the next release (1.2) as the menu items will increase based on new functionality  and the list will grow.</t>
  </si>
  <si>
    <t>SOW268
SOW27</t>
  </si>
  <si>
    <t>16.21.4</t>
  </si>
  <si>
    <t xml:space="preserve">Spotlight User Manageement </t>
  </si>
  <si>
    <t xml:space="preserve">User Management </t>
  </si>
  <si>
    <t xml:space="preserve">Functionality to suspend or activate a business customer in Spotlight.  Today for SB there is no approval levels to perform this function. However in Commercial (BUA) there is an approval required (2-to-Approve). For R1 it is  agreed we can use the OOTB functionality in Spotlight. We want to track this in the backlog for Post R1 for Commercial clients to ensure we build in the approval requirements. </t>
  </si>
  <si>
    <t>For R1 we will use OOTB functionality for SB customers. For Post R1 we will need to identify the approval requirement needs for Commercial customer based on what is done in BUA today</t>
  </si>
  <si>
    <t>SOW266</t>
  </si>
  <si>
    <t>Create a Business Banking User in Spotlight</t>
  </si>
  <si>
    <t xml:space="preserve">Business Entitlement </t>
  </si>
  <si>
    <t xml:space="preserve">If one Business Signer is related to two or more companies, the Business Signer can only be associated with one Virtual Company in Spotlight. </t>
  </si>
  <si>
    <t xml:space="preserve">Infinity  limitation regarding one business signer and multiple companies.Bhavesh confirmed Infinity R21.04 which is based on the Contract based model doesn’t have this limitation
and confirmed that it was  earlier agreed to defer this (link to multiple companies) to R1.2. </t>
  </si>
  <si>
    <t>Stacy/Bhavesh</t>
  </si>
  <si>
    <t>Email from Jerry N</t>
  </si>
  <si>
    <t>Decision log</t>
  </si>
  <si>
    <t>15.1.5</t>
  </si>
  <si>
    <t>View Statements</t>
  </si>
  <si>
    <t xml:space="preserve">Statements </t>
  </si>
  <si>
    <t xml:space="preserve">Enhancement of the statement functionality to include the ff
Ability to select a month to filter down
Link that is currently the statement for  a given month  should be an action button ( View) instead of a link
The statements should be ordered by months - January to December of a given year instead of showing the current month on the top of the list as shown currently 
Include a preview bar( or a search bar for key words) within the Statement screen to allow users narrow down their search within the statement  </t>
  </si>
  <si>
    <t>Enhancement based on Demo</t>
  </si>
  <si>
    <t>Feedback from Demo 18</t>
  </si>
  <si>
    <t>SOW164</t>
  </si>
  <si>
    <t>16.2.1</t>
  </si>
  <si>
    <t xml:space="preserve">Add Recipient Acknowlegement screen </t>
  </si>
  <si>
    <t xml:space="preserve">Interac  e-Transfer </t>
  </si>
  <si>
    <t>Swap the action buttions ( Send an Interac Transfer / Request an Interac Transafer) on the acknowledgement screen after a recipient has been successfully added. The "Send an Interac Transfer" should be moved to the right and should be  the default action button</t>
  </si>
  <si>
    <t>https://temenosglobal.invisionapp.com/share/G5XMDRQZ8Y6#/screens/442178280</t>
  </si>
  <si>
    <t>SOWI58
SOW146</t>
  </si>
  <si>
    <t xml:space="preserve">One Time Bill Payment </t>
  </si>
  <si>
    <t xml:space="preserve">For a single one time bill payments  the confirmation and acknowledgement screen should be changed to the 2 page confirm and acknowledge screens not like the ones we see for bulk payments. </t>
  </si>
  <si>
    <t>Phase 2 R1.1</t>
  </si>
  <si>
    <t xml:space="preserve">Preferred/Favourite </t>
  </si>
  <si>
    <t>Standardize the use of preferred vs. favourite across the platform.  Can be seen in the dashboard as Preferred Accounts,  within each acocunt ellipsis as Add as Favourite/Remove as Favourite and within account settings as Mark as favourite account</t>
  </si>
  <si>
    <t xml:space="preserve">Temenos to choose  between Preferred or Favourite. </t>
  </si>
  <si>
    <t>SOW319.5
SOW319.3</t>
  </si>
  <si>
    <t>CP2R1 - 376
CP2R1 - 373</t>
  </si>
  <si>
    <t>Accounts Dashboard (mobile)</t>
  </si>
  <si>
    <t xml:space="preserve">Dashboard </t>
  </si>
  <si>
    <t>For mobile banking retail, the accounts should be listed  and seperated by account type/category rather than have a long listing of accounts without any categorization. It should be similar to what is in Business and Combined mobile.
CM approved this can be as is (list without categorization) for now but packed for enhancement in R1.2</t>
  </si>
  <si>
    <t xml:space="preserve">
 https://kony-appfactory.atlassian.net/browse/CP2R1-376</t>
  </si>
  <si>
    <t xml:space="preserve">No </t>
  </si>
  <si>
    <t xml:space="preserve">Statement Notification </t>
  </si>
  <si>
    <t>Alert to notify clients of availability of new statement</t>
  </si>
  <si>
    <t xml:space="preserve">New alert requirement </t>
  </si>
  <si>
    <t xml:space="preserve">Functional </t>
  </si>
  <si>
    <t>AS</t>
  </si>
  <si>
    <t>CP2R1 - 511</t>
  </si>
  <si>
    <t xml:space="preserve">Employee Management - Edit User </t>
  </si>
  <si>
    <t xml:space="preserve">Spotlight </t>
  </si>
  <si>
    <t xml:space="preserve">Grey out/Disable the Save button in the Edit User page until a user with the appopriate permission makes any  changes to another  user's role (Assign Role) or permission (Assign Permission). User Details (Personal information) can not be updated in Spotlight but only done in Okta.  User Details, Assign Role and Assign Permission likns  appear within the same casing with the "Next" and "Save" button at the end of the page. Having the Save button enabled when within User Details is  misleading hence the recommendation to have the Save button greyed out/ disabled across the pages until an update is made on Assign Role or Assign Permission. 
https://temenosglobal.invisionapp.com/share/9DZXPRUA7EC#/screens/453205927_CP2R1-481_-_Okta_SSO_Login_06-2 </t>
  </si>
  <si>
    <t>[CP2R1-511] Spotlight - Edit Users (view only) - JIRA (atlassian.net)</t>
  </si>
  <si>
    <t xml:space="preserve">Team review </t>
  </si>
  <si>
    <t>Team review with Temenos</t>
  </si>
  <si>
    <t>INFINITY-5037</t>
  </si>
  <si>
    <t xml:space="preserve">Update details </t>
  </si>
  <si>
    <t xml:space="preserve">Profile Update </t>
  </si>
  <si>
    <t>User stories are required for Email, Phone and user profile update of MB and OLB</t>
  </si>
  <si>
    <t>We are able to update only address for R1. Requirement is to update phone number ,email and user profile  too</t>
  </si>
  <si>
    <t>INFINITY-5154</t>
  </si>
  <si>
    <t xml:space="preserve">Tax Payment </t>
  </si>
  <si>
    <t>For combined profiles, the business user should not be able to pay personal taxes from the  business account within the combined profile</t>
  </si>
  <si>
    <t>Provincial Taxes</t>
  </si>
  <si>
    <t>Infinity-499</t>
  </si>
  <si>
    <t>Account Details</t>
  </si>
  <si>
    <t xml:space="preserve">Account Details </t>
  </si>
  <si>
    <t>Scheduled Transactions within the contextual menus should be surpressed for Post R1</t>
  </si>
  <si>
    <t>INFINITY-5120</t>
  </si>
  <si>
    <t xml:space="preserve">Stop PAP request </t>
  </si>
  <si>
    <t xml:space="preserve">Menu &amp; Navigation </t>
  </si>
  <si>
    <t>Stop PAP request journey flow begins from within an account ( More/ellipsis). Navigation for Stop PAP Request  from the main menu  breaks the flow as Stop PAP is accont specific meaning A/C needs to be selected for  Stop PAP initiation. Having it in the hamburger menu  breaks the accocunt alignment b/c no account is selected before Stop  PAP is selected.</t>
  </si>
  <si>
    <t>Suppress the link from hamburger menu for R1 for mobile only. The menu within the ellipsis suffices for R1. Resurface the link on the main nav  post R1</t>
  </si>
  <si>
    <t xml:space="preserve">Stop cheque </t>
  </si>
  <si>
    <t>Display the stop cheque expiry date on the stop cheque form. A stop cheque payment expires 12 months after the date of the stop payment thus the expiry date or end date). This should be similar to what was done for Stop PAP where the "End date" is automatically populated i.e T+25 days  and displayed.</t>
  </si>
  <si>
    <t>Security Question set up</t>
  </si>
  <si>
    <t xml:space="preserve">Login - Authentication </t>
  </si>
  <si>
    <t>Error message that appears as a toast message with a red banner on the top pf the screen when you input a security answer that does not comply with the rules should be removed.Preference is to have  the error message display below the field, as it does in OLB, or have the toast message stay on screen and be dismissable.</t>
  </si>
  <si>
    <t>https://kony-appfactory.atlassian.net/browse/CP2R1-754</t>
  </si>
  <si>
    <t>SOW108.1
SOW109.1
SOW110.3
SOW111.1</t>
  </si>
  <si>
    <t xml:space="preserve">Login </t>
  </si>
  <si>
    <t xml:space="preserve">Scroll bar in the okta widget should be taken off and the content of the widget should always be in full display irrespective of the resolution of the user . </t>
  </si>
  <si>
    <t xml:space="preserve">Infinity is limiting the Okta widget to a fixed height – thus the scroll bars appears.With the scroll bar in place, when you scroll some content in the Okta widget becomes hidden and invisible clients. Hence the need to fix. 
https://kony-appfactory.atlassian.net/browse/CP2R1-538
</t>
  </si>
  <si>
    <t>INFINITY- 8039</t>
  </si>
  <si>
    <t xml:space="preserve">Combined  User </t>
  </si>
  <si>
    <t>Customize the combined view dashboard to show the business name for one or  more buinesss. in the customer dashboard we want to display the business name,the name of all the busn</t>
  </si>
  <si>
    <t>Nice to show the business name in Infinty.
Need to understand better the use of the dropdown. 
How will VCOO be part of the dropdown.
 Is this in base product for r1.2  or some enhancements to it based on multi CIF contracts</t>
  </si>
  <si>
    <t xml:space="preserve">R1 Hotfix review </t>
  </si>
  <si>
    <t>-</t>
  </si>
  <si>
    <t>One suggestion from him that I agree with – notifications currently default to off and you have to turn them on.  Can we flip that around so they default to on and people can turn them off if they don’t like them?</t>
  </si>
  <si>
    <t xml:space="preserve">Nice ot have feedback from Jeff Wright shared from Blaine via email from Stacy S. </t>
  </si>
  <si>
    <t>e-Transfers</t>
  </si>
  <si>
    <t>Interact E-Transfers</t>
  </si>
  <si>
    <t xml:space="preserve">Expose Sender Profile on Received Interac e-Transfers s part of the Account Transaction History record. </t>
  </si>
  <si>
    <t>Jerry N. 02-14-2024 as per email. 
Jeff Wright shared Feedback from Customer "Clover Towing" to show the sender profile on recieved e-Transfer same as they do with their other bank platforms  - Vancity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</si>
</sst>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5" formatCode="&quot;$&quot;#,##0_);\(&quot;$&quot;#,##0\)"/>
    <numFmt numFmtId="6" formatCode="&quot;$&quot;#,##0_);[Red]\(&quot;$&quot;#,##0\)"/>
    <numFmt numFmtId="164" formatCode="[$-1009]d\-mmm\-yy;@"/>
    <numFmt numFmtId="165" formatCode="m/d/yy;@"/>
    <numFmt numFmtId="166" formatCode="yyyy;@"/>
    <numFmt numFmtId="167" formatCode="mmm\-d;@"/>
    <numFmt numFmtId="168" formatCode="h:mm;@"/>
  </numFmts>
  <fonts count="4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name val="Calibri"/>
      <family val="2"/>
      <scheme val="minor"/>
    </font>
    <font>
      <sz val="12"/>
      <color theme="1"/>
      <name val="Calibri"/>
      <family val="2"/>
      <scheme val="minor"/>
    </font>
    <font>
      <b/>
      <sz val="11"/>
      <name val="Calibri"/>
      <family val="2"/>
      <scheme val="minor"/>
    </font>
    <font>
      <u/>
      <sz val="11"/>
      <name val="Calibri"/>
      <family val="2"/>
      <scheme val="minor"/>
    </font>
    <font>
      <sz val="11"/>
      <color rgb="FF0B744D"/>
      <name val="Calibri"/>
      <family val="2"/>
      <scheme val="minor"/>
    </font>
    <font>
      <sz val="72"/>
      <color theme="0"/>
      <name val="Calibri Light"/>
      <family val="2"/>
      <scheme val="major"/>
    </font>
    <font>
      <sz val="17"/>
      <color theme="0"/>
      <name val="Calibri"/>
      <family val="2"/>
      <scheme val="minor"/>
    </font>
    <font>
      <b/>
      <sz val="12"/>
      <color theme="0"/>
      <name val="Calibri Light"/>
      <family val="1"/>
      <scheme val="major"/>
    </font>
    <font>
      <b/>
      <sz val="12"/>
      <color theme="4"/>
      <name val="Calibri"/>
      <family val="2"/>
      <scheme val="minor"/>
    </font>
    <font>
      <sz val="10"/>
      <color theme="3" tint="9.985656300546282E-2"/>
      <name val="Calibri"/>
      <family val="2"/>
      <scheme val="minor"/>
    </font>
    <font>
      <u/>
      <sz val="22"/>
      <color rgb="FF3B3838"/>
      <name val="Calibri"/>
      <family val="2"/>
      <scheme val="minor"/>
    </font>
    <font>
      <sz val="11"/>
      <color theme="0" tint="-4.9989318521683403E-2"/>
      <name val="Calibri"/>
      <family val="2"/>
      <scheme val="minor"/>
    </font>
    <font>
      <i/>
      <sz val="14"/>
      <color rgb="FF217346"/>
      <name val="Calibri"/>
      <family val="2"/>
      <scheme val="minor"/>
    </font>
    <font>
      <sz val="11"/>
      <color rgb="FF000000"/>
      <name val="Calibri"/>
      <family val="2"/>
      <scheme val="minor"/>
    </font>
    <font>
      <sz val="10.5"/>
      <name val="Segoe UI"/>
      <family val="2"/>
    </font>
    <font>
      <sz val="12"/>
      <color rgb="FF000000"/>
      <name val="Arial"/>
      <family val="2"/>
    </font>
    <font>
      <sz val="11"/>
      <color rgb="FF000000"/>
      <name val="Calibri"/>
      <family val="2"/>
    </font>
    <font>
      <sz val="11"/>
      <color rgb="FFDA846B"/>
      <name val="Segoe UI"/>
      <family val="2"/>
    </font>
    <font>
      <sz val="7"/>
      <color rgb="FF242424"/>
      <name val="Segoe UI"/>
      <family val="2"/>
    </font>
    <font>
      <sz val="11"/>
      <color rgb="FF242424"/>
      <name val="Calibri"/>
      <family val="2"/>
      <scheme val="minor"/>
    </font>
    <font>
      <sz val="11"/>
      <color theme="1"/>
      <name val="Aptos"/>
      <family val="2"/>
      <charset val="1"/>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3399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rgb="FF217346"/>
        <bgColor indexed="64"/>
      </patternFill>
    </fill>
    <fill>
      <gradientFill degree="90">
        <stop position="0">
          <color theme="3" tint="0.74901577806939912"/>
        </stop>
        <stop position="1">
          <color theme="3" tint="0.49803155613879818"/>
        </stop>
      </gradientFill>
    </fill>
    <fill>
      <gradientFill degree="90">
        <stop position="0">
          <color theme="0"/>
        </stop>
        <stop position="1">
          <color theme="0" tint="-5.0965910824915313E-2"/>
        </stop>
      </gradientFill>
    </fill>
    <fill>
      <patternFill patternType="solid">
        <fgColor rgb="FFF5F5F5"/>
        <bgColor indexed="64"/>
      </patternFill>
    </fill>
    <fill>
      <patternFill patternType="solid">
        <fgColor rgb="FFFFFFFF"/>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rgb="FFF4B183"/>
      </left>
      <right style="thick">
        <color rgb="FFF4B183"/>
      </right>
      <top style="thick">
        <color rgb="FFF4B183"/>
      </top>
      <bottom style="thick">
        <color rgb="FFF4B183"/>
      </bottom>
      <diagonal/>
    </border>
    <border>
      <left style="thin">
        <color rgb="FF339966"/>
      </left>
      <right/>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style="thin">
        <color indexed="64"/>
      </left>
      <right/>
      <top/>
      <bottom/>
      <diagonal/>
    </border>
    <border>
      <left/>
      <right/>
      <top/>
      <bottom style="thin">
        <color indexed="64"/>
      </bottom>
      <diagonal/>
    </border>
    <border>
      <left/>
      <right/>
      <top/>
      <bottom style="thin">
        <color theme="2"/>
      </bottom>
      <diagonal/>
    </border>
    <border>
      <left/>
      <right/>
      <top/>
      <bottom style="thin">
        <color theme="0" tint="-0.14996795556505021"/>
      </bottom>
      <diagonal/>
    </border>
    <border>
      <left/>
      <right/>
      <top/>
      <bottom style="thin">
        <color theme="0" tint="-0.14993743705557422"/>
      </bottom>
      <diagonal/>
    </border>
  </borders>
  <cellStyleXfs count="77">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20" fillId="0" borderId="0"/>
    <xf numFmtId="0" fontId="1" fillId="34" borderId="0"/>
    <xf numFmtId="0" fontId="1" fillId="36" borderId="8"/>
    <xf numFmtId="0" fontId="1" fillId="34" borderId="10"/>
    <xf numFmtId="0" fontId="1" fillId="0" borderId="16"/>
    <xf numFmtId="5" fontId="1" fillId="0" borderId="0" applyFont="0" applyFill="0" applyBorder="0" applyAlignment="0" applyProtection="0"/>
    <xf numFmtId="0" fontId="23" fillId="37" borderId="0">
      <alignment horizontal="left" wrapText="1" indent="4"/>
    </xf>
    <xf numFmtId="0" fontId="23" fillId="0" borderId="0" applyFill="0" applyBorder="0">
      <alignment wrapText="1"/>
    </xf>
    <xf numFmtId="0" fontId="24" fillId="37" borderId="0" applyNumberFormat="0" applyBorder="0" applyProtection="0">
      <alignment horizontal="left" indent="1"/>
    </xf>
    <xf numFmtId="0" fontId="25" fillId="37" borderId="0" applyNumberFormat="0" applyProtection="0">
      <alignment horizontal="left" wrapText="1" indent="4"/>
    </xf>
    <xf numFmtId="0" fontId="23" fillId="37" borderId="0" applyNumberFormat="0" applyProtection="0">
      <alignment horizontal="left" wrapText="1" indent="4"/>
    </xf>
    <xf numFmtId="0" fontId="17" fillId="33" borderId="0" applyNumberFormat="0" applyBorder="0" applyProtection="0"/>
    <xf numFmtId="0" fontId="16" fillId="0" borderId="0" applyNumberFormat="0" applyFill="0" applyBorder="0" applyAlignment="0" applyProtection="0"/>
    <xf numFmtId="0" fontId="1" fillId="0" borderId="17" applyNumberFormat="0" applyFont="0" applyFill="0" applyAlignment="0"/>
    <xf numFmtId="0" fontId="1" fillId="0" borderId="11" applyNumberFormat="0" applyFont="0" applyFill="0" applyAlignment="0"/>
    <xf numFmtId="0" fontId="1" fillId="0" borderId="12" applyNumberFormat="0" applyFont="0" applyFill="0" applyAlignment="0"/>
    <xf numFmtId="0" fontId="1" fillId="0" borderId="14" applyNumberFormat="0" applyFont="0" applyFill="0" applyAlignment="0"/>
    <xf numFmtId="0" fontId="1" fillId="0" borderId="13" applyNumberFormat="0" applyFont="0" applyFill="0"/>
    <xf numFmtId="0" fontId="1" fillId="0" borderId="15" applyNumberFormat="0" applyFont="0" applyFill="0" applyAlignment="0"/>
    <xf numFmtId="6" fontId="1" fillId="35" borderId="0" applyFont="0" applyBorder="0" applyAlignment="0"/>
    <xf numFmtId="14" fontId="1" fillId="0" borderId="0" applyFont="0" applyFill="0" applyBorder="0" applyAlignment="0"/>
    <xf numFmtId="166" fontId="1" fillId="0" borderId="0" applyFont="0" applyFill="0" applyBorder="0" applyAlignment="0"/>
    <xf numFmtId="167" fontId="26" fillId="38" borderId="18" applyProtection="0">
      <alignment horizontal="center" vertical="center" wrapText="1"/>
    </xf>
    <xf numFmtId="168" fontId="27" fillId="39" borderId="19" applyProtection="0">
      <alignment horizontal="right" vertical="center" wrapText="1" indent="1"/>
    </xf>
    <xf numFmtId="0" fontId="28" fillId="39" borderId="20" applyNumberFormat="0" applyProtection="0">
      <alignment horizontal="left" vertical="center" wrapText="1" indent="1"/>
    </xf>
    <xf numFmtId="0" fontId="3" fillId="0" borderId="1" applyNumberFormat="0" applyFill="0" applyAlignment="0" applyProtection="0"/>
    <xf numFmtId="0" fontId="30" fillId="40" borderId="0">
      <alignment horizontal="left" indent="3"/>
    </xf>
    <xf numFmtId="0" fontId="17" fillId="0" borderId="0">
      <alignment horizontal="left"/>
    </xf>
    <xf numFmtId="0" fontId="29" fillId="40" borderId="0">
      <alignment horizontal="left" indent="3"/>
    </xf>
    <xf numFmtId="0" fontId="31" fillId="40" borderId="0">
      <alignment horizontal="left" vertical="top" wrapText="1" indent="3"/>
    </xf>
    <xf numFmtId="0" fontId="2"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cellStyleXfs>
  <cellXfs count="38">
    <xf numFmtId="0" fontId="0" fillId="0" borderId="0" xfId="0"/>
    <xf numFmtId="0" fontId="19" fillId="0" borderId="0" xfId="0" applyFont="1"/>
    <xf numFmtId="164" fontId="19" fillId="0" borderId="0" xfId="0" applyNumberFormat="1" applyFont="1"/>
    <xf numFmtId="0" fontId="19" fillId="0" borderId="0" xfId="0" applyFont="1" applyAlignment="1">
      <alignment wrapText="1"/>
    </xf>
    <xf numFmtId="0" fontId="21" fillId="0" borderId="0" xfId="0" applyFont="1" applyAlignment="1">
      <alignment vertical="top" wrapText="1"/>
    </xf>
    <xf numFmtId="164" fontId="21" fillId="0" borderId="0" xfId="0" applyNumberFormat="1" applyFont="1" applyAlignment="1">
      <alignment vertical="top" wrapText="1"/>
    </xf>
    <xf numFmtId="0" fontId="19" fillId="0" borderId="0" xfId="0" applyFont="1" applyAlignment="1">
      <alignment vertical="top" wrapText="1"/>
    </xf>
    <xf numFmtId="164" fontId="19" fillId="0" borderId="0" xfId="0" applyNumberFormat="1" applyFont="1" applyAlignment="1">
      <alignment vertical="top" wrapText="1"/>
    </xf>
    <xf numFmtId="164" fontId="19" fillId="0" borderId="0" xfId="0" applyNumberFormat="1" applyFont="1" applyAlignment="1">
      <alignment horizontal="center" vertical="top" wrapText="1"/>
    </xf>
    <xf numFmtId="0" fontId="22" fillId="0" borderId="0" xfId="42" applyFont="1" applyFill="1" applyBorder="1" applyAlignment="1">
      <alignment vertical="top" wrapText="1"/>
    </xf>
    <xf numFmtId="0" fontId="19" fillId="0" borderId="0" xfId="0" applyFont="1" applyAlignment="1">
      <alignment horizontal="center" vertical="top" wrapText="1"/>
    </xf>
    <xf numFmtId="164" fontId="19" fillId="0" borderId="0" xfId="0" applyNumberFormat="1" applyFont="1" applyAlignment="1">
      <alignment wrapText="1"/>
    </xf>
    <xf numFmtId="15" fontId="19" fillId="0" borderId="0" xfId="0" applyNumberFormat="1" applyFont="1" applyAlignment="1">
      <alignment wrapText="1"/>
    </xf>
    <xf numFmtId="3" fontId="19" fillId="0" borderId="0" xfId="0" applyNumberFormat="1" applyFont="1" applyAlignment="1">
      <alignment wrapText="1"/>
    </xf>
    <xf numFmtId="0" fontId="19" fillId="0" borderId="0" xfId="0" applyFont="1" applyAlignment="1">
      <alignment horizontal="left" vertical="center" wrapText="1"/>
    </xf>
    <xf numFmtId="49" fontId="19" fillId="0" borderId="0" xfId="0" applyNumberFormat="1" applyFont="1" applyAlignment="1">
      <alignment vertical="center" wrapText="1"/>
    </xf>
    <xf numFmtId="165" fontId="19" fillId="0" borderId="0" xfId="43" applyNumberFormat="1" applyFont="1" applyAlignment="1">
      <alignment vertical="top" wrapText="1"/>
    </xf>
    <xf numFmtId="0" fontId="0" fillId="0" borderId="0" xfId="43" applyFont="1" applyAlignment="1">
      <alignment vertical="top" wrapText="1"/>
    </xf>
    <xf numFmtId="0" fontId="0" fillId="0" borderId="0" xfId="43" applyFont="1" applyAlignment="1">
      <alignment horizontal="center" vertical="top" wrapText="1"/>
    </xf>
    <xf numFmtId="165" fontId="19" fillId="0" borderId="0" xfId="43" applyNumberFormat="1" applyFont="1" applyAlignment="1">
      <alignment horizontal="center" vertical="top" wrapText="1"/>
    </xf>
    <xf numFmtId="0" fontId="0" fillId="41" borderId="0" xfId="0" applyFill="1" applyAlignment="1">
      <alignment vertical="center" wrapText="1"/>
    </xf>
    <xf numFmtId="0" fontId="18" fillId="0" borderId="0" xfId="42" applyFill="1" applyBorder="1" applyAlignment="1">
      <alignment wrapText="1"/>
    </xf>
    <xf numFmtId="0" fontId="21" fillId="0" borderId="0" xfId="0" applyFont="1" applyAlignment="1">
      <alignment wrapText="1"/>
    </xf>
    <xf numFmtId="0" fontId="33" fillId="0" borderId="0" xfId="0" applyFont="1"/>
    <xf numFmtId="0" fontId="32" fillId="0" borderId="0" xfId="0" applyFont="1" applyAlignment="1">
      <alignment wrapText="1"/>
    </xf>
    <xf numFmtId="0" fontId="33" fillId="0" borderId="0" xfId="0" applyFont="1" applyAlignment="1">
      <alignment wrapText="1"/>
    </xf>
    <xf numFmtId="0" fontId="0" fillId="0" borderId="0" xfId="0" applyAlignment="1">
      <alignment vertical="center" wrapText="1"/>
    </xf>
    <xf numFmtId="0" fontId="0" fillId="0" borderId="0" xfId="0" applyAlignment="1">
      <alignment wrapText="1"/>
    </xf>
    <xf numFmtId="0" fontId="0" fillId="0" borderId="0" xfId="0" applyAlignment="1">
      <alignment vertical="top" wrapText="1"/>
    </xf>
    <xf numFmtId="0" fontId="32" fillId="41" borderId="0" xfId="0" applyFont="1" applyFill="1" applyAlignment="1">
      <alignment vertical="center" wrapText="1"/>
    </xf>
    <xf numFmtId="0" fontId="18" fillId="0" borderId="0" xfId="42" applyBorder="1"/>
    <xf numFmtId="0" fontId="20" fillId="0" borderId="0" xfId="0" applyFont="1" applyAlignment="1">
      <alignment vertical="center" wrapText="1"/>
    </xf>
    <xf numFmtId="0" fontId="34" fillId="0" borderId="0" xfId="0" applyFont="1"/>
    <xf numFmtId="0" fontId="35" fillId="0" borderId="0" xfId="0" applyFont="1" applyAlignment="1">
      <alignment vertical="center" wrapText="1"/>
    </xf>
    <xf numFmtId="0" fontId="36" fillId="0" borderId="0" xfId="0" applyFont="1"/>
    <xf numFmtId="0" fontId="37" fillId="0" borderId="0" xfId="0" applyFont="1" applyAlignment="1">
      <alignment vertical="center" wrapText="1"/>
    </xf>
    <xf numFmtId="0" fontId="38" fillId="0" borderId="0" xfId="0" applyFont="1" applyAlignment="1">
      <alignment vertical="center" wrapText="1"/>
    </xf>
    <xf numFmtId="0" fontId="39" fillId="0" borderId="0" xfId="0" applyFont="1" applyAlignment="1">
      <alignment wrapText="1"/>
    </xf>
  </cellXfs>
  <cellStyles count="77">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Bottom Border" xfId="56" xr:uid="{00000000-0005-0000-0000-000019000000}"/>
    <cellStyle name="Bottom Green Border" xfId="59" xr:uid="{00000000-0005-0000-0000-00001A000000}"/>
    <cellStyle name="Calculation" xfId="11" builtinId="22" customBuiltin="1"/>
    <cellStyle name="Check Cell" xfId="13" builtinId="23" customBuiltin="1"/>
    <cellStyle name="Currency 2" xfId="48" xr:uid="{00000000-0005-0000-0000-00001D000000}"/>
    <cellStyle name="Date" xfId="63" xr:uid="{00000000-0005-0000-0000-00001E000000}"/>
    <cellStyle name="Date Column" xfId="65" xr:uid="{00000000-0005-0000-0000-00001F000000}"/>
    <cellStyle name="Event Column" xfId="67" xr:uid="{00000000-0005-0000-0000-000020000000}"/>
    <cellStyle name="Explanatory Text" xfId="16" builtinId="53" customBuiltin="1"/>
    <cellStyle name="Good" xfId="6" builtinId="26" customBuiltin="1"/>
    <cellStyle name="GrayCell" xfId="44" xr:uid="{00000000-0005-0000-0000-000023000000}"/>
    <cellStyle name="Heading 1" xfId="2" builtinId="16" customBuiltin="1"/>
    <cellStyle name="Heading 1 2" xfId="68" xr:uid="{00000000-0005-0000-0000-000025000000}"/>
    <cellStyle name="Heading 1 3" xfId="52" xr:uid="{00000000-0005-0000-0000-000026000000}"/>
    <cellStyle name="Heading 2" xfId="3" builtinId="17" customBuiltin="1"/>
    <cellStyle name="Heading 2 2" xfId="74" xr:uid="{00000000-0005-0000-0000-000028000000}"/>
    <cellStyle name="Heading 2 3" xfId="53" xr:uid="{00000000-0005-0000-0000-000029000000}"/>
    <cellStyle name="Heading 3" xfId="4" builtinId="18" customBuiltin="1"/>
    <cellStyle name="Heading 3 2" xfId="75" xr:uid="{00000000-0005-0000-0000-00002B000000}"/>
    <cellStyle name="Heading 3 3" xfId="54" xr:uid="{00000000-0005-0000-0000-00002C000000}"/>
    <cellStyle name="Heading 4" xfId="5" builtinId="19" customBuiltin="1"/>
    <cellStyle name="Heading 4 2" xfId="76" xr:uid="{00000000-0005-0000-0000-00002E000000}"/>
    <cellStyle name="Heading 4 3" xfId="55" xr:uid="{00000000-0005-0000-0000-00002F000000}"/>
    <cellStyle name="Highlight" xfId="62" xr:uid="{00000000-0005-0000-0000-000030000000}"/>
    <cellStyle name="Hyperlink" xfId="42" builtinId="8"/>
    <cellStyle name="Input" xfId="9" builtinId="20" customBuiltin="1"/>
    <cellStyle name="Left Border" xfId="47" xr:uid="{00000000-0005-0000-0000-000033000000}"/>
    <cellStyle name="Left Bottom Green Border" xfId="60" xr:uid="{00000000-0005-0000-0000-000034000000}"/>
    <cellStyle name="Left Green Border" xfId="57" xr:uid="{00000000-0005-0000-0000-000035000000}"/>
    <cellStyle name="Linked Cell" xfId="12" builtinId="24" customBuiltin="1"/>
    <cellStyle name="Neutral" xfId="8" builtinId="28" customBuiltin="1"/>
    <cellStyle name="Normal" xfId="0" builtinId="0"/>
    <cellStyle name="Normal 2" xfId="43" xr:uid="{00000000-0005-0000-0000-000039000000}"/>
    <cellStyle name="Note" xfId="15" builtinId="10" customBuiltin="1"/>
    <cellStyle name="OrangeBorder" xfId="46" xr:uid="{00000000-0005-0000-0000-00003B000000}"/>
    <cellStyle name="Output" xfId="10" builtinId="21" customBuiltin="1"/>
    <cellStyle name="Right Bottom Green Border" xfId="61" xr:uid="{00000000-0005-0000-0000-00003D000000}"/>
    <cellStyle name="Right Green Border" xfId="58" xr:uid="{00000000-0005-0000-0000-00003E000000}"/>
    <cellStyle name="Screen Reader Gray" xfId="69" xr:uid="{00000000-0005-0000-0000-00003F000000}"/>
    <cellStyle name="Screen Reader Green" xfId="49" xr:uid="{00000000-0005-0000-0000-000040000000}"/>
    <cellStyle name="Screen Reader White" xfId="70" xr:uid="{00000000-0005-0000-0000-000041000000}"/>
    <cellStyle name="Section conclusion" xfId="72" xr:uid="{00000000-0005-0000-0000-000042000000}"/>
    <cellStyle name="Section heading" xfId="71" xr:uid="{00000000-0005-0000-0000-000043000000}"/>
    <cellStyle name="Start Text" xfId="50" xr:uid="{00000000-0005-0000-0000-000044000000}"/>
    <cellStyle name="Time Column" xfId="66" xr:uid="{00000000-0005-0000-0000-000045000000}"/>
    <cellStyle name="Title" xfId="1" builtinId="15" customBuiltin="1"/>
    <cellStyle name="Title 2" xfId="73" xr:uid="{00000000-0005-0000-0000-000047000000}"/>
    <cellStyle name="Title 3" xfId="51" xr:uid="{00000000-0005-0000-0000-000048000000}"/>
    <cellStyle name="Total" xfId="17" builtinId="25" customBuiltin="1"/>
    <cellStyle name="Warning Text" xfId="14" builtinId="11" customBuiltin="1"/>
    <cellStyle name="Year" xfId="64" xr:uid="{00000000-0005-0000-0000-00004B000000}"/>
    <cellStyle name="YellowCell" xfId="45" xr:uid="{00000000-0005-0000-0000-00004C000000}"/>
  </cellStyles>
  <dxfs count="6">
    <dxf>
      <font>
        <color theme="0" tint="-0.34998626667073579"/>
      </font>
      <border>
        <top style="medium">
          <color theme="0" tint="-0.14996795556505021"/>
        </top>
        <bottom style="medium">
          <color theme="0" tint="-0.14996795556505021"/>
        </bottom>
      </border>
    </dxf>
    <dxf>
      <border>
        <horizontal style="thin">
          <color theme="0" tint="-0.14996795556505021"/>
        </horizontal>
      </border>
    </dxf>
    <dxf>
      <font>
        <color theme="0"/>
      </font>
      <fill>
        <patternFill>
          <bgColor rgb="FF359966"/>
        </patternFill>
      </fill>
    </dxf>
    <dxf>
      <font>
        <color theme="0"/>
      </font>
      <fill>
        <patternFill>
          <bgColor rgb="FF359966"/>
        </patternFill>
      </fill>
    </dxf>
    <dxf>
      <fill>
        <patternFill>
          <bgColor theme="0" tint="-4.9989318521683403E-2"/>
        </patternFill>
      </fill>
    </dxf>
    <dxf>
      <font>
        <color theme="0"/>
      </font>
      <fill>
        <patternFill>
          <bgColor rgb="FF339966"/>
        </patternFill>
      </fill>
    </dxf>
  </dxfs>
  <tableStyles count="3" defaultTableStyle="TableStyleMedium2" defaultPivotStyle="PivotStyleLight16">
    <tableStyle name="CustomTableStyle" pivot="0" count="2" xr9:uid="{00000000-0011-0000-FFFF-FFFF00000000}">
      <tableStyleElement type="headerRow" dxfId="5"/>
      <tableStyleElement type="firstRowStripe" dxfId="4"/>
    </tableStyle>
    <tableStyle name="PivotTable Style 1" table="0" count="2" xr9:uid="{00000000-0011-0000-FFFF-FFFF01000000}">
      <tableStyleElement type="headerRow" dxfId="3"/>
      <tableStyleElement type="totalRow" dxfId="2"/>
    </tableStyle>
    <tableStyle name="DayBook" pivot="0" count="2" xr9:uid="{00000000-0011-0000-FFFF-FFFF02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kony-appfactory.atlassian.net/wiki/spaces/CWB/pages/1657308170/Customization+Requests" TargetMode="External"/><Relationship Id="rId13" Type="http://schemas.openxmlformats.org/officeDocument/2006/relationships/printerSettings" Target="../printerSettings/printerSettings1.bin"/><Relationship Id="rId3" Type="http://schemas.openxmlformats.org/officeDocument/2006/relationships/hyperlink" Target="https://kony-appfactory.atlassian.net/wiki/spaces/CWB/pages/1657308170/Customization+Requests" TargetMode="External"/><Relationship Id="rId7" Type="http://schemas.openxmlformats.org/officeDocument/2006/relationships/hyperlink" Target="https://kony-appfactory.atlassian.net/wiki/spaces/CWB/pages/1657308170/Customization+Requests" TargetMode="External"/><Relationship Id="rId12" Type="http://schemas.openxmlformats.org/officeDocument/2006/relationships/hyperlink" Target="https://kony-appfactory.atlassian.net/browse/CP2R1-511" TargetMode="External"/><Relationship Id="rId2" Type="http://schemas.openxmlformats.org/officeDocument/2006/relationships/hyperlink" Target="https://kony-appfactory.atlassian.net/wiki/spaces/CWB/pages/1657308170/Customization+Requests" TargetMode="External"/><Relationship Id="rId1" Type="http://schemas.openxmlformats.org/officeDocument/2006/relationships/hyperlink" Target="https://kony-appfactory.atlassian.net/wiki/spaces/CWB/pages/1657308170/Customization+Requests" TargetMode="External"/><Relationship Id="rId6" Type="http://schemas.openxmlformats.org/officeDocument/2006/relationships/hyperlink" Target="https://kony-appfactory.atlassian.net/wiki/spaces/CWB/pages/1657308170/Customization+Requests" TargetMode="External"/><Relationship Id="rId11" Type="http://schemas.openxmlformats.org/officeDocument/2006/relationships/hyperlink" Target="https://kony-appfactory.atlassian.net/browse/CP2R1-376" TargetMode="External"/><Relationship Id="rId5" Type="http://schemas.openxmlformats.org/officeDocument/2006/relationships/hyperlink" Target="https://kony-appfactory.atlassian.net/wiki/spaces/CWB/pages/1657308170/Customization+Requests" TargetMode="External"/><Relationship Id="rId10" Type="http://schemas.openxmlformats.org/officeDocument/2006/relationships/hyperlink" Target="https://temenosglobal.invisionapp.com/share/G5XMDRQZ8Y6" TargetMode="External"/><Relationship Id="rId4" Type="http://schemas.openxmlformats.org/officeDocument/2006/relationships/hyperlink" Target="https://kony-appfactory.atlassian.net/wiki/spaces/CWB/pages/1657308170/Customization+Requests" TargetMode="External"/><Relationship Id="rId9" Type="http://schemas.openxmlformats.org/officeDocument/2006/relationships/hyperlink" Target="https://kony-appfactory.atlassian.net/wiki/spaces/CWB/pages/1657308170/Customization+Reques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
  <sheetViews>
    <sheetView tabSelected="1" topLeftCell="H1" zoomScale="86" zoomScaleNormal="86" workbookViewId="0">
      <pane ySplit="1" topLeftCell="B76" activePane="bottomLeft" state="frozen"/>
      <selection pane="bottomLeft" activeCell="G1" sqref="G1:G1048576"/>
    </sheetView>
  </sheetViews>
  <sheetFormatPr defaultColWidth="9.140625" defaultRowHeight="15" customHeight="1"/>
  <cols>
    <col min="1" max="1" width="7" style="1" bestFit="1" customWidth="1"/>
    <col min="2" max="2" width="11.28515625" style="1" customWidth="1"/>
    <col min="3" max="3" width="37.140625" style="3" bestFit="1" customWidth="1"/>
    <col min="4" max="4" width="21.42578125" style="1" customWidth="1"/>
    <col min="5" max="5" width="19.85546875" style="1" customWidth="1"/>
    <col min="6" max="6" width="34.85546875" style="1" customWidth="1"/>
    <col min="7" max="7" width="19.28515625" style="1" bestFit="1" customWidth="1"/>
    <col min="8" max="8" width="69.28515625" style="1" customWidth="1"/>
    <col min="9" max="9" width="79" style="1" customWidth="1"/>
    <col min="10" max="10" width="16.42578125" style="1" customWidth="1"/>
    <col min="11" max="11" width="46.5703125" style="1" bestFit="1" customWidth="1"/>
    <col min="12" max="12" width="14.42578125" style="2" customWidth="1"/>
    <col min="13" max="13" width="33" style="1" customWidth="1"/>
    <col min="14" max="14" width="15" style="1" customWidth="1"/>
    <col min="15" max="15" width="17.7109375" style="1" customWidth="1"/>
    <col min="16" max="16384" width="9.140625" style="1"/>
  </cols>
  <sheetData>
    <row r="1" spans="1:15" ht="30.75">
      <c r="A1" s="4" t="s">
        <v>0</v>
      </c>
      <c r="B1" s="4" t="s">
        <v>1</v>
      </c>
      <c r="C1" s="4" t="s">
        <v>2</v>
      </c>
      <c r="D1" s="4" t="s">
        <v>3</v>
      </c>
      <c r="E1" s="4" t="s">
        <v>4</v>
      </c>
      <c r="F1" s="4" t="s">
        <v>5</v>
      </c>
      <c r="G1" s="4" t="s">
        <v>6</v>
      </c>
      <c r="H1" s="4" t="s">
        <v>7</v>
      </c>
      <c r="I1" s="4" t="s">
        <v>8</v>
      </c>
      <c r="J1" s="22" t="s">
        <v>9</v>
      </c>
      <c r="K1" s="4" t="s">
        <v>10</v>
      </c>
      <c r="L1" s="5" t="s">
        <v>11</v>
      </c>
      <c r="M1" s="4" t="s">
        <v>12</v>
      </c>
      <c r="N1" s="4" t="s">
        <v>13</v>
      </c>
      <c r="O1" s="1" t="s">
        <v>14</v>
      </c>
    </row>
    <row r="2" spans="1:15" ht="14.25">
      <c r="A2" s="6">
        <v>1</v>
      </c>
      <c r="B2" s="6" t="s">
        <v>15</v>
      </c>
      <c r="C2" s="6" t="s">
        <v>16</v>
      </c>
      <c r="D2" s="6" t="s">
        <v>17</v>
      </c>
      <c r="E2" s="6" t="s">
        <v>18</v>
      </c>
      <c r="F2" s="6" t="s">
        <v>19</v>
      </c>
      <c r="G2" s="6" t="s">
        <v>20</v>
      </c>
      <c r="H2" s="6" t="s">
        <v>21</v>
      </c>
      <c r="I2" s="6"/>
      <c r="J2" s="3" t="s">
        <v>22</v>
      </c>
      <c r="K2" s="6" t="s">
        <v>23</v>
      </c>
      <c r="L2" s="7" t="s">
        <v>24</v>
      </c>
      <c r="M2" s="6" t="s">
        <v>25</v>
      </c>
      <c r="N2" s="6"/>
    </row>
    <row r="3" spans="1:15" ht="42.75">
      <c r="A3" s="6">
        <f>A2+1</f>
        <v>2</v>
      </c>
      <c r="B3" s="6" t="s">
        <v>15</v>
      </c>
      <c r="C3" s="6" t="s">
        <v>16</v>
      </c>
      <c r="D3" s="6" t="s">
        <v>17</v>
      </c>
      <c r="E3" s="6" t="s">
        <v>18</v>
      </c>
      <c r="F3" s="6" t="s">
        <v>19</v>
      </c>
      <c r="G3" s="6" t="s">
        <v>20</v>
      </c>
      <c r="H3" s="6" t="s">
        <v>26</v>
      </c>
      <c r="I3" s="6"/>
      <c r="J3" s="3" t="s">
        <v>22</v>
      </c>
      <c r="K3" s="6" t="s">
        <v>23</v>
      </c>
      <c r="L3" s="7" t="s">
        <v>24</v>
      </c>
      <c r="M3" s="6"/>
      <c r="N3" s="6"/>
    </row>
    <row r="4" spans="1:15" ht="15.75">
      <c r="A4" s="6">
        <f t="shared" ref="A4:A67" si="0">A3+1</f>
        <v>3</v>
      </c>
      <c r="B4" s="6" t="s">
        <v>27</v>
      </c>
      <c r="C4" s="6" t="s">
        <v>16</v>
      </c>
      <c r="D4" s="6" t="s">
        <v>17</v>
      </c>
      <c r="E4" s="6"/>
      <c r="F4" s="6" t="s">
        <v>28</v>
      </c>
      <c r="G4" s="6" t="s">
        <v>29</v>
      </c>
      <c r="H4" s="23" t="s">
        <v>30</v>
      </c>
      <c r="I4" s="6"/>
      <c r="J4" s="3" t="s">
        <v>22</v>
      </c>
      <c r="K4" s="6" t="s">
        <v>31</v>
      </c>
      <c r="L4" s="7" t="s">
        <v>32</v>
      </c>
      <c r="M4" s="6"/>
      <c r="N4" s="6"/>
    </row>
    <row r="5" spans="1:15" ht="31.5" customHeight="1">
      <c r="A5" s="6">
        <f t="shared" si="0"/>
        <v>4</v>
      </c>
      <c r="B5" s="6" t="s">
        <v>33</v>
      </c>
      <c r="C5" s="6" t="s">
        <v>34</v>
      </c>
      <c r="D5" s="6" t="s">
        <v>35</v>
      </c>
      <c r="E5" s="6" t="s">
        <v>36</v>
      </c>
      <c r="F5" s="6" t="s">
        <v>37</v>
      </c>
      <c r="G5" s="6" t="s">
        <v>38</v>
      </c>
      <c r="H5" s="6" t="s">
        <v>39</v>
      </c>
      <c r="I5" s="6"/>
      <c r="J5" s="3" t="s">
        <v>40</v>
      </c>
      <c r="K5" s="6" t="s">
        <v>23</v>
      </c>
      <c r="L5" s="7" t="s">
        <v>41</v>
      </c>
      <c r="M5" s="6" t="s">
        <v>25</v>
      </c>
      <c r="N5" s="6"/>
    </row>
    <row r="6" spans="1:15" ht="71.25">
      <c r="A6" s="6">
        <f t="shared" si="0"/>
        <v>5</v>
      </c>
      <c r="B6" s="6" t="s">
        <v>42</v>
      </c>
      <c r="C6" s="6" t="s">
        <v>16</v>
      </c>
      <c r="D6" s="6" t="s">
        <v>17</v>
      </c>
      <c r="E6" s="6" t="s">
        <v>43</v>
      </c>
      <c r="F6" s="6" t="s">
        <v>44</v>
      </c>
      <c r="G6" s="6" t="s">
        <v>20</v>
      </c>
      <c r="H6" s="6" t="s">
        <v>45</v>
      </c>
      <c r="I6" s="6"/>
      <c r="J6" s="3" t="s">
        <v>22</v>
      </c>
      <c r="K6" s="6" t="s">
        <v>46</v>
      </c>
      <c r="L6" s="7" t="s">
        <v>47</v>
      </c>
      <c r="M6" s="6" t="s">
        <v>48</v>
      </c>
      <c r="N6" s="6"/>
    </row>
    <row r="7" spans="1:15" ht="57">
      <c r="A7" s="6">
        <f t="shared" si="0"/>
        <v>6</v>
      </c>
      <c r="B7" s="6" t="s">
        <v>49</v>
      </c>
      <c r="C7" s="6" t="s">
        <v>16</v>
      </c>
      <c r="D7" s="6" t="s">
        <v>17</v>
      </c>
      <c r="E7" s="6" t="s">
        <v>50</v>
      </c>
      <c r="F7" s="6" t="s">
        <v>51</v>
      </c>
      <c r="G7" s="6" t="s">
        <v>38</v>
      </c>
      <c r="H7" s="6" t="s">
        <v>52</v>
      </c>
      <c r="I7" s="6"/>
      <c r="J7" s="3" t="s">
        <v>22</v>
      </c>
      <c r="K7" s="6" t="s">
        <v>53</v>
      </c>
      <c r="L7" s="8" t="s">
        <v>54</v>
      </c>
      <c r="M7" s="6" t="s">
        <v>48</v>
      </c>
      <c r="N7" s="6"/>
    </row>
    <row r="8" spans="1:15" ht="60.75">
      <c r="A8" s="6">
        <f t="shared" si="0"/>
        <v>7</v>
      </c>
      <c r="B8" s="6" t="s">
        <v>55</v>
      </c>
      <c r="C8" s="6" t="s">
        <v>16</v>
      </c>
      <c r="D8" s="6" t="s">
        <v>17</v>
      </c>
      <c r="E8" s="6" t="s">
        <v>56</v>
      </c>
      <c r="F8" s="6" t="s">
        <v>57</v>
      </c>
      <c r="G8" s="6" t="s">
        <v>58</v>
      </c>
      <c r="H8" s="6" t="s">
        <v>59</v>
      </c>
      <c r="I8" s="6" t="s">
        <v>60</v>
      </c>
      <c r="J8" s="3" t="s">
        <v>40</v>
      </c>
      <c r="K8" s="6" t="s">
        <v>46</v>
      </c>
      <c r="L8" s="7" t="s">
        <v>61</v>
      </c>
      <c r="M8" s="6" t="s">
        <v>62</v>
      </c>
      <c r="N8" s="6"/>
    </row>
    <row r="9" spans="1:15" ht="142.5">
      <c r="A9" s="6">
        <f t="shared" si="0"/>
        <v>8</v>
      </c>
      <c r="B9" s="6" t="s">
        <v>63</v>
      </c>
      <c r="C9" s="6" t="s">
        <v>34</v>
      </c>
      <c r="D9" s="6" t="s">
        <v>35</v>
      </c>
      <c r="E9" s="6" t="s">
        <v>36</v>
      </c>
      <c r="F9" s="6" t="s">
        <v>64</v>
      </c>
      <c r="G9" s="6" t="s">
        <v>65</v>
      </c>
      <c r="H9" s="6" t="s">
        <v>66</v>
      </c>
      <c r="I9" s="6" t="s">
        <v>67</v>
      </c>
      <c r="J9" s="3" t="s">
        <v>40</v>
      </c>
      <c r="K9" s="6" t="s">
        <v>23</v>
      </c>
      <c r="L9" s="7" t="s">
        <v>68</v>
      </c>
      <c r="M9" s="6" t="s">
        <v>25</v>
      </c>
      <c r="N9" s="6"/>
    </row>
    <row r="10" spans="1:15" ht="42.75">
      <c r="A10" s="6">
        <f t="shared" si="0"/>
        <v>9</v>
      </c>
      <c r="B10" s="6" t="s">
        <v>69</v>
      </c>
      <c r="C10" s="6" t="s">
        <v>16</v>
      </c>
      <c r="D10" s="6" t="s">
        <v>35</v>
      </c>
      <c r="E10" s="6" t="s">
        <v>36</v>
      </c>
      <c r="F10" s="6" t="s">
        <v>70</v>
      </c>
      <c r="G10" s="6" t="s">
        <v>71</v>
      </c>
      <c r="H10" s="6" t="s">
        <v>72</v>
      </c>
      <c r="I10" s="6" t="s">
        <v>73</v>
      </c>
      <c r="J10" s="3" t="s">
        <v>40</v>
      </c>
      <c r="K10" s="6" t="s">
        <v>74</v>
      </c>
      <c r="L10" s="7" t="s">
        <v>75</v>
      </c>
      <c r="M10" s="6" t="s">
        <v>76</v>
      </c>
      <c r="N10" s="6"/>
    </row>
    <row r="11" spans="1:15" ht="57">
      <c r="A11" s="6">
        <f t="shared" si="0"/>
        <v>10</v>
      </c>
      <c r="B11" s="6" t="s">
        <v>77</v>
      </c>
      <c r="C11" s="6" t="s">
        <v>16</v>
      </c>
      <c r="D11" s="6" t="s">
        <v>35</v>
      </c>
      <c r="E11" s="6" t="s">
        <v>36</v>
      </c>
      <c r="F11" s="6" t="s">
        <v>70</v>
      </c>
      <c r="G11" s="6" t="s">
        <v>71</v>
      </c>
      <c r="H11" s="6" t="s">
        <v>78</v>
      </c>
      <c r="I11" s="6" t="s">
        <v>79</v>
      </c>
      <c r="J11" s="3" t="s">
        <v>40</v>
      </c>
      <c r="K11" s="6" t="s">
        <v>74</v>
      </c>
      <c r="L11" s="7" t="s">
        <v>75</v>
      </c>
      <c r="M11" s="6" t="s">
        <v>76</v>
      </c>
      <c r="N11" s="6"/>
    </row>
    <row r="12" spans="1:15" ht="28.5">
      <c r="A12" s="6">
        <f t="shared" si="0"/>
        <v>11</v>
      </c>
      <c r="B12" s="6" t="s">
        <v>80</v>
      </c>
      <c r="C12" s="6" t="s">
        <v>16</v>
      </c>
      <c r="D12" s="6" t="s">
        <v>81</v>
      </c>
      <c r="E12" s="6" t="s">
        <v>82</v>
      </c>
      <c r="F12" s="6" t="s">
        <v>83</v>
      </c>
      <c r="G12" s="6" t="s">
        <v>38</v>
      </c>
      <c r="H12" s="6" t="s">
        <v>84</v>
      </c>
      <c r="I12" s="6" t="s">
        <v>85</v>
      </c>
      <c r="J12" s="3" t="s">
        <v>22</v>
      </c>
      <c r="K12" s="6" t="s">
        <v>86</v>
      </c>
      <c r="L12" s="7"/>
      <c r="M12" s="6" t="s">
        <v>48</v>
      </c>
      <c r="N12" s="6" t="s">
        <v>87</v>
      </c>
    </row>
    <row r="13" spans="1:15" ht="28.5">
      <c r="A13" s="6">
        <f t="shared" si="0"/>
        <v>12</v>
      </c>
      <c r="B13" s="6" t="s">
        <v>88</v>
      </c>
      <c r="C13" s="6" t="s">
        <v>34</v>
      </c>
      <c r="D13" s="6" t="s">
        <v>35</v>
      </c>
      <c r="E13" s="6" t="s">
        <v>36</v>
      </c>
      <c r="F13" s="6" t="s">
        <v>89</v>
      </c>
      <c r="G13" s="6" t="s">
        <v>38</v>
      </c>
      <c r="H13" s="6" t="s">
        <v>90</v>
      </c>
      <c r="I13" s="6" t="s">
        <v>91</v>
      </c>
      <c r="J13" s="3" t="s">
        <v>40</v>
      </c>
      <c r="K13" s="6" t="s">
        <v>92</v>
      </c>
      <c r="L13" s="7" t="s">
        <v>93</v>
      </c>
      <c r="M13" s="6" t="s">
        <v>94</v>
      </c>
      <c r="N13" s="6"/>
    </row>
    <row r="14" spans="1:15" ht="16.5" customHeight="1">
      <c r="A14" s="6">
        <f t="shared" si="0"/>
        <v>13</v>
      </c>
      <c r="B14" s="6" t="s">
        <v>95</v>
      </c>
      <c r="C14" s="6" t="s">
        <v>34</v>
      </c>
      <c r="D14" s="6" t="s">
        <v>35</v>
      </c>
      <c r="E14" s="6" t="s">
        <v>36</v>
      </c>
      <c r="F14" s="6" t="s">
        <v>89</v>
      </c>
      <c r="G14" s="6" t="s">
        <v>38</v>
      </c>
      <c r="H14" s="6" t="s">
        <v>96</v>
      </c>
      <c r="I14" s="6" t="s">
        <v>97</v>
      </c>
      <c r="J14" s="3" t="s">
        <v>40</v>
      </c>
      <c r="K14" s="6" t="s">
        <v>92</v>
      </c>
      <c r="L14" s="7" t="s">
        <v>93</v>
      </c>
      <c r="M14" s="6" t="s">
        <v>98</v>
      </c>
      <c r="N14" s="6"/>
    </row>
    <row r="15" spans="1:15" ht="28.5">
      <c r="A15" s="6">
        <f t="shared" si="0"/>
        <v>14</v>
      </c>
      <c r="B15" s="6" t="s">
        <v>99</v>
      </c>
      <c r="C15" s="6" t="s">
        <v>34</v>
      </c>
      <c r="D15" s="6" t="s">
        <v>35</v>
      </c>
      <c r="E15" s="6" t="s">
        <v>36</v>
      </c>
      <c r="F15" s="6" t="s">
        <v>100</v>
      </c>
      <c r="G15" s="6" t="s">
        <v>29</v>
      </c>
      <c r="H15" s="6" t="s">
        <v>101</v>
      </c>
      <c r="I15" s="6" t="s">
        <v>102</v>
      </c>
      <c r="J15" s="3" t="s">
        <v>40</v>
      </c>
      <c r="K15" s="6" t="s">
        <v>92</v>
      </c>
      <c r="L15" s="7" t="s">
        <v>93</v>
      </c>
      <c r="M15" s="6" t="s">
        <v>98</v>
      </c>
      <c r="N15" s="6"/>
    </row>
    <row r="16" spans="1:15" ht="20.65" customHeight="1">
      <c r="A16" s="6">
        <f t="shared" si="0"/>
        <v>15</v>
      </c>
      <c r="B16" s="6" t="s">
        <v>103</v>
      </c>
      <c r="C16" s="6" t="s">
        <v>34</v>
      </c>
      <c r="D16" s="6" t="s">
        <v>35</v>
      </c>
      <c r="E16" s="6" t="s">
        <v>36</v>
      </c>
      <c r="F16" s="6" t="s">
        <v>104</v>
      </c>
      <c r="G16" s="6" t="s">
        <v>105</v>
      </c>
      <c r="H16" s="6" t="s">
        <v>106</v>
      </c>
      <c r="I16" s="6" t="s">
        <v>107</v>
      </c>
      <c r="J16" s="3" t="s">
        <v>40</v>
      </c>
      <c r="K16" s="6" t="s">
        <v>92</v>
      </c>
      <c r="L16" s="7" t="s">
        <v>93</v>
      </c>
      <c r="M16" s="6" t="s">
        <v>98</v>
      </c>
      <c r="N16" s="6"/>
    </row>
    <row r="17" spans="1:14" ht="57">
      <c r="A17" s="6">
        <f t="shared" si="0"/>
        <v>16</v>
      </c>
      <c r="B17" s="6" t="s">
        <v>108</v>
      </c>
      <c r="C17" s="6" t="s">
        <v>16</v>
      </c>
      <c r="D17" s="6" t="s">
        <v>81</v>
      </c>
      <c r="E17" s="6" t="s">
        <v>109</v>
      </c>
      <c r="F17" s="6" t="s">
        <v>110</v>
      </c>
      <c r="G17" s="6" t="s">
        <v>111</v>
      </c>
      <c r="H17" s="6" t="s">
        <v>112</v>
      </c>
      <c r="I17" s="6" t="s">
        <v>113</v>
      </c>
      <c r="J17" s="3" t="s">
        <v>40</v>
      </c>
      <c r="K17" s="6" t="s">
        <v>114</v>
      </c>
      <c r="L17" s="7" t="s">
        <v>115</v>
      </c>
      <c r="M17" s="9" t="s">
        <v>116</v>
      </c>
      <c r="N17" s="6"/>
    </row>
    <row r="18" spans="1:14" ht="57">
      <c r="A18" s="6">
        <f t="shared" si="0"/>
        <v>17</v>
      </c>
      <c r="B18" s="10" t="s">
        <v>108</v>
      </c>
      <c r="C18" s="6" t="s">
        <v>16</v>
      </c>
      <c r="D18" s="6" t="s">
        <v>81</v>
      </c>
      <c r="E18" s="6" t="s">
        <v>109</v>
      </c>
      <c r="F18" s="6" t="s">
        <v>117</v>
      </c>
      <c r="G18" s="6" t="s">
        <v>111</v>
      </c>
      <c r="H18" s="6" t="s">
        <v>118</v>
      </c>
      <c r="I18" s="6" t="s">
        <v>119</v>
      </c>
      <c r="J18" s="3" t="s">
        <v>40</v>
      </c>
      <c r="K18" s="6" t="s">
        <v>120</v>
      </c>
      <c r="L18" s="7" t="s">
        <v>115</v>
      </c>
      <c r="M18" s="9" t="s">
        <v>116</v>
      </c>
      <c r="N18" s="6"/>
    </row>
    <row r="19" spans="1:14" ht="57">
      <c r="A19" s="6">
        <f t="shared" si="0"/>
        <v>18</v>
      </c>
      <c r="B19" s="6" t="s">
        <v>108</v>
      </c>
      <c r="C19" s="6" t="s">
        <v>16</v>
      </c>
      <c r="D19" s="6" t="s">
        <v>81</v>
      </c>
      <c r="E19" s="6" t="s">
        <v>109</v>
      </c>
      <c r="F19" s="6" t="s">
        <v>121</v>
      </c>
      <c r="G19" s="6" t="s">
        <v>111</v>
      </c>
      <c r="H19" s="6" t="s">
        <v>122</v>
      </c>
      <c r="I19" s="6" t="s">
        <v>123</v>
      </c>
      <c r="J19" s="3" t="s">
        <v>40</v>
      </c>
      <c r="K19" s="6" t="s">
        <v>120</v>
      </c>
      <c r="L19" s="7" t="s">
        <v>115</v>
      </c>
      <c r="M19" s="9" t="s">
        <v>116</v>
      </c>
      <c r="N19" s="6"/>
    </row>
    <row r="20" spans="1:14" ht="57">
      <c r="A20" s="6">
        <f t="shared" si="0"/>
        <v>19</v>
      </c>
      <c r="B20" s="6" t="s">
        <v>27</v>
      </c>
      <c r="C20" s="6" t="s">
        <v>16</v>
      </c>
      <c r="D20" s="6" t="s">
        <v>81</v>
      </c>
      <c r="E20" s="6" t="s">
        <v>124</v>
      </c>
      <c r="F20" s="6" t="s">
        <v>125</v>
      </c>
      <c r="G20" s="6" t="s">
        <v>126</v>
      </c>
      <c r="H20" s="6" t="s">
        <v>127</v>
      </c>
      <c r="I20" s="6" t="s">
        <v>128</v>
      </c>
      <c r="J20" s="3" t="s">
        <v>40</v>
      </c>
      <c r="K20" s="6" t="s">
        <v>129</v>
      </c>
      <c r="L20" s="7" t="s">
        <v>115</v>
      </c>
      <c r="M20" s="9" t="s">
        <v>116</v>
      </c>
      <c r="N20" s="6"/>
    </row>
    <row r="21" spans="1:14" ht="85.5">
      <c r="A21" s="6">
        <f t="shared" si="0"/>
        <v>20</v>
      </c>
      <c r="B21" s="6" t="s">
        <v>130</v>
      </c>
      <c r="C21" s="6" t="s">
        <v>16</v>
      </c>
      <c r="D21" s="6" t="s">
        <v>35</v>
      </c>
      <c r="E21" s="6" t="s">
        <v>36</v>
      </c>
      <c r="F21" s="6" t="s">
        <v>131</v>
      </c>
      <c r="G21" s="6" t="s">
        <v>132</v>
      </c>
      <c r="H21" s="6" t="s">
        <v>133</v>
      </c>
      <c r="I21" s="6" t="s">
        <v>134</v>
      </c>
      <c r="J21" s="3" t="s">
        <v>40</v>
      </c>
      <c r="K21" s="6" t="s">
        <v>92</v>
      </c>
      <c r="L21" s="7" t="s">
        <v>135</v>
      </c>
      <c r="M21" s="6"/>
      <c r="N21" s="6"/>
    </row>
    <row r="22" spans="1:14" ht="99.75">
      <c r="A22" s="6">
        <f t="shared" si="0"/>
        <v>21</v>
      </c>
      <c r="B22" s="6" t="s">
        <v>136</v>
      </c>
      <c r="C22" s="6" t="s">
        <v>16</v>
      </c>
      <c r="D22" s="6" t="s">
        <v>81</v>
      </c>
      <c r="E22" s="6" t="s">
        <v>137</v>
      </c>
      <c r="F22" s="6" t="s">
        <v>138</v>
      </c>
      <c r="G22" s="6" t="s">
        <v>138</v>
      </c>
      <c r="H22" s="6" t="s">
        <v>139</v>
      </c>
      <c r="I22" s="6" t="s">
        <v>140</v>
      </c>
      <c r="J22" s="3" t="s">
        <v>40</v>
      </c>
      <c r="K22" s="6" t="s">
        <v>23</v>
      </c>
      <c r="L22" s="7">
        <v>44053</v>
      </c>
      <c r="M22" s="9" t="s">
        <v>116</v>
      </c>
      <c r="N22" s="6"/>
    </row>
    <row r="23" spans="1:14" ht="99.75">
      <c r="A23" s="6">
        <f t="shared" si="0"/>
        <v>22</v>
      </c>
      <c r="B23" s="6" t="s">
        <v>141</v>
      </c>
      <c r="C23" s="6" t="s">
        <v>16</v>
      </c>
      <c r="D23" s="6" t="s">
        <v>81</v>
      </c>
      <c r="E23" s="6" t="s">
        <v>142</v>
      </c>
      <c r="F23" s="6" t="s">
        <v>143</v>
      </c>
      <c r="G23" s="6" t="s">
        <v>144</v>
      </c>
      <c r="H23" s="6" t="s">
        <v>145</v>
      </c>
      <c r="I23" s="6" t="s">
        <v>146</v>
      </c>
      <c r="J23" s="3" t="s">
        <v>40</v>
      </c>
      <c r="K23" s="6" t="s">
        <v>23</v>
      </c>
      <c r="L23" s="7" t="s">
        <v>147</v>
      </c>
      <c r="M23" s="9" t="s">
        <v>116</v>
      </c>
      <c r="N23" s="6"/>
    </row>
    <row r="24" spans="1:14" ht="30" customHeight="1">
      <c r="A24" s="6">
        <f t="shared" si="0"/>
        <v>23</v>
      </c>
      <c r="B24" s="6" t="s">
        <v>148</v>
      </c>
      <c r="C24" s="6" t="s">
        <v>16</v>
      </c>
      <c r="D24" s="6" t="s">
        <v>35</v>
      </c>
      <c r="E24" s="6" t="s">
        <v>36</v>
      </c>
      <c r="F24" s="6" t="s">
        <v>149</v>
      </c>
      <c r="G24" s="6" t="s">
        <v>150</v>
      </c>
      <c r="H24" s="6" t="s">
        <v>151</v>
      </c>
      <c r="I24" s="6" t="s">
        <v>152</v>
      </c>
      <c r="J24" s="3" t="s">
        <v>40</v>
      </c>
      <c r="K24" s="6"/>
      <c r="L24" s="7" t="s">
        <v>153</v>
      </c>
      <c r="M24" s="9" t="s">
        <v>116</v>
      </c>
      <c r="N24" s="6"/>
    </row>
    <row r="25" spans="1:14" ht="30" customHeight="1">
      <c r="A25" s="6">
        <f t="shared" si="0"/>
        <v>24</v>
      </c>
      <c r="B25" s="6" t="s">
        <v>15</v>
      </c>
      <c r="C25" s="6" t="s">
        <v>16</v>
      </c>
      <c r="D25" s="6" t="s">
        <v>81</v>
      </c>
      <c r="E25" s="6" t="s">
        <v>18</v>
      </c>
      <c r="F25" s="6" t="s">
        <v>154</v>
      </c>
      <c r="G25" s="6" t="s">
        <v>155</v>
      </c>
      <c r="H25" s="6" t="s">
        <v>156</v>
      </c>
      <c r="I25" s="6" t="s">
        <v>157</v>
      </c>
      <c r="J25" s="3" t="s">
        <v>22</v>
      </c>
      <c r="K25" s="6"/>
      <c r="L25" s="7"/>
      <c r="M25" s="9" t="s">
        <v>116</v>
      </c>
      <c r="N25" s="6"/>
    </row>
    <row r="26" spans="1:14" ht="57">
      <c r="A26" s="6">
        <f t="shared" si="0"/>
        <v>25</v>
      </c>
      <c r="B26" s="6" t="s">
        <v>158</v>
      </c>
      <c r="C26" s="6" t="s">
        <v>16</v>
      </c>
      <c r="D26" s="6" t="s">
        <v>81</v>
      </c>
      <c r="E26" s="6" t="s">
        <v>159</v>
      </c>
      <c r="F26" s="6" t="s">
        <v>160</v>
      </c>
      <c r="G26" s="6" t="s">
        <v>161</v>
      </c>
      <c r="H26" s="6" t="s">
        <v>162</v>
      </c>
      <c r="I26" s="6" t="s">
        <v>163</v>
      </c>
      <c r="J26" s="3" t="s">
        <v>22</v>
      </c>
      <c r="K26" s="6" t="s">
        <v>31</v>
      </c>
      <c r="L26" s="7"/>
      <c r="M26" s="9" t="s">
        <v>116</v>
      </c>
      <c r="N26" s="6"/>
    </row>
    <row r="27" spans="1:14" ht="42.75">
      <c r="A27" s="6">
        <f t="shared" si="0"/>
        <v>26</v>
      </c>
      <c r="B27" s="6" t="s">
        <v>164</v>
      </c>
      <c r="C27" s="6" t="s">
        <v>16</v>
      </c>
      <c r="D27" s="6" t="s">
        <v>81</v>
      </c>
      <c r="E27" s="6" t="s">
        <v>165</v>
      </c>
      <c r="F27" s="6" t="s">
        <v>166</v>
      </c>
      <c r="G27" s="6" t="s">
        <v>167</v>
      </c>
      <c r="H27" s="6" t="s">
        <v>168</v>
      </c>
      <c r="I27" s="6" t="s">
        <v>169</v>
      </c>
      <c r="J27" s="3" t="s">
        <v>22</v>
      </c>
      <c r="K27" s="6" t="s">
        <v>31</v>
      </c>
      <c r="L27" s="7" t="s">
        <v>170</v>
      </c>
      <c r="M27" s="6"/>
      <c r="N27" s="6"/>
    </row>
    <row r="28" spans="1:14" ht="28.5">
      <c r="A28" s="6">
        <f t="shared" si="0"/>
        <v>27</v>
      </c>
      <c r="B28" s="6" t="s">
        <v>171</v>
      </c>
      <c r="C28" s="6" t="s">
        <v>16</v>
      </c>
      <c r="D28" s="6" t="s">
        <v>81</v>
      </c>
      <c r="E28" s="6" t="s">
        <v>172</v>
      </c>
      <c r="F28" s="6" t="s">
        <v>173</v>
      </c>
      <c r="G28" s="6" t="s">
        <v>174</v>
      </c>
      <c r="H28" s="6" t="s">
        <v>175</v>
      </c>
      <c r="I28" s="6" t="s">
        <v>176</v>
      </c>
      <c r="J28" s="3" t="s">
        <v>22</v>
      </c>
      <c r="K28" s="6" t="s">
        <v>86</v>
      </c>
      <c r="L28" s="7" t="s">
        <v>177</v>
      </c>
      <c r="M28" s="6"/>
      <c r="N28" s="6"/>
    </row>
    <row r="29" spans="1:14" ht="42" customHeight="1">
      <c r="A29" s="6">
        <f t="shared" si="0"/>
        <v>28</v>
      </c>
      <c r="B29" s="6" t="s">
        <v>178</v>
      </c>
      <c r="C29" s="6" t="s">
        <v>16</v>
      </c>
      <c r="D29" s="6" t="s">
        <v>81</v>
      </c>
      <c r="E29" s="6" t="s">
        <v>179</v>
      </c>
      <c r="F29" s="6" t="s">
        <v>180</v>
      </c>
      <c r="G29" s="6" t="s">
        <v>58</v>
      </c>
      <c r="H29" s="6" t="s">
        <v>181</v>
      </c>
      <c r="I29" s="6" t="s">
        <v>182</v>
      </c>
      <c r="J29" s="3" t="s">
        <v>40</v>
      </c>
      <c r="K29" s="6" t="s">
        <v>23</v>
      </c>
      <c r="L29" s="7" t="s">
        <v>183</v>
      </c>
      <c r="M29" s="6" t="s">
        <v>25</v>
      </c>
      <c r="N29" s="6"/>
    </row>
    <row r="30" spans="1:14" ht="28.5">
      <c r="A30" s="6">
        <f t="shared" si="0"/>
        <v>29</v>
      </c>
      <c r="B30" s="6" t="s">
        <v>184</v>
      </c>
      <c r="C30" s="6" t="s">
        <v>16</v>
      </c>
      <c r="D30" s="6" t="s">
        <v>81</v>
      </c>
      <c r="E30" s="6" t="s">
        <v>185</v>
      </c>
      <c r="F30" s="6" t="s">
        <v>186</v>
      </c>
      <c r="G30" s="6" t="s">
        <v>187</v>
      </c>
      <c r="H30" s="6" t="s">
        <v>188</v>
      </c>
      <c r="I30" s="6" t="s">
        <v>189</v>
      </c>
      <c r="J30" s="3" t="s">
        <v>40</v>
      </c>
      <c r="K30" s="6" t="s">
        <v>23</v>
      </c>
      <c r="L30" s="7"/>
      <c r="M30" s="6" t="s">
        <v>190</v>
      </c>
      <c r="N30" s="6"/>
    </row>
    <row r="31" spans="1:14" ht="42.75">
      <c r="A31" s="6">
        <f t="shared" si="0"/>
        <v>30</v>
      </c>
      <c r="B31" s="6" t="s">
        <v>191</v>
      </c>
      <c r="C31" s="6" t="s">
        <v>16</v>
      </c>
      <c r="D31" s="6" t="s">
        <v>81</v>
      </c>
      <c r="E31" s="6" t="s">
        <v>192</v>
      </c>
      <c r="F31" s="6" t="s">
        <v>193</v>
      </c>
      <c r="G31" s="1" t="s">
        <v>194</v>
      </c>
      <c r="H31" s="6" t="s">
        <v>195</v>
      </c>
      <c r="I31" s="6" t="s">
        <v>196</v>
      </c>
      <c r="J31" s="3" t="s">
        <v>40</v>
      </c>
      <c r="K31" s="6" t="s">
        <v>46</v>
      </c>
      <c r="L31" s="7"/>
      <c r="M31" s="6"/>
      <c r="N31" s="6"/>
    </row>
    <row r="32" spans="1:14" ht="42.75">
      <c r="A32" s="6">
        <f t="shared" si="0"/>
        <v>31</v>
      </c>
      <c r="B32" s="6" t="s">
        <v>197</v>
      </c>
      <c r="C32" s="6" t="s">
        <v>16</v>
      </c>
      <c r="D32" s="3" t="s">
        <v>17</v>
      </c>
      <c r="E32" s="3" t="s">
        <v>192</v>
      </c>
      <c r="F32" s="6" t="s">
        <v>198</v>
      </c>
      <c r="G32" s="1" t="s">
        <v>194</v>
      </c>
      <c r="H32" s="24" t="s">
        <v>199</v>
      </c>
      <c r="I32" s="6" t="s">
        <v>200</v>
      </c>
      <c r="J32" s="3" t="s">
        <v>40</v>
      </c>
      <c r="K32" s="6" t="s">
        <v>46</v>
      </c>
      <c r="L32" s="7" t="s">
        <v>201</v>
      </c>
      <c r="M32" s="6"/>
      <c r="N32" s="6"/>
    </row>
    <row r="33" spans="1:14" ht="106.5">
      <c r="A33" s="6">
        <f t="shared" si="0"/>
        <v>32</v>
      </c>
      <c r="B33" s="6" t="s">
        <v>197</v>
      </c>
      <c r="C33" s="6" t="s">
        <v>16</v>
      </c>
      <c r="D33" s="3" t="s">
        <v>17</v>
      </c>
      <c r="E33" s="3" t="s">
        <v>192</v>
      </c>
      <c r="F33" s="6" t="s">
        <v>202</v>
      </c>
      <c r="G33" s="1" t="s">
        <v>194</v>
      </c>
      <c r="H33" s="24" t="s">
        <v>203</v>
      </c>
      <c r="I33" s="6" t="s">
        <v>204</v>
      </c>
      <c r="J33" s="3" t="s">
        <v>40</v>
      </c>
      <c r="K33" s="6"/>
      <c r="L33" s="7"/>
      <c r="M33" s="6"/>
      <c r="N33" s="6"/>
    </row>
    <row r="34" spans="1:14" ht="14.25">
      <c r="A34" s="6">
        <f t="shared" si="0"/>
        <v>33</v>
      </c>
      <c r="B34" s="3" t="s">
        <v>197</v>
      </c>
      <c r="C34" s="6" t="s">
        <v>16</v>
      </c>
      <c r="D34" s="3" t="s">
        <v>17</v>
      </c>
      <c r="E34" s="3" t="s">
        <v>205</v>
      </c>
      <c r="F34" s="3" t="s">
        <v>206</v>
      </c>
      <c r="G34" s="1" t="s">
        <v>194</v>
      </c>
      <c r="H34" s="6" t="s">
        <v>207</v>
      </c>
      <c r="I34" s="6" t="s">
        <v>208</v>
      </c>
      <c r="J34" s="3" t="s">
        <v>40</v>
      </c>
      <c r="K34" s="6" t="s">
        <v>46</v>
      </c>
      <c r="L34" s="7"/>
      <c r="M34" s="6"/>
      <c r="N34" s="6"/>
    </row>
    <row r="35" spans="1:14" ht="85.5">
      <c r="A35" s="6">
        <f t="shared" si="0"/>
        <v>34</v>
      </c>
      <c r="B35" s="6" t="s">
        <v>209</v>
      </c>
      <c r="C35" s="6" t="s">
        <v>16</v>
      </c>
      <c r="D35" s="6" t="s">
        <v>81</v>
      </c>
      <c r="E35" s="6" t="s">
        <v>210</v>
      </c>
      <c r="F35" s="6" t="s">
        <v>211</v>
      </c>
      <c r="G35" s="6" t="s">
        <v>212</v>
      </c>
      <c r="H35" s="6" t="s">
        <v>213</v>
      </c>
      <c r="I35" s="3" t="s">
        <v>214</v>
      </c>
      <c r="J35" s="3" t="s">
        <v>40</v>
      </c>
      <c r="K35" s="6" t="s">
        <v>215</v>
      </c>
      <c r="L35" s="7"/>
      <c r="M35" s="6"/>
      <c r="N35" s="6"/>
    </row>
    <row r="36" spans="1:14" ht="42.75">
      <c r="A36" s="6">
        <f t="shared" si="0"/>
        <v>35</v>
      </c>
      <c r="B36" s="6" t="s">
        <v>171</v>
      </c>
      <c r="C36" s="6" t="s">
        <v>16</v>
      </c>
      <c r="D36" s="6" t="s">
        <v>81</v>
      </c>
      <c r="E36" s="6" t="s">
        <v>216</v>
      </c>
      <c r="F36" s="6" t="s">
        <v>217</v>
      </c>
      <c r="G36" s="6" t="s">
        <v>174</v>
      </c>
      <c r="H36" s="6" t="s">
        <v>218</v>
      </c>
      <c r="I36" s="6" t="s">
        <v>219</v>
      </c>
      <c r="J36" s="3" t="s">
        <v>40</v>
      </c>
      <c r="K36" s="6"/>
      <c r="L36" s="7"/>
      <c r="M36" s="6"/>
      <c r="N36" s="6"/>
    </row>
    <row r="37" spans="1:14" ht="185.25">
      <c r="A37" s="6">
        <f t="shared" si="0"/>
        <v>36</v>
      </c>
      <c r="B37" s="1" t="s">
        <v>220</v>
      </c>
      <c r="C37" s="6" t="s">
        <v>16</v>
      </c>
      <c r="D37" s="1" t="s">
        <v>81</v>
      </c>
      <c r="E37" s="1" t="s">
        <v>221</v>
      </c>
      <c r="F37" s="1" t="s">
        <v>222</v>
      </c>
      <c r="G37" s="1" t="s">
        <v>222</v>
      </c>
      <c r="H37" s="3" t="s">
        <v>223</v>
      </c>
      <c r="I37" s="3" t="s">
        <v>224</v>
      </c>
      <c r="J37" s="3" t="s">
        <v>40</v>
      </c>
    </row>
    <row r="38" spans="1:14" ht="14.25">
      <c r="A38" s="6">
        <f t="shared" si="0"/>
        <v>37</v>
      </c>
      <c r="B38" s="3" t="s">
        <v>225</v>
      </c>
      <c r="C38" s="6" t="s">
        <v>16</v>
      </c>
      <c r="D38" s="1" t="s">
        <v>35</v>
      </c>
      <c r="E38" s="3" t="s">
        <v>36</v>
      </c>
      <c r="F38" s="3" t="s">
        <v>226</v>
      </c>
      <c r="G38" s="3" t="s">
        <v>227</v>
      </c>
      <c r="H38" s="3" t="s">
        <v>228</v>
      </c>
      <c r="I38" s="3" t="s">
        <v>229</v>
      </c>
      <c r="J38" s="3" t="s">
        <v>40</v>
      </c>
      <c r="K38" s="1" t="s">
        <v>23</v>
      </c>
      <c r="L38" s="11">
        <v>44217</v>
      </c>
      <c r="M38" s="3" t="s">
        <v>230</v>
      </c>
      <c r="N38" s="3" t="s">
        <v>231</v>
      </c>
    </row>
    <row r="39" spans="1:14" ht="42.75">
      <c r="A39" s="6">
        <f t="shared" si="0"/>
        <v>38</v>
      </c>
      <c r="B39" s="3" t="s">
        <v>232</v>
      </c>
      <c r="C39" s="6" t="s">
        <v>16</v>
      </c>
      <c r="D39" s="1" t="s">
        <v>17</v>
      </c>
      <c r="E39" s="3" t="s">
        <v>233</v>
      </c>
      <c r="F39" s="3" t="s">
        <v>234</v>
      </c>
      <c r="G39" s="3" t="s">
        <v>227</v>
      </c>
      <c r="H39" s="3" t="s">
        <v>235</v>
      </c>
      <c r="I39" s="3" t="s">
        <v>236</v>
      </c>
      <c r="J39" s="3" t="s">
        <v>40</v>
      </c>
      <c r="K39" s="1" t="s">
        <v>23</v>
      </c>
      <c r="L39" s="11">
        <v>44236</v>
      </c>
      <c r="M39" s="3" t="s">
        <v>230</v>
      </c>
    </row>
    <row r="40" spans="1:14" ht="71.25">
      <c r="A40" s="6">
        <f t="shared" si="0"/>
        <v>39</v>
      </c>
      <c r="B40" s="3" t="s">
        <v>209</v>
      </c>
      <c r="C40" s="6" t="s">
        <v>16</v>
      </c>
      <c r="D40" s="3" t="s">
        <v>35</v>
      </c>
      <c r="E40" s="3" t="s">
        <v>36</v>
      </c>
      <c r="F40" s="3" t="s">
        <v>237</v>
      </c>
      <c r="G40" s="3" t="s">
        <v>238</v>
      </c>
      <c r="H40" s="3" t="s">
        <v>239</v>
      </c>
      <c r="I40" s="3" t="s">
        <v>240</v>
      </c>
      <c r="J40" s="3" t="s">
        <v>40</v>
      </c>
      <c r="K40" s="3" t="s">
        <v>23</v>
      </c>
      <c r="L40" s="11">
        <v>44257</v>
      </c>
      <c r="M40" s="3" t="s">
        <v>241</v>
      </c>
    </row>
    <row r="41" spans="1:14" ht="28.5">
      <c r="A41" s="6">
        <f t="shared" si="0"/>
        <v>40</v>
      </c>
      <c r="B41" s="3" t="s">
        <v>242</v>
      </c>
      <c r="C41" s="6" t="s">
        <v>16</v>
      </c>
      <c r="D41" s="3" t="s">
        <v>81</v>
      </c>
      <c r="E41" s="3" t="s">
        <v>36</v>
      </c>
      <c r="F41" s="3" t="s">
        <v>243</v>
      </c>
      <c r="G41" s="3" t="s">
        <v>244</v>
      </c>
      <c r="H41" s="3" t="s">
        <v>245</v>
      </c>
      <c r="I41" s="3" t="s">
        <v>246</v>
      </c>
      <c r="J41" s="3" t="s">
        <v>40</v>
      </c>
      <c r="K41" s="3" t="s">
        <v>23</v>
      </c>
      <c r="L41" s="11"/>
      <c r="M41" s="3"/>
    </row>
    <row r="42" spans="1:14" ht="85.5">
      <c r="A42" s="6">
        <f t="shared" si="0"/>
        <v>41</v>
      </c>
      <c r="B42" s="3" t="s">
        <v>247</v>
      </c>
      <c r="C42" s="6" t="s">
        <v>16</v>
      </c>
      <c r="D42" s="3" t="s">
        <v>17</v>
      </c>
      <c r="E42" s="3" t="s">
        <v>248</v>
      </c>
      <c r="F42" s="3" t="s">
        <v>234</v>
      </c>
      <c r="G42" s="3" t="s">
        <v>249</v>
      </c>
      <c r="H42" s="3" t="s">
        <v>250</v>
      </c>
      <c r="I42" s="3" t="s">
        <v>251</v>
      </c>
      <c r="J42" s="3" t="s">
        <v>40</v>
      </c>
      <c r="K42" s="3" t="s">
        <v>23</v>
      </c>
      <c r="L42" s="11">
        <v>44253</v>
      </c>
      <c r="M42" s="3" t="s">
        <v>230</v>
      </c>
      <c r="N42" s="3"/>
    </row>
    <row r="43" spans="1:14" ht="42.75">
      <c r="A43" s="6">
        <f t="shared" si="0"/>
        <v>42</v>
      </c>
      <c r="B43" s="3" t="s">
        <v>252</v>
      </c>
      <c r="C43" s="6" t="s">
        <v>16</v>
      </c>
      <c r="D43" s="3" t="s">
        <v>17</v>
      </c>
      <c r="E43" s="3" t="s">
        <v>253</v>
      </c>
      <c r="F43" s="3" t="s">
        <v>254</v>
      </c>
      <c r="G43" s="3" t="s">
        <v>174</v>
      </c>
      <c r="H43" s="3" t="s">
        <v>255</v>
      </c>
      <c r="I43" s="3" t="s">
        <v>256</v>
      </c>
      <c r="J43" s="3" t="s">
        <v>40</v>
      </c>
      <c r="K43" s="3" t="s">
        <v>257</v>
      </c>
      <c r="L43" s="11">
        <v>44267</v>
      </c>
      <c r="M43" s="3" t="s">
        <v>230</v>
      </c>
      <c r="N43" s="3"/>
    </row>
    <row r="44" spans="1:14" ht="71.25">
      <c r="A44" s="6">
        <f t="shared" si="0"/>
        <v>43</v>
      </c>
      <c r="B44" s="3" t="s">
        <v>258</v>
      </c>
      <c r="C44" s="6" t="s">
        <v>16</v>
      </c>
      <c r="D44" s="3" t="s">
        <v>17</v>
      </c>
      <c r="E44" s="3" t="s">
        <v>259</v>
      </c>
      <c r="F44" s="3" t="s">
        <v>260</v>
      </c>
      <c r="G44" s="3" t="s">
        <v>261</v>
      </c>
      <c r="H44" s="3" t="s">
        <v>262</v>
      </c>
      <c r="I44" s="3" t="s">
        <v>263</v>
      </c>
      <c r="J44" s="3" t="s">
        <v>40</v>
      </c>
      <c r="K44" s="3" t="s">
        <v>23</v>
      </c>
      <c r="L44" s="11">
        <v>44266</v>
      </c>
      <c r="M44" s="3" t="s">
        <v>264</v>
      </c>
      <c r="N44" s="3" t="s">
        <v>87</v>
      </c>
    </row>
    <row r="45" spans="1:14" ht="71.25">
      <c r="A45" s="6">
        <f t="shared" si="0"/>
        <v>44</v>
      </c>
      <c r="B45" s="3" t="s">
        <v>265</v>
      </c>
      <c r="C45" s="6" t="s">
        <v>16</v>
      </c>
      <c r="D45" s="3" t="s">
        <v>17</v>
      </c>
      <c r="E45" s="3" t="s">
        <v>266</v>
      </c>
      <c r="F45" s="3" t="s">
        <v>267</v>
      </c>
      <c r="G45" s="3" t="s">
        <v>268</v>
      </c>
      <c r="H45" s="3" t="s">
        <v>269</v>
      </c>
      <c r="I45" s="3" t="s">
        <v>270</v>
      </c>
      <c r="J45" s="3" t="s">
        <v>40</v>
      </c>
      <c r="K45" s="3"/>
      <c r="L45" s="11">
        <v>44281</v>
      </c>
      <c r="M45" s="3" t="s">
        <v>230</v>
      </c>
      <c r="N45" s="3"/>
    </row>
    <row r="46" spans="1:14" ht="42.75">
      <c r="A46" s="6">
        <f t="shared" si="0"/>
        <v>45</v>
      </c>
      <c r="B46" s="3" t="s">
        <v>271</v>
      </c>
      <c r="C46" s="6" t="s">
        <v>16</v>
      </c>
      <c r="D46" s="3" t="s">
        <v>17</v>
      </c>
      <c r="E46" s="1" t="s">
        <v>272</v>
      </c>
      <c r="F46" s="3" t="s">
        <v>267</v>
      </c>
      <c r="G46" s="3" t="s">
        <v>268</v>
      </c>
      <c r="H46" s="3" t="s">
        <v>273</v>
      </c>
      <c r="I46" s="3" t="s">
        <v>274</v>
      </c>
      <c r="J46" s="3" t="s">
        <v>40</v>
      </c>
      <c r="K46" s="12"/>
      <c r="L46" s="11">
        <v>44282</v>
      </c>
      <c r="M46" s="3" t="s">
        <v>230</v>
      </c>
      <c r="N46" s="3" t="s">
        <v>231</v>
      </c>
    </row>
    <row r="47" spans="1:14" ht="42.75">
      <c r="A47" s="6">
        <f t="shared" si="0"/>
        <v>46</v>
      </c>
      <c r="B47" s="3" t="s">
        <v>197</v>
      </c>
      <c r="C47" s="6" t="s">
        <v>16</v>
      </c>
      <c r="D47" s="3" t="s">
        <v>17</v>
      </c>
      <c r="E47" s="3" t="s">
        <v>205</v>
      </c>
      <c r="F47" s="3" t="s">
        <v>206</v>
      </c>
      <c r="G47" s="1" t="s">
        <v>194</v>
      </c>
      <c r="H47" s="3" t="s">
        <v>275</v>
      </c>
      <c r="I47" s="3" t="s">
        <v>276</v>
      </c>
      <c r="J47" s="3" t="s">
        <v>40</v>
      </c>
      <c r="K47" s="12"/>
      <c r="L47" s="11">
        <v>44298</v>
      </c>
      <c r="M47" s="12" t="s">
        <v>277</v>
      </c>
      <c r="N47" s="12"/>
    </row>
    <row r="48" spans="1:14" ht="57">
      <c r="A48" s="6">
        <f t="shared" si="0"/>
        <v>47</v>
      </c>
      <c r="B48" s="3" t="s">
        <v>278</v>
      </c>
      <c r="C48" s="6" t="s">
        <v>16</v>
      </c>
      <c r="D48" s="1" t="s">
        <v>17</v>
      </c>
      <c r="E48" s="1" t="s">
        <v>279</v>
      </c>
      <c r="F48" s="3" t="s">
        <v>280</v>
      </c>
      <c r="G48" s="3" t="s">
        <v>244</v>
      </c>
      <c r="H48" s="3" t="s">
        <v>281</v>
      </c>
      <c r="I48" s="3" t="s">
        <v>282</v>
      </c>
      <c r="J48" s="3" t="s">
        <v>40</v>
      </c>
      <c r="K48" s="12" t="s">
        <v>283</v>
      </c>
      <c r="L48" s="11">
        <v>44298</v>
      </c>
      <c r="M48" s="12"/>
      <c r="N48" s="3" t="s">
        <v>231</v>
      </c>
    </row>
    <row r="49" spans="1:13" ht="53.1" customHeight="1">
      <c r="A49" s="6">
        <f t="shared" si="0"/>
        <v>48</v>
      </c>
      <c r="B49" s="1" t="s">
        <v>36</v>
      </c>
      <c r="C49" s="6" t="s">
        <v>16</v>
      </c>
      <c r="D49" s="1" t="s">
        <v>35</v>
      </c>
      <c r="E49" s="1" t="s">
        <v>36</v>
      </c>
      <c r="F49" s="1" t="s">
        <v>284</v>
      </c>
      <c r="G49" s="1" t="s">
        <v>284</v>
      </c>
      <c r="H49" s="3" t="s">
        <v>285</v>
      </c>
      <c r="I49" s="1" t="s">
        <v>286</v>
      </c>
      <c r="J49" s="3" t="s">
        <v>40</v>
      </c>
    </row>
    <row r="50" spans="1:13" ht="150" customHeight="1">
      <c r="A50" s="6">
        <f t="shared" si="0"/>
        <v>49</v>
      </c>
      <c r="B50" s="3" t="s">
        <v>287</v>
      </c>
      <c r="C50" s="6" t="s">
        <v>16</v>
      </c>
      <c r="D50" s="1" t="s">
        <v>81</v>
      </c>
      <c r="E50" s="1" t="s">
        <v>288</v>
      </c>
      <c r="F50" s="1" t="s">
        <v>289</v>
      </c>
      <c r="G50" s="1" t="s">
        <v>290</v>
      </c>
      <c r="H50" s="3" t="s">
        <v>291</v>
      </c>
      <c r="I50" s="3" t="s">
        <v>292</v>
      </c>
      <c r="J50" s="3" t="s">
        <v>40</v>
      </c>
      <c r="K50" s="1" t="s">
        <v>23</v>
      </c>
      <c r="L50" s="2">
        <v>44235</v>
      </c>
      <c r="M50" s="1" t="s">
        <v>293</v>
      </c>
    </row>
    <row r="51" spans="1:13" ht="142.5">
      <c r="A51" s="6">
        <f t="shared" si="0"/>
        <v>50</v>
      </c>
      <c r="B51" s="3" t="s">
        <v>232</v>
      </c>
      <c r="C51" s="6" t="s">
        <v>16</v>
      </c>
      <c r="D51" s="1" t="s">
        <v>17</v>
      </c>
      <c r="E51" s="1" t="s">
        <v>294</v>
      </c>
      <c r="F51" s="1" t="s">
        <v>295</v>
      </c>
      <c r="G51" s="1" t="s">
        <v>234</v>
      </c>
      <c r="H51" s="3" t="s">
        <v>296</v>
      </c>
      <c r="I51" s="3" t="s">
        <v>297</v>
      </c>
      <c r="J51" s="3" t="s">
        <v>40</v>
      </c>
      <c r="K51" s="1" t="s">
        <v>23</v>
      </c>
      <c r="L51" s="2">
        <v>44236</v>
      </c>
    </row>
    <row r="52" spans="1:13" ht="94.5">
      <c r="A52" s="6">
        <f t="shared" si="0"/>
        <v>51</v>
      </c>
      <c r="B52" s="3" t="s">
        <v>298</v>
      </c>
      <c r="C52" s="6" t="s">
        <v>16</v>
      </c>
      <c r="D52" s="1" t="s">
        <v>81</v>
      </c>
      <c r="E52" s="3" t="s">
        <v>299</v>
      </c>
      <c r="G52" s="1" t="s">
        <v>234</v>
      </c>
      <c r="H52" s="25" t="s">
        <v>300</v>
      </c>
      <c r="I52" s="3" t="s">
        <v>301</v>
      </c>
      <c r="J52" s="3" t="s">
        <v>22</v>
      </c>
      <c r="K52" s="1" t="s">
        <v>31</v>
      </c>
      <c r="L52" s="2">
        <v>44231</v>
      </c>
    </row>
    <row r="53" spans="1:13" ht="57">
      <c r="A53" s="6">
        <f t="shared" si="0"/>
        <v>52</v>
      </c>
      <c r="B53" s="13" t="s">
        <v>49</v>
      </c>
      <c r="C53" s="6" t="s">
        <v>16</v>
      </c>
      <c r="D53" s="1" t="s">
        <v>81</v>
      </c>
      <c r="E53" s="3" t="s">
        <v>302</v>
      </c>
      <c r="F53" s="1" t="s">
        <v>303</v>
      </c>
      <c r="G53" s="1" t="s">
        <v>194</v>
      </c>
      <c r="H53" s="3" t="s">
        <v>304</v>
      </c>
      <c r="I53" s="3" t="s">
        <v>305</v>
      </c>
      <c r="J53" s="3" t="s">
        <v>40</v>
      </c>
      <c r="K53" s="1" t="s">
        <v>23</v>
      </c>
      <c r="L53" s="2">
        <v>44104</v>
      </c>
      <c r="M53" s="1" t="s">
        <v>25</v>
      </c>
    </row>
    <row r="54" spans="1:13" ht="42.75">
      <c r="A54" s="6">
        <f t="shared" si="0"/>
        <v>53</v>
      </c>
      <c r="B54" s="3" t="s">
        <v>306</v>
      </c>
      <c r="C54" s="6" t="s">
        <v>16</v>
      </c>
      <c r="D54" s="1" t="s">
        <v>35</v>
      </c>
      <c r="E54" s="3" t="s">
        <v>307</v>
      </c>
      <c r="F54" s="3" t="s">
        <v>308</v>
      </c>
      <c r="G54" s="3" t="s">
        <v>309</v>
      </c>
      <c r="H54" s="3" t="s">
        <v>310</v>
      </c>
      <c r="J54" s="3" t="s">
        <v>40</v>
      </c>
      <c r="K54" s="1" t="s">
        <v>23</v>
      </c>
      <c r="L54" s="2">
        <v>44109</v>
      </c>
      <c r="M54" s="1" t="s">
        <v>25</v>
      </c>
    </row>
    <row r="55" spans="1:13" ht="42.75">
      <c r="A55" s="6">
        <f t="shared" si="0"/>
        <v>54</v>
      </c>
      <c r="B55" s="1" t="s">
        <v>311</v>
      </c>
      <c r="C55" s="6" t="s">
        <v>16</v>
      </c>
      <c r="D55" s="1" t="s">
        <v>35</v>
      </c>
      <c r="E55" s="1" t="s">
        <v>36</v>
      </c>
      <c r="F55" s="1" t="s">
        <v>312</v>
      </c>
      <c r="G55" s="3" t="s">
        <v>313</v>
      </c>
      <c r="H55" s="3" t="s">
        <v>314</v>
      </c>
      <c r="I55" s="3" t="s">
        <v>315</v>
      </c>
      <c r="J55" s="3" t="s">
        <v>40</v>
      </c>
      <c r="K55" s="1" t="s">
        <v>23</v>
      </c>
      <c r="L55" s="2">
        <v>44127</v>
      </c>
      <c r="M55" s="1" t="s">
        <v>25</v>
      </c>
    </row>
    <row r="56" spans="1:13" ht="28.5">
      <c r="A56" s="6">
        <f t="shared" si="0"/>
        <v>55</v>
      </c>
      <c r="B56" s="1" t="s">
        <v>36</v>
      </c>
      <c r="C56" s="6" t="s">
        <v>16</v>
      </c>
      <c r="D56" s="1" t="s">
        <v>81</v>
      </c>
      <c r="E56" s="1" t="s">
        <v>36</v>
      </c>
      <c r="F56" s="3" t="s">
        <v>316</v>
      </c>
      <c r="G56" s="1" t="s">
        <v>317</v>
      </c>
      <c r="H56" s="1" t="s">
        <v>316</v>
      </c>
      <c r="I56" s="1" t="s">
        <v>318</v>
      </c>
      <c r="J56" s="3" t="s">
        <v>22</v>
      </c>
      <c r="K56" s="1" t="s">
        <v>31</v>
      </c>
      <c r="L56" s="2">
        <v>44154</v>
      </c>
      <c r="M56" s="1" t="s">
        <v>319</v>
      </c>
    </row>
    <row r="57" spans="1:13" ht="57">
      <c r="A57" s="6">
        <f t="shared" si="0"/>
        <v>56</v>
      </c>
      <c r="B57" s="1" t="s">
        <v>320</v>
      </c>
      <c r="C57" s="6" t="s">
        <v>16</v>
      </c>
      <c r="D57" s="1" t="s">
        <v>81</v>
      </c>
      <c r="E57" s="1" t="s">
        <v>36</v>
      </c>
      <c r="F57" s="1" t="s">
        <v>321</v>
      </c>
      <c r="G57" s="1" t="s">
        <v>174</v>
      </c>
      <c r="H57" s="3" t="s">
        <v>322</v>
      </c>
      <c r="I57" s="1" t="s">
        <v>323</v>
      </c>
      <c r="J57" s="3" t="s">
        <v>40</v>
      </c>
      <c r="K57" s="1" t="s">
        <v>283</v>
      </c>
      <c r="L57" s="2">
        <v>44103</v>
      </c>
    </row>
    <row r="58" spans="1:13" ht="29.1" customHeight="1">
      <c r="A58" s="6">
        <f t="shared" si="0"/>
        <v>57</v>
      </c>
      <c r="B58" s="1" t="s">
        <v>108</v>
      </c>
      <c r="C58" s="6" t="s">
        <v>16</v>
      </c>
      <c r="D58" s="1" t="s">
        <v>81</v>
      </c>
      <c r="E58" s="1" t="s">
        <v>36</v>
      </c>
      <c r="F58" s="6" t="s">
        <v>324</v>
      </c>
      <c r="G58" s="6" t="s">
        <v>111</v>
      </c>
      <c r="H58" s="14" t="s">
        <v>325</v>
      </c>
      <c r="I58" s="1" t="s">
        <v>326</v>
      </c>
      <c r="J58" s="3" t="s">
        <v>22</v>
      </c>
    </row>
    <row r="59" spans="1:13" ht="42.75">
      <c r="A59" s="6">
        <f t="shared" si="0"/>
        <v>58</v>
      </c>
      <c r="B59" s="15" t="s">
        <v>55</v>
      </c>
      <c r="C59" s="6" t="s">
        <v>16</v>
      </c>
      <c r="D59" s="1" t="s">
        <v>35</v>
      </c>
      <c r="E59" s="1" t="s">
        <v>36</v>
      </c>
      <c r="F59" s="15" t="s">
        <v>327</v>
      </c>
      <c r="G59" s="15" t="s">
        <v>328</v>
      </c>
      <c r="H59" s="15" t="s">
        <v>329</v>
      </c>
      <c r="I59" s="15" t="s">
        <v>330</v>
      </c>
      <c r="J59" s="3" t="s">
        <v>40</v>
      </c>
      <c r="K59" s="15"/>
      <c r="L59" s="2">
        <v>44298</v>
      </c>
      <c r="M59" s="15" t="s">
        <v>331</v>
      </c>
    </row>
    <row r="60" spans="1:13" ht="28.5">
      <c r="A60" s="6">
        <f t="shared" si="0"/>
        <v>59</v>
      </c>
      <c r="B60" s="15" t="s">
        <v>332</v>
      </c>
      <c r="C60" s="6" t="s">
        <v>16</v>
      </c>
      <c r="D60" s="1" t="s">
        <v>35</v>
      </c>
      <c r="E60" s="1" t="s">
        <v>36</v>
      </c>
      <c r="F60" s="15" t="s">
        <v>327</v>
      </c>
      <c r="G60" s="15" t="s">
        <v>328</v>
      </c>
      <c r="H60" s="15" t="s">
        <v>333</v>
      </c>
      <c r="I60" s="15" t="s">
        <v>334</v>
      </c>
      <c r="J60" s="3" t="s">
        <v>40</v>
      </c>
      <c r="K60" s="15"/>
      <c r="L60" s="2">
        <v>44298</v>
      </c>
      <c r="M60" s="15" t="s">
        <v>331</v>
      </c>
    </row>
    <row r="61" spans="1:13" ht="28.5">
      <c r="A61" s="6">
        <f t="shared" si="0"/>
        <v>60</v>
      </c>
      <c r="B61" s="15" t="s">
        <v>335</v>
      </c>
      <c r="C61" s="6" t="s">
        <v>16</v>
      </c>
      <c r="D61" s="1" t="s">
        <v>35</v>
      </c>
      <c r="E61" s="1" t="s">
        <v>36</v>
      </c>
      <c r="F61" s="15" t="s">
        <v>327</v>
      </c>
      <c r="G61" s="15" t="s">
        <v>328</v>
      </c>
      <c r="H61" s="15" t="s">
        <v>336</v>
      </c>
      <c r="I61" s="15" t="s">
        <v>337</v>
      </c>
      <c r="J61" s="3" t="s">
        <v>40</v>
      </c>
      <c r="K61" s="15"/>
      <c r="L61" s="2">
        <v>44298</v>
      </c>
      <c r="M61" s="15" t="s">
        <v>331</v>
      </c>
    </row>
    <row r="62" spans="1:13" ht="28.5">
      <c r="A62" s="6">
        <f t="shared" si="0"/>
        <v>61</v>
      </c>
      <c r="B62" s="15" t="s">
        <v>338</v>
      </c>
      <c r="C62" s="6" t="s">
        <v>16</v>
      </c>
      <c r="D62" s="1" t="s">
        <v>35</v>
      </c>
      <c r="E62" s="1" t="s">
        <v>36</v>
      </c>
      <c r="F62" s="15" t="s">
        <v>327</v>
      </c>
      <c r="G62" s="15" t="s">
        <v>328</v>
      </c>
      <c r="H62" s="15" t="s">
        <v>339</v>
      </c>
      <c r="I62" s="15" t="s">
        <v>340</v>
      </c>
      <c r="J62" s="3" t="s">
        <v>40</v>
      </c>
      <c r="K62" s="15"/>
      <c r="L62" s="2">
        <v>44298</v>
      </c>
      <c r="M62" s="15" t="s">
        <v>331</v>
      </c>
    </row>
    <row r="63" spans="1:13" ht="28.5">
      <c r="A63" s="6">
        <f t="shared" si="0"/>
        <v>62</v>
      </c>
      <c r="B63" s="15" t="s">
        <v>341</v>
      </c>
      <c r="C63" s="6" t="s">
        <v>16</v>
      </c>
      <c r="D63" s="1" t="s">
        <v>35</v>
      </c>
      <c r="E63" s="1" t="s">
        <v>36</v>
      </c>
      <c r="F63" s="15" t="s">
        <v>327</v>
      </c>
      <c r="G63" s="15" t="s">
        <v>328</v>
      </c>
      <c r="H63" s="15" t="s">
        <v>342</v>
      </c>
      <c r="I63" s="15" t="s">
        <v>343</v>
      </c>
      <c r="J63" s="3" t="s">
        <v>40</v>
      </c>
      <c r="K63" s="15"/>
      <c r="L63" s="2">
        <v>44298</v>
      </c>
      <c r="M63" s="15" t="s">
        <v>331</v>
      </c>
    </row>
    <row r="64" spans="1:13" ht="28.5">
      <c r="A64" s="6">
        <f t="shared" si="0"/>
        <v>63</v>
      </c>
      <c r="B64" s="15" t="s">
        <v>344</v>
      </c>
      <c r="C64" s="6" t="s">
        <v>16</v>
      </c>
      <c r="D64" s="1" t="s">
        <v>35</v>
      </c>
      <c r="E64" s="1" t="s">
        <v>36</v>
      </c>
      <c r="F64" s="15" t="s">
        <v>327</v>
      </c>
      <c r="G64" s="15" t="s">
        <v>328</v>
      </c>
      <c r="H64" s="15" t="s">
        <v>345</v>
      </c>
      <c r="I64" s="15" t="s">
        <v>346</v>
      </c>
      <c r="J64" s="3" t="s">
        <v>40</v>
      </c>
      <c r="K64" s="15"/>
      <c r="L64" s="2">
        <v>44298</v>
      </c>
      <c r="M64" s="15" t="s">
        <v>331</v>
      </c>
    </row>
    <row r="65" spans="1:14" ht="28.5">
      <c r="A65" s="6">
        <f t="shared" si="0"/>
        <v>64</v>
      </c>
      <c r="B65" s="15" t="s">
        <v>347</v>
      </c>
      <c r="C65" s="6" t="s">
        <v>16</v>
      </c>
      <c r="D65" s="1" t="s">
        <v>35</v>
      </c>
      <c r="E65" s="1" t="s">
        <v>36</v>
      </c>
      <c r="F65" s="15" t="s">
        <v>327</v>
      </c>
      <c r="G65" s="15" t="s">
        <v>328</v>
      </c>
      <c r="H65" s="15" t="s">
        <v>348</v>
      </c>
      <c r="I65" s="15" t="s">
        <v>349</v>
      </c>
      <c r="J65" s="3" t="s">
        <v>40</v>
      </c>
      <c r="K65" s="15"/>
      <c r="L65" s="2">
        <v>44298</v>
      </c>
      <c r="M65" s="15" t="s">
        <v>331</v>
      </c>
    </row>
    <row r="66" spans="1:14" ht="28.5">
      <c r="A66" s="6">
        <f t="shared" si="0"/>
        <v>65</v>
      </c>
      <c r="B66" s="15" t="s">
        <v>350</v>
      </c>
      <c r="C66" s="6" t="s">
        <v>16</v>
      </c>
      <c r="D66" s="1" t="s">
        <v>35</v>
      </c>
      <c r="E66" s="1" t="s">
        <v>36</v>
      </c>
      <c r="F66" s="15" t="s">
        <v>327</v>
      </c>
      <c r="G66" s="15" t="s">
        <v>328</v>
      </c>
      <c r="H66" s="15" t="s">
        <v>351</v>
      </c>
      <c r="I66" s="15" t="s">
        <v>352</v>
      </c>
      <c r="J66" s="3" t="s">
        <v>40</v>
      </c>
      <c r="K66" s="15"/>
      <c r="L66" s="2">
        <v>44298</v>
      </c>
      <c r="M66" s="15" t="s">
        <v>331</v>
      </c>
    </row>
    <row r="67" spans="1:14" ht="28.5">
      <c r="A67" s="6">
        <f t="shared" si="0"/>
        <v>66</v>
      </c>
      <c r="B67" s="15" t="s">
        <v>353</v>
      </c>
      <c r="C67" s="6" t="s">
        <v>16</v>
      </c>
      <c r="D67" s="1" t="s">
        <v>35</v>
      </c>
      <c r="E67" s="1" t="s">
        <v>36</v>
      </c>
      <c r="F67" s="15" t="s">
        <v>354</v>
      </c>
      <c r="G67" s="15" t="s">
        <v>355</v>
      </c>
      <c r="H67" s="15" t="s">
        <v>356</v>
      </c>
      <c r="I67" s="15" t="s">
        <v>356</v>
      </c>
      <c r="J67" s="3" t="s">
        <v>40</v>
      </c>
      <c r="K67" s="15"/>
      <c r="L67" s="2">
        <v>44298</v>
      </c>
      <c r="M67" s="15" t="s">
        <v>331</v>
      </c>
    </row>
    <row r="68" spans="1:14" ht="57">
      <c r="A68" s="6">
        <f t="shared" ref="A68:A94" si="1">A67+1</f>
        <v>67</v>
      </c>
      <c r="B68" s="16" t="s">
        <v>357</v>
      </c>
      <c r="C68" s="6" t="s">
        <v>34</v>
      </c>
      <c r="D68" s="1" t="s">
        <v>35</v>
      </c>
      <c r="E68" s="17" t="s">
        <v>36</v>
      </c>
      <c r="F68" s="17" t="s">
        <v>358</v>
      </c>
      <c r="G68" s="17" t="s">
        <v>328</v>
      </c>
      <c r="H68" s="17" t="s">
        <v>359</v>
      </c>
      <c r="I68" s="17" t="s">
        <v>360</v>
      </c>
      <c r="J68" s="3" t="s">
        <v>40</v>
      </c>
      <c r="K68" s="18"/>
      <c r="L68" s="2">
        <v>44298</v>
      </c>
      <c r="M68" s="3" t="s">
        <v>361</v>
      </c>
    </row>
    <row r="69" spans="1:14" ht="28.5">
      <c r="A69" s="6">
        <f t="shared" si="1"/>
        <v>68</v>
      </c>
      <c r="B69" s="16" t="s">
        <v>362</v>
      </c>
      <c r="C69" s="6" t="s">
        <v>34</v>
      </c>
      <c r="D69" s="1" t="s">
        <v>35</v>
      </c>
      <c r="E69" s="17" t="s">
        <v>36</v>
      </c>
      <c r="F69" s="17" t="s">
        <v>363</v>
      </c>
      <c r="G69" s="17" t="s">
        <v>364</v>
      </c>
      <c r="H69" s="17" t="s">
        <v>365</v>
      </c>
      <c r="I69" s="17" t="s">
        <v>366</v>
      </c>
      <c r="J69" s="3" t="s">
        <v>40</v>
      </c>
      <c r="K69" s="18"/>
      <c r="L69" s="2">
        <v>44103</v>
      </c>
      <c r="M69" s="3" t="s">
        <v>361</v>
      </c>
    </row>
    <row r="70" spans="1:14" ht="28.5">
      <c r="A70" s="6">
        <f t="shared" si="1"/>
        <v>69</v>
      </c>
      <c r="B70" s="16" t="s">
        <v>367</v>
      </c>
      <c r="C70" s="6" t="s">
        <v>34</v>
      </c>
      <c r="D70" s="1" t="s">
        <v>35</v>
      </c>
      <c r="E70" s="17" t="s">
        <v>36</v>
      </c>
      <c r="F70" s="17" t="s">
        <v>368</v>
      </c>
      <c r="G70" s="17" t="s">
        <v>364</v>
      </c>
      <c r="H70" s="17" t="s">
        <v>369</v>
      </c>
      <c r="I70" s="16" t="s">
        <v>370</v>
      </c>
      <c r="J70" s="3" t="s">
        <v>40</v>
      </c>
      <c r="K70" s="19"/>
      <c r="L70" s="2">
        <v>44103</v>
      </c>
      <c r="M70" s="3" t="s">
        <v>361</v>
      </c>
    </row>
    <row r="71" spans="1:14" ht="28.5">
      <c r="A71" s="6">
        <f t="shared" si="1"/>
        <v>70</v>
      </c>
      <c r="B71" s="17" t="s">
        <v>371</v>
      </c>
      <c r="C71" s="6" t="s">
        <v>34</v>
      </c>
      <c r="D71" s="1" t="s">
        <v>35</v>
      </c>
      <c r="E71" s="17" t="s">
        <v>36</v>
      </c>
      <c r="F71" s="17" t="s">
        <v>372</v>
      </c>
      <c r="G71" s="17" t="s">
        <v>373</v>
      </c>
      <c r="H71" s="17" t="s">
        <v>374</v>
      </c>
      <c r="I71" s="17" t="s">
        <v>375</v>
      </c>
      <c r="J71" s="3" t="s">
        <v>40</v>
      </c>
      <c r="K71" s="18"/>
      <c r="L71" s="2">
        <v>44103</v>
      </c>
      <c r="M71" s="3" t="s">
        <v>361</v>
      </c>
    </row>
    <row r="72" spans="1:14" ht="28.5">
      <c r="A72" s="6">
        <f t="shared" si="1"/>
        <v>71</v>
      </c>
      <c r="B72" s="16" t="s">
        <v>376</v>
      </c>
      <c r="C72" s="6" t="s">
        <v>34</v>
      </c>
      <c r="D72" s="1" t="s">
        <v>35</v>
      </c>
      <c r="E72" s="17" t="s">
        <v>36</v>
      </c>
      <c r="F72" s="17" t="s">
        <v>377</v>
      </c>
      <c r="G72" s="17" t="s">
        <v>328</v>
      </c>
      <c r="H72" s="17" t="s">
        <v>378</v>
      </c>
      <c r="I72" s="17" t="s">
        <v>379</v>
      </c>
      <c r="J72" s="3" t="s">
        <v>40</v>
      </c>
      <c r="K72" s="18"/>
      <c r="L72" s="2">
        <v>44103</v>
      </c>
      <c r="M72" s="3" t="s">
        <v>361</v>
      </c>
    </row>
    <row r="73" spans="1:14" ht="28.5">
      <c r="A73" s="6">
        <f t="shared" si="1"/>
        <v>72</v>
      </c>
      <c r="B73" s="16" t="s">
        <v>380</v>
      </c>
      <c r="C73" s="6" t="s">
        <v>34</v>
      </c>
      <c r="D73" s="1" t="s">
        <v>35</v>
      </c>
      <c r="E73" s="17" t="s">
        <v>36</v>
      </c>
      <c r="F73" s="17" t="s">
        <v>381</v>
      </c>
      <c r="G73" s="17" t="s">
        <v>174</v>
      </c>
      <c r="H73" s="17" t="s">
        <v>382</v>
      </c>
      <c r="I73" s="17" t="s">
        <v>383</v>
      </c>
      <c r="J73" s="3" t="s">
        <v>40</v>
      </c>
      <c r="K73" s="18"/>
      <c r="L73" s="2">
        <v>44103</v>
      </c>
      <c r="M73" s="3" t="s">
        <v>361</v>
      </c>
    </row>
    <row r="74" spans="1:14" ht="42.75">
      <c r="A74" s="6">
        <f t="shared" si="1"/>
        <v>73</v>
      </c>
      <c r="B74" s="16" t="s">
        <v>384</v>
      </c>
      <c r="C74" s="6" t="s">
        <v>34</v>
      </c>
      <c r="D74" s="1" t="s">
        <v>35</v>
      </c>
      <c r="E74" s="17" t="s">
        <v>36</v>
      </c>
      <c r="F74" s="17" t="s">
        <v>368</v>
      </c>
      <c r="G74" s="17" t="s">
        <v>364</v>
      </c>
      <c r="H74" s="3" t="s">
        <v>385</v>
      </c>
      <c r="J74" s="3" t="s">
        <v>40</v>
      </c>
    </row>
    <row r="75" spans="1:14" ht="28.5">
      <c r="A75" s="6">
        <f t="shared" si="1"/>
        <v>74</v>
      </c>
      <c r="B75" s="1" t="s">
        <v>386</v>
      </c>
      <c r="C75" s="3" t="s">
        <v>387</v>
      </c>
      <c r="D75" s="1" t="s">
        <v>81</v>
      </c>
      <c r="F75" s="1" t="s">
        <v>388</v>
      </c>
      <c r="G75" s="1" t="s">
        <v>389</v>
      </c>
      <c r="H75" s="1" t="s">
        <v>390</v>
      </c>
      <c r="I75" s="1" t="s">
        <v>391</v>
      </c>
      <c r="J75" s="3" t="s">
        <v>22</v>
      </c>
      <c r="K75" s="1" t="s">
        <v>31</v>
      </c>
      <c r="L75" s="2">
        <v>44308</v>
      </c>
    </row>
    <row r="76" spans="1:14" ht="71.25">
      <c r="A76" s="6">
        <f t="shared" si="1"/>
        <v>75</v>
      </c>
      <c r="B76" s="1" t="s">
        <v>77</v>
      </c>
      <c r="C76" s="3" t="s">
        <v>387</v>
      </c>
      <c r="D76" s="1" t="s">
        <v>81</v>
      </c>
      <c r="E76" s="3" t="s">
        <v>392</v>
      </c>
      <c r="F76" s="3" t="s">
        <v>393</v>
      </c>
      <c r="G76" s="1" t="s">
        <v>394</v>
      </c>
      <c r="H76" s="3" t="s">
        <v>395</v>
      </c>
      <c r="I76" s="1" t="s">
        <v>396</v>
      </c>
      <c r="J76" s="3" t="s">
        <v>40</v>
      </c>
      <c r="K76" s="1" t="s">
        <v>23</v>
      </c>
      <c r="L76" s="2">
        <v>44328</v>
      </c>
      <c r="M76" s="1" t="s">
        <v>25</v>
      </c>
    </row>
    <row r="77" spans="1:14" ht="42.75">
      <c r="A77" s="6">
        <f t="shared" si="1"/>
        <v>76</v>
      </c>
      <c r="B77" s="1" t="s">
        <v>397</v>
      </c>
      <c r="C77" s="3" t="s">
        <v>387</v>
      </c>
      <c r="D77" s="1" t="s">
        <v>81</v>
      </c>
      <c r="E77" s="3" t="s">
        <v>398</v>
      </c>
      <c r="F77" s="1" t="s">
        <v>399</v>
      </c>
      <c r="G77" s="1" t="s">
        <v>400</v>
      </c>
      <c r="H77" s="26" t="s">
        <v>401</v>
      </c>
      <c r="I77" s="26" t="s">
        <v>402</v>
      </c>
      <c r="J77" s="3" t="s">
        <v>40</v>
      </c>
      <c r="K77" s="1" t="s">
        <v>23</v>
      </c>
      <c r="L77" s="2">
        <v>44328</v>
      </c>
      <c r="M77" s="1" t="s">
        <v>25</v>
      </c>
    </row>
    <row r="78" spans="1:14" ht="71.25">
      <c r="A78" s="6">
        <f t="shared" si="1"/>
        <v>77</v>
      </c>
      <c r="B78" s="3" t="s">
        <v>403</v>
      </c>
      <c r="C78" s="3" t="s">
        <v>387</v>
      </c>
      <c r="D78" s="1" t="s">
        <v>17</v>
      </c>
      <c r="E78" s="1" t="s">
        <v>404</v>
      </c>
      <c r="F78" s="1" t="s">
        <v>405</v>
      </c>
      <c r="G78" s="1" t="s">
        <v>406</v>
      </c>
      <c r="H78" s="27" t="s">
        <v>407</v>
      </c>
      <c r="I78" s="28" t="s">
        <v>408</v>
      </c>
      <c r="J78" s="3" t="s">
        <v>40</v>
      </c>
      <c r="K78" s="1" t="s">
        <v>23</v>
      </c>
      <c r="L78" s="2">
        <v>44328</v>
      </c>
    </row>
    <row r="79" spans="1:14" ht="42.75">
      <c r="A79" s="6">
        <f t="shared" si="1"/>
        <v>78</v>
      </c>
      <c r="B79" s="1" t="s">
        <v>409</v>
      </c>
      <c r="C79" s="3" t="s">
        <v>387</v>
      </c>
      <c r="D79" s="1" t="s">
        <v>17</v>
      </c>
      <c r="F79" s="1" t="s">
        <v>410</v>
      </c>
      <c r="G79" s="1" t="s">
        <v>411</v>
      </c>
      <c r="H79" s="29" t="s">
        <v>412</v>
      </c>
      <c r="I79" s="24" t="s">
        <v>413</v>
      </c>
      <c r="J79" s="3" t="s">
        <v>40</v>
      </c>
      <c r="K79" s="1" t="s">
        <v>414</v>
      </c>
      <c r="L79" s="2">
        <v>44329</v>
      </c>
      <c r="M79" s="1" t="s">
        <v>415</v>
      </c>
      <c r="N79" s="1" t="s">
        <v>416</v>
      </c>
    </row>
    <row r="80" spans="1:14" ht="114">
      <c r="A80" s="6">
        <f t="shared" si="1"/>
        <v>79</v>
      </c>
      <c r="B80" s="1" t="s">
        <v>252</v>
      </c>
      <c r="C80" s="3" t="s">
        <v>387</v>
      </c>
      <c r="D80" s="1" t="s">
        <v>17</v>
      </c>
      <c r="E80" s="1" t="s">
        <v>417</v>
      </c>
      <c r="F80" s="1" t="s">
        <v>418</v>
      </c>
      <c r="G80" s="1" t="s">
        <v>419</v>
      </c>
      <c r="H80" s="20" t="s">
        <v>420</v>
      </c>
      <c r="I80" s="1" t="s">
        <v>421</v>
      </c>
      <c r="J80" s="3" t="s">
        <v>22</v>
      </c>
      <c r="L80" s="2">
        <v>44329</v>
      </c>
      <c r="M80" s="1" t="s">
        <v>422</v>
      </c>
    </row>
    <row r="81" spans="1:13" ht="57">
      <c r="A81" s="6">
        <f t="shared" si="1"/>
        <v>80</v>
      </c>
      <c r="B81" s="1" t="s">
        <v>423</v>
      </c>
      <c r="C81" s="3" t="s">
        <v>387</v>
      </c>
      <c r="D81" s="1" t="s">
        <v>17</v>
      </c>
      <c r="E81" s="1" t="s">
        <v>424</v>
      </c>
      <c r="F81" s="1" t="s">
        <v>425</v>
      </c>
      <c r="G81" s="1" t="s">
        <v>426</v>
      </c>
      <c r="H81" s="3" t="s">
        <v>427</v>
      </c>
      <c r="I81" s="30" t="s">
        <v>428</v>
      </c>
      <c r="J81" s="3" t="s">
        <v>22</v>
      </c>
      <c r="K81" s="1" t="s">
        <v>31</v>
      </c>
      <c r="L81" s="2">
        <v>44342</v>
      </c>
    </row>
    <row r="82" spans="1:13" ht="47.25">
      <c r="A82" s="6">
        <f t="shared" si="1"/>
        <v>81</v>
      </c>
      <c r="B82" s="3" t="s">
        <v>429</v>
      </c>
      <c r="C82" s="3" t="s">
        <v>387</v>
      </c>
      <c r="D82" s="1" t="s">
        <v>17</v>
      </c>
      <c r="E82" s="1" t="s">
        <v>233</v>
      </c>
      <c r="F82" s="1" t="s">
        <v>430</v>
      </c>
      <c r="G82" s="1" t="s">
        <v>234</v>
      </c>
      <c r="H82" s="31" t="s">
        <v>431</v>
      </c>
      <c r="I82"/>
      <c r="J82" s="3" t="s">
        <v>22</v>
      </c>
      <c r="K82" s="1" t="s">
        <v>31</v>
      </c>
      <c r="L82" s="2">
        <v>44342</v>
      </c>
    </row>
    <row r="83" spans="1:13" ht="63">
      <c r="A83" s="6">
        <f t="shared" si="1"/>
        <v>82</v>
      </c>
      <c r="C83" s="3" t="s">
        <v>432</v>
      </c>
      <c r="D83" s="1" t="s">
        <v>17</v>
      </c>
      <c r="F83" s="1" t="s">
        <v>433</v>
      </c>
      <c r="G83" s="1" t="s">
        <v>144</v>
      </c>
      <c r="H83" s="31" t="s">
        <v>434</v>
      </c>
      <c r="I83" s="32" t="s">
        <v>435</v>
      </c>
      <c r="J83" s="3" t="s">
        <v>22</v>
      </c>
      <c r="K83" s="1" t="s">
        <v>31</v>
      </c>
      <c r="L83" s="2">
        <v>44349</v>
      </c>
    </row>
    <row r="84" spans="1:13" ht="71.25">
      <c r="A84" s="6">
        <f t="shared" si="1"/>
        <v>83</v>
      </c>
      <c r="B84" s="3" t="s">
        <v>436</v>
      </c>
      <c r="C84" s="3" t="s">
        <v>432</v>
      </c>
      <c r="D84" s="1" t="s">
        <v>17</v>
      </c>
      <c r="E84" s="3" t="s">
        <v>437</v>
      </c>
      <c r="F84" s="1" t="s">
        <v>438</v>
      </c>
      <c r="G84" s="1" t="s">
        <v>439</v>
      </c>
      <c r="H84" s="3" t="s">
        <v>440</v>
      </c>
      <c r="I84" s="21" t="s">
        <v>441</v>
      </c>
      <c r="J84" s="3" t="s">
        <v>22</v>
      </c>
      <c r="K84" s="1" t="s">
        <v>23</v>
      </c>
      <c r="L84" s="2">
        <v>44349</v>
      </c>
      <c r="M84" s="1" t="s">
        <v>25</v>
      </c>
    </row>
    <row r="85" spans="1:13" ht="15.4">
      <c r="A85" s="6">
        <f t="shared" si="1"/>
        <v>84</v>
      </c>
      <c r="B85" s="6" t="s">
        <v>184</v>
      </c>
      <c r="C85" s="3" t="s">
        <v>442</v>
      </c>
      <c r="D85" s="6" t="s">
        <v>81</v>
      </c>
      <c r="E85" s="6" t="s">
        <v>185</v>
      </c>
      <c r="F85" s="1" t="s">
        <v>443</v>
      </c>
      <c r="G85" s="1" t="s">
        <v>187</v>
      </c>
      <c r="H85" s="1" t="s">
        <v>444</v>
      </c>
      <c r="I85" s="32" t="s">
        <v>445</v>
      </c>
      <c r="J85" s="32" t="s">
        <v>446</v>
      </c>
      <c r="K85" s="1" t="s">
        <v>447</v>
      </c>
      <c r="L85" s="2">
        <v>44357</v>
      </c>
    </row>
    <row r="86" spans="1:13" ht="142.5">
      <c r="A86" s="6">
        <f t="shared" si="1"/>
        <v>85</v>
      </c>
      <c r="C86" s="3" t="s">
        <v>432</v>
      </c>
      <c r="D86" s="1" t="s">
        <v>17</v>
      </c>
      <c r="E86" s="3" t="s">
        <v>448</v>
      </c>
      <c r="F86" s="1" t="s">
        <v>449</v>
      </c>
      <c r="G86" s="1" t="s">
        <v>450</v>
      </c>
      <c r="H86" s="3" t="s">
        <v>451</v>
      </c>
      <c r="I86" s="30" t="s">
        <v>452</v>
      </c>
      <c r="J86" s="1" t="s">
        <v>22</v>
      </c>
      <c r="K86" s="1" t="s">
        <v>453</v>
      </c>
      <c r="L86" s="2">
        <v>44361</v>
      </c>
      <c r="M86" s="1" t="s">
        <v>454</v>
      </c>
    </row>
    <row r="87" spans="1:13" ht="28.5">
      <c r="A87" s="6">
        <f t="shared" si="1"/>
        <v>86</v>
      </c>
      <c r="B87" s="3" t="s">
        <v>141</v>
      </c>
      <c r="D87" s="1" t="s">
        <v>17</v>
      </c>
      <c r="E87" s="1" t="s">
        <v>455</v>
      </c>
      <c r="F87" s="1" t="s">
        <v>456</v>
      </c>
      <c r="G87" s="1" t="s">
        <v>457</v>
      </c>
      <c r="H87" s="33" t="s">
        <v>458</v>
      </c>
      <c r="I87" s="1" t="s">
        <v>459</v>
      </c>
      <c r="J87" s="1" t="s">
        <v>40</v>
      </c>
      <c r="K87" s="1" t="s">
        <v>23</v>
      </c>
      <c r="L87" s="2">
        <v>44365</v>
      </c>
    </row>
    <row r="88" spans="1:13" ht="28.5">
      <c r="A88" s="6">
        <f t="shared" si="1"/>
        <v>87</v>
      </c>
      <c r="B88" s="33" t="s">
        <v>42</v>
      </c>
      <c r="D88" s="1" t="s">
        <v>17</v>
      </c>
      <c r="E88" s="33" t="s">
        <v>460</v>
      </c>
      <c r="F88" s="1" t="s">
        <v>461</v>
      </c>
      <c r="G88" s="1" t="s">
        <v>155</v>
      </c>
      <c r="H88" s="3" t="s">
        <v>462</v>
      </c>
      <c r="J88" s="1" t="s">
        <v>40</v>
      </c>
      <c r="K88" s="1" t="s">
        <v>23</v>
      </c>
      <c r="L88" s="2">
        <v>44365</v>
      </c>
    </row>
    <row r="89" spans="1:13" ht="28.5">
      <c r="A89" s="6">
        <f t="shared" si="1"/>
        <v>88</v>
      </c>
      <c r="B89" s="33" t="s">
        <v>42</v>
      </c>
      <c r="D89" s="1" t="s">
        <v>17</v>
      </c>
      <c r="E89" s="33" t="s">
        <v>460</v>
      </c>
      <c r="F89" s="1" t="s">
        <v>461</v>
      </c>
      <c r="G89" s="1" t="s">
        <v>463</v>
      </c>
      <c r="H89" s="3" t="s">
        <v>462</v>
      </c>
      <c r="J89" s="1" t="s">
        <v>40</v>
      </c>
      <c r="K89" s="1" t="s">
        <v>23</v>
      </c>
      <c r="L89" s="2">
        <v>44365</v>
      </c>
    </row>
    <row r="90" spans="1:13" ht="14.25">
      <c r="A90" s="6">
        <f t="shared" si="1"/>
        <v>89</v>
      </c>
      <c r="B90" s="1" t="s">
        <v>171</v>
      </c>
      <c r="D90" s="1" t="s">
        <v>17</v>
      </c>
      <c r="E90" s="33" t="s">
        <v>464</v>
      </c>
      <c r="F90" s="1" t="s">
        <v>465</v>
      </c>
      <c r="G90" s="33" t="s">
        <v>466</v>
      </c>
      <c r="H90" s="33" t="s">
        <v>467</v>
      </c>
      <c r="J90" s="1" t="s">
        <v>40</v>
      </c>
      <c r="K90" s="1" t="s">
        <v>23</v>
      </c>
      <c r="L90" s="2">
        <v>44365</v>
      </c>
    </row>
    <row r="91" spans="1:13" ht="71.25">
      <c r="A91" s="6">
        <f t="shared" si="1"/>
        <v>90</v>
      </c>
      <c r="B91" s="1" t="s">
        <v>397</v>
      </c>
      <c r="D91" s="1" t="s">
        <v>17</v>
      </c>
      <c r="E91" s="1" t="s">
        <v>468</v>
      </c>
      <c r="F91" s="1" t="s">
        <v>469</v>
      </c>
      <c r="G91" s="1" t="s">
        <v>470</v>
      </c>
      <c r="H91" s="3" t="s">
        <v>471</v>
      </c>
      <c r="I91" s="3" t="s">
        <v>472</v>
      </c>
      <c r="J91" s="1" t="s">
        <v>40</v>
      </c>
      <c r="K91" s="1" t="s">
        <v>23</v>
      </c>
      <c r="L91" s="2">
        <v>44365</v>
      </c>
    </row>
    <row r="92" spans="1:13" ht="57">
      <c r="A92" s="6">
        <f t="shared" si="1"/>
        <v>91</v>
      </c>
      <c r="D92" s="1" t="s">
        <v>17</v>
      </c>
      <c r="F92" s="1" t="s">
        <v>473</v>
      </c>
      <c r="G92" s="1" t="s">
        <v>222</v>
      </c>
      <c r="H92" s="3" t="s">
        <v>474</v>
      </c>
      <c r="J92" s="1" t="s">
        <v>40</v>
      </c>
      <c r="L92" s="2">
        <v>44441</v>
      </c>
    </row>
    <row r="93" spans="1:13" ht="57">
      <c r="A93" s="6">
        <f t="shared" si="1"/>
        <v>92</v>
      </c>
      <c r="D93" s="1" t="s">
        <v>17</v>
      </c>
      <c r="F93" s="1" t="s">
        <v>475</v>
      </c>
      <c r="G93" s="1" t="s">
        <v>476</v>
      </c>
      <c r="H93" s="3" t="s">
        <v>477</v>
      </c>
      <c r="I93" s="1" t="s">
        <v>478</v>
      </c>
      <c r="J93" s="1" t="s">
        <v>22</v>
      </c>
    </row>
    <row r="94" spans="1:13" ht="71.25">
      <c r="A94" s="6">
        <f t="shared" si="1"/>
        <v>93</v>
      </c>
      <c r="B94" s="3" t="s">
        <v>479</v>
      </c>
      <c r="D94" s="1" t="s">
        <v>17</v>
      </c>
      <c r="F94" s="1" t="s">
        <v>480</v>
      </c>
      <c r="G94" s="1" t="s">
        <v>480</v>
      </c>
      <c r="H94" s="3" t="s">
        <v>481</v>
      </c>
      <c r="I94" s="3" t="s">
        <v>482</v>
      </c>
      <c r="J94" s="1" t="s">
        <v>22</v>
      </c>
    </row>
    <row r="95" spans="1:13" ht="57">
      <c r="A95" s="1">
        <v>94</v>
      </c>
      <c r="B95" s="1">
        <v>8039</v>
      </c>
      <c r="D95" s="1" t="s">
        <v>17</v>
      </c>
      <c r="E95" s="1" t="s">
        <v>483</v>
      </c>
      <c r="F95" s="1" t="s">
        <v>484</v>
      </c>
      <c r="G95" s="1" t="s">
        <v>439</v>
      </c>
      <c r="H95" s="3" t="s">
        <v>485</v>
      </c>
      <c r="I95" s="36" t="s">
        <v>486</v>
      </c>
      <c r="J95" s="1" t="s">
        <v>40</v>
      </c>
      <c r="K95" s="1" t="s">
        <v>23</v>
      </c>
      <c r="L95" s="2">
        <v>44543</v>
      </c>
      <c r="M95" s="1" t="s">
        <v>487</v>
      </c>
    </row>
    <row r="96" spans="1:13" ht="42.75">
      <c r="A96" s="1">
        <v>95</v>
      </c>
      <c r="B96" s="1" t="s">
        <v>488</v>
      </c>
      <c r="C96" s="3" t="s">
        <v>488</v>
      </c>
      <c r="D96" s="34" t="s">
        <v>488</v>
      </c>
      <c r="E96" s="1" t="s">
        <v>488</v>
      </c>
      <c r="F96" s="1" t="s">
        <v>187</v>
      </c>
      <c r="G96" s="1" t="s">
        <v>187</v>
      </c>
      <c r="H96" s="26" t="s">
        <v>489</v>
      </c>
      <c r="I96" s="1" t="s">
        <v>490</v>
      </c>
      <c r="J96" s="1" t="s">
        <v>446</v>
      </c>
      <c r="L96" s="2">
        <v>44985</v>
      </c>
    </row>
    <row r="97" spans="1:11" ht="45.75">
      <c r="A97" s="1">
        <v>96</v>
      </c>
      <c r="D97" s="34" t="s">
        <v>35</v>
      </c>
      <c r="F97" s="1" t="s">
        <v>491</v>
      </c>
      <c r="G97" s="1" t="s">
        <v>492</v>
      </c>
      <c r="H97" s="37" t="s">
        <v>493</v>
      </c>
      <c r="I97" s="3" t="s">
        <v>494</v>
      </c>
      <c r="J97" s="1" t="s">
        <v>40</v>
      </c>
      <c r="K97" s="1" t="s">
        <v>74</v>
      </c>
    </row>
    <row r="98" spans="1:11">
      <c r="H98" s="35"/>
    </row>
    <row r="99" spans="1:11">
      <c r="H99" s="35"/>
    </row>
    <row r="100" spans="1:11">
      <c r="H100" s="35"/>
    </row>
  </sheetData>
  <autoFilter ref="A1:O97" xr:uid="{00000000-0001-0000-0000-000000000000}"/>
  <dataValidations count="2">
    <dataValidation type="list" allowBlank="1" showInputMessage="1" showErrorMessage="1" sqref="C2:C74" xr:uid="{00000000-0002-0000-0000-000001000000}">
      <formula1>" - - , No, Yes"</formula1>
    </dataValidation>
    <dataValidation type="list" allowBlank="1" showInputMessage="1" showErrorMessage="1" sqref="J2:J84" xr:uid="{BEEA7529-DAF3-4747-B5FA-119A12BF0591}">
      <formula1>"- - , Functional, UX"</formula1>
    </dataValidation>
  </dataValidations>
  <hyperlinks>
    <hyperlink ref="M17" r:id="rId1" display="https://kony-appfactory.atlassian.net/wiki/spaces/CWB/pages/1657308170/Customization+Requests" xr:uid="{00000000-0004-0000-0000-000000000000}"/>
    <hyperlink ref="M18" r:id="rId2" display="https://kony-appfactory.atlassian.net/wiki/spaces/CWB/pages/1657308170/Customization+Requests" xr:uid="{00000000-0004-0000-0000-000001000000}"/>
    <hyperlink ref="M19" r:id="rId3" display="https://kony-appfactory.atlassian.net/wiki/spaces/CWB/pages/1657308170/Customization+Requests" xr:uid="{00000000-0004-0000-0000-000002000000}"/>
    <hyperlink ref="M20" r:id="rId4" display="https://kony-appfactory.atlassian.net/wiki/spaces/CWB/pages/1657308170/Customization+Requests" xr:uid="{00000000-0004-0000-0000-000003000000}"/>
    <hyperlink ref="M22" r:id="rId5" display="https://kony-appfactory.atlassian.net/wiki/spaces/CWB/pages/1657308170/Customization+Requests" xr:uid="{00000000-0004-0000-0000-000004000000}"/>
    <hyperlink ref="M23" r:id="rId6" display="https://kony-appfactory.atlassian.net/wiki/spaces/CWB/pages/1657308170/Customization+Requests" xr:uid="{00000000-0004-0000-0000-000005000000}"/>
    <hyperlink ref="M24" r:id="rId7" display="https://kony-appfactory.atlassian.net/wiki/spaces/CWB/pages/1657308170/Customization+Requests" xr:uid="{00000000-0004-0000-0000-000006000000}"/>
    <hyperlink ref="M26" r:id="rId8" display="https://kony-appfactory.atlassian.net/wiki/spaces/CWB/pages/1657308170/Customization+Requests" xr:uid="{00000000-0004-0000-0000-000007000000}"/>
    <hyperlink ref="M25" r:id="rId9" display="https://kony-appfactory.atlassian.net/wiki/spaces/CWB/pages/1657308170/Customization+Requests" xr:uid="{00000000-0004-0000-0000-000008000000}"/>
    <hyperlink ref="I81" r:id="rId10" location="/screens/442178280" xr:uid="{B7F98C4C-6BA4-48E9-A5AF-6173157C1516}"/>
    <hyperlink ref="I84" r:id="rId11" display="https://kony-appfactory.atlassian.net/browse/CP2R1-376" xr:uid="{0E324407-D6C9-49C7-88A9-24CD4B485F2D}"/>
    <hyperlink ref="I86" r:id="rId12" display="https://kony-appfactory.atlassian.net/browse/CP2R1-511" xr:uid="{BF7271B1-2B07-48C8-A8FA-A4DB8567FEF6}"/>
  </hyperlinks>
  <pageMargins left="0.75" right="0.75" top="1" bottom="1" header="0.5" footer="0.5"/>
  <pageSetup orientation="portrait" r:id="rId1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33C8D0-C665-4B2A-97F3-F73361DA01F9}"/>
</file>

<file path=customXml/itemProps2.xml><?xml version="1.0" encoding="utf-8"?>
<ds:datastoreItem xmlns:ds="http://schemas.openxmlformats.org/officeDocument/2006/customXml" ds:itemID="{3E9C25D2-906F-4A2E-855F-C60C781CBAB6}"/>
</file>

<file path=customXml/itemProps3.xml><?xml version="1.0" encoding="utf-8"?>
<ds:datastoreItem xmlns:ds="http://schemas.openxmlformats.org/officeDocument/2006/customXml" ds:itemID="{55B7C974-62AB-4169-B7A5-C971EE51FB51}"/>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Efosa Okonkwo</dc:creator>
  <cp:keywords/>
  <dc:description/>
  <cp:lastModifiedBy>Jerry Naraine</cp:lastModifiedBy>
  <cp:revision/>
  <dcterms:created xsi:type="dcterms:W3CDTF">2021-04-16T19:52:48Z</dcterms:created>
  <dcterms:modified xsi:type="dcterms:W3CDTF">2024-05-31T19:11:44Z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y fmtid="{D5CDD505-2E9C-101B-9397-08002B2CF9AE}" pid="4" name="MediaServiceImageTags">
    <vt:lpwstr/>
  </property>
</Properties>
</file>