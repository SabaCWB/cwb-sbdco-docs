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.cwb.local/projects/pmo2/Digital Program/Digital Program SharePoint/5 Efficiencies - Tricks, Tips and Templates/Templates/"/>
    </mc:Choice>
  </mc:AlternateContent>
  <bookViews>
    <workbookView xWindow="0" yWindow="0" windowWidth="25125" windowHeight="10050"/>
  </bookViews>
  <sheets>
    <sheet name="Timesheet" sheetId="1" r:id="rId1"/>
    <sheet name="Sheet2" sheetId="2" state="hidden" r:id="rId2"/>
    <sheet name="Sheet3" sheetId="3" state="hidden" r:id="rId3"/>
  </sheets>
  <definedNames>
    <definedName name="_xlnm.Print_Area" localSheetId="0">Timesheet!$A$1:$J$36</definedName>
  </definedNames>
  <calcPr calcId="162913"/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14" i="1"/>
  <c r="A14" i="1" l="1"/>
  <c r="E29" i="1" l="1"/>
  <c r="H29" i="1" l="1"/>
  <c r="I29" i="1" s="1"/>
  <c r="E28" i="1"/>
  <c r="H28" i="1" s="1"/>
  <c r="E14" i="1" l="1"/>
  <c r="H14" i="1" s="1"/>
  <c r="I14" i="1" s="1"/>
  <c r="E15" i="1" l="1"/>
  <c r="E16" i="1"/>
  <c r="E17" i="1"/>
  <c r="E18" i="1"/>
  <c r="E19" i="1"/>
  <c r="E20" i="1"/>
  <c r="E21" i="1"/>
  <c r="E22" i="1"/>
  <c r="E23" i="1"/>
  <c r="E24" i="1"/>
  <c r="E25" i="1"/>
  <c r="E26" i="1"/>
  <c r="E27" i="1"/>
  <c r="I28" i="1"/>
  <c r="H22" i="1" l="1"/>
  <c r="I22" i="1" s="1"/>
  <c r="H21" i="1"/>
  <c r="I21" i="1" s="1"/>
  <c r="H20" i="1"/>
  <c r="I20" i="1" s="1"/>
  <c r="H27" i="1"/>
  <c r="I27" i="1" s="1"/>
  <c r="H19" i="1"/>
  <c r="I19" i="1" s="1"/>
  <c r="H26" i="1"/>
  <c r="I26" i="1" s="1"/>
  <c r="H18" i="1"/>
  <c r="I18" i="1" s="1"/>
  <c r="H25" i="1"/>
  <c r="I25" i="1" s="1"/>
  <c r="H17" i="1"/>
  <c r="I17" i="1" s="1"/>
  <c r="H24" i="1"/>
  <c r="I24" i="1" s="1"/>
  <c r="H16" i="1"/>
  <c r="I16" i="1" s="1"/>
  <c r="H23" i="1"/>
  <c r="I23" i="1" s="1"/>
  <c r="H15" i="1"/>
  <c r="E31" i="1"/>
  <c r="G31" i="1"/>
  <c r="F31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H31" i="1" l="1"/>
  <c r="I15" i="1"/>
  <c r="I31" i="1" s="1"/>
</calcChain>
</file>

<file path=xl/comments1.xml><?xml version="1.0" encoding="utf-8"?>
<comments xmlns="http://schemas.openxmlformats.org/spreadsheetml/2006/main">
  <authors>
    <author>Barb Keryliuk</author>
    <author>Michelle Petzold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Enter the Start Date to automatically populate the Date column below. The template is set up for 16 days to accommodate a month with 31 days (16th through 31st) so adjust as needed for the particular month (i.e., should be 1st to 15th and then 16th to last day of month).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</rPr>
          <t>Enter the project name and code, asset code -</t>
        </r>
        <r>
          <rPr>
            <b/>
            <u/>
            <sz val="9"/>
            <color indexed="81"/>
            <rFont val="Tahoma"/>
            <family val="2"/>
          </rPr>
          <t xml:space="preserve"> if this is NIE then enter NIE</t>
        </r>
        <r>
          <rPr>
            <b/>
            <sz val="9"/>
            <color indexed="81"/>
            <rFont val="Tahoma"/>
            <family val="2"/>
          </rPr>
          <t>, GL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1" shapeId="0">
      <text>
        <r>
          <rPr>
            <b/>
            <sz val="9"/>
            <color indexed="81"/>
            <rFont val="Tahoma"/>
            <family val="2"/>
          </rPr>
          <t>Michelle Petzold: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Calculates the Total</t>
        </r>
      </text>
    </comment>
  </commentList>
</comments>
</file>

<file path=xl/sharedStrings.xml><?xml version="1.0" encoding="utf-8"?>
<sst xmlns="http://schemas.openxmlformats.org/spreadsheetml/2006/main" count="43" uniqueCount="39">
  <si>
    <t>CONTRACTOR TIME SHEET</t>
  </si>
  <si>
    <t>Consultant Name:</t>
  </si>
  <si>
    <t>Branch/Department:</t>
  </si>
  <si>
    <t>Date</t>
  </si>
  <si>
    <t>Start Time</t>
  </si>
  <si>
    <t>Finish Time</t>
  </si>
  <si>
    <t>Less Lunch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</si>
  <si>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</si>
  <si>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</si>
  <si>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</si>
  <si>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</si>
  <si>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</si>
  <si>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</si>
  <si>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</si>
  <si>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</si>
  <si>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</si>
  <si>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</si>
  <si>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</si>
  <si>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</si>
  <si>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1st to 15th</t>
  </si>
  <si>
    <t>16th to 31st</t>
  </si>
  <si>
    <t>Year:</t>
  </si>
  <si>
    <t>Total Project Hours</t>
  </si>
  <si>
    <t>Total Hours/Day</t>
  </si>
  <si>
    <t>Semi-Monthly Totals:</t>
  </si>
  <si>
    <t>Consultant's Signature</t>
  </si>
  <si>
    <t>Authorized Signature (1)</t>
  </si>
  <si>
    <t>Activity/Comments</t>
  </si>
  <si>
    <t>Hours</t>
  </si>
  <si>
    <t>Start Date:</t>
  </si>
  <si>
    <t>Motive &amp; Personal DCO</t>
  </si>
  <si>
    <t>Small Business DCO</t>
  </si>
  <si>
    <t>Digital Online Banking</t>
  </si>
  <si>
    <t>IS0387</t>
  </si>
  <si>
    <t>Time AM</t>
  </si>
  <si>
    <t>Time PM</t>
  </si>
  <si>
    <t xml:space="preserve">Lunch (Less Hrs.) </t>
  </si>
  <si>
    <t xml:space="preserve">Information Services.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</si>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</sst>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;@"/>
    <numFmt numFmtId="165" formatCode="dddd\,\ mm\-dd\-yyyy"/>
    <numFmt numFmtId="166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2" fontId="0" fillId="0" borderId="0" xfId="0" applyNumberFormat="1"/>
    <xf numFmtId="18" fontId="0" fillId="0" borderId="0" xfId="0" applyNumberFormat="1"/>
    <xf numFmtId="2" fontId="0" fillId="0" borderId="1" xfId="0" applyNumberFormat="1" applyBorder="1" applyAlignment="1">
      <alignment horizontal="center"/>
    </xf>
    <xf numFmtId="2" fontId="0" fillId="0" borderId="0" xfId="0" applyNumberFormat="1" applyBorder="1"/>
    <xf numFmtId="0" fontId="0" fillId="2" borderId="6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horizontal="right"/>
    </xf>
    <xf numFmtId="0" fontId="0" fillId="2" borderId="4" xfId="0" applyFill="1" applyBorder="1"/>
    <xf numFmtId="0" fontId="0" fillId="2" borderId="7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2" fontId="0" fillId="0" borderId="2" xfId="0" applyNumberForma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wrapText="1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/>
    <xf numFmtId="2" fontId="1" fillId="2" borderId="13" xfId="0" applyNumberFormat="1" applyFont="1" applyFill="1" applyBorder="1" applyAlignment="1">
      <alignment horizontal="center"/>
    </xf>
    <xf numFmtId="2" fontId="1" fillId="2" borderId="14" xfId="0" applyNumberFormat="1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2" fontId="0" fillId="0" borderId="1" xfId="0" applyNumberFormat="1" applyBorder="1"/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 wrapText="1"/>
    </xf>
    <xf numFmtId="2" fontId="0" fillId="0" borderId="1" xfId="0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0" fillId="0" borderId="4" xfId="0" applyBorder="1"/>
    <xf numFmtId="0" fontId="0" fillId="0" borderId="3" xfId="0" applyBorder="1"/>
    <xf numFmtId="14" fontId="7" fillId="2" borderId="3" xfId="0" applyNumberFormat="1" applyFont="1" applyFill="1" applyBorder="1"/>
    <xf numFmtId="0" fontId="7" fillId="2" borderId="3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wrapText="1"/>
    </xf>
    <xf numFmtId="165" fontId="0" fillId="3" borderId="1" xfId="0" applyNumberFormat="1" applyFill="1" applyBorder="1" applyAlignment="1">
      <alignment horizontal="left"/>
    </xf>
    <xf numFmtId="18" fontId="7" fillId="0" borderId="1" xfId="0" applyNumberFormat="1" applyFont="1" applyBorder="1" applyAlignment="1">
      <alignment horizontal="center"/>
    </xf>
    <xf numFmtId="2" fontId="7" fillId="2" borderId="1" xfId="0" applyNumberFormat="1" applyFont="1" applyFill="1" applyBorder="1" applyAlignment="1">
      <alignment horizontal="center" wrapText="1"/>
    </xf>
    <xf numFmtId="166" fontId="0" fillId="0" borderId="0" xfId="0" applyNumberFormat="1"/>
    <xf numFmtId="0" fontId="0" fillId="0" borderId="0" xfId="0" applyNumberFormat="1"/>
    <xf numFmtId="0" fontId="1" fillId="0" borderId="0" xfId="0" applyFont="1"/>
    <xf numFmtId="0" fontId="1" fillId="0" borderId="15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2" fontId="0" fillId="0" borderId="5" xfId="0" applyNumberFormat="1" applyBorder="1" applyAlignment="1"/>
    <xf numFmtId="0" fontId="0" fillId="0" borderId="5" xfId="0" applyBorder="1" applyAlignment="1"/>
    <xf numFmtId="0" fontId="1" fillId="2" borderId="4" xfId="0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64" fontId="0" fillId="0" borderId="0" xfId="0" applyNumberFormat="1" applyAlignment="1"/>
    <xf numFmtId="0" fontId="0" fillId="0" borderId="0" xfId="0" applyAlignment="1"/>
    <xf numFmtId="0" fontId="1" fillId="0" borderId="15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7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showGridLines="0" tabSelected="1" zoomScaleNormal="100" zoomScaleSheetLayoutView="100" workbookViewId="0">
      <selection activeCell="D18" sqref="D18"/>
    </sheetView>
  </sheetViews>
  <sheetFormatPr defaultRowHeight="15" x14ac:dyDescent="0.25"/>
  <cols>
    <col min="1" max="1" width="24" customWidth="1"/>
    <col min="2" max="2" width="10.140625" customWidth="1"/>
    <col min="3" max="3" width="9" customWidth="1"/>
    <col min="4" max="4" width="11.140625" bestFit="1" customWidth="1"/>
    <col min="5" max="5" width="10.42578125" customWidth="1"/>
    <col min="6" max="6" width="17.42578125" customWidth="1"/>
    <col min="7" max="7" width="17.85546875" customWidth="1"/>
    <col min="8" max="8" width="17.5703125" customWidth="1"/>
    <col min="9" max="9" width="8.7109375" customWidth="1"/>
    <col min="10" max="10" width="40.42578125" customWidth="1"/>
  </cols>
  <sheetData>
    <row r="1" spans="1:10" x14ac:dyDescent="0.25">
      <c r="A1" s="57"/>
      <c r="B1" s="57"/>
      <c r="C1" s="57"/>
      <c r="D1" s="57"/>
      <c r="E1" s="57"/>
      <c r="F1" s="57"/>
      <c r="G1" s="57"/>
      <c r="H1" s="57"/>
      <c r="I1" s="57"/>
      <c r="J1" s="57"/>
    </row>
    <row r="2" spans="1:10" ht="27" x14ac:dyDescent="0.35">
      <c r="A2" s="58" t="s">
        <v>0</v>
      </c>
      <c r="B2" s="58"/>
      <c r="C2" s="58"/>
      <c r="D2" s="58"/>
      <c r="E2" s="58"/>
      <c r="F2" s="58"/>
      <c r="G2" s="58"/>
      <c r="H2" s="58"/>
      <c r="I2" s="58"/>
      <c r="J2" s="58"/>
    </row>
    <row r="4" spans="1:10" ht="22.5" customHeight="1" x14ac:dyDescent="0.25">
      <c r="A4" s="59" t="s">
        <v>1</v>
      </c>
      <c r="B4" s="59"/>
      <c r="C4" s="60"/>
      <c r="D4" s="60"/>
      <c r="E4" s="60"/>
      <c r="F4" s="60"/>
    </row>
    <row r="5" spans="1:10" ht="23.25" customHeight="1" x14ac:dyDescent="0.25">
      <c r="A5" s="59" t="s">
        <v>2</v>
      </c>
      <c r="B5" s="59"/>
      <c r="C5" s="45" t="s">
        <v>37</v>
      </c>
      <c r="D5" s="45"/>
      <c r="E5" s="45"/>
      <c r="F5" s="45"/>
    </row>
    <row r="7" spans="1:10" x14ac:dyDescent="0.25">
      <c r="A7" s="6"/>
      <c r="B7" s="46" t="s">
        <v>29</v>
      </c>
      <c r="C7" s="46"/>
      <c r="D7" s="31">
        <v>44228</v>
      </c>
      <c r="E7" s="8" t="s">
        <v>21</v>
      </c>
      <c r="F7" s="32">
        <v>2021</v>
      </c>
      <c r="G7" s="7"/>
      <c r="H7" s="7"/>
      <c r="I7" s="9"/>
      <c r="J7" s="10"/>
    </row>
    <row r="8" spans="1:10" x14ac:dyDescent="0.25">
      <c r="A8" s="29"/>
      <c r="B8" s="29"/>
      <c r="C8" s="29"/>
      <c r="D8" s="29"/>
      <c r="E8" s="29"/>
      <c r="F8" s="30"/>
      <c r="G8" s="30"/>
      <c r="H8" s="30"/>
    </row>
    <row r="9" spans="1:10" x14ac:dyDescent="0.25">
      <c r="A9" s="51"/>
      <c r="B9" s="52"/>
      <c r="C9" s="52"/>
      <c r="D9" s="52"/>
      <c r="E9" s="53"/>
      <c r="F9" s="28" t="s">
        <v>30</v>
      </c>
      <c r="G9" s="28" t="s">
        <v>31</v>
      </c>
      <c r="H9" s="28" t="s">
        <v>32</v>
      </c>
      <c r="I9" s="40"/>
      <c r="J9" s="41"/>
    </row>
    <row r="10" spans="1:10" x14ac:dyDescent="0.25">
      <c r="A10" s="51"/>
      <c r="B10" s="52"/>
      <c r="C10" s="52"/>
      <c r="D10" s="52"/>
      <c r="E10" s="53"/>
      <c r="F10" s="28" t="s">
        <v>33</v>
      </c>
      <c r="G10" s="28" t="s">
        <v>33</v>
      </c>
      <c r="H10" s="28" t="s">
        <v>33</v>
      </c>
      <c r="I10" s="40"/>
      <c r="J10" s="41"/>
    </row>
    <row r="11" spans="1:10" x14ac:dyDescent="0.25">
      <c r="A11" s="51"/>
      <c r="B11" s="52"/>
      <c r="C11" s="52"/>
      <c r="D11" s="52"/>
      <c r="E11" s="53"/>
      <c r="F11" s="28">
        <v>20210139</v>
      </c>
      <c r="G11" s="28">
        <v>20210200</v>
      </c>
      <c r="H11" s="28">
        <v>20210138</v>
      </c>
      <c r="I11" s="40"/>
      <c r="J11" s="41"/>
    </row>
    <row r="12" spans="1:10" x14ac:dyDescent="0.25">
      <c r="A12" s="54"/>
      <c r="B12" s="55"/>
      <c r="C12" s="55"/>
      <c r="D12" s="55"/>
      <c r="E12" s="56"/>
      <c r="F12" s="28">
        <v>17235</v>
      </c>
      <c r="G12" s="28">
        <v>17235</v>
      </c>
      <c r="H12" s="28">
        <v>17235</v>
      </c>
      <c r="I12" s="42"/>
      <c r="J12" s="43"/>
    </row>
    <row r="13" spans="1:10" ht="45" x14ac:dyDescent="0.25">
      <c r="A13" s="11" t="s">
        <v>3</v>
      </c>
      <c r="B13" s="12" t="s">
        <v>4</v>
      </c>
      <c r="C13" s="12" t="s">
        <v>6</v>
      </c>
      <c r="D13" s="12" t="s">
        <v>5</v>
      </c>
      <c r="E13" s="13" t="s">
        <v>23</v>
      </c>
      <c r="F13" s="16" t="s">
        <v>28</v>
      </c>
      <c r="G13" s="27" t="s">
        <v>28</v>
      </c>
      <c r="H13" s="27" t="s">
        <v>28</v>
      </c>
      <c r="I13" s="12" t="s">
        <v>22</v>
      </c>
      <c r="J13" s="12" t="s">
        <v>27</v>
      </c>
    </row>
    <row r="14" spans="1:10" x14ac:dyDescent="0.25">
      <c r="A14" s="34">
        <f>D7</f>
        <v>44228</v>
      </c>
      <c r="B14" s="35">
        <v>0.33333333333333298</v>
      </c>
      <c r="C14" s="36">
        <v>1</v>
      </c>
      <c r="D14" s="35">
        <v>0.72916666666666696</v>
      </c>
      <c r="E14" s="14">
        <f>(((D14-B14)*1440)/60)-C14</f>
        <v>8.500000000000016</v>
      </c>
      <c r="F14" s="17">
        <f>0</f>
        <v>0</v>
      </c>
      <c r="G14" s="4">
        <v>0</v>
      </c>
      <c r="H14" s="4">
        <f>SUM(E14:G14)</f>
        <v>8.500000000000016</v>
      </c>
      <c r="I14" s="33">
        <f>SUM(F14:H14)</f>
        <v>8.500000000000016</v>
      </c>
      <c r="J14" s="25"/>
    </row>
    <row r="15" spans="1:10" x14ac:dyDescent="0.25">
      <c r="A15" s="34">
        <f>SUM(A14, 1)</f>
        <v>44229</v>
      </c>
      <c r="B15" s="35">
        <v>0.33333333333333298</v>
      </c>
      <c r="C15" s="36">
        <v>1</v>
      </c>
      <c r="D15" s="35">
        <v>0.70833333333333304</v>
      </c>
      <c r="E15" s="22">
        <f t="shared" ref="E15:E26" si="0">(((D15-B15)*1440)/60)-C15</f>
        <v>8.0000000000000018</v>
      </c>
      <c r="F15" s="17">
        <f>0</f>
        <v>0</v>
      </c>
      <c r="G15" s="21">
        <v>0</v>
      </c>
      <c r="H15" s="4">
        <f t="shared" ref="H15:H29" si="1">SUM(E15:G15)</f>
        <v>8.0000000000000018</v>
      </c>
      <c r="I15" s="33">
        <f t="shared" ref="I15:I29" si="2">SUM(F15:H15)</f>
        <v>8.0000000000000018</v>
      </c>
      <c r="J15" s="26"/>
    </row>
    <row r="16" spans="1:10" x14ac:dyDescent="0.25">
      <c r="A16" s="34">
        <f t="shared" ref="A16:A29" si="3">SUM(A15, 1)</f>
        <v>44230</v>
      </c>
      <c r="B16" s="35"/>
      <c r="C16" s="36"/>
      <c r="D16" s="35"/>
      <c r="E16" s="22">
        <f t="shared" si="0"/>
        <v>0</v>
      </c>
      <c r="F16" s="17">
        <f>0</f>
        <v>0</v>
      </c>
      <c r="G16" s="21">
        <v>0</v>
      </c>
      <c r="H16" s="4">
        <f t="shared" si="1"/>
        <v>0</v>
      </c>
      <c r="I16" s="33">
        <f t="shared" si="2"/>
        <v>0</v>
      </c>
      <c r="J16" s="26"/>
    </row>
    <row r="17" spans="1:10" x14ac:dyDescent="0.25">
      <c r="A17" s="34">
        <f t="shared" si="3"/>
        <v>44231</v>
      </c>
      <c r="B17" s="35"/>
      <c r="C17" s="36"/>
      <c r="D17" s="35"/>
      <c r="E17" s="22">
        <f t="shared" si="0"/>
        <v>0</v>
      </c>
      <c r="F17" s="17">
        <f>0</f>
        <v>0</v>
      </c>
      <c r="G17" s="21">
        <v>0</v>
      </c>
      <c r="H17" s="4">
        <f t="shared" si="1"/>
        <v>0</v>
      </c>
      <c r="I17" s="33">
        <f t="shared" si="2"/>
        <v>0</v>
      </c>
      <c r="J17" s="26"/>
    </row>
    <row r="18" spans="1:10" x14ac:dyDescent="0.25">
      <c r="A18" s="34">
        <f t="shared" si="3"/>
        <v>44232</v>
      </c>
      <c r="B18" s="35"/>
      <c r="C18" s="36"/>
      <c r="D18" s="35"/>
      <c r="E18" s="22">
        <f t="shared" si="0"/>
        <v>0</v>
      </c>
      <c r="F18" s="17">
        <f>0</f>
        <v>0</v>
      </c>
      <c r="G18" s="21">
        <v>0</v>
      </c>
      <c r="H18" s="4">
        <f t="shared" si="1"/>
        <v>0</v>
      </c>
      <c r="I18" s="33">
        <f t="shared" si="2"/>
        <v>0</v>
      </c>
      <c r="J18" s="26"/>
    </row>
    <row r="19" spans="1:10" x14ac:dyDescent="0.25">
      <c r="A19" s="34">
        <f t="shared" si="3"/>
        <v>44233</v>
      </c>
      <c r="B19" s="35"/>
      <c r="C19" s="36"/>
      <c r="D19" s="35"/>
      <c r="E19" s="22">
        <f t="shared" si="0"/>
        <v>0</v>
      </c>
      <c r="F19" s="17">
        <f>0</f>
        <v>0</v>
      </c>
      <c r="G19" s="21">
        <v>0</v>
      </c>
      <c r="H19" s="4">
        <f t="shared" si="1"/>
        <v>0</v>
      </c>
      <c r="I19" s="33">
        <f t="shared" si="2"/>
        <v>0</v>
      </c>
      <c r="J19" s="26"/>
    </row>
    <row r="20" spans="1:10" x14ac:dyDescent="0.25">
      <c r="A20" s="34">
        <f t="shared" si="3"/>
        <v>44234</v>
      </c>
      <c r="B20" s="35"/>
      <c r="C20" s="36"/>
      <c r="D20" s="35"/>
      <c r="E20" s="22">
        <f t="shared" si="0"/>
        <v>0</v>
      </c>
      <c r="F20" s="17">
        <f>0</f>
        <v>0</v>
      </c>
      <c r="G20" s="21">
        <v>0</v>
      </c>
      <c r="H20" s="4">
        <f t="shared" si="1"/>
        <v>0</v>
      </c>
      <c r="I20" s="33">
        <f t="shared" si="2"/>
        <v>0</v>
      </c>
      <c r="J20" s="26"/>
    </row>
    <row r="21" spans="1:10" x14ac:dyDescent="0.25">
      <c r="A21" s="34">
        <f t="shared" si="3"/>
        <v>44235</v>
      </c>
      <c r="B21" s="35"/>
      <c r="C21" s="36"/>
      <c r="D21" s="35"/>
      <c r="E21" s="22">
        <f t="shared" si="0"/>
        <v>0</v>
      </c>
      <c r="F21" s="17">
        <f>0</f>
        <v>0</v>
      </c>
      <c r="G21" s="21">
        <v>0</v>
      </c>
      <c r="H21" s="4">
        <f t="shared" si="1"/>
        <v>0</v>
      </c>
      <c r="I21" s="33">
        <f t="shared" si="2"/>
        <v>0</v>
      </c>
      <c r="J21" s="26"/>
    </row>
    <row r="22" spans="1:10" x14ac:dyDescent="0.25">
      <c r="A22" s="34">
        <f t="shared" si="3"/>
        <v>44236</v>
      </c>
      <c r="B22" s="35"/>
      <c r="C22" s="36"/>
      <c r="D22" s="35"/>
      <c r="E22" s="22">
        <f t="shared" si="0"/>
        <v>0</v>
      </c>
      <c r="F22" s="17">
        <f>0</f>
        <v>0</v>
      </c>
      <c r="G22" s="21">
        <v>0</v>
      </c>
      <c r="H22" s="4">
        <f t="shared" si="1"/>
        <v>0</v>
      </c>
      <c r="I22" s="33">
        <f t="shared" si="2"/>
        <v>0</v>
      </c>
      <c r="J22" s="26"/>
    </row>
    <row r="23" spans="1:10" x14ac:dyDescent="0.25">
      <c r="A23" s="34">
        <f t="shared" si="3"/>
        <v>44237</v>
      </c>
      <c r="B23" s="35"/>
      <c r="C23" s="36"/>
      <c r="D23" s="35"/>
      <c r="E23" s="22">
        <f t="shared" si="0"/>
        <v>0</v>
      </c>
      <c r="F23" s="17">
        <f>0</f>
        <v>0</v>
      </c>
      <c r="G23" s="21">
        <v>0</v>
      </c>
      <c r="H23" s="4">
        <f t="shared" si="1"/>
        <v>0</v>
      </c>
      <c r="I23" s="33">
        <f t="shared" si="2"/>
        <v>0</v>
      </c>
      <c r="J23" s="26"/>
    </row>
    <row r="24" spans="1:10" x14ac:dyDescent="0.25">
      <c r="A24" s="34">
        <f t="shared" si="3"/>
        <v>44238</v>
      </c>
      <c r="B24" s="35"/>
      <c r="C24" s="36"/>
      <c r="D24" s="35"/>
      <c r="E24" s="22">
        <f t="shared" si="0"/>
        <v>0</v>
      </c>
      <c r="F24" s="17">
        <f>0</f>
        <v>0</v>
      </c>
      <c r="G24" s="21">
        <v>0</v>
      </c>
      <c r="H24" s="4">
        <f t="shared" si="1"/>
        <v>0</v>
      </c>
      <c r="I24" s="33">
        <f t="shared" si="2"/>
        <v>0</v>
      </c>
      <c r="J24" s="26"/>
    </row>
    <row r="25" spans="1:10" x14ac:dyDescent="0.25">
      <c r="A25" s="34">
        <f t="shared" si="3"/>
        <v>44239</v>
      </c>
      <c r="B25" s="35"/>
      <c r="C25" s="36"/>
      <c r="D25" s="35"/>
      <c r="E25" s="22">
        <f t="shared" si="0"/>
        <v>0</v>
      </c>
      <c r="F25" s="17">
        <f>0</f>
        <v>0</v>
      </c>
      <c r="G25" s="21">
        <v>0</v>
      </c>
      <c r="H25" s="4">
        <f t="shared" si="1"/>
        <v>0</v>
      </c>
      <c r="I25" s="33">
        <f t="shared" si="2"/>
        <v>0</v>
      </c>
      <c r="J25" s="26"/>
    </row>
    <row r="26" spans="1:10" x14ac:dyDescent="0.25">
      <c r="A26" s="34">
        <f t="shared" si="3"/>
        <v>44240</v>
      </c>
      <c r="B26" s="35"/>
      <c r="C26" s="36"/>
      <c r="D26" s="35"/>
      <c r="E26" s="22">
        <f t="shared" si="0"/>
        <v>0</v>
      </c>
      <c r="F26" s="17">
        <f>0</f>
        <v>0</v>
      </c>
      <c r="G26" s="21">
        <v>0</v>
      </c>
      <c r="H26" s="4">
        <f t="shared" si="1"/>
        <v>0</v>
      </c>
      <c r="I26" s="33">
        <f t="shared" si="2"/>
        <v>0</v>
      </c>
      <c r="J26" s="26"/>
    </row>
    <row r="27" spans="1:10" x14ac:dyDescent="0.25">
      <c r="A27" s="34">
        <f t="shared" si="3"/>
        <v>44241</v>
      </c>
      <c r="B27" s="35"/>
      <c r="C27" s="36"/>
      <c r="D27" s="35"/>
      <c r="E27" s="22">
        <f t="shared" ref="E27:E28" si="4">(((D27-B27)*1440)/60)-C27</f>
        <v>0</v>
      </c>
      <c r="F27" s="17">
        <f>0</f>
        <v>0</v>
      </c>
      <c r="G27" s="21">
        <v>0</v>
      </c>
      <c r="H27" s="4">
        <f t="shared" si="1"/>
        <v>0</v>
      </c>
      <c r="I27" s="33">
        <f t="shared" si="2"/>
        <v>0</v>
      </c>
      <c r="J27" s="26"/>
    </row>
    <row r="28" spans="1:10" x14ac:dyDescent="0.25">
      <c r="A28" s="34">
        <f t="shared" si="3"/>
        <v>44242</v>
      </c>
      <c r="B28" s="35"/>
      <c r="C28" s="36"/>
      <c r="D28" s="35"/>
      <c r="E28" s="22">
        <f t="shared" si="4"/>
        <v>0</v>
      </c>
      <c r="F28" s="17">
        <f>0</f>
        <v>0</v>
      </c>
      <c r="G28" s="21">
        <v>0</v>
      </c>
      <c r="H28" s="4">
        <f t="shared" si="1"/>
        <v>0</v>
      </c>
      <c r="I28" s="33">
        <f t="shared" si="2"/>
        <v>0</v>
      </c>
      <c r="J28" s="26"/>
    </row>
    <row r="29" spans="1:10" x14ac:dyDescent="0.25">
      <c r="A29" s="34">
        <f t="shared" si="3"/>
        <v>44243</v>
      </c>
      <c r="B29" s="35"/>
      <c r="C29" s="36"/>
      <c r="D29" s="35"/>
      <c r="E29" s="22">
        <f t="shared" ref="E29" si="5">(((D29-B29)*1440)/60)-C29</f>
        <v>0</v>
      </c>
      <c r="F29" s="17">
        <f>0</f>
        <v>0</v>
      </c>
      <c r="G29" s="21">
        <v>0</v>
      </c>
      <c r="H29" s="4">
        <f t="shared" si="1"/>
        <v>0</v>
      </c>
      <c r="I29" s="33">
        <f t="shared" si="2"/>
        <v>0</v>
      </c>
      <c r="J29" s="26"/>
    </row>
    <row r="30" spans="1:10" x14ac:dyDescent="0.25">
      <c r="A30" s="1"/>
      <c r="B30" s="3"/>
      <c r="C30" s="2"/>
      <c r="D30" s="3"/>
      <c r="E30" s="5"/>
      <c r="F30" s="18"/>
      <c r="G30" s="5"/>
      <c r="H30" s="5"/>
      <c r="I30" s="33"/>
      <c r="J30" s="23"/>
    </row>
    <row r="31" spans="1:10" ht="15.75" thickBot="1" x14ac:dyDescent="0.3">
      <c r="A31" s="1"/>
      <c r="B31" s="3"/>
      <c r="C31" s="47" t="s">
        <v>24</v>
      </c>
      <c r="D31" s="48"/>
      <c r="E31" s="15">
        <f>SUM(E14:E29)</f>
        <v>16.500000000000018</v>
      </c>
      <c r="F31" s="19">
        <f>SUM(F14:F29)</f>
        <v>0</v>
      </c>
      <c r="G31" s="20">
        <f>SUM(G14:G29)</f>
        <v>0</v>
      </c>
      <c r="H31" s="20">
        <f>SUM(H14:H29)</f>
        <v>16.500000000000018</v>
      </c>
      <c r="I31" s="33">
        <f>SUM(I14:I29)</f>
        <v>16.500000000000018</v>
      </c>
      <c r="J31" s="24"/>
    </row>
    <row r="32" spans="1:10" ht="15.75" thickTop="1" x14ac:dyDescent="0.25">
      <c r="A32" s="1"/>
      <c r="B32" s="3"/>
      <c r="C32" s="2"/>
      <c r="D32" s="3"/>
      <c r="E32" s="2"/>
      <c r="F32" s="2"/>
      <c r="G32" s="2"/>
      <c r="H32" s="2"/>
      <c r="I32" s="2"/>
    </row>
    <row r="33" spans="1:9" ht="22.5" customHeight="1" x14ac:dyDescent="0.25">
      <c r="A33" s="49" t="s">
        <v>25</v>
      </c>
      <c r="B33" s="50"/>
      <c r="C33" s="44"/>
      <c r="D33" s="45"/>
      <c r="E33" s="45"/>
      <c r="F33" s="45"/>
      <c r="G33" s="2"/>
      <c r="H33" s="2"/>
      <c r="I33" s="2"/>
    </row>
    <row r="34" spans="1:9" ht="22.5" customHeight="1" x14ac:dyDescent="0.25">
      <c r="A34" s="49" t="s">
        <v>26</v>
      </c>
      <c r="B34" s="50"/>
      <c r="C34" s="44"/>
      <c r="D34" s="45"/>
      <c r="E34" s="45"/>
      <c r="F34" s="45"/>
      <c r="G34" s="2"/>
      <c r="H34" s="2"/>
      <c r="I34" s="2"/>
    </row>
  </sheetData>
  <mergeCells count="14">
    <mergeCell ref="A1:J1"/>
    <mergeCell ref="A2:J2"/>
    <mergeCell ref="A4:B4"/>
    <mergeCell ref="A5:B5"/>
    <mergeCell ref="C4:F4"/>
    <mergeCell ref="C5:F5"/>
    <mergeCell ref="I9:J12"/>
    <mergeCell ref="C33:F33"/>
    <mergeCell ref="C34:F34"/>
    <mergeCell ref="B7:C7"/>
    <mergeCell ref="C31:D31"/>
    <mergeCell ref="A33:B33"/>
    <mergeCell ref="A34:B34"/>
    <mergeCell ref="A9:E12"/>
  </mergeCells>
  <pageMargins left="0.25" right="0.25" top="0.75" bottom="0.75" header="0.3" footer="0.3"/>
  <pageSetup scale="62" orientation="portrait" r:id="rId1"/>
  <headerFooter>
    <oddHeader>&amp;C&amp;"Times New Roman,Bold"&amp;28CANADIAN WESTERN BANK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Sheet2!$E$2:$E$12</xm:f>
          </x14:formula1>
          <xm:sqref>C14:C29</xm:sqref>
        </x14:dataValidation>
        <x14:dataValidation type="list" allowBlank="1" showInputMessage="1" showErrorMessage="1">
          <x14:formula1>
            <xm:f>Sheet2!$C$2:$C$26</xm:f>
          </x14:formula1>
          <xm:sqref>B14:B29</xm:sqref>
        </x14:dataValidation>
        <x14:dataValidation type="list" allowBlank="1" showInputMessage="1" showErrorMessage="1">
          <x14:formula1>
            <xm:f>Sheet2!$D$2:$D$26</xm:f>
          </x14:formula1>
          <xm:sqref>D14:D29</xm:sqref>
        </x14:dataValidation>
        <x14:dataValidation type="list" allowBlank="1" showInputMessage="1" showErrorMessage="1">
          <x14:formula1>
            <xm:f>Sheet2!$G$2:$G$12</xm:f>
          </x14:formula1>
          <xm:sqref>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H1" workbookViewId="0">
      <selection activeCell="O24" sqref="O24"/>
    </sheetView>
  </sheetViews>
  <sheetFormatPr defaultRowHeight="15" x14ac:dyDescent="0.25"/>
  <cols>
    <col min="1" max="1" width="10.42578125" hidden="1" customWidth="1"/>
    <col min="2" max="2" width="9" hidden="1" customWidth="1"/>
    <col min="3" max="4" width="11" hidden="1" customWidth="1"/>
    <col min="5" max="5" width="14.28515625" hidden="1" customWidth="1"/>
    <col min="6" max="7" width="0" hidden="1" customWidth="1"/>
  </cols>
  <sheetData>
    <row r="1" spans="1:7" x14ac:dyDescent="0.25">
      <c r="A1" t="s">
        <v>7</v>
      </c>
      <c r="C1" s="39" t="s">
        <v>34</v>
      </c>
      <c r="D1" s="39" t="s">
        <v>35</v>
      </c>
      <c r="E1" s="39" t="s">
        <v>36</v>
      </c>
      <c r="G1" s="39" t="s">
        <v>38</v>
      </c>
    </row>
    <row r="2" spans="1:7" x14ac:dyDescent="0.25">
      <c r="A2" t="s">
        <v>8</v>
      </c>
      <c r="G2">
        <v>2021</v>
      </c>
    </row>
    <row r="3" spans="1:7" x14ac:dyDescent="0.25">
      <c r="A3" t="s">
        <v>9</v>
      </c>
      <c r="C3" s="37">
        <v>0</v>
      </c>
      <c r="D3" s="37">
        <v>0.5</v>
      </c>
      <c r="E3" s="38">
        <v>0.5</v>
      </c>
      <c r="G3">
        <v>2022</v>
      </c>
    </row>
    <row r="4" spans="1:7" x14ac:dyDescent="0.25">
      <c r="A4" t="s">
        <v>10</v>
      </c>
      <c r="C4" s="37">
        <v>2.0833333333333332E-2</v>
      </c>
      <c r="D4" s="37">
        <v>0.52083333333333304</v>
      </c>
      <c r="E4" s="38">
        <v>1</v>
      </c>
      <c r="G4">
        <v>2023</v>
      </c>
    </row>
    <row r="5" spans="1:7" x14ac:dyDescent="0.25">
      <c r="A5" t="s">
        <v>11</v>
      </c>
      <c r="C5" s="37">
        <v>4.1666666666666699E-2</v>
      </c>
      <c r="D5" s="37">
        <v>0.54166666666666696</v>
      </c>
      <c r="E5">
        <v>1.5</v>
      </c>
      <c r="G5">
        <v>2024</v>
      </c>
    </row>
    <row r="6" spans="1:7" x14ac:dyDescent="0.25">
      <c r="A6" t="s">
        <v>12</v>
      </c>
      <c r="C6" s="37">
        <v>6.25E-2</v>
      </c>
      <c r="D6" s="37">
        <v>0.5625</v>
      </c>
      <c r="E6">
        <v>2</v>
      </c>
      <c r="G6">
        <v>2025</v>
      </c>
    </row>
    <row r="7" spans="1:7" x14ac:dyDescent="0.25">
      <c r="A7" t="s">
        <v>13</v>
      </c>
      <c r="C7" s="37">
        <v>8.3333333333333301E-2</v>
      </c>
      <c r="D7" s="37">
        <v>0.58333333333333304</v>
      </c>
      <c r="E7">
        <v>2.5</v>
      </c>
      <c r="G7">
        <v>2026</v>
      </c>
    </row>
    <row r="8" spans="1:7" x14ac:dyDescent="0.25">
      <c r="A8" t="s">
        <v>14</v>
      </c>
      <c r="C8" s="37">
        <v>0.104166666666667</v>
      </c>
      <c r="D8" s="37">
        <v>0.60416666666666696</v>
      </c>
      <c r="E8">
        <v>3</v>
      </c>
      <c r="G8">
        <v>2027</v>
      </c>
    </row>
    <row r="9" spans="1:7" x14ac:dyDescent="0.25">
      <c r="A9" t="s">
        <v>15</v>
      </c>
      <c r="C9" s="37">
        <v>0.125</v>
      </c>
      <c r="D9" s="37">
        <v>0.625</v>
      </c>
      <c r="E9">
        <v>3.5</v>
      </c>
      <c r="G9">
        <v>2028</v>
      </c>
    </row>
    <row r="10" spans="1:7" x14ac:dyDescent="0.25">
      <c r="A10" t="s">
        <v>16</v>
      </c>
      <c r="C10" s="37">
        <v>0.14583333333333301</v>
      </c>
      <c r="D10" s="37">
        <v>0.64583333333333304</v>
      </c>
      <c r="E10">
        <v>4</v>
      </c>
      <c r="G10">
        <v>2029</v>
      </c>
    </row>
    <row r="11" spans="1:7" x14ac:dyDescent="0.25">
      <c r="A11" t="s">
        <v>17</v>
      </c>
      <c r="C11" s="37">
        <v>0.16666666666666699</v>
      </c>
      <c r="D11" s="37">
        <v>0.66666666666666696</v>
      </c>
      <c r="E11">
        <v>4.5</v>
      </c>
      <c r="G11">
        <v>2030</v>
      </c>
    </row>
    <row r="12" spans="1:7" x14ac:dyDescent="0.25">
      <c r="A12" t="s">
        <v>18</v>
      </c>
      <c r="C12" s="37">
        <v>0.1875</v>
      </c>
      <c r="D12" s="37">
        <v>0.6875</v>
      </c>
      <c r="E12">
        <v>5</v>
      </c>
      <c r="G12">
        <v>2031</v>
      </c>
    </row>
    <row r="13" spans="1:7" x14ac:dyDescent="0.25">
      <c r="C13" s="37">
        <v>0.20833333333333301</v>
      </c>
      <c r="D13" s="37">
        <v>0.70833333333333304</v>
      </c>
    </row>
    <row r="14" spans="1:7" x14ac:dyDescent="0.25">
      <c r="C14" s="37">
        <v>0.22916666666666699</v>
      </c>
      <c r="D14" s="37">
        <v>0.72916666666666696</v>
      </c>
    </row>
    <row r="15" spans="1:7" x14ac:dyDescent="0.25">
      <c r="C15" s="37">
        <v>0.25</v>
      </c>
      <c r="D15" s="37">
        <v>0.75</v>
      </c>
    </row>
    <row r="16" spans="1:7" x14ac:dyDescent="0.25">
      <c r="A16" t="s">
        <v>19</v>
      </c>
      <c r="C16" s="37">
        <v>0.27083333333333298</v>
      </c>
      <c r="D16" s="37">
        <v>0.77083333333333304</v>
      </c>
    </row>
    <row r="17" spans="1:4" x14ac:dyDescent="0.25">
      <c r="A17" t="s">
        <v>20</v>
      </c>
      <c r="C17" s="37">
        <v>0.29166666666666702</v>
      </c>
      <c r="D17" s="37">
        <v>0.79166666666666696</v>
      </c>
    </row>
    <row r="18" spans="1:4" x14ac:dyDescent="0.25">
      <c r="C18" s="37">
        <v>0.3125</v>
      </c>
      <c r="D18" s="37">
        <v>0.8125</v>
      </c>
    </row>
    <row r="19" spans="1:4" x14ac:dyDescent="0.25">
      <c r="C19" s="37">
        <v>0.33333333333333298</v>
      </c>
      <c r="D19" s="37">
        <v>0.83333333333333304</v>
      </c>
    </row>
    <row r="20" spans="1:4" x14ac:dyDescent="0.25">
      <c r="C20" s="37">
        <v>0.35416666666666702</v>
      </c>
      <c r="D20" s="37">
        <v>0.85416666666666696</v>
      </c>
    </row>
    <row r="21" spans="1:4" x14ac:dyDescent="0.25">
      <c r="C21" s="37">
        <v>0.375</v>
      </c>
      <c r="D21" s="37">
        <v>0.875</v>
      </c>
    </row>
    <row r="22" spans="1:4" x14ac:dyDescent="0.25">
      <c r="C22" s="37">
        <v>0.39583333333333298</v>
      </c>
      <c r="D22" s="37">
        <v>0.89583333333333304</v>
      </c>
    </row>
    <row r="23" spans="1:4" x14ac:dyDescent="0.25">
      <c r="C23" s="37">
        <v>0.41666666666666702</v>
      </c>
      <c r="D23" s="37">
        <v>0.91666666666666696</v>
      </c>
    </row>
    <row r="24" spans="1:4" x14ac:dyDescent="0.25">
      <c r="C24" s="37">
        <v>0.4375</v>
      </c>
      <c r="D24" s="37">
        <v>0.9375</v>
      </c>
    </row>
    <row r="25" spans="1:4" x14ac:dyDescent="0.25">
      <c r="C25" s="37">
        <v>0.45833333333333298</v>
      </c>
      <c r="D25" s="37">
        <v>0.95833333333333304</v>
      </c>
    </row>
    <row r="26" spans="1:4" x14ac:dyDescent="0.25">
      <c r="C26" s="37">
        <v>0.47916666666666702</v>
      </c>
      <c r="D26" s="37">
        <v>0.97916666666666696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77504-69A2-4058-84A6-E157DA85753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5B4743B-9855-40E6-A5CF-D55D1D9963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335993-2E8B-48A4-B38A-C1C7FA4258C4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Timesheet</vt:lpstr>
      <vt:lpstr>Sheet2</vt:lpstr>
      <vt:lpstr>Sheet3</vt:lpstr>
      <vt:lpstr>Timesheet!Print_Area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Janet Bland</dc:creator>
  <cp:lastModifiedBy>Alvin Quach</cp:lastModifiedBy>
  <cp:lastPrinted>2021-01-18T19:46:01Z</cp:lastPrinted>
  <dcterms:created xsi:type="dcterms:W3CDTF">2016-11-10T15:16:14Z</dcterms:created>
  <dcterms:modified xsi:type="dcterms:W3CDTF">2021-02-19T18:10:52Z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100</vt:r8>
  </property>
  <property fmtid="{D5CDD505-2E9C-101B-9397-08002B2CF9AE}" pid="4" name="URL">
    <vt:lpwstr/>
  </property>
</Properties>
</file>