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filterPrivacy="1" codeName="ThisWorkbook"/>
  <xr:revisionPtr revIDLastSave="0" documentId="13_ncr:1_{B206B580-C5D6-47D6-9E21-09033E940E47}" xr6:coauthVersionLast="47" xr6:coauthVersionMax="47" xr10:uidLastSave="{00000000-0000-0000-0000-000000000000}"/>
  <bookViews>
    <workbookView xWindow="-108" yWindow="-108" windowWidth="23256" windowHeight="12576" xr2:uid="{00000000-000D-0000-FFFF-FFFF00000000}"/>
  </bookViews>
  <sheets>
    <sheet name="CWB Deployment Plan VCOO" sheetId="22" r:id="rId1"/>
    <sheet name="RollBackActivities" sheetId="25" r:id="rId2"/>
    <sheet name="Apps list" sheetId="23" r:id="rId3"/>
    <sheet name="Contact list" sheetId="26" r:id="rId4"/>
    <sheet name="Indicative Timeline" sheetId="15" state="hidden" r:id="rId5"/>
    <sheet name="Project Readiness" sheetId="18" state="hidden" r:id="rId6"/>
    <sheet name="Infinity OLB &amp; Mob App" sheetId="17" state="hidden" r:id="rId7"/>
    <sheet name="CWB Deployment Plan" sheetId="21" state="hidden" r:id="rId8"/>
    <sheet name="Sheet2" sheetId="19" state="hidden" r:id="rId9"/>
    <sheet name="OLB &amp; Mob App (OLD)" sheetId="11" state="hidden" r:id="rId10"/>
  </sheets>
  <externalReferences>
    <externalReference r:id="rId11"/>
  </externalReferences>
  <definedNames>
    <definedName name="_xlnm._FilterDatabase" localSheetId="0" hidden="1">'CWB Deployment Plan VCOO'!$C$104:$D$208</definedName>
    <definedName name="Assignee_Main" localSheetId="4">'Indicative Timeline'!#REF!</definedName>
    <definedName name="ColumnTitle1">Contacts[[#Headers],[Organization]]</definedName>
    <definedName name="Display_Week" localSheetId="7">'CWB Deployment Plan'!$G$1</definedName>
    <definedName name="Display_Week" localSheetId="0">'CWB Deployment Plan VCOO'!$I$1</definedName>
    <definedName name="Display_Week" localSheetId="6">'Infinity OLB &amp; Mob App'!$H$1</definedName>
    <definedName name="Display_Week" localSheetId="5">'Project Readiness'!$F$1</definedName>
    <definedName name="Display_Week" localSheetId="1">'[1]OLB &amp; Mob App (OLD)'!$H$4</definedName>
    <definedName name="Display_Week">'OLB &amp; Mob App (OLD)'!$H$4</definedName>
    <definedName name="_xlnm.Print_Titles" localSheetId="3">'Contact list'!$2:$2</definedName>
    <definedName name="_xlnm.Print_Titles" localSheetId="7">'CWB Deployment Plan'!$1:$3</definedName>
    <definedName name="_xlnm.Print_Titles" localSheetId="0">'CWB Deployment Plan VCOO'!$1:$3</definedName>
    <definedName name="_xlnm.Print_Titles" localSheetId="6">'Infinity OLB &amp; Mob App'!$1:$3</definedName>
    <definedName name="_xlnm.Print_Titles" localSheetId="9">'OLB &amp; Mob App (OLD)'!$4:$6</definedName>
    <definedName name="_xlnm.Print_Titles" localSheetId="5">'Project Readiness'!$1:$3</definedName>
    <definedName name="Project_Start" localSheetId="7">'CWB Deployment Plan'!$C$1</definedName>
    <definedName name="Project_Start" localSheetId="0">'CWB Deployment Plan VCOO'!$F$1</definedName>
    <definedName name="Project_Start" localSheetId="6">'Infinity OLB &amp; Mob App'!$D$1</definedName>
    <definedName name="Project_Start" localSheetId="5">'Project Readiness'!$C$1</definedName>
    <definedName name="Project_Start" localSheetId="1">'[1]OLB &amp; Mob App (OLD)'!$H$3</definedName>
    <definedName name="Project_Start">'OLB &amp; Mob App (OLD)'!$H$3</definedName>
    <definedName name="RowTitleRegion1..I1">'Contact list'!#REF!</definedName>
    <definedName name="task_end" localSheetId="7">'CWB Deployment Plan'!$H1</definedName>
    <definedName name="task_end" localSheetId="0">'CWB Deployment Plan VCOO'!$J1</definedName>
    <definedName name="task_end" localSheetId="6">'Infinity OLB &amp; Mob App'!$I1</definedName>
    <definedName name="task_end" localSheetId="9">'OLB &amp; Mob App (OLD)'!$I1</definedName>
    <definedName name="task_end" localSheetId="5">'Project Readiness'!$H1</definedName>
    <definedName name="Task_End_Main" localSheetId="4">'Indicative Timeline'!$G:$G</definedName>
    <definedName name="task_progress" localSheetId="7">'CWB Deployment Plan'!$E1</definedName>
    <definedName name="task_progress" localSheetId="0">'CWB Deployment Plan VCOO'!$G1</definedName>
    <definedName name="task_progress" localSheetId="6">'Infinity OLB &amp; Mob App'!$F1</definedName>
    <definedName name="task_progress" localSheetId="9">'OLB &amp; Mob App (OLD)'!$G1</definedName>
    <definedName name="task_progress" localSheetId="5">'Project Readiness'!$E1</definedName>
    <definedName name="task_start" localSheetId="7">'CWB Deployment Plan'!$G1</definedName>
    <definedName name="task_start" localSheetId="0">'CWB Deployment Plan VCOO'!$I1</definedName>
    <definedName name="task_start" localSheetId="6">'Infinity OLB &amp; Mob App'!$H1</definedName>
    <definedName name="task_start" localSheetId="9">'OLB &amp; Mob App (OLD)'!$H1</definedName>
    <definedName name="task_start" localSheetId="5">'Project Readiness'!$G1</definedName>
    <definedName name="Task_Start_Main" localSheetId="4">'Indicative Timeline'!$F:$F</definedName>
    <definedName name="today" localSheetId="7">TODAY()</definedName>
    <definedName name="today" localSheetId="0">TODAY()</definedName>
    <definedName name="today" localSheetId="6">TODAY()</definedName>
    <definedName name="today" localSheetId="9">TODAY()</definedName>
    <definedName name="today" localSheetId="5">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38" i="22" l="1"/>
  <c r="G238" i="22"/>
  <c r="N4" i="22"/>
  <c r="O2" i="22"/>
  <c r="O3" i="22" s="1"/>
  <c r="O1" i="22" l="1"/>
  <c r="P2" i="22"/>
  <c r="P3" i="22" l="1"/>
  <c r="Q2" i="22"/>
  <c r="R2" i="22" l="1"/>
  <c r="Q3" i="22"/>
  <c r="S2" i="22" l="1"/>
  <c r="R3" i="22"/>
  <c r="T2" i="22" l="1"/>
  <c r="S3" i="22"/>
  <c r="U2" i="22" l="1"/>
  <c r="T3" i="22"/>
  <c r="U3" i="22" l="1"/>
  <c r="V2" i="22"/>
  <c r="W2" i="22" l="1"/>
  <c r="V1" i="22"/>
  <c r="V3" i="22"/>
  <c r="W3" i="22" l="1"/>
  <c r="X2" i="22"/>
  <c r="X3" i="22" l="1"/>
  <c r="Y2" i="22"/>
  <c r="Y3" i="22" l="1"/>
  <c r="Z2" i="22"/>
  <c r="Z3" i="22" l="1"/>
  <c r="AA2" i="22"/>
  <c r="AB2" i="22" l="1"/>
  <c r="AA3" i="22"/>
  <c r="AC2" i="22" l="1"/>
  <c r="AB3" i="22"/>
  <c r="AC1" i="22" l="1"/>
  <c r="AD2" i="22"/>
  <c r="AC3" i="22"/>
  <c r="AD3" i="22" l="1"/>
  <c r="AE2" i="22"/>
  <c r="AF2" i="22" l="1"/>
  <c r="AE3" i="22"/>
  <c r="AF3" i="22" l="1"/>
  <c r="AG2" i="22"/>
  <c r="AG3" i="22" l="1"/>
  <c r="AH2" i="22"/>
  <c r="AH3" i="22" l="1"/>
  <c r="AI2" i="22"/>
  <c r="AI3" i="22" l="1"/>
  <c r="AJ2" i="22"/>
  <c r="AJ1" i="22" l="1"/>
  <c r="AK2" i="22"/>
  <c r="AJ3" i="22"/>
  <c r="AK3" i="22" l="1"/>
  <c r="AL2" i="22"/>
  <c r="AM2" i="22" l="1"/>
  <c r="AL3" i="22"/>
  <c r="AM3" i="22" l="1"/>
  <c r="AN2" i="22"/>
  <c r="AO2" i="22" l="1"/>
  <c r="AN3" i="22"/>
  <c r="AP2" i="22" l="1"/>
  <c r="AO3" i="22"/>
  <c r="AP3" i="22" l="1"/>
  <c r="AQ2" i="22"/>
  <c r="AR2" i="22" l="1"/>
  <c r="AQ1" i="22"/>
  <c r="AQ3" i="22"/>
  <c r="AR3" i="22" l="1"/>
  <c r="AS2" i="22"/>
  <c r="AS3" i="22" l="1"/>
  <c r="AT2" i="22"/>
  <c r="AT3" i="22" l="1"/>
  <c r="AU2" i="22"/>
  <c r="AU3" i="22" l="1"/>
  <c r="AV2" i="22"/>
  <c r="AW2" i="22" l="1"/>
  <c r="AV3" i="22"/>
  <c r="AW3" i="22" l="1"/>
  <c r="AX2" i="22"/>
  <c r="AX3" i="22" l="1"/>
  <c r="AX1" i="22"/>
  <c r="AY2" i="22"/>
  <c r="AZ2" i="22" l="1"/>
  <c r="AY3" i="22"/>
  <c r="AZ3" i="22" l="1"/>
  <c r="BA2" i="22"/>
  <c r="BB2" i="22" l="1"/>
  <c r="BA3" i="22"/>
  <c r="BC2" i="22" l="1"/>
  <c r="BB3" i="22"/>
  <c r="BD2" i="22" l="1"/>
  <c r="BC3" i="22"/>
  <c r="BE2" i="22" l="1"/>
  <c r="BD3" i="22"/>
  <c r="BE1" i="22" l="1"/>
  <c r="BE3" i="22"/>
  <c r="BF2" i="22"/>
  <c r="BF3" i="22" l="1"/>
  <c r="BG2" i="22"/>
  <c r="BG3" i="22" l="1"/>
  <c r="BH2" i="22"/>
  <c r="BH3" i="22" l="1"/>
  <c r="BI2" i="22"/>
  <c r="BI3" i="22" l="1"/>
  <c r="BJ2" i="22"/>
  <c r="BJ3" i="22" l="1"/>
  <c r="BK2" i="22"/>
  <c r="BL2" i="22" l="1"/>
  <c r="BK3" i="22"/>
  <c r="BL3" i="22" l="1"/>
  <c r="BM2" i="22"/>
  <c r="BL1" i="22"/>
  <c r="BN2" i="22" l="1"/>
  <c r="BM3" i="22"/>
  <c r="BN3" i="22" l="1"/>
  <c r="BO2" i="22"/>
  <c r="BP2" i="22" l="1"/>
  <c r="BO3" i="22"/>
  <c r="BQ2" i="22" l="1"/>
  <c r="BP3" i="22"/>
  <c r="BQ3" i="22" l="1"/>
  <c r="BR2" i="22"/>
  <c r="BS2" i="22" l="1"/>
  <c r="BR3" i="22"/>
  <c r="BS3" i="22" l="1"/>
  <c r="BT2" i="22"/>
  <c r="BS1" i="22"/>
  <c r="BT3" i="22" l="1"/>
  <c r="BU2" i="22"/>
  <c r="BU3" i="22" l="1"/>
  <c r="BV2" i="22"/>
  <c r="BW2" i="22" l="1"/>
  <c r="BV3" i="22"/>
  <c r="BX2" i="22" l="1"/>
  <c r="BW3" i="22"/>
  <c r="BY2" i="22" l="1"/>
  <c r="BX3" i="22"/>
  <c r="BZ2" i="22" l="1"/>
  <c r="BY3" i="22"/>
  <c r="CA2" i="22" l="1"/>
  <c r="BZ3" i="22"/>
  <c r="BZ1" i="22"/>
  <c r="CB2" i="22" l="1"/>
  <c r="CA3" i="22"/>
  <c r="CB3" i="22" l="1"/>
  <c r="CC2" i="22"/>
  <c r="CC3" i="22" l="1"/>
  <c r="CD2" i="22"/>
  <c r="CD3" i="22" l="1"/>
  <c r="CE2" i="22"/>
  <c r="CE3" i="22" l="1"/>
  <c r="CF2" i="22"/>
  <c r="CF3" i="22" l="1"/>
  <c r="CG2" i="22"/>
  <c r="CG3" i="22" l="1"/>
  <c r="CH2" i="22"/>
  <c r="CG1" i="22"/>
  <c r="CI2" i="22" l="1"/>
  <c r="CH3" i="22"/>
  <c r="CI3" i="22" l="1"/>
  <c r="CJ2" i="22"/>
  <c r="CK2" i="22" l="1"/>
  <c r="CJ3" i="22"/>
  <c r="CL2" i="22" l="1"/>
  <c r="CK3" i="22"/>
  <c r="CM2" i="22" l="1"/>
  <c r="CL3" i="22"/>
  <c r="CN2" i="22" l="1"/>
  <c r="CM3" i="22"/>
  <c r="CN1" i="22" l="1"/>
  <c r="CO2" i="22"/>
  <c r="CN3" i="22"/>
  <c r="CO3" i="22" l="1"/>
  <c r="CP2" i="22"/>
  <c r="CP3" i="22" l="1"/>
  <c r="CQ2" i="22"/>
  <c r="CQ3" i="22" l="1"/>
  <c r="CR2" i="22"/>
  <c r="CR3" i="22" l="1"/>
  <c r="CS2" i="22"/>
  <c r="CS3" i="22" l="1"/>
  <c r="CT2" i="22"/>
  <c r="CU2" i="22" l="1"/>
  <c r="CT3" i="22"/>
  <c r="CV2" i="22" l="1"/>
  <c r="CU1" i="22"/>
  <c r="CU3" i="22"/>
  <c r="CV3" i="22" l="1"/>
  <c r="CW2" i="22"/>
  <c r="CX2" i="22" l="1"/>
  <c r="CW3" i="22"/>
  <c r="CY2" i="22" l="1"/>
  <c r="CX3" i="22"/>
  <c r="CZ2" i="22" l="1"/>
  <c r="CY3" i="22"/>
  <c r="CZ3" i="22" l="1"/>
  <c r="DA2" i="22"/>
  <c r="DA3" i="22" s="1"/>
  <c r="H92" i="21"/>
  <c r="H91" i="21"/>
  <c r="H90" i="21"/>
  <c r="H89" i="21"/>
  <c r="H88" i="21"/>
  <c r="H87" i="21"/>
  <c r="H86" i="21"/>
  <c r="H84" i="21"/>
  <c r="H83" i="21"/>
  <c r="H81" i="21"/>
  <c r="H80" i="21"/>
  <c r="H79" i="21"/>
  <c r="H77" i="21"/>
  <c r="H74" i="21"/>
  <c r="H75" i="21"/>
  <c r="H73" i="21"/>
  <c r="H72" i="21"/>
  <c r="H71" i="21"/>
  <c r="H69" i="21"/>
  <c r="H68" i="21"/>
  <c r="H66" i="21"/>
  <c r="H39" i="21"/>
  <c r="H38" i="21"/>
  <c r="H36" i="21"/>
  <c r="H35" i="21"/>
  <c r="H34" i="21"/>
  <c r="H33" i="21"/>
  <c r="H32" i="21"/>
  <c r="H31" i="21"/>
  <c r="H29" i="21"/>
  <c r="H28" i="21"/>
  <c r="H27" i="21"/>
  <c r="H26" i="21"/>
  <c r="H24" i="21"/>
  <c r="H22" i="21"/>
  <c r="H21" i="21"/>
  <c r="H20" i="21"/>
  <c r="H18" i="21"/>
  <c r="H17" i="21"/>
  <c r="H16" i="21"/>
  <c r="H15" i="21"/>
  <c r="H14" i="21"/>
  <c r="H13" i="21"/>
  <c r="H12" i="21"/>
  <c r="H11" i="21"/>
  <c r="H10" i="21"/>
  <c r="H9" i="21"/>
  <c r="H8" i="21"/>
  <c r="H7" i="21"/>
  <c r="H6" i="21"/>
  <c r="H23" i="21"/>
  <c r="E176" i="21" l="1"/>
  <c r="G170" i="21"/>
  <c r="H170" i="21" s="1"/>
  <c r="E166" i="21"/>
  <c r="E160" i="21"/>
  <c r="E153" i="21" s="1"/>
  <c r="E147" i="21" s="1"/>
  <c r="H146" i="21"/>
  <c r="G148" i="21" s="1"/>
  <c r="H145" i="21"/>
  <c r="G144" i="21"/>
  <c r="H144" i="21" s="1"/>
  <c r="G143" i="21"/>
  <c r="G142" i="21" s="1"/>
  <c r="E142" i="21"/>
  <c r="L140" i="21"/>
  <c r="E137" i="21"/>
  <c r="E126" i="21"/>
  <c r="E122" i="21" s="1"/>
  <c r="G121" i="21"/>
  <c r="H121" i="21" s="1"/>
  <c r="G123" i="21" s="1"/>
  <c r="H123" i="21" s="1"/>
  <c r="E102" i="21"/>
  <c r="E99" i="21"/>
  <c r="E95" i="21"/>
  <c r="E5" i="21"/>
  <c r="L4" i="21"/>
  <c r="M2" i="21"/>
  <c r="E22" i="15"/>
  <c r="E20" i="15"/>
  <c r="E19" i="15"/>
  <c r="E18" i="15"/>
  <c r="E16" i="15"/>
  <c r="E15" i="15"/>
  <c r="E14" i="15"/>
  <c r="E12" i="15"/>
  <c r="F59" i="17"/>
  <c r="E10" i="15" s="1"/>
  <c r="E9" i="15"/>
  <c r="E17" i="18"/>
  <c r="E7" i="15" s="1"/>
  <c r="E6" i="18"/>
  <c r="E6" i="15" s="1"/>
  <c r="N2" i="21" l="1"/>
  <c r="N3" i="21" s="1"/>
  <c r="M3" i="21"/>
  <c r="H143" i="21"/>
  <c r="H142" i="21" s="1"/>
  <c r="M1" i="21"/>
  <c r="H148" i="21"/>
  <c r="G124" i="21"/>
  <c r="H124" i="21" s="1"/>
  <c r="G125" i="21" s="1"/>
  <c r="H125" i="21" s="1"/>
  <c r="F142" i="21"/>
  <c r="G149" i="21"/>
  <c r="H149" i="21" s="1"/>
  <c r="G150" i="21"/>
  <c r="H150" i="21" s="1"/>
  <c r="G158" i="21"/>
  <c r="H158" i="21" s="1"/>
  <c r="E13" i="15"/>
  <c r="E21" i="15"/>
  <c r="G19" i="18"/>
  <c r="H19" i="18" s="1"/>
  <c r="G18" i="18"/>
  <c r="H18" i="18" s="1"/>
  <c r="G7" i="18"/>
  <c r="H7" i="18" s="1"/>
  <c r="G8" i="18"/>
  <c r="H8" i="18" s="1"/>
  <c r="G9" i="18" s="1"/>
  <c r="O2" i="21" l="1"/>
  <c r="P2" i="21" s="1"/>
  <c r="G159" i="21"/>
  <c r="H159" i="21" s="1"/>
  <c r="G161" i="21" s="1"/>
  <c r="H161" i="21" s="1"/>
  <c r="H122" i="21"/>
  <c r="G128" i="21"/>
  <c r="H128" i="21" s="1"/>
  <c r="G130" i="21"/>
  <c r="H130" i="21" s="1"/>
  <c r="G134" i="21" s="1"/>
  <c r="H134" i="21" s="1"/>
  <c r="G131" i="21"/>
  <c r="H131" i="21" s="1"/>
  <c r="G132" i="21" s="1"/>
  <c r="H132" i="21" s="1"/>
  <c r="G135" i="21" s="1"/>
  <c r="H135" i="21" s="1"/>
  <c r="G127" i="21"/>
  <c r="G133" i="21"/>
  <c r="H133" i="21" s="1"/>
  <c r="G129" i="21"/>
  <c r="H129" i="21" s="1"/>
  <c r="G122" i="21"/>
  <c r="H17" i="18"/>
  <c r="G17" i="18"/>
  <c r="F7" i="15" s="1"/>
  <c r="H9" i="18"/>
  <c r="I4" i="15"/>
  <c r="J4" i="15" s="1"/>
  <c r="K4" i="15" s="1"/>
  <c r="L4" i="15" s="1"/>
  <c r="F122" i="21" l="1"/>
  <c r="O3" i="21"/>
  <c r="G147" i="21"/>
  <c r="H147" i="21"/>
  <c r="H127" i="21"/>
  <c r="G136" i="21"/>
  <c r="H136" i="21" s="1"/>
  <c r="G139" i="21" s="1"/>
  <c r="H139" i="21" s="1"/>
  <c r="G138" i="21"/>
  <c r="G162" i="21"/>
  <c r="Q2" i="21"/>
  <c r="P3" i="21"/>
  <c r="G7" i="15"/>
  <c r="F17" i="18"/>
  <c r="G10" i="18"/>
  <c r="G14" i="18"/>
  <c r="H14" i="18" s="1"/>
  <c r="G13" i="18"/>
  <c r="H13" i="18" s="1"/>
  <c r="G12" i="18"/>
  <c r="H12" i="18" s="1"/>
  <c r="M4" i="15"/>
  <c r="N4" i="15" s="1"/>
  <c r="O4" i="15" s="1"/>
  <c r="P4" i="15" s="1"/>
  <c r="F147" i="21" l="1"/>
  <c r="H162" i="21"/>
  <c r="G137" i="21"/>
  <c r="H138" i="21"/>
  <c r="H137" i="21" s="1"/>
  <c r="R2" i="21"/>
  <c r="Q3" i="21"/>
  <c r="H126" i="21"/>
  <c r="G126" i="21"/>
  <c r="H10" i="18"/>
  <c r="Q4" i="15"/>
  <c r="R4" i="15" s="1"/>
  <c r="S4" i="15" s="1"/>
  <c r="T4" i="15" s="1"/>
  <c r="U4" i="15" s="1"/>
  <c r="F126" i="21" l="1"/>
  <c r="R3" i="21"/>
  <c r="S2" i="21"/>
  <c r="F137" i="21"/>
  <c r="G165" i="21"/>
  <c r="H165" i="21" s="1"/>
  <c r="G163" i="21"/>
  <c r="G11" i="18"/>
  <c r="V4" i="15"/>
  <c r="W4" i="15" s="1"/>
  <c r="X4" i="15" s="1"/>
  <c r="Y4" i="15" s="1"/>
  <c r="L20" i="18"/>
  <c r="L21" i="18"/>
  <c r="M2" i="18"/>
  <c r="M1" i="18" s="1"/>
  <c r="L4" i="18"/>
  <c r="L5" i="18"/>
  <c r="L7" i="18"/>
  <c r="L8" i="18"/>
  <c r="L9" i="18"/>
  <c r="L12" i="18"/>
  <c r="L13" i="18"/>
  <c r="H163" i="21" l="1"/>
  <c r="T2" i="21"/>
  <c r="S3" i="21"/>
  <c r="H11" i="18"/>
  <c r="Z4" i="15"/>
  <c r="AA4" i="15" s="1"/>
  <c r="AB4" i="15" s="1"/>
  <c r="AC4" i="15" s="1"/>
  <c r="AD4" i="15" s="1"/>
  <c r="M3" i="18"/>
  <c r="N2" i="18"/>
  <c r="T1" i="21" l="1"/>
  <c r="U2" i="21"/>
  <c r="T3" i="21"/>
  <c r="G164" i="21"/>
  <c r="G15" i="18"/>
  <c r="AE4" i="15"/>
  <c r="AF4" i="15" s="1"/>
  <c r="AG4" i="15" s="1"/>
  <c r="AH4" i="15" s="1"/>
  <c r="O2" i="18"/>
  <c r="N3" i="18"/>
  <c r="M121" i="17"/>
  <c r="M5" i="17"/>
  <c r="M4" i="17"/>
  <c r="N2" i="17"/>
  <c r="N3" i="17" s="1"/>
  <c r="H164" i="21" l="1"/>
  <c r="G160" i="21"/>
  <c r="V2" i="21"/>
  <c r="U3" i="21"/>
  <c r="H15" i="18"/>
  <c r="AI4" i="15"/>
  <c r="AJ4" i="15" s="1"/>
  <c r="AK4" i="15" s="1"/>
  <c r="AL4" i="15" s="1"/>
  <c r="P2" i="18"/>
  <c r="O3" i="18"/>
  <c r="M6" i="17"/>
  <c r="N1" i="17"/>
  <c r="O2" i="17"/>
  <c r="V3" i="21" l="1"/>
  <c r="W2" i="21"/>
  <c r="G171" i="21"/>
  <c r="H171" i="21" s="1"/>
  <c r="G167" i="21"/>
  <c r="G168" i="21"/>
  <c r="H168" i="21" s="1"/>
  <c r="G169" i="21" s="1"/>
  <c r="H169" i="21" s="1"/>
  <c r="H160" i="21"/>
  <c r="F160" i="21" s="1"/>
  <c r="G16" i="18"/>
  <c r="AM4" i="15"/>
  <c r="AN4" i="15" s="1"/>
  <c r="AO4" i="15" s="1"/>
  <c r="AP4" i="15" s="1"/>
  <c r="AQ4" i="15" s="1"/>
  <c r="Q2" i="18"/>
  <c r="P3" i="18"/>
  <c r="P2" i="17"/>
  <c r="O3" i="17"/>
  <c r="F89" i="11"/>
  <c r="F158" i="11"/>
  <c r="G172" i="21" l="1"/>
  <c r="H172" i="21" s="1"/>
  <c r="G173" i="21"/>
  <c r="H173" i="21" s="1"/>
  <c r="G166" i="21"/>
  <c r="F166" i="21" s="1"/>
  <c r="H167" i="21"/>
  <c r="H166" i="21" s="1"/>
  <c r="X2" i="21"/>
  <c r="W3" i="21"/>
  <c r="H16" i="18"/>
  <c r="H6" i="18" s="1"/>
  <c r="G6" i="15" s="1"/>
  <c r="G6" i="18"/>
  <c r="F6" i="15" s="1"/>
  <c r="AR4" i="15"/>
  <c r="AS4" i="15" s="1"/>
  <c r="AT4" i="15" s="1"/>
  <c r="AU4" i="15" s="1"/>
  <c r="R2" i="18"/>
  <c r="Q3" i="18"/>
  <c r="Q2" i="17"/>
  <c r="P3" i="17"/>
  <c r="M7" i="11"/>
  <c r="G174" i="21" l="1"/>
  <c r="H174" i="21" s="1"/>
  <c r="G175" i="21" s="1"/>
  <c r="H175" i="21" s="1"/>
  <c r="G178" i="21" s="1"/>
  <c r="H178" i="21" s="1"/>
  <c r="G179" i="21" s="1"/>
  <c r="H179" i="21" s="1"/>
  <c r="Y2" i="21"/>
  <c r="X3" i="21"/>
  <c r="F6" i="18"/>
  <c r="AV4" i="15"/>
  <c r="AW4" i="15" s="1"/>
  <c r="AX4" i="15" s="1"/>
  <c r="AY4" i="15" s="1"/>
  <c r="F18" i="15"/>
  <c r="R3" i="18"/>
  <c r="S2" i="18"/>
  <c r="R2" i="17"/>
  <c r="Q3" i="17"/>
  <c r="N5" i="11"/>
  <c r="M217" i="11"/>
  <c r="M216" i="11"/>
  <c r="M215" i="11"/>
  <c r="M214" i="11"/>
  <c r="M213" i="11"/>
  <c r="M149" i="11"/>
  <c r="M81" i="11"/>
  <c r="M60" i="11"/>
  <c r="M8" i="11"/>
  <c r="G177" i="21" l="1"/>
  <c r="H177" i="21" s="1"/>
  <c r="H176" i="21" s="1"/>
  <c r="Z2" i="21"/>
  <c r="Y3" i="21"/>
  <c r="AZ4" i="15"/>
  <c r="BA4" i="15" s="1"/>
  <c r="BB4" i="15" s="1"/>
  <c r="BC4" i="15" s="1"/>
  <c r="BD4" i="15" s="1"/>
  <c r="G12" i="15"/>
  <c r="F12" i="15"/>
  <c r="G9" i="15"/>
  <c r="T2" i="18"/>
  <c r="S3" i="18"/>
  <c r="S2" i="17"/>
  <c r="R3" i="17"/>
  <c r="M9" i="11"/>
  <c r="N6" i="11"/>
  <c r="G176" i="21" l="1"/>
  <c r="F176" i="21" s="1"/>
  <c r="Z3" i="21"/>
  <c r="AA2" i="21"/>
  <c r="G18" i="15"/>
  <c r="F9" i="15"/>
  <c r="BE4" i="15"/>
  <c r="BF4" i="15" s="1"/>
  <c r="BG4" i="15" s="1"/>
  <c r="BH4" i="15" s="1"/>
  <c r="T3" i="18"/>
  <c r="T1" i="18"/>
  <c r="U2" i="18"/>
  <c r="T2" i="17"/>
  <c r="S3" i="17"/>
  <c r="M10" i="11"/>
  <c r="M13" i="11"/>
  <c r="O5" i="11"/>
  <c r="P5" i="11" s="1"/>
  <c r="Q5" i="11" s="1"/>
  <c r="R5" i="11" s="1"/>
  <c r="S5" i="11" s="1"/>
  <c r="T5" i="11" s="1"/>
  <c r="U5" i="11" s="1"/>
  <c r="N4" i="11"/>
  <c r="AB2" i="21" l="1"/>
  <c r="AA3" i="21"/>
  <c r="AA1" i="21"/>
  <c r="BI4" i="15"/>
  <c r="BJ4" i="15" s="1"/>
  <c r="BK4" i="15" s="1"/>
  <c r="BL4" i="15" s="1"/>
  <c r="BM4" i="15" s="1"/>
  <c r="BH3" i="15"/>
  <c r="F13" i="15"/>
  <c r="G13" i="15"/>
  <c r="V2" i="18"/>
  <c r="U3" i="18"/>
  <c r="T3" i="17"/>
  <c r="U2" i="17"/>
  <c r="M11" i="11"/>
  <c r="M12" i="11"/>
  <c r="U4" i="11"/>
  <c r="V5" i="11"/>
  <c r="W5" i="11" s="1"/>
  <c r="X5" i="11" s="1"/>
  <c r="Y5" i="11" s="1"/>
  <c r="Z5" i="11" s="1"/>
  <c r="AA5" i="11" s="1"/>
  <c r="AB5" i="11" s="1"/>
  <c r="O6" i="11"/>
  <c r="AC2" i="21" l="1"/>
  <c r="AB3" i="21"/>
  <c r="BN4" i="15"/>
  <c r="BO4" i="15" s="1"/>
  <c r="BP4" i="15" s="1"/>
  <c r="BQ4" i="15" s="1"/>
  <c r="BM3" i="15"/>
  <c r="W2" i="18"/>
  <c r="V3" i="18"/>
  <c r="V2" i="17"/>
  <c r="U3" i="17"/>
  <c r="U1" i="17"/>
  <c r="M61" i="11"/>
  <c r="AB4" i="11"/>
  <c r="AC5" i="11"/>
  <c r="AD5" i="11" s="1"/>
  <c r="AE5" i="11" s="1"/>
  <c r="AF5" i="11" s="1"/>
  <c r="AG5" i="11" s="1"/>
  <c r="AH5" i="11" s="1"/>
  <c r="AI5" i="11" s="1"/>
  <c r="P6" i="11"/>
  <c r="AD2" i="21" l="1"/>
  <c r="AC3" i="21"/>
  <c r="BR4" i="15"/>
  <c r="BS4" i="15" s="1"/>
  <c r="BT4" i="15" s="1"/>
  <c r="BU4" i="15" s="1"/>
  <c r="BQ3" i="15"/>
  <c r="X2" i="18"/>
  <c r="W3" i="18"/>
  <c r="V3" i="17"/>
  <c r="W2" i="17"/>
  <c r="AJ5" i="11"/>
  <c r="AK5" i="11" s="1"/>
  <c r="AL5" i="11" s="1"/>
  <c r="AM5" i="11" s="1"/>
  <c r="AN5" i="11" s="1"/>
  <c r="AO5" i="11" s="1"/>
  <c r="AI4" i="11"/>
  <c r="Q6" i="11"/>
  <c r="AD3" i="21" l="1"/>
  <c r="AE2" i="21"/>
  <c r="BU3" i="15"/>
  <c r="BV4" i="15"/>
  <c r="BW4" i="15" s="1"/>
  <c r="BX4" i="15" s="1"/>
  <c r="BY4" i="15" s="1"/>
  <c r="Y2" i="18"/>
  <c r="X3" i="18"/>
  <c r="W3" i="17"/>
  <c r="X2" i="17"/>
  <c r="AP5" i="11"/>
  <c r="AQ5" i="11" s="1"/>
  <c r="AR5" i="11" s="1"/>
  <c r="AS5" i="11" s="1"/>
  <c r="AT5" i="11" s="1"/>
  <c r="AU5" i="11" s="1"/>
  <c r="AV5" i="11" s="1"/>
  <c r="R6" i="11"/>
  <c r="AF2" i="21" l="1"/>
  <c r="AE3" i="21"/>
  <c r="F19" i="15"/>
  <c r="G19" i="15"/>
  <c r="BY3" i="15"/>
  <c r="BZ4" i="15"/>
  <c r="CA4" i="15" s="1"/>
  <c r="CB4" i="15" s="1"/>
  <c r="CC4" i="15" s="1"/>
  <c r="CD4" i="15" s="1"/>
  <c r="Y3" i="18"/>
  <c r="Z2" i="18"/>
  <c r="Y2" i="17"/>
  <c r="X3" i="17"/>
  <c r="AW5" i="11"/>
  <c r="AX5" i="11" s="1"/>
  <c r="AP4" i="11"/>
  <c r="S6" i="11"/>
  <c r="AG2" i="21" l="1"/>
  <c r="AF3" i="21"/>
  <c r="CD3" i="15"/>
  <c r="CE4" i="15"/>
  <c r="CF4" i="15" s="1"/>
  <c r="CG4" i="15" s="1"/>
  <c r="CH4" i="15" s="1"/>
  <c r="Z3" i="18"/>
  <c r="AA2" i="18"/>
  <c r="Z2" i="17"/>
  <c r="Y3" i="17"/>
  <c r="AY5" i="11"/>
  <c r="AX6" i="11"/>
  <c r="AW4" i="11"/>
  <c r="T6" i="11"/>
  <c r="AH2" i="21" l="1"/>
  <c r="AG3" i="21"/>
  <c r="CH3" i="15"/>
  <c r="CI4" i="15"/>
  <c r="CJ4" i="15" s="1"/>
  <c r="CK4" i="15" s="1"/>
  <c r="CL4" i="15" s="1"/>
  <c r="F14" i="15"/>
  <c r="AA3" i="18"/>
  <c r="AA1" i="18"/>
  <c r="AB2" i="18"/>
  <c r="AA2" i="17"/>
  <c r="Z3" i="17"/>
  <c r="AZ5" i="11"/>
  <c r="AY6" i="11"/>
  <c r="AH3" i="21" l="1"/>
  <c r="AI2" i="21"/>
  <c r="AH1" i="21"/>
  <c r="CL3" i="15"/>
  <c r="CM4" i="15"/>
  <c r="CN4" i="15" s="1"/>
  <c r="CO4" i="15" s="1"/>
  <c r="CP4" i="15" s="1"/>
  <c r="CQ4" i="15" s="1"/>
  <c r="AC2" i="18"/>
  <c r="AB3" i="18"/>
  <c r="AB2" i="17"/>
  <c r="AA3" i="17"/>
  <c r="BA5" i="11"/>
  <c r="AZ6" i="11"/>
  <c r="U6" i="11"/>
  <c r="V6" i="11"/>
  <c r="AJ2" i="21" l="1"/>
  <c r="AI3" i="21"/>
  <c r="G14" i="15"/>
  <c r="CQ3" i="15"/>
  <c r="CR4" i="15"/>
  <c r="CS4" i="15" s="1"/>
  <c r="CT4" i="15" s="1"/>
  <c r="CU4" i="15" s="1"/>
  <c r="AD2" i="18"/>
  <c r="AC3" i="18"/>
  <c r="AC2" i="17"/>
  <c r="AB3" i="17"/>
  <c r="AB1" i="17"/>
  <c r="BB5" i="11"/>
  <c r="BA6" i="11"/>
  <c r="W6" i="11"/>
  <c r="AK2" i="21" l="1"/>
  <c r="AJ3" i="21"/>
  <c r="CU3" i="15"/>
  <c r="CV4" i="15"/>
  <c r="CW4" i="15" s="1"/>
  <c r="CX4" i="15" s="1"/>
  <c r="CY4" i="15" s="1"/>
  <c r="CZ4" i="15" s="1"/>
  <c r="AD3" i="18"/>
  <c r="AE2" i="18"/>
  <c r="AD2" i="17"/>
  <c r="AC3" i="17"/>
  <c r="BC5" i="11"/>
  <c r="BD5" i="11" s="1"/>
  <c r="BB6" i="11"/>
  <c r="X6" i="11"/>
  <c r="AL2" i="21" l="1"/>
  <c r="AK3" i="21"/>
  <c r="F20" i="15"/>
  <c r="G20" i="15"/>
  <c r="DA4" i="15"/>
  <c r="DB4" i="15" s="1"/>
  <c r="DC4" i="15" s="1"/>
  <c r="DD4" i="15" s="1"/>
  <c r="CZ3" i="15"/>
  <c r="AF2" i="18"/>
  <c r="AE3" i="18"/>
  <c r="AD3" i="17"/>
  <c r="AE2" i="17"/>
  <c r="BD6" i="11"/>
  <c r="BE5" i="11"/>
  <c r="BD4" i="11"/>
  <c r="BC6" i="11"/>
  <c r="Y6" i="11"/>
  <c r="AL3" i="21" l="1"/>
  <c r="AM2" i="21"/>
  <c r="G10" i="15"/>
  <c r="DD3" i="15"/>
  <c r="DE4" i="15"/>
  <c r="DF4" i="15" s="1"/>
  <c r="DG4" i="15" s="1"/>
  <c r="AG2" i="18"/>
  <c r="AF3" i="18"/>
  <c r="AF2" i="17"/>
  <c r="AE3" i="17"/>
  <c r="BF5" i="11"/>
  <c r="BE6" i="11"/>
  <c r="Z6" i="11"/>
  <c r="AN2" i="21" l="1"/>
  <c r="AM3" i="21"/>
  <c r="F10" i="15"/>
  <c r="G15" i="15"/>
  <c r="G16" i="15"/>
  <c r="F16" i="15"/>
  <c r="AG3" i="18"/>
  <c r="AH2" i="18"/>
  <c r="AG2" i="17"/>
  <c r="AF3" i="17"/>
  <c r="BF6" i="11"/>
  <c r="BG5" i="11"/>
  <c r="AA6" i="11"/>
  <c r="AO2" i="21" l="1"/>
  <c r="AN3" i="21"/>
  <c r="F15" i="15"/>
  <c r="AH3" i="18"/>
  <c r="AI2" i="18"/>
  <c r="AH1" i="18"/>
  <c r="AH2" i="17"/>
  <c r="AG3" i="17"/>
  <c r="BG6" i="11"/>
  <c r="BH5" i="11"/>
  <c r="AB6" i="11"/>
  <c r="AP2" i="21" l="1"/>
  <c r="AO3" i="21"/>
  <c r="AO1" i="21"/>
  <c r="G21" i="15"/>
  <c r="F21" i="15"/>
  <c r="AI3" i="18"/>
  <c r="AJ2" i="18"/>
  <c r="AI2" i="17"/>
  <c r="AH3" i="17"/>
  <c r="BH6" i="11"/>
  <c r="BI5" i="11"/>
  <c r="AC6" i="11"/>
  <c r="AP3" i="21" l="1"/>
  <c r="AQ2" i="21"/>
  <c r="F22" i="15"/>
  <c r="AK2" i="18"/>
  <c r="AJ3" i="18"/>
  <c r="AJ2" i="17"/>
  <c r="AI3" i="17"/>
  <c r="AI1" i="17"/>
  <c r="BJ5" i="11"/>
  <c r="BI6" i="11"/>
  <c r="AD6" i="11"/>
  <c r="AR2" i="21" l="1"/>
  <c r="AQ3" i="21"/>
  <c r="G22" i="15"/>
  <c r="AK3" i="18"/>
  <c r="AL2" i="18"/>
  <c r="AJ3" i="17"/>
  <c r="AK2" i="17"/>
  <c r="BJ6" i="11"/>
  <c r="BK5" i="11"/>
  <c r="AE6" i="11"/>
  <c r="AS2" i="21" l="1"/>
  <c r="AR3" i="21"/>
  <c r="AM2" i="18"/>
  <c r="AL3" i="18"/>
  <c r="AL2" i="17"/>
  <c r="AK3" i="17"/>
  <c r="BK6" i="11"/>
  <c r="BL5" i="11"/>
  <c r="BK4" i="11"/>
  <c r="AF6" i="11"/>
  <c r="AT2" i="21" l="1"/>
  <c r="AS3" i="21"/>
  <c r="AM3" i="18"/>
  <c r="AN2" i="18"/>
  <c r="AL3" i="17"/>
  <c r="AM2" i="17"/>
  <c r="BL6" i="11"/>
  <c r="BM5" i="11"/>
  <c r="AG6" i="11"/>
  <c r="AT3" i="21" l="1"/>
  <c r="AU2" i="21"/>
  <c r="AO2" i="18"/>
  <c r="AN3" i="18"/>
  <c r="AM3" i="17"/>
  <c r="AN2" i="17"/>
  <c r="BN5" i="11"/>
  <c r="BM6" i="11"/>
  <c r="AH6" i="11"/>
  <c r="AV2" i="21" l="1"/>
  <c r="AU3" i="21"/>
  <c r="AO1" i="18"/>
  <c r="AO3" i="18"/>
  <c r="AP2" i="18"/>
  <c r="AO2" i="17"/>
  <c r="AN3" i="17"/>
  <c r="BO5" i="11"/>
  <c r="BN6" i="11"/>
  <c r="AI6" i="11"/>
  <c r="AV1" i="21" l="1"/>
  <c r="AW2" i="21"/>
  <c r="AV3" i="21"/>
  <c r="AP3" i="18"/>
  <c r="AQ2" i="18"/>
  <c r="AP2" i="17"/>
  <c r="AO3" i="17"/>
  <c r="BP5" i="11"/>
  <c r="BO6" i="11"/>
  <c r="AJ6" i="11"/>
  <c r="AX2" i="21" l="1"/>
  <c r="AW3" i="21"/>
  <c r="AQ3" i="18"/>
  <c r="AR2" i="18"/>
  <c r="AQ2" i="17"/>
  <c r="AP3" i="17"/>
  <c r="AP1" i="17"/>
  <c r="BQ5" i="11"/>
  <c r="BP6" i="11"/>
  <c r="AK6" i="11"/>
  <c r="AX3" i="21" l="1"/>
  <c r="AY2" i="21"/>
  <c r="AS2" i="18"/>
  <c r="AR3" i="18"/>
  <c r="AR2" i="17"/>
  <c r="AQ3" i="17"/>
  <c r="BQ6" i="11"/>
  <c r="AL6" i="11"/>
  <c r="AZ2" i="21" l="1"/>
  <c r="AY3" i="21"/>
  <c r="AT2" i="18"/>
  <c r="AS3" i="18"/>
  <c r="AR3" i="17"/>
  <c r="AS2" i="17"/>
  <c r="AM6" i="11"/>
  <c r="BA2" i="21" l="1"/>
  <c r="AZ3" i="21"/>
  <c r="AT3" i="18"/>
  <c r="AU2" i="18"/>
  <c r="AT2" i="17"/>
  <c r="AS3" i="17"/>
  <c r="AN6" i="11"/>
  <c r="BB2" i="21" l="1"/>
  <c r="BA3" i="21"/>
  <c r="AV2" i="18"/>
  <c r="AU3" i="18"/>
  <c r="AT3" i="17"/>
  <c r="AU2" i="17"/>
  <c r="AO6" i="11"/>
  <c r="BB3" i="21" l="1"/>
  <c r="BC2" i="21"/>
  <c r="AW2" i="18"/>
  <c r="AV1" i="18"/>
  <c r="AV3" i="18"/>
  <c r="AV2" i="17"/>
  <c r="AU3" i="17"/>
  <c r="AP6" i="11"/>
  <c r="BC1" i="21" l="1"/>
  <c r="BD2" i="21"/>
  <c r="BC3" i="21"/>
  <c r="AW3" i="18"/>
  <c r="AX2" i="18"/>
  <c r="AW2" i="17"/>
  <c r="AV3" i="17"/>
  <c r="AQ6" i="11"/>
  <c r="BE2" i="21" l="1"/>
  <c r="BD3" i="21"/>
  <c r="AX3" i="18"/>
  <c r="AY2" i="18"/>
  <c r="AW1" i="17"/>
  <c r="AX2" i="17"/>
  <c r="AW3" i="17"/>
  <c r="AR6" i="11"/>
  <c r="BF2" i="21" l="1"/>
  <c r="BE3" i="21"/>
  <c r="AY3" i="18"/>
  <c r="AZ2" i="18"/>
  <c r="AY2" i="17"/>
  <c r="AX3" i="17"/>
  <c r="AS6" i="11"/>
  <c r="BF3" i="21" l="1"/>
  <c r="BG2" i="21"/>
  <c r="BA2" i="18"/>
  <c r="AZ3" i="18"/>
  <c r="AZ2" i="17"/>
  <c r="AY3" i="17"/>
  <c r="AT6" i="11"/>
  <c r="BH2" i="21" l="1"/>
  <c r="BG3" i="21"/>
  <c r="BB2" i="18"/>
  <c r="BA3" i="18"/>
  <c r="AZ3" i="17"/>
  <c r="BA2" i="17"/>
  <c r="AU6" i="11"/>
  <c r="BI2" i="21" l="1"/>
  <c r="BH3" i="21"/>
  <c r="BB3" i="18"/>
  <c r="BC2" i="18"/>
  <c r="BB2" i="17"/>
  <c r="BA3" i="17"/>
  <c r="AV6" i="11"/>
  <c r="BJ2" i="21" l="1"/>
  <c r="BI3" i="21"/>
  <c r="BC1" i="18"/>
  <c r="BC3" i="18"/>
  <c r="BD2" i="18"/>
  <c r="BB3" i="17"/>
  <c r="BC2" i="17"/>
  <c r="AW6" i="11"/>
  <c r="BJ3" i="21" l="1"/>
  <c r="BJ1" i="21"/>
  <c r="BK2" i="21"/>
  <c r="BE2" i="18"/>
  <c r="BD3" i="18"/>
  <c r="BD2" i="17"/>
  <c r="BC3" i="17"/>
  <c r="BL2" i="21" l="1"/>
  <c r="BK3" i="21"/>
  <c r="BE3" i="18"/>
  <c r="BF2" i="18"/>
  <c r="BD1" i="17"/>
  <c r="BE2" i="17"/>
  <c r="BD3" i="17"/>
  <c r="BM2" i="21" l="1"/>
  <c r="BL3" i="21"/>
  <c r="BF3" i="18"/>
  <c r="BG2" i="18"/>
  <c r="BF2" i="17"/>
  <c r="BE3" i="17"/>
  <c r="BN2" i="21" l="1"/>
  <c r="BM3" i="21"/>
  <c r="BG3" i="18"/>
  <c r="BH2" i="18"/>
  <c r="BG2" i="17"/>
  <c r="BF3" i="17"/>
  <c r="BN3" i="21" l="1"/>
  <c r="BO2" i="21"/>
  <c r="BI2" i="18"/>
  <c r="BH3" i="18"/>
  <c r="BH2" i="17"/>
  <c r="BG3" i="17"/>
  <c r="BP2" i="21" l="1"/>
  <c r="BO3" i="21"/>
  <c r="BI3" i="18"/>
  <c r="BJ2" i="18"/>
  <c r="BH3" i="17"/>
  <c r="BI2" i="17"/>
  <c r="BP3" i="21" l="1"/>
  <c r="BQ2" i="21"/>
  <c r="BJ3" i="18"/>
  <c r="BJ1" i="18"/>
  <c r="BK2" i="18"/>
  <c r="BJ2" i="17"/>
  <c r="BI3" i="17"/>
  <c r="BR2" i="21" l="1"/>
  <c r="BQ1" i="21"/>
  <c r="BQ3" i="21"/>
  <c r="BK3" i="18"/>
  <c r="BL2" i="18"/>
  <c r="BJ3" i="17"/>
  <c r="BK2" i="17"/>
  <c r="BS2" i="21" l="1"/>
  <c r="BR3" i="21"/>
  <c r="BM2" i="18"/>
  <c r="BL3" i="18"/>
  <c r="BK1" i="17"/>
  <c r="BL2" i="17"/>
  <c r="BK3" i="17"/>
  <c r="BS3" i="21" l="1"/>
  <c r="BT2" i="21"/>
  <c r="BM3" i="18"/>
  <c r="BN2" i="18"/>
  <c r="BM2" i="17"/>
  <c r="BL3" i="17"/>
  <c r="BT3" i="21" l="1"/>
  <c r="BU2" i="21"/>
  <c r="BN3" i="18"/>
  <c r="BO2" i="18"/>
  <c r="BN2" i="17"/>
  <c r="BM3" i="17"/>
  <c r="BU3" i="21" l="1"/>
  <c r="BV2" i="21"/>
  <c r="BO3" i="18"/>
  <c r="BP2" i="18"/>
  <c r="BP3" i="18" s="1"/>
  <c r="BO2" i="17"/>
  <c r="BN3" i="17"/>
  <c r="BV3" i="21" l="1"/>
  <c r="BW2" i="21"/>
  <c r="BP2" i="17"/>
  <c r="BO3" i="17"/>
  <c r="BW3" i="21" l="1"/>
  <c r="BX2" i="21"/>
  <c r="BP3" i="17"/>
  <c r="BQ2" i="17"/>
  <c r="BQ3" i="17" s="1"/>
  <c r="BX3" i="21" l="1"/>
  <c r="BY2" i="21"/>
  <c r="BX1" i="21"/>
  <c r="BY3" i="21" l="1"/>
  <c r="BZ2" i="21"/>
  <c r="BZ3" i="21" l="1"/>
  <c r="CA2" i="21"/>
  <c r="CA3" i="21" l="1"/>
  <c r="CB2" i="21"/>
  <c r="CC2" i="21" l="1"/>
  <c r="CB3" i="21"/>
  <c r="CC3" i="21" l="1"/>
  <c r="CD2" i="21"/>
  <c r="CD3" i="21" l="1"/>
  <c r="CE2" i="21"/>
  <c r="CF2" i="21" l="1"/>
  <c r="CE3" i="21"/>
  <c r="CE1" i="21"/>
  <c r="CG2" i="21" l="1"/>
  <c r="CF3" i="21"/>
  <c r="CG3" i="21" l="1"/>
  <c r="CH2" i="21"/>
  <c r="CH3" i="21" l="1"/>
  <c r="CI2" i="21"/>
  <c r="CJ2" i="21" l="1"/>
  <c r="CI3" i="21"/>
  <c r="CK2" i="21" l="1"/>
  <c r="CJ3" i="21"/>
  <c r="CK3" i="21" l="1"/>
  <c r="CL2" i="21"/>
  <c r="CM2" i="21" l="1"/>
  <c r="CL1" i="21"/>
  <c r="CL3" i="21"/>
  <c r="CN2" i="21" l="1"/>
  <c r="CM3" i="21"/>
  <c r="CO2" i="21" l="1"/>
  <c r="CN3" i="21"/>
  <c r="CP2" i="21" l="1"/>
  <c r="CO3" i="21"/>
  <c r="CQ2" i="21" l="1"/>
  <c r="CP3" i="21"/>
  <c r="CQ3" i="21" l="1"/>
  <c r="CR2" i="21"/>
  <c r="CR3" i="21" l="1"/>
  <c r="CS2" i="21"/>
  <c r="CT2" i="21" l="1"/>
  <c r="CS3" i="21"/>
  <c r="CS1" i="21"/>
  <c r="CU2" i="21" l="1"/>
  <c r="CT3" i="21"/>
  <c r="CU3" i="21" l="1"/>
  <c r="CV2" i="21"/>
  <c r="CV3" i="21" l="1"/>
  <c r="CW2" i="21"/>
  <c r="CX2" i="21" l="1"/>
  <c r="CW3" i="21"/>
  <c r="CX3" i="21" l="1"/>
  <c r="CY2" i="21"/>
  <c r="CY3"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7" authorId="0" shapeId="0" xr:uid="{00000000-0006-0000-0700-000001000000}">
      <text>
        <r>
          <rPr>
            <b/>
            <sz val="9"/>
            <color indexed="81"/>
            <rFont val="Tahoma"/>
            <family val="2"/>
          </rPr>
          <t>Best Case 0.2 day
Worst case 2 weeks (bug triage and fixes)</t>
        </r>
      </text>
    </comment>
    <comment ref="F47" authorId="0" shapeId="0" xr:uid="{00000000-0006-0000-0700-000002000000}">
      <text>
        <r>
          <rPr>
            <b/>
            <sz val="9"/>
            <color indexed="81"/>
            <rFont val="Tahoma"/>
            <family val="2"/>
          </rPr>
          <t>Best Case is 0.2 day
Worst Case with bug triage and fixes is 5 days (Interac 2 days, Apple 4 days)</t>
        </r>
      </text>
    </comment>
    <comment ref="B56" authorId="0" shapeId="0" xr:uid="{00000000-0006-0000-0700-000003000000}">
      <text>
        <r>
          <rPr>
            <b/>
            <sz val="9"/>
            <color indexed="81"/>
            <rFont val="Tahoma"/>
            <family val="2"/>
          </rPr>
          <t>Applepay release can only happen every 1st &amp; 3rd Tues of each month</t>
        </r>
      </text>
    </comment>
  </commentList>
</comments>
</file>

<file path=xl/sharedStrings.xml><?xml version="1.0" encoding="utf-8"?>
<sst xmlns="http://schemas.openxmlformats.org/spreadsheetml/2006/main" count="3587" uniqueCount="1725">
  <si>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</si>
  <si>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Conexus Forge Implementation</t>
  </si>
  <si>
    <t>All Products</t>
  </si>
  <si>
    <t>PWS</t>
  </si>
  <si>
    <t>OLB</t>
  </si>
  <si>
    <t>Mobile</t>
  </si>
  <si>
    <t>Enter Company Name in cell B2.</t>
  </si>
  <si>
    <t>Conexus</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</si>
  <si>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</si>
  <si>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</si>
  <si>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</si>
  <si>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</si>
  <si>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</si>
  <si>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Task ID</t>
  </si>
  <si>
    <t>TASK</t>
  </si>
  <si>
    <t>Description</t>
  </si>
  <si>
    <t>Product</t>
  </si>
  <si>
    <t>ASSIGNED
GROUP</t>
  </si>
  <si>
    <t>Duration (Days)</t>
  </si>
  <si>
    <t>PROGRESS</t>
  </si>
  <si>
    <t>Scheduled START</t>
  </si>
  <si>
    <t>Scheduled END</t>
  </si>
  <si>
    <t>Estimated/Actual START</t>
  </si>
  <si>
    <t>Estimated/Actual END</t>
  </si>
  <si>
    <t>DAYS</t>
  </si>
  <si>
    <t xml:space="preserve">Do not delete this row. This row is hidden to preserve a formula that is used to highlight the curren day within the project schedule. </t>
  </si>
  <si>
    <t>Readiness</t>
  </si>
  <si>
    <t>R01</t>
  </si>
  <si>
    <t>Executive Onboarding - Senior Level</t>
  </si>
  <si>
    <t>CU onboarding by RM</t>
  </si>
  <si>
    <t>All</t>
  </si>
  <si>
    <t>C1/Client</t>
  </si>
  <si>
    <t>R02</t>
  </si>
  <si>
    <t>Project Kick Off with Credit Union Project Team</t>
  </si>
  <si>
    <t>First touchpoint with FIT Team</t>
  </si>
  <si>
    <t>C1</t>
  </si>
  <si>
    <t>R03</t>
  </si>
  <si>
    <t>Follow-up Touchpoint and Setup Weekly Cadence</t>
  </si>
  <si>
    <t>Second touchpoinit with FIT Team</t>
  </si>
  <si>
    <t>R04</t>
  </si>
  <si>
    <t>Determine channel strategy (PWS, Mobile and OLB) and MD sunset timelines</t>
  </si>
  <si>
    <t>Determine the launch order for the channels and timeline to retire MD</t>
  </si>
  <si>
    <t>R05</t>
  </si>
  <si>
    <t>Determine Launch Strategies for each Channel</t>
  </si>
  <si>
    <t>Determine the launch dates for each channel's Beta and Market Launch</t>
  </si>
  <si>
    <t>R06</t>
  </si>
  <si>
    <t>Project SoW:  Draft Development</t>
  </si>
  <si>
    <t>Develop the draft copy of SoW for review</t>
  </si>
  <si>
    <t>R07</t>
  </si>
  <si>
    <t>Project SoW:  Sign-off</t>
  </si>
  <si>
    <t>Client and C1 sign off on SoW</t>
  </si>
  <si>
    <t>Client/C1</t>
  </si>
  <si>
    <t>R08</t>
  </si>
  <si>
    <t>Banking Host &amp; Data Seeding Discovery Session</t>
  </si>
  <si>
    <t>Q &amp; A for Pre-seeding Tests and Data Seeding</t>
  </si>
  <si>
    <t>R09</t>
  </si>
  <si>
    <t>Develop Project Plan with Schedule Estimates</t>
  </si>
  <si>
    <t>Add estimates for duration and dates for all actvities</t>
  </si>
  <si>
    <t>R10</t>
  </si>
  <si>
    <t>Provide Credit Union branding and style guide by C1</t>
  </si>
  <si>
    <t>Provide all design documents</t>
  </si>
  <si>
    <t>Client</t>
  </si>
  <si>
    <t>Training</t>
  </si>
  <si>
    <t>T01</t>
  </si>
  <si>
    <t xml:space="preserve"> Spark Learning</t>
  </si>
  <si>
    <t xml:space="preserve">Complete Training on https://sparklearning.central1.com/ </t>
  </si>
  <si>
    <t>T02</t>
  </si>
  <si>
    <t xml:space="preserve"> Backbase</t>
  </si>
  <si>
    <t>Complete Trainng on https://central1.learnupon.com/users/sign_in</t>
  </si>
  <si>
    <t>T03</t>
  </si>
  <si>
    <t xml:space="preserve"> Webinar</t>
  </si>
  <si>
    <t>Complete viewing the Webinar (link) to be added</t>
  </si>
  <si>
    <t>Applepay Pre-Requisites</t>
  </si>
  <si>
    <t>AP01</t>
  </si>
  <si>
    <t>Implement Strong PAC</t>
  </si>
  <si>
    <t>Implement Strong PAC for Forge</t>
  </si>
  <si>
    <t>AP02</t>
  </si>
  <si>
    <t>Implement 2SV</t>
  </si>
  <si>
    <t xml:space="preserve">Implement 2SV (2 factor authentication) for Forge </t>
  </si>
  <si>
    <t>AP03</t>
  </si>
  <si>
    <t>Implement Increased Auth (RSA)</t>
  </si>
  <si>
    <t>Implement Increased Auth for Forge</t>
  </si>
  <si>
    <t>AP04</t>
  </si>
  <si>
    <t>Implement Oauth</t>
  </si>
  <si>
    <t>Implement Oauth for Forge</t>
  </si>
  <si>
    <t>0.2 to 10</t>
  </si>
  <si>
    <t>AP05</t>
  </si>
  <si>
    <t>Whitelist on C1's Firewall</t>
  </si>
  <si>
    <t>Client to be whitelisted on C1's Firewall for access to Interac's Customer Service Portal</t>
  </si>
  <si>
    <t>AP06</t>
  </si>
  <si>
    <t>Provide SOW and Signoff</t>
  </si>
  <si>
    <t>Applepay specific SOW for Forge</t>
  </si>
  <si>
    <t>AP07</t>
  </si>
  <si>
    <t>Provide Mobile Pay Addendum and Signoff</t>
  </si>
  <si>
    <t>Applepay specific Mobile Pay Addendum for Forge</t>
  </si>
  <si>
    <t>AP08</t>
  </si>
  <si>
    <t>FI onboarding Requirements with CCUA</t>
  </si>
  <si>
    <t>FI to engage with CCUA; 2 tickets to be created to C1 (1 from CCUA, 1 from FI)</t>
  </si>
  <si>
    <t>Client/CCUA</t>
  </si>
  <si>
    <t>Applepay Info Collection</t>
  </si>
  <si>
    <t>AP09</t>
  </si>
  <si>
    <t>Check CCUA Ticket for Required Info</t>
  </si>
  <si>
    <t>Launch schedule; FI BIN range</t>
  </si>
  <si>
    <t>AP10</t>
  </si>
  <si>
    <t>Create Dev Ops Ticket for Key / Meta-Data</t>
  </si>
  <si>
    <t>Provide Team ID, Adam ID, TeamID.Bundle ID, URL for app launch</t>
  </si>
  <si>
    <t>AP11</t>
  </si>
  <si>
    <t>Notify CCUA Key Exchange in Progress</t>
  </si>
  <si>
    <t>Email CCUA of key exchange is in progress</t>
  </si>
  <si>
    <t>AP12</t>
  </si>
  <si>
    <t>Provide CCUA with Key / Meta-Data</t>
  </si>
  <si>
    <t>Provide CCUA with the Team ID, Adam ID, TeamID.Bundle, and the URL for the Mobile application launch</t>
  </si>
  <si>
    <t>AP13</t>
  </si>
  <si>
    <t>Interac Confirms Key Successfully Uploaded to TSP</t>
  </si>
  <si>
    <t>Email Interac for confirmation they are in receipt of key and uploaded to their internal system TSP</t>
  </si>
  <si>
    <t>Interac</t>
  </si>
  <si>
    <t>AP14</t>
  </si>
  <si>
    <t>Apple confirms Entitlement Config is done</t>
  </si>
  <si>
    <t>This step is a must, prior to building the app</t>
  </si>
  <si>
    <t>Apple</t>
  </si>
  <si>
    <t>AP15</t>
  </si>
  <si>
    <t>Update Dev Ops Ticket</t>
  </si>
  <si>
    <t>Give go-ahead to Dev Ops to enable Applepay</t>
  </si>
  <si>
    <t>Configuration &amp; Testing</t>
  </si>
  <si>
    <t>AP16</t>
  </si>
  <si>
    <t>Enable Applepay in Forge</t>
  </si>
  <si>
    <t>AP17</t>
  </si>
  <si>
    <t>Add Teamsite Data to UXP SCC</t>
  </si>
  <si>
    <t>Tenant Configuration Setup</t>
  </si>
  <si>
    <t>AP18</t>
  </si>
  <si>
    <t>Setup CXP Pages for CU</t>
  </si>
  <si>
    <t>CXP pages to be used for applepay</t>
  </si>
  <si>
    <t>AP19</t>
  </si>
  <si>
    <t>Build FE App &amp; BE Config for CU (BETA)</t>
  </si>
  <si>
    <t>AP20</t>
  </si>
  <si>
    <t>Add Test Users</t>
  </si>
  <si>
    <t>Add all test users to test flight app</t>
  </si>
  <si>
    <t>AP21</t>
  </si>
  <si>
    <t>QA Test and Bug Fixes</t>
  </si>
  <si>
    <t>Mobile / QA internal testing</t>
  </si>
  <si>
    <t>AP22</t>
  </si>
  <si>
    <t>Cursory Test (Provision Card Test)</t>
  </si>
  <si>
    <t>BA internal testing</t>
  </si>
  <si>
    <t>0.2 to 5</t>
  </si>
  <si>
    <t>AP23</t>
  </si>
  <si>
    <t>QA Approval</t>
  </si>
  <si>
    <t>Joint approval from Mobile, QA, and BA</t>
  </si>
  <si>
    <t>AP24</t>
  </si>
  <si>
    <t>Bug Fixes and Interac Shakedown</t>
  </si>
  <si>
    <t>Interac to perform shakedown, C1/Interac/Apple to work on fixes</t>
  </si>
  <si>
    <t>C1/Interac/Apple</t>
  </si>
  <si>
    <t>AP25</t>
  </si>
  <si>
    <t>FI UAT Test and Signoff by FI &amp; CCUA</t>
  </si>
  <si>
    <t>FI to perform E2E testing and signoff</t>
  </si>
  <si>
    <t>10 to 15</t>
  </si>
  <si>
    <t>AP26</t>
  </si>
  <si>
    <t>Release and Launch</t>
  </si>
  <si>
    <t>AP27</t>
  </si>
  <si>
    <t>Submit App for Apple Approval</t>
  </si>
  <si>
    <t>Submit app to Apple Store for approval</t>
  </si>
  <si>
    <t>4 to 5</t>
  </si>
  <si>
    <t>AP28</t>
  </si>
  <si>
    <t>Update Dev Ops  Ticket</t>
  </si>
  <si>
    <t>AP29</t>
  </si>
  <si>
    <t>Send Advance Implementation Notice</t>
  </si>
  <si>
    <t>Send email to FI of implementation notice</t>
  </si>
  <si>
    <t>AP30</t>
  </si>
  <si>
    <t>Production Launch Day</t>
  </si>
  <si>
    <t>Production day activities (refer to implementation process guide)</t>
  </si>
  <si>
    <t>1 to 2</t>
  </si>
  <si>
    <t>AP31</t>
  </si>
  <si>
    <t>Provide 5 Business Day Warranty</t>
  </si>
  <si>
    <t>Warranty period</t>
  </si>
  <si>
    <t>AP32</t>
  </si>
  <si>
    <t>Update Confluence page</t>
  </si>
  <si>
    <t>Update confluence and add FI to list of CU's with applepay</t>
  </si>
  <si>
    <t>AP33</t>
  </si>
  <si>
    <t>Billing</t>
  </si>
  <si>
    <t>Billing process</t>
  </si>
  <si>
    <t>PWS Planning</t>
  </si>
  <si>
    <t>PWS01</t>
  </si>
  <si>
    <t xml:space="preserve">Public Site As-is Audit &amp; Content Strategy </t>
  </si>
  <si>
    <t>Review current MD site and assess pages/items to retain</t>
  </si>
  <si>
    <t>PWS02</t>
  </si>
  <si>
    <t>Forge Theme Variables Template</t>
  </si>
  <si>
    <t>Complete Theme Variable Sheet</t>
  </si>
  <si>
    <t>PWS03</t>
  </si>
  <si>
    <t>Granting Access to Experience Manager</t>
  </si>
  <si>
    <t>Ensure CU security officer has setup users for  CxP</t>
  </si>
  <si>
    <t>PWS04</t>
  </si>
  <si>
    <t>Experience Manager Portal Setup</t>
  </si>
  <si>
    <t>CU Portal has been created in CxP</t>
  </si>
  <si>
    <t>PWS05</t>
  </si>
  <si>
    <t xml:space="preserve">Site Design and Branding </t>
  </si>
  <si>
    <t>Complete all design and branding items</t>
  </si>
  <si>
    <t>PWS06</t>
  </si>
  <si>
    <t>Site Imagery &amp; Wireframes</t>
  </si>
  <si>
    <t>Complete all site images and wireframes</t>
  </si>
  <si>
    <t>PWS Build &amp; Content Creation</t>
  </si>
  <si>
    <t>PWS07</t>
  </si>
  <si>
    <t>Content Creation</t>
  </si>
  <si>
    <t>Create content for CxP</t>
  </si>
  <si>
    <t>PWS08</t>
  </si>
  <si>
    <t>PWS Build</t>
  </si>
  <si>
    <t>Buile Pages and added content</t>
  </si>
  <si>
    <t>PWS09</t>
  </si>
  <si>
    <t>Beta URL Creation</t>
  </si>
  <si>
    <t>Purchase SSL Certs, create subdomain etc.; to be managed by domain owner C1 or CU</t>
  </si>
  <si>
    <t>Dev-Ops (or Client)</t>
  </si>
  <si>
    <t>PWS10</t>
  </si>
  <si>
    <t>Beta Pages Publishing</t>
  </si>
  <si>
    <t>Publish content and pages for Beta PWS</t>
  </si>
  <si>
    <t>PWS11</t>
  </si>
  <si>
    <t>Provide CU with Test Guideline</t>
  </si>
  <si>
    <t>Provide CU with Testing and Bug Reporting Documents</t>
  </si>
  <si>
    <t>PWS12</t>
  </si>
  <si>
    <t>Beta Launch</t>
  </si>
  <si>
    <t>Share Beta URL with the Beta testers</t>
  </si>
  <si>
    <t>PWS13</t>
  </si>
  <si>
    <t>Beta Testing (include fixes based on feedback)</t>
  </si>
  <si>
    <t>Test PWS Beta site, log issues and implement fixes</t>
  </si>
  <si>
    <t>PWS14</t>
  </si>
  <si>
    <t>Complete MDi Lite Tasks</t>
  </si>
  <si>
    <t>Refer to MDi Lite timeline sheet</t>
  </si>
  <si>
    <t>PWS15</t>
  </si>
  <si>
    <t>Launch Prep &amp; Client Support Handoff Workshop</t>
  </si>
  <si>
    <t xml:space="preserve"> Refer PWS launch handbook</t>
  </si>
  <si>
    <t>PWS16</t>
  </si>
  <si>
    <t>Communication for launch</t>
  </si>
  <si>
    <t>Internal and external comms managed by CU team regarding the PWS launch</t>
  </si>
  <si>
    <t>PWS17</t>
  </si>
  <si>
    <t>Go/No Go Decision</t>
  </si>
  <si>
    <t>Go/No-Go call with all stakeholders for PWS Market Launch;</t>
  </si>
  <si>
    <t>PWS18</t>
  </si>
  <si>
    <t>Public Site Launch</t>
  </si>
  <si>
    <t>PWS Market Launch; Refer to PWS Launch Runbook</t>
  </si>
  <si>
    <t>PWS19</t>
  </si>
  <si>
    <t>Post-Launch Handoff</t>
  </si>
  <si>
    <t>Post-Launch Handoff at end of warranty; refer to template email</t>
  </si>
  <si>
    <t>Online Banking</t>
  </si>
  <si>
    <t>OLB01</t>
  </si>
  <si>
    <t>CU Engaged</t>
  </si>
  <si>
    <t>OLB02</t>
  </si>
  <si>
    <t>ISO Spec Complete</t>
  </si>
  <si>
    <t>Provide CU ISO Spec</t>
  </si>
  <si>
    <t>OLB03</t>
  </si>
  <si>
    <t>Confirm Interac Profile</t>
  </si>
  <si>
    <t>OLB04</t>
  </si>
  <si>
    <t>OLB Assets</t>
  </si>
  <si>
    <t>Provide CU templates for assets</t>
  </si>
  <si>
    <t>OLB05</t>
  </si>
  <si>
    <t>OLB Preview Doc</t>
  </si>
  <si>
    <t>Provide CU with OLB Preview Document</t>
  </si>
  <si>
    <t>OLB06</t>
  </si>
  <si>
    <t>Feature Gap Analysis, Turn off Features</t>
  </si>
  <si>
    <t>Complete Feature Gap Analysis</t>
  </si>
  <si>
    <t>OLB07</t>
  </si>
  <si>
    <t>Receive Assets and Test Accounts</t>
  </si>
  <si>
    <t>OLB08</t>
  </si>
  <si>
    <t>CU BH Changes</t>
  </si>
  <si>
    <t>CU completest changes required for BH</t>
  </si>
  <si>
    <t>OLB09</t>
  </si>
  <si>
    <t>Build BH Connection</t>
  </si>
  <si>
    <t>Setup connectivity to BH</t>
  </si>
  <si>
    <t>OLB10</t>
  </si>
  <si>
    <t>Test BH Connection</t>
  </si>
  <si>
    <t>Test connectivity to BH</t>
  </si>
  <si>
    <t>OLB11</t>
  </si>
  <si>
    <t>Import Last MPI Config to Forge</t>
  </si>
  <si>
    <t>OLB12</t>
  </si>
  <si>
    <t>ISO Testing in local Dev (Testing Login details against MD)</t>
  </si>
  <si>
    <t>Tests to ensure ISO changes are complete</t>
  </si>
  <si>
    <t>OLB13</t>
  </si>
  <si>
    <t>Create Tenant in all Environments</t>
  </si>
  <si>
    <t>Create CU as a tenant in all environments</t>
  </si>
  <si>
    <t>OLB14</t>
  </si>
  <si>
    <t>Create DB</t>
  </si>
  <si>
    <t>OLB15</t>
  </si>
  <si>
    <t>Tenant Config</t>
  </si>
  <si>
    <t>OLB16</t>
  </si>
  <si>
    <t>Configurations</t>
  </si>
  <si>
    <t>OLB17</t>
  </si>
  <si>
    <t>Conifig Oauth (white list)</t>
  </si>
  <si>
    <t>OLB18</t>
  </si>
  <si>
    <t>Create / Update Repo</t>
  </si>
  <si>
    <t>OLB19</t>
  </si>
  <si>
    <t>Seeding Config</t>
  </si>
  <si>
    <t>OLB20</t>
  </si>
  <si>
    <t>Backend Config E-transfer</t>
  </si>
  <si>
    <t>OLB21</t>
  </si>
  <si>
    <t>Config RDC</t>
  </si>
  <si>
    <t>OLB22</t>
  </si>
  <si>
    <t>Config Bill Pay</t>
  </si>
  <si>
    <t>OLB23</t>
  </si>
  <si>
    <t>Config A2A</t>
  </si>
  <si>
    <t>OLB24</t>
  </si>
  <si>
    <t>Config Auth</t>
  </si>
  <si>
    <t>OLB25</t>
  </si>
  <si>
    <t>MDI Integration</t>
  </si>
  <si>
    <t>OLB26</t>
  </si>
  <si>
    <t>Configure additional non-mobile features</t>
  </si>
  <si>
    <t>OLB27</t>
  </si>
  <si>
    <t>Deploy KDC/OAuth</t>
  </si>
  <si>
    <t>OLB28</t>
  </si>
  <si>
    <t>Smoke Test (BE API Tests for ISO)</t>
  </si>
  <si>
    <t>OLB29</t>
  </si>
  <si>
    <t>Bug Triage from API Testing</t>
  </si>
  <si>
    <t>OLB30</t>
  </si>
  <si>
    <t>Setup CxP Portal</t>
  </si>
  <si>
    <t>OLB31</t>
  </si>
  <si>
    <t>Add Online Banking Page</t>
  </si>
  <si>
    <t>Develop Pages in OLB UAT Portal</t>
  </si>
  <si>
    <t>OLB32</t>
  </si>
  <si>
    <t>Supply Theming to Portal</t>
  </si>
  <si>
    <t>Deploy Theming changes to OLB pages</t>
  </si>
  <si>
    <t>OLB33</t>
  </si>
  <si>
    <t>Internal QA in UAT</t>
  </si>
  <si>
    <t xml:space="preserve">Test OLB UAT </t>
  </si>
  <si>
    <t>OLB34</t>
  </si>
  <si>
    <t>Bug Triage</t>
  </si>
  <si>
    <t>Triage of reported issues from QA</t>
  </si>
  <si>
    <t>OLB35</t>
  </si>
  <si>
    <t>Bug Fixing</t>
  </si>
  <si>
    <t>OLB36</t>
  </si>
  <si>
    <t>QA Sign-off</t>
  </si>
  <si>
    <t>QA signs off on UAT OLB Build</t>
  </si>
  <si>
    <t>OLB37</t>
  </si>
  <si>
    <t>Seeding Test in QA</t>
  </si>
  <si>
    <t>Pre-seeding testing from BH QA env.; flat file required</t>
  </si>
  <si>
    <t>OLB38</t>
  </si>
  <si>
    <t>Seeding Test in PROD</t>
  </si>
  <si>
    <t>Pre-seeding testing from BH PROD env.; flat file required</t>
  </si>
  <si>
    <t>OLB39</t>
  </si>
  <si>
    <t>OLB UAT Go/No-GO</t>
  </si>
  <si>
    <t>GO/No-Go call with all stakeholders for OLB UAT</t>
  </si>
  <si>
    <t>OLB40</t>
  </si>
  <si>
    <t>Give to CU for UAT</t>
  </si>
  <si>
    <t>Provide URL for OLB UAT to CU</t>
  </si>
  <si>
    <t>OLB41</t>
  </si>
  <si>
    <t>UAT Testing</t>
  </si>
  <si>
    <t>CU testing of OLB in UAT</t>
  </si>
  <si>
    <t>OLB42</t>
  </si>
  <si>
    <t>UAT Sign off</t>
  </si>
  <si>
    <t>Client Signs off on all UAT reported bugs and timelines for fixes</t>
  </si>
  <si>
    <t>OLB43</t>
  </si>
  <si>
    <t>Move Portal to Editorial</t>
  </si>
  <si>
    <t>Copy pages from UAT to Editorial with edits based on UAT Testing</t>
  </si>
  <si>
    <t>OLB44</t>
  </si>
  <si>
    <t>Publish Pages</t>
  </si>
  <si>
    <t>Publish all pages in Editorial</t>
  </si>
  <si>
    <t>OLB45</t>
  </si>
  <si>
    <t>Deploy all config from UAT to PROD</t>
  </si>
  <si>
    <t>OLB46</t>
  </si>
  <si>
    <t>UGX for PROD</t>
  </si>
  <si>
    <t>OLB47</t>
  </si>
  <si>
    <t>Seeding in PROD</t>
  </si>
  <si>
    <t>OLB48</t>
  </si>
  <si>
    <t>Beta F &amp; F Launch</t>
  </si>
  <si>
    <t>OLB49</t>
  </si>
  <si>
    <t>Beta Testing</t>
  </si>
  <si>
    <t>Test OLB Beta site, log issues and implement fixes</t>
  </si>
  <si>
    <t>OLB50</t>
  </si>
  <si>
    <t>Resolve any pending bugs</t>
  </si>
  <si>
    <t>OLB51</t>
  </si>
  <si>
    <t>Data Seeding</t>
  </si>
  <si>
    <t>Data seeding (should end 1 week before Market Launch)</t>
  </si>
  <si>
    <t>TBD</t>
  </si>
  <si>
    <t>OLB52</t>
  </si>
  <si>
    <t>OLB Market Launch; Refer to OLB Launch Runbook</t>
  </si>
  <si>
    <t>OLB53</t>
  </si>
  <si>
    <t>Go/No-Go call with all stakeholders for OLB Market Launch</t>
  </si>
  <si>
    <t>OLB54</t>
  </si>
  <si>
    <t>PROD Testing</t>
  </si>
  <si>
    <t>OLB55</t>
  </si>
  <si>
    <t>OLB Launch (steps listed in the launch runbook)</t>
  </si>
  <si>
    <t>OLB56</t>
  </si>
  <si>
    <t>OLB57</t>
  </si>
  <si>
    <t>Communication for MDi Lite Decommissioning</t>
  </si>
  <si>
    <t>Internal and external comms managed by CU team regarding changes to MDi Lite</t>
  </si>
  <si>
    <t>OLB58</t>
  </si>
  <si>
    <t>Decommission MDi Lite</t>
  </si>
  <si>
    <t>Mobile App</t>
  </si>
  <si>
    <t>MA01</t>
  </si>
  <si>
    <t>JIRA Setup</t>
  </si>
  <si>
    <t xml:space="preserve">Setup JIRA Ticket </t>
  </si>
  <si>
    <t>MA02</t>
  </si>
  <si>
    <t>MA03</t>
  </si>
  <si>
    <t>ISO Spec</t>
  </si>
  <si>
    <t>MA04</t>
  </si>
  <si>
    <t>Config Interac Profile</t>
  </si>
  <si>
    <t>MA05</t>
  </si>
  <si>
    <t>Mobile  App Assets</t>
  </si>
  <si>
    <t>MA06</t>
  </si>
  <si>
    <t>Mobile App Tour Doc</t>
  </si>
  <si>
    <t>MA07</t>
  </si>
  <si>
    <t>Feature Gap Analysis</t>
  </si>
  <si>
    <t>MA08</t>
  </si>
  <si>
    <t>MA09</t>
  </si>
  <si>
    <t>MA10</t>
  </si>
  <si>
    <t>MA11</t>
  </si>
  <si>
    <t>MA12</t>
  </si>
  <si>
    <t>MA13</t>
  </si>
  <si>
    <t>MA14</t>
  </si>
  <si>
    <t>Shape Setup</t>
  </si>
  <si>
    <t>MA15</t>
  </si>
  <si>
    <t>Identify Core Build Tags for App</t>
  </si>
  <si>
    <t>MA16</t>
  </si>
  <si>
    <t>Create Tenant in all environments</t>
  </si>
  <si>
    <t>MA17</t>
  </si>
  <si>
    <t>MA18</t>
  </si>
  <si>
    <t>MA19</t>
  </si>
  <si>
    <t>MA20</t>
  </si>
  <si>
    <t>Conifig Oauth</t>
  </si>
  <si>
    <t>MA21</t>
  </si>
  <si>
    <t>MA22</t>
  </si>
  <si>
    <t>MA23</t>
  </si>
  <si>
    <t>MA24</t>
  </si>
  <si>
    <t>MA25</t>
  </si>
  <si>
    <t>MA26</t>
  </si>
  <si>
    <t>MA27</t>
  </si>
  <si>
    <t>MA28</t>
  </si>
  <si>
    <t>MA29</t>
  </si>
  <si>
    <t>MA30</t>
  </si>
  <si>
    <t>MA31</t>
  </si>
  <si>
    <t>Clone CxP Portal</t>
  </si>
  <si>
    <t>Clone CxP Portal for Mobile</t>
  </si>
  <si>
    <t>MA32</t>
  </si>
  <si>
    <t>Update CxP Portal</t>
  </si>
  <si>
    <t>MA33</t>
  </si>
  <si>
    <t>Import Portal to every environment</t>
  </si>
  <si>
    <t>MA34</t>
  </si>
  <si>
    <t>Update Custom Text</t>
  </si>
  <si>
    <t>MA35</t>
  </si>
  <si>
    <t>Sync Certs</t>
  </si>
  <si>
    <t>MA36</t>
  </si>
  <si>
    <t>Update iOS Certs</t>
  </si>
  <si>
    <t>MA37</t>
  </si>
  <si>
    <t>AWS Notfication Setup</t>
  </si>
  <si>
    <t>MA38</t>
  </si>
  <si>
    <t>Update Repo with Assets</t>
  </si>
  <si>
    <t>MA39</t>
  </si>
  <si>
    <t>Apply Theming (Native)</t>
  </si>
  <si>
    <t>MA40</t>
  </si>
  <si>
    <t>Apply Theming (Webviews and OAuth)</t>
  </si>
  <si>
    <t>MA41</t>
  </si>
  <si>
    <t>Freeze Code Changes</t>
  </si>
  <si>
    <t>MA42</t>
  </si>
  <si>
    <t>Build App</t>
  </si>
  <si>
    <t>Build apps in Shared-Test or UAT?</t>
  </si>
  <si>
    <t>MA43</t>
  </si>
  <si>
    <t>Internal Manual Testing</t>
  </si>
  <si>
    <t>Manual testing of the app builds</t>
  </si>
  <si>
    <t>MA44</t>
  </si>
  <si>
    <t>Bug Triage and Fixing</t>
  </si>
  <si>
    <t>Debug and Triage of the Mobile App</t>
  </si>
  <si>
    <t>MA45</t>
  </si>
  <si>
    <t>Create iOS and Android Projects (Test Flight and Google Play Beta)</t>
  </si>
  <si>
    <t>Create project for iOS and Android for app stores</t>
  </si>
  <si>
    <t>MA46</t>
  </si>
  <si>
    <t>QA teams signs off on testing</t>
  </si>
  <si>
    <t>MA47</t>
  </si>
  <si>
    <t>Mobile UAT Go/No-GO</t>
  </si>
  <si>
    <t>GO/No-Go call with all stakeholders for Mobile UAT</t>
  </si>
  <si>
    <t>MA48</t>
  </si>
  <si>
    <t>Deploy Apps to CU for UAT</t>
  </si>
  <si>
    <t>Deploy UAT mobile build for testing</t>
  </si>
  <si>
    <t>MA49</t>
  </si>
  <si>
    <t>MA50</t>
  </si>
  <si>
    <t>CU Signs off on all UAT reported bugs and timelines for fixes</t>
  </si>
  <si>
    <t>MA51</t>
  </si>
  <si>
    <t>Receive App Store / Play Store Contents</t>
  </si>
  <si>
    <t>CU provides content for iOS and Android app store listing</t>
  </si>
  <si>
    <t>MA52</t>
  </si>
  <si>
    <t>Build App for PROD</t>
  </si>
  <si>
    <t>Build Apps in PROD</t>
  </si>
  <si>
    <t>MA53</t>
  </si>
  <si>
    <t>Prod App Release - Friends and Family or Beta</t>
  </si>
  <si>
    <t>Deploy App to App stores for doing Beta Launch</t>
  </si>
  <si>
    <t>MA54</t>
  </si>
  <si>
    <t>App Store Approvals</t>
  </si>
  <si>
    <t>MA55</t>
  </si>
  <si>
    <t>Mobile App Beta Launch</t>
  </si>
  <si>
    <t>Share Beta App with the Beta testers</t>
  </si>
  <si>
    <t>MA56</t>
  </si>
  <si>
    <t xml:space="preserve">Integrate feedback from Beta testing </t>
  </si>
  <si>
    <t>MA57</t>
  </si>
  <si>
    <t>Beta Feedback</t>
  </si>
  <si>
    <t>Provide feedback and bug reports based on Beta testing</t>
  </si>
  <si>
    <t>MA58</t>
  </si>
  <si>
    <t>MA59</t>
  </si>
  <si>
    <t>Final checks of the PROD app before launch</t>
  </si>
  <si>
    <t>MA60</t>
  </si>
  <si>
    <t>MA61</t>
  </si>
  <si>
    <t>MA62</t>
  </si>
  <si>
    <t>Prod App Release - Market Launch</t>
  </si>
  <si>
    <t>MA63</t>
  </si>
  <si>
    <t>Follow steps listed in the launch runbook</t>
  </si>
  <si>
    <t>MA64</t>
  </si>
  <si>
    <t>MA65</t>
  </si>
  <si>
    <t>Communication for Mobile App Decommissioning</t>
  </si>
  <si>
    <t>MA66</t>
  </si>
  <si>
    <t>Decommission MDi Mobile</t>
  </si>
  <si>
    <t>Insert new rows ABOVE this one</t>
  </si>
  <si>
    <t>Additional Features go here</t>
  </si>
  <si>
    <t>2SV</t>
  </si>
  <si>
    <t>Collabria</t>
  </si>
  <si>
    <t>JIRA#</t>
  </si>
  <si>
    <t>FIT-1001</t>
  </si>
  <si>
    <t>OPEN</t>
  </si>
  <si>
    <t>Unassigned</t>
  </si>
  <si>
    <t>Actions</t>
  </si>
  <si>
    <t>Obtain Implementation Requirement Document</t>
  </si>
  <si>
    <t>=======ONBOARDING FOR MOBILE OR OLB=======</t>
  </si>
  <si>
    <t>CU making BH changes (Mobile and OLB)</t>
  </si>
  <si>
    <t>Setup BH Connectivity (Mobile and OLB)</t>
  </si>
  <si>
    <t>ISO testing in local Dev (Mobile and OLB)</t>
  </si>
  <si>
    <t>Setup Client JIRA Project and Access (Mobile and OLB)</t>
  </si>
  <si>
    <t>Import latest MD properties (Mobile and OLB)</t>
  </si>
  <si>
    <t>Obtain SSL Certificate for auth and forge subdomains (Mobile and OLB)</t>
  </si>
  <si>
    <t>Add ID Mapper</t>
  </si>
  <si>
    <t>Christina Chan</t>
  </si>
  <si>
    <t>Create DB &amp; Tenant for DTAP (Mobile and OLB)</t>
  </si>
  <si>
    <t>Create AWS Role for CU (Mobile and OLB)</t>
  </si>
  <si>
    <t>Create AWS SQS queue for seeding and setup SCC for feature-auth (Mobile and OLB)</t>
  </si>
  <si>
    <t>Shape Security Setup (Mobile and OLB)</t>
  </si>
  <si>
    <t>OAuth Configuration in Dev &amp; Test (Mobile and OLB)</t>
  </si>
  <si>
    <t>Joe Cheng</t>
  </si>
  <si>
    <t>Backend Configuration for DEV &amp; TEST environment (Mobile and OLB)</t>
  </si>
  <si>
    <t>Product Mapping Configuration for DEV &amp; TEST environment (Mobile and OLB)</t>
  </si>
  <si>
    <t>E-transfer Configuration for DEV &amp; TEST environment (Mobile and OLB)</t>
  </si>
  <si>
    <t>Configure DSA in Dev &amp; Test (Mobile App and OLB)</t>
  </si>
  <si>
    <t>Backend API Testing in TEST environment (Mobile and OLB)</t>
  </si>
  <si>
    <t>OAuth Configuration in Prod</t>
  </si>
  <si>
    <t>========DATA SEEDING=======</t>
  </si>
  <si>
    <t>Obtain Cursory QA seeding file from CU</t>
  </si>
  <si>
    <t>Data Seeding Cursory Test in TEST</t>
  </si>
  <si>
    <t>Obtain QA seeding file from CU</t>
  </si>
  <si>
    <t>Data Seeding Test in UAT</t>
  </si>
  <si>
    <t>Obtain Production seeding file &amp; info from CU and schedule production seeding test</t>
  </si>
  <si>
    <t>Data Seeding in Prod</t>
  </si>
  <si>
    <t>=======MOBILE ONLY=======</t>
  </si>
  <si>
    <t>Mobile Environmental Setup (Mobile)</t>
  </si>
  <si>
    <t>Clone CXP Mobile Portal in TEST environment (Mobile)</t>
  </si>
  <si>
    <t>Update CXP Mobile Portal in TEST environment (Mobile)</t>
  </si>
  <si>
    <t>RDC Configuration in DEV &amp; TEST environment (Mobile)</t>
  </si>
  <si>
    <t>Initial Theming - Webview, Native, OAuth (Mobile)</t>
  </si>
  <si>
    <t>Mobile App build in TEST environment (Mobile)</t>
  </si>
  <si>
    <t>App testing in TEST environment (Mobile)</t>
  </si>
  <si>
    <t>Deploy All Configuration from TEST to UAT (Mobile)</t>
  </si>
  <si>
    <t>Export Mobile Portal from TEST and import to UAT (Mobile)</t>
  </si>
  <si>
    <t>Create IOS / Android Store Project (Mobile)</t>
  </si>
  <si>
    <t>Mobile App internal UAT build (Mobile)</t>
  </si>
  <si>
    <t>App testing in UAT environment (Mobile)</t>
  </si>
  <si>
    <t>Mobile App external UAT build and upload (Mobile)</t>
  </si>
  <si>
    <t>Notify client of the UAT apps (Mobile)</t>
  </si>
  <si>
    <t>Client App testing in UAT environment (Mobile)</t>
  </si>
  <si>
    <t>Deploy all config from UAT to Prod (Mobile)</t>
  </si>
  <si>
    <t>Initial Theming - OAuth pushed to Prod (Mobile and OLB)</t>
  </si>
  <si>
    <t>Export Mobile Portal from UAT and import to Editorial (Mobile)</t>
  </si>
  <si>
    <t>Mobile App Prod build (Mobile)</t>
  </si>
  <si>
    <t>Sync Mobile Portal to Staging and Live (Mobile)</t>
  </si>
  <si>
    <t>Prepare Google App Store listing for Android (Mobile)</t>
  </si>
  <si>
    <t>Receive App Store + Play Store contents (Mobile)</t>
  </si>
  <si>
    <t>Upload Android App for Alpha Testing (Mobile)</t>
  </si>
  <si>
    <t>Upload iOS App to TestFlight (Mobile)</t>
  </si>
  <si>
    <t>Notify clients of the Friends &amp; Family Beta App (Mobile)</t>
  </si>
  <si>
    <t>Client App testing for F&amp;F/Pilot (Mobile)</t>
  </si>
  <si>
    <t>Submit iOS App for Review (Mobile)</t>
  </si>
  <si>
    <t>Prod App Release</t>
  </si>
  <si>
    <t>=======ONLINE BANKING ONLY=======</t>
  </si>
  <si>
    <t>MDi Lite Setup (OLB)</t>
  </si>
  <si>
    <t>Setup Auth Subdomain for OAuth (OLB)</t>
  </si>
  <si>
    <t>Point forge subdomain to MemberDirect</t>
  </si>
  <si>
    <t>Create OLB CXP Portal in TEST environment (OLB)</t>
  </si>
  <si>
    <t>Populate OLB pages in the CXP Portal (OLB)</t>
  </si>
  <si>
    <t>Initial Theming - OLB, OAuth, and e-Transfer (OLB)</t>
  </si>
  <si>
    <t>OLB Testing in TEST environment (OLB)</t>
  </si>
  <si>
    <t>Deploy All Configuration from TEST to UAT (OLB)</t>
  </si>
  <si>
    <t>Export OLB Portal from TEST and import to UAT (OLB)</t>
  </si>
  <si>
    <t>OLB Internal UAT</t>
  </si>
  <si>
    <t>Ciara Whelan</t>
  </si>
  <si>
    <t>Internal QA Sign-off (OLB)</t>
  </si>
  <si>
    <t>Provide OLB URL to client for UAT (OLB)</t>
  </si>
  <si>
    <t>Client testing in UAT environment (OLB)</t>
  </si>
  <si>
    <t>Client UAT Sign-off (OLB)</t>
  </si>
  <si>
    <t>Deploy all config from UAT to Prod (OLB)</t>
  </si>
  <si>
    <t>Export OLB Portal from UAT and import to Editorial (OLB)</t>
  </si>
  <si>
    <t>Create CloudFront distribution for www and beta (OLB)</t>
  </si>
  <si>
    <t>Prepare DNS change for Friends &amp; Family Beta Launch (OLB)</t>
  </si>
  <si>
    <t>Setup NGINX Redirects for Prod (OLB)</t>
  </si>
  <si>
    <t>Publish OLB portal and pages to Staging and Live (OLB)</t>
  </si>
  <si>
    <t>Friends &amp; Family Beta Launch (OLB)</t>
  </si>
  <si>
    <t>=======ONBOARDING FOR PUBLIC =======</t>
  </si>
  <si>
    <t>Obtain SSL Certificate for www and beta subdomains (PWS)</t>
  </si>
  <si>
    <t>Portal Creation in DTAP (PWS)</t>
  </si>
  <si>
    <t>Initial Theming for Public Site (PWS)</t>
  </si>
  <si>
    <t>FULL LAUNCH - Create Change Order for CAB Approval (At least a week prior to launch) (PWS)</t>
  </si>
  <si>
    <t>Amr Fadl</t>
  </si>
  <si>
    <t>Setup PWS Functional Widget (PWS)</t>
  </si>
  <si>
    <t>Content Population (PWS)</t>
  </si>
  <si>
    <t>MDI Lite Web Development</t>
  </si>
  <si>
    <t>BETA - Create Change Order for CAB Approval (At least a week prior to launch) (PWS)</t>
  </si>
  <si>
    <t>BETA - Checklist for CXP Portal to prepare for Beta Launch (PWS)</t>
  </si>
  <si>
    <t>BETA - NGINX Configuration (PWS)</t>
  </si>
  <si>
    <t>BETA - Purchase/Acquire SSL Cert for the beta subdomain (PWS)</t>
  </si>
  <si>
    <t>BETA - Installing the SSL Cert in AWS (PWS)</t>
  </si>
  <si>
    <t>BETA - Create CloudFront Distribution (PWS)</t>
  </si>
  <si>
    <t>BETA - Create Change Order to Network Team (PWS)</t>
  </si>
  <si>
    <t>Beta Launched!! (PWS)</t>
  </si>
  <si>
    <t>FULL LAUNCH - NGINX Configuration (301 Redirects, Robots.txt &amp; sitemap.xml, non-www redirect, portal mapping) (PWS)</t>
  </si>
  <si>
    <t>FULL LAUNCH - Purchase/Acquire SSL Cert for the www subdomain (PWS)</t>
  </si>
  <si>
    <t>FULL LAUNCH - Installing the SSL Cert in AWS (PWS)</t>
  </si>
  <si>
    <t>FULL LAUNCH - Create CloudFront Distribution (PWS)</t>
  </si>
  <si>
    <t>FULL LAUNCH - Create Change Order to Network Team (PWS)</t>
  </si>
  <si>
    <t>FULL LAUNCH - Day before Full Launch Preparation (PWS)</t>
  </si>
  <si>
    <t>Member Full Launch!! (PWS)</t>
  </si>
  <si>
    <t>FIT-1835</t>
  </si>
  <si>
    <t>FIT-1003</t>
  </si>
  <si>
    <t>FIT-1005</t>
  </si>
  <si>
    <t>FIT-1164</t>
  </si>
  <si>
    <t>FIT-1320</t>
  </si>
  <si>
    <t>FIT-1800</t>
  </si>
  <si>
    <t>FIT-7939</t>
  </si>
  <si>
    <t>FIT-1010</t>
  </si>
  <si>
    <t>FIT-1801</t>
  </si>
  <si>
    <t>FIT-1802</t>
  </si>
  <si>
    <t>FIT-1007</t>
  </si>
  <si>
    <t>FIT-5667</t>
  </si>
  <si>
    <t>FIT-1836</t>
  </si>
  <si>
    <t>FIT-2303</t>
  </si>
  <si>
    <t>FIT-1837</t>
  </si>
  <si>
    <t>FIT-6999</t>
  </si>
  <si>
    <t>FIT-1840</t>
  </si>
  <si>
    <t>FIT-3930</t>
  </si>
  <si>
    <t>FIT-1844</t>
  </si>
  <si>
    <t>FIT-3936</t>
  </si>
  <si>
    <t>FIT-1852</t>
  </si>
  <si>
    <t>FIT-3937</t>
  </si>
  <si>
    <t>FIT-1859</t>
  </si>
  <si>
    <t>FIT-1841</t>
  </si>
  <si>
    <t>FIT-1016</t>
  </si>
  <si>
    <t>FIT-1017</t>
  </si>
  <si>
    <t>FIT-1838</t>
  </si>
  <si>
    <t>FIT-1846</t>
  </si>
  <si>
    <t>FIT-1842</t>
  </si>
  <si>
    <t>FIT-1843</t>
  </si>
  <si>
    <t>FIT-1845</t>
  </si>
  <si>
    <t>FIT-1851</t>
  </si>
  <si>
    <t>FIT-1030</t>
  </si>
  <si>
    <t>FIT-1853</t>
  </si>
  <si>
    <t>FIT-1854</t>
  </si>
  <si>
    <t>FIT-1855</t>
  </si>
  <si>
    <t>FIT-1032</t>
  </si>
  <si>
    <t>FIT-9768</t>
  </si>
  <si>
    <t>FIT-1858</t>
  </si>
  <si>
    <t>FIT-1856</t>
  </si>
  <si>
    <t>FIT-1860</t>
  </si>
  <si>
    <t>FIT-1857</t>
  </si>
  <si>
    <t>FIT-1867</t>
  </si>
  <si>
    <t>FIT-1035</t>
  </si>
  <si>
    <t>FIT-1863</t>
  </si>
  <si>
    <t>FIT-1864</t>
  </si>
  <si>
    <t>FIT-1036</t>
  </si>
  <si>
    <t>FIT-1865</t>
  </si>
  <si>
    <t>FIT-1866</t>
  </si>
  <si>
    <t>FIT-1037</t>
  </si>
  <si>
    <t>IT-10316</t>
  </si>
  <si>
    <t>IT-10317</t>
  </si>
  <si>
    <t>IT-13566</t>
  </si>
  <si>
    <t>IT-10318</t>
  </si>
  <si>
    <t>IT-10319</t>
  </si>
  <si>
    <t>IT-10321</t>
  </si>
  <si>
    <t>IT-10320</t>
  </si>
  <si>
    <t>IT-10322</t>
  </si>
  <si>
    <t>IT-14123</t>
  </si>
  <si>
    <t>IT-10323</t>
  </si>
  <si>
    <t>IT-10338</t>
  </si>
  <si>
    <t>IT-10339</t>
  </si>
  <si>
    <t>IT-10337</t>
  </si>
  <si>
    <t>IT-10324</t>
  </si>
  <si>
    <t>IT-10340</t>
  </si>
  <si>
    <t>Prepare Google App Store listing for Android</t>
  </si>
  <si>
    <t>Internal QA Sign-off</t>
  </si>
  <si>
    <t>Export OLB Portal from UAT and import to Editorial</t>
  </si>
  <si>
    <t>Create CloudFront distribution for www and beta</t>
  </si>
  <si>
    <t>Prepare DNS change for Friends &amp; Family Beta Launch</t>
  </si>
  <si>
    <t>Setup NGINX Redirects for Prod</t>
  </si>
  <si>
    <t>Publish OLB portal and pages to Staging and Live</t>
  </si>
  <si>
    <t>Friends &amp; Family Beta Launch</t>
  </si>
  <si>
    <t>PROD App Release</t>
  </si>
  <si>
    <t>Client OLB testing for F&amp;F/Pilot</t>
  </si>
  <si>
    <t>PROD OLB Launch</t>
  </si>
  <si>
    <t>OLB Only</t>
  </si>
  <si>
    <t>Pre-req to start</t>
  </si>
  <si>
    <t>PROGRESS (%)</t>
  </si>
  <si>
    <t>https://jira.central1.com/browse/FIT-1001</t>
  </si>
  <si>
    <t>https://jira.central1.com/browse/FIT-1835</t>
  </si>
  <si>
    <t>https://jira.central1.com/browse/FIT-10262</t>
  </si>
  <si>
    <t>IT-10262</t>
  </si>
  <si>
    <t>https://jira.central1.com/browse/FIT-1003</t>
  </si>
  <si>
    <t>https://jira.central1.com/browse/FIT-1005</t>
  </si>
  <si>
    <t>https://jira.central1.com/browse/FIT-1800</t>
  </si>
  <si>
    <t>https://jira.central1.com/browse/FIT-1164</t>
  </si>
  <si>
    <t>https://jira.central1.com/browse/FIT-1320</t>
  </si>
  <si>
    <t>https://jira.central1.com/browse/FIT-7939</t>
  </si>
  <si>
    <t>https://jira.central1.com/browse/FIT-14954</t>
  </si>
  <si>
    <t>IT-14954</t>
  </si>
  <si>
    <t>https://jira.central1.com/browse/FIT-1010</t>
  </si>
  <si>
    <t>https://jira.central1.com/browse/FIT-1801</t>
  </si>
  <si>
    <t>https://jira.central1.com/browse/FIT-1802</t>
  </si>
  <si>
    <t>https://jira.central1.com/browse/FIT-1007</t>
  </si>
  <si>
    <t>https://jira.central1.com/browse/FIT-5667</t>
  </si>
  <si>
    <t>https://jira.central1.com/browse/FIT-1836</t>
  </si>
  <si>
    <t>https://jira.central1.com/browse/FIT-2303</t>
  </si>
  <si>
    <t>https://jira.central1.com/browse/FIT-1837</t>
  </si>
  <si>
    <t>https://jira.central1.com/browse/FIT-6999</t>
  </si>
  <si>
    <t>https://jira.central1.com/browse/FIT-1840</t>
  </si>
  <si>
    <t>https://jira.central1.com/browse/FIT-14122</t>
  </si>
  <si>
    <t>IT-14122</t>
  </si>
  <si>
    <t>https://jira.central1.com/browse/FIT-10265</t>
  </si>
  <si>
    <t>IT-10265</t>
  </si>
  <si>
    <t>https://jira.central1.com/browse/FIT-3930</t>
  </si>
  <si>
    <t>https://jira.central1.com/browse/FIT-1844</t>
  </si>
  <si>
    <t>https://jira.central1.com/browse/FIT-3936</t>
  </si>
  <si>
    <t>https://jira.central1.com/browse/FIT-1852</t>
  </si>
  <si>
    <t>https://jira.central1.com/browse/FIT-3937</t>
  </si>
  <si>
    <t>https://jira.central1.com/browse/FIT-1859</t>
  </si>
  <si>
    <t>https://jira.central1.com/browse/FIT-10263</t>
  </si>
  <si>
    <t>IT-10263</t>
  </si>
  <si>
    <t>https://jira.central1.com/browse/FIT-1841</t>
  </si>
  <si>
    <t>https://jira.central1.com/browse/FIT-1016</t>
  </si>
  <si>
    <t>https://jira.central1.com/browse/FIT-1017</t>
  </si>
  <si>
    <t>https://jira.central1.com/browse/FIT-1838</t>
  </si>
  <si>
    <t>https://jira.central1.com/browse/FIT-1846</t>
  </si>
  <si>
    <t>https://jira.central1.com/browse/FIT-1842</t>
  </si>
  <si>
    <t>https://jira.central1.com/browse/FIT-1843</t>
  </si>
  <si>
    <t>https://jira.central1.com/browse/FIT-1845</t>
  </si>
  <si>
    <t>https://jira.central1.com/browse/FIT-1851</t>
  </si>
  <si>
    <t>https://jira.central1.com/browse/FIT-1030</t>
  </si>
  <si>
    <t>https://jira.central1.com/browse/FIT-1853</t>
  </si>
  <si>
    <t>https://jira.central1.com/browse/FIT-1854</t>
  </si>
  <si>
    <t>https://jira.central1.com/browse/FIT-1855</t>
  </si>
  <si>
    <t>https://jira.central1.com/browse/FIT-1032</t>
  </si>
  <si>
    <t>https://jira.central1.com/browse/FIT-9768</t>
  </si>
  <si>
    <t>https://jira.central1.com/browse/FIT-1858</t>
  </si>
  <si>
    <t>https://jira.central1.com/browse/FIT-14124</t>
  </si>
  <si>
    <t>IT-14124</t>
  </si>
  <si>
    <t>https://jira.central1.com/browse/FIT-1856</t>
  </si>
  <si>
    <t>https://jira.central1.com/browse/FIT-1860</t>
  </si>
  <si>
    <t>https://jira.central1.com/browse/FIT-1857</t>
  </si>
  <si>
    <t>https://jira.central1.com/browse/FIT-1867</t>
  </si>
  <si>
    <t>https://jira.central1.com/browse/FIT-1035</t>
  </si>
  <si>
    <t>https://jira.central1.com/browse/FIT-1863</t>
  </si>
  <si>
    <t>https://jira.central1.com/browse/FIT-1864</t>
  </si>
  <si>
    <t>https://jira.central1.com/browse/FIT-1036</t>
  </si>
  <si>
    <t>https://jira.central1.com/browse/FIT-1865</t>
  </si>
  <si>
    <t>https://jira.central1.com/browse/FIT-1866</t>
  </si>
  <si>
    <t>https://jira.central1.com/browse/FIT-1037</t>
  </si>
  <si>
    <t>https://jira.central1.com/browse/FIT-10266</t>
  </si>
  <si>
    <t>IT-10266</t>
  </si>
  <si>
    <t>https://jira.central1.com/browse/FIT-10229</t>
  </si>
  <si>
    <t>IT-10229</t>
  </si>
  <si>
    <t>https://jira.central1.com/browse/FIT-13411</t>
  </si>
  <si>
    <t>IT-13411</t>
  </si>
  <si>
    <t>https://jira.central1.com/browse/FIT-14955</t>
  </si>
  <si>
    <t>IT-14955</t>
  </si>
  <si>
    <t>https://jira.central1.com/browse/FIT-10259</t>
  </si>
  <si>
    <t>IT-10259</t>
  </si>
  <si>
    <t>https://jira.central1.com/browse/FIT-10261</t>
  </si>
  <si>
    <t>IT-10261</t>
  </si>
  <si>
    <t>https://jira.central1.com/browse/FIT-10290</t>
  </si>
  <si>
    <t>IT-10290</t>
  </si>
  <si>
    <t>https://jira.central1.com/browse/FIT-10291</t>
  </si>
  <si>
    <t>IT-10291</t>
  </si>
  <si>
    <t>https://jira.central1.com/browse/FIT-10316</t>
  </si>
  <si>
    <t>https://jira.central1.com/browse/FIT-10317</t>
  </si>
  <si>
    <t>https://jira.central1.com/browse/FIT-13566</t>
  </si>
  <si>
    <t>https://jira.central1.com/browse/FIT-10318</t>
  </si>
  <si>
    <t>https://jira.central1.com/browse/FIT-10319</t>
  </si>
  <si>
    <t>https://jira.central1.com/browse/FIT-10321</t>
  </si>
  <si>
    <t>https://jira.central1.com/browse/FIT-10320</t>
  </si>
  <si>
    <t>https://jira.central1.com/browse/FIT-10322</t>
  </si>
  <si>
    <t>https://jira.central1.com/browse/FIT-14123</t>
  </si>
  <si>
    <t>https://jira.central1.com/browse/FIT-10323</t>
  </si>
  <si>
    <t>https://jira.central1.com/browse/FIT-10338</t>
  </si>
  <si>
    <t>https://jira.central1.com/browse/FIT-10339</t>
  </si>
  <si>
    <t>https://jira.central1.com/browse/FIT-10337</t>
  </si>
  <si>
    <t>https://jira.central1.com/browse/FIT-10324</t>
  </si>
  <si>
    <t>https://jira.central1.com/browse/FIT-10340</t>
  </si>
  <si>
    <t>https://jira.central1.com/browse/FIT-10289</t>
  </si>
  <si>
    <t>FIT-10289</t>
  </si>
  <si>
    <t>https://jira.central1.com/browse/FIT-10348</t>
  </si>
  <si>
    <t>FIT-10348</t>
  </si>
  <si>
    <t>https://jira.central1.com/browse/FIT-10349</t>
  </si>
  <si>
    <t>FIT-10349</t>
  </si>
  <si>
    <t>https://jira.central1.com/browse/FIT-10350</t>
  </si>
  <si>
    <t>FIT-10350</t>
  </si>
  <si>
    <t>https://jira.central1.com/browse/FIT-13815</t>
  </si>
  <si>
    <t>FIT-13815</t>
  </si>
  <si>
    <t>https://jira.central1.com/browse/FIT-10351</t>
  </si>
  <si>
    <t>FIT-10351</t>
  </si>
  <si>
    <t>https://jira.central1.com/browse/FIT-10352</t>
  </si>
  <si>
    <t>FIT-10352</t>
  </si>
  <si>
    <t>https://jira.central1.com/browse/FIT-11342</t>
  </si>
  <si>
    <t>FIT-11342</t>
  </si>
  <si>
    <t>https://jira.central1.com/browse/FIT-10397</t>
  </si>
  <si>
    <t>FIT-10397</t>
  </si>
  <si>
    <t>https://jira.central1.com/browse/FIT-10354</t>
  </si>
  <si>
    <t>FIT-10354</t>
  </si>
  <si>
    <t>https://jira.central1.com/browse/FIT-10355</t>
  </si>
  <si>
    <t>FIT-10355</t>
  </si>
  <si>
    <t>https://jira.central1.com/browse/FIT-10356</t>
  </si>
  <si>
    <t>FIT-10356</t>
  </si>
  <si>
    <t>https://jira.central1.com/browse/FIT-10364</t>
  </si>
  <si>
    <t>FIT-10364</t>
  </si>
  <si>
    <t>https://jira.central1.com/browse/FIT-10365</t>
  </si>
  <si>
    <t>FIT-10365</t>
  </si>
  <si>
    <t>https://jira.central1.com/browse/FIT-10359</t>
  </si>
  <si>
    <t>FIT-10359</t>
  </si>
  <si>
    <t>https://jira.central1.com/browse/FIT-10360</t>
  </si>
  <si>
    <t>FIT-10360</t>
  </si>
  <si>
    <t>https://jira.central1.com/browse/FIT-10398</t>
  </si>
  <si>
    <t>FIT-10398</t>
  </si>
  <si>
    <t>https://jira.central1.com/browse/FIT-10362</t>
  </si>
  <si>
    <t>FIT-10362</t>
  </si>
  <si>
    <t>https://jira.central1.com/browse/FIT-10363</t>
  </si>
  <si>
    <t>FIT-10363</t>
  </si>
  <si>
    <t>https://jira.central1.com/browse/FIT-10357</t>
  </si>
  <si>
    <t>FIT-10357</t>
  </si>
  <si>
    <t>https://jira.central1.com/browse/FIT-10358</t>
  </si>
  <si>
    <t>FIT-10358</t>
  </si>
  <si>
    <t>https://jira.central1.com/browse/FIT-10366</t>
  </si>
  <si>
    <t>FIT-10366</t>
  </si>
  <si>
    <t>https://jira.central1.com/browse/FIT-10367</t>
  </si>
  <si>
    <t>FIT-10367</t>
  </si>
  <si>
    <t>https://jira.central1.com/browse/FIT-10368</t>
  </si>
  <si>
    <t>FIT-10368</t>
  </si>
  <si>
    <t>Mobile + OLB</t>
  </si>
  <si>
    <t>Mobile App Only</t>
  </si>
  <si>
    <t>OLB &amp; Mobile Start Date:</t>
  </si>
  <si>
    <t>JIRA #</t>
  </si>
  <si>
    <t>Assignee</t>
  </si>
  <si>
    <t>Task Start</t>
  </si>
  <si>
    <t>Task End</t>
  </si>
  <si>
    <t>Client UAT (Mobile)</t>
  </si>
  <si>
    <t>Client BETA F&amp;F/Pilot (Mobile)</t>
  </si>
  <si>
    <t>TEST Config &amp; Test (Mobile)</t>
  </si>
  <si>
    <t>UAT Config &amp; Test (Mobile)</t>
  </si>
  <si>
    <t>TEST Config &amp; Test (OLB)</t>
  </si>
  <si>
    <t>UAT Config &amp; Test (OLB)</t>
  </si>
  <si>
    <t>Client UAT (OLB)</t>
  </si>
  <si>
    <t>Client BETA F&amp;F/Pilot (OLB)</t>
  </si>
  <si>
    <t>Initial Config &amp; ISO/API Test</t>
  </si>
  <si>
    <t>Kick-off Date:</t>
  </si>
  <si>
    <t>Complete viewing the Webinar on https://www.youtube.com/watch?v=X7E96Zkmnxo&amp;feature=youtu.be</t>
  </si>
  <si>
    <t>Determine channel strategy (PWS, Mobile and OLB)</t>
  </si>
  <si>
    <t>Determine the launch order for the channels</t>
  </si>
  <si>
    <t>Identify feature gap analysis between MD and Forge</t>
  </si>
  <si>
    <t>Create Gap Analysis</t>
  </si>
  <si>
    <t>Gap Analysis:  Sign-off</t>
  </si>
  <si>
    <t>Client signs off on gap analysis</t>
  </si>
  <si>
    <t>Project Plan &amp; Governance</t>
  </si>
  <si>
    <t>Spark Learning</t>
  </si>
  <si>
    <t>Webinar</t>
  </si>
  <si>
    <t>Public Website (PWS)</t>
  </si>
  <si>
    <t>Mobile App &amp; Online Banking (OLB)</t>
  </si>
  <si>
    <r>
      <t>OLB and Mobile App</t>
    </r>
    <r>
      <rPr>
        <b/>
        <vertAlign val="superscript"/>
        <sz val="11"/>
        <color rgb="FF000000"/>
        <rFont val="Calibri"/>
        <family val="2"/>
      </rPr>
      <t>1</t>
    </r>
  </si>
  <si>
    <t>Notes</t>
  </si>
  <si>
    <t>January</t>
  </si>
  <si>
    <t>February</t>
  </si>
  <si>
    <t>March</t>
  </si>
  <si>
    <t>April</t>
  </si>
  <si>
    <t>May</t>
  </si>
  <si>
    <t>June</t>
  </si>
  <si>
    <t>July</t>
  </si>
  <si>
    <t>August</t>
  </si>
  <si>
    <t>September</t>
  </si>
  <si>
    <t>October</t>
  </si>
  <si>
    <t>November</t>
  </si>
  <si>
    <t>December</t>
  </si>
  <si>
    <t>Progress</t>
  </si>
  <si>
    <t>Update the Identity Service (OktaOAuthIdentityProvider) - 
OktaOAuthIdentityProvider - Authorize Endpoint, Token Endpoint, Callback URL, Logout Url, Client ID, Client Secret</t>
  </si>
  <si>
    <t>Execute the DB Scripts (initial setup - all scripts)
Scripts location -  https://bitbucket.org/konykps/cwb_processsors/src/master/resources/DBQueires/</t>
  </si>
  <si>
    <t>Update MuleSoft endpoints with the correct environment URL &amp; credentials.</t>
  </si>
  <si>
    <t>Extract the downloaded zip files with the same name.</t>
  </si>
  <si>
    <t>Compress back the folder again into zip files with the same names.</t>
  </si>
  <si>
    <t>Upload the Spotlight.zip to KonBankingAdminConsole Fabric app and publish.</t>
  </si>
  <si>
    <t>Configure project settings in Visualizer - App version, Android Target SDK, Android Signing details.</t>
  </si>
  <si>
    <t>In Project Settings - verify public &amp; private keys to make binary in the Protected mode</t>
  </si>
  <si>
    <t>Build native local for Android &amp; iOS in the protected mode</t>
  </si>
  <si>
    <t>KAR file for iOS generated local successfully</t>
  </si>
  <si>
    <t>APK file for Android generated successfully</t>
  </si>
  <si>
    <t>Generate IPA from Xcode using the generated KAR file - following the strict guidelines in Temenos Binary Generation doc</t>
  </si>
  <si>
    <t>Procure Environment with credentials</t>
  </si>
  <si>
    <t>Mule Connectivity Test</t>
  </si>
  <si>
    <t>Okta Connectivity Test</t>
  </si>
  <si>
    <t>Migration Database Connectivity Test</t>
  </si>
  <si>
    <t>Configure Fabric server and client properties</t>
  </si>
  <si>
    <t>Migrate Retail Customers Profiles in Okta</t>
  </si>
  <si>
    <t>Obtain business customers to migrate in the Migration Database</t>
  </si>
  <si>
    <t>Raise request with AzureCloud Hosting for Fabric environment with base Infinity 2020.07 Apps &amp; Campaign MS</t>
  </si>
  <si>
    <t>Temenos</t>
  </si>
  <si>
    <t>CWB</t>
  </si>
  <si>
    <t>Twilio Credentials from CWB for SMS alerts</t>
  </si>
  <si>
    <t>CWB(Mark/DTS)</t>
  </si>
  <si>
    <t>CWB (Brad)</t>
  </si>
  <si>
    <t>CWB (Braydon)</t>
  </si>
  <si>
    <t>SSL Certificate for Production domain</t>
  </si>
  <si>
    <t>Okta credentials for authentication</t>
  </si>
  <si>
    <t>Okta (Tony, Rajiv)</t>
  </si>
  <si>
    <t>Apple Developer account credentials for iOS signing</t>
  </si>
  <si>
    <t>CWB (Mark)</t>
  </si>
  <si>
    <t>Android credentials for Android signing</t>
  </si>
  <si>
    <t>Migration Database credentials</t>
  </si>
  <si>
    <t>IP Whitelisting on C1 for e-Transfer</t>
  </si>
  <si>
    <t>T24</t>
  </si>
  <si>
    <t>T24 R1 deployment analysis and package deployment list</t>
  </si>
  <si>
    <t>Charlotte</t>
  </si>
  <si>
    <t>Analyze required changes and time estimate for T24 Infinity container for web services</t>
  </si>
  <si>
    <t>Braydon</t>
  </si>
  <si>
    <t>Complete release management analysis</t>
  </si>
  <si>
    <t>Deploy R1 to operational SIT1 env</t>
  </si>
  <si>
    <t>RM Team</t>
  </si>
  <si>
    <t>Test Digital T24 changes in SIT1</t>
  </si>
  <si>
    <t>QA Team</t>
  </si>
  <si>
    <t>Config / complete T24 Infinity container in SIT1</t>
  </si>
  <si>
    <t>Config / complete T24 Infinity container in SIT2</t>
  </si>
  <si>
    <t>Deploy R1 to operational SIT2 env</t>
  </si>
  <si>
    <t>Regression test T24 in SIT2</t>
  </si>
  <si>
    <t>Determine go/no-go for T24 R1 into production</t>
  </si>
  <si>
    <t>Determine go/no-go for T24 Infinity container as a part of the release</t>
  </si>
  <si>
    <t>Deploy T24 R1 into production</t>
  </si>
  <si>
    <t xml:space="preserve">Deploy T24 Infinity container </t>
  </si>
  <si>
    <t>RM Team / Braydon</t>
  </si>
  <si>
    <t>Pre-Production - All tasks that can be completed prior to go-live weekend</t>
  </si>
  <si>
    <t>CAS Team, QA Team</t>
  </si>
  <si>
    <t>Cloud Flare (prod) - provided initial cert info - secure domain (completed) - cert to follow</t>
  </si>
  <si>
    <t>Create customers in Migration DB (flush out further with Dapo)</t>
  </si>
  <si>
    <t>Confirm signoff for CR submittance.</t>
  </si>
  <si>
    <t>Data Migration</t>
  </si>
  <si>
    <t>Submit CR for production change Includes:  all config required for SFTP, the production DM database, as well as the private VPN between Temenos and CWB to provide read access to the required tables in the DB database</t>
  </si>
  <si>
    <t>Create 2 additional test accounts (MFA enabled) - will have 2 with MFA and 2 without in production</t>
  </si>
  <si>
    <t>Perform smoke test of setup</t>
  </si>
  <si>
    <t>Dapo</t>
  </si>
  <si>
    <t>Dapo / Braydon</t>
  </si>
  <si>
    <t>CWB Start Date:</t>
  </si>
  <si>
    <t>Perform smoke test of VPN setup
Dependency:  This will require Temenos Infinity to be up and running.</t>
  </si>
  <si>
    <t>Deploy final DM process code to production</t>
  </si>
  <si>
    <t>Celero</t>
  </si>
  <si>
    <t>VPN Setup</t>
  </si>
  <si>
    <t>Mark D / Brad</t>
  </si>
  <si>
    <t>Confirm build by Celero for prod</t>
  </si>
  <si>
    <t>Mark D</t>
  </si>
  <si>
    <t>Mark to review with Brad regarding Celero and testing pre-prod using PostMan</t>
  </si>
  <si>
    <t xml:space="preserve">Config update for estatements and cheque images </t>
  </si>
  <si>
    <t>Meeting with C1 on timing of sign-off and go-ahead plan</t>
  </si>
  <si>
    <t>Central1</t>
  </si>
  <si>
    <t xml:space="preserve">Submit CR for production change - Latest this can be submitted is 26-Aug.  </t>
  </si>
  <si>
    <t>Config update for estatements and cheque images - Smoke test C1 connectivity.</t>
  </si>
  <si>
    <t>Okta</t>
  </si>
  <si>
    <t>Confirm tasks with Tony regarding outstanding actions for pre-prod/prod</t>
  </si>
  <si>
    <t>[Okta task]</t>
  </si>
  <si>
    <t>[Okta task] - flush out with Tony Fang</t>
  </si>
  <si>
    <t>MuleSoft</t>
  </si>
  <si>
    <t>Planning to rollout out all DB R1 APIs and complete smoke testing.   Completed Celero and Helix</t>
  </si>
  <si>
    <t>Brad M</t>
  </si>
  <si>
    <t>Rollout remaining DB R1 APIs  - Dependency:  Code freeze 25-Aug</t>
  </si>
  <si>
    <t>CloudFlare</t>
  </si>
  <si>
    <t>Confirm if non-prod is running through Akamai with Temenos team</t>
  </si>
  <si>
    <t>Dependency:  Require production URL for online banking. Provide DCO non-prod and production URLs</t>
  </si>
  <si>
    <t>Andrew P</t>
  </si>
  <si>
    <t>Confirm if we need to exchange certs for enabling SSL comms.</t>
  </si>
  <si>
    <t xml:space="preserve">Generate certs for DB prod </t>
  </si>
  <si>
    <t>Kris A / Braydon</t>
  </si>
  <si>
    <t>Confirm non-prod is working through CloudFlare for DB - target Data Migration</t>
  </si>
  <si>
    <t>Navaera</t>
  </si>
  <si>
    <t>Prod VPN setup with vendor and CWB in advance - connectivity test only.</t>
  </si>
  <si>
    <t>CRA Direct Deposit</t>
  </si>
  <si>
    <t>Setup test and production database (look for ETA for the Prod DB from Brad M.)</t>
  </si>
  <si>
    <t>Add firewall routing for Azure (DB is located here)</t>
  </si>
  <si>
    <t>New interface for DD (ready to test in prod when CRA is good and QA is good)</t>
  </si>
  <si>
    <t>Chix / Brad</t>
  </si>
  <si>
    <t>Helix</t>
  </si>
  <si>
    <t>Submit CR for Helix changes - APIs required for deployment.</t>
  </si>
  <si>
    <t>Rollout APIs to production.</t>
  </si>
  <si>
    <t>Application profile (icons, screen shots, verbage - UX team)</t>
  </si>
  <si>
    <t>UX Team</t>
  </si>
  <si>
    <t>Ensure test account is activity working in prod (T24)</t>
  </si>
  <si>
    <t xml:space="preserve">Create account for Android </t>
  </si>
  <si>
    <t>Need full QA sign-off before release to Apple or Android</t>
  </si>
  <si>
    <t>Licensing with Temenos for prod</t>
  </si>
  <si>
    <t>Create account for iOS</t>
  </si>
  <si>
    <t xml:space="preserve">Production - All tasks to be completed for the go-live event </t>
  </si>
  <si>
    <t>Draft list:</t>
  </si>
  <si>
    <t>Final code rollouts (if any)</t>
  </si>
  <si>
    <t>Data migration run - create friends and family users - TBD</t>
  </si>
  <si>
    <t>First FF tester runs through - reports any issues</t>
  </si>
  <si>
    <t>Production go/no-go</t>
  </si>
  <si>
    <t>Second FF tester runs through - reports any issues</t>
  </si>
  <si>
    <t>Third FF tester runs through - reports any issues</t>
  </si>
  <si>
    <t>Send out "we are live" communication</t>
  </si>
  <si>
    <t>OCM</t>
  </si>
  <si>
    <t>Post-Production - All tasks to be completed following go-live</t>
  </si>
  <si>
    <t>Setup daily check-in for 10 business days - technical and business - tech goes first and drops off while business continues on</t>
  </si>
  <si>
    <t>Send out OCM post-prod comms</t>
  </si>
  <si>
    <t>Send out project stream completion</t>
  </si>
  <si>
    <t>Dilshad</t>
  </si>
  <si>
    <t>Add groups (Infinity Users, Infinity Users - Suspended)</t>
  </si>
  <si>
    <t>Add custom attributes (cif, pan, identityProvider)</t>
  </si>
  <si>
    <t>Add applications (Infinity (Mobile), Infinity (Online Banking))</t>
  </si>
  <si>
    <t>Disable application self service</t>
  </si>
  <si>
    <t>Enable Security Notification Emails</t>
  </si>
  <si>
    <t>Enable Okta ThreatInsight to Log and block</t>
  </si>
  <si>
    <t>Configure Password policy</t>
  </si>
  <si>
    <t>Configure Sign On poicy</t>
  </si>
  <si>
    <t>Configure Multifactor Factor Types</t>
  </si>
  <si>
    <t>Configure Multifactor Factor Enrollment policies</t>
  </si>
  <si>
    <t>Configure Identity Providers for Sentry</t>
  </si>
  <si>
    <t>Configure Identity Providers routing rule for Sentry</t>
  </si>
  <si>
    <t>Configure Networks (Block List Countries, Tor Anonymizer Block)</t>
  </si>
  <si>
    <t>Configure custom authorization server</t>
  </si>
  <si>
    <t>Configure API tokens for Mule, Migration</t>
  </si>
  <si>
    <t>Configure Trusted Origins for Infinity OLB</t>
  </si>
  <si>
    <t>Configure Inline Hook Password Import</t>
  </si>
  <si>
    <t>Enable Client-based rate limiting to Enforce</t>
  </si>
  <si>
    <t>Configure Logo URL</t>
  </si>
  <si>
    <t>Configure Organization Logo</t>
  </si>
  <si>
    <t>Disable Optional User Account Fields</t>
  </si>
  <si>
    <t>Configure Custom URL Domain</t>
  </si>
  <si>
    <t>Configure Custom Sign In</t>
  </si>
  <si>
    <t>Configure Custom email domain</t>
  </si>
  <si>
    <t>Configure custom email templates</t>
  </si>
  <si>
    <t>Tony</t>
  </si>
  <si>
    <t>Add workflow to keep API tokens alive</t>
  </si>
  <si>
    <t>Production Site URL, app names and version numbers (iOS &amp; Android) - Production Checklist</t>
  </si>
  <si>
    <t>Base URL and credentials for Mule endpoints</t>
  </si>
  <si>
    <t>Provide Redirect URIs for OLB and MB</t>
  </si>
  <si>
    <t>Configure the Redirect URIs in Okta</t>
  </si>
  <si>
    <t>Public keys for the Password Encryption</t>
  </si>
  <si>
    <t>Meta Data for Production Profile - Production Checklist</t>
  </si>
  <si>
    <t>Create Production Profiles for iOS and Android</t>
  </si>
  <si>
    <t>Navera Site URLs &amp; keys</t>
  </si>
  <si>
    <t>DCO URL - Open New Account</t>
  </si>
  <si>
    <t>Campaign images</t>
  </si>
  <si>
    <t>SMTP credentials for Email messaging</t>
  </si>
  <si>
    <t>Production VPN</t>
  </si>
  <si>
    <t>CWB (Alvin)</t>
  </si>
  <si>
    <t>CWB (Dino)</t>
  </si>
  <si>
    <t>E-transfer Redirect Page configurations</t>
  </si>
  <si>
    <t>Backup the existing Fabric apps (DBPLocalServices, KonyBankingAdminConsole, EventsManager and AlertsEngine ) from Target environment.</t>
  </si>
  <si>
    <t>Export the Fabric Apps from the source environment.</t>
  </si>
  <si>
    <t>Import the Fabric apps into Target environment.</t>
  </si>
  <si>
    <t>Update the Identity Service (DbxUserLogin) URL to map with target environment.</t>
  </si>
  <si>
    <t>Compare &amp; merge Server Properties with source environment and, update the values which are target env specific.</t>
  </si>
  <si>
    <t>Export &amp; import Event manager app from source to target - Navera</t>
  </si>
  <si>
    <t>App Security Configuration - HTTP Integrity</t>
  </si>
  <si>
    <t>Global limits for throttling</t>
  </si>
  <si>
    <t>Configure the Fabric log levels &amp; log masking for sensitive info</t>
  </si>
  <si>
    <t>Upload the custom code jars (cwbservices, eventdispatcher, migration ) for pre or post processor changes</t>
  </si>
  <si>
    <t>Publish Fabric apps (KonyBankingAdminConsole)</t>
  </si>
  <si>
    <t>Publish Fabric apps (DBPLocalServices).</t>
  </si>
  <si>
    <t>In app.js, update URLs, appkey and appsecret with the specific target environment.</t>
  </si>
  <si>
    <t>Share Release notes</t>
  </si>
  <si>
    <t>Client testing in the target environment</t>
  </si>
  <si>
    <t>Client Sign-off</t>
  </si>
  <si>
    <t>Compare &amp; merge Client Properties with source environment and, update the values which are target env specific.</t>
  </si>
  <si>
    <t>C1- Standup and test CRA Services</t>
  </si>
  <si>
    <t>Whitelist Temenos public IP Address to CWB environment - MuleSoft, SMTP, Migration Database</t>
  </si>
  <si>
    <t>Jfrog Artefactory credentials</t>
  </si>
  <si>
    <t>Backend API Testing and Smoke Test in the Prod environment</t>
  </si>
  <si>
    <t>Repeat above steps which required to setup the other Production site for DR ?</t>
  </si>
  <si>
    <t>Temenos (Ram)</t>
  </si>
  <si>
    <t>Data Extracts</t>
  </si>
  <si>
    <t>DM</t>
  </si>
  <si>
    <t>Update OAS Links (EMT) in produciton (night of ) for Migrated users</t>
  </si>
  <si>
    <t>MarkD/C1</t>
  </si>
  <si>
    <t>CWB &amp; Okta (Tony)</t>
  </si>
  <si>
    <t>Test customer account(s) for production (Okta Provisioning)</t>
  </si>
  <si>
    <t>CWB (Adam)</t>
  </si>
  <si>
    <t>Update DB configuration with the Target database credentials in the Integration Services (dbpRbLocalServicesdb &amp; CRUDLayer)</t>
  </si>
  <si>
    <t>Configure Engagement App in Fabric</t>
  </si>
  <si>
    <t>Android &amp; Apple app icons</t>
  </si>
  <si>
    <t>Configure Campaign MS - Campaign Engine, KonyBankingAdminConsole, ODataCampaign</t>
  </si>
  <si>
    <t>Clone the mobile code from the Target release branch in Source Tree</t>
  </si>
  <si>
    <t>Associate with target Fabric environment</t>
  </si>
  <si>
    <t>Mobile App target environment build</t>
  </si>
  <si>
    <t>App testing in target environment + C1 Go/No-Go</t>
  </si>
  <si>
    <t>Update/deployment Required?  Yes/No</t>
  </si>
  <si>
    <t>BRIM</t>
  </si>
  <si>
    <t>NO</t>
  </si>
  <si>
    <t>YES</t>
  </si>
  <si>
    <t>OLB R1.1 will require some updates to the Okta-hosted Sign In Widget (for mobile) to enable Forgot PW/Unlock.</t>
  </si>
  <si>
    <t>Tony Fang</t>
  </si>
  <si>
    <t>Provide change details to the CWB IAM Team (IAM = Identity Access Management)</t>
  </si>
  <si>
    <t>CWB IAM Team</t>
  </si>
  <si>
    <t>Thomas Matthew</t>
  </si>
  <si>
    <t>Complete production deployment for Okta (Date to align once new go-live has been established)</t>
  </si>
  <si>
    <t>Dashboard</t>
  </si>
  <si>
    <t>Spotlight</t>
  </si>
  <si>
    <t>Forgot password</t>
  </si>
  <si>
    <t>Encryption Keys</t>
  </si>
  <si>
    <t>Required/Not Required</t>
  </si>
  <si>
    <t>Not Required</t>
  </si>
  <si>
    <t>Required</t>
  </si>
  <si>
    <t>Dashboard - Update Connection Microservice BaseURL in Fabric</t>
  </si>
  <si>
    <t>Dashboard - Update Fabric XAI URLs</t>
  </si>
  <si>
    <t>Dashboard - Validate Analytics API and TDL</t>
  </si>
  <si>
    <t>Dashboard - Fabric config update for the Consent API</t>
  </si>
  <si>
    <t>Dashboard - Consent Timeout environment variable in Fabric</t>
  </si>
  <si>
    <t>Dashboard - Update Fabric Codat URLs</t>
  </si>
  <si>
    <t>Update Okta SSO config into Fabric for Spotlight</t>
  </si>
  <si>
    <t>Configure in Fabric - External URL for the new card</t>
  </si>
  <si>
    <t>Dashboard - Connection MicroService deployment</t>
  </si>
  <si>
    <t>Dashboard - Fabric XAI URLs and auth details</t>
  </si>
  <si>
    <t>Dashboard - Fabric configuration for the Consent API URL and auth details</t>
  </si>
  <si>
    <t>Dashboard - Fabric Codat URLs and auth details</t>
  </si>
  <si>
    <t>OLB &amp; MB - Okta Config update to enable Additional Options like forgot pwd , unlock account in OKTA hosted site</t>
  </si>
  <si>
    <t>Spotlight - Provide authorise URL, signout URL, issuer ID, scope, clientID &amp; secretKey</t>
  </si>
  <si>
    <t>Spotlight - Configure OKTA SSO  - authorise URL, signout URL, issuer ID, scope, callback URL, Client-ID &amp; SecretKey</t>
  </si>
  <si>
    <t>Spotlight - Provide call back URL</t>
  </si>
  <si>
    <t>Spotlight - Add admin/default user in Okta</t>
  </si>
  <si>
    <t>BRIM - SSO LINK</t>
  </si>
  <si>
    <t>Configure BRIM - SSO LINK</t>
  </si>
  <si>
    <t>Configure the external URL Cert for app pinning</t>
  </si>
  <si>
    <t>BRIM - Test Cards</t>
  </si>
  <si>
    <t>Mule Deployment in Production for R1.1</t>
  </si>
  <si>
    <t>OLB Production Deployment</t>
  </si>
  <si>
    <t>Confugure in fabric - Consent</t>
  </si>
  <si>
    <t>Confugure in fabric - Spotlight SSO logout URLclient Id</t>
  </si>
  <si>
    <t>Confugure in fabric - Spotlight SSO client Id</t>
  </si>
  <si>
    <t>Configure BRIM encryption public key</t>
  </si>
  <si>
    <t>Confugure in fabric - BRIM apply for new card link</t>
  </si>
  <si>
    <t>Execute R1.1 DB scripts</t>
  </si>
  <si>
    <t>Confugure in fabric - Spotlight SSO auth url</t>
  </si>
  <si>
    <t>Download the web applications (cwbDigital.zip &amp; Spotlight.zip) from source environment.</t>
  </si>
  <si>
    <t>Upload the cwbDigital.zip to Fabric DBPLocalServices app and publish.</t>
  </si>
  <si>
    <t>Associate with Target Fabric App - DBPLocalServices &amp; generate object model.</t>
  </si>
  <si>
    <t>Upload Android App for App Submission</t>
  </si>
  <si>
    <t>Upload iOS App to App Submission</t>
  </si>
  <si>
    <t>Client App testing</t>
  </si>
  <si>
    <t>Mobile Native Apps Production Deployment</t>
  </si>
  <si>
    <t>No deployments required for R1.1</t>
  </si>
  <si>
    <t>Planning to rollout out all DB R1.1 APIs and complete smoke testing.   Completed Celero and Helix</t>
  </si>
  <si>
    <t>Tony Fang / Andrew</t>
  </si>
  <si>
    <t>Provide Okta setting for production (client_id, secret, metadata URL)</t>
  </si>
  <si>
    <t>Fayez Alameddine</t>
  </si>
  <si>
    <t>CRA Direct Deposit (need review/updating)</t>
  </si>
  <si>
    <t>BRIM (Fayez)</t>
  </si>
  <si>
    <t>BRIM -  ENCRYPTION PRIVATEKEY for Card linking</t>
  </si>
  <si>
    <t>CWB (Roney)</t>
  </si>
  <si>
    <t>OKTA</t>
  </si>
  <si>
    <t>Optional</t>
  </si>
  <si>
    <t>Rollback - Use the same steps above to deploy the backed up apps.</t>
  </si>
  <si>
    <t>Rollback - Restart the app submission into respective stores with the previous version of the android and iOS apps.</t>
  </si>
  <si>
    <t>Backout Plan</t>
  </si>
  <si>
    <t>Revert to R1.0.x</t>
  </si>
  <si>
    <t>Revert Mobile Apps to Version x.y.z (Android and iOS)</t>
  </si>
  <si>
    <t>BRIM - External URL to apply for new CWB Master Card</t>
  </si>
  <si>
    <t>Temenos -  ENCRYPTION PUBLICKEY for Card linking</t>
  </si>
  <si>
    <t>Approve CRs for change</t>
  </si>
  <si>
    <t>Create and submit Change Requests for Okta production</t>
  </si>
  <si>
    <t>CR#1: Update Sign In Page to 5.latest SIW Version, Configure Headings/Labels/Customized Help Links</t>
  </si>
  <si>
    <t>CR#1: Enable Global Default Redirect EA Feature, Configure Default app for Okta SIW to https://www.cwb.digital/apps/cwbDigital/</t>
  </si>
  <si>
    <t>CR#1: Add Sentry Groups for Spotlight, Add CIAM Okta group rule for Spotlight, Assign Spotlight Group to Spotlight app</t>
  </si>
  <si>
    <t>CR#1: Add claims (location, city, first_name, street_Address, province, last_name, country_code) to CWB Digital Authorization Server</t>
  </si>
  <si>
    <t>Tony Fang/Rajiv Sharma</t>
  </si>
  <si>
    <t>CWB (DTS Team)</t>
  </si>
  <si>
    <t>Import the source code in Visualizer (9.1.49)</t>
  </si>
  <si>
    <t>Need Credentials for App Store (ios&amp;android) for Temenos QA access</t>
  </si>
  <si>
    <t>App version numbers for Ios and Android</t>
  </si>
  <si>
    <t>Version code for Android</t>
  </si>
  <si>
    <t>Any changes to the Application screens and Icons</t>
  </si>
  <si>
    <t>Receive App Store + Play Store contents (Description)</t>
  </si>
  <si>
    <t>Commit the  App Icon changes in the production code base</t>
  </si>
  <si>
    <t>Upload cwbServices.jar before doing integration changes(includes processor changes)</t>
  </si>
  <si>
    <t xml:space="preserve">CONSENT_MICROSERVICE_URL, CONSENT_CODAT_URL, CONSENT_ANALYTICS_URL </t>
  </si>
  <si>
    <t>Follow-up with Dapo and Henry to see if there is anything specific to R1.1 DM the requires promotion</t>
  </si>
  <si>
    <t>Latest outage pages, planned and unplanned, to be deployed.  Can be done in advance of R1.1 go-live.</t>
  </si>
  <si>
    <t>XAI / TDL / TDH</t>
  </si>
  <si>
    <t>Systesm / 3rd Party Deploys</t>
  </si>
  <si>
    <t>QA signoff of CRA API</t>
  </si>
  <si>
    <t xml:space="preserve">Confirm CRA API connectivity CWB &amp; C1 </t>
  </si>
  <si>
    <t>Adrian</t>
  </si>
  <si>
    <t>CWB and C1</t>
  </si>
  <si>
    <t>Central1 - CRA Deployment</t>
  </si>
  <si>
    <t>Mark D / Alex / CAB</t>
  </si>
  <si>
    <t>Notify C1 to stand-up API from non-prod env to prod</t>
  </si>
  <si>
    <t>Stand-up Mule API into Prod - requires CR approval</t>
  </si>
  <si>
    <t>BRIM Configurations (keys/secrets) for Prod updated in Mule Prod environment</t>
  </si>
  <si>
    <t>RM</t>
  </si>
  <si>
    <t>BiG Review and Validation to ensure correct versions are deployed</t>
  </si>
  <si>
    <t>Andy LePage</t>
  </si>
  <si>
    <t>Alex</t>
  </si>
  <si>
    <t>Deploy DB R1.1 Mulesoft APIs to Production</t>
  </si>
  <si>
    <t>Confirm with Temenos</t>
  </si>
  <si>
    <t>Notify CRA of Go-Live (endpoint confirmed. Production files to be sent)</t>
  </si>
  <si>
    <t xml:space="preserve">QA signoff on CRA direct deposit </t>
  </si>
  <si>
    <t>Adrian &amp; Carmela</t>
  </si>
  <si>
    <t>Dave Barrett/Brian Coghlan</t>
  </si>
  <si>
    <t>Ensure production database updates have been propagated (CRA DD Database Availability Group)</t>
  </si>
  <si>
    <t>Dave Barrett/Braydon</t>
  </si>
  <si>
    <t>Confirm firewall routing for Azure (DB is located here)</t>
  </si>
  <si>
    <t>Ensure test account is active and working in prod (T24) - already confirmed</t>
  </si>
  <si>
    <t>Confirm Android developer accounts are in place - already confirmed</t>
  </si>
  <si>
    <t>Confirm  iOS developer accounts are in place - already confirmed</t>
  </si>
  <si>
    <t>Confirm QA sign-off of Android Production Build</t>
  </si>
  <si>
    <t>Confirm QA sign-off of iOS Production Build - confirm it's built with most up-to-date XCODE</t>
  </si>
  <si>
    <t>Update redirect URI in OKTA</t>
  </si>
  <si>
    <t>Whitelist IPs</t>
  </si>
  <si>
    <t>CRA Deployment</t>
  </si>
  <si>
    <t>T24.1</t>
  </si>
  <si>
    <t>Identify R1.1 T24 code dependencies prior to launch</t>
  </si>
  <si>
    <t>Status</t>
  </si>
  <si>
    <t>Pre-Production Regression Testing</t>
  </si>
  <si>
    <t>Pre-Production Regression Defect Fixes and Re-test (if applicable)</t>
  </si>
  <si>
    <t>T24 Production Deployment</t>
  </si>
  <si>
    <t>T24.2</t>
  </si>
  <si>
    <t>T24.3</t>
  </si>
  <si>
    <t>T24.4</t>
  </si>
  <si>
    <t>T24.5</t>
  </si>
  <si>
    <t>Third-Party Applications</t>
  </si>
  <si>
    <t>Operational QA (Trisha)</t>
  </si>
  <si>
    <t>DM.1</t>
  </si>
  <si>
    <t>DM.2</t>
  </si>
  <si>
    <t>DM.3</t>
  </si>
  <si>
    <t>DM.4</t>
  </si>
  <si>
    <t>Charlotte/Trisha</t>
  </si>
  <si>
    <t>ASSIGNED/CONFIRMATION
GROUP</t>
  </si>
  <si>
    <t>C1.1</t>
  </si>
  <si>
    <t>C1.2</t>
  </si>
  <si>
    <t>C1.3</t>
  </si>
  <si>
    <t>C1.4</t>
  </si>
  <si>
    <t>CEL.1</t>
  </si>
  <si>
    <t>OK.1</t>
  </si>
  <si>
    <t>OK.2</t>
  </si>
  <si>
    <t>OK.3</t>
  </si>
  <si>
    <t>OK.4</t>
  </si>
  <si>
    <t>OK.5</t>
  </si>
  <si>
    <t>OK.6</t>
  </si>
  <si>
    <t>OK.7</t>
  </si>
  <si>
    <t>OK.8</t>
  </si>
  <si>
    <t>OK.9</t>
  </si>
  <si>
    <t>OK.10</t>
  </si>
  <si>
    <t>OK.11</t>
  </si>
  <si>
    <t>Completed</t>
  </si>
  <si>
    <t>Pending</t>
  </si>
  <si>
    <t>BR.1</t>
  </si>
  <si>
    <t>BR.2</t>
  </si>
  <si>
    <t>BR.5</t>
  </si>
  <si>
    <t>MS.1</t>
  </si>
  <si>
    <t>MS.2</t>
  </si>
  <si>
    <t>MS.3</t>
  </si>
  <si>
    <t>MS.4</t>
  </si>
  <si>
    <t>MS.5</t>
  </si>
  <si>
    <t>MS.6</t>
  </si>
  <si>
    <t>OKTA details for Spotlight and BRIM to be confirmed</t>
  </si>
  <si>
    <t>Tony/Alex</t>
  </si>
  <si>
    <t>CF.1</t>
  </si>
  <si>
    <t>NV.1</t>
  </si>
  <si>
    <t>CRA.1</t>
  </si>
  <si>
    <t>CRA.2</t>
  </si>
  <si>
    <t>CRA.3</t>
  </si>
  <si>
    <t>CRA.4</t>
  </si>
  <si>
    <t>MB.1</t>
  </si>
  <si>
    <t>MB.2</t>
  </si>
  <si>
    <t>MB.3</t>
  </si>
  <si>
    <t>MB.4</t>
  </si>
  <si>
    <t>MB.5</t>
  </si>
  <si>
    <t>MB.6</t>
  </si>
  <si>
    <t>MB.7</t>
  </si>
  <si>
    <t>MB.8</t>
  </si>
  <si>
    <t>MB.9</t>
  </si>
  <si>
    <t>MB.10</t>
  </si>
  <si>
    <t>DE.1</t>
  </si>
  <si>
    <t>Installing SSL Certificate for Production domain- Analytics certificate (cwb.ca.pem)</t>
  </si>
  <si>
    <t>Installing SSL Certificate for Production domain-(*.temenoscloudna.com, temenoscloudna.com)</t>
  </si>
  <si>
    <t xml:space="preserve">Analytics Microservice Setup </t>
  </si>
  <si>
    <t>Receiving Microservices details from Hosting/cloud team</t>
  </si>
  <si>
    <t>Share the Production domain details with Okta</t>
  </si>
  <si>
    <t>Spotlight - Okta team will Provide call back URL to Temenos Team</t>
  </si>
  <si>
    <t>Spotlight- Configurations related to limits,features,roles,alerts</t>
  </si>
  <si>
    <t>Update DB configuration with the Target database credentials in the Integration Services,Object services and in configuration parameters (dbpRbLocalServicesdb &amp; CRUDLayer) for all the applicable apps(DBPLocalservices,KonyBankingAdminConsole,DBPEventManager)</t>
  </si>
  <si>
    <t>Publish Fabric apps (DBPLocalServices, event manager,odatacampaign,limitsengine and campaign engine).</t>
  </si>
  <si>
    <t>AAB file for Android generated successfully</t>
  </si>
  <si>
    <t>Vijaya/Satish</t>
  </si>
  <si>
    <t>Pavani/Gowthami</t>
  </si>
  <si>
    <t>Pavani/Vijaya</t>
  </si>
  <si>
    <t>Sundhar</t>
  </si>
  <si>
    <t>Anil/Arindam</t>
  </si>
  <si>
    <t>1H</t>
  </si>
  <si>
    <t>0.5H</t>
  </si>
  <si>
    <t>6H</t>
  </si>
  <si>
    <t>5Min</t>
  </si>
  <si>
    <t>15Min</t>
  </si>
  <si>
    <t>2H</t>
  </si>
  <si>
    <t>15M</t>
  </si>
  <si>
    <t>10M</t>
  </si>
  <si>
    <t>8H</t>
  </si>
  <si>
    <t>Repeated as above</t>
  </si>
  <si>
    <t>1M</t>
  </si>
  <si>
    <t>20M</t>
  </si>
  <si>
    <t>2hrs</t>
  </si>
  <si>
    <t>1hr</t>
  </si>
  <si>
    <t>0.5hr</t>
  </si>
  <si>
    <t>3hrs</t>
  </si>
  <si>
    <t>Request analytics certificate</t>
  </si>
  <si>
    <t>Export &amp; import Event manager app from source to target - Navaera</t>
  </si>
  <si>
    <t>HEL.1</t>
  </si>
  <si>
    <t>TEM.1</t>
  </si>
  <si>
    <t>TEM.2</t>
  </si>
  <si>
    <t>TEM.3</t>
  </si>
  <si>
    <t>TEM.4</t>
  </si>
  <si>
    <t>TEM.5</t>
  </si>
  <si>
    <t>TEM.6</t>
  </si>
  <si>
    <t>TEM.7</t>
  </si>
  <si>
    <t>TEM.8</t>
  </si>
  <si>
    <t>TEM.9</t>
  </si>
  <si>
    <t>TEM.10</t>
  </si>
  <si>
    <t>TEM.11</t>
  </si>
  <si>
    <t>TEM.12</t>
  </si>
  <si>
    <t>TEM.13</t>
  </si>
  <si>
    <t>TEM.14</t>
  </si>
  <si>
    <t>TEM.15</t>
  </si>
  <si>
    <t>TEM.16</t>
  </si>
  <si>
    <t>TEM.17</t>
  </si>
  <si>
    <t>TEM.18</t>
  </si>
  <si>
    <t>TEM.19</t>
  </si>
  <si>
    <t>TEM.20</t>
  </si>
  <si>
    <t>TEM.21</t>
  </si>
  <si>
    <t>TEM.22</t>
  </si>
  <si>
    <t>TEM.23</t>
  </si>
  <si>
    <t>TEM.24</t>
  </si>
  <si>
    <t>TEM.25</t>
  </si>
  <si>
    <t>TEM.26</t>
  </si>
  <si>
    <t>TEM.27</t>
  </si>
  <si>
    <t>TEM.28</t>
  </si>
  <si>
    <t>TEM.29</t>
  </si>
  <si>
    <t>TEM.30</t>
  </si>
  <si>
    <t>TEM.31</t>
  </si>
  <si>
    <t>TEM.32</t>
  </si>
  <si>
    <t>TEM.33</t>
  </si>
  <si>
    <t>TEM.34</t>
  </si>
  <si>
    <t>TEM.35</t>
  </si>
  <si>
    <t>TEM.36</t>
  </si>
  <si>
    <t>TEM.37</t>
  </si>
  <si>
    <t>TEM.38</t>
  </si>
  <si>
    <t>TEM.39</t>
  </si>
  <si>
    <t>TEM.40</t>
  </si>
  <si>
    <t>TEM.41</t>
  </si>
  <si>
    <t>TEM.42</t>
  </si>
  <si>
    <t>TEM.43</t>
  </si>
  <si>
    <t>TEM.44</t>
  </si>
  <si>
    <t>TEM.45</t>
  </si>
  <si>
    <t>TEM.46</t>
  </si>
  <si>
    <t>TEM.47</t>
  </si>
  <si>
    <t>TEM.48</t>
  </si>
  <si>
    <t>TEM.49</t>
  </si>
  <si>
    <t>TEM.50</t>
  </si>
  <si>
    <t>TEM.51</t>
  </si>
  <si>
    <t>TEM.52</t>
  </si>
  <si>
    <t>TEM.53</t>
  </si>
  <si>
    <t>TEM.54</t>
  </si>
  <si>
    <t>TEM.55</t>
  </si>
  <si>
    <t>TEM.56</t>
  </si>
  <si>
    <t>TEM.57</t>
  </si>
  <si>
    <t>TEM.58</t>
  </si>
  <si>
    <t>TEM.59</t>
  </si>
  <si>
    <t>TEM.60</t>
  </si>
  <si>
    <t>TEM.61</t>
  </si>
  <si>
    <t>TEM.62</t>
  </si>
  <si>
    <t>TEM.63</t>
  </si>
  <si>
    <t>TEM.64</t>
  </si>
  <si>
    <t>TEM.65</t>
  </si>
  <si>
    <t>TEM.66</t>
  </si>
  <si>
    <t>TEM.67</t>
  </si>
  <si>
    <t>TEM.68</t>
  </si>
  <si>
    <t>TEM.69</t>
  </si>
  <si>
    <t>TEM.70</t>
  </si>
  <si>
    <t>TEM.71</t>
  </si>
  <si>
    <t>TEM.72</t>
  </si>
  <si>
    <t>TEM.73</t>
  </si>
  <si>
    <t>TEM.74</t>
  </si>
  <si>
    <t>TEM.75</t>
  </si>
  <si>
    <t>TEM.76</t>
  </si>
  <si>
    <t>TEM.77</t>
  </si>
  <si>
    <t>TEM.78</t>
  </si>
  <si>
    <t>TEM.79</t>
  </si>
  <si>
    <t>TEM.80</t>
  </si>
  <si>
    <t>TEM.81</t>
  </si>
  <si>
    <t>TEM.82</t>
  </si>
  <si>
    <t>TEM.83</t>
  </si>
  <si>
    <t>TEM.84</t>
  </si>
  <si>
    <t>TEM.85</t>
  </si>
  <si>
    <t>TEM.86</t>
  </si>
  <si>
    <t>TEM.87</t>
  </si>
  <si>
    <t>TEM.88</t>
  </si>
  <si>
    <t>TEM.89</t>
  </si>
  <si>
    <t>TEM.90</t>
  </si>
  <si>
    <t>TEM.91</t>
  </si>
  <si>
    <t>TEM.96</t>
  </si>
  <si>
    <t>RM (Release Management)</t>
  </si>
  <si>
    <t>Configure in fabric - Consent</t>
  </si>
  <si>
    <t>Confirmed</t>
  </si>
  <si>
    <t>Post-Production Validation</t>
  </si>
  <si>
    <t>PP.1</t>
  </si>
  <si>
    <t>PP.2</t>
  </si>
  <si>
    <t>PP.3</t>
  </si>
  <si>
    <t>PP.4</t>
  </si>
  <si>
    <t>PP.5</t>
  </si>
  <si>
    <t>PP.6</t>
  </si>
  <si>
    <t>PP.7</t>
  </si>
  <si>
    <t>PP.8</t>
  </si>
  <si>
    <t>PP.9</t>
  </si>
  <si>
    <t>PP.10</t>
  </si>
  <si>
    <t>PP.11</t>
  </si>
  <si>
    <t>PP.12</t>
  </si>
  <si>
    <t>PP.13</t>
  </si>
  <si>
    <t>Charlotte  has provided R1.1 code dependencies.  T24 currently set as pre-production release.</t>
  </si>
  <si>
    <t>Deploy T24 code to OPSIT2 for Pre-Production Regression Testing (R1.1)</t>
  </si>
  <si>
    <t>T24.6</t>
  </si>
  <si>
    <t>In Progress</t>
  </si>
  <si>
    <t>Deploy R1.0 to OPSIT2 for Pre-Production Regression Testing</t>
  </si>
  <si>
    <t>CF.2</t>
  </si>
  <si>
    <t>CF.3</t>
  </si>
  <si>
    <t>Sign-off for outage pages</t>
  </si>
  <si>
    <t>Paul Sarna</t>
  </si>
  <si>
    <t>Trish/Adam/Stacy</t>
  </si>
  <si>
    <t>Confirm UX artifacts for app deployment (Android) - icons/release text/screenshots/video</t>
  </si>
  <si>
    <t>Confirm UX artifacts for app deployment (iOS) - icons/release text/screenshots/video</t>
  </si>
  <si>
    <t>Submission to Apple Store (1-5 days) - place message on R1.0 iOS application to force upgrade</t>
  </si>
  <si>
    <t>Submission to Google Play Store (1-3 days) - force upgrade</t>
  </si>
  <si>
    <t>Configure in fabric - Spotlight SSO auth url</t>
  </si>
  <si>
    <t>Request domain certificate (*.temenoscloudna.com, temenoscloudna.com)</t>
  </si>
  <si>
    <t>CR#2</t>
  </si>
  <si>
    <t>Codat</t>
  </si>
  <si>
    <t>Adam</t>
  </si>
  <si>
    <t>Confirm signoff for C1 CR - submittance. (Profile E impact - early November) - may need to include in VCOO/FF release</t>
  </si>
  <si>
    <t>Dapo / Henry</t>
  </si>
  <si>
    <t>Deploy final DM process code to production - updating ETL code in PROD</t>
  </si>
  <si>
    <t>Test Password hook API</t>
  </si>
  <si>
    <t>Shakedown testing with BRIM - web portal, transactions, receiving emails</t>
  </si>
  <si>
    <t xml:space="preserve">Copy files and integrate with production APIs - </t>
  </si>
  <si>
    <t>Vijaya/Pavani/Satish</t>
  </si>
  <si>
    <t>Get -OLB &amp; MB - Okta Config update to enable Additional Options like forgot pwd , unlock account in OKTA hosted site</t>
  </si>
  <si>
    <t>Tony/Pavani/Gowthami</t>
  </si>
  <si>
    <t>Get Spotlight - Provide authorise URL, signout URL, issuer ID, scope, clientID &amp; secretKey</t>
  </si>
  <si>
    <t>Configuration check for SBDCO APP deployment - Receive App details and configure</t>
  </si>
  <si>
    <t>Duration (H or M)</t>
  </si>
  <si>
    <t>3H</t>
  </si>
  <si>
    <t>Alex/Andy</t>
  </si>
  <si>
    <r>
      <rPr>
        <sz val="11"/>
        <rFont val="Calibri"/>
        <family val="2"/>
        <scheme val="minor"/>
      </rPr>
      <t>Confirmation for outage pages and messaging</t>
    </r>
    <r>
      <rPr>
        <sz val="11"/>
        <color rgb="FFFF0000"/>
        <rFont val="Calibri"/>
        <family val="2"/>
        <scheme val="minor"/>
      </rPr>
      <t xml:space="preserve"> - HotFix update will be required to remove 1 outage page</t>
    </r>
  </si>
  <si>
    <t>Confirm backwards-compatability - R1.0 app still works with R1.1 code - Not backwards compatible</t>
  </si>
  <si>
    <t xml:space="preserve">  Infinity:  Confirm BRIM Prod SSO Link</t>
  </si>
  <si>
    <t xml:space="preserve">  Infinity:  MasterCard Link for Prod</t>
  </si>
  <si>
    <t xml:space="preserve">  Infinity:  Confirm the prod key is the correct one</t>
  </si>
  <si>
    <t>Provide BRIM redirect URLs to Okta (pre-production confirmation)</t>
  </si>
  <si>
    <t xml:space="preserve">  CWB:  1) Brim API Key 2) Brim Hostname </t>
  </si>
  <si>
    <t>Mohammed</t>
  </si>
  <si>
    <t>Tony Fang/Mohammed</t>
  </si>
  <si>
    <t>OK.12</t>
  </si>
  <si>
    <t>OK.13</t>
  </si>
  <si>
    <t>CR#2: Update custom sign in to enable credential recovery for Infinity Mobile (Must go with R1.1)</t>
  </si>
  <si>
    <t>2 defects remaining for T24 only</t>
  </si>
  <si>
    <t>T24.7</t>
  </si>
  <si>
    <t>[Not required] Reset password hook on dedicated C1 production test account to specifically test password hook APIs</t>
  </si>
  <si>
    <t>[Not required until after go-live] Infinity to validate connection to DM load tables</t>
  </si>
  <si>
    <t>Approve CR #2</t>
  </si>
  <si>
    <t>Implement CR #2</t>
  </si>
  <si>
    <t>Roney, Prakhar</t>
  </si>
  <si>
    <t>SMTP Services</t>
  </si>
  <si>
    <t>Confirm exception to allow SMTP traffic outside of CWB network - currently limited to cwbank.com emails.</t>
  </si>
  <si>
    <t>Adam / Stacy</t>
  </si>
  <si>
    <t>Send email address proxy to Temenos for inclusion in the runbook</t>
  </si>
  <si>
    <t>Andrew / Alvin</t>
  </si>
  <si>
    <t>Provide confirmation to CWB Infrastructure (Ryan Mah) to update the SMTP traffic rule in production</t>
  </si>
  <si>
    <t>SMTP.1</t>
  </si>
  <si>
    <t>SMTP.2</t>
  </si>
  <si>
    <t>SMTP.3</t>
  </si>
  <si>
    <t>SMTP.4</t>
  </si>
  <si>
    <t>SMTP.5</t>
  </si>
  <si>
    <t>Configuration of app key/secrets for Alerts, DCO. Navaera from Temenos (just pending DCO)</t>
  </si>
  <si>
    <t>Pavani/Vijaya/Satish</t>
  </si>
  <si>
    <t>Creating userid and password on dbpEventManager userstore</t>
  </si>
  <si>
    <t>CWB Sign-off - After Prod binaries submitted to app store - Test Flight</t>
  </si>
  <si>
    <t>Rollback Activities</t>
  </si>
  <si>
    <t>Export the Fabric Apps((DBPLocalServices, KonyBankingAdminConsole, EventsManager and AlertsEngine ) from the backup.</t>
  </si>
  <si>
    <t>Update DB configuration with the backup instance database credentials in the Integration Services,Object services and in configuration parameters (dbpRbLocalServicesdb &amp; CRUDLayer) for all the applicable apps(DBPLocalservices,KonyBankingAdminConsole,DBPEventManager)</t>
  </si>
  <si>
    <t xml:space="preserve">Upload the custom code jars (cwbservices, eventdispatcher, migration ) for pre or post processor changes from the backup </t>
  </si>
  <si>
    <t>Download the web applications (cwbDigital.zip &amp; Spotlight.zip) from backup environment.</t>
  </si>
  <si>
    <t>Extract the downloaded zip files from the backup with the same name.</t>
  </si>
  <si>
    <t>MS.7</t>
  </si>
  <si>
    <t>Submit Mule CR for Production Deployment</t>
  </si>
  <si>
    <t>TEM.92</t>
  </si>
  <si>
    <t>TEM.93</t>
  </si>
  <si>
    <t>TEM.94</t>
  </si>
  <si>
    <t>TEM.95</t>
  </si>
  <si>
    <t>SMTP.6</t>
  </si>
  <si>
    <t>Smoketest SMTP Services</t>
  </si>
  <si>
    <t>send test email</t>
  </si>
  <si>
    <t>Contact List</t>
  </si>
  <si>
    <t>Organization</t>
  </si>
  <si>
    <t>Name</t>
  </si>
  <si>
    <t>Phone</t>
  </si>
  <si>
    <t>Home phone</t>
  </si>
  <si>
    <t>Email</t>
  </si>
  <si>
    <t>Role</t>
  </si>
  <si>
    <t>fayez.alameddine@brimfinancial.com</t>
  </si>
  <si>
    <t>BRIM Lead</t>
  </si>
  <si>
    <t>Kevin Kim</t>
  </si>
  <si>
    <t>kevin.kim@brimfinancial.com</t>
  </si>
  <si>
    <t>Mo Zubby</t>
  </si>
  <si>
    <t>mo.zubby@brimfinancial.com</t>
  </si>
  <si>
    <t>Technical Support</t>
  </si>
  <si>
    <t>Thomas Patterson</t>
  </si>
  <si>
    <t>thomas.patterson@brimfinancial.com</t>
  </si>
  <si>
    <t>Adam Skoreyko</t>
  </si>
  <si>
    <t>Adam.skoreyko@cwbank.com</t>
  </si>
  <si>
    <t>DBX Business Lead</t>
  </si>
  <si>
    <t>Alex Yakovenko</t>
  </si>
  <si>
    <t>alex.yakovenko@cwbank.com</t>
  </si>
  <si>
    <t>Mulesoft/DTS Lead</t>
  </si>
  <si>
    <t>Alvin Quach</t>
  </si>
  <si>
    <t>Alvin.quach@cwbank.com</t>
  </si>
  <si>
    <t>Project Manager</t>
  </si>
  <si>
    <t>Andrew Petesky</t>
  </si>
  <si>
    <t>andrew.petesky@cwbank.com</t>
  </si>
  <si>
    <t>Carmela Pucci</t>
  </si>
  <si>
    <t>Carmela.pucci@cwbank.com</t>
  </si>
  <si>
    <t>QA Lead</t>
  </si>
  <si>
    <t>Carmen Girardin</t>
  </si>
  <si>
    <t>carmen.girardin@cwbank.com</t>
  </si>
  <si>
    <t>IAM Lead</t>
  </si>
  <si>
    <t>Christina Mullin</t>
  </si>
  <si>
    <t>christina.mullin@cwbank.com</t>
  </si>
  <si>
    <t>Digital Program Owner</t>
  </si>
  <si>
    <t>Dilshad Bhatti</t>
  </si>
  <si>
    <t>dilshad.bhatti@cwbank.com</t>
  </si>
  <si>
    <t>Program Manager</t>
  </si>
  <si>
    <t>Dino Noce</t>
  </si>
  <si>
    <t>dino.noce@cwbank.com</t>
  </si>
  <si>
    <t>Edmund Chua</t>
  </si>
  <si>
    <t>Edmund.chua@cwbank.com</t>
  </si>
  <si>
    <t>VCOO Business Lead</t>
  </si>
  <si>
    <t>Gerry Weber</t>
  </si>
  <si>
    <t>gerry.weber@cwbank.com</t>
  </si>
  <si>
    <t>Technical lead</t>
  </si>
  <si>
    <t>Jason Bond</t>
  </si>
  <si>
    <t>Jason.bond@cwbank.com</t>
  </si>
  <si>
    <t>Mark Doubinin</t>
  </si>
  <si>
    <t>mark.doubinin@cwbank.com</t>
  </si>
  <si>
    <t>DTS Lead</t>
  </si>
  <si>
    <t>Mohammed Yahya</t>
  </si>
  <si>
    <t>mohammed.yahya@cwbank.com</t>
  </si>
  <si>
    <t>IAM Technical Support</t>
  </si>
  <si>
    <t>tony.fang@techjutsu.com</t>
  </si>
  <si>
    <t>IAM Consultant</t>
  </si>
  <si>
    <t>Ahmed Tawfik</t>
  </si>
  <si>
    <t>atawfik@temenos.com</t>
  </si>
  <si>
    <t>Niel Colinares</t>
  </si>
  <si>
    <t>Niel.colinares@cwbank.com</t>
  </si>
  <si>
    <t>Sundhar Sangaranarayanan</t>
  </si>
  <si>
    <t>s.sundhar@temenos.com</t>
  </si>
  <si>
    <t>Vijay Parella</t>
  </si>
  <si>
    <t>p.vijayalakshmi@temenos.com</t>
  </si>
  <si>
    <t>Architect/Tech Lead</t>
  </si>
  <si>
    <t>Kalin Todorov</t>
  </si>
  <si>
    <t>ktodorov@temenos.com</t>
  </si>
  <si>
    <t>VCOO Tech Lead</t>
  </si>
  <si>
    <t>Upgrade LB to Standard - Infinity R1.1 &amp; INFINITY VCOO</t>
  </si>
  <si>
    <t>Marlon/Robert</t>
  </si>
  <si>
    <t>Upgrade Validation  INFINITY and VCOO validation</t>
  </si>
  <si>
    <t>Vijaya/VCOO team/hosting/Rod/carlos</t>
  </si>
  <si>
    <t>Application Testing Validation</t>
  </si>
  <si>
    <t>CWB/Temenos (VCOO/R1.1)</t>
  </si>
  <si>
    <t>Create an instance of the DB backup. Hosting to share the DB details (conn. url, username, password)</t>
  </si>
  <si>
    <t>Temenos Hosting Team</t>
  </si>
  <si>
    <t>Need to get required url's and CONSENT_MICROSERVICE_URL, CONSENT_CODAT_URL, CONSENT_ANALYTICS_URL - Consent is Pending</t>
  </si>
  <si>
    <t>Vijaya/Pavani/Satish/Marlon/Manni</t>
  </si>
  <si>
    <t>Pending (should be combined CWB/Temenos)</t>
  </si>
  <si>
    <t>Vijaya</t>
  </si>
  <si>
    <t>7/23/2022: 1:15 MT</t>
  </si>
  <si>
    <t>DCO URL - Open New Account - Sharing with CWB/Mule Team</t>
  </si>
  <si>
    <t>Configure DM Database and Test connectivity</t>
  </si>
  <si>
    <t>4 hours</t>
  </si>
  <si>
    <t>App version numbers for Ios and Android &lt;Mark 07/26)&gt; Version 4.0</t>
  </si>
  <si>
    <t>Version code for Android &lt;Mark 07/26)&gt; Version 4.0</t>
  </si>
  <si>
    <t>Any changes to the Application screens and Icons (If Any)</t>
  </si>
  <si>
    <t>Configure project settings in Visualizer - App version, Android Target SDK, Android Signing details. (ID and Company name same as R1.0)</t>
  </si>
  <si>
    <t>Generate IPA from Xcode 13.2 using the generated KAR file - following the strict guidelines in Temenos Binary Generation doc</t>
  </si>
  <si>
    <t>Receive App Store + Play Store contents (Description, Any Latest Images, What's new etc..)</t>
  </si>
  <si>
    <t>TEM.94.</t>
  </si>
  <si>
    <t>Upgrade confirmation message is going to be the same</t>
  </si>
  <si>
    <t>TEM.97</t>
  </si>
  <si>
    <t>Shakedown Testing</t>
  </si>
  <si>
    <t>TEST.1</t>
  </si>
  <si>
    <t>TEST.2</t>
  </si>
  <si>
    <t>TEST.3</t>
  </si>
  <si>
    <t>TEST.4</t>
  </si>
  <si>
    <t>TEST.5</t>
  </si>
  <si>
    <t>TEST.6</t>
  </si>
  <si>
    <t>CWB VCOO + Infinity Application Testing post LB Upgrade</t>
  </si>
  <si>
    <t>Edmund/Shanny/Vivian</t>
  </si>
  <si>
    <t>Provide LB Upgrade Sign-Off</t>
  </si>
  <si>
    <t>CWB OLB Testing</t>
  </si>
  <si>
    <t>Adam/Edmund/Christina/CWB</t>
  </si>
  <si>
    <t>CWB OLB Sign-off</t>
  </si>
  <si>
    <t>CWB MB Testing</t>
  </si>
  <si>
    <t>Confirm email address proxy for all outgoing emails from Infinity.  E.g. no-reply.cwb.digital@cwbank.com</t>
  </si>
  <si>
    <t>Ryan Mah/Vijay</t>
  </si>
  <si>
    <t>Implement SMTP rule change in production (update email to approved value)</t>
  </si>
  <si>
    <t>CF.4</t>
  </si>
  <si>
    <t>CF.5</t>
  </si>
  <si>
    <t>CF.6</t>
  </si>
  <si>
    <t>CF.7</t>
  </si>
  <si>
    <t>CF.8</t>
  </si>
  <si>
    <t>CWB MB Testing Sign-off</t>
  </si>
  <si>
    <t>Submit ticket for outage page window</t>
  </si>
  <si>
    <t>Andrew</t>
  </si>
  <si>
    <t>Activate Outage Page</t>
  </si>
  <si>
    <t>De-activate Outage Page for CWB OLB Testing</t>
  </si>
  <si>
    <t>Kris Aloisio</t>
  </si>
  <si>
    <t>De-activate Outage Page for CWB MB Testing</t>
  </si>
  <si>
    <t>7/28/2022: 11:30 MT</t>
  </si>
  <si>
    <t>7/28/2022: 11:40 MT</t>
  </si>
  <si>
    <t>7/28/2022:01:00 MT</t>
  </si>
  <si>
    <t>7/28/2022: 01:00 MT</t>
  </si>
  <si>
    <t>7/28/2022: 10:30 MT</t>
  </si>
  <si>
    <t>7/28/2022:11:00 MT</t>
  </si>
  <si>
    <t>7/28/2022: 11:00 MT</t>
  </si>
  <si>
    <t>7/29/2022: 00:00MT</t>
  </si>
  <si>
    <t>7/29/2022: 00:20MT</t>
  </si>
  <si>
    <t>7/29/2022:00:00 MT</t>
  </si>
  <si>
    <t>7/29/2022: 00:00 MT</t>
  </si>
  <si>
    <t>7/29/2022: 00:10 MT</t>
  </si>
  <si>
    <t>7/29/2022: 00:25 MT</t>
  </si>
  <si>
    <t>7/29/2022:12:40 MT</t>
  </si>
  <si>
    <t>7/29/2022: 01:10 MT</t>
  </si>
  <si>
    <t>7/29/2022: 01:30 MT</t>
  </si>
  <si>
    <t>7/29/2022: 01:40 MT</t>
  </si>
  <si>
    <t>7/29/2022: 01:50 MT</t>
  </si>
  <si>
    <t>7/29/2022: 02:00 MT</t>
  </si>
  <si>
    <t>7/29/2022: 02:10 MT</t>
  </si>
  <si>
    <t>7/29/2022: 04:40 MT</t>
  </si>
  <si>
    <t>7/29/2022: 03:00 MT</t>
  </si>
  <si>
    <t>7/29/2022: 04:00 MT</t>
  </si>
  <si>
    <t>7/29/2022: 04:30 MT</t>
  </si>
  <si>
    <t>7/29/2022: 05:00 MT</t>
  </si>
  <si>
    <t>7/29/2022: 05:30 MT</t>
  </si>
  <si>
    <t>7/29/2022: 08:30 MT</t>
  </si>
  <si>
    <t>Hemantha kallathi</t>
  </si>
  <si>
    <t>hemantha.kallati@temenos.com</t>
  </si>
  <si>
    <t>Senior Solution Architect</t>
  </si>
  <si>
    <t>Satish Kolkunda</t>
  </si>
  <si>
    <t xml:space="preserve">satish.kolkunda@contractor.temenos.com </t>
  </si>
  <si>
    <t>TL</t>
  </si>
  <si>
    <t>Karthikeyan Koothan</t>
  </si>
  <si>
    <t>karthikeyank@temenos.com</t>
  </si>
  <si>
    <t>Infinity</t>
  </si>
  <si>
    <t>Goutham Sahu</t>
  </si>
  <si>
    <t>goutam.sahu@temenos.com</t>
  </si>
  <si>
    <t>Product Development</t>
  </si>
  <si>
    <t>Krupal Chennuri</t>
  </si>
  <si>
    <t>krupal.chennuri@temenos.com</t>
  </si>
  <si>
    <t>Visualizer</t>
  </si>
  <si>
    <t>Lakshmankumar</t>
  </si>
  <si>
    <t>Lakshmankumar Kothagundla</t>
  </si>
  <si>
    <t>Veera Nagireddy</t>
  </si>
  <si>
    <t>veeravsn@temenos.com</t>
  </si>
  <si>
    <t>Cloud Operations / Hosting</t>
  </si>
  <si>
    <t>Vani Tiruveedhula</t>
  </si>
  <si>
    <t>vani.tiruveedhula@temenos.com</t>
  </si>
  <si>
    <t>PACS</t>
  </si>
  <si>
    <t>Kanuru Lokesh</t>
  </si>
  <si>
    <t>kanuru.lokesh@temenos.com</t>
  </si>
  <si>
    <t>IT</t>
  </si>
  <si>
    <t>Satya Tammana</t>
  </si>
  <si>
    <t>satya.tammana@temenos.com</t>
  </si>
  <si>
    <t>Delivery Manager</t>
  </si>
  <si>
    <t>Vamsi Chilukuri</t>
  </si>
  <si>
    <t>vamsikrishna.c@temenos.com</t>
  </si>
  <si>
    <t>Srikanth Sriramoji</t>
  </si>
  <si>
    <t>srikanth.sriramoji@temenos.com</t>
  </si>
  <si>
    <t>Architect</t>
  </si>
  <si>
    <t>Pavani Challa</t>
  </si>
  <si>
    <t>pavani.challa@temenos.com</t>
  </si>
  <si>
    <t>Tech Lead</t>
  </si>
  <si>
    <t>Gowthami Murugadass</t>
  </si>
  <si>
    <t>m.gowthami@temenos.com</t>
  </si>
  <si>
    <t>Developer</t>
  </si>
  <si>
    <t>Divya Bysani</t>
  </si>
  <si>
    <t>divya.bysani@temenos.com</t>
  </si>
  <si>
    <t>Chennoju Suraj</t>
  </si>
  <si>
    <t>chennoju.suraj@temenos.com</t>
  </si>
  <si>
    <t>Raineesh Shaik</t>
  </si>
  <si>
    <t>raineesh.shaik@temenos.com</t>
  </si>
  <si>
    <t>Uday Kumar Rapolu</t>
  </si>
  <si>
    <t>udaykumar.rapolu@temenos.com</t>
  </si>
  <si>
    <t>Kavya Monisha</t>
  </si>
  <si>
    <t>kavya.monisha@contractor.temenos.com</t>
  </si>
  <si>
    <t>Santosh Thogiti</t>
  </si>
  <si>
    <t>santhosh.thogiti@temenos.com</t>
  </si>
  <si>
    <t>Gayathri Maku</t>
  </si>
  <si>
    <t>gayathri.maku@contractor.temenos.com</t>
  </si>
  <si>
    <t>Anil Kesanupalli</t>
  </si>
  <si>
    <t> 9866224712</t>
  </si>
  <si>
    <t>anil.kesanupalli@temenos.com</t>
  </si>
  <si>
    <t>Arindam Bose</t>
  </si>
  <si>
    <t> 7893501919</t>
  </si>
  <si>
    <t>arindam.bose@temenos.com</t>
  </si>
  <si>
    <t>Chandrakanth Ramayanapu</t>
  </si>
  <si>
    <t>chandra.ramayanapu@temenos.com</t>
  </si>
  <si>
    <t>Test Engineer</t>
  </si>
  <si>
    <t>Jahnavi Banavatu</t>
  </si>
  <si>
    <t>banavatu.jahnavi@temenos.com</t>
  </si>
  <si>
    <t>Mansoor Hussain</t>
  </si>
  <si>
    <t>mansoor.hussain@contractor.temenos.com</t>
  </si>
  <si>
    <t>CDB</t>
  </si>
  <si>
    <t>Robert Kingsly</t>
  </si>
  <si>
    <t>grobertkingsly@temenos.com</t>
  </si>
  <si>
    <t>Engineering Manager</t>
  </si>
  <si>
    <t>Marlon</t>
  </si>
  <si>
    <t>marlon.ruiz@temenos.com</t>
  </si>
  <si>
    <t xml:space="preserve">Senior cloud </t>
  </si>
  <si>
    <t>kris.aloisio@cwbank.com</t>
  </si>
  <si>
    <t>BAS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</si>
</sst>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m/d/yy;@"/>
    <numFmt numFmtId="165" formatCode="ddd\,\ m/d/yyyy"/>
    <numFmt numFmtId="166" formatCode="mmm\ d\,\ yyyy"/>
    <numFmt numFmtId="167" formatCode="d"/>
    <numFmt numFmtId="168" formatCode="ddd\ m/d/yy"/>
    <numFmt numFmtId="169" formatCode="yyyy"/>
    <numFmt numFmtId="170" formatCode="mmmm"/>
    <numFmt numFmtId="171" formatCode="[&lt;=9999999]###\-####;\(###\)\ ###\-####"/>
    <numFmt numFmtId="172" formatCode="[$-409]m/d/yy\ h:mm\ AM/PM;@"/>
  </numFmts>
  <fonts count="46"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b/>
      <sz val="9"/>
      <color indexed="81"/>
      <name val="Tahoma"/>
      <family val="2"/>
    </font>
    <font>
      <sz val="8"/>
      <name val="Calibri"/>
      <family val="2"/>
      <scheme val="minor"/>
    </font>
    <font>
      <sz val="8"/>
      <color rgb="FF172B4D"/>
      <name val="Segoe UI"/>
      <family val="2"/>
    </font>
    <font>
      <sz val="8"/>
      <color rgb="FF0052CC"/>
      <name val="Segoe UI"/>
      <family val="2"/>
    </font>
    <font>
      <b/>
      <sz val="7"/>
      <color rgb="FF4A6785"/>
      <name val="Segoe UI"/>
      <family val="2"/>
    </font>
    <font>
      <sz val="11"/>
      <color rgb="FF000000"/>
      <name val="Calibri"/>
      <family val="2"/>
      <scheme val="minor"/>
    </font>
    <font>
      <b/>
      <sz val="11"/>
      <color rgb="FF000000"/>
      <name val="Calibri"/>
      <family val="2"/>
      <scheme val="minor"/>
    </font>
    <font>
      <sz val="11"/>
      <color theme="1"/>
      <name val="Calibri"/>
      <family val="2"/>
    </font>
    <font>
      <b/>
      <sz val="11"/>
      <color rgb="FFFFFFFF"/>
      <name val="Calibri"/>
      <family val="2"/>
    </font>
    <font>
      <b/>
      <sz val="11"/>
      <color rgb="FF000000"/>
      <name val="Calibri"/>
      <family val="2"/>
    </font>
    <font>
      <sz val="11"/>
      <name val="Calibri"/>
      <family val="2"/>
    </font>
    <font>
      <sz val="11"/>
      <color rgb="FF000000"/>
      <name val="Calibri"/>
      <family val="2"/>
    </font>
    <font>
      <b/>
      <sz val="11"/>
      <color theme="1"/>
      <name val="Calibri"/>
      <family val="2"/>
    </font>
    <font>
      <b/>
      <vertAlign val="superscript"/>
      <sz val="11"/>
      <color rgb="FF000000"/>
      <name val="Calibri"/>
      <family val="2"/>
    </font>
    <font>
      <b/>
      <i/>
      <sz val="11"/>
      <color rgb="FF000000"/>
      <name val="Calibri"/>
      <family val="2"/>
    </font>
    <font>
      <i/>
      <sz val="11"/>
      <color theme="1"/>
      <name val="Calibri"/>
      <family val="2"/>
    </font>
    <font>
      <i/>
      <sz val="11"/>
      <color rgb="FF000000"/>
      <name val="Calibri"/>
      <family val="2"/>
    </font>
    <font>
      <b/>
      <i/>
      <sz val="11"/>
      <color rgb="FF000000"/>
      <name val="Wingdings"/>
      <charset val="2"/>
    </font>
    <font>
      <sz val="11"/>
      <color rgb="FFFF0000"/>
      <name val="Calibri"/>
      <family val="2"/>
      <scheme val="minor"/>
    </font>
    <font>
      <sz val="28"/>
      <color theme="0"/>
      <name val="Calibri"/>
      <family val="1"/>
      <scheme val="major"/>
    </font>
    <font>
      <sz val="16"/>
      <color theme="6"/>
      <name val="Calibri"/>
      <family val="2"/>
      <scheme val="minor"/>
    </font>
    <font>
      <sz val="16"/>
      <name val="Calibri"/>
      <family val="2"/>
      <scheme val="minor"/>
    </font>
    <font>
      <sz val="11"/>
      <color theme="1" tint="0.24994659260841701"/>
      <name val="Calibri"/>
      <family val="2"/>
      <scheme val="minor"/>
    </font>
    <font>
      <b/>
      <sz val="14"/>
      <name val="Calibri"/>
      <family val="2"/>
      <scheme val="minor"/>
    </font>
    <font>
      <b/>
      <sz val="14"/>
      <color theme="1"/>
      <name val="Calibri"/>
      <family val="2"/>
    </font>
    <font>
      <b/>
      <sz val="14"/>
      <color theme="1" tint="0.24994659260841701"/>
      <name val="Calibri"/>
      <family val="2"/>
      <scheme val="minor"/>
    </font>
    <font>
      <b/>
      <sz val="14"/>
      <name val="Calibri"/>
      <family val="2"/>
    </font>
    <font>
      <b/>
      <sz val="16"/>
      <name val="Calibri"/>
      <family val="2"/>
      <scheme val="minor"/>
    </font>
    <font>
      <b/>
      <sz val="16"/>
      <name val="Calibri"/>
      <family val="2"/>
    </font>
  </fonts>
  <fills count="3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2" tint="-9.9978637043366805E-2"/>
        <bgColor indexed="64"/>
      </patternFill>
    </fill>
    <fill>
      <patternFill patternType="solid">
        <fgColor theme="2"/>
        <bgColor indexed="64"/>
      </patternFill>
    </fill>
    <fill>
      <patternFill patternType="solid">
        <fgColor rgb="FFFFFFFF"/>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808080"/>
        <bgColor rgb="FF000000"/>
      </patternFill>
    </fill>
    <fill>
      <patternFill patternType="solid">
        <fgColor rgb="FF4472C4"/>
        <bgColor rgb="FF000000"/>
      </patternFill>
    </fill>
    <fill>
      <patternFill patternType="solid">
        <fgColor rgb="FFE7E6E6"/>
        <bgColor rgb="FF000000"/>
      </patternFill>
    </fill>
    <fill>
      <patternFill patternType="solid">
        <fgColor theme="0" tint="-0.14999847407452621"/>
        <bgColor rgb="FF000000"/>
      </patternFill>
    </fill>
    <fill>
      <patternFill patternType="solid">
        <fgColor theme="7" tint="0.39997558519241921"/>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FFC000"/>
        <bgColor indexed="64"/>
      </patternFill>
    </fill>
    <fill>
      <patternFill patternType="solid">
        <fgColor rgb="FFB8CCE4"/>
        <bgColor indexed="64"/>
      </patternFill>
    </fill>
    <fill>
      <patternFill patternType="solid">
        <fgColor rgb="FFDCE6F1"/>
        <bgColor indexed="64"/>
      </patternFill>
    </fill>
    <fill>
      <patternFill patternType="solid">
        <fgColor rgb="FFFFFF0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188CB0"/>
        <bgColor indexed="64"/>
      </patternFill>
    </fill>
    <fill>
      <patternFill patternType="solid">
        <fgColor theme="4" tint="0.39997558519241921"/>
        <bgColor indexed="64"/>
      </patternFill>
    </fill>
  </fills>
  <borders count="6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right/>
      <top/>
      <bottom style="medium">
        <color rgb="FFC1C7D0"/>
      </bottom>
      <diagonal/>
    </border>
    <border>
      <left/>
      <right/>
      <top style="medium">
        <color theme="0" tint="-0.14996795556505021"/>
      </top>
      <bottom style="medium">
        <color theme="0" tint="-0.14993743705557422"/>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auto="1"/>
      </right>
      <top style="medium">
        <color indexed="64"/>
      </top>
      <bottom style="hair">
        <color auto="1"/>
      </bottom>
      <diagonal/>
    </border>
    <border>
      <left style="hair">
        <color auto="1"/>
      </left>
      <right style="hair">
        <color auto="1"/>
      </right>
      <top style="medium">
        <color indexed="64"/>
      </top>
      <bottom style="hair">
        <color auto="1"/>
      </bottom>
      <diagonal/>
    </border>
    <border>
      <left style="hair">
        <color auto="1"/>
      </left>
      <right style="medium">
        <color indexed="64"/>
      </right>
      <top style="medium">
        <color indexed="64"/>
      </top>
      <bottom style="hair">
        <color auto="1"/>
      </bottom>
      <diagonal/>
    </border>
    <border>
      <left style="medium">
        <color indexed="64"/>
      </left>
      <right/>
      <top style="medium">
        <color indexed="64"/>
      </top>
      <bottom style="hair">
        <color auto="1"/>
      </bottom>
      <diagonal/>
    </border>
    <border>
      <left/>
      <right/>
      <top style="medium">
        <color indexed="64"/>
      </top>
      <bottom style="hair">
        <color auto="1"/>
      </bottom>
      <diagonal/>
    </border>
    <border>
      <left/>
      <right style="medium">
        <color indexed="64"/>
      </right>
      <top style="medium">
        <color indexed="64"/>
      </top>
      <bottom style="hair">
        <color auto="1"/>
      </bottom>
      <diagonal/>
    </border>
    <border>
      <left style="medium">
        <color indexed="64"/>
      </left>
      <right style="hair">
        <color auto="1"/>
      </right>
      <top style="hair">
        <color auto="1"/>
      </top>
      <bottom/>
      <diagonal/>
    </border>
    <border>
      <left style="hair">
        <color auto="1"/>
      </left>
      <right style="hair">
        <color auto="1"/>
      </right>
      <top style="hair">
        <color auto="1"/>
      </top>
      <bottom/>
      <diagonal/>
    </border>
    <border>
      <left style="hair">
        <color auto="1"/>
      </left>
      <right style="medium">
        <color indexed="64"/>
      </right>
      <top style="hair">
        <color auto="1"/>
      </top>
      <bottom/>
      <diagonal/>
    </border>
    <border>
      <left style="medium">
        <color indexed="64"/>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style="medium">
        <color indexed="64"/>
      </right>
      <top style="medium">
        <color indexed="64"/>
      </top>
      <bottom style="hair">
        <color auto="1"/>
      </bottom>
      <diagonal/>
    </border>
    <border>
      <left/>
      <right style="hair">
        <color auto="1"/>
      </right>
      <top style="medium">
        <color indexed="64"/>
      </top>
      <bottom style="hair">
        <color auto="1"/>
      </bottom>
      <diagonal/>
    </border>
    <border>
      <left/>
      <right style="hair">
        <color auto="1"/>
      </right>
      <top style="hair">
        <color auto="1"/>
      </top>
      <bottom style="medium">
        <color indexed="64"/>
      </bottom>
      <diagonal/>
    </border>
    <border>
      <left style="medium">
        <color indexed="64"/>
      </left>
      <right style="medium">
        <color indexed="64"/>
      </right>
      <top style="medium">
        <color indexed="64"/>
      </top>
      <bottom/>
      <diagonal/>
    </border>
    <border>
      <left style="medium">
        <color indexed="64"/>
      </left>
      <right style="hair">
        <color auto="1"/>
      </right>
      <top/>
      <bottom style="hair">
        <color auto="1"/>
      </bottom>
      <diagonal/>
    </border>
    <border>
      <left style="hair">
        <color auto="1"/>
      </left>
      <right style="hair">
        <color auto="1"/>
      </right>
      <top/>
      <bottom style="hair">
        <color auto="1"/>
      </bottom>
      <diagonal/>
    </border>
    <border>
      <left style="hair">
        <color auto="1"/>
      </left>
      <right style="medium">
        <color indexed="64"/>
      </right>
      <top/>
      <bottom style="hair">
        <color auto="1"/>
      </bottom>
      <diagonal/>
    </border>
    <border>
      <left/>
      <right style="hair">
        <color auto="1"/>
      </right>
      <top/>
      <bottom style="hair">
        <color auto="1"/>
      </bottom>
      <diagonal/>
    </border>
    <border>
      <left style="medium">
        <color indexed="64"/>
      </left>
      <right style="medium">
        <color indexed="64"/>
      </right>
      <top/>
      <bottom/>
      <diagonal/>
    </border>
    <border>
      <left/>
      <right/>
      <top/>
      <bottom style="hair">
        <color auto="1"/>
      </bottom>
      <diagonal/>
    </border>
    <border>
      <left style="medium">
        <color indexed="64"/>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right style="hair">
        <color auto="1"/>
      </right>
      <top style="hair">
        <color auto="1"/>
      </top>
      <bottom/>
      <diagonal/>
    </border>
    <border>
      <left/>
      <right style="medium">
        <color indexed="64"/>
      </right>
      <top style="hair">
        <color auto="1"/>
      </top>
      <bottom style="hair">
        <color auto="1"/>
      </bottom>
      <diagonal/>
    </border>
    <border>
      <left style="medium">
        <color indexed="64"/>
      </left>
      <right/>
      <top style="medium">
        <color indexed="64"/>
      </top>
      <bottom style="medium">
        <color indexed="64"/>
      </bottom>
      <diagonal/>
    </border>
    <border>
      <left/>
      <right style="medium">
        <color indexed="64"/>
      </right>
      <top style="hair">
        <color auto="1"/>
      </top>
      <bottom/>
      <diagonal/>
    </border>
    <border>
      <left/>
      <right style="medium">
        <color indexed="64"/>
      </right>
      <top style="hair">
        <color auto="1"/>
      </top>
      <bottom style="medium">
        <color indexed="64"/>
      </bottom>
      <diagonal/>
    </border>
    <border>
      <left/>
      <right style="medium">
        <color indexed="64"/>
      </right>
      <top/>
      <bottom style="hair">
        <color auto="1"/>
      </bottom>
      <diagonal/>
    </border>
    <border>
      <left style="medium">
        <color indexed="64"/>
      </left>
      <right style="medium">
        <color indexed="64"/>
      </right>
      <top/>
      <bottom style="hair">
        <color auto="1"/>
      </bottom>
      <diagonal/>
    </border>
    <border>
      <left style="medium">
        <color indexed="64"/>
      </left>
      <right/>
      <top/>
      <bottom style="medium">
        <color indexed="64"/>
      </bottom>
      <diagonal/>
    </border>
    <border>
      <left style="medium">
        <color indexed="64"/>
      </left>
      <right style="medium">
        <color indexed="64"/>
      </right>
      <top style="hair">
        <color auto="1"/>
      </top>
      <bottom style="medium">
        <color indexed="64"/>
      </bottom>
      <diagonal/>
    </border>
    <border>
      <left/>
      <right/>
      <top style="hair">
        <color auto="1"/>
      </top>
      <bottom style="medium">
        <color indexed="64"/>
      </bottom>
      <diagonal/>
    </border>
    <border>
      <left style="thin">
        <color indexed="64"/>
      </left>
      <right style="thin">
        <color indexed="64"/>
      </right>
      <top style="thin">
        <color indexed="64"/>
      </top>
      <bottom style="thin">
        <color indexed="64"/>
      </bottom>
      <diagonal/>
    </border>
    <border>
      <left/>
      <right/>
      <top style="medium">
        <color theme="0" tint="-0.14996795556505021"/>
      </top>
      <bottom/>
      <diagonal/>
    </border>
    <border>
      <left/>
      <right/>
      <top/>
      <bottom style="medium">
        <color theme="0" tint="-0.14996795556505021"/>
      </bottom>
      <diagonal/>
    </border>
    <border>
      <left/>
      <right/>
      <top style="medium">
        <color rgb="FFD9D9D9"/>
      </top>
      <bottom style="medium">
        <color rgb="FFD9D9D9"/>
      </bottom>
      <diagonal/>
    </border>
    <border>
      <left/>
      <right style="medium">
        <color indexed="64"/>
      </right>
      <top/>
      <bottom style="medium">
        <color rgb="FFD9D9D9"/>
      </bottom>
      <diagonal/>
    </border>
    <border>
      <left/>
      <right style="medium">
        <color indexed="64"/>
      </right>
      <top/>
      <bottom/>
      <diagonal/>
    </border>
    <border>
      <left style="thin">
        <color indexed="64"/>
      </left>
      <right style="thin">
        <color indexed="64"/>
      </right>
      <top style="thin">
        <color indexed="64"/>
      </top>
      <bottom/>
      <diagonal/>
    </border>
  </borders>
  <cellStyleXfs count="16">
    <xf numFmtId="0" fontId="0" fillId="0" borderId="0"/>
    <xf numFmtId="0" fontId="2" fillId="0" borderId="0" applyNumberFormat="0" applyFill="0" applyBorder="0" applyAlignment="0" applyProtection="0">
      <alignment vertical="top"/>
      <protection locked="0"/>
    </xf>
    <xf numFmtId="9" fontId="8" fillId="0" borderId="0" applyFont="0" applyFill="0" applyBorder="0" applyAlignment="0" applyProtection="0"/>
    <xf numFmtId="0" fontId="15" fillId="0" borderId="0"/>
    <xf numFmtId="43"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5" fontId="8" fillId="0" borderId="3">
      <alignment horizontal="center" vertical="center"/>
    </xf>
    <xf numFmtId="164"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8" fillId="0" borderId="0">
      <alignment wrapText="1"/>
    </xf>
    <xf numFmtId="171" fontId="8" fillId="0" borderId="0">
      <alignment horizontal="left"/>
    </xf>
    <xf numFmtId="0" fontId="39" fillId="0" borderId="0" applyNumberFormat="0" applyFill="0" applyBorder="0" applyAlignment="0" applyProtection="0"/>
  </cellStyleXfs>
  <cellXfs count="552">
    <xf numFmtId="0" fontId="0" fillId="0" borderId="0" xfId="0"/>
    <xf numFmtId="0" fontId="1" fillId="0" borderId="0" xfId="0" applyFont="1"/>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167" fontId="10" fillId="7" borderId="0" xfId="0" applyNumberFormat="1" applyFont="1" applyFill="1" applyAlignment="1">
      <alignment horizontal="center" vertical="center"/>
    </xf>
    <xf numFmtId="167" fontId="10" fillId="7" borderId="6" xfId="0" applyNumberFormat="1" applyFont="1" applyFill="1" applyBorder="1" applyAlignment="1">
      <alignment horizontal="center" vertical="center"/>
    </xf>
    <xf numFmtId="167" fontId="10" fillId="7" borderId="7" xfId="0" applyNumberFormat="1" applyFont="1" applyFill="1" applyBorder="1" applyAlignment="1">
      <alignment horizontal="center" vertical="center"/>
    </xf>
    <xf numFmtId="0" fontId="11" fillId="12" borderId="8" xfId="0" applyFont="1" applyFill="1" applyBorder="1" applyAlignment="1">
      <alignment horizontal="center" vertical="center" shrinkToFit="1"/>
    </xf>
    <xf numFmtId="0" fontId="13" fillId="0" borderId="0" xfId="0" applyFont="1"/>
    <xf numFmtId="0" fontId="14" fillId="0" borderId="0" xfId="1" applyFont="1" applyAlignment="1" applyProtection="1"/>
    <xf numFmtId="9" fontId="4" fillId="0" borderId="2" xfId="2" applyFont="1" applyBorder="1" applyAlignment="1">
      <alignment horizontal="center" vertical="center"/>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4" fillId="8" borderId="2" xfId="0" applyNumberFormat="1"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4" fillId="9" borderId="2" xfId="0" applyNumberFormat="1"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4" fillId="6" borderId="2" xfId="0" applyNumberFormat="1" applyFont="1" applyFill="1" applyBorder="1" applyAlignment="1">
      <alignment horizontal="center" vertical="center"/>
    </xf>
    <xf numFmtId="9" fontId="4" fillId="11"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4" fillId="5" borderId="2" xfId="0" applyNumberFormat="1" applyFont="1" applyFill="1" applyBorder="1" applyAlignment="1">
      <alignment horizontal="center" vertical="center"/>
    </xf>
    <xf numFmtId="9" fontId="4" fillId="10" borderId="2" xfId="2" applyFont="1" applyFill="1" applyBorder="1" applyAlignment="1">
      <alignment horizontal="center" vertical="center"/>
    </xf>
    <xf numFmtId="0" fontId="7" fillId="2" borderId="2" xfId="0" applyFont="1" applyFill="1" applyBorder="1" applyAlignment="1">
      <alignment horizontal="left" vertical="center" indent="1"/>
    </xf>
    <xf numFmtId="0" fontId="7" fillId="2" borderId="2" xfId="0" applyFont="1" applyFill="1" applyBorder="1" applyAlignment="1">
      <alignment horizontal="center" vertical="center"/>
    </xf>
    <xf numFmtId="9" fontId="4" fillId="2" borderId="2" xfId="2" applyFont="1" applyFill="1" applyBorder="1" applyAlignment="1">
      <alignment horizontal="center" vertical="center"/>
    </xf>
    <xf numFmtId="164" fontId="3" fillId="2" borderId="2" xfId="0" applyNumberFormat="1" applyFont="1" applyFill="1" applyBorder="1" applyAlignment="1">
      <alignment horizontal="left" vertical="center"/>
    </xf>
    <xf numFmtId="164" fontId="4" fillId="2" borderId="2" xfId="0" applyNumberFormat="1"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15" fillId="0" borderId="0" xfId="0" applyFont="1" applyAlignment="1">
      <alignment horizontal="center"/>
    </xf>
    <xf numFmtId="0" fontId="14" fillId="0" borderId="0" xfId="1" applyFont="1" applyProtection="1">
      <alignment vertical="top"/>
    </xf>
    <xf numFmtId="0" fontId="0" fillId="0" borderId="0" xfId="0" applyAlignment="1">
      <alignment wrapText="1"/>
    </xf>
    <xf numFmtId="0" fontId="12" fillId="0" borderId="0" xfId="5" applyAlignment="1">
      <alignment horizontal="left"/>
    </xf>
    <xf numFmtId="0" fontId="9" fillId="0" borderId="0" xfId="6"/>
    <xf numFmtId="0" fontId="9" fillId="0" borderId="0" xfId="7">
      <alignment vertical="top"/>
    </xf>
    <xf numFmtId="164" fontId="8" fillId="3" borderId="2" xfId="10" applyFill="1">
      <alignment horizontal="center" vertical="center"/>
    </xf>
    <xf numFmtId="164" fontId="8" fillId="4" borderId="2" xfId="10" applyFill="1">
      <alignment horizontal="center" vertical="center"/>
    </xf>
    <xf numFmtId="164" fontId="8" fillId="11" borderId="2" xfId="10" applyFill="1">
      <alignment horizontal="center" vertical="center"/>
    </xf>
    <xf numFmtId="164" fontId="8" fillId="10" borderId="2" xfId="10" applyFill="1">
      <alignment horizontal="center" vertical="center"/>
    </xf>
    <xf numFmtId="164" fontId="8" fillId="0" borderId="2" xfId="10">
      <alignment horizontal="center" vertical="center"/>
    </xf>
    <xf numFmtId="0" fontId="8" fillId="8" borderId="2" xfId="11" applyFill="1">
      <alignment horizontal="center" vertical="center"/>
    </xf>
    <xf numFmtId="0" fontId="8" fillId="3" borderId="2" xfId="11" applyFill="1">
      <alignment horizontal="center" vertical="center"/>
    </xf>
    <xf numFmtId="0" fontId="8" fillId="9" borderId="2" xfId="11" applyFill="1">
      <alignment horizontal="center" vertical="center"/>
    </xf>
    <xf numFmtId="0" fontId="8" fillId="4" borderId="2" xfId="11" applyFill="1">
      <alignment horizontal="center" vertical="center"/>
    </xf>
    <xf numFmtId="0" fontId="8" fillId="6" borderId="2" xfId="11" applyFill="1">
      <alignment horizontal="center" vertical="center"/>
    </xf>
    <xf numFmtId="0" fontId="8" fillId="11" borderId="2" xfId="11" applyFill="1">
      <alignment horizontal="center" vertical="center"/>
    </xf>
    <xf numFmtId="0" fontId="8" fillId="5" borderId="2" xfId="11" applyFill="1">
      <alignment horizontal="center" vertical="center"/>
    </xf>
    <xf numFmtId="0" fontId="8" fillId="10" borderId="2" xfId="11" applyFill="1">
      <alignment horizontal="center" vertical="center"/>
    </xf>
    <xf numFmtId="0" fontId="8" fillId="0" borderId="2" xfId="11">
      <alignment horizontal="center" vertical="center"/>
    </xf>
    <xf numFmtId="0" fontId="8" fillId="3" borderId="2" xfId="12" applyFill="1">
      <alignment horizontal="left" vertical="center" indent="2"/>
    </xf>
    <xf numFmtId="0" fontId="8" fillId="4" borderId="2" xfId="12" applyFill="1">
      <alignment horizontal="left" vertical="center" indent="2"/>
    </xf>
    <xf numFmtId="0" fontId="8" fillId="11" borderId="2" xfId="12" applyFill="1">
      <alignment horizontal="left" vertical="center" indent="2"/>
    </xf>
    <xf numFmtId="0" fontId="8" fillId="10" borderId="2" xfId="12" applyFill="1">
      <alignment horizontal="left" vertical="center" indent="2"/>
    </xf>
    <xf numFmtId="0" fontId="8" fillId="0" borderId="2" xfId="12">
      <alignment horizontal="left" vertical="center" indent="2"/>
    </xf>
    <xf numFmtId="0" fontId="8" fillId="3" borderId="2" xfId="12" applyFill="1" applyAlignment="1">
      <alignment horizontal="center" vertical="center"/>
    </xf>
    <xf numFmtId="0" fontId="5" fillId="8" borderId="2" xfId="0" applyFont="1" applyFill="1" applyBorder="1" applyAlignment="1">
      <alignment horizontal="center" vertical="center"/>
    </xf>
    <xf numFmtId="0" fontId="5" fillId="9" borderId="2" xfId="0" applyFont="1" applyFill="1" applyBorder="1" applyAlignment="1">
      <alignment horizontal="center" vertical="center"/>
    </xf>
    <xf numFmtId="0" fontId="5" fillId="6" borderId="2" xfId="0" applyFont="1" applyFill="1" applyBorder="1" applyAlignment="1">
      <alignment horizontal="center" vertical="center"/>
    </xf>
    <xf numFmtId="0" fontId="5" fillId="5" borderId="2" xfId="0" applyFont="1" applyFill="1" applyBorder="1" applyAlignment="1">
      <alignment horizontal="center" vertical="center"/>
    </xf>
    <xf numFmtId="0" fontId="8" fillId="4" borderId="2" xfId="12" applyFill="1" applyAlignment="1">
      <alignment horizontal="center" vertical="center"/>
    </xf>
    <xf numFmtId="0" fontId="8" fillId="11" borderId="2" xfId="12" applyFill="1" applyAlignment="1">
      <alignment horizontal="center" vertical="center"/>
    </xf>
    <xf numFmtId="0" fontId="8" fillId="10" borderId="2" xfId="12" applyFill="1" applyAlignment="1">
      <alignment horizontal="center" vertical="center"/>
    </xf>
    <xf numFmtId="0" fontId="6" fillId="13" borderId="1" xfId="0" applyFont="1" applyFill="1" applyBorder="1" applyAlignment="1">
      <alignment horizontal="center" vertical="center"/>
    </xf>
    <xf numFmtId="0" fontId="15" fillId="0" borderId="0" xfId="3" applyAlignment="1">
      <alignment horizontal="center" wrapText="1"/>
    </xf>
    <xf numFmtId="0" fontId="15" fillId="0" borderId="0" xfId="3" applyAlignment="1">
      <alignment horizontal="center"/>
    </xf>
    <xf numFmtId="0" fontId="8" fillId="3" borderId="2" xfId="12" applyFill="1" applyAlignment="1">
      <alignment horizontal="left" vertical="center" wrapText="1" indent="2"/>
    </xf>
    <xf numFmtId="0" fontId="5" fillId="4" borderId="2" xfId="12" applyFont="1" applyFill="1">
      <alignment horizontal="left" vertical="center" indent="2"/>
    </xf>
    <xf numFmtId="0" fontId="5" fillId="10" borderId="2" xfId="12" applyFont="1" applyFill="1">
      <alignment horizontal="left" vertical="center" indent="2"/>
    </xf>
    <xf numFmtId="0" fontId="5" fillId="11" borderId="2" xfId="12" applyFont="1" applyFill="1">
      <alignment horizontal="left" vertical="center" indent="2"/>
    </xf>
    <xf numFmtId="0" fontId="5" fillId="4" borderId="2" xfId="12" applyFont="1" applyFill="1" applyAlignment="1">
      <alignment horizontal="center" vertical="center"/>
    </xf>
    <xf numFmtId="0" fontId="5" fillId="4" borderId="2" xfId="11" applyFont="1" applyFill="1">
      <alignment horizontal="center" vertical="center"/>
    </xf>
    <xf numFmtId="9" fontId="16" fillId="4" borderId="2" xfId="2" applyFont="1" applyFill="1" applyBorder="1" applyAlignment="1">
      <alignment horizontal="center" vertical="center"/>
    </xf>
    <xf numFmtId="164" fontId="5" fillId="4" borderId="2" xfId="10" applyFont="1" applyFill="1">
      <alignment horizontal="center" vertical="center"/>
    </xf>
    <xf numFmtId="0" fontId="5" fillId="11" borderId="2" xfId="11" applyFont="1" applyFill="1">
      <alignment horizontal="center" vertical="center"/>
    </xf>
    <xf numFmtId="9" fontId="16" fillId="11" borderId="2" xfId="2" applyFont="1" applyFill="1" applyBorder="1" applyAlignment="1">
      <alignment horizontal="center" vertical="center"/>
    </xf>
    <xf numFmtId="164" fontId="5" fillId="11" borderId="2" xfId="10" applyFont="1" applyFill="1">
      <alignment horizontal="center" vertical="center"/>
    </xf>
    <xf numFmtId="0" fontId="5" fillId="10" borderId="2" xfId="12" applyFont="1" applyFill="1" applyAlignment="1">
      <alignment horizontal="center" vertical="center"/>
    </xf>
    <xf numFmtId="0" fontId="5" fillId="10" borderId="2" xfId="11" applyFont="1" applyFill="1">
      <alignment horizontal="center" vertical="center"/>
    </xf>
    <xf numFmtId="0" fontId="5" fillId="5" borderId="0" xfId="0" applyFont="1" applyFill="1" applyAlignment="1">
      <alignment horizontal="center" vertical="center"/>
    </xf>
    <xf numFmtId="0" fontId="8" fillId="10" borderId="2" xfId="12" applyFill="1" applyAlignment="1">
      <alignment horizontal="left" vertical="center" indent="3"/>
    </xf>
    <xf numFmtId="0" fontId="8" fillId="11" borderId="2" xfId="12" applyFill="1" applyAlignment="1">
      <alignment horizontal="left" vertical="center" indent="3"/>
    </xf>
    <xf numFmtId="0" fontId="5" fillId="14" borderId="2" xfId="12" applyFont="1" applyFill="1" applyAlignment="1">
      <alignment horizontal="center" vertical="center"/>
    </xf>
    <xf numFmtId="0" fontId="5" fillId="14" borderId="2" xfId="12" applyFont="1" applyFill="1">
      <alignment horizontal="left" vertical="center" indent="2"/>
    </xf>
    <xf numFmtId="0" fontId="5" fillId="14" borderId="2" xfId="11" applyFont="1" applyFill="1">
      <alignment horizontal="center" vertical="center"/>
    </xf>
    <xf numFmtId="9" fontId="16" fillId="14" borderId="2" xfId="2" applyFont="1" applyFill="1" applyBorder="1" applyAlignment="1">
      <alignment horizontal="center" vertical="center"/>
    </xf>
    <xf numFmtId="164" fontId="5" fillId="14" borderId="2" xfId="10" applyFont="1" applyFill="1">
      <alignment horizontal="center" vertical="center"/>
    </xf>
    <xf numFmtId="0" fontId="8" fillId="15" borderId="2" xfId="12" applyFill="1" applyAlignment="1">
      <alignment horizontal="center" vertical="center"/>
    </xf>
    <xf numFmtId="0" fontId="8" fillId="15" borderId="2" xfId="12" applyFill="1">
      <alignment horizontal="left" vertical="center" indent="2"/>
    </xf>
    <xf numFmtId="0" fontId="8" fillId="15" borderId="2" xfId="11" applyFill="1">
      <alignment horizontal="center" vertical="center"/>
    </xf>
    <xf numFmtId="9" fontId="4" fillId="15" borderId="2" xfId="2" applyFont="1" applyFill="1" applyBorder="1" applyAlignment="1">
      <alignment horizontal="center" vertical="center"/>
    </xf>
    <xf numFmtId="164" fontId="8" fillId="15" borderId="2" xfId="10" applyFill="1">
      <alignment horizontal="center" vertical="center"/>
    </xf>
    <xf numFmtId="0" fontId="8" fillId="15" borderId="2" xfId="12" applyFill="1" applyAlignment="1">
      <alignment horizontal="left" vertical="center" indent="3"/>
    </xf>
    <xf numFmtId="165" fontId="8" fillId="0" borderId="3" xfId="9">
      <alignment horizontal="center" vertical="center"/>
    </xf>
    <xf numFmtId="0" fontId="8" fillId="11" borderId="2" xfId="12" applyFill="1" applyAlignment="1">
      <alignment horizontal="left" vertical="center"/>
    </xf>
    <xf numFmtId="0" fontId="5" fillId="8" borderId="2" xfId="0" applyFont="1" applyFill="1" applyBorder="1" applyAlignment="1">
      <alignment horizontal="left" vertical="center"/>
    </xf>
    <xf numFmtId="0" fontId="0" fillId="16" borderId="0" xfId="0" applyFill="1"/>
    <xf numFmtId="0" fontId="2" fillId="16" borderId="11" xfId="1" applyFill="1" applyBorder="1" applyAlignment="1" applyProtection="1">
      <alignment horizontal="left" vertical="top" wrapText="1"/>
    </xf>
    <xf numFmtId="0" fontId="19" fillId="16" borderId="11" xfId="0" applyFont="1" applyFill="1" applyBorder="1" applyAlignment="1">
      <alignment horizontal="left" vertical="center"/>
    </xf>
    <xf numFmtId="0" fontId="20" fillId="16" borderId="11" xfId="0" applyFont="1" applyFill="1" applyBorder="1" applyAlignment="1">
      <alignment horizontal="left" vertical="top"/>
    </xf>
    <xf numFmtId="0" fontId="21" fillId="16" borderId="11" xfId="0" applyFont="1" applyFill="1" applyBorder="1" applyAlignment="1">
      <alignment horizontal="left" vertical="top"/>
    </xf>
    <xf numFmtId="0" fontId="15" fillId="0" borderId="0" xfId="3" applyAlignment="1">
      <alignment horizontal="left"/>
    </xf>
    <xf numFmtId="0" fontId="15" fillId="0" borderId="0" xfId="3" applyAlignment="1">
      <alignment horizontal="left" wrapText="1"/>
    </xf>
    <xf numFmtId="0" fontId="6" fillId="13" borderId="1" xfId="0" applyFont="1" applyFill="1" applyBorder="1" applyAlignment="1">
      <alignment horizontal="left" vertical="center"/>
    </xf>
    <xf numFmtId="0" fontId="8" fillId="3" borderId="2" xfId="12" applyFill="1" applyAlignment="1">
      <alignment horizontal="left" vertical="center"/>
    </xf>
    <xf numFmtId="0" fontId="5" fillId="17" borderId="2" xfId="0" applyFont="1" applyFill="1" applyBorder="1" applyAlignment="1">
      <alignment horizontal="left" vertical="center"/>
    </xf>
    <xf numFmtId="0" fontId="5" fillId="17" borderId="2" xfId="0" applyFont="1" applyFill="1" applyBorder="1" applyAlignment="1">
      <alignment horizontal="left" vertical="center" indent="1"/>
    </xf>
    <xf numFmtId="0" fontId="8" fillId="17" borderId="2" xfId="11" applyFill="1">
      <alignment horizontal="center" vertical="center"/>
    </xf>
    <xf numFmtId="9" fontId="4" fillId="17" borderId="2" xfId="2" applyFont="1" applyFill="1" applyBorder="1" applyAlignment="1">
      <alignment horizontal="center" vertical="center"/>
    </xf>
    <xf numFmtId="164" fontId="4" fillId="17" borderId="2" xfId="0" applyNumberFormat="1" applyFont="1" applyFill="1" applyBorder="1" applyAlignment="1">
      <alignment horizontal="center" vertical="center"/>
    </xf>
    <xf numFmtId="0" fontId="5" fillId="3" borderId="2" xfId="12" applyFont="1" applyFill="1">
      <alignment horizontal="left" vertical="center" indent="2"/>
    </xf>
    <xf numFmtId="0" fontId="8" fillId="3" borderId="2" xfId="12" applyFill="1" applyAlignment="1">
      <alignment horizontal="left" vertical="center" indent="3"/>
    </xf>
    <xf numFmtId="0" fontId="5" fillId="18" borderId="2" xfId="0" applyFont="1" applyFill="1" applyBorder="1" applyAlignment="1">
      <alignment horizontal="left" vertical="center"/>
    </xf>
    <xf numFmtId="0" fontId="5" fillId="18" borderId="2" xfId="0" applyFont="1" applyFill="1" applyBorder="1" applyAlignment="1">
      <alignment horizontal="left" vertical="center" indent="1"/>
    </xf>
    <xf numFmtId="0" fontId="8" fillId="18" borderId="2" xfId="11" applyFill="1">
      <alignment horizontal="center" vertical="center"/>
    </xf>
    <xf numFmtId="9" fontId="4" fillId="18" borderId="2" xfId="2" applyFont="1" applyFill="1" applyBorder="1" applyAlignment="1">
      <alignment horizontal="center" vertical="center"/>
    </xf>
    <xf numFmtId="164" fontId="4" fillId="18" borderId="2" xfId="0" applyNumberFormat="1" applyFont="1" applyFill="1" applyBorder="1" applyAlignment="1">
      <alignment horizontal="center" vertical="center"/>
    </xf>
    <xf numFmtId="0" fontId="8" fillId="19" borderId="2" xfId="12" applyFill="1" applyAlignment="1">
      <alignment horizontal="left" vertical="center"/>
    </xf>
    <xf numFmtId="0" fontId="8" fillId="19" borderId="2" xfId="12" applyFill="1">
      <alignment horizontal="left" vertical="center" indent="2"/>
    </xf>
    <xf numFmtId="0" fontId="8" fillId="19" borderId="2" xfId="11" applyFill="1">
      <alignment horizontal="center" vertical="center"/>
    </xf>
    <xf numFmtId="9" fontId="4" fillId="19" borderId="2" xfId="2" applyFont="1" applyFill="1" applyBorder="1" applyAlignment="1">
      <alignment horizontal="center" vertical="center"/>
    </xf>
    <xf numFmtId="164" fontId="8" fillId="19" borderId="2" xfId="10" applyFill="1">
      <alignment horizontal="center" vertical="center"/>
    </xf>
    <xf numFmtId="0" fontId="5" fillId="19" borderId="2" xfId="12" applyFont="1" applyFill="1">
      <alignment horizontal="left" vertical="center" indent="2"/>
    </xf>
    <xf numFmtId="0" fontId="8" fillId="19" borderId="2" xfId="12" applyFill="1" applyAlignment="1">
      <alignment horizontal="left" vertical="center" indent="3"/>
    </xf>
    <xf numFmtId="0" fontId="8" fillId="0" borderId="2" xfId="12" applyFill="1" applyAlignment="1">
      <alignment horizontal="left" vertical="center"/>
    </xf>
    <xf numFmtId="164" fontId="0" fillId="3" borderId="2" xfId="10" applyFont="1" applyFill="1">
      <alignment horizontal="center" vertical="center"/>
    </xf>
    <xf numFmtId="0" fontId="0" fillId="10" borderId="2" xfId="12" applyFont="1" applyFill="1" applyAlignment="1">
      <alignment horizontal="center" vertical="center"/>
    </xf>
    <xf numFmtId="0" fontId="0" fillId="0" borderId="2" xfId="12" applyFont="1">
      <alignment horizontal="left" vertical="center" indent="2"/>
    </xf>
    <xf numFmtId="0" fontId="0" fillId="0" borderId="2" xfId="11" applyFont="1">
      <alignment horizontal="center" vertical="center"/>
    </xf>
    <xf numFmtId="164" fontId="0" fillId="0" borderId="2" xfId="10" applyFont="1">
      <alignment horizontal="center" vertical="center"/>
    </xf>
    <xf numFmtId="0" fontId="5" fillId="3" borderId="2" xfId="12" applyFont="1" applyFill="1" applyAlignment="1">
      <alignment horizontal="left" vertical="center"/>
    </xf>
    <xf numFmtId="0" fontId="5" fillId="3" borderId="2" xfId="11" applyFont="1" applyFill="1">
      <alignment horizontal="center" vertical="center"/>
    </xf>
    <xf numFmtId="9" fontId="16" fillId="3" borderId="2" xfId="2" applyFont="1" applyFill="1" applyBorder="1" applyAlignment="1">
      <alignment horizontal="center" vertical="center"/>
    </xf>
    <xf numFmtId="164" fontId="5" fillId="3" borderId="2" xfId="10" applyFont="1" applyFill="1">
      <alignment horizontal="center" vertical="center"/>
    </xf>
    <xf numFmtId="0" fontId="16" fillId="0" borderId="2" xfId="0" applyFont="1" applyBorder="1" applyAlignment="1">
      <alignment horizontal="center" vertical="center"/>
    </xf>
    <xf numFmtId="0" fontId="5" fillId="0" borderId="9" xfId="0" applyFont="1" applyBorder="1" applyAlignment="1">
      <alignment vertical="center"/>
    </xf>
    <xf numFmtId="0" fontId="5" fillId="0" borderId="9" xfId="0" applyFont="1" applyBorder="1" applyAlignment="1">
      <alignment horizontal="right" vertical="center"/>
    </xf>
    <xf numFmtId="0" fontId="5" fillId="0" borderId="0" xfId="0" applyFont="1" applyAlignment="1">
      <alignment vertical="center"/>
    </xf>
    <xf numFmtId="168" fontId="8" fillId="17" borderId="2" xfId="0" applyNumberFormat="1" applyFont="1" applyFill="1" applyBorder="1" applyAlignment="1">
      <alignment horizontal="center" vertical="center"/>
    </xf>
    <xf numFmtId="168" fontId="4" fillId="17" borderId="2" xfId="0" applyNumberFormat="1" applyFont="1" applyFill="1" applyBorder="1" applyAlignment="1">
      <alignment horizontal="center" vertical="center"/>
    </xf>
    <xf numFmtId="168" fontId="8" fillId="11" borderId="2" xfId="10" applyNumberFormat="1" applyFill="1">
      <alignment horizontal="center" vertical="center"/>
    </xf>
    <xf numFmtId="0" fontId="8" fillId="0" borderId="0" xfId="8" applyAlignment="1"/>
    <xf numFmtId="168" fontId="5" fillId="11" borderId="2" xfId="10" applyNumberFormat="1" applyFont="1" applyFill="1" applyAlignment="1">
      <alignment horizontal="left" vertical="center"/>
    </xf>
    <xf numFmtId="168" fontId="8" fillId="11" borderId="2" xfId="10" applyNumberFormat="1" applyFill="1" applyAlignment="1">
      <alignment horizontal="left" vertical="center"/>
    </xf>
    <xf numFmtId="168" fontId="8" fillId="19" borderId="2" xfId="10" applyNumberFormat="1" applyFill="1" applyAlignment="1">
      <alignment horizontal="left" vertical="center"/>
    </xf>
    <xf numFmtId="168" fontId="0" fillId="19" borderId="2" xfId="10" applyNumberFormat="1" applyFont="1" applyFill="1" applyAlignment="1">
      <alignment horizontal="left" vertical="center"/>
    </xf>
    <xf numFmtId="168" fontId="5" fillId="19" borderId="2" xfId="10" applyNumberFormat="1" applyFont="1" applyFill="1" applyAlignment="1">
      <alignment horizontal="left" vertical="center"/>
    </xf>
    <xf numFmtId="0" fontId="5" fillId="19" borderId="2" xfId="11" applyFont="1" applyFill="1">
      <alignment horizontal="center" vertical="center"/>
    </xf>
    <xf numFmtId="0" fontId="24" fillId="0" borderId="0" xfId="0" applyFont="1"/>
    <xf numFmtId="0" fontId="26" fillId="0" borderId="13" xfId="0" applyFont="1" applyBorder="1"/>
    <xf numFmtId="0" fontId="24" fillId="22" borderId="27" xfId="0" applyFont="1" applyFill="1" applyBorder="1"/>
    <xf numFmtId="0" fontId="24" fillId="22" borderId="28" xfId="0" applyFont="1" applyFill="1" applyBorder="1"/>
    <xf numFmtId="0" fontId="24" fillId="22" borderId="33" xfId="0" applyFont="1" applyFill="1" applyBorder="1"/>
    <xf numFmtId="0" fontId="24" fillId="22" borderId="34" xfId="0" applyFont="1" applyFill="1" applyBorder="1"/>
    <xf numFmtId="0" fontId="24" fillId="22" borderId="35" xfId="0" applyFont="1" applyFill="1" applyBorder="1"/>
    <xf numFmtId="0" fontId="24" fillId="22" borderId="39" xfId="0" applyFont="1" applyFill="1" applyBorder="1"/>
    <xf numFmtId="0" fontId="24" fillId="22" borderId="40" xfId="0" applyFont="1" applyFill="1" applyBorder="1"/>
    <xf numFmtId="0" fontId="24" fillId="22" borderId="41" xfId="0" applyFont="1" applyFill="1" applyBorder="1"/>
    <xf numFmtId="0" fontId="24" fillId="22" borderId="26" xfId="0" applyFont="1" applyFill="1" applyBorder="1"/>
    <xf numFmtId="0" fontId="26" fillId="0" borderId="0" xfId="0" applyFont="1"/>
    <xf numFmtId="167" fontId="25" fillId="20" borderId="23" xfId="0" applyNumberFormat="1" applyFont="1" applyFill="1" applyBorder="1"/>
    <xf numFmtId="167" fontId="25" fillId="20" borderId="24" xfId="0" applyNumberFormat="1" applyFont="1" applyFill="1" applyBorder="1"/>
    <xf numFmtId="167" fontId="25" fillId="20" borderId="25" xfId="0" applyNumberFormat="1" applyFont="1" applyFill="1" applyBorder="1"/>
    <xf numFmtId="167" fontId="25" fillId="20" borderId="26" xfId="0" applyNumberFormat="1" applyFont="1" applyFill="1" applyBorder="1"/>
    <xf numFmtId="167" fontId="25" fillId="20" borderId="27" xfId="0" applyNumberFormat="1" applyFont="1" applyFill="1" applyBorder="1"/>
    <xf numFmtId="167" fontId="25" fillId="20" borderId="28" xfId="0" applyNumberFormat="1" applyFont="1" applyFill="1" applyBorder="1"/>
    <xf numFmtId="167" fontId="25" fillId="20" borderId="0" xfId="0" applyNumberFormat="1" applyFont="1" applyFill="1"/>
    <xf numFmtId="0" fontId="24" fillId="0" borderId="26" xfId="0" applyFont="1" applyBorder="1"/>
    <xf numFmtId="0" fontId="24" fillId="0" borderId="27" xfId="0" applyFont="1" applyBorder="1"/>
    <xf numFmtId="0" fontId="24" fillId="0" borderId="28" xfId="0" applyFont="1" applyBorder="1"/>
    <xf numFmtId="0" fontId="24" fillId="0" borderId="31" xfId="0" applyFont="1" applyBorder="1"/>
    <xf numFmtId="0" fontId="24" fillId="0" borderId="33" xfId="0" applyFont="1" applyBorder="1"/>
    <xf numFmtId="0" fontId="24" fillId="0" borderId="34" xfId="0" applyFont="1" applyBorder="1"/>
    <xf numFmtId="0" fontId="24" fillId="0" borderId="35" xfId="0" applyFont="1" applyBorder="1"/>
    <xf numFmtId="0" fontId="24" fillId="0" borderId="36" xfId="0" applyFont="1" applyBorder="1"/>
    <xf numFmtId="0" fontId="24" fillId="0" borderId="39" xfId="0" applyFont="1" applyBorder="1"/>
    <xf numFmtId="0" fontId="24" fillId="0" borderId="40" xfId="0" applyFont="1" applyBorder="1"/>
    <xf numFmtId="0" fontId="24" fillId="0" borderId="41" xfId="0" applyFont="1" applyBorder="1"/>
    <xf numFmtId="0" fontId="24" fillId="0" borderId="42" xfId="0" applyFont="1" applyBorder="1"/>
    <xf numFmtId="167" fontId="25" fillId="20" borderId="44" xfId="0" applyNumberFormat="1" applyFont="1" applyFill="1" applyBorder="1"/>
    <xf numFmtId="167" fontId="25" fillId="20" borderId="47" xfId="0" applyNumberFormat="1" applyFont="1" applyFill="1" applyBorder="1"/>
    <xf numFmtId="0" fontId="24" fillId="0" borderId="48" xfId="0" applyFont="1" applyBorder="1"/>
    <xf numFmtId="0" fontId="24" fillId="0" borderId="49" xfId="0" applyFont="1" applyBorder="1"/>
    <xf numFmtId="0" fontId="24" fillId="0" borderId="45" xfId="0" applyFont="1" applyBorder="1"/>
    <xf numFmtId="0" fontId="28" fillId="0" borderId="38" xfId="0" applyFont="1" applyBorder="1" applyAlignment="1">
      <alignment horizontal="left" indent="1"/>
    </xf>
    <xf numFmtId="0" fontId="26" fillId="7" borderId="21" xfId="0" applyFont="1" applyFill="1" applyBorder="1" applyAlignment="1">
      <alignment horizontal="left"/>
    </xf>
    <xf numFmtId="0" fontId="24" fillId="7" borderId="17" xfId="0" applyFont="1" applyFill="1" applyBorder="1"/>
    <xf numFmtId="0" fontId="24" fillId="7" borderId="18" xfId="0" applyFont="1" applyFill="1" applyBorder="1"/>
    <xf numFmtId="0" fontId="24" fillId="7" borderId="19" xfId="0" applyFont="1" applyFill="1" applyBorder="1"/>
    <xf numFmtId="0" fontId="24" fillId="7" borderId="30" xfId="0" applyFont="1" applyFill="1" applyBorder="1"/>
    <xf numFmtId="0" fontId="24" fillId="7" borderId="22" xfId="0" applyFont="1" applyFill="1" applyBorder="1"/>
    <xf numFmtId="0" fontId="24" fillId="23" borderId="17" xfId="0" applyFont="1" applyFill="1" applyBorder="1"/>
    <xf numFmtId="0" fontId="24" fillId="23" borderId="18" xfId="0" applyFont="1" applyFill="1" applyBorder="1"/>
    <xf numFmtId="0" fontId="24" fillId="23" borderId="19" xfId="0" applyFont="1" applyFill="1" applyBorder="1"/>
    <xf numFmtId="0" fontId="24" fillId="7" borderId="0" xfId="0" applyFont="1" applyFill="1"/>
    <xf numFmtId="0" fontId="26" fillId="7" borderId="38" xfId="0" applyFont="1" applyFill="1" applyBorder="1" applyAlignment="1">
      <alignment horizontal="left"/>
    </xf>
    <xf numFmtId="0" fontId="24" fillId="7" borderId="33" xfId="0" applyFont="1" applyFill="1" applyBorder="1"/>
    <xf numFmtId="0" fontId="24" fillId="7" borderId="34" xfId="0" applyFont="1" applyFill="1" applyBorder="1"/>
    <xf numFmtId="0" fontId="24" fillId="7" borderId="35" xfId="0" applyFont="1" applyFill="1" applyBorder="1"/>
    <xf numFmtId="0" fontId="24" fillId="7" borderId="36" xfId="0" applyFont="1" applyFill="1" applyBorder="1"/>
    <xf numFmtId="0" fontId="24" fillId="7" borderId="49" xfId="0" applyFont="1" applyFill="1" applyBorder="1"/>
    <xf numFmtId="0" fontId="24" fillId="23" borderId="33" xfId="0" applyFont="1" applyFill="1" applyBorder="1"/>
    <xf numFmtId="0" fontId="24" fillId="23" borderId="34" xfId="0" applyFont="1" applyFill="1" applyBorder="1"/>
    <xf numFmtId="0" fontId="24" fillId="23" borderId="35" xfId="0" applyFont="1" applyFill="1" applyBorder="1"/>
    <xf numFmtId="0" fontId="5" fillId="3" borderId="2" xfId="0" applyFont="1" applyFill="1" applyBorder="1" applyAlignment="1">
      <alignment horizontal="left" vertical="center"/>
    </xf>
    <xf numFmtId="0" fontId="5" fillId="3" borderId="2" xfId="0" applyFont="1" applyFill="1" applyBorder="1" applyAlignment="1">
      <alignment horizontal="left" vertical="center" indent="1"/>
    </xf>
    <xf numFmtId="0" fontId="5" fillId="3" borderId="2" xfId="0" applyFont="1" applyFill="1" applyBorder="1" applyAlignment="1">
      <alignment horizontal="left" vertical="center" indent="2"/>
    </xf>
    <xf numFmtId="14" fontId="24" fillId="0" borderId="0" xfId="0" applyNumberFormat="1" applyFont="1"/>
    <xf numFmtId="14" fontId="26" fillId="7" borderId="21" xfId="0" applyNumberFormat="1" applyFont="1" applyFill="1" applyBorder="1" applyAlignment="1">
      <alignment horizontal="left"/>
    </xf>
    <xf numFmtId="14" fontId="28" fillId="0" borderId="38" xfId="0" applyNumberFormat="1" applyFont="1" applyBorder="1" applyAlignment="1">
      <alignment horizontal="left"/>
    </xf>
    <xf numFmtId="14" fontId="26" fillId="7" borderId="38" xfId="0" applyNumberFormat="1" applyFont="1" applyFill="1" applyBorder="1" applyAlignment="1">
      <alignment horizontal="left"/>
    </xf>
    <xf numFmtId="0" fontId="24" fillId="0" borderId="13" xfId="0" applyFont="1" applyBorder="1"/>
    <xf numFmtId="167" fontId="25" fillId="20" borderId="51" xfId="0" applyNumberFormat="1" applyFont="1" applyFill="1" applyBorder="1"/>
    <xf numFmtId="167" fontId="25" fillId="20" borderId="13" xfId="0" applyNumberFormat="1" applyFont="1" applyFill="1" applyBorder="1"/>
    <xf numFmtId="167" fontId="25" fillId="20" borderId="14" xfId="0" applyNumberFormat="1" applyFont="1" applyFill="1" applyBorder="1"/>
    <xf numFmtId="0" fontId="0" fillId="10" borderId="2" xfId="12" applyFont="1" applyFill="1">
      <alignment horizontal="left" vertical="center" indent="2"/>
    </xf>
    <xf numFmtId="0" fontId="0" fillId="10" borderId="2" xfId="11" applyFont="1" applyFill="1">
      <alignment horizontal="center" vertical="center"/>
    </xf>
    <xf numFmtId="0" fontId="0" fillId="10" borderId="2" xfId="12" applyFont="1" applyFill="1" applyAlignment="1">
      <alignment horizontal="left" vertical="center" wrapText="1" indent="2"/>
    </xf>
    <xf numFmtId="0" fontId="5" fillId="24" borderId="2" xfId="0" applyFont="1" applyFill="1" applyBorder="1" applyAlignment="1">
      <alignment horizontal="left" vertical="center"/>
    </xf>
    <xf numFmtId="0" fontId="5" fillId="24" borderId="2" xfId="0" applyFont="1" applyFill="1" applyBorder="1" applyAlignment="1">
      <alignment horizontal="left" vertical="center" indent="1"/>
    </xf>
    <xf numFmtId="0" fontId="0" fillId="24" borderId="2" xfId="11" applyFont="1" applyFill="1">
      <alignment horizontal="center" vertical="center"/>
    </xf>
    <xf numFmtId="9" fontId="4" fillId="24" borderId="2" xfId="2" applyFont="1" applyFill="1" applyBorder="1" applyAlignment="1">
      <alignment horizontal="center" vertical="center"/>
    </xf>
    <xf numFmtId="164" fontId="0" fillId="24" borderId="2" xfId="0" applyNumberFormat="1" applyFill="1" applyBorder="1" applyAlignment="1">
      <alignment horizontal="center" vertical="center"/>
    </xf>
    <xf numFmtId="164" fontId="4" fillId="24" borderId="2" xfId="0" applyNumberFormat="1" applyFont="1" applyFill="1" applyBorder="1" applyAlignment="1">
      <alignment horizontal="center" vertical="center"/>
    </xf>
    <xf numFmtId="0" fontId="8" fillId="0" borderId="0" xfId="8" applyAlignment="1">
      <alignment horizontal="right"/>
    </xf>
    <xf numFmtId="0" fontId="0" fillId="0" borderId="3" xfId="0" applyBorder="1" applyAlignment="1">
      <alignment horizontal="center"/>
    </xf>
    <xf numFmtId="165" fontId="8" fillId="0" borderId="3" xfId="9" applyAlignment="1">
      <alignment horizontal="center"/>
    </xf>
    <xf numFmtId="0" fontId="0" fillId="0" borderId="0" xfId="8" applyFont="1" applyAlignment="1">
      <alignment horizontal="right"/>
    </xf>
    <xf numFmtId="165" fontId="0" fillId="0" borderId="3" xfId="9" applyFont="1" applyAlignment="1">
      <alignment horizontal="left"/>
    </xf>
    <xf numFmtId="0" fontId="0" fillId="10" borderId="2" xfId="12" applyFont="1" applyFill="1" applyAlignment="1">
      <alignment horizontal="left" vertical="center" indent="3"/>
    </xf>
    <xf numFmtId="0" fontId="0" fillId="10" borderId="2" xfId="12" applyFont="1" applyFill="1" applyAlignment="1">
      <alignment horizontal="left" vertical="center" wrapText="1" indent="3"/>
    </xf>
    <xf numFmtId="168" fontId="22" fillId="10" borderId="12" xfId="10" applyNumberFormat="1" applyFont="1" applyFill="1" applyBorder="1" applyAlignment="1">
      <alignment horizontal="left" vertical="center"/>
    </xf>
    <xf numFmtId="168" fontId="23" fillId="10" borderId="12" xfId="10" applyNumberFormat="1" applyFont="1" applyFill="1" applyBorder="1" applyAlignment="1">
      <alignment horizontal="left" vertical="center"/>
    </xf>
    <xf numFmtId="0" fontId="28" fillId="0" borderId="43" xfId="0" applyFont="1" applyBorder="1" applyAlignment="1">
      <alignment horizontal="left" indent="1"/>
    </xf>
    <xf numFmtId="0" fontId="27" fillId="0" borderId="53" xfId="0" applyFont="1" applyBorder="1" applyAlignment="1">
      <alignment horizontal="left" indent="1"/>
    </xf>
    <xf numFmtId="14" fontId="28" fillId="0" borderId="13" xfId="0" applyNumberFormat="1" applyFont="1" applyBorder="1" applyAlignment="1">
      <alignment horizontal="left"/>
    </xf>
    <xf numFmtId="0" fontId="31" fillId="0" borderId="0" xfId="0" applyFont="1"/>
    <xf numFmtId="0" fontId="32" fillId="0" borderId="0" xfId="0" applyFont="1"/>
    <xf numFmtId="0" fontId="33" fillId="0" borderId="0" xfId="0" applyFont="1"/>
    <xf numFmtId="0" fontId="34" fillId="0" borderId="0" xfId="0" applyFont="1"/>
    <xf numFmtId="0" fontId="32" fillId="0" borderId="0" xfId="0" quotePrefix="1" applyFont="1" applyAlignment="1">
      <alignment horizontal="left" indent="2"/>
    </xf>
    <xf numFmtId="0" fontId="24" fillId="23" borderId="39" xfId="0" applyFont="1" applyFill="1" applyBorder="1"/>
    <xf numFmtId="0" fontId="24" fillId="23" borderId="40" xfId="0" applyFont="1" applyFill="1" applyBorder="1"/>
    <xf numFmtId="0" fontId="24" fillId="23" borderId="41" xfId="0" applyFont="1" applyFill="1" applyBorder="1"/>
    <xf numFmtId="0" fontId="24" fillId="23" borderId="26" xfId="0" applyFont="1" applyFill="1" applyBorder="1"/>
    <xf numFmtId="0" fontId="24" fillId="23" borderId="27" xfId="0" applyFont="1" applyFill="1" applyBorder="1"/>
    <xf numFmtId="0" fontId="24" fillId="23" borderId="28" xfId="0" applyFont="1" applyFill="1" applyBorder="1"/>
    <xf numFmtId="9" fontId="16" fillId="10" borderId="2" xfId="2" applyFont="1" applyFill="1" applyBorder="1" applyAlignment="1">
      <alignment horizontal="center" vertical="center"/>
    </xf>
    <xf numFmtId="9" fontId="16" fillId="19" borderId="2" xfId="2" applyFont="1" applyFill="1" applyBorder="1" applyAlignment="1">
      <alignment horizontal="center" vertical="center"/>
    </xf>
    <xf numFmtId="9" fontId="24" fillId="0" borderId="0" xfId="2" applyFont="1" applyAlignment="1">
      <alignment horizontal="center"/>
    </xf>
    <xf numFmtId="9" fontId="24" fillId="0" borderId="0" xfId="2" applyFont="1" applyBorder="1" applyAlignment="1">
      <alignment horizontal="center"/>
    </xf>
    <xf numFmtId="9" fontId="29" fillId="7" borderId="15" xfId="2" applyFont="1" applyFill="1" applyBorder="1" applyAlignment="1">
      <alignment horizontal="center"/>
    </xf>
    <xf numFmtId="9" fontId="26" fillId="7" borderId="21" xfId="2" applyFont="1" applyFill="1" applyBorder="1" applyAlignment="1">
      <alignment horizontal="center"/>
    </xf>
    <xf numFmtId="9" fontId="28" fillId="0" borderId="38" xfId="2" applyFont="1" applyFill="1" applyBorder="1" applyAlignment="1">
      <alignment horizontal="center"/>
    </xf>
    <xf numFmtId="9" fontId="26" fillId="7" borderId="38" xfId="2" applyFont="1" applyFill="1" applyBorder="1" applyAlignment="1">
      <alignment horizontal="center"/>
    </xf>
    <xf numFmtId="9" fontId="28" fillId="0" borderId="13" xfId="2" applyFont="1" applyFill="1" applyBorder="1" applyAlignment="1">
      <alignment horizontal="center"/>
    </xf>
    <xf numFmtId="0" fontId="29" fillId="7" borderId="46" xfId="0" applyFont="1" applyFill="1" applyBorder="1" applyAlignment="1">
      <alignment horizontal="center"/>
    </xf>
    <xf numFmtId="14" fontId="29" fillId="7" borderId="15" xfId="0" applyNumberFormat="1" applyFont="1" applyFill="1" applyBorder="1" applyAlignment="1">
      <alignment horizontal="center"/>
    </xf>
    <xf numFmtId="14" fontId="29" fillId="7" borderId="16" xfId="0" applyNumberFormat="1" applyFont="1" applyFill="1" applyBorder="1" applyAlignment="1">
      <alignment horizontal="center"/>
    </xf>
    <xf numFmtId="14" fontId="26" fillId="7" borderId="22" xfId="0" applyNumberFormat="1" applyFont="1" applyFill="1" applyBorder="1" applyAlignment="1">
      <alignment horizontal="left"/>
    </xf>
    <xf numFmtId="14" fontId="28" fillId="0" borderId="49" xfId="0" applyNumberFormat="1" applyFont="1" applyBorder="1" applyAlignment="1">
      <alignment horizontal="left"/>
    </xf>
    <xf numFmtId="14" fontId="26" fillId="7" borderId="49" xfId="0" applyNumberFormat="1" applyFont="1" applyFill="1" applyBorder="1" applyAlignment="1">
      <alignment horizontal="left"/>
    </xf>
    <xf numFmtId="14" fontId="28" fillId="0" borderId="14" xfId="0" applyNumberFormat="1" applyFont="1" applyBorder="1" applyAlignment="1">
      <alignment horizontal="left"/>
    </xf>
    <xf numFmtId="0" fontId="8" fillId="19" borderId="2" xfId="12" applyFill="1" applyAlignment="1">
      <alignment horizontal="left" vertical="center" wrapText="1" indent="3"/>
    </xf>
    <xf numFmtId="0" fontId="8" fillId="25" borderId="2" xfId="11" applyFill="1">
      <alignment horizontal="center" vertical="center"/>
    </xf>
    <xf numFmtId="168" fontId="22" fillId="25" borderId="12" xfId="10" applyNumberFormat="1" applyFont="1" applyFill="1" applyBorder="1" applyAlignment="1">
      <alignment horizontal="left" vertical="center"/>
    </xf>
    <xf numFmtId="0" fontId="5" fillId="25" borderId="2" xfId="11" applyFont="1" applyFill="1">
      <alignment horizontal="center" vertical="center"/>
    </xf>
    <xf numFmtId="168" fontId="23" fillId="25" borderId="12" xfId="10" applyNumberFormat="1" applyFont="1" applyFill="1" applyBorder="1" applyAlignment="1">
      <alignment horizontal="left" vertical="center"/>
    </xf>
    <xf numFmtId="168" fontId="5" fillId="25" borderId="2" xfId="10" applyNumberFormat="1" applyFont="1" applyFill="1" applyAlignment="1">
      <alignment horizontal="left" vertical="center"/>
    </xf>
    <xf numFmtId="168" fontId="8" fillId="25" borderId="2" xfId="10" applyNumberFormat="1" applyFill="1" applyAlignment="1">
      <alignment horizontal="left" vertical="center"/>
    </xf>
    <xf numFmtId="168" fontId="8" fillId="25" borderId="2" xfId="0" applyNumberFormat="1" applyFont="1" applyFill="1" applyBorder="1" applyAlignment="1">
      <alignment horizontal="center" vertical="center"/>
    </xf>
    <xf numFmtId="168" fontId="4" fillId="25" borderId="2" xfId="0" applyNumberFormat="1" applyFont="1" applyFill="1" applyBorder="1" applyAlignment="1">
      <alignment horizontal="center" vertical="center"/>
    </xf>
    <xf numFmtId="0" fontId="8" fillId="3" borderId="2" xfId="12" applyFill="1" applyAlignment="1">
      <alignment horizontal="left" vertical="center" wrapText="1" indent="3"/>
    </xf>
    <xf numFmtId="0" fontId="0" fillId="26" borderId="9" xfId="0" applyFill="1" applyBorder="1" applyAlignment="1">
      <alignment vertical="center"/>
    </xf>
    <xf numFmtId="0" fontId="0" fillId="3" borderId="2" xfId="12" applyFont="1" applyFill="1" applyAlignment="1">
      <alignment horizontal="left" vertical="center" wrapText="1" indent="3"/>
    </xf>
    <xf numFmtId="0" fontId="0" fillId="3" borderId="2" xfId="11" applyFont="1" applyFill="1">
      <alignment horizontal="center" vertical="center"/>
    </xf>
    <xf numFmtId="0" fontId="0" fillId="3" borderId="2" xfId="12" applyFont="1" applyFill="1" applyAlignment="1">
      <alignment horizontal="left" vertical="center" indent="3"/>
    </xf>
    <xf numFmtId="0" fontId="0" fillId="19" borderId="2" xfId="12" applyFont="1" applyFill="1" applyAlignment="1">
      <alignment horizontal="left" vertical="center" indent="3"/>
    </xf>
    <xf numFmtId="0" fontId="0" fillId="19" borderId="2" xfId="11" applyFont="1" applyFill="1">
      <alignment horizontal="center" vertical="center"/>
    </xf>
    <xf numFmtId="0" fontId="0" fillId="11" borderId="2" xfId="12" applyFont="1" applyFill="1" applyAlignment="1">
      <alignment horizontal="left" vertical="center" indent="3"/>
    </xf>
    <xf numFmtId="0" fontId="0" fillId="11" borderId="2" xfId="11" applyFont="1" applyFill="1">
      <alignment horizontal="center" vertical="center"/>
    </xf>
    <xf numFmtId="0" fontId="5" fillId="3" borderId="55" xfId="12" applyFont="1" applyFill="1" applyBorder="1">
      <alignment horizontal="left" vertical="center" indent="2"/>
    </xf>
    <xf numFmtId="0" fontId="5" fillId="3" borderId="55" xfId="11" applyFont="1" applyFill="1" applyBorder="1">
      <alignment horizontal="center" vertical="center"/>
    </xf>
    <xf numFmtId="9" fontId="16" fillId="3" borderId="55" xfId="2" applyFont="1" applyFill="1" applyBorder="1" applyAlignment="1">
      <alignment horizontal="center" vertical="center"/>
    </xf>
    <xf numFmtId="168" fontId="8" fillId="19" borderId="55" xfId="10" applyNumberFormat="1" applyFill="1" applyBorder="1" applyAlignment="1">
      <alignment horizontal="left" vertical="center"/>
    </xf>
    <xf numFmtId="168" fontId="8" fillId="19" borderId="56" xfId="10" applyNumberFormat="1" applyFill="1" applyBorder="1" applyAlignment="1">
      <alignment horizontal="left" vertical="center"/>
    </xf>
    <xf numFmtId="0" fontId="8" fillId="3" borderId="54" xfId="12" applyFill="1" applyBorder="1" applyAlignment="1">
      <alignment horizontal="left" vertical="center"/>
    </xf>
    <xf numFmtId="0" fontId="8" fillId="3" borderId="54" xfId="11" applyFill="1" applyBorder="1">
      <alignment horizontal="center" vertical="center"/>
    </xf>
    <xf numFmtId="9" fontId="4" fillId="3" borderId="54" xfId="2" applyFont="1" applyFill="1" applyBorder="1" applyAlignment="1">
      <alignment horizontal="center" vertical="center"/>
    </xf>
    <xf numFmtId="168" fontId="8" fillId="19" borderId="54" xfId="10" applyNumberFormat="1" applyFill="1" applyBorder="1" applyAlignment="1">
      <alignment horizontal="left" vertical="center"/>
    </xf>
    <xf numFmtId="0" fontId="8" fillId="3" borderId="54" xfId="12" applyFill="1" applyBorder="1">
      <alignment horizontal="left" vertical="center" indent="2"/>
    </xf>
    <xf numFmtId="0" fontId="5" fillId="3" borderId="54" xfId="0" applyFont="1" applyFill="1" applyBorder="1" applyAlignment="1">
      <alignment horizontal="left" vertical="center" indent="1"/>
    </xf>
    <xf numFmtId="0" fontId="5" fillId="3" borderId="54" xfId="11" applyFont="1" applyFill="1" applyBorder="1">
      <alignment horizontal="center" vertical="center"/>
    </xf>
    <xf numFmtId="9" fontId="16" fillId="3" borderId="54" xfId="2" applyFont="1" applyFill="1" applyBorder="1" applyAlignment="1">
      <alignment horizontal="center" vertical="center"/>
    </xf>
    <xf numFmtId="0" fontId="5" fillId="18" borderId="56" xfId="0" applyFont="1" applyFill="1" applyBorder="1" applyAlignment="1">
      <alignment horizontal="left" vertical="center" indent="1"/>
    </xf>
    <xf numFmtId="0" fontId="8" fillId="18" borderId="56" xfId="11" applyFill="1" applyBorder="1">
      <alignment horizontal="center" vertical="center"/>
    </xf>
    <xf numFmtId="9" fontId="4" fillId="18" borderId="56" xfId="2" applyFont="1" applyFill="1" applyBorder="1" applyAlignment="1">
      <alignment horizontal="center" vertical="center"/>
    </xf>
    <xf numFmtId="0" fontId="26" fillId="28" borderId="57" xfId="0" applyFont="1" applyFill="1" applyBorder="1" applyAlignment="1">
      <alignment vertical="center" wrapText="1"/>
    </xf>
    <xf numFmtId="0" fontId="26" fillId="29" borderId="58" xfId="0" applyFont="1" applyFill="1" applyBorder="1" applyAlignment="1">
      <alignment vertical="center"/>
    </xf>
    <xf numFmtId="0" fontId="26" fillId="29" borderId="14" xfId="0" applyFont="1" applyFill="1" applyBorder="1" applyAlignment="1">
      <alignment vertical="center"/>
    </xf>
    <xf numFmtId="0" fontId="26" fillId="29" borderId="14" xfId="0" applyFont="1" applyFill="1" applyBorder="1" applyAlignment="1">
      <alignment horizontal="center" vertical="center" wrapText="1"/>
    </xf>
    <xf numFmtId="0" fontId="28" fillId="29" borderId="58" xfId="0" applyFont="1" applyFill="1" applyBorder="1" applyAlignment="1">
      <alignment vertical="center"/>
    </xf>
    <xf numFmtId="0" fontId="28" fillId="29" borderId="59" xfId="0" applyFont="1" applyFill="1" applyBorder="1" applyAlignment="1">
      <alignment vertical="center"/>
    </xf>
    <xf numFmtId="0" fontId="26" fillId="27" borderId="14" xfId="0" applyFont="1" applyFill="1" applyBorder="1" applyAlignment="1">
      <alignment vertical="center"/>
    </xf>
    <xf numFmtId="0" fontId="26" fillId="27" borderId="14" xfId="0" applyFont="1" applyFill="1" applyBorder="1" applyAlignment="1">
      <alignment horizontal="center" vertical="center" wrapText="1"/>
    </xf>
    <xf numFmtId="0" fontId="5" fillId="3" borderId="0" xfId="0" applyFont="1" applyFill="1" applyAlignment="1">
      <alignment horizontal="left" vertical="center"/>
    </xf>
    <xf numFmtId="0" fontId="5" fillId="18" borderId="56" xfId="0" applyFont="1" applyFill="1" applyBorder="1" applyAlignment="1">
      <alignment horizontal="left" vertical="center"/>
    </xf>
    <xf numFmtId="0" fontId="8" fillId="11" borderId="54" xfId="12" applyFill="1" applyBorder="1">
      <alignment horizontal="left" vertical="center" indent="2"/>
    </xf>
    <xf numFmtId="0" fontId="8" fillId="11" borderId="54" xfId="11" applyFill="1" applyBorder="1">
      <alignment horizontal="center" vertical="center"/>
    </xf>
    <xf numFmtId="0" fontId="5" fillId="8" borderId="2" xfId="0" applyFont="1" applyFill="1" applyBorder="1" applyAlignment="1">
      <alignment horizontal="left" vertical="center" wrapText="1"/>
    </xf>
    <xf numFmtId="0" fontId="8" fillId="3" borderId="2" xfId="12" applyFill="1" applyAlignment="1">
      <alignment horizontal="left" vertical="center" wrapText="1"/>
    </xf>
    <xf numFmtId="0" fontId="5" fillId="3" borderId="55" xfId="12" applyFont="1" applyFill="1" applyBorder="1" applyAlignment="1">
      <alignment horizontal="left" vertical="center" wrapText="1"/>
    </xf>
    <xf numFmtId="0" fontId="8" fillId="3" borderId="54" xfId="12" applyFill="1" applyBorder="1" applyAlignment="1">
      <alignment horizontal="left" vertical="center" wrapText="1"/>
    </xf>
    <xf numFmtId="0" fontId="8" fillId="11" borderId="54" xfId="12" applyFill="1" applyBorder="1" applyAlignment="1">
      <alignment horizontal="left" vertical="center" wrapText="1"/>
    </xf>
    <xf numFmtId="0" fontId="5" fillId="3" borderId="54" xfId="0" applyFont="1" applyFill="1" applyBorder="1" applyAlignment="1">
      <alignment horizontal="left" vertical="center" wrapText="1"/>
    </xf>
    <xf numFmtId="0" fontId="5" fillId="18" borderId="56" xfId="0" applyFont="1" applyFill="1" applyBorder="1" applyAlignment="1">
      <alignment horizontal="left" vertical="center" wrapText="1"/>
    </xf>
    <xf numFmtId="0" fontId="8" fillId="19" borderId="55" xfId="12" applyFill="1" applyBorder="1" applyAlignment="1">
      <alignment horizontal="left" vertical="center"/>
    </xf>
    <xf numFmtId="0" fontId="5" fillId="19" borderId="55" xfId="12" applyFont="1" applyFill="1" applyBorder="1" applyAlignment="1">
      <alignment horizontal="left" vertical="center" wrapText="1"/>
    </xf>
    <xf numFmtId="0" fontId="8" fillId="19" borderId="55" xfId="12" applyFill="1" applyBorder="1">
      <alignment horizontal="left" vertical="center" indent="2"/>
    </xf>
    <xf numFmtId="0" fontId="5" fillId="19" borderId="55" xfId="11" applyFont="1" applyFill="1" applyBorder="1">
      <alignment horizontal="center" vertical="center"/>
    </xf>
    <xf numFmtId="9" fontId="16" fillId="19" borderId="55" xfId="2" applyFont="1" applyFill="1" applyBorder="1" applyAlignment="1">
      <alignment horizontal="center" vertical="center"/>
    </xf>
    <xf numFmtId="0" fontId="8" fillId="19" borderId="54" xfId="12" applyFill="1" applyBorder="1" applyAlignment="1">
      <alignment horizontal="left" vertical="center"/>
    </xf>
    <xf numFmtId="0" fontId="8" fillId="19" borderId="54" xfId="12" applyFill="1" applyBorder="1" applyAlignment="1">
      <alignment horizontal="left" vertical="center" wrapText="1"/>
    </xf>
    <xf numFmtId="0" fontId="8" fillId="19" borderId="54" xfId="12" applyFill="1" applyBorder="1">
      <alignment horizontal="left" vertical="center" indent="2"/>
    </xf>
    <xf numFmtId="9" fontId="4" fillId="19" borderId="54" xfId="2" applyFont="1" applyFill="1" applyBorder="1" applyAlignment="1">
      <alignment horizontal="center" vertical="center"/>
    </xf>
    <xf numFmtId="0" fontId="8" fillId="19" borderId="54" xfId="11" applyFill="1" applyBorder="1">
      <alignment horizontal="center" vertical="center"/>
    </xf>
    <xf numFmtId="0" fontId="5" fillId="19" borderId="54" xfId="11" applyFont="1" applyFill="1" applyBorder="1">
      <alignment horizontal="center" vertical="center"/>
    </xf>
    <xf numFmtId="168" fontId="5" fillId="19" borderId="54" xfId="10" applyNumberFormat="1" applyFont="1" applyFill="1" applyBorder="1" applyAlignment="1">
      <alignment horizontal="left" vertical="center"/>
    </xf>
    <xf numFmtId="9" fontId="16" fillId="19" borderId="54" xfId="2" applyFont="1" applyFill="1" applyBorder="1" applyAlignment="1">
      <alignment horizontal="center" vertical="center"/>
    </xf>
    <xf numFmtId="0" fontId="5" fillId="19" borderId="54" xfId="12" applyFont="1" applyFill="1" applyBorder="1" applyAlignment="1">
      <alignment horizontal="left" vertical="center" wrapText="1"/>
    </xf>
    <xf numFmtId="0" fontId="8" fillId="0" borderId="54" xfId="12" applyFill="1" applyBorder="1" applyAlignment="1">
      <alignment horizontal="left" vertical="center"/>
    </xf>
    <xf numFmtId="0" fontId="7" fillId="2" borderId="54" xfId="0" applyFont="1" applyFill="1" applyBorder="1" applyAlignment="1">
      <alignment horizontal="left" vertical="center" wrapText="1"/>
    </xf>
    <xf numFmtId="0" fontId="7" fillId="2" borderId="54" xfId="0" applyFont="1" applyFill="1" applyBorder="1" applyAlignment="1">
      <alignment horizontal="left" vertical="center" indent="1"/>
    </xf>
    <xf numFmtId="0" fontId="7" fillId="2" borderId="54" xfId="0" applyFont="1" applyFill="1" applyBorder="1" applyAlignment="1">
      <alignment horizontal="center" vertical="center"/>
    </xf>
    <xf numFmtId="9" fontId="4" fillId="2" borderId="54" xfId="2" applyFont="1" applyFill="1" applyBorder="1" applyAlignment="1">
      <alignment horizontal="center" vertical="center"/>
    </xf>
    <xf numFmtId="164" fontId="3" fillId="2" borderId="54" xfId="0" applyNumberFormat="1" applyFont="1" applyFill="1" applyBorder="1" applyAlignment="1">
      <alignment horizontal="left" vertical="center"/>
    </xf>
    <xf numFmtId="164" fontId="4" fillId="2" borderId="54" xfId="0" applyNumberFormat="1" applyFont="1" applyFill="1" applyBorder="1" applyAlignment="1">
      <alignment horizontal="center" vertical="center"/>
    </xf>
    <xf numFmtId="0" fontId="5" fillId="17" borderId="54" xfId="0" applyFont="1" applyFill="1" applyBorder="1" applyAlignment="1">
      <alignment horizontal="left" vertical="center"/>
    </xf>
    <xf numFmtId="0" fontId="5" fillId="17" borderId="54" xfId="0" applyFont="1" applyFill="1" applyBorder="1" applyAlignment="1">
      <alignment horizontal="left" vertical="center" wrapText="1"/>
    </xf>
    <xf numFmtId="0" fontId="5" fillId="17" borderId="54" xfId="0" applyFont="1" applyFill="1" applyBorder="1" applyAlignment="1">
      <alignment horizontal="left" vertical="center" indent="1"/>
    </xf>
    <xf numFmtId="0" fontId="8" fillId="17" borderId="54" xfId="11" applyFill="1" applyBorder="1">
      <alignment horizontal="center" vertical="center"/>
    </xf>
    <xf numFmtId="9" fontId="4" fillId="17" borderId="54" xfId="2" applyFont="1" applyFill="1" applyBorder="1" applyAlignment="1">
      <alignment horizontal="center" vertical="center"/>
    </xf>
    <xf numFmtId="168" fontId="8" fillId="17" borderId="54" xfId="0" applyNumberFormat="1" applyFont="1" applyFill="1" applyBorder="1" applyAlignment="1">
      <alignment horizontal="center" vertical="center"/>
    </xf>
    <xf numFmtId="168" fontId="4" fillId="17" borderId="54" xfId="0" applyNumberFormat="1" applyFont="1" applyFill="1" applyBorder="1" applyAlignment="1">
      <alignment horizontal="center" vertical="center"/>
    </xf>
    <xf numFmtId="0" fontId="8" fillId="11" borderId="54" xfId="12" applyFill="1" applyBorder="1" applyAlignment="1">
      <alignment horizontal="left" vertical="center"/>
    </xf>
    <xf numFmtId="0" fontId="5" fillId="11" borderId="54" xfId="12" applyFont="1" applyFill="1" applyBorder="1" applyAlignment="1">
      <alignment horizontal="left" vertical="center" wrapText="1"/>
    </xf>
    <xf numFmtId="0" fontId="5" fillId="11" borderId="54" xfId="11" applyFont="1" applyFill="1" applyBorder="1">
      <alignment horizontal="center" vertical="center"/>
    </xf>
    <xf numFmtId="9" fontId="16" fillId="11" borderId="54" xfId="2" applyFont="1" applyFill="1" applyBorder="1" applyAlignment="1">
      <alignment horizontal="center" vertical="center"/>
    </xf>
    <xf numFmtId="168" fontId="5" fillId="11" borderId="54" xfId="10" applyNumberFormat="1" applyFont="1" applyFill="1" applyBorder="1" applyAlignment="1">
      <alignment horizontal="left" vertical="center"/>
    </xf>
    <xf numFmtId="9" fontId="4" fillId="11" borderId="54" xfId="2" applyFont="1" applyFill="1" applyBorder="1" applyAlignment="1">
      <alignment horizontal="center" vertical="center"/>
    </xf>
    <xf numFmtId="0" fontId="8" fillId="26" borderId="54" xfId="12" applyFill="1" applyBorder="1" applyAlignment="1">
      <alignment horizontal="left" vertical="center"/>
    </xf>
    <xf numFmtId="0" fontId="8" fillId="26" borderId="54" xfId="12" applyFill="1" applyBorder="1" applyAlignment="1">
      <alignment horizontal="left" vertical="center" wrapText="1"/>
    </xf>
    <xf numFmtId="0" fontId="8" fillId="26" borderId="54" xfId="12" applyFill="1" applyBorder="1">
      <alignment horizontal="left" vertical="center" indent="2"/>
    </xf>
    <xf numFmtId="168" fontId="8" fillId="26" borderId="54" xfId="10" applyNumberFormat="1" applyFill="1" applyBorder="1" applyAlignment="1">
      <alignment horizontal="left" vertical="center"/>
    </xf>
    <xf numFmtId="0" fontId="8" fillId="26" borderId="54" xfId="11" applyFill="1" applyBorder="1">
      <alignment horizontal="center" vertical="center"/>
    </xf>
    <xf numFmtId="9" fontId="4" fillId="26" borderId="54" xfId="2" applyFont="1" applyFill="1" applyBorder="1" applyAlignment="1">
      <alignment horizontal="center" vertical="center"/>
    </xf>
    <xf numFmtId="168" fontId="0" fillId="26" borderId="54" xfId="10" applyNumberFormat="1" applyFont="1" applyFill="1" applyBorder="1" applyAlignment="1">
      <alignment horizontal="left" vertical="center"/>
    </xf>
    <xf numFmtId="0" fontId="8" fillId="26" borderId="2" xfId="12" applyFill="1" applyAlignment="1">
      <alignment horizontal="left" vertical="center"/>
    </xf>
    <xf numFmtId="0" fontId="8" fillId="30" borderId="54" xfId="12" applyFill="1" applyBorder="1" applyAlignment="1">
      <alignment horizontal="left" vertical="center" wrapText="1"/>
    </xf>
    <xf numFmtId="0" fontId="28" fillId="29" borderId="0" xfId="0" applyFont="1" applyFill="1" applyAlignment="1">
      <alignment vertical="center"/>
    </xf>
    <xf numFmtId="0" fontId="26" fillId="30" borderId="14" xfId="0" applyFont="1" applyFill="1" applyBorder="1" applyAlignment="1">
      <alignment horizontal="center" vertical="center" wrapText="1"/>
    </xf>
    <xf numFmtId="0" fontId="0" fillId="31" borderId="2" xfId="12" applyFont="1" applyFill="1" applyAlignment="1">
      <alignment horizontal="left" vertical="center" wrapText="1" indent="2"/>
    </xf>
    <xf numFmtId="0" fontId="8" fillId="0" borderId="7" xfId="8" applyBorder="1" applyAlignment="1">
      <alignment horizontal="right" wrapText="1"/>
    </xf>
    <xf numFmtId="165" fontId="8" fillId="0" borderId="3" xfId="9" applyAlignment="1">
      <alignment horizontal="center" wrapText="1"/>
    </xf>
    <xf numFmtId="0" fontId="8" fillId="0" borderId="0" xfId="8" applyAlignment="1">
      <alignment wrapText="1"/>
    </xf>
    <xf numFmtId="0" fontId="0" fillId="0" borderId="3" xfId="0" applyBorder="1" applyAlignment="1">
      <alignment horizontal="center" wrapText="1"/>
    </xf>
    <xf numFmtId="167" fontId="10" fillId="7" borderId="6" xfId="0" applyNumberFormat="1" applyFont="1" applyFill="1" applyBorder="1" applyAlignment="1">
      <alignment horizontal="center" vertical="center" wrapText="1"/>
    </xf>
    <xf numFmtId="167" fontId="10" fillId="7" borderId="0" xfId="0" applyNumberFormat="1" applyFont="1" applyFill="1" applyAlignment="1">
      <alignment horizontal="center" vertical="center" wrapText="1"/>
    </xf>
    <xf numFmtId="167" fontId="10" fillId="7" borderId="7" xfId="0" applyNumberFormat="1" applyFont="1" applyFill="1" applyBorder="1" applyAlignment="1">
      <alignment horizontal="center" vertical="center" wrapText="1"/>
    </xf>
    <xf numFmtId="0" fontId="6" fillId="13" borderId="1" xfId="0" applyFont="1" applyFill="1" applyBorder="1" applyAlignment="1">
      <alignment horizontal="left" vertical="center" wrapText="1"/>
    </xf>
    <xf numFmtId="0" fontId="11" fillId="12" borderId="8" xfId="0" applyFont="1" applyFill="1" applyBorder="1" applyAlignment="1">
      <alignment horizontal="center" vertical="center" wrapText="1" shrinkToFit="1"/>
    </xf>
    <xf numFmtId="0" fontId="5" fillId="31" borderId="2" xfId="0" applyFont="1" applyFill="1" applyBorder="1" applyAlignment="1">
      <alignment horizontal="left" vertical="center" wrapText="1"/>
    </xf>
    <xf numFmtId="0" fontId="8" fillId="31" borderId="2" xfId="11" applyFill="1" applyAlignment="1">
      <alignment horizontal="center" vertical="center" wrapText="1"/>
    </xf>
    <xf numFmtId="9" fontId="4" fillId="31" borderId="2" xfId="2" applyFont="1" applyFill="1" applyBorder="1" applyAlignment="1">
      <alignment horizontal="center" vertical="center" wrapText="1"/>
    </xf>
    <xf numFmtId="164" fontId="0" fillId="8" borderId="2" xfId="0" applyNumberFormat="1" applyFill="1" applyBorder="1" applyAlignment="1">
      <alignment horizontal="center" vertical="center" wrapText="1"/>
    </xf>
    <xf numFmtId="164" fontId="4" fillId="8" borderId="2" xfId="0" applyNumberFormat="1" applyFont="1" applyFill="1" applyBorder="1" applyAlignment="1">
      <alignment horizontal="center" vertical="center" wrapText="1"/>
    </xf>
    <xf numFmtId="0" fontId="4" fillId="0" borderId="2" xfId="0" applyFont="1" applyBorder="1" applyAlignment="1">
      <alignment horizontal="center" vertical="center" wrapText="1"/>
    </xf>
    <xf numFmtId="0" fontId="0" fillId="0" borderId="9" xfId="0" applyBorder="1" applyAlignment="1">
      <alignment vertical="center" wrapText="1"/>
    </xf>
    <xf numFmtId="0" fontId="0" fillId="0" borderId="0" xfId="0" applyAlignment="1">
      <alignment vertical="center" wrapText="1"/>
    </xf>
    <xf numFmtId="0" fontId="5" fillId="31" borderId="2" xfId="12" applyFont="1" applyFill="1" applyAlignment="1">
      <alignment horizontal="left" vertical="center" wrapText="1"/>
    </xf>
    <xf numFmtId="0" fontId="5" fillId="31" borderId="2" xfId="11" applyFont="1" applyFill="1" applyAlignment="1">
      <alignment horizontal="center" vertical="center" wrapText="1"/>
    </xf>
    <xf numFmtId="168" fontId="23" fillId="25" borderId="12" xfId="10" applyNumberFormat="1" applyFont="1" applyFill="1" applyBorder="1" applyAlignment="1">
      <alignment horizontal="left" vertical="center" wrapText="1"/>
    </xf>
    <xf numFmtId="164" fontId="5" fillId="3" borderId="2" xfId="10" applyFont="1" applyFill="1" applyAlignment="1">
      <alignment horizontal="center" vertical="center" wrapText="1"/>
    </xf>
    <xf numFmtId="0" fontId="16" fillId="0" borderId="2" xfId="0" applyFont="1" applyBorder="1" applyAlignment="1">
      <alignment horizontal="center" vertical="center" wrapText="1"/>
    </xf>
    <xf numFmtId="0" fontId="5" fillId="0" borderId="9" xfId="0" applyFont="1" applyBorder="1" applyAlignment="1">
      <alignment vertical="center" wrapText="1"/>
    </xf>
    <xf numFmtId="0" fontId="5" fillId="0" borderId="9" xfId="0" applyFont="1" applyBorder="1" applyAlignment="1">
      <alignment horizontal="right" vertical="center" wrapText="1"/>
    </xf>
    <xf numFmtId="0" fontId="5" fillId="0" borderId="0" xfId="0" applyFont="1" applyAlignment="1">
      <alignment vertical="center" wrapText="1"/>
    </xf>
    <xf numFmtId="0" fontId="8" fillId="31" borderId="2" xfId="12" applyFill="1" applyAlignment="1">
      <alignment horizontal="left" vertical="center" wrapText="1"/>
    </xf>
    <xf numFmtId="168" fontId="22" fillId="25" borderId="12" xfId="10" applyNumberFormat="1" applyFont="1" applyFill="1" applyBorder="1" applyAlignment="1">
      <alignment horizontal="left" vertical="center" wrapText="1"/>
    </xf>
    <xf numFmtId="164" fontId="8" fillId="3" borderId="2" xfId="10" applyFill="1" applyAlignment="1">
      <alignment horizontal="center" vertical="center" wrapText="1"/>
    </xf>
    <xf numFmtId="0" fontId="0" fillId="26" borderId="9" xfId="0" applyFill="1" applyBorder="1" applyAlignment="1">
      <alignment vertical="center" wrapText="1"/>
    </xf>
    <xf numFmtId="0" fontId="0" fillId="0" borderId="9" xfId="0" applyBorder="1" applyAlignment="1">
      <alignment horizontal="right" vertical="center" wrapText="1"/>
    </xf>
    <xf numFmtId="0" fontId="0" fillId="31" borderId="2" xfId="12" applyFont="1" applyFill="1" applyAlignment="1">
      <alignment horizontal="left" vertical="center" wrapText="1"/>
    </xf>
    <xf numFmtId="0" fontId="0" fillId="31" borderId="2" xfId="11" applyFont="1" applyFill="1" applyAlignment="1">
      <alignment horizontal="center" vertical="center" wrapText="1"/>
    </xf>
    <xf numFmtId="168" fontId="5" fillId="25" borderId="2" xfId="10" applyNumberFormat="1" applyFont="1" applyFill="1" applyAlignment="1">
      <alignment horizontal="left" vertical="center" wrapText="1"/>
    </xf>
    <xf numFmtId="164" fontId="8" fillId="4" borderId="2" xfId="10" applyFill="1" applyAlignment="1">
      <alignment horizontal="center" vertical="center" wrapText="1"/>
    </xf>
    <xf numFmtId="168" fontId="8" fillId="25" borderId="2" xfId="10" applyNumberFormat="1" applyFill="1" applyAlignment="1">
      <alignment horizontal="left" vertical="center" wrapText="1"/>
    </xf>
    <xf numFmtId="164" fontId="4" fillId="18" borderId="2" xfId="0" applyNumberFormat="1" applyFont="1" applyFill="1" applyBorder="1" applyAlignment="1">
      <alignment horizontal="center" vertical="center" wrapText="1"/>
    </xf>
    <xf numFmtId="168" fontId="22" fillId="25" borderId="55" xfId="10" applyNumberFormat="1" applyFont="1" applyFill="1" applyBorder="1" applyAlignment="1">
      <alignment horizontal="left" vertical="center" wrapText="1"/>
    </xf>
    <xf numFmtId="0" fontId="5" fillId="18" borderId="2" xfId="0" applyFont="1" applyFill="1" applyBorder="1" applyAlignment="1">
      <alignment horizontal="left" vertical="center" wrapText="1"/>
    </xf>
    <xf numFmtId="0" fontId="8" fillId="18" borderId="2" xfId="11" applyFill="1" applyAlignment="1">
      <alignment horizontal="center" vertical="center" wrapText="1"/>
    </xf>
    <xf numFmtId="9" fontId="4" fillId="18" borderId="2" xfId="2" applyFont="1" applyFill="1" applyBorder="1" applyAlignment="1">
      <alignment horizontal="center" vertical="center" wrapText="1"/>
    </xf>
    <xf numFmtId="168" fontId="8" fillId="25" borderId="2" xfId="0" applyNumberFormat="1" applyFont="1" applyFill="1" applyBorder="1" applyAlignment="1">
      <alignment horizontal="center" vertical="center" wrapText="1"/>
    </xf>
    <xf numFmtId="168" fontId="4" fillId="25" borderId="2" xfId="0" applyNumberFormat="1" applyFont="1" applyFill="1" applyBorder="1" applyAlignment="1">
      <alignment horizontal="center" vertical="center" wrapText="1"/>
    </xf>
    <xf numFmtId="164" fontId="8" fillId="19" borderId="2" xfId="10" applyFill="1" applyAlignment="1">
      <alignment horizontal="center" vertical="center" wrapText="1"/>
    </xf>
    <xf numFmtId="0" fontId="8" fillId="19" borderId="2" xfId="12" applyFill="1" applyAlignment="1">
      <alignment horizontal="left" vertical="center" wrapText="1"/>
    </xf>
    <xf numFmtId="0" fontId="5" fillId="19" borderId="2" xfId="12" applyFont="1" applyFill="1" applyAlignment="1">
      <alignment horizontal="left" vertical="center" wrapText="1"/>
    </xf>
    <xf numFmtId="0" fontId="5" fillId="19" borderId="2" xfId="11" applyFont="1" applyFill="1" applyAlignment="1">
      <alignment horizontal="center" vertical="center" wrapText="1"/>
    </xf>
    <xf numFmtId="9" fontId="16" fillId="19" borderId="2" xfId="2" applyFont="1" applyFill="1" applyBorder="1" applyAlignment="1">
      <alignment horizontal="center" vertical="center" wrapText="1"/>
    </xf>
    <xf numFmtId="0" fontId="0" fillId="19" borderId="2" xfId="12" applyFont="1" applyFill="1" applyAlignment="1">
      <alignment horizontal="left" vertical="center" wrapText="1"/>
    </xf>
    <xf numFmtId="0" fontId="0" fillId="19" borderId="2" xfId="11" applyFont="1" applyFill="1" applyAlignment="1">
      <alignment horizontal="center" vertical="center" wrapText="1"/>
    </xf>
    <xf numFmtId="9" fontId="4" fillId="19" borderId="2" xfId="2" applyFont="1" applyFill="1" applyBorder="1" applyAlignment="1">
      <alignment horizontal="center" vertical="center" wrapText="1"/>
    </xf>
    <xf numFmtId="0" fontId="8" fillId="19" borderId="2" xfId="11" applyFill="1" applyAlignment="1">
      <alignment horizontal="center" vertical="center" wrapText="1"/>
    </xf>
    <xf numFmtId="168" fontId="8" fillId="19" borderId="2" xfId="10" applyNumberFormat="1" applyFill="1" applyAlignment="1">
      <alignment horizontal="left" vertical="center" wrapText="1"/>
    </xf>
    <xf numFmtId="0" fontId="5" fillId="17" borderId="2" xfId="0" applyFont="1" applyFill="1" applyBorder="1" applyAlignment="1">
      <alignment horizontal="left" vertical="center" wrapText="1"/>
    </xf>
    <xf numFmtId="0" fontId="8" fillId="17" borderId="2" xfId="11" applyFill="1" applyAlignment="1">
      <alignment horizontal="center" vertical="center" wrapText="1"/>
    </xf>
    <xf numFmtId="9" fontId="4" fillId="17" borderId="2" xfId="2" applyFont="1" applyFill="1" applyBorder="1" applyAlignment="1">
      <alignment horizontal="center" vertical="center" wrapText="1"/>
    </xf>
    <xf numFmtId="168" fontId="8" fillId="17" borderId="2" xfId="0" applyNumberFormat="1" applyFont="1" applyFill="1" applyBorder="1" applyAlignment="1">
      <alignment horizontal="center" vertical="center" wrapText="1"/>
    </xf>
    <xf numFmtId="168" fontId="4" fillId="17" borderId="2" xfId="0" applyNumberFormat="1" applyFont="1" applyFill="1" applyBorder="1" applyAlignment="1">
      <alignment horizontal="center" vertical="center" wrapText="1"/>
    </xf>
    <xf numFmtId="164" fontId="8" fillId="11" borderId="2" xfId="10" applyFill="1" applyAlignment="1">
      <alignment horizontal="center" vertical="center" wrapText="1"/>
    </xf>
    <xf numFmtId="0" fontId="8" fillId="11" borderId="2" xfId="12" applyFill="1" applyAlignment="1">
      <alignment horizontal="left" vertical="center" wrapText="1"/>
    </xf>
    <xf numFmtId="0" fontId="5" fillId="11" borderId="2" xfId="12" applyFont="1" applyFill="1" applyAlignment="1">
      <alignment horizontal="left" vertical="center" wrapText="1"/>
    </xf>
    <xf numFmtId="0" fontId="5" fillId="11" borderId="2" xfId="11" applyFont="1" applyFill="1" applyAlignment="1">
      <alignment horizontal="center" vertical="center" wrapText="1"/>
    </xf>
    <xf numFmtId="9" fontId="16" fillId="11" borderId="2" xfId="2" applyFont="1" applyFill="1" applyBorder="1" applyAlignment="1">
      <alignment horizontal="center" vertical="center" wrapText="1"/>
    </xf>
    <xf numFmtId="168" fontId="5" fillId="11" borderId="2" xfId="10" applyNumberFormat="1" applyFont="1" applyFill="1" applyAlignment="1">
      <alignment horizontal="left" vertical="center" wrapText="1"/>
    </xf>
    <xf numFmtId="0" fontId="0" fillId="11" borderId="2" xfId="12" applyFont="1" applyFill="1" applyAlignment="1">
      <alignment horizontal="left" vertical="center" wrapText="1"/>
    </xf>
    <xf numFmtId="0" fontId="8" fillId="11" borderId="2" xfId="11" applyFill="1" applyAlignment="1">
      <alignment horizontal="center" vertical="center" wrapText="1"/>
    </xf>
    <xf numFmtId="9" fontId="4" fillId="11" borderId="2" xfId="2" applyFont="1" applyFill="1" applyBorder="1" applyAlignment="1">
      <alignment horizontal="center" vertical="center" wrapText="1"/>
    </xf>
    <xf numFmtId="168" fontId="8" fillId="11" borderId="2" xfId="10" applyNumberFormat="1" applyFill="1" applyAlignment="1">
      <alignment horizontal="left" vertical="center" wrapText="1"/>
    </xf>
    <xf numFmtId="0" fontId="0" fillId="11" borderId="2" xfId="11" applyFont="1" applyFill="1" applyAlignment="1">
      <alignment horizontal="center" vertical="center" wrapText="1"/>
    </xf>
    <xf numFmtId="0" fontId="0" fillId="0" borderId="0" xfId="0" applyAlignment="1">
      <alignment horizontal="center" wrapText="1"/>
    </xf>
    <xf numFmtId="0" fontId="15" fillId="0" borderId="0" xfId="0" applyFont="1" applyAlignment="1">
      <alignment horizontal="center" wrapText="1"/>
    </xf>
    <xf numFmtId="0" fontId="13" fillId="0" borderId="0" xfId="0" applyFont="1" applyAlignment="1">
      <alignment wrapText="1"/>
    </xf>
    <xf numFmtId="0" fontId="14" fillId="0" borderId="0" xfId="1" applyFont="1" applyAlignment="1" applyProtection="1">
      <alignment wrapText="1"/>
    </xf>
    <xf numFmtId="9" fontId="4" fillId="3" borderId="2" xfId="2" applyFont="1" applyFill="1" applyBorder="1" applyAlignment="1">
      <alignment horizontal="center" vertical="center" wrapText="1"/>
    </xf>
    <xf numFmtId="0" fontId="8" fillId="3" borderId="2" xfId="11" applyFill="1" applyAlignment="1">
      <alignment horizontal="center" vertical="center" wrapText="1"/>
    </xf>
    <xf numFmtId="0" fontId="5" fillId="31" borderId="2" xfId="12" applyFont="1" applyFill="1" applyAlignment="1">
      <alignment horizontal="left" vertical="center" wrapText="1" indent="1"/>
    </xf>
    <xf numFmtId="0" fontId="8" fillId="31" borderId="2" xfId="12" applyFill="1" applyAlignment="1">
      <alignment horizontal="left" vertical="center" wrapText="1" indent="1"/>
    </xf>
    <xf numFmtId="0" fontId="8" fillId="31" borderId="2" xfId="12" applyFill="1" applyAlignment="1">
      <alignment horizontal="left" vertical="center" wrapText="1" indent="2"/>
    </xf>
    <xf numFmtId="0" fontId="8" fillId="27" borderId="2" xfId="11" applyFill="1" applyAlignment="1">
      <alignment horizontal="center" vertical="center" wrapText="1"/>
    </xf>
    <xf numFmtId="9" fontId="4" fillId="27" borderId="2" xfId="2" applyFont="1" applyFill="1" applyBorder="1" applyAlignment="1">
      <alignment horizontal="center" vertical="center" wrapText="1"/>
    </xf>
    <xf numFmtId="0" fontId="5" fillId="27" borderId="2" xfId="12" applyFont="1" applyFill="1" applyAlignment="1">
      <alignment horizontal="left" vertical="center" wrapText="1"/>
    </xf>
    <xf numFmtId="16" fontId="8" fillId="31" borderId="2" xfId="12" applyNumberFormat="1" applyFill="1" applyAlignment="1">
      <alignment horizontal="left" vertical="center" wrapText="1"/>
    </xf>
    <xf numFmtId="0" fontId="8" fillId="27" borderId="2" xfId="12" applyFill="1" applyAlignment="1">
      <alignment horizontal="left" vertical="center" wrapText="1" indent="1"/>
    </xf>
    <xf numFmtId="0" fontId="8" fillId="27" borderId="2" xfId="12" applyFill="1" applyAlignment="1">
      <alignment horizontal="left" vertical="center" wrapText="1"/>
    </xf>
    <xf numFmtId="16" fontId="0" fillId="31" borderId="2" xfId="12" applyNumberFormat="1" applyFont="1" applyFill="1" applyAlignment="1">
      <alignment horizontal="left" vertical="center" wrapText="1"/>
    </xf>
    <xf numFmtId="0" fontId="5" fillId="19" borderId="2" xfId="12" applyFont="1" applyFill="1" applyAlignment="1">
      <alignment horizontal="left" vertical="center"/>
    </xf>
    <xf numFmtId="168" fontId="22" fillId="27" borderId="12" xfId="10" applyNumberFormat="1" applyFont="1" applyFill="1" applyBorder="1" applyAlignment="1">
      <alignment horizontal="left" vertical="center" wrapText="1"/>
    </xf>
    <xf numFmtId="164" fontId="4" fillId="27" borderId="2" xfId="0" applyNumberFormat="1" applyFont="1" applyFill="1" applyBorder="1" applyAlignment="1">
      <alignment horizontal="center" vertical="center" wrapText="1"/>
    </xf>
    <xf numFmtId="0" fontId="4" fillId="27" borderId="2" xfId="0" applyFont="1" applyFill="1" applyBorder="1" applyAlignment="1">
      <alignment horizontal="center" vertical="center" wrapText="1"/>
    </xf>
    <xf numFmtId="0" fontId="0" fillId="27" borderId="9" xfId="0" applyFill="1" applyBorder="1" applyAlignment="1">
      <alignment vertical="center" wrapText="1"/>
    </xf>
    <xf numFmtId="0" fontId="0" fillId="27" borderId="9" xfId="0" applyFill="1" applyBorder="1" applyAlignment="1">
      <alignment horizontal="right" vertical="center" wrapText="1"/>
    </xf>
    <xf numFmtId="0" fontId="0" fillId="27" borderId="0" xfId="0" applyFill="1" applyAlignment="1">
      <alignment vertical="center" wrapText="1"/>
    </xf>
    <xf numFmtId="168" fontId="22" fillId="27" borderId="55" xfId="10" applyNumberFormat="1" applyFont="1" applyFill="1" applyBorder="1" applyAlignment="1">
      <alignment horizontal="left" vertical="center" wrapText="1"/>
    </xf>
    <xf numFmtId="0" fontId="26" fillId="29" borderId="59" xfId="0" applyFont="1" applyFill="1" applyBorder="1" applyAlignment="1">
      <alignment vertical="center"/>
    </xf>
    <xf numFmtId="0" fontId="26" fillId="29" borderId="59" xfId="0" applyFont="1" applyFill="1" applyBorder="1" applyAlignment="1">
      <alignment horizontal="center" vertical="center" wrapText="1"/>
    </xf>
    <xf numFmtId="0" fontId="4" fillId="3" borderId="2" xfId="2" applyNumberFormat="1" applyFont="1" applyFill="1" applyBorder="1" applyAlignment="1">
      <alignment horizontal="center" vertical="center" wrapText="1"/>
    </xf>
    <xf numFmtId="0" fontId="4" fillId="32" borderId="2" xfId="2" applyNumberFormat="1" applyFont="1" applyFill="1" applyBorder="1" applyAlignment="1">
      <alignment horizontal="center" vertical="center" wrapText="1"/>
    </xf>
    <xf numFmtId="0" fontId="8" fillId="0" borderId="0" xfId="8" applyNumberFormat="1" applyAlignment="1">
      <alignment horizontal="right" wrapText="1"/>
    </xf>
    <xf numFmtId="0" fontId="5" fillId="25" borderId="2" xfId="11" applyFont="1" applyFill="1" applyAlignment="1">
      <alignment horizontal="center" vertical="center" wrapText="1"/>
    </xf>
    <xf numFmtId="0" fontId="8" fillId="25" borderId="2" xfId="11" applyFill="1" applyAlignment="1">
      <alignment horizontal="center" vertical="center" wrapText="1"/>
    </xf>
    <xf numFmtId="0" fontId="8" fillId="32" borderId="2" xfId="12" applyFill="1" applyAlignment="1">
      <alignment horizontal="left" vertical="center" wrapText="1"/>
    </xf>
    <xf numFmtId="0" fontId="5" fillId="32" borderId="2" xfId="0" applyFont="1" applyFill="1" applyBorder="1" applyAlignment="1">
      <alignment horizontal="left" vertical="center" wrapText="1"/>
    </xf>
    <xf numFmtId="0" fontId="8" fillId="32" borderId="2" xfId="11" applyFill="1" applyAlignment="1">
      <alignment horizontal="center" vertical="center" wrapText="1"/>
    </xf>
    <xf numFmtId="9" fontId="4" fillId="32" borderId="2" xfId="2" applyFont="1" applyFill="1" applyBorder="1" applyAlignment="1">
      <alignment horizontal="center" vertical="center" wrapText="1"/>
    </xf>
    <xf numFmtId="0" fontId="5" fillId="32" borderId="2" xfId="12" applyFont="1" applyFill="1" applyAlignment="1">
      <alignment horizontal="left" vertical="center" wrapText="1"/>
    </xf>
    <xf numFmtId="0" fontId="8" fillId="32" borderId="2" xfId="12" applyFill="1" applyAlignment="1">
      <alignment horizontal="left" vertical="center" wrapText="1" indent="1"/>
    </xf>
    <xf numFmtId="16" fontId="5" fillId="32" borderId="2" xfId="0" applyNumberFormat="1" applyFont="1" applyFill="1" applyBorder="1" applyAlignment="1">
      <alignment horizontal="left" vertical="center" wrapText="1"/>
    </xf>
    <xf numFmtId="16" fontId="5" fillId="32" borderId="2" xfId="12" applyNumberFormat="1" applyFont="1" applyFill="1" applyAlignment="1">
      <alignment horizontal="left" vertical="center" wrapText="1"/>
    </xf>
    <xf numFmtId="0" fontId="35" fillId="31" borderId="2" xfId="12" applyFont="1" applyFill="1" applyAlignment="1">
      <alignment horizontal="left" vertical="center" wrapText="1" indent="2"/>
    </xf>
    <xf numFmtId="164" fontId="0" fillId="8" borderId="55" xfId="0" applyNumberFormat="1" applyFill="1" applyBorder="1" applyAlignment="1">
      <alignment horizontal="center" vertical="center" wrapText="1"/>
    </xf>
    <xf numFmtId="164" fontId="4" fillId="8" borderId="55" xfId="0" applyNumberFormat="1" applyFont="1" applyFill="1" applyBorder="1" applyAlignment="1">
      <alignment horizontal="center" vertical="center" wrapText="1"/>
    </xf>
    <xf numFmtId="0" fontId="0" fillId="31" borderId="2" xfId="0" applyFont="1" applyFill="1" applyBorder="1" applyAlignment="1">
      <alignment horizontal="left" vertical="center" wrapText="1"/>
    </xf>
    <xf numFmtId="16" fontId="0" fillId="31" borderId="2" xfId="0" applyNumberFormat="1" applyFont="1" applyFill="1" applyBorder="1" applyAlignment="1">
      <alignment horizontal="left" vertical="center" wrapText="1"/>
    </xf>
    <xf numFmtId="0" fontId="6" fillId="13" borderId="60" xfId="0" applyFont="1" applyFill="1" applyBorder="1" applyAlignment="1">
      <alignment horizontal="left" vertical="center" wrapText="1"/>
    </xf>
    <xf numFmtId="0" fontId="6" fillId="13" borderId="60" xfId="0" applyFont="1" applyFill="1" applyBorder="1" applyAlignment="1">
      <alignment horizontal="center" vertical="center" wrapText="1"/>
    </xf>
    <xf numFmtId="0" fontId="5" fillId="32" borderId="54" xfId="12" applyFont="1" applyFill="1" applyBorder="1" applyAlignment="1">
      <alignment horizontal="left" vertical="center" wrapText="1"/>
    </xf>
    <xf numFmtId="0" fontId="8" fillId="32" borderId="54" xfId="12" applyFill="1" applyBorder="1" applyAlignment="1">
      <alignment horizontal="left" vertical="center" wrapText="1"/>
    </xf>
    <xf numFmtId="0" fontId="8" fillId="32" borderId="54" xfId="11" applyFill="1" applyBorder="1" applyAlignment="1">
      <alignment horizontal="center" vertical="center" wrapText="1"/>
    </xf>
    <xf numFmtId="9" fontId="4" fillId="32" borderId="54" xfId="2" applyFont="1" applyFill="1" applyBorder="1" applyAlignment="1">
      <alignment horizontal="center" vertical="center" wrapText="1"/>
    </xf>
    <xf numFmtId="0" fontId="8" fillId="32" borderId="54" xfId="12" applyFill="1" applyBorder="1" applyAlignment="1">
      <alignment horizontal="left" vertical="center" wrapText="1" indent="1"/>
    </xf>
    <xf numFmtId="16" fontId="5" fillId="32" borderId="54" xfId="0" applyNumberFormat="1" applyFont="1" applyFill="1" applyBorder="1" applyAlignment="1">
      <alignment horizontal="left" vertical="center" wrapText="1"/>
    </xf>
    <xf numFmtId="0" fontId="8" fillId="30" borderId="2" xfId="12" applyFill="1" applyAlignment="1">
      <alignment horizontal="left" vertical="center" wrapText="1" indent="1"/>
    </xf>
    <xf numFmtId="0" fontId="8" fillId="33" borderId="0" xfId="13" applyFill="1">
      <alignment wrapText="1"/>
    </xf>
    <xf numFmtId="0" fontId="8" fillId="0" borderId="0" xfId="13">
      <alignment wrapText="1"/>
    </xf>
    <xf numFmtId="0" fontId="37" fillId="0" borderId="0" xfId="13" applyFont="1" applyProtection="1">
      <alignment wrapText="1"/>
      <protection locked="0"/>
    </xf>
    <xf numFmtId="0" fontId="38" fillId="0" borderId="0" xfId="13" applyFont="1" applyAlignment="1">
      <alignment vertical="center" wrapText="1"/>
    </xf>
    <xf numFmtId="172" fontId="5" fillId="32" borderId="2" xfId="0" applyNumberFormat="1" applyFont="1" applyFill="1" applyBorder="1" applyAlignment="1">
      <alignment horizontal="left" vertical="center" wrapText="1"/>
    </xf>
    <xf numFmtId="172" fontId="8" fillId="32" borderId="2" xfId="12" applyNumberFormat="1" applyFill="1" applyAlignment="1">
      <alignment horizontal="left" vertical="center" wrapText="1"/>
    </xf>
    <xf numFmtId="0" fontId="8" fillId="34" borderId="2" xfId="12" applyFill="1" applyAlignment="1">
      <alignment horizontal="left" vertical="center" wrapText="1" indent="1"/>
    </xf>
    <xf numFmtId="172" fontId="5" fillId="32" borderId="2" xfId="12" applyNumberFormat="1" applyFont="1" applyFill="1" applyAlignment="1">
      <alignment horizontal="left" vertical="center" wrapText="1"/>
    </xf>
    <xf numFmtId="14" fontId="5" fillId="32" borderId="2" xfId="12" applyNumberFormat="1" applyFont="1" applyFill="1" applyAlignment="1">
      <alignment horizontal="left" vertical="center" wrapText="1"/>
    </xf>
    <xf numFmtId="0" fontId="5" fillId="34" borderId="2" xfId="12" applyFont="1" applyFill="1" applyAlignment="1">
      <alignment horizontal="left" vertical="center" wrapText="1"/>
    </xf>
    <xf numFmtId="16" fontId="5" fillId="34" borderId="2" xfId="0" applyNumberFormat="1" applyFont="1" applyFill="1" applyBorder="1" applyAlignment="1">
      <alignment horizontal="left" vertical="center" wrapText="1"/>
    </xf>
    <xf numFmtId="0" fontId="8" fillId="34" borderId="2" xfId="12" applyFill="1" applyAlignment="1">
      <alignment horizontal="left" vertical="center" wrapText="1"/>
    </xf>
    <xf numFmtId="0" fontId="8" fillId="34" borderId="2" xfId="11" applyFill="1" applyAlignment="1">
      <alignment horizontal="center" vertical="center" wrapText="1"/>
    </xf>
    <xf numFmtId="22" fontId="8" fillId="31" borderId="2" xfId="12" applyNumberFormat="1" applyFill="1" applyAlignment="1">
      <alignment horizontal="left" vertical="center" wrapText="1"/>
    </xf>
    <xf numFmtId="0" fontId="40" fillId="0" borderId="0" xfId="13" applyFont="1" applyAlignment="1">
      <alignment vertical="center" wrapText="1"/>
    </xf>
    <xf numFmtId="0" fontId="41" fillId="0" borderId="0" xfId="13" applyFont="1">
      <alignment wrapText="1"/>
    </xf>
    <xf numFmtId="171" fontId="40" fillId="0" borderId="0" xfId="14" applyFont="1" applyAlignment="1">
      <alignment horizontal="left" vertical="center"/>
    </xf>
    <xf numFmtId="171" fontId="42" fillId="0" borderId="0" xfId="15" applyNumberFormat="1" applyFont="1" applyFill="1" applyAlignment="1">
      <alignment horizontal="left" vertical="center"/>
    </xf>
    <xf numFmtId="171" fontId="40" fillId="0" borderId="0" xfId="14" applyFont="1" applyAlignment="1">
      <alignment horizontal="left" vertical="center" wrapText="1"/>
    </xf>
    <xf numFmtId="0" fontId="43" fillId="0" borderId="0" xfId="13" applyFont="1" applyAlignment="1">
      <alignment vertical="center" wrapText="1"/>
    </xf>
    <xf numFmtId="0" fontId="38" fillId="0" borderId="0" xfId="0" applyFont="1" applyAlignment="1">
      <alignment vertical="center"/>
    </xf>
    <xf numFmtId="0" fontId="41" fillId="0" borderId="0" xfId="13" applyFont="1" applyAlignment="1">
      <alignment horizontal="right" wrapText="1"/>
    </xf>
    <xf numFmtId="1" fontId="43" fillId="0" borderId="0" xfId="13" applyNumberFormat="1" applyFont="1" applyAlignment="1">
      <alignment vertical="center" wrapText="1"/>
    </xf>
    <xf numFmtId="0" fontId="44" fillId="0" borderId="0" xfId="13" applyFont="1" applyFill="1" applyAlignment="1">
      <alignment vertical="center" wrapText="1"/>
    </xf>
    <xf numFmtId="0" fontId="45" fillId="0" borderId="0" xfId="13" applyFont="1" applyFill="1" applyAlignment="1">
      <alignment vertical="center" wrapText="1"/>
    </xf>
    <xf numFmtId="171" fontId="38" fillId="0" borderId="0" xfId="14" applyFont="1" applyFill="1" applyAlignment="1">
      <alignment horizontal="left" vertical="center"/>
    </xf>
    <xf numFmtId="171" fontId="38" fillId="0" borderId="0" xfId="14" applyFont="1" applyFill="1" applyAlignment="1">
      <alignment horizontal="left" vertical="center" wrapText="1"/>
    </xf>
    <xf numFmtId="0" fontId="38" fillId="0" borderId="0" xfId="0" applyFont="1" applyFill="1" applyAlignment="1">
      <alignment vertical="center"/>
    </xf>
    <xf numFmtId="166" fontId="0" fillId="7" borderId="4" xfId="0" applyNumberFormat="1" applyFill="1" applyBorder="1" applyAlignment="1">
      <alignment horizontal="left" vertical="center" wrapText="1"/>
    </xf>
    <xf numFmtId="166" fontId="0" fillId="7" borderId="1" xfId="0" applyNumberFormat="1" applyFill="1" applyBorder="1" applyAlignment="1">
      <alignment horizontal="left" vertical="center" wrapText="1"/>
    </xf>
    <xf numFmtId="166" fontId="0" fillId="7" borderId="5" xfId="0" applyNumberFormat="1" applyFill="1" applyBorder="1" applyAlignment="1">
      <alignment horizontal="left" vertical="center" wrapText="1"/>
    </xf>
    <xf numFmtId="0" fontId="0" fillId="0" borderId="10" xfId="0" applyBorder="1" applyAlignment="1">
      <alignment wrapText="1"/>
    </xf>
    <xf numFmtId="0" fontId="8" fillId="0" borderId="0" xfId="8" applyAlignment="1">
      <alignment horizontal="right" wrapText="1"/>
    </xf>
    <xf numFmtId="0" fontId="8" fillId="0" borderId="7" xfId="8" applyBorder="1" applyAlignment="1">
      <alignment horizontal="right" wrapText="1"/>
    </xf>
    <xf numFmtId="0" fontId="26" fillId="28" borderId="57" xfId="0" applyFont="1" applyFill="1" applyBorder="1" applyAlignment="1">
      <alignment vertical="center"/>
    </xf>
    <xf numFmtId="0" fontId="36" fillId="33" borderId="0" xfId="13" applyFont="1" applyFill="1" applyAlignment="1">
      <alignment horizontal="left" vertical="center"/>
    </xf>
    <xf numFmtId="170" fontId="25" fillId="20" borderId="21" xfId="0" applyNumberFormat="1" applyFont="1" applyFill="1" applyBorder="1" applyAlignment="1">
      <alignment horizontal="center"/>
    </xf>
    <xf numFmtId="170" fontId="25" fillId="20" borderId="22" xfId="0" applyNumberFormat="1" applyFont="1" applyFill="1" applyBorder="1" applyAlignment="1">
      <alignment horizontal="center"/>
    </xf>
    <xf numFmtId="169" fontId="25" fillId="20" borderId="46" xfId="0" applyNumberFormat="1" applyFont="1" applyFill="1" applyBorder="1" applyAlignment="1">
      <alignment horizontal="left"/>
    </xf>
    <xf numFmtId="169" fontId="25" fillId="20" borderId="15" xfId="0" applyNumberFormat="1" applyFont="1" applyFill="1" applyBorder="1" applyAlignment="1">
      <alignment horizontal="left"/>
    </xf>
    <xf numFmtId="169" fontId="25" fillId="20" borderId="16" xfId="0" applyNumberFormat="1" applyFont="1" applyFill="1" applyBorder="1" applyAlignment="1">
      <alignment horizontal="left"/>
    </xf>
    <xf numFmtId="170" fontId="25" fillId="20" borderId="20" xfId="0" applyNumberFormat="1" applyFont="1" applyFill="1" applyBorder="1" applyAlignment="1">
      <alignment horizontal="center"/>
    </xf>
    <xf numFmtId="0" fontId="25" fillId="21" borderId="32" xfId="0" applyFont="1" applyFill="1" applyBorder="1" applyAlignment="1">
      <alignment horizontal="center" vertical="center" wrapText="1"/>
    </xf>
    <xf numFmtId="0" fontId="25" fillId="21" borderId="37" xfId="0" applyFont="1" applyFill="1" applyBorder="1" applyAlignment="1">
      <alignment horizontal="center" vertical="center" wrapText="1"/>
    </xf>
    <xf numFmtId="0" fontId="25" fillId="21" borderId="29" xfId="0" applyFont="1" applyFill="1" applyBorder="1" applyAlignment="1">
      <alignment horizontal="center" vertical="center" wrapText="1"/>
    </xf>
    <xf numFmtId="0" fontId="25" fillId="21" borderId="50" xfId="0" applyFont="1" applyFill="1" applyBorder="1" applyAlignment="1">
      <alignment horizontal="center" vertical="center" wrapText="1"/>
    </xf>
    <xf numFmtId="0" fontId="25" fillId="21" borderId="52" xfId="0" applyFont="1" applyFill="1" applyBorder="1" applyAlignment="1">
      <alignment horizontal="center" vertical="center" wrapText="1"/>
    </xf>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0" fontId="0" fillId="0" borderId="10" xfId="0" applyBorder="1"/>
    <xf numFmtId="0" fontId="8" fillId="0" borderId="0" xfId="8">
      <alignment horizontal="right" indent="1"/>
    </xf>
    <xf numFmtId="0" fontId="8" fillId="0" borderId="7" xfId="8" applyBorder="1">
      <alignment horizontal="right" indent="1"/>
    </xf>
    <xf numFmtId="165" fontId="8" fillId="0" borderId="3" xfId="9">
      <alignment horizontal="center" vertical="center"/>
    </xf>
  </cellXfs>
  <cellStyles count="16">
    <cellStyle name="Comma" xfId="4" builtinId="3" customBuiltin="1"/>
    <cellStyle name="Date" xfId="10" xr:uid="{00000000-0005-0000-0000-000002000000}"/>
    <cellStyle name="Heading 1" xfId="6" builtinId="16" customBuiltin="1"/>
    <cellStyle name="Heading 2" xfId="7" builtinId="17" customBuiltin="1"/>
    <cellStyle name="Heading 3" xfId="8" builtinId="18" customBuiltin="1"/>
    <cellStyle name="Hyperlink" xfId="1" builtinId="8" customBuiltin="1"/>
    <cellStyle name="Hyperlink 2" xfId="15" xr:uid="{5D960FC7-EAC3-48B7-A084-A829F844DF71}"/>
    <cellStyle name="Name" xfId="11" xr:uid="{00000000-0005-0000-0000-000007000000}"/>
    <cellStyle name="Normal" xfId="0" builtinId="0"/>
    <cellStyle name="Normal 2" xfId="13" xr:uid="{C978CC4C-E23F-47BD-B2D7-1858C1685F93}"/>
    <cellStyle name="Percent" xfId="2" builtinId="5"/>
    <cellStyle name="Phone" xfId="14" xr:uid="{7C783278-E640-4EA8-98D9-4E1643615B7D}"/>
    <cellStyle name="Project Start" xfId="9" xr:uid="{00000000-0005-0000-0000-00000B000000}"/>
    <cellStyle name="Task" xfId="12" xr:uid="{00000000-0005-0000-0000-00000C000000}"/>
    <cellStyle name="Title" xfId="5" builtinId="15" customBuiltin="1"/>
    <cellStyle name="zHiddenText" xfId="3" xr:uid="{00000000-0005-0000-0000-00000E000000}"/>
  </cellStyles>
  <dxfs count="13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rgb="FF0070C0"/>
        </patternFill>
      </fill>
    </dxf>
    <dxf>
      <font>
        <strike val="0"/>
        <outline val="0"/>
        <shadow val="0"/>
        <u val="none"/>
        <vertAlign val="baseline"/>
        <sz val="16"/>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6"/>
        <color auto="1"/>
        <name val="Calibri"/>
        <family val="2"/>
        <scheme val="minor"/>
      </font>
      <fill>
        <patternFill patternType="none">
          <fgColor indexed="64"/>
          <bgColor auto="1"/>
        </patternFill>
      </fill>
      <alignment vertical="center" textRotation="0" wrapText="1" indent="0" justifyLastLine="0" shrinkToFit="0" readingOrder="0"/>
    </dxf>
    <dxf>
      <font>
        <strike val="0"/>
        <outline val="0"/>
        <shadow val="0"/>
        <u val="none"/>
        <vertAlign val="baseline"/>
        <sz val="16"/>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6"/>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6"/>
        <color auto="1"/>
        <name val="Calibri"/>
        <family val="2"/>
        <scheme val="none"/>
      </font>
      <fill>
        <patternFill patternType="none">
          <fgColor indexed="64"/>
          <bgColor auto="1"/>
        </patternFill>
      </fill>
      <alignment vertical="center" textRotation="0" indent="0" justifyLastLine="0" shrinkToFit="0" readingOrder="0"/>
    </dxf>
    <dxf>
      <font>
        <strike val="0"/>
        <outline val="0"/>
        <shadow val="0"/>
        <u val="none"/>
        <vertAlign val="baseline"/>
        <sz val="16"/>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6"/>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6"/>
        <color auto="1"/>
        <name val="Calibri"/>
        <family val="2"/>
        <scheme val="minor"/>
      </font>
      <fill>
        <patternFill patternType="none">
          <fgColor indexed="64"/>
          <bgColor auto="1"/>
        </patternFill>
      </fill>
      <alignment vertical="center" textRotation="0" indent="0" justifyLastLine="0" shrinkToFit="0" readingOrder="0"/>
    </dxf>
    <dxf>
      <font>
        <b val="0"/>
        <i val="0"/>
        <strike val="0"/>
        <outline val="0"/>
        <shadow val="0"/>
        <u val="none"/>
        <vertAlign val="baseline"/>
        <sz val="16"/>
        <color theme="6"/>
        <name val="Calibri"/>
        <family val="2"/>
        <scheme val="minor"/>
      </font>
      <fill>
        <patternFill patternType="none">
          <fgColor indexed="64"/>
          <bgColor auto="1"/>
        </patternFill>
      </fill>
      <border diagonalUp="0" diagonalDown="0" outline="0">
        <left style="thin">
          <color theme="0"/>
        </left>
        <right style="thin">
          <color theme="0"/>
        </right>
        <top/>
        <bottom/>
      </border>
      <protection locked="0" hidden="0"/>
    </dxf>
    <dxf>
      <font>
        <b val="0"/>
        <i val="0"/>
      </font>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ont>
        <b/>
        <i val="0"/>
      </font>
      <fill>
        <patternFill>
          <bgColor rgb="FFD7D7D7"/>
        </patternFill>
      </fill>
    </dxf>
    <dxf>
      <font>
        <b val="0"/>
        <i val="0"/>
      </font>
      <fill>
        <patternFill patternType="none">
          <bgColor indexed="65"/>
        </patternFill>
      </fill>
    </dxf>
    <dxf>
      <fill>
        <patternFill>
          <bgColor theme="0" tint="-4.9989318521683403E-2"/>
        </patternFill>
      </fill>
      <border diagonalUp="0" diagonalDown="0">
        <left/>
        <right/>
        <top style="thin">
          <color theme="2" tint="-9.9948118533890809E-2"/>
        </top>
        <bottom style="thin">
          <color theme="2" tint="-9.9948118533890809E-2"/>
        </bottom>
        <vertical/>
        <horizontal/>
      </border>
    </dxf>
    <dxf>
      <font>
        <b/>
        <i val="0"/>
        <color theme="6"/>
      </font>
    </dxf>
  </dxfs>
  <tableStyles count="3" defaultTableStyle="TableStyleMedium2" defaultPivotStyle="PivotStyleLight16">
    <tableStyle name="Contact list" pivot="0" count="2" xr9:uid="{AB7FC489-3362-4009-B765-2582525123CA}">
      <tableStyleElement type="headerRow" dxfId="131"/>
      <tableStyleElement type="secondRowStripe" dxfId="130"/>
    </tableStyle>
    <tableStyle name="MySqlDefault" pivot="0" table="0" count="2" xr9:uid="{00000000-0011-0000-FFFF-FFFF00000000}">
      <tableStyleElement type="wholeTable" dxfId="129"/>
      <tableStyleElement type="headerRow" dxfId="128"/>
    </tableStyle>
    <tableStyle name="ToDoList" pivot="0" count="9" xr9:uid="{00000000-0011-0000-FFFF-FFFF01000000}">
      <tableStyleElement type="wholeTable" dxfId="127"/>
      <tableStyleElement type="headerRow" dxfId="126"/>
      <tableStyleElement type="totalRow" dxfId="125"/>
      <tableStyleElement type="firstColumn" dxfId="124"/>
      <tableStyleElement type="lastColumn" dxfId="123"/>
      <tableStyleElement type="firstRowStripe" dxfId="122"/>
      <tableStyleElement type="secondRowStripe" dxfId="121"/>
      <tableStyleElement type="firstColumnStripe" dxfId="120"/>
      <tableStyleElement type="secondColumnStripe" dxfId="11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C0C0"/>
      <color rgb="FF215881"/>
      <color rgb="FF42648A"/>
      <color rgb="FF969696"/>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hyperlink" Target="https://jira.central1.com/browse/FIT-1852" TargetMode="External"/><Relationship Id="rId21" Type="http://schemas.openxmlformats.org/officeDocument/2006/relationships/hyperlink" Target="https://jira.central1.com/browse/FIT-14122" TargetMode="External"/><Relationship Id="rId42" Type="http://schemas.openxmlformats.org/officeDocument/2006/relationships/hyperlink" Target="https://jira.central1.com/browse/FIT-1855" TargetMode="External"/><Relationship Id="rId47" Type="http://schemas.openxmlformats.org/officeDocument/2006/relationships/hyperlink" Target="https://jira.central1.com/browse/FIT-1856" TargetMode="External"/><Relationship Id="rId63" Type="http://schemas.openxmlformats.org/officeDocument/2006/relationships/hyperlink" Target="https://jira.central1.com/browse/FIT-10261" TargetMode="External"/><Relationship Id="rId68" Type="http://schemas.openxmlformats.org/officeDocument/2006/relationships/hyperlink" Target="https://jira.central1.com/browse/FIT-13566" TargetMode="External"/><Relationship Id="rId84" Type="http://schemas.openxmlformats.org/officeDocument/2006/relationships/hyperlink" Target="https://jira.central1.com/browse/FIT-10350" TargetMode="External"/><Relationship Id="rId89" Type="http://schemas.openxmlformats.org/officeDocument/2006/relationships/hyperlink" Target="https://jira.central1.com/browse/FIT-10397" TargetMode="External"/><Relationship Id="rId16" Type="http://schemas.openxmlformats.org/officeDocument/2006/relationships/hyperlink" Target="https://jira.central1.com/browse/FIT-1836" TargetMode="External"/><Relationship Id="rId11" Type="http://schemas.openxmlformats.org/officeDocument/2006/relationships/hyperlink" Target="https://jira.central1.com/browse/FIT-1010" TargetMode="External"/><Relationship Id="rId32" Type="http://schemas.openxmlformats.org/officeDocument/2006/relationships/hyperlink" Target="https://jira.central1.com/browse/FIT-1017" TargetMode="External"/><Relationship Id="rId37" Type="http://schemas.openxmlformats.org/officeDocument/2006/relationships/hyperlink" Target="https://jira.central1.com/browse/FIT-1845" TargetMode="External"/><Relationship Id="rId53" Type="http://schemas.openxmlformats.org/officeDocument/2006/relationships/hyperlink" Target="https://jira.central1.com/browse/FIT-1864" TargetMode="External"/><Relationship Id="rId58" Type="http://schemas.openxmlformats.org/officeDocument/2006/relationships/hyperlink" Target="https://jira.central1.com/browse/FIT-10266" TargetMode="External"/><Relationship Id="rId74" Type="http://schemas.openxmlformats.org/officeDocument/2006/relationships/hyperlink" Target="https://jira.central1.com/browse/FIT-14123" TargetMode="External"/><Relationship Id="rId79" Type="http://schemas.openxmlformats.org/officeDocument/2006/relationships/hyperlink" Target="https://jira.central1.com/browse/FIT-10324" TargetMode="External"/><Relationship Id="rId102" Type="http://schemas.openxmlformats.org/officeDocument/2006/relationships/hyperlink" Target="https://jira.central1.com/browse/FIT-10366" TargetMode="External"/><Relationship Id="rId5" Type="http://schemas.openxmlformats.org/officeDocument/2006/relationships/hyperlink" Target="https://jira.central1.com/browse/FIT-1005" TargetMode="External"/><Relationship Id="rId90" Type="http://schemas.openxmlformats.org/officeDocument/2006/relationships/hyperlink" Target="https://jira.central1.com/browse/FIT-10354" TargetMode="External"/><Relationship Id="rId95" Type="http://schemas.openxmlformats.org/officeDocument/2006/relationships/hyperlink" Target="https://jira.central1.com/browse/FIT-10359" TargetMode="External"/><Relationship Id="rId22" Type="http://schemas.openxmlformats.org/officeDocument/2006/relationships/hyperlink" Target="https://jira.central1.com/browse/FIT-10265" TargetMode="External"/><Relationship Id="rId27" Type="http://schemas.openxmlformats.org/officeDocument/2006/relationships/hyperlink" Target="https://jira.central1.com/browse/FIT-3937" TargetMode="External"/><Relationship Id="rId43" Type="http://schemas.openxmlformats.org/officeDocument/2006/relationships/hyperlink" Target="https://jira.central1.com/browse/FIT-1032" TargetMode="External"/><Relationship Id="rId48" Type="http://schemas.openxmlformats.org/officeDocument/2006/relationships/hyperlink" Target="https://jira.central1.com/browse/FIT-1860" TargetMode="External"/><Relationship Id="rId64" Type="http://schemas.openxmlformats.org/officeDocument/2006/relationships/hyperlink" Target="https://jira.central1.com/browse/FIT-10290" TargetMode="External"/><Relationship Id="rId69" Type="http://schemas.openxmlformats.org/officeDocument/2006/relationships/hyperlink" Target="https://jira.central1.com/browse/FIT-10318" TargetMode="External"/><Relationship Id="rId80" Type="http://schemas.openxmlformats.org/officeDocument/2006/relationships/hyperlink" Target="https://jira.central1.com/browse/FIT-10340" TargetMode="External"/><Relationship Id="rId85" Type="http://schemas.openxmlformats.org/officeDocument/2006/relationships/hyperlink" Target="https://jira.central1.com/browse/FIT-13815" TargetMode="External"/><Relationship Id="rId12" Type="http://schemas.openxmlformats.org/officeDocument/2006/relationships/hyperlink" Target="https://jira.central1.com/browse/FIT-1801" TargetMode="External"/><Relationship Id="rId17" Type="http://schemas.openxmlformats.org/officeDocument/2006/relationships/hyperlink" Target="https://jira.central1.com/browse/FIT-2303" TargetMode="External"/><Relationship Id="rId25" Type="http://schemas.openxmlformats.org/officeDocument/2006/relationships/hyperlink" Target="https://jira.central1.com/browse/FIT-3936" TargetMode="External"/><Relationship Id="rId33" Type="http://schemas.openxmlformats.org/officeDocument/2006/relationships/hyperlink" Target="https://jira.central1.com/browse/FIT-1838" TargetMode="External"/><Relationship Id="rId38" Type="http://schemas.openxmlformats.org/officeDocument/2006/relationships/hyperlink" Target="https://jira.central1.com/browse/FIT-1851" TargetMode="External"/><Relationship Id="rId46" Type="http://schemas.openxmlformats.org/officeDocument/2006/relationships/hyperlink" Target="https://jira.central1.com/browse/FIT-14124" TargetMode="External"/><Relationship Id="rId59" Type="http://schemas.openxmlformats.org/officeDocument/2006/relationships/hyperlink" Target="https://jira.central1.com/browse/FIT-10229" TargetMode="External"/><Relationship Id="rId67" Type="http://schemas.openxmlformats.org/officeDocument/2006/relationships/hyperlink" Target="https://jira.central1.com/browse/FIT-10317" TargetMode="External"/><Relationship Id="rId103" Type="http://schemas.openxmlformats.org/officeDocument/2006/relationships/hyperlink" Target="https://jira.central1.com/browse/FIT-10367" TargetMode="External"/><Relationship Id="rId20" Type="http://schemas.openxmlformats.org/officeDocument/2006/relationships/hyperlink" Target="https://jira.central1.com/browse/FIT-1840" TargetMode="External"/><Relationship Id="rId41" Type="http://schemas.openxmlformats.org/officeDocument/2006/relationships/hyperlink" Target="https://jira.central1.com/browse/FIT-1854" TargetMode="External"/><Relationship Id="rId54" Type="http://schemas.openxmlformats.org/officeDocument/2006/relationships/hyperlink" Target="https://jira.central1.com/browse/FIT-1036" TargetMode="External"/><Relationship Id="rId62" Type="http://schemas.openxmlformats.org/officeDocument/2006/relationships/hyperlink" Target="https://jira.central1.com/browse/FIT-10259" TargetMode="External"/><Relationship Id="rId70" Type="http://schemas.openxmlformats.org/officeDocument/2006/relationships/hyperlink" Target="https://jira.central1.com/browse/FIT-10319" TargetMode="External"/><Relationship Id="rId75" Type="http://schemas.openxmlformats.org/officeDocument/2006/relationships/hyperlink" Target="https://jira.central1.com/browse/FIT-10323" TargetMode="External"/><Relationship Id="rId83" Type="http://schemas.openxmlformats.org/officeDocument/2006/relationships/hyperlink" Target="https://jira.central1.com/browse/FIT-10349" TargetMode="External"/><Relationship Id="rId88" Type="http://schemas.openxmlformats.org/officeDocument/2006/relationships/hyperlink" Target="https://jira.central1.com/browse/FIT-11342" TargetMode="External"/><Relationship Id="rId91" Type="http://schemas.openxmlformats.org/officeDocument/2006/relationships/hyperlink" Target="https://jira.central1.com/browse/FIT-10355" TargetMode="External"/><Relationship Id="rId96" Type="http://schemas.openxmlformats.org/officeDocument/2006/relationships/hyperlink" Target="https://jira.central1.com/browse/FIT-10360" TargetMode="External"/><Relationship Id="rId1" Type="http://schemas.openxmlformats.org/officeDocument/2006/relationships/hyperlink" Target="https://jira.central1.com/browse/FIT-1001" TargetMode="External"/><Relationship Id="rId6" Type="http://schemas.openxmlformats.org/officeDocument/2006/relationships/hyperlink" Target="https://jira.central1.com/browse/FIT-1164" TargetMode="External"/><Relationship Id="rId15" Type="http://schemas.openxmlformats.org/officeDocument/2006/relationships/hyperlink" Target="https://jira.central1.com/browse/FIT-5667" TargetMode="External"/><Relationship Id="rId23" Type="http://schemas.openxmlformats.org/officeDocument/2006/relationships/hyperlink" Target="https://jira.central1.com/browse/FIT-3930" TargetMode="External"/><Relationship Id="rId28" Type="http://schemas.openxmlformats.org/officeDocument/2006/relationships/hyperlink" Target="https://jira.central1.com/browse/FIT-1859" TargetMode="External"/><Relationship Id="rId36" Type="http://schemas.openxmlformats.org/officeDocument/2006/relationships/hyperlink" Target="https://jira.central1.com/browse/FIT-1843" TargetMode="External"/><Relationship Id="rId49" Type="http://schemas.openxmlformats.org/officeDocument/2006/relationships/hyperlink" Target="https://jira.central1.com/browse/FIT-1857" TargetMode="External"/><Relationship Id="rId57" Type="http://schemas.openxmlformats.org/officeDocument/2006/relationships/hyperlink" Target="https://jira.central1.com/browse/FIT-1037" TargetMode="External"/><Relationship Id="rId10" Type="http://schemas.openxmlformats.org/officeDocument/2006/relationships/hyperlink" Target="https://jira.central1.com/browse/FIT-14954" TargetMode="External"/><Relationship Id="rId31" Type="http://schemas.openxmlformats.org/officeDocument/2006/relationships/hyperlink" Target="https://jira.central1.com/browse/FIT-1016" TargetMode="External"/><Relationship Id="rId44" Type="http://schemas.openxmlformats.org/officeDocument/2006/relationships/hyperlink" Target="https://jira.central1.com/browse/FIT-9768" TargetMode="External"/><Relationship Id="rId52" Type="http://schemas.openxmlformats.org/officeDocument/2006/relationships/hyperlink" Target="https://jira.central1.com/browse/FIT-1863" TargetMode="External"/><Relationship Id="rId60" Type="http://schemas.openxmlformats.org/officeDocument/2006/relationships/hyperlink" Target="https://jira.central1.com/browse/FIT-13411" TargetMode="External"/><Relationship Id="rId65" Type="http://schemas.openxmlformats.org/officeDocument/2006/relationships/hyperlink" Target="https://jira.central1.com/browse/FIT-10291" TargetMode="External"/><Relationship Id="rId73" Type="http://schemas.openxmlformats.org/officeDocument/2006/relationships/hyperlink" Target="https://jira.central1.com/browse/FIT-10322" TargetMode="External"/><Relationship Id="rId78" Type="http://schemas.openxmlformats.org/officeDocument/2006/relationships/hyperlink" Target="https://jira.central1.com/browse/FIT-10337" TargetMode="External"/><Relationship Id="rId81" Type="http://schemas.openxmlformats.org/officeDocument/2006/relationships/hyperlink" Target="https://jira.central1.com/browse/FIT-10289" TargetMode="External"/><Relationship Id="rId86" Type="http://schemas.openxmlformats.org/officeDocument/2006/relationships/hyperlink" Target="https://jira.central1.com/browse/FIT-10351" TargetMode="External"/><Relationship Id="rId94" Type="http://schemas.openxmlformats.org/officeDocument/2006/relationships/hyperlink" Target="https://jira.central1.com/browse/FIT-10365" TargetMode="External"/><Relationship Id="rId99" Type="http://schemas.openxmlformats.org/officeDocument/2006/relationships/hyperlink" Target="https://jira.central1.com/browse/FIT-10363" TargetMode="External"/><Relationship Id="rId101" Type="http://schemas.openxmlformats.org/officeDocument/2006/relationships/hyperlink" Target="https://jira.central1.com/browse/FIT-10358" TargetMode="External"/><Relationship Id="rId4" Type="http://schemas.openxmlformats.org/officeDocument/2006/relationships/hyperlink" Target="https://jira.central1.com/browse/FIT-1003" TargetMode="External"/><Relationship Id="rId9" Type="http://schemas.openxmlformats.org/officeDocument/2006/relationships/hyperlink" Target="https://jira.central1.com/browse/FIT-7939" TargetMode="External"/><Relationship Id="rId13" Type="http://schemas.openxmlformats.org/officeDocument/2006/relationships/hyperlink" Target="https://jira.central1.com/browse/FIT-1802" TargetMode="External"/><Relationship Id="rId18" Type="http://schemas.openxmlformats.org/officeDocument/2006/relationships/hyperlink" Target="https://jira.central1.com/browse/FIT-1837" TargetMode="External"/><Relationship Id="rId39" Type="http://schemas.openxmlformats.org/officeDocument/2006/relationships/hyperlink" Target="https://jira.central1.com/browse/FIT-1030" TargetMode="External"/><Relationship Id="rId34" Type="http://schemas.openxmlformats.org/officeDocument/2006/relationships/hyperlink" Target="https://jira.central1.com/browse/FIT-1846" TargetMode="External"/><Relationship Id="rId50" Type="http://schemas.openxmlformats.org/officeDocument/2006/relationships/hyperlink" Target="https://jira.central1.com/browse/FIT-1867" TargetMode="External"/><Relationship Id="rId55" Type="http://schemas.openxmlformats.org/officeDocument/2006/relationships/hyperlink" Target="https://jira.central1.com/browse/FIT-1865" TargetMode="External"/><Relationship Id="rId76" Type="http://schemas.openxmlformats.org/officeDocument/2006/relationships/hyperlink" Target="https://jira.central1.com/browse/FIT-10338" TargetMode="External"/><Relationship Id="rId97" Type="http://schemas.openxmlformats.org/officeDocument/2006/relationships/hyperlink" Target="https://jira.central1.com/browse/FIT-10398" TargetMode="External"/><Relationship Id="rId104" Type="http://schemas.openxmlformats.org/officeDocument/2006/relationships/hyperlink" Target="https://jira.central1.com/browse/FIT-10368" TargetMode="External"/><Relationship Id="rId7" Type="http://schemas.openxmlformats.org/officeDocument/2006/relationships/hyperlink" Target="https://jira.central1.com/browse/FIT-1320" TargetMode="External"/><Relationship Id="rId71" Type="http://schemas.openxmlformats.org/officeDocument/2006/relationships/hyperlink" Target="https://jira.central1.com/browse/FIT-10321" TargetMode="External"/><Relationship Id="rId92" Type="http://schemas.openxmlformats.org/officeDocument/2006/relationships/hyperlink" Target="https://jira.central1.com/browse/FIT-10356" TargetMode="External"/><Relationship Id="rId2" Type="http://schemas.openxmlformats.org/officeDocument/2006/relationships/hyperlink" Target="https://jira.central1.com/browse/FIT-1835" TargetMode="External"/><Relationship Id="rId29" Type="http://schemas.openxmlformats.org/officeDocument/2006/relationships/hyperlink" Target="https://jira.central1.com/browse/FIT-10263" TargetMode="External"/><Relationship Id="rId24" Type="http://schemas.openxmlformats.org/officeDocument/2006/relationships/hyperlink" Target="https://jira.central1.com/browse/FIT-1844" TargetMode="External"/><Relationship Id="rId40" Type="http://schemas.openxmlformats.org/officeDocument/2006/relationships/hyperlink" Target="https://jira.central1.com/browse/FIT-1853" TargetMode="External"/><Relationship Id="rId45" Type="http://schemas.openxmlformats.org/officeDocument/2006/relationships/hyperlink" Target="https://jira.central1.com/browse/FIT-1858" TargetMode="External"/><Relationship Id="rId66" Type="http://schemas.openxmlformats.org/officeDocument/2006/relationships/hyperlink" Target="https://jira.central1.com/browse/FIT-10316" TargetMode="External"/><Relationship Id="rId87" Type="http://schemas.openxmlformats.org/officeDocument/2006/relationships/hyperlink" Target="https://jira.central1.com/browse/FIT-10352" TargetMode="External"/><Relationship Id="rId61" Type="http://schemas.openxmlformats.org/officeDocument/2006/relationships/hyperlink" Target="https://jira.central1.com/browse/FIT-14955" TargetMode="External"/><Relationship Id="rId82" Type="http://schemas.openxmlformats.org/officeDocument/2006/relationships/hyperlink" Target="https://jira.central1.com/browse/FIT-10348" TargetMode="External"/><Relationship Id="rId19" Type="http://schemas.openxmlformats.org/officeDocument/2006/relationships/hyperlink" Target="https://jira.central1.com/browse/FIT-6999" TargetMode="External"/><Relationship Id="rId14" Type="http://schemas.openxmlformats.org/officeDocument/2006/relationships/hyperlink" Target="https://jira.central1.com/browse/FIT-1007" TargetMode="External"/><Relationship Id="rId30" Type="http://schemas.openxmlformats.org/officeDocument/2006/relationships/hyperlink" Target="https://jira.central1.com/browse/FIT-1841" TargetMode="External"/><Relationship Id="rId35" Type="http://schemas.openxmlformats.org/officeDocument/2006/relationships/hyperlink" Target="https://jira.central1.com/browse/FIT-1842" TargetMode="External"/><Relationship Id="rId56" Type="http://schemas.openxmlformats.org/officeDocument/2006/relationships/hyperlink" Target="https://jira.central1.com/browse/FIT-1866" TargetMode="External"/><Relationship Id="rId77" Type="http://schemas.openxmlformats.org/officeDocument/2006/relationships/hyperlink" Target="https://jira.central1.com/browse/FIT-10339" TargetMode="External"/><Relationship Id="rId100" Type="http://schemas.openxmlformats.org/officeDocument/2006/relationships/hyperlink" Target="https://jira.central1.com/browse/FIT-10357" TargetMode="External"/><Relationship Id="rId8" Type="http://schemas.openxmlformats.org/officeDocument/2006/relationships/hyperlink" Target="https://jira.central1.com/browse/FIT-1800" TargetMode="External"/><Relationship Id="rId51" Type="http://schemas.openxmlformats.org/officeDocument/2006/relationships/hyperlink" Target="https://jira.central1.com/browse/FIT-1035" TargetMode="External"/><Relationship Id="rId72" Type="http://schemas.openxmlformats.org/officeDocument/2006/relationships/hyperlink" Target="https://jira.central1.com/browse/FIT-10320" TargetMode="External"/><Relationship Id="rId93" Type="http://schemas.openxmlformats.org/officeDocument/2006/relationships/hyperlink" Target="https://jira.central1.com/browse/FIT-10364" TargetMode="External"/><Relationship Id="rId98" Type="http://schemas.openxmlformats.org/officeDocument/2006/relationships/hyperlink" Target="https://jira.central1.com/browse/FIT-10362" TargetMode="External"/><Relationship Id="rId3" Type="http://schemas.openxmlformats.org/officeDocument/2006/relationships/hyperlink" Target="https://jira.central1.com/browse/FIT-10262" TargetMode="External"/></Relationships>
</file>

<file path=xl/drawings/_rels/drawing2.xml.rels><?xml version="1.0" encoding="UTF-8" standalone="yes"?>
<Relationships xmlns="http://schemas.openxmlformats.org/package/2006/relationships"><Relationship Id="rId26" Type="http://schemas.openxmlformats.org/officeDocument/2006/relationships/hyperlink" Target="https://jira.central1.com/browse/FIT-1852" TargetMode="External"/><Relationship Id="rId21" Type="http://schemas.openxmlformats.org/officeDocument/2006/relationships/hyperlink" Target="https://jira.central1.com/browse/FIT-14122" TargetMode="External"/><Relationship Id="rId42" Type="http://schemas.openxmlformats.org/officeDocument/2006/relationships/hyperlink" Target="https://jira.central1.com/browse/FIT-1855" TargetMode="External"/><Relationship Id="rId47" Type="http://schemas.openxmlformats.org/officeDocument/2006/relationships/hyperlink" Target="https://jira.central1.com/browse/FIT-1856" TargetMode="External"/><Relationship Id="rId63" Type="http://schemas.openxmlformats.org/officeDocument/2006/relationships/hyperlink" Target="https://jira.central1.com/browse/FIT-10261" TargetMode="External"/><Relationship Id="rId68" Type="http://schemas.openxmlformats.org/officeDocument/2006/relationships/hyperlink" Target="https://jira.central1.com/browse/FIT-13566" TargetMode="External"/><Relationship Id="rId84" Type="http://schemas.openxmlformats.org/officeDocument/2006/relationships/hyperlink" Target="https://jira.central1.com/browse/FIT-10350" TargetMode="External"/><Relationship Id="rId89" Type="http://schemas.openxmlformats.org/officeDocument/2006/relationships/hyperlink" Target="https://jira.central1.com/browse/FIT-10397" TargetMode="External"/><Relationship Id="rId16" Type="http://schemas.openxmlformats.org/officeDocument/2006/relationships/hyperlink" Target="https://jira.central1.com/browse/FIT-1836" TargetMode="External"/><Relationship Id="rId11" Type="http://schemas.openxmlformats.org/officeDocument/2006/relationships/hyperlink" Target="https://jira.central1.com/browse/FIT-1010" TargetMode="External"/><Relationship Id="rId32" Type="http://schemas.openxmlformats.org/officeDocument/2006/relationships/hyperlink" Target="https://jira.central1.com/browse/FIT-1017" TargetMode="External"/><Relationship Id="rId37" Type="http://schemas.openxmlformats.org/officeDocument/2006/relationships/hyperlink" Target="https://jira.central1.com/browse/FIT-1845" TargetMode="External"/><Relationship Id="rId53" Type="http://schemas.openxmlformats.org/officeDocument/2006/relationships/hyperlink" Target="https://jira.central1.com/browse/FIT-1864" TargetMode="External"/><Relationship Id="rId58" Type="http://schemas.openxmlformats.org/officeDocument/2006/relationships/hyperlink" Target="https://jira.central1.com/browse/FIT-10266" TargetMode="External"/><Relationship Id="rId74" Type="http://schemas.openxmlformats.org/officeDocument/2006/relationships/hyperlink" Target="https://jira.central1.com/browse/FIT-14123" TargetMode="External"/><Relationship Id="rId79" Type="http://schemas.openxmlformats.org/officeDocument/2006/relationships/hyperlink" Target="https://jira.central1.com/browse/FIT-10324" TargetMode="External"/><Relationship Id="rId102" Type="http://schemas.openxmlformats.org/officeDocument/2006/relationships/hyperlink" Target="https://jira.central1.com/browse/FIT-10366" TargetMode="External"/><Relationship Id="rId5" Type="http://schemas.openxmlformats.org/officeDocument/2006/relationships/hyperlink" Target="https://jira.central1.com/browse/FIT-1005" TargetMode="External"/><Relationship Id="rId90" Type="http://schemas.openxmlformats.org/officeDocument/2006/relationships/hyperlink" Target="https://jira.central1.com/browse/FIT-10354" TargetMode="External"/><Relationship Id="rId95" Type="http://schemas.openxmlformats.org/officeDocument/2006/relationships/hyperlink" Target="https://jira.central1.com/browse/FIT-10359" TargetMode="External"/><Relationship Id="rId22" Type="http://schemas.openxmlformats.org/officeDocument/2006/relationships/hyperlink" Target="https://jira.central1.com/browse/FIT-10265" TargetMode="External"/><Relationship Id="rId27" Type="http://schemas.openxmlformats.org/officeDocument/2006/relationships/hyperlink" Target="https://jira.central1.com/browse/FIT-3937" TargetMode="External"/><Relationship Id="rId43" Type="http://schemas.openxmlformats.org/officeDocument/2006/relationships/hyperlink" Target="https://jira.central1.com/browse/FIT-1032" TargetMode="External"/><Relationship Id="rId48" Type="http://schemas.openxmlformats.org/officeDocument/2006/relationships/hyperlink" Target="https://jira.central1.com/browse/FIT-1860" TargetMode="External"/><Relationship Id="rId64" Type="http://schemas.openxmlformats.org/officeDocument/2006/relationships/hyperlink" Target="https://jira.central1.com/browse/FIT-10290" TargetMode="External"/><Relationship Id="rId69" Type="http://schemas.openxmlformats.org/officeDocument/2006/relationships/hyperlink" Target="https://jira.central1.com/browse/FIT-10318" TargetMode="External"/><Relationship Id="rId80" Type="http://schemas.openxmlformats.org/officeDocument/2006/relationships/hyperlink" Target="https://jira.central1.com/browse/FIT-10340" TargetMode="External"/><Relationship Id="rId85" Type="http://schemas.openxmlformats.org/officeDocument/2006/relationships/hyperlink" Target="https://jira.central1.com/browse/FIT-13815" TargetMode="External"/><Relationship Id="rId12" Type="http://schemas.openxmlformats.org/officeDocument/2006/relationships/hyperlink" Target="https://jira.central1.com/browse/FIT-1801" TargetMode="External"/><Relationship Id="rId17" Type="http://schemas.openxmlformats.org/officeDocument/2006/relationships/hyperlink" Target="https://jira.central1.com/browse/FIT-2303" TargetMode="External"/><Relationship Id="rId25" Type="http://schemas.openxmlformats.org/officeDocument/2006/relationships/hyperlink" Target="https://jira.central1.com/browse/FIT-3936" TargetMode="External"/><Relationship Id="rId33" Type="http://schemas.openxmlformats.org/officeDocument/2006/relationships/hyperlink" Target="https://jira.central1.com/browse/FIT-1838" TargetMode="External"/><Relationship Id="rId38" Type="http://schemas.openxmlformats.org/officeDocument/2006/relationships/hyperlink" Target="https://jira.central1.com/browse/FIT-1851" TargetMode="External"/><Relationship Id="rId46" Type="http://schemas.openxmlformats.org/officeDocument/2006/relationships/hyperlink" Target="https://jira.central1.com/browse/FIT-14124" TargetMode="External"/><Relationship Id="rId59" Type="http://schemas.openxmlformats.org/officeDocument/2006/relationships/hyperlink" Target="https://jira.central1.com/browse/FIT-10229" TargetMode="External"/><Relationship Id="rId67" Type="http://schemas.openxmlformats.org/officeDocument/2006/relationships/hyperlink" Target="https://jira.central1.com/browse/FIT-10317" TargetMode="External"/><Relationship Id="rId103" Type="http://schemas.openxmlformats.org/officeDocument/2006/relationships/hyperlink" Target="https://jira.central1.com/browse/FIT-10367" TargetMode="External"/><Relationship Id="rId20" Type="http://schemas.openxmlformats.org/officeDocument/2006/relationships/hyperlink" Target="https://jira.central1.com/browse/FIT-1840" TargetMode="External"/><Relationship Id="rId41" Type="http://schemas.openxmlformats.org/officeDocument/2006/relationships/hyperlink" Target="https://jira.central1.com/browse/FIT-1854" TargetMode="External"/><Relationship Id="rId54" Type="http://schemas.openxmlformats.org/officeDocument/2006/relationships/hyperlink" Target="https://jira.central1.com/browse/FIT-1036" TargetMode="External"/><Relationship Id="rId62" Type="http://schemas.openxmlformats.org/officeDocument/2006/relationships/hyperlink" Target="https://jira.central1.com/browse/FIT-10259" TargetMode="External"/><Relationship Id="rId70" Type="http://schemas.openxmlformats.org/officeDocument/2006/relationships/hyperlink" Target="https://jira.central1.com/browse/FIT-10319" TargetMode="External"/><Relationship Id="rId75" Type="http://schemas.openxmlformats.org/officeDocument/2006/relationships/hyperlink" Target="https://jira.central1.com/browse/FIT-10323" TargetMode="External"/><Relationship Id="rId83" Type="http://schemas.openxmlformats.org/officeDocument/2006/relationships/hyperlink" Target="https://jira.central1.com/browse/FIT-10349" TargetMode="External"/><Relationship Id="rId88" Type="http://schemas.openxmlformats.org/officeDocument/2006/relationships/hyperlink" Target="https://jira.central1.com/browse/FIT-11342" TargetMode="External"/><Relationship Id="rId91" Type="http://schemas.openxmlformats.org/officeDocument/2006/relationships/hyperlink" Target="https://jira.central1.com/browse/FIT-10355" TargetMode="External"/><Relationship Id="rId96" Type="http://schemas.openxmlformats.org/officeDocument/2006/relationships/hyperlink" Target="https://jira.central1.com/browse/FIT-10360" TargetMode="External"/><Relationship Id="rId1" Type="http://schemas.openxmlformats.org/officeDocument/2006/relationships/hyperlink" Target="https://jira.central1.com/browse/FIT-1001" TargetMode="External"/><Relationship Id="rId6" Type="http://schemas.openxmlformats.org/officeDocument/2006/relationships/hyperlink" Target="https://jira.central1.com/browse/FIT-1164" TargetMode="External"/><Relationship Id="rId15" Type="http://schemas.openxmlformats.org/officeDocument/2006/relationships/hyperlink" Target="https://jira.central1.com/browse/FIT-5667" TargetMode="External"/><Relationship Id="rId23" Type="http://schemas.openxmlformats.org/officeDocument/2006/relationships/hyperlink" Target="https://jira.central1.com/browse/FIT-3930" TargetMode="External"/><Relationship Id="rId28" Type="http://schemas.openxmlformats.org/officeDocument/2006/relationships/hyperlink" Target="https://jira.central1.com/browse/FIT-1859" TargetMode="External"/><Relationship Id="rId36" Type="http://schemas.openxmlformats.org/officeDocument/2006/relationships/hyperlink" Target="https://jira.central1.com/browse/FIT-1843" TargetMode="External"/><Relationship Id="rId49" Type="http://schemas.openxmlformats.org/officeDocument/2006/relationships/hyperlink" Target="https://jira.central1.com/browse/FIT-1857" TargetMode="External"/><Relationship Id="rId57" Type="http://schemas.openxmlformats.org/officeDocument/2006/relationships/hyperlink" Target="https://jira.central1.com/browse/FIT-1037" TargetMode="External"/><Relationship Id="rId10" Type="http://schemas.openxmlformats.org/officeDocument/2006/relationships/hyperlink" Target="https://jira.central1.com/browse/FIT-14954" TargetMode="External"/><Relationship Id="rId31" Type="http://schemas.openxmlformats.org/officeDocument/2006/relationships/hyperlink" Target="https://jira.central1.com/browse/FIT-1016" TargetMode="External"/><Relationship Id="rId44" Type="http://schemas.openxmlformats.org/officeDocument/2006/relationships/hyperlink" Target="https://jira.central1.com/browse/FIT-9768" TargetMode="External"/><Relationship Id="rId52" Type="http://schemas.openxmlformats.org/officeDocument/2006/relationships/hyperlink" Target="https://jira.central1.com/browse/FIT-1863" TargetMode="External"/><Relationship Id="rId60" Type="http://schemas.openxmlformats.org/officeDocument/2006/relationships/hyperlink" Target="https://jira.central1.com/browse/FIT-13411" TargetMode="External"/><Relationship Id="rId65" Type="http://schemas.openxmlformats.org/officeDocument/2006/relationships/hyperlink" Target="https://jira.central1.com/browse/FIT-10291" TargetMode="External"/><Relationship Id="rId73" Type="http://schemas.openxmlformats.org/officeDocument/2006/relationships/hyperlink" Target="https://jira.central1.com/browse/FIT-10322" TargetMode="External"/><Relationship Id="rId78" Type="http://schemas.openxmlformats.org/officeDocument/2006/relationships/hyperlink" Target="https://jira.central1.com/browse/FIT-10337" TargetMode="External"/><Relationship Id="rId81" Type="http://schemas.openxmlformats.org/officeDocument/2006/relationships/hyperlink" Target="https://jira.central1.com/browse/FIT-10289" TargetMode="External"/><Relationship Id="rId86" Type="http://schemas.openxmlformats.org/officeDocument/2006/relationships/hyperlink" Target="https://jira.central1.com/browse/FIT-10351" TargetMode="External"/><Relationship Id="rId94" Type="http://schemas.openxmlformats.org/officeDocument/2006/relationships/hyperlink" Target="https://jira.central1.com/browse/FIT-10365" TargetMode="External"/><Relationship Id="rId99" Type="http://schemas.openxmlformats.org/officeDocument/2006/relationships/hyperlink" Target="https://jira.central1.com/browse/FIT-10363" TargetMode="External"/><Relationship Id="rId101" Type="http://schemas.openxmlformats.org/officeDocument/2006/relationships/hyperlink" Target="https://jira.central1.com/browse/FIT-10358" TargetMode="External"/><Relationship Id="rId4" Type="http://schemas.openxmlformats.org/officeDocument/2006/relationships/hyperlink" Target="https://jira.central1.com/browse/FIT-1003" TargetMode="External"/><Relationship Id="rId9" Type="http://schemas.openxmlformats.org/officeDocument/2006/relationships/hyperlink" Target="https://jira.central1.com/browse/FIT-7939" TargetMode="External"/><Relationship Id="rId13" Type="http://schemas.openxmlformats.org/officeDocument/2006/relationships/hyperlink" Target="https://jira.central1.com/browse/FIT-1802" TargetMode="External"/><Relationship Id="rId18" Type="http://schemas.openxmlformats.org/officeDocument/2006/relationships/hyperlink" Target="https://jira.central1.com/browse/FIT-1837" TargetMode="External"/><Relationship Id="rId39" Type="http://schemas.openxmlformats.org/officeDocument/2006/relationships/hyperlink" Target="https://jira.central1.com/browse/FIT-1030" TargetMode="External"/><Relationship Id="rId34" Type="http://schemas.openxmlformats.org/officeDocument/2006/relationships/hyperlink" Target="https://jira.central1.com/browse/FIT-1846" TargetMode="External"/><Relationship Id="rId50" Type="http://schemas.openxmlformats.org/officeDocument/2006/relationships/hyperlink" Target="https://jira.central1.com/browse/FIT-1867" TargetMode="External"/><Relationship Id="rId55" Type="http://schemas.openxmlformats.org/officeDocument/2006/relationships/hyperlink" Target="https://jira.central1.com/browse/FIT-1865" TargetMode="External"/><Relationship Id="rId76" Type="http://schemas.openxmlformats.org/officeDocument/2006/relationships/hyperlink" Target="https://jira.central1.com/browse/FIT-10338" TargetMode="External"/><Relationship Id="rId97" Type="http://schemas.openxmlformats.org/officeDocument/2006/relationships/hyperlink" Target="https://jira.central1.com/browse/FIT-10398" TargetMode="External"/><Relationship Id="rId104" Type="http://schemas.openxmlformats.org/officeDocument/2006/relationships/hyperlink" Target="https://jira.central1.com/browse/FIT-10368" TargetMode="External"/><Relationship Id="rId7" Type="http://schemas.openxmlformats.org/officeDocument/2006/relationships/hyperlink" Target="https://jira.central1.com/browse/FIT-1320" TargetMode="External"/><Relationship Id="rId71" Type="http://schemas.openxmlformats.org/officeDocument/2006/relationships/hyperlink" Target="https://jira.central1.com/browse/FIT-10321" TargetMode="External"/><Relationship Id="rId92" Type="http://schemas.openxmlformats.org/officeDocument/2006/relationships/hyperlink" Target="https://jira.central1.com/browse/FIT-10356" TargetMode="External"/><Relationship Id="rId2" Type="http://schemas.openxmlformats.org/officeDocument/2006/relationships/hyperlink" Target="https://jira.central1.com/browse/FIT-1835" TargetMode="External"/><Relationship Id="rId29" Type="http://schemas.openxmlformats.org/officeDocument/2006/relationships/hyperlink" Target="https://jira.central1.com/browse/FIT-10263" TargetMode="External"/><Relationship Id="rId24" Type="http://schemas.openxmlformats.org/officeDocument/2006/relationships/hyperlink" Target="https://jira.central1.com/browse/FIT-1844" TargetMode="External"/><Relationship Id="rId40" Type="http://schemas.openxmlformats.org/officeDocument/2006/relationships/hyperlink" Target="https://jira.central1.com/browse/FIT-1853" TargetMode="External"/><Relationship Id="rId45" Type="http://schemas.openxmlformats.org/officeDocument/2006/relationships/hyperlink" Target="https://jira.central1.com/browse/FIT-1858" TargetMode="External"/><Relationship Id="rId66" Type="http://schemas.openxmlformats.org/officeDocument/2006/relationships/hyperlink" Target="https://jira.central1.com/browse/FIT-10316" TargetMode="External"/><Relationship Id="rId87" Type="http://schemas.openxmlformats.org/officeDocument/2006/relationships/hyperlink" Target="https://jira.central1.com/browse/FIT-10352" TargetMode="External"/><Relationship Id="rId61" Type="http://schemas.openxmlformats.org/officeDocument/2006/relationships/hyperlink" Target="https://jira.central1.com/browse/FIT-14955" TargetMode="External"/><Relationship Id="rId82" Type="http://schemas.openxmlformats.org/officeDocument/2006/relationships/hyperlink" Target="https://jira.central1.com/browse/FIT-10348" TargetMode="External"/><Relationship Id="rId19" Type="http://schemas.openxmlformats.org/officeDocument/2006/relationships/hyperlink" Target="https://jira.central1.com/browse/FIT-6999" TargetMode="External"/><Relationship Id="rId14" Type="http://schemas.openxmlformats.org/officeDocument/2006/relationships/hyperlink" Target="https://jira.central1.com/browse/FIT-1007" TargetMode="External"/><Relationship Id="rId30" Type="http://schemas.openxmlformats.org/officeDocument/2006/relationships/hyperlink" Target="https://jira.central1.com/browse/FIT-1841" TargetMode="External"/><Relationship Id="rId35" Type="http://schemas.openxmlformats.org/officeDocument/2006/relationships/hyperlink" Target="https://jira.central1.com/browse/FIT-1842" TargetMode="External"/><Relationship Id="rId56" Type="http://schemas.openxmlformats.org/officeDocument/2006/relationships/hyperlink" Target="https://jira.central1.com/browse/FIT-1866" TargetMode="External"/><Relationship Id="rId77" Type="http://schemas.openxmlformats.org/officeDocument/2006/relationships/hyperlink" Target="https://jira.central1.com/browse/FIT-10339" TargetMode="External"/><Relationship Id="rId100" Type="http://schemas.openxmlformats.org/officeDocument/2006/relationships/hyperlink" Target="https://jira.central1.com/browse/FIT-10357" TargetMode="External"/><Relationship Id="rId8" Type="http://schemas.openxmlformats.org/officeDocument/2006/relationships/hyperlink" Target="https://jira.central1.com/browse/FIT-1800" TargetMode="External"/><Relationship Id="rId51" Type="http://schemas.openxmlformats.org/officeDocument/2006/relationships/hyperlink" Target="https://jira.central1.com/browse/FIT-1035" TargetMode="External"/><Relationship Id="rId72" Type="http://schemas.openxmlformats.org/officeDocument/2006/relationships/hyperlink" Target="https://jira.central1.com/browse/FIT-10320" TargetMode="External"/><Relationship Id="rId93" Type="http://schemas.openxmlformats.org/officeDocument/2006/relationships/hyperlink" Target="https://jira.central1.com/browse/FIT-10364" TargetMode="External"/><Relationship Id="rId98" Type="http://schemas.openxmlformats.org/officeDocument/2006/relationships/hyperlink" Target="https://jira.central1.com/browse/FIT-10362" TargetMode="External"/><Relationship Id="rId3" Type="http://schemas.openxmlformats.org/officeDocument/2006/relationships/hyperlink" Target="https://jira.central1.com/browse/FIT-10262" TargetMode="External"/></Relationships>
</file>

<file path=xl/drawings/_rels/drawing3.xml.rels><?xml version="1.0" encoding="UTF-8" standalone="yes"?>
<Relationships xmlns="http://schemas.openxmlformats.org/package/2006/relationships"><Relationship Id="rId26" Type="http://schemas.openxmlformats.org/officeDocument/2006/relationships/hyperlink" Target="https://jira.central1.com/browse/FIT-1852" TargetMode="External"/><Relationship Id="rId21" Type="http://schemas.openxmlformats.org/officeDocument/2006/relationships/hyperlink" Target="https://jira.central1.com/browse/FIT-14122" TargetMode="External"/><Relationship Id="rId42" Type="http://schemas.openxmlformats.org/officeDocument/2006/relationships/hyperlink" Target="https://jira.central1.com/browse/FIT-1855" TargetMode="External"/><Relationship Id="rId47" Type="http://schemas.openxmlformats.org/officeDocument/2006/relationships/hyperlink" Target="https://jira.central1.com/browse/FIT-1856" TargetMode="External"/><Relationship Id="rId63" Type="http://schemas.openxmlformats.org/officeDocument/2006/relationships/hyperlink" Target="https://jira.central1.com/browse/FIT-10261" TargetMode="External"/><Relationship Id="rId68" Type="http://schemas.openxmlformats.org/officeDocument/2006/relationships/hyperlink" Target="https://jira.central1.com/browse/FIT-13566" TargetMode="External"/><Relationship Id="rId84" Type="http://schemas.openxmlformats.org/officeDocument/2006/relationships/hyperlink" Target="https://jira.central1.com/browse/FIT-10350" TargetMode="External"/><Relationship Id="rId89" Type="http://schemas.openxmlformats.org/officeDocument/2006/relationships/hyperlink" Target="https://jira.central1.com/browse/FIT-10397" TargetMode="External"/><Relationship Id="rId16" Type="http://schemas.openxmlformats.org/officeDocument/2006/relationships/hyperlink" Target="https://jira.central1.com/browse/FIT-1836" TargetMode="External"/><Relationship Id="rId11" Type="http://schemas.openxmlformats.org/officeDocument/2006/relationships/hyperlink" Target="https://jira.central1.com/browse/FIT-1010" TargetMode="External"/><Relationship Id="rId32" Type="http://schemas.openxmlformats.org/officeDocument/2006/relationships/hyperlink" Target="https://jira.central1.com/browse/FIT-1017" TargetMode="External"/><Relationship Id="rId37" Type="http://schemas.openxmlformats.org/officeDocument/2006/relationships/hyperlink" Target="https://jira.central1.com/browse/FIT-1845" TargetMode="External"/><Relationship Id="rId53" Type="http://schemas.openxmlformats.org/officeDocument/2006/relationships/hyperlink" Target="https://jira.central1.com/browse/FIT-1864" TargetMode="External"/><Relationship Id="rId58" Type="http://schemas.openxmlformats.org/officeDocument/2006/relationships/hyperlink" Target="https://jira.central1.com/browse/FIT-10266" TargetMode="External"/><Relationship Id="rId74" Type="http://schemas.openxmlformats.org/officeDocument/2006/relationships/hyperlink" Target="https://jira.central1.com/browse/FIT-14123" TargetMode="External"/><Relationship Id="rId79" Type="http://schemas.openxmlformats.org/officeDocument/2006/relationships/hyperlink" Target="https://jira.central1.com/browse/FIT-10324" TargetMode="External"/><Relationship Id="rId102" Type="http://schemas.openxmlformats.org/officeDocument/2006/relationships/hyperlink" Target="https://jira.central1.com/browse/FIT-10366" TargetMode="External"/><Relationship Id="rId5" Type="http://schemas.openxmlformats.org/officeDocument/2006/relationships/hyperlink" Target="https://jira.central1.com/browse/FIT-1005" TargetMode="External"/><Relationship Id="rId90" Type="http://schemas.openxmlformats.org/officeDocument/2006/relationships/hyperlink" Target="https://jira.central1.com/browse/FIT-10354" TargetMode="External"/><Relationship Id="rId95" Type="http://schemas.openxmlformats.org/officeDocument/2006/relationships/hyperlink" Target="https://jira.central1.com/browse/FIT-10359" TargetMode="External"/><Relationship Id="rId22" Type="http://schemas.openxmlformats.org/officeDocument/2006/relationships/hyperlink" Target="https://jira.central1.com/browse/FIT-10265" TargetMode="External"/><Relationship Id="rId27" Type="http://schemas.openxmlformats.org/officeDocument/2006/relationships/hyperlink" Target="https://jira.central1.com/browse/FIT-3937" TargetMode="External"/><Relationship Id="rId43" Type="http://schemas.openxmlformats.org/officeDocument/2006/relationships/hyperlink" Target="https://jira.central1.com/browse/FIT-1032" TargetMode="External"/><Relationship Id="rId48" Type="http://schemas.openxmlformats.org/officeDocument/2006/relationships/hyperlink" Target="https://jira.central1.com/browse/FIT-1860" TargetMode="External"/><Relationship Id="rId64" Type="http://schemas.openxmlformats.org/officeDocument/2006/relationships/hyperlink" Target="https://jira.central1.com/browse/FIT-10290" TargetMode="External"/><Relationship Id="rId69" Type="http://schemas.openxmlformats.org/officeDocument/2006/relationships/hyperlink" Target="https://jira.central1.com/browse/FIT-10318" TargetMode="External"/><Relationship Id="rId80" Type="http://schemas.openxmlformats.org/officeDocument/2006/relationships/hyperlink" Target="https://jira.central1.com/browse/FIT-10340" TargetMode="External"/><Relationship Id="rId85" Type="http://schemas.openxmlformats.org/officeDocument/2006/relationships/hyperlink" Target="https://jira.central1.com/browse/FIT-13815" TargetMode="External"/><Relationship Id="rId12" Type="http://schemas.openxmlformats.org/officeDocument/2006/relationships/hyperlink" Target="https://jira.central1.com/browse/FIT-1801" TargetMode="External"/><Relationship Id="rId17" Type="http://schemas.openxmlformats.org/officeDocument/2006/relationships/hyperlink" Target="https://jira.central1.com/browse/FIT-2303" TargetMode="External"/><Relationship Id="rId25" Type="http://schemas.openxmlformats.org/officeDocument/2006/relationships/hyperlink" Target="https://jira.central1.com/browse/FIT-3936" TargetMode="External"/><Relationship Id="rId33" Type="http://schemas.openxmlformats.org/officeDocument/2006/relationships/hyperlink" Target="https://jira.central1.com/browse/FIT-1838" TargetMode="External"/><Relationship Id="rId38" Type="http://schemas.openxmlformats.org/officeDocument/2006/relationships/hyperlink" Target="https://jira.central1.com/browse/FIT-1851" TargetMode="External"/><Relationship Id="rId46" Type="http://schemas.openxmlformats.org/officeDocument/2006/relationships/hyperlink" Target="https://jira.central1.com/browse/FIT-14124" TargetMode="External"/><Relationship Id="rId59" Type="http://schemas.openxmlformats.org/officeDocument/2006/relationships/hyperlink" Target="https://jira.central1.com/browse/FIT-10229" TargetMode="External"/><Relationship Id="rId67" Type="http://schemas.openxmlformats.org/officeDocument/2006/relationships/hyperlink" Target="https://jira.central1.com/browse/FIT-10317" TargetMode="External"/><Relationship Id="rId103" Type="http://schemas.openxmlformats.org/officeDocument/2006/relationships/hyperlink" Target="https://jira.central1.com/browse/FIT-10367" TargetMode="External"/><Relationship Id="rId20" Type="http://schemas.openxmlformats.org/officeDocument/2006/relationships/hyperlink" Target="https://jira.central1.com/browse/FIT-1840" TargetMode="External"/><Relationship Id="rId41" Type="http://schemas.openxmlformats.org/officeDocument/2006/relationships/hyperlink" Target="https://jira.central1.com/browse/FIT-1854" TargetMode="External"/><Relationship Id="rId54" Type="http://schemas.openxmlformats.org/officeDocument/2006/relationships/hyperlink" Target="https://jira.central1.com/browse/FIT-1036" TargetMode="External"/><Relationship Id="rId62" Type="http://schemas.openxmlformats.org/officeDocument/2006/relationships/hyperlink" Target="https://jira.central1.com/browse/FIT-10259" TargetMode="External"/><Relationship Id="rId70" Type="http://schemas.openxmlformats.org/officeDocument/2006/relationships/hyperlink" Target="https://jira.central1.com/browse/FIT-10319" TargetMode="External"/><Relationship Id="rId75" Type="http://schemas.openxmlformats.org/officeDocument/2006/relationships/hyperlink" Target="https://jira.central1.com/browse/FIT-10323" TargetMode="External"/><Relationship Id="rId83" Type="http://schemas.openxmlformats.org/officeDocument/2006/relationships/hyperlink" Target="https://jira.central1.com/browse/FIT-10349" TargetMode="External"/><Relationship Id="rId88" Type="http://schemas.openxmlformats.org/officeDocument/2006/relationships/hyperlink" Target="https://jira.central1.com/browse/FIT-11342" TargetMode="External"/><Relationship Id="rId91" Type="http://schemas.openxmlformats.org/officeDocument/2006/relationships/hyperlink" Target="https://jira.central1.com/browse/FIT-10355" TargetMode="External"/><Relationship Id="rId96" Type="http://schemas.openxmlformats.org/officeDocument/2006/relationships/hyperlink" Target="https://jira.central1.com/browse/FIT-10360" TargetMode="External"/><Relationship Id="rId1" Type="http://schemas.openxmlformats.org/officeDocument/2006/relationships/hyperlink" Target="https://jira.central1.com/browse/FIT-1001" TargetMode="External"/><Relationship Id="rId6" Type="http://schemas.openxmlformats.org/officeDocument/2006/relationships/hyperlink" Target="https://jira.central1.com/browse/FIT-1164" TargetMode="External"/><Relationship Id="rId15" Type="http://schemas.openxmlformats.org/officeDocument/2006/relationships/hyperlink" Target="https://jira.central1.com/browse/FIT-5667" TargetMode="External"/><Relationship Id="rId23" Type="http://schemas.openxmlformats.org/officeDocument/2006/relationships/hyperlink" Target="https://jira.central1.com/browse/FIT-3930" TargetMode="External"/><Relationship Id="rId28" Type="http://schemas.openxmlformats.org/officeDocument/2006/relationships/hyperlink" Target="https://jira.central1.com/browse/FIT-1859" TargetMode="External"/><Relationship Id="rId36" Type="http://schemas.openxmlformats.org/officeDocument/2006/relationships/hyperlink" Target="https://jira.central1.com/browse/FIT-1843" TargetMode="External"/><Relationship Id="rId49" Type="http://schemas.openxmlformats.org/officeDocument/2006/relationships/hyperlink" Target="https://jira.central1.com/browse/FIT-1857" TargetMode="External"/><Relationship Id="rId57" Type="http://schemas.openxmlformats.org/officeDocument/2006/relationships/hyperlink" Target="https://jira.central1.com/browse/FIT-1037" TargetMode="External"/><Relationship Id="rId10" Type="http://schemas.openxmlformats.org/officeDocument/2006/relationships/hyperlink" Target="https://jira.central1.com/browse/FIT-14954" TargetMode="External"/><Relationship Id="rId31" Type="http://schemas.openxmlformats.org/officeDocument/2006/relationships/hyperlink" Target="https://jira.central1.com/browse/FIT-1016" TargetMode="External"/><Relationship Id="rId44" Type="http://schemas.openxmlformats.org/officeDocument/2006/relationships/hyperlink" Target="https://jira.central1.com/browse/FIT-9768" TargetMode="External"/><Relationship Id="rId52" Type="http://schemas.openxmlformats.org/officeDocument/2006/relationships/hyperlink" Target="https://jira.central1.com/browse/FIT-1863" TargetMode="External"/><Relationship Id="rId60" Type="http://schemas.openxmlformats.org/officeDocument/2006/relationships/hyperlink" Target="https://jira.central1.com/browse/FIT-13411" TargetMode="External"/><Relationship Id="rId65" Type="http://schemas.openxmlformats.org/officeDocument/2006/relationships/hyperlink" Target="https://jira.central1.com/browse/FIT-10291" TargetMode="External"/><Relationship Id="rId73" Type="http://schemas.openxmlformats.org/officeDocument/2006/relationships/hyperlink" Target="https://jira.central1.com/browse/FIT-10322" TargetMode="External"/><Relationship Id="rId78" Type="http://schemas.openxmlformats.org/officeDocument/2006/relationships/hyperlink" Target="https://jira.central1.com/browse/FIT-10337" TargetMode="External"/><Relationship Id="rId81" Type="http://schemas.openxmlformats.org/officeDocument/2006/relationships/hyperlink" Target="https://jira.central1.com/browse/FIT-10289" TargetMode="External"/><Relationship Id="rId86" Type="http://schemas.openxmlformats.org/officeDocument/2006/relationships/hyperlink" Target="https://jira.central1.com/browse/FIT-10351" TargetMode="External"/><Relationship Id="rId94" Type="http://schemas.openxmlformats.org/officeDocument/2006/relationships/hyperlink" Target="https://jira.central1.com/browse/FIT-10365" TargetMode="External"/><Relationship Id="rId99" Type="http://schemas.openxmlformats.org/officeDocument/2006/relationships/hyperlink" Target="https://jira.central1.com/browse/FIT-10363" TargetMode="External"/><Relationship Id="rId101" Type="http://schemas.openxmlformats.org/officeDocument/2006/relationships/hyperlink" Target="https://jira.central1.com/browse/FIT-10358" TargetMode="External"/><Relationship Id="rId4" Type="http://schemas.openxmlformats.org/officeDocument/2006/relationships/hyperlink" Target="https://jira.central1.com/browse/FIT-1003" TargetMode="External"/><Relationship Id="rId9" Type="http://schemas.openxmlformats.org/officeDocument/2006/relationships/hyperlink" Target="https://jira.central1.com/browse/FIT-7939" TargetMode="External"/><Relationship Id="rId13" Type="http://schemas.openxmlformats.org/officeDocument/2006/relationships/hyperlink" Target="https://jira.central1.com/browse/FIT-1802" TargetMode="External"/><Relationship Id="rId18" Type="http://schemas.openxmlformats.org/officeDocument/2006/relationships/hyperlink" Target="https://jira.central1.com/browse/FIT-1837" TargetMode="External"/><Relationship Id="rId39" Type="http://schemas.openxmlformats.org/officeDocument/2006/relationships/hyperlink" Target="https://jira.central1.com/browse/FIT-1030" TargetMode="External"/><Relationship Id="rId34" Type="http://schemas.openxmlformats.org/officeDocument/2006/relationships/hyperlink" Target="https://jira.central1.com/browse/FIT-1846" TargetMode="External"/><Relationship Id="rId50" Type="http://schemas.openxmlformats.org/officeDocument/2006/relationships/hyperlink" Target="https://jira.central1.com/browse/FIT-1867" TargetMode="External"/><Relationship Id="rId55" Type="http://schemas.openxmlformats.org/officeDocument/2006/relationships/hyperlink" Target="https://jira.central1.com/browse/FIT-1865" TargetMode="External"/><Relationship Id="rId76" Type="http://schemas.openxmlformats.org/officeDocument/2006/relationships/hyperlink" Target="https://jira.central1.com/browse/FIT-10338" TargetMode="External"/><Relationship Id="rId97" Type="http://schemas.openxmlformats.org/officeDocument/2006/relationships/hyperlink" Target="https://jira.central1.com/browse/FIT-10398" TargetMode="External"/><Relationship Id="rId104" Type="http://schemas.openxmlformats.org/officeDocument/2006/relationships/hyperlink" Target="https://jira.central1.com/browse/FIT-10368" TargetMode="External"/><Relationship Id="rId7" Type="http://schemas.openxmlformats.org/officeDocument/2006/relationships/hyperlink" Target="https://jira.central1.com/browse/FIT-1320" TargetMode="External"/><Relationship Id="rId71" Type="http://schemas.openxmlformats.org/officeDocument/2006/relationships/hyperlink" Target="https://jira.central1.com/browse/FIT-10321" TargetMode="External"/><Relationship Id="rId92" Type="http://schemas.openxmlformats.org/officeDocument/2006/relationships/hyperlink" Target="https://jira.central1.com/browse/FIT-10356" TargetMode="External"/><Relationship Id="rId2" Type="http://schemas.openxmlformats.org/officeDocument/2006/relationships/hyperlink" Target="https://jira.central1.com/browse/FIT-1835" TargetMode="External"/><Relationship Id="rId29" Type="http://schemas.openxmlformats.org/officeDocument/2006/relationships/hyperlink" Target="https://jira.central1.com/browse/FIT-10263" TargetMode="External"/><Relationship Id="rId24" Type="http://schemas.openxmlformats.org/officeDocument/2006/relationships/hyperlink" Target="https://jira.central1.com/browse/FIT-1844" TargetMode="External"/><Relationship Id="rId40" Type="http://schemas.openxmlformats.org/officeDocument/2006/relationships/hyperlink" Target="https://jira.central1.com/browse/FIT-1853" TargetMode="External"/><Relationship Id="rId45" Type="http://schemas.openxmlformats.org/officeDocument/2006/relationships/hyperlink" Target="https://jira.central1.com/browse/FIT-1858" TargetMode="External"/><Relationship Id="rId66" Type="http://schemas.openxmlformats.org/officeDocument/2006/relationships/hyperlink" Target="https://jira.central1.com/browse/FIT-10316" TargetMode="External"/><Relationship Id="rId87" Type="http://schemas.openxmlformats.org/officeDocument/2006/relationships/hyperlink" Target="https://jira.central1.com/browse/FIT-10352" TargetMode="External"/><Relationship Id="rId61" Type="http://schemas.openxmlformats.org/officeDocument/2006/relationships/hyperlink" Target="https://jira.central1.com/browse/FIT-14955" TargetMode="External"/><Relationship Id="rId82" Type="http://schemas.openxmlformats.org/officeDocument/2006/relationships/hyperlink" Target="https://jira.central1.com/browse/FIT-10348" TargetMode="External"/><Relationship Id="rId19" Type="http://schemas.openxmlformats.org/officeDocument/2006/relationships/hyperlink" Target="https://jira.central1.com/browse/FIT-6999" TargetMode="External"/><Relationship Id="rId14" Type="http://schemas.openxmlformats.org/officeDocument/2006/relationships/hyperlink" Target="https://jira.central1.com/browse/FIT-1007" TargetMode="External"/><Relationship Id="rId30" Type="http://schemas.openxmlformats.org/officeDocument/2006/relationships/hyperlink" Target="https://jira.central1.com/browse/FIT-1841" TargetMode="External"/><Relationship Id="rId35" Type="http://schemas.openxmlformats.org/officeDocument/2006/relationships/hyperlink" Target="https://jira.central1.com/browse/FIT-1842" TargetMode="External"/><Relationship Id="rId56" Type="http://schemas.openxmlformats.org/officeDocument/2006/relationships/hyperlink" Target="https://jira.central1.com/browse/FIT-1866" TargetMode="External"/><Relationship Id="rId77" Type="http://schemas.openxmlformats.org/officeDocument/2006/relationships/hyperlink" Target="https://jira.central1.com/browse/FIT-10339" TargetMode="External"/><Relationship Id="rId100" Type="http://schemas.openxmlformats.org/officeDocument/2006/relationships/hyperlink" Target="https://jira.central1.com/browse/FIT-10357" TargetMode="External"/><Relationship Id="rId8" Type="http://schemas.openxmlformats.org/officeDocument/2006/relationships/hyperlink" Target="https://jira.central1.com/browse/FIT-1800" TargetMode="External"/><Relationship Id="rId51" Type="http://schemas.openxmlformats.org/officeDocument/2006/relationships/hyperlink" Target="https://jira.central1.com/browse/FIT-1035" TargetMode="External"/><Relationship Id="rId72" Type="http://schemas.openxmlformats.org/officeDocument/2006/relationships/hyperlink" Target="https://jira.central1.com/browse/FIT-10320" TargetMode="External"/><Relationship Id="rId93" Type="http://schemas.openxmlformats.org/officeDocument/2006/relationships/hyperlink" Target="https://jira.central1.com/browse/FIT-10364" TargetMode="External"/><Relationship Id="rId98" Type="http://schemas.openxmlformats.org/officeDocument/2006/relationships/hyperlink" Target="https://jira.central1.com/browse/FIT-10362" TargetMode="External"/><Relationship Id="rId3" Type="http://schemas.openxmlformats.org/officeDocument/2006/relationships/hyperlink" Target="https://jira.central1.com/browse/FIT-10262" TargetMode="External"/></Relationships>
</file>

<file path=xl/drawings/_rels/drawing4.xml.rels><?xml version="1.0" encoding="UTF-8" standalone="yes"?>
<Relationships xmlns="http://schemas.openxmlformats.org/package/2006/relationships"><Relationship Id="rId26" Type="http://schemas.openxmlformats.org/officeDocument/2006/relationships/hyperlink" Target="https://jira.central1.com/browse/FIT-1852" TargetMode="External"/><Relationship Id="rId21" Type="http://schemas.openxmlformats.org/officeDocument/2006/relationships/hyperlink" Target="https://jira.central1.com/browse/FIT-14122" TargetMode="External"/><Relationship Id="rId42" Type="http://schemas.openxmlformats.org/officeDocument/2006/relationships/hyperlink" Target="https://jira.central1.com/browse/FIT-1855" TargetMode="External"/><Relationship Id="rId47" Type="http://schemas.openxmlformats.org/officeDocument/2006/relationships/hyperlink" Target="https://jira.central1.com/browse/FIT-1856" TargetMode="External"/><Relationship Id="rId63" Type="http://schemas.openxmlformats.org/officeDocument/2006/relationships/hyperlink" Target="https://jira.central1.com/browse/FIT-10261" TargetMode="External"/><Relationship Id="rId68" Type="http://schemas.openxmlformats.org/officeDocument/2006/relationships/hyperlink" Target="https://jira.central1.com/browse/FIT-13566" TargetMode="External"/><Relationship Id="rId84" Type="http://schemas.openxmlformats.org/officeDocument/2006/relationships/hyperlink" Target="https://jira.central1.com/browse/FIT-10350" TargetMode="External"/><Relationship Id="rId89" Type="http://schemas.openxmlformats.org/officeDocument/2006/relationships/hyperlink" Target="https://jira.central1.com/browse/FIT-10397" TargetMode="External"/><Relationship Id="rId16" Type="http://schemas.openxmlformats.org/officeDocument/2006/relationships/hyperlink" Target="https://jira.central1.com/browse/FIT-1836" TargetMode="External"/><Relationship Id="rId11" Type="http://schemas.openxmlformats.org/officeDocument/2006/relationships/hyperlink" Target="https://jira.central1.com/browse/FIT-1010" TargetMode="External"/><Relationship Id="rId32" Type="http://schemas.openxmlformats.org/officeDocument/2006/relationships/hyperlink" Target="https://jira.central1.com/browse/FIT-1017" TargetMode="External"/><Relationship Id="rId37" Type="http://schemas.openxmlformats.org/officeDocument/2006/relationships/hyperlink" Target="https://jira.central1.com/browse/FIT-1845" TargetMode="External"/><Relationship Id="rId53" Type="http://schemas.openxmlformats.org/officeDocument/2006/relationships/hyperlink" Target="https://jira.central1.com/browse/FIT-1864" TargetMode="External"/><Relationship Id="rId58" Type="http://schemas.openxmlformats.org/officeDocument/2006/relationships/hyperlink" Target="https://jira.central1.com/browse/FIT-10266" TargetMode="External"/><Relationship Id="rId74" Type="http://schemas.openxmlformats.org/officeDocument/2006/relationships/hyperlink" Target="https://jira.central1.com/browse/FIT-14123" TargetMode="External"/><Relationship Id="rId79" Type="http://schemas.openxmlformats.org/officeDocument/2006/relationships/hyperlink" Target="https://jira.central1.com/browse/FIT-10324" TargetMode="External"/><Relationship Id="rId102" Type="http://schemas.openxmlformats.org/officeDocument/2006/relationships/hyperlink" Target="https://jira.central1.com/browse/FIT-10366" TargetMode="External"/><Relationship Id="rId5" Type="http://schemas.openxmlformats.org/officeDocument/2006/relationships/hyperlink" Target="https://jira.central1.com/browse/FIT-1005" TargetMode="External"/><Relationship Id="rId90" Type="http://schemas.openxmlformats.org/officeDocument/2006/relationships/hyperlink" Target="https://jira.central1.com/browse/FIT-10354" TargetMode="External"/><Relationship Id="rId95" Type="http://schemas.openxmlformats.org/officeDocument/2006/relationships/hyperlink" Target="https://jira.central1.com/browse/FIT-10359" TargetMode="External"/><Relationship Id="rId22" Type="http://schemas.openxmlformats.org/officeDocument/2006/relationships/hyperlink" Target="https://jira.central1.com/browse/FIT-10265" TargetMode="External"/><Relationship Id="rId27" Type="http://schemas.openxmlformats.org/officeDocument/2006/relationships/hyperlink" Target="https://jira.central1.com/browse/FIT-3937" TargetMode="External"/><Relationship Id="rId43" Type="http://schemas.openxmlformats.org/officeDocument/2006/relationships/hyperlink" Target="https://jira.central1.com/browse/FIT-1032" TargetMode="External"/><Relationship Id="rId48" Type="http://schemas.openxmlformats.org/officeDocument/2006/relationships/hyperlink" Target="https://jira.central1.com/browse/FIT-1860" TargetMode="External"/><Relationship Id="rId64" Type="http://schemas.openxmlformats.org/officeDocument/2006/relationships/hyperlink" Target="https://jira.central1.com/browse/FIT-10290" TargetMode="External"/><Relationship Id="rId69" Type="http://schemas.openxmlformats.org/officeDocument/2006/relationships/hyperlink" Target="https://jira.central1.com/browse/FIT-10318" TargetMode="External"/><Relationship Id="rId80" Type="http://schemas.openxmlformats.org/officeDocument/2006/relationships/hyperlink" Target="https://jira.central1.com/browse/FIT-10340" TargetMode="External"/><Relationship Id="rId85" Type="http://schemas.openxmlformats.org/officeDocument/2006/relationships/hyperlink" Target="https://jira.central1.com/browse/FIT-13815" TargetMode="External"/><Relationship Id="rId12" Type="http://schemas.openxmlformats.org/officeDocument/2006/relationships/hyperlink" Target="https://jira.central1.com/browse/FIT-1801" TargetMode="External"/><Relationship Id="rId17" Type="http://schemas.openxmlformats.org/officeDocument/2006/relationships/hyperlink" Target="https://jira.central1.com/browse/FIT-2303" TargetMode="External"/><Relationship Id="rId25" Type="http://schemas.openxmlformats.org/officeDocument/2006/relationships/hyperlink" Target="https://jira.central1.com/browse/FIT-3936" TargetMode="External"/><Relationship Id="rId33" Type="http://schemas.openxmlformats.org/officeDocument/2006/relationships/hyperlink" Target="https://jira.central1.com/browse/FIT-1838" TargetMode="External"/><Relationship Id="rId38" Type="http://schemas.openxmlformats.org/officeDocument/2006/relationships/hyperlink" Target="https://jira.central1.com/browse/FIT-1851" TargetMode="External"/><Relationship Id="rId46" Type="http://schemas.openxmlformats.org/officeDocument/2006/relationships/hyperlink" Target="https://jira.central1.com/browse/FIT-14124" TargetMode="External"/><Relationship Id="rId59" Type="http://schemas.openxmlformats.org/officeDocument/2006/relationships/hyperlink" Target="https://jira.central1.com/browse/FIT-10229" TargetMode="External"/><Relationship Id="rId67" Type="http://schemas.openxmlformats.org/officeDocument/2006/relationships/hyperlink" Target="https://jira.central1.com/browse/FIT-10317" TargetMode="External"/><Relationship Id="rId103" Type="http://schemas.openxmlformats.org/officeDocument/2006/relationships/hyperlink" Target="https://jira.central1.com/browse/FIT-10367" TargetMode="External"/><Relationship Id="rId20" Type="http://schemas.openxmlformats.org/officeDocument/2006/relationships/hyperlink" Target="https://jira.central1.com/browse/FIT-1840" TargetMode="External"/><Relationship Id="rId41" Type="http://schemas.openxmlformats.org/officeDocument/2006/relationships/hyperlink" Target="https://jira.central1.com/browse/FIT-1854" TargetMode="External"/><Relationship Id="rId54" Type="http://schemas.openxmlformats.org/officeDocument/2006/relationships/hyperlink" Target="https://jira.central1.com/browse/FIT-1036" TargetMode="External"/><Relationship Id="rId62" Type="http://schemas.openxmlformats.org/officeDocument/2006/relationships/hyperlink" Target="https://jira.central1.com/browse/FIT-10259" TargetMode="External"/><Relationship Id="rId70" Type="http://schemas.openxmlformats.org/officeDocument/2006/relationships/hyperlink" Target="https://jira.central1.com/browse/FIT-10319" TargetMode="External"/><Relationship Id="rId75" Type="http://schemas.openxmlformats.org/officeDocument/2006/relationships/hyperlink" Target="https://jira.central1.com/browse/FIT-10323" TargetMode="External"/><Relationship Id="rId83" Type="http://schemas.openxmlformats.org/officeDocument/2006/relationships/hyperlink" Target="https://jira.central1.com/browse/FIT-10349" TargetMode="External"/><Relationship Id="rId88" Type="http://schemas.openxmlformats.org/officeDocument/2006/relationships/hyperlink" Target="https://jira.central1.com/browse/FIT-11342" TargetMode="External"/><Relationship Id="rId91" Type="http://schemas.openxmlformats.org/officeDocument/2006/relationships/hyperlink" Target="https://jira.central1.com/browse/FIT-10355" TargetMode="External"/><Relationship Id="rId96" Type="http://schemas.openxmlformats.org/officeDocument/2006/relationships/hyperlink" Target="https://jira.central1.com/browse/FIT-10360" TargetMode="External"/><Relationship Id="rId1" Type="http://schemas.openxmlformats.org/officeDocument/2006/relationships/hyperlink" Target="https://jira.central1.com/browse/FIT-1001" TargetMode="External"/><Relationship Id="rId6" Type="http://schemas.openxmlformats.org/officeDocument/2006/relationships/hyperlink" Target="https://jira.central1.com/browse/FIT-1800" TargetMode="External"/><Relationship Id="rId15" Type="http://schemas.openxmlformats.org/officeDocument/2006/relationships/hyperlink" Target="https://jira.central1.com/browse/FIT-5667" TargetMode="External"/><Relationship Id="rId23" Type="http://schemas.openxmlformats.org/officeDocument/2006/relationships/hyperlink" Target="https://jira.central1.com/browse/FIT-3930" TargetMode="External"/><Relationship Id="rId28" Type="http://schemas.openxmlformats.org/officeDocument/2006/relationships/hyperlink" Target="https://jira.central1.com/browse/FIT-1859" TargetMode="External"/><Relationship Id="rId36" Type="http://schemas.openxmlformats.org/officeDocument/2006/relationships/hyperlink" Target="https://jira.central1.com/browse/FIT-1843" TargetMode="External"/><Relationship Id="rId49" Type="http://schemas.openxmlformats.org/officeDocument/2006/relationships/hyperlink" Target="https://jira.central1.com/browse/FIT-1857" TargetMode="External"/><Relationship Id="rId57" Type="http://schemas.openxmlformats.org/officeDocument/2006/relationships/hyperlink" Target="https://jira.central1.com/browse/FIT-1037" TargetMode="External"/><Relationship Id="rId10" Type="http://schemas.openxmlformats.org/officeDocument/2006/relationships/hyperlink" Target="https://jira.central1.com/browse/FIT-14954" TargetMode="External"/><Relationship Id="rId31" Type="http://schemas.openxmlformats.org/officeDocument/2006/relationships/hyperlink" Target="https://jira.central1.com/browse/FIT-1016" TargetMode="External"/><Relationship Id="rId44" Type="http://schemas.openxmlformats.org/officeDocument/2006/relationships/hyperlink" Target="https://jira.central1.com/browse/FIT-9768" TargetMode="External"/><Relationship Id="rId52" Type="http://schemas.openxmlformats.org/officeDocument/2006/relationships/hyperlink" Target="https://jira.central1.com/browse/FIT-1863" TargetMode="External"/><Relationship Id="rId60" Type="http://schemas.openxmlformats.org/officeDocument/2006/relationships/hyperlink" Target="https://jira.central1.com/browse/FIT-13411" TargetMode="External"/><Relationship Id="rId65" Type="http://schemas.openxmlformats.org/officeDocument/2006/relationships/hyperlink" Target="https://jira.central1.com/browse/FIT-10291" TargetMode="External"/><Relationship Id="rId73" Type="http://schemas.openxmlformats.org/officeDocument/2006/relationships/hyperlink" Target="https://jira.central1.com/browse/FIT-10322" TargetMode="External"/><Relationship Id="rId78" Type="http://schemas.openxmlformats.org/officeDocument/2006/relationships/hyperlink" Target="https://jira.central1.com/browse/FIT-10337" TargetMode="External"/><Relationship Id="rId81" Type="http://schemas.openxmlformats.org/officeDocument/2006/relationships/hyperlink" Target="https://jira.central1.com/browse/FIT-10289" TargetMode="External"/><Relationship Id="rId86" Type="http://schemas.openxmlformats.org/officeDocument/2006/relationships/hyperlink" Target="https://jira.central1.com/browse/FIT-10351" TargetMode="External"/><Relationship Id="rId94" Type="http://schemas.openxmlformats.org/officeDocument/2006/relationships/hyperlink" Target="https://jira.central1.com/browse/FIT-10365" TargetMode="External"/><Relationship Id="rId99" Type="http://schemas.openxmlformats.org/officeDocument/2006/relationships/hyperlink" Target="https://jira.central1.com/browse/FIT-10363" TargetMode="External"/><Relationship Id="rId101" Type="http://schemas.openxmlformats.org/officeDocument/2006/relationships/hyperlink" Target="https://jira.central1.com/browse/FIT-10358" TargetMode="External"/><Relationship Id="rId4" Type="http://schemas.openxmlformats.org/officeDocument/2006/relationships/hyperlink" Target="https://jira.central1.com/browse/FIT-1003" TargetMode="External"/><Relationship Id="rId9" Type="http://schemas.openxmlformats.org/officeDocument/2006/relationships/hyperlink" Target="https://jira.central1.com/browse/FIT-7939" TargetMode="External"/><Relationship Id="rId13" Type="http://schemas.openxmlformats.org/officeDocument/2006/relationships/hyperlink" Target="https://jira.central1.com/browse/FIT-1802" TargetMode="External"/><Relationship Id="rId18" Type="http://schemas.openxmlformats.org/officeDocument/2006/relationships/hyperlink" Target="https://jira.central1.com/browse/FIT-1837" TargetMode="External"/><Relationship Id="rId39" Type="http://schemas.openxmlformats.org/officeDocument/2006/relationships/hyperlink" Target="https://jira.central1.com/browse/FIT-1030" TargetMode="External"/><Relationship Id="rId34" Type="http://schemas.openxmlformats.org/officeDocument/2006/relationships/hyperlink" Target="https://jira.central1.com/browse/FIT-1846" TargetMode="External"/><Relationship Id="rId50" Type="http://schemas.openxmlformats.org/officeDocument/2006/relationships/hyperlink" Target="https://jira.central1.com/browse/FIT-1867" TargetMode="External"/><Relationship Id="rId55" Type="http://schemas.openxmlformats.org/officeDocument/2006/relationships/hyperlink" Target="https://jira.central1.com/browse/FIT-1865" TargetMode="External"/><Relationship Id="rId76" Type="http://schemas.openxmlformats.org/officeDocument/2006/relationships/hyperlink" Target="https://jira.central1.com/browse/FIT-10338" TargetMode="External"/><Relationship Id="rId97" Type="http://schemas.openxmlformats.org/officeDocument/2006/relationships/hyperlink" Target="https://jira.central1.com/browse/FIT-10398" TargetMode="External"/><Relationship Id="rId104" Type="http://schemas.openxmlformats.org/officeDocument/2006/relationships/hyperlink" Target="https://jira.central1.com/browse/FIT-10368" TargetMode="External"/><Relationship Id="rId7" Type="http://schemas.openxmlformats.org/officeDocument/2006/relationships/hyperlink" Target="https://jira.central1.com/browse/FIT-1164" TargetMode="External"/><Relationship Id="rId71" Type="http://schemas.openxmlformats.org/officeDocument/2006/relationships/hyperlink" Target="https://jira.central1.com/browse/FIT-10321" TargetMode="External"/><Relationship Id="rId92" Type="http://schemas.openxmlformats.org/officeDocument/2006/relationships/hyperlink" Target="https://jira.central1.com/browse/FIT-10356" TargetMode="External"/><Relationship Id="rId2" Type="http://schemas.openxmlformats.org/officeDocument/2006/relationships/hyperlink" Target="https://jira.central1.com/browse/FIT-1835" TargetMode="External"/><Relationship Id="rId29" Type="http://schemas.openxmlformats.org/officeDocument/2006/relationships/hyperlink" Target="https://jira.central1.com/browse/FIT-10263" TargetMode="External"/><Relationship Id="rId24" Type="http://schemas.openxmlformats.org/officeDocument/2006/relationships/hyperlink" Target="https://jira.central1.com/browse/FIT-1844" TargetMode="External"/><Relationship Id="rId40" Type="http://schemas.openxmlformats.org/officeDocument/2006/relationships/hyperlink" Target="https://jira.central1.com/browse/FIT-1853" TargetMode="External"/><Relationship Id="rId45" Type="http://schemas.openxmlformats.org/officeDocument/2006/relationships/hyperlink" Target="https://jira.central1.com/browse/FIT-1858" TargetMode="External"/><Relationship Id="rId66" Type="http://schemas.openxmlformats.org/officeDocument/2006/relationships/hyperlink" Target="https://jira.central1.com/browse/FIT-10316" TargetMode="External"/><Relationship Id="rId87" Type="http://schemas.openxmlformats.org/officeDocument/2006/relationships/hyperlink" Target="https://jira.central1.com/browse/FIT-10352" TargetMode="External"/><Relationship Id="rId61" Type="http://schemas.openxmlformats.org/officeDocument/2006/relationships/hyperlink" Target="https://jira.central1.com/browse/FIT-14955" TargetMode="External"/><Relationship Id="rId82" Type="http://schemas.openxmlformats.org/officeDocument/2006/relationships/hyperlink" Target="https://jira.central1.com/browse/FIT-10348" TargetMode="External"/><Relationship Id="rId19" Type="http://schemas.openxmlformats.org/officeDocument/2006/relationships/hyperlink" Target="https://jira.central1.com/browse/FIT-6999" TargetMode="External"/><Relationship Id="rId14" Type="http://schemas.openxmlformats.org/officeDocument/2006/relationships/hyperlink" Target="https://jira.central1.com/browse/FIT-1007" TargetMode="External"/><Relationship Id="rId30" Type="http://schemas.openxmlformats.org/officeDocument/2006/relationships/hyperlink" Target="https://jira.central1.com/browse/FIT-1841" TargetMode="External"/><Relationship Id="rId35" Type="http://schemas.openxmlformats.org/officeDocument/2006/relationships/hyperlink" Target="https://jira.central1.com/browse/FIT-1842" TargetMode="External"/><Relationship Id="rId56" Type="http://schemas.openxmlformats.org/officeDocument/2006/relationships/hyperlink" Target="https://jira.central1.com/browse/FIT-1866" TargetMode="External"/><Relationship Id="rId77" Type="http://schemas.openxmlformats.org/officeDocument/2006/relationships/hyperlink" Target="https://jira.central1.com/browse/FIT-10339" TargetMode="External"/><Relationship Id="rId100" Type="http://schemas.openxmlformats.org/officeDocument/2006/relationships/hyperlink" Target="https://jira.central1.com/browse/FIT-10357" TargetMode="External"/><Relationship Id="rId8" Type="http://schemas.openxmlformats.org/officeDocument/2006/relationships/hyperlink" Target="https://jira.central1.com/browse/FIT-1320" TargetMode="External"/><Relationship Id="rId51" Type="http://schemas.openxmlformats.org/officeDocument/2006/relationships/hyperlink" Target="https://jira.central1.com/browse/FIT-1035" TargetMode="External"/><Relationship Id="rId72" Type="http://schemas.openxmlformats.org/officeDocument/2006/relationships/hyperlink" Target="https://jira.central1.com/browse/FIT-10320" TargetMode="External"/><Relationship Id="rId93" Type="http://schemas.openxmlformats.org/officeDocument/2006/relationships/hyperlink" Target="https://jira.central1.com/browse/FIT-10364" TargetMode="External"/><Relationship Id="rId98" Type="http://schemas.openxmlformats.org/officeDocument/2006/relationships/hyperlink" Target="https://jira.central1.com/browse/FIT-10362" TargetMode="External"/><Relationship Id="rId3" Type="http://schemas.openxmlformats.org/officeDocument/2006/relationships/hyperlink" Target="https://jira.central1.com/browse/FIT-10262" TargetMode="Externa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248</xdr:row>
      <xdr:rowOff>0</xdr:rowOff>
    </xdr:from>
    <xdr:to>
      <xdr:col>6</xdr:col>
      <xdr:colOff>152400</xdr:colOff>
      <xdr:row>248</xdr:row>
      <xdr:rowOff>152400</xdr:rowOff>
    </xdr:to>
    <xdr:sp macro="" textlink="">
      <xdr:nvSpPr>
        <xdr:cNvPr id="2" name="AutoShape 4" descr="Sub-Story">
          <a:hlinkClick xmlns:r="http://schemas.openxmlformats.org/officeDocument/2006/relationships" r:id="rId1"/>
          <a:extLst>
            <a:ext uri="{FF2B5EF4-FFF2-40B4-BE49-F238E27FC236}">
              <a16:creationId xmlns:a16="http://schemas.microsoft.com/office/drawing/2014/main" id="{EEC691DD-C946-4849-8815-60B51750CD64}"/>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3" name="AutoShape 5" descr="Sub-Story">
          <a:hlinkClick xmlns:r="http://schemas.openxmlformats.org/officeDocument/2006/relationships" r:id="rId2"/>
          <a:extLst>
            <a:ext uri="{FF2B5EF4-FFF2-40B4-BE49-F238E27FC236}">
              <a16:creationId xmlns:a16="http://schemas.microsoft.com/office/drawing/2014/main" id="{4724C7F7-45C0-1140-B46F-27D90C2DAE2B}"/>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4" name="AutoShape 6" descr="Sub-task">
          <a:hlinkClick xmlns:r="http://schemas.openxmlformats.org/officeDocument/2006/relationships" r:id="rId3"/>
          <a:extLst>
            <a:ext uri="{FF2B5EF4-FFF2-40B4-BE49-F238E27FC236}">
              <a16:creationId xmlns:a16="http://schemas.microsoft.com/office/drawing/2014/main" id="{D8C50C9A-A61B-FB4D-B175-A3BFB069CF55}"/>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5" name="AutoShape 7" descr="Sub-Story">
          <a:hlinkClick xmlns:r="http://schemas.openxmlformats.org/officeDocument/2006/relationships" r:id="rId4"/>
          <a:extLst>
            <a:ext uri="{FF2B5EF4-FFF2-40B4-BE49-F238E27FC236}">
              <a16:creationId xmlns:a16="http://schemas.microsoft.com/office/drawing/2014/main" id="{4CAAD306-020B-9049-80CA-FEBE39E6445C}"/>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6" name="AutoShape 8" descr="Sub-Story">
          <a:hlinkClick xmlns:r="http://schemas.openxmlformats.org/officeDocument/2006/relationships" r:id="rId5"/>
          <a:extLst>
            <a:ext uri="{FF2B5EF4-FFF2-40B4-BE49-F238E27FC236}">
              <a16:creationId xmlns:a16="http://schemas.microsoft.com/office/drawing/2014/main" id="{368B9C19-9BED-9245-B38A-2CCB58CB88EE}"/>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7" name="AutoShape 9" descr="Sub-Story">
          <a:hlinkClick xmlns:r="http://schemas.openxmlformats.org/officeDocument/2006/relationships" r:id="rId6"/>
          <a:extLst>
            <a:ext uri="{FF2B5EF4-FFF2-40B4-BE49-F238E27FC236}">
              <a16:creationId xmlns:a16="http://schemas.microsoft.com/office/drawing/2014/main" id="{AB020109-CAF2-0245-809C-29F7A3C453B4}"/>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8" name="AutoShape 10" descr="Sub-Story">
          <a:hlinkClick xmlns:r="http://schemas.openxmlformats.org/officeDocument/2006/relationships" r:id="rId7"/>
          <a:extLst>
            <a:ext uri="{FF2B5EF4-FFF2-40B4-BE49-F238E27FC236}">
              <a16:creationId xmlns:a16="http://schemas.microsoft.com/office/drawing/2014/main" id="{62E49346-979C-0945-B467-A0C1043BF8B2}"/>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9" name="AutoShape 11" descr="Sub-Story">
          <a:hlinkClick xmlns:r="http://schemas.openxmlformats.org/officeDocument/2006/relationships" r:id="rId8"/>
          <a:extLst>
            <a:ext uri="{FF2B5EF4-FFF2-40B4-BE49-F238E27FC236}">
              <a16:creationId xmlns:a16="http://schemas.microsoft.com/office/drawing/2014/main" id="{79B2228B-C9CF-8045-A528-CEDDD7D46A4E}"/>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0" name="AutoShape 12" descr="Sub-Story">
          <a:hlinkClick xmlns:r="http://schemas.openxmlformats.org/officeDocument/2006/relationships" r:id="rId9"/>
          <a:extLst>
            <a:ext uri="{FF2B5EF4-FFF2-40B4-BE49-F238E27FC236}">
              <a16:creationId xmlns:a16="http://schemas.microsoft.com/office/drawing/2014/main" id="{C675A638-2B9A-314D-9228-97B822DB42D3}"/>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1" name="AutoShape 13" descr="Sub-task">
          <a:hlinkClick xmlns:r="http://schemas.openxmlformats.org/officeDocument/2006/relationships" r:id="rId10"/>
          <a:extLst>
            <a:ext uri="{FF2B5EF4-FFF2-40B4-BE49-F238E27FC236}">
              <a16:creationId xmlns:a16="http://schemas.microsoft.com/office/drawing/2014/main" id="{6BDFE05B-B90D-A248-A905-EFD4548B4432}"/>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2" name="AutoShape 14" descr="Sub-Story">
          <a:hlinkClick xmlns:r="http://schemas.openxmlformats.org/officeDocument/2006/relationships" r:id="rId11"/>
          <a:extLst>
            <a:ext uri="{FF2B5EF4-FFF2-40B4-BE49-F238E27FC236}">
              <a16:creationId xmlns:a16="http://schemas.microsoft.com/office/drawing/2014/main" id="{D109F2E6-54C5-754E-96DD-3CFC5B10EACB}"/>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3" name="AutoShape 15" descr="Sub-Story">
          <a:hlinkClick xmlns:r="http://schemas.openxmlformats.org/officeDocument/2006/relationships" r:id="rId12"/>
          <a:extLst>
            <a:ext uri="{FF2B5EF4-FFF2-40B4-BE49-F238E27FC236}">
              <a16:creationId xmlns:a16="http://schemas.microsoft.com/office/drawing/2014/main" id="{DDA91068-E002-924D-B2F6-6D3C5E996208}"/>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4" name="AutoShape 16" descr="Sub-Story">
          <a:hlinkClick xmlns:r="http://schemas.openxmlformats.org/officeDocument/2006/relationships" r:id="rId13"/>
          <a:extLst>
            <a:ext uri="{FF2B5EF4-FFF2-40B4-BE49-F238E27FC236}">
              <a16:creationId xmlns:a16="http://schemas.microsoft.com/office/drawing/2014/main" id="{2BF64C48-C013-6640-AEFB-56A5E843606B}"/>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5" name="AutoShape 17" descr="Sub-Story">
          <a:hlinkClick xmlns:r="http://schemas.openxmlformats.org/officeDocument/2006/relationships" r:id="rId14"/>
          <a:extLst>
            <a:ext uri="{FF2B5EF4-FFF2-40B4-BE49-F238E27FC236}">
              <a16:creationId xmlns:a16="http://schemas.microsoft.com/office/drawing/2014/main" id="{8F87C6B3-1E37-BC48-A630-D14304EB9B8B}"/>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6" name="AutoShape 18" descr="Sub-Story">
          <a:hlinkClick xmlns:r="http://schemas.openxmlformats.org/officeDocument/2006/relationships" r:id="rId15"/>
          <a:extLst>
            <a:ext uri="{FF2B5EF4-FFF2-40B4-BE49-F238E27FC236}">
              <a16:creationId xmlns:a16="http://schemas.microsoft.com/office/drawing/2014/main" id="{88A49028-CCE2-BB40-81C8-99E8B1309CBF}"/>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7" name="AutoShape 19" descr="Sub-Story">
          <a:hlinkClick xmlns:r="http://schemas.openxmlformats.org/officeDocument/2006/relationships" r:id="rId16"/>
          <a:extLst>
            <a:ext uri="{FF2B5EF4-FFF2-40B4-BE49-F238E27FC236}">
              <a16:creationId xmlns:a16="http://schemas.microsoft.com/office/drawing/2014/main" id="{3A2098CB-FB95-154A-A617-49C999AB92AD}"/>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8" name="AutoShape 20" descr="Sub-Story">
          <a:hlinkClick xmlns:r="http://schemas.openxmlformats.org/officeDocument/2006/relationships" r:id="rId17"/>
          <a:extLst>
            <a:ext uri="{FF2B5EF4-FFF2-40B4-BE49-F238E27FC236}">
              <a16:creationId xmlns:a16="http://schemas.microsoft.com/office/drawing/2014/main" id="{B6D74969-7E00-BC4C-9FEA-E59B1540883F}"/>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9" name="AutoShape 21" descr="Sub-Story">
          <a:hlinkClick xmlns:r="http://schemas.openxmlformats.org/officeDocument/2006/relationships" r:id="rId18"/>
          <a:extLst>
            <a:ext uri="{FF2B5EF4-FFF2-40B4-BE49-F238E27FC236}">
              <a16:creationId xmlns:a16="http://schemas.microsoft.com/office/drawing/2014/main" id="{96B20E64-67F9-5D4F-B2F3-BD54EC2A3F59}"/>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20" name="AutoShape 22" descr="Sub-Story">
          <a:hlinkClick xmlns:r="http://schemas.openxmlformats.org/officeDocument/2006/relationships" r:id="rId19"/>
          <a:extLst>
            <a:ext uri="{FF2B5EF4-FFF2-40B4-BE49-F238E27FC236}">
              <a16:creationId xmlns:a16="http://schemas.microsoft.com/office/drawing/2014/main" id="{EBB6C751-C22D-DD4F-A570-61807D39DD6A}"/>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21" name="AutoShape 23" descr="Sub-Story">
          <a:hlinkClick xmlns:r="http://schemas.openxmlformats.org/officeDocument/2006/relationships" r:id="rId20"/>
          <a:extLst>
            <a:ext uri="{FF2B5EF4-FFF2-40B4-BE49-F238E27FC236}">
              <a16:creationId xmlns:a16="http://schemas.microsoft.com/office/drawing/2014/main" id="{1A239E73-8D33-EA44-A9E2-E9893B924C4B}"/>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22" name="AutoShape 24" descr="Sub-Story">
          <a:hlinkClick xmlns:r="http://schemas.openxmlformats.org/officeDocument/2006/relationships" r:id="rId21"/>
          <a:extLst>
            <a:ext uri="{FF2B5EF4-FFF2-40B4-BE49-F238E27FC236}">
              <a16:creationId xmlns:a16="http://schemas.microsoft.com/office/drawing/2014/main" id="{B91C3AD1-9CA0-7840-B4BD-11BD31C389C6}"/>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23" name="AutoShape 25" descr="Sub-task">
          <a:hlinkClick xmlns:r="http://schemas.openxmlformats.org/officeDocument/2006/relationships" r:id="rId22"/>
          <a:extLst>
            <a:ext uri="{FF2B5EF4-FFF2-40B4-BE49-F238E27FC236}">
              <a16:creationId xmlns:a16="http://schemas.microsoft.com/office/drawing/2014/main" id="{7F30D0CB-8E98-124A-AEFE-7CCEB0D50361}"/>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24" name="AutoShape 26" descr="Sub-Story">
          <a:hlinkClick xmlns:r="http://schemas.openxmlformats.org/officeDocument/2006/relationships" r:id="rId23"/>
          <a:extLst>
            <a:ext uri="{FF2B5EF4-FFF2-40B4-BE49-F238E27FC236}">
              <a16:creationId xmlns:a16="http://schemas.microsoft.com/office/drawing/2014/main" id="{683ECFF3-CFA0-5340-A681-A87041208650}"/>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25" name="AutoShape 27" descr="Sub-Story">
          <a:hlinkClick xmlns:r="http://schemas.openxmlformats.org/officeDocument/2006/relationships" r:id="rId24"/>
          <a:extLst>
            <a:ext uri="{FF2B5EF4-FFF2-40B4-BE49-F238E27FC236}">
              <a16:creationId xmlns:a16="http://schemas.microsoft.com/office/drawing/2014/main" id="{2E847F11-FBAF-2F49-974E-940174D3EDC1}"/>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26" name="AutoShape 28" descr="Sub-Story">
          <a:hlinkClick xmlns:r="http://schemas.openxmlformats.org/officeDocument/2006/relationships" r:id="rId25"/>
          <a:extLst>
            <a:ext uri="{FF2B5EF4-FFF2-40B4-BE49-F238E27FC236}">
              <a16:creationId xmlns:a16="http://schemas.microsoft.com/office/drawing/2014/main" id="{95A5A73E-7BEF-1F4C-9E70-E47FADA42048}"/>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27" name="AutoShape 29" descr="Sub-Story">
          <a:hlinkClick xmlns:r="http://schemas.openxmlformats.org/officeDocument/2006/relationships" r:id="rId26"/>
          <a:extLst>
            <a:ext uri="{FF2B5EF4-FFF2-40B4-BE49-F238E27FC236}">
              <a16:creationId xmlns:a16="http://schemas.microsoft.com/office/drawing/2014/main" id="{987F12D1-B472-254A-9630-9B44D2D2E0F4}"/>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28" name="AutoShape 30" descr="Sub-Story">
          <a:hlinkClick xmlns:r="http://schemas.openxmlformats.org/officeDocument/2006/relationships" r:id="rId27"/>
          <a:extLst>
            <a:ext uri="{FF2B5EF4-FFF2-40B4-BE49-F238E27FC236}">
              <a16:creationId xmlns:a16="http://schemas.microsoft.com/office/drawing/2014/main" id="{99BDC7B0-D794-D34B-A01F-4F6B6952E907}"/>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29" name="AutoShape 31" descr="Sub-Story">
          <a:hlinkClick xmlns:r="http://schemas.openxmlformats.org/officeDocument/2006/relationships" r:id="rId28"/>
          <a:extLst>
            <a:ext uri="{FF2B5EF4-FFF2-40B4-BE49-F238E27FC236}">
              <a16:creationId xmlns:a16="http://schemas.microsoft.com/office/drawing/2014/main" id="{0B1E70C5-FCD1-9145-8250-1A1F1038B988}"/>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30" name="AutoShape 32" descr="Sub-task">
          <a:hlinkClick xmlns:r="http://schemas.openxmlformats.org/officeDocument/2006/relationships" r:id="rId29"/>
          <a:extLst>
            <a:ext uri="{FF2B5EF4-FFF2-40B4-BE49-F238E27FC236}">
              <a16:creationId xmlns:a16="http://schemas.microsoft.com/office/drawing/2014/main" id="{F5E01E92-A88D-BC4A-9A82-B4B5DC6B738A}"/>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31" name="AutoShape 33" descr="Sub-Story">
          <a:hlinkClick xmlns:r="http://schemas.openxmlformats.org/officeDocument/2006/relationships" r:id="rId30"/>
          <a:extLst>
            <a:ext uri="{FF2B5EF4-FFF2-40B4-BE49-F238E27FC236}">
              <a16:creationId xmlns:a16="http://schemas.microsoft.com/office/drawing/2014/main" id="{57B9DA3C-C97A-3E46-8731-947373AD4585}"/>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32" name="AutoShape 34" descr="Sub-Story">
          <a:hlinkClick xmlns:r="http://schemas.openxmlformats.org/officeDocument/2006/relationships" r:id="rId31"/>
          <a:extLst>
            <a:ext uri="{FF2B5EF4-FFF2-40B4-BE49-F238E27FC236}">
              <a16:creationId xmlns:a16="http://schemas.microsoft.com/office/drawing/2014/main" id="{F2331397-E7B2-7F4B-AEE4-FCC3E2FED776}"/>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33" name="AutoShape 35" descr="Sub-Story">
          <a:hlinkClick xmlns:r="http://schemas.openxmlformats.org/officeDocument/2006/relationships" r:id="rId32"/>
          <a:extLst>
            <a:ext uri="{FF2B5EF4-FFF2-40B4-BE49-F238E27FC236}">
              <a16:creationId xmlns:a16="http://schemas.microsoft.com/office/drawing/2014/main" id="{D5631469-4F59-3645-8491-B63226EEFD68}"/>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34" name="AutoShape 36" descr="Sub-Story">
          <a:hlinkClick xmlns:r="http://schemas.openxmlformats.org/officeDocument/2006/relationships" r:id="rId33"/>
          <a:extLst>
            <a:ext uri="{FF2B5EF4-FFF2-40B4-BE49-F238E27FC236}">
              <a16:creationId xmlns:a16="http://schemas.microsoft.com/office/drawing/2014/main" id="{75E0B80A-B156-024F-BA46-25DF1F6DCD80}"/>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35" name="AutoShape 37" descr="Sub-Story">
          <a:hlinkClick xmlns:r="http://schemas.openxmlformats.org/officeDocument/2006/relationships" r:id="rId34"/>
          <a:extLst>
            <a:ext uri="{FF2B5EF4-FFF2-40B4-BE49-F238E27FC236}">
              <a16:creationId xmlns:a16="http://schemas.microsoft.com/office/drawing/2014/main" id="{22257BCA-C550-6B40-B4C7-E4051DC150F5}"/>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36" name="AutoShape 38" descr="Sub-Story">
          <a:hlinkClick xmlns:r="http://schemas.openxmlformats.org/officeDocument/2006/relationships" r:id="rId35"/>
          <a:extLst>
            <a:ext uri="{FF2B5EF4-FFF2-40B4-BE49-F238E27FC236}">
              <a16:creationId xmlns:a16="http://schemas.microsoft.com/office/drawing/2014/main" id="{1DEDFD2A-7F61-2046-BA35-7BC994D40891}"/>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37" name="AutoShape 39" descr="Sub-Story">
          <a:hlinkClick xmlns:r="http://schemas.openxmlformats.org/officeDocument/2006/relationships" r:id="rId36"/>
          <a:extLst>
            <a:ext uri="{FF2B5EF4-FFF2-40B4-BE49-F238E27FC236}">
              <a16:creationId xmlns:a16="http://schemas.microsoft.com/office/drawing/2014/main" id="{6F7322D6-C79C-DD49-8564-D0069377C296}"/>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38" name="AutoShape 40" descr="Sub-Story">
          <a:hlinkClick xmlns:r="http://schemas.openxmlformats.org/officeDocument/2006/relationships" r:id="rId37"/>
          <a:extLst>
            <a:ext uri="{FF2B5EF4-FFF2-40B4-BE49-F238E27FC236}">
              <a16:creationId xmlns:a16="http://schemas.microsoft.com/office/drawing/2014/main" id="{3570F9C9-E79F-5E4D-B511-6422658711F0}"/>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39" name="AutoShape 41" descr="Sub-Story">
          <a:hlinkClick xmlns:r="http://schemas.openxmlformats.org/officeDocument/2006/relationships" r:id="rId38"/>
          <a:extLst>
            <a:ext uri="{FF2B5EF4-FFF2-40B4-BE49-F238E27FC236}">
              <a16:creationId xmlns:a16="http://schemas.microsoft.com/office/drawing/2014/main" id="{7404BD2C-A615-D544-9969-C995D451847D}"/>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40" name="AutoShape 42" descr="Sub-Story">
          <a:hlinkClick xmlns:r="http://schemas.openxmlformats.org/officeDocument/2006/relationships" r:id="rId39"/>
          <a:extLst>
            <a:ext uri="{FF2B5EF4-FFF2-40B4-BE49-F238E27FC236}">
              <a16:creationId xmlns:a16="http://schemas.microsoft.com/office/drawing/2014/main" id="{FC62DA3C-F872-8049-8381-274770B10A94}"/>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41" name="AutoShape 43" descr="Sub-Story">
          <a:hlinkClick xmlns:r="http://schemas.openxmlformats.org/officeDocument/2006/relationships" r:id="rId40"/>
          <a:extLst>
            <a:ext uri="{FF2B5EF4-FFF2-40B4-BE49-F238E27FC236}">
              <a16:creationId xmlns:a16="http://schemas.microsoft.com/office/drawing/2014/main" id="{A3AAABB5-A9CF-704C-90F3-11F082243FE7}"/>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42" name="AutoShape 44" descr="Sub-Story">
          <a:hlinkClick xmlns:r="http://schemas.openxmlformats.org/officeDocument/2006/relationships" r:id="rId41"/>
          <a:extLst>
            <a:ext uri="{FF2B5EF4-FFF2-40B4-BE49-F238E27FC236}">
              <a16:creationId xmlns:a16="http://schemas.microsoft.com/office/drawing/2014/main" id="{F2308B03-04D9-2841-8DB0-9E6E7F1FF9CB}"/>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43" name="AutoShape 45" descr="Sub-Story">
          <a:hlinkClick xmlns:r="http://schemas.openxmlformats.org/officeDocument/2006/relationships" r:id="rId42"/>
          <a:extLst>
            <a:ext uri="{FF2B5EF4-FFF2-40B4-BE49-F238E27FC236}">
              <a16:creationId xmlns:a16="http://schemas.microsoft.com/office/drawing/2014/main" id="{649AC2D2-38A8-B446-9AC6-A79043B1324C}"/>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44" name="AutoShape 46" descr="Sub-Story">
          <a:hlinkClick xmlns:r="http://schemas.openxmlformats.org/officeDocument/2006/relationships" r:id="rId43"/>
          <a:extLst>
            <a:ext uri="{FF2B5EF4-FFF2-40B4-BE49-F238E27FC236}">
              <a16:creationId xmlns:a16="http://schemas.microsoft.com/office/drawing/2014/main" id="{A4E2A34D-F215-2C4C-AB08-0C0CB7F12821}"/>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45" name="AutoShape 47" descr="Sub-Story">
          <a:hlinkClick xmlns:r="http://schemas.openxmlformats.org/officeDocument/2006/relationships" r:id="rId44"/>
          <a:extLst>
            <a:ext uri="{FF2B5EF4-FFF2-40B4-BE49-F238E27FC236}">
              <a16:creationId xmlns:a16="http://schemas.microsoft.com/office/drawing/2014/main" id="{64ADF150-EC18-C542-B9AA-331C7B78C467}"/>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46" name="AutoShape 48" descr="Sub-Story">
          <a:hlinkClick xmlns:r="http://schemas.openxmlformats.org/officeDocument/2006/relationships" r:id="rId45"/>
          <a:extLst>
            <a:ext uri="{FF2B5EF4-FFF2-40B4-BE49-F238E27FC236}">
              <a16:creationId xmlns:a16="http://schemas.microsoft.com/office/drawing/2014/main" id="{AFEC6197-46B3-C344-9B42-A634C23B5FA0}"/>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47" name="AutoShape 49" descr="Sub-Story">
          <a:hlinkClick xmlns:r="http://schemas.openxmlformats.org/officeDocument/2006/relationships" r:id="rId46"/>
          <a:extLst>
            <a:ext uri="{FF2B5EF4-FFF2-40B4-BE49-F238E27FC236}">
              <a16:creationId xmlns:a16="http://schemas.microsoft.com/office/drawing/2014/main" id="{8413E9A0-C20C-0246-8C29-5ED84B2F5715}"/>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48" name="AutoShape 50" descr="Sub-Story">
          <a:hlinkClick xmlns:r="http://schemas.openxmlformats.org/officeDocument/2006/relationships" r:id="rId47"/>
          <a:extLst>
            <a:ext uri="{FF2B5EF4-FFF2-40B4-BE49-F238E27FC236}">
              <a16:creationId xmlns:a16="http://schemas.microsoft.com/office/drawing/2014/main" id="{9CA3D572-AE0B-6A4C-A57F-9AA2165303B3}"/>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49" name="AutoShape 51" descr="Sub-Story">
          <a:hlinkClick xmlns:r="http://schemas.openxmlformats.org/officeDocument/2006/relationships" r:id="rId48"/>
          <a:extLst>
            <a:ext uri="{FF2B5EF4-FFF2-40B4-BE49-F238E27FC236}">
              <a16:creationId xmlns:a16="http://schemas.microsoft.com/office/drawing/2014/main" id="{30870CDF-06CD-1149-A907-A46E14BFD8B5}"/>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50" name="AutoShape 52" descr="Sub-Story">
          <a:hlinkClick xmlns:r="http://schemas.openxmlformats.org/officeDocument/2006/relationships" r:id="rId49"/>
          <a:extLst>
            <a:ext uri="{FF2B5EF4-FFF2-40B4-BE49-F238E27FC236}">
              <a16:creationId xmlns:a16="http://schemas.microsoft.com/office/drawing/2014/main" id="{3DAD405C-7851-8145-ABF9-A0F676C2524D}"/>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51" name="AutoShape 53" descr="Sub-Story">
          <a:hlinkClick xmlns:r="http://schemas.openxmlformats.org/officeDocument/2006/relationships" r:id="rId50"/>
          <a:extLst>
            <a:ext uri="{FF2B5EF4-FFF2-40B4-BE49-F238E27FC236}">
              <a16:creationId xmlns:a16="http://schemas.microsoft.com/office/drawing/2014/main" id="{FF41B647-CAA1-DA42-9F3E-FA3B923AA149}"/>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52" name="AutoShape 54" descr="Sub-Story">
          <a:hlinkClick xmlns:r="http://schemas.openxmlformats.org/officeDocument/2006/relationships" r:id="rId51"/>
          <a:extLst>
            <a:ext uri="{FF2B5EF4-FFF2-40B4-BE49-F238E27FC236}">
              <a16:creationId xmlns:a16="http://schemas.microsoft.com/office/drawing/2014/main" id="{C1F6F96E-42B3-2C4D-AC6F-19A37A485256}"/>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53" name="AutoShape 55" descr="Sub-Story">
          <a:hlinkClick xmlns:r="http://schemas.openxmlformats.org/officeDocument/2006/relationships" r:id="rId52"/>
          <a:extLst>
            <a:ext uri="{FF2B5EF4-FFF2-40B4-BE49-F238E27FC236}">
              <a16:creationId xmlns:a16="http://schemas.microsoft.com/office/drawing/2014/main" id="{153B619C-395D-F943-887E-94DABFD9E699}"/>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54" name="AutoShape 56" descr="Sub-Story">
          <a:hlinkClick xmlns:r="http://schemas.openxmlformats.org/officeDocument/2006/relationships" r:id="rId53"/>
          <a:extLst>
            <a:ext uri="{FF2B5EF4-FFF2-40B4-BE49-F238E27FC236}">
              <a16:creationId xmlns:a16="http://schemas.microsoft.com/office/drawing/2014/main" id="{9AF66BB0-EA95-9F41-B30C-EFE099243E22}"/>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55" name="AutoShape 57" descr="Sub-Story">
          <a:hlinkClick xmlns:r="http://schemas.openxmlformats.org/officeDocument/2006/relationships" r:id="rId54"/>
          <a:extLst>
            <a:ext uri="{FF2B5EF4-FFF2-40B4-BE49-F238E27FC236}">
              <a16:creationId xmlns:a16="http://schemas.microsoft.com/office/drawing/2014/main" id="{44370204-7AE4-AC44-9868-B11B7CF83CF0}"/>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56" name="AutoShape 58" descr="Sub-Story">
          <a:hlinkClick xmlns:r="http://schemas.openxmlformats.org/officeDocument/2006/relationships" r:id="rId55"/>
          <a:extLst>
            <a:ext uri="{FF2B5EF4-FFF2-40B4-BE49-F238E27FC236}">
              <a16:creationId xmlns:a16="http://schemas.microsoft.com/office/drawing/2014/main" id="{9FF59639-598D-F846-8DEB-FCC1DBB6C581}"/>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57" name="AutoShape 59" descr="Sub-Story">
          <a:hlinkClick xmlns:r="http://schemas.openxmlformats.org/officeDocument/2006/relationships" r:id="rId56"/>
          <a:extLst>
            <a:ext uri="{FF2B5EF4-FFF2-40B4-BE49-F238E27FC236}">
              <a16:creationId xmlns:a16="http://schemas.microsoft.com/office/drawing/2014/main" id="{140EFDD0-E705-414D-BB6C-3D1F1B235550}"/>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58" name="AutoShape 60" descr="Sub-Story">
          <a:hlinkClick xmlns:r="http://schemas.openxmlformats.org/officeDocument/2006/relationships" r:id="rId57"/>
          <a:extLst>
            <a:ext uri="{FF2B5EF4-FFF2-40B4-BE49-F238E27FC236}">
              <a16:creationId xmlns:a16="http://schemas.microsoft.com/office/drawing/2014/main" id="{A3CC3D6F-E924-C14D-910C-FA3D8EA31032}"/>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59" name="AutoShape 61" descr="Sub-task">
          <a:hlinkClick xmlns:r="http://schemas.openxmlformats.org/officeDocument/2006/relationships" r:id="rId58"/>
          <a:extLst>
            <a:ext uri="{FF2B5EF4-FFF2-40B4-BE49-F238E27FC236}">
              <a16:creationId xmlns:a16="http://schemas.microsoft.com/office/drawing/2014/main" id="{ED77EEAC-A20C-D548-90D6-F84FA645A33B}"/>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60" name="AutoShape 62" descr="Sub-Story">
          <a:hlinkClick xmlns:r="http://schemas.openxmlformats.org/officeDocument/2006/relationships" r:id="rId59"/>
          <a:extLst>
            <a:ext uri="{FF2B5EF4-FFF2-40B4-BE49-F238E27FC236}">
              <a16:creationId xmlns:a16="http://schemas.microsoft.com/office/drawing/2014/main" id="{992A6857-1776-344E-BF54-E9DBE100E042}"/>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61" name="AutoShape 63" descr="Sub-Story">
          <a:hlinkClick xmlns:r="http://schemas.openxmlformats.org/officeDocument/2006/relationships" r:id="rId60"/>
          <a:extLst>
            <a:ext uri="{FF2B5EF4-FFF2-40B4-BE49-F238E27FC236}">
              <a16:creationId xmlns:a16="http://schemas.microsoft.com/office/drawing/2014/main" id="{80F258FA-4544-B942-8851-B98EFB798F51}"/>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62" name="AutoShape 64" descr="Sub-Story">
          <a:hlinkClick xmlns:r="http://schemas.openxmlformats.org/officeDocument/2006/relationships" r:id="rId61"/>
          <a:extLst>
            <a:ext uri="{FF2B5EF4-FFF2-40B4-BE49-F238E27FC236}">
              <a16:creationId xmlns:a16="http://schemas.microsoft.com/office/drawing/2014/main" id="{15481CDA-4A7C-634A-AAD6-1243A119C577}"/>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63" name="AutoShape 65" descr="Sub-Story">
          <a:hlinkClick xmlns:r="http://schemas.openxmlformats.org/officeDocument/2006/relationships" r:id="rId62"/>
          <a:extLst>
            <a:ext uri="{FF2B5EF4-FFF2-40B4-BE49-F238E27FC236}">
              <a16:creationId xmlns:a16="http://schemas.microsoft.com/office/drawing/2014/main" id="{786056C9-50FC-7B46-A6F6-1F8AC0D35426}"/>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64" name="AutoShape 66" descr="Sub-Story">
          <a:hlinkClick xmlns:r="http://schemas.openxmlformats.org/officeDocument/2006/relationships" r:id="rId63"/>
          <a:extLst>
            <a:ext uri="{FF2B5EF4-FFF2-40B4-BE49-F238E27FC236}">
              <a16:creationId xmlns:a16="http://schemas.microsoft.com/office/drawing/2014/main" id="{6ACF4551-A7E1-C24F-B606-EE98CDA862D8}"/>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65" name="AutoShape 67" descr="Sub-Story">
          <a:hlinkClick xmlns:r="http://schemas.openxmlformats.org/officeDocument/2006/relationships" r:id="rId64"/>
          <a:extLst>
            <a:ext uri="{FF2B5EF4-FFF2-40B4-BE49-F238E27FC236}">
              <a16:creationId xmlns:a16="http://schemas.microsoft.com/office/drawing/2014/main" id="{C8EA35FA-A6E2-724A-88A8-0A1E3709D815}"/>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66" name="AutoShape 68" descr="Sub-Story">
          <a:hlinkClick xmlns:r="http://schemas.openxmlformats.org/officeDocument/2006/relationships" r:id="rId65"/>
          <a:extLst>
            <a:ext uri="{FF2B5EF4-FFF2-40B4-BE49-F238E27FC236}">
              <a16:creationId xmlns:a16="http://schemas.microsoft.com/office/drawing/2014/main" id="{21897C1A-7497-1146-AB9B-3F353181A405}"/>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67" name="AutoShape 69" descr="Sub-Story">
          <a:hlinkClick xmlns:r="http://schemas.openxmlformats.org/officeDocument/2006/relationships" r:id="rId66"/>
          <a:extLst>
            <a:ext uri="{FF2B5EF4-FFF2-40B4-BE49-F238E27FC236}">
              <a16:creationId xmlns:a16="http://schemas.microsoft.com/office/drawing/2014/main" id="{FAC67D0A-447D-4641-8DFA-0D35EF6624EC}"/>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68" name="AutoShape 70" descr="Sub-Story">
          <a:hlinkClick xmlns:r="http://schemas.openxmlformats.org/officeDocument/2006/relationships" r:id="rId67"/>
          <a:extLst>
            <a:ext uri="{FF2B5EF4-FFF2-40B4-BE49-F238E27FC236}">
              <a16:creationId xmlns:a16="http://schemas.microsoft.com/office/drawing/2014/main" id="{526F257C-BAF5-7547-9DF0-CBB963AA4DC9}"/>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69" name="AutoShape 71" descr="Sub-Story">
          <a:hlinkClick xmlns:r="http://schemas.openxmlformats.org/officeDocument/2006/relationships" r:id="rId68"/>
          <a:extLst>
            <a:ext uri="{FF2B5EF4-FFF2-40B4-BE49-F238E27FC236}">
              <a16:creationId xmlns:a16="http://schemas.microsoft.com/office/drawing/2014/main" id="{4A15F635-3BA3-FD4B-B48A-E0C075877449}"/>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70" name="AutoShape 72" descr="Sub-Story">
          <a:hlinkClick xmlns:r="http://schemas.openxmlformats.org/officeDocument/2006/relationships" r:id="rId69"/>
          <a:extLst>
            <a:ext uri="{FF2B5EF4-FFF2-40B4-BE49-F238E27FC236}">
              <a16:creationId xmlns:a16="http://schemas.microsoft.com/office/drawing/2014/main" id="{3DBB9443-7B6F-4042-9747-0B4099CD6CD2}"/>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71" name="AutoShape 73" descr="Sub-Story">
          <a:hlinkClick xmlns:r="http://schemas.openxmlformats.org/officeDocument/2006/relationships" r:id="rId70"/>
          <a:extLst>
            <a:ext uri="{FF2B5EF4-FFF2-40B4-BE49-F238E27FC236}">
              <a16:creationId xmlns:a16="http://schemas.microsoft.com/office/drawing/2014/main" id="{52AB8031-8C35-3141-91FE-529E43DB0C2D}"/>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72" name="AutoShape 74" descr="Sub-Story">
          <a:hlinkClick xmlns:r="http://schemas.openxmlformats.org/officeDocument/2006/relationships" r:id="rId71"/>
          <a:extLst>
            <a:ext uri="{FF2B5EF4-FFF2-40B4-BE49-F238E27FC236}">
              <a16:creationId xmlns:a16="http://schemas.microsoft.com/office/drawing/2014/main" id="{DC72FFAB-FBAE-B146-9A5A-CF565259CCD8}"/>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73" name="AutoShape 75" descr="Sub-Story">
          <a:hlinkClick xmlns:r="http://schemas.openxmlformats.org/officeDocument/2006/relationships" r:id="rId72"/>
          <a:extLst>
            <a:ext uri="{FF2B5EF4-FFF2-40B4-BE49-F238E27FC236}">
              <a16:creationId xmlns:a16="http://schemas.microsoft.com/office/drawing/2014/main" id="{2F95EEE9-C1D4-3242-8E63-A618F7D55949}"/>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74" name="AutoShape 76" descr="Sub-Story">
          <a:hlinkClick xmlns:r="http://schemas.openxmlformats.org/officeDocument/2006/relationships" r:id="rId73"/>
          <a:extLst>
            <a:ext uri="{FF2B5EF4-FFF2-40B4-BE49-F238E27FC236}">
              <a16:creationId xmlns:a16="http://schemas.microsoft.com/office/drawing/2014/main" id="{48F4DBAF-6A93-B14B-879C-490329736C35}"/>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75" name="AutoShape 77" descr="Sub-Story">
          <a:hlinkClick xmlns:r="http://schemas.openxmlformats.org/officeDocument/2006/relationships" r:id="rId74"/>
          <a:extLst>
            <a:ext uri="{FF2B5EF4-FFF2-40B4-BE49-F238E27FC236}">
              <a16:creationId xmlns:a16="http://schemas.microsoft.com/office/drawing/2014/main" id="{BB3B18F4-4A01-1444-8EEE-017154883C74}"/>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76" name="AutoShape 78" descr="Sub-Story">
          <a:hlinkClick xmlns:r="http://schemas.openxmlformats.org/officeDocument/2006/relationships" r:id="rId75"/>
          <a:extLst>
            <a:ext uri="{FF2B5EF4-FFF2-40B4-BE49-F238E27FC236}">
              <a16:creationId xmlns:a16="http://schemas.microsoft.com/office/drawing/2014/main" id="{BBF7D4C3-B902-4143-9A6B-523D50C915FC}"/>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77" name="AutoShape 79" descr="Sub-Story">
          <a:hlinkClick xmlns:r="http://schemas.openxmlformats.org/officeDocument/2006/relationships" r:id="rId76"/>
          <a:extLst>
            <a:ext uri="{FF2B5EF4-FFF2-40B4-BE49-F238E27FC236}">
              <a16:creationId xmlns:a16="http://schemas.microsoft.com/office/drawing/2014/main" id="{6028AD4B-B16E-1148-A086-42E3453546BD}"/>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78" name="AutoShape 80" descr="Sub-Story">
          <a:hlinkClick xmlns:r="http://schemas.openxmlformats.org/officeDocument/2006/relationships" r:id="rId77"/>
          <a:extLst>
            <a:ext uri="{FF2B5EF4-FFF2-40B4-BE49-F238E27FC236}">
              <a16:creationId xmlns:a16="http://schemas.microsoft.com/office/drawing/2014/main" id="{EDD2E8A9-80C8-314D-819B-29D48713A2AA}"/>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79" name="AutoShape 81" descr="Sub-Story">
          <a:hlinkClick xmlns:r="http://schemas.openxmlformats.org/officeDocument/2006/relationships" r:id="rId78"/>
          <a:extLst>
            <a:ext uri="{FF2B5EF4-FFF2-40B4-BE49-F238E27FC236}">
              <a16:creationId xmlns:a16="http://schemas.microsoft.com/office/drawing/2014/main" id="{5CEAB151-1916-C64F-AE9C-C38869465364}"/>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80" name="AutoShape 82" descr="Sub-Story">
          <a:hlinkClick xmlns:r="http://schemas.openxmlformats.org/officeDocument/2006/relationships" r:id="rId79"/>
          <a:extLst>
            <a:ext uri="{FF2B5EF4-FFF2-40B4-BE49-F238E27FC236}">
              <a16:creationId xmlns:a16="http://schemas.microsoft.com/office/drawing/2014/main" id="{02ED41B1-FCA4-9749-A298-EFA25D9FEED6}"/>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81" name="AutoShape 83" descr="Sub-Story">
          <a:hlinkClick xmlns:r="http://schemas.openxmlformats.org/officeDocument/2006/relationships" r:id="rId80"/>
          <a:extLst>
            <a:ext uri="{FF2B5EF4-FFF2-40B4-BE49-F238E27FC236}">
              <a16:creationId xmlns:a16="http://schemas.microsoft.com/office/drawing/2014/main" id="{43DF2E2C-E715-A544-803A-BBDB2CFCDE8B}"/>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82" name="AutoShape 84" descr="Sub-task">
          <a:hlinkClick xmlns:r="http://schemas.openxmlformats.org/officeDocument/2006/relationships" r:id="rId81"/>
          <a:extLst>
            <a:ext uri="{FF2B5EF4-FFF2-40B4-BE49-F238E27FC236}">
              <a16:creationId xmlns:a16="http://schemas.microsoft.com/office/drawing/2014/main" id="{653CA81B-D6B8-4549-85F2-074A28594CF0}"/>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83" name="AutoShape 85" descr="Sub-Story">
          <a:hlinkClick xmlns:r="http://schemas.openxmlformats.org/officeDocument/2006/relationships" r:id="rId82"/>
          <a:extLst>
            <a:ext uri="{FF2B5EF4-FFF2-40B4-BE49-F238E27FC236}">
              <a16:creationId xmlns:a16="http://schemas.microsoft.com/office/drawing/2014/main" id="{CCAE8C6C-486D-5F40-A0FE-E053B79DF8C3}"/>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84" name="AutoShape 86" descr="Sub-Story">
          <a:hlinkClick xmlns:r="http://schemas.openxmlformats.org/officeDocument/2006/relationships" r:id="rId83"/>
          <a:extLst>
            <a:ext uri="{FF2B5EF4-FFF2-40B4-BE49-F238E27FC236}">
              <a16:creationId xmlns:a16="http://schemas.microsoft.com/office/drawing/2014/main" id="{F1C3EEE0-3ED0-8F45-8A2A-8C60A886A15C}"/>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85" name="AutoShape 87" descr="Sub-Story">
          <a:hlinkClick xmlns:r="http://schemas.openxmlformats.org/officeDocument/2006/relationships" r:id="rId84"/>
          <a:extLst>
            <a:ext uri="{FF2B5EF4-FFF2-40B4-BE49-F238E27FC236}">
              <a16:creationId xmlns:a16="http://schemas.microsoft.com/office/drawing/2014/main" id="{D468A92D-8DFC-B54F-A5C6-51A09903A6E8}"/>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86" name="AutoShape 88" descr="Sub-Story">
          <a:hlinkClick xmlns:r="http://schemas.openxmlformats.org/officeDocument/2006/relationships" r:id="rId85"/>
          <a:extLst>
            <a:ext uri="{FF2B5EF4-FFF2-40B4-BE49-F238E27FC236}">
              <a16:creationId xmlns:a16="http://schemas.microsoft.com/office/drawing/2014/main" id="{5AAFC39E-6861-FA44-8153-C19B690DF8B1}"/>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87" name="AutoShape 89" descr="Sub-Story">
          <a:hlinkClick xmlns:r="http://schemas.openxmlformats.org/officeDocument/2006/relationships" r:id="rId86"/>
          <a:extLst>
            <a:ext uri="{FF2B5EF4-FFF2-40B4-BE49-F238E27FC236}">
              <a16:creationId xmlns:a16="http://schemas.microsoft.com/office/drawing/2014/main" id="{B8086959-FC3F-FA4C-B4EC-8258B2E3CD6D}"/>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88" name="AutoShape 90" descr="Sub-Story">
          <a:hlinkClick xmlns:r="http://schemas.openxmlformats.org/officeDocument/2006/relationships" r:id="rId87"/>
          <a:extLst>
            <a:ext uri="{FF2B5EF4-FFF2-40B4-BE49-F238E27FC236}">
              <a16:creationId xmlns:a16="http://schemas.microsoft.com/office/drawing/2014/main" id="{FC75021E-3769-9044-A9C3-E83E0CC34A08}"/>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89" name="AutoShape 91" descr="Sub-Story">
          <a:hlinkClick xmlns:r="http://schemas.openxmlformats.org/officeDocument/2006/relationships" r:id="rId88"/>
          <a:extLst>
            <a:ext uri="{FF2B5EF4-FFF2-40B4-BE49-F238E27FC236}">
              <a16:creationId xmlns:a16="http://schemas.microsoft.com/office/drawing/2014/main" id="{73F24E07-273C-424F-B533-1C500FF8CD52}"/>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90" name="AutoShape 92" descr="Sub-Story">
          <a:hlinkClick xmlns:r="http://schemas.openxmlformats.org/officeDocument/2006/relationships" r:id="rId89"/>
          <a:extLst>
            <a:ext uri="{FF2B5EF4-FFF2-40B4-BE49-F238E27FC236}">
              <a16:creationId xmlns:a16="http://schemas.microsoft.com/office/drawing/2014/main" id="{C132D9B4-F6CF-8F46-B7CF-87BCCE9221B3}"/>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91" name="AutoShape 93" descr="Sub-Story">
          <a:hlinkClick xmlns:r="http://schemas.openxmlformats.org/officeDocument/2006/relationships" r:id="rId90"/>
          <a:extLst>
            <a:ext uri="{FF2B5EF4-FFF2-40B4-BE49-F238E27FC236}">
              <a16:creationId xmlns:a16="http://schemas.microsoft.com/office/drawing/2014/main" id="{206AF6A8-64C0-6F4F-A3C5-38EA6287D74B}"/>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92" name="AutoShape 94" descr="Sub-Story">
          <a:hlinkClick xmlns:r="http://schemas.openxmlformats.org/officeDocument/2006/relationships" r:id="rId91"/>
          <a:extLst>
            <a:ext uri="{FF2B5EF4-FFF2-40B4-BE49-F238E27FC236}">
              <a16:creationId xmlns:a16="http://schemas.microsoft.com/office/drawing/2014/main" id="{3B13D9D4-E956-CF4C-ABD3-344A2C5CCEFF}"/>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93" name="AutoShape 95" descr="Sub-Story">
          <a:hlinkClick xmlns:r="http://schemas.openxmlformats.org/officeDocument/2006/relationships" r:id="rId92"/>
          <a:extLst>
            <a:ext uri="{FF2B5EF4-FFF2-40B4-BE49-F238E27FC236}">
              <a16:creationId xmlns:a16="http://schemas.microsoft.com/office/drawing/2014/main" id="{3617A4DE-807A-7844-83AB-D18B0A2C41BB}"/>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94" name="AutoShape 96" descr="Sub-Story">
          <a:hlinkClick xmlns:r="http://schemas.openxmlformats.org/officeDocument/2006/relationships" r:id="rId93"/>
          <a:extLst>
            <a:ext uri="{FF2B5EF4-FFF2-40B4-BE49-F238E27FC236}">
              <a16:creationId xmlns:a16="http://schemas.microsoft.com/office/drawing/2014/main" id="{23DDF723-F747-4A46-A05B-F6CEAE47ABCC}"/>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95" name="AutoShape 97" descr="Sub-Story">
          <a:hlinkClick xmlns:r="http://schemas.openxmlformats.org/officeDocument/2006/relationships" r:id="rId94"/>
          <a:extLst>
            <a:ext uri="{FF2B5EF4-FFF2-40B4-BE49-F238E27FC236}">
              <a16:creationId xmlns:a16="http://schemas.microsoft.com/office/drawing/2014/main" id="{A7F21A46-E06C-D248-B7EF-DA0DE884A4C0}"/>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96" name="AutoShape 98" descr="Sub-Story">
          <a:hlinkClick xmlns:r="http://schemas.openxmlformats.org/officeDocument/2006/relationships" r:id="rId95"/>
          <a:extLst>
            <a:ext uri="{FF2B5EF4-FFF2-40B4-BE49-F238E27FC236}">
              <a16:creationId xmlns:a16="http://schemas.microsoft.com/office/drawing/2014/main" id="{8986BD09-2ADA-5A42-A185-4BEE02D0172C}"/>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97" name="AutoShape 99" descr="Sub-Story">
          <a:hlinkClick xmlns:r="http://schemas.openxmlformats.org/officeDocument/2006/relationships" r:id="rId96"/>
          <a:extLst>
            <a:ext uri="{FF2B5EF4-FFF2-40B4-BE49-F238E27FC236}">
              <a16:creationId xmlns:a16="http://schemas.microsoft.com/office/drawing/2014/main" id="{7C843065-9EDF-2346-8EDF-0D1EBFFFCF68}"/>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98" name="AutoShape 100" descr="Sub-Story">
          <a:hlinkClick xmlns:r="http://schemas.openxmlformats.org/officeDocument/2006/relationships" r:id="rId97"/>
          <a:extLst>
            <a:ext uri="{FF2B5EF4-FFF2-40B4-BE49-F238E27FC236}">
              <a16:creationId xmlns:a16="http://schemas.microsoft.com/office/drawing/2014/main" id="{FB193951-FD25-0C4A-AEC7-5C9ADD551EB2}"/>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99" name="AutoShape 101" descr="Sub-Story">
          <a:hlinkClick xmlns:r="http://schemas.openxmlformats.org/officeDocument/2006/relationships" r:id="rId98"/>
          <a:extLst>
            <a:ext uri="{FF2B5EF4-FFF2-40B4-BE49-F238E27FC236}">
              <a16:creationId xmlns:a16="http://schemas.microsoft.com/office/drawing/2014/main" id="{D45B1E47-F1A0-3A48-A338-086843EC0D9C}"/>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00" name="AutoShape 102" descr="Sub-Story">
          <a:hlinkClick xmlns:r="http://schemas.openxmlformats.org/officeDocument/2006/relationships" r:id="rId99"/>
          <a:extLst>
            <a:ext uri="{FF2B5EF4-FFF2-40B4-BE49-F238E27FC236}">
              <a16:creationId xmlns:a16="http://schemas.microsoft.com/office/drawing/2014/main" id="{2CCD687F-97B5-E54E-8FFF-53B3606588E4}"/>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01" name="AutoShape 103" descr="Sub-Story">
          <a:hlinkClick xmlns:r="http://schemas.openxmlformats.org/officeDocument/2006/relationships" r:id="rId100"/>
          <a:extLst>
            <a:ext uri="{FF2B5EF4-FFF2-40B4-BE49-F238E27FC236}">
              <a16:creationId xmlns:a16="http://schemas.microsoft.com/office/drawing/2014/main" id="{532ADD10-0FCB-CD48-92D4-65A400559B3D}"/>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02" name="AutoShape 104" descr="Sub-Story">
          <a:hlinkClick xmlns:r="http://schemas.openxmlformats.org/officeDocument/2006/relationships" r:id="rId101"/>
          <a:extLst>
            <a:ext uri="{FF2B5EF4-FFF2-40B4-BE49-F238E27FC236}">
              <a16:creationId xmlns:a16="http://schemas.microsoft.com/office/drawing/2014/main" id="{925EA87E-1AF2-C94F-9801-04352FC5DE4D}"/>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03" name="AutoShape 105" descr="Sub-Story">
          <a:hlinkClick xmlns:r="http://schemas.openxmlformats.org/officeDocument/2006/relationships" r:id="rId102"/>
          <a:extLst>
            <a:ext uri="{FF2B5EF4-FFF2-40B4-BE49-F238E27FC236}">
              <a16:creationId xmlns:a16="http://schemas.microsoft.com/office/drawing/2014/main" id="{0AD69684-3653-E04A-8306-017070BF3E43}"/>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04" name="AutoShape 106" descr="Sub-Story">
          <a:hlinkClick xmlns:r="http://schemas.openxmlformats.org/officeDocument/2006/relationships" r:id="rId103"/>
          <a:extLst>
            <a:ext uri="{FF2B5EF4-FFF2-40B4-BE49-F238E27FC236}">
              <a16:creationId xmlns:a16="http://schemas.microsoft.com/office/drawing/2014/main" id="{2E33A67C-C2D7-F940-8144-BEFAF074A7C4}"/>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248</xdr:row>
      <xdr:rowOff>0</xdr:rowOff>
    </xdr:from>
    <xdr:to>
      <xdr:col>6</xdr:col>
      <xdr:colOff>152400</xdr:colOff>
      <xdr:row>248</xdr:row>
      <xdr:rowOff>152400</xdr:rowOff>
    </xdr:to>
    <xdr:sp macro="" textlink="">
      <xdr:nvSpPr>
        <xdr:cNvPr id="105" name="AutoShape 107" descr="Sub-Story">
          <a:hlinkClick xmlns:r="http://schemas.openxmlformats.org/officeDocument/2006/relationships" r:id="rId104"/>
          <a:extLst>
            <a:ext uri="{FF2B5EF4-FFF2-40B4-BE49-F238E27FC236}">
              <a16:creationId xmlns:a16="http://schemas.microsoft.com/office/drawing/2014/main" id="{FA94CE03-F216-E940-A688-06A353B58CCB}"/>
            </a:ext>
          </a:extLst>
        </xdr:cNvPr>
        <xdr:cNvSpPr>
          <a:spLocks noChangeAspect="1" noChangeArrowheads="1"/>
        </xdr:cNvSpPr>
      </xdr:nvSpPr>
      <xdr:spPr bwMode="auto">
        <a:xfrm>
          <a:off x="8978900" y="3700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154</xdr:row>
      <xdr:rowOff>0</xdr:rowOff>
    </xdr:from>
    <xdr:to>
      <xdr:col>4</xdr:col>
      <xdr:colOff>152400</xdr:colOff>
      <xdr:row>154</xdr:row>
      <xdr:rowOff>152400</xdr:rowOff>
    </xdr:to>
    <xdr:sp macro="" textlink="">
      <xdr:nvSpPr>
        <xdr:cNvPr id="8196" name="AutoShape 4" descr="Sub-Story">
          <a:hlinkClick xmlns:r="http://schemas.openxmlformats.org/officeDocument/2006/relationships" r:id="rId1"/>
          <a:extLst>
            <a:ext uri="{FF2B5EF4-FFF2-40B4-BE49-F238E27FC236}">
              <a16:creationId xmlns:a16="http://schemas.microsoft.com/office/drawing/2014/main" id="{10BDC817-8180-440E-BC8A-A8200191339F}"/>
            </a:ext>
          </a:extLst>
        </xdr:cNvPr>
        <xdr:cNvSpPr>
          <a:spLocks noChangeAspect="1" noChangeArrowheads="1"/>
        </xdr:cNvSpPr>
      </xdr:nvSpPr>
      <xdr:spPr bwMode="auto">
        <a:xfrm>
          <a:off x="8938260" y="43624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197" name="AutoShape 5" descr="Sub-Story">
          <a:hlinkClick xmlns:r="http://schemas.openxmlformats.org/officeDocument/2006/relationships" r:id="rId2"/>
          <a:extLst>
            <a:ext uri="{FF2B5EF4-FFF2-40B4-BE49-F238E27FC236}">
              <a16:creationId xmlns:a16="http://schemas.microsoft.com/office/drawing/2014/main" id="{081FB29C-C7D4-45A4-9F75-F6F6416E3494}"/>
            </a:ext>
          </a:extLst>
        </xdr:cNvPr>
        <xdr:cNvSpPr>
          <a:spLocks noChangeAspect="1" noChangeArrowheads="1"/>
        </xdr:cNvSpPr>
      </xdr:nvSpPr>
      <xdr:spPr bwMode="auto">
        <a:xfrm>
          <a:off x="8938260" y="44005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198" name="AutoShape 6" descr="Sub-task">
          <a:hlinkClick xmlns:r="http://schemas.openxmlformats.org/officeDocument/2006/relationships" r:id="rId3"/>
          <a:extLst>
            <a:ext uri="{FF2B5EF4-FFF2-40B4-BE49-F238E27FC236}">
              <a16:creationId xmlns:a16="http://schemas.microsoft.com/office/drawing/2014/main" id="{5E30EBD0-B0BD-47F2-BE22-9F82ED931445}"/>
            </a:ext>
          </a:extLst>
        </xdr:cNvPr>
        <xdr:cNvSpPr>
          <a:spLocks noChangeAspect="1" noChangeArrowheads="1"/>
        </xdr:cNvSpPr>
      </xdr:nvSpPr>
      <xdr:spPr bwMode="auto">
        <a:xfrm>
          <a:off x="8938260" y="44386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199" name="AutoShape 7" descr="Sub-Story">
          <a:hlinkClick xmlns:r="http://schemas.openxmlformats.org/officeDocument/2006/relationships" r:id="rId4"/>
          <a:extLst>
            <a:ext uri="{FF2B5EF4-FFF2-40B4-BE49-F238E27FC236}">
              <a16:creationId xmlns:a16="http://schemas.microsoft.com/office/drawing/2014/main" id="{5757B429-0500-48FE-A643-164CE48A187C}"/>
            </a:ext>
          </a:extLst>
        </xdr:cNvPr>
        <xdr:cNvSpPr>
          <a:spLocks noChangeAspect="1" noChangeArrowheads="1"/>
        </xdr:cNvSpPr>
      </xdr:nvSpPr>
      <xdr:spPr bwMode="auto">
        <a:xfrm>
          <a:off x="8938260" y="44767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00" name="AutoShape 8" descr="Sub-Story">
          <a:hlinkClick xmlns:r="http://schemas.openxmlformats.org/officeDocument/2006/relationships" r:id="rId5"/>
          <a:extLst>
            <a:ext uri="{FF2B5EF4-FFF2-40B4-BE49-F238E27FC236}">
              <a16:creationId xmlns:a16="http://schemas.microsoft.com/office/drawing/2014/main" id="{63C9A6A4-B1FF-40EE-B348-AD47E11C2869}"/>
            </a:ext>
          </a:extLst>
        </xdr:cNvPr>
        <xdr:cNvSpPr>
          <a:spLocks noChangeAspect="1" noChangeArrowheads="1"/>
        </xdr:cNvSpPr>
      </xdr:nvSpPr>
      <xdr:spPr bwMode="auto">
        <a:xfrm>
          <a:off x="8938260" y="4514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01" name="AutoShape 9" descr="Sub-Story">
          <a:hlinkClick xmlns:r="http://schemas.openxmlformats.org/officeDocument/2006/relationships" r:id="rId6"/>
          <a:extLst>
            <a:ext uri="{FF2B5EF4-FFF2-40B4-BE49-F238E27FC236}">
              <a16:creationId xmlns:a16="http://schemas.microsoft.com/office/drawing/2014/main" id="{ABD4AEA1-6C53-4795-B346-87F9E7293712}"/>
            </a:ext>
          </a:extLst>
        </xdr:cNvPr>
        <xdr:cNvSpPr>
          <a:spLocks noChangeAspect="1" noChangeArrowheads="1"/>
        </xdr:cNvSpPr>
      </xdr:nvSpPr>
      <xdr:spPr bwMode="auto">
        <a:xfrm>
          <a:off x="8938260" y="45529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02" name="AutoShape 10" descr="Sub-Story">
          <a:hlinkClick xmlns:r="http://schemas.openxmlformats.org/officeDocument/2006/relationships" r:id="rId7"/>
          <a:extLst>
            <a:ext uri="{FF2B5EF4-FFF2-40B4-BE49-F238E27FC236}">
              <a16:creationId xmlns:a16="http://schemas.microsoft.com/office/drawing/2014/main" id="{9979D5AB-486A-419B-B247-D87356AC4FD5}"/>
            </a:ext>
          </a:extLst>
        </xdr:cNvPr>
        <xdr:cNvSpPr>
          <a:spLocks noChangeAspect="1" noChangeArrowheads="1"/>
        </xdr:cNvSpPr>
      </xdr:nvSpPr>
      <xdr:spPr bwMode="auto">
        <a:xfrm>
          <a:off x="8938260" y="4591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03" name="AutoShape 11" descr="Sub-Story">
          <a:hlinkClick xmlns:r="http://schemas.openxmlformats.org/officeDocument/2006/relationships" r:id="rId8"/>
          <a:extLst>
            <a:ext uri="{FF2B5EF4-FFF2-40B4-BE49-F238E27FC236}">
              <a16:creationId xmlns:a16="http://schemas.microsoft.com/office/drawing/2014/main" id="{F59CEC11-4285-4685-A322-DDAAAFB58D1C}"/>
            </a:ext>
          </a:extLst>
        </xdr:cNvPr>
        <xdr:cNvSpPr>
          <a:spLocks noChangeAspect="1" noChangeArrowheads="1"/>
        </xdr:cNvSpPr>
      </xdr:nvSpPr>
      <xdr:spPr bwMode="auto">
        <a:xfrm>
          <a:off x="8938260" y="4629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04" name="AutoShape 12" descr="Sub-Story">
          <a:hlinkClick xmlns:r="http://schemas.openxmlformats.org/officeDocument/2006/relationships" r:id="rId9"/>
          <a:extLst>
            <a:ext uri="{FF2B5EF4-FFF2-40B4-BE49-F238E27FC236}">
              <a16:creationId xmlns:a16="http://schemas.microsoft.com/office/drawing/2014/main" id="{2D3B77B2-13AC-4194-8F27-9B6804DD0B53}"/>
            </a:ext>
          </a:extLst>
        </xdr:cNvPr>
        <xdr:cNvSpPr>
          <a:spLocks noChangeAspect="1" noChangeArrowheads="1"/>
        </xdr:cNvSpPr>
      </xdr:nvSpPr>
      <xdr:spPr bwMode="auto">
        <a:xfrm>
          <a:off x="8938260" y="46672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05" name="AutoShape 13" descr="Sub-task">
          <a:hlinkClick xmlns:r="http://schemas.openxmlformats.org/officeDocument/2006/relationships" r:id="rId10"/>
          <a:extLst>
            <a:ext uri="{FF2B5EF4-FFF2-40B4-BE49-F238E27FC236}">
              <a16:creationId xmlns:a16="http://schemas.microsoft.com/office/drawing/2014/main" id="{EEE531C4-8E5D-4476-AE58-A785C4331A7A}"/>
            </a:ext>
          </a:extLst>
        </xdr:cNvPr>
        <xdr:cNvSpPr>
          <a:spLocks noChangeAspect="1" noChangeArrowheads="1"/>
        </xdr:cNvSpPr>
      </xdr:nvSpPr>
      <xdr:spPr bwMode="auto">
        <a:xfrm>
          <a:off x="8938260" y="47053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06" name="AutoShape 14" descr="Sub-Story">
          <a:hlinkClick xmlns:r="http://schemas.openxmlformats.org/officeDocument/2006/relationships" r:id="rId11"/>
          <a:extLst>
            <a:ext uri="{FF2B5EF4-FFF2-40B4-BE49-F238E27FC236}">
              <a16:creationId xmlns:a16="http://schemas.microsoft.com/office/drawing/2014/main" id="{9E13DF42-79E2-43EB-B5D9-5DFA8A577D45}"/>
            </a:ext>
          </a:extLst>
        </xdr:cNvPr>
        <xdr:cNvSpPr>
          <a:spLocks noChangeAspect="1" noChangeArrowheads="1"/>
        </xdr:cNvSpPr>
      </xdr:nvSpPr>
      <xdr:spPr bwMode="auto">
        <a:xfrm>
          <a:off x="8938260" y="47434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07" name="AutoShape 15" descr="Sub-Story">
          <a:hlinkClick xmlns:r="http://schemas.openxmlformats.org/officeDocument/2006/relationships" r:id="rId12"/>
          <a:extLst>
            <a:ext uri="{FF2B5EF4-FFF2-40B4-BE49-F238E27FC236}">
              <a16:creationId xmlns:a16="http://schemas.microsoft.com/office/drawing/2014/main" id="{5D5E5780-56DA-4DBE-82A1-5554DB9FFF3B}"/>
            </a:ext>
          </a:extLst>
        </xdr:cNvPr>
        <xdr:cNvSpPr>
          <a:spLocks noChangeAspect="1" noChangeArrowheads="1"/>
        </xdr:cNvSpPr>
      </xdr:nvSpPr>
      <xdr:spPr bwMode="auto">
        <a:xfrm>
          <a:off x="8938260" y="47815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08" name="AutoShape 16" descr="Sub-Story">
          <a:hlinkClick xmlns:r="http://schemas.openxmlformats.org/officeDocument/2006/relationships" r:id="rId13"/>
          <a:extLst>
            <a:ext uri="{FF2B5EF4-FFF2-40B4-BE49-F238E27FC236}">
              <a16:creationId xmlns:a16="http://schemas.microsoft.com/office/drawing/2014/main" id="{B757D4BE-EBEC-4763-9BA0-62692127D7EE}"/>
            </a:ext>
          </a:extLst>
        </xdr:cNvPr>
        <xdr:cNvSpPr>
          <a:spLocks noChangeAspect="1" noChangeArrowheads="1"/>
        </xdr:cNvSpPr>
      </xdr:nvSpPr>
      <xdr:spPr bwMode="auto">
        <a:xfrm>
          <a:off x="8938260" y="48196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09" name="AutoShape 17" descr="Sub-Story">
          <a:hlinkClick xmlns:r="http://schemas.openxmlformats.org/officeDocument/2006/relationships" r:id="rId14"/>
          <a:extLst>
            <a:ext uri="{FF2B5EF4-FFF2-40B4-BE49-F238E27FC236}">
              <a16:creationId xmlns:a16="http://schemas.microsoft.com/office/drawing/2014/main" id="{C6428E7F-5700-41C5-BBD8-7252B2CC929D}"/>
            </a:ext>
          </a:extLst>
        </xdr:cNvPr>
        <xdr:cNvSpPr>
          <a:spLocks noChangeAspect="1" noChangeArrowheads="1"/>
        </xdr:cNvSpPr>
      </xdr:nvSpPr>
      <xdr:spPr bwMode="auto">
        <a:xfrm>
          <a:off x="8938260" y="48577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10" name="AutoShape 18" descr="Sub-Story">
          <a:hlinkClick xmlns:r="http://schemas.openxmlformats.org/officeDocument/2006/relationships" r:id="rId15"/>
          <a:extLst>
            <a:ext uri="{FF2B5EF4-FFF2-40B4-BE49-F238E27FC236}">
              <a16:creationId xmlns:a16="http://schemas.microsoft.com/office/drawing/2014/main" id="{F3A467CA-A594-4D57-92A8-B09F2DE8D144}"/>
            </a:ext>
          </a:extLst>
        </xdr:cNvPr>
        <xdr:cNvSpPr>
          <a:spLocks noChangeAspect="1" noChangeArrowheads="1"/>
        </xdr:cNvSpPr>
      </xdr:nvSpPr>
      <xdr:spPr bwMode="auto">
        <a:xfrm>
          <a:off x="8938260" y="4895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11" name="AutoShape 19" descr="Sub-Story">
          <a:hlinkClick xmlns:r="http://schemas.openxmlformats.org/officeDocument/2006/relationships" r:id="rId16"/>
          <a:extLst>
            <a:ext uri="{FF2B5EF4-FFF2-40B4-BE49-F238E27FC236}">
              <a16:creationId xmlns:a16="http://schemas.microsoft.com/office/drawing/2014/main" id="{6179D6E6-F781-4187-816A-9B4C71FBEED1}"/>
            </a:ext>
          </a:extLst>
        </xdr:cNvPr>
        <xdr:cNvSpPr>
          <a:spLocks noChangeAspect="1" noChangeArrowheads="1"/>
        </xdr:cNvSpPr>
      </xdr:nvSpPr>
      <xdr:spPr bwMode="auto">
        <a:xfrm>
          <a:off x="8938260" y="49339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12" name="AutoShape 20" descr="Sub-Story">
          <a:hlinkClick xmlns:r="http://schemas.openxmlformats.org/officeDocument/2006/relationships" r:id="rId17"/>
          <a:extLst>
            <a:ext uri="{FF2B5EF4-FFF2-40B4-BE49-F238E27FC236}">
              <a16:creationId xmlns:a16="http://schemas.microsoft.com/office/drawing/2014/main" id="{6B8C9FF0-69DD-4B24-93A5-FA485DB54B58}"/>
            </a:ext>
          </a:extLst>
        </xdr:cNvPr>
        <xdr:cNvSpPr>
          <a:spLocks noChangeAspect="1" noChangeArrowheads="1"/>
        </xdr:cNvSpPr>
      </xdr:nvSpPr>
      <xdr:spPr bwMode="auto">
        <a:xfrm>
          <a:off x="8938260" y="4972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13" name="AutoShape 21" descr="Sub-Story">
          <a:hlinkClick xmlns:r="http://schemas.openxmlformats.org/officeDocument/2006/relationships" r:id="rId18"/>
          <a:extLst>
            <a:ext uri="{FF2B5EF4-FFF2-40B4-BE49-F238E27FC236}">
              <a16:creationId xmlns:a16="http://schemas.microsoft.com/office/drawing/2014/main" id="{EAAB7742-38FE-4757-A200-3C06B2C48EA4}"/>
            </a:ext>
          </a:extLst>
        </xdr:cNvPr>
        <xdr:cNvSpPr>
          <a:spLocks noChangeAspect="1" noChangeArrowheads="1"/>
        </xdr:cNvSpPr>
      </xdr:nvSpPr>
      <xdr:spPr bwMode="auto">
        <a:xfrm>
          <a:off x="8938260" y="5010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14" name="AutoShape 22" descr="Sub-Story">
          <a:hlinkClick xmlns:r="http://schemas.openxmlformats.org/officeDocument/2006/relationships" r:id="rId19"/>
          <a:extLst>
            <a:ext uri="{FF2B5EF4-FFF2-40B4-BE49-F238E27FC236}">
              <a16:creationId xmlns:a16="http://schemas.microsoft.com/office/drawing/2014/main" id="{FCC4981F-AB1F-48F2-BDC5-7B56F2880430}"/>
            </a:ext>
          </a:extLst>
        </xdr:cNvPr>
        <xdr:cNvSpPr>
          <a:spLocks noChangeAspect="1" noChangeArrowheads="1"/>
        </xdr:cNvSpPr>
      </xdr:nvSpPr>
      <xdr:spPr bwMode="auto">
        <a:xfrm>
          <a:off x="8938260" y="50482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15" name="AutoShape 23" descr="Sub-Story">
          <a:hlinkClick xmlns:r="http://schemas.openxmlformats.org/officeDocument/2006/relationships" r:id="rId20"/>
          <a:extLst>
            <a:ext uri="{FF2B5EF4-FFF2-40B4-BE49-F238E27FC236}">
              <a16:creationId xmlns:a16="http://schemas.microsoft.com/office/drawing/2014/main" id="{4AEA62D1-579C-4681-935C-0CE11B5BC545}"/>
            </a:ext>
          </a:extLst>
        </xdr:cNvPr>
        <xdr:cNvSpPr>
          <a:spLocks noChangeAspect="1" noChangeArrowheads="1"/>
        </xdr:cNvSpPr>
      </xdr:nvSpPr>
      <xdr:spPr bwMode="auto">
        <a:xfrm>
          <a:off x="8938260" y="50863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16" name="AutoShape 24" descr="Sub-Story">
          <a:hlinkClick xmlns:r="http://schemas.openxmlformats.org/officeDocument/2006/relationships" r:id="rId21"/>
          <a:extLst>
            <a:ext uri="{FF2B5EF4-FFF2-40B4-BE49-F238E27FC236}">
              <a16:creationId xmlns:a16="http://schemas.microsoft.com/office/drawing/2014/main" id="{427819CE-B374-47CE-A98D-4DB10DE6C543}"/>
            </a:ext>
          </a:extLst>
        </xdr:cNvPr>
        <xdr:cNvSpPr>
          <a:spLocks noChangeAspect="1" noChangeArrowheads="1"/>
        </xdr:cNvSpPr>
      </xdr:nvSpPr>
      <xdr:spPr bwMode="auto">
        <a:xfrm>
          <a:off x="8938260" y="51244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17" name="AutoShape 25" descr="Sub-task">
          <a:hlinkClick xmlns:r="http://schemas.openxmlformats.org/officeDocument/2006/relationships" r:id="rId22"/>
          <a:extLst>
            <a:ext uri="{FF2B5EF4-FFF2-40B4-BE49-F238E27FC236}">
              <a16:creationId xmlns:a16="http://schemas.microsoft.com/office/drawing/2014/main" id="{78E3A27F-0095-44A8-838D-DDC2BCD4F3EF}"/>
            </a:ext>
          </a:extLst>
        </xdr:cNvPr>
        <xdr:cNvSpPr>
          <a:spLocks noChangeAspect="1" noChangeArrowheads="1"/>
        </xdr:cNvSpPr>
      </xdr:nvSpPr>
      <xdr:spPr bwMode="auto">
        <a:xfrm>
          <a:off x="8938260" y="51625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18" name="AutoShape 26" descr="Sub-Story">
          <a:hlinkClick xmlns:r="http://schemas.openxmlformats.org/officeDocument/2006/relationships" r:id="rId23"/>
          <a:extLst>
            <a:ext uri="{FF2B5EF4-FFF2-40B4-BE49-F238E27FC236}">
              <a16:creationId xmlns:a16="http://schemas.microsoft.com/office/drawing/2014/main" id="{DB1E6309-9110-49E4-94DD-1C6D6D81756A}"/>
            </a:ext>
          </a:extLst>
        </xdr:cNvPr>
        <xdr:cNvSpPr>
          <a:spLocks noChangeAspect="1" noChangeArrowheads="1"/>
        </xdr:cNvSpPr>
      </xdr:nvSpPr>
      <xdr:spPr bwMode="auto">
        <a:xfrm>
          <a:off x="8938260" y="52006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19" name="AutoShape 27" descr="Sub-Story">
          <a:hlinkClick xmlns:r="http://schemas.openxmlformats.org/officeDocument/2006/relationships" r:id="rId24"/>
          <a:extLst>
            <a:ext uri="{FF2B5EF4-FFF2-40B4-BE49-F238E27FC236}">
              <a16:creationId xmlns:a16="http://schemas.microsoft.com/office/drawing/2014/main" id="{18E01217-963D-4361-B45E-D3078FFEEDAD}"/>
            </a:ext>
          </a:extLst>
        </xdr:cNvPr>
        <xdr:cNvSpPr>
          <a:spLocks noChangeAspect="1" noChangeArrowheads="1"/>
        </xdr:cNvSpPr>
      </xdr:nvSpPr>
      <xdr:spPr bwMode="auto">
        <a:xfrm>
          <a:off x="8938260" y="52387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20" name="AutoShape 28" descr="Sub-Story">
          <a:hlinkClick xmlns:r="http://schemas.openxmlformats.org/officeDocument/2006/relationships" r:id="rId25"/>
          <a:extLst>
            <a:ext uri="{FF2B5EF4-FFF2-40B4-BE49-F238E27FC236}">
              <a16:creationId xmlns:a16="http://schemas.microsoft.com/office/drawing/2014/main" id="{2C9E1F8B-21F2-41BC-812D-412AC15E003B}"/>
            </a:ext>
          </a:extLst>
        </xdr:cNvPr>
        <xdr:cNvSpPr>
          <a:spLocks noChangeAspect="1" noChangeArrowheads="1"/>
        </xdr:cNvSpPr>
      </xdr:nvSpPr>
      <xdr:spPr bwMode="auto">
        <a:xfrm>
          <a:off x="8938260" y="5276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21" name="AutoShape 29" descr="Sub-Story">
          <a:hlinkClick xmlns:r="http://schemas.openxmlformats.org/officeDocument/2006/relationships" r:id="rId26"/>
          <a:extLst>
            <a:ext uri="{FF2B5EF4-FFF2-40B4-BE49-F238E27FC236}">
              <a16:creationId xmlns:a16="http://schemas.microsoft.com/office/drawing/2014/main" id="{C7E9992F-BB84-4D5D-A7BE-38301C461C8F}"/>
            </a:ext>
          </a:extLst>
        </xdr:cNvPr>
        <xdr:cNvSpPr>
          <a:spLocks noChangeAspect="1" noChangeArrowheads="1"/>
        </xdr:cNvSpPr>
      </xdr:nvSpPr>
      <xdr:spPr bwMode="auto">
        <a:xfrm>
          <a:off x="8938260" y="53149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22" name="AutoShape 30" descr="Sub-Story">
          <a:hlinkClick xmlns:r="http://schemas.openxmlformats.org/officeDocument/2006/relationships" r:id="rId27"/>
          <a:extLst>
            <a:ext uri="{FF2B5EF4-FFF2-40B4-BE49-F238E27FC236}">
              <a16:creationId xmlns:a16="http://schemas.microsoft.com/office/drawing/2014/main" id="{177685BA-8319-4723-BB3D-F93E0933D7CE}"/>
            </a:ext>
          </a:extLst>
        </xdr:cNvPr>
        <xdr:cNvSpPr>
          <a:spLocks noChangeAspect="1" noChangeArrowheads="1"/>
        </xdr:cNvSpPr>
      </xdr:nvSpPr>
      <xdr:spPr bwMode="auto">
        <a:xfrm>
          <a:off x="8938260" y="5353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23" name="AutoShape 31" descr="Sub-Story">
          <a:hlinkClick xmlns:r="http://schemas.openxmlformats.org/officeDocument/2006/relationships" r:id="rId28"/>
          <a:extLst>
            <a:ext uri="{FF2B5EF4-FFF2-40B4-BE49-F238E27FC236}">
              <a16:creationId xmlns:a16="http://schemas.microsoft.com/office/drawing/2014/main" id="{DA6DC6CE-9516-44FB-8A5E-EB3697BD73BE}"/>
            </a:ext>
          </a:extLst>
        </xdr:cNvPr>
        <xdr:cNvSpPr>
          <a:spLocks noChangeAspect="1" noChangeArrowheads="1"/>
        </xdr:cNvSpPr>
      </xdr:nvSpPr>
      <xdr:spPr bwMode="auto">
        <a:xfrm>
          <a:off x="8938260" y="5391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24" name="AutoShape 32" descr="Sub-task">
          <a:hlinkClick xmlns:r="http://schemas.openxmlformats.org/officeDocument/2006/relationships" r:id="rId29"/>
          <a:extLst>
            <a:ext uri="{FF2B5EF4-FFF2-40B4-BE49-F238E27FC236}">
              <a16:creationId xmlns:a16="http://schemas.microsoft.com/office/drawing/2014/main" id="{4385C1C8-B5CE-4D60-8827-AD0FE95E1E6D}"/>
            </a:ext>
          </a:extLst>
        </xdr:cNvPr>
        <xdr:cNvSpPr>
          <a:spLocks noChangeAspect="1" noChangeArrowheads="1"/>
        </xdr:cNvSpPr>
      </xdr:nvSpPr>
      <xdr:spPr bwMode="auto">
        <a:xfrm>
          <a:off x="8938260" y="54292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25" name="AutoShape 33" descr="Sub-Story">
          <a:hlinkClick xmlns:r="http://schemas.openxmlformats.org/officeDocument/2006/relationships" r:id="rId30"/>
          <a:extLst>
            <a:ext uri="{FF2B5EF4-FFF2-40B4-BE49-F238E27FC236}">
              <a16:creationId xmlns:a16="http://schemas.microsoft.com/office/drawing/2014/main" id="{3D442D82-BDB8-47B2-9625-E64A916EE718}"/>
            </a:ext>
          </a:extLst>
        </xdr:cNvPr>
        <xdr:cNvSpPr>
          <a:spLocks noChangeAspect="1" noChangeArrowheads="1"/>
        </xdr:cNvSpPr>
      </xdr:nvSpPr>
      <xdr:spPr bwMode="auto">
        <a:xfrm>
          <a:off x="8938260" y="54673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26" name="AutoShape 34" descr="Sub-Story">
          <a:hlinkClick xmlns:r="http://schemas.openxmlformats.org/officeDocument/2006/relationships" r:id="rId31"/>
          <a:extLst>
            <a:ext uri="{FF2B5EF4-FFF2-40B4-BE49-F238E27FC236}">
              <a16:creationId xmlns:a16="http://schemas.microsoft.com/office/drawing/2014/main" id="{4D5ACB21-1A93-47F2-B34A-10545E4BE0FA}"/>
            </a:ext>
          </a:extLst>
        </xdr:cNvPr>
        <xdr:cNvSpPr>
          <a:spLocks noChangeAspect="1" noChangeArrowheads="1"/>
        </xdr:cNvSpPr>
      </xdr:nvSpPr>
      <xdr:spPr bwMode="auto">
        <a:xfrm>
          <a:off x="8938260" y="55054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27" name="AutoShape 35" descr="Sub-Story">
          <a:hlinkClick xmlns:r="http://schemas.openxmlformats.org/officeDocument/2006/relationships" r:id="rId32"/>
          <a:extLst>
            <a:ext uri="{FF2B5EF4-FFF2-40B4-BE49-F238E27FC236}">
              <a16:creationId xmlns:a16="http://schemas.microsoft.com/office/drawing/2014/main" id="{A8C087FA-CF61-41FB-959B-A6E29B12B7C2}"/>
            </a:ext>
          </a:extLst>
        </xdr:cNvPr>
        <xdr:cNvSpPr>
          <a:spLocks noChangeAspect="1" noChangeArrowheads="1"/>
        </xdr:cNvSpPr>
      </xdr:nvSpPr>
      <xdr:spPr bwMode="auto">
        <a:xfrm>
          <a:off x="8938260" y="55435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28" name="AutoShape 36" descr="Sub-Story">
          <a:hlinkClick xmlns:r="http://schemas.openxmlformats.org/officeDocument/2006/relationships" r:id="rId33"/>
          <a:extLst>
            <a:ext uri="{FF2B5EF4-FFF2-40B4-BE49-F238E27FC236}">
              <a16:creationId xmlns:a16="http://schemas.microsoft.com/office/drawing/2014/main" id="{B17594E7-0486-4D79-8910-EC9FB22CA6D1}"/>
            </a:ext>
          </a:extLst>
        </xdr:cNvPr>
        <xdr:cNvSpPr>
          <a:spLocks noChangeAspect="1" noChangeArrowheads="1"/>
        </xdr:cNvSpPr>
      </xdr:nvSpPr>
      <xdr:spPr bwMode="auto">
        <a:xfrm>
          <a:off x="8938260" y="55816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29" name="AutoShape 37" descr="Sub-Story">
          <a:hlinkClick xmlns:r="http://schemas.openxmlformats.org/officeDocument/2006/relationships" r:id="rId34"/>
          <a:extLst>
            <a:ext uri="{FF2B5EF4-FFF2-40B4-BE49-F238E27FC236}">
              <a16:creationId xmlns:a16="http://schemas.microsoft.com/office/drawing/2014/main" id="{1EABC9DB-4381-4897-9693-B178C4F59614}"/>
            </a:ext>
          </a:extLst>
        </xdr:cNvPr>
        <xdr:cNvSpPr>
          <a:spLocks noChangeAspect="1" noChangeArrowheads="1"/>
        </xdr:cNvSpPr>
      </xdr:nvSpPr>
      <xdr:spPr bwMode="auto">
        <a:xfrm>
          <a:off x="8938260" y="56197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30" name="AutoShape 38" descr="Sub-Story">
          <a:hlinkClick xmlns:r="http://schemas.openxmlformats.org/officeDocument/2006/relationships" r:id="rId35"/>
          <a:extLst>
            <a:ext uri="{FF2B5EF4-FFF2-40B4-BE49-F238E27FC236}">
              <a16:creationId xmlns:a16="http://schemas.microsoft.com/office/drawing/2014/main" id="{49B85F2A-1C45-47EA-B504-6BC20465C7D2}"/>
            </a:ext>
          </a:extLst>
        </xdr:cNvPr>
        <xdr:cNvSpPr>
          <a:spLocks noChangeAspect="1" noChangeArrowheads="1"/>
        </xdr:cNvSpPr>
      </xdr:nvSpPr>
      <xdr:spPr bwMode="auto">
        <a:xfrm>
          <a:off x="8938260" y="5657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31" name="AutoShape 39" descr="Sub-Story">
          <a:hlinkClick xmlns:r="http://schemas.openxmlformats.org/officeDocument/2006/relationships" r:id="rId36"/>
          <a:extLst>
            <a:ext uri="{FF2B5EF4-FFF2-40B4-BE49-F238E27FC236}">
              <a16:creationId xmlns:a16="http://schemas.microsoft.com/office/drawing/2014/main" id="{44E92F80-99B0-4038-B4B0-0D34149289B6}"/>
            </a:ext>
          </a:extLst>
        </xdr:cNvPr>
        <xdr:cNvSpPr>
          <a:spLocks noChangeAspect="1" noChangeArrowheads="1"/>
        </xdr:cNvSpPr>
      </xdr:nvSpPr>
      <xdr:spPr bwMode="auto">
        <a:xfrm>
          <a:off x="8938260" y="56959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32" name="AutoShape 40" descr="Sub-Story">
          <a:hlinkClick xmlns:r="http://schemas.openxmlformats.org/officeDocument/2006/relationships" r:id="rId37"/>
          <a:extLst>
            <a:ext uri="{FF2B5EF4-FFF2-40B4-BE49-F238E27FC236}">
              <a16:creationId xmlns:a16="http://schemas.microsoft.com/office/drawing/2014/main" id="{5302E973-47BB-44CF-99CF-7F1DB351CB21}"/>
            </a:ext>
          </a:extLst>
        </xdr:cNvPr>
        <xdr:cNvSpPr>
          <a:spLocks noChangeAspect="1" noChangeArrowheads="1"/>
        </xdr:cNvSpPr>
      </xdr:nvSpPr>
      <xdr:spPr bwMode="auto">
        <a:xfrm>
          <a:off x="8938260" y="5734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33" name="AutoShape 41" descr="Sub-Story">
          <a:hlinkClick xmlns:r="http://schemas.openxmlformats.org/officeDocument/2006/relationships" r:id="rId38"/>
          <a:extLst>
            <a:ext uri="{FF2B5EF4-FFF2-40B4-BE49-F238E27FC236}">
              <a16:creationId xmlns:a16="http://schemas.microsoft.com/office/drawing/2014/main" id="{8E7F8081-76D7-4AC0-AECE-F959CAD2DD17}"/>
            </a:ext>
          </a:extLst>
        </xdr:cNvPr>
        <xdr:cNvSpPr>
          <a:spLocks noChangeAspect="1" noChangeArrowheads="1"/>
        </xdr:cNvSpPr>
      </xdr:nvSpPr>
      <xdr:spPr bwMode="auto">
        <a:xfrm>
          <a:off x="8938260" y="5772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34" name="AutoShape 42" descr="Sub-Story">
          <a:hlinkClick xmlns:r="http://schemas.openxmlformats.org/officeDocument/2006/relationships" r:id="rId39"/>
          <a:extLst>
            <a:ext uri="{FF2B5EF4-FFF2-40B4-BE49-F238E27FC236}">
              <a16:creationId xmlns:a16="http://schemas.microsoft.com/office/drawing/2014/main" id="{025F6CF9-9DA9-4FE5-9F22-A3FF7D14675D}"/>
            </a:ext>
          </a:extLst>
        </xdr:cNvPr>
        <xdr:cNvSpPr>
          <a:spLocks noChangeAspect="1" noChangeArrowheads="1"/>
        </xdr:cNvSpPr>
      </xdr:nvSpPr>
      <xdr:spPr bwMode="auto">
        <a:xfrm>
          <a:off x="8938260" y="58102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35" name="AutoShape 43" descr="Sub-Story">
          <a:hlinkClick xmlns:r="http://schemas.openxmlformats.org/officeDocument/2006/relationships" r:id="rId40"/>
          <a:extLst>
            <a:ext uri="{FF2B5EF4-FFF2-40B4-BE49-F238E27FC236}">
              <a16:creationId xmlns:a16="http://schemas.microsoft.com/office/drawing/2014/main" id="{AA876374-82E0-4FDE-A5DE-0535E65865A3}"/>
            </a:ext>
          </a:extLst>
        </xdr:cNvPr>
        <xdr:cNvSpPr>
          <a:spLocks noChangeAspect="1" noChangeArrowheads="1"/>
        </xdr:cNvSpPr>
      </xdr:nvSpPr>
      <xdr:spPr bwMode="auto">
        <a:xfrm>
          <a:off x="8938260" y="58483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36" name="AutoShape 44" descr="Sub-Story">
          <a:hlinkClick xmlns:r="http://schemas.openxmlformats.org/officeDocument/2006/relationships" r:id="rId41"/>
          <a:extLst>
            <a:ext uri="{FF2B5EF4-FFF2-40B4-BE49-F238E27FC236}">
              <a16:creationId xmlns:a16="http://schemas.microsoft.com/office/drawing/2014/main" id="{CA69CBCF-3C5A-4A40-93A6-2CCD1F56B1B9}"/>
            </a:ext>
          </a:extLst>
        </xdr:cNvPr>
        <xdr:cNvSpPr>
          <a:spLocks noChangeAspect="1" noChangeArrowheads="1"/>
        </xdr:cNvSpPr>
      </xdr:nvSpPr>
      <xdr:spPr bwMode="auto">
        <a:xfrm>
          <a:off x="8938260" y="58864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37" name="AutoShape 45" descr="Sub-Story">
          <a:hlinkClick xmlns:r="http://schemas.openxmlformats.org/officeDocument/2006/relationships" r:id="rId42"/>
          <a:extLst>
            <a:ext uri="{FF2B5EF4-FFF2-40B4-BE49-F238E27FC236}">
              <a16:creationId xmlns:a16="http://schemas.microsoft.com/office/drawing/2014/main" id="{8644809A-7EA9-443F-986E-8815F5834675}"/>
            </a:ext>
          </a:extLst>
        </xdr:cNvPr>
        <xdr:cNvSpPr>
          <a:spLocks noChangeAspect="1" noChangeArrowheads="1"/>
        </xdr:cNvSpPr>
      </xdr:nvSpPr>
      <xdr:spPr bwMode="auto">
        <a:xfrm>
          <a:off x="8938260" y="59245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38" name="AutoShape 46" descr="Sub-Story">
          <a:hlinkClick xmlns:r="http://schemas.openxmlformats.org/officeDocument/2006/relationships" r:id="rId43"/>
          <a:extLst>
            <a:ext uri="{FF2B5EF4-FFF2-40B4-BE49-F238E27FC236}">
              <a16:creationId xmlns:a16="http://schemas.microsoft.com/office/drawing/2014/main" id="{8921D189-F5EA-43A8-9FAE-F2668EE95647}"/>
            </a:ext>
          </a:extLst>
        </xdr:cNvPr>
        <xdr:cNvSpPr>
          <a:spLocks noChangeAspect="1" noChangeArrowheads="1"/>
        </xdr:cNvSpPr>
      </xdr:nvSpPr>
      <xdr:spPr bwMode="auto">
        <a:xfrm>
          <a:off x="8938260" y="59626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39" name="AutoShape 47" descr="Sub-Story">
          <a:hlinkClick xmlns:r="http://schemas.openxmlformats.org/officeDocument/2006/relationships" r:id="rId44"/>
          <a:extLst>
            <a:ext uri="{FF2B5EF4-FFF2-40B4-BE49-F238E27FC236}">
              <a16:creationId xmlns:a16="http://schemas.microsoft.com/office/drawing/2014/main" id="{28146209-977A-4A42-934E-F398697A1AF7}"/>
            </a:ext>
          </a:extLst>
        </xdr:cNvPr>
        <xdr:cNvSpPr>
          <a:spLocks noChangeAspect="1" noChangeArrowheads="1"/>
        </xdr:cNvSpPr>
      </xdr:nvSpPr>
      <xdr:spPr bwMode="auto">
        <a:xfrm>
          <a:off x="8938260" y="60007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40" name="AutoShape 48" descr="Sub-Story">
          <a:hlinkClick xmlns:r="http://schemas.openxmlformats.org/officeDocument/2006/relationships" r:id="rId45"/>
          <a:extLst>
            <a:ext uri="{FF2B5EF4-FFF2-40B4-BE49-F238E27FC236}">
              <a16:creationId xmlns:a16="http://schemas.microsoft.com/office/drawing/2014/main" id="{E801D17A-1086-4EA1-8F16-2307B4664CA6}"/>
            </a:ext>
          </a:extLst>
        </xdr:cNvPr>
        <xdr:cNvSpPr>
          <a:spLocks noChangeAspect="1" noChangeArrowheads="1"/>
        </xdr:cNvSpPr>
      </xdr:nvSpPr>
      <xdr:spPr bwMode="auto">
        <a:xfrm>
          <a:off x="8938260" y="6038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41" name="AutoShape 49" descr="Sub-Story">
          <a:hlinkClick xmlns:r="http://schemas.openxmlformats.org/officeDocument/2006/relationships" r:id="rId46"/>
          <a:extLst>
            <a:ext uri="{FF2B5EF4-FFF2-40B4-BE49-F238E27FC236}">
              <a16:creationId xmlns:a16="http://schemas.microsoft.com/office/drawing/2014/main" id="{8D6B7246-5866-4073-8C15-0B2A5CAED3CF}"/>
            </a:ext>
          </a:extLst>
        </xdr:cNvPr>
        <xdr:cNvSpPr>
          <a:spLocks noChangeAspect="1" noChangeArrowheads="1"/>
        </xdr:cNvSpPr>
      </xdr:nvSpPr>
      <xdr:spPr bwMode="auto">
        <a:xfrm>
          <a:off x="8938260" y="60769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42" name="AutoShape 50" descr="Sub-Story">
          <a:hlinkClick xmlns:r="http://schemas.openxmlformats.org/officeDocument/2006/relationships" r:id="rId47"/>
          <a:extLst>
            <a:ext uri="{FF2B5EF4-FFF2-40B4-BE49-F238E27FC236}">
              <a16:creationId xmlns:a16="http://schemas.microsoft.com/office/drawing/2014/main" id="{B0B1BE31-3444-4B30-9D44-0A6846C30A4B}"/>
            </a:ext>
          </a:extLst>
        </xdr:cNvPr>
        <xdr:cNvSpPr>
          <a:spLocks noChangeAspect="1" noChangeArrowheads="1"/>
        </xdr:cNvSpPr>
      </xdr:nvSpPr>
      <xdr:spPr bwMode="auto">
        <a:xfrm>
          <a:off x="8938260" y="6115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43" name="AutoShape 51" descr="Sub-Story">
          <a:hlinkClick xmlns:r="http://schemas.openxmlformats.org/officeDocument/2006/relationships" r:id="rId48"/>
          <a:extLst>
            <a:ext uri="{FF2B5EF4-FFF2-40B4-BE49-F238E27FC236}">
              <a16:creationId xmlns:a16="http://schemas.microsoft.com/office/drawing/2014/main" id="{35912EC4-7CD2-4331-BC59-0DD76859C8D8}"/>
            </a:ext>
          </a:extLst>
        </xdr:cNvPr>
        <xdr:cNvSpPr>
          <a:spLocks noChangeAspect="1" noChangeArrowheads="1"/>
        </xdr:cNvSpPr>
      </xdr:nvSpPr>
      <xdr:spPr bwMode="auto">
        <a:xfrm>
          <a:off x="8938260" y="6153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44" name="AutoShape 52" descr="Sub-Story">
          <a:hlinkClick xmlns:r="http://schemas.openxmlformats.org/officeDocument/2006/relationships" r:id="rId49"/>
          <a:extLst>
            <a:ext uri="{FF2B5EF4-FFF2-40B4-BE49-F238E27FC236}">
              <a16:creationId xmlns:a16="http://schemas.microsoft.com/office/drawing/2014/main" id="{6E20B3F3-BB88-425A-B79E-5405D837833E}"/>
            </a:ext>
          </a:extLst>
        </xdr:cNvPr>
        <xdr:cNvSpPr>
          <a:spLocks noChangeAspect="1" noChangeArrowheads="1"/>
        </xdr:cNvSpPr>
      </xdr:nvSpPr>
      <xdr:spPr bwMode="auto">
        <a:xfrm>
          <a:off x="8938260" y="61912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45" name="AutoShape 53" descr="Sub-Story">
          <a:hlinkClick xmlns:r="http://schemas.openxmlformats.org/officeDocument/2006/relationships" r:id="rId50"/>
          <a:extLst>
            <a:ext uri="{FF2B5EF4-FFF2-40B4-BE49-F238E27FC236}">
              <a16:creationId xmlns:a16="http://schemas.microsoft.com/office/drawing/2014/main" id="{A663531A-754A-4A0A-86D0-A81BA6D6DB20}"/>
            </a:ext>
          </a:extLst>
        </xdr:cNvPr>
        <xdr:cNvSpPr>
          <a:spLocks noChangeAspect="1" noChangeArrowheads="1"/>
        </xdr:cNvSpPr>
      </xdr:nvSpPr>
      <xdr:spPr bwMode="auto">
        <a:xfrm>
          <a:off x="8938260" y="62293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46" name="AutoShape 54" descr="Sub-Story">
          <a:hlinkClick xmlns:r="http://schemas.openxmlformats.org/officeDocument/2006/relationships" r:id="rId51"/>
          <a:extLst>
            <a:ext uri="{FF2B5EF4-FFF2-40B4-BE49-F238E27FC236}">
              <a16:creationId xmlns:a16="http://schemas.microsoft.com/office/drawing/2014/main" id="{64311543-B63C-480A-8126-12BB3BCA8267}"/>
            </a:ext>
          </a:extLst>
        </xdr:cNvPr>
        <xdr:cNvSpPr>
          <a:spLocks noChangeAspect="1" noChangeArrowheads="1"/>
        </xdr:cNvSpPr>
      </xdr:nvSpPr>
      <xdr:spPr bwMode="auto">
        <a:xfrm>
          <a:off x="8938260" y="62674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47" name="AutoShape 55" descr="Sub-Story">
          <a:hlinkClick xmlns:r="http://schemas.openxmlformats.org/officeDocument/2006/relationships" r:id="rId52"/>
          <a:extLst>
            <a:ext uri="{FF2B5EF4-FFF2-40B4-BE49-F238E27FC236}">
              <a16:creationId xmlns:a16="http://schemas.microsoft.com/office/drawing/2014/main" id="{511CC88E-9E23-4671-84C3-7416E14D8F3D}"/>
            </a:ext>
          </a:extLst>
        </xdr:cNvPr>
        <xdr:cNvSpPr>
          <a:spLocks noChangeAspect="1" noChangeArrowheads="1"/>
        </xdr:cNvSpPr>
      </xdr:nvSpPr>
      <xdr:spPr bwMode="auto">
        <a:xfrm>
          <a:off x="8938260" y="63055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48" name="AutoShape 56" descr="Sub-Story">
          <a:hlinkClick xmlns:r="http://schemas.openxmlformats.org/officeDocument/2006/relationships" r:id="rId53"/>
          <a:extLst>
            <a:ext uri="{FF2B5EF4-FFF2-40B4-BE49-F238E27FC236}">
              <a16:creationId xmlns:a16="http://schemas.microsoft.com/office/drawing/2014/main" id="{D6789BCE-5969-4107-9273-C7A76DBEDA39}"/>
            </a:ext>
          </a:extLst>
        </xdr:cNvPr>
        <xdr:cNvSpPr>
          <a:spLocks noChangeAspect="1" noChangeArrowheads="1"/>
        </xdr:cNvSpPr>
      </xdr:nvSpPr>
      <xdr:spPr bwMode="auto">
        <a:xfrm>
          <a:off x="8938260" y="63436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49" name="AutoShape 57" descr="Sub-Story">
          <a:hlinkClick xmlns:r="http://schemas.openxmlformats.org/officeDocument/2006/relationships" r:id="rId54"/>
          <a:extLst>
            <a:ext uri="{FF2B5EF4-FFF2-40B4-BE49-F238E27FC236}">
              <a16:creationId xmlns:a16="http://schemas.microsoft.com/office/drawing/2014/main" id="{5A4131D1-D975-4167-92C9-30169D073680}"/>
            </a:ext>
          </a:extLst>
        </xdr:cNvPr>
        <xdr:cNvSpPr>
          <a:spLocks noChangeAspect="1" noChangeArrowheads="1"/>
        </xdr:cNvSpPr>
      </xdr:nvSpPr>
      <xdr:spPr bwMode="auto">
        <a:xfrm>
          <a:off x="8938260" y="63817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50" name="AutoShape 58" descr="Sub-Story">
          <a:hlinkClick xmlns:r="http://schemas.openxmlformats.org/officeDocument/2006/relationships" r:id="rId55"/>
          <a:extLst>
            <a:ext uri="{FF2B5EF4-FFF2-40B4-BE49-F238E27FC236}">
              <a16:creationId xmlns:a16="http://schemas.microsoft.com/office/drawing/2014/main" id="{8B2CE36A-45EB-4B49-8151-E8B37A3E3E42}"/>
            </a:ext>
          </a:extLst>
        </xdr:cNvPr>
        <xdr:cNvSpPr>
          <a:spLocks noChangeAspect="1" noChangeArrowheads="1"/>
        </xdr:cNvSpPr>
      </xdr:nvSpPr>
      <xdr:spPr bwMode="auto">
        <a:xfrm>
          <a:off x="8938260" y="6419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51" name="AutoShape 59" descr="Sub-Story">
          <a:hlinkClick xmlns:r="http://schemas.openxmlformats.org/officeDocument/2006/relationships" r:id="rId56"/>
          <a:extLst>
            <a:ext uri="{FF2B5EF4-FFF2-40B4-BE49-F238E27FC236}">
              <a16:creationId xmlns:a16="http://schemas.microsoft.com/office/drawing/2014/main" id="{1FFBBF62-F9CA-4306-B9EE-160B287A255E}"/>
            </a:ext>
          </a:extLst>
        </xdr:cNvPr>
        <xdr:cNvSpPr>
          <a:spLocks noChangeAspect="1" noChangeArrowheads="1"/>
        </xdr:cNvSpPr>
      </xdr:nvSpPr>
      <xdr:spPr bwMode="auto">
        <a:xfrm>
          <a:off x="8938260" y="64579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52" name="AutoShape 60" descr="Sub-Story">
          <a:hlinkClick xmlns:r="http://schemas.openxmlformats.org/officeDocument/2006/relationships" r:id="rId57"/>
          <a:extLst>
            <a:ext uri="{FF2B5EF4-FFF2-40B4-BE49-F238E27FC236}">
              <a16:creationId xmlns:a16="http://schemas.microsoft.com/office/drawing/2014/main" id="{B28AC2A4-E5ED-4D91-A832-A21C2ABCAC83}"/>
            </a:ext>
          </a:extLst>
        </xdr:cNvPr>
        <xdr:cNvSpPr>
          <a:spLocks noChangeAspect="1" noChangeArrowheads="1"/>
        </xdr:cNvSpPr>
      </xdr:nvSpPr>
      <xdr:spPr bwMode="auto">
        <a:xfrm>
          <a:off x="8938260" y="6496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53" name="AutoShape 61" descr="Sub-task">
          <a:hlinkClick xmlns:r="http://schemas.openxmlformats.org/officeDocument/2006/relationships" r:id="rId58"/>
          <a:extLst>
            <a:ext uri="{FF2B5EF4-FFF2-40B4-BE49-F238E27FC236}">
              <a16:creationId xmlns:a16="http://schemas.microsoft.com/office/drawing/2014/main" id="{989E966A-8DF4-410A-8386-9BEA32011FC3}"/>
            </a:ext>
          </a:extLst>
        </xdr:cNvPr>
        <xdr:cNvSpPr>
          <a:spLocks noChangeAspect="1" noChangeArrowheads="1"/>
        </xdr:cNvSpPr>
      </xdr:nvSpPr>
      <xdr:spPr bwMode="auto">
        <a:xfrm>
          <a:off x="8938260" y="6534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54" name="AutoShape 62" descr="Sub-Story">
          <a:hlinkClick xmlns:r="http://schemas.openxmlformats.org/officeDocument/2006/relationships" r:id="rId59"/>
          <a:extLst>
            <a:ext uri="{FF2B5EF4-FFF2-40B4-BE49-F238E27FC236}">
              <a16:creationId xmlns:a16="http://schemas.microsoft.com/office/drawing/2014/main" id="{DAAF539D-D17F-403E-A1A3-F0D77DE456C7}"/>
            </a:ext>
          </a:extLst>
        </xdr:cNvPr>
        <xdr:cNvSpPr>
          <a:spLocks noChangeAspect="1" noChangeArrowheads="1"/>
        </xdr:cNvSpPr>
      </xdr:nvSpPr>
      <xdr:spPr bwMode="auto">
        <a:xfrm>
          <a:off x="8938260" y="65722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55" name="AutoShape 63" descr="Sub-Story">
          <a:hlinkClick xmlns:r="http://schemas.openxmlformats.org/officeDocument/2006/relationships" r:id="rId60"/>
          <a:extLst>
            <a:ext uri="{FF2B5EF4-FFF2-40B4-BE49-F238E27FC236}">
              <a16:creationId xmlns:a16="http://schemas.microsoft.com/office/drawing/2014/main" id="{059CFED4-4349-4A14-BE21-B206B7630996}"/>
            </a:ext>
          </a:extLst>
        </xdr:cNvPr>
        <xdr:cNvSpPr>
          <a:spLocks noChangeAspect="1" noChangeArrowheads="1"/>
        </xdr:cNvSpPr>
      </xdr:nvSpPr>
      <xdr:spPr bwMode="auto">
        <a:xfrm>
          <a:off x="8938260" y="66103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56" name="AutoShape 64" descr="Sub-Story">
          <a:hlinkClick xmlns:r="http://schemas.openxmlformats.org/officeDocument/2006/relationships" r:id="rId61"/>
          <a:extLst>
            <a:ext uri="{FF2B5EF4-FFF2-40B4-BE49-F238E27FC236}">
              <a16:creationId xmlns:a16="http://schemas.microsoft.com/office/drawing/2014/main" id="{7186F6E5-D373-4EC5-9475-BE158D2B30BF}"/>
            </a:ext>
          </a:extLst>
        </xdr:cNvPr>
        <xdr:cNvSpPr>
          <a:spLocks noChangeAspect="1" noChangeArrowheads="1"/>
        </xdr:cNvSpPr>
      </xdr:nvSpPr>
      <xdr:spPr bwMode="auto">
        <a:xfrm>
          <a:off x="8938260" y="66484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57" name="AutoShape 65" descr="Sub-Story">
          <a:hlinkClick xmlns:r="http://schemas.openxmlformats.org/officeDocument/2006/relationships" r:id="rId62"/>
          <a:extLst>
            <a:ext uri="{FF2B5EF4-FFF2-40B4-BE49-F238E27FC236}">
              <a16:creationId xmlns:a16="http://schemas.microsoft.com/office/drawing/2014/main" id="{D4B4131A-42B7-49EC-B8D0-0BB04DD53751}"/>
            </a:ext>
          </a:extLst>
        </xdr:cNvPr>
        <xdr:cNvSpPr>
          <a:spLocks noChangeAspect="1" noChangeArrowheads="1"/>
        </xdr:cNvSpPr>
      </xdr:nvSpPr>
      <xdr:spPr bwMode="auto">
        <a:xfrm>
          <a:off x="8938260" y="66865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58" name="AutoShape 66" descr="Sub-Story">
          <a:hlinkClick xmlns:r="http://schemas.openxmlformats.org/officeDocument/2006/relationships" r:id="rId63"/>
          <a:extLst>
            <a:ext uri="{FF2B5EF4-FFF2-40B4-BE49-F238E27FC236}">
              <a16:creationId xmlns:a16="http://schemas.microsoft.com/office/drawing/2014/main" id="{328FE99F-CEA4-4FF8-8A8B-BFDB90DB3004}"/>
            </a:ext>
          </a:extLst>
        </xdr:cNvPr>
        <xdr:cNvSpPr>
          <a:spLocks noChangeAspect="1" noChangeArrowheads="1"/>
        </xdr:cNvSpPr>
      </xdr:nvSpPr>
      <xdr:spPr bwMode="auto">
        <a:xfrm>
          <a:off x="8938260" y="67246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59" name="AutoShape 67" descr="Sub-Story">
          <a:hlinkClick xmlns:r="http://schemas.openxmlformats.org/officeDocument/2006/relationships" r:id="rId64"/>
          <a:extLst>
            <a:ext uri="{FF2B5EF4-FFF2-40B4-BE49-F238E27FC236}">
              <a16:creationId xmlns:a16="http://schemas.microsoft.com/office/drawing/2014/main" id="{1008747D-A86C-4238-9407-E0D7452EB649}"/>
            </a:ext>
          </a:extLst>
        </xdr:cNvPr>
        <xdr:cNvSpPr>
          <a:spLocks noChangeAspect="1" noChangeArrowheads="1"/>
        </xdr:cNvSpPr>
      </xdr:nvSpPr>
      <xdr:spPr bwMode="auto">
        <a:xfrm>
          <a:off x="8938260" y="67627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60" name="AutoShape 68" descr="Sub-Story">
          <a:hlinkClick xmlns:r="http://schemas.openxmlformats.org/officeDocument/2006/relationships" r:id="rId65"/>
          <a:extLst>
            <a:ext uri="{FF2B5EF4-FFF2-40B4-BE49-F238E27FC236}">
              <a16:creationId xmlns:a16="http://schemas.microsoft.com/office/drawing/2014/main" id="{0C15384B-3C3F-4D34-9435-EE5DA6BD3ACF}"/>
            </a:ext>
          </a:extLst>
        </xdr:cNvPr>
        <xdr:cNvSpPr>
          <a:spLocks noChangeAspect="1" noChangeArrowheads="1"/>
        </xdr:cNvSpPr>
      </xdr:nvSpPr>
      <xdr:spPr bwMode="auto">
        <a:xfrm>
          <a:off x="8938260" y="6800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61" name="AutoShape 69" descr="Sub-Story">
          <a:hlinkClick xmlns:r="http://schemas.openxmlformats.org/officeDocument/2006/relationships" r:id="rId66"/>
          <a:extLst>
            <a:ext uri="{FF2B5EF4-FFF2-40B4-BE49-F238E27FC236}">
              <a16:creationId xmlns:a16="http://schemas.microsoft.com/office/drawing/2014/main" id="{F4A50C2E-F697-4DFC-BE40-68F1C78E87DB}"/>
            </a:ext>
          </a:extLst>
        </xdr:cNvPr>
        <xdr:cNvSpPr>
          <a:spLocks noChangeAspect="1" noChangeArrowheads="1"/>
        </xdr:cNvSpPr>
      </xdr:nvSpPr>
      <xdr:spPr bwMode="auto">
        <a:xfrm>
          <a:off x="8938260" y="68389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62" name="AutoShape 70" descr="Sub-Story">
          <a:hlinkClick xmlns:r="http://schemas.openxmlformats.org/officeDocument/2006/relationships" r:id="rId67"/>
          <a:extLst>
            <a:ext uri="{FF2B5EF4-FFF2-40B4-BE49-F238E27FC236}">
              <a16:creationId xmlns:a16="http://schemas.microsoft.com/office/drawing/2014/main" id="{5D9AFDAA-FA5A-43D2-A6BB-45E2C5AA98AB}"/>
            </a:ext>
          </a:extLst>
        </xdr:cNvPr>
        <xdr:cNvSpPr>
          <a:spLocks noChangeAspect="1" noChangeArrowheads="1"/>
        </xdr:cNvSpPr>
      </xdr:nvSpPr>
      <xdr:spPr bwMode="auto">
        <a:xfrm>
          <a:off x="8938260" y="6877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63" name="AutoShape 71" descr="Sub-Story">
          <a:hlinkClick xmlns:r="http://schemas.openxmlformats.org/officeDocument/2006/relationships" r:id="rId68"/>
          <a:extLst>
            <a:ext uri="{FF2B5EF4-FFF2-40B4-BE49-F238E27FC236}">
              <a16:creationId xmlns:a16="http://schemas.microsoft.com/office/drawing/2014/main" id="{2F1829AD-05FE-41F5-A0DD-AC27C5224C50}"/>
            </a:ext>
          </a:extLst>
        </xdr:cNvPr>
        <xdr:cNvSpPr>
          <a:spLocks noChangeAspect="1" noChangeArrowheads="1"/>
        </xdr:cNvSpPr>
      </xdr:nvSpPr>
      <xdr:spPr bwMode="auto">
        <a:xfrm>
          <a:off x="8938260" y="6915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64" name="AutoShape 72" descr="Sub-Story">
          <a:hlinkClick xmlns:r="http://schemas.openxmlformats.org/officeDocument/2006/relationships" r:id="rId69"/>
          <a:extLst>
            <a:ext uri="{FF2B5EF4-FFF2-40B4-BE49-F238E27FC236}">
              <a16:creationId xmlns:a16="http://schemas.microsoft.com/office/drawing/2014/main" id="{379C84B1-C593-4CC2-807D-BF5DEE3A4AE1}"/>
            </a:ext>
          </a:extLst>
        </xdr:cNvPr>
        <xdr:cNvSpPr>
          <a:spLocks noChangeAspect="1" noChangeArrowheads="1"/>
        </xdr:cNvSpPr>
      </xdr:nvSpPr>
      <xdr:spPr bwMode="auto">
        <a:xfrm>
          <a:off x="8938260" y="69532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65" name="AutoShape 73" descr="Sub-Story">
          <a:hlinkClick xmlns:r="http://schemas.openxmlformats.org/officeDocument/2006/relationships" r:id="rId70"/>
          <a:extLst>
            <a:ext uri="{FF2B5EF4-FFF2-40B4-BE49-F238E27FC236}">
              <a16:creationId xmlns:a16="http://schemas.microsoft.com/office/drawing/2014/main" id="{8E3E6D96-EBE6-4BF0-9C4E-0315685901D4}"/>
            </a:ext>
          </a:extLst>
        </xdr:cNvPr>
        <xdr:cNvSpPr>
          <a:spLocks noChangeAspect="1" noChangeArrowheads="1"/>
        </xdr:cNvSpPr>
      </xdr:nvSpPr>
      <xdr:spPr bwMode="auto">
        <a:xfrm>
          <a:off x="8938260" y="69913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66" name="AutoShape 74" descr="Sub-Story">
          <a:hlinkClick xmlns:r="http://schemas.openxmlformats.org/officeDocument/2006/relationships" r:id="rId71"/>
          <a:extLst>
            <a:ext uri="{FF2B5EF4-FFF2-40B4-BE49-F238E27FC236}">
              <a16:creationId xmlns:a16="http://schemas.microsoft.com/office/drawing/2014/main" id="{6F971EAA-7D37-4261-8998-8B06F1515256}"/>
            </a:ext>
          </a:extLst>
        </xdr:cNvPr>
        <xdr:cNvSpPr>
          <a:spLocks noChangeAspect="1" noChangeArrowheads="1"/>
        </xdr:cNvSpPr>
      </xdr:nvSpPr>
      <xdr:spPr bwMode="auto">
        <a:xfrm>
          <a:off x="8938260" y="70294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67" name="AutoShape 75" descr="Sub-Story">
          <a:hlinkClick xmlns:r="http://schemas.openxmlformats.org/officeDocument/2006/relationships" r:id="rId72"/>
          <a:extLst>
            <a:ext uri="{FF2B5EF4-FFF2-40B4-BE49-F238E27FC236}">
              <a16:creationId xmlns:a16="http://schemas.microsoft.com/office/drawing/2014/main" id="{4A3C8F4F-74EF-4C74-9F59-5A660CF3ADC5}"/>
            </a:ext>
          </a:extLst>
        </xdr:cNvPr>
        <xdr:cNvSpPr>
          <a:spLocks noChangeAspect="1" noChangeArrowheads="1"/>
        </xdr:cNvSpPr>
      </xdr:nvSpPr>
      <xdr:spPr bwMode="auto">
        <a:xfrm>
          <a:off x="8938260" y="70675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68" name="AutoShape 76" descr="Sub-Story">
          <a:hlinkClick xmlns:r="http://schemas.openxmlformats.org/officeDocument/2006/relationships" r:id="rId73"/>
          <a:extLst>
            <a:ext uri="{FF2B5EF4-FFF2-40B4-BE49-F238E27FC236}">
              <a16:creationId xmlns:a16="http://schemas.microsoft.com/office/drawing/2014/main" id="{67B076C2-9E44-4E6E-8AE6-F71810F55FCC}"/>
            </a:ext>
          </a:extLst>
        </xdr:cNvPr>
        <xdr:cNvSpPr>
          <a:spLocks noChangeAspect="1" noChangeArrowheads="1"/>
        </xdr:cNvSpPr>
      </xdr:nvSpPr>
      <xdr:spPr bwMode="auto">
        <a:xfrm>
          <a:off x="8938260" y="71056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69" name="AutoShape 77" descr="Sub-Story">
          <a:hlinkClick xmlns:r="http://schemas.openxmlformats.org/officeDocument/2006/relationships" r:id="rId74"/>
          <a:extLst>
            <a:ext uri="{FF2B5EF4-FFF2-40B4-BE49-F238E27FC236}">
              <a16:creationId xmlns:a16="http://schemas.microsoft.com/office/drawing/2014/main" id="{14106B07-E61E-4846-80CF-081E7BB1C327}"/>
            </a:ext>
          </a:extLst>
        </xdr:cNvPr>
        <xdr:cNvSpPr>
          <a:spLocks noChangeAspect="1" noChangeArrowheads="1"/>
        </xdr:cNvSpPr>
      </xdr:nvSpPr>
      <xdr:spPr bwMode="auto">
        <a:xfrm>
          <a:off x="8938260" y="71437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70" name="AutoShape 78" descr="Sub-Story">
          <a:hlinkClick xmlns:r="http://schemas.openxmlformats.org/officeDocument/2006/relationships" r:id="rId75"/>
          <a:extLst>
            <a:ext uri="{FF2B5EF4-FFF2-40B4-BE49-F238E27FC236}">
              <a16:creationId xmlns:a16="http://schemas.microsoft.com/office/drawing/2014/main" id="{5545E2A8-20AF-45CE-8275-024B41BF02A4}"/>
            </a:ext>
          </a:extLst>
        </xdr:cNvPr>
        <xdr:cNvSpPr>
          <a:spLocks noChangeAspect="1" noChangeArrowheads="1"/>
        </xdr:cNvSpPr>
      </xdr:nvSpPr>
      <xdr:spPr bwMode="auto">
        <a:xfrm>
          <a:off x="8938260" y="7181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71" name="AutoShape 79" descr="Sub-Story">
          <a:hlinkClick xmlns:r="http://schemas.openxmlformats.org/officeDocument/2006/relationships" r:id="rId76"/>
          <a:extLst>
            <a:ext uri="{FF2B5EF4-FFF2-40B4-BE49-F238E27FC236}">
              <a16:creationId xmlns:a16="http://schemas.microsoft.com/office/drawing/2014/main" id="{0723BF13-F17B-4161-91E9-6F3305E3F38E}"/>
            </a:ext>
          </a:extLst>
        </xdr:cNvPr>
        <xdr:cNvSpPr>
          <a:spLocks noChangeAspect="1" noChangeArrowheads="1"/>
        </xdr:cNvSpPr>
      </xdr:nvSpPr>
      <xdr:spPr bwMode="auto">
        <a:xfrm>
          <a:off x="8938260" y="72199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72" name="AutoShape 80" descr="Sub-Story">
          <a:hlinkClick xmlns:r="http://schemas.openxmlformats.org/officeDocument/2006/relationships" r:id="rId77"/>
          <a:extLst>
            <a:ext uri="{FF2B5EF4-FFF2-40B4-BE49-F238E27FC236}">
              <a16:creationId xmlns:a16="http://schemas.microsoft.com/office/drawing/2014/main" id="{70A3B436-3FE3-42A8-90F4-21AA4BA38020}"/>
            </a:ext>
          </a:extLst>
        </xdr:cNvPr>
        <xdr:cNvSpPr>
          <a:spLocks noChangeAspect="1" noChangeArrowheads="1"/>
        </xdr:cNvSpPr>
      </xdr:nvSpPr>
      <xdr:spPr bwMode="auto">
        <a:xfrm>
          <a:off x="8938260" y="7258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73" name="AutoShape 81" descr="Sub-Story">
          <a:hlinkClick xmlns:r="http://schemas.openxmlformats.org/officeDocument/2006/relationships" r:id="rId78"/>
          <a:extLst>
            <a:ext uri="{FF2B5EF4-FFF2-40B4-BE49-F238E27FC236}">
              <a16:creationId xmlns:a16="http://schemas.microsoft.com/office/drawing/2014/main" id="{B285FA25-40A4-4512-992A-E3C877B057B9}"/>
            </a:ext>
          </a:extLst>
        </xdr:cNvPr>
        <xdr:cNvSpPr>
          <a:spLocks noChangeAspect="1" noChangeArrowheads="1"/>
        </xdr:cNvSpPr>
      </xdr:nvSpPr>
      <xdr:spPr bwMode="auto">
        <a:xfrm>
          <a:off x="8938260" y="7296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74" name="AutoShape 82" descr="Sub-Story">
          <a:hlinkClick xmlns:r="http://schemas.openxmlformats.org/officeDocument/2006/relationships" r:id="rId79"/>
          <a:extLst>
            <a:ext uri="{FF2B5EF4-FFF2-40B4-BE49-F238E27FC236}">
              <a16:creationId xmlns:a16="http://schemas.microsoft.com/office/drawing/2014/main" id="{799009D5-5438-4575-9A4D-2C9B292FEA3C}"/>
            </a:ext>
          </a:extLst>
        </xdr:cNvPr>
        <xdr:cNvSpPr>
          <a:spLocks noChangeAspect="1" noChangeArrowheads="1"/>
        </xdr:cNvSpPr>
      </xdr:nvSpPr>
      <xdr:spPr bwMode="auto">
        <a:xfrm>
          <a:off x="8938260" y="73342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75" name="AutoShape 83" descr="Sub-Story">
          <a:hlinkClick xmlns:r="http://schemas.openxmlformats.org/officeDocument/2006/relationships" r:id="rId80"/>
          <a:extLst>
            <a:ext uri="{FF2B5EF4-FFF2-40B4-BE49-F238E27FC236}">
              <a16:creationId xmlns:a16="http://schemas.microsoft.com/office/drawing/2014/main" id="{60AC05CE-9915-4C62-9801-D1A52DAF4494}"/>
            </a:ext>
          </a:extLst>
        </xdr:cNvPr>
        <xdr:cNvSpPr>
          <a:spLocks noChangeAspect="1" noChangeArrowheads="1"/>
        </xdr:cNvSpPr>
      </xdr:nvSpPr>
      <xdr:spPr bwMode="auto">
        <a:xfrm>
          <a:off x="8938260" y="73723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76" name="AutoShape 84" descr="Sub-task">
          <a:hlinkClick xmlns:r="http://schemas.openxmlformats.org/officeDocument/2006/relationships" r:id="rId81"/>
          <a:extLst>
            <a:ext uri="{FF2B5EF4-FFF2-40B4-BE49-F238E27FC236}">
              <a16:creationId xmlns:a16="http://schemas.microsoft.com/office/drawing/2014/main" id="{57D620BA-85F8-4FA0-8C78-273CCD3EF040}"/>
            </a:ext>
          </a:extLst>
        </xdr:cNvPr>
        <xdr:cNvSpPr>
          <a:spLocks noChangeAspect="1" noChangeArrowheads="1"/>
        </xdr:cNvSpPr>
      </xdr:nvSpPr>
      <xdr:spPr bwMode="auto">
        <a:xfrm>
          <a:off x="8938260" y="74104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77" name="AutoShape 85" descr="Sub-Story">
          <a:hlinkClick xmlns:r="http://schemas.openxmlformats.org/officeDocument/2006/relationships" r:id="rId82"/>
          <a:extLst>
            <a:ext uri="{FF2B5EF4-FFF2-40B4-BE49-F238E27FC236}">
              <a16:creationId xmlns:a16="http://schemas.microsoft.com/office/drawing/2014/main" id="{8F8876CE-E45D-4D7A-8F7D-7EA1212C4D55}"/>
            </a:ext>
          </a:extLst>
        </xdr:cNvPr>
        <xdr:cNvSpPr>
          <a:spLocks noChangeAspect="1" noChangeArrowheads="1"/>
        </xdr:cNvSpPr>
      </xdr:nvSpPr>
      <xdr:spPr bwMode="auto">
        <a:xfrm>
          <a:off x="8938260" y="74485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78" name="AutoShape 86" descr="Sub-Story">
          <a:hlinkClick xmlns:r="http://schemas.openxmlformats.org/officeDocument/2006/relationships" r:id="rId83"/>
          <a:extLst>
            <a:ext uri="{FF2B5EF4-FFF2-40B4-BE49-F238E27FC236}">
              <a16:creationId xmlns:a16="http://schemas.microsoft.com/office/drawing/2014/main" id="{CAEF55B5-5DA9-40DD-B92E-F4E08C04D534}"/>
            </a:ext>
          </a:extLst>
        </xdr:cNvPr>
        <xdr:cNvSpPr>
          <a:spLocks noChangeAspect="1" noChangeArrowheads="1"/>
        </xdr:cNvSpPr>
      </xdr:nvSpPr>
      <xdr:spPr bwMode="auto">
        <a:xfrm>
          <a:off x="8938260" y="74866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79" name="AutoShape 87" descr="Sub-Story">
          <a:hlinkClick xmlns:r="http://schemas.openxmlformats.org/officeDocument/2006/relationships" r:id="rId84"/>
          <a:extLst>
            <a:ext uri="{FF2B5EF4-FFF2-40B4-BE49-F238E27FC236}">
              <a16:creationId xmlns:a16="http://schemas.microsoft.com/office/drawing/2014/main" id="{5713F7FF-A1BF-4CE3-A6DD-35F916E86888}"/>
            </a:ext>
          </a:extLst>
        </xdr:cNvPr>
        <xdr:cNvSpPr>
          <a:spLocks noChangeAspect="1" noChangeArrowheads="1"/>
        </xdr:cNvSpPr>
      </xdr:nvSpPr>
      <xdr:spPr bwMode="auto">
        <a:xfrm>
          <a:off x="8938260" y="75247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80" name="AutoShape 88" descr="Sub-Story">
          <a:hlinkClick xmlns:r="http://schemas.openxmlformats.org/officeDocument/2006/relationships" r:id="rId85"/>
          <a:extLst>
            <a:ext uri="{FF2B5EF4-FFF2-40B4-BE49-F238E27FC236}">
              <a16:creationId xmlns:a16="http://schemas.microsoft.com/office/drawing/2014/main" id="{9950FF75-26F5-4F01-8697-FD9F0481463C}"/>
            </a:ext>
          </a:extLst>
        </xdr:cNvPr>
        <xdr:cNvSpPr>
          <a:spLocks noChangeAspect="1" noChangeArrowheads="1"/>
        </xdr:cNvSpPr>
      </xdr:nvSpPr>
      <xdr:spPr bwMode="auto">
        <a:xfrm>
          <a:off x="8938260" y="7562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81" name="AutoShape 89" descr="Sub-Story">
          <a:hlinkClick xmlns:r="http://schemas.openxmlformats.org/officeDocument/2006/relationships" r:id="rId86"/>
          <a:extLst>
            <a:ext uri="{FF2B5EF4-FFF2-40B4-BE49-F238E27FC236}">
              <a16:creationId xmlns:a16="http://schemas.microsoft.com/office/drawing/2014/main" id="{45532B35-E34F-4D65-8DF2-39F9D07FE15D}"/>
            </a:ext>
          </a:extLst>
        </xdr:cNvPr>
        <xdr:cNvSpPr>
          <a:spLocks noChangeAspect="1" noChangeArrowheads="1"/>
        </xdr:cNvSpPr>
      </xdr:nvSpPr>
      <xdr:spPr bwMode="auto">
        <a:xfrm>
          <a:off x="8938260" y="76009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82" name="AutoShape 90" descr="Sub-Story">
          <a:hlinkClick xmlns:r="http://schemas.openxmlformats.org/officeDocument/2006/relationships" r:id="rId87"/>
          <a:extLst>
            <a:ext uri="{FF2B5EF4-FFF2-40B4-BE49-F238E27FC236}">
              <a16:creationId xmlns:a16="http://schemas.microsoft.com/office/drawing/2014/main" id="{75A79C83-CD3C-4A68-9AAB-3EDE09330A0D}"/>
            </a:ext>
          </a:extLst>
        </xdr:cNvPr>
        <xdr:cNvSpPr>
          <a:spLocks noChangeAspect="1" noChangeArrowheads="1"/>
        </xdr:cNvSpPr>
      </xdr:nvSpPr>
      <xdr:spPr bwMode="auto">
        <a:xfrm>
          <a:off x="8938260" y="7639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83" name="AutoShape 91" descr="Sub-Story">
          <a:hlinkClick xmlns:r="http://schemas.openxmlformats.org/officeDocument/2006/relationships" r:id="rId88"/>
          <a:extLst>
            <a:ext uri="{FF2B5EF4-FFF2-40B4-BE49-F238E27FC236}">
              <a16:creationId xmlns:a16="http://schemas.microsoft.com/office/drawing/2014/main" id="{EB1928A7-42CC-42F7-9B70-9FC8EBBA71ED}"/>
            </a:ext>
          </a:extLst>
        </xdr:cNvPr>
        <xdr:cNvSpPr>
          <a:spLocks noChangeAspect="1" noChangeArrowheads="1"/>
        </xdr:cNvSpPr>
      </xdr:nvSpPr>
      <xdr:spPr bwMode="auto">
        <a:xfrm>
          <a:off x="8938260" y="7677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84" name="AutoShape 92" descr="Sub-Story">
          <a:hlinkClick xmlns:r="http://schemas.openxmlformats.org/officeDocument/2006/relationships" r:id="rId89"/>
          <a:extLst>
            <a:ext uri="{FF2B5EF4-FFF2-40B4-BE49-F238E27FC236}">
              <a16:creationId xmlns:a16="http://schemas.microsoft.com/office/drawing/2014/main" id="{1C4790A5-A61C-407B-999C-72F151CB941D}"/>
            </a:ext>
          </a:extLst>
        </xdr:cNvPr>
        <xdr:cNvSpPr>
          <a:spLocks noChangeAspect="1" noChangeArrowheads="1"/>
        </xdr:cNvSpPr>
      </xdr:nvSpPr>
      <xdr:spPr bwMode="auto">
        <a:xfrm>
          <a:off x="8938260" y="77152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85" name="AutoShape 93" descr="Sub-Story">
          <a:hlinkClick xmlns:r="http://schemas.openxmlformats.org/officeDocument/2006/relationships" r:id="rId90"/>
          <a:extLst>
            <a:ext uri="{FF2B5EF4-FFF2-40B4-BE49-F238E27FC236}">
              <a16:creationId xmlns:a16="http://schemas.microsoft.com/office/drawing/2014/main" id="{CF18BE38-AE20-4048-A487-2F2F63783D04}"/>
            </a:ext>
          </a:extLst>
        </xdr:cNvPr>
        <xdr:cNvSpPr>
          <a:spLocks noChangeAspect="1" noChangeArrowheads="1"/>
        </xdr:cNvSpPr>
      </xdr:nvSpPr>
      <xdr:spPr bwMode="auto">
        <a:xfrm>
          <a:off x="8938260" y="77533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86" name="AutoShape 94" descr="Sub-Story">
          <a:hlinkClick xmlns:r="http://schemas.openxmlformats.org/officeDocument/2006/relationships" r:id="rId91"/>
          <a:extLst>
            <a:ext uri="{FF2B5EF4-FFF2-40B4-BE49-F238E27FC236}">
              <a16:creationId xmlns:a16="http://schemas.microsoft.com/office/drawing/2014/main" id="{B4ABC60F-ED87-4150-8349-F3D3E34B8855}"/>
            </a:ext>
          </a:extLst>
        </xdr:cNvPr>
        <xdr:cNvSpPr>
          <a:spLocks noChangeAspect="1" noChangeArrowheads="1"/>
        </xdr:cNvSpPr>
      </xdr:nvSpPr>
      <xdr:spPr bwMode="auto">
        <a:xfrm>
          <a:off x="8938260" y="77914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87" name="AutoShape 95" descr="Sub-Story">
          <a:hlinkClick xmlns:r="http://schemas.openxmlformats.org/officeDocument/2006/relationships" r:id="rId92"/>
          <a:extLst>
            <a:ext uri="{FF2B5EF4-FFF2-40B4-BE49-F238E27FC236}">
              <a16:creationId xmlns:a16="http://schemas.microsoft.com/office/drawing/2014/main" id="{E7CC6710-B676-4587-9A8D-D5412311B72F}"/>
            </a:ext>
          </a:extLst>
        </xdr:cNvPr>
        <xdr:cNvSpPr>
          <a:spLocks noChangeAspect="1" noChangeArrowheads="1"/>
        </xdr:cNvSpPr>
      </xdr:nvSpPr>
      <xdr:spPr bwMode="auto">
        <a:xfrm>
          <a:off x="8938260" y="78295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88" name="AutoShape 96" descr="Sub-Story">
          <a:hlinkClick xmlns:r="http://schemas.openxmlformats.org/officeDocument/2006/relationships" r:id="rId93"/>
          <a:extLst>
            <a:ext uri="{FF2B5EF4-FFF2-40B4-BE49-F238E27FC236}">
              <a16:creationId xmlns:a16="http://schemas.microsoft.com/office/drawing/2014/main" id="{ABD21AC5-6DBC-4140-A07D-450EB19EB440}"/>
            </a:ext>
          </a:extLst>
        </xdr:cNvPr>
        <xdr:cNvSpPr>
          <a:spLocks noChangeAspect="1" noChangeArrowheads="1"/>
        </xdr:cNvSpPr>
      </xdr:nvSpPr>
      <xdr:spPr bwMode="auto">
        <a:xfrm>
          <a:off x="8938260" y="78676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89" name="AutoShape 97" descr="Sub-Story">
          <a:hlinkClick xmlns:r="http://schemas.openxmlformats.org/officeDocument/2006/relationships" r:id="rId94"/>
          <a:extLst>
            <a:ext uri="{FF2B5EF4-FFF2-40B4-BE49-F238E27FC236}">
              <a16:creationId xmlns:a16="http://schemas.microsoft.com/office/drawing/2014/main" id="{53CEF767-9112-4BCD-82BF-5E2F46A55B11}"/>
            </a:ext>
          </a:extLst>
        </xdr:cNvPr>
        <xdr:cNvSpPr>
          <a:spLocks noChangeAspect="1" noChangeArrowheads="1"/>
        </xdr:cNvSpPr>
      </xdr:nvSpPr>
      <xdr:spPr bwMode="auto">
        <a:xfrm>
          <a:off x="8938260" y="79057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90" name="AutoShape 98" descr="Sub-Story">
          <a:hlinkClick xmlns:r="http://schemas.openxmlformats.org/officeDocument/2006/relationships" r:id="rId95"/>
          <a:extLst>
            <a:ext uri="{FF2B5EF4-FFF2-40B4-BE49-F238E27FC236}">
              <a16:creationId xmlns:a16="http://schemas.microsoft.com/office/drawing/2014/main" id="{9C15B33D-7195-4C81-B935-A93D1F2895AF}"/>
            </a:ext>
          </a:extLst>
        </xdr:cNvPr>
        <xdr:cNvSpPr>
          <a:spLocks noChangeAspect="1" noChangeArrowheads="1"/>
        </xdr:cNvSpPr>
      </xdr:nvSpPr>
      <xdr:spPr bwMode="auto">
        <a:xfrm>
          <a:off x="8938260" y="7943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91" name="AutoShape 99" descr="Sub-Story">
          <a:hlinkClick xmlns:r="http://schemas.openxmlformats.org/officeDocument/2006/relationships" r:id="rId96"/>
          <a:extLst>
            <a:ext uri="{FF2B5EF4-FFF2-40B4-BE49-F238E27FC236}">
              <a16:creationId xmlns:a16="http://schemas.microsoft.com/office/drawing/2014/main" id="{37CF8CFE-E6B6-48FD-99CF-20DB9DE08E53}"/>
            </a:ext>
          </a:extLst>
        </xdr:cNvPr>
        <xdr:cNvSpPr>
          <a:spLocks noChangeAspect="1" noChangeArrowheads="1"/>
        </xdr:cNvSpPr>
      </xdr:nvSpPr>
      <xdr:spPr bwMode="auto">
        <a:xfrm>
          <a:off x="8938260" y="79819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92" name="AutoShape 100" descr="Sub-Story">
          <a:hlinkClick xmlns:r="http://schemas.openxmlformats.org/officeDocument/2006/relationships" r:id="rId97"/>
          <a:extLst>
            <a:ext uri="{FF2B5EF4-FFF2-40B4-BE49-F238E27FC236}">
              <a16:creationId xmlns:a16="http://schemas.microsoft.com/office/drawing/2014/main" id="{CD30B331-539B-40EC-A86E-0CACBE4BD7D3}"/>
            </a:ext>
          </a:extLst>
        </xdr:cNvPr>
        <xdr:cNvSpPr>
          <a:spLocks noChangeAspect="1" noChangeArrowheads="1"/>
        </xdr:cNvSpPr>
      </xdr:nvSpPr>
      <xdr:spPr bwMode="auto">
        <a:xfrm>
          <a:off x="8938260" y="8020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93" name="AutoShape 101" descr="Sub-Story">
          <a:hlinkClick xmlns:r="http://schemas.openxmlformats.org/officeDocument/2006/relationships" r:id="rId98"/>
          <a:extLst>
            <a:ext uri="{FF2B5EF4-FFF2-40B4-BE49-F238E27FC236}">
              <a16:creationId xmlns:a16="http://schemas.microsoft.com/office/drawing/2014/main" id="{C1D85F68-8845-4E63-A110-286A0F70AF3F}"/>
            </a:ext>
          </a:extLst>
        </xdr:cNvPr>
        <xdr:cNvSpPr>
          <a:spLocks noChangeAspect="1" noChangeArrowheads="1"/>
        </xdr:cNvSpPr>
      </xdr:nvSpPr>
      <xdr:spPr bwMode="auto">
        <a:xfrm>
          <a:off x="8938260" y="8058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94" name="AutoShape 102" descr="Sub-Story">
          <a:hlinkClick xmlns:r="http://schemas.openxmlformats.org/officeDocument/2006/relationships" r:id="rId99"/>
          <a:extLst>
            <a:ext uri="{FF2B5EF4-FFF2-40B4-BE49-F238E27FC236}">
              <a16:creationId xmlns:a16="http://schemas.microsoft.com/office/drawing/2014/main" id="{1AA872AA-C7B6-4A9A-924E-AFE1EE27D337}"/>
            </a:ext>
          </a:extLst>
        </xdr:cNvPr>
        <xdr:cNvSpPr>
          <a:spLocks noChangeAspect="1" noChangeArrowheads="1"/>
        </xdr:cNvSpPr>
      </xdr:nvSpPr>
      <xdr:spPr bwMode="auto">
        <a:xfrm>
          <a:off x="8938260" y="80962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95" name="AutoShape 103" descr="Sub-Story">
          <a:hlinkClick xmlns:r="http://schemas.openxmlformats.org/officeDocument/2006/relationships" r:id="rId100"/>
          <a:extLst>
            <a:ext uri="{FF2B5EF4-FFF2-40B4-BE49-F238E27FC236}">
              <a16:creationId xmlns:a16="http://schemas.microsoft.com/office/drawing/2014/main" id="{F04658E3-C49A-4882-B055-70E95DC383DF}"/>
            </a:ext>
          </a:extLst>
        </xdr:cNvPr>
        <xdr:cNvSpPr>
          <a:spLocks noChangeAspect="1" noChangeArrowheads="1"/>
        </xdr:cNvSpPr>
      </xdr:nvSpPr>
      <xdr:spPr bwMode="auto">
        <a:xfrm>
          <a:off x="8938260" y="81343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96" name="AutoShape 104" descr="Sub-Story">
          <a:hlinkClick xmlns:r="http://schemas.openxmlformats.org/officeDocument/2006/relationships" r:id="rId101"/>
          <a:extLst>
            <a:ext uri="{FF2B5EF4-FFF2-40B4-BE49-F238E27FC236}">
              <a16:creationId xmlns:a16="http://schemas.microsoft.com/office/drawing/2014/main" id="{4039B573-7A4D-4BEF-98F7-42D7FCD9C4E2}"/>
            </a:ext>
          </a:extLst>
        </xdr:cNvPr>
        <xdr:cNvSpPr>
          <a:spLocks noChangeAspect="1" noChangeArrowheads="1"/>
        </xdr:cNvSpPr>
      </xdr:nvSpPr>
      <xdr:spPr bwMode="auto">
        <a:xfrm>
          <a:off x="8938260" y="81724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97" name="AutoShape 105" descr="Sub-Story">
          <a:hlinkClick xmlns:r="http://schemas.openxmlformats.org/officeDocument/2006/relationships" r:id="rId102"/>
          <a:extLst>
            <a:ext uri="{FF2B5EF4-FFF2-40B4-BE49-F238E27FC236}">
              <a16:creationId xmlns:a16="http://schemas.microsoft.com/office/drawing/2014/main" id="{DFD9BB56-E6C0-425C-837E-D5CE24FE9518}"/>
            </a:ext>
          </a:extLst>
        </xdr:cNvPr>
        <xdr:cNvSpPr>
          <a:spLocks noChangeAspect="1" noChangeArrowheads="1"/>
        </xdr:cNvSpPr>
      </xdr:nvSpPr>
      <xdr:spPr bwMode="auto">
        <a:xfrm>
          <a:off x="8938260" y="82105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98" name="AutoShape 106" descr="Sub-Story">
          <a:hlinkClick xmlns:r="http://schemas.openxmlformats.org/officeDocument/2006/relationships" r:id="rId103"/>
          <a:extLst>
            <a:ext uri="{FF2B5EF4-FFF2-40B4-BE49-F238E27FC236}">
              <a16:creationId xmlns:a16="http://schemas.microsoft.com/office/drawing/2014/main" id="{07DF217D-92B6-4EEC-94A2-660A797859DE}"/>
            </a:ext>
          </a:extLst>
        </xdr:cNvPr>
        <xdr:cNvSpPr>
          <a:spLocks noChangeAspect="1" noChangeArrowheads="1"/>
        </xdr:cNvSpPr>
      </xdr:nvSpPr>
      <xdr:spPr bwMode="auto">
        <a:xfrm>
          <a:off x="8938260" y="82486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152400</xdr:colOff>
      <xdr:row>154</xdr:row>
      <xdr:rowOff>152400</xdr:rowOff>
    </xdr:to>
    <xdr:sp macro="" textlink="">
      <xdr:nvSpPr>
        <xdr:cNvPr id="8299" name="AutoShape 107" descr="Sub-Story">
          <a:hlinkClick xmlns:r="http://schemas.openxmlformats.org/officeDocument/2006/relationships" r:id="rId104"/>
          <a:extLst>
            <a:ext uri="{FF2B5EF4-FFF2-40B4-BE49-F238E27FC236}">
              <a16:creationId xmlns:a16="http://schemas.microsoft.com/office/drawing/2014/main" id="{97D524D9-12FF-4A28-9CC1-47FA2D6EA269}"/>
            </a:ext>
          </a:extLst>
        </xdr:cNvPr>
        <xdr:cNvSpPr>
          <a:spLocks noChangeAspect="1" noChangeArrowheads="1"/>
        </xdr:cNvSpPr>
      </xdr:nvSpPr>
      <xdr:spPr bwMode="auto">
        <a:xfrm>
          <a:off x="8938260" y="82867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186</xdr:row>
      <xdr:rowOff>0</xdr:rowOff>
    </xdr:from>
    <xdr:to>
      <xdr:col>3</xdr:col>
      <xdr:colOff>152400</xdr:colOff>
      <xdr:row>186</xdr:row>
      <xdr:rowOff>152400</xdr:rowOff>
    </xdr:to>
    <xdr:sp macro="" textlink="">
      <xdr:nvSpPr>
        <xdr:cNvPr id="2" name="AutoShape 4" descr="Sub-Story">
          <a:hlinkClick xmlns:r="http://schemas.openxmlformats.org/officeDocument/2006/relationships" r:id="rId1"/>
          <a:extLst>
            <a:ext uri="{FF2B5EF4-FFF2-40B4-BE49-F238E27FC236}">
              <a16:creationId xmlns:a16="http://schemas.microsoft.com/office/drawing/2014/main" id="{E91DBADF-2040-4AC1-B428-373A29DDE1A5}"/>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3" name="AutoShape 5" descr="Sub-Story">
          <a:hlinkClick xmlns:r="http://schemas.openxmlformats.org/officeDocument/2006/relationships" r:id="rId2"/>
          <a:extLst>
            <a:ext uri="{FF2B5EF4-FFF2-40B4-BE49-F238E27FC236}">
              <a16:creationId xmlns:a16="http://schemas.microsoft.com/office/drawing/2014/main" id="{6DDE83FA-A087-4102-B7B5-2F851CC790D2}"/>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4" name="AutoShape 6" descr="Sub-task">
          <a:hlinkClick xmlns:r="http://schemas.openxmlformats.org/officeDocument/2006/relationships" r:id="rId3"/>
          <a:extLst>
            <a:ext uri="{FF2B5EF4-FFF2-40B4-BE49-F238E27FC236}">
              <a16:creationId xmlns:a16="http://schemas.microsoft.com/office/drawing/2014/main" id="{FB812D77-DECC-411A-A6B4-88B6D2220F53}"/>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5" name="AutoShape 7" descr="Sub-Story">
          <a:hlinkClick xmlns:r="http://schemas.openxmlformats.org/officeDocument/2006/relationships" r:id="rId4"/>
          <a:extLst>
            <a:ext uri="{FF2B5EF4-FFF2-40B4-BE49-F238E27FC236}">
              <a16:creationId xmlns:a16="http://schemas.microsoft.com/office/drawing/2014/main" id="{E67E6357-768E-40EA-947F-9AA52CDCA861}"/>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6" name="AutoShape 8" descr="Sub-Story">
          <a:hlinkClick xmlns:r="http://schemas.openxmlformats.org/officeDocument/2006/relationships" r:id="rId5"/>
          <a:extLst>
            <a:ext uri="{FF2B5EF4-FFF2-40B4-BE49-F238E27FC236}">
              <a16:creationId xmlns:a16="http://schemas.microsoft.com/office/drawing/2014/main" id="{50F4A9E4-32D2-4F2E-BAA7-755B99BCBABC}"/>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7" name="AutoShape 9" descr="Sub-Story">
          <a:hlinkClick xmlns:r="http://schemas.openxmlformats.org/officeDocument/2006/relationships" r:id="rId6"/>
          <a:extLst>
            <a:ext uri="{FF2B5EF4-FFF2-40B4-BE49-F238E27FC236}">
              <a16:creationId xmlns:a16="http://schemas.microsoft.com/office/drawing/2014/main" id="{B6DEAE91-F181-4D94-9D9C-613C84631717}"/>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8" name="AutoShape 10" descr="Sub-Story">
          <a:hlinkClick xmlns:r="http://schemas.openxmlformats.org/officeDocument/2006/relationships" r:id="rId7"/>
          <a:extLst>
            <a:ext uri="{FF2B5EF4-FFF2-40B4-BE49-F238E27FC236}">
              <a16:creationId xmlns:a16="http://schemas.microsoft.com/office/drawing/2014/main" id="{E18A1B8F-C5FA-46D0-9886-E19A2C9857C7}"/>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9" name="AutoShape 11" descr="Sub-Story">
          <a:hlinkClick xmlns:r="http://schemas.openxmlformats.org/officeDocument/2006/relationships" r:id="rId8"/>
          <a:extLst>
            <a:ext uri="{FF2B5EF4-FFF2-40B4-BE49-F238E27FC236}">
              <a16:creationId xmlns:a16="http://schemas.microsoft.com/office/drawing/2014/main" id="{0C378B25-1403-4B2F-8AF1-91606BC02D90}"/>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0" name="AutoShape 12" descr="Sub-Story">
          <a:hlinkClick xmlns:r="http://schemas.openxmlformats.org/officeDocument/2006/relationships" r:id="rId9"/>
          <a:extLst>
            <a:ext uri="{FF2B5EF4-FFF2-40B4-BE49-F238E27FC236}">
              <a16:creationId xmlns:a16="http://schemas.microsoft.com/office/drawing/2014/main" id="{CD23CC26-24A9-41CC-8DE1-5DB75BF11793}"/>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1" name="AutoShape 13" descr="Sub-task">
          <a:hlinkClick xmlns:r="http://schemas.openxmlformats.org/officeDocument/2006/relationships" r:id="rId10"/>
          <a:extLst>
            <a:ext uri="{FF2B5EF4-FFF2-40B4-BE49-F238E27FC236}">
              <a16:creationId xmlns:a16="http://schemas.microsoft.com/office/drawing/2014/main" id="{45ED4EC3-5B11-4EAD-A36F-424E95C6B5A1}"/>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2" name="AutoShape 14" descr="Sub-Story">
          <a:hlinkClick xmlns:r="http://schemas.openxmlformats.org/officeDocument/2006/relationships" r:id="rId11"/>
          <a:extLst>
            <a:ext uri="{FF2B5EF4-FFF2-40B4-BE49-F238E27FC236}">
              <a16:creationId xmlns:a16="http://schemas.microsoft.com/office/drawing/2014/main" id="{AC118DB0-5366-4515-98EB-2BBFED2AFB93}"/>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3" name="AutoShape 15" descr="Sub-Story">
          <a:hlinkClick xmlns:r="http://schemas.openxmlformats.org/officeDocument/2006/relationships" r:id="rId12"/>
          <a:extLst>
            <a:ext uri="{FF2B5EF4-FFF2-40B4-BE49-F238E27FC236}">
              <a16:creationId xmlns:a16="http://schemas.microsoft.com/office/drawing/2014/main" id="{2695D109-C740-4D19-8CB2-59BA03986EA3}"/>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4" name="AutoShape 16" descr="Sub-Story">
          <a:hlinkClick xmlns:r="http://schemas.openxmlformats.org/officeDocument/2006/relationships" r:id="rId13"/>
          <a:extLst>
            <a:ext uri="{FF2B5EF4-FFF2-40B4-BE49-F238E27FC236}">
              <a16:creationId xmlns:a16="http://schemas.microsoft.com/office/drawing/2014/main" id="{C31CBF0F-540E-42FD-9484-A5C0A33A3F8C}"/>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5" name="AutoShape 17" descr="Sub-Story">
          <a:hlinkClick xmlns:r="http://schemas.openxmlformats.org/officeDocument/2006/relationships" r:id="rId14"/>
          <a:extLst>
            <a:ext uri="{FF2B5EF4-FFF2-40B4-BE49-F238E27FC236}">
              <a16:creationId xmlns:a16="http://schemas.microsoft.com/office/drawing/2014/main" id="{B19ECD29-E462-4A27-8E36-F58E6C655000}"/>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6" name="AutoShape 18" descr="Sub-Story">
          <a:hlinkClick xmlns:r="http://schemas.openxmlformats.org/officeDocument/2006/relationships" r:id="rId15"/>
          <a:extLst>
            <a:ext uri="{FF2B5EF4-FFF2-40B4-BE49-F238E27FC236}">
              <a16:creationId xmlns:a16="http://schemas.microsoft.com/office/drawing/2014/main" id="{EF5D63F7-8CD1-45D0-982A-7CFE3FB48D02}"/>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7" name="AutoShape 19" descr="Sub-Story">
          <a:hlinkClick xmlns:r="http://schemas.openxmlformats.org/officeDocument/2006/relationships" r:id="rId16"/>
          <a:extLst>
            <a:ext uri="{FF2B5EF4-FFF2-40B4-BE49-F238E27FC236}">
              <a16:creationId xmlns:a16="http://schemas.microsoft.com/office/drawing/2014/main" id="{783395AB-8CB0-4463-8C7A-8E946E2BD4DE}"/>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8" name="AutoShape 20" descr="Sub-Story">
          <a:hlinkClick xmlns:r="http://schemas.openxmlformats.org/officeDocument/2006/relationships" r:id="rId17"/>
          <a:extLst>
            <a:ext uri="{FF2B5EF4-FFF2-40B4-BE49-F238E27FC236}">
              <a16:creationId xmlns:a16="http://schemas.microsoft.com/office/drawing/2014/main" id="{EF1BF21D-17BC-474F-A789-E2ED4DBADA83}"/>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9" name="AutoShape 21" descr="Sub-Story">
          <a:hlinkClick xmlns:r="http://schemas.openxmlformats.org/officeDocument/2006/relationships" r:id="rId18"/>
          <a:extLst>
            <a:ext uri="{FF2B5EF4-FFF2-40B4-BE49-F238E27FC236}">
              <a16:creationId xmlns:a16="http://schemas.microsoft.com/office/drawing/2014/main" id="{E026DA92-6462-4BA1-8C75-D3A247E83A2A}"/>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20" name="AutoShape 22" descr="Sub-Story">
          <a:hlinkClick xmlns:r="http://schemas.openxmlformats.org/officeDocument/2006/relationships" r:id="rId19"/>
          <a:extLst>
            <a:ext uri="{FF2B5EF4-FFF2-40B4-BE49-F238E27FC236}">
              <a16:creationId xmlns:a16="http://schemas.microsoft.com/office/drawing/2014/main" id="{17638F1B-86EA-45BA-A961-FBCB5C3163BA}"/>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21" name="AutoShape 23" descr="Sub-Story">
          <a:hlinkClick xmlns:r="http://schemas.openxmlformats.org/officeDocument/2006/relationships" r:id="rId20"/>
          <a:extLst>
            <a:ext uri="{FF2B5EF4-FFF2-40B4-BE49-F238E27FC236}">
              <a16:creationId xmlns:a16="http://schemas.microsoft.com/office/drawing/2014/main" id="{E96CD127-9932-4FFB-8C95-35143EF49623}"/>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22" name="AutoShape 24" descr="Sub-Story">
          <a:hlinkClick xmlns:r="http://schemas.openxmlformats.org/officeDocument/2006/relationships" r:id="rId21"/>
          <a:extLst>
            <a:ext uri="{FF2B5EF4-FFF2-40B4-BE49-F238E27FC236}">
              <a16:creationId xmlns:a16="http://schemas.microsoft.com/office/drawing/2014/main" id="{6060CAF3-BDE3-42D3-863C-0C7CB8CCC2EC}"/>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23" name="AutoShape 25" descr="Sub-task">
          <a:hlinkClick xmlns:r="http://schemas.openxmlformats.org/officeDocument/2006/relationships" r:id="rId22"/>
          <a:extLst>
            <a:ext uri="{FF2B5EF4-FFF2-40B4-BE49-F238E27FC236}">
              <a16:creationId xmlns:a16="http://schemas.microsoft.com/office/drawing/2014/main" id="{A75E77E7-50EA-4B96-A3EE-EF0FC0ED29FB}"/>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24" name="AutoShape 26" descr="Sub-Story">
          <a:hlinkClick xmlns:r="http://schemas.openxmlformats.org/officeDocument/2006/relationships" r:id="rId23"/>
          <a:extLst>
            <a:ext uri="{FF2B5EF4-FFF2-40B4-BE49-F238E27FC236}">
              <a16:creationId xmlns:a16="http://schemas.microsoft.com/office/drawing/2014/main" id="{5BD1D13A-1874-45AB-B64F-2C79DFB1C388}"/>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25" name="AutoShape 27" descr="Sub-Story">
          <a:hlinkClick xmlns:r="http://schemas.openxmlformats.org/officeDocument/2006/relationships" r:id="rId24"/>
          <a:extLst>
            <a:ext uri="{FF2B5EF4-FFF2-40B4-BE49-F238E27FC236}">
              <a16:creationId xmlns:a16="http://schemas.microsoft.com/office/drawing/2014/main" id="{EF2EFE67-6F28-48D1-B225-6D5A51269C85}"/>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26" name="AutoShape 28" descr="Sub-Story">
          <a:hlinkClick xmlns:r="http://schemas.openxmlformats.org/officeDocument/2006/relationships" r:id="rId25"/>
          <a:extLst>
            <a:ext uri="{FF2B5EF4-FFF2-40B4-BE49-F238E27FC236}">
              <a16:creationId xmlns:a16="http://schemas.microsoft.com/office/drawing/2014/main" id="{552A5530-9E3E-4CD2-B4C2-3731A6BCE6E7}"/>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27" name="AutoShape 29" descr="Sub-Story">
          <a:hlinkClick xmlns:r="http://schemas.openxmlformats.org/officeDocument/2006/relationships" r:id="rId26"/>
          <a:extLst>
            <a:ext uri="{FF2B5EF4-FFF2-40B4-BE49-F238E27FC236}">
              <a16:creationId xmlns:a16="http://schemas.microsoft.com/office/drawing/2014/main" id="{19001F59-0DB1-4866-8677-18D318188C21}"/>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28" name="AutoShape 30" descr="Sub-Story">
          <a:hlinkClick xmlns:r="http://schemas.openxmlformats.org/officeDocument/2006/relationships" r:id="rId27"/>
          <a:extLst>
            <a:ext uri="{FF2B5EF4-FFF2-40B4-BE49-F238E27FC236}">
              <a16:creationId xmlns:a16="http://schemas.microsoft.com/office/drawing/2014/main" id="{DF5ACEA1-7B54-476C-A64A-9E70D627B8C3}"/>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29" name="AutoShape 31" descr="Sub-Story">
          <a:hlinkClick xmlns:r="http://schemas.openxmlformats.org/officeDocument/2006/relationships" r:id="rId28"/>
          <a:extLst>
            <a:ext uri="{FF2B5EF4-FFF2-40B4-BE49-F238E27FC236}">
              <a16:creationId xmlns:a16="http://schemas.microsoft.com/office/drawing/2014/main" id="{8A0B3746-AB68-4B11-9FDF-C28091F3244E}"/>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30" name="AutoShape 32" descr="Sub-task">
          <a:hlinkClick xmlns:r="http://schemas.openxmlformats.org/officeDocument/2006/relationships" r:id="rId29"/>
          <a:extLst>
            <a:ext uri="{FF2B5EF4-FFF2-40B4-BE49-F238E27FC236}">
              <a16:creationId xmlns:a16="http://schemas.microsoft.com/office/drawing/2014/main" id="{A81C2AA5-23C3-4B69-9A49-86BA8EB55093}"/>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31" name="AutoShape 33" descr="Sub-Story">
          <a:hlinkClick xmlns:r="http://schemas.openxmlformats.org/officeDocument/2006/relationships" r:id="rId30"/>
          <a:extLst>
            <a:ext uri="{FF2B5EF4-FFF2-40B4-BE49-F238E27FC236}">
              <a16:creationId xmlns:a16="http://schemas.microsoft.com/office/drawing/2014/main" id="{3A741B30-D625-4428-BE9B-DF5689D09955}"/>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32" name="AutoShape 34" descr="Sub-Story">
          <a:hlinkClick xmlns:r="http://schemas.openxmlformats.org/officeDocument/2006/relationships" r:id="rId31"/>
          <a:extLst>
            <a:ext uri="{FF2B5EF4-FFF2-40B4-BE49-F238E27FC236}">
              <a16:creationId xmlns:a16="http://schemas.microsoft.com/office/drawing/2014/main" id="{9A5F2412-9FE7-4902-8874-22F2B4D84897}"/>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33" name="AutoShape 35" descr="Sub-Story">
          <a:hlinkClick xmlns:r="http://schemas.openxmlformats.org/officeDocument/2006/relationships" r:id="rId32"/>
          <a:extLst>
            <a:ext uri="{FF2B5EF4-FFF2-40B4-BE49-F238E27FC236}">
              <a16:creationId xmlns:a16="http://schemas.microsoft.com/office/drawing/2014/main" id="{2D6444CD-B0F7-4601-BBC9-EF06AD658456}"/>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34" name="AutoShape 36" descr="Sub-Story">
          <a:hlinkClick xmlns:r="http://schemas.openxmlformats.org/officeDocument/2006/relationships" r:id="rId33"/>
          <a:extLst>
            <a:ext uri="{FF2B5EF4-FFF2-40B4-BE49-F238E27FC236}">
              <a16:creationId xmlns:a16="http://schemas.microsoft.com/office/drawing/2014/main" id="{BB9052EE-0388-43A9-9424-D2A5F974591F}"/>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35" name="AutoShape 37" descr="Sub-Story">
          <a:hlinkClick xmlns:r="http://schemas.openxmlformats.org/officeDocument/2006/relationships" r:id="rId34"/>
          <a:extLst>
            <a:ext uri="{FF2B5EF4-FFF2-40B4-BE49-F238E27FC236}">
              <a16:creationId xmlns:a16="http://schemas.microsoft.com/office/drawing/2014/main" id="{F47E3B1B-F519-41E4-BDFD-11B617478D66}"/>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36" name="AutoShape 38" descr="Sub-Story">
          <a:hlinkClick xmlns:r="http://schemas.openxmlformats.org/officeDocument/2006/relationships" r:id="rId35"/>
          <a:extLst>
            <a:ext uri="{FF2B5EF4-FFF2-40B4-BE49-F238E27FC236}">
              <a16:creationId xmlns:a16="http://schemas.microsoft.com/office/drawing/2014/main" id="{E19FDF40-DBFA-45E9-9C50-59F2880CB93A}"/>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37" name="AutoShape 39" descr="Sub-Story">
          <a:hlinkClick xmlns:r="http://schemas.openxmlformats.org/officeDocument/2006/relationships" r:id="rId36"/>
          <a:extLst>
            <a:ext uri="{FF2B5EF4-FFF2-40B4-BE49-F238E27FC236}">
              <a16:creationId xmlns:a16="http://schemas.microsoft.com/office/drawing/2014/main" id="{63B63481-6F89-4822-BD65-9256BC65C015}"/>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38" name="AutoShape 40" descr="Sub-Story">
          <a:hlinkClick xmlns:r="http://schemas.openxmlformats.org/officeDocument/2006/relationships" r:id="rId37"/>
          <a:extLst>
            <a:ext uri="{FF2B5EF4-FFF2-40B4-BE49-F238E27FC236}">
              <a16:creationId xmlns:a16="http://schemas.microsoft.com/office/drawing/2014/main" id="{97D628F2-B599-4D96-B883-F3E81A80EDD6}"/>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39" name="AutoShape 41" descr="Sub-Story">
          <a:hlinkClick xmlns:r="http://schemas.openxmlformats.org/officeDocument/2006/relationships" r:id="rId38"/>
          <a:extLst>
            <a:ext uri="{FF2B5EF4-FFF2-40B4-BE49-F238E27FC236}">
              <a16:creationId xmlns:a16="http://schemas.microsoft.com/office/drawing/2014/main" id="{E6398F57-8662-4627-8CB5-F13B3F03FC22}"/>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40" name="AutoShape 42" descr="Sub-Story">
          <a:hlinkClick xmlns:r="http://schemas.openxmlformats.org/officeDocument/2006/relationships" r:id="rId39"/>
          <a:extLst>
            <a:ext uri="{FF2B5EF4-FFF2-40B4-BE49-F238E27FC236}">
              <a16:creationId xmlns:a16="http://schemas.microsoft.com/office/drawing/2014/main" id="{79A40D7E-7A5F-4E6D-9FF0-6F9E4B680161}"/>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41" name="AutoShape 43" descr="Sub-Story">
          <a:hlinkClick xmlns:r="http://schemas.openxmlformats.org/officeDocument/2006/relationships" r:id="rId40"/>
          <a:extLst>
            <a:ext uri="{FF2B5EF4-FFF2-40B4-BE49-F238E27FC236}">
              <a16:creationId xmlns:a16="http://schemas.microsoft.com/office/drawing/2014/main" id="{0E96C936-F61F-404E-8889-C2171B740190}"/>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42" name="AutoShape 44" descr="Sub-Story">
          <a:hlinkClick xmlns:r="http://schemas.openxmlformats.org/officeDocument/2006/relationships" r:id="rId41"/>
          <a:extLst>
            <a:ext uri="{FF2B5EF4-FFF2-40B4-BE49-F238E27FC236}">
              <a16:creationId xmlns:a16="http://schemas.microsoft.com/office/drawing/2014/main" id="{080DA930-7BC4-4C15-A25E-22E7072DF46A}"/>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43" name="AutoShape 45" descr="Sub-Story">
          <a:hlinkClick xmlns:r="http://schemas.openxmlformats.org/officeDocument/2006/relationships" r:id="rId42"/>
          <a:extLst>
            <a:ext uri="{FF2B5EF4-FFF2-40B4-BE49-F238E27FC236}">
              <a16:creationId xmlns:a16="http://schemas.microsoft.com/office/drawing/2014/main" id="{9E6BE769-21EF-4DAB-B53B-982FB139A7B9}"/>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44" name="AutoShape 46" descr="Sub-Story">
          <a:hlinkClick xmlns:r="http://schemas.openxmlformats.org/officeDocument/2006/relationships" r:id="rId43"/>
          <a:extLst>
            <a:ext uri="{FF2B5EF4-FFF2-40B4-BE49-F238E27FC236}">
              <a16:creationId xmlns:a16="http://schemas.microsoft.com/office/drawing/2014/main" id="{4BBE9C4B-BDFE-415B-AE05-9093F6C4883C}"/>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45" name="AutoShape 47" descr="Sub-Story">
          <a:hlinkClick xmlns:r="http://schemas.openxmlformats.org/officeDocument/2006/relationships" r:id="rId44"/>
          <a:extLst>
            <a:ext uri="{FF2B5EF4-FFF2-40B4-BE49-F238E27FC236}">
              <a16:creationId xmlns:a16="http://schemas.microsoft.com/office/drawing/2014/main" id="{32730768-2CCE-4056-A515-5B07E51C7161}"/>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46" name="AutoShape 48" descr="Sub-Story">
          <a:hlinkClick xmlns:r="http://schemas.openxmlformats.org/officeDocument/2006/relationships" r:id="rId45"/>
          <a:extLst>
            <a:ext uri="{FF2B5EF4-FFF2-40B4-BE49-F238E27FC236}">
              <a16:creationId xmlns:a16="http://schemas.microsoft.com/office/drawing/2014/main" id="{A6C51894-3055-4C17-A703-4632F49AA833}"/>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47" name="AutoShape 49" descr="Sub-Story">
          <a:hlinkClick xmlns:r="http://schemas.openxmlformats.org/officeDocument/2006/relationships" r:id="rId46"/>
          <a:extLst>
            <a:ext uri="{FF2B5EF4-FFF2-40B4-BE49-F238E27FC236}">
              <a16:creationId xmlns:a16="http://schemas.microsoft.com/office/drawing/2014/main" id="{564CDC27-7414-4283-BEC1-EE6BA32EEEA0}"/>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48" name="AutoShape 50" descr="Sub-Story">
          <a:hlinkClick xmlns:r="http://schemas.openxmlformats.org/officeDocument/2006/relationships" r:id="rId47"/>
          <a:extLst>
            <a:ext uri="{FF2B5EF4-FFF2-40B4-BE49-F238E27FC236}">
              <a16:creationId xmlns:a16="http://schemas.microsoft.com/office/drawing/2014/main" id="{CCE1382F-4D53-4503-8E0E-28B9B7B343C5}"/>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49" name="AutoShape 51" descr="Sub-Story">
          <a:hlinkClick xmlns:r="http://schemas.openxmlformats.org/officeDocument/2006/relationships" r:id="rId48"/>
          <a:extLst>
            <a:ext uri="{FF2B5EF4-FFF2-40B4-BE49-F238E27FC236}">
              <a16:creationId xmlns:a16="http://schemas.microsoft.com/office/drawing/2014/main" id="{01057389-91AE-4B4D-966A-92566C1FE127}"/>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50" name="AutoShape 52" descr="Sub-Story">
          <a:hlinkClick xmlns:r="http://schemas.openxmlformats.org/officeDocument/2006/relationships" r:id="rId49"/>
          <a:extLst>
            <a:ext uri="{FF2B5EF4-FFF2-40B4-BE49-F238E27FC236}">
              <a16:creationId xmlns:a16="http://schemas.microsoft.com/office/drawing/2014/main" id="{13030081-EB1A-4427-AC70-E94E7AAFF0EE}"/>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51" name="AutoShape 53" descr="Sub-Story">
          <a:hlinkClick xmlns:r="http://schemas.openxmlformats.org/officeDocument/2006/relationships" r:id="rId50"/>
          <a:extLst>
            <a:ext uri="{FF2B5EF4-FFF2-40B4-BE49-F238E27FC236}">
              <a16:creationId xmlns:a16="http://schemas.microsoft.com/office/drawing/2014/main" id="{33DAE5C7-5906-44E2-B993-374E22CB76DC}"/>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52" name="AutoShape 54" descr="Sub-Story">
          <a:hlinkClick xmlns:r="http://schemas.openxmlformats.org/officeDocument/2006/relationships" r:id="rId51"/>
          <a:extLst>
            <a:ext uri="{FF2B5EF4-FFF2-40B4-BE49-F238E27FC236}">
              <a16:creationId xmlns:a16="http://schemas.microsoft.com/office/drawing/2014/main" id="{4368C31D-A461-43AC-8479-8ED7A1A1017E}"/>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53" name="AutoShape 55" descr="Sub-Story">
          <a:hlinkClick xmlns:r="http://schemas.openxmlformats.org/officeDocument/2006/relationships" r:id="rId52"/>
          <a:extLst>
            <a:ext uri="{FF2B5EF4-FFF2-40B4-BE49-F238E27FC236}">
              <a16:creationId xmlns:a16="http://schemas.microsoft.com/office/drawing/2014/main" id="{8C1B1BD9-8CEE-4D74-AF9E-4455A26A5E87}"/>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54" name="AutoShape 56" descr="Sub-Story">
          <a:hlinkClick xmlns:r="http://schemas.openxmlformats.org/officeDocument/2006/relationships" r:id="rId53"/>
          <a:extLst>
            <a:ext uri="{FF2B5EF4-FFF2-40B4-BE49-F238E27FC236}">
              <a16:creationId xmlns:a16="http://schemas.microsoft.com/office/drawing/2014/main" id="{38B783B8-7F49-43F5-8F42-F35C0A00CA70}"/>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55" name="AutoShape 57" descr="Sub-Story">
          <a:hlinkClick xmlns:r="http://schemas.openxmlformats.org/officeDocument/2006/relationships" r:id="rId54"/>
          <a:extLst>
            <a:ext uri="{FF2B5EF4-FFF2-40B4-BE49-F238E27FC236}">
              <a16:creationId xmlns:a16="http://schemas.microsoft.com/office/drawing/2014/main" id="{B7FD7BD5-6473-49A5-B5E2-5CBFBF343162}"/>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56" name="AutoShape 58" descr="Sub-Story">
          <a:hlinkClick xmlns:r="http://schemas.openxmlformats.org/officeDocument/2006/relationships" r:id="rId55"/>
          <a:extLst>
            <a:ext uri="{FF2B5EF4-FFF2-40B4-BE49-F238E27FC236}">
              <a16:creationId xmlns:a16="http://schemas.microsoft.com/office/drawing/2014/main" id="{A04EBE09-B447-4F69-8917-62E364EF6EF2}"/>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57" name="AutoShape 59" descr="Sub-Story">
          <a:hlinkClick xmlns:r="http://schemas.openxmlformats.org/officeDocument/2006/relationships" r:id="rId56"/>
          <a:extLst>
            <a:ext uri="{FF2B5EF4-FFF2-40B4-BE49-F238E27FC236}">
              <a16:creationId xmlns:a16="http://schemas.microsoft.com/office/drawing/2014/main" id="{0153AC0D-983A-4120-9FA4-3584A8803692}"/>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58" name="AutoShape 60" descr="Sub-Story">
          <a:hlinkClick xmlns:r="http://schemas.openxmlformats.org/officeDocument/2006/relationships" r:id="rId57"/>
          <a:extLst>
            <a:ext uri="{FF2B5EF4-FFF2-40B4-BE49-F238E27FC236}">
              <a16:creationId xmlns:a16="http://schemas.microsoft.com/office/drawing/2014/main" id="{733D0EE5-B37F-42F2-AEEF-FBB76A2B8558}"/>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59" name="AutoShape 61" descr="Sub-task">
          <a:hlinkClick xmlns:r="http://schemas.openxmlformats.org/officeDocument/2006/relationships" r:id="rId58"/>
          <a:extLst>
            <a:ext uri="{FF2B5EF4-FFF2-40B4-BE49-F238E27FC236}">
              <a16:creationId xmlns:a16="http://schemas.microsoft.com/office/drawing/2014/main" id="{733982DA-0044-4244-BE85-ECF93AB3904D}"/>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60" name="AutoShape 62" descr="Sub-Story">
          <a:hlinkClick xmlns:r="http://schemas.openxmlformats.org/officeDocument/2006/relationships" r:id="rId59"/>
          <a:extLst>
            <a:ext uri="{FF2B5EF4-FFF2-40B4-BE49-F238E27FC236}">
              <a16:creationId xmlns:a16="http://schemas.microsoft.com/office/drawing/2014/main" id="{BE62EDDD-C830-4C19-B8BA-B8DCF97CEE69}"/>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61" name="AutoShape 63" descr="Sub-Story">
          <a:hlinkClick xmlns:r="http://schemas.openxmlformats.org/officeDocument/2006/relationships" r:id="rId60"/>
          <a:extLst>
            <a:ext uri="{FF2B5EF4-FFF2-40B4-BE49-F238E27FC236}">
              <a16:creationId xmlns:a16="http://schemas.microsoft.com/office/drawing/2014/main" id="{0D7D45E5-12C0-43F8-AB06-7436704C60B1}"/>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62" name="AutoShape 64" descr="Sub-Story">
          <a:hlinkClick xmlns:r="http://schemas.openxmlformats.org/officeDocument/2006/relationships" r:id="rId61"/>
          <a:extLst>
            <a:ext uri="{FF2B5EF4-FFF2-40B4-BE49-F238E27FC236}">
              <a16:creationId xmlns:a16="http://schemas.microsoft.com/office/drawing/2014/main" id="{122E1C68-1220-487D-BFF8-49D19318AA16}"/>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63" name="AutoShape 65" descr="Sub-Story">
          <a:hlinkClick xmlns:r="http://schemas.openxmlformats.org/officeDocument/2006/relationships" r:id="rId62"/>
          <a:extLst>
            <a:ext uri="{FF2B5EF4-FFF2-40B4-BE49-F238E27FC236}">
              <a16:creationId xmlns:a16="http://schemas.microsoft.com/office/drawing/2014/main" id="{DEC48991-943C-4E06-A3DD-351EFB8B3AA1}"/>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64" name="AutoShape 66" descr="Sub-Story">
          <a:hlinkClick xmlns:r="http://schemas.openxmlformats.org/officeDocument/2006/relationships" r:id="rId63"/>
          <a:extLst>
            <a:ext uri="{FF2B5EF4-FFF2-40B4-BE49-F238E27FC236}">
              <a16:creationId xmlns:a16="http://schemas.microsoft.com/office/drawing/2014/main" id="{7CC037CB-9C5C-4A18-8F9A-3445625AFEE6}"/>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65" name="AutoShape 67" descr="Sub-Story">
          <a:hlinkClick xmlns:r="http://schemas.openxmlformats.org/officeDocument/2006/relationships" r:id="rId64"/>
          <a:extLst>
            <a:ext uri="{FF2B5EF4-FFF2-40B4-BE49-F238E27FC236}">
              <a16:creationId xmlns:a16="http://schemas.microsoft.com/office/drawing/2014/main" id="{FEFF813D-C301-480A-A617-254D15F8112A}"/>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66" name="AutoShape 68" descr="Sub-Story">
          <a:hlinkClick xmlns:r="http://schemas.openxmlformats.org/officeDocument/2006/relationships" r:id="rId65"/>
          <a:extLst>
            <a:ext uri="{FF2B5EF4-FFF2-40B4-BE49-F238E27FC236}">
              <a16:creationId xmlns:a16="http://schemas.microsoft.com/office/drawing/2014/main" id="{C196D642-398F-4A03-A179-DEB82261E748}"/>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67" name="AutoShape 69" descr="Sub-Story">
          <a:hlinkClick xmlns:r="http://schemas.openxmlformats.org/officeDocument/2006/relationships" r:id="rId66"/>
          <a:extLst>
            <a:ext uri="{FF2B5EF4-FFF2-40B4-BE49-F238E27FC236}">
              <a16:creationId xmlns:a16="http://schemas.microsoft.com/office/drawing/2014/main" id="{E6DB5092-A919-4EBD-82C8-20DDFB403D90}"/>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68" name="AutoShape 70" descr="Sub-Story">
          <a:hlinkClick xmlns:r="http://schemas.openxmlformats.org/officeDocument/2006/relationships" r:id="rId67"/>
          <a:extLst>
            <a:ext uri="{FF2B5EF4-FFF2-40B4-BE49-F238E27FC236}">
              <a16:creationId xmlns:a16="http://schemas.microsoft.com/office/drawing/2014/main" id="{82C37799-D493-4268-BBF8-C3F1ED6874CC}"/>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69" name="AutoShape 71" descr="Sub-Story">
          <a:hlinkClick xmlns:r="http://schemas.openxmlformats.org/officeDocument/2006/relationships" r:id="rId68"/>
          <a:extLst>
            <a:ext uri="{FF2B5EF4-FFF2-40B4-BE49-F238E27FC236}">
              <a16:creationId xmlns:a16="http://schemas.microsoft.com/office/drawing/2014/main" id="{22D0728F-7AC0-4CD3-9EF9-AE32A6954CB1}"/>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70" name="AutoShape 72" descr="Sub-Story">
          <a:hlinkClick xmlns:r="http://schemas.openxmlformats.org/officeDocument/2006/relationships" r:id="rId69"/>
          <a:extLst>
            <a:ext uri="{FF2B5EF4-FFF2-40B4-BE49-F238E27FC236}">
              <a16:creationId xmlns:a16="http://schemas.microsoft.com/office/drawing/2014/main" id="{DA030E96-7E09-4194-BB32-C851657B2498}"/>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71" name="AutoShape 73" descr="Sub-Story">
          <a:hlinkClick xmlns:r="http://schemas.openxmlformats.org/officeDocument/2006/relationships" r:id="rId70"/>
          <a:extLst>
            <a:ext uri="{FF2B5EF4-FFF2-40B4-BE49-F238E27FC236}">
              <a16:creationId xmlns:a16="http://schemas.microsoft.com/office/drawing/2014/main" id="{2B144FB1-80E6-4C2B-80C5-4911E7BF7405}"/>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72" name="AutoShape 74" descr="Sub-Story">
          <a:hlinkClick xmlns:r="http://schemas.openxmlformats.org/officeDocument/2006/relationships" r:id="rId71"/>
          <a:extLst>
            <a:ext uri="{FF2B5EF4-FFF2-40B4-BE49-F238E27FC236}">
              <a16:creationId xmlns:a16="http://schemas.microsoft.com/office/drawing/2014/main" id="{2031B243-0B08-473D-BCE8-1599811D8296}"/>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73" name="AutoShape 75" descr="Sub-Story">
          <a:hlinkClick xmlns:r="http://schemas.openxmlformats.org/officeDocument/2006/relationships" r:id="rId72"/>
          <a:extLst>
            <a:ext uri="{FF2B5EF4-FFF2-40B4-BE49-F238E27FC236}">
              <a16:creationId xmlns:a16="http://schemas.microsoft.com/office/drawing/2014/main" id="{79CD4F10-24A5-4564-ABED-757C21605723}"/>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74" name="AutoShape 76" descr="Sub-Story">
          <a:hlinkClick xmlns:r="http://schemas.openxmlformats.org/officeDocument/2006/relationships" r:id="rId73"/>
          <a:extLst>
            <a:ext uri="{FF2B5EF4-FFF2-40B4-BE49-F238E27FC236}">
              <a16:creationId xmlns:a16="http://schemas.microsoft.com/office/drawing/2014/main" id="{08D08E0C-B561-4632-950B-EF56E2EF18CF}"/>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75" name="AutoShape 77" descr="Sub-Story">
          <a:hlinkClick xmlns:r="http://schemas.openxmlformats.org/officeDocument/2006/relationships" r:id="rId74"/>
          <a:extLst>
            <a:ext uri="{FF2B5EF4-FFF2-40B4-BE49-F238E27FC236}">
              <a16:creationId xmlns:a16="http://schemas.microsoft.com/office/drawing/2014/main" id="{FF863C63-6EBE-4FC4-98B2-7F378303B6DB}"/>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76" name="AutoShape 78" descr="Sub-Story">
          <a:hlinkClick xmlns:r="http://schemas.openxmlformats.org/officeDocument/2006/relationships" r:id="rId75"/>
          <a:extLst>
            <a:ext uri="{FF2B5EF4-FFF2-40B4-BE49-F238E27FC236}">
              <a16:creationId xmlns:a16="http://schemas.microsoft.com/office/drawing/2014/main" id="{78E169A5-6CF0-49B1-B8EF-CC8C2DF9BAE8}"/>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77" name="AutoShape 79" descr="Sub-Story">
          <a:hlinkClick xmlns:r="http://schemas.openxmlformats.org/officeDocument/2006/relationships" r:id="rId76"/>
          <a:extLst>
            <a:ext uri="{FF2B5EF4-FFF2-40B4-BE49-F238E27FC236}">
              <a16:creationId xmlns:a16="http://schemas.microsoft.com/office/drawing/2014/main" id="{EA4D936C-2A0A-4F11-B730-633BF5B23008}"/>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78" name="AutoShape 80" descr="Sub-Story">
          <a:hlinkClick xmlns:r="http://schemas.openxmlformats.org/officeDocument/2006/relationships" r:id="rId77"/>
          <a:extLst>
            <a:ext uri="{FF2B5EF4-FFF2-40B4-BE49-F238E27FC236}">
              <a16:creationId xmlns:a16="http://schemas.microsoft.com/office/drawing/2014/main" id="{3FA26D8C-58BA-4842-9330-8581FC386157}"/>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79" name="AutoShape 81" descr="Sub-Story">
          <a:hlinkClick xmlns:r="http://schemas.openxmlformats.org/officeDocument/2006/relationships" r:id="rId78"/>
          <a:extLst>
            <a:ext uri="{FF2B5EF4-FFF2-40B4-BE49-F238E27FC236}">
              <a16:creationId xmlns:a16="http://schemas.microsoft.com/office/drawing/2014/main" id="{D394F841-D25A-4C9B-A69E-220C053F0CEE}"/>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80" name="AutoShape 82" descr="Sub-Story">
          <a:hlinkClick xmlns:r="http://schemas.openxmlformats.org/officeDocument/2006/relationships" r:id="rId79"/>
          <a:extLst>
            <a:ext uri="{FF2B5EF4-FFF2-40B4-BE49-F238E27FC236}">
              <a16:creationId xmlns:a16="http://schemas.microsoft.com/office/drawing/2014/main" id="{777AF6AA-332C-4B36-8FEA-5C3B51FBAFCC}"/>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81" name="AutoShape 83" descr="Sub-Story">
          <a:hlinkClick xmlns:r="http://schemas.openxmlformats.org/officeDocument/2006/relationships" r:id="rId80"/>
          <a:extLst>
            <a:ext uri="{FF2B5EF4-FFF2-40B4-BE49-F238E27FC236}">
              <a16:creationId xmlns:a16="http://schemas.microsoft.com/office/drawing/2014/main" id="{20C49C6D-DB60-40A0-8F4A-E81F9DFBB946}"/>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82" name="AutoShape 84" descr="Sub-task">
          <a:hlinkClick xmlns:r="http://schemas.openxmlformats.org/officeDocument/2006/relationships" r:id="rId81"/>
          <a:extLst>
            <a:ext uri="{FF2B5EF4-FFF2-40B4-BE49-F238E27FC236}">
              <a16:creationId xmlns:a16="http://schemas.microsoft.com/office/drawing/2014/main" id="{F82F9EF2-0F53-4C2B-9E82-6E483FBDB227}"/>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83" name="AutoShape 85" descr="Sub-Story">
          <a:hlinkClick xmlns:r="http://schemas.openxmlformats.org/officeDocument/2006/relationships" r:id="rId82"/>
          <a:extLst>
            <a:ext uri="{FF2B5EF4-FFF2-40B4-BE49-F238E27FC236}">
              <a16:creationId xmlns:a16="http://schemas.microsoft.com/office/drawing/2014/main" id="{5CFAF1AA-A25A-4C50-A52E-51D3A67FE347}"/>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84" name="AutoShape 86" descr="Sub-Story">
          <a:hlinkClick xmlns:r="http://schemas.openxmlformats.org/officeDocument/2006/relationships" r:id="rId83"/>
          <a:extLst>
            <a:ext uri="{FF2B5EF4-FFF2-40B4-BE49-F238E27FC236}">
              <a16:creationId xmlns:a16="http://schemas.microsoft.com/office/drawing/2014/main" id="{D506094D-903D-4D1A-B5A4-32DD60794EA7}"/>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85" name="AutoShape 87" descr="Sub-Story">
          <a:hlinkClick xmlns:r="http://schemas.openxmlformats.org/officeDocument/2006/relationships" r:id="rId84"/>
          <a:extLst>
            <a:ext uri="{FF2B5EF4-FFF2-40B4-BE49-F238E27FC236}">
              <a16:creationId xmlns:a16="http://schemas.microsoft.com/office/drawing/2014/main" id="{4927ADFE-6F23-41E4-B5C3-B3499E09902E}"/>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86" name="AutoShape 88" descr="Sub-Story">
          <a:hlinkClick xmlns:r="http://schemas.openxmlformats.org/officeDocument/2006/relationships" r:id="rId85"/>
          <a:extLst>
            <a:ext uri="{FF2B5EF4-FFF2-40B4-BE49-F238E27FC236}">
              <a16:creationId xmlns:a16="http://schemas.microsoft.com/office/drawing/2014/main" id="{800EA472-ABC9-400F-803E-7E7CE8E8E60A}"/>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87" name="AutoShape 89" descr="Sub-Story">
          <a:hlinkClick xmlns:r="http://schemas.openxmlformats.org/officeDocument/2006/relationships" r:id="rId86"/>
          <a:extLst>
            <a:ext uri="{FF2B5EF4-FFF2-40B4-BE49-F238E27FC236}">
              <a16:creationId xmlns:a16="http://schemas.microsoft.com/office/drawing/2014/main" id="{6FCAE28B-93BF-466E-96F9-F6D1CB28EDC5}"/>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88" name="AutoShape 90" descr="Sub-Story">
          <a:hlinkClick xmlns:r="http://schemas.openxmlformats.org/officeDocument/2006/relationships" r:id="rId87"/>
          <a:extLst>
            <a:ext uri="{FF2B5EF4-FFF2-40B4-BE49-F238E27FC236}">
              <a16:creationId xmlns:a16="http://schemas.microsoft.com/office/drawing/2014/main" id="{A8472F18-3C43-4C94-A774-9C8AB3450F19}"/>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89" name="AutoShape 91" descr="Sub-Story">
          <a:hlinkClick xmlns:r="http://schemas.openxmlformats.org/officeDocument/2006/relationships" r:id="rId88"/>
          <a:extLst>
            <a:ext uri="{FF2B5EF4-FFF2-40B4-BE49-F238E27FC236}">
              <a16:creationId xmlns:a16="http://schemas.microsoft.com/office/drawing/2014/main" id="{580EC109-0F8B-45B7-B310-15DF80C1CF84}"/>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90" name="AutoShape 92" descr="Sub-Story">
          <a:hlinkClick xmlns:r="http://schemas.openxmlformats.org/officeDocument/2006/relationships" r:id="rId89"/>
          <a:extLst>
            <a:ext uri="{FF2B5EF4-FFF2-40B4-BE49-F238E27FC236}">
              <a16:creationId xmlns:a16="http://schemas.microsoft.com/office/drawing/2014/main" id="{4C75E5E3-5746-4562-BC5C-A550FF25CB24}"/>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91" name="AutoShape 93" descr="Sub-Story">
          <a:hlinkClick xmlns:r="http://schemas.openxmlformats.org/officeDocument/2006/relationships" r:id="rId90"/>
          <a:extLst>
            <a:ext uri="{FF2B5EF4-FFF2-40B4-BE49-F238E27FC236}">
              <a16:creationId xmlns:a16="http://schemas.microsoft.com/office/drawing/2014/main" id="{630EEF20-43A4-4DFA-A5D3-E799F368DAC2}"/>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92" name="AutoShape 94" descr="Sub-Story">
          <a:hlinkClick xmlns:r="http://schemas.openxmlformats.org/officeDocument/2006/relationships" r:id="rId91"/>
          <a:extLst>
            <a:ext uri="{FF2B5EF4-FFF2-40B4-BE49-F238E27FC236}">
              <a16:creationId xmlns:a16="http://schemas.microsoft.com/office/drawing/2014/main" id="{2E5A4CEF-DD33-487A-8406-67B48951A3DA}"/>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93" name="AutoShape 95" descr="Sub-Story">
          <a:hlinkClick xmlns:r="http://schemas.openxmlformats.org/officeDocument/2006/relationships" r:id="rId92"/>
          <a:extLst>
            <a:ext uri="{FF2B5EF4-FFF2-40B4-BE49-F238E27FC236}">
              <a16:creationId xmlns:a16="http://schemas.microsoft.com/office/drawing/2014/main" id="{3FD34A65-9596-4594-A528-B59170090920}"/>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94" name="AutoShape 96" descr="Sub-Story">
          <a:hlinkClick xmlns:r="http://schemas.openxmlformats.org/officeDocument/2006/relationships" r:id="rId93"/>
          <a:extLst>
            <a:ext uri="{FF2B5EF4-FFF2-40B4-BE49-F238E27FC236}">
              <a16:creationId xmlns:a16="http://schemas.microsoft.com/office/drawing/2014/main" id="{23ACF4EB-ECBA-4768-A38B-942C401D9642}"/>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95" name="AutoShape 97" descr="Sub-Story">
          <a:hlinkClick xmlns:r="http://schemas.openxmlformats.org/officeDocument/2006/relationships" r:id="rId94"/>
          <a:extLst>
            <a:ext uri="{FF2B5EF4-FFF2-40B4-BE49-F238E27FC236}">
              <a16:creationId xmlns:a16="http://schemas.microsoft.com/office/drawing/2014/main" id="{CDE36865-CCA7-4598-97D1-B6EAE6E9AAF6}"/>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96" name="AutoShape 98" descr="Sub-Story">
          <a:hlinkClick xmlns:r="http://schemas.openxmlformats.org/officeDocument/2006/relationships" r:id="rId95"/>
          <a:extLst>
            <a:ext uri="{FF2B5EF4-FFF2-40B4-BE49-F238E27FC236}">
              <a16:creationId xmlns:a16="http://schemas.microsoft.com/office/drawing/2014/main" id="{CB1E4A0F-44D2-443F-8BFC-875D7D307F0D}"/>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97" name="AutoShape 99" descr="Sub-Story">
          <a:hlinkClick xmlns:r="http://schemas.openxmlformats.org/officeDocument/2006/relationships" r:id="rId96"/>
          <a:extLst>
            <a:ext uri="{FF2B5EF4-FFF2-40B4-BE49-F238E27FC236}">
              <a16:creationId xmlns:a16="http://schemas.microsoft.com/office/drawing/2014/main" id="{851641FE-1D3F-4AD0-B6DE-FDD80413ABED}"/>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98" name="AutoShape 100" descr="Sub-Story">
          <a:hlinkClick xmlns:r="http://schemas.openxmlformats.org/officeDocument/2006/relationships" r:id="rId97"/>
          <a:extLst>
            <a:ext uri="{FF2B5EF4-FFF2-40B4-BE49-F238E27FC236}">
              <a16:creationId xmlns:a16="http://schemas.microsoft.com/office/drawing/2014/main" id="{D3B16AC0-3BD7-4CE8-9160-365DF5DB5263}"/>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99" name="AutoShape 101" descr="Sub-Story">
          <a:hlinkClick xmlns:r="http://schemas.openxmlformats.org/officeDocument/2006/relationships" r:id="rId98"/>
          <a:extLst>
            <a:ext uri="{FF2B5EF4-FFF2-40B4-BE49-F238E27FC236}">
              <a16:creationId xmlns:a16="http://schemas.microsoft.com/office/drawing/2014/main" id="{245B4C46-1400-49D3-9CCC-4763147E8DAB}"/>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00" name="AutoShape 102" descr="Sub-Story">
          <a:hlinkClick xmlns:r="http://schemas.openxmlformats.org/officeDocument/2006/relationships" r:id="rId99"/>
          <a:extLst>
            <a:ext uri="{FF2B5EF4-FFF2-40B4-BE49-F238E27FC236}">
              <a16:creationId xmlns:a16="http://schemas.microsoft.com/office/drawing/2014/main" id="{6D11CC58-3D46-4029-9816-D32872A6E41D}"/>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01" name="AutoShape 103" descr="Sub-Story">
          <a:hlinkClick xmlns:r="http://schemas.openxmlformats.org/officeDocument/2006/relationships" r:id="rId100"/>
          <a:extLst>
            <a:ext uri="{FF2B5EF4-FFF2-40B4-BE49-F238E27FC236}">
              <a16:creationId xmlns:a16="http://schemas.microsoft.com/office/drawing/2014/main" id="{4043EF1D-1FA9-4D75-AD95-C24662B18FA1}"/>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02" name="AutoShape 104" descr="Sub-Story">
          <a:hlinkClick xmlns:r="http://schemas.openxmlformats.org/officeDocument/2006/relationships" r:id="rId101"/>
          <a:extLst>
            <a:ext uri="{FF2B5EF4-FFF2-40B4-BE49-F238E27FC236}">
              <a16:creationId xmlns:a16="http://schemas.microsoft.com/office/drawing/2014/main" id="{49B6493F-C2B7-482F-98CF-0F4ED5622793}"/>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03" name="AutoShape 105" descr="Sub-Story">
          <a:hlinkClick xmlns:r="http://schemas.openxmlformats.org/officeDocument/2006/relationships" r:id="rId102"/>
          <a:extLst>
            <a:ext uri="{FF2B5EF4-FFF2-40B4-BE49-F238E27FC236}">
              <a16:creationId xmlns:a16="http://schemas.microsoft.com/office/drawing/2014/main" id="{4B37D313-A11E-49B1-B102-A0555BE5F314}"/>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04" name="AutoShape 106" descr="Sub-Story">
          <a:hlinkClick xmlns:r="http://schemas.openxmlformats.org/officeDocument/2006/relationships" r:id="rId103"/>
          <a:extLst>
            <a:ext uri="{FF2B5EF4-FFF2-40B4-BE49-F238E27FC236}">
              <a16:creationId xmlns:a16="http://schemas.microsoft.com/office/drawing/2014/main" id="{C95B70F2-E053-401A-AFBD-8C97B58F7B02}"/>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186</xdr:row>
      <xdr:rowOff>0</xdr:rowOff>
    </xdr:from>
    <xdr:to>
      <xdr:col>3</xdr:col>
      <xdr:colOff>152400</xdr:colOff>
      <xdr:row>186</xdr:row>
      <xdr:rowOff>152400</xdr:rowOff>
    </xdr:to>
    <xdr:sp macro="" textlink="">
      <xdr:nvSpPr>
        <xdr:cNvPr id="105" name="AutoShape 107" descr="Sub-Story">
          <a:hlinkClick xmlns:r="http://schemas.openxmlformats.org/officeDocument/2006/relationships" r:id="rId104"/>
          <a:extLst>
            <a:ext uri="{FF2B5EF4-FFF2-40B4-BE49-F238E27FC236}">
              <a16:creationId xmlns:a16="http://schemas.microsoft.com/office/drawing/2014/main" id="{59012A9F-A851-4329-97A7-233EB49CD7FC}"/>
            </a:ext>
          </a:extLst>
        </xdr:cNvPr>
        <xdr:cNvSpPr>
          <a:spLocks noChangeAspect="1" noChangeArrowheads="1"/>
        </xdr:cNvSpPr>
      </xdr:nvSpPr>
      <xdr:spPr bwMode="auto">
        <a:xfrm>
          <a:off x="8229600" y="21976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152400</xdr:colOff>
      <xdr:row>0</xdr:row>
      <xdr:rowOff>152400</xdr:rowOff>
    </xdr:to>
    <xdr:sp macro="" textlink="">
      <xdr:nvSpPr>
        <xdr:cNvPr id="14337" name="AutoShape 1" descr="Sub-Story">
          <a:hlinkClick xmlns:r="http://schemas.openxmlformats.org/officeDocument/2006/relationships" r:id="rId1"/>
          <a:extLst>
            <a:ext uri="{FF2B5EF4-FFF2-40B4-BE49-F238E27FC236}">
              <a16:creationId xmlns:a16="http://schemas.microsoft.com/office/drawing/2014/main" id="{D8F438BA-FDF9-430D-ABC9-CC8B7591EF84}"/>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xdr:row>
      <xdr:rowOff>0</xdr:rowOff>
    </xdr:from>
    <xdr:to>
      <xdr:col>2</xdr:col>
      <xdr:colOff>152400</xdr:colOff>
      <xdr:row>1</xdr:row>
      <xdr:rowOff>152400</xdr:rowOff>
    </xdr:to>
    <xdr:sp macro="" textlink="">
      <xdr:nvSpPr>
        <xdr:cNvPr id="14338" name="AutoShape 2" descr="Sub-Story">
          <a:hlinkClick xmlns:r="http://schemas.openxmlformats.org/officeDocument/2006/relationships" r:id="rId2"/>
          <a:extLst>
            <a:ext uri="{FF2B5EF4-FFF2-40B4-BE49-F238E27FC236}">
              <a16:creationId xmlns:a16="http://schemas.microsoft.com/office/drawing/2014/main" id="{7F94F28F-A2C3-453A-AE30-1103EB6F4FB5}"/>
            </a:ext>
          </a:extLst>
        </xdr:cNvPr>
        <xdr:cNvSpPr>
          <a:spLocks noChangeAspect="1" noChangeArrowheads="1"/>
        </xdr:cNvSpPr>
      </xdr:nvSpPr>
      <xdr:spPr bwMode="auto">
        <a:xfrm>
          <a:off x="1219200" y="533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xdr:row>
      <xdr:rowOff>0</xdr:rowOff>
    </xdr:from>
    <xdr:to>
      <xdr:col>2</xdr:col>
      <xdr:colOff>152400</xdr:colOff>
      <xdr:row>2</xdr:row>
      <xdr:rowOff>152400</xdr:rowOff>
    </xdr:to>
    <xdr:sp macro="" textlink="">
      <xdr:nvSpPr>
        <xdr:cNvPr id="14339" name="AutoShape 3" descr="Sub-task">
          <a:hlinkClick xmlns:r="http://schemas.openxmlformats.org/officeDocument/2006/relationships" r:id="rId3"/>
          <a:extLst>
            <a:ext uri="{FF2B5EF4-FFF2-40B4-BE49-F238E27FC236}">
              <a16:creationId xmlns:a16="http://schemas.microsoft.com/office/drawing/2014/main" id="{06A8A6B7-1E9C-47BE-8811-9D3AB23F9192}"/>
            </a:ext>
          </a:extLst>
        </xdr:cNvPr>
        <xdr:cNvSpPr>
          <a:spLocks noChangeAspect="1" noChangeArrowheads="1"/>
        </xdr:cNvSpPr>
      </xdr:nvSpPr>
      <xdr:spPr bwMode="auto">
        <a:xfrm>
          <a:off x="1219200" y="1767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xdr:row>
      <xdr:rowOff>0</xdr:rowOff>
    </xdr:from>
    <xdr:to>
      <xdr:col>2</xdr:col>
      <xdr:colOff>152400</xdr:colOff>
      <xdr:row>3</xdr:row>
      <xdr:rowOff>152400</xdr:rowOff>
    </xdr:to>
    <xdr:sp macro="" textlink="">
      <xdr:nvSpPr>
        <xdr:cNvPr id="14340" name="AutoShape 4" descr="Sub-Story">
          <a:hlinkClick xmlns:r="http://schemas.openxmlformats.org/officeDocument/2006/relationships" r:id="rId4"/>
          <a:extLst>
            <a:ext uri="{FF2B5EF4-FFF2-40B4-BE49-F238E27FC236}">
              <a16:creationId xmlns:a16="http://schemas.microsoft.com/office/drawing/2014/main" id="{FB725885-C691-4220-BB21-34AB093CD594}"/>
            </a:ext>
          </a:extLst>
        </xdr:cNvPr>
        <xdr:cNvSpPr>
          <a:spLocks noChangeAspect="1" noChangeArrowheads="1"/>
        </xdr:cNvSpPr>
      </xdr:nvSpPr>
      <xdr:spPr bwMode="auto">
        <a:xfrm>
          <a:off x="1219200" y="31775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152400</xdr:colOff>
      <xdr:row>4</xdr:row>
      <xdr:rowOff>152400</xdr:rowOff>
    </xdr:to>
    <xdr:sp macro="" textlink="">
      <xdr:nvSpPr>
        <xdr:cNvPr id="14341" name="AutoShape 5" descr="Sub-Story">
          <a:hlinkClick xmlns:r="http://schemas.openxmlformats.org/officeDocument/2006/relationships" r:id="rId5"/>
          <a:extLst>
            <a:ext uri="{FF2B5EF4-FFF2-40B4-BE49-F238E27FC236}">
              <a16:creationId xmlns:a16="http://schemas.microsoft.com/office/drawing/2014/main" id="{4FB55783-063E-4385-B6BF-C5DBF10F2792}"/>
            </a:ext>
          </a:extLst>
        </xdr:cNvPr>
        <xdr:cNvSpPr>
          <a:spLocks noChangeAspect="1" noChangeArrowheads="1"/>
        </xdr:cNvSpPr>
      </xdr:nvSpPr>
      <xdr:spPr bwMode="auto">
        <a:xfrm>
          <a:off x="1219200" y="44119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152400</xdr:colOff>
      <xdr:row>5</xdr:row>
      <xdr:rowOff>152400</xdr:rowOff>
    </xdr:to>
    <xdr:sp macro="" textlink="">
      <xdr:nvSpPr>
        <xdr:cNvPr id="14342" name="AutoShape 6" descr="Sub-Story">
          <a:hlinkClick xmlns:r="http://schemas.openxmlformats.org/officeDocument/2006/relationships" r:id="rId6"/>
          <a:extLst>
            <a:ext uri="{FF2B5EF4-FFF2-40B4-BE49-F238E27FC236}">
              <a16:creationId xmlns:a16="http://schemas.microsoft.com/office/drawing/2014/main" id="{DEF0F4D1-5E80-4B0E-8EFE-1C481AEC56B7}"/>
            </a:ext>
          </a:extLst>
        </xdr:cNvPr>
        <xdr:cNvSpPr>
          <a:spLocks noChangeAspect="1" noChangeArrowheads="1"/>
        </xdr:cNvSpPr>
      </xdr:nvSpPr>
      <xdr:spPr bwMode="auto">
        <a:xfrm>
          <a:off x="1219200" y="564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152400</xdr:colOff>
      <xdr:row>6</xdr:row>
      <xdr:rowOff>152400</xdr:rowOff>
    </xdr:to>
    <xdr:sp macro="" textlink="">
      <xdr:nvSpPr>
        <xdr:cNvPr id="14343" name="AutoShape 7" descr="Sub-Story">
          <a:hlinkClick xmlns:r="http://schemas.openxmlformats.org/officeDocument/2006/relationships" r:id="rId7"/>
          <a:extLst>
            <a:ext uri="{FF2B5EF4-FFF2-40B4-BE49-F238E27FC236}">
              <a16:creationId xmlns:a16="http://schemas.microsoft.com/office/drawing/2014/main" id="{E08FB981-EE89-41A2-8618-DBD079A2B1C9}"/>
            </a:ext>
          </a:extLst>
        </xdr:cNvPr>
        <xdr:cNvSpPr>
          <a:spLocks noChangeAspect="1" noChangeArrowheads="1"/>
        </xdr:cNvSpPr>
      </xdr:nvSpPr>
      <xdr:spPr bwMode="auto">
        <a:xfrm>
          <a:off x="1219200" y="7056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152400</xdr:colOff>
      <xdr:row>7</xdr:row>
      <xdr:rowOff>152400</xdr:rowOff>
    </xdr:to>
    <xdr:sp macro="" textlink="">
      <xdr:nvSpPr>
        <xdr:cNvPr id="14344" name="AutoShape 8" descr="Sub-Story">
          <a:hlinkClick xmlns:r="http://schemas.openxmlformats.org/officeDocument/2006/relationships" r:id="rId8"/>
          <a:extLst>
            <a:ext uri="{FF2B5EF4-FFF2-40B4-BE49-F238E27FC236}">
              <a16:creationId xmlns:a16="http://schemas.microsoft.com/office/drawing/2014/main" id="{D80E49AE-0E14-490D-8B1C-0D2FB47A8DAE}"/>
            </a:ext>
          </a:extLst>
        </xdr:cNvPr>
        <xdr:cNvSpPr>
          <a:spLocks noChangeAspect="1" noChangeArrowheads="1"/>
        </xdr:cNvSpPr>
      </xdr:nvSpPr>
      <xdr:spPr bwMode="auto">
        <a:xfrm>
          <a:off x="1219200" y="8290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152400</xdr:colOff>
      <xdr:row>8</xdr:row>
      <xdr:rowOff>152400</xdr:rowOff>
    </xdr:to>
    <xdr:sp macro="" textlink="">
      <xdr:nvSpPr>
        <xdr:cNvPr id="14345" name="AutoShape 9" descr="Sub-Story">
          <a:hlinkClick xmlns:r="http://schemas.openxmlformats.org/officeDocument/2006/relationships" r:id="rId9"/>
          <a:extLst>
            <a:ext uri="{FF2B5EF4-FFF2-40B4-BE49-F238E27FC236}">
              <a16:creationId xmlns:a16="http://schemas.microsoft.com/office/drawing/2014/main" id="{956812BE-DE90-4C0A-A747-F0EF46DF407B}"/>
            </a:ext>
          </a:extLst>
        </xdr:cNvPr>
        <xdr:cNvSpPr>
          <a:spLocks noChangeAspect="1" noChangeArrowheads="1"/>
        </xdr:cNvSpPr>
      </xdr:nvSpPr>
      <xdr:spPr bwMode="auto">
        <a:xfrm>
          <a:off x="1219200" y="9875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xdr:row>
      <xdr:rowOff>0</xdr:rowOff>
    </xdr:from>
    <xdr:to>
      <xdr:col>2</xdr:col>
      <xdr:colOff>152400</xdr:colOff>
      <xdr:row>9</xdr:row>
      <xdr:rowOff>152400</xdr:rowOff>
    </xdr:to>
    <xdr:sp macro="" textlink="">
      <xdr:nvSpPr>
        <xdr:cNvPr id="14346" name="AutoShape 10" descr="Sub-task">
          <a:hlinkClick xmlns:r="http://schemas.openxmlformats.org/officeDocument/2006/relationships" r:id="rId10"/>
          <a:extLst>
            <a:ext uri="{FF2B5EF4-FFF2-40B4-BE49-F238E27FC236}">
              <a16:creationId xmlns:a16="http://schemas.microsoft.com/office/drawing/2014/main" id="{93609E06-EE59-4725-930B-D073CA19291C}"/>
            </a:ext>
          </a:extLst>
        </xdr:cNvPr>
        <xdr:cNvSpPr>
          <a:spLocks noChangeAspect="1" noChangeArrowheads="1"/>
        </xdr:cNvSpPr>
      </xdr:nvSpPr>
      <xdr:spPr bwMode="auto">
        <a:xfrm>
          <a:off x="1219200" y="11811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xdr:row>
      <xdr:rowOff>0</xdr:rowOff>
    </xdr:from>
    <xdr:to>
      <xdr:col>2</xdr:col>
      <xdr:colOff>152400</xdr:colOff>
      <xdr:row>10</xdr:row>
      <xdr:rowOff>152400</xdr:rowOff>
    </xdr:to>
    <xdr:sp macro="" textlink="">
      <xdr:nvSpPr>
        <xdr:cNvPr id="14347" name="AutoShape 11" descr="Sub-Story">
          <a:hlinkClick xmlns:r="http://schemas.openxmlformats.org/officeDocument/2006/relationships" r:id="rId11"/>
          <a:extLst>
            <a:ext uri="{FF2B5EF4-FFF2-40B4-BE49-F238E27FC236}">
              <a16:creationId xmlns:a16="http://schemas.microsoft.com/office/drawing/2014/main" id="{5DBCA156-A6ED-4686-9AEC-55DBB593271F}"/>
            </a:ext>
          </a:extLst>
        </xdr:cNvPr>
        <xdr:cNvSpPr>
          <a:spLocks noChangeAspect="1" noChangeArrowheads="1"/>
        </xdr:cNvSpPr>
      </xdr:nvSpPr>
      <xdr:spPr bwMode="auto">
        <a:xfrm>
          <a:off x="1219200" y="12169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11</xdr:row>
      <xdr:rowOff>0</xdr:rowOff>
    </xdr:from>
    <xdr:to>
      <xdr:col>2</xdr:col>
      <xdr:colOff>152400</xdr:colOff>
      <xdr:row>11</xdr:row>
      <xdr:rowOff>152400</xdr:rowOff>
    </xdr:to>
    <xdr:sp macro="" textlink="">
      <xdr:nvSpPr>
        <xdr:cNvPr id="14348" name="AutoShape 12" descr="Sub-Story">
          <a:hlinkClick xmlns:r="http://schemas.openxmlformats.org/officeDocument/2006/relationships" r:id="rId12"/>
          <a:extLst>
            <a:ext uri="{FF2B5EF4-FFF2-40B4-BE49-F238E27FC236}">
              <a16:creationId xmlns:a16="http://schemas.microsoft.com/office/drawing/2014/main" id="{38404E8E-AE8B-423D-8B36-6FDF7E5C156C}"/>
            </a:ext>
          </a:extLst>
        </xdr:cNvPr>
        <xdr:cNvSpPr>
          <a:spLocks noChangeAspect="1" noChangeArrowheads="1"/>
        </xdr:cNvSpPr>
      </xdr:nvSpPr>
      <xdr:spPr bwMode="auto">
        <a:xfrm>
          <a:off x="1219200" y="13578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xdr:row>
      <xdr:rowOff>0</xdr:rowOff>
    </xdr:from>
    <xdr:to>
      <xdr:col>2</xdr:col>
      <xdr:colOff>152400</xdr:colOff>
      <xdr:row>12</xdr:row>
      <xdr:rowOff>152400</xdr:rowOff>
    </xdr:to>
    <xdr:sp macro="" textlink="">
      <xdr:nvSpPr>
        <xdr:cNvPr id="14349" name="AutoShape 13" descr="Sub-Story">
          <a:hlinkClick xmlns:r="http://schemas.openxmlformats.org/officeDocument/2006/relationships" r:id="rId13"/>
          <a:extLst>
            <a:ext uri="{FF2B5EF4-FFF2-40B4-BE49-F238E27FC236}">
              <a16:creationId xmlns:a16="http://schemas.microsoft.com/office/drawing/2014/main" id="{32B9FE5F-80C8-43EE-BBF5-997349C385F5}"/>
            </a:ext>
          </a:extLst>
        </xdr:cNvPr>
        <xdr:cNvSpPr>
          <a:spLocks noChangeAspect="1" noChangeArrowheads="1"/>
        </xdr:cNvSpPr>
      </xdr:nvSpPr>
      <xdr:spPr bwMode="auto">
        <a:xfrm>
          <a:off x="1219200" y="14813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13</xdr:row>
      <xdr:rowOff>0</xdr:rowOff>
    </xdr:from>
    <xdr:to>
      <xdr:col>2</xdr:col>
      <xdr:colOff>152400</xdr:colOff>
      <xdr:row>13</xdr:row>
      <xdr:rowOff>152400</xdr:rowOff>
    </xdr:to>
    <xdr:sp macro="" textlink="">
      <xdr:nvSpPr>
        <xdr:cNvPr id="14350" name="AutoShape 14" descr="Sub-Story">
          <a:hlinkClick xmlns:r="http://schemas.openxmlformats.org/officeDocument/2006/relationships" r:id="rId14"/>
          <a:extLst>
            <a:ext uri="{FF2B5EF4-FFF2-40B4-BE49-F238E27FC236}">
              <a16:creationId xmlns:a16="http://schemas.microsoft.com/office/drawing/2014/main" id="{C51D86E1-EDE8-45DB-8844-17F3F71F6526}"/>
            </a:ext>
          </a:extLst>
        </xdr:cNvPr>
        <xdr:cNvSpPr>
          <a:spLocks noChangeAspect="1" noChangeArrowheads="1"/>
        </xdr:cNvSpPr>
      </xdr:nvSpPr>
      <xdr:spPr bwMode="auto">
        <a:xfrm>
          <a:off x="1219200" y="172745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14</xdr:row>
      <xdr:rowOff>0</xdr:rowOff>
    </xdr:from>
    <xdr:to>
      <xdr:col>2</xdr:col>
      <xdr:colOff>152400</xdr:colOff>
      <xdr:row>14</xdr:row>
      <xdr:rowOff>152400</xdr:rowOff>
    </xdr:to>
    <xdr:sp macro="" textlink="">
      <xdr:nvSpPr>
        <xdr:cNvPr id="14351" name="AutoShape 15" descr="Sub-Story">
          <a:hlinkClick xmlns:r="http://schemas.openxmlformats.org/officeDocument/2006/relationships" r:id="rId15"/>
          <a:extLst>
            <a:ext uri="{FF2B5EF4-FFF2-40B4-BE49-F238E27FC236}">
              <a16:creationId xmlns:a16="http://schemas.microsoft.com/office/drawing/2014/main" id="{2FF36061-E4D4-4914-97B1-4D7A00663E01}"/>
            </a:ext>
          </a:extLst>
        </xdr:cNvPr>
        <xdr:cNvSpPr>
          <a:spLocks noChangeAspect="1" noChangeArrowheads="1"/>
        </xdr:cNvSpPr>
      </xdr:nvSpPr>
      <xdr:spPr bwMode="auto">
        <a:xfrm>
          <a:off x="1219200" y="18333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15</xdr:row>
      <xdr:rowOff>0</xdr:rowOff>
    </xdr:from>
    <xdr:to>
      <xdr:col>2</xdr:col>
      <xdr:colOff>152400</xdr:colOff>
      <xdr:row>15</xdr:row>
      <xdr:rowOff>152400</xdr:rowOff>
    </xdr:to>
    <xdr:sp macro="" textlink="">
      <xdr:nvSpPr>
        <xdr:cNvPr id="14352" name="AutoShape 16" descr="Sub-Story">
          <a:hlinkClick xmlns:r="http://schemas.openxmlformats.org/officeDocument/2006/relationships" r:id="rId16"/>
          <a:extLst>
            <a:ext uri="{FF2B5EF4-FFF2-40B4-BE49-F238E27FC236}">
              <a16:creationId xmlns:a16="http://schemas.microsoft.com/office/drawing/2014/main" id="{CF802361-5FAA-49E2-94B4-DF6420681D60}"/>
            </a:ext>
          </a:extLst>
        </xdr:cNvPr>
        <xdr:cNvSpPr>
          <a:spLocks noChangeAspect="1" noChangeArrowheads="1"/>
        </xdr:cNvSpPr>
      </xdr:nvSpPr>
      <xdr:spPr bwMode="auto">
        <a:xfrm>
          <a:off x="1219200" y="19743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16</xdr:row>
      <xdr:rowOff>0</xdr:rowOff>
    </xdr:from>
    <xdr:to>
      <xdr:col>2</xdr:col>
      <xdr:colOff>152400</xdr:colOff>
      <xdr:row>16</xdr:row>
      <xdr:rowOff>152400</xdr:rowOff>
    </xdr:to>
    <xdr:sp macro="" textlink="">
      <xdr:nvSpPr>
        <xdr:cNvPr id="14353" name="AutoShape 17" descr="Sub-Story">
          <a:hlinkClick xmlns:r="http://schemas.openxmlformats.org/officeDocument/2006/relationships" r:id="rId17"/>
          <a:extLst>
            <a:ext uri="{FF2B5EF4-FFF2-40B4-BE49-F238E27FC236}">
              <a16:creationId xmlns:a16="http://schemas.microsoft.com/office/drawing/2014/main" id="{308B4B5C-4286-4643-855D-83920A71FEDD}"/>
            </a:ext>
          </a:extLst>
        </xdr:cNvPr>
        <xdr:cNvSpPr>
          <a:spLocks noChangeAspect="1" noChangeArrowheads="1"/>
        </xdr:cNvSpPr>
      </xdr:nvSpPr>
      <xdr:spPr bwMode="auto">
        <a:xfrm>
          <a:off x="1219200" y="215036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17</xdr:row>
      <xdr:rowOff>0</xdr:rowOff>
    </xdr:from>
    <xdr:to>
      <xdr:col>2</xdr:col>
      <xdr:colOff>152400</xdr:colOff>
      <xdr:row>17</xdr:row>
      <xdr:rowOff>152400</xdr:rowOff>
    </xdr:to>
    <xdr:sp macro="" textlink="">
      <xdr:nvSpPr>
        <xdr:cNvPr id="14354" name="AutoShape 18" descr="Sub-Story">
          <a:hlinkClick xmlns:r="http://schemas.openxmlformats.org/officeDocument/2006/relationships" r:id="rId18"/>
          <a:extLst>
            <a:ext uri="{FF2B5EF4-FFF2-40B4-BE49-F238E27FC236}">
              <a16:creationId xmlns:a16="http://schemas.microsoft.com/office/drawing/2014/main" id="{3F289763-33F3-41AC-919E-B9325103B87D}"/>
            </a:ext>
          </a:extLst>
        </xdr:cNvPr>
        <xdr:cNvSpPr>
          <a:spLocks noChangeAspect="1" noChangeArrowheads="1"/>
        </xdr:cNvSpPr>
      </xdr:nvSpPr>
      <xdr:spPr bwMode="auto">
        <a:xfrm>
          <a:off x="1219200" y="23439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18</xdr:row>
      <xdr:rowOff>0</xdr:rowOff>
    </xdr:from>
    <xdr:to>
      <xdr:col>2</xdr:col>
      <xdr:colOff>152400</xdr:colOff>
      <xdr:row>18</xdr:row>
      <xdr:rowOff>152400</xdr:rowOff>
    </xdr:to>
    <xdr:sp macro="" textlink="">
      <xdr:nvSpPr>
        <xdr:cNvPr id="14355" name="AutoShape 19" descr="Sub-Story">
          <a:hlinkClick xmlns:r="http://schemas.openxmlformats.org/officeDocument/2006/relationships" r:id="rId19"/>
          <a:extLst>
            <a:ext uri="{FF2B5EF4-FFF2-40B4-BE49-F238E27FC236}">
              <a16:creationId xmlns:a16="http://schemas.microsoft.com/office/drawing/2014/main" id="{E096D2FF-8F92-4AC0-8465-DA2FE3F0C80A}"/>
            </a:ext>
          </a:extLst>
        </xdr:cNvPr>
        <xdr:cNvSpPr>
          <a:spLocks noChangeAspect="1" noChangeArrowheads="1"/>
        </xdr:cNvSpPr>
      </xdr:nvSpPr>
      <xdr:spPr bwMode="auto">
        <a:xfrm>
          <a:off x="1219200" y="25374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19</xdr:row>
      <xdr:rowOff>0</xdr:rowOff>
    </xdr:from>
    <xdr:to>
      <xdr:col>2</xdr:col>
      <xdr:colOff>152400</xdr:colOff>
      <xdr:row>19</xdr:row>
      <xdr:rowOff>152400</xdr:rowOff>
    </xdr:to>
    <xdr:sp macro="" textlink="">
      <xdr:nvSpPr>
        <xdr:cNvPr id="14356" name="AutoShape 20" descr="Sub-Story">
          <a:hlinkClick xmlns:r="http://schemas.openxmlformats.org/officeDocument/2006/relationships" r:id="rId20"/>
          <a:extLst>
            <a:ext uri="{FF2B5EF4-FFF2-40B4-BE49-F238E27FC236}">
              <a16:creationId xmlns:a16="http://schemas.microsoft.com/office/drawing/2014/main" id="{EAEC8CDE-458B-41CB-822F-9855EBF26551}"/>
            </a:ext>
          </a:extLst>
        </xdr:cNvPr>
        <xdr:cNvSpPr>
          <a:spLocks noChangeAspect="1" noChangeArrowheads="1"/>
        </xdr:cNvSpPr>
      </xdr:nvSpPr>
      <xdr:spPr bwMode="auto">
        <a:xfrm>
          <a:off x="1219200" y="26609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20</xdr:row>
      <xdr:rowOff>0</xdr:rowOff>
    </xdr:from>
    <xdr:to>
      <xdr:col>2</xdr:col>
      <xdr:colOff>152400</xdr:colOff>
      <xdr:row>20</xdr:row>
      <xdr:rowOff>152400</xdr:rowOff>
    </xdr:to>
    <xdr:sp macro="" textlink="">
      <xdr:nvSpPr>
        <xdr:cNvPr id="14357" name="AutoShape 21" descr="Sub-Story">
          <a:hlinkClick xmlns:r="http://schemas.openxmlformats.org/officeDocument/2006/relationships" r:id="rId21"/>
          <a:extLst>
            <a:ext uri="{FF2B5EF4-FFF2-40B4-BE49-F238E27FC236}">
              <a16:creationId xmlns:a16="http://schemas.microsoft.com/office/drawing/2014/main" id="{6E0535E4-CA20-4065-BDDD-B7BB6F4BB961}"/>
            </a:ext>
          </a:extLst>
        </xdr:cNvPr>
        <xdr:cNvSpPr>
          <a:spLocks noChangeAspect="1" noChangeArrowheads="1"/>
        </xdr:cNvSpPr>
      </xdr:nvSpPr>
      <xdr:spPr bwMode="auto">
        <a:xfrm>
          <a:off x="1219200" y="28194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21</xdr:row>
      <xdr:rowOff>0</xdr:rowOff>
    </xdr:from>
    <xdr:to>
      <xdr:col>2</xdr:col>
      <xdr:colOff>152400</xdr:colOff>
      <xdr:row>21</xdr:row>
      <xdr:rowOff>152400</xdr:rowOff>
    </xdr:to>
    <xdr:sp macro="" textlink="">
      <xdr:nvSpPr>
        <xdr:cNvPr id="14358" name="AutoShape 22" descr="Sub-task">
          <a:hlinkClick xmlns:r="http://schemas.openxmlformats.org/officeDocument/2006/relationships" r:id="rId22"/>
          <a:extLst>
            <a:ext uri="{FF2B5EF4-FFF2-40B4-BE49-F238E27FC236}">
              <a16:creationId xmlns:a16="http://schemas.microsoft.com/office/drawing/2014/main" id="{FBD8CB18-1F9D-4DAD-BB61-BC3FED389782}"/>
            </a:ext>
          </a:extLst>
        </xdr:cNvPr>
        <xdr:cNvSpPr>
          <a:spLocks noChangeAspect="1" noChangeArrowheads="1"/>
        </xdr:cNvSpPr>
      </xdr:nvSpPr>
      <xdr:spPr bwMode="auto">
        <a:xfrm>
          <a:off x="1219200" y="28902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22</xdr:row>
      <xdr:rowOff>0</xdr:rowOff>
    </xdr:from>
    <xdr:to>
      <xdr:col>2</xdr:col>
      <xdr:colOff>152400</xdr:colOff>
      <xdr:row>22</xdr:row>
      <xdr:rowOff>152400</xdr:rowOff>
    </xdr:to>
    <xdr:sp macro="" textlink="">
      <xdr:nvSpPr>
        <xdr:cNvPr id="14359" name="AutoShape 23" descr="Sub-Story">
          <a:hlinkClick xmlns:r="http://schemas.openxmlformats.org/officeDocument/2006/relationships" r:id="rId23"/>
          <a:extLst>
            <a:ext uri="{FF2B5EF4-FFF2-40B4-BE49-F238E27FC236}">
              <a16:creationId xmlns:a16="http://schemas.microsoft.com/office/drawing/2014/main" id="{4E98B8A8-1BF3-4490-BF14-B0BE3477E599}"/>
            </a:ext>
          </a:extLst>
        </xdr:cNvPr>
        <xdr:cNvSpPr>
          <a:spLocks noChangeAspect="1" noChangeArrowheads="1"/>
        </xdr:cNvSpPr>
      </xdr:nvSpPr>
      <xdr:spPr bwMode="auto">
        <a:xfrm>
          <a:off x="1219200" y="2978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23</xdr:row>
      <xdr:rowOff>0</xdr:rowOff>
    </xdr:from>
    <xdr:to>
      <xdr:col>2</xdr:col>
      <xdr:colOff>152400</xdr:colOff>
      <xdr:row>23</xdr:row>
      <xdr:rowOff>152400</xdr:rowOff>
    </xdr:to>
    <xdr:sp macro="" textlink="">
      <xdr:nvSpPr>
        <xdr:cNvPr id="14360" name="AutoShape 24" descr="Sub-Story">
          <a:hlinkClick xmlns:r="http://schemas.openxmlformats.org/officeDocument/2006/relationships" r:id="rId24"/>
          <a:extLst>
            <a:ext uri="{FF2B5EF4-FFF2-40B4-BE49-F238E27FC236}">
              <a16:creationId xmlns:a16="http://schemas.microsoft.com/office/drawing/2014/main" id="{2F69F3CA-891D-4EE5-B635-DA7388E64614}"/>
            </a:ext>
          </a:extLst>
        </xdr:cNvPr>
        <xdr:cNvSpPr>
          <a:spLocks noChangeAspect="1" noChangeArrowheads="1"/>
        </xdr:cNvSpPr>
      </xdr:nvSpPr>
      <xdr:spPr bwMode="auto">
        <a:xfrm>
          <a:off x="1219200" y="3084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24</xdr:row>
      <xdr:rowOff>0</xdr:rowOff>
    </xdr:from>
    <xdr:to>
      <xdr:col>2</xdr:col>
      <xdr:colOff>152400</xdr:colOff>
      <xdr:row>24</xdr:row>
      <xdr:rowOff>152400</xdr:rowOff>
    </xdr:to>
    <xdr:sp macro="" textlink="">
      <xdr:nvSpPr>
        <xdr:cNvPr id="14361" name="AutoShape 25" descr="Sub-Story">
          <a:hlinkClick xmlns:r="http://schemas.openxmlformats.org/officeDocument/2006/relationships" r:id="rId25"/>
          <a:extLst>
            <a:ext uri="{FF2B5EF4-FFF2-40B4-BE49-F238E27FC236}">
              <a16:creationId xmlns:a16="http://schemas.microsoft.com/office/drawing/2014/main" id="{B16664FB-3187-47DE-85F2-24ED71D45C1B}"/>
            </a:ext>
          </a:extLst>
        </xdr:cNvPr>
        <xdr:cNvSpPr>
          <a:spLocks noChangeAspect="1" noChangeArrowheads="1"/>
        </xdr:cNvSpPr>
      </xdr:nvSpPr>
      <xdr:spPr bwMode="auto">
        <a:xfrm>
          <a:off x="1219200" y="31729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25</xdr:row>
      <xdr:rowOff>0</xdr:rowOff>
    </xdr:from>
    <xdr:to>
      <xdr:col>2</xdr:col>
      <xdr:colOff>152400</xdr:colOff>
      <xdr:row>25</xdr:row>
      <xdr:rowOff>152400</xdr:rowOff>
    </xdr:to>
    <xdr:sp macro="" textlink="">
      <xdr:nvSpPr>
        <xdr:cNvPr id="14362" name="AutoShape 26" descr="Sub-Story">
          <a:hlinkClick xmlns:r="http://schemas.openxmlformats.org/officeDocument/2006/relationships" r:id="rId26"/>
          <a:extLst>
            <a:ext uri="{FF2B5EF4-FFF2-40B4-BE49-F238E27FC236}">
              <a16:creationId xmlns:a16="http://schemas.microsoft.com/office/drawing/2014/main" id="{A5CFC97A-9965-447F-9372-805431347886}"/>
            </a:ext>
          </a:extLst>
        </xdr:cNvPr>
        <xdr:cNvSpPr>
          <a:spLocks noChangeAspect="1" noChangeArrowheads="1"/>
        </xdr:cNvSpPr>
      </xdr:nvSpPr>
      <xdr:spPr bwMode="auto">
        <a:xfrm>
          <a:off x="1219200" y="32613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26</xdr:row>
      <xdr:rowOff>0</xdr:rowOff>
    </xdr:from>
    <xdr:to>
      <xdr:col>2</xdr:col>
      <xdr:colOff>152400</xdr:colOff>
      <xdr:row>26</xdr:row>
      <xdr:rowOff>152400</xdr:rowOff>
    </xdr:to>
    <xdr:sp macro="" textlink="">
      <xdr:nvSpPr>
        <xdr:cNvPr id="14363" name="AutoShape 27" descr="Sub-Story">
          <a:hlinkClick xmlns:r="http://schemas.openxmlformats.org/officeDocument/2006/relationships" r:id="rId27"/>
          <a:extLst>
            <a:ext uri="{FF2B5EF4-FFF2-40B4-BE49-F238E27FC236}">
              <a16:creationId xmlns:a16="http://schemas.microsoft.com/office/drawing/2014/main" id="{4EC5FCF4-73C6-4B50-97E1-6C0C112FBCAF}"/>
            </a:ext>
          </a:extLst>
        </xdr:cNvPr>
        <xdr:cNvSpPr>
          <a:spLocks noChangeAspect="1" noChangeArrowheads="1"/>
        </xdr:cNvSpPr>
      </xdr:nvSpPr>
      <xdr:spPr bwMode="auto">
        <a:xfrm>
          <a:off x="1219200" y="333222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27</xdr:row>
      <xdr:rowOff>0</xdr:rowOff>
    </xdr:from>
    <xdr:to>
      <xdr:col>2</xdr:col>
      <xdr:colOff>152400</xdr:colOff>
      <xdr:row>27</xdr:row>
      <xdr:rowOff>152400</xdr:rowOff>
    </xdr:to>
    <xdr:sp macro="" textlink="">
      <xdr:nvSpPr>
        <xdr:cNvPr id="14364" name="AutoShape 28" descr="Sub-Story">
          <a:hlinkClick xmlns:r="http://schemas.openxmlformats.org/officeDocument/2006/relationships" r:id="rId28"/>
          <a:extLst>
            <a:ext uri="{FF2B5EF4-FFF2-40B4-BE49-F238E27FC236}">
              <a16:creationId xmlns:a16="http://schemas.microsoft.com/office/drawing/2014/main" id="{667DC9BC-55C1-42B4-B2DB-4E558340CEF0}"/>
            </a:ext>
          </a:extLst>
        </xdr:cNvPr>
        <xdr:cNvSpPr>
          <a:spLocks noChangeAspect="1" noChangeArrowheads="1"/>
        </xdr:cNvSpPr>
      </xdr:nvSpPr>
      <xdr:spPr bwMode="auto">
        <a:xfrm>
          <a:off x="1219200" y="356082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28</xdr:row>
      <xdr:rowOff>0</xdr:rowOff>
    </xdr:from>
    <xdr:to>
      <xdr:col>2</xdr:col>
      <xdr:colOff>152400</xdr:colOff>
      <xdr:row>28</xdr:row>
      <xdr:rowOff>152400</xdr:rowOff>
    </xdr:to>
    <xdr:sp macro="" textlink="">
      <xdr:nvSpPr>
        <xdr:cNvPr id="14365" name="AutoShape 29" descr="Sub-task">
          <a:hlinkClick xmlns:r="http://schemas.openxmlformats.org/officeDocument/2006/relationships" r:id="rId29"/>
          <a:extLst>
            <a:ext uri="{FF2B5EF4-FFF2-40B4-BE49-F238E27FC236}">
              <a16:creationId xmlns:a16="http://schemas.microsoft.com/office/drawing/2014/main" id="{DA7774A5-7BE9-4AC7-BCF0-FEAC6C8A844F}"/>
            </a:ext>
          </a:extLst>
        </xdr:cNvPr>
        <xdr:cNvSpPr>
          <a:spLocks noChangeAspect="1" noChangeArrowheads="1"/>
        </xdr:cNvSpPr>
      </xdr:nvSpPr>
      <xdr:spPr bwMode="auto">
        <a:xfrm>
          <a:off x="1219200" y="36141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29</xdr:row>
      <xdr:rowOff>0</xdr:rowOff>
    </xdr:from>
    <xdr:to>
      <xdr:col>2</xdr:col>
      <xdr:colOff>152400</xdr:colOff>
      <xdr:row>29</xdr:row>
      <xdr:rowOff>152400</xdr:rowOff>
    </xdr:to>
    <xdr:sp macro="" textlink="">
      <xdr:nvSpPr>
        <xdr:cNvPr id="14366" name="AutoShape 30" descr="Sub-Story">
          <a:hlinkClick xmlns:r="http://schemas.openxmlformats.org/officeDocument/2006/relationships" r:id="rId30"/>
          <a:extLst>
            <a:ext uri="{FF2B5EF4-FFF2-40B4-BE49-F238E27FC236}">
              <a16:creationId xmlns:a16="http://schemas.microsoft.com/office/drawing/2014/main" id="{B797D0F5-743F-47F5-A0AE-38F2CAD3AC1F}"/>
            </a:ext>
          </a:extLst>
        </xdr:cNvPr>
        <xdr:cNvSpPr>
          <a:spLocks noChangeAspect="1" noChangeArrowheads="1"/>
        </xdr:cNvSpPr>
      </xdr:nvSpPr>
      <xdr:spPr bwMode="auto">
        <a:xfrm>
          <a:off x="1219200" y="37025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30</xdr:row>
      <xdr:rowOff>0</xdr:rowOff>
    </xdr:from>
    <xdr:to>
      <xdr:col>2</xdr:col>
      <xdr:colOff>152400</xdr:colOff>
      <xdr:row>30</xdr:row>
      <xdr:rowOff>152400</xdr:rowOff>
    </xdr:to>
    <xdr:sp macro="" textlink="">
      <xdr:nvSpPr>
        <xdr:cNvPr id="14367" name="AutoShape 31" descr="Sub-Story">
          <a:hlinkClick xmlns:r="http://schemas.openxmlformats.org/officeDocument/2006/relationships" r:id="rId31"/>
          <a:extLst>
            <a:ext uri="{FF2B5EF4-FFF2-40B4-BE49-F238E27FC236}">
              <a16:creationId xmlns:a16="http://schemas.microsoft.com/office/drawing/2014/main" id="{FD7672E6-469A-48E6-9E07-78E2B5215B18}"/>
            </a:ext>
          </a:extLst>
        </xdr:cNvPr>
        <xdr:cNvSpPr>
          <a:spLocks noChangeAspect="1" noChangeArrowheads="1"/>
        </xdr:cNvSpPr>
      </xdr:nvSpPr>
      <xdr:spPr bwMode="auto">
        <a:xfrm>
          <a:off x="1219200" y="37909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31</xdr:row>
      <xdr:rowOff>0</xdr:rowOff>
    </xdr:from>
    <xdr:to>
      <xdr:col>2</xdr:col>
      <xdr:colOff>152400</xdr:colOff>
      <xdr:row>31</xdr:row>
      <xdr:rowOff>152400</xdr:rowOff>
    </xdr:to>
    <xdr:sp macro="" textlink="">
      <xdr:nvSpPr>
        <xdr:cNvPr id="14368" name="AutoShape 32" descr="Sub-Story">
          <a:hlinkClick xmlns:r="http://schemas.openxmlformats.org/officeDocument/2006/relationships" r:id="rId32"/>
          <a:extLst>
            <a:ext uri="{FF2B5EF4-FFF2-40B4-BE49-F238E27FC236}">
              <a16:creationId xmlns:a16="http://schemas.microsoft.com/office/drawing/2014/main" id="{9BF3D506-F3AB-4807-9EDB-5C3688871337}"/>
            </a:ext>
          </a:extLst>
        </xdr:cNvPr>
        <xdr:cNvSpPr>
          <a:spLocks noChangeAspect="1" noChangeArrowheads="1"/>
        </xdr:cNvSpPr>
      </xdr:nvSpPr>
      <xdr:spPr bwMode="auto">
        <a:xfrm>
          <a:off x="1219200" y="39319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32</xdr:row>
      <xdr:rowOff>0</xdr:rowOff>
    </xdr:from>
    <xdr:to>
      <xdr:col>2</xdr:col>
      <xdr:colOff>152400</xdr:colOff>
      <xdr:row>32</xdr:row>
      <xdr:rowOff>152400</xdr:rowOff>
    </xdr:to>
    <xdr:sp macro="" textlink="">
      <xdr:nvSpPr>
        <xdr:cNvPr id="14369" name="AutoShape 33" descr="Sub-Story">
          <a:hlinkClick xmlns:r="http://schemas.openxmlformats.org/officeDocument/2006/relationships" r:id="rId33"/>
          <a:extLst>
            <a:ext uri="{FF2B5EF4-FFF2-40B4-BE49-F238E27FC236}">
              <a16:creationId xmlns:a16="http://schemas.microsoft.com/office/drawing/2014/main" id="{3A65F026-D69D-4574-8EA6-75F922B94078}"/>
            </a:ext>
          </a:extLst>
        </xdr:cNvPr>
        <xdr:cNvSpPr>
          <a:spLocks noChangeAspect="1" noChangeArrowheads="1"/>
        </xdr:cNvSpPr>
      </xdr:nvSpPr>
      <xdr:spPr bwMode="auto">
        <a:xfrm>
          <a:off x="1219200" y="40728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33</xdr:row>
      <xdr:rowOff>0</xdr:rowOff>
    </xdr:from>
    <xdr:to>
      <xdr:col>2</xdr:col>
      <xdr:colOff>152400</xdr:colOff>
      <xdr:row>33</xdr:row>
      <xdr:rowOff>152400</xdr:rowOff>
    </xdr:to>
    <xdr:sp macro="" textlink="">
      <xdr:nvSpPr>
        <xdr:cNvPr id="14370" name="AutoShape 34" descr="Sub-Story">
          <a:hlinkClick xmlns:r="http://schemas.openxmlformats.org/officeDocument/2006/relationships" r:id="rId34"/>
          <a:extLst>
            <a:ext uri="{FF2B5EF4-FFF2-40B4-BE49-F238E27FC236}">
              <a16:creationId xmlns:a16="http://schemas.microsoft.com/office/drawing/2014/main" id="{9013DE5E-041B-4D75-A9B2-8ABF44F6ACBB}"/>
            </a:ext>
          </a:extLst>
        </xdr:cNvPr>
        <xdr:cNvSpPr>
          <a:spLocks noChangeAspect="1" noChangeArrowheads="1"/>
        </xdr:cNvSpPr>
      </xdr:nvSpPr>
      <xdr:spPr bwMode="auto">
        <a:xfrm>
          <a:off x="1219200" y="42138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34</xdr:row>
      <xdr:rowOff>0</xdr:rowOff>
    </xdr:from>
    <xdr:to>
      <xdr:col>2</xdr:col>
      <xdr:colOff>152400</xdr:colOff>
      <xdr:row>34</xdr:row>
      <xdr:rowOff>152400</xdr:rowOff>
    </xdr:to>
    <xdr:sp macro="" textlink="">
      <xdr:nvSpPr>
        <xdr:cNvPr id="14371" name="AutoShape 35" descr="Sub-Story">
          <a:hlinkClick xmlns:r="http://schemas.openxmlformats.org/officeDocument/2006/relationships" r:id="rId35"/>
          <a:extLst>
            <a:ext uri="{FF2B5EF4-FFF2-40B4-BE49-F238E27FC236}">
              <a16:creationId xmlns:a16="http://schemas.microsoft.com/office/drawing/2014/main" id="{81080F11-625D-48CA-8C3A-F4188973B7E2}"/>
            </a:ext>
          </a:extLst>
        </xdr:cNvPr>
        <xdr:cNvSpPr>
          <a:spLocks noChangeAspect="1" noChangeArrowheads="1"/>
        </xdr:cNvSpPr>
      </xdr:nvSpPr>
      <xdr:spPr bwMode="auto">
        <a:xfrm>
          <a:off x="1219200" y="435483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35</xdr:row>
      <xdr:rowOff>0</xdr:rowOff>
    </xdr:from>
    <xdr:to>
      <xdr:col>2</xdr:col>
      <xdr:colOff>152400</xdr:colOff>
      <xdr:row>35</xdr:row>
      <xdr:rowOff>152400</xdr:rowOff>
    </xdr:to>
    <xdr:sp macro="" textlink="">
      <xdr:nvSpPr>
        <xdr:cNvPr id="14372" name="AutoShape 36" descr="Sub-Story">
          <a:hlinkClick xmlns:r="http://schemas.openxmlformats.org/officeDocument/2006/relationships" r:id="rId36"/>
          <a:extLst>
            <a:ext uri="{FF2B5EF4-FFF2-40B4-BE49-F238E27FC236}">
              <a16:creationId xmlns:a16="http://schemas.microsoft.com/office/drawing/2014/main" id="{941D56BC-B09B-4E76-85C6-AAB66FB16FBC}"/>
            </a:ext>
          </a:extLst>
        </xdr:cNvPr>
        <xdr:cNvSpPr>
          <a:spLocks noChangeAspect="1" noChangeArrowheads="1"/>
        </xdr:cNvSpPr>
      </xdr:nvSpPr>
      <xdr:spPr bwMode="auto">
        <a:xfrm>
          <a:off x="1219200" y="44782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36</xdr:row>
      <xdr:rowOff>0</xdr:rowOff>
    </xdr:from>
    <xdr:to>
      <xdr:col>2</xdr:col>
      <xdr:colOff>152400</xdr:colOff>
      <xdr:row>36</xdr:row>
      <xdr:rowOff>152400</xdr:rowOff>
    </xdr:to>
    <xdr:sp macro="" textlink="">
      <xdr:nvSpPr>
        <xdr:cNvPr id="14373" name="AutoShape 37" descr="Sub-Story">
          <a:hlinkClick xmlns:r="http://schemas.openxmlformats.org/officeDocument/2006/relationships" r:id="rId37"/>
          <a:extLst>
            <a:ext uri="{FF2B5EF4-FFF2-40B4-BE49-F238E27FC236}">
              <a16:creationId xmlns:a16="http://schemas.microsoft.com/office/drawing/2014/main" id="{1E9121F6-7D18-4D39-B123-155B82452070}"/>
            </a:ext>
          </a:extLst>
        </xdr:cNvPr>
        <xdr:cNvSpPr>
          <a:spLocks noChangeAspect="1" noChangeArrowheads="1"/>
        </xdr:cNvSpPr>
      </xdr:nvSpPr>
      <xdr:spPr bwMode="auto">
        <a:xfrm>
          <a:off x="1219200" y="45841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37</xdr:row>
      <xdr:rowOff>0</xdr:rowOff>
    </xdr:from>
    <xdr:to>
      <xdr:col>2</xdr:col>
      <xdr:colOff>152400</xdr:colOff>
      <xdr:row>37</xdr:row>
      <xdr:rowOff>152400</xdr:rowOff>
    </xdr:to>
    <xdr:sp macro="" textlink="">
      <xdr:nvSpPr>
        <xdr:cNvPr id="14374" name="AutoShape 38" descr="Sub-Story">
          <a:hlinkClick xmlns:r="http://schemas.openxmlformats.org/officeDocument/2006/relationships" r:id="rId38"/>
          <a:extLst>
            <a:ext uri="{FF2B5EF4-FFF2-40B4-BE49-F238E27FC236}">
              <a16:creationId xmlns:a16="http://schemas.microsoft.com/office/drawing/2014/main" id="{34BB6024-96C0-4116-B559-EF485BEA9536}"/>
            </a:ext>
          </a:extLst>
        </xdr:cNvPr>
        <xdr:cNvSpPr>
          <a:spLocks noChangeAspect="1" noChangeArrowheads="1"/>
        </xdr:cNvSpPr>
      </xdr:nvSpPr>
      <xdr:spPr bwMode="auto">
        <a:xfrm>
          <a:off x="1219200" y="47251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38</xdr:row>
      <xdr:rowOff>0</xdr:rowOff>
    </xdr:from>
    <xdr:to>
      <xdr:col>2</xdr:col>
      <xdr:colOff>152400</xdr:colOff>
      <xdr:row>38</xdr:row>
      <xdr:rowOff>152400</xdr:rowOff>
    </xdr:to>
    <xdr:sp macro="" textlink="">
      <xdr:nvSpPr>
        <xdr:cNvPr id="14375" name="AutoShape 39" descr="Sub-Story">
          <a:hlinkClick xmlns:r="http://schemas.openxmlformats.org/officeDocument/2006/relationships" r:id="rId39"/>
          <a:extLst>
            <a:ext uri="{FF2B5EF4-FFF2-40B4-BE49-F238E27FC236}">
              <a16:creationId xmlns:a16="http://schemas.microsoft.com/office/drawing/2014/main" id="{4C9329FA-1C00-41B0-B6B8-8BA89B21A20D}"/>
            </a:ext>
          </a:extLst>
        </xdr:cNvPr>
        <xdr:cNvSpPr>
          <a:spLocks noChangeAspect="1" noChangeArrowheads="1"/>
        </xdr:cNvSpPr>
      </xdr:nvSpPr>
      <xdr:spPr bwMode="auto">
        <a:xfrm>
          <a:off x="1219200" y="4883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39</xdr:row>
      <xdr:rowOff>0</xdr:rowOff>
    </xdr:from>
    <xdr:to>
      <xdr:col>2</xdr:col>
      <xdr:colOff>152400</xdr:colOff>
      <xdr:row>39</xdr:row>
      <xdr:rowOff>152400</xdr:rowOff>
    </xdr:to>
    <xdr:sp macro="" textlink="">
      <xdr:nvSpPr>
        <xdr:cNvPr id="14376" name="AutoShape 40" descr="Sub-Story">
          <a:hlinkClick xmlns:r="http://schemas.openxmlformats.org/officeDocument/2006/relationships" r:id="rId40"/>
          <a:extLst>
            <a:ext uri="{FF2B5EF4-FFF2-40B4-BE49-F238E27FC236}">
              <a16:creationId xmlns:a16="http://schemas.microsoft.com/office/drawing/2014/main" id="{2828FA02-100C-42F2-A588-B360046BFAB3}"/>
            </a:ext>
          </a:extLst>
        </xdr:cNvPr>
        <xdr:cNvSpPr>
          <a:spLocks noChangeAspect="1" noChangeArrowheads="1"/>
        </xdr:cNvSpPr>
      </xdr:nvSpPr>
      <xdr:spPr bwMode="auto">
        <a:xfrm>
          <a:off x="1219200" y="4989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40</xdr:row>
      <xdr:rowOff>0</xdr:rowOff>
    </xdr:from>
    <xdr:to>
      <xdr:col>2</xdr:col>
      <xdr:colOff>152400</xdr:colOff>
      <xdr:row>40</xdr:row>
      <xdr:rowOff>152400</xdr:rowOff>
    </xdr:to>
    <xdr:sp macro="" textlink="">
      <xdr:nvSpPr>
        <xdr:cNvPr id="14377" name="AutoShape 41" descr="Sub-Story">
          <a:hlinkClick xmlns:r="http://schemas.openxmlformats.org/officeDocument/2006/relationships" r:id="rId41"/>
          <a:extLst>
            <a:ext uri="{FF2B5EF4-FFF2-40B4-BE49-F238E27FC236}">
              <a16:creationId xmlns:a16="http://schemas.microsoft.com/office/drawing/2014/main" id="{39D3101E-577D-4506-8D4D-9537F4802BF8}"/>
            </a:ext>
          </a:extLst>
        </xdr:cNvPr>
        <xdr:cNvSpPr>
          <a:spLocks noChangeAspect="1" noChangeArrowheads="1"/>
        </xdr:cNvSpPr>
      </xdr:nvSpPr>
      <xdr:spPr bwMode="auto">
        <a:xfrm>
          <a:off x="1219200" y="50954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41</xdr:row>
      <xdr:rowOff>0</xdr:rowOff>
    </xdr:from>
    <xdr:to>
      <xdr:col>2</xdr:col>
      <xdr:colOff>152400</xdr:colOff>
      <xdr:row>41</xdr:row>
      <xdr:rowOff>152400</xdr:rowOff>
    </xdr:to>
    <xdr:sp macro="" textlink="">
      <xdr:nvSpPr>
        <xdr:cNvPr id="14378" name="AutoShape 42" descr="Sub-Story">
          <a:hlinkClick xmlns:r="http://schemas.openxmlformats.org/officeDocument/2006/relationships" r:id="rId42"/>
          <a:extLst>
            <a:ext uri="{FF2B5EF4-FFF2-40B4-BE49-F238E27FC236}">
              <a16:creationId xmlns:a16="http://schemas.microsoft.com/office/drawing/2014/main" id="{51A16A83-E5FA-41FE-B91D-AA5C58115D33}"/>
            </a:ext>
          </a:extLst>
        </xdr:cNvPr>
        <xdr:cNvSpPr>
          <a:spLocks noChangeAspect="1" noChangeArrowheads="1"/>
        </xdr:cNvSpPr>
      </xdr:nvSpPr>
      <xdr:spPr bwMode="auto">
        <a:xfrm>
          <a:off x="1219200" y="52014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42</xdr:row>
      <xdr:rowOff>0</xdr:rowOff>
    </xdr:from>
    <xdr:to>
      <xdr:col>2</xdr:col>
      <xdr:colOff>152400</xdr:colOff>
      <xdr:row>42</xdr:row>
      <xdr:rowOff>152400</xdr:rowOff>
    </xdr:to>
    <xdr:sp macro="" textlink="">
      <xdr:nvSpPr>
        <xdr:cNvPr id="14379" name="AutoShape 43" descr="Sub-Story">
          <a:hlinkClick xmlns:r="http://schemas.openxmlformats.org/officeDocument/2006/relationships" r:id="rId43"/>
          <a:extLst>
            <a:ext uri="{FF2B5EF4-FFF2-40B4-BE49-F238E27FC236}">
              <a16:creationId xmlns:a16="http://schemas.microsoft.com/office/drawing/2014/main" id="{70EC547A-10A2-46AB-98DA-6CA18C9A086D}"/>
            </a:ext>
          </a:extLst>
        </xdr:cNvPr>
        <xdr:cNvSpPr>
          <a:spLocks noChangeAspect="1" noChangeArrowheads="1"/>
        </xdr:cNvSpPr>
      </xdr:nvSpPr>
      <xdr:spPr bwMode="auto">
        <a:xfrm>
          <a:off x="1219200" y="53423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43</xdr:row>
      <xdr:rowOff>0</xdr:rowOff>
    </xdr:from>
    <xdr:to>
      <xdr:col>2</xdr:col>
      <xdr:colOff>152400</xdr:colOff>
      <xdr:row>43</xdr:row>
      <xdr:rowOff>152400</xdr:rowOff>
    </xdr:to>
    <xdr:sp macro="" textlink="">
      <xdr:nvSpPr>
        <xdr:cNvPr id="14380" name="AutoShape 44" descr="Sub-Story">
          <a:hlinkClick xmlns:r="http://schemas.openxmlformats.org/officeDocument/2006/relationships" r:id="rId44"/>
          <a:extLst>
            <a:ext uri="{FF2B5EF4-FFF2-40B4-BE49-F238E27FC236}">
              <a16:creationId xmlns:a16="http://schemas.microsoft.com/office/drawing/2014/main" id="{4AC24951-2CCE-4CA6-803E-389C1DF99C41}"/>
            </a:ext>
          </a:extLst>
        </xdr:cNvPr>
        <xdr:cNvSpPr>
          <a:spLocks noChangeAspect="1" noChangeArrowheads="1"/>
        </xdr:cNvSpPr>
      </xdr:nvSpPr>
      <xdr:spPr bwMode="auto">
        <a:xfrm>
          <a:off x="1219200" y="54307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44</xdr:row>
      <xdr:rowOff>0</xdr:rowOff>
    </xdr:from>
    <xdr:to>
      <xdr:col>2</xdr:col>
      <xdr:colOff>152400</xdr:colOff>
      <xdr:row>44</xdr:row>
      <xdr:rowOff>152400</xdr:rowOff>
    </xdr:to>
    <xdr:sp macro="" textlink="">
      <xdr:nvSpPr>
        <xdr:cNvPr id="14381" name="AutoShape 45" descr="Sub-Story">
          <a:hlinkClick xmlns:r="http://schemas.openxmlformats.org/officeDocument/2006/relationships" r:id="rId45"/>
          <a:extLst>
            <a:ext uri="{FF2B5EF4-FFF2-40B4-BE49-F238E27FC236}">
              <a16:creationId xmlns:a16="http://schemas.microsoft.com/office/drawing/2014/main" id="{4A1F4C13-ECCA-45FA-816C-1E20FCECF916}"/>
            </a:ext>
          </a:extLst>
        </xdr:cNvPr>
        <xdr:cNvSpPr>
          <a:spLocks noChangeAspect="1" noChangeArrowheads="1"/>
        </xdr:cNvSpPr>
      </xdr:nvSpPr>
      <xdr:spPr bwMode="auto">
        <a:xfrm>
          <a:off x="1219200" y="5554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45</xdr:row>
      <xdr:rowOff>0</xdr:rowOff>
    </xdr:from>
    <xdr:to>
      <xdr:col>2</xdr:col>
      <xdr:colOff>152400</xdr:colOff>
      <xdr:row>45</xdr:row>
      <xdr:rowOff>152400</xdr:rowOff>
    </xdr:to>
    <xdr:sp macro="" textlink="">
      <xdr:nvSpPr>
        <xdr:cNvPr id="14382" name="AutoShape 46" descr="Sub-Story">
          <a:hlinkClick xmlns:r="http://schemas.openxmlformats.org/officeDocument/2006/relationships" r:id="rId46"/>
          <a:extLst>
            <a:ext uri="{FF2B5EF4-FFF2-40B4-BE49-F238E27FC236}">
              <a16:creationId xmlns:a16="http://schemas.microsoft.com/office/drawing/2014/main" id="{6B00C6D7-7B44-4362-9720-A14A22092E9D}"/>
            </a:ext>
          </a:extLst>
        </xdr:cNvPr>
        <xdr:cNvSpPr>
          <a:spLocks noChangeAspect="1" noChangeArrowheads="1"/>
        </xdr:cNvSpPr>
      </xdr:nvSpPr>
      <xdr:spPr bwMode="auto">
        <a:xfrm>
          <a:off x="1219200" y="56601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46</xdr:row>
      <xdr:rowOff>0</xdr:rowOff>
    </xdr:from>
    <xdr:to>
      <xdr:col>2</xdr:col>
      <xdr:colOff>152400</xdr:colOff>
      <xdr:row>46</xdr:row>
      <xdr:rowOff>152400</xdr:rowOff>
    </xdr:to>
    <xdr:sp macro="" textlink="">
      <xdr:nvSpPr>
        <xdr:cNvPr id="14383" name="AutoShape 47" descr="Sub-Story">
          <a:hlinkClick xmlns:r="http://schemas.openxmlformats.org/officeDocument/2006/relationships" r:id="rId47"/>
          <a:extLst>
            <a:ext uri="{FF2B5EF4-FFF2-40B4-BE49-F238E27FC236}">
              <a16:creationId xmlns:a16="http://schemas.microsoft.com/office/drawing/2014/main" id="{4874E138-D67B-4C9A-A1BA-365D7C58F000}"/>
            </a:ext>
          </a:extLst>
        </xdr:cNvPr>
        <xdr:cNvSpPr>
          <a:spLocks noChangeAspect="1" noChangeArrowheads="1"/>
        </xdr:cNvSpPr>
      </xdr:nvSpPr>
      <xdr:spPr bwMode="auto">
        <a:xfrm>
          <a:off x="1219200" y="58011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47</xdr:row>
      <xdr:rowOff>0</xdr:rowOff>
    </xdr:from>
    <xdr:to>
      <xdr:col>2</xdr:col>
      <xdr:colOff>152400</xdr:colOff>
      <xdr:row>47</xdr:row>
      <xdr:rowOff>152400</xdr:rowOff>
    </xdr:to>
    <xdr:sp macro="" textlink="">
      <xdr:nvSpPr>
        <xdr:cNvPr id="14384" name="AutoShape 48" descr="Sub-Story">
          <a:hlinkClick xmlns:r="http://schemas.openxmlformats.org/officeDocument/2006/relationships" r:id="rId48"/>
          <a:extLst>
            <a:ext uri="{FF2B5EF4-FFF2-40B4-BE49-F238E27FC236}">
              <a16:creationId xmlns:a16="http://schemas.microsoft.com/office/drawing/2014/main" id="{B08E0415-D584-469D-AE57-C706F8F5B148}"/>
            </a:ext>
          </a:extLst>
        </xdr:cNvPr>
        <xdr:cNvSpPr>
          <a:spLocks noChangeAspect="1" noChangeArrowheads="1"/>
        </xdr:cNvSpPr>
      </xdr:nvSpPr>
      <xdr:spPr bwMode="auto">
        <a:xfrm>
          <a:off x="1219200" y="59420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48</xdr:row>
      <xdr:rowOff>0</xdr:rowOff>
    </xdr:from>
    <xdr:to>
      <xdr:col>2</xdr:col>
      <xdr:colOff>152400</xdr:colOff>
      <xdr:row>48</xdr:row>
      <xdr:rowOff>152400</xdr:rowOff>
    </xdr:to>
    <xdr:sp macro="" textlink="">
      <xdr:nvSpPr>
        <xdr:cNvPr id="14385" name="AutoShape 49" descr="Sub-Story">
          <a:hlinkClick xmlns:r="http://schemas.openxmlformats.org/officeDocument/2006/relationships" r:id="rId49"/>
          <a:extLst>
            <a:ext uri="{FF2B5EF4-FFF2-40B4-BE49-F238E27FC236}">
              <a16:creationId xmlns:a16="http://schemas.microsoft.com/office/drawing/2014/main" id="{BD268B8F-FD36-44CF-9570-173BE7F5730B}"/>
            </a:ext>
          </a:extLst>
        </xdr:cNvPr>
        <xdr:cNvSpPr>
          <a:spLocks noChangeAspect="1" noChangeArrowheads="1"/>
        </xdr:cNvSpPr>
      </xdr:nvSpPr>
      <xdr:spPr bwMode="auto">
        <a:xfrm>
          <a:off x="1219200" y="60304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49</xdr:row>
      <xdr:rowOff>0</xdr:rowOff>
    </xdr:from>
    <xdr:to>
      <xdr:col>2</xdr:col>
      <xdr:colOff>152400</xdr:colOff>
      <xdr:row>49</xdr:row>
      <xdr:rowOff>152400</xdr:rowOff>
    </xdr:to>
    <xdr:sp macro="" textlink="">
      <xdr:nvSpPr>
        <xdr:cNvPr id="14386" name="AutoShape 50" descr="Sub-Story">
          <a:hlinkClick xmlns:r="http://schemas.openxmlformats.org/officeDocument/2006/relationships" r:id="rId50"/>
          <a:extLst>
            <a:ext uri="{FF2B5EF4-FFF2-40B4-BE49-F238E27FC236}">
              <a16:creationId xmlns:a16="http://schemas.microsoft.com/office/drawing/2014/main" id="{E9C6AA17-AD05-40C9-981E-EA090EE4BA28}"/>
            </a:ext>
          </a:extLst>
        </xdr:cNvPr>
        <xdr:cNvSpPr>
          <a:spLocks noChangeAspect="1" noChangeArrowheads="1"/>
        </xdr:cNvSpPr>
      </xdr:nvSpPr>
      <xdr:spPr bwMode="auto">
        <a:xfrm>
          <a:off x="1219200" y="613638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50</xdr:row>
      <xdr:rowOff>0</xdr:rowOff>
    </xdr:from>
    <xdr:to>
      <xdr:col>2</xdr:col>
      <xdr:colOff>152400</xdr:colOff>
      <xdr:row>50</xdr:row>
      <xdr:rowOff>152400</xdr:rowOff>
    </xdr:to>
    <xdr:sp macro="" textlink="">
      <xdr:nvSpPr>
        <xdr:cNvPr id="14387" name="AutoShape 51" descr="Sub-Story">
          <a:hlinkClick xmlns:r="http://schemas.openxmlformats.org/officeDocument/2006/relationships" r:id="rId51"/>
          <a:extLst>
            <a:ext uri="{FF2B5EF4-FFF2-40B4-BE49-F238E27FC236}">
              <a16:creationId xmlns:a16="http://schemas.microsoft.com/office/drawing/2014/main" id="{D0961574-2A21-49D3-A082-1F20E8933E3C}"/>
            </a:ext>
          </a:extLst>
        </xdr:cNvPr>
        <xdr:cNvSpPr>
          <a:spLocks noChangeAspect="1" noChangeArrowheads="1"/>
        </xdr:cNvSpPr>
      </xdr:nvSpPr>
      <xdr:spPr bwMode="auto">
        <a:xfrm>
          <a:off x="1219200" y="62773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51</xdr:row>
      <xdr:rowOff>0</xdr:rowOff>
    </xdr:from>
    <xdr:to>
      <xdr:col>2</xdr:col>
      <xdr:colOff>152400</xdr:colOff>
      <xdr:row>51</xdr:row>
      <xdr:rowOff>152400</xdr:rowOff>
    </xdr:to>
    <xdr:sp macro="" textlink="">
      <xdr:nvSpPr>
        <xdr:cNvPr id="14388" name="AutoShape 52" descr="Sub-Story">
          <a:hlinkClick xmlns:r="http://schemas.openxmlformats.org/officeDocument/2006/relationships" r:id="rId52"/>
          <a:extLst>
            <a:ext uri="{FF2B5EF4-FFF2-40B4-BE49-F238E27FC236}">
              <a16:creationId xmlns:a16="http://schemas.microsoft.com/office/drawing/2014/main" id="{A348D01F-27CB-47D4-BDEF-CB4BD41ECE65}"/>
            </a:ext>
          </a:extLst>
        </xdr:cNvPr>
        <xdr:cNvSpPr>
          <a:spLocks noChangeAspect="1" noChangeArrowheads="1"/>
        </xdr:cNvSpPr>
      </xdr:nvSpPr>
      <xdr:spPr bwMode="auto">
        <a:xfrm>
          <a:off x="1219200" y="64008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52</xdr:row>
      <xdr:rowOff>0</xdr:rowOff>
    </xdr:from>
    <xdr:to>
      <xdr:col>2</xdr:col>
      <xdr:colOff>152400</xdr:colOff>
      <xdr:row>52</xdr:row>
      <xdr:rowOff>152400</xdr:rowOff>
    </xdr:to>
    <xdr:sp macro="" textlink="">
      <xdr:nvSpPr>
        <xdr:cNvPr id="14389" name="AutoShape 53" descr="Sub-Story">
          <a:hlinkClick xmlns:r="http://schemas.openxmlformats.org/officeDocument/2006/relationships" r:id="rId53"/>
          <a:extLst>
            <a:ext uri="{FF2B5EF4-FFF2-40B4-BE49-F238E27FC236}">
              <a16:creationId xmlns:a16="http://schemas.microsoft.com/office/drawing/2014/main" id="{566A5FD4-C52A-4828-B767-2AB875CFBAE9}"/>
            </a:ext>
          </a:extLst>
        </xdr:cNvPr>
        <xdr:cNvSpPr>
          <a:spLocks noChangeAspect="1" noChangeArrowheads="1"/>
        </xdr:cNvSpPr>
      </xdr:nvSpPr>
      <xdr:spPr bwMode="auto">
        <a:xfrm>
          <a:off x="1219200" y="65067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53</xdr:row>
      <xdr:rowOff>0</xdr:rowOff>
    </xdr:from>
    <xdr:to>
      <xdr:col>2</xdr:col>
      <xdr:colOff>152400</xdr:colOff>
      <xdr:row>53</xdr:row>
      <xdr:rowOff>152400</xdr:rowOff>
    </xdr:to>
    <xdr:sp macro="" textlink="">
      <xdr:nvSpPr>
        <xdr:cNvPr id="14390" name="AutoShape 54" descr="Sub-Story">
          <a:hlinkClick xmlns:r="http://schemas.openxmlformats.org/officeDocument/2006/relationships" r:id="rId54"/>
          <a:extLst>
            <a:ext uri="{FF2B5EF4-FFF2-40B4-BE49-F238E27FC236}">
              <a16:creationId xmlns:a16="http://schemas.microsoft.com/office/drawing/2014/main" id="{A0C77D00-D025-4182-9804-A79D64608A1A}"/>
            </a:ext>
          </a:extLst>
        </xdr:cNvPr>
        <xdr:cNvSpPr>
          <a:spLocks noChangeAspect="1" noChangeArrowheads="1"/>
        </xdr:cNvSpPr>
      </xdr:nvSpPr>
      <xdr:spPr bwMode="auto">
        <a:xfrm>
          <a:off x="1219200" y="6612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54</xdr:row>
      <xdr:rowOff>0</xdr:rowOff>
    </xdr:from>
    <xdr:to>
      <xdr:col>2</xdr:col>
      <xdr:colOff>152400</xdr:colOff>
      <xdr:row>54</xdr:row>
      <xdr:rowOff>152400</xdr:rowOff>
    </xdr:to>
    <xdr:sp macro="" textlink="">
      <xdr:nvSpPr>
        <xdr:cNvPr id="14391" name="AutoShape 55" descr="Sub-Story">
          <a:hlinkClick xmlns:r="http://schemas.openxmlformats.org/officeDocument/2006/relationships" r:id="rId55"/>
          <a:extLst>
            <a:ext uri="{FF2B5EF4-FFF2-40B4-BE49-F238E27FC236}">
              <a16:creationId xmlns:a16="http://schemas.microsoft.com/office/drawing/2014/main" id="{13EC914D-E9D7-4844-95AF-A34AA0B82A7C}"/>
            </a:ext>
          </a:extLst>
        </xdr:cNvPr>
        <xdr:cNvSpPr>
          <a:spLocks noChangeAspect="1" noChangeArrowheads="1"/>
        </xdr:cNvSpPr>
      </xdr:nvSpPr>
      <xdr:spPr bwMode="auto">
        <a:xfrm>
          <a:off x="1219200" y="67536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55</xdr:row>
      <xdr:rowOff>0</xdr:rowOff>
    </xdr:from>
    <xdr:to>
      <xdr:col>2</xdr:col>
      <xdr:colOff>152400</xdr:colOff>
      <xdr:row>55</xdr:row>
      <xdr:rowOff>152400</xdr:rowOff>
    </xdr:to>
    <xdr:sp macro="" textlink="">
      <xdr:nvSpPr>
        <xdr:cNvPr id="14392" name="AutoShape 56" descr="Sub-Story">
          <a:hlinkClick xmlns:r="http://schemas.openxmlformats.org/officeDocument/2006/relationships" r:id="rId56"/>
          <a:extLst>
            <a:ext uri="{FF2B5EF4-FFF2-40B4-BE49-F238E27FC236}">
              <a16:creationId xmlns:a16="http://schemas.microsoft.com/office/drawing/2014/main" id="{5C807C11-ED9D-4784-A03C-22585247FBE5}"/>
            </a:ext>
          </a:extLst>
        </xdr:cNvPr>
        <xdr:cNvSpPr>
          <a:spLocks noChangeAspect="1" noChangeArrowheads="1"/>
        </xdr:cNvSpPr>
      </xdr:nvSpPr>
      <xdr:spPr bwMode="auto">
        <a:xfrm>
          <a:off x="1219200" y="6877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56</xdr:row>
      <xdr:rowOff>0</xdr:rowOff>
    </xdr:from>
    <xdr:to>
      <xdr:col>2</xdr:col>
      <xdr:colOff>152400</xdr:colOff>
      <xdr:row>56</xdr:row>
      <xdr:rowOff>152400</xdr:rowOff>
    </xdr:to>
    <xdr:sp macro="" textlink="">
      <xdr:nvSpPr>
        <xdr:cNvPr id="14393" name="AutoShape 57" descr="Sub-Story">
          <a:hlinkClick xmlns:r="http://schemas.openxmlformats.org/officeDocument/2006/relationships" r:id="rId57"/>
          <a:extLst>
            <a:ext uri="{FF2B5EF4-FFF2-40B4-BE49-F238E27FC236}">
              <a16:creationId xmlns:a16="http://schemas.microsoft.com/office/drawing/2014/main" id="{4FDDB52B-D625-4346-AC8C-BD7080000414}"/>
            </a:ext>
          </a:extLst>
        </xdr:cNvPr>
        <xdr:cNvSpPr>
          <a:spLocks noChangeAspect="1" noChangeArrowheads="1"/>
        </xdr:cNvSpPr>
      </xdr:nvSpPr>
      <xdr:spPr bwMode="auto">
        <a:xfrm>
          <a:off x="1219200" y="69654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57</xdr:row>
      <xdr:rowOff>0</xdr:rowOff>
    </xdr:from>
    <xdr:to>
      <xdr:col>2</xdr:col>
      <xdr:colOff>152400</xdr:colOff>
      <xdr:row>57</xdr:row>
      <xdr:rowOff>152400</xdr:rowOff>
    </xdr:to>
    <xdr:sp macro="" textlink="">
      <xdr:nvSpPr>
        <xdr:cNvPr id="14394" name="AutoShape 58" descr="Sub-task">
          <a:hlinkClick xmlns:r="http://schemas.openxmlformats.org/officeDocument/2006/relationships" r:id="rId58"/>
          <a:extLst>
            <a:ext uri="{FF2B5EF4-FFF2-40B4-BE49-F238E27FC236}">
              <a16:creationId xmlns:a16="http://schemas.microsoft.com/office/drawing/2014/main" id="{03C89678-C9BA-4EA7-974B-B166A776C89C}"/>
            </a:ext>
          </a:extLst>
        </xdr:cNvPr>
        <xdr:cNvSpPr>
          <a:spLocks noChangeAspect="1" noChangeArrowheads="1"/>
        </xdr:cNvSpPr>
      </xdr:nvSpPr>
      <xdr:spPr bwMode="auto">
        <a:xfrm>
          <a:off x="1219200" y="70187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58</xdr:row>
      <xdr:rowOff>0</xdr:rowOff>
    </xdr:from>
    <xdr:to>
      <xdr:col>2</xdr:col>
      <xdr:colOff>152400</xdr:colOff>
      <xdr:row>58</xdr:row>
      <xdr:rowOff>152400</xdr:rowOff>
    </xdr:to>
    <xdr:sp macro="" textlink="">
      <xdr:nvSpPr>
        <xdr:cNvPr id="14395" name="AutoShape 59" descr="Sub-Story">
          <a:hlinkClick xmlns:r="http://schemas.openxmlformats.org/officeDocument/2006/relationships" r:id="rId59"/>
          <a:extLst>
            <a:ext uri="{FF2B5EF4-FFF2-40B4-BE49-F238E27FC236}">
              <a16:creationId xmlns:a16="http://schemas.microsoft.com/office/drawing/2014/main" id="{7875B7F8-D3F8-4500-8BF5-E72F6B31FA9C}"/>
            </a:ext>
          </a:extLst>
        </xdr:cNvPr>
        <xdr:cNvSpPr>
          <a:spLocks noChangeAspect="1" noChangeArrowheads="1"/>
        </xdr:cNvSpPr>
      </xdr:nvSpPr>
      <xdr:spPr bwMode="auto">
        <a:xfrm>
          <a:off x="1219200" y="714222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59</xdr:row>
      <xdr:rowOff>0</xdr:rowOff>
    </xdr:from>
    <xdr:to>
      <xdr:col>2</xdr:col>
      <xdr:colOff>152400</xdr:colOff>
      <xdr:row>59</xdr:row>
      <xdr:rowOff>152400</xdr:rowOff>
    </xdr:to>
    <xdr:sp macro="" textlink="">
      <xdr:nvSpPr>
        <xdr:cNvPr id="14396" name="AutoShape 60" descr="Sub-Story">
          <a:hlinkClick xmlns:r="http://schemas.openxmlformats.org/officeDocument/2006/relationships" r:id="rId60"/>
          <a:extLst>
            <a:ext uri="{FF2B5EF4-FFF2-40B4-BE49-F238E27FC236}">
              <a16:creationId xmlns:a16="http://schemas.microsoft.com/office/drawing/2014/main" id="{00EF101D-7F3C-403C-B4EB-758C1D8DC15A}"/>
            </a:ext>
          </a:extLst>
        </xdr:cNvPr>
        <xdr:cNvSpPr>
          <a:spLocks noChangeAspect="1" noChangeArrowheads="1"/>
        </xdr:cNvSpPr>
      </xdr:nvSpPr>
      <xdr:spPr bwMode="auto">
        <a:xfrm>
          <a:off x="1219200" y="71955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60</xdr:row>
      <xdr:rowOff>0</xdr:rowOff>
    </xdr:from>
    <xdr:to>
      <xdr:col>2</xdr:col>
      <xdr:colOff>152400</xdr:colOff>
      <xdr:row>60</xdr:row>
      <xdr:rowOff>152400</xdr:rowOff>
    </xdr:to>
    <xdr:sp macro="" textlink="">
      <xdr:nvSpPr>
        <xdr:cNvPr id="14397" name="AutoShape 61" descr="Sub-Story">
          <a:hlinkClick xmlns:r="http://schemas.openxmlformats.org/officeDocument/2006/relationships" r:id="rId61"/>
          <a:extLst>
            <a:ext uri="{FF2B5EF4-FFF2-40B4-BE49-F238E27FC236}">
              <a16:creationId xmlns:a16="http://schemas.microsoft.com/office/drawing/2014/main" id="{B2BAFB28-6F7A-4ECA-B8E3-73B3DA8596FF}"/>
            </a:ext>
          </a:extLst>
        </xdr:cNvPr>
        <xdr:cNvSpPr>
          <a:spLocks noChangeAspect="1" noChangeArrowheads="1"/>
        </xdr:cNvSpPr>
      </xdr:nvSpPr>
      <xdr:spPr bwMode="auto">
        <a:xfrm>
          <a:off x="1219200" y="7301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61</xdr:row>
      <xdr:rowOff>0</xdr:rowOff>
    </xdr:from>
    <xdr:to>
      <xdr:col>2</xdr:col>
      <xdr:colOff>152400</xdr:colOff>
      <xdr:row>61</xdr:row>
      <xdr:rowOff>152400</xdr:rowOff>
    </xdr:to>
    <xdr:sp macro="" textlink="">
      <xdr:nvSpPr>
        <xdr:cNvPr id="14398" name="AutoShape 62" descr="Sub-Story">
          <a:hlinkClick xmlns:r="http://schemas.openxmlformats.org/officeDocument/2006/relationships" r:id="rId62"/>
          <a:extLst>
            <a:ext uri="{FF2B5EF4-FFF2-40B4-BE49-F238E27FC236}">
              <a16:creationId xmlns:a16="http://schemas.microsoft.com/office/drawing/2014/main" id="{0FF8EED3-BC4E-484D-B683-776BB8185374}"/>
            </a:ext>
          </a:extLst>
        </xdr:cNvPr>
        <xdr:cNvSpPr>
          <a:spLocks noChangeAspect="1" noChangeArrowheads="1"/>
        </xdr:cNvSpPr>
      </xdr:nvSpPr>
      <xdr:spPr bwMode="auto">
        <a:xfrm>
          <a:off x="1219200" y="7407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62</xdr:row>
      <xdr:rowOff>0</xdr:rowOff>
    </xdr:from>
    <xdr:to>
      <xdr:col>2</xdr:col>
      <xdr:colOff>152400</xdr:colOff>
      <xdr:row>62</xdr:row>
      <xdr:rowOff>152400</xdr:rowOff>
    </xdr:to>
    <xdr:sp macro="" textlink="">
      <xdr:nvSpPr>
        <xdr:cNvPr id="14399" name="AutoShape 63" descr="Sub-Story">
          <a:hlinkClick xmlns:r="http://schemas.openxmlformats.org/officeDocument/2006/relationships" r:id="rId63"/>
          <a:extLst>
            <a:ext uri="{FF2B5EF4-FFF2-40B4-BE49-F238E27FC236}">
              <a16:creationId xmlns:a16="http://schemas.microsoft.com/office/drawing/2014/main" id="{D41B79D6-64CA-4DFF-BCA9-85331C318CFA}"/>
            </a:ext>
          </a:extLst>
        </xdr:cNvPr>
        <xdr:cNvSpPr>
          <a:spLocks noChangeAspect="1" noChangeArrowheads="1"/>
        </xdr:cNvSpPr>
      </xdr:nvSpPr>
      <xdr:spPr bwMode="auto">
        <a:xfrm>
          <a:off x="1219200" y="75483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63</xdr:row>
      <xdr:rowOff>0</xdr:rowOff>
    </xdr:from>
    <xdr:to>
      <xdr:col>2</xdr:col>
      <xdr:colOff>152400</xdr:colOff>
      <xdr:row>63</xdr:row>
      <xdr:rowOff>152400</xdr:rowOff>
    </xdr:to>
    <xdr:sp macro="" textlink="">
      <xdr:nvSpPr>
        <xdr:cNvPr id="14400" name="AutoShape 64" descr="Sub-Story">
          <a:hlinkClick xmlns:r="http://schemas.openxmlformats.org/officeDocument/2006/relationships" r:id="rId64"/>
          <a:extLst>
            <a:ext uri="{FF2B5EF4-FFF2-40B4-BE49-F238E27FC236}">
              <a16:creationId xmlns:a16="http://schemas.microsoft.com/office/drawing/2014/main" id="{6D0BD89A-F243-435B-BBA3-A796C0DD5217}"/>
            </a:ext>
          </a:extLst>
        </xdr:cNvPr>
        <xdr:cNvSpPr>
          <a:spLocks noChangeAspect="1" noChangeArrowheads="1"/>
        </xdr:cNvSpPr>
      </xdr:nvSpPr>
      <xdr:spPr bwMode="auto">
        <a:xfrm>
          <a:off x="1219200" y="7654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64</xdr:row>
      <xdr:rowOff>0</xdr:rowOff>
    </xdr:from>
    <xdr:to>
      <xdr:col>2</xdr:col>
      <xdr:colOff>152400</xdr:colOff>
      <xdr:row>64</xdr:row>
      <xdr:rowOff>152400</xdr:rowOff>
    </xdr:to>
    <xdr:sp macro="" textlink="">
      <xdr:nvSpPr>
        <xdr:cNvPr id="14401" name="AutoShape 65" descr="Sub-Story">
          <a:hlinkClick xmlns:r="http://schemas.openxmlformats.org/officeDocument/2006/relationships" r:id="rId65"/>
          <a:extLst>
            <a:ext uri="{FF2B5EF4-FFF2-40B4-BE49-F238E27FC236}">
              <a16:creationId xmlns:a16="http://schemas.microsoft.com/office/drawing/2014/main" id="{87E97B3A-0277-437D-A0E7-6CFD1743157E}"/>
            </a:ext>
          </a:extLst>
        </xdr:cNvPr>
        <xdr:cNvSpPr>
          <a:spLocks noChangeAspect="1" noChangeArrowheads="1"/>
        </xdr:cNvSpPr>
      </xdr:nvSpPr>
      <xdr:spPr bwMode="auto">
        <a:xfrm>
          <a:off x="1219200" y="77777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65</xdr:row>
      <xdr:rowOff>0</xdr:rowOff>
    </xdr:from>
    <xdr:to>
      <xdr:col>2</xdr:col>
      <xdr:colOff>152400</xdr:colOff>
      <xdr:row>65</xdr:row>
      <xdr:rowOff>152400</xdr:rowOff>
    </xdr:to>
    <xdr:sp macro="" textlink="">
      <xdr:nvSpPr>
        <xdr:cNvPr id="14402" name="AutoShape 66" descr="Sub-Story">
          <a:hlinkClick xmlns:r="http://schemas.openxmlformats.org/officeDocument/2006/relationships" r:id="rId66"/>
          <a:extLst>
            <a:ext uri="{FF2B5EF4-FFF2-40B4-BE49-F238E27FC236}">
              <a16:creationId xmlns:a16="http://schemas.microsoft.com/office/drawing/2014/main" id="{8A906E3B-8F0D-43B4-8690-42D5D90B5DE2}"/>
            </a:ext>
          </a:extLst>
        </xdr:cNvPr>
        <xdr:cNvSpPr>
          <a:spLocks noChangeAspect="1" noChangeArrowheads="1"/>
        </xdr:cNvSpPr>
      </xdr:nvSpPr>
      <xdr:spPr bwMode="auto">
        <a:xfrm>
          <a:off x="1219200" y="78836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66</xdr:row>
      <xdr:rowOff>0</xdr:rowOff>
    </xdr:from>
    <xdr:to>
      <xdr:col>2</xdr:col>
      <xdr:colOff>152400</xdr:colOff>
      <xdr:row>66</xdr:row>
      <xdr:rowOff>152400</xdr:rowOff>
    </xdr:to>
    <xdr:sp macro="" textlink="">
      <xdr:nvSpPr>
        <xdr:cNvPr id="14403" name="AutoShape 67" descr="Sub-Story">
          <a:hlinkClick xmlns:r="http://schemas.openxmlformats.org/officeDocument/2006/relationships" r:id="rId67"/>
          <a:extLst>
            <a:ext uri="{FF2B5EF4-FFF2-40B4-BE49-F238E27FC236}">
              <a16:creationId xmlns:a16="http://schemas.microsoft.com/office/drawing/2014/main" id="{47D788E4-C16B-4402-9335-72FDF1CD1CA0}"/>
            </a:ext>
          </a:extLst>
        </xdr:cNvPr>
        <xdr:cNvSpPr>
          <a:spLocks noChangeAspect="1" noChangeArrowheads="1"/>
        </xdr:cNvSpPr>
      </xdr:nvSpPr>
      <xdr:spPr bwMode="auto">
        <a:xfrm>
          <a:off x="1219200" y="80246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67</xdr:row>
      <xdr:rowOff>0</xdr:rowOff>
    </xdr:from>
    <xdr:to>
      <xdr:col>2</xdr:col>
      <xdr:colOff>152400</xdr:colOff>
      <xdr:row>67</xdr:row>
      <xdr:rowOff>152400</xdr:rowOff>
    </xdr:to>
    <xdr:sp macro="" textlink="">
      <xdr:nvSpPr>
        <xdr:cNvPr id="14404" name="AutoShape 68" descr="Sub-Story">
          <a:hlinkClick xmlns:r="http://schemas.openxmlformats.org/officeDocument/2006/relationships" r:id="rId68"/>
          <a:extLst>
            <a:ext uri="{FF2B5EF4-FFF2-40B4-BE49-F238E27FC236}">
              <a16:creationId xmlns:a16="http://schemas.microsoft.com/office/drawing/2014/main" id="{9FF9D40A-E233-4AE3-9FA2-04F1107CCD9B}"/>
            </a:ext>
          </a:extLst>
        </xdr:cNvPr>
        <xdr:cNvSpPr>
          <a:spLocks noChangeAspect="1" noChangeArrowheads="1"/>
        </xdr:cNvSpPr>
      </xdr:nvSpPr>
      <xdr:spPr bwMode="auto">
        <a:xfrm>
          <a:off x="1219200" y="81831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68</xdr:row>
      <xdr:rowOff>0</xdr:rowOff>
    </xdr:from>
    <xdr:to>
      <xdr:col>2</xdr:col>
      <xdr:colOff>152400</xdr:colOff>
      <xdr:row>68</xdr:row>
      <xdr:rowOff>152400</xdr:rowOff>
    </xdr:to>
    <xdr:sp macro="" textlink="">
      <xdr:nvSpPr>
        <xdr:cNvPr id="14405" name="AutoShape 69" descr="Sub-Story">
          <a:hlinkClick xmlns:r="http://schemas.openxmlformats.org/officeDocument/2006/relationships" r:id="rId69"/>
          <a:extLst>
            <a:ext uri="{FF2B5EF4-FFF2-40B4-BE49-F238E27FC236}">
              <a16:creationId xmlns:a16="http://schemas.microsoft.com/office/drawing/2014/main" id="{875C8C40-4F9D-48C9-8CBC-39A87FFE22B0}"/>
            </a:ext>
          </a:extLst>
        </xdr:cNvPr>
        <xdr:cNvSpPr>
          <a:spLocks noChangeAspect="1" noChangeArrowheads="1"/>
        </xdr:cNvSpPr>
      </xdr:nvSpPr>
      <xdr:spPr bwMode="auto">
        <a:xfrm>
          <a:off x="1219200" y="82364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69</xdr:row>
      <xdr:rowOff>0</xdr:rowOff>
    </xdr:from>
    <xdr:to>
      <xdr:col>2</xdr:col>
      <xdr:colOff>152400</xdr:colOff>
      <xdr:row>69</xdr:row>
      <xdr:rowOff>152400</xdr:rowOff>
    </xdr:to>
    <xdr:sp macro="" textlink="">
      <xdr:nvSpPr>
        <xdr:cNvPr id="14406" name="AutoShape 70" descr="Sub-Story">
          <a:hlinkClick xmlns:r="http://schemas.openxmlformats.org/officeDocument/2006/relationships" r:id="rId70"/>
          <a:extLst>
            <a:ext uri="{FF2B5EF4-FFF2-40B4-BE49-F238E27FC236}">
              <a16:creationId xmlns:a16="http://schemas.microsoft.com/office/drawing/2014/main" id="{60F7D250-8CAA-4ADE-9704-9CCFF414F437}"/>
            </a:ext>
          </a:extLst>
        </xdr:cNvPr>
        <xdr:cNvSpPr>
          <a:spLocks noChangeAspect="1" noChangeArrowheads="1"/>
        </xdr:cNvSpPr>
      </xdr:nvSpPr>
      <xdr:spPr bwMode="auto">
        <a:xfrm>
          <a:off x="1219200" y="83073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70</xdr:row>
      <xdr:rowOff>0</xdr:rowOff>
    </xdr:from>
    <xdr:to>
      <xdr:col>2</xdr:col>
      <xdr:colOff>152400</xdr:colOff>
      <xdr:row>70</xdr:row>
      <xdr:rowOff>152400</xdr:rowOff>
    </xdr:to>
    <xdr:sp macro="" textlink="">
      <xdr:nvSpPr>
        <xdr:cNvPr id="14407" name="AutoShape 71" descr="Sub-Story">
          <a:hlinkClick xmlns:r="http://schemas.openxmlformats.org/officeDocument/2006/relationships" r:id="rId71"/>
          <a:extLst>
            <a:ext uri="{FF2B5EF4-FFF2-40B4-BE49-F238E27FC236}">
              <a16:creationId xmlns:a16="http://schemas.microsoft.com/office/drawing/2014/main" id="{61C8C27A-413F-4AEA-8F85-E94F50F9C6FA}"/>
            </a:ext>
          </a:extLst>
        </xdr:cNvPr>
        <xdr:cNvSpPr>
          <a:spLocks noChangeAspect="1" noChangeArrowheads="1"/>
        </xdr:cNvSpPr>
      </xdr:nvSpPr>
      <xdr:spPr bwMode="auto">
        <a:xfrm>
          <a:off x="1219200" y="84132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71</xdr:row>
      <xdr:rowOff>0</xdr:rowOff>
    </xdr:from>
    <xdr:to>
      <xdr:col>2</xdr:col>
      <xdr:colOff>152400</xdr:colOff>
      <xdr:row>71</xdr:row>
      <xdr:rowOff>152400</xdr:rowOff>
    </xdr:to>
    <xdr:sp macro="" textlink="">
      <xdr:nvSpPr>
        <xdr:cNvPr id="14408" name="AutoShape 72" descr="Sub-Story">
          <a:hlinkClick xmlns:r="http://schemas.openxmlformats.org/officeDocument/2006/relationships" r:id="rId72"/>
          <a:extLst>
            <a:ext uri="{FF2B5EF4-FFF2-40B4-BE49-F238E27FC236}">
              <a16:creationId xmlns:a16="http://schemas.microsoft.com/office/drawing/2014/main" id="{E84217E3-3390-4D47-A44C-A81808317831}"/>
            </a:ext>
          </a:extLst>
        </xdr:cNvPr>
        <xdr:cNvSpPr>
          <a:spLocks noChangeAspect="1" noChangeArrowheads="1"/>
        </xdr:cNvSpPr>
      </xdr:nvSpPr>
      <xdr:spPr bwMode="auto">
        <a:xfrm>
          <a:off x="1219200" y="85191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72</xdr:row>
      <xdr:rowOff>0</xdr:rowOff>
    </xdr:from>
    <xdr:to>
      <xdr:col>2</xdr:col>
      <xdr:colOff>152400</xdr:colOff>
      <xdr:row>72</xdr:row>
      <xdr:rowOff>152400</xdr:rowOff>
    </xdr:to>
    <xdr:sp macro="" textlink="">
      <xdr:nvSpPr>
        <xdr:cNvPr id="14409" name="AutoShape 73" descr="Sub-Story">
          <a:hlinkClick xmlns:r="http://schemas.openxmlformats.org/officeDocument/2006/relationships" r:id="rId73"/>
          <a:extLst>
            <a:ext uri="{FF2B5EF4-FFF2-40B4-BE49-F238E27FC236}">
              <a16:creationId xmlns:a16="http://schemas.microsoft.com/office/drawing/2014/main" id="{38FD4DCB-0E2E-458A-8914-2A7F0B82CD3A}"/>
            </a:ext>
          </a:extLst>
        </xdr:cNvPr>
        <xdr:cNvSpPr>
          <a:spLocks noChangeAspect="1" noChangeArrowheads="1"/>
        </xdr:cNvSpPr>
      </xdr:nvSpPr>
      <xdr:spPr bwMode="auto">
        <a:xfrm>
          <a:off x="1219200" y="859002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73</xdr:row>
      <xdr:rowOff>0</xdr:rowOff>
    </xdr:from>
    <xdr:to>
      <xdr:col>2</xdr:col>
      <xdr:colOff>152400</xdr:colOff>
      <xdr:row>73</xdr:row>
      <xdr:rowOff>152400</xdr:rowOff>
    </xdr:to>
    <xdr:sp macro="" textlink="">
      <xdr:nvSpPr>
        <xdr:cNvPr id="14410" name="AutoShape 74" descr="Sub-Story">
          <a:hlinkClick xmlns:r="http://schemas.openxmlformats.org/officeDocument/2006/relationships" r:id="rId74"/>
          <a:extLst>
            <a:ext uri="{FF2B5EF4-FFF2-40B4-BE49-F238E27FC236}">
              <a16:creationId xmlns:a16="http://schemas.microsoft.com/office/drawing/2014/main" id="{9755F55A-3381-4AB6-A437-1CDEB0353542}"/>
            </a:ext>
          </a:extLst>
        </xdr:cNvPr>
        <xdr:cNvSpPr>
          <a:spLocks noChangeAspect="1" noChangeArrowheads="1"/>
        </xdr:cNvSpPr>
      </xdr:nvSpPr>
      <xdr:spPr bwMode="auto">
        <a:xfrm>
          <a:off x="1219200" y="86959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74</xdr:row>
      <xdr:rowOff>0</xdr:rowOff>
    </xdr:from>
    <xdr:to>
      <xdr:col>2</xdr:col>
      <xdr:colOff>152400</xdr:colOff>
      <xdr:row>74</xdr:row>
      <xdr:rowOff>152400</xdr:rowOff>
    </xdr:to>
    <xdr:sp macro="" textlink="">
      <xdr:nvSpPr>
        <xdr:cNvPr id="14411" name="AutoShape 75" descr="Sub-Story">
          <a:hlinkClick xmlns:r="http://schemas.openxmlformats.org/officeDocument/2006/relationships" r:id="rId75"/>
          <a:extLst>
            <a:ext uri="{FF2B5EF4-FFF2-40B4-BE49-F238E27FC236}">
              <a16:creationId xmlns:a16="http://schemas.microsoft.com/office/drawing/2014/main" id="{01FF0AAE-0E9C-4D9E-B05C-E0DBC0314C79}"/>
            </a:ext>
          </a:extLst>
        </xdr:cNvPr>
        <xdr:cNvSpPr>
          <a:spLocks noChangeAspect="1" noChangeArrowheads="1"/>
        </xdr:cNvSpPr>
      </xdr:nvSpPr>
      <xdr:spPr bwMode="auto">
        <a:xfrm>
          <a:off x="1219200" y="88369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75</xdr:row>
      <xdr:rowOff>0</xdr:rowOff>
    </xdr:from>
    <xdr:to>
      <xdr:col>2</xdr:col>
      <xdr:colOff>152400</xdr:colOff>
      <xdr:row>75</xdr:row>
      <xdr:rowOff>152400</xdr:rowOff>
    </xdr:to>
    <xdr:sp macro="" textlink="">
      <xdr:nvSpPr>
        <xdr:cNvPr id="14412" name="AutoShape 76" descr="Sub-Story">
          <a:hlinkClick xmlns:r="http://schemas.openxmlformats.org/officeDocument/2006/relationships" r:id="rId76"/>
          <a:extLst>
            <a:ext uri="{FF2B5EF4-FFF2-40B4-BE49-F238E27FC236}">
              <a16:creationId xmlns:a16="http://schemas.microsoft.com/office/drawing/2014/main" id="{8294D1E4-2819-479E-9EAE-6C9C37346A19}"/>
            </a:ext>
          </a:extLst>
        </xdr:cNvPr>
        <xdr:cNvSpPr>
          <a:spLocks noChangeAspect="1" noChangeArrowheads="1"/>
        </xdr:cNvSpPr>
      </xdr:nvSpPr>
      <xdr:spPr bwMode="auto">
        <a:xfrm>
          <a:off x="1219200" y="89778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76</xdr:row>
      <xdr:rowOff>0</xdr:rowOff>
    </xdr:from>
    <xdr:to>
      <xdr:col>2</xdr:col>
      <xdr:colOff>152400</xdr:colOff>
      <xdr:row>76</xdr:row>
      <xdr:rowOff>152400</xdr:rowOff>
    </xdr:to>
    <xdr:sp macro="" textlink="">
      <xdr:nvSpPr>
        <xdr:cNvPr id="14413" name="AutoShape 77" descr="Sub-Story">
          <a:hlinkClick xmlns:r="http://schemas.openxmlformats.org/officeDocument/2006/relationships" r:id="rId77"/>
          <a:extLst>
            <a:ext uri="{FF2B5EF4-FFF2-40B4-BE49-F238E27FC236}">
              <a16:creationId xmlns:a16="http://schemas.microsoft.com/office/drawing/2014/main" id="{4E47FCA6-6109-41A0-BEF9-D5EA33D26BC1}"/>
            </a:ext>
          </a:extLst>
        </xdr:cNvPr>
        <xdr:cNvSpPr>
          <a:spLocks noChangeAspect="1" noChangeArrowheads="1"/>
        </xdr:cNvSpPr>
      </xdr:nvSpPr>
      <xdr:spPr bwMode="auto">
        <a:xfrm>
          <a:off x="1219200" y="911885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77</xdr:row>
      <xdr:rowOff>0</xdr:rowOff>
    </xdr:from>
    <xdr:to>
      <xdr:col>2</xdr:col>
      <xdr:colOff>152400</xdr:colOff>
      <xdr:row>77</xdr:row>
      <xdr:rowOff>152400</xdr:rowOff>
    </xdr:to>
    <xdr:sp macro="" textlink="">
      <xdr:nvSpPr>
        <xdr:cNvPr id="14414" name="AutoShape 78" descr="Sub-Story">
          <a:hlinkClick xmlns:r="http://schemas.openxmlformats.org/officeDocument/2006/relationships" r:id="rId78"/>
          <a:extLst>
            <a:ext uri="{FF2B5EF4-FFF2-40B4-BE49-F238E27FC236}">
              <a16:creationId xmlns:a16="http://schemas.microsoft.com/office/drawing/2014/main" id="{AA1E2552-C037-4B6D-8D37-766B63CA90F0}"/>
            </a:ext>
          </a:extLst>
        </xdr:cNvPr>
        <xdr:cNvSpPr>
          <a:spLocks noChangeAspect="1" noChangeArrowheads="1"/>
        </xdr:cNvSpPr>
      </xdr:nvSpPr>
      <xdr:spPr bwMode="auto">
        <a:xfrm>
          <a:off x="1219200" y="92773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78</xdr:row>
      <xdr:rowOff>0</xdr:rowOff>
    </xdr:from>
    <xdr:to>
      <xdr:col>2</xdr:col>
      <xdr:colOff>152400</xdr:colOff>
      <xdr:row>78</xdr:row>
      <xdr:rowOff>152400</xdr:rowOff>
    </xdr:to>
    <xdr:sp macro="" textlink="">
      <xdr:nvSpPr>
        <xdr:cNvPr id="14415" name="AutoShape 79" descr="Sub-Story">
          <a:hlinkClick xmlns:r="http://schemas.openxmlformats.org/officeDocument/2006/relationships" r:id="rId79"/>
          <a:extLst>
            <a:ext uri="{FF2B5EF4-FFF2-40B4-BE49-F238E27FC236}">
              <a16:creationId xmlns:a16="http://schemas.microsoft.com/office/drawing/2014/main" id="{E829F6BB-B32F-4700-B2E5-0AFE11F553CD}"/>
            </a:ext>
          </a:extLst>
        </xdr:cNvPr>
        <xdr:cNvSpPr>
          <a:spLocks noChangeAspect="1" noChangeArrowheads="1"/>
        </xdr:cNvSpPr>
      </xdr:nvSpPr>
      <xdr:spPr bwMode="auto">
        <a:xfrm>
          <a:off x="1219200" y="93832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79</xdr:row>
      <xdr:rowOff>0</xdr:rowOff>
    </xdr:from>
    <xdr:to>
      <xdr:col>2</xdr:col>
      <xdr:colOff>152400</xdr:colOff>
      <xdr:row>79</xdr:row>
      <xdr:rowOff>152400</xdr:rowOff>
    </xdr:to>
    <xdr:sp macro="" textlink="">
      <xdr:nvSpPr>
        <xdr:cNvPr id="14416" name="AutoShape 80" descr="Sub-Story">
          <a:hlinkClick xmlns:r="http://schemas.openxmlformats.org/officeDocument/2006/relationships" r:id="rId80"/>
          <a:extLst>
            <a:ext uri="{FF2B5EF4-FFF2-40B4-BE49-F238E27FC236}">
              <a16:creationId xmlns:a16="http://schemas.microsoft.com/office/drawing/2014/main" id="{9128539E-B2A6-4934-B94B-447251C08650}"/>
            </a:ext>
          </a:extLst>
        </xdr:cNvPr>
        <xdr:cNvSpPr>
          <a:spLocks noChangeAspect="1" noChangeArrowheads="1"/>
        </xdr:cNvSpPr>
      </xdr:nvSpPr>
      <xdr:spPr bwMode="auto">
        <a:xfrm>
          <a:off x="1219200" y="952423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80</xdr:row>
      <xdr:rowOff>0</xdr:rowOff>
    </xdr:from>
    <xdr:to>
      <xdr:col>2</xdr:col>
      <xdr:colOff>152400</xdr:colOff>
      <xdr:row>80</xdr:row>
      <xdr:rowOff>152400</xdr:rowOff>
    </xdr:to>
    <xdr:sp macro="" textlink="">
      <xdr:nvSpPr>
        <xdr:cNvPr id="14417" name="AutoShape 81" descr="Sub-task">
          <a:hlinkClick xmlns:r="http://schemas.openxmlformats.org/officeDocument/2006/relationships" r:id="rId81"/>
          <a:extLst>
            <a:ext uri="{FF2B5EF4-FFF2-40B4-BE49-F238E27FC236}">
              <a16:creationId xmlns:a16="http://schemas.microsoft.com/office/drawing/2014/main" id="{759D886E-1F3D-44AE-A746-721D7C5F9036}"/>
            </a:ext>
          </a:extLst>
        </xdr:cNvPr>
        <xdr:cNvSpPr>
          <a:spLocks noChangeAspect="1" noChangeArrowheads="1"/>
        </xdr:cNvSpPr>
      </xdr:nvSpPr>
      <xdr:spPr bwMode="auto">
        <a:xfrm>
          <a:off x="1219200" y="961263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81</xdr:row>
      <xdr:rowOff>0</xdr:rowOff>
    </xdr:from>
    <xdr:to>
      <xdr:col>2</xdr:col>
      <xdr:colOff>152400</xdr:colOff>
      <xdr:row>81</xdr:row>
      <xdr:rowOff>152400</xdr:rowOff>
    </xdr:to>
    <xdr:sp macro="" textlink="">
      <xdr:nvSpPr>
        <xdr:cNvPr id="14418" name="AutoShape 82" descr="Sub-Story">
          <a:hlinkClick xmlns:r="http://schemas.openxmlformats.org/officeDocument/2006/relationships" r:id="rId82"/>
          <a:extLst>
            <a:ext uri="{FF2B5EF4-FFF2-40B4-BE49-F238E27FC236}">
              <a16:creationId xmlns:a16="http://schemas.microsoft.com/office/drawing/2014/main" id="{6203653A-6025-4FFE-93E9-C0DFF992499E}"/>
            </a:ext>
          </a:extLst>
        </xdr:cNvPr>
        <xdr:cNvSpPr>
          <a:spLocks noChangeAspect="1" noChangeArrowheads="1"/>
        </xdr:cNvSpPr>
      </xdr:nvSpPr>
      <xdr:spPr bwMode="auto">
        <a:xfrm>
          <a:off x="1219200" y="97360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82</xdr:row>
      <xdr:rowOff>0</xdr:rowOff>
    </xdr:from>
    <xdr:to>
      <xdr:col>2</xdr:col>
      <xdr:colOff>152400</xdr:colOff>
      <xdr:row>82</xdr:row>
      <xdr:rowOff>152400</xdr:rowOff>
    </xdr:to>
    <xdr:sp macro="" textlink="">
      <xdr:nvSpPr>
        <xdr:cNvPr id="14419" name="AutoShape 83" descr="Sub-Story">
          <a:hlinkClick xmlns:r="http://schemas.openxmlformats.org/officeDocument/2006/relationships" r:id="rId83"/>
          <a:extLst>
            <a:ext uri="{FF2B5EF4-FFF2-40B4-BE49-F238E27FC236}">
              <a16:creationId xmlns:a16="http://schemas.microsoft.com/office/drawing/2014/main" id="{77733C05-E6D5-4383-A487-70E486080488}"/>
            </a:ext>
          </a:extLst>
        </xdr:cNvPr>
        <xdr:cNvSpPr>
          <a:spLocks noChangeAspect="1" noChangeArrowheads="1"/>
        </xdr:cNvSpPr>
      </xdr:nvSpPr>
      <xdr:spPr bwMode="auto">
        <a:xfrm>
          <a:off x="1219200" y="989457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83</xdr:row>
      <xdr:rowOff>0</xdr:rowOff>
    </xdr:from>
    <xdr:to>
      <xdr:col>2</xdr:col>
      <xdr:colOff>152400</xdr:colOff>
      <xdr:row>83</xdr:row>
      <xdr:rowOff>152400</xdr:rowOff>
    </xdr:to>
    <xdr:sp macro="" textlink="">
      <xdr:nvSpPr>
        <xdr:cNvPr id="14420" name="AutoShape 84" descr="Sub-Story">
          <a:hlinkClick xmlns:r="http://schemas.openxmlformats.org/officeDocument/2006/relationships" r:id="rId84"/>
          <a:extLst>
            <a:ext uri="{FF2B5EF4-FFF2-40B4-BE49-F238E27FC236}">
              <a16:creationId xmlns:a16="http://schemas.microsoft.com/office/drawing/2014/main" id="{CA39472F-5AFA-4078-8B5F-F75FF1C4D909}"/>
            </a:ext>
          </a:extLst>
        </xdr:cNvPr>
        <xdr:cNvSpPr>
          <a:spLocks noChangeAspect="1" noChangeArrowheads="1"/>
        </xdr:cNvSpPr>
      </xdr:nvSpPr>
      <xdr:spPr bwMode="auto">
        <a:xfrm>
          <a:off x="1219200" y="99654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84</xdr:row>
      <xdr:rowOff>0</xdr:rowOff>
    </xdr:from>
    <xdr:to>
      <xdr:col>2</xdr:col>
      <xdr:colOff>152400</xdr:colOff>
      <xdr:row>84</xdr:row>
      <xdr:rowOff>152400</xdr:rowOff>
    </xdr:to>
    <xdr:sp macro="" textlink="">
      <xdr:nvSpPr>
        <xdr:cNvPr id="14421" name="AutoShape 85" descr="Sub-Story">
          <a:hlinkClick xmlns:r="http://schemas.openxmlformats.org/officeDocument/2006/relationships" r:id="rId85"/>
          <a:extLst>
            <a:ext uri="{FF2B5EF4-FFF2-40B4-BE49-F238E27FC236}">
              <a16:creationId xmlns:a16="http://schemas.microsoft.com/office/drawing/2014/main" id="{051F8D7F-2FFD-4630-9EEF-C77C578503C2}"/>
            </a:ext>
          </a:extLst>
        </xdr:cNvPr>
        <xdr:cNvSpPr>
          <a:spLocks noChangeAspect="1" noChangeArrowheads="1"/>
        </xdr:cNvSpPr>
      </xdr:nvSpPr>
      <xdr:spPr bwMode="auto">
        <a:xfrm>
          <a:off x="1219200" y="1007135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85</xdr:row>
      <xdr:rowOff>0</xdr:rowOff>
    </xdr:from>
    <xdr:to>
      <xdr:col>2</xdr:col>
      <xdr:colOff>152400</xdr:colOff>
      <xdr:row>85</xdr:row>
      <xdr:rowOff>152400</xdr:rowOff>
    </xdr:to>
    <xdr:sp macro="" textlink="">
      <xdr:nvSpPr>
        <xdr:cNvPr id="14422" name="AutoShape 86" descr="Sub-Story">
          <a:hlinkClick xmlns:r="http://schemas.openxmlformats.org/officeDocument/2006/relationships" r:id="rId86"/>
          <a:extLst>
            <a:ext uri="{FF2B5EF4-FFF2-40B4-BE49-F238E27FC236}">
              <a16:creationId xmlns:a16="http://schemas.microsoft.com/office/drawing/2014/main" id="{3E18B143-FCF7-48D1-A9BF-2040CCB78DAF}"/>
            </a:ext>
          </a:extLst>
        </xdr:cNvPr>
        <xdr:cNvSpPr>
          <a:spLocks noChangeAspect="1" noChangeArrowheads="1"/>
        </xdr:cNvSpPr>
      </xdr:nvSpPr>
      <xdr:spPr bwMode="auto">
        <a:xfrm>
          <a:off x="1219200" y="1029995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86</xdr:row>
      <xdr:rowOff>0</xdr:rowOff>
    </xdr:from>
    <xdr:to>
      <xdr:col>2</xdr:col>
      <xdr:colOff>152400</xdr:colOff>
      <xdr:row>86</xdr:row>
      <xdr:rowOff>152400</xdr:rowOff>
    </xdr:to>
    <xdr:sp macro="" textlink="">
      <xdr:nvSpPr>
        <xdr:cNvPr id="14423" name="AutoShape 87" descr="Sub-Story">
          <a:hlinkClick xmlns:r="http://schemas.openxmlformats.org/officeDocument/2006/relationships" r:id="rId87"/>
          <a:extLst>
            <a:ext uri="{FF2B5EF4-FFF2-40B4-BE49-F238E27FC236}">
              <a16:creationId xmlns:a16="http://schemas.microsoft.com/office/drawing/2014/main" id="{15AFD17D-309F-43C8-96BB-9E60DA4545CD}"/>
            </a:ext>
          </a:extLst>
        </xdr:cNvPr>
        <xdr:cNvSpPr>
          <a:spLocks noChangeAspect="1" noChangeArrowheads="1"/>
        </xdr:cNvSpPr>
      </xdr:nvSpPr>
      <xdr:spPr bwMode="auto">
        <a:xfrm>
          <a:off x="1219200" y="104058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87</xdr:row>
      <xdr:rowOff>0</xdr:rowOff>
    </xdr:from>
    <xdr:to>
      <xdr:col>2</xdr:col>
      <xdr:colOff>152400</xdr:colOff>
      <xdr:row>87</xdr:row>
      <xdr:rowOff>152400</xdr:rowOff>
    </xdr:to>
    <xdr:sp macro="" textlink="">
      <xdr:nvSpPr>
        <xdr:cNvPr id="14424" name="AutoShape 88" descr="Sub-Story">
          <a:hlinkClick xmlns:r="http://schemas.openxmlformats.org/officeDocument/2006/relationships" r:id="rId88"/>
          <a:extLst>
            <a:ext uri="{FF2B5EF4-FFF2-40B4-BE49-F238E27FC236}">
              <a16:creationId xmlns:a16="http://schemas.microsoft.com/office/drawing/2014/main" id="{8E80C69F-6BAC-4940-9C68-467D84D71D2F}"/>
            </a:ext>
          </a:extLst>
        </xdr:cNvPr>
        <xdr:cNvSpPr>
          <a:spLocks noChangeAspect="1" noChangeArrowheads="1"/>
        </xdr:cNvSpPr>
      </xdr:nvSpPr>
      <xdr:spPr bwMode="auto">
        <a:xfrm>
          <a:off x="1219200" y="1047673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88</xdr:row>
      <xdr:rowOff>0</xdr:rowOff>
    </xdr:from>
    <xdr:to>
      <xdr:col>2</xdr:col>
      <xdr:colOff>152400</xdr:colOff>
      <xdr:row>88</xdr:row>
      <xdr:rowOff>152400</xdr:rowOff>
    </xdr:to>
    <xdr:sp macro="" textlink="">
      <xdr:nvSpPr>
        <xdr:cNvPr id="14425" name="AutoShape 89" descr="Sub-Story">
          <a:hlinkClick xmlns:r="http://schemas.openxmlformats.org/officeDocument/2006/relationships" r:id="rId89"/>
          <a:extLst>
            <a:ext uri="{FF2B5EF4-FFF2-40B4-BE49-F238E27FC236}">
              <a16:creationId xmlns:a16="http://schemas.microsoft.com/office/drawing/2014/main" id="{61C5DECC-CA95-4403-8C12-AD0C805C0633}"/>
            </a:ext>
          </a:extLst>
        </xdr:cNvPr>
        <xdr:cNvSpPr>
          <a:spLocks noChangeAspect="1" noChangeArrowheads="1"/>
        </xdr:cNvSpPr>
      </xdr:nvSpPr>
      <xdr:spPr bwMode="auto">
        <a:xfrm>
          <a:off x="1219200" y="105476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89</xdr:row>
      <xdr:rowOff>0</xdr:rowOff>
    </xdr:from>
    <xdr:to>
      <xdr:col>2</xdr:col>
      <xdr:colOff>152400</xdr:colOff>
      <xdr:row>89</xdr:row>
      <xdr:rowOff>152400</xdr:rowOff>
    </xdr:to>
    <xdr:sp macro="" textlink="">
      <xdr:nvSpPr>
        <xdr:cNvPr id="14426" name="AutoShape 90" descr="Sub-Story">
          <a:hlinkClick xmlns:r="http://schemas.openxmlformats.org/officeDocument/2006/relationships" r:id="rId90"/>
          <a:extLst>
            <a:ext uri="{FF2B5EF4-FFF2-40B4-BE49-F238E27FC236}">
              <a16:creationId xmlns:a16="http://schemas.microsoft.com/office/drawing/2014/main" id="{BCAFB686-6C72-4ABC-B8EC-74D1F2AE8586}"/>
            </a:ext>
          </a:extLst>
        </xdr:cNvPr>
        <xdr:cNvSpPr>
          <a:spLocks noChangeAspect="1" noChangeArrowheads="1"/>
        </xdr:cNvSpPr>
      </xdr:nvSpPr>
      <xdr:spPr bwMode="auto">
        <a:xfrm>
          <a:off x="1219200" y="10741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90</xdr:row>
      <xdr:rowOff>0</xdr:rowOff>
    </xdr:from>
    <xdr:to>
      <xdr:col>2</xdr:col>
      <xdr:colOff>152400</xdr:colOff>
      <xdr:row>90</xdr:row>
      <xdr:rowOff>152400</xdr:rowOff>
    </xdr:to>
    <xdr:sp macro="" textlink="">
      <xdr:nvSpPr>
        <xdr:cNvPr id="14427" name="AutoShape 91" descr="Sub-Story">
          <a:hlinkClick xmlns:r="http://schemas.openxmlformats.org/officeDocument/2006/relationships" r:id="rId91"/>
          <a:extLst>
            <a:ext uri="{FF2B5EF4-FFF2-40B4-BE49-F238E27FC236}">
              <a16:creationId xmlns:a16="http://schemas.microsoft.com/office/drawing/2014/main" id="{E67885EC-636A-461C-89CA-12CE18A87F83}"/>
            </a:ext>
          </a:extLst>
        </xdr:cNvPr>
        <xdr:cNvSpPr>
          <a:spLocks noChangeAspect="1" noChangeArrowheads="1"/>
        </xdr:cNvSpPr>
      </xdr:nvSpPr>
      <xdr:spPr bwMode="auto">
        <a:xfrm>
          <a:off x="1219200" y="1089964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91</xdr:row>
      <xdr:rowOff>0</xdr:rowOff>
    </xdr:from>
    <xdr:to>
      <xdr:col>2</xdr:col>
      <xdr:colOff>152400</xdr:colOff>
      <xdr:row>91</xdr:row>
      <xdr:rowOff>152400</xdr:rowOff>
    </xdr:to>
    <xdr:sp macro="" textlink="">
      <xdr:nvSpPr>
        <xdr:cNvPr id="14428" name="AutoShape 92" descr="Sub-Story">
          <a:hlinkClick xmlns:r="http://schemas.openxmlformats.org/officeDocument/2006/relationships" r:id="rId92"/>
          <a:extLst>
            <a:ext uri="{FF2B5EF4-FFF2-40B4-BE49-F238E27FC236}">
              <a16:creationId xmlns:a16="http://schemas.microsoft.com/office/drawing/2014/main" id="{F0AA16DD-9D0D-4B03-9651-93F85A7490CD}"/>
            </a:ext>
          </a:extLst>
        </xdr:cNvPr>
        <xdr:cNvSpPr>
          <a:spLocks noChangeAspect="1" noChangeArrowheads="1"/>
        </xdr:cNvSpPr>
      </xdr:nvSpPr>
      <xdr:spPr bwMode="auto">
        <a:xfrm>
          <a:off x="1219200" y="10988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92</xdr:row>
      <xdr:rowOff>0</xdr:rowOff>
    </xdr:from>
    <xdr:to>
      <xdr:col>2</xdr:col>
      <xdr:colOff>152400</xdr:colOff>
      <xdr:row>92</xdr:row>
      <xdr:rowOff>152400</xdr:rowOff>
    </xdr:to>
    <xdr:sp macro="" textlink="">
      <xdr:nvSpPr>
        <xdr:cNvPr id="14429" name="AutoShape 93" descr="Sub-Story">
          <a:hlinkClick xmlns:r="http://schemas.openxmlformats.org/officeDocument/2006/relationships" r:id="rId93"/>
          <a:extLst>
            <a:ext uri="{FF2B5EF4-FFF2-40B4-BE49-F238E27FC236}">
              <a16:creationId xmlns:a16="http://schemas.microsoft.com/office/drawing/2014/main" id="{ACCC501D-F9F4-450B-8051-B5B9B4C07918}"/>
            </a:ext>
          </a:extLst>
        </xdr:cNvPr>
        <xdr:cNvSpPr>
          <a:spLocks noChangeAspect="1" noChangeArrowheads="1"/>
        </xdr:cNvSpPr>
      </xdr:nvSpPr>
      <xdr:spPr bwMode="auto">
        <a:xfrm>
          <a:off x="1219200" y="111465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93</xdr:row>
      <xdr:rowOff>0</xdr:rowOff>
    </xdr:from>
    <xdr:to>
      <xdr:col>2</xdr:col>
      <xdr:colOff>152400</xdr:colOff>
      <xdr:row>93</xdr:row>
      <xdr:rowOff>152400</xdr:rowOff>
    </xdr:to>
    <xdr:sp macro="" textlink="">
      <xdr:nvSpPr>
        <xdr:cNvPr id="14430" name="AutoShape 94" descr="Sub-Story">
          <a:hlinkClick xmlns:r="http://schemas.openxmlformats.org/officeDocument/2006/relationships" r:id="rId94"/>
          <a:extLst>
            <a:ext uri="{FF2B5EF4-FFF2-40B4-BE49-F238E27FC236}">
              <a16:creationId xmlns:a16="http://schemas.microsoft.com/office/drawing/2014/main" id="{A5C1055A-7F3A-44A6-9546-493411887570}"/>
            </a:ext>
          </a:extLst>
        </xdr:cNvPr>
        <xdr:cNvSpPr>
          <a:spLocks noChangeAspect="1" noChangeArrowheads="1"/>
        </xdr:cNvSpPr>
      </xdr:nvSpPr>
      <xdr:spPr bwMode="auto">
        <a:xfrm>
          <a:off x="1219200" y="1125245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94</xdr:row>
      <xdr:rowOff>0</xdr:rowOff>
    </xdr:from>
    <xdr:to>
      <xdr:col>2</xdr:col>
      <xdr:colOff>152400</xdr:colOff>
      <xdr:row>94</xdr:row>
      <xdr:rowOff>152400</xdr:rowOff>
    </xdr:to>
    <xdr:sp macro="" textlink="">
      <xdr:nvSpPr>
        <xdr:cNvPr id="14431" name="AutoShape 95" descr="Sub-Story">
          <a:hlinkClick xmlns:r="http://schemas.openxmlformats.org/officeDocument/2006/relationships" r:id="rId95"/>
          <a:extLst>
            <a:ext uri="{FF2B5EF4-FFF2-40B4-BE49-F238E27FC236}">
              <a16:creationId xmlns:a16="http://schemas.microsoft.com/office/drawing/2014/main" id="{EBAA64AF-BC87-4D36-83C7-401A78E40DE5}"/>
            </a:ext>
          </a:extLst>
        </xdr:cNvPr>
        <xdr:cNvSpPr>
          <a:spLocks noChangeAspect="1" noChangeArrowheads="1"/>
        </xdr:cNvSpPr>
      </xdr:nvSpPr>
      <xdr:spPr bwMode="auto">
        <a:xfrm>
          <a:off x="1219200" y="1137589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95</xdr:row>
      <xdr:rowOff>0</xdr:rowOff>
    </xdr:from>
    <xdr:to>
      <xdr:col>2</xdr:col>
      <xdr:colOff>152400</xdr:colOff>
      <xdr:row>95</xdr:row>
      <xdr:rowOff>152400</xdr:rowOff>
    </xdr:to>
    <xdr:sp macro="" textlink="">
      <xdr:nvSpPr>
        <xdr:cNvPr id="14432" name="AutoShape 96" descr="Sub-Story">
          <a:hlinkClick xmlns:r="http://schemas.openxmlformats.org/officeDocument/2006/relationships" r:id="rId96"/>
          <a:extLst>
            <a:ext uri="{FF2B5EF4-FFF2-40B4-BE49-F238E27FC236}">
              <a16:creationId xmlns:a16="http://schemas.microsoft.com/office/drawing/2014/main" id="{C962AA9D-09BE-4F0E-B35E-C27F8CF5ECDA}"/>
            </a:ext>
          </a:extLst>
        </xdr:cNvPr>
        <xdr:cNvSpPr>
          <a:spLocks noChangeAspect="1" noChangeArrowheads="1"/>
        </xdr:cNvSpPr>
      </xdr:nvSpPr>
      <xdr:spPr bwMode="auto">
        <a:xfrm>
          <a:off x="1219200" y="114993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96</xdr:row>
      <xdr:rowOff>0</xdr:rowOff>
    </xdr:from>
    <xdr:to>
      <xdr:col>2</xdr:col>
      <xdr:colOff>152400</xdr:colOff>
      <xdr:row>96</xdr:row>
      <xdr:rowOff>152400</xdr:rowOff>
    </xdr:to>
    <xdr:sp macro="" textlink="">
      <xdr:nvSpPr>
        <xdr:cNvPr id="14433" name="AutoShape 97" descr="Sub-Story">
          <a:hlinkClick xmlns:r="http://schemas.openxmlformats.org/officeDocument/2006/relationships" r:id="rId97"/>
          <a:extLst>
            <a:ext uri="{FF2B5EF4-FFF2-40B4-BE49-F238E27FC236}">
              <a16:creationId xmlns:a16="http://schemas.microsoft.com/office/drawing/2014/main" id="{96FF10D9-C1F1-4C5B-BBAD-6CCD2066CA6B}"/>
            </a:ext>
          </a:extLst>
        </xdr:cNvPr>
        <xdr:cNvSpPr>
          <a:spLocks noChangeAspect="1" noChangeArrowheads="1"/>
        </xdr:cNvSpPr>
      </xdr:nvSpPr>
      <xdr:spPr bwMode="auto">
        <a:xfrm>
          <a:off x="1219200" y="115702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97</xdr:row>
      <xdr:rowOff>0</xdr:rowOff>
    </xdr:from>
    <xdr:to>
      <xdr:col>2</xdr:col>
      <xdr:colOff>152400</xdr:colOff>
      <xdr:row>97</xdr:row>
      <xdr:rowOff>152400</xdr:rowOff>
    </xdr:to>
    <xdr:sp macro="" textlink="">
      <xdr:nvSpPr>
        <xdr:cNvPr id="14434" name="AutoShape 98" descr="Sub-Story">
          <a:hlinkClick xmlns:r="http://schemas.openxmlformats.org/officeDocument/2006/relationships" r:id="rId98"/>
          <a:extLst>
            <a:ext uri="{FF2B5EF4-FFF2-40B4-BE49-F238E27FC236}">
              <a16:creationId xmlns:a16="http://schemas.microsoft.com/office/drawing/2014/main" id="{7077A97E-69DC-4651-A469-A116D1792C2C}"/>
            </a:ext>
          </a:extLst>
        </xdr:cNvPr>
        <xdr:cNvSpPr>
          <a:spLocks noChangeAspect="1" noChangeArrowheads="1"/>
        </xdr:cNvSpPr>
      </xdr:nvSpPr>
      <xdr:spPr bwMode="auto">
        <a:xfrm>
          <a:off x="1219200" y="1179880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98</xdr:row>
      <xdr:rowOff>0</xdr:rowOff>
    </xdr:from>
    <xdr:to>
      <xdr:col>2</xdr:col>
      <xdr:colOff>152400</xdr:colOff>
      <xdr:row>98</xdr:row>
      <xdr:rowOff>152400</xdr:rowOff>
    </xdr:to>
    <xdr:sp macro="" textlink="">
      <xdr:nvSpPr>
        <xdr:cNvPr id="14435" name="AutoShape 99" descr="Sub-Story">
          <a:hlinkClick xmlns:r="http://schemas.openxmlformats.org/officeDocument/2006/relationships" r:id="rId99"/>
          <a:extLst>
            <a:ext uri="{FF2B5EF4-FFF2-40B4-BE49-F238E27FC236}">
              <a16:creationId xmlns:a16="http://schemas.microsoft.com/office/drawing/2014/main" id="{BA7BA41D-AEB4-45A6-AFF3-B285BA85A08D}"/>
            </a:ext>
          </a:extLst>
        </xdr:cNvPr>
        <xdr:cNvSpPr>
          <a:spLocks noChangeAspect="1" noChangeArrowheads="1"/>
        </xdr:cNvSpPr>
      </xdr:nvSpPr>
      <xdr:spPr bwMode="auto">
        <a:xfrm>
          <a:off x="1219200" y="1211503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99</xdr:row>
      <xdr:rowOff>0</xdr:rowOff>
    </xdr:from>
    <xdr:to>
      <xdr:col>2</xdr:col>
      <xdr:colOff>152400</xdr:colOff>
      <xdr:row>99</xdr:row>
      <xdr:rowOff>152400</xdr:rowOff>
    </xdr:to>
    <xdr:sp macro="" textlink="">
      <xdr:nvSpPr>
        <xdr:cNvPr id="14436" name="AutoShape 100" descr="Sub-Story">
          <a:hlinkClick xmlns:r="http://schemas.openxmlformats.org/officeDocument/2006/relationships" r:id="rId100"/>
          <a:extLst>
            <a:ext uri="{FF2B5EF4-FFF2-40B4-BE49-F238E27FC236}">
              <a16:creationId xmlns:a16="http://schemas.microsoft.com/office/drawing/2014/main" id="{DBC669EE-C2EC-4E29-B2E0-41AD154AECF4}"/>
            </a:ext>
          </a:extLst>
        </xdr:cNvPr>
        <xdr:cNvSpPr>
          <a:spLocks noChangeAspect="1" noChangeArrowheads="1"/>
        </xdr:cNvSpPr>
      </xdr:nvSpPr>
      <xdr:spPr bwMode="auto">
        <a:xfrm>
          <a:off x="1219200" y="1230858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100</xdr:row>
      <xdr:rowOff>0</xdr:rowOff>
    </xdr:from>
    <xdr:to>
      <xdr:col>2</xdr:col>
      <xdr:colOff>152400</xdr:colOff>
      <xdr:row>100</xdr:row>
      <xdr:rowOff>152400</xdr:rowOff>
    </xdr:to>
    <xdr:sp macro="" textlink="">
      <xdr:nvSpPr>
        <xdr:cNvPr id="14437" name="AutoShape 101" descr="Sub-Story">
          <a:hlinkClick xmlns:r="http://schemas.openxmlformats.org/officeDocument/2006/relationships" r:id="rId101"/>
          <a:extLst>
            <a:ext uri="{FF2B5EF4-FFF2-40B4-BE49-F238E27FC236}">
              <a16:creationId xmlns:a16="http://schemas.microsoft.com/office/drawing/2014/main" id="{7E1BDDC6-1F13-4F15-A826-A1A687D28907}"/>
            </a:ext>
          </a:extLst>
        </xdr:cNvPr>
        <xdr:cNvSpPr>
          <a:spLocks noChangeAspect="1" noChangeArrowheads="1"/>
        </xdr:cNvSpPr>
      </xdr:nvSpPr>
      <xdr:spPr bwMode="auto">
        <a:xfrm>
          <a:off x="1219200" y="124495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101</xdr:row>
      <xdr:rowOff>0</xdr:rowOff>
    </xdr:from>
    <xdr:to>
      <xdr:col>2</xdr:col>
      <xdr:colOff>152400</xdr:colOff>
      <xdr:row>101</xdr:row>
      <xdr:rowOff>152400</xdr:rowOff>
    </xdr:to>
    <xdr:sp macro="" textlink="">
      <xdr:nvSpPr>
        <xdr:cNvPr id="14438" name="AutoShape 102" descr="Sub-Story">
          <a:hlinkClick xmlns:r="http://schemas.openxmlformats.org/officeDocument/2006/relationships" r:id="rId102"/>
          <a:extLst>
            <a:ext uri="{FF2B5EF4-FFF2-40B4-BE49-F238E27FC236}">
              <a16:creationId xmlns:a16="http://schemas.microsoft.com/office/drawing/2014/main" id="{612AF8EF-B990-45A4-A87F-36C0D78DBCDD}"/>
            </a:ext>
          </a:extLst>
        </xdr:cNvPr>
        <xdr:cNvSpPr>
          <a:spLocks noChangeAspect="1" noChangeArrowheads="1"/>
        </xdr:cNvSpPr>
      </xdr:nvSpPr>
      <xdr:spPr bwMode="auto">
        <a:xfrm>
          <a:off x="1219200" y="126080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102</xdr:row>
      <xdr:rowOff>0</xdr:rowOff>
    </xdr:from>
    <xdr:to>
      <xdr:col>2</xdr:col>
      <xdr:colOff>152400</xdr:colOff>
      <xdr:row>102</xdr:row>
      <xdr:rowOff>152400</xdr:rowOff>
    </xdr:to>
    <xdr:sp macro="" textlink="">
      <xdr:nvSpPr>
        <xdr:cNvPr id="14439" name="AutoShape 103" descr="Sub-Story">
          <a:hlinkClick xmlns:r="http://schemas.openxmlformats.org/officeDocument/2006/relationships" r:id="rId103"/>
          <a:extLst>
            <a:ext uri="{FF2B5EF4-FFF2-40B4-BE49-F238E27FC236}">
              <a16:creationId xmlns:a16="http://schemas.microsoft.com/office/drawing/2014/main" id="{82B93AA5-C9E3-47C8-ACCA-69BDE93BE4C7}"/>
            </a:ext>
          </a:extLst>
        </xdr:cNvPr>
        <xdr:cNvSpPr>
          <a:spLocks noChangeAspect="1" noChangeArrowheads="1"/>
        </xdr:cNvSpPr>
      </xdr:nvSpPr>
      <xdr:spPr bwMode="auto">
        <a:xfrm>
          <a:off x="1219200" y="1276654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103</xdr:row>
      <xdr:rowOff>0</xdr:rowOff>
    </xdr:from>
    <xdr:to>
      <xdr:col>2</xdr:col>
      <xdr:colOff>152400</xdr:colOff>
      <xdr:row>103</xdr:row>
      <xdr:rowOff>152400</xdr:rowOff>
    </xdr:to>
    <xdr:sp macro="" textlink="">
      <xdr:nvSpPr>
        <xdr:cNvPr id="14440" name="AutoShape 104" descr="Sub-Story">
          <a:hlinkClick xmlns:r="http://schemas.openxmlformats.org/officeDocument/2006/relationships" r:id="rId104"/>
          <a:extLst>
            <a:ext uri="{FF2B5EF4-FFF2-40B4-BE49-F238E27FC236}">
              <a16:creationId xmlns:a16="http://schemas.microsoft.com/office/drawing/2014/main" id="{DB7C97F7-7CA4-40FE-932A-3424580DA554}"/>
            </a:ext>
          </a:extLst>
        </xdr:cNvPr>
        <xdr:cNvSpPr>
          <a:spLocks noChangeAspect="1" noChangeArrowheads="1"/>
        </xdr:cNvSpPr>
      </xdr:nvSpPr>
      <xdr:spPr bwMode="auto">
        <a:xfrm>
          <a:off x="1219200" y="129250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quacha\AppData\Local\Microsoft\Windows\INetCache\Content.Outlook\ACUEDP47\Digital%20RunBook%20Infinity_%20R1.1+Alert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WB Deployment Plan (R11)"/>
      <sheetName val="Apps list"/>
      <sheetName val="RollBackActivities"/>
      <sheetName val="Indicative Timeline"/>
      <sheetName val="Project Readiness"/>
      <sheetName val="Infinity OLB &amp; Mob App"/>
      <sheetName val="CWB Deployment Plan"/>
      <sheetName val="Sheet2"/>
      <sheetName val="OLB &amp; Mob App (OLD)"/>
    </sheetNames>
    <sheetDataSet>
      <sheetData sheetId="0"/>
      <sheetData sheetId="1"/>
      <sheetData sheetId="2"/>
      <sheetData sheetId="3"/>
      <sheetData sheetId="4"/>
      <sheetData sheetId="5"/>
      <sheetData sheetId="6"/>
      <sheetData sheetId="7"/>
      <sheetData sheetId="8">
        <row r="3">
          <cell r="H3">
            <v>43831</v>
          </cell>
        </row>
        <row r="4">
          <cell r="H4">
            <v>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294023-EE22-4450-8638-FAF611896AAE}" name="Contacts" displayName="Contacts" ref="A2:G55" totalsRowShown="0" headerRowDxfId="111" dataDxfId="110">
  <autoFilter ref="A2:G55" xr:uid="{00000000-0009-0000-0100-000001000000}"/>
  <sortState xmlns:xlrd2="http://schemas.microsoft.com/office/spreadsheetml/2017/richdata2" ref="A3:G26">
    <sortCondition ref="A2:A26"/>
  </sortState>
  <tableColumns count="7">
    <tableColumn id="1" xr3:uid="{E49CAE3E-47EB-4773-828E-7FC131AA20B1}" name="Organization" dataDxfId="109"/>
    <tableColumn id="2" xr3:uid="{F0B02172-B35F-483E-825D-734F7EC45463}" name="Name" dataDxfId="108"/>
    <tableColumn id="4" xr3:uid="{6C5A04A4-A0C7-4E4D-BDFD-D1B56B66C35A}" name="Phone" dataDxfId="107"/>
    <tableColumn id="5" xr3:uid="{3FAEEFCF-B71A-40D3-916B-6063D7CF1312}" name="Home phone" dataDxfId="106" dataCellStyle="Phone"/>
    <tableColumn id="6" xr3:uid="{6F07EC3E-445F-4B36-894A-10025A7B58AD}" name="Email" dataDxfId="105" dataCellStyle="Phone"/>
    <tableColumn id="7" xr3:uid="{F775257B-E7CB-4E2C-B234-61C40565290A}" name="Role" dataDxfId="104" dataCellStyle="Phone"/>
    <tableColumn id="8" xr3:uid="{4A72D7E4-52DF-4F54-BE9F-B5AFE4B5894E}" name="Notes" dataDxfId="103" dataCellStyle="Normal"/>
  </tableColumns>
  <tableStyleInfo name="Contact list" showFirstColumn="0" showLastColumn="0" showRowStripes="1" showColumnStripes="0"/>
  <extLst>
    <ext xmlns:x14="http://schemas.microsoft.com/office/spreadsheetml/2009/9/main" uri="{504A1905-F514-4f6f-8877-14C23A59335A}">
      <x14:table altTextSummary="Employee phone list with Last Name, First Name, Spouse or Kids, Address, Home, Work, Cell phone numbers, and Email address"/>
    </ext>
  </extLst>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3" Type="http://schemas.openxmlformats.org/officeDocument/2006/relationships/hyperlink" Target="mailto:fayez.alameddine@brimfinancial.com" TargetMode="External"/><Relationship Id="rId18" Type="http://schemas.openxmlformats.org/officeDocument/2006/relationships/hyperlink" Target="mailto:mohammed.yahya@cwbank.com" TargetMode="External"/><Relationship Id="rId26" Type="http://schemas.openxmlformats.org/officeDocument/2006/relationships/hyperlink" Target="mailto:krupal.chennuri@temenos.com" TargetMode="External"/><Relationship Id="rId39" Type="http://schemas.openxmlformats.org/officeDocument/2006/relationships/hyperlink" Target="mailto:kavya.monisha@contractor.temenos.com" TargetMode="External"/><Relationship Id="rId21" Type="http://schemas.openxmlformats.org/officeDocument/2006/relationships/hyperlink" Target="mailto:Niel.colinares@cwbank.com" TargetMode="External"/><Relationship Id="rId34" Type="http://schemas.openxmlformats.org/officeDocument/2006/relationships/hyperlink" Target="mailto:m.gowthami@temenos.com" TargetMode="External"/><Relationship Id="rId42" Type="http://schemas.openxmlformats.org/officeDocument/2006/relationships/hyperlink" Target="mailto:anil.kesanupalli@temenos.com" TargetMode="External"/><Relationship Id="rId47" Type="http://schemas.openxmlformats.org/officeDocument/2006/relationships/hyperlink" Target="mailto:k.lakshmankumar@temenos.com" TargetMode="External"/><Relationship Id="rId50" Type="http://schemas.openxmlformats.org/officeDocument/2006/relationships/printerSettings" Target="../printerSettings/printerSettings3.bin"/><Relationship Id="rId7" Type="http://schemas.openxmlformats.org/officeDocument/2006/relationships/hyperlink" Target="mailto:dino.noce@cwbank.com" TargetMode="External"/><Relationship Id="rId2" Type="http://schemas.openxmlformats.org/officeDocument/2006/relationships/hyperlink" Target="mailto:mark.doubinin@cwbank.com" TargetMode="External"/><Relationship Id="rId16" Type="http://schemas.openxmlformats.org/officeDocument/2006/relationships/hyperlink" Target="mailto:mo.zubby@brimfinancial.com" TargetMode="External"/><Relationship Id="rId29" Type="http://schemas.openxmlformats.org/officeDocument/2006/relationships/hyperlink" Target="mailto:kanuru.lokesh@temenos.com" TargetMode="External"/><Relationship Id="rId11" Type="http://schemas.openxmlformats.org/officeDocument/2006/relationships/hyperlink" Target="mailto:christina.mullin@cwbank.com" TargetMode="External"/><Relationship Id="rId24" Type="http://schemas.openxmlformats.org/officeDocument/2006/relationships/hyperlink" Target="mailto:karthikeyank@temenos.com" TargetMode="External"/><Relationship Id="rId32" Type="http://schemas.openxmlformats.org/officeDocument/2006/relationships/hyperlink" Target="mailto:srikanth.sriramoji@temenos.com" TargetMode="External"/><Relationship Id="rId37" Type="http://schemas.openxmlformats.org/officeDocument/2006/relationships/hyperlink" Target="mailto:raineesh.shaik@temenos.com" TargetMode="External"/><Relationship Id="rId40" Type="http://schemas.openxmlformats.org/officeDocument/2006/relationships/hyperlink" Target="mailto:santhosh.thogiti@temenos.com" TargetMode="External"/><Relationship Id="rId45" Type="http://schemas.openxmlformats.org/officeDocument/2006/relationships/hyperlink" Target="mailto:banavatu.jahnavi@temenos.com" TargetMode="External"/><Relationship Id="rId5" Type="http://schemas.openxmlformats.org/officeDocument/2006/relationships/hyperlink" Target="mailto:Alvin.quach@cwbank.com" TargetMode="External"/><Relationship Id="rId15" Type="http://schemas.openxmlformats.org/officeDocument/2006/relationships/hyperlink" Target="mailto:Carmela.pucci@cwbank.com" TargetMode="External"/><Relationship Id="rId23" Type="http://schemas.openxmlformats.org/officeDocument/2006/relationships/hyperlink" Target="mailto:ktodorov@temenos.com" TargetMode="External"/><Relationship Id="rId28" Type="http://schemas.openxmlformats.org/officeDocument/2006/relationships/hyperlink" Target="mailto:vani.tiruveedhula@temenos.com" TargetMode="External"/><Relationship Id="rId36" Type="http://schemas.openxmlformats.org/officeDocument/2006/relationships/hyperlink" Target="mailto:chennoju.suraj@temenos.com" TargetMode="External"/><Relationship Id="rId49" Type="http://schemas.openxmlformats.org/officeDocument/2006/relationships/hyperlink" Target="mailto:kris.aloisio@cwbank.com" TargetMode="External"/><Relationship Id="rId10" Type="http://schemas.openxmlformats.org/officeDocument/2006/relationships/hyperlink" Target="mailto:Jason.bond@cwbank.com" TargetMode="External"/><Relationship Id="rId19" Type="http://schemas.openxmlformats.org/officeDocument/2006/relationships/hyperlink" Target="mailto:s.sundhar@temenos.com" TargetMode="External"/><Relationship Id="rId31" Type="http://schemas.openxmlformats.org/officeDocument/2006/relationships/hyperlink" Target="mailto:vamsikrishna.c@temenos.com" TargetMode="External"/><Relationship Id="rId44" Type="http://schemas.openxmlformats.org/officeDocument/2006/relationships/hyperlink" Target="mailto:chandra.ramayanapu@temenos.com" TargetMode="External"/><Relationship Id="rId4" Type="http://schemas.openxmlformats.org/officeDocument/2006/relationships/hyperlink" Target="mailto:Edmund.chua@cwbank.com" TargetMode="External"/><Relationship Id="rId9" Type="http://schemas.openxmlformats.org/officeDocument/2006/relationships/hyperlink" Target="mailto:gerry.weber@cwbank.com" TargetMode="External"/><Relationship Id="rId14" Type="http://schemas.openxmlformats.org/officeDocument/2006/relationships/hyperlink" Target="mailto:dilshad.bhatti@cwbank.com" TargetMode="External"/><Relationship Id="rId22" Type="http://schemas.openxmlformats.org/officeDocument/2006/relationships/hyperlink" Target="mailto:atawfik@temenos.com" TargetMode="External"/><Relationship Id="rId27" Type="http://schemas.openxmlformats.org/officeDocument/2006/relationships/hyperlink" Target="mailto:veeravsn@temenos.com" TargetMode="External"/><Relationship Id="rId30" Type="http://schemas.openxmlformats.org/officeDocument/2006/relationships/hyperlink" Target="mailto:satya.tammana@temenos.com" TargetMode="External"/><Relationship Id="rId35" Type="http://schemas.openxmlformats.org/officeDocument/2006/relationships/hyperlink" Target="mailto:divya.bysani@temenos.com" TargetMode="External"/><Relationship Id="rId43" Type="http://schemas.openxmlformats.org/officeDocument/2006/relationships/hyperlink" Target="mailto:arindam.bose@temenos.com" TargetMode="External"/><Relationship Id="rId48" Type="http://schemas.openxmlformats.org/officeDocument/2006/relationships/hyperlink" Target="mailto:marlon.ruiz@temenos.com" TargetMode="External"/><Relationship Id="rId8" Type="http://schemas.openxmlformats.org/officeDocument/2006/relationships/hyperlink" Target="mailto:tony.fang@techjutsu.com" TargetMode="External"/><Relationship Id="rId51" Type="http://schemas.openxmlformats.org/officeDocument/2006/relationships/table" Target="../tables/table1.xml"/><Relationship Id="rId3" Type="http://schemas.openxmlformats.org/officeDocument/2006/relationships/hyperlink" Target="mailto:Adam.skoreyko@cwbank.com" TargetMode="External"/><Relationship Id="rId12" Type="http://schemas.openxmlformats.org/officeDocument/2006/relationships/hyperlink" Target="mailto:thomas.patterson@brimfinancial.com" TargetMode="External"/><Relationship Id="rId17" Type="http://schemas.openxmlformats.org/officeDocument/2006/relationships/hyperlink" Target="mailto:carmen.girardin@cwbank.com" TargetMode="External"/><Relationship Id="rId25" Type="http://schemas.openxmlformats.org/officeDocument/2006/relationships/hyperlink" Target="mailto:goutam.sahu@temenos.com" TargetMode="External"/><Relationship Id="rId33" Type="http://schemas.openxmlformats.org/officeDocument/2006/relationships/hyperlink" Target="mailto:pavani.challa@temenos.com" TargetMode="External"/><Relationship Id="rId38" Type="http://schemas.openxmlformats.org/officeDocument/2006/relationships/hyperlink" Target="mailto:udaykumar.rapolu@temenos.com" TargetMode="External"/><Relationship Id="rId46" Type="http://schemas.openxmlformats.org/officeDocument/2006/relationships/hyperlink" Target="mailto:satish.kolkunda@contractor.temenos.com" TargetMode="External"/><Relationship Id="rId20" Type="http://schemas.openxmlformats.org/officeDocument/2006/relationships/hyperlink" Target="mailto:p.vijayalakshmi@temenos.com" TargetMode="External"/><Relationship Id="rId41" Type="http://schemas.openxmlformats.org/officeDocument/2006/relationships/hyperlink" Target="mailto:gayathri.maku@contractor.temenos.com" TargetMode="External"/><Relationship Id="rId1" Type="http://schemas.openxmlformats.org/officeDocument/2006/relationships/hyperlink" Target="mailto:alex.yakovenko@cwbank.com" TargetMode="External"/><Relationship Id="rId6" Type="http://schemas.openxmlformats.org/officeDocument/2006/relationships/hyperlink" Target="mailto:andrew.petesky@cwbank.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17" Type="http://schemas.openxmlformats.org/officeDocument/2006/relationships/hyperlink" Target="https://jira.central1.com/rest/api/1.0/issues/266517/ActionsAndOperations?atl_token=AHT6-MTMP-UBMO-MUYG_cd9c0f64329b81e62a74fcf0fe1854ac19d6211d_lin" TargetMode="External"/><Relationship Id="rId299" Type="http://schemas.openxmlformats.org/officeDocument/2006/relationships/hyperlink" Target="https://jira.central1.com/secure/ViewProfile.jspa?name=unassigned" TargetMode="External"/><Relationship Id="rId21" Type="http://schemas.openxmlformats.org/officeDocument/2006/relationships/hyperlink" Target="https://jira.central1.com/rest/api/1.0/issues/268130/ActionsAndOperations?atl_token=AHT6-MTMP-UBMO-MUYG_cd9c0f64329b81e62a74fcf0fe1854ac19d6211d_lin" TargetMode="External"/><Relationship Id="rId63" Type="http://schemas.openxmlformats.org/officeDocument/2006/relationships/hyperlink" Target="https://jira.central1.com/rest/api/1.0/issues/310485/ActionsAndOperations?atl_token=AHT6-MTMP-UBMO-MUYG_cd9c0f64329b81e62a74fcf0fe1854ac19d6211d_lin" TargetMode="External"/><Relationship Id="rId159" Type="http://schemas.openxmlformats.org/officeDocument/2006/relationships/hyperlink" Target="https://jira.central1.com/rest/api/1.0/issues/270884/ActionsAndOperations?atl_token=AHT6-MTMP-UBMO-MUYG_cd9c0f64329b81e62a74fcf0fe1854ac19d6211d_lin" TargetMode="External"/><Relationship Id="rId170" Type="http://schemas.openxmlformats.org/officeDocument/2006/relationships/hyperlink" Target="https://jira.central1.com/secure/ViewProfile.jspa?name=unassigned" TargetMode="External"/><Relationship Id="rId226" Type="http://schemas.openxmlformats.org/officeDocument/2006/relationships/hyperlink" Target="https://jira.central1.com/browse/FIT-10338" TargetMode="External"/><Relationship Id="rId268" Type="http://schemas.openxmlformats.org/officeDocument/2006/relationships/hyperlink" Target="https://jira.central1.com/browse/FIT-10354" TargetMode="External"/><Relationship Id="rId32" Type="http://schemas.openxmlformats.org/officeDocument/2006/relationships/hyperlink" Target="https://jira.central1.com/secure/ViewProfile.jspa?name=unassigned" TargetMode="External"/><Relationship Id="rId74" Type="http://schemas.openxmlformats.org/officeDocument/2006/relationships/hyperlink" Target="https://jira.central1.com/secure/ViewProfile.jspa?name=unassigned" TargetMode="External"/><Relationship Id="rId128" Type="http://schemas.openxmlformats.org/officeDocument/2006/relationships/hyperlink" Target="https://jira.central1.com/secure/ViewProfile.jspa?name=unassigned" TargetMode="External"/><Relationship Id="rId5" Type="http://schemas.openxmlformats.org/officeDocument/2006/relationships/hyperlink" Target="https://jira.central1.com/secure/ViewProfile.jspa?name=unassigned" TargetMode="External"/><Relationship Id="rId181" Type="http://schemas.openxmlformats.org/officeDocument/2006/relationships/hyperlink" Target="https://jira.central1.com/browse/FIT-14955" TargetMode="External"/><Relationship Id="rId237" Type="http://schemas.openxmlformats.org/officeDocument/2006/relationships/hyperlink" Target="https://jira.central1.com/rest/api/1.0/issues/300094/ActionsAndOperations?atl_token=AHT6-MTMP-UBMO-MUYG_cd9c0f64329b81e62a74fcf0fe1854ac19d6211d_lin" TargetMode="External"/><Relationship Id="rId279" Type="http://schemas.openxmlformats.org/officeDocument/2006/relationships/hyperlink" Target="https://jira.central1.com/rest/api/1.0/issues/300328/ActionsAndOperations?atl_token=AHT6-MTMP-UBMO-MUYG_cd9c0f64329b81e62a74fcf0fe1854ac19d6211d_lin" TargetMode="External"/><Relationship Id="rId43" Type="http://schemas.openxmlformats.org/officeDocument/2006/relationships/hyperlink" Target="https://jira.central1.com/browse/FIT-5667" TargetMode="External"/><Relationship Id="rId139" Type="http://schemas.openxmlformats.org/officeDocument/2006/relationships/hyperlink" Target="https://jira.central1.com/browse/FIT-1856" TargetMode="External"/><Relationship Id="rId290" Type="http://schemas.openxmlformats.org/officeDocument/2006/relationships/hyperlink" Target="https://jira.central1.com/secure/ViewProfile.jspa?name=unassigned" TargetMode="External"/><Relationship Id="rId304" Type="http://schemas.openxmlformats.org/officeDocument/2006/relationships/hyperlink" Target="https://jira.central1.com/browse/FIT-10366" TargetMode="External"/><Relationship Id="rId85" Type="http://schemas.openxmlformats.org/officeDocument/2006/relationships/hyperlink" Target="https://jira.central1.com/browse/FIT-10263" TargetMode="External"/><Relationship Id="rId150" Type="http://schemas.openxmlformats.org/officeDocument/2006/relationships/hyperlink" Target="https://jira.central1.com/rest/api/1.0/issues/270887/ActionsAndOperations?atl_token=AHT6-MTMP-UBMO-MUYG_cd9c0f64329b81e62a74fcf0fe1854ac19d6211d_lin" TargetMode="External"/><Relationship Id="rId192" Type="http://schemas.openxmlformats.org/officeDocument/2006/relationships/hyperlink" Target="https://jira.central1.com/rest/api/1.0/issues/300036/ActionsAndOperations?atl_token=AHT6-MTMP-UBMO-MUYG_cd9c0f64329b81e62a74fcf0fe1854ac19d6211d_lin" TargetMode="External"/><Relationship Id="rId206" Type="http://schemas.openxmlformats.org/officeDocument/2006/relationships/hyperlink" Target="https://jira.central1.com/secure/ViewProfile.jspa?name=unassigned" TargetMode="External"/><Relationship Id="rId248" Type="http://schemas.openxmlformats.org/officeDocument/2006/relationships/hyperlink" Target="https://jira.central1.com/secure/ViewProfile.jspa?name=unassigned" TargetMode="External"/><Relationship Id="rId12" Type="http://schemas.openxmlformats.org/officeDocument/2006/relationships/hyperlink" Target="https://jira.central1.com/rest/api/1.0/issues/266480/ActionsAndOperations?atl_token=AHT6-MTMP-UBMO-MUYG_cd9c0f64329b81e62a74fcf0fe1854ac19d6211d_lin" TargetMode="External"/><Relationship Id="rId108" Type="http://schemas.openxmlformats.org/officeDocument/2006/relationships/hyperlink" Target="https://jira.central1.com/rest/api/1.0/issues/270859/ActionsAndOperations?atl_token=AHT6-MTMP-UBMO-MUYG_cd9c0f64329b81e62a74fcf0fe1854ac19d6211d_lin" TargetMode="External"/><Relationship Id="rId54" Type="http://schemas.openxmlformats.org/officeDocument/2006/relationships/hyperlink" Target="https://jira.central1.com/rest/api/1.0/issues/270850/ActionsAndOperations?atl_token=AHT6-MTMP-UBMO-MUYG_cd9c0f64329b81e62a74fcf0fe1854ac19d6211d_lin" TargetMode="External"/><Relationship Id="rId96" Type="http://schemas.openxmlformats.org/officeDocument/2006/relationships/hyperlink" Target="https://jira.central1.com/rest/api/1.0/issues/266496/ActionsAndOperations?atl_token=AHT6-MTMP-UBMO-MUYG_cd9c0f64329b81e62a74fcf0fe1854ac19d6211d_lin" TargetMode="External"/><Relationship Id="rId161" Type="http://schemas.openxmlformats.org/officeDocument/2006/relationships/hyperlink" Target="https://jira.central1.com/secure/ViewProfile.jspa?name=unassigned" TargetMode="External"/><Relationship Id="rId217" Type="http://schemas.openxmlformats.org/officeDocument/2006/relationships/hyperlink" Target="https://jira.central1.com/browse/FIT-10322" TargetMode="External"/><Relationship Id="rId259" Type="http://schemas.openxmlformats.org/officeDocument/2006/relationships/hyperlink" Target="https://jira.central1.com/browse/FIT-10352" TargetMode="External"/><Relationship Id="rId23" Type="http://schemas.openxmlformats.org/officeDocument/2006/relationships/hyperlink" Target="https://jira.central1.com/secure/ViewProfile.jspa?name=unassigned" TargetMode="External"/><Relationship Id="rId119" Type="http://schemas.openxmlformats.org/officeDocument/2006/relationships/hyperlink" Target="https://jira.central1.com/secure/ViewProfile.jspa?name=unassigned" TargetMode="External"/><Relationship Id="rId270" Type="http://schemas.openxmlformats.org/officeDocument/2006/relationships/hyperlink" Target="https://jira.central1.com/rest/api/1.0/issues/300318/ActionsAndOperations?atl_token=AHT6-MTMP-UBMO-MUYG_cd9c0f64329b81e62a74fcf0fe1854ac19d6211d_lin" TargetMode="External"/><Relationship Id="rId44" Type="http://schemas.openxmlformats.org/officeDocument/2006/relationships/hyperlink" Target="https://jira.central1.com/secure/ViewProfile.jspa?name=joe.cheng" TargetMode="External"/><Relationship Id="rId65" Type="http://schemas.openxmlformats.org/officeDocument/2006/relationships/hyperlink" Target="https://jira.central1.com/secure/ViewProfile.jspa?name=unassigned" TargetMode="External"/><Relationship Id="rId86" Type="http://schemas.openxmlformats.org/officeDocument/2006/relationships/hyperlink" Target="https://jira.central1.com/secure/ViewProfile.jspa?name=unassigned" TargetMode="External"/><Relationship Id="rId130" Type="http://schemas.openxmlformats.org/officeDocument/2006/relationships/hyperlink" Target="https://jira.central1.com/browse/FIT-9768" TargetMode="External"/><Relationship Id="rId151" Type="http://schemas.openxmlformats.org/officeDocument/2006/relationships/hyperlink" Target="https://jira.central1.com/browse/FIT-1035" TargetMode="External"/><Relationship Id="rId172" Type="http://schemas.openxmlformats.org/officeDocument/2006/relationships/hyperlink" Target="https://jira.central1.com/browse/FIT-10266" TargetMode="External"/><Relationship Id="rId193" Type="http://schemas.openxmlformats.org/officeDocument/2006/relationships/hyperlink" Target="https://jira.central1.com/browse/FIT-10291" TargetMode="External"/><Relationship Id="rId207" Type="http://schemas.openxmlformats.org/officeDocument/2006/relationships/hyperlink" Target="https://jira.central1.com/rest/api/1.0/issues/300070/ActionsAndOperations?atl_token=AHT6-MTMP-UBMO-MUYG_cd9c0f64329b81e62a74fcf0fe1854ac19d6211d_lin" TargetMode="External"/><Relationship Id="rId228" Type="http://schemas.openxmlformats.org/officeDocument/2006/relationships/hyperlink" Target="https://jira.central1.com/rest/api/1.0/issues/300297/ActionsAndOperations?atl_token=AHT6-MTMP-UBMO-MUYG_cd9c0f64329b81e62a74fcf0fe1854ac19d6211d_lin" TargetMode="External"/><Relationship Id="rId249" Type="http://schemas.openxmlformats.org/officeDocument/2006/relationships/hyperlink" Target="https://jira.central1.com/rest/api/1.0/issues/300313/ActionsAndOperations?atl_token=AHT6-MTMP-UBMO-MUYG_cd9c0f64329b81e62a74fcf0fe1854ac19d6211d_lin" TargetMode="External"/><Relationship Id="rId13" Type="http://schemas.openxmlformats.org/officeDocument/2006/relationships/hyperlink" Target="https://jira.central1.com/browse/FIT-1005" TargetMode="External"/><Relationship Id="rId109" Type="http://schemas.openxmlformats.org/officeDocument/2006/relationships/hyperlink" Target="https://jira.central1.com/browse/FIT-1845" TargetMode="External"/><Relationship Id="rId260" Type="http://schemas.openxmlformats.org/officeDocument/2006/relationships/hyperlink" Target="https://jira.central1.com/secure/ViewProfile.jspa?name=unassigned" TargetMode="External"/><Relationship Id="rId281" Type="http://schemas.openxmlformats.org/officeDocument/2006/relationships/hyperlink" Target="https://jira.central1.com/secure/ViewProfile.jspa?name=unassigned" TargetMode="External"/><Relationship Id="rId34" Type="http://schemas.openxmlformats.org/officeDocument/2006/relationships/hyperlink" Target="https://jira.central1.com/browse/FIT-1801" TargetMode="External"/><Relationship Id="rId55" Type="http://schemas.openxmlformats.org/officeDocument/2006/relationships/hyperlink" Target="https://jira.central1.com/browse/FIT-6999" TargetMode="External"/><Relationship Id="rId76" Type="http://schemas.openxmlformats.org/officeDocument/2006/relationships/hyperlink" Target="https://jira.central1.com/browse/FIT-1852" TargetMode="External"/><Relationship Id="rId97" Type="http://schemas.openxmlformats.org/officeDocument/2006/relationships/hyperlink" Target="https://jira.central1.com/browse/FIT-1838" TargetMode="External"/><Relationship Id="rId120" Type="http://schemas.openxmlformats.org/officeDocument/2006/relationships/hyperlink" Target="https://jira.central1.com/rest/api/1.0/issues/270873/ActionsAndOperations?atl_token=AHT6-MTMP-UBMO-MUYG_cd9c0f64329b81e62a74fcf0fe1854ac19d6211d_lin" TargetMode="External"/><Relationship Id="rId141" Type="http://schemas.openxmlformats.org/officeDocument/2006/relationships/hyperlink" Target="https://jira.central1.com/rest/api/1.0/issues/270876/ActionsAndOperations?atl_token=AHT6-MTMP-UBMO-MUYG_cd9c0f64329b81e62a74fcf0fe1854ac19d6211d_lin" TargetMode="External"/><Relationship Id="rId7" Type="http://schemas.openxmlformats.org/officeDocument/2006/relationships/hyperlink" Target="https://jira.central1.com/browse/FIT-10262" TargetMode="External"/><Relationship Id="rId162" Type="http://schemas.openxmlformats.org/officeDocument/2006/relationships/hyperlink" Target="https://jira.central1.com/rest/api/1.0/issues/266523/ActionsAndOperations?atl_token=AHT6-MTMP-UBMO-MUYG_cd9c0f64329b81e62a74fcf0fe1854ac19d6211d_lin" TargetMode="External"/><Relationship Id="rId183" Type="http://schemas.openxmlformats.org/officeDocument/2006/relationships/hyperlink" Target="https://jira.central1.com/rest/api/1.0/issues/314805/ActionsAndOperations?atl_token=AHT6-MTMP-UBMO-MUYG_cd9c0f64329b81e62a74fcf0fe1854ac19d6211d_lin" TargetMode="External"/><Relationship Id="rId218" Type="http://schemas.openxmlformats.org/officeDocument/2006/relationships/hyperlink" Target="https://jira.central1.com/secure/ViewProfile.jspa?name=unassigned" TargetMode="External"/><Relationship Id="rId239" Type="http://schemas.openxmlformats.org/officeDocument/2006/relationships/hyperlink" Target="https://jira.central1.com/secure/ViewProfile.jspa?name=unassigned" TargetMode="External"/><Relationship Id="rId250" Type="http://schemas.openxmlformats.org/officeDocument/2006/relationships/hyperlink" Target="https://jira.central1.com/browse/FIT-10350" TargetMode="External"/><Relationship Id="rId271" Type="http://schemas.openxmlformats.org/officeDocument/2006/relationships/hyperlink" Target="https://jira.central1.com/browse/FIT-10355" TargetMode="External"/><Relationship Id="rId292" Type="http://schemas.openxmlformats.org/officeDocument/2006/relationships/hyperlink" Target="https://jira.central1.com/browse/FIT-10362" TargetMode="External"/><Relationship Id="rId306" Type="http://schemas.openxmlformats.org/officeDocument/2006/relationships/hyperlink" Target="https://jira.central1.com/rest/api/1.0/issues/300330/ActionsAndOperations?atl_token=AHT6-MTMP-UBMO-MUYG_cd9c0f64329b81e62a74fcf0fe1854ac19d6211d_lin" TargetMode="External"/><Relationship Id="rId24" Type="http://schemas.openxmlformats.org/officeDocument/2006/relationships/hyperlink" Target="https://jira.central1.com/rest/api/1.0/issues/268758/ActionsAndOperations?atl_token=AHT6-MTMP-UBMO-MUYG_cd9c0f64329b81e62a74fcf0fe1854ac19d6211d_lin" TargetMode="External"/><Relationship Id="rId45" Type="http://schemas.openxmlformats.org/officeDocument/2006/relationships/hyperlink" Target="https://jira.central1.com/rest/api/1.0/issues/277981/ActionsAndOperations?atl_token=AHT6-MTMP-UBMO-MUYG_cd9c0f64329b81e62a74fcf0fe1854ac19d6211d_lin" TargetMode="External"/><Relationship Id="rId66" Type="http://schemas.openxmlformats.org/officeDocument/2006/relationships/hyperlink" Target="https://jira.central1.com/rest/api/1.0/issues/299548/ActionsAndOperations?atl_token=AHT6-MTMP-UBMO-MUYG_cd9c0f64329b81e62a74fcf0fe1854ac19d6211d_lin" TargetMode="External"/><Relationship Id="rId87" Type="http://schemas.openxmlformats.org/officeDocument/2006/relationships/hyperlink" Target="https://jira.central1.com/rest/api/1.0/issues/299546/ActionsAndOperations?atl_token=AHT6-MTMP-UBMO-MUYG_cd9c0f64329b81e62a74fcf0fe1854ac19d6211d_lin" TargetMode="External"/><Relationship Id="rId110" Type="http://schemas.openxmlformats.org/officeDocument/2006/relationships/hyperlink" Target="https://jira.central1.com/secure/ViewProfile.jspa?name=unassigned" TargetMode="External"/><Relationship Id="rId131" Type="http://schemas.openxmlformats.org/officeDocument/2006/relationships/hyperlink" Target="https://jira.central1.com/secure/ViewProfile.jspa?name=unassigned" TargetMode="External"/><Relationship Id="rId152" Type="http://schemas.openxmlformats.org/officeDocument/2006/relationships/hyperlink" Target="https://jira.central1.com/secure/ViewProfile.jspa?name=unassigned" TargetMode="External"/><Relationship Id="rId173" Type="http://schemas.openxmlformats.org/officeDocument/2006/relationships/hyperlink" Target="https://jira.central1.com/secure/ViewProfile.jspa?name=unassigned" TargetMode="External"/><Relationship Id="rId194" Type="http://schemas.openxmlformats.org/officeDocument/2006/relationships/hyperlink" Target="https://jira.central1.com/secure/ViewProfile.jspa?name=unassigned" TargetMode="External"/><Relationship Id="rId208" Type="http://schemas.openxmlformats.org/officeDocument/2006/relationships/hyperlink" Target="https://jira.central1.com/browse/FIT-10319" TargetMode="External"/><Relationship Id="rId229" Type="http://schemas.openxmlformats.org/officeDocument/2006/relationships/hyperlink" Target="https://jira.central1.com/browse/FIT-10339" TargetMode="External"/><Relationship Id="rId240" Type="http://schemas.openxmlformats.org/officeDocument/2006/relationships/hyperlink" Target="https://jira.central1.com/rest/api/1.0/issues/300299/ActionsAndOperations?atl_token=AHT6-MTMP-UBMO-MUYG_cd9c0f64329b81e62a74fcf0fe1854ac19d6211d_lin" TargetMode="External"/><Relationship Id="rId261" Type="http://schemas.openxmlformats.org/officeDocument/2006/relationships/hyperlink" Target="https://jira.central1.com/rest/api/1.0/issues/300316/ActionsAndOperations?atl_token=AHT6-MTMP-UBMO-MUYG_cd9c0f64329b81e62a74fcf0fe1854ac19d6211d_lin" TargetMode="External"/><Relationship Id="rId14" Type="http://schemas.openxmlformats.org/officeDocument/2006/relationships/hyperlink" Target="https://jira.central1.com/secure/ViewProfile.jspa?name=unassigned" TargetMode="External"/><Relationship Id="rId35" Type="http://schemas.openxmlformats.org/officeDocument/2006/relationships/hyperlink" Target="https://jira.central1.com/secure/ViewProfile.jspa?name=unassigned" TargetMode="External"/><Relationship Id="rId56" Type="http://schemas.openxmlformats.org/officeDocument/2006/relationships/hyperlink" Target="https://jira.central1.com/secure/ViewProfile.jspa?name=joe.cheng" TargetMode="External"/><Relationship Id="rId77" Type="http://schemas.openxmlformats.org/officeDocument/2006/relationships/hyperlink" Target="https://jira.central1.com/secure/ViewProfile.jspa?name=unassigned" TargetMode="External"/><Relationship Id="rId100" Type="http://schemas.openxmlformats.org/officeDocument/2006/relationships/hyperlink" Target="https://jira.central1.com/browse/FIT-1846" TargetMode="External"/><Relationship Id="rId282" Type="http://schemas.openxmlformats.org/officeDocument/2006/relationships/hyperlink" Target="https://jira.central1.com/rest/api/1.0/issues/300329/ActionsAndOperations?atl_token=AHT6-MTMP-UBMO-MUYG_cd9c0f64329b81e62a74fcf0fe1854ac19d6211d_lin" TargetMode="External"/><Relationship Id="rId8" Type="http://schemas.openxmlformats.org/officeDocument/2006/relationships/hyperlink" Target="https://jira.central1.com/secure/ViewProfile.jspa?name=unassigned" TargetMode="External"/><Relationship Id="rId98" Type="http://schemas.openxmlformats.org/officeDocument/2006/relationships/hyperlink" Target="https://jira.central1.com/secure/ViewProfile.jspa?name=unassigned" TargetMode="External"/><Relationship Id="rId121" Type="http://schemas.openxmlformats.org/officeDocument/2006/relationships/hyperlink" Target="https://jira.central1.com/browse/FIT-1854" TargetMode="External"/><Relationship Id="rId142" Type="http://schemas.openxmlformats.org/officeDocument/2006/relationships/hyperlink" Target="https://jira.central1.com/browse/FIT-1860" TargetMode="External"/><Relationship Id="rId163" Type="http://schemas.openxmlformats.org/officeDocument/2006/relationships/hyperlink" Target="https://jira.central1.com/browse/FIT-1865" TargetMode="External"/><Relationship Id="rId184" Type="http://schemas.openxmlformats.org/officeDocument/2006/relationships/hyperlink" Target="https://jira.central1.com/browse/FIT-10259" TargetMode="External"/><Relationship Id="rId219" Type="http://schemas.openxmlformats.org/officeDocument/2006/relationships/hyperlink" Target="https://jira.central1.com/rest/api/1.0/issues/300092/ActionsAndOperations?atl_token=AHT6-MTMP-UBMO-MUYG_cd9c0f64329b81e62a74fcf0fe1854ac19d6211d_lin" TargetMode="External"/><Relationship Id="rId230" Type="http://schemas.openxmlformats.org/officeDocument/2006/relationships/hyperlink" Target="https://jira.central1.com/secure/ViewProfile.jspa?name=unassigned" TargetMode="External"/><Relationship Id="rId251" Type="http://schemas.openxmlformats.org/officeDocument/2006/relationships/hyperlink" Target="https://jira.central1.com/secure/ViewProfile.jspa?name=unassigned" TargetMode="External"/><Relationship Id="rId25" Type="http://schemas.openxmlformats.org/officeDocument/2006/relationships/hyperlink" Target="https://jira.central1.com/browse/FIT-7939" TargetMode="External"/><Relationship Id="rId46" Type="http://schemas.openxmlformats.org/officeDocument/2006/relationships/hyperlink" Target="https://jira.central1.com/browse/FIT-1836" TargetMode="External"/><Relationship Id="rId67" Type="http://schemas.openxmlformats.org/officeDocument/2006/relationships/hyperlink" Target="https://jira.central1.com/browse/FIT-3930" TargetMode="External"/><Relationship Id="rId272" Type="http://schemas.openxmlformats.org/officeDocument/2006/relationships/hyperlink" Target="https://jira.central1.com/secure/ViewProfile.jspa?name=unassigned" TargetMode="External"/><Relationship Id="rId293" Type="http://schemas.openxmlformats.org/officeDocument/2006/relationships/hyperlink" Target="https://jira.central1.com/secure/ViewProfile.jspa?name=unassigned" TargetMode="External"/><Relationship Id="rId307" Type="http://schemas.openxmlformats.org/officeDocument/2006/relationships/hyperlink" Target="https://jira.central1.com/browse/FIT-10367" TargetMode="External"/><Relationship Id="rId88" Type="http://schemas.openxmlformats.org/officeDocument/2006/relationships/hyperlink" Target="https://jira.central1.com/browse/FIT-1841" TargetMode="External"/><Relationship Id="rId111" Type="http://schemas.openxmlformats.org/officeDocument/2006/relationships/hyperlink" Target="https://jira.central1.com/rest/api/1.0/issues/270865/ActionsAndOperations?atl_token=AHT6-MTMP-UBMO-MUYG_cd9c0f64329b81e62a74fcf0fe1854ac19d6211d_lin" TargetMode="External"/><Relationship Id="rId132" Type="http://schemas.openxmlformats.org/officeDocument/2006/relationships/hyperlink" Target="https://jira.central1.com/rest/api/1.0/issues/296823/ActionsAndOperations?atl_token=AHT6-MTMP-UBMO-MUYG_cd9c0f64329b81e62a74fcf0fe1854ac19d6211d_lin" TargetMode="External"/><Relationship Id="rId153" Type="http://schemas.openxmlformats.org/officeDocument/2006/relationships/hyperlink" Target="https://jira.central1.com/rest/api/1.0/issues/266522/ActionsAndOperations?atl_token=AHT6-MTMP-UBMO-MUYG_cd9c0f64329b81e62a74fcf0fe1854ac19d6211d_lin" TargetMode="External"/><Relationship Id="rId174" Type="http://schemas.openxmlformats.org/officeDocument/2006/relationships/hyperlink" Target="https://jira.central1.com/rest/api/1.0/issues/299550/ActionsAndOperations?atl_token=AHT6-MTMP-UBMO-MUYG_cd9c0f64329b81e62a74fcf0fe1854ac19d6211d_lin" TargetMode="External"/><Relationship Id="rId195" Type="http://schemas.openxmlformats.org/officeDocument/2006/relationships/hyperlink" Target="https://jira.central1.com/rest/api/1.0/issues/300037/ActionsAndOperations?atl_token=AHT6-MTMP-UBMO-MUYG_cd9c0f64329b81e62a74fcf0fe1854ac19d6211d_lin" TargetMode="External"/><Relationship Id="rId209" Type="http://schemas.openxmlformats.org/officeDocument/2006/relationships/hyperlink" Target="https://jira.central1.com/secure/ViewProfile.jspa?name=unassigned" TargetMode="External"/><Relationship Id="rId220" Type="http://schemas.openxmlformats.org/officeDocument/2006/relationships/hyperlink" Target="https://jira.central1.com/browse/FIT-14123" TargetMode="External"/><Relationship Id="rId241" Type="http://schemas.openxmlformats.org/officeDocument/2006/relationships/hyperlink" Target="https://jira.central1.com/browse/FIT-10289" TargetMode="External"/><Relationship Id="rId15" Type="http://schemas.openxmlformats.org/officeDocument/2006/relationships/hyperlink" Target="https://jira.central1.com/rest/api/1.0/issues/266482/ActionsAndOperations?atl_token=AHT6-MTMP-UBMO-MUYG_cd9c0f64329b81e62a74fcf0fe1854ac19d6211d_lin" TargetMode="External"/><Relationship Id="rId36" Type="http://schemas.openxmlformats.org/officeDocument/2006/relationships/hyperlink" Target="https://jira.central1.com/rest/api/1.0/issues/270550/ActionsAndOperations?atl_token=AHT6-MTMP-UBMO-MUYG_cd9c0f64329b81e62a74fcf0fe1854ac19d6211d_lin" TargetMode="External"/><Relationship Id="rId57" Type="http://schemas.openxmlformats.org/officeDocument/2006/relationships/hyperlink" Target="https://jira.central1.com/rest/api/1.0/issues/283011/ActionsAndOperations?atl_token=AHT6-MTMP-UBMO-MUYG_cd9c0f64329b81e62a74fcf0fe1854ac19d6211d_lin" TargetMode="External"/><Relationship Id="rId262" Type="http://schemas.openxmlformats.org/officeDocument/2006/relationships/hyperlink" Target="https://jira.central1.com/browse/FIT-11342" TargetMode="External"/><Relationship Id="rId283" Type="http://schemas.openxmlformats.org/officeDocument/2006/relationships/hyperlink" Target="https://jira.central1.com/browse/FIT-10359" TargetMode="External"/><Relationship Id="rId78" Type="http://schemas.openxmlformats.org/officeDocument/2006/relationships/hyperlink" Target="https://jira.central1.com/rest/api/1.0/issues/270872/ActionsAndOperations?atl_token=AHT6-MTMP-UBMO-MUYG_cd9c0f64329b81e62a74fcf0fe1854ac19d6211d_lin" TargetMode="External"/><Relationship Id="rId99" Type="http://schemas.openxmlformats.org/officeDocument/2006/relationships/hyperlink" Target="https://jira.central1.com/rest/api/1.0/issues/270851/ActionsAndOperations?atl_token=AHT6-MTMP-UBMO-MUYG_cd9c0f64329b81e62a74fcf0fe1854ac19d6211d_lin" TargetMode="External"/><Relationship Id="rId101" Type="http://schemas.openxmlformats.org/officeDocument/2006/relationships/hyperlink" Target="https://jira.central1.com/secure/ViewProfile.jspa?name=unassigned" TargetMode="External"/><Relationship Id="rId122" Type="http://schemas.openxmlformats.org/officeDocument/2006/relationships/hyperlink" Target="https://jira.central1.com/secure/ViewProfile.jspa?name=unassigned" TargetMode="External"/><Relationship Id="rId143" Type="http://schemas.openxmlformats.org/officeDocument/2006/relationships/hyperlink" Target="https://jira.central1.com/secure/ViewProfile.jspa?name=unassigned" TargetMode="External"/><Relationship Id="rId164" Type="http://schemas.openxmlformats.org/officeDocument/2006/relationships/hyperlink" Target="https://jira.central1.com/secure/ViewProfile.jspa?name=unassigned" TargetMode="External"/><Relationship Id="rId185" Type="http://schemas.openxmlformats.org/officeDocument/2006/relationships/hyperlink" Target="https://jira.central1.com/secure/ViewProfile.jspa?name=unassigned" TargetMode="External"/><Relationship Id="rId9" Type="http://schemas.openxmlformats.org/officeDocument/2006/relationships/hyperlink" Target="https://jira.central1.com/rest/api/1.0/issues/299545/ActionsAndOperations?atl_token=AHT6-MTMP-UBMO-MUYG_cd9c0f64329b81e62a74fcf0fe1854ac19d6211d_lin" TargetMode="External"/><Relationship Id="rId210" Type="http://schemas.openxmlformats.org/officeDocument/2006/relationships/hyperlink" Target="https://jira.central1.com/rest/api/1.0/issues/300071/ActionsAndOperations?atl_token=AHT6-MTMP-UBMO-MUYG_cd9c0f64329b81e62a74fcf0fe1854ac19d6211d_lin" TargetMode="External"/><Relationship Id="rId26" Type="http://schemas.openxmlformats.org/officeDocument/2006/relationships/hyperlink" Target="https://jira.central1.com/secure/ViewProfile.jspa?name=unassigned" TargetMode="External"/><Relationship Id="rId231" Type="http://schemas.openxmlformats.org/officeDocument/2006/relationships/hyperlink" Target="https://jira.central1.com/rest/api/1.0/issues/300298/ActionsAndOperations?atl_token=AHT6-MTMP-UBMO-MUYG_cd9c0f64329b81e62a74fcf0fe1854ac19d6211d_lin" TargetMode="External"/><Relationship Id="rId252" Type="http://schemas.openxmlformats.org/officeDocument/2006/relationships/hyperlink" Target="https://jira.central1.com/rest/api/1.0/issues/300314/ActionsAndOperations?atl_token=AHT6-MTMP-UBMO-MUYG_cd9c0f64329b81e62a74fcf0fe1854ac19d6211d_lin" TargetMode="External"/><Relationship Id="rId273" Type="http://schemas.openxmlformats.org/officeDocument/2006/relationships/hyperlink" Target="https://jira.central1.com/rest/api/1.0/issues/300319/ActionsAndOperations?atl_token=AHT6-MTMP-UBMO-MUYG_cd9c0f64329b81e62a74fcf0fe1854ac19d6211d_lin" TargetMode="External"/><Relationship Id="rId294" Type="http://schemas.openxmlformats.org/officeDocument/2006/relationships/hyperlink" Target="https://jira.central1.com/rest/api/1.0/issues/300326/ActionsAndOperations?atl_token=AHT6-MTMP-UBMO-MUYG_cd9c0f64329b81e62a74fcf0fe1854ac19d6211d_lin" TargetMode="External"/><Relationship Id="rId308" Type="http://schemas.openxmlformats.org/officeDocument/2006/relationships/hyperlink" Target="https://jira.central1.com/secure/ViewProfile.jspa?name=unassigned" TargetMode="External"/><Relationship Id="rId47" Type="http://schemas.openxmlformats.org/officeDocument/2006/relationships/hyperlink" Target="https://jira.central1.com/secure/ViewProfile.jspa?name=unassigned" TargetMode="External"/><Relationship Id="rId68" Type="http://schemas.openxmlformats.org/officeDocument/2006/relationships/hyperlink" Target="https://jira.central1.com/secure/ViewProfile.jspa?name=unassigned" TargetMode="External"/><Relationship Id="rId89" Type="http://schemas.openxmlformats.org/officeDocument/2006/relationships/hyperlink" Target="https://jira.central1.com/secure/ViewProfile.jspa?name=unassigned" TargetMode="External"/><Relationship Id="rId112" Type="http://schemas.openxmlformats.org/officeDocument/2006/relationships/hyperlink" Target="https://jira.central1.com/browse/FIT-1851" TargetMode="External"/><Relationship Id="rId133" Type="http://schemas.openxmlformats.org/officeDocument/2006/relationships/hyperlink" Target="https://jira.central1.com/browse/FIT-1858" TargetMode="External"/><Relationship Id="rId154" Type="http://schemas.openxmlformats.org/officeDocument/2006/relationships/hyperlink" Target="https://jira.central1.com/browse/FIT-1863" TargetMode="External"/><Relationship Id="rId175" Type="http://schemas.openxmlformats.org/officeDocument/2006/relationships/hyperlink" Target="https://jira.central1.com/browse/FIT-10229" TargetMode="External"/><Relationship Id="rId196" Type="http://schemas.openxmlformats.org/officeDocument/2006/relationships/hyperlink" Target="https://jira.central1.com/browse/FIT-10316" TargetMode="External"/><Relationship Id="rId200" Type="http://schemas.openxmlformats.org/officeDocument/2006/relationships/hyperlink" Target="https://jira.central1.com/secure/ViewProfile.jspa?name=unassigned" TargetMode="External"/><Relationship Id="rId16" Type="http://schemas.openxmlformats.org/officeDocument/2006/relationships/hyperlink" Target="https://jira.central1.com/browse/FIT-1800" TargetMode="External"/><Relationship Id="rId221" Type="http://schemas.openxmlformats.org/officeDocument/2006/relationships/hyperlink" Target="https://jira.central1.com/secure/ViewProfile.jspa?name=unassigned" TargetMode="External"/><Relationship Id="rId242" Type="http://schemas.openxmlformats.org/officeDocument/2006/relationships/hyperlink" Target="https://jira.central1.com/secure/ViewProfile.jspa?name=unassigned" TargetMode="External"/><Relationship Id="rId263" Type="http://schemas.openxmlformats.org/officeDocument/2006/relationships/hyperlink" Target="https://jira.central1.com/secure/ViewProfile.jspa?name=unassigned" TargetMode="External"/><Relationship Id="rId284" Type="http://schemas.openxmlformats.org/officeDocument/2006/relationships/hyperlink" Target="https://jira.central1.com/secure/ViewProfile.jspa?name=unassigned" TargetMode="External"/><Relationship Id="rId37" Type="http://schemas.openxmlformats.org/officeDocument/2006/relationships/hyperlink" Target="https://jira.central1.com/browse/FIT-1802" TargetMode="External"/><Relationship Id="rId58" Type="http://schemas.openxmlformats.org/officeDocument/2006/relationships/hyperlink" Target="https://jira.central1.com/browse/FIT-1840" TargetMode="External"/><Relationship Id="rId79" Type="http://schemas.openxmlformats.org/officeDocument/2006/relationships/hyperlink" Target="https://jira.central1.com/browse/FIT-3937" TargetMode="External"/><Relationship Id="rId102" Type="http://schemas.openxmlformats.org/officeDocument/2006/relationships/hyperlink" Target="https://jira.central1.com/rest/api/1.0/issues/270866/ActionsAndOperations?atl_token=AHT6-MTMP-UBMO-MUYG_cd9c0f64329b81e62a74fcf0fe1854ac19d6211d_lin" TargetMode="External"/><Relationship Id="rId123" Type="http://schemas.openxmlformats.org/officeDocument/2006/relationships/hyperlink" Target="https://jira.central1.com/rest/api/1.0/issues/270874/ActionsAndOperations?atl_token=AHT6-MTMP-UBMO-MUYG_cd9c0f64329b81e62a74fcf0fe1854ac19d6211d_lin" TargetMode="External"/><Relationship Id="rId144" Type="http://schemas.openxmlformats.org/officeDocument/2006/relationships/hyperlink" Target="https://jira.central1.com/rest/api/1.0/issues/270880/ActionsAndOperations?atl_token=AHT6-MTMP-UBMO-MUYG_cd9c0f64329b81e62a74fcf0fe1854ac19d6211d_lin" TargetMode="External"/><Relationship Id="rId90" Type="http://schemas.openxmlformats.org/officeDocument/2006/relationships/hyperlink" Target="https://jira.central1.com/rest/api/1.0/issues/270854/ActionsAndOperations?atl_token=AHT6-MTMP-UBMO-MUYG_cd9c0f64329b81e62a74fcf0fe1854ac19d6211d_lin" TargetMode="External"/><Relationship Id="rId165" Type="http://schemas.openxmlformats.org/officeDocument/2006/relationships/hyperlink" Target="https://jira.central1.com/rest/api/1.0/issues/270885/ActionsAndOperations?atl_token=AHT6-MTMP-UBMO-MUYG_cd9c0f64329b81e62a74fcf0fe1854ac19d6211d_lin" TargetMode="External"/><Relationship Id="rId186" Type="http://schemas.openxmlformats.org/officeDocument/2006/relationships/hyperlink" Target="https://jira.central1.com/rest/api/1.0/issues/299542/ActionsAndOperations?atl_token=AHT6-MTMP-UBMO-MUYG_cd9c0f64329b81e62a74fcf0fe1854ac19d6211d_lin" TargetMode="External"/><Relationship Id="rId211" Type="http://schemas.openxmlformats.org/officeDocument/2006/relationships/hyperlink" Target="https://jira.central1.com/browse/FIT-10321" TargetMode="External"/><Relationship Id="rId232" Type="http://schemas.openxmlformats.org/officeDocument/2006/relationships/hyperlink" Target="https://jira.central1.com/browse/FIT-10337" TargetMode="External"/><Relationship Id="rId253" Type="http://schemas.openxmlformats.org/officeDocument/2006/relationships/hyperlink" Target="https://jira.central1.com/browse/FIT-13815" TargetMode="External"/><Relationship Id="rId274" Type="http://schemas.openxmlformats.org/officeDocument/2006/relationships/hyperlink" Target="https://jira.central1.com/browse/FIT-10356" TargetMode="External"/><Relationship Id="rId295" Type="http://schemas.openxmlformats.org/officeDocument/2006/relationships/hyperlink" Target="https://jira.central1.com/browse/FIT-10363" TargetMode="External"/><Relationship Id="rId309" Type="http://schemas.openxmlformats.org/officeDocument/2006/relationships/hyperlink" Target="https://jira.central1.com/rest/api/1.0/issues/300331/ActionsAndOperations?atl_token=AHT6-MTMP-UBMO-MUYG_cd9c0f64329b81e62a74fcf0fe1854ac19d6211d_lin" TargetMode="External"/><Relationship Id="rId27" Type="http://schemas.openxmlformats.org/officeDocument/2006/relationships/hyperlink" Target="https://jira.central1.com/rest/api/1.0/issues/287242/ActionsAndOperations?atl_token=AHT6-MTMP-UBMO-MUYG_cd9c0f64329b81e62a74fcf0fe1854ac19d6211d_lin" TargetMode="External"/><Relationship Id="rId48" Type="http://schemas.openxmlformats.org/officeDocument/2006/relationships/hyperlink" Target="https://jira.central1.com/rest/api/1.0/issues/270849/ActionsAndOperations?atl_token=AHT6-MTMP-UBMO-MUYG_cd9c0f64329b81e62a74fcf0fe1854ac19d6211d_lin" TargetMode="External"/><Relationship Id="rId69" Type="http://schemas.openxmlformats.org/officeDocument/2006/relationships/hyperlink" Target="https://jira.central1.com/rest/api/1.0/issues/273967/ActionsAndOperations?atl_token=AHT6-MTMP-UBMO-MUYG_cd9c0f64329b81e62a74fcf0fe1854ac19d6211d_lin" TargetMode="External"/><Relationship Id="rId113" Type="http://schemas.openxmlformats.org/officeDocument/2006/relationships/hyperlink" Target="https://jira.central1.com/secure/ViewProfile.jspa?name=unassigned" TargetMode="External"/><Relationship Id="rId134" Type="http://schemas.openxmlformats.org/officeDocument/2006/relationships/hyperlink" Target="https://jira.central1.com/secure/ViewProfile.jspa?name=unassigned" TargetMode="External"/><Relationship Id="rId80" Type="http://schemas.openxmlformats.org/officeDocument/2006/relationships/hyperlink" Target="https://jira.central1.com/secure/ViewProfile.jspa?name=unassigned" TargetMode="External"/><Relationship Id="rId155" Type="http://schemas.openxmlformats.org/officeDocument/2006/relationships/hyperlink" Target="https://jira.central1.com/secure/ViewProfile.jspa?name=unassigned" TargetMode="External"/><Relationship Id="rId176" Type="http://schemas.openxmlformats.org/officeDocument/2006/relationships/hyperlink" Target="https://jira.central1.com/secure/ViewProfile.jspa?name=unassigned" TargetMode="External"/><Relationship Id="rId197" Type="http://schemas.openxmlformats.org/officeDocument/2006/relationships/hyperlink" Target="https://jira.central1.com/secure/ViewProfile.jspa?name=unassigned" TargetMode="External"/><Relationship Id="rId201" Type="http://schemas.openxmlformats.org/officeDocument/2006/relationships/hyperlink" Target="https://jira.central1.com/rest/api/1.0/issues/300069/ActionsAndOperations?atl_token=AHT6-MTMP-UBMO-MUYG_cd9c0f64329b81e62a74fcf0fe1854ac19d6211d_lin" TargetMode="External"/><Relationship Id="rId222" Type="http://schemas.openxmlformats.org/officeDocument/2006/relationships/hyperlink" Target="https://jira.central1.com/rest/api/1.0/issues/310486/ActionsAndOperations?atl_token=AHT6-MTMP-UBMO-MUYG_cd9c0f64329b81e62a74fcf0fe1854ac19d6211d_lin" TargetMode="External"/><Relationship Id="rId243" Type="http://schemas.openxmlformats.org/officeDocument/2006/relationships/hyperlink" Target="https://jira.central1.com/rest/api/1.0/issues/300028/ActionsAndOperations?atl_token=AHT6-MTMP-UBMO-MUYG_cd9c0f64329b81e62a74fcf0fe1854ac19d6211d_lin" TargetMode="External"/><Relationship Id="rId264" Type="http://schemas.openxmlformats.org/officeDocument/2006/relationships/hyperlink" Target="https://jira.central1.com/rest/api/1.0/issues/303488/ActionsAndOperations?atl_token=AHT6-MTMP-UBMO-MUYG_cd9c0f64329b81e62a74fcf0fe1854ac19d6211d_lin" TargetMode="External"/><Relationship Id="rId285" Type="http://schemas.openxmlformats.org/officeDocument/2006/relationships/hyperlink" Target="https://jira.central1.com/rest/api/1.0/issues/300323/ActionsAndOperations?atl_token=AHT6-MTMP-UBMO-MUYG_cd9c0f64329b81e62a74fcf0fe1854ac19d6211d_lin" TargetMode="External"/><Relationship Id="rId17" Type="http://schemas.openxmlformats.org/officeDocument/2006/relationships/hyperlink" Target="https://jira.central1.com/secure/ViewProfile.jspa?name=unassigned" TargetMode="External"/><Relationship Id="rId38" Type="http://schemas.openxmlformats.org/officeDocument/2006/relationships/hyperlink" Target="https://jira.central1.com/secure/ViewProfile.jspa?name=unassigned" TargetMode="External"/><Relationship Id="rId59" Type="http://schemas.openxmlformats.org/officeDocument/2006/relationships/hyperlink" Target="https://jira.central1.com/secure/ViewProfile.jspa?name=unassigned" TargetMode="External"/><Relationship Id="rId103" Type="http://schemas.openxmlformats.org/officeDocument/2006/relationships/hyperlink" Target="https://jira.central1.com/browse/FIT-1842" TargetMode="External"/><Relationship Id="rId124" Type="http://schemas.openxmlformats.org/officeDocument/2006/relationships/hyperlink" Target="https://jira.central1.com/browse/FIT-1855" TargetMode="External"/><Relationship Id="rId310" Type="http://schemas.openxmlformats.org/officeDocument/2006/relationships/hyperlink" Target="https://jira.central1.com/browse/FIT-10368" TargetMode="External"/><Relationship Id="rId70" Type="http://schemas.openxmlformats.org/officeDocument/2006/relationships/hyperlink" Target="https://jira.central1.com/browse/FIT-1844" TargetMode="External"/><Relationship Id="rId91" Type="http://schemas.openxmlformats.org/officeDocument/2006/relationships/hyperlink" Target="https://jira.central1.com/browse/FIT-1016" TargetMode="External"/><Relationship Id="rId145" Type="http://schemas.openxmlformats.org/officeDocument/2006/relationships/hyperlink" Target="https://jira.central1.com/browse/FIT-1857" TargetMode="External"/><Relationship Id="rId166" Type="http://schemas.openxmlformats.org/officeDocument/2006/relationships/hyperlink" Target="https://jira.central1.com/browse/FIT-1866" TargetMode="External"/><Relationship Id="rId187" Type="http://schemas.openxmlformats.org/officeDocument/2006/relationships/hyperlink" Target="https://jira.central1.com/browse/FIT-10261" TargetMode="External"/><Relationship Id="rId1" Type="http://schemas.openxmlformats.org/officeDocument/2006/relationships/hyperlink" Target="https://jira.central1.com/browse/FIT-1001" TargetMode="External"/><Relationship Id="rId212" Type="http://schemas.openxmlformats.org/officeDocument/2006/relationships/hyperlink" Target="https://jira.central1.com/secure/ViewProfile.jspa?name=unassigned" TargetMode="External"/><Relationship Id="rId233" Type="http://schemas.openxmlformats.org/officeDocument/2006/relationships/hyperlink" Target="https://jira.central1.com/secure/ViewProfile.jspa?name=unassigned" TargetMode="External"/><Relationship Id="rId254" Type="http://schemas.openxmlformats.org/officeDocument/2006/relationships/hyperlink" Target="https://jira.central1.com/secure/ViewProfile.jspa?name=afadl" TargetMode="External"/><Relationship Id="rId28" Type="http://schemas.openxmlformats.org/officeDocument/2006/relationships/hyperlink" Target="https://jira.central1.com/browse/FIT-14954" TargetMode="External"/><Relationship Id="rId49" Type="http://schemas.openxmlformats.org/officeDocument/2006/relationships/hyperlink" Target="https://jira.central1.com/browse/FIT-2303" TargetMode="External"/><Relationship Id="rId114" Type="http://schemas.openxmlformats.org/officeDocument/2006/relationships/hyperlink" Target="https://jira.central1.com/rest/api/1.0/issues/270871/ActionsAndOperations?atl_token=AHT6-MTMP-UBMO-MUYG_cd9c0f64329b81e62a74fcf0fe1854ac19d6211d_lin" TargetMode="External"/><Relationship Id="rId275" Type="http://schemas.openxmlformats.org/officeDocument/2006/relationships/hyperlink" Target="https://jira.central1.com/secure/ViewProfile.jspa?name=unassigned" TargetMode="External"/><Relationship Id="rId296" Type="http://schemas.openxmlformats.org/officeDocument/2006/relationships/hyperlink" Target="https://jira.central1.com/secure/ViewProfile.jspa?name=unassigned" TargetMode="External"/><Relationship Id="rId300" Type="http://schemas.openxmlformats.org/officeDocument/2006/relationships/hyperlink" Target="https://jira.central1.com/rest/api/1.0/issues/300321/ActionsAndOperations?atl_token=AHT6-MTMP-UBMO-MUYG_cd9c0f64329b81e62a74fcf0fe1854ac19d6211d_lin" TargetMode="External"/><Relationship Id="rId60" Type="http://schemas.openxmlformats.org/officeDocument/2006/relationships/hyperlink" Target="https://jira.central1.com/rest/api/1.0/issues/270853/ActionsAndOperations?atl_token=AHT6-MTMP-UBMO-MUYG_cd9c0f64329b81e62a74fcf0fe1854ac19d6211d_lin" TargetMode="External"/><Relationship Id="rId81" Type="http://schemas.openxmlformats.org/officeDocument/2006/relationships/hyperlink" Target="https://jira.central1.com/rest/api/1.0/issues/274001/ActionsAndOperations?atl_token=AHT6-MTMP-UBMO-MUYG_cd9c0f64329b81e62a74fcf0fe1854ac19d6211d_lin" TargetMode="External"/><Relationship Id="rId135" Type="http://schemas.openxmlformats.org/officeDocument/2006/relationships/hyperlink" Target="https://jira.central1.com/rest/api/1.0/issues/270878/ActionsAndOperations?atl_token=AHT6-MTMP-UBMO-MUYG_cd9c0f64329b81e62a74fcf0fe1854ac19d6211d_lin" TargetMode="External"/><Relationship Id="rId156" Type="http://schemas.openxmlformats.org/officeDocument/2006/relationships/hyperlink" Target="https://jira.central1.com/rest/api/1.0/issues/270883/ActionsAndOperations?atl_token=AHT6-MTMP-UBMO-MUYG_cd9c0f64329b81e62a74fcf0fe1854ac19d6211d_lin" TargetMode="External"/><Relationship Id="rId177" Type="http://schemas.openxmlformats.org/officeDocument/2006/relationships/hyperlink" Target="https://jira.central1.com/rest/api/1.0/issues/299296/ActionsAndOperations?atl_token=AHT6-MTMP-UBMO-MUYG_cd9c0f64329b81e62a74fcf0fe1854ac19d6211d_lin" TargetMode="External"/><Relationship Id="rId198" Type="http://schemas.openxmlformats.org/officeDocument/2006/relationships/hyperlink" Target="https://jira.central1.com/rest/api/1.0/issues/300067/ActionsAndOperations?atl_token=AHT6-MTMP-UBMO-MUYG_cd9c0f64329b81e62a74fcf0fe1854ac19d6211d_lin" TargetMode="External"/><Relationship Id="rId202" Type="http://schemas.openxmlformats.org/officeDocument/2006/relationships/hyperlink" Target="https://jira.central1.com/browse/FIT-13566" TargetMode="External"/><Relationship Id="rId223" Type="http://schemas.openxmlformats.org/officeDocument/2006/relationships/hyperlink" Target="https://jira.central1.com/browse/FIT-10323" TargetMode="External"/><Relationship Id="rId244" Type="http://schemas.openxmlformats.org/officeDocument/2006/relationships/hyperlink" Target="https://jira.central1.com/browse/FIT-10348" TargetMode="External"/><Relationship Id="rId18" Type="http://schemas.openxmlformats.org/officeDocument/2006/relationships/hyperlink" Target="https://jira.central1.com/rest/api/1.0/issues/270549/ActionsAndOperations?atl_token=AHT6-MTMP-UBMO-MUYG_cd9c0f64329b81e62a74fcf0fe1854ac19d6211d_lin" TargetMode="External"/><Relationship Id="rId39" Type="http://schemas.openxmlformats.org/officeDocument/2006/relationships/hyperlink" Target="https://jira.central1.com/rest/api/1.0/issues/270551/ActionsAndOperations?atl_token=AHT6-MTMP-UBMO-MUYG_cd9c0f64329b81e62a74fcf0fe1854ac19d6211d_lin" TargetMode="External"/><Relationship Id="rId265" Type="http://schemas.openxmlformats.org/officeDocument/2006/relationships/hyperlink" Target="https://jira.central1.com/browse/FIT-10397" TargetMode="External"/><Relationship Id="rId286" Type="http://schemas.openxmlformats.org/officeDocument/2006/relationships/hyperlink" Target="https://jira.central1.com/browse/FIT-10360" TargetMode="External"/><Relationship Id="rId50" Type="http://schemas.openxmlformats.org/officeDocument/2006/relationships/hyperlink" Target="https://jira.central1.com/secure/ViewProfile.jspa?name=unassigned" TargetMode="External"/><Relationship Id="rId104" Type="http://schemas.openxmlformats.org/officeDocument/2006/relationships/hyperlink" Target="https://jira.central1.com/secure/ViewProfile.jspa?name=unassigned" TargetMode="External"/><Relationship Id="rId125" Type="http://schemas.openxmlformats.org/officeDocument/2006/relationships/hyperlink" Target="https://jira.central1.com/secure/ViewProfile.jspa?name=unassigned" TargetMode="External"/><Relationship Id="rId146" Type="http://schemas.openxmlformats.org/officeDocument/2006/relationships/hyperlink" Target="https://jira.central1.com/secure/ViewProfile.jspa?name=unassigned" TargetMode="External"/><Relationship Id="rId167" Type="http://schemas.openxmlformats.org/officeDocument/2006/relationships/hyperlink" Target="https://jira.central1.com/secure/ViewProfile.jspa?name=unassigned" TargetMode="External"/><Relationship Id="rId188" Type="http://schemas.openxmlformats.org/officeDocument/2006/relationships/hyperlink" Target="https://jira.central1.com/secure/ViewProfile.jspa?name=unassigned" TargetMode="External"/><Relationship Id="rId311" Type="http://schemas.openxmlformats.org/officeDocument/2006/relationships/hyperlink" Target="https://jira.central1.com/secure/ViewProfile.jspa?name=unassigned" TargetMode="External"/><Relationship Id="rId71" Type="http://schemas.openxmlformats.org/officeDocument/2006/relationships/hyperlink" Target="https://jira.central1.com/secure/ViewProfile.jspa?name=unassigned" TargetMode="External"/><Relationship Id="rId92" Type="http://schemas.openxmlformats.org/officeDocument/2006/relationships/hyperlink" Target="https://jira.central1.com/secure/ViewProfile.jspa?name=unassigned" TargetMode="External"/><Relationship Id="rId213" Type="http://schemas.openxmlformats.org/officeDocument/2006/relationships/hyperlink" Target="https://jira.central1.com/rest/api/1.0/issues/300089/ActionsAndOperations?atl_token=AHT6-MTMP-UBMO-MUYG_cd9c0f64329b81e62a74fcf0fe1854ac19d6211d_lin" TargetMode="External"/><Relationship Id="rId234" Type="http://schemas.openxmlformats.org/officeDocument/2006/relationships/hyperlink" Target="https://jira.central1.com/rest/api/1.0/issues/300296/ActionsAndOperations?atl_token=AHT6-MTMP-UBMO-MUYG_cd9c0f64329b81e62a74fcf0fe1854ac19d6211d_lin" TargetMode="External"/><Relationship Id="rId2" Type="http://schemas.openxmlformats.org/officeDocument/2006/relationships/hyperlink" Target="https://jira.central1.com/secure/ViewProfile.jspa?name=unassigned" TargetMode="External"/><Relationship Id="rId29" Type="http://schemas.openxmlformats.org/officeDocument/2006/relationships/hyperlink" Target="https://jira.central1.com/secure/ViewProfile.jspa?name=christina.chan" TargetMode="External"/><Relationship Id="rId255" Type="http://schemas.openxmlformats.org/officeDocument/2006/relationships/hyperlink" Target="https://jira.central1.com/rest/api/1.0/issues/309461/ActionsAndOperations?atl_token=AHT6-MTMP-UBMO-MUYG_cd9c0f64329b81e62a74fcf0fe1854ac19d6211d_lin" TargetMode="External"/><Relationship Id="rId276" Type="http://schemas.openxmlformats.org/officeDocument/2006/relationships/hyperlink" Target="https://jira.central1.com/rest/api/1.0/issues/300320/ActionsAndOperations?atl_token=AHT6-MTMP-UBMO-MUYG_cd9c0f64329b81e62a74fcf0fe1854ac19d6211d_lin" TargetMode="External"/><Relationship Id="rId297" Type="http://schemas.openxmlformats.org/officeDocument/2006/relationships/hyperlink" Target="https://jira.central1.com/rest/api/1.0/issues/300327/ActionsAndOperations?atl_token=AHT6-MTMP-UBMO-MUYG_cd9c0f64329b81e62a74fcf0fe1854ac19d6211d_lin" TargetMode="External"/><Relationship Id="rId40" Type="http://schemas.openxmlformats.org/officeDocument/2006/relationships/hyperlink" Target="https://jira.central1.com/browse/FIT-1007" TargetMode="External"/><Relationship Id="rId115" Type="http://schemas.openxmlformats.org/officeDocument/2006/relationships/hyperlink" Target="https://jira.central1.com/browse/FIT-1030" TargetMode="External"/><Relationship Id="rId136" Type="http://schemas.openxmlformats.org/officeDocument/2006/relationships/hyperlink" Target="https://jira.central1.com/browse/FIT-14124" TargetMode="External"/><Relationship Id="rId157" Type="http://schemas.openxmlformats.org/officeDocument/2006/relationships/hyperlink" Target="https://jira.central1.com/browse/FIT-1864" TargetMode="External"/><Relationship Id="rId178" Type="http://schemas.openxmlformats.org/officeDocument/2006/relationships/hyperlink" Target="https://jira.central1.com/browse/FIT-13411" TargetMode="External"/><Relationship Id="rId301" Type="http://schemas.openxmlformats.org/officeDocument/2006/relationships/hyperlink" Target="https://jira.central1.com/browse/FIT-10358" TargetMode="External"/><Relationship Id="rId61" Type="http://schemas.openxmlformats.org/officeDocument/2006/relationships/hyperlink" Target="https://jira.central1.com/browse/FIT-14122" TargetMode="External"/><Relationship Id="rId82" Type="http://schemas.openxmlformats.org/officeDocument/2006/relationships/hyperlink" Target="https://jira.central1.com/browse/FIT-1859" TargetMode="External"/><Relationship Id="rId199" Type="http://schemas.openxmlformats.org/officeDocument/2006/relationships/hyperlink" Target="https://jira.central1.com/browse/FIT-10317" TargetMode="External"/><Relationship Id="rId203" Type="http://schemas.openxmlformats.org/officeDocument/2006/relationships/hyperlink" Target="https://jira.central1.com/secure/ViewProfile.jspa?name=ciara.whelan" TargetMode="External"/><Relationship Id="rId19" Type="http://schemas.openxmlformats.org/officeDocument/2006/relationships/hyperlink" Target="https://jira.central1.com/browse/FIT-1164" TargetMode="External"/><Relationship Id="rId224" Type="http://schemas.openxmlformats.org/officeDocument/2006/relationships/hyperlink" Target="https://jira.central1.com/secure/ViewProfile.jspa?name=unassigned" TargetMode="External"/><Relationship Id="rId245" Type="http://schemas.openxmlformats.org/officeDocument/2006/relationships/hyperlink" Target="https://jira.central1.com/secure/ViewProfile.jspa?name=unassigned" TargetMode="External"/><Relationship Id="rId266" Type="http://schemas.openxmlformats.org/officeDocument/2006/relationships/hyperlink" Target="https://jira.central1.com/secure/ViewProfile.jspa?name=unassigned" TargetMode="External"/><Relationship Id="rId287" Type="http://schemas.openxmlformats.org/officeDocument/2006/relationships/hyperlink" Target="https://jira.central1.com/secure/ViewProfile.jspa?name=unassigned" TargetMode="External"/><Relationship Id="rId30" Type="http://schemas.openxmlformats.org/officeDocument/2006/relationships/hyperlink" Target="https://jira.central1.com/rest/api/1.0/issues/314800/ActionsAndOperations?atl_token=AHT6-MTMP-UBMO-MUYG_cd9c0f64329b81e62a74fcf0fe1854ac19d6211d_lin" TargetMode="External"/><Relationship Id="rId105" Type="http://schemas.openxmlformats.org/officeDocument/2006/relationships/hyperlink" Target="https://jira.central1.com/rest/api/1.0/issues/270858/ActionsAndOperations?atl_token=AHT6-MTMP-UBMO-MUYG_cd9c0f64329b81e62a74fcf0fe1854ac19d6211d_lin" TargetMode="External"/><Relationship Id="rId126" Type="http://schemas.openxmlformats.org/officeDocument/2006/relationships/hyperlink" Target="https://jira.central1.com/rest/api/1.0/issues/270875/ActionsAndOperations?atl_token=AHT6-MTMP-UBMO-MUYG_cd9c0f64329b81e62a74fcf0fe1854ac19d6211d_lin" TargetMode="External"/><Relationship Id="rId147" Type="http://schemas.openxmlformats.org/officeDocument/2006/relationships/hyperlink" Target="https://jira.central1.com/rest/api/1.0/issues/270877/ActionsAndOperations?atl_token=AHT6-MTMP-UBMO-MUYG_cd9c0f64329b81e62a74fcf0fe1854ac19d6211d_lin" TargetMode="External"/><Relationship Id="rId168" Type="http://schemas.openxmlformats.org/officeDocument/2006/relationships/hyperlink" Target="https://jira.central1.com/rest/api/1.0/issues/270886/ActionsAndOperations?atl_token=AHT6-MTMP-UBMO-MUYG_cd9c0f64329b81e62a74fcf0fe1854ac19d6211d_lin" TargetMode="External"/><Relationship Id="rId312" Type="http://schemas.openxmlformats.org/officeDocument/2006/relationships/drawing" Target="../drawings/drawing4.xml"/><Relationship Id="rId51" Type="http://schemas.openxmlformats.org/officeDocument/2006/relationships/hyperlink" Target="https://jira.central1.com/rest/api/1.0/issues/272012/ActionsAndOperations?atl_token=AHT6-MTMP-UBMO-MUYG_cd9c0f64329b81e62a74fcf0fe1854ac19d6211d_lin" TargetMode="External"/><Relationship Id="rId72" Type="http://schemas.openxmlformats.org/officeDocument/2006/relationships/hyperlink" Target="https://jira.central1.com/rest/api/1.0/issues/270860/ActionsAndOperations?atl_token=AHT6-MTMP-UBMO-MUYG_cd9c0f64329b81e62a74fcf0fe1854ac19d6211d_lin" TargetMode="External"/><Relationship Id="rId93" Type="http://schemas.openxmlformats.org/officeDocument/2006/relationships/hyperlink" Target="https://jira.central1.com/rest/api/1.0/issues/266495/ActionsAndOperations?atl_token=AHT6-MTMP-UBMO-MUYG_cd9c0f64329b81e62a74fcf0fe1854ac19d6211d_lin" TargetMode="External"/><Relationship Id="rId189" Type="http://schemas.openxmlformats.org/officeDocument/2006/relationships/hyperlink" Target="https://jira.central1.com/rest/api/1.0/issues/299544/ActionsAndOperations?atl_token=AHT6-MTMP-UBMO-MUYG_cd9c0f64329b81e62a74fcf0fe1854ac19d6211d_lin" TargetMode="External"/><Relationship Id="rId3" Type="http://schemas.openxmlformats.org/officeDocument/2006/relationships/hyperlink" Target="https://jira.central1.com/rest/api/1.0/issues/266478/ActionsAndOperations?atl_token=AHT6-MTMP-UBMO-MUYG_cd9c0f64329b81e62a74fcf0fe1854ac19d6211d_lin" TargetMode="External"/><Relationship Id="rId214" Type="http://schemas.openxmlformats.org/officeDocument/2006/relationships/hyperlink" Target="https://jira.central1.com/browse/FIT-10320" TargetMode="External"/><Relationship Id="rId235" Type="http://schemas.openxmlformats.org/officeDocument/2006/relationships/hyperlink" Target="https://jira.central1.com/browse/FIT-10324" TargetMode="External"/><Relationship Id="rId256" Type="http://schemas.openxmlformats.org/officeDocument/2006/relationships/hyperlink" Target="https://jira.central1.com/browse/FIT-10351" TargetMode="External"/><Relationship Id="rId277" Type="http://schemas.openxmlformats.org/officeDocument/2006/relationships/hyperlink" Target="https://jira.central1.com/browse/FIT-10364" TargetMode="External"/><Relationship Id="rId298" Type="http://schemas.openxmlformats.org/officeDocument/2006/relationships/hyperlink" Target="https://jira.central1.com/browse/FIT-10357" TargetMode="External"/><Relationship Id="rId116" Type="http://schemas.openxmlformats.org/officeDocument/2006/relationships/hyperlink" Target="https://jira.central1.com/secure/ViewProfile.jspa?name=unassigned" TargetMode="External"/><Relationship Id="rId137" Type="http://schemas.openxmlformats.org/officeDocument/2006/relationships/hyperlink" Target="https://jira.central1.com/secure/ViewProfile.jspa?name=unassigned" TargetMode="External"/><Relationship Id="rId158" Type="http://schemas.openxmlformats.org/officeDocument/2006/relationships/hyperlink" Target="https://jira.central1.com/secure/ViewProfile.jspa?name=unassigned" TargetMode="External"/><Relationship Id="rId302" Type="http://schemas.openxmlformats.org/officeDocument/2006/relationships/hyperlink" Target="https://jira.central1.com/secure/ViewProfile.jspa?name=unassigned" TargetMode="External"/><Relationship Id="rId20" Type="http://schemas.openxmlformats.org/officeDocument/2006/relationships/hyperlink" Target="https://jira.central1.com/secure/ViewProfile.jspa?name=unassigned" TargetMode="External"/><Relationship Id="rId41" Type="http://schemas.openxmlformats.org/officeDocument/2006/relationships/hyperlink" Target="https://jira.central1.com/secure/ViewProfile.jspa?name=unassigned" TargetMode="External"/><Relationship Id="rId62" Type="http://schemas.openxmlformats.org/officeDocument/2006/relationships/hyperlink" Target="https://jira.central1.com/secure/ViewProfile.jspa?name=unassigned" TargetMode="External"/><Relationship Id="rId83" Type="http://schemas.openxmlformats.org/officeDocument/2006/relationships/hyperlink" Target="https://jira.central1.com/secure/ViewProfile.jspa?name=unassigned" TargetMode="External"/><Relationship Id="rId179" Type="http://schemas.openxmlformats.org/officeDocument/2006/relationships/hyperlink" Target="https://jira.central1.com/secure/ViewProfile.jspa?name=unassigned" TargetMode="External"/><Relationship Id="rId190" Type="http://schemas.openxmlformats.org/officeDocument/2006/relationships/hyperlink" Target="https://jira.central1.com/browse/FIT-10290" TargetMode="External"/><Relationship Id="rId204" Type="http://schemas.openxmlformats.org/officeDocument/2006/relationships/hyperlink" Target="https://jira.central1.com/rest/api/1.0/issues/309008/ActionsAndOperations?atl_token=AHT6-MTMP-UBMO-MUYG_cd9c0f64329b81e62a74fcf0fe1854ac19d6211d_lin" TargetMode="External"/><Relationship Id="rId225" Type="http://schemas.openxmlformats.org/officeDocument/2006/relationships/hyperlink" Target="https://jira.central1.com/rest/api/1.0/issues/300093/ActionsAndOperations?atl_token=AHT6-MTMP-UBMO-MUYG_cd9c0f64329b81e62a74fcf0fe1854ac19d6211d_lin" TargetMode="External"/><Relationship Id="rId246" Type="http://schemas.openxmlformats.org/officeDocument/2006/relationships/hyperlink" Target="https://jira.central1.com/rest/api/1.0/issues/300312/ActionsAndOperations?atl_token=AHT6-MTMP-UBMO-MUYG_cd9c0f64329b81e62a74fcf0fe1854ac19d6211d_lin" TargetMode="External"/><Relationship Id="rId267" Type="http://schemas.openxmlformats.org/officeDocument/2006/relationships/hyperlink" Target="https://jira.central1.com/rest/api/1.0/issues/300529/ActionsAndOperations?atl_token=AHT6-MTMP-UBMO-MUYG_cd9c0f64329b81e62a74fcf0fe1854ac19d6211d_lin" TargetMode="External"/><Relationship Id="rId288" Type="http://schemas.openxmlformats.org/officeDocument/2006/relationships/hyperlink" Target="https://jira.central1.com/rest/api/1.0/issues/300324/ActionsAndOperations?atl_token=AHT6-MTMP-UBMO-MUYG_cd9c0f64329b81e62a74fcf0fe1854ac19d6211d_lin" TargetMode="External"/><Relationship Id="rId106" Type="http://schemas.openxmlformats.org/officeDocument/2006/relationships/hyperlink" Target="https://jira.central1.com/browse/FIT-1843" TargetMode="External"/><Relationship Id="rId127" Type="http://schemas.openxmlformats.org/officeDocument/2006/relationships/hyperlink" Target="https://jira.central1.com/browse/FIT-1032" TargetMode="External"/><Relationship Id="rId10" Type="http://schemas.openxmlformats.org/officeDocument/2006/relationships/hyperlink" Target="https://jira.central1.com/browse/FIT-1003" TargetMode="External"/><Relationship Id="rId31" Type="http://schemas.openxmlformats.org/officeDocument/2006/relationships/hyperlink" Target="https://jira.central1.com/browse/FIT-1010" TargetMode="External"/><Relationship Id="rId52" Type="http://schemas.openxmlformats.org/officeDocument/2006/relationships/hyperlink" Target="https://jira.central1.com/browse/FIT-1837" TargetMode="External"/><Relationship Id="rId73" Type="http://schemas.openxmlformats.org/officeDocument/2006/relationships/hyperlink" Target="https://jira.central1.com/browse/FIT-3936" TargetMode="External"/><Relationship Id="rId94" Type="http://schemas.openxmlformats.org/officeDocument/2006/relationships/hyperlink" Target="https://jira.central1.com/browse/FIT-1017" TargetMode="External"/><Relationship Id="rId148" Type="http://schemas.openxmlformats.org/officeDocument/2006/relationships/hyperlink" Target="https://jira.central1.com/browse/FIT-1867" TargetMode="External"/><Relationship Id="rId169" Type="http://schemas.openxmlformats.org/officeDocument/2006/relationships/hyperlink" Target="https://jira.central1.com/browse/FIT-1037" TargetMode="External"/><Relationship Id="rId4" Type="http://schemas.openxmlformats.org/officeDocument/2006/relationships/hyperlink" Target="https://jira.central1.com/browse/FIT-1835" TargetMode="External"/><Relationship Id="rId180" Type="http://schemas.openxmlformats.org/officeDocument/2006/relationships/hyperlink" Target="https://jira.central1.com/rest/api/1.0/issues/308393/ActionsAndOperations?atl_token=AHT6-MTMP-UBMO-MUYG_cd9c0f64329b81e62a74fcf0fe1854ac19d6211d_lin" TargetMode="External"/><Relationship Id="rId215" Type="http://schemas.openxmlformats.org/officeDocument/2006/relationships/hyperlink" Target="https://jira.central1.com/secure/ViewProfile.jspa?name=unassigned" TargetMode="External"/><Relationship Id="rId236" Type="http://schemas.openxmlformats.org/officeDocument/2006/relationships/hyperlink" Target="https://jira.central1.com/secure/ViewProfile.jspa?name=unassigned" TargetMode="External"/><Relationship Id="rId257" Type="http://schemas.openxmlformats.org/officeDocument/2006/relationships/hyperlink" Target="https://jira.central1.com/secure/ViewProfile.jspa?name=unassigned" TargetMode="External"/><Relationship Id="rId278" Type="http://schemas.openxmlformats.org/officeDocument/2006/relationships/hyperlink" Target="https://jira.central1.com/secure/ViewProfile.jspa?name=unassigned" TargetMode="External"/><Relationship Id="rId303" Type="http://schemas.openxmlformats.org/officeDocument/2006/relationships/hyperlink" Target="https://jira.central1.com/rest/api/1.0/issues/300322/ActionsAndOperations?atl_token=AHT6-MTMP-UBMO-MUYG_cd9c0f64329b81e62a74fcf0fe1854ac19d6211d_lin" TargetMode="External"/><Relationship Id="rId42" Type="http://schemas.openxmlformats.org/officeDocument/2006/relationships/hyperlink" Target="https://jira.central1.com/rest/api/1.0/issues/266484/ActionsAndOperations?atl_token=AHT6-MTMP-UBMO-MUYG_cd9c0f64329b81e62a74fcf0fe1854ac19d6211d_lin" TargetMode="External"/><Relationship Id="rId84" Type="http://schemas.openxmlformats.org/officeDocument/2006/relationships/hyperlink" Target="https://jira.central1.com/rest/api/1.0/issues/270879/ActionsAndOperations?atl_token=AHT6-MTMP-UBMO-MUYG_cd9c0f64329b81e62a74fcf0fe1854ac19d6211d_lin" TargetMode="External"/><Relationship Id="rId138" Type="http://schemas.openxmlformats.org/officeDocument/2006/relationships/hyperlink" Target="https://jira.central1.com/rest/api/1.0/issues/310487/ActionsAndOperations?atl_token=AHT6-MTMP-UBMO-MUYG_cd9c0f64329b81e62a74fcf0fe1854ac19d6211d_lin" TargetMode="External"/><Relationship Id="rId191" Type="http://schemas.openxmlformats.org/officeDocument/2006/relationships/hyperlink" Target="https://jira.central1.com/secure/ViewProfile.jspa?name=unassigned" TargetMode="External"/><Relationship Id="rId205" Type="http://schemas.openxmlformats.org/officeDocument/2006/relationships/hyperlink" Target="https://jira.central1.com/browse/FIT-10318" TargetMode="External"/><Relationship Id="rId247" Type="http://schemas.openxmlformats.org/officeDocument/2006/relationships/hyperlink" Target="https://jira.central1.com/browse/FIT-10349" TargetMode="External"/><Relationship Id="rId107" Type="http://schemas.openxmlformats.org/officeDocument/2006/relationships/hyperlink" Target="https://jira.central1.com/secure/ViewProfile.jspa?name=unassigned" TargetMode="External"/><Relationship Id="rId289" Type="http://schemas.openxmlformats.org/officeDocument/2006/relationships/hyperlink" Target="https://jira.central1.com/browse/FIT-10398" TargetMode="External"/><Relationship Id="rId11" Type="http://schemas.openxmlformats.org/officeDocument/2006/relationships/hyperlink" Target="https://jira.central1.com/secure/ViewProfile.jspa?name=unassigned" TargetMode="External"/><Relationship Id="rId53" Type="http://schemas.openxmlformats.org/officeDocument/2006/relationships/hyperlink" Target="https://jira.central1.com/secure/ViewProfile.jspa?name=unassigned" TargetMode="External"/><Relationship Id="rId149" Type="http://schemas.openxmlformats.org/officeDocument/2006/relationships/hyperlink" Target="https://jira.central1.com/secure/ViewProfile.jspa?name=unassigned" TargetMode="External"/><Relationship Id="rId95" Type="http://schemas.openxmlformats.org/officeDocument/2006/relationships/hyperlink" Target="https://jira.central1.com/secure/ViewProfile.jspa?name=unassigned" TargetMode="External"/><Relationship Id="rId160" Type="http://schemas.openxmlformats.org/officeDocument/2006/relationships/hyperlink" Target="https://jira.central1.com/browse/FIT-1036" TargetMode="External"/><Relationship Id="rId216" Type="http://schemas.openxmlformats.org/officeDocument/2006/relationships/hyperlink" Target="https://jira.central1.com/rest/api/1.0/issues/300072/ActionsAndOperations?atl_token=AHT6-MTMP-UBMO-MUYG_cd9c0f64329b81e62a74fcf0fe1854ac19d6211d_lin" TargetMode="External"/><Relationship Id="rId258" Type="http://schemas.openxmlformats.org/officeDocument/2006/relationships/hyperlink" Target="https://jira.central1.com/rest/api/1.0/issues/300315/ActionsAndOperations?atl_token=AHT6-MTMP-UBMO-MUYG_cd9c0f64329b81e62a74fcf0fe1854ac19d6211d_lin" TargetMode="External"/><Relationship Id="rId22" Type="http://schemas.openxmlformats.org/officeDocument/2006/relationships/hyperlink" Target="https://jira.central1.com/browse/FIT-1320" TargetMode="External"/><Relationship Id="rId64" Type="http://schemas.openxmlformats.org/officeDocument/2006/relationships/hyperlink" Target="https://jira.central1.com/browse/FIT-10265" TargetMode="External"/><Relationship Id="rId118" Type="http://schemas.openxmlformats.org/officeDocument/2006/relationships/hyperlink" Target="https://jira.central1.com/browse/FIT-1853" TargetMode="External"/><Relationship Id="rId171" Type="http://schemas.openxmlformats.org/officeDocument/2006/relationships/hyperlink" Target="https://jira.central1.com/rest/api/1.0/issues/266524/ActionsAndOperations?atl_token=AHT6-MTMP-UBMO-MUYG_cd9c0f64329b81e62a74fcf0fe1854ac19d6211d_lin" TargetMode="External"/><Relationship Id="rId227" Type="http://schemas.openxmlformats.org/officeDocument/2006/relationships/hyperlink" Target="https://jira.central1.com/secure/ViewProfile.jspa?name=unassigned" TargetMode="External"/><Relationship Id="rId269" Type="http://schemas.openxmlformats.org/officeDocument/2006/relationships/hyperlink" Target="https://jira.central1.com/secure/ViewProfile.jspa?name=unassigned" TargetMode="External"/><Relationship Id="rId33" Type="http://schemas.openxmlformats.org/officeDocument/2006/relationships/hyperlink" Target="https://jira.central1.com/rest/api/1.0/issues/266488/ActionsAndOperations?atl_token=AHT6-MTMP-UBMO-MUYG_cd9c0f64329b81e62a74fcf0fe1854ac19d6211d_lin" TargetMode="External"/><Relationship Id="rId129" Type="http://schemas.openxmlformats.org/officeDocument/2006/relationships/hyperlink" Target="https://jira.central1.com/rest/api/1.0/issues/266519/ActionsAndOperations?atl_token=AHT6-MTMP-UBMO-MUYG_cd9c0f64329b81e62a74fcf0fe1854ac19d6211d_lin" TargetMode="External"/><Relationship Id="rId280" Type="http://schemas.openxmlformats.org/officeDocument/2006/relationships/hyperlink" Target="https://jira.central1.com/browse/FIT-10365" TargetMode="External"/><Relationship Id="rId75" Type="http://schemas.openxmlformats.org/officeDocument/2006/relationships/hyperlink" Target="https://jira.central1.com/rest/api/1.0/issues/274000/ActionsAndOperations?atl_token=AHT6-MTMP-UBMO-MUYG_cd9c0f64329b81e62a74fcf0fe1854ac19d6211d_lin" TargetMode="External"/><Relationship Id="rId140" Type="http://schemas.openxmlformats.org/officeDocument/2006/relationships/hyperlink" Target="https://jira.central1.com/secure/ViewProfile.jspa?name=unassigned" TargetMode="External"/><Relationship Id="rId182" Type="http://schemas.openxmlformats.org/officeDocument/2006/relationships/hyperlink" Target="https://jira.central1.com/secure/ViewProfile.jspa?name=christina.chan" TargetMode="External"/><Relationship Id="rId6" Type="http://schemas.openxmlformats.org/officeDocument/2006/relationships/hyperlink" Target="https://jira.central1.com/rest/api/1.0/issues/270848/ActionsAndOperations?atl_token=AHT6-MTMP-UBMO-MUYG_cd9c0f64329b81e62a74fcf0fe1854ac19d6211d_lin" TargetMode="External"/><Relationship Id="rId238" Type="http://schemas.openxmlformats.org/officeDocument/2006/relationships/hyperlink" Target="https://jira.central1.com/browse/FIT-10340" TargetMode="External"/><Relationship Id="rId291" Type="http://schemas.openxmlformats.org/officeDocument/2006/relationships/hyperlink" Target="https://jira.central1.com/rest/api/1.0/issues/300530/ActionsAndOperations?atl_token=AHT6-MTMP-UBMO-MUYG_cd9c0f64329b81e62a74fcf0fe1854ac19d6211d_lin" TargetMode="External"/><Relationship Id="rId305" Type="http://schemas.openxmlformats.org/officeDocument/2006/relationships/hyperlink" Target="https://jira.central1.com/secure/ViewProfile.jspa?name=unassigned"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outlinePr summaryBelow="0"/>
    <pageSetUpPr fitToPage="1"/>
  </sheetPr>
  <dimension ref="A1:DB244"/>
  <sheetViews>
    <sheetView showGridLines="0" tabSelected="1" showRuler="0" zoomScale="90" zoomScaleNormal="90" zoomScalePageLayoutView="70" workbookViewId="0">
      <pane ySplit="3" topLeftCell="A4" activePane="bottomLeft" state="frozen"/>
      <selection activeCell="B35" sqref="B35"/>
      <selection pane="bottomLeft" activeCell="D10" sqref="D10"/>
    </sheetView>
  </sheetViews>
  <sheetFormatPr defaultColWidth="8.88671875" defaultRowHeight="14.4" outlineLevelRow="2" x14ac:dyDescent="0.3"/>
  <cols>
    <col min="1" max="1" width="9.44140625" style="117" bestFit="1" customWidth="1"/>
    <col min="2" max="2" width="90.88671875" style="47" customWidth="1"/>
    <col min="3" max="5" width="24" style="47" customWidth="1"/>
    <col min="6" max="6" width="25.109375" style="47" customWidth="1"/>
    <col min="7" max="7" width="9.44140625" style="47" customWidth="1"/>
    <col min="8" max="8" width="10.44140625" style="47" customWidth="1"/>
    <col min="9" max="9" width="14.88671875" style="445" hidden="1" customWidth="1"/>
    <col min="10" max="10" width="14.88671875" style="47" hidden="1" customWidth="1"/>
    <col min="11" max="12" width="10.44140625" style="47" hidden="1" customWidth="1"/>
    <col min="13" max="13" width="2.44140625" style="47" hidden="1" customWidth="1"/>
    <col min="14" max="14" width="6.109375" style="47" hidden="1" customWidth="1"/>
    <col min="15" max="105" width="2.44140625" style="47" hidden="1" customWidth="1"/>
    <col min="106" max="16384" width="8.88671875" style="47"/>
  </cols>
  <sheetData>
    <row r="1" spans="1:106" ht="28.8" x14ac:dyDescent="0.3">
      <c r="A1" s="530"/>
      <c r="B1" s="531"/>
      <c r="C1" s="377"/>
      <c r="D1" s="377"/>
      <c r="E1" s="377"/>
      <c r="F1" s="378"/>
      <c r="G1" s="379"/>
      <c r="H1" s="473" t="s">
        <v>11</v>
      </c>
      <c r="I1" s="380">
        <v>1</v>
      </c>
      <c r="O1" s="526">
        <f>O2</f>
        <v>-5</v>
      </c>
      <c r="P1" s="527"/>
      <c r="Q1" s="527"/>
      <c r="R1" s="527"/>
      <c r="S1" s="527"/>
      <c r="T1" s="527"/>
      <c r="U1" s="528"/>
      <c r="V1" s="526">
        <f>V2</f>
        <v>2</v>
      </c>
      <c r="W1" s="527"/>
      <c r="X1" s="527"/>
      <c r="Y1" s="527"/>
      <c r="Z1" s="527"/>
      <c r="AA1" s="527"/>
      <c r="AB1" s="528"/>
      <c r="AC1" s="526">
        <f>AC2</f>
        <v>9</v>
      </c>
      <c r="AD1" s="527"/>
      <c r="AE1" s="527"/>
      <c r="AF1" s="527"/>
      <c r="AG1" s="527"/>
      <c r="AH1" s="527"/>
      <c r="AI1" s="528"/>
      <c r="AJ1" s="526">
        <f>AJ2</f>
        <v>16</v>
      </c>
      <c r="AK1" s="527"/>
      <c r="AL1" s="527"/>
      <c r="AM1" s="527"/>
      <c r="AN1" s="527"/>
      <c r="AO1" s="527"/>
      <c r="AP1" s="528"/>
      <c r="AQ1" s="526">
        <f>AQ2</f>
        <v>23</v>
      </c>
      <c r="AR1" s="527"/>
      <c r="AS1" s="527"/>
      <c r="AT1" s="527"/>
      <c r="AU1" s="527"/>
      <c r="AV1" s="527"/>
      <c r="AW1" s="528"/>
      <c r="AX1" s="526">
        <f>AX2</f>
        <v>30</v>
      </c>
      <c r="AY1" s="527"/>
      <c r="AZ1" s="527"/>
      <c r="BA1" s="527"/>
      <c r="BB1" s="527"/>
      <c r="BC1" s="527"/>
      <c r="BD1" s="528"/>
      <c r="BE1" s="526">
        <f>BE2</f>
        <v>37</v>
      </c>
      <c r="BF1" s="527"/>
      <c r="BG1" s="527"/>
      <c r="BH1" s="527"/>
      <c r="BI1" s="527"/>
      <c r="BJ1" s="527"/>
      <c r="BK1" s="528"/>
      <c r="BL1" s="526">
        <f>BL2</f>
        <v>44</v>
      </c>
      <c r="BM1" s="527"/>
      <c r="BN1" s="527"/>
      <c r="BO1" s="527"/>
      <c r="BP1" s="527"/>
      <c r="BQ1" s="527"/>
      <c r="BR1" s="528"/>
      <c r="BS1" s="526">
        <f>BS2</f>
        <v>51</v>
      </c>
      <c r="BT1" s="527"/>
      <c r="BU1" s="527"/>
      <c r="BV1" s="527"/>
      <c r="BW1" s="527"/>
      <c r="BX1" s="527"/>
      <c r="BY1" s="528"/>
      <c r="BZ1" s="526">
        <f>BZ2</f>
        <v>58</v>
      </c>
      <c r="CA1" s="527"/>
      <c r="CB1" s="527"/>
      <c r="CC1" s="527"/>
      <c r="CD1" s="527"/>
      <c r="CE1" s="527"/>
      <c r="CF1" s="528"/>
      <c r="CG1" s="526">
        <f>CG2</f>
        <v>65</v>
      </c>
      <c r="CH1" s="527"/>
      <c r="CI1" s="527"/>
      <c r="CJ1" s="527"/>
      <c r="CK1" s="527"/>
      <c r="CL1" s="527"/>
      <c r="CM1" s="528"/>
      <c r="CN1" s="526">
        <f>CN2</f>
        <v>72</v>
      </c>
      <c r="CO1" s="527"/>
      <c r="CP1" s="527"/>
      <c r="CQ1" s="527"/>
      <c r="CR1" s="527"/>
      <c r="CS1" s="527"/>
      <c r="CT1" s="528"/>
      <c r="CU1" s="526">
        <f>CU2</f>
        <v>79</v>
      </c>
      <c r="CV1" s="527"/>
      <c r="CW1" s="527"/>
      <c r="CX1" s="527"/>
      <c r="CY1" s="527"/>
      <c r="CZ1" s="527"/>
      <c r="DA1" s="528"/>
    </row>
    <row r="2" spans="1:106" x14ac:dyDescent="0.3">
      <c r="B2" s="529"/>
      <c r="C2" s="529"/>
      <c r="D2" s="529"/>
      <c r="E2" s="529"/>
      <c r="F2" s="529"/>
      <c r="G2" s="529"/>
      <c r="H2" s="529"/>
      <c r="I2" s="529"/>
      <c r="J2" s="529"/>
      <c r="K2" s="529"/>
      <c r="L2" s="529"/>
      <c r="M2" s="529"/>
      <c r="O2" s="381">
        <f>Project_Start-WEEKDAY(Project_Start,1)+2+7*(Display_Week-1)</f>
        <v>-5</v>
      </c>
      <c r="P2" s="382">
        <f>O2+1</f>
        <v>-4</v>
      </c>
      <c r="Q2" s="382">
        <f t="shared" ref="Q2:BD2" si="0">P2+1</f>
        <v>-3</v>
      </c>
      <c r="R2" s="382">
        <f t="shared" si="0"/>
        <v>-2</v>
      </c>
      <c r="S2" s="382">
        <f t="shared" si="0"/>
        <v>-1</v>
      </c>
      <c r="T2" s="382">
        <f t="shared" si="0"/>
        <v>0</v>
      </c>
      <c r="U2" s="383">
        <f t="shared" si="0"/>
        <v>1</v>
      </c>
      <c r="V2" s="381">
        <f>U2+1</f>
        <v>2</v>
      </c>
      <c r="W2" s="382">
        <f>V2+1</f>
        <v>3</v>
      </c>
      <c r="X2" s="382">
        <f t="shared" si="0"/>
        <v>4</v>
      </c>
      <c r="Y2" s="382">
        <f t="shared" si="0"/>
        <v>5</v>
      </c>
      <c r="Z2" s="382">
        <f t="shared" si="0"/>
        <v>6</v>
      </c>
      <c r="AA2" s="382">
        <f t="shared" si="0"/>
        <v>7</v>
      </c>
      <c r="AB2" s="383">
        <f t="shared" si="0"/>
        <v>8</v>
      </c>
      <c r="AC2" s="381">
        <f>AB2+1</f>
        <v>9</v>
      </c>
      <c r="AD2" s="382">
        <f>AC2+1</f>
        <v>10</v>
      </c>
      <c r="AE2" s="382">
        <f t="shared" si="0"/>
        <v>11</v>
      </c>
      <c r="AF2" s="382">
        <f t="shared" si="0"/>
        <v>12</v>
      </c>
      <c r="AG2" s="382">
        <f t="shared" si="0"/>
        <v>13</v>
      </c>
      <c r="AH2" s="382">
        <f t="shared" si="0"/>
        <v>14</v>
      </c>
      <c r="AI2" s="383">
        <f t="shared" si="0"/>
        <v>15</v>
      </c>
      <c r="AJ2" s="381">
        <f>AI2+1</f>
        <v>16</v>
      </c>
      <c r="AK2" s="382">
        <f>AJ2+1</f>
        <v>17</v>
      </c>
      <c r="AL2" s="382">
        <f t="shared" si="0"/>
        <v>18</v>
      </c>
      <c r="AM2" s="382">
        <f t="shared" si="0"/>
        <v>19</v>
      </c>
      <c r="AN2" s="382">
        <f t="shared" si="0"/>
        <v>20</v>
      </c>
      <c r="AO2" s="382">
        <f t="shared" si="0"/>
        <v>21</v>
      </c>
      <c r="AP2" s="383">
        <f t="shared" si="0"/>
        <v>22</v>
      </c>
      <c r="AQ2" s="381">
        <f>AP2+1</f>
        <v>23</v>
      </c>
      <c r="AR2" s="382">
        <f>AQ2+1</f>
        <v>24</v>
      </c>
      <c r="AS2" s="382">
        <f t="shared" si="0"/>
        <v>25</v>
      </c>
      <c r="AT2" s="382">
        <f t="shared" si="0"/>
        <v>26</v>
      </c>
      <c r="AU2" s="382">
        <f t="shared" si="0"/>
        <v>27</v>
      </c>
      <c r="AV2" s="382">
        <f t="shared" si="0"/>
        <v>28</v>
      </c>
      <c r="AW2" s="383">
        <f t="shared" si="0"/>
        <v>29</v>
      </c>
      <c r="AX2" s="381">
        <f>AW2+1</f>
        <v>30</v>
      </c>
      <c r="AY2" s="382">
        <f>AX2+1</f>
        <v>31</v>
      </c>
      <c r="AZ2" s="382">
        <f t="shared" si="0"/>
        <v>32</v>
      </c>
      <c r="BA2" s="382">
        <f t="shared" si="0"/>
        <v>33</v>
      </c>
      <c r="BB2" s="382">
        <f t="shared" si="0"/>
        <v>34</v>
      </c>
      <c r="BC2" s="382">
        <f t="shared" si="0"/>
        <v>35</v>
      </c>
      <c r="BD2" s="383">
        <f t="shared" si="0"/>
        <v>36</v>
      </c>
      <c r="BE2" s="381">
        <f t="shared" ref="BE2:CJ2" si="1">BD2+1</f>
        <v>37</v>
      </c>
      <c r="BF2" s="382">
        <f t="shared" si="1"/>
        <v>38</v>
      </c>
      <c r="BG2" s="382">
        <f t="shared" si="1"/>
        <v>39</v>
      </c>
      <c r="BH2" s="382">
        <f t="shared" si="1"/>
        <v>40</v>
      </c>
      <c r="BI2" s="382">
        <f t="shared" si="1"/>
        <v>41</v>
      </c>
      <c r="BJ2" s="382">
        <f t="shared" si="1"/>
        <v>42</v>
      </c>
      <c r="BK2" s="383">
        <f t="shared" si="1"/>
        <v>43</v>
      </c>
      <c r="BL2" s="381">
        <f t="shared" si="1"/>
        <v>44</v>
      </c>
      <c r="BM2" s="382">
        <f t="shared" si="1"/>
        <v>45</v>
      </c>
      <c r="BN2" s="382">
        <f t="shared" si="1"/>
        <v>46</v>
      </c>
      <c r="BO2" s="382">
        <f t="shared" si="1"/>
        <v>47</v>
      </c>
      <c r="BP2" s="382">
        <f t="shared" si="1"/>
        <v>48</v>
      </c>
      <c r="BQ2" s="382">
        <f t="shared" si="1"/>
        <v>49</v>
      </c>
      <c r="BR2" s="383">
        <f t="shared" si="1"/>
        <v>50</v>
      </c>
      <c r="BS2" s="381">
        <f t="shared" si="1"/>
        <v>51</v>
      </c>
      <c r="BT2" s="382">
        <f t="shared" si="1"/>
        <v>52</v>
      </c>
      <c r="BU2" s="382">
        <f t="shared" si="1"/>
        <v>53</v>
      </c>
      <c r="BV2" s="382">
        <f t="shared" si="1"/>
        <v>54</v>
      </c>
      <c r="BW2" s="382">
        <f t="shared" si="1"/>
        <v>55</v>
      </c>
      <c r="BX2" s="382">
        <f t="shared" si="1"/>
        <v>56</v>
      </c>
      <c r="BY2" s="383">
        <f t="shared" si="1"/>
        <v>57</v>
      </c>
      <c r="BZ2" s="381">
        <f t="shared" si="1"/>
        <v>58</v>
      </c>
      <c r="CA2" s="382">
        <f t="shared" si="1"/>
        <v>59</v>
      </c>
      <c r="CB2" s="382">
        <f t="shared" si="1"/>
        <v>60</v>
      </c>
      <c r="CC2" s="382">
        <f t="shared" si="1"/>
        <v>61</v>
      </c>
      <c r="CD2" s="382">
        <f t="shared" si="1"/>
        <v>62</v>
      </c>
      <c r="CE2" s="382">
        <f t="shared" si="1"/>
        <v>63</v>
      </c>
      <c r="CF2" s="383">
        <f t="shared" si="1"/>
        <v>64</v>
      </c>
      <c r="CG2" s="381">
        <f t="shared" si="1"/>
        <v>65</v>
      </c>
      <c r="CH2" s="382">
        <f t="shared" si="1"/>
        <v>66</v>
      </c>
      <c r="CI2" s="382">
        <f t="shared" si="1"/>
        <v>67</v>
      </c>
      <c r="CJ2" s="382">
        <f t="shared" si="1"/>
        <v>68</v>
      </c>
      <c r="CK2" s="382">
        <f t="shared" ref="CK2:DA2" si="2">CJ2+1</f>
        <v>69</v>
      </c>
      <c r="CL2" s="382">
        <f t="shared" si="2"/>
        <v>70</v>
      </c>
      <c r="CM2" s="383">
        <f t="shared" si="2"/>
        <v>71</v>
      </c>
      <c r="CN2" s="381">
        <f t="shared" si="2"/>
        <v>72</v>
      </c>
      <c r="CO2" s="382">
        <f t="shared" si="2"/>
        <v>73</v>
      </c>
      <c r="CP2" s="382">
        <f t="shared" si="2"/>
        <v>74</v>
      </c>
      <c r="CQ2" s="382">
        <f t="shared" si="2"/>
        <v>75</v>
      </c>
      <c r="CR2" s="382">
        <f t="shared" si="2"/>
        <v>76</v>
      </c>
      <c r="CS2" s="382">
        <f t="shared" si="2"/>
        <v>77</v>
      </c>
      <c r="CT2" s="383">
        <f t="shared" si="2"/>
        <v>78</v>
      </c>
      <c r="CU2" s="381">
        <f t="shared" si="2"/>
        <v>79</v>
      </c>
      <c r="CV2" s="382">
        <f t="shared" si="2"/>
        <v>80</v>
      </c>
      <c r="CW2" s="382">
        <f t="shared" si="2"/>
        <v>81</v>
      </c>
      <c r="CX2" s="382">
        <f t="shared" si="2"/>
        <v>82</v>
      </c>
      <c r="CY2" s="382">
        <f t="shared" si="2"/>
        <v>83</v>
      </c>
      <c r="CZ2" s="382">
        <f t="shared" si="2"/>
        <v>84</v>
      </c>
      <c r="DA2" s="383">
        <f t="shared" si="2"/>
        <v>85</v>
      </c>
    </row>
    <row r="3" spans="1:106" ht="24.6" thickBot="1" x14ac:dyDescent="0.35">
      <c r="A3" s="384" t="s">
        <v>13</v>
      </c>
      <c r="B3" s="7" t="s">
        <v>14</v>
      </c>
      <c r="C3" s="7" t="s">
        <v>20</v>
      </c>
      <c r="D3" s="7" t="s">
        <v>21</v>
      </c>
      <c r="E3" s="7" t="s">
        <v>1212</v>
      </c>
      <c r="F3" s="7" t="s">
        <v>1227</v>
      </c>
      <c r="G3" s="7" t="s">
        <v>694</v>
      </c>
      <c r="H3" s="7" t="s">
        <v>1447</v>
      </c>
      <c r="I3" s="7" t="s">
        <v>20</v>
      </c>
      <c r="J3" s="7" t="s">
        <v>21</v>
      </c>
      <c r="K3" s="7" t="s">
        <v>22</v>
      </c>
      <c r="L3" s="7" t="s">
        <v>23</v>
      </c>
      <c r="M3" s="7"/>
      <c r="N3" s="7" t="s">
        <v>24</v>
      </c>
      <c r="O3" s="385" t="e">
        <f t="shared" ref="O3:BZ3" si="3">LEFT(TEXT(O2,"ddd"),1)</f>
        <v>#VALUE!</v>
      </c>
      <c r="P3" s="385" t="e">
        <f t="shared" si="3"/>
        <v>#VALUE!</v>
      </c>
      <c r="Q3" s="385" t="e">
        <f t="shared" si="3"/>
        <v>#VALUE!</v>
      </c>
      <c r="R3" s="385" t="e">
        <f t="shared" si="3"/>
        <v>#VALUE!</v>
      </c>
      <c r="S3" s="385" t="e">
        <f t="shared" si="3"/>
        <v>#VALUE!</v>
      </c>
      <c r="T3" s="385" t="str">
        <f t="shared" si="3"/>
        <v>S</v>
      </c>
      <c r="U3" s="385" t="str">
        <f t="shared" si="3"/>
        <v>S</v>
      </c>
      <c r="V3" s="385" t="str">
        <f t="shared" si="3"/>
        <v>M</v>
      </c>
      <c r="W3" s="385" t="str">
        <f t="shared" si="3"/>
        <v>T</v>
      </c>
      <c r="X3" s="385" t="str">
        <f t="shared" si="3"/>
        <v>W</v>
      </c>
      <c r="Y3" s="385" t="str">
        <f t="shared" si="3"/>
        <v>T</v>
      </c>
      <c r="Z3" s="385" t="str">
        <f t="shared" si="3"/>
        <v>F</v>
      </c>
      <c r="AA3" s="385" t="str">
        <f t="shared" si="3"/>
        <v>S</v>
      </c>
      <c r="AB3" s="385" t="str">
        <f t="shared" si="3"/>
        <v>S</v>
      </c>
      <c r="AC3" s="385" t="str">
        <f t="shared" si="3"/>
        <v>M</v>
      </c>
      <c r="AD3" s="385" t="str">
        <f t="shared" si="3"/>
        <v>T</v>
      </c>
      <c r="AE3" s="385" t="str">
        <f t="shared" si="3"/>
        <v>W</v>
      </c>
      <c r="AF3" s="385" t="str">
        <f t="shared" si="3"/>
        <v>T</v>
      </c>
      <c r="AG3" s="385" t="str">
        <f t="shared" si="3"/>
        <v>F</v>
      </c>
      <c r="AH3" s="385" t="str">
        <f t="shared" si="3"/>
        <v>S</v>
      </c>
      <c r="AI3" s="385" t="str">
        <f t="shared" si="3"/>
        <v>S</v>
      </c>
      <c r="AJ3" s="385" t="str">
        <f t="shared" si="3"/>
        <v>M</v>
      </c>
      <c r="AK3" s="385" t="str">
        <f t="shared" si="3"/>
        <v>T</v>
      </c>
      <c r="AL3" s="385" t="str">
        <f t="shared" si="3"/>
        <v>W</v>
      </c>
      <c r="AM3" s="385" t="str">
        <f t="shared" si="3"/>
        <v>T</v>
      </c>
      <c r="AN3" s="385" t="str">
        <f t="shared" si="3"/>
        <v>F</v>
      </c>
      <c r="AO3" s="385" t="str">
        <f t="shared" si="3"/>
        <v>S</v>
      </c>
      <c r="AP3" s="385" t="str">
        <f t="shared" si="3"/>
        <v>S</v>
      </c>
      <c r="AQ3" s="385" t="str">
        <f t="shared" si="3"/>
        <v>M</v>
      </c>
      <c r="AR3" s="385" t="str">
        <f t="shared" si="3"/>
        <v>T</v>
      </c>
      <c r="AS3" s="385" t="str">
        <f t="shared" si="3"/>
        <v>W</v>
      </c>
      <c r="AT3" s="385" t="str">
        <f t="shared" si="3"/>
        <v>T</v>
      </c>
      <c r="AU3" s="385" t="str">
        <f t="shared" si="3"/>
        <v>F</v>
      </c>
      <c r="AV3" s="385" t="str">
        <f t="shared" si="3"/>
        <v>S</v>
      </c>
      <c r="AW3" s="385" t="str">
        <f t="shared" si="3"/>
        <v>S</v>
      </c>
      <c r="AX3" s="385" t="str">
        <f t="shared" si="3"/>
        <v>M</v>
      </c>
      <c r="AY3" s="385" t="str">
        <f t="shared" si="3"/>
        <v>T</v>
      </c>
      <c r="AZ3" s="385" t="str">
        <f t="shared" si="3"/>
        <v>W</v>
      </c>
      <c r="BA3" s="385" t="str">
        <f t="shared" si="3"/>
        <v>T</v>
      </c>
      <c r="BB3" s="385" t="str">
        <f t="shared" si="3"/>
        <v>F</v>
      </c>
      <c r="BC3" s="385" t="str">
        <f t="shared" si="3"/>
        <v>S</v>
      </c>
      <c r="BD3" s="385" t="str">
        <f t="shared" si="3"/>
        <v>S</v>
      </c>
      <c r="BE3" s="385" t="str">
        <f t="shared" si="3"/>
        <v>M</v>
      </c>
      <c r="BF3" s="385" t="str">
        <f t="shared" si="3"/>
        <v>T</v>
      </c>
      <c r="BG3" s="385" t="str">
        <f t="shared" si="3"/>
        <v>W</v>
      </c>
      <c r="BH3" s="385" t="str">
        <f t="shared" si="3"/>
        <v>T</v>
      </c>
      <c r="BI3" s="385" t="str">
        <f t="shared" si="3"/>
        <v>F</v>
      </c>
      <c r="BJ3" s="385" t="str">
        <f t="shared" si="3"/>
        <v>S</v>
      </c>
      <c r="BK3" s="385" t="str">
        <f t="shared" si="3"/>
        <v>S</v>
      </c>
      <c r="BL3" s="385" t="str">
        <f t="shared" si="3"/>
        <v>M</v>
      </c>
      <c r="BM3" s="385" t="str">
        <f t="shared" si="3"/>
        <v>T</v>
      </c>
      <c r="BN3" s="385" t="str">
        <f t="shared" si="3"/>
        <v>W</v>
      </c>
      <c r="BO3" s="385" t="str">
        <f t="shared" si="3"/>
        <v>T</v>
      </c>
      <c r="BP3" s="385" t="str">
        <f t="shared" si="3"/>
        <v>F</v>
      </c>
      <c r="BQ3" s="385" t="str">
        <f t="shared" si="3"/>
        <v>S</v>
      </c>
      <c r="BR3" s="385" t="str">
        <f t="shared" si="3"/>
        <v>S</v>
      </c>
      <c r="BS3" s="385" t="str">
        <f t="shared" si="3"/>
        <v>M</v>
      </c>
      <c r="BT3" s="385" t="str">
        <f t="shared" si="3"/>
        <v>T</v>
      </c>
      <c r="BU3" s="385" t="str">
        <f t="shared" si="3"/>
        <v>W</v>
      </c>
      <c r="BV3" s="385" t="str">
        <f t="shared" si="3"/>
        <v>T</v>
      </c>
      <c r="BW3" s="385" t="str">
        <f t="shared" si="3"/>
        <v>F</v>
      </c>
      <c r="BX3" s="385" t="str">
        <f t="shared" si="3"/>
        <v>S</v>
      </c>
      <c r="BY3" s="385" t="str">
        <f t="shared" si="3"/>
        <v>S</v>
      </c>
      <c r="BZ3" s="385" t="str">
        <f t="shared" si="3"/>
        <v>M</v>
      </c>
      <c r="CA3" s="385" t="str">
        <f t="shared" ref="CA3:DA3" si="4">LEFT(TEXT(CA2,"ddd"),1)</f>
        <v>T</v>
      </c>
      <c r="CB3" s="385" t="str">
        <f t="shared" si="4"/>
        <v>W</v>
      </c>
      <c r="CC3" s="385" t="str">
        <f t="shared" si="4"/>
        <v>T</v>
      </c>
      <c r="CD3" s="385" t="str">
        <f t="shared" si="4"/>
        <v>F</v>
      </c>
      <c r="CE3" s="385" t="str">
        <f t="shared" si="4"/>
        <v>S</v>
      </c>
      <c r="CF3" s="385" t="str">
        <f t="shared" si="4"/>
        <v>S</v>
      </c>
      <c r="CG3" s="385" t="str">
        <f t="shared" si="4"/>
        <v>M</v>
      </c>
      <c r="CH3" s="385" t="str">
        <f t="shared" si="4"/>
        <v>T</v>
      </c>
      <c r="CI3" s="385" t="str">
        <f t="shared" si="4"/>
        <v>W</v>
      </c>
      <c r="CJ3" s="385" t="str">
        <f t="shared" si="4"/>
        <v>T</v>
      </c>
      <c r="CK3" s="385" t="str">
        <f t="shared" si="4"/>
        <v>F</v>
      </c>
      <c r="CL3" s="385" t="str">
        <f t="shared" si="4"/>
        <v>S</v>
      </c>
      <c r="CM3" s="385" t="str">
        <f t="shared" si="4"/>
        <v>S</v>
      </c>
      <c r="CN3" s="385" t="str">
        <f t="shared" si="4"/>
        <v>M</v>
      </c>
      <c r="CO3" s="385" t="str">
        <f t="shared" si="4"/>
        <v>T</v>
      </c>
      <c r="CP3" s="385" t="str">
        <f t="shared" si="4"/>
        <v>W</v>
      </c>
      <c r="CQ3" s="385" t="str">
        <f t="shared" si="4"/>
        <v>T</v>
      </c>
      <c r="CR3" s="385" t="str">
        <f t="shared" si="4"/>
        <v>F</v>
      </c>
      <c r="CS3" s="385" t="str">
        <f t="shared" si="4"/>
        <v>S</v>
      </c>
      <c r="CT3" s="385" t="str">
        <f t="shared" si="4"/>
        <v>S</v>
      </c>
      <c r="CU3" s="385" t="str">
        <f t="shared" si="4"/>
        <v>M</v>
      </c>
      <c r="CV3" s="385" t="str">
        <f t="shared" si="4"/>
        <v>T</v>
      </c>
      <c r="CW3" s="385" t="str">
        <f t="shared" si="4"/>
        <v>W</v>
      </c>
      <c r="CX3" s="385" t="str">
        <f t="shared" si="4"/>
        <v>T</v>
      </c>
      <c r="CY3" s="385" t="str">
        <f t="shared" si="4"/>
        <v>F</v>
      </c>
      <c r="CZ3" s="385" t="str">
        <f t="shared" si="4"/>
        <v>S</v>
      </c>
      <c r="DA3" s="385" t="str">
        <f t="shared" si="4"/>
        <v>S</v>
      </c>
    </row>
    <row r="4" spans="1:106" s="393" customFormat="1" ht="15" thickBot="1" x14ac:dyDescent="0.35">
      <c r="A4" s="386" t="s">
        <v>902</v>
      </c>
      <c r="B4" s="386"/>
      <c r="C4" s="386"/>
      <c r="D4" s="386"/>
      <c r="E4" s="386"/>
      <c r="F4" s="387"/>
      <c r="G4" s="388"/>
      <c r="H4" s="387"/>
      <c r="I4" s="389"/>
      <c r="J4" s="390"/>
      <c r="K4" s="390"/>
      <c r="L4" s="390"/>
      <c r="M4" s="391"/>
      <c r="N4" s="391" t="str">
        <f>IF(OR(ISBLANK(task_start),ISBLANK(task_end)),"",task_end-task_start+1)</f>
        <v/>
      </c>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c r="AO4" s="392"/>
      <c r="AP4" s="392"/>
      <c r="AQ4" s="392"/>
      <c r="AR4" s="392"/>
      <c r="AS4" s="392"/>
      <c r="AT4" s="392"/>
      <c r="AU4" s="392"/>
      <c r="AV4" s="392"/>
      <c r="AW4" s="392"/>
      <c r="AX4" s="392"/>
      <c r="AY4" s="392"/>
      <c r="AZ4" s="392"/>
      <c r="BA4" s="392"/>
      <c r="BB4" s="392"/>
      <c r="BC4" s="392"/>
      <c r="BD4" s="392"/>
      <c r="BE4" s="392"/>
      <c r="BF4" s="392"/>
      <c r="BG4" s="392"/>
      <c r="BH4" s="392"/>
      <c r="BI4" s="392"/>
      <c r="BJ4" s="392"/>
      <c r="BK4" s="392"/>
      <c r="BL4" s="392"/>
      <c r="BM4" s="392"/>
      <c r="BN4" s="392"/>
      <c r="BO4" s="392"/>
      <c r="BP4" s="392"/>
      <c r="BQ4" s="392"/>
      <c r="BR4" s="392"/>
      <c r="BS4" s="392"/>
      <c r="BT4" s="392"/>
      <c r="BU4" s="392"/>
      <c r="BV4" s="392"/>
      <c r="BW4" s="392"/>
      <c r="BX4" s="392"/>
      <c r="BY4" s="392"/>
      <c r="BZ4" s="392"/>
      <c r="CA4" s="392"/>
      <c r="CB4" s="392"/>
      <c r="CC4" s="392"/>
      <c r="CD4" s="392"/>
      <c r="CE4" s="392"/>
      <c r="CF4" s="392"/>
      <c r="CG4" s="392"/>
      <c r="CH4" s="392"/>
      <c r="CI4" s="392"/>
      <c r="CJ4" s="392"/>
      <c r="CK4" s="392"/>
      <c r="CL4" s="392"/>
      <c r="CM4" s="392"/>
      <c r="CN4" s="392"/>
      <c r="CO4" s="392"/>
      <c r="CP4" s="392"/>
      <c r="CQ4" s="392"/>
      <c r="CR4" s="392"/>
      <c r="CS4" s="392"/>
      <c r="CT4" s="392"/>
      <c r="CU4" s="392"/>
      <c r="CV4" s="392"/>
      <c r="CW4" s="392"/>
      <c r="CX4" s="392"/>
      <c r="CY4" s="392"/>
      <c r="CZ4" s="392"/>
      <c r="DA4" s="392"/>
    </row>
    <row r="5" spans="1:106" s="393" customFormat="1" ht="15" thickBot="1" x14ac:dyDescent="0.35">
      <c r="A5" s="386"/>
      <c r="B5" s="394" t="s">
        <v>1469</v>
      </c>
      <c r="C5" s="386"/>
      <c r="D5" s="386"/>
      <c r="E5" s="386"/>
      <c r="F5" s="387"/>
      <c r="G5" s="388"/>
      <c r="H5" s="387"/>
      <c r="I5" s="485"/>
      <c r="J5" s="486"/>
      <c r="K5" s="390"/>
      <c r="L5" s="390"/>
      <c r="M5" s="391"/>
      <c r="N5" s="391"/>
      <c r="O5" s="392"/>
      <c r="P5" s="392"/>
      <c r="Q5" s="392"/>
      <c r="R5" s="392"/>
      <c r="S5" s="392"/>
      <c r="T5" s="392"/>
      <c r="U5" s="392"/>
      <c r="V5" s="392"/>
      <c r="W5" s="392"/>
      <c r="X5" s="392"/>
      <c r="Y5" s="392"/>
      <c r="Z5" s="392"/>
      <c r="AA5" s="392"/>
      <c r="AB5" s="392"/>
      <c r="AC5" s="392"/>
      <c r="AD5" s="392"/>
      <c r="AE5" s="392"/>
      <c r="AF5" s="392"/>
      <c r="AG5" s="392"/>
      <c r="AH5" s="392"/>
      <c r="AI5" s="392"/>
      <c r="AJ5" s="392"/>
      <c r="AK5" s="392"/>
      <c r="AL5" s="392"/>
      <c r="AM5" s="392"/>
      <c r="AN5" s="392"/>
      <c r="AO5" s="392"/>
      <c r="AP5" s="392"/>
      <c r="AQ5" s="392"/>
      <c r="AR5" s="392"/>
      <c r="AS5" s="392"/>
      <c r="AT5" s="392"/>
      <c r="AU5" s="392"/>
      <c r="AV5" s="392"/>
      <c r="AW5" s="392"/>
      <c r="AX5" s="392"/>
      <c r="AY5" s="392"/>
      <c r="AZ5" s="392"/>
      <c r="BA5" s="392"/>
      <c r="BB5" s="392"/>
      <c r="BC5" s="392"/>
      <c r="BD5" s="392"/>
      <c r="BE5" s="392"/>
      <c r="BF5" s="392"/>
      <c r="BG5" s="392"/>
      <c r="BH5" s="392"/>
      <c r="BI5" s="392"/>
      <c r="BJ5" s="392"/>
      <c r="BK5" s="392"/>
      <c r="BL5" s="392"/>
      <c r="BM5" s="392"/>
      <c r="BN5" s="392"/>
      <c r="BO5" s="392"/>
      <c r="BP5" s="392"/>
      <c r="BQ5" s="392"/>
      <c r="BR5" s="392"/>
      <c r="BS5" s="392"/>
      <c r="BT5" s="392"/>
      <c r="BU5" s="392"/>
      <c r="BV5" s="392"/>
      <c r="BW5" s="392"/>
      <c r="BX5" s="392"/>
      <c r="BY5" s="392"/>
      <c r="BZ5" s="392"/>
      <c r="CA5" s="392"/>
      <c r="CB5" s="392"/>
      <c r="CC5" s="392"/>
      <c r="CD5" s="392"/>
      <c r="CE5" s="392"/>
      <c r="CF5" s="392"/>
      <c r="CG5" s="392"/>
      <c r="CH5" s="392"/>
      <c r="CI5" s="392"/>
      <c r="CJ5" s="392"/>
      <c r="CK5" s="392"/>
      <c r="CL5" s="392"/>
      <c r="CM5" s="392"/>
      <c r="CN5" s="392"/>
      <c r="CO5" s="392"/>
      <c r="CP5" s="392"/>
      <c r="CQ5" s="392"/>
      <c r="CR5" s="392"/>
      <c r="CS5" s="392"/>
      <c r="CT5" s="392"/>
      <c r="CU5" s="392"/>
      <c r="CV5" s="392"/>
      <c r="CW5" s="392"/>
      <c r="CX5" s="392"/>
      <c r="CY5" s="392"/>
      <c r="CZ5" s="392"/>
      <c r="DA5" s="392"/>
    </row>
    <row r="6" spans="1:106" s="393" customFormat="1" ht="29.4" thickBot="1" x14ac:dyDescent="0.35">
      <c r="A6" s="386" t="s">
        <v>1475</v>
      </c>
      <c r="B6" s="452" t="s">
        <v>1470</v>
      </c>
      <c r="C6" s="460">
        <v>44764</v>
      </c>
      <c r="D6" s="460">
        <v>44764</v>
      </c>
      <c r="E6" s="487" t="s">
        <v>1244</v>
      </c>
      <c r="F6" s="387" t="s">
        <v>1471</v>
      </c>
      <c r="G6" s="388"/>
      <c r="H6" s="387"/>
      <c r="I6" s="485"/>
      <c r="J6" s="486"/>
      <c r="K6" s="390"/>
      <c r="L6" s="390"/>
      <c r="M6" s="391"/>
      <c r="N6" s="391"/>
      <c r="O6" s="392"/>
      <c r="P6" s="392"/>
      <c r="Q6" s="392"/>
      <c r="R6" s="392"/>
      <c r="S6" s="392"/>
      <c r="T6" s="392"/>
      <c r="U6" s="392"/>
      <c r="V6" s="392"/>
      <c r="W6" s="392"/>
      <c r="X6" s="392"/>
      <c r="Y6" s="392"/>
      <c r="Z6" s="392"/>
      <c r="AA6" s="392"/>
      <c r="AB6" s="392"/>
      <c r="AC6" s="392"/>
      <c r="AD6" s="392"/>
      <c r="AE6" s="392"/>
      <c r="AF6" s="392"/>
      <c r="AG6" s="392"/>
      <c r="AH6" s="392"/>
      <c r="AI6" s="392"/>
      <c r="AJ6" s="392"/>
      <c r="AK6" s="392"/>
      <c r="AL6" s="392"/>
      <c r="AM6" s="392"/>
      <c r="AN6" s="392"/>
      <c r="AO6" s="392"/>
      <c r="AP6" s="392"/>
      <c r="AQ6" s="392"/>
      <c r="AR6" s="392"/>
      <c r="AS6" s="392"/>
      <c r="AT6" s="392"/>
      <c r="AU6" s="392"/>
      <c r="AV6" s="392"/>
      <c r="AW6" s="392"/>
      <c r="AX6" s="392"/>
      <c r="AY6" s="392"/>
      <c r="AZ6" s="392"/>
      <c r="BA6" s="392"/>
      <c r="BB6" s="392"/>
      <c r="BC6" s="392"/>
      <c r="BD6" s="392"/>
      <c r="BE6" s="392"/>
      <c r="BF6" s="392"/>
      <c r="BG6" s="392"/>
      <c r="BH6" s="392"/>
      <c r="BI6" s="392"/>
      <c r="BJ6" s="392"/>
      <c r="BK6" s="392"/>
      <c r="BL6" s="392"/>
      <c r="BM6" s="392"/>
      <c r="BN6" s="392"/>
      <c r="BO6" s="392"/>
      <c r="BP6" s="392"/>
      <c r="BQ6" s="392"/>
      <c r="BR6" s="392"/>
      <c r="BS6" s="392"/>
      <c r="BT6" s="392"/>
      <c r="BU6" s="392"/>
      <c r="BV6" s="392"/>
      <c r="BW6" s="392"/>
      <c r="BX6" s="392"/>
      <c r="BY6" s="392"/>
      <c r="BZ6" s="392"/>
      <c r="CA6" s="392"/>
      <c r="CB6" s="392"/>
      <c r="CC6" s="392"/>
      <c r="CD6" s="392"/>
      <c r="CE6" s="392"/>
      <c r="CF6" s="392"/>
      <c r="CG6" s="392"/>
      <c r="CH6" s="392"/>
      <c r="CI6" s="392"/>
      <c r="CJ6" s="392"/>
      <c r="CK6" s="392"/>
      <c r="CL6" s="392"/>
      <c r="CM6" s="392"/>
      <c r="CN6" s="392"/>
      <c r="CO6" s="392"/>
      <c r="CP6" s="392"/>
      <c r="CQ6" s="392"/>
      <c r="CR6" s="392"/>
      <c r="CS6" s="392"/>
      <c r="CT6" s="392"/>
      <c r="CU6" s="392"/>
      <c r="CV6" s="392"/>
      <c r="CW6" s="392"/>
      <c r="CX6" s="392"/>
      <c r="CY6" s="392"/>
      <c r="CZ6" s="392"/>
      <c r="DA6" s="392"/>
    </row>
    <row r="7" spans="1:106" s="393" customFormat="1" ht="33.6" customHeight="1" thickBot="1" x14ac:dyDescent="0.35">
      <c r="A7" s="386" t="s">
        <v>1476</v>
      </c>
      <c r="B7" s="452" t="s">
        <v>1607</v>
      </c>
      <c r="C7" s="460">
        <v>44764</v>
      </c>
      <c r="D7" s="460">
        <v>44764</v>
      </c>
      <c r="E7" s="487" t="s">
        <v>1244</v>
      </c>
      <c r="F7" s="387" t="s">
        <v>1471</v>
      </c>
      <c r="G7" s="388"/>
      <c r="H7" s="387"/>
      <c r="I7" s="485"/>
      <c r="J7" s="486"/>
      <c r="K7" s="390"/>
      <c r="L7" s="390"/>
      <c r="M7" s="391"/>
      <c r="N7" s="391"/>
      <c r="O7" s="392"/>
      <c r="P7" s="392"/>
      <c r="Q7" s="392"/>
      <c r="R7" s="392"/>
      <c r="S7" s="392"/>
      <c r="T7" s="392"/>
      <c r="U7" s="392"/>
      <c r="V7" s="392"/>
      <c r="W7" s="392"/>
      <c r="X7" s="392"/>
      <c r="Y7" s="392"/>
      <c r="Z7" s="392"/>
      <c r="AA7" s="392"/>
      <c r="AB7" s="392"/>
      <c r="AC7" s="392"/>
      <c r="AD7" s="392"/>
      <c r="AE7" s="392"/>
      <c r="AF7" s="392"/>
      <c r="AG7" s="392"/>
      <c r="AH7" s="392"/>
      <c r="AI7" s="392"/>
      <c r="AJ7" s="392"/>
      <c r="AK7" s="392"/>
      <c r="AL7" s="392"/>
      <c r="AM7" s="392"/>
      <c r="AN7" s="392"/>
      <c r="AO7" s="392"/>
      <c r="AP7" s="392"/>
      <c r="AQ7" s="392"/>
      <c r="AR7" s="392"/>
      <c r="AS7" s="392"/>
      <c r="AT7" s="392"/>
      <c r="AU7" s="392"/>
      <c r="AV7" s="392"/>
      <c r="AW7" s="392"/>
      <c r="AX7" s="392"/>
      <c r="AY7" s="392"/>
      <c r="AZ7" s="392"/>
      <c r="BA7" s="392"/>
      <c r="BB7" s="392"/>
      <c r="BC7" s="392"/>
      <c r="BD7" s="392"/>
      <c r="BE7" s="392"/>
      <c r="BF7" s="392"/>
      <c r="BG7" s="392"/>
      <c r="BH7" s="392"/>
      <c r="BI7" s="392"/>
      <c r="BJ7" s="392"/>
      <c r="BK7" s="392"/>
      <c r="BL7" s="392"/>
      <c r="BM7" s="392"/>
      <c r="BN7" s="392"/>
      <c r="BO7" s="392"/>
      <c r="BP7" s="392"/>
      <c r="BQ7" s="392"/>
      <c r="BR7" s="392"/>
      <c r="BS7" s="392"/>
      <c r="BT7" s="392"/>
      <c r="BU7" s="392"/>
      <c r="BV7" s="392"/>
      <c r="BW7" s="392"/>
      <c r="BX7" s="392"/>
      <c r="BY7" s="392"/>
      <c r="BZ7" s="392"/>
      <c r="CA7" s="392"/>
      <c r="CB7" s="392"/>
      <c r="CC7" s="392"/>
      <c r="CD7" s="392"/>
      <c r="CE7" s="392"/>
      <c r="CF7" s="392"/>
      <c r="CG7" s="392"/>
      <c r="CH7" s="392"/>
      <c r="CI7" s="392"/>
      <c r="CJ7" s="392"/>
      <c r="CK7" s="392"/>
      <c r="CL7" s="392"/>
      <c r="CM7" s="392"/>
      <c r="CN7" s="392"/>
      <c r="CO7" s="392"/>
      <c r="CP7" s="392"/>
      <c r="CQ7" s="392"/>
      <c r="CR7" s="392"/>
      <c r="CS7" s="392"/>
      <c r="CT7" s="392"/>
      <c r="CU7" s="392"/>
      <c r="CV7" s="392"/>
      <c r="CW7" s="392"/>
      <c r="CX7" s="392"/>
      <c r="CY7" s="392"/>
      <c r="CZ7" s="392"/>
      <c r="DA7" s="392"/>
    </row>
    <row r="8" spans="1:106" s="393" customFormat="1" ht="15" thickBot="1" x14ac:dyDescent="0.35">
      <c r="A8" s="386" t="s">
        <v>1477</v>
      </c>
      <c r="B8" s="452" t="s">
        <v>1472</v>
      </c>
      <c r="C8" s="460">
        <v>44764</v>
      </c>
      <c r="D8" s="460">
        <v>44764</v>
      </c>
      <c r="E8" s="487" t="s">
        <v>1244</v>
      </c>
      <c r="F8" s="387" t="s">
        <v>1473</v>
      </c>
      <c r="G8" s="388"/>
      <c r="H8" s="387"/>
      <c r="I8" s="485"/>
      <c r="J8" s="486"/>
      <c r="K8" s="390"/>
      <c r="L8" s="390"/>
      <c r="M8" s="391"/>
      <c r="N8" s="391"/>
      <c r="O8" s="392"/>
      <c r="P8" s="392"/>
      <c r="Q8" s="392"/>
      <c r="R8" s="392"/>
      <c r="S8" s="392"/>
      <c r="T8" s="392"/>
      <c r="U8" s="392"/>
      <c r="V8" s="392"/>
      <c r="W8" s="392"/>
      <c r="X8" s="392"/>
      <c r="Y8" s="392"/>
      <c r="Z8" s="392"/>
      <c r="AA8" s="392"/>
      <c r="AB8" s="392"/>
      <c r="AC8" s="392"/>
      <c r="AD8" s="392"/>
      <c r="AE8" s="392"/>
      <c r="AF8" s="392"/>
      <c r="AG8" s="392"/>
      <c r="AH8" s="392"/>
      <c r="AI8" s="392"/>
      <c r="AJ8" s="392"/>
      <c r="AK8" s="392"/>
      <c r="AL8" s="392"/>
      <c r="AM8" s="392"/>
      <c r="AN8" s="392"/>
      <c r="AO8" s="392"/>
      <c r="AP8" s="392"/>
      <c r="AQ8" s="392"/>
      <c r="AR8" s="392"/>
      <c r="AS8" s="392"/>
      <c r="AT8" s="392"/>
      <c r="AU8" s="392"/>
      <c r="AV8" s="392"/>
      <c r="AW8" s="392"/>
      <c r="AX8" s="392"/>
      <c r="AY8" s="392"/>
      <c r="AZ8" s="392"/>
      <c r="BA8" s="392"/>
      <c r="BB8" s="392"/>
      <c r="BC8" s="392"/>
      <c r="BD8" s="392"/>
      <c r="BE8" s="392"/>
      <c r="BF8" s="392"/>
      <c r="BG8" s="392"/>
      <c r="BH8" s="392"/>
      <c r="BI8" s="392"/>
      <c r="BJ8" s="392"/>
      <c r="BK8" s="392"/>
      <c r="BL8" s="392"/>
      <c r="BM8" s="392"/>
      <c r="BN8" s="392"/>
      <c r="BO8" s="392"/>
      <c r="BP8" s="392"/>
      <c r="BQ8" s="392"/>
      <c r="BR8" s="392"/>
      <c r="BS8" s="392"/>
      <c r="BT8" s="392"/>
      <c r="BU8" s="392"/>
      <c r="BV8" s="392"/>
      <c r="BW8" s="392"/>
      <c r="BX8" s="392"/>
      <c r="BY8" s="392"/>
      <c r="BZ8" s="392"/>
      <c r="CA8" s="392"/>
      <c r="CB8" s="392"/>
      <c r="CC8" s="392"/>
      <c r="CD8" s="392"/>
      <c r="CE8" s="392"/>
      <c r="CF8" s="392"/>
      <c r="CG8" s="392"/>
      <c r="CH8" s="392"/>
      <c r="CI8" s="392"/>
      <c r="CJ8" s="392"/>
      <c r="CK8" s="392"/>
      <c r="CL8" s="392"/>
      <c r="CM8" s="392"/>
      <c r="CN8" s="392"/>
      <c r="CO8" s="392"/>
      <c r="CP8" s="392"/>
      <c r="CQ8" s="392"/>
      <c r="CR8" s="392"/>
      <c r="CS8" s="392"/>
      <c r="CT8" s="392"/>
      <c r="CU8" s="392"/>
      <c r="CV8" s="392"/>
      <c r="CW8" s="392"/>
      <c r="CX8" s="392"/>
      <c r="CY8" s="392"/>
      <c r="CZ8" s="392"/>
      <c r="DA8" s="392"/>
    </row>
    <row r="9" spans="1:106" s="393" customFormat="1" ht="15" thickBot="1" x14ac:dyDescent="0.35">
      <c r="A9" s="386" t="s">
        <v>1478</v>
      </c>
      <c r="B9" s="452" t="s">
        <v>1474</v>
      </c>
      <c r="C9" s="460">
        <v>44764</v>
      </c>
      <c r="D9" s="460">
        <v>44764</v>
      </c>
      <c r="E9" s="487" t="s">
        <v>1244</v>
      </c>
      <c r="F9" s="387" t="s">
        <v>1473</v>
      </c>
      <c r="G9" s="388"/>
      <c r="H9" s="387"/>
      <c r="I9" s="485"/>
      <c r="J9" s="486"/>
      <c r="K9" s="390"/>
      <c r="L9" s="390"/>
      <c r="M9" s="391"/>
      <c r="N9" s="391"/>
      <c r="O9" s="392"/>
      <c r="P9" s="392"/>
      <c r="Q9" s="392"/>
      <c r="R9" s="392"/>
      <c r="S9" s="392"/>
      <c r="T9" s="392"/>
      <c r="U9" s="392"/>
      <c r="V9" s="392"/>
      <c r="W9" s="392"/>
      <c r="X9" s="392"/>
      <c r="Y9" s="392"/>
      <c r="Z9" s="392"/>
      <c r="AA9" s="392"/>
      <c r="AB9" s="392"/>
      <c r="AC9" s="392"/>
      <c r="AD9" s="392"/>
      <c r="AE9" s="392"/>
      <c r="AF9" s="392"/>
      <c r="AG9" s="392"/>
      <c r="AH9" s="392"/>
      <c r="AI9" s="392"/>
      <c r="AJ9" s="392"/>
      <c r="AK9" s="392"/>
      <c r="AL9" s="392"/>
      <c r="AM9" s="392"/>
      <c r="AN9" s="392"/>
      <c r="AO9" s="392"/>
      <c r="AP9" s="392"/>
      <c r="AQ9" s="392"/>
      <c r="AR9" s="392"/>
      <c r="AS9" s="392"/>
      <c r="AT9" s="392"/>
      <c r="AU9" s="392"/>
      <c r="AV9" s="392"/>
      <c r="AW9" s="392"/>
      <c r="AX9" s="392"/>
      <c r="AY9" s="392"/>
      <c r="AZ9" s="392"/>
      <c r="BA9" s="392"/>
      <c r="BB9" s="392"/>
      <c r="BC9" s="392"/>
      <c r="BD9" s="392"/>
      <c r="BE9" s="392"/>
      <c r="BF9" s="392"/>
      <c r="BG9" s="392"/>
      <c r="BH9" s="392"/>
      <c r="BI9" s="392"/>
      <c r="BJ9" s="392"/>
      <c r="BK9" s="392"/>
      <c r="BL9" s="392"/>
      <c r="BM9" s="392"/>
      <c r="BN9" s="392"/>
      <c r="BO9" s="392"/>
      <c r="BP9" s="392"/>
      <c r="BQ9" s="392"/>
      <c r="BR9" s="392"/>
      <c r="BS9" s="392"/>
      <c r="BT9" s="392"/>
      <c r="BU9" s="392"/>
      <c r="BV9" s="392"/>
      <c r="BW9" s="392"/>
      <c r="BX9" s="392"/>
      <c r="BY9" s="392"/>
      <c r="BZ9" s="392"/>
      <c r="CA9" s="392"/>
      <c r="CB9" s="392"/>
      <c r="CC9" s="392"/>
      <c r="CD9" s="392"/>
      <c r="CE9" s="392"/>
      <c r="CF9" s="392"/>
      <c r="CG9" s="392"/>
      <c r="CH9" s="392"/>
      <c r="CI9" s="392"/>
      <c r="CJ9" s="392"/>
      <c r="CK9" s="392"/>
      <c r="CL9" s="392"/>
      <c r="CM9" s="392"/>
      <c r="CN9" s="392"/>
      <c r="CO9" s="392"/>
      <c r="CP9" s="392"/>
      <c r="CQ9" s="392"/>
      <c r="CR9" s="392"/>
      <c r="CS9" s="392"/>
      <c r="CT9" s="392"/>
      <c r="CU9" s="392"/>
      <c r="CV9" s="392"/>
      <c r="CW9" s="392"/>
      <c r="CX9" s="392"/>
      <c r="CY9" s="392"/>
      <c r="CZ9" s="392"/>
      <c r="DA9" s="392"/>
    </row>
    <row r="10" spans="1:106" s="393" customFormat="1" ht="15" thickBot="1" x14ac:dyDescent="0.35">
      <c r="A10" s="386" t="s">
        <v>1479</v>
      </c>
      <c r="B10" s="452" t="s">
        <v>1609</v>
      </c>
      <c r="C10" s="488">
        <v>44770</v>
      </c>
      <c r="D10" s="488">
        <v>44770</v>
      </c>
      <c r="E10" s="487" t="s">
        <v>1245</v>
      </c>
      <c r="F10" s="387" t="s">
        <v>1608</v>
      </c>
      <c r="G10" s="388"/>
      <c r="H10" s="387"/>
      <c r="I10" s="485"/>
      <c r="J10" s="486"/>
      <c r="K10" s="390"/>
      <c r="L10" s="390"/>
      <c r="M10" s="391"/>
      <c r="N10" s="391"/>
      <c r="O10" s="392"/>
      <c r="P10" s="392"/>
      <c r="Q10" s="392"/>
      <c r="R10" s="392"/>
      <c r="S10" s="392"/>
      <c r="T10" s="392"/>
      <c r="U10" s="392"/>
      <c r="V10" s="392"/>
      <c r="W10" s="392"/>
      <c r="X10" s="392"/>
      <c r="Y10" s="392"/>
      <c r="Z10" s="392"/>
      <c r="AA10" s="392"/>
      <c r="AB10" s="392"/>
      <c r="AC10" s="392"/>
      <c r="AD10" s="392"/>
      <c r="AE10" s="392"/>
      <c r="AF10" s="392"/>
      <c r="AG10" s="392"/>
      <c r="AH10" s="392"/>
      <c r="AI10" s="392"/>
      <c r="AJ10" s="392"/>
      <c r="AK10" s="392"/>
      <c r="AL10" s="392"/>
      <c r="AM10" s="392"/>
      <c r="AN10" s="392"/>
      <c r="AO10" s="392"/>
      <c r="AP10" s="392"/>
      <c r="AQ10" s="392"/>
      <c r="AR10" s="392"/>
      <c r="AS10" s="392"/>
      <c r="AT10" s="392"/>
      <c r="AU10" s="392"/>
      <c r="AV10" s="392"/>
      <c r="AW10" s="392"/>
      <c r="AX10" s="392"/>
      <c r="AY10" s="392"/>
      <c r="AZ10" s="392"/>
      <c r="BA10" s="392"/>
      <c r="BB10" s="392"/>
      <c r="BC10" s="392"/>
      <c r="BD10" s="392"/>
      <c r="BE10" s="392"/>
      <c r="BF10" s="392"/>
      <c r="BG10" s="392"/>
      <c r="BH10" s="392"/>
      <c r="BI10" s="392"/>
      <c r="BJ10" s="392"/>
      <c r="BK10" s="392"/>
      <c r="BL10" s="392"/>
      <c r="BM10" s="392"/>
      <c r="BN10" s="392"/>
      <c r="BO10" s="392"/>
      <c r="BP10" s="392"/>
      <c r="BQ10" s="392"/>
      <c r="BR10" s="392"/>
      <c r="BS10" s="392"/>
      <c r="BT10" s="392"/>
      <c r="BU10" s="392"/>
      <c r="BV10" s="392"/>
      <c r="BW10" s="392"/>
      <c r="BX10" s="392"/>
      <c r="BY10" s="392"/>
      <c r="BZ10" s="392"/>
      <c r="CA10" s="392"/>
      <c r="CB10" s="392"/>
      <c r="CC10" s="392"/>
      <c r="CD10" s="392"/>
      <c r="CE10" s="392"/>
      <c r="CF10" s="392"/>
      <c r="CG10" s="392"/>
      <c r="CH10" s="392"/>
      <c r="CI10" s="392"/>
      <c r="CJ10" s="392"/>
      <c r="CK10" s="392"/>
      <c r="CL10" s="392"/>
      <c r="CM10" s="392"/>
      <c r="CN10" s="392"/>
      <c r="CO10" s="392"/>
      <c r="CP10" s="392"/>
      <c r="CQ10" s="392"/>
      <c r="CR10" s="392"/>
      <c r="CS10" s="392"/>
      <c r="CT10" s="392"/>
      <c r="CU10" s="392"/>
      <c r="CV10" s="392"/>
      <c r="CW10" s="392"/>
      <c r="CX10" s="392"/>
      <c r="CY10" s="392"/>
      <c r="CZ10" s="392"/>
      <c r="DA10" s="392"/>
    </row>
    <row r="11" spans="1:106" s="393" customFormat="1" ht="29.4" thickBot="1" x14ac:dyDescent="0.35">
      <c r="A11" s="386" t="s">
        <v>1496</v>
      </c>
      <c r="B11" s="452" t="s">
        <v>1497</v>
      </c>
      <c r="C11" s="488">
        <v>44770</v>
      </c>
      <c r="D11" s="488">
        <v>44770</v>
      </c>
      <c r="E11" s="487" t="s">
        <v>1245</v>
      </c>
      <c r="F11" s="387" t="s">
        <v>901</v>
      </c>
      <c r="G11" s="388"/>
      <c r="H11" s="387"/>
      <c r="I11" s="485"/>
      <c r="J11" s="486"/>
      <c r="K11" s="390"/>
      <c r="L11" s="390"/>
      <c r="M11" s="391"/>
      <c r="N11" s="391"/>
      <c r="O11" s="392"/>
      <c r="P11" s="392"/>
      <c r="Q11" s="392"/>
      <c r="R11" s="392"/>
      <c r="S11" s="392"/>
      <c r="T11" s="392"/>
      <c r="U11" s="392"/>
      <c r="V11" s="392"/>
      <c r="W11" s="392"/>
      <c r="X11" s="392"/>
      <c r="Y11" s="392"/>
      <c r="Z11" s="392"/>
      <c r="AA11" s="392"/>
      <c r="AB11" s="392"/>
      <c r="AC11" s="392"/>
      <c r="AD11" s="392"/>
      <c r="AE11" s="392"/>
      <c r="AF11" s="392"/>
      <c r="AG11" s="392"/>
      <c r="AH11" s="392"/>
      <c r="AI11" s="392"/>
      <c r="AJ11" s="392"/>
      <c r="AK11" s="392"/>
      <c r="AL11" s="392"/>
      <c r="AM11" s="392"/>
      <c r="AN11" s="392"/>
      <c r="AO11" s="392"/>
      <c r="AP11" s="392"/>
      <c r="AQ11" s="392"/>
      <c r="AR11" s="392"/>
      <c r="AS11" s="392"/>
      <c r="AT11" s="392"/>
      <c r="AU11" s="392"/>
      <c r="AV11" s="392"/>
      <c r="AW11" s="392"/>
      <c r="AX11" s="392"/>
      <c r="AY11" s="392"/>
      <c r="AZ11" s="392"/>
      <c r="BA11" s="392"/>
      <c r="BB11" s="392"/>
      <c r="BC11" s="392"/>
      <c r="BD11" s="392"/>
      <c r="BE11" s="392"/>
      <c r="BF11" s="392"/>
      <c r="BG11" s="392"/>
      <c r="BH11" s="392"/>
      <c r="BI11" s="392"/>
      <c r="BJ11" s="392"/>
      <c r="BK11" s="392"/>
      <c r="BL11" s="392"/>
      <c r="BM11" s="392"/>
      <c r="BN11" s="392"/>
      <c r="BO11" s="392"/>
      <c r="BP11" s="392"/>
      <c r="BQ11" s="392"/>
      <c r="BR11" s="392"/>
      <c r="BS11" s="392"/>
      <c r="BT11" s="392"/>
      <c r="BU11" s="392"/>
      <c r="BV11" s="392"/>
      <c r="BW11" s="392"/>
      <c r="BX11" s="392"/>
      <c r="BY11" s="392"/>
      <c r="BZ11" s="392"/>
      <c r="CA11" s="392"/>
      <c r="CB11" s="392"/>
      <c r="CC11" s="392"/>
      <c r="CD11" s="392"/>
      <c r="CE11" s="392"/>
      <c r="CF11" s="392"/>
      <c r="CG11" s="392"/>
      <c r="CH11" s="392"/>
      <c r="CI11" s="392"/>
      <c r="CJ11" s="392"/>
      <c r="CK11" s="392"/>
      <c r="CL11" s="392"/>
      <c r="CM11" s="392"/>
      <c r="CN11" s="392"/>
      <c r="CO11" s="392"/>
      <c r="CP11" s="392"/>
      <c r="CQ11" s="392"/>
      <c r="CR11" s="392"/>
      <c r="CS11" s="392"/>
      <c r="CT11" s="392"/>
      <c r="CU11" s="392"/>
      <c r="CV11" s="392"/>
      <c r="CW11" s="392"/>
      <c r="CX11" s="392"/>
      <c r="CY11" s="392"/>
      <c r="CZ11" s="392"/>
      <c r="DA11" s="392"/>
      <c r="DB11" s="393" t="s">
        <v>1498</v>
      </c>
    </row>
    <row r="12" spans="1:106" s="401" customFormat="1" ht="15" outlineLevel="1" thickBot="1" x14ac:dyDescent="0.35">
      <c r="A12" s="394"/>
      <c r="B12" s="394" t="s">
        <v>915</v>
      </c>
      <c r="C12" s="394"/>
      <c r="D12" s="394"/>
      <c r="E12" s="394"/>
      <c r="F12" s="395"/>
      <c r="G12" s="388"/>
      <c r="H12" s="395"/>
      <c r="I12" s="396"/>
      <c r="J12" s="396"/>
      <c r="K12" s="397"/>
      <c r="L12" s="397"/>
      <c r="M12" s="398"/>
      <c r="N12" s="398"/>
      <c r="O12" s="399"/>
      <c r="P12" s="399"/>
      <c r="Q12" s="399"/>
      <c r="R12" s="399"/>
      <c r="S12" s="399"/>
      <c r="T12" s="399"/>
      <c r="U12" s="399"/>
      <c r="V12" s="399"/>
      <c r="W12" s="399"/>
      <c r="X12" s="399"/>
      <c r="Y12" s="399"/>
      <c r="Z12" s="399"/>
      <c r="AA12" s="400"/>
      <c r="AB12" s="400"/>
      <c r="AC12" s="399"/>
      <c r="AD12" s="399"/>
      <c r="AE12" s="399"/>
      <c r="AF12" s="399"/>
      <c r="AG12" s="399"/>
      <c r="AH12" s="399"/>
      <c r="AI12" s="399"/>
      <c r="AJ12" s="399"/>
      <c r="AK12" s="399"/>
      <c r="AL12" s="399"/>
      <c r="AM12" s="399"/>
      <c r="AN12" s="399"/>
      <c r="AO12" s="399"/>
      <c r="AP12" s="399"/>
      <c r="AQ12" s="399"/>
      <c r="AR12" s="399"/>
      <c r="AS12" s="399"/>
      <c r="AT12" s="399"/>
      <c r="AU12" s="399"/>
      <c r="AV12" s="399"/>
      <c r="AW12" s="399"/>
      <c r="AX12" s="399"/>
      <c r="AY12" s="399"/>
      <c r="AZ12" s="399"/>
      <c r="BA12" s="399"/>
      <c r="BB12" s="399"/>
      <c r="BC12" s="399"/>
      <c r="BD12" s="399"/>
      <c r="BE12" s="399"/>
      <c r="BF12" s="399"/>
      <c r="BG12" s="399"/>
      <c r="BH12" s="399"/>
      <c r="BI12" s="399"/>
      <c r="BJ12" s="399"/>
      <c r="BK12" s="399"/>
      <c r="BL12" s="399"/>
      <c r="BM12" s="399"/>
      <c r="BN12" s="399"/>
      <c r="BO12" s="399"/>
      <c r="BP12" s="399"/>
      <c r="BQ12" s="399"/>
      <c r="BR12" s="399"/>
      <c r="BS12" s="399"/>
      <c r="BT12" s="399"/>
      <c r="BU12" s="399"/>
      <c r="BV12" s="399"/>
      <c r="BW12" s="399"/>
      <c r="BX12" s="399"/>
      <c r="BY12" s="399"/>
      <c r="BZ12" s="399"/>
      <c r="CA12" s="399"/>
      <c r="CB12" s="399"/>
      <c r="CC12" s="399"/>
      <c r="CD12" s="399"/>
      <c r="CE12" s="399"/>
      <c r="CF12" s="399"/>
      <c r="CG12" s="399"/>
      <c r="CH12" s="399"/>
      <c r="CI12" s="399"/>
      <c r="CJ12" s="399"/>
      <c r="CK12" s="399"/>
      <c r="CL12" s="399"/>
      <c r="CM12" s="399"/>
      <c r="CN12" s="399"/>
      <c r="CO12" s="399"/>
      <c r="CP12" s="399"/>
      <c r="CQ12" s="399"/>
      <c r="CR12" s="399"/>
      <c r="CS12" s="399"/>
      <c r="CT12" s="399"/>
      <c r="CU12" s="399"/>
      <c r="CV12" s="399"/>
      <c r="CW12" s="399"/>
      <c r="CX12" s="399"/>
      <c r="CY12" s="399"/>
      <c r="CZ12" s="399"/>
      <c r="DA12" s="399"/>
    </row>
    <row r="13" spans="1:106" s="401" customFormat="1" ht="15" outlineLevel="1" thickBot="1" x14ac:dyDescent="0.35">
      <c r="A13" s="394" t="s">
        <v>1210</v>
      </c>
      <c r="B13" s="452" t="s">
        <v>1211</v>
      </c>
      <c r="C13" s="457">
        <v>44742</v>
      </c>
      <c r="D13" s="457">
        <v>44742</v>
      </c>
      <c r="E13" s="402" t="s">
        <v>1244</v>
      </c>
      <c r="F13" s="387" t="s">
        <v>917</v>
      </c>
      <c r="G13" s="388"/>
      <c r="H13" s="395"/>
      <c r="I13" s="396"/>
      <c r="J13" s="396"/>
      <c r="K13" s="397"/>
      <c r="L13" s="397"/>
      <c r="M13" s="398"/>
      <c r="N13" s="398"/>
      <c r="O13" s="399"/>
      <c r="P13" s="399"/>
      <c r="Q13" s="399"/>
      <c r="R13" s="399"/>
      <c r="S13" s="399"/>
      <c r="T13" s="399"/>
      <c r="U13" s="399"/>
      <c r="V13" s="399"/>
      <c r="W13" s="399"/>
      <c r="X13" s="399"/>
      <c r="Y13" s="399"/>
      <c r="Z13" s="399"/>
      <c r="AA13" s="400"/>
      <c r="AB13" s="400"/>
      <c r="AC13" s="399"/>
      <c r="AD13" s="399"/>
      <c r="AE13" s="399"/>
      <c r="AF13" s="399"/>
      <c r="AG13" s="399"/>
      <c r="AH13" s="399"/>
      <c r="AI13" s="399"/>
      <c r="AJ13" s="399"/>
      <c r="AK13" s="399"/>
      <c r="AL13" s="399"/>
      <c r="AM13" s="399"/>
      <c r="AN13" s="399"/>
      <c r="AO13" s="399"/>
      <c r="AP13" s="399"/>
      <c r="AQ13" s="399"/>
      <c r="AR13" s="399"/>
      <c r="AS13" s="399"/>
      <c r="AT13" s="399"/>
      <c r="AU13" s="399"/>
      <c r="AV13" s="399"/>
      <c r="AW13" s="399"/>
      <c r="AX13" s="399"/>
      <c r="AY13" s="399"/>
      <c r="AZ13" s="399"/>
      <c r="BA13" s="399"/>
      <c r="BB13" s="399"/>
      <c r="BC13" s="399"/>
      <c r="BD13" s="399"/>
      <c r="BE13" s="399"/>
      <c r="BF13" s="399"/>
      <c r="BG13" s="399"/>
      <c r="BH13" s="399"/>
      <c r="BI13" s="399"/>
      <c r="BJ13" s="399"/>
      <c r="BK13" s="399"/>
      <c r="BL13" s="399"/>
      <c r="BM13" s="399"/>
      <c r="BN13" s="399"/>
      <c r="BO13" s="399"/>
      <c r="BP13" s="399"/>
      <c r="BQ13" s="399"/>
      <c r="BR13" s="399"/>
      <c r="BS13" s="399"/>
      <c r="BT13" s="399"/>
      <c r="BU13" s="399"/>
      <c r="BV13" s="399"/>
      <c r="BW13" s="399"/>
      <c r="BX13" s="399"/>
      <c r="BY13" s="399"/>
      <c r="BZ13" s="399"/>
      <c r="CA13" s="399"/>
      <c r="CB13" s="399"/>
      <c r="CC13" s="399"/>
      <c r="CD13" s="399"/>
      <c r="CE13" s="399"/>
      <c r="CF13" s="399"/>
      <c r="CG13" s="399"/>
      <c r="CH13" s="399"/>
      <c r="CI13" s="399"/>
      <c r="CJ13" s="399"/>
      <c r="CK13" s="399"/>
      <c r="CL13" s="399"/>
      <c r="CM13" s="399"/>
      <c r="CN13" s="399"/>
      <c r="CO13" s="399"/>
      <c r="CP13" s="399"/>
      <c r="CQ13" s="399"/>
      <c r="CR13" s="399"/>
      <c r="CS13" s="399"/>
      <c r="CT13" s="399"/>
      <c r="CU13" s="399"/>
      <c r="CV13" s="399"/>
      <c r="CW13" s="399"/>
      <c r="CX13" s="399"/>
      <c r="CY13" s="399"/>
      <c r="CZ13" s="399"/>
      <c r="DA13" s="399"/>
    </row>
    <row r="14" spans="1:106" s="401" customFormat="1" ht="15" outlineLevel="1" thickBot="1" x14ac:dyDescent="0.35">
      <c r="A14" s="394" t="s">
        <v>1216</v>
      </c>
      <c r="B14" s="452" t="s">
        <v>1421</v>
      </c>
      <c r="C14" s="457">
        <v>44753</v>
      </c>
      <c r="D14" s="457">
        <v>44753</v>
      </c>
      <c r="E14" s="402" t="s">
        <v>1244</v>
      </c>
      <c r="F14" s="387" t="s">
        <v>1287</v>
      </c>
      <c r="G14" s="388"/>
      <c r="H14" s="395"/>
      <c r="I14" s="396"/>
      <c r="J14" s="396"/>
      <c r="K14" s="397"/>
      <c r="L14" s="397"/>
      <c r="M14" s="398"/>
      <c r="N14" s="398"/>
      <c r="O14" s="399"/>
      <c r="P14" s="399"/>
      <c r="Q14" s="399"/>
      <c r="R14" s="399"/>
      <c r="S14" s="399"/>
      <c r="T14" s="399"/>
      <c r="U14" s="399"/>
      <c r="V14" s="399"/>
      <c r="W14" s="399"/>
      <c r="X14" s="399"/>
      <c r="Y14" s="399"/>
      <c r="Z14" s="399"/>
      <c r="AA14" s="400"/>
      <c r="AB14" s="400"/>
      <c r="AC14" s="399"/>
      <c r="AD14" s="399"/>
      <c r="AE14" s="399"/>
      <c r="AF14" s="399"/>
      <c r="AG14" s="399"/>
      <c r="AH14" s="399"/>
      <c r="AI14" s="399"/>
      <c r="AJ14" s="399"/>
      <c r="AK14" s="399"/>
      <c r="AL14" s="399"/>
      <c r="AM14" s="399"/>
      <c r="AN14" s="399"/>
      <c r="AO14" s="399"/>
      <c r="AP14" s="399"/>
      <c r="AQ14" s="399"/>
      <c r="AR14" s="399"/>
      <c r="AS14" s="399"/>
      <c r="AT14" s="399"/>
      <c r="AU14" s="399"/>
      <c r="AV14" s="399"/>
      <c r="AW14" s="399"/>
      <c r="AX14" s="399"/>
      <c r="AY14" s="399"/>
      <c r="AZ14" s="399"/>
      <c r="BA14" s="399"/>
      <c r="BB14" s="399"/>
      <c r="BC14" s="399"/>
      <c r="BD14" s="399"/>
      <c r="BE14" s="399"/>
      <c r="BF14" s="399"/>
      <c r="BG14" s="399"/>
      <c r="BH14" s="399"/>
      <c r="BI14" s="399"/>
      <c r="BJ14" s="399"/>
      <c r="BK14" s="399"/>
      <c r="BL14" s="399"/>
      <c r="BM14" s="399"/>
      <c r="BN14" s="399"/>
      <c r="BO14" s="399"/>
      <c r="BP14" s="399"/>
      <c r="BQ14" s="399"/>
      <c r="BR14" s="399"/>
      <c r="BS14" s="399"/>
      <c r="BT14" s="399"/>
      <c r="BU14" s="399"/>
      <c r="BV14" s="399"/>
      <c r="BW14" s="399"/>
      <c r="BX14" s="399"/>
      <c r="BY14" s="399"/>
      <c r="BZ14" s="399"/>
      <c r="CA14" s="399"/>
      <c r="CB14" s="399"/>
      <c r="CC14" s="399"/>
      <c r="CD14" s="399"/>
      <c r="CE14" s="399"/>
      <c r="CF14" s="399"/>
      <c r="CG14" s="399"/>
      <c r="CH14" s="399"/>
      <c r="CI14" s="399"/>
      <c r="CJ14" s="399"/>
      <c r="CK14" s="399"/>
      <c r="CL14" s="399"/>
      <c r="CM14" s="399"/>
      <c r="CN14" s="399"/>
      <c r="CO14" s="399"/>
      <c r="CP14" s="399"/>
      <c r="CQ14" s="399"/>
      <c r="CR14" s="399"/>
      <c r="CS14" s="399"/>
      <c r="CT14" s="399"/>
      <c r="CU14" s="399"/>
      <c r="CV14" s="399"/>
      <c r="CW14" s="399"/>
      <c r="CX14" s="399"/>
      <c r="CY14" s="399"/>
      <c r="CZ14" s="399"/>
      <c r="DA14" s="399"/>
    </row>
    <row r="15" spans="1:106" s="393" customFormat="1" ht="15" outlineLevel="2" thickBot="1" x14ac:dyDescent="0.35">
      <c r="A15" s="394" t="s">
        <v>1217</v>
      </c>
      <c r="B15" s="452" t="s">
        <v>1418</v>
      </c>
      <c r="C15" s="457">
        <v>44745</v>
      </c>
      <c r="D15" s="457">
        <v>44745</v>
      </c>
      <c r="E15" s="402" t="s">
        <v>1244</v>
      </c>
      <c r="F15" s="387" t="s">
        <v>917</v>
      </c>
      <c r="G15" s="388"/>
      <c r="H15" s="387"/>
      <c r="I15" s="403"/>
      <c r="J15" s="403"/>
      <c r="K15" s="404"/>
      <c r="L15" s="404"/>
      <c r="M15" s="391"/>
      <c r="N15" s="391"/>
      <c r="O15" s="392"/>
      <c r="P15" s="405"/>
      <c r="Q15" s="392"/>
      <c r="R15" s="392"/>
      <c r="S15" s="392"/>
      <c r="T15" s="392"/>
      <c r="U15" s="392"/>
      <c r="V15" s="392"/>
      <c r="W15" s="392"/>
      <c r="X15" s="392"/>
      <c r="Y15" s="392"/>
      <c r="Z15" s="392"/>
      <c r="AA15" s="406"/>
      <c r="AB15" s="406"/>
      <c r="AC15" s="392"/>
      <c r="AD15" s="392"/>
      <c r="AE15" s="392"/>
      <c r="AF15" s="392"/>
      <c r="AG15" s="392"/>
      <c r="AH15" s="392"/>
      <c r="AI15" s="392"/>
      <c r="AJ15" s="392"/>
      <c r="AK15" s="392"/>
      <c r="AL15" s="392"/>
      <c r="AM15" s="392"/>
      <c r="AN15" s="392"/>
      <c r="AO15" s="392"/>
      <c r="AP15" s="392"/>
      <c r="AQ15" s="392"/>
      <c r="AR15" s="392"/>
      <c r="AS15" s="392"/>
      <c r="AT15" s="392"/>
      <c r="AU15" s="392"/>
      <c r="AV15" s="392"/>
      <c r="AW15" s="392"/>
      <c r="AX15" s="392"/>
      <c r="AY15" s="392"/>
      <c r="AZ15" s="392"/>
      <c r="BA15" s="392"/>
      <c r="BB15" s="392"/>
      <c r="BC15" s="392"/>
      <c r="BD15" s="392"/>
      <c r="BE15" s="392"/>
      <c r="BF15" s="392"/>
      <c r="BG15" s="392"/>
      <c r="BH15" s="392"/>
      <c r="BI15" s="392"/>
      <c r="BJ15" s="392"/>
      <c r="BK15" s="392"/>
      <c r="BL15" s="392"/>
      <c r="BM15" s="392"/>
      <c r="BN15" s="392"/>
      <c r="BO15" s="392"/>
      <c r="BP15" s="392"/>
      <c r="BQ15" s="392"/>
      <c r="BR15" s="392"/>
      <c r="BS15" s="392"/>
      <c r="BT15" s="392"/>
      <c r="BU15" s="392"/>
      <c r="BV15" s="392"/>
      <c r="BW15" s="392"/>
      <c r="BX15" s="392"/>
      <c r="BY15" s="392"/>
      <c r="BZ15" s="392"/>
      <c r="CA15" s="392"/>
      <c r="CB15" s="392"/>
      <c r="CC15" s="392"/>
      <c r="CD15" s="392"/>
      <c r="CE15" s="392"/>
      <c r="CF15" s="392"/>
      <c r="CG15" s="392"/>
      <c r="CH15" s="392"/>
      <c r="CI15" s="392"/>
      <c r="CJ15" s="392"/>
      <c r="CK15" s="392"/>
      <c r="CL15" s="392"/>
      <c r="CM15" s="392"/>
      <c r="CN15" s="392"/>
      <c r="CO15" s="392"/>
      <c r="CP15" s="392"/>
      <c r="CQ15" s="392"/>
      <c r="CR15" s="392"/>
      <c r="CS15" s="392"/>
      <c r="CT15" s="392"/>
      <c r="CU15" s="392"/>
      <c r="CV15" s="392"/>
      <c r="CW15" s="392"/>
      <c r="CX15" s="392"/>
      <c r="CY15" s="392"/>
      <c r="CZ15" s="392"/>
      <c r="DA15" s="392"/>
    </row>
    <row r="16" spans="1:106" s="393" customFormat="1" ht="15" outlineLevel="2" thickBot="1" x14ac:dyDescent="0.35">
      <c r="A16" s="394" t="s">
        <v>1218</v>
      </c>
      <c r="B16" s="452" t="s">
        <v>1213</v>
      </c>
      <c r="C16" s="457">
        <v>44754</v>
      </c>
      <c r="D16" s="457">
        <v>44755</v>
      </c>
      <c r="E16" s="402" t="s">
        <v>1244</v>
      </c>
      <c r="F16" s="387" t="s">
        <v>1221</v>
      </c>
      <c r="G16" s="388"/>
      <c r="H16" s="387"/>
      <c r="I16" s="403"/>
      <c r="J16" s="403"/>
      <c r="K16" s="404"/>
      <c r="L16" s="404"/>
      <c r="M16" s="391"/>
      <c r="N16" s="391"/>
      <c r="O16" s="392"/>
      <c r="P16" s="405"/>
      <c r="Q16" s="392"/>
      <c r="R16" s="392"/>
      <c r="S16" s="392"/>
      <c r="T16" s="392"/>
      <c r="U16" s="392"/>
      <c r="V16" s="392"/>
      <c r="W16" s="392"/>
      <c r="X16" s="392"/>
      <c r="Y16" s="392"/>
      <c r="Z16" s="392"/>
      <c r="AA16" s="406"/>
      <c r="AB16" s="406"/>
      <c r="AC16" s="392"/>
      <c r="AD16" s="392"/>
      <c r="AE16" s="392"/>
      <c r="AF16" s="392"/>
      <c r="AG16" s="392"/>
      <c r="AH16" s="392"/>
      <c r="AI16" s="392"/>
      <c r="AJ16" s="392"/>
      <c r="AK16" s="392"/>
      <c r="AL16" s="392"/>
      <c r="AM16" s="392"/>
      <c r="AN16" s="392"/>
      <c r="AO16" s="392"/>
      <c r="AP16" s="392"/>
      <c r="AQ16" s="392"/>
      <c r="AR16" s="392"/>
      <c r="AS16" s="392"/>
      <c r="AT16" s="392"/>
      <c r="AU16" s="392"/>
      <c r="AV16" s="392"/>
      <c r="AW16" s="392"/>
      <c r="AX16" s="392"/>
      <c r="AY16" s="392"/>
      <c r="AZ16" s="392"/>
      <c r="BA16" s="392"/>
      <c r="BB16" s="392"/>
      <c r="BC16" s="392"/>
      <c r="BD16" s="392"/>
      <c r="BE16" s="392"/>
      <c r="BF16" s="392"/>
      <c r="BG16" s="392"/>
      <c r="BH16" s="392"/>
      <c r="BI16" s="392"/>
      <c r="BJ16" s="392"/>
      <c r="BK16" s="392"/>
      <c r="BL16" s="392"/>
      <c r="BM16" s="392"/>
      <c r="BN16" s="392"/>
      <c r="BO16" s="392"/>
      <c r="BP16" s="392"/>
      <c r="BQ16" s="392"/>
      <c r="BR16" s="392"/>
      <c r="BS16" s="392"/>
      <c r="BT16" s="392"/>
      <c r="BU16" s="392"/>
      <c r="BV16" s="392"/>
      <c r="BW16" s="392"/>
      <c r="BX16" s="392"/>
      <c r="BY16" s="392"/>
      <c r="BZ16" s="392"/>
      <c r="CA16" s="392"/>
      <c r="CB16" s="392"/>
      <c r="CC16" s="392"/>
      <c r="CD16" s="392"/>
      <c r="CE16" s="392"/>
      <c r="CF16" s="392"/>
      <c r="CG16" s="392"/>
      <c r="CH16" s="392"/>
      <c r="CI16" s="392"/>
      <c r="CJ16" s="392"/>
      <c r="CK16" s="392"/>
      <c r="CL16" s="392"/>
      <c r="CM16" s="392"/>
      <c r="CN16" s="392"/>
      <c r="CO16" s="392"/>
      <c r="CP16" s="392"/>
      <c r="CQ16" s="392"/>
      <c r="CR16" s="392"/>
      <c r="CS16" s="392"/>
      <c r="CT16" s="392"/>
      <c r="CU16" s="392"/>
      <c r="CV16" s="392"/>
      <c r="CW16" s="392"/>
      <c r="CX16" s="392"/>
      <c r="CY16" s="392"/>
      <c r="CZ16" s="392"/>
      <c r="DA16" s="392"/>
    </row>
    <row r="17" spans="1:105" s="393" customFormat="1" ht="15" outlineLevel="2" thickBot="1" x14ac:dyDescent="0.35">
      <c r="A17" s="394" t="s">
        <v>1219</v>
      </c>
      <c r="B17" s="452" t="s">
        <v>1214</v>
      </c>
      <c r="C17" s="457">
        <v>44756</v>
      </c>
      <c r="D17" s="457">
        <v>44757</v>
      </c>
      <c r="E17" s="402" t="s">
        <v>1244</v>
      </c>
      <c r="F17" s="387" t="s">
        <v>1226</v>
      </c>
      <c r="G17" s="388"/>
      <c r="H17" s="387"/>
      <c r="I17" s="403"/>
      <c r="J17" s="403"/>
      <c r="K17" s="404"/>
      <c r="L17" s="404"/>
      <c r="M17" s="391"/>
      <c r="N17" s="391"/>
      <c r="O17" s="392"/>
      <c r="P17" s="405"/>
      <c r="Q17" s="392"/>
      <c r="R17" s="392"/>
      <c r="S17" s="392"/>
      <c r="T17" s="392"/>
      <c r="U17" s="392"/>
      <c r="V17" s="392"/>
      <c r="W17" s="392"/>
      <c r="X17" s="392"/>
      <c r="Y17" s="392"/>
      <c r="Z17" s="392"/>
      <c r="AA17" s="406"/>
      <c r="AB17" s="406"/>
      <c r="AC17" s="392"/>
      <c r="AD17" s="392"/>
      <c r="AE17" s="392"/>
      <c r="AF17" s="392"/>
      <c r="AG17" s="392"/>
      <c r="AH17" s="392"/>
      <c r="AI17" s="392"/>
      <c r="AJ17" s="392"/>
      <c r="AK17" s="392"/>
      <c r="AL17" s="392"/>
      <c r="AM17" s="392"/>
      <c r="AN17" s="392"/>
      <c r="AO17" s="392"/>
      <c r="AP17" s="392"/>
      <c r="AQ17" s="392"/>
      <c r="AR17" s="392"/>
      <c r="AS17" s="392"/>
      <c r="AT17" s="392"/>
      <c r="AU17" s="392"/>
      <c r="AV17" s="392"/>
      <c r="AW17" s="392"/>
      <c r="AX17" s="392"/>
      <c r="AY17" s="392"/>
      <c r="AZ17" s="392"/>
      <c r="BA17" s="392"/>
      <c r="BB17" s="392"/>
      <c r="BC17" s="392"/>
      <c r="BD17" s="392"/>
      <c r="BE17" s="392"/>
      <c r="BF17" s="392"/>
      <c r="BG17" s="392"/>
      <c r="BH17" s="392"/>
      <c r="BI17" s="392"/>
      <c r="BJ17" s="392"/>
      <c r="BK17" s="392"/>
      <c r="BL17" s="392"/>
      <c r="BM17" s="392"/>
      <c r="BN17" s="392"/>
      <c r="BO17" s="392"/>
      <c r="BP17" s="392"/>
      <c r="BQ17" s="392"/>
      <c r="BR17" s="392"/>
      <c r="BS17" s="392"/>
      <c r="BT17" s="392"/>
      <c r="BU17" s="392"/>
      <c r="BV17" s="392"/>
      <c r="BW17" s="392"/>
      <c r="BX17" s="392"/>
      <c r="BY17" s="392"/>
      <c r="BZ17" s="392"/>
      <c r="CA17" s="392"/>
      <c r="CB17" s="392"/>
      <c r="CC17" s="392"/>
      <c r="CD17" s="392"/>
      <c r="CE17" s="392"/>
      <c r="CF17" s="392"/>
      <c r="CG17" s="392"/>
      <c r="CH17" s="392"/>
      <c r="CI17" s="392"/>
      <c r="CJ17" s="392"/>
      <c r="CK17" s="392"/>
      <c r="CL17" s="392"/>
      <c r="CM17" s="392"/>
      <c r="CN17" s="392"/>
      <c r="CO17" s="392"/>
      <c r="CP17" s="392"/>
      <c r="CQ17" s="392"/>
      <c r="CR17" s="392"/>
      <c r="CS17" s="392"/>
      <c r="CT17" s="392"/>
      <c r="CU17" s="392"/>
      <c r="CV17" s="392"/>
      <c r="CW17" s="392"/>
      <c r="CX17" s="392"/>
      <c r="CY17" s="392"/>
      <c r="CZ17" s="392"/>
      <c r="DA17" s="392"/>
    </row>
    <row r="18" spans="1:105" s="393" customFormat="1" ht="15" outlineLevel="2" thickBot="1" x14ac:dyDescent="0.35">
      <c r="A18" s="394" t="s">
        <v>1419</v>
      </c>
      <c r="B18" s="452" t="s">
        <v>1215</v>
      </c>
      <c r="C18" s="457">
        <v>44759</v>
      </c>
      <c r="D18" s="457">
        <v>44759</v>
      </c>
      <c r="E18" s="402" t="s">
        <v>1244</v>
      </c>
      <c r="F18" s="387" t="s">
        <v>1400</v>
      </c>
      <c r="G18" s="388"/>
      <c r="H18" s="387"/>
      <c r="I18" s="403"/>
      <c r="J18" s="403"/>
      <c r="K18" s="404"/>
      <c r="L18" s="404"/>
      <c r="M18" s="391"/>
      <c r="N18" s="391"/>
      <c r="O18" s="392"/>
      <c r="P18" s="405"/>
      <c r="Q18" s="392"/>
      <c r="R18" s="392"/>
      <c r="S18" s="392"/>
      <c r="T18" s="392"/>
      <c r="U18" s="392"/>
      <c r="V18" s="392"/>
      <c r="W18" s="392"/>
      <c r="X18" s="392"/>
      <c r="Y18" s="392"/>
      <c r="Z18" s="392"/>
      <c r="AA18" s="406"/>
      <c r="AB18" s="406"/>
      <c r="AC18" s="392"/>
      <c r="AD18" s="392"/>
      <c r="AE18" s="392"/>
      <c r="AF18" s="392"/>
      <c r="AG18" s="392"/>
      <c r="AH18" s="392"/>
      <c r="AI18" s="392"/>
      <c r="AJ18" s="392"/>
      <c r="AK18" s="392"/>
      <c r="AL18" s="392"/>
      <c r="AM18" s="392"/>
      <c r="AN18" s="392"/>
      <c r="AO18" s="392"/>
      <c r="AP18" s="392"/>
      <c r="AQ18" s="392"/>
      <c r="AR18" s="392"/>
      <c r="AS18" s="392"/>
      <c r="AT18" s="392"/>
      <c r="AU18" s="392"/>
      <c r="AV18" s="392"/>
      <c r="AW18" s="392"/>
      <c r="AX18" s="392"/>
      <c r="AY18" s="392"/>
      <c r="AZ18" s="392"/>
      <c r="BA18" s="392"/>
      <c r="BB18" s="392"/>
      <c r="BC18" s="392"/>
      <c r="BD18" s="392"/>
      <c r="BE18" s="392"/>
      <c r="BF18" s="392"/>
      <c r="BG18" s="392"/>
      <c r="BH18" s="392"/>
      <c r="BI18" s="392"/>
      <c r="BJ18" s="392"/>
      <c r="BK18" s="392"/>
      <c r="BL18" s="392"/>
      <c r="BM18" s="392"/>
      <c r="BN18" s="392"/>
      <c r="BO18" s="392"/>
      <c r="BP18" s="392"/>
      <c r="BQ18" s="392"/>
      <c r="BR18" s="392"/>
      <c r="BS18" s="392"/>
      <c r="BT18" s="392"/>
      <c r="BU18" s="392"/>
      <c r="BV18" s="392"/>
      <c r="BW18" s="392"/>
      <c r="BX18" s="392"/>
      <c r="BY18" s="392"/>
      <c r="BZ18" s="392"/>
      <c r="CA18" s="392"/>
      <c r="CB18" s="392"/>
      <c r="CC18" s="392"/>
      <c r="CD18" s="392"/>
      <c r="CE18" s="392"/>
      <c r="CF18" s="392"/>
      <c r="CG18" s="392"/>
      <c r="CH18" s="392"/>
      <c r="CI18" s="392"/>
      <c r="CJ18" s="392"/>
      <c r="CK18" s="392"/>
      <c r="CL18" s="392"/>
      <c r="CM18" s="392"/>
      <c r="CN18" s="392"/>
      <c r="CO18" s="392"/>
      <c r="CP18" s="392"/>
      <c r="CQ18" s="392"/>
      <c r="CR18" s="392"/>
      <c r="CS18" s="392"/>
      <c r="CT18" s="392"/>
      <c r="CU18" s="392"/>
      <c r="CV18" s="392"/>
      <c r="CW18" s="392"/>
      <c r="CX18" s="392"/>
      <c r="CY18" s="392"/>
      <c r="CZ18" s="392"/>
      <c r="DA18" s="392"/>
    </row>
    <row r="19" spans="1:105" s="393" customFormat="1" ht="15" outlineLevel="2" thickBot="1" x14ac:dyDescent="0.35">
      <c r="A19" s="394" t="s">
        <v>1463</v>
      </c>
      <c r="B19" s="452" t="s">
        <v>1462</v>
      </c>
      <c r="C19" s="457">
        <v>44770</v>
      </c>
      <c r="D19" s="457">
        <v>44770</v>
      </c>
      <c r="E19" s="402" t="s">
        <v>1245</v>
      </c>
      <c r="F19" s="387" t="s">
        <v>1400</v>
      </c>
      <c r="G19" s="388"/>
      <c r="H19" s="387"/>
      <c r="I19" s="403"/>
      <c r="J19" s="403"/>
      <c r="K19" s="404"/>
      <c r="L19" s="404"/>
      <c r="M19" s="391"/>
      <c r="N19" s="391"/>
      <c r="O19" s="392"/>
      <c r="P19" s="405"/>
      <c r="Q19" s="392"/>
      <c r="R19" s="392"/>
      <c r="S19" s="392"/>
      <c r="T19" s="392"/>
      <c r="U19" s="392"/>
      <c r="V19" s="392"/>
      <c r="W19" s="392"/>
      <c r="X19" s="392"/>
      <c r="Y19" s="392"/>
      <c r="Z19" s="392"/>
      <c r="AA19" s="406"/>
      <c r="AB19" s="406"/>
      <c r="AC19" s="392"/>
      <c r="AD19" s="392"/>
      <c r="AE19" s="392"/>
      <c r="AF19" s="392"/>
      <c r="AG19" s="392"/>
      <c r="AH19" s="392"/>
      <c r="AI19" s="392"/>
      <c r="AJ19" s="392"/>
      <c r="AK19" s="392"/>
      <c r="AL19" s="392"/>
      <c r="AM19" s="392"/>
      <c r="AN19" s="392"/>
      <c r="AO19" s="392"/>
      <c r="AP19" s="392"/>
      <c r="AQ19" s="392"/>
      <c r="AR19" s="392"/>
      <c r="AS19" s="392"/>
      <c r="AT19" s="392"/>
      <c r="AU19" s="392"/>
      <c r="AV19" s="392"/>
      <c r="AW19" s="392"/>
      <c r="AX19" s="392"/>
      <c r="AY19" s="392"/>
      <c r="AZ19" s="392"/>
      <c r="BA19" s="392"/>
      <c r="BB19" s="392"/>
      <c r="BC19" s="392"/>
      <c r="BD19" s="392"/>
      <c r="BE19" s="392"/>
      <c r="BF19" s="392"/>
      <c r="BG19" s="392"/>
      <c r="BH19" s="392"/>
      <c r="BI19" s="392"/>
      <c r="BJ19" s="392"/>
      <c r="BK19" s="392"/>
      <c r="BL19" s="392"/>
      <c r="BM19" s="392"/>
      <c r="BN19" s="392"/>
      <c r="BO19" s="392"/>
      <c r="BP19" s="392"/>
      <c r="BQ19" s="392"/>
      <c r="BR19" s="392"/>
      <c r="BS19" s="392"/>
      <c r="BT19" s="392"/>
      <c r="BU19" s="392"/>
      <c r="BV19" s="392"/>
      <c r="BW19" s="392"/>
      <c r="BX19" s="392"/>
      <c r="BY19" s="392"/>
      <c r="BZ19" s="392"/>
      <c r="CA19" s="392"/>
      <c r="CB19" s="392"/>
      <c r="CC19" s="392"/>
      <c r="CD19" s="392"/>
      <c r="CE19" s="392"/>
      <c r="CF19" s="392"/>
      <c r="CG19" s="392"/>
      <c r="CH19" s="392"/>
      <c r="CI19" s="392"/>
      <c r="CJ19" s="392"/>
      <c r="CK19" s="392"/>
      <c r="CL19" s="392"/>
      <c r="CM19" s="392"/>
      <c r="CN19" s="392"/>
      <c r="CO19" s="392"/>
      <c r="CP19" s="392"/>
      <c r="CQ19" s="392"/>
      <c r="CR19" s="392"/>
      <c r="CS19" s="392"/>
      <c r="CT19" s="392"/>
      <c r="CU19" s="392"/>
      <c r="CV19" s="392"/>
      <c r="CW19" s="392"/>
      <c r="CX19" s="392"/>
      <c r="CY19" s="392"/>
      <c r="CZ19" s="392"/>
      <c r="DA19" s="392"/>
    </row>
    <row r="20" spans="1:105" s="393" customFormat="1" ht="15" outlineLevel="2" thickBot="1" x14ac:dyDescent="0.35">
      <c r="A20" s="402"/>
      <c r="B20" s="394" t="s">
        <v>939</v>
      </c>
      <c r="C20" s="394"/>
      <c r="D20" s="394"/>
      <c r="E20" s="394"/>
      <c r="F20" s="394"/>
      <c r="G20" s="388"/>
      <c r="H20" s="387"/>
      <c r="I20" s="403"/>
      <c r="J20" s="403"/>
      <c r="K20" s="404"/>
      <c r="L20" s="404"/>
      <c r="M20" s="391"/>
      <c r="N20" s="391"/>
      <c r="O20" s="392"/>
      <c r="P20" s="392"/>
      <c r="Q20" s="392"/>
      <c r="R20" s="392"/>
      <c r="S20" s="392"/>
      <c r="T20" s="392"/>
      <c r="U20" s="392"/>
      <c r="V20" s="392"/>
      <c r="W20" s="392"/>
      <c r="X20" s="392"/>
      <c r="Y20" s="392"/>
      <c r="Z20" s="392"/>
      <c r="AA20" s="406"/>
      <c r="AB20" s="406"/>
      <c r="AC20" s="392"/>
      <c r="AD20" s="392"/>
      <c r="AE20" s="392"/>
      <c r="AF20" s="392"/>
      <c r="AG20" s="392"/>
      <c r="AH20" s="392"/>
      <c r="AI20" s="392"/>
      <c r="AJ20" s="392"/>
      <c r="AK20" s="392"/>
      <c r="AL20" s="392"/>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2"/>
      <c r="BK20" s="392"/>
      <c r="BL20" s="392"/>
      <c r="BM20" s="392"/>
      <c r="BN20" s="392"/>
      <c r="BO20" s="392"/>
      <c r="BP20" s="392"/>
      <c r="BQ20" s="392"/>
      <c r="BR20" s="392"/>
      <c r="BS20" s="392"/>
      <c r="BT20" s="392"/>
      <c r="BU20" s="392"/>
      <c r="BV20" s="392"/>
      <c r="BW20" s="392"/>
      <c r="BX20" s="392"/>
      <c r="BY20" s="392"/>
      <c r="BZ20" s="392"/>
      <c r="CA20" s="392"/>
      <c r="CB20" s="392"/>
      <c r="CC20" s="392"/>
      <c r="CD20" s="392"/>
      <c r="CE20" s="392"/>
      <c r="CF20" s="392"/>
      <c r="CG20" s="392"/>
      <c r="CH20" s="392"/>
      <c r="CI20" s="392"/>
      <c r="CJ20" s="392"/>
      <c r="CK20" s="392"/>
      <c r="CL20" s="392"/>
      <c r="CM20" s="392"/>
      <c r="CN20" s="392"/>
      <c r="CO20" s="392"/>
      <c r="CP20" s="392"/>
      <c r="CQ20" s="392"/>
      <c r="CR20" s="392"/>
      <c r="CS20" s="392"/>
      <c r="CT20" s="392"/>
      <c r="CU20" s="392"/>
      <c r="CV20" s="392"/>
      <c r="CW20" s="392"/>
      <c r="CX20" s="392"/>
      <c r="CY20" s="392"/>
      <c r="CZ20" s="392"/>
      <c r="DA20" s="392"/>
    </row>
    <row r="21" spans="1:105" s="393" customFormat="1" ht="29.4" hidden="1" outlineLevel="2" thickBot="1" x14ac:dyDescent="0.35">
      <c r="A21" s="456" t="s">
        <v>1222</v>
      </c>
      <c r="B21" s="458" t="s">
        <v>1436</v>
      </c>
      <c r="C21" s="459"/>
      <c r="D21" s="459"/>
      <c r="E21" s="459" t="s">
        <v>1420</v>
      </c>
      <c r="F21" s="454" t="s">
        <v>944</v>
      </c>
      <c r="G21" s="455"/>
      <c r="H21" s="454">
        <v>0</v>
      </c>
      <c r="I21" s="403"/>
      <c r="J21" s="403"/>
      <c r="K21" s="404"/>
      <c r="L21" s="404"/>
      <c r="M21" s="391"/>
      <c r="N21" s="391"/>
      <c r="O21" s="392"/>
      <c r="P21" s="392"/>
      <c r="Q21" s="392"/>
      <c r="R21" s="392"/>
      <c r="S21" s="392"/>
      <c r="T21" s="392"/>
      <c r="U21" s="392"/>
      <c r="V21" s="392"/>
      <c r="W21" s="392"/>
      <c r="X21" s="392"/>
      <c r="Y21" s="392"/>
      <c r="Z21" s="392"/>
      <c r="AA21" s="406"/>
      <c r="AB21" s="406"/>
      <c r="AC21" s="392"/>
      <c r="AD21" s="392"/>
      <c r="AE21" s="392"/>
      <c r="AF21" s="392"/>
      <c r="AG21" s="392"/>
      <c r="AH21" s="392"/>
      <c r="AI21" s="392"/>
      <c r="AJ21" s="392"/>
      <c r="AK21" s="392"/>
      <c r="AL21" s="392"/>
      <c r="AM21" s="392"/>
      <c r="AN21" s="392"/>
      <c r="AO21" s="392"/>
      <c r="AP21" s="392"/>
      <c r="AQ21" s="392"/>
      <c r="AR21" s="392"/>
      <c r="AS21" s="392"/>
      <c r="AT21" s="392"/>
      <c r="AU21" s="392"/>
      <c r="AV21" s="392"/>
      <c r="AW21" s="392"/>
      <c r="AX21" s="392"/>
      <c r="AY21" s="392"/>
      <c r="AZ21" s="392"/>
      <c r="BA21" s="392"/>
      <c r="BB21" s="392"/>
      <c r="BC21" s="392"/>
      <c r="BD21" s="392"/>
      <c r="BE21" s="392"/>
      <c r="BF21" s="392"/>
      <c r="BG21" s="392"/>
      <c r="BH21" s="392"/>
      <c r="BI21" s="392"/>
      <c r="BJ21" s="392"/>
      <c r="BK21" s="392"/>
      <c r="BL21" s="392"/>
      <c r="BM21" s="392"/>
      <c r="BN21" s="392"/>
      <c r="BO21" s="392"/>
      <c r="BP21" s="392"/>
      <c r="BQ21" s="392"/>
      <c r="BR21" s="392"/>
      <c r="BS21" s="392"/>
      <c r="BT21" s="392"/>
      <c r="BU21" s="392"/>
      <c r="BV21" s="392"/>
      <c r="BW21" s="392"/>
      <c r="BX21" s="392"/>
      <c r="BY21" s="392"/>
      <c r="BZ21" s="392"/>
      <c r="CA21" s="392"/>
      <c r="CB21" s="392"/>
      <c r="CC21" s="392"/>
      <c r="CD21" s="392"/>
      <c r="CE21" s="392"/>
      <c r="CF21" s="392"/>
      <c r="CG21" s="392"/>
      <c r="CH21" s="392"/>
      <c r="CI21" s="392"/>
      <c r="CJ21" s="392"/>
      <c r="CK21" s="392"/>
      <c r="CL21" s="392"/>
      <c r="CM21" s="392"/>
      <c r="CN21" s="392"/>
      <c r="CO21" s="392"/>
      <c r="CP21" s="392"/>
      <c r="CQ21" s="392"/>
      <c r="CR21" s="392"/>
      <c r="CS21" s="392"/>
      <c r="CT21" s="392"/>
      <c r="CU21" s="392"/>
      <c r="CV21" s="392"/>
      <c r="CW21" s="392"/>
      <c r="CX21" s="392"/>
      <c r="CY21" s="392"/>
      <c r="CZ21" s="392"/>
      <c r="DA21" s="392"/>
    </row>
    <row r="22" spans="1:105" s="393" customFormat="1" ht="15" outlineLevel="2" thickBot="1" x14ac:dyDescent="0.35">
      <c r="A22" s="394" t="s">
        <v>1222</v>
      </c>
      <c r="B22" s="452" t="s">
        <v>1438</v>
      </c>
      <c r="C22" s="457">
        <v>44761</v>
      </c>
      <c r="D22" s="457">
        <v>44761</v>
      </c>
      <c r="E22" s="402" t="s">
        <v>1244</v>
      </c>
      <c r="F22" s="387" t="s">
        <v>1437</v>
      </c>
      <c r="G22" s="388"/>
      <c r="H22" s="387">
        <v>0</v>
      </c>
      <c r="I22" s="403"/>
      <c r="J22" s="403"/>
      <c r="K22" s="404"/>
      <c r="L22" s="404"/>
      <c r="M22" s="391"/>
      <c r="N22" s="391"/>
      <c r="O22" s="392"/>
      <c r="P22" s="392"/>
      <c r="Q22" s="392"/>
      <c r="R22" s="392"/>
      <c r="S22" s="392"/>
      <c r="T22" s="392"/>
      <c r="U22" s="392"/>
      <c r="V22" s="392"/>
      <c r="W22" s="392"/>
      <c r="X22" s="392"/>
      <c r="Y22" s="392"/>
      <c r="Z22" s="392"/>
      <c r="AA22" s="406"/>
      <c r="AB22" s="406"/>
      <c r="AC22" s="392"/>
      <c r="AD22" s="392"/>
      <c r="AE22" s="392"/>
      <c r="AF22" s="392"/>
      <c r="AG22" s="392"/>
      <c r="AH22" s="392"/>
      <c r="AI22" s="392"/>
      <c r="AJ22" s="392"/>
      <c r="AK22" s="392"/>
      <c r="AL22" s="392"/>
      <c r="AM22" s="392"/>
      <c r="AN22" s="392"/>
      <c r="AO22" s="392"/>
      <c r="AP22" s="392"/>
      <c r="AQ22" s="392"/>
      <c r="AR22" s="392"/>
      <c r="AS22" s="392"/>
      <c r="AT22" s="392"/>
      <c r="AU22" s="392"/>
      <c r="AV22" s="392"/>
      <c r="AW22" s="392"/>
      <c r="AX22" s="392"/>
      <c r="AY22" s="392"/>
      <c r="AZ22" s="392"/>
      <c r="BA22" s="392"/>
      <c r="BB22" s="392"/>
      <c r="BC22" s="392"/>
      <c r="BD22" s="392"/>
      <c r="BE22" s="392"/>
      <c r="BF22" s="392"/>
      <c r="BG22" s="392"/>
      <c r="BH22" s="392"/>
      <c r="BI22" s="392"/>
      <c r="BJ22" s="392"/>
      <c r="BK22" s="392"/>
      <c r="BL22" s="392"/>
      <c r="BM22" s="392"/>
      <c r="BN22" s="392"/>
      <c r="BO22" s="392"/>
      <c r="BP22" s="392"/>
      <c r="BQ22" s="392"/>
      <c r="BR22" s="392"/>
      <c r="BS22" s="392"/>
      <c r="BT22" s="392"/>
      <c r="BU22" s="392"/>
      <c r="BV22" s="392"/>
      <c r="BW22" s="392"/>
      <c r="BX22" s="392"/>
      <c r="BY22" s="392"/>
      <c r="BZ22" s="392"/>
      <c r="CA22" s="392"/>
      <c r="CB22" s="392"/>
      <c r="CC22" s="392"/>
      <c r="CD22" s="392"/>
      <c r="CE22" s="392"/>
      <c r="CF22" s="392"/>
      <c r="CG22" s="392"/>
      <c r="CH22" s="392"/>
      <c r="CI22" s="392"/>
      <c r="CJ22" s="392"/>
      <c r="CK22" s="392"/>
      <c r="CL22" s="392"/>
      <c r="CM22" s="392"/>
      <c r="CN22" s="392"/>
      <c r="CO22" s="392"/>
      <c r="CP22" s="392"/>
      <c r="CQ22" s="392"/>
      <c r="CR22" s="392"/>
      <c r="CS22" s="392"/>
      <c r="CT22" s="392"/>
      <c r="CU22" s="392"/>
      <c r="CV22" s="392"/>
      <c r="CW22" s="392"/>
      <c r="CX22" s="392"/>
      <c r="CY22" s="392"/>
      <c r="CZ22" s="392"/>
      <c r="DA22" s="392"/>
    </row>
    <row r="23" spans="1:105" s="393" customFormat="1" ht="31.2" customHeight="1" outlineLevel="2" thickBot="1" x14ac:dyDescent="0.35">
      <c r="A23" s="394" t="s">
        <v>1223</v>
      </c>
      <c r="B23" s="452" t="s">
        <v>1464</v>
      </c>
      <c r="C23" s="457">
        <v>44762</v>
      </c>
      <c r="D23" s="457">
        <v>44762</v>
      </c>
      <c r="E23" s="402" t="s">
        <v>1245</v>
      </c>
      <c r="F23" s="387" t="s">
        <v>1032</v>
      </c>
      <c r="G23" s="388"/>
      <c r="H23" s="387"/>
      <c r="I23" s="403"/>
      <c r="J23" s="403"/>
      <c r="K23" s="404"/>
      <c r="L23" s="404"/>
      <c r="M23" s="391"/>
      <c r="N23" s="391"/>
      <c r="O23" s="392"/>
      <c r="P23" s="392"/>
      <c r="Q23" s="392"/>
      <c r="R23" s="392"/>
      <c r="S23" s="392"/>
      <c r="T23" s="392"/>
      <c r="U23" s="392"/>
      <c r="V23" s="392"/>
      <c r="W23" s="392"/>
      <c r="X23" s="392"/>
      <c r="Y23" s="392"/>
      <c r="Z23" s="392"/>
      <c r="AA23" s="406"/>
      <c r="AB23" s="406"/>
      <c r="AC23" s="392"/>
      <c r="AD23" s="392"/>
      <c r="AE23" s="392"/>
      <c r="AF23" s="392"/>
      <c r="AG23" s="392"/>
      <c r="AH23" s="392"/>
      <c r="AI23" s="392"/>
      <c r="AJ23" s="392"/>
      <c r="AK23" s="392"/>
      <c r="AL23" s="392"/>
      <c r="AM23" s="392"/>
      <c r="AN23" s="392"/>
      <c r="AO23" s="392"/>
      <c r="AP23" s="392"/>
      <c r="AQ23" s="392"/>
      <c r="AR23" s="392"/>
      <c r="AS23" s="392"/>
      <c r="AT23" s="392"/>
      <c r="AU23" s="392"/>
      <c r="AV23" s="392"/>
      <c r="AW23" s="392"/>
      <c r="AX23" s="392"/>
      <c r="AY23" s="392"/>
      <c r="AZ23" s="392"/>
      <c r="BA23" s="392"/>
      <c r="BB23" s="392"/>
      <c r="BC23" s="392"/>
      <c r="BD23" s="392"/>
      <c r="BE23" s="392"/>
      <c r="BF23" s="392"/>
      <c r="BG23" s="392"/>
      <c r="BH23" s="392"/>
      <c r="BI23" s="392"/>
      <c r="BJ23" s="392"/>
      <c r="BK23" s="392"/>
      <c r="BL23" s="392"/>
      <c r="BM23" s="392"/>
      <c r="BN23" s="392"/>
      <c r="BO23" s="392"/>
      <c r="BP23" s="392"/>
      <c r="BQ23" s="392"/>
      <c r="BR23" s="392"/>
      <c r="BS23" s="392"/>
      <c r="BT23" s="392"/>
      <c r="BU23" s="392"/>
      <c r="BV23" s="392"/>
      <c r="BW23" s="392"/>
      <c r="BX23" s="392"/>
      <c r="BY23" s="392"/>
      <c r="BZ23" s="392"/>
      <c r="CA23" s="392"/>
      <c r="CB23" s="392"/>
      <c r="CC23" s="392"/>
      <c r="CD23" s="392"/>
      <c r="CE23" s="392"/>
      <c r="CF23" s="392"/>
      <c r="CG23" s="392"/>
      <c r="CH23" s="392"/>
      <c r="CI23" s="392"/>
      <c r="CJ23" s="392"/>
      <c r="CK23" s="392"/>
      <c r="CL23" s="392"/>
      <c r="CM23" s="392"/>
      <c r="CN23" s="392"/>
      <c r="CO23" s="392"/>
      <c r="CP23" s="392"/>
      <c r="CQ23" s="392"/>
      <c r="CR23" s="392"/>
      <c r="CS23" s="392"/>
      <c r="CT23" s="392"/>
      <c r="CU23" s="392"/>
      <c r="CV23" s="392"/>
      <c r="CW23" s="392"/>
      <c r="CX23" s="392"/>
      <c r="CY23" s="392"/>
      <c r="CZ23" s="392"/>
      <c r="DA23" s="392"/>
    </row>
    <row r="24" spans="1:105" s="393" customFormat="1" ht="18" customHeight="1" outlineLevel="2" thickBot="1" x14ac:dyDescent="0.35">
      <c r="A24" s="394" t="s">
        <v>1224</v>
      </c>
      <c r="B24" s="452" t="s">
        <v>1439</v>
      </c>
      <c r="C24" s="457">
        <v>44765</v>
      </c>
      <c r="D24" s="457">
        <v>44765</v>
      </c>
      <c r="E24" s="402" t="s">
        <v>1245</v>
      </c>
      <c r="F24" s="387" t="s">
        <v>1435</v>
      </c>
      <c r="G24" s="388"/>
      <c r="H24" s="387"/>
      <c r="I24" s="403"/>
      <c r="J24" s="403"/>
      <c r="K24" s="404"/>
      <c r="L24" s="404"/>
      <c r="M24" s="391"/>
      <c r="N24" s="391"/>
      <c r="O24" s="392"/>
      <c r="P24" s="392"/>
      <c r="Q24" s="392"/>
      <c r="R24" s="392"/>
      <c r="S24" s="392"/>
      <c r="T24" s="392"/>
      <c r="U24" s="392"/>
      <c r="V24" s="392"/>
      <c r="W24" s="392"/>
      <c r="X24" s="392"/>
      <c r="Y24" s="392"/>
      <c r="Z24" s="392"/>
      <c r="AA24" s="406"/>
      <c r="AB24" s="406"/>
      <c r="AC24" s="392"/>
      <c r="AD24" s="392"/>
      <c r="AE24" s="392"/>
      <c r="AF24" s="392"/>
      <c r="AG24" s="392"/>
      <c r="AH24" s="392"/>
      <c r="AI24" s="392"/>
      <c r="AJ24" s="392"/>
      <c r="AK24" s="392"/>
      <c r="AL24" s="392"/>
      <c r="AM24" s="392"/>
      <c r="AN24" s="392"/>
      <c r="AO24" s="392"/>
      <c r="AP24" s="392"/>
      <c r="AQ24" s="392"/>
      <c r="AR24" s="392"/>
      <c r="AS24" s="392"/>
      <c r="AT24" s="392"/>
      <c r="AU24" s="392"/>
      <c r="AV24" s="392"/>
      <c r="AW24" s="392"/>
      <c r="AX24" s="392"/>
      <c r="AY24" s="392"/>
      <c r="AZ24" s="392"/>
      <c r="BA24" s="392"/>
      <c r="BB24" s="392"/>
      <c r="BC24" s="392"/>
      <c r="BD24" s="392"/>
      <c r="BE24" s="392"/>
      <c r="BF24" s="392"/>
      <c r="BG24" s="392"/>
      <c r="BH24" s="392"/>
      <c r="BI24" s="392"/>
      <c r="BJ24" s="392"/>
      <c r="BK24" s="392"/>
      <c r="BL24" s="392"/>
      <c r="BM24" s="392"/>
      <c r="BN24" s="392"/>
      <c r="BO24" s="392"/>
      <c r="BP24" s="392"/>
      <c r="BQ24" s="392"/>
      <c r="BR24" s="392"/>
      <c r="BS24" s="392"/>
      <c r="BT24" s="392"/>
      <c r="BU24" s="392"/>
      <c r="BV24" s="392"/>
      <c r="BW24" s="392"/>
      <c r="BX24" s="392"/>
      <c r="BY24" s="392"/>
      <c r="BZ24" s="392"/>
      <c r="CA24" s="392"/>
      <c r="CB24" s="392"/>
      <c r="CC24" s="392"/>
      <c r="CD24" s="392"/>
      <c r="CE24" s="392"/>
      <c r="CF24" s="392"/>
      <c r="CG24" s="392"/>
      <c r="CH24" s="392"/>
      <c r="CI24" s="392"/>
      <c r="CJ24" s="392"/>
      <c r="CK24" s="392"/>
      <c r="CL24" s="392"/>
      <c r="CM24" s="392"/>
      <c r="CN24" s="392"/>
      <c r="CO24" s="392"/>
      <c r="CP24" s="392"/>
      <c r="CQ24" s="392"/>
      <c r="CR24" s="392"/>
      <c r="CS24" s="392"/>
      <c r="CT24" s="392"/>
      <c r="CU24" s="392"/>
      <c r="CV24" s="392"/>
      <c r="CW24" s="392"/>
      <c r="CX24" s="392"/>
      <c r="CY24" s="392"/>
      <c r="CZ24" s="392"/>
      <c r="DA24" s="392"/>
    </row>
    <row r="25" spans="1:105" s="393" customFormat="1" ht="18" customHeight="1" outlineLevel="2" thickBot="1" x14ac:dyDescent="0.35">
      <c r="A25" s="480" t="s">
        <v>1225</v>
      </c>
      <c r="B25" s="481" t="s">
        <v>1465</v>
      </c>
      <c r="C25" s="483">
        <v>44765</v>
      </c>
      <c r="D25" s="483">
        <v>44765</v>
      </c>
      <c r="E25" s="476" t="s">
        <v>1245</v>
      </c>
      <c r="F25" s="478" t="s">
        <v>1284</v>
      </c>
      <c r="G25" s="478"/>
      <c r="H25" s="472"/>
      <c r="I25" s="403"/>
      <c r="J25" s="403"/>
      <c r="K25" s="404"/>
      <c r="L25" s="404"/>
      <c r="M25" s="391"/>
      <c r="N25" s="391"/>
      <c r="O25" s="392"/>
      <c r="P25" s="392"/>
      <c r="Q25" s="392"/>
      <c r="R25" s="392"/>
      <c r="S25" s="392"/>
      <c r="T25" s="392"/>
      <c r="U25" s="392"/>
      <c r="V25" s="392"/>
      <c r="W25" s="392"/>
      <c r="X25" s="392"/>
      <c r="Y25" s="392"/>
      <c r="Z25" s="392"/>
      <c r="AA25" s="406"/>
      <c r="AB25" s="406"/>
      <c r="AC25" s="392"/>
      <c r="AD25" s="392"/>
      <c r="AE25" s="392"/>
      <c r="AF25" s="392"/>
      <c r="AG25" s="392"/>
      <c r="AH25" s="392"/>
      <c r="AI25" s="392"/>
      <c r="AJ25" s="392"/>
      <c r="AK25" s="392"/>
      <c r="AL25" s="392"/>
      <c r="AM25" s="392"/>
      <c r="AN25" s="392"/>
      <c r="AO25" s="392"/>
      <c r="AP25" s="392"/>
      <c r="AQ25" s="392"/>
      <c r="AR25" s="392"/>
      <c r="AS25" s="392"/>
      <c r="AT25" s="392"/>
      <c r="AU25" s="392"/>
      <c r="AV25" s="392"/>
      <c r="AW25" s="392"/>
      <c r="AX25" s="392"/>
      <c r="AY25" s="392"/>
      <c r="AZ25" s="392"/>
      <c r="BA25" s="392"/>
      <c r="BB25" s="392"/>
      <c r="BC25" s="392"/>
      <c r="BD25" s="392"/>
      <c r="BE25" s="392"/>
      <c r="BF25" s="392"/>
      <c r="BG25" s="392"/>
      <c r="BH25" s="392"/>
      <c r="BI25" s="392"/>
      <c r="BJ25" s="392"/>
      <c r="BK25" s="392"/>
      <c r="BL25" s="392"/>
      <c r="BM25" s="392"/>
      <c r="BN25" s="392"/>
      <c r="BO25" s="392"/>
      <c r="BP25" s="392"/>
      <c r="BQ25" s="392"/>
      <c r="BR25" s="392"/>
      <c r="BS25" s="392"/>
      <c r="BT25" s="392"/>
      <c r="BU25" s="392"/>
      <c r="BV25" s="392"/>
      <c r="BW25" s="392"/>
      <c r="BX25" s="392"/>
      <c r="BY25" s="392"/>
      <c r="BZ25" s="392"/>
      <c r="CA25" s="392"/>
      <c r="CB25" s="392"/>
      <c r="CC25" s="392"/>
      <c r="CD25" s="392"/>
      <c r="CE25" s="392"/>
      <c r="CF25" s="392"/>
      <c r="CG25" s="392"/>
      <c r="CH25" s="392"/>
      <c r="CI25" s="392"/>
      <c r="CJ25" s="392"/>
      <c r="CK25" s="392"/>
      <c r="CL25" s="392"/>
      <c r="CM25" s="392"/>
      <c r="CN25" s="392"/>
      <c r="CO25" s="392"/>
      <c r="CP25" s="392"/>
      <c r="CQ25" s="392"/>
      <c r="CR25" s="392"/>
      <c r="CS25" s="392"/>
      <c r="CT25" s="392"/>
      <c r="CU25" s="392"/>
      <c r="CV25" s="392"/>
      <c r="CW25" s="392"/>
      <c r="CX25" s="392"/>
      <c r="CY25" s="392"/>
      <c r="CZ25" s="392"/>
      <c r="DA25" s="392"/>
    </row>
    <row r="26" spans="1:105" s="393" customFormat="1" ht="15" outlineLevel="2" thickBot="1" x14ac:dyDescent="0.35">
      <c r="A26" s="402"/>
      <c r="B26" s="394" t="s">
        <v>1220</v>
      </c>
      <c r="C26" s="394"/>
      <c r="D26" s="394"/>
      <c r="E26" s="394"/>
      <c r="F26" s="387"/>
      <c r="G26" s="388"/>
      <c r="H26" s="387"/>
      <c r="I26" s="403"/>
      <c r="J26" s="403"/>
      <c r="K26" s="404"/>
      <c r="L26" s="404"/>
      <c r="M26" s="391"/>
      <c r="N26" s="391"/>
      <c r="O26" s="392"/>
      <c r="P26" s="392"/>
      <c r="Q26" s="392"/>
      <c r="R26" s="392"/>
      <c r="S26" s="392"/>
      <c r="T26" s="392"/>
      <c r="U26" s="392"/>
      <c r="V26" s="392"/>
      <c r="W26" s="392"/>
      <c r="X26" s="392"/>
      <c r="Y26" s="392"/>
      <c r="Z26" s="392"/>
      <c r="AA26" s="406"/>
      <c r="AB26" s="406"/>
      <c r="AC26" s="392"/>
      <c r="AD26" s="392"/>
      <c r="AE26" s="392"/>
      <c r="AF26" s="392"/>
      <c r="AG26" s="392"/>
      <c r="AH26" s="392"/>
      <c r="AI26" s="392"/>
      <c r="AJ26" s="392"/>
      <c r="AK26" s="392"/>
      <c r="AL26" s="392"/>
      <c r="AM26" s="392"/>
      <c r="AN26" s="392"/>
      <c r="AO26" s="392"/>
      <c r="AP26" s="392"/>
      <c r="AQ26" s="392"/>
      <c r="AR26" s="392"/>
      <c r="AS26" s="392"/>
      <c r="AT26" s="392"/>
      <c r="AU26" s="392"/>
      <c r="AV26" s="392"/>
      <c r="AW26" s="392"/>
      <c r="AX26" s="392"/>
      <c r="AY26" s="392"/>
      <c r="AZ26" s="392"/>
      <c r="BA26" s="392"/>
      <c r="BB26" s="392"/>
      <c r="BC26" s="392"/>
      <c r="BD26" s="392"/>
      <c r="BE26" s="392"/>
      <c r="BF26" s="392"/>
      <c r="BG26" s="392"/>
      <c r="BH26" s="392"/>
      <c r="BI26" s="392"/>
      <c r="BJ26" s="392"/>
      <c r="BK26" s="392"/>
      <c r="BL26" s="392"/>
      <c r="BM26" s="392"/>
      <c r="BN26" s="392"/>
      <c r="BO26" s="392"/>
      <c r="BP26" s="392"/>
      <c r="BQ26" s="392"/>
      <c r="BR26" s="392"/>
      <c r="BS26" s="392"/>
      <c r="BT26" s="392"/>
      <c r="BU26" s="392"/>
      <c r="BV26" s="392"/>
      <c r="BW26" s="392"/>
      <c r="BX26" s="392"/>
      <c r="BY26" s="392"/>
      <c r="BZ26" s="392"/>
      <c r="CA26" s="392"/>
      <c r="CB26" s="392"/>
      <c r="CC26" s="392"/>
      <c r="CD26" s="392"/>
      <c r="CE26" s="392"/>
      <c r="CF26" s="392"/>
      <c r="CG26" s="392"/>
      <c r="CH26" s="392"/>
      <c r="CI26" s="392"/>
      <c r="CJ26" s="392"/>
      <c r="CK26" s="392"/>
      <c r="CL26" s="392"/>
      <c r="CM26" s="392"/>
      <c r="CN26" s="392"/>
      <c r="CO26" s="392"/>
      <c r="CP26" s="392"/>
      <c r="CQ26" s="392"/>
      <c r="CR26" s="392"/>
      <c r="CS26" s="392"/>
      <c r="CT26" s="392"/>
      <c r="CU26" s="392"/>
      <c r="CV26" s="392"/>
      <c r="CW26" s="392"/>
      <c r="CX26" s="392"/>
      <c r="CY26" s="392"/>
      <c r="CZ26" s="392"/>
      <c r="DA26" s="392"/>
    </row>
    <row r="27" spans="1:105" s="393" customFormat="1" ht="15" outlineLevel="2" thickBot="1" x14ac:dyDescent="0.35">
      <c r="A27" s="402"/>
      <c r="B27" s="451" t="s">
        <v>948</v>
      </c>
      <c r="C27" s="394"/>
      <c r="D27" s="394"/>
      <c r="E27" s="394"/>
      <c r="F27" s="394"/>
      <c r="G27" s="388"/>
      <c r="H27" s="387"/>
      <c r="I27" s="403"/>
      <c r="J27" s="403"/>
      <c r="K27" s="404"/>
      <c r="L27" s="404"/>
      <c r="M27" s="391"/>
      <c r="N27" s="391"/>
      <c r="O27" s="392"/>
      <c r="P27" s="392"/>
      <c r="Q27" s="392"/>
      <c r="R27" s="392"/>
      <c r="S27" s="392"/>
      <c r="T27" s="392"/>
      <c r="U27" s="392"/>
      <c r="V27" s="392"/>
      <c r="W27" s="392"/>
      <c r="X27" s="392"/>
      <c r="Y27" s="392"/>
      <c r="Z27" s="392"/>
      <c r="AA27" s="406"/>
      <c r="AB27" s="406"/>
      <c r="AC27" s="392"/>
      <c r="AD27" s="392"/>
      <c r="AE27" s="392"/>
      <c r="AF27" s="392"/>
      <c r="AG27" s="392"/>
      <c r="AH27" s="392"/>
      <c r="AI27" s="392"/>
      <c r="AJ27" s="392"/>
      <c r="AK27" s="392"/>
      <c r="AL27" s="392"/>
      <c r="AM27" s="392"/>
      <c r="AN27" s="392"/>
      <c r="AO27" s="392"/>
      <c r="AP27" s="392"/>
      <c r="AQ27" s="392"/>
      <c r="AR27" s="392"/>
      <c r="AS27" s="392"/>
      <c r="AT27" s="392"/>
      <c r="AU27" s="392"/>
      <c r="AV27" s="392"/>
      <c r="AW27" s="392"/>
      <c r="AX27" s="392"/>
      <c r="AY27" s="392"/>
      <c r="AZ27" s="392"/>
      <c r="BA27" s="392"/>
      <c r="BB27" s="392"/>
      <c r="BC27" s="392"/>
      <c r="BD27" s="392"/>
      <c r="BE27" s="392"/>
      <c r="BF27" s="392"/>
      <c r="BG27" s="392"/>
      <c r="BH27" s="392"/>
      <c r="BI27" s="392"/>
      <c r="BJ27" s="392"/>
      <c r="BK27" s="392"/>
      <c r="BL27" s="392"/>
      <c r="BM27" s="392"/>
      <c r="BN27" s="392"/>
      <c r="BO27" s="392"/>
      <c r="BP27" s="392"/>
      <c r="BQ27" s="392"/>
      <c r="BR27" s="392"/>
      <c r="BS27" s="392"/>
      <c r="BT27" s="392"/>
      <c r="BU27" s="392"/>
      <c r="BV27" s="392"/>
      <c r="BW27" s="392"/>
      <c r="BX27" s="392"/>
      <c r="BY27" s="392"/>
      <c r="BZ27" s="392"/>
      <c r="CA27" s="392"/>
      <c r="CB27" s="392"/>
      <c r="CC27" s="392"/>
      <c r="CD27" s="392"/>
      <c r="CE27" s="392"/>
      <c r="CF27" s="392"/>
      <c r="CG27" s="392"/>
      <c r="CH27" s="392"/>
      <c r="CI27" s="392"/>
      <c r="CJ27" s="392"/>
      <c r="CK27" s="392"/>
      <c r="CL27" s="392"/>
      <c r="CM27" s="392"/>
      <c r="CN27" s="392"/>
      <c r="CO27" s="392"/>
      <c r="CP27" s="392"/>
      <c r="CQ27" s="392"/>
      <c r="CR27" s="392"/>
      <c r="CS27" s="392"/>
      <c r="CT27" s="392"/>
      <c r="CU27" s="392"/>
      <c r="CV27" s="392"/>
      <c r="CW27" s="392"/>
      <c r="CX27" s="392"/>
      <c r="CY27" s="392"/>
      <c r="CZ27" s="392"/>
      <c r="DA27" s="392"/>
    </row>
    <row r="28" spans="1:105" s="393" customFormat="1" ht="15" outlineLevel="2" thickBot="1" x14ac:dyDescent="0.35">
      <c r="A28" s="394" t="s">
        <v>1232</v>
      </c>
      <c r="B28" s="453" t="s">
        <v>1141</v>
      </c>
      <c r="C28" s="402"/>
      <c r="D28" s="402"/>
      <c r="E28" s="402" t="s">
        <v>1244</v>
      </c>
      <c r="F28" s="387" t="s">
        <v>952</v>
      </c>
      <c r="G28" s="388"/>
      <c r="H28" s="387">
        <v>0</v>
      </c>
      <c r="I28" s="403"/>
      <c r="J28" s="403"/>
      <c r="K28" s="404"/>
      <c r="L28" s="404"/>
      <c r="M28" s="391"/>
      <c r="N28" s="391"/>
      <c r="O28" s="392"/>
      <c r="P28" s="392"/>
      <c r="Q28" s="392"/>
      <c r="R28" s="392"/>
      <c r="S28" s="392"/>
      <c r="T28" s="392"/>
      <c r="U28" s="392"/>
      <c r="V28" s="392"/>
      <c r="W28" s="392"/>
      <c r="X28" s="392"/>
      <c r="Y28" s="392"/>
      <c r="Z28" s="392"/>
      <c r="AA28" s="406"/>
      <c r="AB28" s="406"/>
      <c r="AC28" s="392"/>
      <c r="AD28" s="392"/>
      <c r="AE28" s="392"/>
      <c r="AF28" s="392"/>
      <c r="AG28" s="392"/>
      <c r="AH28" s="392"/>
      <c r="AI28" s="392"/>
      <c r="AJ28" s="392"/>
      <c r="AK28" s="392"/>
      <c r="AL28" s="392"/>
      <c r="AM28" s="392"/>
      <c r="AN28" s="392"/>
      <c r="AO28" s="392"/>
      <c r="AP28" s="392"/>
      <c r="AQ28" s="392"/>
      <c r="AR28" s="392"/>
      <c r="AS28" s="392"/>
      <c r="AT28" s="392"/>
      <c r="AU28" s="392"/>
      <c r="AV28" s="392"/>
      <c r="AW28" s="392"/>
      <c r="AX28" s="392"/>
      <c r="AY28" s="392"/>
      <c r="AZ28" s="392"/>
      <c r="BA28" s="392"/>
      <c r="BB28" s="392"/>
      <c r="BC28" s="392"/>
      <c r="BD28" s="392"/>
      <c r="BE28" s="392"/>
      <c r="BF28" s="392"/>
      <c r="BG28" s="392"/>
      <c r="BH28" s="392"/>
      <c r="BI28" s="392"/>
      <c r="BJ28" s="392"/>
      <c r="BK28" s="392"/>
      <c r="BL28" s="392"/>
      <c r="BM28" s="392"/>
      <c r="BN28" s="392"/>
      <c r="BO28" s="392"/>
      <c r="BP28" s="392"/>
      <c r="BQ28" s="392"/>
      <c r="BR28" s="392"/>
      <c r="BS28" s="392"/>
      <c r="BT28" s="392"/>
      <c r="BU28" s="392"/>
      <c r="BV28" s="392"/>
      <c r="BW28" s="392"/>
      <c r="BX28" s="392"/>
      <c r="BY28" s="392"/>
      <c r="BZ28" s="392"/>
      <c r="CA28" s="392"/>
      <c r="CB28" s="392"/>
      <c r="CC28" s="392"/>
      <c r="CD28" s="392"/>
      <c r="CE28" s="392"/>
      <c r="CF28" s="392"/>
      <c r="CG28" s="392"/>
      <c r="CH28" s="392"/>
      <c r="CI28" s="392"/>
      <c r="CJ28" s="392"/>
      <c r="CK28" s="392"/>
      <c r="CL28" s="392"/>
      <c r="CM28" s="392"/>
      <c r="CN28" s="392"/>
      <c r="CO28" s="392"/>
      <c r="CP28" s="392"/>
      <c r="CQ28" s="392"/>
      <c r="CR28" s="392"/>
      <c r="CS28" s="392"/>
      <c r="CT28" s="392"/>
      <c r="CU28" s="392"/>
      <c r="CV28" s="392"/>
      <c r="CW28" s="392"/>
      <c r="CX28" s="392"/>
      <c r="CY28" s="392"/>
      <c r="CZ28" s="392"/>
      <c r="DA28" s="392"/>
    </row>
    <row r="29" spans="1:105" s="393" customFormat="1" ht="15" outlineLevel="2" thickBot="1" x14ac:dyDescent="0.35">
      <c r="A29" s="394"/>
      <c r="B29" s="451" t="s">
        <v>1184</v>
      </c>
      <c r="C29" s="394"/>
      <c r="D29" s="394"/>
      <c r="E29" s="394"/>
      <c r="F29" s="394"/>
      <c r="G29" s="388"/>
      <c r="H29" s="387"/>
      <c r="I29" s="403"/>
      <c r="J29" s="403"/>
      <c r="K29" s="404"/>
      <c r="L29" s="404"/>
      <c r="M29" s="391"/>
      <c r="N29" s="391"/>
      <c r="O29" s="392"/>
      <c r="P29" s="392"/>
      <c r="Q29" s="392"/>
      <c r="R29" s="392"/>
      <c r="S29" s="392"/>
      <c r="T29" s="392"/>
      <c r="U29" s="392"/>
      <c r="V29" s="392"/>
      <c r="W29" s="392"/>
      <c r="X29" s="392"/>
      <c r="Y29" s="392"/>
      <c r="Z29" s="392"/>
      <c r="AA29" s="406"/>
      <c r="AB29" s="406"/>
      <c r="AC29" s="392"/>
      <c r="AD29" s="392"/>
      <c r="AE29" s="392"/>
      <c r="AF29" s="392"/>
      <c r="AG29" s="392"/>
      <c r="AH29" s="392"/>
      <c r="AI29" s="392"/>
      <c r="AJ29" s="392"/>
      <c r="AK29" s="392"/>
      <c r="AL29" s="392"/>
      <c r="AM29" s="392"/>
      <c r="AN29" s="392"/>
      <c r="AO29" s="392"/>
      <c r="AP29" s="392"/>
      <c r="AQ29" s="392"/>
      <c r="AR29" s="392"/>
      <c r="AS29" s="392"/>
      <c r="AT29" s="392"/>
      <c r="AU29" s="392"/>
      <c r="AV29" s="392"/>
      <c r="AW29" s="392"/>
      <c r="AX29" s="392"/>
      <c r="AY29" s="392"/>
      <c r="AZ29" s="392"/>
      <c r="BA29" s="392"/>
      <c r="BB29" s="392"/>
      <c r="BC29" s="392"/>
      <c r="BD29" s="392"/>
      <c r="BE29" s="392"/>
      <c r="BF29" s="392"/>
      <c r="BG29" s="392"/>
      <c r="BH29" s="392"/>
      <c r="BI29" s="392"/>
      <c r="BJ29" s="392"/>
      <c r="BK29" s="392"/>
      <c r="BL29" s="392"/>
      <c r="BM29" s="392"/>
      <c r="BN29" s="392"/>
      <c r="BO29" s="392"/>
      <c r="BP29" s="392"/>
      <c r="BQ29" s="392"/>
      <c r="BR29" s="392"/>
      <c r="BS29" s="392"/>
      <c r="BT29" s="392"/>
      <c r="BU29" s="392"/>
      <c r="BV29" s="392"/>
      <c r="BW29" s="392"/>
      <c r="BX29" s="392"/>
      <c r="BY29" s="392"/>
      <c r="BZ29" s="392"/>
      <c r="CA29" s="392"/>
      <c r="CB29" s="392"/>
      <c r="CC29" s="392"/>
      <c r="CD29" s="392"/>
      <c r="CE29" s="392"/>
      <c r="CF29" s="392"/>
      <c r="CG29" s="392"/>
      <c r="CH29" s="392"/>
      <c r="CI29" s="392"/>
      <c r="CJ29" s="392"/>
      <c r="CK29" s="392"/>
      <c r="CL29" s="392"/>
      <c r="CM29" s="392"/>
      <c r="CN29" s="392"/>
      <c r="CO29" s="392"/>
      <c r="CP29" s="392"/>
      <c r="CQ29" s="392"/>
      <c r="CR29" s="392"/>
      <c r="CS29" s="392"/>
      <c r="CT29" s="392"/>
      <c r="CU29" s="392"/>
      <c r="CV29" s="392"/>
      <c r="CW29" s="392"/>
      <c r="CX29" s="392"/>
      <c r="CY29" s="392"/>
      <c r="CZ29" s="392"/>
      <c r="DA29" s="392"/>
    </row>
    <row r="30" spans="1:105" s="393" customFormat="1" ht="15" outlineLevel="2" thickBot="1" x14ac:dyDescent="0.35">
      <c r="A30" s="394" t="s">
        <v>1228</v>
      </c>
      <c r="B30" s="376" t="s">
        <v>1180</v>
      </c>
      <c r="C30" s="460">
        <v>44757</v>
      </c>
      <c r="D30" s="460">
        <v>44757</v>
      </c>
      <c r="E30" s="407" t="s">
        <v>1244</v>
      </c>
      <c r="F30" s="408" t="s">
        <v>1182</v>
      </c>
      <c r="G30" s="388"/>
      <c r="H30" s="387"/>
      <c r="I30" s="403"/>
      <c r="J30" s="403"/>
      <c r="K30" s="404"/>
      <c r="L30" s="404"/>
      <c r="M30" s="391"/>
      <c r="N30" s="391"/>
      <c r="O30" s="392"/>
      <c r="P30" s="392"/>
      <c r="Q30" s="392"/>
      <c r="R30" s="392"/>
      <c r="S30" s="392"/>
      <c r="T30" s="392"/>
      <c r="U30" s="392"/>
      <c r="V30" s="392"/>
      <c r="W30" s="392"/>
      <c r="X30" s="392"/>
      <c r="Y30" s="392"/>
      <c r="Z30" s="392"/>
      <c r="AA30" s="406"/>
      <c r="AB30" s="406"/>
      <c r="AC30" s="392"/>
      <c r="AD30" s="392"/>
      <c r="AE30" s="392"/>
      <c r="AF30" s="392"/>
      <c r="AG30" s="392"/>
      <c r="AH30" s="392"/>
      <c r="AI30" s="392"/>
      <c r="AJ30" s="392"/>
      <c r="AK30" s="392"/>
      <c r="AL30" s="392"/>
      <c r="AM30" s="392"/>
      <c r="AN30" s="392"/>
      <c r="AO30" s="392"/>
      <c r="AP30" s="392"/>
      <c r="AQ30" s="392"/>
      <c r="AR30" s="392"/>
      <c r="AS30" s="392"/>
      <c r="AT30" s="392"/>
      <c r="AU30" s="392"/>
      <c r="AV30" s="392"/>
      <c r="AW30" s="392"/>
      <c r="AX30" s="392"/>
      <c r="AY30" s="392"/>
      <c r="AZ30" s="392"/>
      <c r="BA30" s="392"/>
      <c r="BB30" s="392"/>
      <c r="BC30" s="392"/>
      <c r="BD30" s="392"/>
      <c r="BE30" s="392"/>
      <c r="BF30" s="392"/>
      <c r="BG30" s="392"/>
      <c r="BH30" s="392"/>
      <c r="BI30" s="392"/>
      <c r="BJ30" s="392"/>
      <c r="BK30" s="392"/>
      <c r="BL30" s="392"/>
      <c r="BM30" s="392"/>
      <c r="BN30" s="392"/>
      <c r="BO30" s="392"/>
      <c r="BP30" s="392"/>
      <c r="BQ30" s="392"/>
      <c r="BR30" s="392"/>
      <c r="BS30" s="392"/>
      <c r="BT30" s="392"/>
      <c r="BU30" s="392"/>
      <c r="BV30" s="392"/>
      <c r="BW30" s="392"/>
      <c r="BX30" s="392"/>
      <c r="BY30" s="392"/>
      <c r="BZ30" s="392"/>
      <c r="CA30" s="392"/>
      <c r="CB30" s="392"/>
      <c r="CC30" s="392"/>
      <c r="CD30" s="392"/>
      <c r="CE30" s="392"/>
      <c r="CF30" s="392"/>
      <c r="CG30" s="392"/>
      <c r="CH30" s="392"/>
      <c r="CI30" s="392"/>
      <c r="CJ30" s="392"/>
      <c r="CK30" s="392"/>
      <c r="CL30" s="392"/>
      <c r="CM30" s="392"/>
      <c r="CN30" s="392"/>
      <c r="CO30" s="392"/>
      <c r="CP30" s="392"/>
      <c r="CQ30" s="392"/>
      <c r="CR30" s="392"/>
      <c r="CS30" s="392"/>
      <c r="CT30" s="392"/>
      <c r="CU30" s="392"/>
      <c r="CV30" s="392"/>
      <c r="CW30" s="392"/>
      <c r="CX30" s="392"/>
      <c r="CY30" s="392"/>
      <c r="CZ30" s="392"/>
      <c r="DA30" s="392"/>
    </row>
    <row r="31" spans="1:105" s="393" customFormat="1" ht="15" outlineLevel="2" thickBot="1" x14ac:dyDescent="0.35">
      <c r="A31" s="394" t="s">
        <v>1229</v>
      </c>
      <c r="B31" s="376" t="s">
        <v>1186</v>
      </c>
      <c r="C31" s="460">
        <v>44757</v>
      </c>
      <c r="D31" s="460">
        <v>44757</v>
      </c>
      <c r="E31" s="407" t="s">
        <v>1244</v>
      </c>
      <c r="F31" s="408" t="s">
        <v>952</v>
      </c>
      <c r="G31" s="388"/>
      <c r="H31" s="387"/>
      <c r="I31" s="403"/>
      <c r="J31" s="403"/>
      <c r="K31" s="404"/>
      <c r="L31" s="404"/>
      <c r="M31" s="391"/>
      <c r="N31" s="391"/>
      <c r="O31" s="392"/>
      <c r="P31" s="392"/>
      <c r="Q31" s="392"/>
      <c r="R31" s="392"/>
      <c r="S31" s="392"/>
      <c r="T31" s="392"/>
      <c r="U31" s="392"/>
      <c r="V31" s="392"/>
      <c r="W31" s="392"/>
      <c r="X31" s="392"/>
      <c r="Y31" s="392"/>
      <c r="Z31" s="392"/>
      <c r="AA31" s="406"/>
      <c r="AB31" s="406"/>
      <c r="AC31" s="392"/>
      <c r="AD31" s="392"/>
      <c r="AE31" s="392"/>
      <c r="AF31" s="392"/>
      <c r="AG31" s="392"/>
      <c r="AH31" s="392"/>
      <c r="AI31" s="392"/>
      <c r="AJ31" s="392"/>
      <c r="AK31" s="392"/>
      <c r="AL31" s="392"/>
      <c r="AM31" s="392"/>
      <c r="AN31" s="392"/>
      <c r="AO31" s="392"/>
      <c r="AP31" s="392"/>
      <c r="AQ31" s="392"/>
      <c r="AR31" s="392"/>
      <c r="AS31" s="392"/>
      <c r="AT31" s="392"/>
      <c r="AU31" s="392"/>
      <c r="AV31" s="392"/>
      <c r="AW31" s="392"/>
      <c r="AX31" s="392"/>
      <c r="AY31" s="392"/>
      <c r="AZ31" s="392"/>
      <c r="BA31" s="392"/>
      <c r="BB31" s="392"/>
      <c r="BC31" s="392"/>
      <c r="BD31" s="392"/>
      <c r="BE31" s="392"/>
      <c r="BF31" s="392"/>
      <c r="BG31" s="392"/>
      <c r="BH31" s="392"/>
      <c r="BI31" s="392"/>
      <c r="BJ31" s="392"/>
      <c r="BK31" s="392"/>
      <c r="BL31" s="392"/>
      <c r="BM31" s="392"/>
      <c r="BN31" s="392"/>
      <c r="BO31" s="392"/>
      <c r="BP31" s="392"/>
      <c r="BQ31" s="392"/>
      <c r="BR31" s="392"/>
      <c r="BS31" s="392"/>
      <c r="BT31" s="392"/>
      <c r="BU31" s="392"/>
      <c r="BV31" s="392"/>
      <c r="BW31" s="392"/>
      <c r="BX31" s="392"/>
      <c r="BY31" s="392"/>
      <c r="BZ31" s="392"/>
      <c r="CA31" s="392"/>
      <c r="CB31" s="392"/>
      <c r="CC31" s="392"/>
      <c r="CD31" s="392"/>
      <c r="CE31" s="392"/>
      <c r="CF31" s="392"/>
      <c r="CG31" s="392"/>
      <c r="CH31" s="392"/>
      <c r="CI31" s="392"/>
      <c r="CJ31" s="392"/>
      <c r="CK31" s="392"/>
      <c r="CL31" s="392"/>
      <c r="CM31" s="392"/>
      <c r="CN31" s="392"/>
      <c r="CO31" s="392"/>
      <c r="CP31" s="392"/>
      <c r="CQ31" s="392"/>
      <c r="CR31" s="392"/>
      <c r="CS31" s="392"/>
      <c r="CT31" s="392"/>
      <c r="CU31" s="392"/>
      <c r="CV31" s="392"/>
      <c r="CW31" s="392"/>
      <c r="CX31" s="392"/>
      <c r="CY31" s="392"/>
      <c r="CZ31" s="392"/>
      <c r="DA31" s="392"/>
    </row>
    <row r="32" spans="1:105" s="393" customFormat="1" ht="15" outlineLevel="2" thickBot="1" x14ac:dyDescent="0.35">
      <c r="A32" s="394" t="s">
        <v>1230</v>
      </c>
      <c r="B32" s="376" t="s">
        <v>1187</v>
      </c>
      <c r="C32" s="460">
        <v>44761</v>
      </c>
      <c r="D32" s="460">
        <v>44761</v>
      </c>
      <c r="E32" s="407" t="s">
        <v>1244</v>
      </c>
      <c r="F32" s="408" t="s">
        <v>1185</v>
      </c>
      <c r="G32" s="388"/>
      <c r="H32" s="387"/>
      <c r="I32" s="403"/>
      <c r="J32" s="403"/>
      <c r="K32" s="404"/>
      <c r="L32" s="404"/>
      <c r="M32" s="391"/>
      <c r="N32" s="391"/>
      <c r="O32" s="392"/>
      <c r="P32" s="392"/>
      <c r="Q32" s="392"/>
      <c r="R32" s="392"/>
      <c r="S32" s="392"/>
      <c r="T32" s="392"/>
      <c r="U32" s="392"/>
      <c r="V32" s="392"/>
      <c r="W32" s="392"/>
      <c r="X32" s="392"/>
      <c r="Y32" s="392"/>
      <c r="Z32" s="392"/>
      <c r="AA32" s="406"/>
      <c r="AB32" s="406"/>
      <c r="AC32" s="392"/>
      <c r="AD32" s="392"/>
      <c r="AE32" s="392"/>
      <c r="AF32" s="392"/>
      <c r="AG32" s="392"/>
      <c r="AH32" s="392"/>
      <c r="AI32" s="392"/>
      <c r="AJ32" s="392"/>
      <c r="AK32" s="392"/>
      <c r="AL32" s="392"/>
      <c r="AM32" s="392"/>
      <c r="AN32" s="392"/>
      <c r="AO32" s="392"/>
      <c r="AP32" s="392"/>
      <c r="AQ32" s="392"/>
      <c r="AR32" s="392"/>
      <c r="AS32" s="392"/>
      <c r="AT32" s="392"/>
      <c r="AU32" s="392"/>
      <c r="AV32" s="392"/>
      <c r="AW32" s="392"/>
      <c r="AX32" s="392"/>
      <c r="AY32" s="392"/>
      <c r="AZ32" s="392"/>
      <c r="BA32" s="392"/>
      <c r="BB32" s="392"/>
      <c r="BC32" s="392"/>
      <c r="BD32" s="392"/>
      <c r="BE32" s="392"/>
      <c r="BF32" s="392"/>
      <c r="BG32" s="392"/>
      <c r="BH32" s="392"/>
      <c r="BI32" s="392"/>
      <c r="BJ32" s="392"/>
      <c r="BK32" s="392"/>
      <c r="BL32" s="392"/>
      <c r="BM32" s="392"/>
      <c r="BN32" s="392"/>
      <c r="BO32" s="392"/>
      <c r="BP32" s="392"/>
      <c r="BQ32" s="392"/>
      <c r="BR32" s="392"/>
      <c r="BS32" s="392"/>
      <c r="BT32" s="392"/>
      <c r="BU32" s="392"/>
      <c r="BV32" s="392"/>
      <c r="BW32" s="392"/>
      <c r="BX32" s="392"/>
      <c r="BY32" s="392"/>
      <c r="BZ32" s="392"/>
      <c r="CA32" s="392"/>
      <c r="CB32" s="392"/>
      <c r="CC32" s="392"/>
      <c r="CD32" s="392"/>
      <c r="CE32" s="392"/>
      <c r="CF32" s="392"/>
      <c r="CG32" s="392"/>
      <c r="CH32" s="392"/>
      <c r="CI32" s="392"/>
      <c r="CJ32" s="392"/>
      <c r="CK32" s="392"/>
      <c r="CL32" s="392"/>
      <c r="CM32" s="392"/>
      <c r="CN32" s="392"/>
      <c r="CO32" s="392"/>
      <c r="CP32" s="392"/>
      <c r="CQ32" s="392"/>
      <c r="CR32" s="392"/>
      <c r="CS32" s="392"/>
      <c r="CT32" s="392"/>
      <c r="CU32" s="392"/>
      <c r="CV32" s="392"/>
      <c r="CW32" s="392"/>
      <c r="CX32" s="392"/>
      <c r="CY32" s="392"/>
      <c r="CZ32" s="392"/>
      <c r="DA32" s="392"/>
    </row>
    <row r="33" spans="1:105" s="393" customFormat="1" ht="15" outlineLevel="2" thickBot="1" x14ac:dyDescent="0.35">
      <c r="A33" s="394" t="s">
        <v>1231</v>
      </c>
      <c r="B33" s="376" t="s">
        <v>1181</v>
      </c>
      <c r="C33" s="460">
        <v>44764</v>
      </c>
      <c r="D33" s="460">
        <v>44764</v>
      </c>
      <c r="E33" s="407" t="s">
        <v>1244</v>
      </c>
      <c r="F33" s="408" t="s">
        <v>1183</v>
      </c>
      <c r="G33" s="388"/>
      <c r="H33" s="387"/>
      <c r="I33" s="403"/>
      <c r="J33" s="403"/>
      <c r="K33" s="404"/>
      <c r="L33" s="404"/>
      <c r="M33" s="391"/>
      <c r="N33" s="391"/>
      <c r="O33" s="392"/>
      <c r="P33" s="392"/>
      <c r="Q33" s="392"/>
      <c r="R33" s="392"/>
      <c r="S33" s="392"/>
      <c r="T33" s="392"/>
      <c r="U33" s="392"/>
      <c r="V33" s="392"/>
      <c r="W33" s="392"/>
      <c r="X33" s="392"/>
      <c r="Y33" s="392"/>
      <c r="Z33" s="392"/>
      <c r="AA33" s="406"/>
      <c r="AB33" s="406"/>
      <c r="AC33" s="392"/>
      <c r="AD33" s="392"/>
      <c r="AE33" s="392"/>
      <c r="AF33" s="392"/>
      <c r="AG33" s="392"/>
      <c r="AH33" s="392"/>
      <c r="AI33" s="392"/>
      <c r="AJ33" s="392"/>
      <c r="AK33" s="392"/>
      <c r="AL33" s="392"/>
      <c r="AM33" s="392"/>
      <c r="AN33" s="392"/>
      <c r="AO33" s="392"/>
      <c r="AP33" s="392"/>
      <c r="AQ33" s="392"/>
      <c r="AR33" s="392"/>
      <c r="AS33" s="392"/>
      <c r="AT33" s="392"/>
      <c r="AU33" s="392"/>
      <c r="AV33" s="392"/>
      <c r="AW33" s="392"/>
      <c r="AX33" s="392"/>
      <c r="AY33" s="392"/>
      <c r="AZ33" s="392"/>
      <c r="BA33" s="392"/>
      <c r="BB33" s="392"/>
      <c r="BC33" s="392"/>
      <c r="BD33" s="392"/>
      <c r="BE33" s="392"/>
      <c r="BF33" s="392"/>
      <c r="BG33" s="392"/>
      <c r="BH33" s="392"/>
      <c r="BI33" s="392"/>
      <c r="BJ33" s="392"/>
      <c r="BK33" s="392"/>
      <c r="BL33" s="392"/>
      <c r="BM33" s="392"/>
      <c r="BN33" s="392"/>
      <c r="BO33" s="392"/>
      <c r="BP33" s="392"/>
      <c r="BQ33" s="392"/>
      <c r="BR33" s="392"/>
      <c r="BS33" s="392"/>
      <c r="BT33" s="392"/>
      <c r="BU33" s="392"/>
      <c r="BV33" s="392"/>
      <c r="BW33" s="392"/>
      <c r="BX33" s="392"/>
      <c r="BY33" s="392"/>
      <c r="BZ33" s="392"/>
      <c r="CA33" s="392"/>
      <c r="CB33" s="392"/>
      <c r="CC33" s="392"/>
      <c r="CD33" s="392"/>
      <c r="CE33" s="392"/>
      <c r="CF33" s="392"/>
      <c r="CG33" s="392"/>
      <c r="CH33" s="392"/>
      <c r="CI33" s="392"/>
      <c r="CJ33" s="392"/>
      <c r="CK33" s="392"/>
      <c r="CL33" s="392"/>
      <c r="CM33" s="392"/>
      <c r="CN33" s="392"/>
      <c r="CO33" s="392"/>
      <c r="CP33" s="392"/>
      <c r="CQ33" s="392"/>
      <c r="CR33" s="392"/>
      <c r="CS33" s="392"/>
      <c r="CT33" s="392"/>
      <c r="CU33" s="392"/>
      <c r="CV33" s="392"/>
      <c r="CW33" s="392"/>
      <c r="CX33" s="392"/>
      <c r="CY33" s="392"/>
      <c r="CZ33" s="392"/>
      <c r="DA33" s="392"/>
    </row>
    <row r="34" spans="1:105" s="393" customFormat="1" ht="15" outlineLevel="2" thickBot="1" x14ac:dyDescent="0.35">
      <c r="A34" s="402"/>
      <c r="B34" s="451" t="s">
        <v>1150</v>
      </c>
      <c r="C34" s="394"/>
      <c r="D34" s="394"/>
      <c r="E34" s="394"/>
      <c r="F34" s="387"/>
      <c r="G34" s="388"/>
      <c r="H34" s="387"/>
      <c r="I34" s="403"/>
      <c r="J34" s="403"/>
      <c r="K34" s="404"/>
      <c r="L34" s="404"/>
      <c r="M34" s="391"/>
      <c r="N34" s="391"/>
      <c r="O34" s="392"/>
      <c r="P34" s="392"/>
      <c r="Q34" s="392"/>
      <c r="R34" s="392"/>
      <c r="S34" s="392"/>
      <c r="T34" s="392"/>
      <c r="U34" s="392"/>
      <c r="V34" s="392"/>
      <c r="W34" s="392"/>
      <c r="X34" s="392"/>
      <c r="Y34" s="392"/>
      <c r="Z34" s="392"/>
      <c r="AA34" s="406"/>
      <c r="AB34" s="406"/>
      <c r="AC34" s="392"/>
      <c r="AD34" s="392"/>
      <c r="AE34" s="392"/>
      <c r="AF34" s="392"/>
      <c r="AG34" s="392"/>
      <c r="AH34" s="392"/>
      <c r="AI34" s="392"/>
      <c r="AJ34" s="392"/>
      <c r="AK34" s="392"/>
      <c r="AL34" s="392"/>
      <c r="AM34" s="392"/>
      <c r="AN34" s="392"/>
      <c r="AO34" s="392"/>
      <c r="AP34" s="392"/>
      <c r="AQ34" s="392"/>
      <c r="AR34" s="392"/>
      <c r="AS34" s="392"/>
      <c r="AT34" s="392"/>
      <c r="AU34" s="392"/>
      <c r="AV34" s="392"/>
      <c r="AW34" s="392"/>
      <c r="AX34" s="392"/>
      <c r="AY34" s="392"/>
      <c r="AZ34" s="392"/>
      <c r="BA34" s="392"/>
      <c r="BB34" s="392"/>
      <c r="BC34" s="392"/>
      <c r="BD34" s="392"/>
      <c r="BE34" s="392"/>
      <c r="BF34" s="392"/>
      <c r="BG34" s="392"/>
      <c r="BH34" s="392"/>
      <c r="BI34" s="392"/>
      <c r="BJ34" s="392"/>
      <c r="BK34" s="392"/>
      <c r="BL34" s="392"/>
      <c r="BM34" s="392"/>
      <c r="BN34" s="392"/>
      <c r="BO34" s="392"/>
      <c r="BP34" s="392"/>
      <c r="BQ34" s="392"/>
      <c r="BR34" s="392"/>
      <c r="BS34" s="392"/>
      <c r="BT34" s="392"/>
      <c r="BU34" s="392"/>
      <c r="BV34" s="392"/>
      <c r="BW34" s="392"/>
      <c r="BX34" s="392"/>
      <c r="BY34" s="392"/>
      <c r="BZ34" s="392"/>
      <c r="CA34" s="392"/>
      <c r="CB34" s="392"/>
      <c r="CC34" s="392"/>
      <c r="CD34" s="392"/>
      <c r="CE34" s="392"/>
      <c r="CF34" s="392"/>
      <c r="CG34" s="392"/>
      <c r="CH34" s="392"/>
      <c r="CI34" s="392"/>
      <c r="CJ34" s="392"/>
      <c r="CK34" s="392"/>
      <c r="CL34" s="392"/>
      <c r="CM34" s="392"/>
      <c r="CN34" s="392"/>
      <c r="CO34" s="392"/>
      <c r="CP34" s="392"/>
      <c r="CQ34" s="392"/>
      <c r="CR34" s="392"/>
      <c r="CS34" s="392"/>
      <c r="CT34" s="392"/>
      <c r="CU34" s="392"/>
      <c r="CV34" s="392"/>
      <c r="CW34" s="392"/>
      <c r="CX34" s="392"/>
      <c r="CY34" s="392"/>
      <c r="CZ34" s="392"/>
      <c r="DA34" s="392"/>
    </row>
    <row r="35" spans="1:105" s="393" customFormat="1" ht="15" outlineLevel="2" thickBot="1" x14ac:dyDescent="0.35">
      <c r="A35" s="394" t="s">
        <v>1233</v>
      </c>
      <c r="B35" s="376" t="s">
        <v>960</v>
      </c>
      <c r="C35" s="407"/>
      <c r="D35" s="407"/>
      <c r="E35" s="407"/>
      <c r="F35" s="408" t="s">
        <v>1143</v>
      </c>
      <c r="G35" s="388">
        <v>1</v>
      </c>
      <c r="H35" s="387">
        <v>0</v>
      </c>
      <c r="I35" s="403">
        <v>44501</v>
      </c>
      <c r="J35" s="403">
        <v>44501</v>
      </c>
      <c r="K35" s="404"/>
      <c r="L35" s="404"/>
      <c r="M35" s="391"/>
      <c r="N35" s="391"/>
      <c r="O35" s="392"/>
      <c r="P35" s="392"/>
      <c r="Q35" s="392"/>
      <c r="R35" s="392"/>
      <c r="S35" s="392"/>
      <c r="T35" s="392"/>
      <c r="U35" s="392"/>
      <c r="V35" s="392"/>
      <c r="W35" s="392"/>
      <c r="X35" s="392"/>
      <c r="Y35" s="392"/>
      <c r="Z35" s="392"/>
      <c r="AA35" s="406"/>
      <c r="AB35" s="406"/>
      <c r="AC35" s="392"/>
      <c r="AD35" s="392"/>
      <c r="AE35" s="392"/>
      <c r="AF35" s="392"/>
      <c r="AG35" s="392"/>
      <c r="AH35" s="392"/>
      <c r="AI35" s="392"/>
      <c r="AJ35" s="392"/>
      <c r="AK35" s="392"/>
      <c r="AL35" s="392"/>
      <c r="AM35" s="392"/>
      <c r="AN35" s="392"/>
      <c r="AO35" s="392"/>
      <c r="AP35" s="392"/>
      <c r="AQ35" s="392"/>
      <c r="AR35" s="392"/>
      <c r="AS35" s="392"/>
      <c r="AT35" s="392"/>
      <c r="AU35" s="392"/>
      <c r="AV35" s="392"/>
      <c r="AW35" s="392"/>
      <c r="AX35" s="392"/>
      <c r="AY35" s="392"/>
      <c r="AZ35" s="392"/>
      <c r="BA35" s="392"/>
      <c r="BB35" s="392"/>
      <c r="BC35" s="392"/>
      <c r="BD35" s="392"/>
      <c r="BE35" s="392"/>
      <c r="BF35" s="392"/>
      <c r="BG35" s="392"/>
      <c r="BH35" s="392"/>
      <c r="BI35" s="392"/>
      <c r="BJ35" s="392"/>
      <c r="BK35" s="392"/>
      <c r="BL35" s="392"/>
      <c r="BM35" s="392"/>
      <c r="BN35" s="392"/>
      <c r="BO35" s="392"/>
      <c r="BP35" s="392"/>
      <c r="BQ35" s="392"/>
      <c r="BR35" s="392"/>
      <c r="BS35" s="392"/>
      <c r="BT35" s="392"/>
      <c r="BU35" s="392"/>
      <c r="BV35" s="392"/>
      <c r="BW35" s="392"/>
      <c r="BX35" s="392"/>
      <c r="BY35" s="392"/>
      <c r="BZ35" s="392"/>
      <c r="CA35" s="392"/>
      <c r="CB35" s="392"/>
      <c r="CC35" s="392"/>
      <c r="CD35" s="392"/>
      <c r="CE35" s="392"/>
      <c r="CF35" s="392"/>
      <c r="CG35" s="392"/>
      <c r="CH35" s="392"/>
      <c r="CI35" s="392"/>
      <c r="CJ35" s="392"/>
      <c r="CK35" s="392"/>
      <c r="CL35" s="392"/>
      <c r="CM35" s="392"/>
      <c r="CN35" s="392"/>
      <c r="CO35" s="392"/>
      <c r="CP35" s="392"/>
      <c r="CQ35" s="392"/>
      <c r="CR35" s="392"/>
      <c r="CS35" s="392"/>
      <c r="CT35" s="392"/>
      <c r="CU35" s="392"/>
      <c r="CV35" s="392"/>
      <c r="CW35" s="392"/>
      <c r="CX35" s="392"/>
      <c r="CY35" s="392"/>
      <c r="CZ35" s="392"/>
      <c r="DA35" s="392"/>
    </row>
    <row r="36" spans="1:105" s="393" customFormat="1" ht="15" outlineLevel="2" thickBot="1" x14ac:dyDescent="0.35">
      <c r="A36" s="394" t="s">
        <v>1234</v>
      </c>
      <c r="B36" s="376" t="s">
        <v>1093</v>
      </c>
      <c r="C36" s="407"/>
      <c r="D36" s="407"/>
      <c r="E36" s="407"/>
      <c r="F36" s="387" t="s">
        <v>1092</v>
      </c>
      <c r="G36" s="388"/>
      <c r="H36" s="387">
        <v>0.5</v>
      </c>
      <c r="I36" s="403">
        <v>44502</v>
      </c>
      <c r="J36" s="403">
        <v>44502</v>
      </c>
      <c r="K36" s="404"/>
      <c r="L36" s="404"/>
      <c r="M36" s="391"/>
      <c r="N36" s="391"/>
      <c r="O36" s="392"/>
      <c r="P36" s="392"/>
      <c r="Q36" s="392"/>
      <c r="R36" s="392"/>
      <c r="S36" s="392"/>
      <c r="T36" s="392"/>
      <c r="U36" s="392"/>
      <c r="V36" s="392"/>
      <c r="W36" s="392"/>
      <c r="X36" s="392"/>
      <c r="Y36" s="392"/>
      <c r="Z36" s="392"/>
      <c r="AA36" s="406"/>
      <c r="AB36" s="406"/>
      <c r="AC36" s="392"/>
      <c r="AD36" s="392"/>
      <c r="AE36" s="392"/>
      <c r="AF36" s="392"/>
      <c r="AG36" s="392"/>
      <c r="AH36" s="392"/>
      <c r="AI36" s="392"/>
      <c r="AJ36" s="392"/>
      <c r="AK36" s="392"/>
      <c r="AL36" s="392"/>
      <c r="AM36" s="392"/>
      <c r="AN36" s="392"/>
      <c r="AO36" s="392"/>
      <c r="AP36" s="392"/>
      <c r="AQ36" s="392"/>
      <c r="AR36" s="392"/>
      <c r="AS36" s="392"/>
      <c r="AT36" s="392"/>
      <c r="AU36" s="392"/>
      <c r="AV36" s="392"/>
      <c r="AW36" s="392"/>
      <c r="AX36" s="392"/>
      <c r="AY36" s="392"/>
      <c r="AZ36" s="392"/>
      <c r="BA36" s="392"/>
      <c r="BB36" s="392"/>
      <c r="BC36" s="392"/>
      <c r="BD36" s="392"/>
      <c r="BE36" s="392"/>
      <c r="BF36" s="392"/>
      <c r="BG36" s="392"/>
      <c r="BH36" s="392"/>
      <c r="BI36" s="392"/>
      <c r="BJ36" s="392"/>
      <c r="BK36" s="392"/>
      <c r="BL36" s="392"/>
      <c r="BM36" s="392"/>
      <c r="BN36" s="392"/>
      <c r="BO36" s="392"/>
      <c r="BP36" s="392"/>
      <c r="BQ36" s="392"/>
      <c r="BR36" s="392"/>
      <c r="BS36" s="392"/>
      <c r="BT36" s="392"/>
      <c r="BU36" s="392"/>
      <c r="BV36" s="392"/>
      <c r="BW36" s="392"/>
      <c r="BX36" s="392"/>
      <c r="BY36" s="392"/>
      <c r="BZ36" s="392"/>
      <c r="CA36" s="392"/>
      <c r="CB36" s="392"/>
      <c r="CC36" s="392"/>
      <c r="CD36" s="392"/>
      <c r="CE36" s="392"/>
      <c r="CF36" s="392"/>
      <c r="CG36" s="392"/>
      <c r="CH36" s="392"/>
      <c r="CI36" s="392"/>
      <c r="CJ36" s="392"/>
      <c r="CK36" s="392"/>
      <c r="CL36" s="392"/>
      <c r="CM36" s="392"/>
      <c r="CN36" s="392"/>
      <c r="CO36" s="392"/>
      <c r="CP36" s="392"/>
      <c r="CQ36" s="392"/>
      <c r="CR36" s="392"/>
      <c r="CS36" s="392"/>
      <c r="CT36" s="392"/>
      <c r="CU36" s="392"/>
      <c r="CV36" s="392"/>
      <c r="CW36" s="392"/>
      <c r="CX36" s="392"/>
      <c r="CY36" s="392"/>
      <c r="CZ36" s="392"/>
      <c r="DA36" s="392"/>
    </row>
    <row r="37" spans="1:105" s="393" customFormat="1" ht="15" outlineLevel="2" thickBot="1" x14ac:dyDescent="0.35">
      <c r="A37" s="394" t="s">
        <v>1235</v>
      </c>
      <c r="B37" s="376" t="s">
        <v>1160</v>
      </c>
      <c r="C37" s="407"/>
      <c r="D37" s="407"/>
      <c r="E37" s="407"/>
      <c r="F37" s="387" t="s">
        <v>1094</v>
      </c>
      <c r="G37" s="388"/>
      <c r="H37" s="387">
        <v>0.5</v>
      </c>
      <c r="I37" s="403">
        <v>44503</v>
      </c>
      <c r="J37" s="403">
        <v>44503</v>
      </c>
      <c r="K37" s="404"/>
      <c r="L37" s="404"/>
      <c r="M37" s="391"/>
      <c r="N37" s="391"/>
      <c r="O37" s="392"/>
      <c r="P37" s="392"/>
      <c r="Q37" s="392"/>
      <c r="R37" s="392"/>
      <c r="S37" s="392"/>
      <c r="T37" s="392"/>
      <c r="U37" s="392"/>
      <c r="V37" s="392"/>
      <c r="W37" s="392"/>
      <c r="X37" s="392"/>
      <c r="Y37" s="392"/>
      <c r="Z37" s="392"/>
      <c r="AA37" s="406"/>
      <c r="AB37" s="406"/>
      <c r="AC37" s="392"/>
      <c r="AD37" s="392"/>
      <c r="AE37" s="392"/>
      <c r="AF37" s="392"/>
      <c r="AG37" s="392"/>
      <c r="AH37" s="392"/>
      <c r="AI37" s="392"/>
      <c r="AJ37" s="392"/>
      <c r="AK37" s="392"/>
      <c r="AL37" s="392"/>
      <c r="AM37" s="392"/>
      <c r="AN37" s="392"/>
      <c r="AO37" s="392"/>
      <c r="AP37" s="392"/>
      <c r="AQ37" s="392"/>
      <c r="AR37" s="392"/>
      <c r="AS37" s="392"/>
      <c r="AT37" s="392"/>
      <c r="AU37" s="392"/>
      <c r="AV37" s="392"/>
      <c r="AW37" s="392"/>
      <c r="AX37" s="392"/>
      <c r="AY37" s="392"/>
      <c r="AZ37" s="392"/>
      <c r="BA37" s="392"/>
      <c r="BB37" s="392"/>
      <c r="BC37" s="392"/>
      <c r="BD37" s="392"/>
      <c r="BE37" s="392"/>
      <c r="BF37" s="392"/>
      <c r="BG37" s="392"/>
      <c r="BH37" s="392"/>
      <c r="BI37" s="392"/>
      <c r="BJ37" s="392"/>
      <c r="BK37" s="392"/>
      <c r="BL37" s="392"/>
      <c r="BM37" s="392"/>
      <c r="BN37" s="392"/>
      <c r="BO37" s="392"/>
      <c r="BP37" s="392"/>
      <c r="BQ37" s="392"/>
      <c r="BR37" s="392"/>
      <c r="BS37" s="392"/>
      <c r="BT37" s="392"/>
      <c r="BU37" s="392"/>
      <c r="BV37" s="392"/>
      <c r="BW37" s="392"/>
      <c r="BX37" s="392"/>
      <c r="BY37" s="392"/>
      <c r="BZ37" s="392"/>
      <c r="CA37" s="392"/>
      <c r="CB37" s="392"/>
      <c r="CC37" s="392"/>
      <c r="CD37" s="392"/>
      <c r="CE37" s="392"/>
      <c r="CF37" s="392"/>
      <c r="CG37" s="392"/>
      <c r="CH37" s="392"/>
      <c r="CI37" s="392"/>
      <c r="CJ37" s="392"/>
      <c r="CK37" s="392"/>
      <c r="CL37" s="392"/>
      <c r="CM37" s="392"/>
      <c r="CN37" s="392"/>
      <c r="CO37" s="392"/>
      <c r="CP37" s="392"/>
      <c r="CQ37" s="392"/>
      <c r="CR37" s="392"/>
      <c r="CS37" s="392"/>
      <c r="CT37" s="392"/>
      <c r="CU37" s="392"/>
      <c r="CV37" s="392"/>
      <c r="CW37" s="392"/>
      <c r="CX37" s="392"/>
      <c r="CY37" s="392"/>
      <c r="CZ37" s="392"/>
      <c r="DA37" s="392"/>
    </row>
    <row r="38" spans="1:105" s="393" customFormat="1" ht="15" outlineLevel="2" thickBot="1" x14ac:dyDescent="0.35">
      <c r="A38" s="394" t="s">
        <v>1236</v>
      </c>
      <c r="B38" s="376" t="s">
        <v>1159</v>
      </c>
      <c r="C38" s="407"/>
      <c r="D38" s="407"/>
      <c r="E38" s="407"/>
      <c r="F38" s="387" t="s">
        <v>1095</v>
      </c>
      <c r="G38" s="388"/>
      <c r="H38" s="387">
        <v>0.5</v>
      </c>
      <c r="I38" s="403">
        <v>44504</v>
      </c>
      <c r="J38" s="403">
        <v>44504</v>
      </c>
      <c r="K38" s="404"/>
      <c r="L38" s="404"/>
      <c r="M38" s="391"/>
      <c r="N38" s="391"/>
      <c r="O38" s="392"/>
      <c r="P38" s="392"/>
      <c r="Q38" s="392"/>
      <c r="R38" s="392"/>
      <c r="S38" s="392"/>
      <c r="T38" s="392"/>
      <c r="U38" s="392"/>
      <c r="V38" s="392"/>
      <c r="W38" s="392"/>
      <c r="X38" s="392"/>
      <c r="Y38" s="392"/>
      <c r="Z38" s="392"/>
      <c r="AA38" s="406"/>
      <c r="AB38" s="406"/>
      <c r="AC38" s="392"/>
      <c r="AD38" s="392"/>
      <c r="AE38" s="392"/>
      <c r="AF38" s="392"/>
      <c r="AG38" s="392"/>
      <c r="AH38" s="392"/>
      <c r="AI38" s="392"/>
      <c r="AJ38" s="392"/>
      <c r="AK38" s="392"/>
      <c r="AL38" s="392"/>
      <c r="AM38" s="392"/>
      <c r="AN38" s="392"/>
      <c r="AO38" s="392"/>
      <c r="AP38" s="392"/>
      <c r="AQ38" s="392"/>
      <c r="AR38" s="392"/>
      <c r="AS38" s="392"/>
      <c r="AT38" s="392"/>
      <c r="AU38" s="392"/>
      <c r="AV38" s="392"/>
      <c r="AW38" s="392"/>
      <c r="AX38" s="392"/>
      <c r="AY38" s="392"/>
      <c r="AZ38" s="392"/>
      <c r="BA38" s="392"/>
      <c r="BB38" s="392"/>
      <c r="BC38" s="392"/>
      <c r="BD38" s="392"/>
      <c r="BE38" s="392"/>
      <c r="BF38" s="392"/>
      <c r="BG38" s="392"/>
      <c r="BH38" s="392"/>
      <c r="BI38" s="392"/>
      <c r="BJ38" s="392"/>
      <c r="BK38" s="392"/>
      <c r="BL38" s="392"/>
      <c r="BM38" s="392"/>
      <c r="BN38" s="392"/>
      <c r="BO38" s="392"/>
      <c r="BP38" s="392"/>
      <c r="BQ38" s="392"/>
      <c r="BR38" s="392"/>
      <c r="BS38" s="392"/>
      <c r="BT38" s="392"/>
      <c r="BU38" s="392"/>
      <c r="BV38" s="392"/>
      <c r="BW38" s="392"/>
      <c r="BX38" s="392"/>
      <c r="BY38" s="392"/>
      <c r="BZ38" s="392"/>
      <c r="CA38" s="392"/>
      <c r="CB38" s="392"/>
      <c r="CC38" s="392"/>
      <c r="CD38" s="392"/>
      <c r="CE38" s="392"/>
      <c r="CF38" s="392"/>
      <c r="CG38" s="392"/>
      <c r="CH38" s="392"/>
      <c r="CI38" s="392"/>
      <c r="CJ38" s="392"/>
      <c r="CK38" s="392"/>
      <c r="CL38" s="392"/>
      <c r="CM38" s="392"/>
      <c r="CN38" s="392"/>
      <c r="CO38" s="392"/>
      <c r="CP38" s="392"/>
      <c r="CQ38" s="392"/>
      <c r="CR38" s="392"/>
      <c r="CS38" s="392"/>
      <c r="CT38" s="392"/>
      <c r="CU38" s="392"/>
      <c r="CV38" s="392"/>
      <c r="CW38" s="392"/>
      <c r="CX38" s="392"/>
      <c r="CY38" s="392"/>
      <c r="CZ38" s="392"/>
      <c r="DA38" s="392"/>
    </row>
    <row r="39" spans="1:105" s="393" customFormat="1" ht="15" outlineLevel="2" thickBot="1" x14ac:dyDescent="0.35">
      <c r="A39" s="394" t="s">
        <v>1237</v>
      </c>
      <c r="B39" s="376" t="s">
        <v>1096</v>
      </c>
      <c r="C39" s="407"/>
      <c r="D39" s="407"/>
      <c r="E39" s="407"/>
      <c r="F39" s="387" t="s">
        <v>1165</v>
      </c>
      <c r="G39" s="388"/>
      <c r="H39" s="387">
        <v>0.5</v>
      </c>
      <c r="I39" s="403"/>
      <c r="J39" s="403"/>
      <c r="K39" s="404"/>
      <c r="L39" s="404"/>
      <c r="M39" s="391"/>
      <c r="N39" s="391"/>
      <c r="O39" s="392"/>
      <c r="P39" s="392"/>
      <c r="Q39" s="392"/>
      <c r="R39" s="392"/>
      <c r="S39" s="392"/>
      <c r="T39" s="392"/>
      <c r="U39" s="392"/>
      <c r="V39" s="392"/>
      <c r="W39" s="392"/>
      <c r="X39" s="392"/>
      <c r="Y39" s="392"/>
      <c r="Z39" s="392"/>
      <c r="AA39" s="406"/>
      <c r="AB39" s="406"/>
      <c r="AC39" s="392"/>
      <c r="AD39" s="392"/>
      <c r="AE39" s="392"/>
      <c r="AF39" s="392"/>
      <c r="AG39" s="392"/>
      <c r="AH39" s="392"/>
      <c r="AI39" s="392"/>
      <c r="AJ39" s="392"/>
      <c r="AK39" s="392"/>
      <c r="AL39" s="392"/>
      <c r="AM39" s="392"/>
      <c r="AN39" s="392"/>
      <c r="AO39" s="392"/>
      <c r="AP39" s="392"/>
      <c r="AQ39" s="392"/>
      <c r="AR39" s="392"/>
      <c r="AS39" s="392"/>
      <c r="AT39" s="392"/>
      <c r="AU39" s="392"/>
      <c r="AV39" s="392"/>
      <c r="AW39" s="392"/>
      <c r="AX39" s="392"/>
      <c r="AY39" s="392"/>
      <c r="AZ39" s="392"/>
      <c r="BA39" s="392"/>
      <c r="BB39" s="392"/>
      <c r="BC39" s="392"/>
      <c r="BD39" s="392"/>
      <c r="BE39" s="392"/>
      <c r="BF39" s="392"/>
      <c r="BG39" s="392"/>
      <c r="BH39" s="392"/>
      <c r="BI39" s="392"/>
      <c r="BJ39" s="392"/>
      <c r="BK39" s="392"/>
      <c r="BL39" s="392"/>
      <c r="BM39" s="392"/>
      <c r="BN39" s="392"/>
      <c r="BO39" s="392"/>
      <c r="BP39" s="392"/>
      <c r="BQ39" s="392"/>
      <c r="BR39" s="392"/>
      <c r="BS39" s="392"/>
      <c r="BT39" s="392"/>
      <c r="BU39" s="392"/>
      <c r="BV39" s="392"/>
      <c r="BW39" s="392"/>
      <c r="BX39" s="392"/>
      <c r="BY39" s="392"/>
      <c r="BZ39" s="392"/>
      <c r="CA39" s="392"/>
      <c r="CB39" s="392"/>
      <c r="CC39" s="392"/>
      <c r="CD39" s="392"/>
      <c r="CE39" s="392"/>
      <c r="CF39" s="392"/>
      <c r="CG39" s="392"/>
      <c r="CH39" s="392"/>
      <c r="CI39" s="392"/>
      <c r="CJ39" s="392"/>
      <c r="CK39" s="392"/>
      <c r="CL39" s="392"/>
      <c r="CM39" s="392"/>
      <c r="CN39" s="392"/>
      <c r="CO39" s="392"/>
      <c r="CP39" s="392"/>
      <c r="CQ39" s="392"/>
      <c r="CR39" s="392"/>
      <c r="CS39" s="392"/>
      <c r="CT39" s="392"/>
      <c r="CU39" s="392"/>
      <c r="CV39" s="392"/>
      <c r="CW39" s="392"/>
      <c r="CX39" s="392"/>
      <c r="CY39" s="392"/>
      <c r="CZ39" s="392"/>
      <c r="DA39" s="392"/>
    </row>
    <row r="40" spans="1:105" s="393" customFormat="1" ht="15" outlineLevel="2" thickBot="1" x14ac:dyDescent="0.35">
      <c r="A40" s="394" t="s">
        <v>1238</v>
      </c>
      <c r="B40" s="376" t="s">
        <v>1161</v>
      </c>
      <c r="C40" s="407"/>
      <c r="D40" s="407"/>
      <c r="E40" s="407" t="s">
        <v>1244</v>
      </c>
      <c r="F40" s="387" t="s">
        <v>1165</v>
      </c>
      <c r="G40" s="388"/>
      <c r="H40" s="387"/>
      <c r="I40" s="403"/>
      <c r="J40" s="403"/>
      <c r="K40" s="404"/>
      <c r="L40" s="404"/>
      <c r="M40" s="391"/>
      <c r="N40" s="391"/>
      <c r="O40" s="392"/>
      <c r="P40" s="392"/>
      <c r="Q40" s="392"/>
      <c r="R40" s="392"/>
      <c r="S40" s="392"/>
      <c r="T40" s="392"/>
      <c r="U40" s="392"/>
      <c r="V40" s="392"/>
      <c r="W40" s="392"/>
      <c r="X40" s="392"/>
      <c r="Y40" s="392"/>
      <c r="Z40" s="392"/>
      <c r="AA40" s="406"/>
      <c r="AB40" s="406"/>
      <c r="AC40" s="392"/>
      <c r="AD40" s="392"/>
      <c r="AE40" s="392"/>
      <c r="AF40" s="392"/>
      <c r="AG40" s="392"/>
      <c r="AH40" s="392"/>
      <c r="AI40" s="392"/>
      <c r="AJ40" s="392"/>
      <c r="AK40" s="392"/>
      <c r="AL40" s="392"/>
      <c r="AM40" s="392"/>
      <c r="AN40" s="392"/>
      <c r="AO40" s="392"/>
      <c r="AP40" s="392"/>
      <c r="AQ40" s="392"/>
      <c r="AR40" s="392"/>
      <c r="AS40" s="392"/>
      <c r="AT40" s="392"/>
      <c r="AU40" s="392"/>
      <c r="AV40" s="392"/>
      <c r="AW40" s="392"/>
      <c r="AX40" s="392"/>
      <c r="AY40" s="392"/>
      <c r="AZ40" s="392"/>
      <c r="BA40" s="392"/>
      <c r="BB40" s="392"/>
      <c r="BC40" s="392"/>
      <c r="BD40" s="392"/>
      <c r="BE40" s="392"/>
      <c r="BF40" s="392"/>
      <c r="BG40" s="392"/>
      <c r="BH40" s="392"/>
      <c r="BI40" s="392"/>
      <c r="BJ40" s="392"/>
      <c r="BK40" s="392"/>
      <c r="BL40" s="392"/>
      <c r="BM40" s="392"/>
      <c r="BN40" s="392"/>
      <c r="BO40" s="392"/>
      <c r="BP40" s="392"/>
      <c r="BQ40" s="392"/>
      <c r="BR40" s="392"/>
      <c r="BS40" s="392"/>
      <c r="BT40" s="392"/>
      <c r="BU40" s="392"/>
      <c r="BV40" s="392"/>
      <c r="BW40" s="392"/>
      <c r="BX40" s="392"/>
      <c r="BY40" s="392"/>
      <c r="BZ40" s="392"/>
      <c r="CA40" s="392"/>
      <c r="CB40" s="392"/>
      <c r="CC40" s="392"/>
      <c r="CD40" s="392"/>
      <c r="CE40" s="392"/>
      <c r="CF40" s="392"/>
      <c r="CG40" s="392"/>
      <c r="CH40" s="392"/>
      <c r="CI40" s="392"/>
      <c r="CJ40" s="392"/>
      <c r="CK40" s="392"/>
      <c r="CL40" s="392"/>
      <c r="CM40" s="392"/>
      <c r="CN40" s="392"/>
      <c r="CO40" s="392"/>
      <c r="CP40" s="392"/>
      <c r="CQ40" s="392"/>
      <c r="CR40" s="392"/>
      <c r="CS40" s="392"/>
      <c r="CT40" s="392"/>
      <c r="CU40" s="392"/>
      <c r="CV40" s="392"/>
      <c r="CW40" s="392"/>
      <c r="CX40" s="392"/>
      <c r="CY40" s="392"/>
      <c r="CZ40" s="392"/>
      <c r="DA40" s="392"/>
    </row>
    <row r="41" spans="1:105" s="393" customFormat="1" ht="29.4" outlineLevel="2" thickBot="1" x14ac:dyDescent="0.35">
      <c r="A41" s="394" t="s">
        <v>1239</v>
      </c>
      <c r="B41" s="376" t="s">
        <v>1162</v>
      </c>
      <c r="C41" s="407"/>
      <c r="D41" s="407"/>
      <c r="E41" s="407" t="s">
        <v>1244</v>
      </c>
      <c r="F41" s="387" t="s">
        <v>1165</v>
      </c>
      <c r="G41" s="388"/>
      <c r="H41" s="387"/>
      <c r="I41" s="403"/>
      <c r="J41" s="403"/>
      <c r="K41" s="404"/>
      <c r="L41" s="404"/>
      <c r="M41" s="391"/>
      <c r="N41" s="391"/>
      <c r="O41" s="392"/>
      <c r="P41" s="392"/>
      <c r="Q41" s="392"/>
      <c r="R41" s="392"/>
      <c r="S41" s="392"/>
      <c r="T41" s="392"/>
      <c r="U41" s="392"/>
      <c r="V41" s="392"/>
      <c r="W41" s="392"/>
      <c r="X41" s="392"/>
      <c r="Y41" s="392"/>
      <c r="Z41" s="392"/>
      <c r="AA41" s="406"/>
      <c r="AB41" s="406"/>
      <c r="AC41" s="392"/>
      <c r="AD41" s="392"/>
      <c r="AE41" s="392"/>
      <c r="AF41" s="392"/>
      <c r="AG41" s="392"/>
      <c r="AH41" s="392"/>
      <c r="AI41" s="392"/>
      <c r="AJ41" s="392"/>
      <c r="AK41" s="392"/>
      <c r="AL41" s="392"/>
      <c r="AM41" s="392"/>
      <c r="AN41" s="392"/>
      <c r="AO41" s="392"/>
      <c r="AP41" s="392"/>
      <c r="AQ41" s="392"/>
      <c r="AR41" s="392"/>
      <c r="AS41" s="392"/>
      <c r="AT41" s="392"/>
      <c r="AU41" s="392"/>
      <c r="AV41" s="392"/>
      <c r="AW41" s="392"/>
      <c r="AX41" s="392"/>
      <c r="AY41" s="392"/>
      <c r="AZ41" s="392"/>
      <c r="BA41" s="392"/>
      <c r="BB41" s="392"/>
      <c r="BC41" s="392"/>
      <c r="BD41" s="392"/>
      <c r="BE41" s="392"/>
      <c r="BF41" s="392"/>
      <c r="BG41" s="392"/>
      <c r="BH41" s="392"/>
      <c r="BI41" s="392"/>
      <c r="BJ41" s="392"/>
      <c r="BK41" s="392"/>
      <c r="BL41" s="392"/>
      <c r="BM41" s="392"/>
      <c r="BN41" s="392"/>
      <c r="BO41" s="392"/>
      <c r="BP41" s="392"/>
      <c r="BQ41" s="392"/>
      <c r="BR41" s="392"/>
      <c r="BS41" s="392"/>
      <c r="BT41" s="392"/>
      <c r="BU41" s="392"/>
      <c r="BV41" s="392"/>
      <c r="BW41" s="392"/>
      <c r="BX41" s="392"/>
      <c r="BY41" s="392"/>
      <c r="BZ41" s="392"/>
      <c r="CA41" s="392"/>
      <c r="CB41" s="392"/>
      <c r="CC41" s="392"/>
      <c r="CD41" s="392"/>
      <c r="CE41" s="392"/>
      <c r="CF41" s="392"/>
      <c r="CG41" s="392"/>
      <c r="CH41" s="392"/>
      <c r="CI41" s="392"/>
      <c r="CJ41" s="392"/>
      <c r="CK41" s="392"/>
      <c r="CL41" s="392"/>
      <c r="CM41" s="392"/>
      <c r="CN41" s="392"/>
      <c r="CO41" s="392"/>
      <c r="CP41" s="392"/>
      <c r="CQ41" s="392"/>
      <c r="CR41" s="392"/>
      <c r="CS41" s="392"/>
      <c r="CT41" s="392"/>
      <c r="CU41" s="392"/>
      <c r="CV41" s="392"/>
      <c r="CW41" s="392"/>
      <c r="CX41" s="392"/>
      <c r="CY41" s="392"/>
      <c r="CZ41" s="392"/>
      <c r="DA41" s="392"/>
    </row>
    <row r="42" spans="1:105" s="393" customFormat="1" ht="29.4" outlineLevel="2" thickBot="1" x14ac:dyDescent="0.35">
      <c r="A42" s="394" t="s">
        <v>1240</v>
      </c>
      <c r="B42" s="376" t="s">
        <v>1163</v>
      </c>
      <c r="C42" s="407"/>
      <c r="D42" s="407"/>
      <c r="E42" s="407" t="s">
        <v>1244</v>
      </c>
      <c r="F42" s="387" t="s">
        <v>1165</v>
      </c>
      <c r="G42" s="388"/>
      <c r="H42" s="387"/>
      <c r="I42" s="403"/>
      <c r="J42" s="403"/>
      <c r="K42" s="404"/>
      <c r="L42" s="404"/>
      <c r="M42" s="391"/>
      <c r="N42" s="391"/>
      <c r="O42" s="392"/>
      <c r="P42" s="392"/>
      <c r="Q42" s="392"/>
      <c r="R42" s="392"/>
      <c r="S42" s="392"/>
      <c r="T42" s="392"/>
      <c r="U42" s="392"/>
      <c r="V42" s="392"/>
      <c r="W42" s="392"/>
      <c r="X42" s="392"/>
      <c r="Y42" s="392"/>
      <c r="Z42" s="392"/>
      <c r="AA42" s="406"/>
      <c r="AB42" s="406"/>
      <c r="AC42" s="392"/>
      <c r="AD42" s="392"/>
      <c r="AE42" s="392"/>
      <c r="AF42" s="392"/>
      <c r="AG42" s="392"/>
      <c r="AH42" s="392"/>
      <c r="AI42" s="392"/>
      <c r="AJ42" s="392"/>
      <c r="AK42" s="392"/>
      <c r="AL42" s="392"/>
      <c r="AM42" s="392"/>
      <c r="AN42" s="392"/>
      <c r="AO42" s="392"/>
      <c r="AP42" s="392"/>
      <c r="AQ42" s="392"/>
      <c r="AR42" s="392"/>
      <c r="AS42" s="392"/>
      <c r="AT42" s="392"/>
      <c r="AU42" s="392"/>
      <c r="AV42" s="392"/>
      <c r="AW42" s="392"/>
      <c r="AX42" s="392"/>
      <c r="AY42" s="392"/>
      <c r="AZ42" s="392"/>
      <c r="BA42" s="392"/>
      <c r="BB42" s="392"/>
      <c r="BC42" s="392"/>
      <c r="BD42" s="392"/>
      <c r="BE42" s="392"/>
      <c r="BF42" s="392"/>
      <c r="BG42" s="392"/>
      <c r="BH42" s="392"/>
      <c r="BI42" s="392"/>
      <c r="BJ42" s="392"/>
      <c r="BK42" s="392"/>
      <c r="BL42" s="392"/>
      <c r="BM42" s="392"/>
      <c r="BN42" s="392"/>
      <c r="BO42" s="392"/>
      <c r="BP42" s="392"/>
      <c r="BQ42" s="392"/>
      <c r="BR42" s="392"/>
      <c r="BS42" s="392"/>
      <c r="BT42" s="392"/>
      <c r="BU42" s="392"/>
      <c r="BV42" s="392"/>
      <c r="BW42" s="392"/>
      <c r="BX42" s="392"/>
      <c r="BY42" s="392"/>
      <c r="BZ42" s="392"/>
      <c r="CA42" s="392"/>
      <c r="CB42" s="392"/>
      <c r="CC42" s="392"/>
      <c r="CD42" s="392"/>
      <c r="CE42" s="392"/>
      <c r="CF42" s="392"/>
      <c r="CG42" s="392"/>
      <c r="CH42" s="392"/>
      <c r="CI42" s="392"/>
      <c r="CJ42" s="392"/>
      <c r="CK42" s="392"/>
      <c r="CL42" s="392"/>
      <c r="CM42" s="392"/>
      <c r="CN42" s="392"/>
      <c r="CO42" s="392"/>
      <c r="CP42" s="392"/>
      <c r="CQ42" s="392"/>
      <c r="CR42" s="392"/>
      <c r="CS42" s="392"/>
      <c r="CT42" s="392"/>
      <c r="CU42" s="392"/>
      <c r="CV42" s="392"/>
      <c r="CW42" s="392"/>
      <c r="CX42" s="392"/>
      <c r="CY42" s="392"/>
      <c r="CZ42" s="392"/>
      <c r="DA42" s="392"/>
    </row>
    <row r="43" spans="1:105" s="393" customFormat="1" ht="29.4" outlineLevel="2" thickBot="1" x14ac:dyDescent="0.35">
      <c r="A43" s="394" t="s">
        <v>1241</v>
      </c>
      <c r="B43" s="376" t="s">
        <v>1164</v>
      </c>
      <c r="C43" s="407"/>
      <c r="D43" s="407"/>
      <c r="E43" s="407" t="s">
        <v>1244</v>
      </c>
      <c r="F43" s="387" t="s">
        <v>1165</v>
      </c>
      <c r="G43" s="388"/>
      <c r="H43" s="387"/>
      <c r="I43" s="403"/>
      <c r="J43" s="403"/>
      <c r="K43" s="404"/>
      <c r="L43" s="404"/>
      <c r="M43" s="391"/>
      <c r="N43" s="391"/>
      <c r="O43" s="392"/>
      <c r="P43" s="392"/>
      <c r="Q43" s="392"/>
      <c r="R43" s="392"/>
      <c r="S43" s="392"/>
      <c r="T43" s="392"/>
      <c r="U43" s="392"/>
      <c r="V43" s="392"/>
      <c r="W43" s="392"/>
      <c r="X43" s="392"/>
      <c r="Y43" s="392"/>
      <c r="Z43" s="392"/>
      <c r="AA43" s="406"/>
      <c r="AB43" s="406"/>
      <c r="AC43" s="392"/>
      <c r="AD43" s="392"/>
      <c r="AE43" s="392"/>
      <c r="AF43" s="392"/>
      <c r="AG43" s="392"/>
      <c r="AH43" s="392"/>
      <c r="AI43" s="392"/>
      <c r="AJ43" s="392"/>
      <c r="AK43" s="392"/>
      <c r="AL43" s="392"/>
      <c r="AM43" s="392"/>
      <c r="AN43" s="392"/>
      <c r="AO43" s="392"/>
      <c r="AP43" s="392"/>
      <c r="AQ43" s="392"/>
      <c r="AR43" s="392"/>
      <c r="AS43" s="392"/>
      <c r="AT43" s="392"/>
      <c r="AU43" s="392"/>
      <c r="AV43" s="392"/>
      <c r="AW43" s="392"/>
      <c r="AX43" s="392"/>
      <c r="AY43" s="392"/>
      <c r="AZ43" s="392"/>
      <c r="BA43" s="392"/>
      <c r="BB43" s="392"/>
      <c r="BC43" s="392"/>
      <c r="BD43" s="392"/>
      <c r="BE43" s="392"/>
      <c r="BF43" s="392"/>
      <c r="BG43" s="392"/>
      <c r="BH43" s="392"/>
      <c r="BI43" s="392"/>
      <c r="BJ43" s="392"/>
      <c r="BK43" s="392"/>
      <c r="BL43" s="392"/>
      <c r="BM43" s="392"/>
      <c r="BN43" s="392"/>
      <c r="BO43" s="392"/>
      <c r="BP43" s="392"/>
      <c r="BQ43" s="392"/>
      <c r="BR43" s="392"/>
      <c r="BS43" s="392"/>
      <c r="BT43" s="392"/>
      <c r="BU43" s="392"/>
      <c r="BV43" s="392"/>
      <c r="BW43" s="392"/>
      <c r="BX43" s="392"/>
      <c r="BY43" s="392"/>
      <c r="BZ43" s="392"/>
      <c r="CA43" s="392"/>
      <c r="CB43" s="392"/>
      <c r="CC43" s="392"/>
      <c r="CD43" s="392"/>
      <c r="CE43" s="392"/>
      <c r="CF43" s="392"/>
      <c r="CG43" s="392"/>
      <c r="CH43" s="392"/>
      <c r="CI43" s="392"/>
      <c r="CJ43" s="392"/>
      <c r="CK43" s="392"/>
      <c r="CL43" s="392"/>
      <c r="CM43" s="392"/>
      <c r="CN43" s="392"/>
      <c r="CO43" s="392"/>
      <c r="CP43" s="392"/>
      <c r="CQ43" s="392"/>
      <c r="CR43" s="392"/>
      <c r="CS43" s="392"/>
      <c r="CT43" s="392"/>
      <c r="CU43" s="392"/>
      <c r="CV43" s="392"/>
      <c r="CW43" s="392"/>
      <c r="CX43" s="392"/>
      <c r="CY43" s="392"/>
      <c r="CZ43" s="392"/>
      <c r="DA43" s="392"/>
    </row>
    <row r="44" spans="1:105" s="393" customFormat="1" ht="15" outlineLevel="2" thickBot="1" x14ac:dyDescent="0.35">
      <c r="A44" s="394" t="s">
        <v>1242</v>
      </c>
      <c r="B44" s="376" t="s">
        <v>1461</v>
      </c>
      <c r="C44" s="460">
        <v>44765</v>
      </c>
      <c r="D44" s="460">
        <v>44765</v>
      </c>
      <c r="E44" s="407" t="s">
        <v>1244</v>
      </c>
      <c r="F44" s="387" t="s">
        <v>1457</v>
      </c>
      <c r="G44" s="388"/>
      <c r="H44" s="387">
        <v>0.5</v>
      </c>
      <c r="I44" s="403">
        <v>44541</v>
      </c>
      <c r="J44" s="403">
        <v>44541</v>
      </c>
      <c r="K44" s="404"/>
      <c r="L44" s="404"/>
      <c r="M44" s="391"/>
      <c r="N44" s="391"/>
      <c r="O44" s="392"/>
      <c r="P44" s="392"/>
      <c r="Q44" s="392"/>
      <c r="R44" s="392"/>
      <c r="S44" s="392"/>
      <c r="T44" s="392"/>
      <c r="U44" s="392"/>
      <c r="V44" s="392"/>
      <c r="W44" s="392"/>
      <c r="X44" s="392"/>
      <c r="Y44" s="392"/>
      <c r="Z44" s="392"/>
      <c r="AA44" s="406"/>
      <c r="AB44" s="406"/>
      <c r="AC44" s="392"/>
      <c r="AD44" s="392"/>
      <c r="AE44" s="392"/>
      <c r="AF44" s="392"/>
      <c r="AG44" s="392"/>
      <c r="AH44" s="392"/>
      <c r="AI44" s="392"/>
      <c r="AJ44" s="392"/>
      <c r="AK44" s="392"/>
      <c r="AL44" s="392"/>
      <c r="AM44" s="392"/>
      <c r="AN44" s="392"/>
      <c r="AO44" s="392"/>
      <c r="AP44" s="392"/>
      <c r="AQ44" s="392"/>
      <c r="AR44" s="392"/>
      <c r="AS44" s="392"/>
      <c r="AT44" s="392"/>
      <c r="AU44" s="392"/>
      <c r="AV44" s="392"/>
      <c r="AW44" s="392"/>
      <c r="AX44" s="392"/>
      <c r="AY44" s="392"/>
      <c r="AZ44" s="392"/>
      <c r="BA44" s="392"/>
      <c r="BB44" s="392"/>
      <c r="BC44" s="392"/>
      <c r="BD44" s="392"/>
      <c r="BE44" s="392"/>
      <c r="BF44" s="392"/>
      <c r="BG44" s="392"/>
      <c r="BH44" s="392"/>
      <c r="BI44" s="392"/>
      <c r="BJ44" s="392"/>
      <c r="BK44" s="392"/>
      <c r="BL44" s="392"/>
      <c r="BM44" s="392"/>
      <c r="BN44" s="392"/>
      <c r="BO44" s="392"/>
      <c r="BP44" s="392"/>
      <c r="BQ44" s="392"/>
      <c r="BR44" s="392"/>
      <c r="BS44" s="392"/>
      <c r="BT44" s="392"/>
      <c r="BU44" s="392"/>
      <c r="BV44" s="392"/>
      <c r="BW44" s="392"/>
      <c r="BX44" s="392"/>
      <c r="BY44" s="392"/>
      <c r="BZ44" s="392"/>
      <c r="CA44" s="392"/>
      <c r="CB44" s="392"/>
      <c r="CC44" s="392"/>
      <c r="CD44" s="392"/>
      <c r="CE44" s="392"/>
      <c r="CF44" s="392"/>
      <c r="CG44" s="392"/>
      <c r="CH44" s="392"/>
      <c r="CI44" s="392"/>
      <c r="CJ44" s="392"/>
      <c r="CK44" s="392"/>
      <c r="CL44" s="392"/>
      <c r="CM44" s="392"/>
      <c r="CN44" s="392"/>
      <c r="CO44" s="392"/>
      <c r="CP44" s="392"/>
      <c r="CQ44" s="392"/>
      <c r="CR44" s="392"/>
      <c r="CS44" s="392"/>
      <c r="CT44" s="392"/>
      <c r="CU44" s="392"/>
      <c r="CV44" s="392"/>
      <c r="CW44" s="392"/>
      <c r="CX44" s="392"/>
      <c r="CY44" s="392"/>
      <c r="CZ44" s="392"/>
      <c r="DA44" s="392"/>
    </row>
    <row r="45" spans="1:105" s="393" customFormat="1" ht="15" outlineLevel="2" thickBot="1" x14ac:dyDescent="0.35">
      <c r="A45" s="394" t="s">
        <v>1243</v>
      </c>
      <c r="B45" s="376" t="s">
        <v>1207</v>
      </c>
      <c r="C45" s="460">
        <v>44765</v>
      </c>
      <c r="D45" s="460">
        <v>44765</v>
      </c>
      <c r="E45" s="407" t="s">
        <v>1244</v>
      </c>
      <c r="F45" s="387" t="s">
        <v>1458</v>
      </c>
      <c r="G45" s="388"/>
      <c r="H45" s="387"/>
      <c r="I45" s="403"/>
      <c r="J45" s="403"/>
      <c r="K45" s="404"/>
      <c r="L45" s="404"/>
      <c r="M45" s="391"/>
      <c r="N45" s="391"/>
      <c r="O45" s="392"/>
      <c r="P45" s="392"/>
      <c r="Q45" s="392"/>
      <c r="R45" s="392"/>
      <c r="S45" s="392"/>
      <c r="T45" s="392"/>
      <c r="U45" s="392"/>
      <c r="V45" s="392"/>
      <c r="W45" s="392"/>
      <c r="X45" s="392"/>
      <c r="Y45" s="392"/>
      <c r="Z45" s="392"/>
      <c r="AA45" s="406"/>
      <c r="AB45" s="406"/>
      <c r="AC45" s="392"/>
      <c r="AD45" s="392"/>
      <c r="AE45" s="392"/>
      <c r="AF45" s="392"/>
      <c r="AG45" s="392"/>
      <c r="AH45" s="392"/>
      <c r="AI45" s="392"/>
      <c r="AJ45" s="392"/>
      <c r="AK45" s="392"/>
      <c r="AL45" s="392"/>
      <c r="AM45" s="392"/>
      <c r="AN45" s="392"/>
      <c r="AO45" s="392"/>
      <c r="AP45" s="392"/>
      <c r="AQ45" s="392"/>
      <c r="AR45" s="392"/>
      <c r="AS45" s="392"/>
      <c r="AT45" s="392"/>
      <c r="AU45" s="392"/>
      <c r="AV45" s="392"/>
      <c r="AW45" s="392"/>
      <c r="AX45" s="392"/>
      <c r="AY45" s="392"/>
      <c r="AZ45" s="392"/>
      <c r="BA45" s="392"/>
      <c r="BB45" s="392"/>
      <c r="BC45" s="392"/>
      <c r="BD45" s="392"/>
      <c r="BE45" s="392"/>
      <c r="BF45" s="392"/>
      <c r="BG45" s="392"/>
      <c r="BH45" s="392"/>
      <c r="BI45" s="392"/>
      <c r="BJ45" s="392"/>
      <c r="BK45" s="392"/>
      <c r="BL45" s="392"/>
      <c r="BM45" s="392"/>
      <c r="BN45" s="392"/>
      <c r="BO45" s="392"/>
      <c r="BP45" s="392"/>
      <c r="BQ45" s="392"/>
      <c r="BR45" s="392"/>
      <c r="BS45" s="392"/>
      <c r="BT45" s="392"/>
      <c r="BU45" s="392"/>
      <c r="BV45" s="392"/>
      <c r="BW45" s="392"/>
      <c r="BX45" s="392"/>
      <c r="BY45" s="392"/>
      <c r="BZ45" s="392"/>
      <c r="CA45" s="392"/>
      <c r="CB45" s="392"/>
      <c r="CC45" s="392"/>
      <c r="CD45" s="392"/>
      <c r="CE45" s="392"/>
      <c r="CF45" s="392"/>
      <c r="CG45" s="392"/>
      <c r="CH45" s="392"/>
      <c r="CI45" s="392"/>
      <c r="CJ45" s="392"/>
      <c r="CK45" s="392"/>
      <c r="CL45" s="392"/>
      <c r="CM45" s="392"/>
      <c r="CN45" s="392"/>
      <c r="CO45" s="392"/>
      <c r="CP45" s="392"/>
      <c r="CQ45" s="392"/>
      <c r="CR45" s="392"/>
      <c r="CS45" s="392"/>
      <c r="CT45" s="392"/>
      <c r="CU45" s="392"/>
      <c r="CV45" s="392"/>
      <c r="CW45" s="392"/>
      <c r="CX45" s="392"/>
      <c r="CY45" s="392"/>
      <c r="CZ45" s="392"/>
      <c r="DA45" s="392"/>
    </row>
    <row r="46" spans="1:105" s="393" customFormat="1" ht="15" outlineLevel="2" thickBot="1" x14ac:dyDescent="0.35">
      <c r="A46" s="394" t="s">
        <v>1459</v>
      </c>
      <c r="B46" s="376" t="s">
        <v>1466</v>
      </c>
      <c r="C46" s="460">
        <v>44768</v>
      </c>
      <c r="D46" s="460">
        <v>44768</v>
      </c>
      <c r="E46" s="407" t="s">
        <v>1244</v>
      </c>
      <c r="F46" s="387" t="s">
        <v>1095</v>
      </c>
      <c r="G46" s="388"/>
      <c r="H46" s="387"/>
      <c r="I46" s="403"/>
      <c r="J46" s="403"/>
      <c r="K46" s="404"/>
      <c r="L46" s="404"/>
      <c r="M46" s="391"/>
      <c r="N46" s="391"/>
      <c r="O46" s="392"/>
      <c r="P46" s="392"/>
      <c r="Q46" s="392"/>
      <c r="R46" s="392"/>
      <c r="S46" s="392"/>
      <c r="T46" s="392"/>
      <c r="U46" s="392"/>
      <c r="V46" s="392"/>
      <c r="W46" s="392"/>
      <c r="X46" s="392"/>
      <c r="Y46" s="392"/>
      <c r="Z46" s="392"/>
      <c r="AA46" s="406"/>
      <c r="AB46" s="406"/>
      <c r="AC46" s="392"/>
      <c r="AD46" s="392"/>
      <c r="AE46" s="392"/>
      <c r="AF46" s="392"/>
      <c r="AG46" s="392"/>
      <c r="AH46" s="392"/>
      <c r="AI46" s="392"/>
      <c r="AJ46" s="392"/>
      <c r="AK46" s="392"/>
      <c r="AL46" s="392"/>
      <c r="AM46" s="392"/>
      <c r="AN46" s="392"/>
      <c r="AO46" s="392"/>
      <c r="AP46" s="392"/>
      <c r="AQ46" s="392"/>
      <c r="AR46" s="392"/>
      <c r="AS46" s="392"/>
      <c r="AT46" s="392"/>
      <c r="AU46" s="392"/>
      <c r="AV46" s="392"/>
      <c r="AW46" s="392"/>
      <c r="AX46" s="392"/>
      <c r="AY46" s="392"/>
      <c r="AZ46" s="392"/>
      <c r="BA46" s="392"/>
      <c r="BB46" s="392"/>
      <c r="BC46" s="392"/>
      <c r="BD46" s="392"/>
      <c r="BE46" s="392"/>
      <c r="BF46" s="392"/>
      <c r="BG46" s="392"/>
      <c r="BH46" s="392"/>
      <c r="BI46" s="392"/>
      <c r="BJ46" s="392"/>
      <c r="BK46" s="392"/>
      <c r="BL46" s="392"/>
      <c r="BM46" s="392"/>
      <c r="BN46" s="392"/>
      <c r="BO46" s="392"/>
      <c r="BP46" s="392"/>
      <c r="BQ46" s="392"/>
      <c r="BR46" s="392"/>
      <c r="BS46" s="392"/>
      <c r="BT46" s="392"/>
      <c r="BU46" s="392"/>
      <c r="BV46" s="392"/>
      <c r="BW46" s="392"/>
      <c r="BX46" s="392"/>
      <c r="BY46" s="392"/>
      <c r="BZ46" s="392"/>
      <c r="CA46" s="392"/>
      <c r="CB46" s="392"/>
      <c r="CC46" s="392"/>
      <c r="CD46" s="392"/>
      <c r="CE46" s="392"/>
      <c r="CF46" s="392"/>
      <c r="CG46" s="392"/>
      <c r="CH46" s="392"/>
      <c r="CI46" s="392"/>
      <c r="CJ46" s="392"/>
      <c r="CK46" s="392"/>
      <c r="CL46" s="392"/>
      <c r="CM46" s="392"/>
      <c r="CN46" s="392"/>
      <c r="CO46" s="392"/>
      <c r="CP46" s="392"/>
      <c r="CQ46" s="392"/>
      <c r="CR46" s="392"/>
      <c r="CS46" s="392"/>
      <c r="CT46" s="392"/>
      <c r="CU46" s="392"/>
      <c r="CV46" s="392"/>
      <c r="CW46" s="392"/>
      <c r="CX46" s="392"/>
      <c r="CY46" s="392"/>
      <c r="CZ46" s="392"/>
      <c r="DA46" s="392"/>
    </row>
    <row r="47" spans="1:105" s="393" customFormat="1" ht="15" outlineLevel="2" thickBot="1" x14ac:dyDescent="0.35">
      <c r="A47" s="394" t="s">
        <v>1460</v>
      </c>
      <c r="B47" s="376" t="s">
        <v>1467</v>
      </c>
      <c r="C47" s="460">
        <v>44770</v>
      </c>
      <c r="D47" s="460">
        <v>44770</v>
      </c>
      <c r="E47" s="407" t="s">
        <v>1245</v>
      </c>
      <c r="F47" s="387" t="s">
        <v>1458</v>
      </c>
      <c r="G47" s="388"/>
      <c r="H47" s="387"/>
      <c r="I47" s="403"/>
      <c r="J47" s="403"/>
      <c r="K47" s="404"/>
      <c r="L47" s="404"/>
      <c r="M47" s="391"/>
      <c r="N47" s="391"/>
      <c r="O47" s="392"/>
      <c r="P47" s="392"/>
      <c r="Q47" s="392"/>
      <c r="R47" s="392"/>
      <c r="S47" s="392"/>
      <c r="T47" s="392"/>
      <c r="U47" s="392"/>
      <c r="V47" s="392"/>
      <c r="W47" s="392"/>
      <c r="X47" s="392"/>
      <c r="Y47" s="392"/>
      <c r="Z47" s="392"/>
      <c r="AA47" s="406"/>
      <c r="AB47" s="406"/>
      <c r="AC47" s="392"/>
      <c r="AD47" s="392"/>
      <c r="AE47" s="392"/>
      <c r="AF47" s="392"/>
      <c r="AG47" s="392"/>
      <c r="AH47" s="392"/>
      <c r="AI47" s="392"/>
      <c r="AJ47" s="392"/>
      <c r="AK47" s="392"/>
      <c r="AL47" s="392"/>
      <c r="AM47" s="392"/>
      <c r="AN47" s="392"/>
      <c r="AO47" s="392"/>
      <c r="AP47" s="392"/>
      <c r="AQ47" s="392"/>
      <c r="AR47" s="392"/>
      <c r="AS47" s="392"/>
      <c r="AT47" s="392"/>
      <c r="AU47" s="392"/>
      <c r="AV47" s="392"/>
      <c r="AW47" s="392"/>
      <c r="AX47" s="392"/>
      <c r="AY47" s="392"/>
      <c r="AZ47" s="392"/>
      <c r="BA47" s="392"/>
      <c r="BB47" s="392"/>
      <c r="BC47" s="392"/>
      <c r="BD47" s="392"/>
      <c r="BE47" s="392"/>
      <c r="BF47" s="392"/>
      <c r="BG47" s="392"/>
      <c r="BH47" s="392"/>
      <c r="BI47" s="392"/>
      <c r="BJ47" s="392"/>
      <c r="BK47" s="392"/>
      <c r="BL47" s="392"/>
      <c r="BM47" s="392"/>
      <c r="BN47" s="392"/>
      <c r="BO47" s="392"/>
      <c r="BP47" s="392"/>
      <c r="BQ47" s="392"/>
      <c r="BR47" s="392"/>
      <c r="BS47" s="392"/>
      <c r="BT47" s="392"/>
      <c r="BU47" s="392"/>
      <c r="BV47" s="392"/>
      <c r="BW47" s="392"/>
      <c r="BX47" s="392"/>
      <c r="BY47" s="392"/>
      <c r="BZ47" s="392"/>
      <c r="CA47" s="392"/>
      <c r="CB47" s="392"/>
      <c r="CC47" s="392"/>
      <c r="CD47" s="392"/>
      <c r="CE47" s="392"/>
      <c r="CF47" s="392"/>
      <c r="CG47" s="392"/>
      <c r="CH47" s="392"/>
      <c r="CI47" s="392"/>
      <c r="CJ47" s="392"/>
      <c r="CK47" s="392"/>
      <c r="CL47" s="392"/>
      <c r="CM47" s="392"/>
      <c r="CN47" s="392"/>
      <c r="CO47" s="392"/>
      <c r="CP47" s="392"/>
      <c r="CQ47" s="392"/>
      <c r="CR47" s="392"/>
      <c r="CS47" s="392"/>
      <c r="CT47" s="392"/>
      <c r="CU47" s="392"/>
      <c r="CV47" s="392"/>
      <c r="CW47" s="392"/>
      <c r="CX47" s="392"/>
      <c r="CY47" s="392"/>
      <c r="CZ47" s="392"/>
      <c r="DA47" s="392"/>
    </row>
    <row r="48" spans="1:105" s="393" customFormat="1" ht="15" outlineLevel="2" thickBot="1" x14ac:dyDescent="0.35">
      <c r="A48" s="394"/>
      <c r="B48" s="451" t="s">
        <v>1088</v>
      </c>
      <c r="C48" s="394"/>
      <c r="D48" s="394"/>
      <c r="E48" s="394"/>
      <c r="F48" s="387"/>
      <c r="G48" s="388"/>
      <c r="H48" s="387"/>
      <c r="I48" s="403"/>
      <c r="J48" s="403"/>
      <c r="K48" s="404"/>
      <c r="L48" s="404"/>
      <c r="M48" s="391"/>
      <c r="N48" s="391"/>
      <c r="O48" s="392"/>
      <c r="P48" s="392"/>
      <c r="Q48" s="392"/>
      <c r="R48" s="392"/>
      <c r="S48" s="392"/>
      <c r="T48" s="392"/>
      <c r="U48" s="392"/>
      <c r="V48" s="392"/>
      <c r="W48" s="392"/>
      <c r="X48" s="392"/>
      <c r="Y48" s="392"/>
      <c r="Z48" s="392"/>
      <c r="AA48" s="406"/>
      <c r="AB48" s="406"/>
      <c r="AC48" s="392"/>
      <c r="AD48" s="392"/>
      <c r="AE48" s="392"/>
      <c r="AF48" s="392"/>
      <c r="AG48" s="392"/>
      <c r="AH48" s="392"/>
      <c r="AI48" s="392"/>
      <c r="AJ48" s="392"/>
      <c r="AK48" s="392"/>
      <c r="AL48" s="392"/>
      <c r="AM48" s="392"/>
      <c r="AN48" s="392"/>
      <c r="AO48" s="392"/>
      <c r="AP48" s="392"/>
      <c r="AQ48" s="392"/>
      <c r="AR48" s="392"/>
      <c r="AS48" s="392"/>
      <c r="AT48" s="392"/>
      <c r="AU48" s="392"/>
      <c r="AV48" s="392"/>
      <c r="AW48" s="392"/>
      <c r="AX48" s="392"/>
      <c r="AY48" s="392"/>
      <c r="AZ48" s="392"/>
      <c r="BA48" s="392"/>
      <c r="BB48" s="392"/>
      <c r="BC48" s="392"/>
      <c r="BD48" s="392"/>
      <c r="BE48" s="392"/>
      <c r="BF48" s="392"/>
      <c r="BG48" s="392"/>
      <c r="BH48" s="392"/>
      <c r="BI48" s="392"/>
      <c r="BJ48" s="392"/>
      <c r="BK48" s="392"/>
      <c r="BL48" s="392"/>
      <c r="BM48" s="392"/>
      <c r="BN48" s="392"/>
      <c r="BO48" s="392"/>
      <c r="BP48" s="392"/>
      <c r="BQ48" s="392"/>
      <c r="BR48" s="392"/>
      <c r="BS48" s="392"/>
      <c r="BT48" s="392"/>
      <c r="BU48" s="392"/>
      <c r="BV48" s="392"/>
      <c r="BW48" s="392"/>
      <c r="BX48" s="392"/>
      <c r="BY48" s="392"/>
      <c r="BZ48" s="392"/>
      <c r="CA48" s="392"/>
      <c r="CB48" s="392"/>
      <c r="CC48" s="392"/>
      <c r="CD48" s="392"/>
      <c r="CE48" s="392"/>
      <c r="CF48" s="392"/>
      <c r="CG48" s="392"/>
      <c r="CH48" s="392"/>
      <c r="CI48" s="392"/>
      <c r="CJ48" s="392"/>
      <c r="CK48" s="392"/>
      <c r="CL48" s="392"/>
      <c r="CM48" s="392"/>
      <c r="CN48" s="392"/>
      <c r="CO48" s="392"/>
      <c r="CP48" s="392"/>
      <c r="CQ48" s="392"/>
      <c r="CR48" s="392"/>
      <c r="CS48" s="392"/>
      <c r="CT48" s="392"/>
      <c r="CU48" s="392"/>
      <c r="CV48" s="392"/>
      <c r="CW48" s="392"/>
      <c r="CX48" s="392"/>
      <c r="CY48" s="392"/>
      <c r="CZ48" s="392"/>
      <c r="DA48" s="392"/>
    </row>
    <row r="49" spans="1:105" s="393" customFormat="1" ht="15" outlineLevel="2" thickBot="1" x14ac:dyDescent="0.35">
      <c r="A49" s="394" t="s">
        <v>1246</v>
      </c>
      <c r="B49" s="376" t="s">
        <v>1144</v>
      </c>
      <c r="C49" s="407"/>
      <c r="D49" s="407"/>
      <c r="E49" s="407" t="s">
        <v>1244</v>
      </c>
      <c r="F49" s="387" t="s">
        <v>1092</v>
      </c>
      <c r="G49" s="388">
        <v>1</v>
      </c>
      <c r="H49" s="387"/>
      <c r="I49" s="403"/>
      <c r="J49" s="403"/>
      <c r="K49" s="404"/>
      <c r="L49" s="404"/>
      <c r="M49" s="391"/>
      <c r="N49" s="391"/>
      <c r="O49" s="392"/>
      <c r="P49" s="392"/>
      <c r="Q49" s="392"/>
      <c r="R49" s="392"/>
      <c r="S49" s="392"/>
      <c r="T49" s="392"/>
      <c r="U49" s="392"/>
      <c r="V49" s="392"/>
      <c r="W49" s="392"/>
      <c r="X49" s="392"/>
      <c r="Y49" s="392"/>
      <c r="Z49" s="392"/>
      <c r="AA49" s="406"/>
      <c r="AB49" s="406"/>
      <c r="AC49" s="392"/>
      <c r="AD49" s="392"/>
      <c r="AE49" s="392"/>
      <c r="AF49" s="392"/>
      <c r="AG49" s="392"/>
      <c r="AH49" s="392"/>
      <c r="AI49" s="392"/>
      <c r="AJ49" s="392"/>
      <c r="AK49" s="392"/>
      <c r="AL49" s="392"/>
      <c r="AM49" s="392"/>
      <c r="AN49" s="392"/>
      <c r="AO49" s="392"/>
      <c r="AP49" s="392"/>
      <c r="AQ49" s="392"/>
      <c r="AR49" s="392"/>
      <c r="AS49" s="392"/>
      <c r="AT49" s="392"/>
      <c r="AU49" s="392"/>
      <c r="AV49" s="392"/>
      <c r="AW49" s="392"/>
      <c r="AX49" s="392"/>
      <c r="AY49" s="392"/>
      <c r="AZ49" s="392"/>
      <c r="BA49" s="392"/>
      <c r="BB49" s="392"/>
      <c r="BC49" s="392"/>
      <c r="BD49" s="392"/>
      <c r="BE49" s="392"/>
      <c r="BF49" s="392"/>
      <c r="BG49" s="392"/>
      <c r="BH49" s="392"/>
      <c r="BI49" s="392"/>
      <c r="BJ49" s="392"/>
      <c r="BK49" s="392"/>
      <c r="BL49" s="392"/>
      <c r="BM49" s="392"/>
      <c r="BN49" s="392"/>
      <c r="BO49" s="392"/>
      <c r="BP49" s="392"/>
      <c r="BQ49" s="392"/>
      <c r="BR49" s="392"/>
      <c r="BS49" s="392"/>
      <c r="BT49" s="392"/>
      <c r="BU49" s="392"/>
      <c r="BV49" s="392"/>
      <c r="BW49" s="392"/>
      <c r="BX49" s="392"/>
      <c r="BY49" s="392"/>
      <c r="BZ49" s="392"/>
      <c r="CA49" s="392"/>
      <c r="CB49" s="392"/>
      <c r="CC49" s="392"/>
      <c r="CD49" s="392"/>
      <c r="CE49" s="392"/>
      <c r="CF49" s="392"/>
      <c r="CG49" s="392"/>
      <c r="CH49" s="392"/>
      <c r="CI49" s="392"/>
      <c r="CJ49" s="392"/>
      <c r="CK49" s="392"/>
      <c r="CL49" s="392"/>
      <c r="CM49" s="392"/>
      <c r="CN49" s="392"/>
      <c r="CO49" s="392"/>
      <c r="CP49" s="392"/>
      <c r="CQ49" s="392"/>
      <c r="CR49" s="392"/>
      <c r="CS49" s="392"/>
      <c r="CT49" s="392"/>
      <c r="CU49" s="392"/>
      <c r="CV49" s="392"/>
      <c r="CW49" s="392"/>
      <c r="CX49" s="392"/>
      <c r="CY49" s="392"/>
      <c r="CZ49" s="392"/>
      <c r="DA49" s="392"/>
    </row>
    <row r="50" spans="1:105" s="393" customFormat="1" ht="15" outlineLevel="2" thickBot="1" x14ac:dyDescent="0.35">
      <c r="A50" s="394"/>
      <c r="B50" s="376" t="s">
        <v>1441</v>
      </c>
      <c r="C50" s="460">
        <v>44756</v>
      </c>
      <c r="D50" s="460">
        <v>44760</v>
      </c>
      <c r="E50" s="407" t="s">
        <v>1245</v>
      </c>
      <c r="F50" s="387" t="s">
        <v>1145</v>
      </c>
      <c r="G50" s="388"/>
      <c r="H50" s="387"/>
      <c r="I50" s="403"/>
      <c r="J50" s="403"/>
      <c r="K50" s="404"/>
      <c r="L50" s="404"/>
      <c r="M50" s="391"/>
      <c r="N50" s="391"/>
      <c r="O50" s="392"/>
      <c r="P50" s="392"/>
      <c r="Q50" s="392"/>
      <c r="R50" s="392"/>
      <c r="S50" s="392"/>
      <c r="T50" s="392"/>
      <c r="U50" s="392"/>
      <c r="V50" s="392"/>
      <c r="W50" s="392"/>
      <c r="X50" s="392"/>
      <c r="Y50" s="392"/>
      <c r="Z50" s="392"/>
      <c r="AA50" s="406"/>
      <c r="AB50" s="406"/>
      <c r="AC50" s="392"/>
      <c r="AD50" s="392"/>
      <c r="AE50" s="392"/>
      <c r="AF50" s="392"/>
      <c r="AG50" s="392"/>
      <c r="AH50" s="392"/>
      <c r="AI50" s="392"/>
      <c r="AJ50" s="392"/>
      <c r="AK50" s="392"/>
      <c r="AL50" s="392"/>
      <c r="AM50" s="392"/>
      <c r="AN50" s="392"/>
      <c r="AO50" s="392"/>
      <c r="AP50" s="392"/>
      <c r="AQ50" s="392"/>
      <c r="AR50" s="392"/>
      <c r="AS50" s="392"/>
      <c r="AT50" s="392"/>
      <c r="AU50" s="392"/>
      <c r="AV50" s="392"/>
      <c r="AW50" s="392"/>
      <c r="AX50" s="392"/>
      <c r="AY50" s="392"/>
      <c r="AZ50" s="392"/>
      <c r="BA50" s="392"/>
      <c r="BB50" s="392"/>
      <c r="BC50" s="392"/>
      <c r="BD50" s="392"/>
      <c r="BE50" s="392"/>
      <c r="BF50" s="392"/>
      <c r="BG50" s="392"/>
      <c r="BH50" s="392"/>
      <c r="BI50" s="392"/>
      <c r="BJ50" s="392"/>
      <c r="BK50" s="392"/>
      <c r="BL50" s="392"/>
      <c r="BM50" s="392"/>
      <c r="BN50" s="392"/>
      <c r="BO50" s="392"/>
      <c r="BP50" s="392"/>
      <c r="BQ50" s="392"/>
      <c r="BR50" s="392"/>
      <c r="BS50" s="392"/>
      <c r="BT50" s="392"/>
      <c r="BU50" s="392"/>
      <c r="BV50" s="392"/>
      <c r="BW50" s="392"/>
      <c r="BX50" s="392"/>
      <c r="BY50" s="392"/>
      <c r="BZ50" s="392"/>
      <c r="CA50" s="392"/>
      <c r="CB50" s="392"/>
      <c r="CC50" s="392"/>
      <c r="CD50" s="392"/>
      <c r="CE50" s="392"/>
      <c r="CF50" s="392"/>
      <c r="CG50" s="392"/>
      <c r="CH50" s="392"/>
      <c r="CI50" s="392"/>
      <c r="CJ50" s="392"/>
      <c r="CK50" s="392"/>
      <c r="CL50" s="392"/>
      <c r="CM50" s="392"/>
      <c r="CN50" s="392"/>
      <c r="CO50" s="392"/>
      <c r="CP50" s="392"/>
      <c r="CQ50" s="392"/>
      <c r="CR50" s="392"/>
      <c r="CS50" s="392"/>
      <c r="CT50" s="392"/>
      <c r="CU50" s="392"/>
      <c r="CV50" s="392"/>
      <c r="CW50" s="392"/>
      <c r="CX50" s="392"/>
      <c r="CY50" s="392"/>
      <c r="CZ50" s="392"/>
      <c r="DA50" s="392"/>
    </row>
    <row r="51" spans="1:105" s="393" customFormat="1" ht="15" outlineLevel="2" thickBot="1" x14ac:dyDescent="0.35">
      <c r="A51" s="394"/>
      <c r="B51" s="376" t="s">
        <v>1440</v>
      </c>
      <c r="C51" s="407"/>
      <c r="D51" s="407"/>
      <c r="E51" s="407" t="s">
        <v>1245</v>
      </c>
      <c r="F51" s="387" t="s">
        <v>1435</v>
      </c>
      <c r="G51" s="388"/>
      <c r="H51" s="387"/>
      <c r="I51" s="403"/>
      <c r="J51" s="403"/>
      <c r="K51" s="404"/>
      <c r="L51" s="404"/>
      <c r="M51" s="391"/>
      <c r="N51" s="391"/>
      <c r="O51" s="392"/>
      <c r="P51" s="392"/>
      <c r="Q51" s="392"/>
      <c r="R51" s="392"/>
      <c r="S51" s="392"/>
      <c r="T51" s="392"/>
      <c r="U51" s="392"/>
      <c r="V51" s="392"/>
      <c r="W51" s="392"/>
      <c r="X51" s="392"/>
      <c r="Y51" s="392"/>
      <c r="Z51" s="392"/>
      <c r="AA51" s="406"/>
      <c r="AB51" s="406"/>
      <c r="AC51" s="392"/>
      <c r="AD51" s="392"/>
      <c r="AE51" s="392"/>
      <c r="AF51" s="392"/>
      <c r="AG51" s="392"/>
      <c r="AH51" s="392"/>
      <c r="AI51" s="392"/>
      <c r="AJ51" s="392"/>
      <c r="AK51" s="392"/>
      <c r="AL51" s="392"/>
      <c r="AM51" s="392"/>
      <c r="AN51" s="392"/>
      <c r="AO51" s="392"/>
      <c r="AP51" s="392"/>
      <c r="AQ51" s="392"/>
      <c r="AR51" s="392"/>
      <c r="AS51" s="392"/>
      <c r="AT51" s="392"/>
      <c r="AU51" s="392"/>
      <c r="AV51" s="392"/>
      <c r="AW51" s="392"/>
      <c r="AX51" s="392"/>
      <c r="AY51" s="392"/>
      <c r="AZ51" s="392"/>
      <c r="BA51" s="392"/>
      <c r="BB51" s="392"/>
      <c r="BC51" s="392"/>
      <c r="BD51" s="392"/>
      <c r="BE51" s="392"/>
      <c r="BF51" s="392"/>
      <c r="BG51" s="392"/>
      <c r="BH51" s="392"/>
      <c r="BI51" s="392"/>
      <c r="BJ51" s="392"/>
      <c r="BK51" s="392"/>
      <c r="BL51" s="392"/>
      <c r="BM51" s="392"/>
      <c r="BN51" s="392"/>
      <c r="BO51" s="392"/>
      <c r="BP51" s="392"/>
      <c r="BQ51" s="392"/>
      <c r="BR51" s="392"/>
      <c r="BS51" s="392"/>
      <c r="BT51" s="392"/>
      <c r="BU51" s="392"/>
      <c r="BV51" s="392"/>
      <c r="BW51" s="392"/>
      <c r="BX51" s="392"/>
      <c r="BY51" s="392"/>
      <c r="BZ51" s="392"/>
      <c r="CA51" s="392"/>
      <c r="CB51" s="392"/>
      <c r="CC51" s="392"/>
      <c r="CD51" s="392"/>
      <c r="CE51" s="392"/>
      <c r="CF51" s="392"/>
      <c r="CG51" s="392"/>
      <c r="CH51" s="392"/>
      <c r="CI51" s="392"/>
      <c r="CJ51" s="392"/>
      <c r="CK51" s="392"/>
      <c r="CL51" s="392"/>
      <c r="CM51" s="392"/>
      <c r="CN51" s="392"/>
      <c r="CO51" s="392"/>
      <c r="CP51" s="392"/>
      <c r="CQ51" s="392"/>
      <c r="CR51" s="392"/>
      <c r="CS51" s="392"/>
      <c r="CT51" s="392"/>
      <c r="CU51" s="392"/>
      <c r="CV51" s="392"/>
      <c r="CW51" s="392"/>
      <c r="CX51" s="392"/>
      <c r="CY51" s="392"/>
      <c r="CZ51" s="392"/>
      <c r="DA51" s="392"/>
    </row>
    <row r="52" spans="1:105" s="393" customFormat="1" ht="15" outlineLevel="2" thickBot="1" x14ac:dyDescent="0.35">
      <c r="A52" s="394" t="s">
        <v>1247</v>
      </c>
      <c r="B52" s="376" t="s">
        <v>1455</v>
      </c>
      <c r="C52" s="407"/>
      <c r="D52" s="407"/>
      <c r="E52" s="407" t="s">
        <v>1420</v>
      </c>
      <c r="F52" s="387" t="s">
        <v>1145</v>
      </c>
      <c r="G52" s="388"/>
      <c r="H52" s="387"/>
      <c r="I52" s="403"/>
      <c r="J52" s="403"/>
      <c r="K52" s="404"/>
      <c r="L52" s="404"/>
      <c r="M52" s="391"/>
      <c r="N52" s="391"/>
      <c r="O52" s="392"/>
      <c r="P52" s="392"/>
      <c r="Q52" s="392"/>
      <c r="R52" s="392"/>
      <c r="S52" s="392"/>
      <c r="T52" s="392"/>
      <c r="U52" s="392"/>
      <c r="V52" s="392"/>
      <c r="W52" s="392"/>
      <c r="X52" s="392"/>
      <c r="Y52" s="392"/>
      <c r="Z52" s="392"/>
      <c r="AA52" s="406"/>
      <c r="AB52" s="406"/>
      <c r="AC52" s="392"/>
      <c r="AD52" s="392"/>
      <c r="AE52" s="392"/>
      <c r="AF52" s="392"/>
      <c r="AG52" s="392"/>
      <c r="AH52" s="392"/>
      <c r="AI52" s="392"/>
      <c r="AJ52" s="392"/>
      <c r="AK52" s="392"/>
      <c r="AL52" s="392"/>
      <c r="AM52" s="392"/>
      <c r="AN52" s="392"/>
      <c r="AO52" s="392"/>
      <c r="AP52" s="392"/>
      <c r="AQ52" s="392"/>
      <c r="AR52" s="392"/>
      <c r="AS52" s="392"/>
      <c r="AT52" s="392"/>
      <c r="AU52" s="392"/>
      <c r="AV52" s="392"/>
      <c r="AW52" s="392"/>
      <c r="AX52" s="392"/>
      <c r="AY52" s="392"/>
      <c r="AZ52" s="392"/>
      <c r="BA52" s="392"/>
      <c r="BB52" s="392"/>
      <c r="BC52" s="392"/>
      <c r="BD52" s="392"/>
      <c r="BE52" s="392"/>
      <c r="BF52" s="392"/>
      <c r="BG52" s="392"/>
      <c r="BH52" s="392"/>
      <c r="BI52" s="392"/>
      <c r="BJ52" s="392"/>
      <c r="BK52" s="392"/>
      <c r="BL52" s="392"/>
      <c r="BM52" s="392"/>
      <c r="BN52" s="392"/>
      <c r="BO52" s="392"/>
      <c r="BP52" s="392"/>
      <c r="BQ52" s="392"/>
      <c r="BR52" s="392"/>
      <c r="BS52" s="392"/>
      <c r="BT52" s="392"/>
      <c r="BU52" s="392"/>
      <c r="BV52" s="392"/>
      <c r="BW52" s="392"/>
      <c r="BX52" s="392"/>
      <c r="BY52" s="392"/>
      <c r="BZ52" s="392"/>
      <c r="CA52" s="392"/>
      <c r="CB52" s="392"/>
      <c r="CC52" s="392"/>
      <c r="CD52" s="392"/>
      <c r="CE52" s="392"/>
      <c r="CF52" s="392"/>
      <c r="CG52" s="392"/>
      <c r="CH52" s="392"/>
      <c r="CI52" s="392"/>
      <c r="CJ52" s="392"/>
      <c r="CK52" s="392"/>
      <c r="CL52" s="392"/>
      <c r="CM52" s="392"/>
      <c r="CN52" s="392"/>
      <c r="CO52" s="392"/>
      <c r="CP52" s="392"/>
      <c r="CQ52" s="392"/>
      <c r="CR52" s="392"/>
      <c r="CS52" s="392"/>
      <c r="CT52" s="392"/>
      <c r="CU52" s="392"/>
      <c r="CV52" s="392"/>
      <c r="CW52" s="392"/>
      <c r="CX52" s="392"/>
      <c r="CY52" s="392"/>
      <c r="CZ52" s="392"/>
      <c r="DA52" s="392"/>
    </row>
    <row r="53" spans="1:105" s="393" customFormat="1" ht="15" outlineLevel="2" thickBot="1" x14ac:dyDescent="0.35">
      <c r="A53" s="394"/>
      <c r="B53" s="376" t="s">
        <v>1452</v>
      </c>
      <c r="C53" s="460">
        <v>44763</v>
      </c>
      <c r="D53" s="460">
        <v>44764</v>
      </c>
      <c r="E53" s="407"/>
      <c r="F53" s="387"/>
      <c r="G53" s="388"/>
      <c r="H53" s="387"/>
      <c r="I53" s="403"/>
      <c r="J53" s="403"/>
      <c r="K53" s="404"/>
      <c r="L53" s="404"/>
      <c r="M53" s="391"/>
      <c r="N53" s="391"/>
      <c r="O53" s="392"/>
      <c r="P53" s="392"/>
      <c r="Q53" s="392"/>
      <c r="R53" s="392"/>
      <c r="S53" s="392"/>
      <c r="T53" s="392"/>
      <c r="U53" s="392"/>
      <c r="V53" s="392"/>
      <c r="W53" s="392"/>
      <c r="X53" s="392"/>
      <c r="Y53" s="392"/>
      <c r="Z53" s="392"/>
      <c r="AA53" s="406"/>
      <c r="AB53" s="406"/>
      <c r="AC53" s="392"/>
      <c r="AD53" s="392"/>
      <c r="AE53" s="392"/>
      <c r="AF53" s="392"/>
      <c r="AG53" s="392"/>
      <c r="AH53" s="392"/>
      <c r="AI53" s="392"/>
      <c r="AJ53" s="392"/>
      <c r="AK53" s="392"/>
      <c r="AL53" s="392"/>
      <c r="AM53" s="392"/>
      <c r="AN53" s="392"/>
      <c r="AO53" s="392"/>
      <c r="AP53" s="392"/>
      <c r="AQ53" s="392"/>
      <c r="AR53" s="392"/>
      <c r="AS53" s="392"/>
      <c r="AT53" s="392"/>
      <c r="AU53" s="392"/>
      <c r="AV53" s="392"/>
      <c r="AW53" s="392"/>
      <c r="AX53" s="392"/>
      <c r="AY53" s="392"/>
      <c r="AZ53" s="392"/>
      <c r="BA53" s="392"/>
      <c r="BB53" s="392"/>
      <c r="BC53" s="392"/>
      <c r="BD53" s="392"/>
      <c r="BE53" s="392"/>
      <c r="BF53" s="392"/>
      <c r="BG53" s="392"/>
      <c r="BH53" s="392"/>
      <c r="BI53" s="392"/>
      <c r="BJ53" s="392"/>
      <c r="BK53" s="392"/>
      <c r="BL53" s="392"/>
      <c r="BM53" s="392"/>
      <c r="BN53" s="392"/>
      <c r="BO53" s="392"/>
      <c r="BP53" s="392"/>
      <c r="BQ53" s="392"/>
      <c r="BR53" s="392"/>
      <c r="BS53" s="392"/>
      <c r="BT53" s="392"/>
      <c r="BU53" s="392"/>
      <c r="BV53" s="392"/>
      <c r="BW53" s="392"/>
      <c r="BX53" s="392"/>
      <c r="BY53" s="392"/>
      <c r="BZ53" s="392"/>
      <c r="CA53" s="392"/>
      <c r="CB53" s="392"/>
      <c r="CC53" s="392"/>
      <c r="CD53" s="392"/>
      <c r="CE53" s="392"/>
      <c r="CF53" s="392"/>
      <c r="CG53" s="392"/>
      <c r="CH53" s="392"/>
      <c r="CI53" s="392"/>
      <c r="CJ53" s="392"/>
      <c r="CK53" s="392"/>
      <c r="CL53" s="392"/>
      <c r="CM53" s="392"/>
      <c r="CN53" s="392"/>
      <c r="CO53" s="392"/>
      <c r="CP53" s="392"/>
      <c r="CQ53" s="392"/>
      <c r="CR53" s="392"/>
      <c r="CS53" s="392"/>
      <c r="CT53" s="392"/>
      <c r="CU53" s="392"/>
      <c r="CV53" s="392"/>
      <c r="CW53" s="392"/>
      <c r="CX53" s="392"/>
      <c r="CY53" s="392"/>
      <c r="CZ53" s="392"/>
      <c r="DA53" s="392"/>
    </row>
    <row r="54" spans="1:105" s="393" customFormat="1" ht="15" outlineLevel="2" thickBot="1" x14ac:dyDescent="0.35">
      <c r="A54" s="394"/>
      <c r="B54" s="376" t="s">
        <v>1453</v>
      </c>
      <c r="C54" s="460">
        <v>44763</v>
      </c>
      <c r="D54" s="460">
        <v>44764</v>
      </c>
      <c r="E54" s="407"/>
      <c r="F54" s="387"/>
      <c r="G54" s="388"/>
      <c r="H54" s="387"/>
      <c r="I54" s="403"/>
      <c r="J54" s="403"/>
      <c r="K54" s="404"/>
      <c r="L54" s="404"/>
      <c r="M54" s="391"/>
      <c r="N54" s="391"/>
      <c r="O54" s="392"/>
      <c r="P54" s="392"/>
      <c r="Q54" s="392"/>
      <c r="R54" s="392"/>
      <c r="S54" s="392"/>
      <c r="T54" s="392"/>
      <c r="U54" s="392"/>
      <c r="V54" s="392"/>
      <c r="W54" s="392"/>
      <c r="X54" s="392"/>
      <c r="Y54" s="392"/>
      <c r="Z54" s="392"/>
      <c r="AA54" s="406"/>
      <c r="AB54" s="406"/>
      <c r="AC54" s="392"/>
      <c r="AD54" s="392"/>
      <c r="AE54" s="392"/>
      <c r="AF54" s="392"/>
      <c r="AG54" s="392"/>
      <c r="AH54" s="392"/>
      <c r="AI54" s="392"/>
      <c r="AJ54" s="392"/>
      <c r="AK54" s="392"/>
      <c r="AL54" s="392"/>
      <c r="AM54" s="392"/>
      <c r="AN54" s="392"/>
      <c r="AO54" s="392"/>
      <c r="AP54" s="392"/>
      <c r="AQ54" s="392"/>
      <c r="AR54" s="392"/>
      <c r="AS54" s="392"/>
      <c r="AT54" s="392"/>
      <c r="AU54" s="392"/>
      <c r="AV54" s="392"/>
      <c r="AW54" s="392"/>
      <c r="AX54" s="392"/>
      <c r="AY54" s="392"/>
      <c r="AZ54" s="392"/>
      <c r="BA54" s="392"/>
      <c r="BB54" s="392"/>
      <c r="BC54" s="392"/>
      <c r="BD54" s="392"/>
      <c r="BE54" s="392"/>
      <c r="BF54" s="392"/>
      <c r="BG54" s="392"/>
      <c r="BH54" s="392"/>
      <c r="BI54" s="392"/>
      <c r="BJ54" s="392"/>
      <c r="BK54" s="392"/>
      <c r="BL54" s="392"/>
      <c r="BM54" s="392"/>
      <c r="BN54" s="392"/>
      <c r="BO54" s="392"/>
      <c r="BP54" s="392"/>
      <c r="BQ54" s="392"/>
      <c r="BR54" s="392"/>
      <c r="BS54" s="392"/>
      <c r="BT54" s="392"/>
      <c r="BU54" s="392"/>
      <c r="BV54" s="392"/>
      <c r="BW54" s="392"/>
      <c r="BX54" s="392"/>
      <c r="BY54" s="392"/>
      <c r="BZ54" s="392"/>
      <c r="CA54" s="392"/>
      <c r="CB54" s="392"/>
      <c r="CC54" s="392"/>
      <c r="CD54" s="392"/>
      <c r="CE54" s="392"/>
      <c r="CF54" s="392"/>
      <c r="CG54" s="392"/>
      <c r="CH54" s="392"/>
      <c r="CI54" s="392"/>
      <c r="CJ54" s="392"/>
      <c r="CK54" s="392"/>
      <c r="CL54" s="392"/>
      <c r="CM54" s="392"/>
      <c r="CN54" s="392"/>
      <c r="CO54" s="392"/>
      <c r="CP54" s="392"/>
      <c r="CQ54" s="392"/>
      <c r="CR54" s="392"/>
      <c r="CS54" s="392"/>
      <c r="CT54" s="392"/>
      <c r="CU54" s="392"/>
      <c r="CV54" s="392"/>
      <c r="CW54" s="392"/>
      <c r="CX54" s="392"/>
      <c r="CY54" s="392"/>
      <c r="CZ54" s="392"/>
      <c r="DA54" s="392"/>
    </row>
    <row r="55" spans="1:105" s="393" customFormat="1" ht="15" outlineLevel="2" thickBot="1" x14ac:dyDescent="0.35">
      <c r="A55" s="394"/>
      <c r="B55" s="376" t="s">
        <v>1454</v>
      </c>
      <c r="C55" s="460">
        <v>44763</v>
      </c>
      <c r="D55" s="460">
        <v>44764</v>
      </c>
      <c r="E55" s="407"/>
      <c r="F55" s="387"/>
      <c r="G55" s="388"/>
      <c r="H55" s="387"/>
      <c r="I55" s="403"/>
      <c r="J55" s="403"/>
      <c r="K55" s="404"/>
      <c r="L55" s="404"/>
      <c r="M55" s="391"/>
      <c r="N55" s="391"/>
      <c r="O55" s="392"/>
      <c r="P55" s="392"/>
      <c r="Q55" s="392"/>
      <c r="R55" s="392"/>
      <c r="S55" s="392"/>
      <c r="T55" s="392"/>
      <c r="U55" s="392"/>
      <c r="V55" s="392"/>
      <c r="W55" s="392"/>
      <c r="X55" s="392"/>
      <c r="Y55" s="392"/>
      <c r="Z55" s="392"/>
      <c r="AA55" s="406"/>
      <c r="AB55" s="406"/>
      <c r="AC55" s="392"/>
      <c r="AD55" s="392"/>
      <c r="AE55" s="392"/>
      <c r="AF55" s="392"/>
      <c r="AG55" s="392"/>
      <c r="AH55" s="392"/>
      <c r="AI55" s="392"/>
      <c r="AJ55" s="392"/>
      <c r="AK55" s="392"/>
      <c r="AL55" s="392"/>
      <c r="AM55" s="392"/>
      <c r="AN55" s="392"/>
      <c r="AO55" s="392"/>
      <c r="AP55" s="392"/>
      <c r="AQ55" s="392"/>
      <c r="AR55" s="392"/>
      <c r="AS55" s="392"/>
      <c r="AT55" s="392"/>
      <c r="AU55" s="392"/>
      <c r="AV55" s="392"/>
      <c r="AW55" s="392"/>
      <c r="AX55" s="392"/>
      <c r="AY55" s="392"/>
      <c r="AZ55" s="392"/>
      <c r="BA55" s="392"/>
      <c r="BB55" s="392"/>
      <c r="BC55" s="392"/>
      <c r="BD55" s="392"/>
      <c r="BE55" s="392"/>
      <c r="BF55" s="392"/>
      <c r="BG55" s="392"/>
      <c r="BH55" s="392"/>
      <c r="BI55" s="392"/>
      <c r="BJ55" s="392"/>
      <c r="BK55" s="392"/>
      <c r="BL55" s="392"/>
      <c r="BM55" s="392"/>
      <c r="BN55" s="392"/>
      <c r="BO55" s="392"/>
      <c r="BP55" s="392"/>
      <c r="BQ55" s="392"/>
      <c r="BR55" s="392"/>
      <c r="BS55" s="392"/>
      <c r="BT55" s="392"/>
      <c r="BU55" s="392"/>
      <c r="BV55" s="392"/>
      <c r="BW55" s="392"/>
      <c r="BX55" s="392"/>
      <c r="BY55" s="392"/>
      <c r="BZ55" s="392"/>
      <c r="CA55" s="392"/>
      <c r="CB55" s="392"/>
      <c r="CC55" s="392"/>
      <c r="CD55" s="392"/>
      <c r="CE55" s="392"/>
      <c r="CF55" s="392"/>
      <c r="CG55" s="392"/>
      <c r="CH55" s="392"/>
      <c r="CI55" s="392"/>
      <c r="CJ55" s="392"/>
      <c r="CK55" s="392"/>
      <c r="CL55" s="392"/>
      <c r="CM55" s="392"/>
      <c r="CN55" s="392"/>
      <c r="CO55" s="392"/>
      <c r="CP55" s="392"/>
      <c r="CQ55" s="392"/>
      <c r="CR55" s="392"/>
      <c r="CS55" s="392"/>
      <c r="CT55" s="392"/>
      <c r="CU55" s="392"/>
      <c r="CV55" s="392"/>
      <c r="CW55" s="392"/>
      <c r="CX55" s="392"/>
      <c r="CY55" s="392"/>
      <c r="CZ55" s="392"/>
      <c r="DA55" s="392"/>
    </row>
    <row r="56" spans="1:105" s="393" customFormat="1" ht="15" outlineLevel="2" thickBot="1" x14ac:dyDescent="0.35">
      <c r="A56" s="394"/>
      <c r="B56" s="376" t="s">
        <v>1456</v>
      </c>
      <c r="C56" s="460">
        <v>44763</v>
      </c>
      <c r="D56" s="460">
        <v>44764</v>
      </c>
      <c r="E56" s="407" t="s">
        <v>1244</v>
      </c>
      <c r="F56" s="387" t="s">
        <v>1468</v>
      </c>
      <c r="G56" s="388"/>
      <c r="H56" s="387"/>
      <c r="I56" s="403"/>
      <c r="J56" s="403"/>
      <c r="K56" s="404"/>
      <c r="L56" s="404"/>
      <c r="M56" s="391"/>
      <c r="N56" s="391"/>
      <c r="O56" s="392"/>
      <c r="P56" s="392"/>
      <c r="Q56" s="392"/>
      <c r="R56" s="392"/>
      <c r="S56" s="392"/>
      <c r="T56" s="392"/>
      <c r="U56" s="392"/>
      <c r="V56" s="392"/>
      <c r="W56" s="392"/>
      <c r="X56" s="392"/>
      <c r="Y56" s="392"/>
      <c r="Z56" s="392"/>
      <c r="AA56" s="406"/>
      <c r="AB56" s="406"/>
      <c r="AC56" s="392"/>
      <c r="AD56" s="392"/>
      <c r="AE56" s="392"/>
      <c r="AF56" s="392"/>
      <c r="AG56" s="392"/>
      <c r="AH56" s="392"/>
      <c r="AI56" s="392"/>
      <c r="AJ56" s="392"/>
      <c r="AK56" s="392"/>
      <c r="AL56" s="392"/>
      <c r="AM56" s="392"/>
      <c r="AN56" s="392"/>
      <c r="AO56" s="392"/>
      <c r="AP56" s="392"/>
      <c r="AQ56" s="392"/>
      <c r="AR56" s="392"/>
      <c r="AS56" s="392"/>
      <c r="AT56" s="392"/>
      <c r="AU56" s="392"/>
      <c r="AV56" s="392"/>
      <c r="AW56" s="392"/>
      <c r="AX56" s="392"/>
      <c r="AY56" s="392"/>
      <c r="AZ56" s="392"/>
      <c r="BA56" s="392"/>
      <c r="BB56" s="392"/>
      <c r="BC56" s="392"/>
      <c r="BD56" s="392"/>
      <c r="BE56" s="392"/>
      <c r="BF56" s="392"/>
      <c r="BG56" s="392"/>
      <c r="BH56" s="392"/>
      <c r="BI56" s="392"/>
      <c r="BJ56" s="392"/>
      <c r="BK56" s="392"/>
      <c r="BL56" s="392"/>
      <c r="BM56" s="392"/>
      <c r="BN56" s="392"/>
      <c r="BO56" s="392"/>
      <c r="BP56" s="392"/>
      <c r="BQ56" s="392"/>
      <c r="BR56" s="392"/>
      <c r="BS56" s="392"/>
      <c r="BT56" s="392"/>
      <c r="BU56" s="392"/>
      <c r="BV56" s="392"/>
      <c r="BW56" s="392"/>
      <c r="BX56" s="392"/>
      <c r="BY56" s="392"/>
      <c r="BZ56" s="392"/>
      <c r="CA56" s="392"/>
      <c r="CB56" s="392"/>
      <c r="CC56" s="392"/>
      <c r="CD56" s="392"/>
      <c r="CE56" s="392"/>
      <c r="CF56" s="392"/>
      <c r="CG56" s="392"/>
      <c r="CH56" s="392"/>
      <c r="CI56" s="392"/>
      <c r="CJ56" s="392"/>
      <c r="CK56" s="392"/>
      <c r="CL56" s="392"/>
      <c r="CM56" s="392"/>
      <c r="CN56" s="392"/>
      <c r="CO56" s="392"/>
      <c r="CP56" s="392"/>
      <c r="CQ56" s="392"/>
      <c r="CR56" s="392"/>
      <c r="CS56" s="392"/>
      <c r="CT56" s="392"/>
      <c r="CU56" s="392"/>
      <c r="CV56" s="392"/>
      <c r="CW56" s="392"/>
      <c r="CX56" s="392"/>
      <c r="CY56" s="392"/>
      <c r="CZ56" s="392"/>
      <c r="DA56" s="392"/>
    </row>
    <row r="57" spans="1:105" s="393" customFormat="1" ht="15" outlineLevel="2" thickBot="1" x14ac:dyDescent="0.35">
      <c r="A57" s="394" t="s">
        <v>1248</v>
      </c>
      <c r="B57" s="376" t="s">
        <v>1208</v>
      </c>
      <c r="C57" s="407"/>
      <c r="D57" s="407"/>
      <c r="E57" s="407" t="s">
        <v>1244</v>
      </c>
      <c r="F57" s="387" t="s">
        <v>1145</v>
      </c>
      <c r="G57" s="388"/>
      <c r="H57" s="387"/>
      <c r="I57" s="403"/>
      <c r="J57" s="403"/>
      <c r="K57" s="404"/>
      <c r="L57" s="404"/>
      <c r="M57" s="391"/>
      <c r="N57" s="391"/>
      <c r="O57" s="392"/>
      <c r="P57" s="392"/>
      <c r="Q57" s="392"/>
      <c r="R57" s="392"/>
      <c r="S57" s="392"/>
      <c r="T57" s="392"/>
      <c r="U57" s="392"/>
      <c r="V57" s="392"/>
      <c r="W57" s="392"/>
      <c r="X57" s="392"/>
      <c r="Y57" s="392"/>
      <c r="Z57" s="392"/>
      <c r="AA57" s="406"/>
      <c r="AB57" s="406"/>
      <c r="AC57" s="392"/>
      <c r="AD57" s="392"/>
      <c r="AE57" s="392"/>
      <c r="AF57" s="392"/>
      <c r="AG57" s="392"/>
      <c r="AH57" s="392"/>
      <c r="AI57" s="392"/>
      <c r="AJ57" s="392"/>
      <c r="AK57" s="392"/>
      <c r="AL57" s="392"/>
      <c r="AM57" s="392"/>
      <c r="AN57" s="392"/>
      <c r="AO57" s="392"/>
      <c r="AP57" s="392"/>
      <c r="AQ57" s="392"/>
      <c r="AR57" s="392"/>
      <c r="AS57" s="392"/>
      <c r="AT57" s="392"/>
      <c r="AU57" s="392"/>
      <c r="AV57" s="392"/>
      <c r="AW57" s="392"/>
      <c r="AX57" s="392"/>
      <c r="AY57" s="392"/>
      <c r="AZ57" s="392"/>
      <c r="BA57" s="392"/>
      <c r="BB57" s="392"/>
      <c r="BC57" s="392"/>
      <c r="BD57" s="392"/>
      <c r="BE57" s="392"/>
      <c r="BF57" s="392"/>
      <c r="BG57" s="392"/>
      <c r="BH57" s="392"/>
      <c r="BI57" s="392"/>
      <c r="BJ57" s="392"/>
      <c r="BK57" s="392"/>
      <c r="BL57" s="392"/>
      <c r="BM57" s="392"/>
      <c r="BN57" s="392"/>
      <c r="BO57" s="392"/>
      <c r="BP57" s="392"/>
      <c r="BQ57" s="392"/>
      <c r="BR57" s="392"/>
      <c r="BS57" s="392"/>
      <c r="BT57" s="392"/>
      <c r="BU57" s="392"/>
      <c r="BV57" s="392"/>
      <c r="BW57" s="392"/>
      <c r="BX57" s="392"/>
      <c r="BY57" s="392"/>
      <c r="BZ57" s="392"/>
      <c r="CA57" s="392"/>
      <c r="CB57" s="392"/>
      <c r="CC57" s="392"/>
      <c r="CD57" s="392"/>
      <c r="CE57" s="392"/>
      <c r="CF57" s="392"/>
      <c r="CG57" s="392"/>
      <c r="CH57" s="392"/>
      <c r="CI57" s="392"/>
      <c r="CJ57" s="392"/>
      <c r="CK57" s="392"/>
      <c r="CL57" s="392"/>
      <c r="CM57" s="392"/>
      <c r="CN57" s="392"/>
      <c r="CO57" s="392"/>
      <c r="CP57" s="392"/>
      <c r="CQ57" s="392"/>
      <c r="CR57" s="392"/>
      <c r="CS57" s="392"/>
      <c r="CT57" s="392"/>
      <c r="CU57" s="392"/>
      <c r="CV57" s="392"/>
      <c r="CW57" s="392"/>
      <c r="CX57" s="392"/>
      <c r="CY57" s="392"/>
      <c r="CZ57" s="392"/>
      <c r="DA57" s="392"/>
    </row>
    <row r="58" spans="1:105" s="393" customFormat="1" ht="15" outlineLevel="2" thickBot="1" x14ac:dyDescent="0.35">
      <c r="A58" s="394"/>
      <c r="B58" s="451" t="s">
        <v>963</v>
      </c>
      <c r="C58" s="394"/>
      <c r="D58" s="394"/>
      <c r="E58" s="394"/>
      <c r="F58" s="387"/>
      <c r="G58" s="388"/>
      <c r="H58" s="387"/>
      <c r="I58" s="403"/>
      <c r="J58" s="403"/>
      <c r="K58" s="404"/>
      <c r="L58" s="404"/>
      <c r="M58" s="391"/>
      <c r="N58" s="391"/>
      <c r="O58" s="392"/>
      <c r="P58" s="392"/>
      <c r="Q58" s="392"/>
      <c r="R58" s="392"/>
      <c r="S58" s="392"/>
      <c r="T58" s="392"/>
      <c r="U58" s="392"/>
      <c r="V58" s="392"/>
      <c r="W58" s="392"/>
      <c r="X58" s="392"/>
      <c r="Y58" s="392"/>
      <c r="Z58" s="392"/>
      <c r="AA58" s="406"/>
      <c r="AB58" s="406"/>
      <c r="AC58" s="392"/>
      <c r="AD58" s="392"/>
      <c r="AE58" s="392"/>
      <c r="AF58" s="392"/>
      <c r="AG58" s="392"/>
      <c r="AH58" s="392"/>
      <c r="AI58" s="392"/>
      <c r="AJ58" s="392"/>
      <c r="AK58" s="392"/>
      <c r="AL58" s="392"/>
      <c r="AM58" s="392"/>
      <c r="AN58" s="392"/>
      <c r="AO58" s="392"/>
      <c r="AP58" s="392"/>
      <c r="AQ58" s="392"/>
      <c r="AR58" s="392"/>
      <c r="AS58" s="392"/>
      <c r="AT58" s="392"/>
      <c r="AU58" s="392"/>
      <c r="AV58" s="392"/>
      <c r="AW58" s="392"/>
      <c r="AX58" s="392"/>
      <c r="AY58" s="392"/>
      <c r="AZ58" s="392"/>
      <c r="BA58" s="392"/>
      <c r="BB58" s="392"/>
      <c r="BC58" s="392"/>
      <c r="BD58" s="392"/>
      <c r="BE58" s="392"/>
      <c r="BF58" s="392"/>
      <c r="BG58" s="392"/>
      <c r="BH58" s="392"/>
      <c r="BI58" s="392"/>
      <c r="BJ58" s="392"/>
      <c r="BK58" s="392"/>
      <c r="BL58" s="392"/>
      <c r="BM58" s="392"/>
      <c r="BN58" s="392"/>
      <c r="BO58" s="392"/>
      <c r="BP58" s="392"/>
      <c r="BQ58" s="392"/>
      <c r="BR58" s="392"/>
      <c r="BS58" s="392"/>
      <c r="BT58" s="392"/>
      <c r="BU58" s="392"/>
      <c r="BV58" s="392"/>
      <c r="BW58" s="392"/>
      <c r="BX58" s="392"/>
      <c r="BY58" s="392"/>
      <c r="BZ58" s="392"/>
      <c r="CA58" s="392"/>
      <c r="CB58" s="392"/>
      <c r="CC58" s="392"/>
      <c r="CD58" s="392"/>
      <c r="CE58" s="392"/>
      <c r="CF58" s="392"/>
      <c r="CG58" s="392"/>
      <c r="CH58" s="392"/>
      <c r="CI58" s="392"/>
      <c r="CJ58" s="392"/>
      <c r="CK58" s="392"/>
      <c r="CL58" s="392"/>
      <c r="CM58" s="392"/>
      <c r="CN58" s="392"/>
      <c r="CO58" s="392"/>
      <c r="CP58" s="392"/>
      <c r="CQ58" s="392"/>
      <c r="CR58" s="392"/>
      <c r="CS58" s="392"/>
      <c r="CT58" s="392"/>
      <c r="CU58" s="392"/>
      <c r="CV58" s="392"/>
      <c r="CW58" s="392"/>
      <c r="CX58" s="392"/>
      <c r="CY58" s="392"/>
      <c r="CZ58" s="392"/>
      <c r="DA58" s="392"/>
    </row>
    <row r="59" spans="1:105" s="393" customFormat="1" ht="15" outlineLevel="2" thickBot="1" x14ac:dyDescent="0.35">
      <c r="A59" s="394" t="s">
        <v>1249</v>
      </c>
      <c r="B59" s="376" t="s">
        <v>1188</v>
      </c>
      <c r="C59" s="460">
        <v>44763</v>
      </c>
      <c r="D59" s="460">
        <v>44764</v>
      </c>
      <c r="E59" s="407" t="s">
        <v>1244</v>
      </c>
      <c r="F59" s="387" t="s">
        <v>1192</v>
      </c>
      <c r="G59" s="388"/>
      <c r="H59" s="387"/>
      <c r="I59" s="403"/>
      <c r="J59" s="403"/>
      <c r="K59" s="404"/>
      <c r="L59" s="404"/>
      <c r="M59" s="391"/>
      <c r="N59" s="391"/>
      <c r="O59" s="392"/>
      <c r="P59" s="392"/>
      <c r="Q59" s="392"/>
      <c r="R59" s="392"/>
      <c r="S59" s="392"/>
      <c r="T59" s="392"/>
      <c r="U59" s="392"/>
      <c r="V59" s="392"/>
      <c r="W59" s="392"/>
      <c r="X59" s="392"/>
      <c r="Y59" s="392"/>
      <c r="Z59" s="392"/>
      <c r="AA59" s="406"/>
      <c r="AB59" s="406"/>
      <c r="AC59" s="392"/>
      <c r="AD59" s="392"/>
      <c r="AE59" s="392"/>
      <c r="AF59" s="392"/>
      <c r="AG59" s="392"/>
      <c r="AH59" s="392"/>
      <c r="AI59" s="392"/>
      <c r="AJ59" s="392"/>
      <c r="AK59" s="392"/>
      <c r="AL59" s="392"/>
      <c r="AM59" s="392"/>
      <c r="AN59" s="392"/>
      <c r="AO59" s="392"/>
      <c r="AP59" s="392"/>
      <c r="AQ59" s="392"/>
      <c r="AR59" s="392"/>
      <c r="AS59" s="392"/>
      <c r="AT59" s="392"/>
      <c r="AU59" s="392"/>
      <c r="AV59" s="392"/>
      <c r="AW59" s="392"/>
      <c r="AX59" s="392"/>
      <c r="AY59" s="392"/>
      <c r="AZ59" s="392"/>
      <c r="BA59" s="392"/>
      <c r="BB59" s="392"/>
      <c r="BC59" s="392"/>
      <c r="BD59" s="392"/>
      <c r="BE59" s="392"/>
      <c r="BF59" s="392"/>
      <c r="BG59" s="392"/>
      <c r="BH59" s="392"/>
      <c r="BI59" s="392"/>
      <c r="BJ59" s="392"/>
      <c r="BK59" s="392"/>
      <c r="BL59" s="392"/>
      <c r="BM59" s="392"/>
      <c r="BN59" s="392"/>
      <c r="BO59" s="392"/>
      <c r="BP59" s="392"/>
      <c r="BQ59" s="392"/>
      <c r="BR59" s="392"/>
      <c r="BS59" s="392"/>
      <c r="BT59" s="392"/>
      <c r="BU59" s="392"/>
      <c r="BV59" s="392"/>
      <c r="BW59" s="392"/>
      <c r="BX59" s="392"/>
      <c r="BY59" s="392"/>
      <c r="BZ59" s="392"/>
      <c r="CA59" s="392"/>
      <c r="CB59" s="392"/>
      <c r="CC59" s="392"/>
      <c r="CD59" s="392"/>
      <c r="CE59" s="392"/>
      <c r="CF59" s="392"/>
      <c r="CG59" s="392"/>
      <c r="CH59" s="392"/>
      <c r="CI59" s="392"/>
      <c r="CJ59" s="392"/>
      <c r="CK59" s="392"/>
      <c r="CL59" s="392"/>
      <c r="CM59" s="392"/>
      <c r="CN59" s="392"/>
      <c r="CO59" s="392"/>
      <c r="CP59" s="392"/>
      <c r="CQ59" s="392"/>
      <c r="CR59" s="392"/>
      <c r="CS59" s="392"/>
      <c r="CT59" s="392"/>
      <c r="CU59" s="392"/>
      <c r="CV59" s="392"/>
      <c r="CW59" s="392"/>
      <c r="CX59" s="392"/>
      <c r="CY59" s="392"/>
      <c r="CZ59" s="392"/>
      <c r="DA59" s="392"/>
    </row>
    <row r="60" spans="1:105" s="393" customFormat="1" ht="15" outlineLevel="2" thickBot="1" x14ac:dyDescent="0.35">
      <c r="A60" s="394" t="s">
        <v>1250</v>
      </c>
      <c r="B60" s="376" t="s">
        <v>1255</v>
      </c>
      <c r="C60" s="460">
        <v>44763</v>
      </c>
      <c r="D60" s="460">
        <v>44764</v>
      </c>
      <c r="E60" s="407" t="s">
        <v>1244</v>
      </c>
      <c r="F60" s="387" t="s">
        <v>1256</v>
      </c>
      <c r="G60" s="407"/>
      <c r="H60" s="387"/>
      <c r="I60" s="403"/>
      <c r="J60" s="403"/>
      <c r="K60" s="404"/>
      <c r="L60" s="404"/>
      <c r="M60" s="391"/>
      <c r="N60" s="391"/>
      <c r="O60" s="392"/>
      <c r="P60" s="392"/>
      <c r="Q60" s="392"/>
      <c r="R60" s="392"/>
      <c r="S60" s="392"/>
      <c r="T60" s="392"/>
      <c r="U60" s="392"/>
      <c r="V60" s="392"/>
      <c r="W60" s="392"/>
      <c r="X60" s="392"/>
      <c r="Y60" s="392"/>
      <c r="Z60" s="392"/>
      <c r="AA60" s="406"/>
      <c r="AB60" s="406"/>
      <c r="AC60" s="392"/>
      <c r="AD60" s="392"/>
      <c r="AE60" s="392"/>
      <c r="AF60" s="392"/>
      <c r="AG60" s="392"/>
      <c r="AH60" s="392"/>
      <c r="AI60" s="392"/>
      <c r="AJ60" s="392"/>
      <c r="AK60" s="392"/>
      <c r="AL60" s="392"/>
      <c r="AM60" s="392"/>
      <c r="AN60" s="392"/>
      <c r="AO60" s="392"/>
      <c r="AP60" s="392"/>
      <c r="AQ60" s="392"/>
      <c r="AR60" s="392"/>
      <c r="AS60" s="392"/>
      <c r="AT60" s="392"/>
      <c r="AU60" s="392"/>
      <c r="AV60" s="392"/>
      <c r="AW60" s="392"/>
      <c r="AX60" s="392"/>
      <c r="AY60" s="392"/>
      <c r="AZ60" s="392"/>
      <c r="BA60" s="392"/>
      <c r="BB60" s="392"/>
      <c r="BC60" s="392"/>
      <c r="BD60" s="392"/>
      <c r="BE60" s="392"/>
      <c r="BF60" s="392"/>
      <c r="BG60" s="392"/>
      <c r="BH60" s="392"/>
      <c r="BI60" s="392"/>
      <c r="BJ60" s="392"/>
      <c r="BK60" s="392"/>
      <c r="BL60" s="392"/>
      <c r="BM60" s="392"/>
      <c r="BN60" s="392"/>
      <c r="BO60" s="392"/>
      <c r="BP60" s="392"/>
      <c r="BQ60" s="392"/>
      <c r="BR60" s="392"/>
      <c r="BS60" s="392"/>
      <c r="BT60" s="392"/>
      <c r="BU60" s="392"/>
      <c r="BV60" s="392"/>
      <c r="BW60" s="392"/>
      <c r="BX60" s="392"/>
      <c r="BY60" s="392"/>
      <c r="BZ60" s="392"/>
      <c r="CA60" s="392"/>
      <c r="CB60" s="392"/>
      <c r="CC60" s="392"/>
      <c r="CD60" s="392"/>
      <c r="CE60" s="392"/>
      <c r="CF60" s="392"/>
      <c r="CG60" s="392"/>
      <c r="CH60" s="392"/>
      <c r="CI60" s="392"/>
      <c r="CJ60" s="392"/>
      <c r="CK60" s="392"/>
      <c r="CL60" s="392"/>
      <c r="CM60" s="392"/>
      <c r="CN60" s="392"/>
      <c r="CO60" s="392"/>
      <c r="CP60" s="392"/>
      <c r="CQ60" s="392"/>
      <c r="CR60" s="392"/>
      <c r="CS60" s="392"/>
      <c r="CT60" s="392"/>
      <c r="CU60" s="392"/>
      <c r="CV60" s="392"/>
      <c r="CW60" s="392"/>
      <c r="CX60" s="392"/>
      <c r="CY60" s="392"/>
      <c r="CZ60" s="392"/>
      <c r="DA60" s="392"/>
    </row>
    <row r="61" spans="1:105" s="393" customFormat="1" ht="15" outlineLevel="2" thickBot="1" x14ac:dyDescent="0.35">
      <c r="A61" s="394" t="s">
        <v>1251</v>
      </c>
      <c r="B61" s="376" t="s">
        <v>1142</v>
      </c>
      <c r="C61" s="460">
        <v>44760</v>
      </c>
      <c r="D61" s="460">
        <v>44761</v>
      </c>
      <c r="E61" s="407" t="s">
        <v>1244</v>
      </c>
      <c r="F61" s="408" t="s">
        <v>1449</v>
      </c>
      <c r="G61" s="388"/>
      <c r="H61" s="387">
        <v>0</v>
      </c>
      <c r="I61" s="403">
        <v>44536</v>
      </c>
      <c r="J61" s="403">
        <v>44540</v>
      </c>
      <c r="K61" s="404"/>
      <c r="L61" s="404"/>
      <c r="M61" s="391"/>
      <c r="N61" s="391"/>
      <c r="O61" s="392"/>
      <c r="P61" s="392"/>
      <c r="Q61" s="392"/>
      <c r="R61" s="392"/>
      <c r="S61" s="392"/>
      <c r="T61" s="392"/>
      <c r="U61" s="392"/>
      <c r="V61" s="392"/>
      <c r="W61" s="392"/>
      <c r="X61" s="392"/>
      <c r="Y61" s="392"/>
      <c r="Z61" s="392"/>
      <c r="AA61" s="406"/>
      <c r="AB61" s="406"/>
      <c r="AC61" s="392"/>
      <c r="AD61" s="392"/>
      <c r="AE61" s="392"/>
      <c r="AF61" s="392"/>
      <c r="AG61" s="392"/>
      <c r="AH61" s="392"/>
      <c r="AI61" s="392"/>
      <c r="AJ61" s="392"/>
      <c r="AK61" s="392"/>
      <c r="AL61" s="392"/>
      <c r="AM61" s="392"/>
      <c r="AN61" s="392"/>
      <c r="AO61" s="392"/>
      <c r="AP61" s="392"/>
      <c r="AQ61" s="392"/>
      <c r="AR61" s="392"/>
      <c r="AS61" s="392"/>
      <c r="AT61" s="392"/>
      <c r="AU61" s="392"/>
      <c r="AV61" s="392"/>
      <c r="AW61" s="392"/>
      <c r="AX61" s="392"/>
      <c r="AY61" s="392"/>
      <c r="AZ61" s="392"/>
      <c r="BA61" s="392"/>
      <c r="BB61" s="392"/>
      <c r="BC61" s="392"/>
      <c r="BD61" s="392"/>
      <c r="BE61" s="392"/>
      <c r="BF61" s="392"/>
      <c r="BG61" s="392"/>
      <c r="BH61" s="392"/>
      <c r="BI61" s="392"/>
      <c r="BJ61" s="392"/>
      <c r="BK61" s="392"/>
      <c r="BL61" s="392"/>
      <c r="BM61" s="392"/>
      <c r="BN61" s="392"/>
      <c r="BO61" s="392"/>
      <c r="BP61" s="392"/>
      <c r="BQ61" s="392"/>
      <c r="BR61" s="392"/>
      <c r="BS61" s="392"/>
      <c r="BT61" s="392"/>
      <c r="BU61" s="392"/>
      <c r="BV61" s="392"/>
      <c r="BW61" s="392"/>
      <c r="BX61" s="392"/>
      <c r="BY61" s="392"/>
      <c r="BZ61" s="392"/>
      <c r="CA61" s="392"/>
      <c r="CB61" s="392"/>
      <c r="CC61" s="392"/>
      <c r="CD61" s="392"/>
      <c r="CE61" s="392"/>
      <c r="CF61" s="392"/>
      <c r="CG61" s="392"/>
      <c r="CH61" s="392"/>
      <c r="CI61" s="392"/>
      <c r="CJ61" s="392"/>
      <c r="CK61" s="392"/>
      <c r="CL61" s="392"/>
      <c r="CM61" s="392"/>
      <c r="CN61" s="392"/>
      <c r="CO61" s="392"/>
      <c r="CP61" s="392"/>
      <c r="CQ61" s="392"/>
      <c r="CR61" s="392"/>
      <c r="CS61" s="392"/>
      <c r="CT61" s="392"/>
      <c r="CU61" s="392"/>
      <c r="CV61" s="392"/>
      <c r="CW61" s="392"/>
      <c r="CX61" s="392"/>
      <c r="CY61" s="392"/>
      <c r="CZ61" s="392"/>
      <c r="DA61" s="392"/>
    </row>
    <row r="62" spans="1:105" s="393" customFormat="1" ht="15" outlineLevel="2" thickBot="1" x14ac:dyDescent="0.35">
      <c r="A62" s="394" t="s">
        <v>1252</v>
      </c>
      <c r="B62" s="376" t="s">
        <v>1190</v>
      </c>
      <c r="C62" s="460">
        <v>44762</v>
      </c>
      <c r="D62" s="460">
        <v>44764</v>
      </c>
      <c r="E62" s="407" t="s">
        <v>1244</v>
      </c>
      <c r="F62" s="408" t="s">
        <v>1191</v>
      </c>
      <c r="G62" s="388"/>
      <c r="H62" s="387"/>
      <c r="I62" s="403"/>
      <c r="J62" s="403"/>
      <c r="K62" s="404"/>
      <c r="L62" s="404"/>
      <c r="M62" s="391"/>
      <c r="N62" s="391"/>
      <c r="O62" s="392"/>
      <c r="P62" s="392"/>
      <c r="Q62" s="392"/>
      <c r="R62" s="392"/>
      <c r="S62" s="392"/>
      <c r="T62" s="392"/>
      <c r="U62" s="392"/>
      <c r="V62" s="392"/>
      <c r="W62" s="392"/>
      <c r="X62" s="392"/>
      <c r="Y62" s="392"/>
      <c r="Z62" s="392"/>
      <c r="AA62" s="406"/>
      <c r="AB62" s="406"/>
      <c r="AC62" s="392"/>
      <c r="AD62" s="392"/>
      <c r="AE62" s="392"/>
      <c r="AF62" s="392"/>
      <c r="AG62" s="392"/>
      <c r="AH62" s="392"/>
      <c r="AI62" s="392"/>
      <c r="AJ62" s="392"/>
      <c r="AK62" s="392"/>
      <c r="AL62" s="392"/>
      <c r="AM62" s="392"/>
      <c r="AN62" s="392"/>
      <c r="AO62" s="392"/>
      <c r="AP62" s="392"/>
      <c r="AQ62" s="392"/>
      <c r="AR62" s="392"/>
      <c r="AS62" s="392"/>
      <c r="AT62" s="392"/>
      <c r="AU62" s="392"/>
      <c r="AV62" s="392"/>
      <c r="AW62" s="392"/>
      <c r="AX62" s="392"/>
      <c r="AY62" s="392"/>
      <c r="AZ62" s="392"/>
      <c r="BA62" s="392"/>
      <c r="BB62" s="392"/>
      <c r="BC62" s="392"/>
      <c r="BD62" s="392"/>
      <c r="BE62" s="392"/>
      <c r="BF62" s="392"/>
      <c r="BG62" s="392"/>
      <c r="BH62" s="392"/>
      <c r="BI62" s="392"/>
      <c r="BJ62" s="392"/>
      <c r="BK62" s="392"/>
      <c r="BL62" s="392"/>
      <c r="BM62" s="392"/>
      <c r="BN62" s="392"/>
      <c r="BO62" s="392"/>
      <c r="BP62" s="392"/>
      <c r="BQ62" s="392"/>
      <c r="BR62" s="392"/>
      <c r="BS62" s="392"/>
      <c r="BT62" s="392"/>
      <c r="BU62" s="392"/>
      <c r="BV62" s="392"/>
      <c r="BW62" s="392"/>
      <c r="BX62" s="392"/>
      <c r="BY62" s="392"/>
      <c r="BZ62" s="392"/>
      <c r="CA62" s="392"/>
      <c r="CB62" s="392"/>
      <c r="CC62" s="392"/>
      <c r="CD62" s="392"/>
      <c r="CE62" s="392"/>
      <c r="CF62" s="392"/>
      <c r="CG62" s="392"/>
      <c r="CH62" s="392"/>
      <c r="CI62" s="392"/>
      <c r="CJ62" s="392"/>
      <c r="CK62" s="392"/>
      <c r="CL62" s="392"/>
      <c r="CM62" s="392"/>
      <c r="CN62" s="392"/>
      <c r="CO62" s="392"/>
      <c r="CP62" s="392"/>
      <c r="CQ62" s="392"/>
      <c r="CR62" s="392"/>
      <c r="CS62" s="392"/>
      <c r="CT62" s="392"/>
      <c r="CU62" s="392"/>
      <c r="CV62" s="392"/>
      <c r="CW62" s="392"/>
      <c r="CX62" s="392"/>
      <c r="CY62" s="392"/>
      <c r="CZ62" s="392"/>
      <c r="DA62" s="392"/>
    </row>
    <row r="63" spans="1:105" s="393" customFormat="1" ht="15" outlineLevel="2" thickBot="1" x14ac:dyDescent="0.35">
      <c r="A63" s="394" t="s">
        <v>1253</v>
      </c>
      <c r="B63" s="376" t="s">
        <v>1491</v>
      </c>
      <c r="C63" s="460">
        <v>44768</v>
      </c>
      <c r="D63" s="460">
        <v>44768</v>
      </c>
      <c r="E63" s="407" t="s">
        <v>1244</v>
      </c>
      <c r="F63" s="408" t="s">
        <v>1192</v>
      </c>
      <c r="G63" s="388"/>
      <c r="H63" s="387"/>
      <c r="I63" s="403"/>
      <c r="J63" s="403"/>
      <c r="K63" s="404"/>
      <c r="L63" s="404"/>
      <c r="M63" s="391"/>
      <c r="N63" s="391"/>
      <c r="O63" s="392"/>
      <c r="P63" s="392"/>
      <c r="Q63" s="392"/>
      <c r="R63" s="392"/>
      <c r="S63" s="392"/>
      <c r="T63" s="392"/>
      <c r="U63" s="392"/>
      <c r="V63" s="392"/>
      <c r="W63" s="392"/>
      <c r="X63" s="392"/>
      <c r="Y63" s="392"/>
      <c r="Z63" s="392"/>
      <c r="AA63" s="406"/>
      <c r="AB63" s="406"/>
      <c r="AC63" s="392"/>
      <c r="AD63" s="392"/>
      <c r="AE63" s="392"/>
      <c r="AF63" s="392"/>
      <c r="AG63" s="392"/>
      <c r="AH63" s="392"/>
      <c r="AI63" s="392"/>
      <c r="AJ63" s="392"/>
      <c r="AK63" s="392"/>
      <c r="AL63" s="392"/>
      <c r="AM63" s="392"/>
      <c r="AN63" s="392"/>
      <c r="AO63" s="392"/>
      <c r="AP63" s="392"/>
      <c r="AQ63" s="392"/>
      <c r="AR63" s="392"/>
      <c r="AS63" s="392"/>
      <c r="AT63" s="392"/>
      <c r="AU63" s="392"/>
      <c r="AV63" s="392"/>
      <c r="AW63" s="392"/>
      <c r="AX63" s="392"/>
      <c r="AY63" s="392"/>
      <c r="AZ63" s="392"/>
      <c r="BA63" s="392"/>
      <c r="BB63" s="392"/>
      <c r="BC63" s="392"/>
      <c r="BD63" s="392"/>
      <c r="BE63" s="392"/>
      <c r="BF63" s="392"/>
      <c r="BG63" s="392"/>
      <c r="BH63" s="392"/>
      <c r="BI63" s="392"/>
      <c r="BJ63" s="392"/>
      <c r="BK63" s="392"/>
      <c r="BL63" s="392"/>
      <c r="BM63" s="392"/>
      <c r="BN63" s="392"/>
      <c r="BO63" s="392"/>
      <c r="BP63" s="392"/>
      <c r="BQ63" s="392"/>
      <c r="BR63" s="392"/>
      <c r="BS63" s="392"/>
      <c r="BT63" s="392"/>
      <c r="BU63" s="392"/>
      <c r="BV63" s="392"/>
      <c r="BW63" s="392"/>
      <c r="BX63" s="392"/>
      <c r="BY63" s="392"/>
      <c r="BZ63" s="392"/>
      <c r="CA63" s="392"/>
      <c r="CB63" s="392"/>
      <c r="CC63" s="392"/>
      <c r="CD63" s="392"/>
      <c r="CE63" s="392"/>
      <c r="CF63" s="392"/>
      <c r="CG63" s="392"/>
      <c r="CH63" s="392"/>
      <c r="CI63" s="392"/>
      <c r="CJ63" s="392"/>
      <c r="CK63" s="392"/>
      <c r="CL63" s="392"/>
      <c r="CM63" s="392"/>
      <c r="CN63" s="392"/>
      <c r="CO63" s="392"/>
      <c r="CP63" s="392"/>
      <c r="CQ63" s="392"/>
      <c r="CR63" s="392"/>
      <c r="CS63" s="392"/>
      <c r="CT63" s="392"/>
      <c r="CU63" s="392"/>
      <c r="CV63" s="392"/>
      <c r="CW63" s="392"/>
      <c r="CX63" s="392"/>
      <c r="CY63" s="392"/>
      <c r="CZ63" s="392"/>
      <c r="DA63" s="392"/>
    </row>
    <row r="64" spans="1:105" s="393" customFormat="1" ht="15" outlineLevel="2" thickBot="1" x14ac:dyDescent="0.35">
      <c r="A64" s="394" t="s">
        <v>1254</v>
      </c>
      <c r="B64" s="376" t="s">
        <v>1193</v>
      </c>
      <c r="C64" s="460">
        <v>44771</v>
      </c>
      <c r="D64" s="460">
        <v>44771</v>
      </c>
      <c r="E64" s="407" t="s">
        <v>1245</v>
      </c>
      <c r="F64" s="408" t="s">
        <v>1189</v>
      </c>
      <c r="G64" s="388"/>
      <c r="H64" s="387"/>
      <c r="I64" s="403"/>
      <c r="J64" s="403"/>
      <c r="K64" s="404"/>
      <c r="L64" s="404"/>
      <c r="M64" s="391"/>
      <c r="N64" s="391"/>
      <c r="O64" s="392"/>
      <c r="P64" s="392"/>
      <c r="Q64" s="392"/>
      <c r="R64" s="392"/>
      <c r="S64" s="392"/>
      <c r="T64" s="392"/>
      <c r="U64" s="392"/>
      <c r="V64" s="392"/>
      <c r="W64" s="392"/>
      <c r="X64" s="392"/>
      <c r="Y64" s="392"/>
      <c r="Z64" s="392"/>
      <c r="AA64" s="406"/>
      <c r="AB64" s="406"/>
      <c r="AC64" s="392"/>
      <c r="AD64" s="392"/>
      <c r="AE64" s="392"/>
      <c r="AF64" s="392"/>
      <c r="AG64" s="392"/>
      <c r="AH64" s="392"/>
      <c r="AI64" s="392"/>
      <c r="AJ64" s="392"/>
      <c r="AK64" s="392"/>
      <c r="AL64" s="392"/>
      <c r="AM64" s="392"/>
      <c r="AN64" s="392"/>
      <c r="AO64" s="392"/>
      <c r="AP64" s="392"/>
      <c r="AQ64" s="392"/>
      <c r="AR64" s="392"/>
      <c r="AS64" s="392"/>
      <c r="AT64" s="392"/>
      <c r="AU64" s="392"/>
      <c r="AV64" s="392"/>
      <c r="AW64" s="392"/>
      <c r="AX64" s="392"/>
      <c r="AY64" s="392"/>
      <c r="AZ64" s="392"/>
      <c r="BA64" s="392"/>
      <c r="BB64" s="392"/>
      <c r="BC64" s="392"/>
      <c r="BD64" s="392"/>
      <c r="BE64" s="392"/>
      <c r="BF64" s="392"/>
      <c r="BG64" s="392"/>
      <c r="BH64" s="392"/>
      <c r="BI64" s="392"/>
      <c r="BJ64" s="392"/>
      <c r="BK64" s="392"/>
      <c r="BL64" s="392"/>
      <c r="BM64" s="392"/>
      <c r="BN64" s="392"/>
      <c r="BO64" s="392"/>
      <c r="BP64" s="392"/>
      <c r="BQ64" s="392"/>
      <c r="BR64" s="392"/>
      <c r="BS64" s="392"/>
      <c r="BT64" s="392"/>
      <c r="BU64" s="392"/>
      <c r="BV64" s="392"/>
      <c r="BW64" s="392"/>
      <c r="BX64" s="392"/>
      <c r="BY64" s="392"/>
      <c r="BZ64" s="392"/>
      <c r="CA64" s="392"/>
      <c r="CB64" s="392"/>
      <c r="CC64" s="392"/>
      <c r="CD64" s="392"/>
      <c r="CE64" s="392"/>
      <c r="CF64" s="392"/>
      <c r="CG64" s="392"/>
      <c r="CH64" s="392"/>
      <c r="CI64" s="392"/>
      <c r="CJ64" s="392"/>
      <c r="CK64" s="392"/>
      <c r="CL64" s="392"/>
      <c r="CM64" s="392"/>
      <c r="CN64" s="392"/>
      <c r="CO64" s="392"/>
      <c r="CP64" s="392"/>
      <c r="CQ64" s="392"/>
      <c r="CR64" s="392"/>
      <c r="CS64" s="392"/>
      <c r="CT64" s="392"/>
      <c r="CU64" s="392"/>
      <c r="CV64" s="392"/>
      <c r="CW64" s="392"/>
      <c r="CX64" s="392"/>
      <c r="CY64" s="392"/>
      <c r="CZ64" s="392"/>
      <c r="DA64" s="392"/>
    </row>
    <row r="65" spans="1:105" s="393" customFormat="1" ht="15" outlineLevel="2" thickBot="1" x14ac:dyDescent="0.35">
      <c r="A65" s="394" t="s">
        <v>1490</v>
      </c>
      <c r="B65" s="376" t="s">
        <v>1480</v>
      </c>
      <c r="C65" s="460">
        <v>44771</v>
      </c>
      <c r="D65" s="460">
        <v>44771</v>
      </c>
      <c r="E65" s="407" t="s">
        <v>1245</v>
      </c>
      <c r="F65" s="408" t="s">
        <v>1192</v>
      </c>
      <c r="G65" s="388"/>
      <c r="H65" s="387"/>
      <c r="I65" s="403"/>
      <c r="J65" s="403"/>
      <c r="K65" s="404"/>
      <c r="L65" s="404"/>
      <c r="M65" s="391"/>
      <c r="N65" s="391"/>
      <c r="O65" s="392"/>
      <c r="P65" s="392"/>
      <c r="Q65" s="392"/>
      <c r="R65" s="392"/>
      <c r="S65" s="392"/>
      <c r="T65" s="392"/>
      <c r="U65" s="392"/>
      <c r="V65" s="392"/>
      <c r="W65" s="392"/>
      <c r="X65" s="392"/>
      <c r="Y65" s="392"/>
      <c r="Z65" s="392"/>
      <c r="AA65" s="406"/>
      <c r="AB65" s="406"/>
      <c r="AC65" s="392"/>
      <c r="AD65" s="392"/>
      <c r="AE65" s="392"/>
      <c r="AF65" s="392"/>
      <c r="AG65" s="392"/>
      <c r="AH65" s="392"/>
      <c r="AI65" s="392"/>
      <c r="AJ65" s="392"/>
      <c r="AK65" s="392"/>
      <c r="AL65" s="392"/>
      <c r="AM65" s="392"/>
      <c r="AN65" s="392"/>
      <c r="AO65" s="392"/>
      <c r="AP65" s="392"/>
      <c r="AQ65" s="392"/>
      <c r="AR65" s="392"/>
      <c r="AS65" s="392"/>
      <c r="AT65" s="392"/>
      <c r="AU65" s="392"/>
      <c r="AV65" s="392"/>
      <c r="AW65" s="392"/>
      <c r="AX65" s="392"/>
      <c r="AY65" s="392"/>
      <c r="AZ65" s="392"/>
      <c r="BA65" s="392"/>
      <c r="BB65" s="392"/>
      <c r="BC65" s="392"/>
      <c r="BD65" s="392"/>
      <c r="BE65" s="392"/>
      <c r="BF65" s="392"/>
      <c r="BG65" s="392"/>
      <c r="BH65" s="392"/>
      <c r="BI65" s="392"/>
      <c r="BJ65" s="392"/>
      <c r="BK65" s="392"/>
      <c r="BL65" s="392"/>
      <c r="BM65" s="392"/>
      <c r="BN65" s="392"/>
      <c r="BO65" s="392"/>
      <c r="BP65" s="392"/>
      <c r="BQ65" s="392"/>
      <c r="BR65" s="392"/>
      <c r="BS65" s="392"/>
      <c r="BT65" s="392"/>
      <c r="BU65" s="392"/>
      <c r="BV65" s="392"/>
      <c r="BW65" s="392"/>
      <c r="BX65" s="392"/>
      <c r="BY65" s="392"/>
      <c r="BZ65" s="392"/>
      <c r="CA65" s="392"/>
      <c r="CB65" s="392"/>
      <c r="CC65" s="392"/>
      <c r="CD65" s="392"/>
      <c r="CE65" s="392"/>
      <c r="CF65" s="392"/>
      <c r="CG65" s="392"/>
      <c r="CH65" s="392"/>
      <c r="CI65" s="392"/>
      <c r="CJ65" s="392"/>
      <c r="CK65" s="392"/>
      <c r="CL65" s="392"/>
      <c r="CM65" s="392"/>
      <c r="CN65" s="392"/>
      <c r="CO65" s="392"/>
      <c r="CP65" s="392"/>
      <c r="CQ65" s="392"/>
      <c r="CR65" s="392"/>
      <c r="CS65" s="392"/>
      <c r="CT65" s="392"/>
      <c r="CU65" s="392"/>
      <c r="CV65" s="392"/>
      <c r="CW65" s="392"/>
      <c r="CX65" s="392"/>
      <c r="CY65" s="392"/>
      <c r="CZ65" s="392"/>
      <c r="DA65" s="392"/>
    </row>
    <row r="66" spans="1:105" s="393" customFormat="1" ht="15" outlineLevel="2" thickBot="1" x14ac:dyDescent="0.35">
      <c r="A66" s="394"/>
      <c r="B66" s="451" t="s">
        <v>967</v>
      </c>
      <c r="C66" s="394"/>
      <c r="D66" s="394"/>
      <c r="E66" s="394"/>
      <c r="F66" s="387"/>
      <c r="G66" s="388"/>
      <c r="H66" s="387"/>
      <c r="I66" s="403"/>
      <c r="J66" s="403"/>
      <c r="K66" s="404"/>
      <c r="L66" s="404"/>
      <c r="M66" s="391"/>
      <c r="N66" s="391"/>
      <c r="O66" s="392"/>
      <c r="P66" s="392"/>
      <c r="Q66" s="392"/>
      <c r="R66" s="392"/>
      <c r="S66" s="392"/>
      <c r="T66" s="392"/>
      <c r="U66" s="392"/>
      <c r="V66" s="392"/>
      <c r="W66" s="392"/>
      <c r="X66" s="392"/>
      <c r="Y66" s="392"/>
      <c r="Z66" s="392"/>
      <c r="AA66" s="406"/>
      <c r="AB66" s="406"/>
      <c r="AC66" s="392"/>
      <c r="AD66" s="392"/>
      <c r="AE66" s="392"/>
      <c r="AF66" s="392"/>
      <c r="AG66" s="392"/>
      <c r="AH66" s="392"/>
      <c r="AI66" s="392"/>
      <c r="AJ66" s="392"/>
      <c r="AK66" s="392"/>
      <c r="AL66" s="392"/>
      <c r="AM66" s="392"/>
      <c r="AN66" s="392"/>
      <c r="AO66" s="392"/>
      <c r="AP66" s="392"/>
      <c r="AQ66" s="392"/>
      <c r="AR66" s="392"/>
      <c r="AS66" s="392"/>
      <c r="AT66" s="392"/>
      <c r="AU66" s="392"/>
      <c r="AV66" s="392"/>
      <c r="AW66" s="392"/>
      <c r="AX66" s="392"/>
      <c r="AY66" s="392"/>
      <c r="AZ66" s="392"/>
      <c r="BA66" s="392"/>
      <c r="BB66" s="392"/>
      <c r="BC66" s="392"/>
      <c r="BD66" s="392"/>
      <c r="BE66" s="392"/>
      <c r="BF66" s="392"/>
      <c r="BG66" s="392"/>
      <c r="BH66" s="392"/>
      <c r="BI66" s="392"/>
      <c r="BJ66" s="392"/>
      <c r="BK66" s="392"/>
      <c r="BL66" s="392"/>
      <c r="BM66" s="392"/>
      <c r="BN66" s="392"/>
      <c r="BO66" s="392"/>
      <c r="BP66" s="392"/>
      <c r="BQ66" s="392"/>
      <c r="BR66" s="392"/>
      <c r="BS66" s="392"/>
      <c r="BT66" s="392"/>
      <c r="BU66" s="392"/>
      <c r="BV66" s="392"/>
      <c r="BW66" s="392"/>
      <c r="BX66" s="392"/>
      <c r="BY66" s="392"/>
      <c r="BZ66" s="392"/>
      <c r="CA66" s="392"/>
      <c r="CB66" s="392"/>
      <c r="CC66" s="392"/>
      <c r="CD66" s="392"/>
      <c r="CE66" s="392"/>
      <c r="CF66" s="392"/>
      <c r="CG66" s="392"/>
      <c r="CH66" s="392"/>
      <c r="CI66" s="392"/>
      <c r="CJ66" s="392"/>
      <c r="CK66" s="392"/>
      <c r="CL66" s="392"/>
      <c r="CM66" s="392"/>
      <c r="CN66" s="392"/>
      <c r="CO66" s="392"/>
      <c r="CP66" s="392"/>
      <c r="CQ66" s="392"/>
      <c r="CR66" s="392"/>
      <c r="CS66" s="392"/>
      <c r="CT66" s="392"/>
      <c r="CU66" s="392"/>
      <c r="CV66" s="392"/>
      <c r="CW66" s="392"/>
      <c r="CX66" s="392"/>
      <c r="CY66" s="392"/>
      <c r="CZ66" s="392"/>
      <c r="DA66" s="392"/>
    </row>
    <row r="67" spans="1:105" s="393" customFormat="1" ht="15" outlineLevel="2" thickBot="1" x14ac:dyDescent="0.35">
      <c r="A67" s="394" t="s">
        <v>1257</v>
      </c>
      <c r="B67" s="453" t="s">
        <v>1141</v>
      </c>
      <c r="C67" s="402"/>
      <c r="D67" s="402"/>
      <c r="E67" s="402" t="s">
        <v>1402</v>
      </c>
      <c r="F67" s="408" t="s">
        <v>952</v>
      </c>
      <c r="G67" s="388"/>
      <c r="H67" s="387">
        <v>0</v>
      </c>
      <c r="I67" s="403"/>
      <c r="J67" s="403"/>
      <c r="K67" s="404"/>
      <c r="L67" s="404"/>
      <c r="M67" s="391"/>
      <c r="N67" s="391"/>
      <c r="O67" s="392"/>
      <c r="P67" s="392"/>
      <c r="Q67" s="392"/>
      <c r="R67" s="392"/>
      <c r="S67" s="392"/>
      <c r="T67" s="392"/>
      <c r="U67" s="392"/>
      <c r="V67" s="392"/>
      <c r="W67" s="392"/>
      <c r="X67" s="392"/>
      <c r="Y67" s="392"/>
      <c r="Z67" s="392"/>
      <c r="AA67" s="406"/>
      <c r="AB67" s="406"/>
      <c r="AC67" s="392"/>
      <c r="AD67" s="392"/>
      <c r="AE67" s="392"/>
      <c r="AF67" s="392"/>
      <c r="AG67" s="392"/>
      <c r="AH67" s="392"/>
      <c r="AI67" s="392"/>
      <c r="AJ67" s="392"/>
      <c r="AK67" s="392"/>
      <c r="AL67" s="392"/>
      <c r="AM67" s="392"/>
      <c r="AN67" s="392"/>
      <c r="AO67" s="392"/>
      <c r="AP67" s="392"/>
      <c r="AQ67" s="392"/>
      <c r="AR67" s="392"/>
      <c r="AS67" s="392"/>
      <c r="AT67" s="392"/>
      <c r="AU67" s="392"/>
      <c r="AV67" s="392"/>
      <c r="AW67" s="392"/>
      <c r="AX67" s="392"/>
      <c r="AY67" s="392"/>
      <c r="AZ67" s="392"/>
      <c r="BA67" s="392"/>
      <c r="BB67" s="392"/>
      <c r="BC67" s="392"/>
      <c r="BD67" s="392"/>
      <c r="BE67" s="392"/>
      <c r="BF67" s="392"/>
      <c r="BG67" s="392"/>
      <c r="BH67" s="392"/>
      <c r="BI67" s="392"/>
      <c r="BJ67" s="392"/>
      <c r="BK67" s="392"/>
      <c r="BL67" s="392"/>
      <c r="BM67" s="392"/>
      <c r="BN67" s="392"/>
      <c r="BO67" s="392"/>
      <c r="BP67" s="392"/>
      <c r="BQ67" s="392"/>
      <c r="BR67" s="392"/>
      <c r="BS67" s="392"/>
      <c r="BT67" s="392"/>
      <c r="BU67" s="392"/>
      <c r="BV67" s="392"/>
      <c r="BW67" s="392"/>
      <c r="BX67" s="392"/>
      <c r="BY67" s="392"/>
      <c r="BZ67" s="392"/>
      <c r="CA67" s="392"/>
      <c r="CB67" s="392"/>
      <c r="CC67" s="392"/>
      <c r="CD67" s="392"/>
      <c r="CE67" s="392"/>
      <c r="CF67" s="392"/>
      <c r="CG67" s="392"/>
      <c r="CH67" s="392"/>
      <c r="CI67" s="392"/>
      <c r="CJ67" s="392"/>
      <c r="CK67" s="392"/>
      <c r="CL67" s="392"/>
      <c r="CM67" s="392"/>
      <c r="CN67" s="392"/>
      <c r="CO67" s="392"/>
      <c r="CP67" s="392"/>
      <c r="CQ67" s="392"/>
      <c r="CR67" s="392"/>
      <c r="CS67" s="392"/>
      <c r="CT67" s="392"/>
      <c r="CU67" s="392"/>
      <c r="CV67" s="392"/>
      <c r="CW67" s="392"/>
      <c r="CX67" s="392"/>
      <c r="CY67" s="392"/>
      <c r="CZ67" s="392"/>
      <c r="DA67" s="392"/>
    </row>
    <row r="68" spans="1:105" s="393" customFormat="1" ht="29.4" customHeight="1" outlineLevel="2" thickBot="1" x14ac:dyDescent="0.35">
      <c r="A68" s="394" t="s">
        <v>1422</v>
      </c>
      <c r="B68" s="484" t="s">
        <v>1450</v>
      </c>
      <c r="C68" s="457">
        <v>44757</v>
      </c>
      <c r="D68" s="457">
        <v>44757</v>
      </c>
      <c r="E68" s="402" t="s">
        <v>1244</v>
      </c>
      <c r="F68" s="408" t="s">
        <v>1425</v>
      </c>
      <c r="G68" s="388">
        <v>0.5</v>
      </c>
      <c r="H68" s="387"/>
      <c r="I68" s="403"/>
      <c r="J68" s="403"/>
      <c r="K68" s="404"/>
      <c r="L68" s="404"/>
      <c r="M68" s="391"/>
      <c r="N68" s="391"/>
      <c r="O68" s="392"/>
      <c r="P68" s="392"/>
      <c r="Q68" s="392"/>
      <c r="R68" s="392"/>
      <c r="S68" s="392"/>
      <c r="T68" s="392"/>
      <c r="U68" s="392"/>
      <c r="V68" s="392"/>
      <c r="W68" s="392"/>
      <c r="X68" s="392"/>
      <c r="Y68" s="392"/>
      <c r="Z68" s="392"/>
      <c r="AA68" s="406"/>
      <c r="AB68" s="406"/>
      <c r="AC68" s="392"/>
      <c r="AD68" s="392"/>
      <c r="AE68" s="392"/>
      <c r="AF68" s="392"/>
      <c r="AG68" s="392"/>
      <c r="AH68" s="392"/>
      <c r="AI68" s="392"/>
      <c r="AJ68" s="392"/>
      <c r="AK68" s="392"/>
      <c r="AL68" s="392"/>
      <c r="AM68" s="392"/>
      <c r="AN68" s="392"/>
      <c r="AO68" s="392"/>
      <c r="AP68" s="392"/>
      <c r="AQ68" s="392"/>
      <c r="AR68" s="392"/>
      <c r="AS68" s="392"/>
      <c r="AT68" s="392"/>
      <c r="AU68" s="392"/>
      <c r="AV68" s="392"/>
      <c r="AW68" s="392"/>
      <c r="AX68" s="392"/>
      <c r="AY68" s="392"/>
      <c r="AZ68" s="392"/>
      <c r="BA68" s="392"/>
      <c r="BB68" s="392"/>
      <c r="BC68" s="392"/>
      <c r="BD68" s="392"/>
      <c r="BE68" s="392"/>
      <c r="BF68" s="392"/>
      <c r="BG68" s="392"/>
      <c r="BH68" s="392"/>
      <c r="BI68" s="392"/>
      <c r="BJ68" s="392"/>
      <c r="BK68" s="392"/>
      <c r="BL68" s="392"/>
      <c r="BM68" s="392"/>
      <c r="BN68" s="392"/>
      <c r="BO68" s="392"/>
      <c r="BP68" s="392"/>
      <c r="BQ68" s="392"/>
      <c r="BR68" s="392"/>
      <c r="BS68" s="392"/>
      <c r="BT68" s="392"/>
      <c r="BU68" s="392"/>
      <c r="BV68" s="392"/>
      <c r="BW68" s="392"/>
      <c r="BX68" s="392"/>
      <c r="BY68" s="392"/>
      <c r="BZ68" s="392"/>
      <c r="CA68" s="392"/>
      <c r="CB68" s="392"/>
      <c r="CC68" s="392"/>
      <c r="CD68" s="392"/>
      <c r="CE68" s="392"/>
      <c r="CF68" s="392"/>
      <c r="CG68" s="392"/>
      <c r="CH68" s="392"/>
      <c r="CI68" s="392"/>
      <c r="CJ68" s="392"/>
      <c r="CK68" s="392"/>
      <c r="CL68" s="392"/>
      <c r="CM68" s="392"/>
      <c r="CN68" s="392"/>
      <c r="CO68" s="392"/>
      <c r="CP68" s="392"/>
      <c r="CQ68" s="392"/>
      <c r="CR68" s="392"/>
      <c r="CS68" s="392"/>
      <c r="CT68" s="392"/>
      <c r="CU68" s="392"/>
      <c r="CV68" s="392"/>
      <c r="CW68" s="392"/>
      <c r="CX68" s="392"/>
      <c r="CY68" s="392"/>
      <c r="CZ68" s="392"/>
      <c r="DA68" s="392"/>
    </row>
    <row r="69" spans="1:105" s="393" customFormat="1" ht="15" outlineLevel="2" thickBot="1" x14ac:dyDescent="0.35">
      <c r="A69" s="394" t="s">
        <v>1423</v>
      </c>
      <c r="B69" s="453" t="s">
        <v>1424</v>
      </c>
      <c r="C69" s="457">
        <v>44760</v>
      </c>
      <c r="D69" s="457">
        <v>44760</v>
      </c>
      <c r="E69" s="402" t="s">
        <v>1244</v>
      </c>
      <c r="F69" s="408" t="s">
        <v>1426</v>
      </c>
      <c r="G69" s="388"/>
      <c r="H69" s="387"/>
      <c r="I69" s="403"/>
      <c r="J69" s="403"/>
      <c r="K69" s="404"/>
      <c r="L69" s="404"/>
      <c r="M69" s="391"/>
      <c r="N69" s="391"/>
      <c r="O69" s="392"/>
      <c r="P69" s="392"/>
      <c r="Q69" s="392"/>
      <c r="R69" s="392"/>
      <c r="S69" s="392"/>
      <c r="T69" s="392"/>
      <c r="U69" s="392"/>
      <c r="V69" s="392"/>
      <c r="W69" s="392"/>
      <c r="X69" s="392"/>
      <c r="Y69" s="392"/>
      <c r="Z69" s="392"/>
      <c r="AA69" s="406"/>
      <c r="AB69" s="406"/>
      <c r="AC69" s="392"/>
      <c r="AD69" s="392"/>
      <c r="AE69" s="392"/>
      <c r="AF69" s="392"/>
      <c r="AG69" s="392"/>
      <c r="AH69" s="392"/>
      <c r="AI69" s="392"/>
      <c r="AJ69" s="392"/>
      <c r="AK69" s="392"/>
      <c r="AL69" s="392"/>
      <c r="AM69" s="392"/>
      <c r="AN69" s="392"/>
      <c r="AO69" s="392"/>
      <c r="AP69" s="392"/>
      <c r="AQ69" s="392"/>
      <c r="AR69" s="392"/>
      <c r="AS69" s="392"/>
      <c r="AT69" s="392"/>
      <c r="AU69" s="392"/>
      <c r="AV69" s="392"/>
      <c r="AW69" s="392"/>
      <c r="AX69" s="392"/>
      <c r="AY69" s="392"/>
      <c r="AZ69" s="392"/>
      <c r="BA69" s="392"/>
      <c r="BB69" s="392"/>
      <c r="BC69" s="392"/>
      <c r="BD69" s="392"/>
      <c r="BE69" s="392"/>
      <c r="BF69" s="392"/>
      <c r="BG69" s="392"/>
      <c r="BH69" s="392"/>
      <c r="BI69" s="392"/>
      <c r="BJ69" s="392"/>
      <c r="BK69" s="392"/>
      <c r="BL69" s="392"/>
      <c r="BM69" s="392"/>
      <c r="BN69" s="392"/>
      <c r="BO69" s="392"/>
      <c r="BP69" s="392"/>
      <c r="BQ69" s="392"/>
      <c r="BR69" s="392"/>
      <c r="BS69" s="392"/>
      <c r="BT69" s="392"/>
      <c r="BU69" s="392"/>
      <c r="BV69" s="392"/>
      <c r="BW69" s="392"/>
      <c r="BX69" s="392"/>
      <c r="BY69" s="392"/>
      <c r="BZ69" s="392"/>
      <c r="CA69" s="392"/>
      <c r="CB69" s="392"/>
      <c r="CC69" s="392"/>
      <c r="CD69" s="392"/>
      <c r="CE69" s="392"/>
      <c r="CF69" s="392"/>
      <c r="CG69" s="392"/>
      <c r="CH69" s="392"/>
      <c r="CI69" s="392"/>
      <c r="CJ69" s="392"/>
      <c r="CK69" s="392"/>
      <c r="CL69" s="392"/>
      <c r="CM69" s="392"/>
      <c r="CN69" s="392"/>
      <c r="CO69" s="392"/>
      <c r="CP69" s="392"/>
      <c r="CQ69" s="392"/>
      <c r="CR69" s="392"/>
      <c r="CS69" s="392"/>
      <c r="CT69" s="392"/>
      <c r="CU69" s="392"/>
      <c r="CV69" s="392"/>
      <c r="CW69" s="392"/>
      <c r="CX69" s="392"/>
      <c r="CY69" s="392"/>
      <c r="CZ69" s="392"/>
      <c r="DA69" s="392"/>
    </row>
    <row r="70" spans="1:105" s="393" customFormat="1" ht="15" outlineLevel="2" thickBot="1" x14ac:dyDescent="0.35">
      <c r="A70" s="394" t="s">
        <v>1610</v>
      </c>
      <c r="B70" s="453" t="s">
        <v>1616</v>
      </c>
      <c r="C70" s="457">
        <v>44768</v>
      </c>
      <c r="D70" s="457">
        <v>44768</v>
      </c>
      <c r="E70" s="402" t="s">
        <v>1244</v>
      </c>
      <c r="F70" s="408" t="s">
        <v>1617</v>
      </c>
      <c r="G70" s="388"/>
      <c r="H70" s="387"/>
      <c r="I70" s="403"/>
      <c r="J70" s="403"/>
      <c r="K70" s="404"/>
      <c r="L70" s="404"/>
      <c r="M70" s="391"/>
      <c r="N70" s="391"/>
      <c r="O70" s="392"/>
      <c r="P70" s="392"/>
      <c r="Q70" s="392"/>
      <c r="R70" s="392"/>
      <c r="S70" s="392"/>
      <c r="T70" s="392"/>
      <c r="U70" s="392"/>
      <c r="V70" s="392"/>
      <c r="W70" s="392"/>
      <c r="X70" s="392"/>
      <c r="Y70" s="392"/>
      <c r="Z70" s="392"/>
      <c r="AA70" s="406"/>
      <c r="AB70" s="406"/>
      <c r="AC70" s="392"/>
      <c r="AD70" s="392"/>
      <c r="AE70" s="392"/>
      <c r="AF70" s="392"/>
      <c r="AG70" s="392"/>
      <c r="AH70" s="392"/>
      <c r="AI70" s="392"/>
      <c r="AJ70" s="392"/>
      <c r="AK70" s="392"/>
      <c r="AL70" s="392"/>
      <c r="AM70" s="392"/>
      <c r="AN70" s="392"/>
      <c r="AO70" s="392"/>
      <c r="AP70" s="392"/>
      <c r="AQ70" s="392"/>
      <c r="AR70" s="392"/>
      <c r="AS70" s="392"/>
      <c r="AT70" s="392"/>
      <c r="AU70" s="392"/>
      <c r="AV70" s="392"/>
      <c r="AW70" s="392"/>
      <c r="AX70" s="392"/>
      <c r="AY70" s="392"/>
      <c r="AZ70" s="392"/>
      <c r="BA70" s="392"/>
      <c r="BB70" s="392"/>
      <c r="BC70" s="392"/>
      <c r="BD70" s="392"/>
      <c r="BE70" s="392"/>
      <c r="BF70" s="392"/>
      <c r="BG70" s="392"/>
      <c r="BH70" s="392"/>
      <c r="BI70" s="392"/>
      <c r="BJ70" s="392"/>
      <c r="BK70" s="392"/>
      <c r="BL70" s="392"/>
      <c r="BM70" s="392"/>
      <c r="BN70" s="392"/>
      <c r="BO70" s="392"/>
      <c r="BP70" s="392"/>
      <c r="BQ70" s="392"/>
      <c r="BR70" s="392"/>
      <c r="BS70" s="392"/>
      <c r="BT70" s="392"/>
      <c r="BU70" s="392"/>
      <c r="BV70" s="392"/>
      <c r="BW70" s="392"/>
      <c r="BX70" s="392"/>
      <c r="BY70" s="392"/>
      <c r="BZ70" s="392"/>
      <c r="CA70" s="392"/>
      <c r="CB70" s="392"/>
      <c r="CC70" s="392"/>
      <c r="CD70" s="392"/>
      <c r="CE70" s="392"/>
      <c r="CF70" s="392"/>
      <c r="CG70" s="392"/>
      <c r="CH70" s="392"/>
      <c r="CI70" s="392"/>
      <c r="CJ70" s="392"/>
      <c r="CK70" s="392"/>
      <c r="CL70" s="392"/>
      <c r="CM70" s="392"/>
      <c r="CN70" s="392"/>
      <c r="CO70" s="392"/>
      <c r="CP70" s="392"/>
      <c r="CQ70" s="392"/>
      <c r="CR70" s="392"/>
      <c r="CS70" s="392"/>
      <c r="CT70" s="392"/>
      <c r="CU70" s="392"/>
      <c r="CV70" s="392"/>
      <c r="CW70" s="392"/>
      <c r="CX70" s="392"/>
      <c r="CY70" s="392"/>
      <c r="CZ70" s="392"/>
      <c r="DA70" s="392"/>
    </row>
    <row r="71" spans="1:105" s="393" customFormat="1" ht="15" outlineLevel="2" thickBot="1" x14ac:dyDescent="0.35">
      <c r="A71" s="394" t="s">
        <v>1611</v>
      </c>
      <c r="B71" s="453" t="s">
        <v>1618</v>
      </c>
      <c r="C71" s="511">
        <v>44770.9375</v>
      </c>
      <c r="D71" s="511">
        <v>44771.229166666664</v>
      </c>
      <c r="E71" s="402" t="s">
        <v>1245</v>
      </c>
      <c r="F71" s="408" t="s">
        <v>1620</v>
      </c>
      <c r="G71" s="388"/>
      <c r="H71" s="387"/>
      <c r="I71" s="403"/>
      <c r="J71" s="403"/>
      <c r="K71" s="404"/>
      <c r="L71" s="404"/>
      <c r="M71" s="391"/>
      <c r="N71" s="391"/>
      <c r="O71" s="392"/>
      <c r="P71" s="392"/>
      <c r="Q71" s="392"/>
      <c r="R71" s="392"/>
      <c r="S71" s="392"/>
      <c r="T71" s="392"/>
      <c r="U71" s="392"/>
      <c r="V71" s="392"/>
      <c r="W71" s="392"/>
      <c r="X71" s="392"/>
      <c r="Y71" s="392"/>
      <c r="Z71" s="392"/>
      <c r="AA71" s="406"/>
      <c r="AB71" s="406"/>
      <c r="AC71" s="392"/>
      <c r="AD71" s="392"/>
      <c r="AE71" s="392"/>
      <c r="AF71" s="392"/>
      <c r="AG71" s="392"/>
      <c r="AH71" s="392"/>
      <c r="AI71" s="392"/>
      <c r="AJ71" s="392"/>
      <c r="AK71" s="392"/>
      <c r="AL71" s="392"/>
      <c r="AM71" s="392"/>
      <c r="AN71" s="392"/>
      <c r="AO71" s="392"/>
      <c r="AP71" s="392"/>
      <c r="AQ71" s="392"/>
      <c r="AR71" s="392"/>
      <c r="AS71" s="392"/>
      <c r="AT71" s="392"/>
      <c r="AU71" s="392"/>
      <c r="AV71" s="392"/>
      <c r="AW71" s="392"/>
      <c r="AX71" s="392"/>
      <c r="AY71" s="392"/>
      <c r="AZ71" s="392"/>
      <c r="BA71" s="392"/>
      <c r="BB71" s="392"/>
      <c r="BC71" s="392"/>
      <c r="BD71" s="392"/>
      <c r="BE71" s="392"/>
      <c r="BF71" s="392"/>
      <c r="BG71" s="392"/>
      <c r="BH71" s="392"/>
      <c r="BI71" s="392"/>
      <c r="BJ71" s="392"/>
      <c r="BK71" s="392"/>
      <c r="BL71" s="392"/>
      <c r="BM71" s="392"/>
      <c r="BN71" s="392"/>
      <c r="BO71" s="392"/>
      <c r="BP71" s="392"/>
      <c r="BQ71" s="392"/>
      <c r="BR71" s="392"/>
      <c r="BS71" s="392"/>
      <c r="BT71" s="392"/>
      <c r="BU71" s="392"/>
      <c r="BV71" s="392"/>
      <c r="BW71" s="392"/>
      <c r="BX71" s="392"/>
      <c r="BY71" s="392"/>
      <c r="BZ71" s="392"/>
      <c r="CA71" s="392"/>
      <c r="CB71" s="392"/>
      <c r="CC71" s="392"/>
      <c r="CD71" s="392"/>
      <c r="CE71" s="392"/>
      <c r="CF71" s="392"/>
      <c r="CG71" s="392"/>
      <c r="CH71" s="392"/>
      <c r="CI71" s="392"/>
      <c r="CJ71" s="392"/>
      <c r="CK71" s="392"/>
      <c r="CL71" s="392"/>
      <c r="CM71" s="392"/>
      <c r="CN71" s="392"/>
      <c r="CO71" s="392"/>
      <c r="CP71" s="392"/>
      <c r="CQ71" s="392"/>
      <c r="CR71" s="392"/>
      <c r="CS71" s="392"/>
      <c r="CT71" s="392"/>
      <c r="CU71" s="392"/>
      <c r="CV71" s="392"/>
      <c r="CW71" s="392"/>
      <c r="CX71" s="392"/>
      <c r="CY71" s="392"/>
      <c r="CZ71" s="392"/>
      <c r="DA71" s="392"/>
    </row>
    <row r="72" spans="1:105" s="393" customFormat="1" ht="15" outlineLevel="2" thickBot="1" x14ac:dyDescent="0.35">
      <c r="A72" s="394" t="s">
        <v>1612</v>
      </c>
      <c r="B72" s="453" t="s">
        <v>1619</v>
      </c>
      <c r="C72" s="511">
        <v>44771.229166666664</v>
      </c>
      <c r="D72" s="511">
        <v>44771.270833333336</v>
      </c>
      <c r="E72" s="402" t="s">
        <v>1245</v>
      </c>
      <c r="F72" s="408" t="s">
        <v>1620</v>
      </c>
      <c r="G72" s="388"/>
      <c r="H72" s="387"/>
      <c r="I72" s="403"/>
      <c r="J72" s="403"/>
      <c r="K72" s="404"/>
      <c r="L72" s="404"/>
      <c r="M72" s="391"/>
      <c r="N72" s="391"/>
      <c r="O72" s="392"/>
      <c r="P72" s="392"/>
      <c r="Q72" s="392"/>
      <c r="R72" s="392"/>
      <c r="S72" s="392"/>
      <c r="T72" s="392"/>
      <c r="U72" s="392"/>
      <c r="V72" s="392"/>
      <c r="W72" s="392"/>
      <c r="X72" s="392"/>
      <c r="Y72" s="392"/>
      <c r="Z72" s="392"/>
      <c r="AA72" s="406"/>
      <c r="AB72" s="406"/>
      <c r="AC72" s="392"/>
      <c r="AD72" s="392"/>
      <c r="AE72" s="392"/>
      <c r="AF72" s="392"/>
      <c r="AG72" s="392"/>
      <c r="AH72" s="392"/>
      <c r="AI72" s="392"/>
      <c r="AJ72" s="392"/>
      <c r="AK72" s="392"/>
      <c r="AL72" s="392"/>
      <c r="AM72" s="392"/>
      <c r="AN72" s="392"/>
      <c r="AO72" s="392"/>
      <c r="AP72" s="392"/>
      <c r="AQ72" s="392"/>
      <c r="AR72" s="392"/>
      <c r="AS72" s="392"/>
      <c r="AT72" s="392"/>
      <c r="AU72" s="392"/>
      <c r="AV72" s="392"/>
      <c r="AW72" s="392"/>
      <c r="AX72" s="392"/>
      <c r="AY72" s="392"/>
      <c r="AZ72" s="392"/>
      <c r="BA72" s="392"/>
      <c r="BB72" s="392"/>
      <c r="BC72" s="392"/>
      <c r="BD72" s="392"/>
      <c r="BE72" s="392"/>
      <c r="BF72" s="392"/>
      <c r="BG72" s="392"/>
      <c r="BH72" s="392"/>
      <c r="BI72" s="392"/>
      <c r="BJ72" s="392"/>
      <c r="BK72" s="392"/>
      <c r="BL72" s="392"/>
      <c r="BM72" s="392"/>
      <c r="BN72" s="392"/>
      <c r="BO72" s="392"/>
      <c r="BP72" s="392"/>
      <c r="BQ72" s="392"/>
      <c r="BR72" s="392"/>
      <c r="BS72" s="392"/>
      <c r="BT72" s="392"/>
      <c r="BU72" s="392"/>
      <c r="BV72" s="392"/>
      <c r="BW72" s="392"/>
      <c r="BX72" s="392"/>
      <c r="BY72" s="392"/>
      <c r="BZ72" s="392"/>
      <c r="CA72" s="392"/>
      <c r="CB72" s="392"/>
      <c r="CC72" s="392"/>
      <c r="CD72" s="392"/>
      <c r="CE72" s="392"/>
      <c r="CF72" s="392"/>
      <c r="CG72" s="392"/>
      <c r="CH72" s="392"/>
      <c r="CI72" s="392"/>
      <c r="CJ72" s="392"/>
      <c r="CK72" s="392"/>
      <c r="CL72" s="392"/>
      <c r="CM72" s="392"/>
      <c r="CN72" s="392"/>
      <c r="CO72" s="392"/>
      <c r="CP72" s="392"/>
      <c r="CQ72" s="392"/>
      <c r="CR72" s="392"/>
      <c r="CS72" s="392"/>
      <c r="CT72" s="392"/>
      <c r="CU72" s="392"/>
      <c r="CV72" s="392"/>
      <c r="CW72" s="392"/>
      <c r="CX72" s="392"/>
      <c r="CY72" s="392"/>
      <c r="CZ72" s="392"/>
      <c r="DA72" s="392"/>
    </row>
    <row r="73" spans="1:105" s="393" customFormat="1" ht="15" outlineLevel="2" thickBot="1" x14ac:dyDescent="0.35">
      <c r="A73" s="394" t="s">
        <v>1613</v>
      </c>
      <c r="B73" s="453" t="s">
        <v>1618</v>
      </c>
      <c r="C73" s="511">
        <v>44771.270833333336</v>
      </c>
      <c r="D73" s="511">
        <v>44771.354166666664</v>
      </c>
      <c r="E73" s="402" t="s">
        <v>1245</v>
      </c>
      <c r="F73" s="408" t="s">
        <v>1620</v>
      </c>
      <c r="G73" s="388"/>
      <c r="H73" s="387"/>
      <c r="I73" s="403"/>
      <c r="J73" s="403"/>
      <c r="K73" s="404"/>
      <c r="L73" s="404"/>
      <c r="M73" s="391"/>
      <c r="N73" s="391"/>
      <c r="O73" s="392"/>
      <c r="P73" s="392"/>
      <c r="Q73" s="392"/>
      <c r="R73" s="392"/>
      <c r="S73" s="392"/>
      <c r="T73" s="392"/>
      <c r="U73" s="392"/>
      <c r="V73" s="392"/>
      <c r="W73" s="392"/>
      <c r="X73" s="392"/>
      <c r="Y73" s="392"/>
      <c r="Z73" s="392"/>
      <c r="AA73" s="406"/>
      <c r="AB73" s="406"/>
      <c r="AC73" s="392"/>
      <c r="AD73" s="392"/>
      <c r="AE73" s="392"/>
      <c r="AF73" s="392"/>
      <c r="AG73" s="392"/>
      <c r="AH73" s="392"/>
      <c r="AI73" s="392"/>
      <c r="AJ73" s="392"/>
      <c r="AK73" s="392"/>
      <c r="AL73" s="392"/>
      <c r="AM73" s="392"/>
      <c r="AN73" s="392"/>
      <c r="AO73" s="392"/>
      <c r="AP73" s="392"/>
      <c r="AQ73" s="392"/>
      <c r="AR73" s="392"/>
      <c r="AS73" s="392"/>
      <c r="AT73" s="392"/>
      <c r="AU73" s="392"/>
      <c r="AV73" s="392"/>
      <c r="AW73" s="392"/>
      <c r="AX73" s="392"/>
      <c r="AY73" s="392"/>
      <c r="AZ73" s="392"/>
      <c r="BA73" s="392"/>
      <c r="BB73" s="392"/>
      <c r="BC73" s="392"/>
      <c r="BD73" s="392"/>
      <c r="BE73" s="392"/>
      <c r="BF73" s="392"/>
      <c r="BG73" s="392"/>
      <c r="BH73" s="392"/>
      <c r="BI73" s="392"/>
      <c r="BJ73" s="392"/>
      <c r="BK73" s="392"/>
      <c r="BL73" s="392"/>
      <c r="BM73" s="392"/>
      <c r="BN73" s="392"/>
      <c r="BO73" s="392"/>
      <c r="BP73" s="392"/>
      <c r="BQ73" s="392"/>
      <c r="BR73" s="392"/>
      <c r="BS73" s="392"/>
      <c r="BT73" s="392"/>
      <c r="BU73" s="392"/>
      <c r="BV73" s="392"/>
      <c r="BW73" s="392"/>
      <c r="BX73" s="392"/>
      <c r="BY73" s="392"/>
      <c r="BZ73" s="392"/>
      <c r="CA73" s="392"/>
      <c r="CB73" s="392"/>
      <c r="CC73" s="392"/>
      <c r="CD73" s="392"/>
      <c r="CE73" s="392"/>
      <c r="CF73" s="392"/>
      <c r="CG73" s="392"/>
      <c r="CH73" s="392"/>
      <c r="CI73" s="392"/>
      <c r="CJ73" s="392"/>
      <c r="CK73" s="392"/>
      <c r="CL73" s="392"/>
      <c r="CM73" s="392"/>
      <c r="CN73" s="392"/>
      <c r="CO73" s="392"/>
      <c r="CP73" s="392"/>
      <c r="CQ73" s="392"/>
      <c r="CR73" s="392"/>
      <c r="CS73" s="392"/>
      <c r="CT73" s="392"/>
      <c r="CU73" s="392"/>
      <c r="CV73" s="392"/>
      <c r="CW73" s="392"/>
      <c r="CX73" s="392"/>
      <c r="CY73" s="392"/>
      <c r="CZ73" s="392"/>
      <c r="DA73" s="392"/>
    </row>
    <row r="74" spans="1:105" s="393" customFormat="1" ht="15" outlineLevel="2" thickBot="1" x14ac:dyDescent="0.35">
      <c r="A74" s="394" t="s">
        <v>1614</v>
      </c>
      <c r="B74" s="453" t="s">
        <v>1621</v>
      </c>
      <c r="C74" s="511">
        <v>44771.354166666664</v>
      </c>
      <c r="D74" s="511">
        <v>44771.395833333336</v>
      </c>
      <c r="E74" s="402" t="s">
        <v>1245</v>
      </c>
      <c r="F74" s="408" t="s">
        <v>1620</v>
      </c>
      <c r="G74" s="388"/>
      <c r="H74" s="387"/>
      <c r="I74" s="403"/>
      <c r="J74" s="403"/>
      <c r="K74" s="404"/>
      <c r="L74" s="404"/>
      <c r="M74" s="391"/>
      <c r="N74" s="391"/>
      <c r="O74" s="392"/>
      <c r="P74" s="392"/>
      <c r="Q74" s="392"/>
      <c r="R74" s="392"/>
      <c r="S74" s="392"/>
      <c r="T74" s="392"/>
      <c r="U74" s="392"/>
      <c r="V74" s="392"/>
      <c r="W74" s="392"/>
      <c r="X74" s="392"/>
      <c r="Y74" s="392"/>
      <c r="Z74" s="392"/>
      <c r="AA74" s="406"/>
      <c r="AB74" s="406"/>
      <c r="AC74" s="392"/>
      <c r="AD74" s="392"/>
      <c r="AE74" s="392"/>
      <c r="AF74" s="392"/>
      <c r="AG74" s="392"/>
      <c r="AH74" s="392"/>
      <c r="AI74" s="392"/>
      <c r="AJ74" s="392"/>
      <c r="AK74" s="392"/>
      <c r="AL74" s="392"/>
      <c r="AM74" s="392"/>
      <c r="AN74" s="392"/>
      <c r="AO74" s="392"/>
      <c r="AP74" s="392"/>
      <c r="AQ74" s="392"/>
      <c r="AR74" s="392"/>
      <c r="AS74" s="392"/>
      <c r="AT74" s="392"/>
      <c r="AU74" s="392"/>
      <c r="AV74" s="392"/>
      <c r="AW74" s="392"/>
      <c r="AX74" s="392"/>
      <c r="AY74" s="392"/>
      <c r="AZ74" s="392"/>
      <c r="BA74" s="392"/>
      <c r="BB74" s="392"/>
      <c r="BC74" s="392"/>
      <c r="BD74" s="392"/>
      <c r="BE74" s="392"/>
      <c r="BF74" s="392"/>
      <c r="BG74" s="392"/>
      <c r="BH74" s="392"/>
      <c r="BI74" s="392"/>
      <c r="BJ74" s="392"/>
      <c r="BK74" s="392"/>
      <c r="BL74" s="392"/>
      <c r="BM74" s="392"/>
      <c r="BN74" s="392"/>
      <c r="BO74" s="392"/>
      <c r="BP74" s="392"/>
      <c r="BQ74" s="392"/>
      <c r="BR74" s="392"/>
      <c r="BS74" s="392"/>
      <c r="BT74" s="392"/>
      <c r="BU74" s="392"/>
      <c r="BV74" s="392"/>
      <c r="BW74" s="392"/>
      <c r="BX74" s="392"/>
      <c r="BY74" s="392"/>
      <c r="BZ74" s="392"/>
      <c r="CA74" s="392"/>
      <c r="CB74" s="392"/>
      <c r="CC74" s="392"/>
      <c r="CD74" s="392"/>
      <c r="CE74" s="392"/>
      <c r="CF74" s="392"/>
      <c r="CG74" s="392"/>
      <c r="CH74" s="392"/>
      <c r="CI74" s="392"/>
      <c r="CJ74" s="392"/>
      <c r="CK74" s="392"/>
      <c r="CL74" s="392"/>
      <c r="CM74" s="392"/>
      <c r="CN74" s="392"/>
      <c r="CO74" s="392"/>
      <c r="CP74" s="392"/>
      <c r="CQ74" s="392"/>
      <c r="CR74" s="392"/>
      <c r="CS74" s="392"/>
      <c r="CT74" s="392"/>
      <c r="CU74" s="392"/>
      <c r="CV74" s="392"/>
      <c r="CW74" s="392"/>
      <c r="CX74" s="392"/>
      <c r="CY74" s="392"/>
      <c r="CZ74" s="392"/>
      <c r="DA74" s="392"/>
    </row>
    <row r="75" spans="1:105" s="393" customFormat="1" ht="15" outlineLevel="2" thickBot="1" x14ac:dyDescent="0.35">
      <c r="A75" s="394"/>
      <c r="B75" s="451" t="s">
        <v>975</v>
      </c>
      <c r="C75" s="394"/>
      <c r="D75" s="394"/>
      <c r="E75" s="394"/>
      <c r="F75" s="387"/>
      <c r="G75" s="388"/>
      <c r="H75" s="387"/>
      <c r="I75" s="403"/>
      <c r="J75" s="403"/>
      <c r="K75" s="404"/>
      <c r="L75" s="404"/>
      <c r="M75" s="391"/>
      <c r="N75" s="391"/>
      <c r="O75" s="392"/>
      <c r="P75" s="392"/>
      <c r="Q75" s="392"/>
      <c r="R75" s="392"/>
      <c r="S75" s="392"/>
      <c r="T75" s="392"/>
      <c r="U75" s="392"/>
      <c r="V75" s="392"/>
      <c r="W75" s="392"/>
      <c r="X75" s="392"/>
      <c r="Y75" s="392"/>
      <c r="Z75" s="392"/>
      <c r="AA75" s="406"/>
      <c r="AB75" s="406"/>
      <c r="AC75" s="392"/>
      <c r="AD75" s="392"/>
      <c r="AE75" s="392"/>
      <c r="AF75" s="392"/>
      <c r="AG75" s="392"/>
      <c r="AH75" s="392"/>
      <c r="AI75" s="392"/>
      <c r="AJ75" s="392"/>
      <c r="AK75" s="392"/>
      <c r="AL75" s="392"/>
      <c r="AM75" s="392"/>
      <c r="AN75" s="392"/>
      <c r="AO75" s="392"/>
      <c r="AP75" s="392"/>
      <c r="AQ75" s="392"/>
      <c r="AR75" s="392"/>
      <c r="AS75" s="392"/>
      <c r="AT75" s="392"/>
      <c r="AU75" s="392"/>
      <c r="AV75" s="392"/>
      <c r="AW75" s="392"/>
      <c r="AX75" s="392"/>
      <c r="AY75" s="392"/>
      <c r="AZ75" s="392"/>
      <c r="BA75" s="392"/>
      <c r="BB75" s="392"/>
      <c r="BC75" s="392"/>
      <c r="BD75" s="392"/>
      <c r="BE75" s="392"/>
      <c r="BF75" s="392"/>
      <c r="BG75" s="392"/>
      <c r="BH75" s="392"/>
      <c r="BI75" s="392"/>
      <c r="BJ75" s="392"/>
      <c r="BK75" s="392"/>
      <c r="BL75" s="392"/>
      <c r="BM75" s="392"/>
      <c r="BN75" s="392"/>
      <c r="BO75" s="392"/>
      <c r="BP75" s="392"/>
      <c r="BQ75" s="392"/>
      <c r="BR75" s="392"/>
      <c r="BS75" s="392"/>
      <c r="BT75" s="392"/>
      <c r="BU75" s="392"/>
      <c r="BV75" s="392"/>
      <c r="BW75" s="392"/>
      <c r="BX75" s="392"/>
      <c r="BY75" s="392"/>
      <c r="BZ75" s="392"/>
      <c r="CA75" s="392"/>
      <c r="CB75" s="392"/>
      <c r="CC75" s="392"/>
      <c r="CD75" s="392"/>
      <c r="CE75" s="392"/>
      <c r="CF75" s="392"/>
      <c r="CG75" s="392"/>
      <c r="CH75" s="392"/>
      <c r="CI75" s="392"/>
      <c r="CJ75" s="392"/>
      <c r="CK75" s="392"/>
      <c r="CL75" s="392"/>
      <c r="CM75" s="392"/>
      <c r="CN75" s="392"/>
      <c r="CO75" s="392"/>
      <c r="CP75" s="392"/>
      <c r="CQ75" s="392"/>
      <c r="CR75" s="392"/>
      <c r="CS75" s="392"/>
      <c r="CT75" s="392"/>
      <c r="CU75" s="392"/>
      <c r="CV75" s="392"/>
      <c r="CW75" s="392"/>
      <c r="CX75" s="392"/>
      <c r="CY75" s="392"/>
      <c r="CZ75" s="392"/>
      <c r="DA75" s="392"/>
    </row>
    <row r="76" spans="1:105" s="393" customFormat="1" ht="15" outlineLevel="2" thickBot="1" x14ac:dyDescent="0.35">
      <c r="A76" s="394" t="s">
        <v>1258</v>
      </c>
      <c r="B76" s="453" t="s">
        <v>1141</v>
      </c>
      <c r="C76" s="402"/>
      <c r="D76" s="402"/>
      <c r="E76" s="402" t="s">
        <v>1402</v>
      </c>
      <c r="F76" s="408" t="s">
        <v>1192</v>
      </c>
      <c r="G76" s="388"/>
      <c r="H76" s="387">
        <v>0</v>
      </c>
      <c r="I76" s="403"/>
      <c r="J76" s="403"/>
      <c r="K76" s="404"/>
      <c r="L76" s="404"/>
      <c r="M76" s="391"/>
      <c r="N76" s="391"/>
      <c r="O76" s="392"/>
      <c r="P76" s="392"/>
      <c r="Q76" s="392"/>
      <c r="R76" s="392"/>
      <c r="S76" s="392"/>
      <c r="T76" s="392"/>
      <c r="U76" s="392"/>
      <c r="V76" s="392"/>
      <c r="W76" s="392"/>
      <c r="X76" s="392"/>
      <c r="Y76" s="392"/>
      <c r="Z76" s="392"/>
      <c r="AA76" s="406"/>
      <c r="AB76" s="406"/>
      <c r="AC76" s="392"/>
      <c r="AD76" s="392"/>
      <c r="AE76" s="392"/>
      <c r="AF76" s="392"/>
      <c r="AG76" s="392"/>
      <c r="AH76" s="392"/>
      <c r="AI76" s="392"/>
      <c r="AJ76" s="392"/>
      <c r="AK76" s="392"/>
      <c r="AL76" s="392"/>
      <c r="AM76" s="392"/>
      <c r="AN76" s="392"/>
      <c r="AO76" s="392"/>
      <c r="AP76" s="392"/>
      <c r="AQ76" s="392"/>
      <c r="AR76" s="392"/>
      <c r="AS76" s="392"/>
      <c r="AT76" s="392"/>
      <c r="AU76" s="392"/>
      <c r="AV76" s="392"/>
      <c r="AW76" s="392"/>
      <c r="AX76" s="392"/>
      <c r="AY76" s="392"/>
      <c r="AZ76" s="392"/>
      <c r="BA76" s="392"/>
      <c r="BB76" s="392"/>
      <c r="BC76" s="392"/>
      <c r="BD76" s="392"/>
      <c r="BE76" s="392"/>
      <c r="BF76" s="392"/>
      <c r="BG76" s="392"/>
      <c r="BH76" s="392"/>
      <c r="BI76" s="392"/>
      <c r="BJ76" s="392"/>
      <c r="BK76" s="392"/>
      <c r="BL76" s="392"/>
      <c r="BM76" s="392"/>
      <c r="BN76" s="392"/>
      <c r="BO76" s="392"/>
      <c r="BP76" s="392"/>
      <c r="BQ76" s="392"/>
      <c r="BR76" s="392"/>
      <c r="BS76" s="392"/>
      <c r="BT76" s="392"/>
      <c r="BU76" s="392"/>
      <c r="BV76" s="392"/>
      <c r="BW76" s="392"/>
      <c r="BX76" s="392"/>
      <c r="BY76" s="392"/>
      <c r="BZ76" s="392"/>
      <c r="CA76" s="392"/>
      <c r="CB76" s="392"/>
      <c r="CC76" s="392"/>
      <c r="CD76" s="392"/>
      <c r="CE76" s="392"/>
      <c r="CF76" s="392"/>
      <c r="CG76" s="392"/>
      <c r="CH76" s="392"/>
      <c r="CI76" s="392"/>
      <c r="CJ76" s="392"/>
      <c r="CK76" s="392"/>
      <c r="CL76" s="392"/>
      <c r="CM76" s="392"/>
      <c r="CN76" s="392"/>
      <c r="CO76" s="392"/>
      <c r="CP76" s="392"/>
      <c r="CQ76" s="392"/>
      <c r="CR76" s="392"/>
      <c r="CS76" s="392"/>
      <c r="CT76" s="392"/>
      <c r="CU76" s="392"/>
      <c r="CV76" s="392"/>
      <c r="CW76" s="392"/>
      <c r="CX76" s="392"/>
      <c r="CY76" s="392"/>
      <c r="CZ76" s="392"/>
      <c r="DA76" s="392"/>
    </row>
    <row r="77" spans="1:105" s="393" customFormat="1" ht="15" outlineLevel="2" thickBot="1" x14ac:dyDescent="0.35">
      <c r="A77" s="394"/>
      <c r="B77" s="451" t="s">
        <v>1146</v>
      </c>
      <c r="C77" s="394"/>
      <c r="D77" s="394"/>
      <c r="E77" s="394"/>
      <c r="F77" s="387"/>
      <c r="G77" s="388"/>
      <c r="H77" s="387"/>
      <c r="I77" s="403"/>
      <c r="J77" s="403"/>
      <c r="K77" s="404"/>
      <c r="L77" s="404"/>
      <c r="M77" s="391"/>
      <c r="N77" s="391"/>
      <c r="O77" s="392"/>
      <c r="P77" s="392"/>
      <c r="Q77" s="392"/>
      <c r="R77" s="392"/>
      <c r="S77" s="392"/>
      <c r="T77" s="392"/>
      <c r="U77" s="392"/>
      <c r="V77" s="392"/>
      <c r="W77" s="392"/>
      <c r="X77" s="392"/>
      <c r="Y77" s="392"/>
      <c r="Z77" s="392"/>
      <c r="AA77" s="406"/>
      <c r="AB77" s="406"/>
      <c r="AC77" s="392"/>
      <c r="AD77" s="392"/>
      <c r="AE77" s="392"/>
      <c r="AF77" s="392"/>
      <c r="AG77" s="392"/>
      <c r="AH77" s="392"/>
      <c r="AI77" s="392"/>
      <c r="AJ77" s="392"/>
      <c r="AK77" s="392"/>
      <c r="AL77" s="392"/>
      <c r="AM77" s="392"/>
      <c r="AN77" s="392"/>
      <c r="AO77" s="392"/>
      <c r="AP77" s="392"/>
      <c r="AQ77" s="392"/>
      <c r="AR77" s="392"/>
      <c r="AS77" s="392"/>
      <c r="AT77" s="392"/>
      <c r="AU77" s="392"/>
      <c r="AV77" s="392"/>
      <c r="AW77" s="392"/>
      <c r="AX77" s="392"/>
      <c r="AY77" s="392"/>
      <c r="AZ77" s="392"/>
      <c r="BA77" s="392"/>
      <c r="BB77" s="392"/>
      <c r="BC77" s="392"/>
      <c r="BD77" s="392"/>
      <c r="BE77" s="392"/>
      <c r="BF77" s="392"/>
      <c r="BG77" s="392"/>
      <c r="BH77" s="392"/>
      <c r="BI77" s="392"/>
      <c r="BJ77" s="392"/>
      <c r="BK77" s="392"/>
      <c r="BL77" s="392"/>
      <c r="BM77" s="392"/>
      <c r="BN77" s="392"/>
      <c r="BO77" s="392"/>
      <c r="BP77" s="392"/>
      <c r="BQ77" s="392"/>
      <c r="BR77" s="392"/>
      <c r="BS77" s="392"/>
      <c r="BT77" s="392"/>
      <c r="BU77" s="392"/>
      <c r="BV77" s="392"/>
      <c r="BW77" s="392"/>
      <c r="BX77" s="392"/>
      <c r="BY77" s="392"/>
      <c r="BZ77" s="392"/>
      <c r="CA77" s="392"/>
      <c r="CB77" s="392"/>
      <c r="CC77" s="392"/>
      <c r="CD77" s="392"/>
      <c r="CE77" s="392"/>
      <c r="CF77" s="392"/>
      <c r="CG77" s="392"/>
      <c r="CH77" s="392"/>
      <c r="CI77" s="392"/>
      <c r="CJ77" s="392"/>
      <c r="CK77" s="392"/>
      <c r="CL77" s="392"/>
      <c r="CM77" s="392"/>
      <c r="CN77" s="392"/>
      <c r="CO77" s="392"/>
      <c r="CP77" s="392"/>
      <c r="CQ77" s="392"/>
      <c r="CR77" s="392"/>
      <c r="CS77" s="392"/>
      <c r="CT77" s="392"/>
      <c r="CU77" s="392"/>
      <c r="CV77" s="392"/>
      <c r="CW77" s="392"/>
      <c r="CX77" s="392"/>
      <c r="CY77" s="392"/>
      <c r="CZ77" s="392"/>
      <c r="DA77" s="392"/>
    </row>
    <row r="78" spans="1:105" s="393" customFormat="1" ht="15" outlineLevel="2" thickBot="1" x14ac:dyDescent="0.35">
      <c r="A78" s="394" t="s">
        <v>1259</v>
      </c>
      <c r="B78" s="376" t="s">
        <v>1199</v>
      </c>
      <c r="C78" s="407"/>
      <c r="D78" s="407"/>
      <c r="E78" s="407" t="s">
        <v>1244</v>
      </c>
      <c r="F78" s="408" t="s">
        <v>1198</v>
      </c>
      <c r="G78" s="388"/>
      <c r="H78" s="387">
        <v>0</v>
      </c>
      <c r="I78" s="403"/>
      <c r="J78" s="403"/>
      <c r="K78" s="404"/>
      <c r="L78" s="404"/>
      <c r="M78" s="391"/>
      <c r="N78" s="391"/>
      <c r="O78" s="392"/>
      <c r="P78" s="392"/>
      <c r="Q78" s="392"/>
      <c r="R78" s="392"/>
      <c r="S78" s="392"/>
      <c r="T78" s="392"/>
      <c r="U78" s="392"/>
      <c r="V78" s="392"/>
      <c r="W78" s="392"/>
      <c r="X78" s="392"/>
      <c r="Y78" s="392"/>
      <c r="Z78" s="392"/>
      <c r="AA78" s="406"/>
      <c r="AB78" s="406"/>
      <c r="AC78" s="392"/>
      <c r="AD78" s="392"/>
      <c r="AE78" s="392"/>
      <c r="AF78" s="392"/>
      <c r="AG78" s="392"/>
      <c r="AH78" s="392"/>
      <c r="AI78" s="392"/>
      <c r="AJ78" s="392"/>
      <c r="AK78" s="392"/>
      <c r="AL78" s="392"/>
      <c r="AM78" s="392"/>
      <c r="AN78" s="392"/>
      <c r="AO78" s="392"/>
      <c r="AP78" s="392"/>
      <c r="AQ78" s="392"/>
      <c r="AR78" s="392"/>
      <c r="AS78" s="392"/>
      <c r="AT78" s="392"/>
      <c r="AU78" s="392"/>
      <c r="AV78" s="392"/>
      <c r="AW78" s="392"/>
      <c r="AX78" s="392"/>
      <c r="AY78" s="392"/>
      <c r="AZ78" s="392"/>
      <c r="BA78" s="392"/>
      <c r="BB78" s="392"/>
      <c r="BC78" s="392"/>
      <c r="BD78" s="392"/>
      <c r="BE78" s="392"/>
      <c r="BF78" s="392"/>
      <c r="BG78" s="392"/>
      <c r="BH78" s="392"/>
      <c r="BI78" s="392"/>
      <c r="BJ78" s="392"/>
      <c r="BK78" s="392"/>
      <c r="BL78" s="392"/>
      <c r="BM78" s="392"/>
      <c r="BN78" s="392"/>
      <c r="BO78" s="392"/>
      <c r="BP78" s="392"/>
      <c r="BQ78" s="392"/>
      <c r="BR78" s="392"/>
      <c r="BS78" s="392"/>
      <c r="BT78" s="392"/>
      <c r="BU78" s="392"/>
      <c r="BV78" s="392"/>
      <c r="BW78" s="392"/>
      <c r="BX78" s="392"/>
      <c r="BY78" s="392"/>
      <c r="BZ78" s="392"/>
      <c r="CA78" s="392"/>
      <c r="CB78" s="392"/>
      <c r="CC78" s="392"/>
      <c r="CD78" s="392"/>
      <c r="CE78" s="392"/>
      <c r="CF78" s="392"/>
      <c r="CG78" s="392"/>
      <c r="CH78" s="392"/>
      <c r="CI78" s="392"/>
      <c r="CJ78" s="392"/>
      <c r="CK78" s="392"/>
      <c r="CL78" s="392"/>
      <c r="CM78" s="392"/>
      <c r="CN78" s="392"/>
      <c r="CO78" s="392"/>
      <c r="CP78" s="392"/>
      <c r="CQ78" s="392"/>
      <c r="CR78" s="392"/>
      <c r="CS78" s="392"/>
      <c r="CT78" s="392"/>
      <c r="CU78" s="392"/>
      <c r="CV78" s="392"/>
      <c r="CW78" s="392"/>
      <c r="CX78" s="392"/>
      <c r="CY78" s="392"/>
      <c r="CZ78" s="392"/>
      <c r="DA78" s="392"/>
    </row>
    <row r="79" spans="1:105" s="393" customFormat="1" ht="15" outlineLevel="2" thickBot="1" x14ac:dyDescent="0.35">
      <c r="A79" s="394" t="s">
        <v>1260</v>
      </c>
      <c r="B79" s="376" t="s">
        <v>1201</v>
      </c>
      <c r="C79" s="460">
        <v>44756</v>
      </c>
      <c r="D79" s="460">
        <v>44756</v>
      </c>
      <c r="E79" s="407" t="s">
        <v>1244</v>
      </c>
      <c r="F79" s="408" t="s">
        <v>1200</v>
      </c>
      <c r="G79" s="388"/>
      <c r="H79" s="387">
        <v>0</v>
      </c>
      <c r="I79" s="403"/>
      <c r="J79" s="403"/>
      <c r="K79" s="404"/>
      <c r="L79" s="404"/>
      <c r="M79" s="391"/>
      <c r="N79" s="391"/>
      <c r="O79" s="392"/>
      <c r="P79" s="392"/>
      <c r="Q79" s="392"/>
      <c r="R79" s="392"/>
      <c r="S79" s="392"/>
      <c r="T79" s="392"/>
      <c r="U79" s="392"/>
      <c r="V79" s="392"/>
      <c r="W79" s="392"/>
      <c r="X79" s="392"/>
      <c r="Y79" s="392"/>
      <c r="Z79" s="392"/>
      <c r="AA79" s="406"/>
      <c r="AB79" s="406"/>
      <c r="AC79" s="392"/>
      <c r="AD79" s="392"/>
      <c r="AE79" s="392"/>
      <c r="AF79" s="392"/>
      <c r="AG79" s="392"/>
      <c r="AH79" s="392"/>
      <c r="AI79" s="392"/>
      <c r="AJ79" s="392"/>
      <c r="AK79" s="392"/>
      <c r="AL79" s="392"/>
      <c r="AM79" s="392"/>
      <c r="AN79" s="392"/>
      <c r="AO79" s="392"/>
      <c r="AP79" s="392"/>
      <c r="AQ79" s="392"/>
      <c r="AR79" s="392"/>
      <c r="AS79" s="392"/>
      <c r="AT79" s="392"/>
      <c r="AU79" s="392"/>
      <c r="AV79" s="392"/>
      <c r="AW79" s="392"/>
      <c r="AX79" s="392"/>
      <c r="AY79" s="392"/>
      <c r="AZ79" s="392"/>
      <c r="BA79" s="392"/>
      <c r="BB79" s="392"/>
      <c r="BC79" s="392"/>
      <c r="BD79" s="392"/>
      <c r="BE79" s="392"/>
      <c r="BF79" s="392"/>
      <c r="BG79" s="392"/>
      <c r="BH79" s="392"/>
      <c r="BI79" s="392"/>
      <c r="BJ79" s="392"/>
      <c r="BK79" s="392"/>
      <c r="BL79" s="392"/>
      <c r="BM79" s="392"/>
      <c r="BN79" s="392"/>
      <c r="BO79" s="392"/>
      <c r="BP79" s="392"/>
      <c r="BQ79" s="392"/>
      <c r="BR79" s="392"/>
      <c r="BS79" s="392"/>
      <c r="BT79" s="392"/>
      <c r="BU79" s="392"/>
      <c r="BV79" s="392"/>
      <c r="BW79" s="392"/>
      <c r="BX79" s="392"/>
      <c r="BY79" s="392"/>
      <c r="BZ79" s="392"/>
      <c r="CA79" s="392"/>
      <c r="CB79" s="392"/>
      <c r="CC79" s="392"/>
      <c r="CD79" s="392"/>
      <c r="CE79" s="392"/>
      <c r="CF79" s="392"/>
      <c r="CG79" s="392"/>
      <c r="CH79" s="392"/>
      <c r="CI79" s="392"/>
      <c r="CJ79" s="392"/>
      <c r="CK79" s="392"/>
      <c r="CL79" s="392"/>
      <c r="CM79" s="392"/>
      <c r="CN79" s="392"/>
      <c r="CO79" s="392"/>
      <c r="CP79" s="392"/>
      <c r="CQ79" s="392"/>
      <c r="CR79" s="392"/>
      <c r="CS79" s="392"/>
      <c r="CT79" s="392"/>
      <c r="CU79" s="392"/>
      <c r="CV79" s="392"/>
      <c r="CW79" s="392"/>
      <c r="CX79" s="392"/>
      <c r="CY79" s="392"/>
      <c r="CZ79" s="392"/>
      <c r="DA79" s="392"/>
    </row>
    <row r="80" spans="1:105" s="393" customFormat="1" ht="15" outlineLevel="2" thickBot="1" x14ac:dyDescent="0.35">
      <c r="A80" s="394" t="s">
        <v>1261</v>
      </c>
      <c r="B80" s="376" t="s">
        <v>1196</v>
      </c>
      <c r="C80" s="460">
        <v>44757</v>
      </c>
      <c r="D80" s="460">
        <v>44757</v>
      </c>
      <c r="E80" s="407" t="s">
        <v>1244</v>
      </c>
      <c r="F80" s="408" t="s">
        <v>1197</v>
      </c>
      <c r="G80" s="388"/>
      <c r="H80" s="387"/>
      <c r="I80" s="403"/>
      <c r="J80" s="403"/>
      <c r="K80" s="404"/>
      <c r="L80" s="404"/>
      <c r="M80" s="391"/>
      <c r="N80" s="391"/>
      <c r="O80" s="392"/>
      <c r="P80" s="392"/>
      <c r="Q80" s="392"/>
      <c r="R80" s="392"/>
      <c r="S80" s="392"/>
      <c r="T80" s="392"/>
      <c r="U80" s="392"/>
      <c r="V80" s="392"/>
      <c r="W80" s="392"/>
      <c r="X80" s="392"/>
      <c r="Y80" s="392"/>
      <c r="Z80" s="392"/>
      <c r="AA80" s="406"/>
      <c r="AB80" s="406"/>
      <c r="AC80" s="392"/>
      <c r="AD80" s="392"/>
      <c r="AE80" s="392"/>
      <c r="AF80" s="392"/>
      <c r="AG80" s="392"/>
      <c r="AH80" s="392"/>
      <c r="AI80" s="392"/>
      <c r="AJ80" s="392"/>
      <c r="AK80" s="392"/>
      <c r="AL80" s="392"/>
      <c r="AM80" s="392"/>
      <c r="AN80" s="392"/>
      <c r="AO80" s="392"/>
      <c r="AP80" s="392"/>
      <c r="AQ80" s="392"/>
      <c r="AR80" s="392"/>
      <c r="AS80" s="392"/>
      <c r="AT80" s="392"/>
      <c r="AU80" s="392"/>
      <c r="AV80" s="392"/>
      <c r="AW80" s="392"/>
      <c r="AX80" s="392"/>
      <c r="AY80" s="392"/>
      <c r="AZ80" s="392"/>
      <c r="BA80" s="392"/>
      <c r="BB80" s="392"/>
      <c r="BC80" s="392"/>
      <c r="BD80" s="392"/>
      <c r="BE80" s="392"/>
      <c r="BF80" s="392"/>
      <c r="BG80" s="392"/>
      <c r="BH80" s="392"/>
      <c r="BI80" s="392"/>
      <c r="BJ80" s="392"/>
      <c r="BK80" s="392"/>
      <c r="BL80" s="392"/>
      <c r="BM80" s="392"/>
      <c r="BN80" s="392"/>
      <c r="BO80" s="392"/>
      <c r="BP80" s="392"/>
      <c r="BQ80" s="392"/>
      <c r="BR80" s="392"/>
      <c r="BS80" s="392"/>
      <c r="BT80" s="392"/>
      <c r="BU80" s="392"/>
      <c r="BV80" s="392"/>
      <c r="BW80" s="392"/>
      <c r="BX80" s="392"/>
      <c r="BY80" s="392"/>
      <c r="BZ80" s="392"/>
      <c r="CA80" s="392"/>
      <c r="CB80" s="392"/>
      <c r="CC80" s="392"/>
      <c r="CD80" s="392"/>
      <c r="CE80" s="392"/>
      <c r="CF80" s="392"/>
      <c r="CG80" s="392"/>
      <c r="CH80" s="392"/>
      <c r="CI80" s="392"/>
      <c r="CJ80" s="392"/>
      <c r="CK80" s="392"/>
      <c r="CL80" s="392"/>
      <c r="CM80" s="392"/>
      <c r="CN80" s="392"/>
      <c r="CO80" s="392"/>
      <c r="CP80" s="392"/>
      <c r="CQ80" s="392"/>
      <c r="CR80" s="392"/>
      <c r="CS80" s="392"/>
      <c r="CT80" s="392"/>
      <c r="CU80" s="392"/>
      <c r="CV80" s="392"/>
      <c r="CW80" s="392"/>
      <c r="CX80" s="392"/>
      <c r="CY80" s="392"/>
      <c r="CZ80" s="392"/>
      <c r="DA80" s="392"/>
    </row>
    <row r="81" spans="1:105" s="393" customFormat="1" ht="15" outlineLevel="2" thickBot="1" x14ac:dyDescent="0.35">
      <c r="A81" s="394" t="s">
        <v>1262</v>
      </c>
      <c r="B81" s="376" t="s">
        <v>1195</v>
      </c>
      <c r="C81" s="460">
        <v>44757</v>
      </c>
      <c r="D81" s="460">
        <v>44757</v>
      </c>
      <c r="E81" s="407" t="s">
        <v>1244</v>
      </c>
      <c r="F81" s="408" t="s">
        <v>952</v>
      </c>
      <c r="G81" s="388"/>
      <c r="H81" s="387"/>
      <c r="I81" s="403"/>
      <c r="J81" s="403"/>
      <c r="K81" s="404"/>
      <c r="L81" s="404"/>
      <c r="M81" s="391"/>
      <c r="N81" s="391"/>
      <c r="O81" s="392"/>
      <c r="P81" s="392"/>
      <c r="Q81" s="392"/>
      <c r="R81" s="392"/>
      <c r="S81" s="392"/>
      <c r="T81" s="392"/>
      <c r="U81" s="392"/>
      <c r="V81" s="392"/>
      <c r="W81" s="392"/>
      <c r="X81" s="392"/>
      <c r="Y81" s="392"/>
      <c r="Z81" s="392"/>
      <c r="AA81" s="406"/>
      <c r="AB81" s="406"/>
      <c r="AC81" s="392"/>
      <c r="AD81" s="392"/>
      <c r="AE81" s="392"/>
      <c r="AF81" s="392"/>
      <c r="AG81" s="392"/>
      <c r="AH81" s="392"/>
      <c r="AI81" s="392"/>
      <c r="AJ81" s="392"/>
      <c r="AK81" s="392"/>
      <c r="AL81" s="392"/>
      <c r="AM81" s="392"/>
      <c r="AN81" s="392"/>
      <c r="AO81" s="392"/>
      <c r="AP81" s="392"/>
      <c r="AQ81" s="392"/>
      <c r="AR81" s="392"/>
      <c r="AS81" s="392"/>
      <c r="AT81" s="392"/>
      <c r="AU81" s="392"/>
      <c r="AV81" s="392"/>
      <c r="AW81" s="392"/>
      <c r="AX81" s="392"/>
      <c r="AY81" s="392"/>
      <c r="AZ81" s="392"/>
      <c r="BA81" s="392"/>
      <c r="BB81" s="392"/>
      <c r="BC81" s="392"/>
      <c r="BD81" s="392"/>
      <c r="BE81" s="392"/>
      <c r="BF81" s="392"/>
      <c r="BG81" s="392"/>
      <c r="BH81" s="392"/>
      <c r="BI81" s="392"/>
      <c r="BJ81" s="392"/>
      <c r="BK81" s="392"/>
      <c r="BL81" s="392"/>
      <c r="BM81" s="392"/>
      <c r="BN81" s="392"/>
      <c r="BO81" s="392"/>
      <c r="BP81" s="392"/>
      <c r="BQ81" s="392"/>
      <c r="BR81" s="392"/>
      <c r="BS81" s="392"/>
      <c r="BT81" s="392"/>
      <c r="BU81" s="392"/>
      <c r="BV81" s="392"/>
      <c r="BW81" s="392"/>
      <c r="BX81" s="392"/>
      <c r="BY81" s="392"/>
      <c r="BZ81" s="392"/>
      <c r="CA81" s="392"/>
      <c r="CB81" s="392"/>
      <c r="CC81" s="392"/>
      <c r="CD81" s="392"/>
      <c r="CE81" s="392"/>
      <c r="CF81" s="392"/>
      <c r="CG81" s="392"/>
      <c r="CH81" s="392"/>
      <c r="CI81" s="392"/>
      <c r="CJ81" s="392"/>
      <c r="CK81" s="392"/>
      <c r="CL81" s="392"/>
      <c r="CM81" s="392"/>
      <c r="CN81" s="392"/>
      <c r="CO81" s="392"/>
      <c r="CP81" s="392"/>
      <c r="CQ81" s="392"/>
      <c r="CR81" s="392"/>
      <c r="CS81" s="392"/>
      <c r="CT81" s="392"/>
      <c r="CU81" s="392"/>
      <c r="CV81" s="392"/>
      <c r="CW81" s="392"/>
      <c r="CX81" s="392"/>
      <c r="CY81" s="392"/>
      <c r="CZ81" s="392"/>
      <c r="DA81" s="392"/>
    </row>
    <row r="82" spans="1:105" s="393" customFormat="1" ht="15" outlineLevel="2" thickBot="1" x14ac:dyDescent="0.35">
      <c r="A82" s="394"/>
      <c r="B82" s="451" t="s">
        <v>982</v>
      </c>
      <c r="C82" s="394"/>
      <c r="D82" s="394"/>
      <c r="E82" s="394"/>
      <c r="F82" s="387"/>
      <c r="G82" s="388"/>
      <c r="H82" s="387"/>
      <c r="I82" s="403"/>
      <c r="J82" s="403"/>
      <c r="K82" s="404"/>
      <c r="L82" s="404"/>
      <c r="M82" s="391"/>
      <c r="N82" s="391"/>
      <c r="O82" s="392"/>
      <c r="P82" s="392"/>
      <c r="Q82" s="392"/>
      <c r="R82" s="392"/>
      <c r="S82" s="392"/>
      <c r="T82" s="392"/>
      <c r="U82" s="392"/>
      <c r="V82" s="392"/>
      <c r="W82" s="392"/>
      <c r="X82" s="392"/>
      <c r="Y82" s="392"/>
      <c r="Z82" s="392"/>
      <c r="AA82" s="406"/>
      <c r="AB82" s="406"/>
      <c r="AC82" s="392"/>
      <c r="AD82" s="392"/>
      <c r="AE82" s="392"/>
      <c r="AF82" s="392"/>
      <c r="AG82" s="392"/>
      <c r="AH82" s="392"/>
      <c r="AI82" s="392"/>
      <c r="AJ82" s="392"/>
      <c r="AK82" s="392"/>
      <c r="AL82" s="392"/>
      <c r="AM82" s="392"/>
      <c r="AN82" s="392"/>
      <c r="AO82" s="392"/>
      <c r="AP82" s="392"/>
      <c r="AQ82" s="392"/>
      <c r="AR82" s="392"/>
      <c r="AS82" s="392"/>
      <c r="AT82" s="392"/>
      <c r="AU82" s="392"/>
      <c r="AV82" s="392"/>
      <c r="AW82" s="392"/>
      <c r="AX82" s="392"/>
      <c r="AY82" s="392"/>
      <c r="AZ82" s="392"/>
      <c r="BA82" s="392"/>
      <c r="BB82" s="392"/>
      <c r="BC82" s="392"/>
      <c r="BD82" s="392"/>
      <c r="BE82" s="392"/>
      <c r="BF82" s="392"/>
      <c r="BG82" s="392"/>
      <c r="BH82" s="392"/>
      <c r="BI82" s="392"/>
      <c r="BJ82" s="392"/>
      <c r="BK82" s="392"/>
      <c r="BL82" s="392"/>
      <c r="BM82" s="392"/>
      <c r="BN82" s="392"/>
      <c r="BO82" s="392"/>
      <c r="BP82" s="392"/>
      <c r="BQ82" s="392"/>
      <c r="BR82" s="392"/>
      <c r="BS82" s="392"/>
      <c r="BT82" s="392"/>
      <c r="BU82" s="392"/>
      <c r="BV82" s="392"/>
      <c r="BW82" s="392"/>
      <c r="BX82" s="392"/>
      <c r="BY82" s="392"/>
      <c r="BZ82" s="392"/>
      <c r="CA82" s="392"/>
      <c r="CB82" s="392"/>
      <c r="CC82" s="392"/>
      <c r="CD82" s="392"/>
      <c r="CE82" s="392"/>
      <c r="CF82" s="392"/>
      <c r="CG82" s="392"/>
      <c r="CH82" s="392"/>
      <c r="CI82" s="392"/>
      <c r="CJ82" s="392"/>
      <c r="CK82" s="392"/>
      <c r="CL82" s="392"/>
      <c r="CM82" s="392"/>
      <c r="CN82" s="392"/>
      <c r="CO82" s="392"/>
      <c r="CP82" s="392"/>
      <c r="CQ82" s="392"/>
      <c r="CR82" s="392"/>
      <c r="CS82" s="392"/>
      <c r="CT82" s="392"/>
      <c r="CU82" s="392"/>
      <c r="CV82" s="392"/>
      <c r="CW82" s="392"/>
      <c r="CX82" s="392"/>
      <c r="CY82" s="392"/>
      <c r="CZ82" s="392"/>
      <c r="DA82" s="392"/>
    </row>
    <row r="83" spans="1:105" s="393" customFormat="1" ht="15" outlineLevel="2" thickBot="1" x14ac:dyDescent="0.35">
      <c r="A83" s="394" t="s">
        <v>1307</v>
      </c>
      <c r="B83" s="453" t="s">
        <v>1141</v>
      </c>
      <c r="C83" s="402"/>
      <c r="D83" s="402"/>
      <c r="E83" s="402" t="s">
        <v>1402</v>
      </c>
      <c r="F83" s="408" t="s">
        <v>1192</v>
      </c>
      <c r="G83" s="388"/>
      <c r="H83" s="387">
        <v>0</v>
      </c>
      <c r="I83" s="403"/>
      <c r="J83" s="403"/>
      <c r="K83" s="404"/>
      <c r="L83" s="404"/>
      <c r="M83" s="391"/>
      <c r="N83" s="391"/>
      <c r="O83" s="392"/>
      <c r="P83" s="392"/>
      <c r="Q83" s="392"/>
      <c r="R83" s="392"/>
      <c r="S83" s="392"/>
      <c r="T83" s="392"/>
      <c r="U83" s="392"/>
      <c r="V83" s="392"/>
      <c r="W83" s="392"/>
      <c r="X83" s="392"/>
      <c r="Y83" s="392"/>
      <c r="Z83" s="392"/>
      <c r="AA83" s="406"/>
      <c r="AB83" s="406"/>
      <c r="AC83" s="392"/>
      <c r="AD83" s="392"/>
      <c r="AE83" s="392"/>
      <c r="AF83" s="392"/>
      <c r="AG83" s="392"/>
      <c r="AH83" s="392"/>
      <c r="AI83" s="392"/>
      <c r="AJ83" s="392"/>
      <c r="AK83" s="392"/>
      <c r="AL83" s="392"/>
      <c r="AM83" s="392"/>
      <c r="AN83" s="392"/>
      <c r="AO83" s="392"/>
      <c r="AP83" s="392"/>
      <c r="AQ83" s="392"/>
      <c r="AR83" s="392"/>
      <c r="AS83" s="392"/>
      <c r="AT83" s="392"/>
      <c r="AU83" s="392"/>
      <c r="AV83" s="392"/>
      <c r="AW83" s="392"/>
      <c r="AX83" s="392"/>
      <c r="AY83" s="392"/>
      <c r="AZ83" s="392"/>
      <c r="BA83" s="392"/>
      <c r="BB83" s="392"/>
      <c r="BC83" s="392"/>
      <c r="BD83" s="392"/>
      <c r="BE83" s="392"/>
      <c r="BF83" s="392"/>
      <c r="BG83" s="392"/>
      <c r="BH83" s="392"/>
      <c r="BI83" s="392"/>
      <c r="BJ83" s="392"/>
      <c r="BK83" s="392"/>
      <c r="BL83" s="392"/>
      <c r="BM83" s="392"/>
      <c r="BN83" s="392"/>
      <c r="BO83" s="392"/>
      <c r="BP83" s="392"/>
      <c r="BQ83" s="392"/>
      <c r="BR83" s="392"/>
      <c r="BS83" s="392"/>
      <c r="BT83" s="392"/>
      <c r="BU83" s="392"/>
      <c r="BV83" s="392"/>
      <c r="BW83" s="392"/>
      <c r="BX83" s="392"/>
      <c r="BY83" s="392"/>
      <c r="BZ83" s="392"/>
      <c r="CA83" s="392"/>
      <c r="CB83" s="392"/>
      <c r="CC83" s="392"/>
      <c r="CD83" s="392"/>
      <c r="CE83" s="392"/>
      <c r="CF83" s="392"/>
      <c r="CG83" s="392"/>
      <c r="CH83" s="392"/>
      <c r="CI83" s="392"/>
      <c r="CJ83" s="392"/>
      <c r="CK83" s="392"/>
      <c r="CL83" s="392"/>
      <c r="CM83" s="392"/>
      <c r="CN83" s="392"/>
      <c r="CO83" s="392"/>
      <c r="CP83" s="392"/>
      <c r="CQ83" s="392"/>
      <c r="CR83" s="392"/>
      <c r="CS83" s="392"/>
      <c r="CT83" s="392"/>
      <c r="CU83" s="392"/>
      <c r="CV83" s="392"/>
      <c r="CW83" s="392"/>
      <c r="CX83" s="392"/>
      <c r="CY83" s="392"/>
      <c r="CZ83" s="392"/>
      <c r="DA83" s="392"/>
    </row>
    <row r="84" spans="1:105" s="393" customFormat="1" ht="15" outlineLevel="2" thickBot="1" x14ac:dyDescent="0.35">
      <c r="A84" s="394"/>
      <c r="B84" s="451" t="s">
        <v>381</v>
      </c>
      <c r="C84" s="394"/>
      <c r="D84" s="394"/>
      <c r="E84" s="394"/>
      <c r="F84" s="387"/>
      <c r="G84" s="388"/>
      <c r="H84" s="387"/>
      <c r="I84" s="403"/>
      <c r="J84" s="403"/>
      <c r="K84" s="404"/>
      <c r="L84" s="404"/>
      <c r="M84" s="391"/>
      <c r="N84" s="391"/>
      <c r="O84" s="392"/>
      <c r="P84" s="392"/>
      <c r="Q84" s="392"/>
      <c r="R84" s="392"/>
      <c r="S84" s="392"/>
      <c r="T84" s="392"/>
      <c r="U84" s="392"/>
      <c r="V84" s="392"/>
      <c r="W84" s="392"/>
      <c r="X84" s="392"/>
      <c r="Y84" s="392"/>
      <c r="Z84" s="392"/>
      <c r="AA84" s="406"/>
      <c r="AB84" s="406"/>
      <c r="AC84" s="392"/>
      <c r="AD84" s="392"/>
      <c r="AE84" s="392"/>
      <c r="AF84" s="392"/>
      <c r="AG84" s="392"/>
      <c r="AH84" s="392"/>
      <c r="AI84" s="392"/>
      <c r="AJ84" s="392"/>
      <c r="AK84" s="392"/>
      <c r="AL84" s="392"/>
      <c r="AM84" s="392"/>
      <c r="AN84" s="392"/>
      <c r="AO84" s="392"/>
      <c r="AP84" s="392"/>
      <c r="AQ84" s="392"/>
      <c r="AR84" s="392"/>
      <c r="AS84" s="392"/>
      <c r="AT84" s="392"/>
      <c r="AU84" s="392"/>
      <c r="AV84" s="392"/>
      <c r="AW84" s="392"/>
      <c r="AX84" s="392"/>
      <c r="AY84" s="392"/>
      <c r="AZ84" s="392"/>
      <c r="BA84" s="392"/>
      <c r="BB84" s="392"/>
      <c r="BC84" s="392"/>
      <c r="BD84" s="392"/>
      <c r="BE84" s="392"/>
      <c r="BF84" s="392"/>
      <c r="BG84" s="392"/>
      <c r="BH84" s="392"/>
      <c r="BI84" s="392"/>
      <c r="BJ84" s="392"/>
      <c r="BK84" s="392"/>
      <c r="BL84" s="392"/>
      <c r="BM84" s="392"/>
      <c r="BN84" s="392"/>
      <c r="BO84" s="392"/>
      <c r="BP84" s="392"/>
      <c r="BQ84" s="392"/>
      <c r="BR84" s="392"/>
      <c r="BS84" s="392"/>
      <c r="BT84" s="392"/>
      <c r="BU84" s="392"/>
      <c r="BV84" s="392"/>
      <c r="BW84" s="392"/>
      <c r="BX84" s="392"/>
      <c r="BY84" s="392"/>
      <c r="BZ84" s="392"/>
      <c r="CA84" s="392"/>
      <c r="CB84" s="392"/>
      <c r="CC84" s="392"/>
      <c r="CD84" s="392"/>
      <c r="CE84" s="392"/>
      <c r="CF84" s="392"/>
      <c r="CG84" s="392"/>
      <c r="CH84" s="392"/>
      <c r="CI84" s="392"/>
      <c r="CJ84" s="392"/>
      <c r="CK84" s="392"/>
      <c r="CL84" s="392"/>
      <c r="CM84" s="392"/>
      <c r="CN84" s="392"/>
      <c r="CO84" s="392"/>
      <c r="CP84" s="392"/>
      <c r="CQ84" s="392"/>
      <c r="CR84" s="392"/>
      <c r="CS84" s="392"/>
      <c r="CT84" s="392"/>
      <c r="CU84" s="392"/>
      <c r="CV84" s="392"/>
      <c r="CW84" s="392"/>
      <c r="CX84" s="392"/>
      <c r="CY84" s="392"/>
      <c r="CZ84" s="392"/>
      <c r="DA84" s="392"/>
    </row>
    <row r="85" spans="1:105" s="393" customFormat="1" ht="15" outlineLevel="2" thickBot="1" x14ac:dyDescent="0.35">
      <c r="A85" s="394" t="s">
        <v>1263</v>
      </c>
      <c r="B85" s="453" t="s">
        <v>1451</v>
      </c>
      <c r="C85" s="457">
        <v>44757</v>
      </c>
      <c r="D85" s="457">
        <v>44757</v>
      </c>
      <c r="E85" s="402" t="s">
        <v>1244</v>
      </c>
      <c r="F85" s="387" t="s">
        <v>924</v>
      </c>
      <c r="G85" s="402"/>
      <c r="H85" s="387"/>
      <c r="I85" s="403"/>
      <c r="J85" s="403"/>
      <c r="K85" s="404"/>
      <c r="L85" s="404"/>
      <c r="M85" s="391"/>
      <c r="N85" s="391"/>
      <c r="O85" s="392"/>
      <c r="P85" s="392"/>
      <c r="Q85" s="392"/>
      <c r="R85" s="392"/>
      <c r="S85" s="392"/>
      <c r="T85" s="392"/>
      <c r="U85" s="392"/>
      <c r="V85" s="392"/>
      <c r="W85" s="392"/>
      <c r="X85" s="392"/>
      <c r="Y85" s="392"/>
      <c r="Z85" s="392"/>
      <c r="AA85" s="406"/>
      <c r="AB85" s="406"/>
      <c r="AC85" s="392"/>
      <c r="AD85" s="392"/>
      <c r="AE85" s="392"/>
      <c r="AF85" s="392"/>
      <c r="AG85" s="392"/>
      <c r="AH85" s="392"/>
      <c r="AI85" s="392"/>
      <c r="AJ85" s="392"/>
      <c r="AK85" s="392"/>
      <c r="AL85" s="392"/>
      <c r="AM85" s="392"/>
      <c r="AN85" s="392"/>
      <c r="AO85" s="392"/>
      <c r="AP85" s="392"/>
      <c r="AQ85" s="392"/>
      <c r="AR85" s="392"/>
      <c r="AS85" s="392"/>
      <c r="AT85" s="392"/>
      <c r="AU85" s="392"/>
      <c r="AV85" s="392"/>
      <c r="AW85" s="392"/>
      <c r="AX85" s="392"/>
      <c r="AY85" s="392"/>
      <c r="AZ85" s="392"/>
      <c r="BA85" s="392"/>
      <c r="BB85" s="392"/>
      <c r="BC85" s="392"/>
      <c r="BD85" s="392"/>
      <c r="BE85" s="392"/>
      <c r="BF85" s="392"/>
      <c r="BG85" s="392"/>
      <c r="BH85" s="392"/>
      <c r="BI85" s="392"/>
      <c r="BJ85" s="392"/>
      <c r="BK85" s="392"/>
      <c r="BL85" s="392"/>
      <c r="BM85" s="392"/>
      <c r="BN85" s="392"/>
      <c r="BO85" s="392"/>
      <c r="BP85" s="392"/>
      <c r="BQ85" s="392"/>
      <c r="BR85" s="392"/>
      <c r="BS85" s="392"/>
      <c r="BT85" s="392"/>
      <c r="BU85" s="392"/>
      <c r="BV85" s="392"/>
      <c r="BW85" s="392"/>
      <c r="BX85" s="392"/>
      <c r="BY85" s="392"/>
      <c r="BZ85" s="392"/>
      <c r="CA85" s="392"/>
      <c r="CB85" s="392"/>
      <c r="CC85" s="392"/>
      <c r="CD85" s="392"/>
      <c r="CE85" s="392"/>
      <c r="CF85" s="392"/>
      <c r="CG85" s="392"/>
      <c r="CH85" s="392"/>
      <c r="CI85" s="392"/>
      <c r="CJ85" s="392"/>
      <c r="CK85" s="392"/>
      <c r="CL85" s="392"/>
      <c r="CM85" s="392"/>
      <c r="CN85" s="392"/>
      <c r="CO85" s="392"/>
      <c r="CP85" s="392"/>
      <c r="CQ85" s="392"/>
      <c r="CR85" s="392"/>
      <c r="CS85" s="392"/>
      <c r="CT85" s="392"/>
      <c r="CU85" s="392"/>
      <c r="CV85" s="392"/>
      <c r="CW85" s="392"/>
      <c r="CX85" s="392"/>
      <c r="CY85" s="392"/>
      <c r="CZ85" s="392"/>
      <c r="DA85" s="392"/>
    </row>
    <row r="86" spans="1:105" s="393" customFormat="1" ht="15" outlineLevel="2" thickBot="1" x14ac:dyDescent="0.35">
      <c r="A86" s="394" t="s">
        <v>1264</v>
      </c>
      <c r="B86" s="453" t="s">
        <v>1205</v>
      </c>
      <c r="C86" s="460">
        <v>44771</v>
      </c>
      <c r="D86" s="460">
        <v>44771</v>
      </c>
      <c r="E86" s="402" t="s">
        <v>1245</v>
      </c>
      <c r="F86" s="387" t="s">
        <v>924</v>
      </c>
      <c r="G86" s="388"/>
      <c r="H86" s="387"/>
      <c r="I86" s="403"/>
      <c r="J86" s="403"/>
      <c r="K86" s="404"/>
      <c r="L86" s="404"/>
      <c r="M86" s="391"/>
      <c r="N86" s="391"/>
      <c r="O86" s="392"/>
      <c r="P86" s="392"/>
      <c r="Q86" s="392"/>
      <c r="R86" s="392"/>
      <c r="S86" s="392"/>
      <c r="T86" s="392"/>
      <c r="U86" s="392"/>
      <c r="V86" s="392"/>
      <c r="W86" s="392"/>
      <c r="X86" s="392"/>
      <c r="Y86" s="392"/>
      <c r="Z86" s="392"/>
      <c r="AA86" s="406"/>
      <c r="AB86" s="406"/>
      <c r="AC86" s="392"/>
      <c r="AD86" s="392"/>
      <c r="AE86" s="392"/>
      <c r="AF86" s="392"/>
      <c r="AG86" s="392"/>
      <c r="AH86" s="392"/>
      <c r="AI86" s="392"/>
      <c r="AJ86" s="392"/>
      <c r="AK86" s="392"/>
      <c r="AL86" s="392"/>
      <c r="AM86" s="392"/>
      <c r="AN86" s="392"/>
      <c r="AO86" s="392"/>
      <c r="AP86" s="392"/>
      <c r="AQ86" s="392"/>
      <c r="AR86" s="392"/>
      <c r="AS86" s="392"/>
      <c r="AT86" s="392"/>
      <c r="AU86" s="392"/>
      <c r="AV86" s="392"/>
      <c r="AW86" s="392"/>
      <c r="AX86" s="392"/>
      <c r="AY86" s="392"/>
      <c r="AZ86" s="392"/>
      <c r="BA86" s="392"/>
      <c r="BB86" s="392"/>
      <c r="BC86" s="392"/>
      <c r="BD86" s="392"/>
      <c r="BE86" s="392"/>
      <c r="BF86" s="392"/>
      <c r="BG86" s="392"/>
      <c r="BH86" s="392"/>
      <c r="BI86" s="392"/>
      <c r="BJ86" s="392"/>
      <c r="BK86" s="392"/>
      <c r="BL86" s="392"/>
      <c r="BM86" s="392"/>
      <c r="BN86" s="392"/>
      <c r="BO86" s="392"/>
      <c r="BP86" s="392"/>
      <c r="BQ86" s="392"/>
      <c r="BR86" s="392"/>
      <c r="BS86" s="392"/>
      <c r="BT86" s="392"/>
      <c r="BU86" s="392"/>
      <c r="BV86" s="392"/>
      <c r="BW86" s="392"/>
      <c r="BX86" s="392"/>
      <c r="BY86" s="392"/>
      <c r="BZ86" s="392"/>
      <c r="CA86" s="392"/>
      <c r="CB86" s="392"/>
      <c r="CC86" s="392"/>
      <c r="CD86" s="392"/>
      <c r="CE86" s="392"/>
      <c r="CF86" s="392"/>
      <c r="CG86" s="392"/>
      <c r="CH86" s="392"/>
      <c r="CI86" s="392"/>
      <c r="CJ86" s="392"/>
      <c r="CK86" s="392"/>
      <c r="CL86" s="392"/>
      <c r="CM86" s="392"/>
      <c r="CN86" s="392"/>
      <c r="CO86" s="392"/>
      <c r="CP86" s="392"/>
      <c r="CQ86" s="392"/>
      <c r="CR86" s="392"/>
      <c r="CS86" s="392"/>
      <c r="CT86" s="392"/>
      <c r="CU86" s="392"/>
      <c r="CV86" s="392"/>
      <c r="CW86" s="392"/>
      <c r="CX86" s="392"/>
      <c r="CY86" s="392"/>
      <c r="CZ86" s="392"/>
      <c r="DA86" s="392"/>
    </row>
    <row r="87" spans="1:105" s="393" customFormat="1" ht="15" outlineLevel="2" thickBot="1" x14ac:dyDescent="0.35">
      <c r="A87" s="394" t="s">
        <v>1265</v>
      </c>
      <c r="B87" s="453" t="s">
        <v>1206</v>
      </c>
      <c r="C87" s="460">
        <v>44771</v>
      </c>
      <c r="D87" s="460">
        <v>44771</v>
      </c>
      <c r="E87" s="402" t="s">
        <v>1245</v>
      </c>
      <c r="F87" s="387" t="s">
        <v>924</v>
      </c>
      <c r="G87" s="388"/>
      <c r="H87" s="387"/>
      <c r="I87" s="403"/>
      <c r="J87" s="403"/>
      <c r="K87" s="404"/>
      <c r="L87" s="404"/>
      <c r="M87" s="391"/>
      <c r="N87" s="391"/>
      <c r="O87" s="392"/>
      <c r="P87" s="392"/>
      <c r="Q87" s="392"/>
      <c r="R87" s="392"/>
      <c r="S87" s="392"/>
      <c r="T87" s="392"/>
      <c r="U87" s="392"/>
      <c r="V87" s="392"/>
      <c r="W87" s="392"/>
      <c r="X87" s="392"/>
      <c r="Y87" s="392"/>
      <c r="Z87" s="392"/>
      <c r="AA87" s="406"/>
      <c r="AB87" s="406"/>
      <c r="AC87" s="392"/>
      <c r="AD87" s="392"/>
      <c r="AE87" s="392"/>
      <c r="AF87" s="392"/>
      <c r="AG87" s="392"/>
      <c r="AH87" s="392"/>
      <c r="AI87" s="392"/>
      <c r="AJ87" s="392"/>
      <c r="AK87" s="392"/>
      <c r="AL87" s="392"/>
      <c r="AM87" s="392"/>
      <c r="AN87" s="392"/>
      <c r="AO87" s="392"/>
      <c r="AP87" s="392"/>
      <c r="AQ87" s="392"/>
      <c r="AR87" s="392"/>
      <c r="AS87" s="392"/>
      <c r="AT87" s="392"/>
      <c r="AU87" s="392"/>
      <c r="AV87" s="392"/>
      <c r="AW87" s="392"/>
      <c r="AX87" s="392"/>
      <c r="AY87" s="392"/>
      <c r="AZ87" s="392"/>
      <c r="BA87" s="392"/>
      <c r="BB87" s="392"/>
      <c r="BC87" s="392"/>
      <c r="BD87" s="392"/>
      <c r="BE87" s="392"/>
      <c r="BF87" s="392"/>
      <c r="BG87" s="392"/>
      <c r="BH87" s="392"/>
      <c r="BI87" s="392"/>
      <c r="BJ87" s="392"/>
      <c r="BK87" s="392"/>
      <c r="BL87" s="392"/>
      <c r="BM87" s="392"/>
      <c r="BN87" s="392"/>
      <c r="BO87" s="392"/>
      <c r="BP87" s="392"/>
      <c r="BQ87" s="392"/>
      <c r="BR87" s="392"/>
      <c r="BS87" s="392"/>
      <c r="BT87" s="392"/>
      <c r="BU87" s="392"/>
      <c r="BV87" s="392"/>
      <c r="BW87" s="392"/>
      <c r="BX87" s="392"/>
      <c r="BY87" s="392"/>
      <c r="BZ87" s="392"/>
      <c r="CA87" s="392"/>
      <c r="CB87" s="392"/>
      <c r="CC87" s="392"/>
      <c r="CD87" s="392"/>
      <c r="CE87" s="392"/>
      <c r="CF87" s="392"/>
      <c r="CG87" s="392"/>
      <c r="CH87" s="392"/>
      <c r="CI87" s="392"/>
      <c r="CJ87" s="392"/>
      <c r="CK87" s="392"/>
      <c r="CL87" s="392"/>
      <c r="CM87" s="392"/>
      <c r="CN87" s="392"/>
      <c r="CO87" s="392"/>
      <c r="CP87" s="392"/>
      <c r="CQ87" s="392"/>
      <c r="CR87" s="392"/>
      <c r="CS87" s="392"/>
      <c r="CT87" s="392"/>
      <c r="CU87" s="392"/>
      <c r="CV87" s="392"/>
      <c r="CW87" s="392"/>
      <c r="CX87" s="392"/>
      <c r="CY87" s="392"/>
      <c r="CZ87" s="392"/>
      <c r="DA87" s="392"/>
    </row>
    <row r="88" spans="1:105" s="393" customFormat="1" ht="15" outlineLevel="2" thickBot="1" x14ac:dyDescent="0.35">
      <c r="A88" s="394" t="s">
        <v>1266</v>
      </c>
      <c r="B88" s="453" t="s">
        <v>1427</v>
      </c>
      <c r="C88" s="457">
        <v>44768</v>
      </c>
      <c r="D88" s="457">
        <v>44768</v>
      </c>
      <c r="E88" s="402" t="s">
        <v>1244</v>
      </c>
      <c r="F88" s="387" t="s">
        <v>986</v>
      </c>
      <c r="G88" s="388"/>
      <c r="H88" s="387"/>
      <c r="I88" s="403"/>
      <c r="J88" s="403"/>
      <c r="K88" s="404"/>
      <c r="L88" s="404"/>
      <c r="M88" s="391"/>
      <c r="N88" s="391"/>
      <c r="O88" s="392"/>
      <c r="P88" s="392"/>
      <c r="Q88" s="392"/>
      <c r="R88" s="392"/>
      <c r="S88" s="392"/>
      <c r="T88" s="392"/>
      <c r="U88" s="392"/>
      <c r="V88" s="392"/>
      <c r="W88" s="392"/>
      <c r="X88" s="392"/>
      <c r="Y88" s="392"/>
      <c r="Z88" s="392"/>
      <c r="AA88" s="406"/>
      <c r="AB88" s="406"/>
      <c r="AC88" s="392"/>
      <c r="AD88" s="392"/>
      <c r="AE88" s="392"/>
      <c r="AF88" s="392"/>
      <c r="AG88" s="392"/>
      <c r="AH88" s="392"/>
      <c r="AI88" s="392"/>
      <c r="AJ88" s="392"/>
      <c r="AK88" s="392"/>
      <c r="AL88" s="392"/>
      <c r="AM88" s="392"/>
      <c r="AN88" s="392"/>
      <c r="AO88" s="392"/>
      <c r="AP88" s="392"/>
      <c r="AQ88" s="392"/>
      <c r="AR88" s="392"/>
      <c r="AS88" s="392"/>
      <c r="AT88" s="392"/>
      <c r="AU88" s="392"/>
      <c r="AV88" s="392"/>
      <c r="AW88" s="392"/>
      <c r="AX88" s="392"/>
      <c r="AY88" s="392"/>
      <c r="AZ88" s="392"/>
      <c r="BA88" s="392"/>
      <c r="BB88" s="392"/>
      <c r="BC88" s="392"/>
      <c r="BD88" s="392"/>
      <c r="BE88" s="392"/>
      <c r="BF88" s="392"/>
      <c r="BG88" s="392"/>
      <c r="BH88" s="392"/>
      <c r="BI88" s="392"/>
      <c r="BJ88" s="392"/>
      <c r="BK88" s="392"/>
      <c r="BL88" s="392"/>
      <c r="BM88" s="392"/>
      <c r="BN88" s="392"/>
      <c r="BO88" s="392"/>
      <c r="BP88" s="392"/>
      <c r="BQ88" s="392"/>
      <c r="BR88" s="392"/>
      <c r="BS88" s="392"/>
      <c r="BT88" s="392"/>
      <c r="BU88" s="392"/>
      <c r="BV88" s="392"/>
      <c r="BW88" s="392"/>
      <c r="BX88" s="392"/>
      <c r="BY88" s="392"/>
      <c r="BZ88" s="392"/>
      <c r="CA88" s="392"/>
      <c r="CB88" s="392"/>
      <c r="CC88" s="392"/>
      <c r="CD88" s="392"/>
      <c r="CE88" s="392"/>
      <c r="CF88" s="392"/>
      <c r="CG88" s="392"/>
      <c r="CH88" s="392"/>
      <c r="CI88" s="392"/>
      <c r="CJ88" s="392"/>
      <c r="CK88" s="392"/>
      <c r="CL88" s="392"/>
      <c r="CM88" s="392"/>
      <c r="CN88" s="392"/>
      <c r="CO88" s="392"/>
      <c r="CP88" s="392"/>
      <c r="CQ88" s="392"/>
      <c r="CR88" s="392"/>
      <c r="CS88" s="392"/>
      <c r="CT88" s="392"/>
      <c r="CU88" s="392"/>
      <c r="CV88" s="392"/>
      <c r="CW88" s="392"/>
      <c r="CX88" s="392"/>
      <c r="CY88" s="392"/>
      <c r="CZ88" s="392"/>
      <c r="DA88" s="392"/>
    </row>
    <row r="89" spans="1:105" s="393" customFormat="1" ht="15" outlineLevel="2" thickBot="1" x14ac:dyDescent="0.35">
      <c r="A89" s="394" t="s">
        <v>1267</v>
      </c>
      <c r="B89" s="453" t="s">
        <v>1428</v>
      </c>
      <c r="C89" s="457">
        <v>44768</v>
      </c>
      <c r="D89" s="457">
        <v>44768</v>
      </c>
      <c r="E89" s="402" t="s">
        <v>1244</v>
      </c>
      <c r="F89" s="387" t="s">
        <v>986</v>
      </c>
      <c r="G89" s="388"/>
      <c r="H89" s="387"/>
      <c r="I89" s="403"/>
      <c r="J89" s="403"/>
      <c r="K89" s="404"/>
      <c r="L89" s="404"/>
      <c r="M89" s="391"/>
      <c r="N89" s="391"/>
      <c r="O89" s="392"/>
      <c r="P89" s="392"/>
      <c r="Q89" s="392"/>
      <c r="R89" s="392"/>
      <c r="S89" s="392"/>
      <c r="T89" s="392"/>
      <c r="U89" s="392"/>
      <c r="V89" s="392"/>
      <c r="W89" s="392"/>
      <c r="X89" s="392"/>
      <c r="Y89" s="392"/>
      <c r="Z89" s="392"/>
      <c r="AA89" s="406"/>
      <c r="AB89" s="406"/>
      <c r="AC89" s="392"/>
      <c r="AD89" s="392"/>
      <c r="AE89" s="392"/>
      <c r="AF89" s="392"/>
      <c r="AG89" s="392"/>
      <c r="AH89" s="392"/>
      <c r="AI89" s="392"/>
      <c r="AJ89" s="392"/>
      <c r="AK89" s="392"/>
      <c r="AL89" s="392"/>
      <c r="AM89" s="392"/>
      <c r="AN89" s="392"/>
      <c r="AO89" s="392"/>
      <c r="AP89" s="392"/>
      <c r="AQ89" s="392"/>
      <c r="AR89" s="392"/>
      <c r="AS89" s="392"/>
      <c r="AT89" s="392"/>
      <c r="AU89" s="392"/>
      <c r="AV89" s="392"/>
      <c r="AW89" s="392"/>
      <c r="AX89" s="392"/>
      <c r="AY89" s="392"/>
      <c r="AZ89" s="392"/>
      <c r="BA89" s="392"/>
      <c r="BB89" s="392"/>
      <c r="BC89" s="392"/>
      <c r="BD89" s="392"/>
      <c r="BE89" s="392"/>
      <c r="BF89" s="392"/>
      <c r="BG89" s="392"/>
      <c r="BH89" s="392"/>
      <c r="BI89" s="392"/>
      <c r="BJ89" s="392"/>
      <c r="BK89" s="392"/>
      <c r="BL89" s="392"/>
      <c r="BM89" s="392"/>
      <c r="BN89" s="392"/>
      <c r="BO89" s="392"/>
      <c r="BP89" s="392"/>
      <c r="BQ89" s="392"/>
      <c r="BR89" s="392"/>
      <c r="BS89" s="392"/>
      <c r="BT89" s="392"/>
      <c r="BU89" s="392"/>
      <c r="BV89" s="392"/>
      <c r="BW89" s="392"/>
      <c r="BX89" s="392"/>
      <c r="BY89" s="392"/>
      <c r="BZ89" s="392"/>
      <c r="CA89" s="392"/>
      <c r="CB89" s="392"/>
      <c r="CC89" s="392"/>
      <c r="CD89" s="392"/>
      <c r="CE89" s="392"/>
      <c r="CF89" s="392"/>
      <c r="CG89" s="392"/>
      <c r="CH89" s="392"/>
      <c r="CI89" s="392"/>
      <c r="CJ89" s="392"/>
      <c r="CK89" s="392"/>
      <c r="CL89" s="392"/>
      <c r="CM89" s="392"/>
      <c r="CN89" s="392"/>
      <c r="CO89" s="392"/>
      <c r="CP89" s="392"/>
      <c r="CQ89" s="392"/>
      <c r="CR89" s="392"/>
      <c r="CS89" s="392"/>
      <c r="CT89" s="392"/>
      <c r="CU89" s="392"/>
      <c r="CV89" s="392"/>
      <c r="CW89" s="392"/>
      <c r="CX89" s="392"/>
      <c r="CY89" s="392"/>
      <c r="CZ89" s="392"/>
      <c r="DA89" s="392"/>
    </row>
    <row r="90" spans="1:105" s="393" customFormat="1" ht="15" outlineLevel="2" thickBot="1" x14ac:dyDescent="0.35">
      <c r="A90" s="394" t="s">
        <v>1268</v>
      </c>
      <c r="B90" s="376" t="s">
        <v>1202</v>
      </c>
      <c r="C90" s="407"/>
      <c r="D90" s="407"/>
      <c r="E90" s="402" t="s">
        <v>1244</v>
      </c>
      <c r="F90" s="408" t="s">
        <v>952</v>
      </c>
      <c r="G90" s="388"/>
      <c r="H90" s="387">
        <v>0</v>
      </c>
      <c r="I90" s="403"/>
      <c r="J90" s="403"/>
      <c r="K90" s="404"/>
      <c r="L90" s="404"/>
      <c r="M90" s="391"/>
      <c r="N90" s="391"/>
      <c r="O90" s="392"/>
      <c r="P90" s="392"/>
      <c r="Q90" s="392"/>
      <c r="R90" s="392"/>
      <c r="S90" s="392"/>
      <c r="T90" s="392"/>
      <c r="U90" s="392"/>
      <c r="V90" s="392"/>
      <c r="W90" s="392"/>
      <c r="X90" s="392"/>
      <c r="Y90" s="392"/>
      <c r="Z90" s="392"/>
      <c r="AA90" s="406"/>
      <c r="AB90" s="406"/>
      <c r="AC90" s="392"/>
      <c r="AD90" s="392"/>
      <c r="AE90" s="392"/>
      <c r="AF90" s="392"/>
      <c r="AG90" s="392"/>
      <c r="AH90" s="392"/>
      <c r="AI90" s="392"/>
      <c r="AJ90" s="392"/>
      <c r="AK90" s="392"/>
      <c r="AL90" s="392"/>
      <c r="AM90" s="392"/>
      <c r="AN90" s="392"/>
      <c r="AO90" s="392"/>
      <c r="AP90" s="392"/>
      <c r="AQ90" s="392"/>
      <c r="AR90" s="392"/>
      <c r="AS90" s="392"/>
      <c r="AT90" s="392"/>
      <c r="AU90" s="392"/>
      <c r="AV90" s="392"/>
      <c r="AW90" s="392"/>
      <c r="AX90" s="392"/>
      <c r="AY90" s="392"/>
      <c r="AZ90" s="392"/>
      <c r="BA90" s="392"/>
      <c r="BB90" s="392"/>
      <c r="BC90" s="392"/>
      <c r="BD90" s="392"/>
      <c r="BE90" s="392"/>
      <c r="BF90" s="392"/>
      <c r="BG90" s="392"/>
      <c r="BH90" s="392"/>
      <c r="BI90" s="392"/>
      <c r="BJ90" s="392"/>
      <c r="BK90" s="392"/>
      <c r="BL90" s="392"/>
      <c r="BM90" s="392"/>
      <c r="BN90" s="392"/>
      <c r="BO90" s="392"/>
      <c r="BP90" s="392"/>
      <c r="BQ90" s="392"/>
      <c r="BR90" s="392"/>
      <c r="BS90" s="392"/>
      <c r="BT90" s="392"/>
      <c r="BU90" s="392"/>
      <c r="BV90" s="392"/>
      <c r="BW90" s="392"/>
      <c r="BX90" s="392"/>
      <c r="BY90" s="392"/>
      <c r="BZ90" s="392"/>
      <c r="CA90" s="392"/>
      <c r="CB90" s="392"/>
      <c r="CC90" s="392"/>
      <c r="CD90" s="392"/>
      <c r="CE90" s="392"/>
      <c r="CF90" s="392"/>
      <c r="CG90" s="392"/>
      <c r="CH90" s="392"/>
      <c r="CI90" s="392"/>
      <c r="CJ90" s="392"/>
      <c r="CK90" s="392"/>
      <c r="CL90" s="392"/>
      <c r="CM90" s="392"/>
      <c r="CN90" s="392"/>
      <c r="CO90" s="392"/>
      <c r="CP90" s="392"/>
      <c r="CQ90" s="392"/>
      <c r="CR90" s="392"/>
      <c r="CS90" s="392"/>
      <c r="CT90" s="392"/>
      <c r="CU90" s="392"/>
      <c r="CV90" s="392"/>
      <c r="CW90" s="392"/>
      <c r="CX90" s="392"/>
      <c r="CY90" s="392"/>
      <c r="CZ90" s="392"/>
      <c r="DA90" s="392"/>
    </row>
    <row r="91" spans="1:105" s="393" customFormat="1" ht="15" outlineLevel="2" thickBot="1" x14ac:dyDescent="0.35">
      <c r="A91" s="394" t="s">
        <v>1269</v>
      </c>
      <c r="B91" s="376" t="s">
        <v>1203</v>
      </c>
      <c r="C91" s="407"/>
      <c r="D91" s="407"/>
      <c r="E91" s="402" t="s">
        <v>1244</v>
      </c>
      <c r="F91" s="408" t="s">
        <v>952</v>
      </c>
      <c r="G91" s="388"/>
      <c r="H91" s="387">
        <v>0</v>
      </c>
      <c r="I91" s="403"/>
      <c r="J91" s="403"/>
      <c r="K91" s="404"/>
      <c r="L91" s="404"/>
      <c r="M91" s="391"/>
      <c r="N91" s="391"/>
      <c r="O91" s="392"/>
      <c r="P91" s="392"/>
      <c r="Q91" s="392"/>
      <c r="R91" s="392"/>
      <c r="S91" s="392"/>
      <c r="T91" s="392"/>
      <c r="U91" s="392"/>
      <c r="V91" s="392"/>
      <c r="W91" s="392"/>
      <c r="X91" s="392"/>
      <c r="Y91" s="392"/>
      <c r="Z91" s="392"/>
      <c r="AA91" s="406"/>
      <c r="AB91" s="406"/>
      <c r="AC91" s="392"/>
      <c r="AD91" s="392"/>
      <c r="AE91" s="392"/>
      <c r="AF91" s="392"/>
      <c r="AG91" s="392"/>
      <c r="AH91" s="392"/>
      <c r="AI91" s="392"/>
      <c r="AJ91" s="392"/>
      <c r="AK91" s="392"/>
      <c r="AL91" s="392"/>
      <c r="AM91" s="392"/>
      <c r="AN91" s="392"/>
      <c r="AO91" s="392"/>
      <c r="AP91" s="392"/>
      <c r="AQ91" s="392"/>
      <c r="AR91" s="392"/>
      <c r="AS91" s="392"/>
      <c r="AT91" s="392"/>
      <c r="AU91" s="392"/>
      <c r="AV91" s="392"/>
      <c r="AW91" s="392"/>
      <c r="AX91" s="392"/>
      <c r="AY91" s="392"/>
      <c r="AZ91" s="392"/>
      <c r="BA91" s="392"/>
      <c r="BB91" s="392"/>
      <c r="BC91" s="392"/>
      <c r="BD91" s="392"/>
      <c r="BE91" s="392"/>
      <c r="BF91" s="392"/>
      <c r="BG91" s="392"/>
      <c r="BH91" s="392"/>
      <c r="BI91" s="392"/>
      <c r="BJ91" s="392"/>
      <c r="BK91" s="392"/>
      <c r="BL91" s="392"/>
      <c r="BM91" s="392"/>
      <c r="BN91" s="392"/>
      <c r="BO91" s="392"/>
      <c r="BP91" s="392"/>
      <c r="BQ91" s="392"/>
      <c r="BR91" s="392"/>
      <c r="BS91" s="392"/>
      <c r="BT91" s="392"/>
      <c r="BU91" s="392"/>
      <c r="BV91" s="392"/>
      <c r="BW91" s="392"/>
      <c r="BX91" s="392"/>
      <c r="BY91" s="392"/>
      <c r="BZ91" s="392"/>
      <c r="CA91" s="392"/>
      <c r="CB91" s="392"/>
      <c r="CC91" s="392"/>
      <c r="CD91" s="392"/>
      <c r="CE91" s="392"/>
      <c r="CF91" s="392"/>
      <c r="CG91" s="392"/>
      <c r="CH91" s="392"/>
      <c r="CI91" s="392"/>
      <c r="CJ91" s="392"/>
      <c r="CK91" s="392"/>
      <c r="CL91" s="392"/>
      <c r="CM91" s="392"/>
      <c r="CN91" s="392"/>
      <c r="CO91" s="392"/>
      <c r="CP91" s="392"/>
      <c r="CQ91" s="392"/>
      <c r="CR91" s="392"/>
      <c r="CS91" s="392"/>
      <c r="CT91" s="392"/>
      <c r="CU91" s="392"/>
      <c r="CV91" s="392"/>
      <c r="CW91" s="392"/>
      <c r="CX91" s="392"/>
      <c r="CY91" s="392"/>
      <c r="CZ91" s="392"/>
      <c r="DA91" s="392"/>
    </row>
    <row r="92" spans="1:105" s="393" customFormat="1" ht="15" outlineLevel="2" thickBot="1" x14ac:dyDescent="0.35">
      <c r="A92" s="394" t="s">
        <v>1270</v>
      </c>
      <c r="B92" s="376" t="s">
        <v>1204</v>
      </c>
      <c r="C92" s="407"/>
      <c r="D92" s="407"/>
      <c r="E92" s="402" t="s">
        <v>1244</v>
      </c>
      <c r="F92" s="408" t="s">
        <v>952</v>
      </c>
      <c r="G92" s="388"/>
      <c r="H92" s="387">
        <v>0</v>
      </c>
      <c r="I92" s="403"/>
      <c r="J92" s="403"/>
      <c r="K92" s="404"/>
      <c r="L92" s="404"/>
      <c r="M92" s="391"/>
      <c r="N92" s="391"/>
      <c r="O92" s="392"/>
      <c r="P92" s="392"/>
      <c r="Q92" s="392"/>
      <c r="R92" s="392"/>
      <c r="S92" s="392"/>
      <c r="T92" s="392"/>
      <c r="U92" s="392"/>
      <c r="V92" s="392"/>
      <c r="W92" s="392"/>
      <c r="X92" s="392"/>
      <c r="Y92" s="392"/>
      <c r="Z92" s="392"/>
      <c r="AA92" s="406"/>
      <c r="AB92" s="406"/>
      <c r="AC92" s="392"/>
      <c r="AD92" s="392"/>
      <c r="AE92" s="392"/>
      <c r="AF92" s="392"/>
      <c r="AG92" s="392"/>
      <c r="AH92" s="392"/>
      <c r="AI92" s="392"/>
      <c r="AJ92" s="392"/>
      <c r="AK92" s="392"/>
      <c r="AL92" s="392"/>
      <c r="AM92" s="392"/>
      <c r="AN92" s="392"/>
      <c r="AO92" s="392"/>
      <c r="AP92" s="392"/>
      <c r="AQ92" s="392"/>
      <c r="AR92" s="392"/>
      <c r="AS92" s="392"/>
      <c r="AT92" s="392"/>
      <c r="AU92" s="392"/>
      <c r="AV92" s="392"/>
      <c r="AW92" s="392"/>
      <c r="AX92" s="392"/>
      <c r="AY92" s="392"/>
      <c r="AZ92" s="392"/>
      <c r="BA92" s="392"/>
      <c r="BB92" s="392"/>
      <c r="BC92" s="392"/>
      <c r="BD92" s="392"/>
      <c r="BE92" s="392"/>
      <c r="BF92" s="392"/>
      <c r="BG92" s="392"/>
      <c r="BH92" s="392"/>
      <c r="BI92" s="392"/>
      <c r="BJ92" s="392"/>
      <c r="BK92" s="392"/>
      <c r="BL92" s="392"/>
      <c r="BM92" s="392"/>
      <c r="BN92" s="392"/>
      <c r="BO92" s="392"/>
      <c r="BP92" s="392"/>
      <c r="BQ92" s="392"/>
      <c r="BR92" s="392"/>
      <c r="BS92" s="392"/>
      <c r="BT92" s="392"/>
      <c r="BU92" s="392"/>
      <c r="BV92" s="392"/>
      <c r="BW92" s="392"/>
      <c r="BX92" s="392"/>
      <c r="BY92" s="392"/>
      <c r="BZ92" s="392"/>
      <c r="CA92" s="392"/>
      <c r="CB92" s="392"/>
      <c r="CC92" s="392"/>
      <c r="CD92" s="392"/>
      <c r="CE92" s="392"/>
      <c r="CF92" s="392"/>
      <c r="CG92" s="392"/>
      <c r="CH92" s="392"/>
      <c r="CI92" s="392"/>
      <c r="CJ92" s="392"/>
      <c r="CK92" s="392"/>
      <c r="CL92" s="392"/>
      <c r="CM92" s="392"/>
      <c r="CN92" s="392"/>
      <c r="CO92" s="392"/>
      <c r="CP92" s="392"/>
      <c r="CQ92" s="392"/>
      <c r="CR92" s="392"/>
      <c r="CS92" s="392"/>
      <c r="CT92" s="392"/>
      <c r="CU92" s="392"/>
      <c r="CV92" s="392"/>
      <c r="CW92" s="392"/>
      <c r="CX92" s="392"/>
      <c r="CY92" s="392"/>
      <c r="CZ92" s="392"/>
      <c r="DA92" s="392"/>
    </row>
    <row r="93" spans="1:105" s="393" customFormat="1" ht="15" outlineLevel="2" thickBot="1" x14ac:dyDescent="0.35">
      <c r="A93" s="394" t="s">
        <v>1271</v>
      </c>
      <c r="B93" s="376" t="s">
        <v>1430</v>
      </c>
      <c r="C93" s="460">
        <v>44771</v>
      </c>
      <c r="D93" s="460">
        <v>44771</v>
      </c>
      <c r="E93" s="402" t="s">
        <v>1245</v>
      </c>
      <c r="F93" s="408" t="s">
        <v>952</v>
      </c>
      <c r="G93" s="388"/>
      <c r="H93" s="387"/>
      <c r="I93" s="403"/>
      <c r="J93" s="403"/>
      <c r="K93" s="404"/>
      <c r="L93" s="404"/>
      <c r="M93" s="391"/>
      <c r="N93" s="391"/>
      <c r="O93" s="392"/>
      <c r="P93" s="392"/>
      <c r="Q93" s="392"/>
      <c r="R93" s="392"/>
      <c r="S93" s="392"/>
      <c r="T93" s="392"/>
      <c r="U93" s="392"/>
      <c r="V93" s="392"/>
      <c r="W93" s="392"/>
      <c r="X93" s="392"/>
      <c r="Y93" s="392"/>
      <c r="Z93" s="392"/>
      <c r="AA93" s="406"/>
      <c r="AB93" s="406"/>
      <c r="AC93" s="392"/>
      <c r="AD93" s="392"/>
      <c r="AE93" s="392"/>
      <c r="AF93" s="392"/>
      <c r="AG93" s="392"/>
      <c r="AH93" s="392"/>
      <c r="AI93" s="392"/>
      <c r="AJ93" s="392"/>
      <c r="AK93" s="392"/>
      <c r="AL93" s="392"/>
      <c r="AM93" s="392"/>
      <c r="AN93" s="392"/>
      <c r="AO93" s="392"/>
      <c r="AP93" s="392"/>
      <c r="AQ93" s="392"/>
      <c r="AR93" s="392"/>
      <c r="AS93" s="392"/>
      <c r="AT93" s="392"/>
      <c r="AU93" s="392"/>
      <c r="AV93" s="392"/>
      <c r="AW93" s="392"/>
      <c r="AX93" s="392"/>
      <c r="AY93" s="392"/>
      <c r="AZ93" s="392"/>
      <c r="BA93" s="392"/>
      <c r="BB93" s="392"/>
      <c r="BC93" s="392"/>
      <c r="BD93" s="392"/>
      <c r="BE93" s="392"/>
      <c r="BF93" s="392"/>
      <c r="BG93" s="392"/>
      <c r="BH93" s="392"/>
      <c r="BI93" s="392"/>
      <c r="BJ93" s="392"/>
      <c r="BK93" s="392"/>
      <c r="BL93" s="392"/>
      <c r="BM93" s="392"/>
      <c r="BN93" s="392"/>
      <c r="BO93" s="392"/>
      <c r="BP93" s="392"/>
      <c r="BQ93" s="392"/>
      <c r="BR93" s="392"/>
      <c r="BS93" s="392"/>
      <c r="BT93" s="392"/>
      <c r="BU93" s="392"/>
      <c r="BV93" s="392"/>
      <c r="BW93" s="392"/>
      <c r="BX93" s="392"/>
      <c r="BY93" s="392"/>
      <c r="BZ93" s="392"/>
      <c r="CA93" s="392"/>
      <c r="CB93" s="392"/>
      <c r="CC93" s="392"/>
      <c r="CD93" s="392"/>
      <c r="CE93" s="392"/>
      <c r="CF93" s="392"/>
      <c r="CG93" s="392"/>
      <c r="CH93" s="392"/>
      <c r="CI93" s="392"/>
      <c r="CJ93" s="392"/>
      <c r="CK93" s="392"/>
      <c r="CL93" s="392"/>
      <c r="CM93" s="392"/>
      <c r="CN93" s="392"/>
      <c r="CO93" s="392"/>
      <c r="CP93" s="392"/>
      <c r="CQ93" s="392"/>
      <c r="CR93" s="392"/>
      <c r="CS93" s="392"/>
      <c r="CT93" s="392"/>
      <c r="CU93" s="392"/>
      <c r="CV93" s="392"/>
      <c r="CW93" s="392"/>
      <c r="CX93" s="392"/>
      <c r="CY93" s="392"/>
      <c r="CZ93" s="392"/>
      <c r="DA93" s="392"/>
    </row>
    <row r="94" spans="1:105" s="393" customFormat="1" ht="15" outlineLevel="2" thickBot="1" x14ac:dyDescent="0.35">
      <c r="A94" s="394" t="s">
        <v>1272</v>
      </c>
      <c r="B94" s="376" t="s">
        <v>1429</v>
      </c>
      <c r="C94" s="460">
        <v>44771</v>
      </c>
      <c r="D94" s="460">
        <v>44771</v>
      </c>
      <c r="E94" s="402" t="s">
        <v>1245</v>
      </c>
      <c r="F94" s="408" t="s">
        <v>952</v>
      </c>
      <c r="G94" s="388"/>
      <c r="H94" s="387"/>
      <c r="I94" s="403"/>
      <c r="J94" s="403"/>
      <c r="K94" s="404"/>
      <c r="L94" s="404"/>
      <c r="M94" s="391"/>
      <c r="N94" s="391"/>
      <c r="O94" s="392"/>
      <c r="P94" s="392"/>
      <c r="Q94" s="392"/>
      <c r="R94" s="392"/>
      <c r="S94" s="392"/>
      <c r="T94" s="392"/>
      <c r="U94" s="392"/>
      <c r="V94" s="392"/>
      <c r="W94" s="392"/>
      <c r="X94" s="392"/>
      <c r="Y94" s="392"/>
      <c r="Z94" s="392"/>
      <c r="AA94" s="406"/>
      <c r="AB94" s="406"/>
      <c r="AC94" s="392"/>
      <c r="AD94" s="392"/>
      <c r="AE94" s="392"/>
      <c r="AF94" s="392"/>
      <c r="AG94" s="392"/>
      <c r="AH94" s="392"/>
      <c r="AI94" s="392"/>
      <c r="AJ94" s="392"/>
      <c r="AK94" s="392"/>
      <c r="AL94" s="392"/>
      <c r="AM94" s="392"/>
      <c r="AN94" s="392"/>
      <c r="AO94" s="392"/>
      <c r="AP94" s="392"/>
      <c r="AQ94" s="392"/>
      <c r="AR94" s="392"/>
      <c r="AS94" s="392"/>
      <c r="AT94" s="392"/>
      <c r="AU94" s="392"/>
      <c r="AV94" s="392"/>
      <c r="AW94" s="392"/>
      <c r="AX94" s="392"/>
      <c r="AY94" s="392"/>
      <c r="AZ94" s="392"/>
      <c r="BA94" s="392"/>
      <c r="BB94" s="392"/>
      <c r="BC94" s="392"/>
      <c r="BD94" s="392"/>
      <c r="BE94" s="392"/>
      <c r="BF94" s="392"/>
      <c r="BG94" s="392"/>
      <c r="BH94" s="392"/>
      <c r="BI94" s="392"/>
      <c r="BJ94" s="392"/>
      <c r="BK94" s="392"/>
      <c r="BL94" s="392"/>
      <c r="BM94" s="392"/>
      <c r="BN94" s="392"/>
      <c r="BO94" s="392"/>
      <c r="BP94" s="392"/>
      <c r="BQ94" s="392"/>
      <c r="BR94" s="392"/>
      <c r="BS94" s="392"/>
      <c r="BT94" s="392"/>
      <c r="BU94" s="392"/>
      <c r="BV94" s="392"/>
      <c r="BW94" s="392"/>
      <c r="BX94" s="392"/>
      <c r="BY94" s="392"/>
      <c r="BZ94" s="392"/>
      <c r="CA94" s="392"/>
      <c r="CB94" s="392"/>
      <c r="CC94" s="392"/>
      <c r="CD94" s="392"/>
      <c r="CE94" s="392"/>
      <c r="CF94" s="392"/>
      <c r="CG94" s="392"/>
      <c r="CH94" s="392"/>
      <c r="CI94" s="392"/>
      <c r="CJ94" s="392"/>
      <c r="CK94" s="392"/>
      <c r="CL94" s="392"/>
      <c r="CM94" s="392"/>
      <c r="CN94" s="392"/>
      <c r="CO94" s="392"/>
      <c r="CP94" s="392"/>
      <c r="CQ94" s="392"/>
      <c r="CR94" s="392"/>
      <c r="CS94" s="392"/>
      <c r="CT94" s="392"/>
      <c r="CU94" s="392"/>
      <c r="CV94" s="392"/>
      <c r="CW94" s="392"/>
      <c r="CX94" s="392"/>
      <c r="CY94" s="392"/>
      <c r="CZ94" s="392"/>
      <c r="DA94" s="392"/>
    </row>
    <row r="95" spans="1:105" s="393" customFormat="1" ht="15" outlineLevel="2" thickBot="1" x14ac:dyDescent="0.35">
      <c r="A95" s="394"/>
      <c r="B95" s="451" t="s">
        <v>1072</v>
      </c>
      <c r="C95" s="394"/>
      <c r="D95" s="394"/>
      <c r="E95" s="394"/>
      <c r="F95" s="408"/>
      <c r="G95" s="388"/>
      <c r="H95" s="387"/>
      <c r="I95" s="403"/>
      <c r="J95" s="403"/>
      <c r="K95" s="404"/>
      <c r="L95" s="404"/>
      <c r="M95" s="391"/>
      <c r="N95" s="391"/>
      <c r="O95" s="392"/>
      <c r="P95" s="392"/>
      <c r="Q95" s="392"/>
      <c r="R95" s="392"/>
      <c r="S95" s="392"/>
      <c r="T95" s="392"/>
      <c r="U95" s="392"/>
      <c r="V95" s="392"/>
      <c r="W95" s="392"/>
      <c r="X95" s="392"/>
      <c r="Y95" s="392"/>
      <c r="Z95" s="392"/>
      <c r="AA95" s="406"/>
      <c r="AB95" s="406"/>
      <c r="AC95" s="392"/>
      <c r="AD95" s="392"/>
      <c r="AE95" s="392"/>
      <c r="AF95" s="392"/>
      <c r="AG95" s="392"/>
      <c r="AH95" s="392"/>
      <c r="AI95" s="392"/>
      <c r="AJ95" s="392"/>
      <c r="AK95" s="392"/>
      <c r="AL95" s="392"/>
      <c r="AM95" s="392"/>
      <c r="AN95" s="392"/>
      <c r="AO95" s="392"/>
      <c r="AP95" s="392"/>
      <c r="AQ95" s="392"/>
      <c r="AR95" s="392"/>
      <c r="AS95" s="392"/>
      <c r="AT95" s="392"/>
      <c r="AU95" s="392"/>
      <c r="AV95" s="392"/>
      <c r="AW95" s="392"/>
      <c r="AX95" s="392"/>
      <c r="AY95" s="392"/>
      <c r="AZ95" s="392"/>
      <c r="BA95" s="392"/>
      <c r="BB95" s="392"/>
      <c r="BC95" s="392"/>
      <c r="BD95" s="392"/>
      <c r="BE95" s="392"/>
      <c r="BF95" s="392"/>
      <c r="BG95" s="392"/>
      <c r="BH95" s="392"/>
      <c r="BI95" s="392"/>
      <c r="BJ95" s="392"/>
      <c r="BK95" s="392"/>
      <c r="BL95" s="392"/>
      <c r="BM95" s="392"/>
      <c r="BN95" s="392"/>
      <c r="BO95" s="392"/>
      <c r="BP95" s="392"/>
      <c r="BQ95" s="392"/>
      <c r="BR95" s="392"/>
      <c r="BS95" s="392"/>
      <c r="BT95" s="392"/>
      <c r="BU95" s="392"/>
      <c r="BV95" s="392"/>
      <c r="BW95" s="392"/>
      <c r="BX95" s="392"/>
      <c r="BY95" s="392"/>
      <c r="BZ95" s="392"/>
      <c r="CA95" s="392"/>
      <c r="CB95" s="392"/>
      <c r="CC95" s="392"/>
      <c r="CD95" s="392"/>
      <c r="CE95" s="392"/>
      <c r="CF95" s="392"/>
      <c r="CG95" s="392"/>
      <c r="CH95" s="392"/>
      <c r="CI95" s="392"/>
      <c r="CJ95" s="392"/>
      <c r="CK95" s="392"/>
      <c r="CL95" s="392"/>
      <c r="CM95" s="392"/>
      <c r="CN95" s="392"/>
      <c r="CO95" s="392"/>
      <c r="CP95" s="392"/>
      <c r="CQ95" s="392"/>
      <c r="CR95" s="392"/>
      <c r="CS95" s="392"/>
      <c r="CT95" s="392"/>
      <c r="CU95" s="392"/>
      <c r="CV95" s="392"/>
      <c r="CW95" s="392"/>
      <c r="CX95" s="392"/>
      <c r="CY95" s="392"/>
      <c r="CZ95" s="392"/>
      <c r="DA95" s="392"/>
    </row>
    <row r="96" spans="1:105" s="393" customFormat="1" ht="15" outlineLevel="2" thickBot="1" x14ac:dyDescent="0.35">
      <c r="A96" s="394" t="s">
        <v>1273</v>
      </c>
      <c r="B96" s="453" t="s">
        <v>1141</v>
      </c>
      <c r="C96" s="402"/>
      <c r="D96" s="402"/>
      <c r="E96" s="402" t="s">
        <v>1402</v>
      </c>
      <c r="F96" s="408" t="s">
        <v>1073</v>
      </c>
      <c r="G96" s="388"/>
      <c r="H96" s="387">
        <v>0</v>
      </c>
      <c r="I96" s="403"/>
      <c r="J96" s="403"/>
      <c r="K96" s="404"/>
      <c r="L96" s="404"/>
      <c r="M96" s="391"/>
      <c r="N96" s="391"/>
      <c r="O96" s="392"/>
      <c r="P96" s="392"/>
      <c r="Q96" s="392"/>
      <c r="R96" s="392"/>
      <c r="S96" s="392"/>
      <c r="T96" s="392"/>
      <c r="U96" s="392"/>
      <c r="V96" s="392"/>
      <c r="W96" s="392"/>
      <c r="X96" s="392"/>
      <c r="Y96" s="392"/>
      <c r="Z96" s="392"/>
      <c r="AA96" s="406"/>
      <c r="AB96" s="406"/>
      <c r="AC96" s="392"/>
      <c r="AD96" s="392"/>
      <c r="AE96" s="392"/>
      <c r="AF96" s="392"/>
      <c r="AG96" s="392"/>
      <c r="AH96" s="392"/>
      <c r="AI96" s="392"/>
      <c r="AJ96" s="392"/>
      <c r="AK96" s="392"/>
      <c r="AL96" s="392"/>
      <c r="AM96" s="392"/>
      <c r="AN96" s="392"/>
      <c r="AO96" s="392"/>
      <c r="AP96" s="392"/>
      <c r="AQ96" s="392"/>
      <c r="AR96" s="392"/>
      <c r="AS96" s="392"/>
      <c r="AT96" s="392"/>
      <c r="AU96" s="392"/>
      <c r="AV96" s="392"/>
      <c r="AW96" s="392"/>
      <c r="AX96" s="392"/>
      <c r="AY96" s="392"/>
      <c r="AZ96" s="392"/>
      <c r="BA96" s="392"/>
      <c r="BB96" s="392"/>
      <c r="BC96" s="392"/>
      <c r="BD96" s="392"/>
      <c r="BE96" s="392"/>
      <c r="BF96" s="392"/>
      <c r="BG96" s="392"/>
      <c r="BH96" s="392"/>
      <c r="BI96" s="392"/>
      <c r="BJ96" s="392"/>
      <c r="BK96" s="392"/>
      <c r="BL96" s="392"/>
      <c r="BM96" s="392"/>
      <c r="BN96" s="392"/>
      <c r="BO96" s="392"/>
      <c r="BP96" s="392"/>
      <c r="BQ96" s="392"/>
      <c r="BR96" s="392"/>
      <c r="BS96" s="392"/>
      <c r="BT96" s="392"/>
      <c r="BU96" s="392"/>
      <c r="BV96" s="392"/>
      <c r="BW96" s="392"/>
      <c r="BX96" s="392"/>
      <c r="BY96" s="392"/>
      <c r="BZ96" s="392"/>
      <c r="CA96" s="392"/>
      <c r="CB96" s="392"/>
      <c r="CC96" s="392"/>
      <c r="CD96" s="392"/>
      <c r="CE96" s="392"/>
      <c r="CF96" s="392"/>
      <c r="CG96" s="392"/>
      <c r="CH96" s="392"/>
      <c r="CI96" s="392"/>
      <c r="CJ96" s="392"/>
      <c r="CK96" s="392"/>
      <c r="CL96" s="392"/>
      <c r="CM96" s="392"/>
      <c r="CN96" s="392"/>
      <c r="CO96" s="392"/>
      <c r="CP96" s="392"/>
      <c r="CQ96" s="392"/>
      <c r="CR96" s="392"/>
      <c r="CS96" s="392"/>
      <c r="CT96" s="392"/>
      <c r="CU96" s="392"/>
      <c r="CV96" s="392"/>
      <c r="CW96" s="392"/>
      <c r="CX96" s="392"/>
      <c r="CY96" s="392"/>
      <c r="CZ96" s="392"/>
      <c r="DA96" s="392"/>
    </row>
    <row r="97" spans="1:105" s="393" customFormat="1" ht="15" outlineLevel="2" thickBot="1" x14ac:dyDescent="0.35">
      <c r="A97" s="394"/>
      <c r="B97" s="451" t="s">
        <v>1593</v>
      </c>
      <c r="C97" s="402"/>
      <c r="D97" s="402"/>
      <c r="E97" s="402"/>
      <c r="F97" s="408"/>
      <c r="G97" s="388"/>
      <c r="H97" s="387"/>
      <c r="I97" s="413"/>
      <c r="J97" s="413"/>
      <c r="K97" s="404"/>
      <c r="L97" s="404"/>
      <c r="M97" s="391"/>
      <c r="N97" s="391"/>
      <c r="O97" s="392"/>
      <c r="P97" s="392"/>
      <c r="Q97" s="392"/>
      <c r="R97" s="392"/>
      <c r="S97" s="392"/>
      <c r="T97" s="392"/>
      <c r="U97" s="392"/>
      <c r="V97" s="392"/>
      <c r="W97" s="392"/>
      <c r="X97" s="392"/>
      <c r="Y97" s="392"/>
      <c r="Z97" s="392"/>
      <c r="AA97" s="406"/>
      <c r="AB97" s="406"/>
      <c r="AC97" s="392"/>
      <c r="AD97" s="392"/>
      <c r="AE97" s="392"/>
      <c r="AF97" s="392"/>
      <c r="AG97" s="392"/>
      <c r="AH97" s="392"/>
      <c r="AI97" s="392"/>
      <c r="AJ97" s="392"/>
      <c r="AK97" s="392"/>
      <c r="AL97" s="392"/>
      <c r="AM97" s="392"/>
      <c r="AN97" s="392"/>
      <c r="AO97" s="392"/>
      <c r="AP97" s="392"/>
      <c r="AQ97" s="392"/>
      <c r="AR97" s="392"/>
      <c r="AS97" s="392"/>
      <c r="AT97" s="392"/>
      <c r="AU97" s="392"/>
      <c r="AV97" s="392"/>
      <c r="AW97" s="392"/>
      <c r="AX97" s="392"/>
      <c r="AY97" s="392"/>
      <c r="AZ97" s="392"/>
      <c r="BA97" s="392"/>
      <c r="BB97" s="392"/>
      <c r="BC97" s="392"/>
      <c r="BD97" s="392"/>
      <c r="BE97" s="392"/>
      <c r="BF97" s="392"/>
      <c r="BG97" s="392"/>
      <c r="BH97" s="392"/>
      <c r="BI97" s="392"/>
      <c r="BJ97" s="392"/>
      <c r="BK97" s="392"/>
      <c r="BL97" s="392"/>
      <c r="BM97" s="392"/>
      <c r="BN97" s="392"/>
      <c r="BO97" s="392"/>
      <c r="BP97" s="392"/>
      <c r="BQ97" s="392"/>
      <c r="BR97" s="392"/>
      <c r="BS97" s="392"/>
      <c r="BT97" s="392"/>
      <c r="BU97" s="392"/>
      <c r="BV97" s="392"/>
      <c r="BW97" s="392"/>
      <c r="BX97" s="392"/>
      <c r="BY97" s="392"/>
      <c r="BZ97" s="392"/>
      <c r="CA97" s="392"/>
      <c r="CB97" s="392"/>
      <c r="CC97" s="392"/>
      <c r="CD97" s="392"/>
      <c r="CE97" s="392"/>
      <c r="CF97" s="392"/>
      <c r="CG97" s="392"/>
      <c r="CH97" s="392"/>
      <c r="CI97" s="392"/>
      <c r="CJ97" s="392"/>
      <c r="CK97" s="392"/>
      <c r="CL97" s="392"/>
      <c r="CM97" s="392"/>
      <c r="CN97" s="392"/>
      <c r="CO97" s="392"/>
      <c r="CP97" s="392"/>
      <c r="CQ97" s="392"/>
      <c r="CR97" s="392"/>
      <c r="CS97" s="392"/>
      <c r="CT97" s="392"/>
      <c r="CU97" s="392"/>
      <c r="CV97" s="392"/>
      <c r="CW97" s="392"/>
      <c r="CX97" s="392"/>
      <c r="CY97" s="392"/>
      <c r="CZ97" s="392"/>
      <c r="DA97" s="392"/>
    </row>
    <row r="98" spans="1:105" s="393" customFormat="1" ht="15" outlineLevel="2" thickBot="1" x14ac:dyDescent="0.35">
      <c r="A98" s="394" t="s">
        <v>1594</v>
      </c>
      <c r="B98" s="453" t="s">
        <v>1600</v>
      </c>
      <c r="C98" s="511">
        <v>44769.916666666664</v>
      </c>
      <c r="D98" s="511">
        <v>44769.9375</v>
      </c>
      <c r="E98" s="402" t="s">
        <v>1245</v>
      </c>
      <c r="F98" s="408" t="s">
        <v>1601</v>
      </c>
      <c r="G98" s="388"/>
      <c r="H98" s="387"/>
      <c r="I98" s="413"/>
      <c r="J98" s="413"/>
      <c r="K98" s="404"/>
      <c r="L98" s="404"/>
      <c r="M98" s="391"/>
      <c r="N98" s="391"/>
      <c r="O98" s="392"/>
      <c r="P98" s="392"/>
      <c r="Q98" s="392"/>
      <c r="R98" s="392"/>
      <c r="S98" s="392"/>
      <c r="T98" s="392"/>
      <c r="U98" s="392"/>
      <c r="V98" s="392"/>
      <c r="W98" s="392"/>
      <c r="X98" s="392"/>
      <c r="Y98" s="392"/>
      <c r="Z98" s="392"/>
      <c r="AA98" s="406"/>
      <c r="AB98" s="406"/>
      <c r="AC98" s="392"/>
      <c r="AD98" s="392"/>
      <c r="AE98" s="392"/>
      <c r="AF98" s="392"/>
      <c r="AG98" s="392"/>
      <c r="AH98" s="392"/>
      <c r="AI98" s="392"/>
      <c r="AJ98" s="392"/>
      <c r="AK98" s="392"/>
      <c r="AL98" s="392"/>
      <c r="AM98" s="392"/>
      <c r="AN98" s="392"/>
      <c r="AO98" s="392"/>
      <c r="AP98" s="392"/>
      <c r="AQ98" s="392"/>
      <c r="AR98" s="392"/>
      <c r="AS98" s="392"/>
      <c r="AT98" s="392"/>
      <c r="AU98" s="392"/>
      <c r="AV98" s="392"/>
      <c r="AW98" s="392"/>
      <c r="AX98" s="392"/>
      <c r="AY98" s="392"/>
      <c r="AZ98" s="392"/>
      <c r="BA98" s="392"/>
      <c r="BB98" s="392"/>
      <c r="BC98" s="392"/>
      <c r="BD98" s="392"/>
      <c r="BE98" s="392"/>
      <c r="BF98" s="392"/>
      <c r="BG98" s="392"/>
      <c r="BH98" s="392"/>
      <c r="BI98" s="392"/>
      <c r="BJ98" s="392"/>
      <c r="BK98" s="392"/>
      <c r="BL98" s="392"/>
      <c r="BM98" s="392"/>
      <c r="BN98" s="392"/>
      <c r="BO98" s="392"/>
      <c r="BP98" s="392"/>
      <c r="BQ98" s="392"/>
      <c r="BR98" s="392"/>
      <c r="BS98" s="392"/>
      <c r="BT98" s="392"/>
      <c r="BU98" s="392"/>
      <c r="BV98" s="392"/>
      <c r="BW98" s="392"/>
      <c r="BX98" s="392"/>
      <c r="BY98" s="392"/>
      <c r="BZ98" s="392"/>
      <c r="CA98" s="392"/>
      <c r="CB98" s="392"/>
      <c r="CC98" s="392"/>
      <c r="CD98" s="392"/>
      <c r="CE98" s="392"/>
      <c r="CF98" s="392"/>
      <c r="CG98" s="392"/>
      <c r="CH98" s="392"/>
      <c r="CI98" s="392"/>
      <c r="CJ98" s="392"/>
      <c r="CK98" s="392"/>
      <c r="CL98" s="392"/>
      <c r="CM98" s="392"/>
      <c r="CN98" s="392"/>
      <c r="CO98" s="392"/>
      <c r="CP98" s="392"/>
      <c r="CQ98" s="392"/>
      <c r="CR98" s="392"/>
      <c r="CS98" s="392"/>
      <c r="CT98" s="392"/>
      <c r="CU98" s="392"/>
      <c r="CV98" s="392"/>
      <c r="CW98" s="392"/>
      <c r="CX98" s="392"/>
      <c r="CY98" s="392"/>
      <c r="CZ98" s="392"/>
      <c r="DA98" s="392"/>
    </row>
    <row r="99" spans="1:105" s="393" customFormat="1" ht="15" outlineLevel="2" thickBot="1" x14ac:dyDescent="0.35">
      <c r="A99" s="394" t="s">
        <v>1595</v>
      </c>
      <c r="B99" s="453" t="s">
        <v>1602</v>
      </c>
      <c r="C99" s="511">
        <v>44769.9375</v>
      </c>
      <c r="D99" s="511">
        <v>44769.9375</v>
      </c>
      <c r="E99" s="402" t="s">
        <v>1245</v>
      </c>
      <c r="F99" s="408" t="s">
        <v>1601</v>
      </c>
      <c r="G99" s="388"/>
      <c r="H99" s="387"/>
      <c r="I99" s="413"/>
      <c r="J99" s="413"/>
      <c r="K99" s="404"/>
      <c r="L99" s="404"/>
      <c r="M99" s="391"/>
      <c r="N99" s="391"/>
      <c r="O99" s="392"/>
      <c r="P99" s="392"/>
      <c r="Q99" s="392"/>
      <c r="R99" s="392"/>
      <c r="S99" s="392"/>
      <c r="T99" s="392"/>
      <c r="U99" s="392"/>
      <c r="V99" s="392"/>
      <c r="W99" s="392"/>
      <c r="X99" s="392"/>
      <c r="Y99" s="392"/>
      <c r="Z99" s="392"/>
      <c r="AA99" s="406"/>
      <c r="AB99" s="406"/>
      <c r="AC99" s="392"/>
      <c r="AD99" s="392"/>
      <c r="AE99" s="392"/>
      <c r="AF99" s="392"/>
      <c r="AG99" s="392"/>
      <c r="AH99" s="392"/>
      <c r="AI99" s="392"/>
      <c r="AJ99" s="392"/>
      <c r="AK99" s="392"/>
      <c r="AL99" s="392"/>
      <c r="AM99" s="392"/>
      <c r="AN99" s="392"/>
      <c r="AO99" s="392"/>
      <c r="AP99" s="392"/>
      <c r="AQ99" s="392"/>
      <c r="AR99" s="392"/>
      <c r="AS99" s="392"/>
      <c r="AT99" s="392"/>
      <c r="AU99" s="392"/>
      <c r="AV99" s="392"/>
      <c r="AW99" s="392"/>
      <c r="AX99" s="392"/>
      <c r="AY99" s="392"/>
      <c r="AZ99" s="392"/>
      <c r="BA99" s="392"/>
      <c r="BB99" s="392"/>
      <c r="BC99" s="392"/>
      <c r="BD99" s="392"/>
      <c r="BE99" s="392"/>
      <c r="BF99" s="392"/>
      <c r="BG99" s="392"/>
      <c r="BH99" s="392"/>
      <c r="BI99" s="392"/>
      <c r="BJ99" s="392"/>
      <c r="BK99" s="392"/>
      <c r="BL99" s="392"/>
      <c r="BM99" s="392"/>
      <c r="BN99" s="392"/>
      <c r="BO99" s="392"/>
      <c r="BP99" s="392"/>
      <c r="BQ99" s="392"/>
      <c r="BR99" s="392"/>
      <c r="BS99" s="392"/>
      <c r="BT99" s="392"/>
      <c r="BU99" s="392"/>
      <c r="BV99" s="392"/>
      <c r="BW99" s="392"/>
      <c r="BX99" s="392"/>
      <c r="BY99" s="392"/>
      <c r="BZ99" s="392"/>
      <c r="CA99" s="392"/>
      <c r="CB99" s="392"/>
      <c r="CC99" s="392"/>
      <c r="CD99" s="392"/>
      <c r="CE99" s="392"/>
      <c r="CF99" s="392"/>
      <c r="CG99" s="392"/>
      <c r="CH99" s="392"/>
      <c r="CI99" s="392"/>
      <c r="CJ99" s="392"/>
      <c r="CK99" s="392"/>
      <c r="CL99" s="392"/>
      <c r="CM99" s="392"/>
      <c r="CN99" s="392"/>
      <c r="CO99" s="392"/>
      <c r="CP99" s="392"/>
      <c r="CQ99" s="392"/>
      <c r="CR99" s="392"/>
      <c r="CS99" s="392"/>
      <c r="CT99" s="392"/>
      <c r="CU99" s="392"/>
      <c r="CV99" s="392"/>
      <c r="CW99" s="392"/>
      <c r="CX99" s="392"/>
      <c r="CY99" s="392"/>
      <c r="CZ99" s="392"/>
      <c r="DA99" s="392"/>
    </row>
    <row r="100" spans="1:105" s="393" customFormat="1" ht="29.4" outlineLevel="2" thickBot="1" x14ac:dyDescent="0.35">
      <c r="A100" s="394" t="s">
        <v>1596</v>
      </c>
      <c r="B100" s="453" t="s">
        <v>1603</v>
      </c>
      <c r="C100" s="511">
        <v>44770.229166666664</v>
      </c>
      <c r="D100" s="511">
        <v>44770.270833333336</v>
      </c>
      <c r="E100" s="402" t="s">
        <v>1245</v>
      </c>
      <c r="F100" s="408" t="s">
        <v>1604</v>
      </c>
      <c r="G100" s="388"/>
      <c r="H100" s="387"/>
      <c r="I100" s="413"/>
      <c r="J100" s="413"/>
      <c r="K100" s="404"/>
      <c r="L100" s="404"/>
      <c r="M100" s="391"/>
      <c r="N100" s="391"/>
      <c r="O100" s="392"/>
      <c r="P100" s="392"/>
      <c r="Q100" s="392"/>
      <c r="R100" s="392"/>
      <c r="S100" s="392"/>
      <c r="T100" s="392"/>
      <c r="U100" s="392"/>
      <c r="V100" s="392"/>
      <c r="W100" s="392"/>
      <c r="X100" s="392"/>
      <c r="Y100" s="392"/>
      <c r="Z100" s="392"/>
      <c r="AA100" s="406"/>
      <c r="AB100" s="406"/>
      <c r="AC100" s="392"/>
      <c r="AD100" s="392"/>
      <c r="AE100" s="392"/>
      <c r="AF100" s="392"/>
      <c r="AG100" s="392"/>
      <c r="AH100" s="392"/>
      <c r="AI100" s="392"/>
      <c r="AJ100" s="392"/>
      <c r="AK100" s="392"/>
      <c r="AL100" s="392"/>
      <c r="AM100" s="392"/>
      <c r="AN100" s="392"/>
      <c r="AO100" s="392"/>
      <c r="AP100" s="392"/>
      <c r="AQ100" s="392"/>
      <c r="AR100" s="392"/>
      <c r="AS100" s="392"/>
      <c r="AT100" s="392"/>
      <c r="AU100" s="392"/>
      <c r="AV100" s="392"/>
      <c r="AW100" s="392"/>
      <c r="AX100" s="392"/>
      <c r="AY100" s="392"/>
      <c r="AZ100" s="392"/>
      <c r="BA100" s="392"/>
      <c r="BB100" s="392"/>
      <c r="BC100" s="392"/>
      <c r="BD100" s="392"/>
      <c r="BE100" s="392"/>
      <c r="BF100" s="392"/>
      <c r="BG100" s="392"/>
      <c r="BH100" s="392"/>
      <c r="BI100" s="392"/>
      <c r="BJ100" s="392"/>
      <c r="BK100" s="392"/>
      <c r="BL100" s="392"/>
      <c r="BM100" s="392"/>
      <c r="BN100" s="392"/>
      <c r="BO100" s="392"/>
      <c r="BP100" s="392"/>
      <c r="BQ100" s="392"/>
      <c r="BR100" s="392"/>
      <c r="BS100" s="392"/>
      <c r="BT100" s="392"/>
      <c r="BU100" s="392"/>
      <c r="BV100" s="392"/>
      <c r="BW100" s="392"/>
      <c r="BX100" s="392"/>
      <c r="BY100" s="392"/>
      <c r="BZ100" s="392"/>
      <c r="CA100" s="392"/>
      <c r="CB100" s="392"/>
      <c r="CC100" s="392"/>
      <c r="CD100" s="392"/>
      <c r="CE100" s="392"/>
      <c r="CF100" s="392"/>
      <c r="CG100" s="392"/>
      <c r="CH100" s="392"/>
      <c r="CI100" s="392"/>
      <c r="CJ100" s="392"/>
      <c r="CK100" s="392"/>
      <c r="CL100" s="392"/>
      <c r="CM100" s="392"/>
      <c r="CN100" s="392"/>
      <c r="CO100" s="392"/>
      <c r="CP100" s="392"/>
      <c r="CQ100" s="392"/>
      <c r="CR100" s="392"/>
      <c r="CS100" s="392"/>
      <c r="CT100" s="392"/>
      <c r="CU100" s="392"/>
      <c r="CV100" s="392"/>
      <c r="CW100" s="392"/>
      <c r="CX100" s="392"/>
      <c r="CY100" s="392"/>
      <c r="CZ100" s="392"/>
      <c r="DA100" s="392"/>
    </row>
    <row r="101" spans="1:105" s="393" customFormat="1" ht="29.4" outlineLevel="2" thickBot="1" x14ac:dyDescent="0.35">
      <c r="A101" s="394" t="s">
        <v>1597</v>
      </c>
      <c r="B101" s="453" t="s">
        <v>1605</v>
      </c>
      <c r="C101" s="511">
        <v>44770.270833333336</v>
      </c>
      <c r="D101" s="511">
        <v>44770.270833333336</v>
      </c>
      <c r="E101" s="402" t="s">
        <v>1245</v>
      </c>
      <c r="F101" s="408" t="s">
        <v>1604</v>
      </c>
      <c r="G101" s="388"/>
      <c r="H101" s="387"/>
      <c r="I101" s="413"/>
      <c r="J101" s="413"/>
      <c r="K101" s="404"/>
      <c r="L101" s="404"/>
      <c r="M101" s="391"/>
      <c r="N101" s="391"/>
      <c r="O101" s="392"/>
      <c r="P101" s="392"/>
      <c r="Q101" s="392"/>
      <c r="R101" s="392"/>
      <c r="S101" s="392"/>
      <c r="T101" s="392"/>
      <c r="U101" s="392"/>
      <c r="V101" s="392"/>
      <c r="W101" s="392"/>
      <c r="X101" s="392"/>
      <c r="Y101" s="392"/>
      <c r="Z101" s="392"/>
      <c r="AA101" s="406"/>
      <c r="AB101" s="406"/>
      <c r="AC101" s="392"/>
      <c r="AD101" s="392"/>
      <c r="AE101" s="392"/>
      <c r="AF101" s="392"/>
      <c r="AG101" s="392"/>
      <c r="AH101" s="392"/>
      <c r="AI101" s="392"/>
      <c r="AJ101" s="392"/>
      <c r="AK101" s="392"/>
      <c r="AL101" s="392"/>
      <c r="AM101" s="392"/>
      <c r="AN101" s="392"/>
      <c r="AO101" s="392"/>
      <c r="AP101" s="392"/>
      <c r="AQ101" s="392"/>
      <c r="AR101" s="392"/>
      <c r="AS101" s="392"/>
      <c r="AT101" s="392"/>
      <c r="AU101" s="392"/>
      <c r="AV101" s="392"/>
      <c r="AW101" s="392"/>
      <c r="AX101" s="392"/>
      <c r="AY101" s="392"/>
      <c r="AZ101" s="392"/>
      <c r="BA101" s="392"/>
      <c r="BB101" s="392"/>
      <c r="BC101" s="392"/>
      <c r="BD101" s="392"/>
      <c r="BE101" s="392"/>
      <c r="BF101" s="392"/>
      <c r="BG101" s="392"/>
      <c r="BH101" s="392"/>
      <c r="BI101" s="392"/>
      <c r="BJ101" s="392"/>
      <c r="BK101" s="392"/>
      <c r="BL101" s="392"/>
      <c r="BM101" s="392"/>
      <c r="BN101" s="392"/>
      <c r="BO101" s="392"/>
      <c r="BP101" s="392"/>
      <c r="BQ101" s="392"/>
      <c r="BR101" s="392"/>
      <c r="BS101" s="392"/>
      <c r="BT101" s="392"/>
      <c r="BU101" s="392"/>
      <c r="BV101" s="392"/>
      <c r="BW101" s="392"/>
      <c r="BX101" s="392"/>
      <c r="BY101" s="392"/>
      <c r="BZ101" s="392"/>
      <c r="CA101" s="392"/>
      <c r="CB101" s="392"/>
      <c r="CC101" s="392"/>
      <c r="CD101" s="392"/>
      <c r="CE101" s="392"/>
      <c r="CF101" s="392"/>
      <c r="CG101" s="392"/>
      <c r="CH101" s="392"/>
      <c r="CI101" s="392"/>
      <c r="CJ101" s="392"/>
      <c r="CK101" s="392"/>
      <c r="CL101" s="392"/>
      <c r="CM101" s="392"/>
      <c r="CN101" s="392"/>
      <c r="CO101" s="392"/>
      <c r="CP101" s="392"/>
      <c r="CQ101" s="392"/>
      <c r="CR101" s="392"/>
      <c r="CS101" s="392"/>
      <c r="CT101" s="392"/>
      <c r="CU101" s="392"/>
      <c r="CV101" s="392"/>
      <c r="CW101" s="392"/>
      <c r="CX101" s="392"/>
      <c r="CY101" s="392"/>
      <c r="CZ101" s="392"/>
      <c r="DA101" s="392"/>
    </row>
    <row r="102" spans="1:105" s="393" customFormat="1" ht="29.4" outlineLevel="2" thickBot="1" x14ac:dyDescent="0.35">
      <c r="A102" s="394" t="s">
        <v>1598</v>
      </c>
      <c r="B102" s="453" t="s">
        <v>1606</v>
      </c>
      <c r="C102" s="511">
        <v>44770.354166666664</v>
      </c>
      <c r="D102" s="511">
        <v>44770.395833333336</v>
      </c>
      <c r="E102" s="402" t="s">
        <v>1245</v>
      </c>
      <c r="F102" s="408" t="s">
        <v>1604</v>
      </c>
      <c r="G102" s="388"/>
      <c r="H102" s="387"/>
      <c r="I102" s="413"/>
      <c r="J102" s="413"/>
      <c r="K102" s="404"/>
      <c r="L102" s="404"/>
      <c r="M102" s="391"/>
      <c r="N102" s="391"/>
      <c r="O102" s="392"/>
      <c r="P102" s="392"/>
      <c r="Q102" s="392"/>
      <c r="R102" s="392"/>
      <c r="S102" s="392"/>
      <c r="T102" s="392"/>
      <c r="U102" s="392"/>
      <c r="V102" s="392"/>
      <c r="W102" s="392"/>
      <c r="X102" s="392"/>
      <c r="Y102" s="392"/>
      <c r="Z102" s="392"/>
      <c r="AA102" s="406"/>
      <c r="AB102" s="406"/>
      <c r="AC102" s="392"/>
      <c r="AD102" s="392"/>
      <c r="AE102" s="392"/>
      <c r="AF102" s="392"/>
      <c r="AG102" s="392"/>
      <c r="AH102" s="392"/>
      <c r="AI102" s="392"/>
      <c r="AJ102" s="392"/>
      <c r="AK102" s="392"/>
      <c r="AL102" s="392"/>
      <c r="AM102" s="392"/>
      <c r="AN102" s="392"/>
      <c r="AO102" s="392"/>
      <c r="AP102" s="392"/>
      <c r="AQ102" s="392"/>
      <c r="AR102" s="392"/>
      <c r="AS102" s="392"/>
      <c r="AT102" s="392"/>
      <c r="AU102" s="392"/>
      <c r="AV102" s="392"/>
      <c r="AW102" s="392"/>
      <c r="AX102" s="392"/>
      <c r="AY102" s="392"/>
      <c r="AZ102" s="392"/>
      <c r="BA102" s="392"/>
      <c r="BB102" s="392"/>
      <c r="BC102" s="392"/>
      <c r="BD102" s="392"/>
      <c r="BE102" s="392"/>
      <c r="BF102" s="392"/>
      <c r="BG102" s="392"/>
      <c r="BH102" s="392"/>
      <c r="BI102" s="392"/>
      <c r="BJ102" s="392"/>
      <c r="BK102" s="392"/>
      <c r="BL102" s="392"/>
      <c r="BM102" s="392"/>
      <c r="BN102" s="392"/>
      <c r="BO102" s="392"/>
      <c r="BP102" s="392"/>
      <c r="BQ102" s="392"/>
      <c r="BR102" s="392"/>
      <c r="BS102" s="392"/>
      <c r="BT102" s="392"/>
      <c r="BU102" s="392"/>
      <c r="BV102" s="392"/>
      <c r="BW102" s="392"/>
      <c r="BX102" s="392"/>
      <c r="BY102" s="392"/>
      <c r="BZ102" s="392"/>
      <c r="CA102" s="392"/>
      <c r="CB102" s="392"/>
      <c r="CC102" s="392"/>
      <c r="CD102" s="392"/>
      <c r="CE102" s="392"/>
      <c r="CF102" s="392"/>
      <c r="CG102" s="392"/>
      <c r="CH102" s="392"/>
      <c r="CI102" s="392"/>
      <c r="CJ102" s="392"/>
      <c r="CK102" s="392"/>
      <c r="CL102" s="392"/>
      <c r="CM102" s="392"/>
      <c r="CN102" s="392"/>
      <c r="CO102" s="392"/>
      <c r="CP102" s="392"/>
      <c r="CQ102" s="392"/>
      <c r="CR102" s="392"/>
      <c r="CS102" s="392"/>
      <c r="CT102" s="392"/>
      <c r="CU102" s="392"/>
      <c r="CV102" s="392"/>
      <c r="CW102" s="392"/>
      <c r="CX102" s="392"/>
      <c r="CY102" s="392"/>
      <c r="CZ102" s="392"/>
      <c r="DA102" s="392"/>
    </row>
    <row r="103" spans="1:105" s="393" customFormat="1" ht="29.4" outlineLevel="2" thickBot="1" x14ac:dyDescent="0.35">
      <c r="A103" s="394" t="s">
        <v>1599</v>
      </c>
      <c r="B103" s="453" t="s">
        <v>1615</v>
      </c>
      <c r="C103" s="511">
        <v>44770.395833333336</v>
      </c>
      <c r="D103" s="511">
        <v>44770.395833333336</v>
      </c>
      <c r="E103" s="402" t="s">
        <v>1245</v>
      </c>
      <c r="F103" s="408" t="s">
        <v>1604</v>
      </c>
      <c r="G103" s="388"/>
      <c r="H103" s="387"/>
      <c r="I103" s="413"/>
      <c r="J103" s="413"/>
      <c r="K103" s="404"/>
      <c r="L103" s="404"/>
      <c r="M103" s="391"/>
      <c r="N103" s="391"/>
      <c r="O103" s="392"/>
      <c r="P103" s="392"/>
      <c r="Q103" s="392"/>
      <c r="R103" s="392"/>
      <c r="S103" s="392"/>
      <c r="T103" s="392"/>
      <c r="U103" s="392"/>
      <c r="V103" s="392"/>
      <c r="W103" s="392"/>
      <c r="X103" s="392"/>
      <c r="Y103" s="392"/>
      <c r="Z103" s="392"/>
      <c r="AA103" s="406"/>
      <c r="AB103" s="406"/>
      <c r="AC103" s="392"/>
      <c r="AD103" s="392"/>
      <c r="AE103" s="392"/>
      <c r="AF103" s="392"/>
      <c r="AG103" s="392"/>
      <c r="AH103" s="392"/>
      <c r="AI103" s="392"/>
      <c r="AJ103" s="392"/>
      <c r="AK103" s="392"/>
      <c r="AL103" s="392"/>
      <c r="AM103" s="392"/>
      <c r="AN103" s="392"/>
      <c r="AO103" s="392"/>
      <c r="AP103" s="392"/>
      <c r="AQ103" s="392"/>
      <c r="AR103" s="392"/>
      <c r="AS103" s="392"/>
      <c r="AT103" s="392"/>
      <c r="AU103" s="392"/>
      <c r="AV103" s="392"/>
      <c r="AW103" s="392"/>
      <c r="AX103" s="392"/>
      <c r="AY103" s="392"/>
      <c r="AZ103" s="392"/>
      <c r="BA103" s="392"/>
      <c r="BB103" s="392"/>
      <c r="BC103" s="392"/>
      <c r="BD103" s="392"/>
      <c r="BE103" s="392"/>
      <c r="BF103" s="392"/>
      <c r="BG103" s="392"/>
      <c r="BH103" s="392"/>
      <c r="BI103" s="392"/>
      <c r="BJ103" s="392"/>
      <c r="BK103" s="392"/>
      <c r="BL103" s="392"/>
      <c r="BM103" s="392"/>
      <c r="BN103" s="392"/>
      <c r="BO103" s="392"/>
      <c r="BP103" s="392"/>
      <c r="BQ103" s="392"/>
      <c r="BR103" s="392"/>
      <c r="BS103" s="392"/>
      <c r="BT103" s="392"/>
      <c r="BU103" s="392"/>
      <c r="BV103" s="392"/>
      <c r="BW103" s="392"/>
      <c r="BX103" s="392"/>
      <c r="BY103" s="392"/>
      <c r="BZ103" s="392"/>
      <c r="CA103" s="392"/>
      <c r="CB103" s="392"/>
      <c r="CC103" s="392"/>
      <c r="CD103" s="392"/>
      <c r="CE103" s="392"/>
      <c r="CF103" s="392"/>
      <c r="CG103" s="392"/>
      <c r="CH103" s="392"/>
      <c r="CI103" s="392"/>
      <c r="CJ103" s="392"/>
      <c r="CK103" s="392"/>
      <c r="CL103" s="392"/>
      <c r="CM103" s="392"/>
      <c r="CN103" s="392"/>
      <c r="CO103" s="392"/>
      <c r="CP103" s="392"/>
      <c r="CQ103" s="392"/>
      <c r="CR103" s="392"/>
      <c r="CS103" s="392"/>
      <c r="CT103" s="392"/>
      <c r="CU103" s="392"/>
      <c r="CV103" s="392"/>
      <c r="CW103" s="392"/>
      <c r="CX103" s="392"/>
      <c r="CY103" s="392"/>
      <c r="CZ103" s="392"/>
      <c r="DA103" s="392"/>
    </row>
    <row r="104" spans="1:105" s="393" customFormat="1" ht="15" outlineLevel="1" thickBot="1" x14ac:dyDescent="0.35">
      <c r="A104" s="477" t="s">
        <v>901</v>
      </c>
      <c r="B104" s="477"/>
      <c r="C104" s="502">
        <v>44770</v>
      </c>
      <c r="D104" s="482">
        <v>44771</v>
      </c>
      <c r="E104" s="477"/>
      <c r="F104" s="478"/>
      <c r="G104" s="479"/>
      <c r="H104" s="472"/>
      <c r="I104" s="478"/>
      <c r="J104" s="390"/>
      <c r="K104" s="410"/>
      <c r="L104" s="410"/>
      <c r="M104" s="391"/>
      <c r="N104" s="391"/>
      <c r="O104" s="392"/>
      <c r="P104" s="392"/>
      <c r="Q104" s="392"/>
      <c r="R104" s="392"/>
      <c r="S104" s="392"/>
      <c r="T104" s="392"/>
      <c r="U104" s="392"/>
      <c r="V104" s="392"/>
      <c r="W104" s="392"/>
      <c r="X104" s="392"/>
      <c r="Y104" s="392"/>
      <c r="Z104" s="392"/>
      <c r="AA104" s="406"/>
      <c r="AB104" s="406"/>
      <c r="AC104" s="392"/>
      <c r="AD104" s="392"/>
      <c r="AE104" s="392"/>
      <c r="AF104" s="392"/>
      <c r="AG104" s="392"/>
      <c r="AH104" s="392"/>
      <c r="AI104" s="392"/>
      <c r="AJ104" s="392"/>
      <c r="AK104" s="392"/>
      <c r="AL104" s="392"/>
      <c r="AM104" s="392"/>
      <c r="AN104" s="392"/>
      <c r="AO104" s="392"/>
      <c r="AP104" s="392"/>
      <c r="AQ104" s="392"/>
      <c r="AR104" s="392"/>
      <c r="AS104" s="392"/>
      <c r="AT104" s="392"/>
      <c r="AU104" s="392"/>
      <c r="AV104" s="392"/>
      <c r="AW104" s="392"/>
      <c r="AX104" s="392"/>
      <c r="AY104" s="392"/>
      <c r="AZ104" s="392"/>
      <c r="BA104" s="392"/>
      <c r="BB104" s="392"/>
      <c r="BC104" s="392"/>
      <c r="BD104" s="392"/>
      <c r="BE104" s="392"/>
      <c r="BF104" s="392"/>
      <c r="BG104" s="392"/>
      <c r="BH104" s="392"/>
      <c r="BI104" s="392"/>
      <c r="BJ104" s="392"/>
      <c r="BK104" s="392"/>
      <c r="BL104" s="392"/>
      <c r="BM104" s="392"/>
      <c r="BN104" s="392"/>
      <c r="BO104" s="392"/>
      <c r="BP104" s="392"/>
      <c r="BQ104" s="392"/>
      <c r="BR104" s="392"/>
      <c r="BS104" s="392"/>
      <c r="BT104" s="392"/>
      <c r="BU104" s="392"/>
      <c r="BV104" s="392"/>
      <c r="BW104" s="392"/>
      <c r="BX104" s="392"/>
      <c r="BY104" s="392"/>
      <c r="BZ104" s="392"/>
      <c r="CA104" s="392"/>
      <c r="CB104" s="392"/>
      <c r="CC104" s="392"/>
      <c r="CD104" s="392"/>
      <c r="CE104" s="392"/>
      <c r="CF104" s="392"/>
      <c r="CG104" s="392"/>
      <c r="CH104" s="392"/>
      <c r="CI104" s="392"/>
      <c r="CJ104" s="392"/>
      <c r="CK104" s="392"/>
      <c r="CL104" s="392"/>
      <c r="CM104" s="392"/>
      <c r="CN104" s="392"/>
      <c r="CO104" s="392"/>
      <c r="CP104" s="392"/>
      <c r="CQ104" s="392"/>
      <c r="CR104" s="392"/>
      <c r="CS104" s="392"/>
      <c r="CT104" s="392"/>
      <c r="CU104" s="392"/>
      <c r="CV104" s="392"/>
      <c r="CW104" s="392"/>
      <c r="CX104" s="392"/>
      <c r="CY104" s="392"/>
      <c r="CZ104" s="392"/>
      <c r="DA104" s="392"/>
    </row>
    <row r="105" spans="1:105" s="467" customFormat="1" ht="15" outlineLevel="1" thickBot="1" x14ac:dyDescent="0.35">
      <c r="A105" s="480"/>
      <c r="B105" s="480" t="s">
        <v>852</v>
      </c>
      <c r="C105" s="503"/>
      <c r="D105" s="476"/>
      <c r="E105" s="476"/>
      <c r="F105" s="478"/>
      <c r="G105" s="479"/>
      <c r="H105" s="472"/>
      <c r="I105" s="479"/>
      <c r="J105" s="462"/>
      <c r="K105" s="463"/>
      <c r="L105" s="463"/>
      <c r="M105" s="464"/>
      <c r="N105" s="464"/>
      <c r="O105" s="465"/>
      <c r="P105" s="465"/>
      <c r="Q105" s="465"/>
      <c r="R105" s="465"/>
      <c r="S105" s="465"/>
      <c r="T105" s="465"/>
      <c r="U105" s="465"/>
      <c r="V105" s="465"/>
      <c r="W105" s="465"/>
      <c r="X105" s="465"/>
      <c r="Y105" s="465"/>
      <c r="Z105" s="465"/>
      <c r="AA105" s="466"/>
      <c r="AB105" s="466"/>
      <c r="AC105" s="465"/>
      <c r="AD105" s="465"/>
      <c r="AE105" s="465"/>
      <c r="AF105" s="465"/>
      <c r="AG105" s="465"/>
      <c r="AH105" s="465"/>
      <c r="AI105" s="465"/>
      <c r="AJ105" s="465"/>
      <c r="AK105" s="465"/>
      <c r="AL105" s="465"/>
      <c r="AM105" s="465"/>
      <c r="AN105" s="465"/>
      <c r="AO105" s="465"/>
      <c r="AP105" s="465"/>
      <c r="AQ105" s="465"/>
      <c r="AR105" s="465"/>
      <c r="AS105" s="465"/>
      <c r="AT105" s="465"/>
      <c r="AU105" s="465"/>
      <c r="AV105" s="465"/>
      <c r="AW105" s="465"/>
      <c r="AX105" s="465"/>
      <c r="AY105" s="465"/>
      <c r="AZ105" s="465"/>
      <c r="BA105" s="465"/>
      <c r="BB105" s="465"/>
      <c r="BC105" s="465"/>
      <c r="BD105" s="465"/>
      <c r="BE105" s="465"/>
      <c r="BF105" s="465"/>
      <c r="BG105" s="465"/>
      <c r="BH105" s="465"/>
      <c r="BI105" s="465"/>
      <c r="BJ105" s="465"/>
      <c r="BK105" s="465"/>
      <c r="BL105" s="465"/>
      <c r="BM105" s="465"/>
      <c r="BN105" s="465"/>
      <c r="BO105" s="465"/>
      <c r="BP105" s="465"/>
      <c r="BQ105" s="465"/>
      <c r="BR105" s="465"/>
      <c r="BS105" s="465"/>
      <c r="BT105" s="465"/>
      <c r="BU105" s="465"/>
      <c r="BV105" s="465"/>
      <c r="BW105" s="465"/>
      <c r="BX105" s="465"/>
      <c r="BY105" s="465"/>
      <c r="BZ105" s="465"/>
      <c r="CA105" s="465"/>
      <c r="CB105" s="465"/>
      <c r="CC105" s="465"/>
      <c r="CD105" s="465"/>
      <c r="CE105" s="465"/>
      <c r="CF105" s="465"/>
      <c r="CG105" s="465"/>
      <c r="CH105" s="465"/>
      <c r="CI105" s="465"/>
      <c r="CJ105" s="465"/>
      <c r="CK105" s="465"/>
      <c r="CL105" s="465"/>
      <c r="CM105" s="465"/>
      <c r="CN105" s="465"/>
      <c r="CO105" s="465"/>
      <c r="CP105" s="465"/>
      <c r="CQ105" s="465"/>
      <c r="CR105" s="465"/>
      <c r="CS105" s="465"/>
      <c r="CT105" s="465"/>
      <c r="CU105" s="465"/>
      <c r="CV105" s="465"/>
      <c r="CW105" s="465"/>
      <c r="CX105" s="465"/>
      <c r="CY105" s="465"/>
      <c r="CZ105" s="465"/>
      <c r="DA105" s="465"/>
    </row>
    <row r="106" spans="1:105" s="393" customFormat="1" ht="15" outlineLevel="1" thickBot="1" x14ac:dyDescent="0.35">
      <c r="A106" s="480" t="s">
        <v>1308</v>
      </c>
      <c r="B106" s="481" t="s">
        <v>1568</v>
      </c>
      <c r="C106" s="502">
        <v>44770.875</v>
      </c>
      <c r="D106" s="502">
        <v>44770.895833333336</v>
      </c>
      <c r="E106" s="476" t="s">
        <v>1245</v>
      </c>
      <c r="F106" s="478" t="s">
        <v>1569</v>
      </c>
      <c r="G106" s="479"/>
      <c r="H106" s="472"/>
      <c r="I106" s="479"/>
      <c r="J106" s="413"/>
      <c r="K106" s="412"/>
      <c r="L106" s="412"/>
      <c r="M106" s="391"/>
      <c r="N106" s="391"/>
      <c r="O106" s="392"/>
      <c r="P106" s="392"/>
      <c r="Q106" s="392"/>
      <c r="R106" s="392"/>
      <c r="S106" s="392"/>
      <c r="T106" s="392"/>
      <c r="U106" s="392"/>
      <c r="V106" s="392"/>
      <c r="W106" s="392"/>
      <c r="X106" s="392"/>
      <c r="Y106" s="392"/>
      <c r="Z106" s="392"/>
      <c r="AA106" s="406"/>
      <c r="AB106" s="406"/>
      <c r="AC106" s="392"/>
      <c r="AD106" s="392"/>
      <c r="AE106" s="392"/>
      <c r="AF106" s="392"/>
      <c r="AG106" s="392"/>
      <c r="AH106" s="392"/>
      <c r="AI106" s="392"/>
      <c r="AJ106" s="392"/>
      <c r="AK106" s="392"/>
      <c r="AL106" s="392"/>
      <c r="AM106" s="392"/>
      <c r="AN106" s="392"/>
      <c r="AO106" s="392"/>
      <c r="AP106" s="392"/>
      <c r="AQ106" s="392"/>
      <c r="AR106" s="392"/>
      <c r="AS106" s="392"/>
      <c r="AT106" s="392"/>
      <c r="AU106" s="392"/>
      <c r="AV106" s="392"/>
      <c r="AW106" s="392"/>
      <c r="AX106" s="392"/>
      <c r="AY106" s="392"/>
      <c r="AZ106" s="392"/>
      <c r="BA106" s="392"/>
      <c r="BB106" s="392"/>
      <c r="BC106" s="392"/>
      <c r="BD106" s="392"/>
      <c r="BE106" s="392"/>
      <c r="BF106" s="392"/>
      <c r="BG106" s="392"/>
      <c r="BH106" s="392"/>
      <c r="BI106" s="392"/>
      <c r="BJ106" s="392"/>
      <c r="BK106" s="392"/>
      <c r="BL106" s="392"/>
      <c r="BM106" s="392"/>
      <c r="BN106" s="392"/>
      <c r="BO106" s="392"/>
      <c r="BP106" s="392"/>
      <c r="BQ106" s="392"/>
      <c r="BR106" s="392"/>
      <c r="BS106" s="392"/>
      <c r="BT106" s="392"/>
      <c r="BU106" s="392"/>
      <c r="BV106" s="392"/>
      <c r="BW106" s="392"/>
      <c r="BX106" s="392"/>
      <c r="BY106" s="392"/>
      <c r="BZ106" s="392"/>
      <c r="CA106" s="392"/>
      <c r="CB106" s="392"/>
      <c r="CC106" s="392"/>
      <c r="CD106" s="392"/>
      <c r="CE106" s="392"/>
      <c r="CF106" s="392"/>
      <c r="CG106" s="392"/>
      <c r="CH106" s="392"/>
      <c r="CI106" s="392"/>
      <c r="CJ106" s="392"/>
      <c r="CK106" s="392"/>
      <c r="CL106" s="392"/>
      <c r="CM106" s="392"/>
      <c r="CN106" s="392"/>
      <c r="CO106" s="392"/>
      <c r="CP106" s="392"/>
      <c r="CQ106" s="392"/>
      <c r="CR106" s="392"/>
      <c r="CS106" s="392"/>
      <c r="CT106" s="392"/>
      <c r="CU106" s="392"/>
      <c r="CV106" s="392"/>
      <c r="CW106" s="392"/>
      <c r="CX106" s="392"/>
      <c r="CY106" s="392"/>
      <c r="CZ106" s="392"/>
      <c r="DA106" s="392"/>
    </row>
    <row r="107" spans="1:105" s="393" customFormat="1" ht="29.4" outlineLevel="1" thickBot="1" x14ac:dyDescent="0.35">
      <c r="A107" s="480" t="s">
        <v>1309</v>
      </c>
      <c r="B107" s="481" t="s">
        <v>1570</v>
      </c>
      <c r="C107" s="502">
        <v>44770.895833333336</v>
      </c>
      <c r="D107" s="502">
        <v>44770.916666666664</v>
      </c>
      <c r="E107" s="476" t="s">
        <v>1245</v>
      </c>
      <c r="F107" s="478" t="s">
        <v>1571</v>
      </c>
      <c r="G107" s="479"/>
      <c r="H107" s="472"/>
      <c r="I107" s="479" t="s">
        <v>1289</v>
      </c>
      <c r="J107" s="413"/>
      <c r="K107" s="412"/>
      <c r="L107" s="412"/>
      <c r="M107" s="391"/>
      <c r="N107" s="391"/>
      <c r="O107" s="392"/>
      <c r="P107" s="392"/>
      <c r="Q107" s="392"/>
      <c r="R107" s="392"/>
      <c r="S107" s="392"/>
      <c r="T107" s="392"/>
      <c r="U107" s="392"/>
      <c r="V107" s="392"/>
      <c r="W107" s="392"/>
      <c r="X107" s="392"/>
      <c r="Y107" s="392"/>
      <c r="Z107" s="392"/>
      <c r="AA107" s="406"/>
      <c r="AB107" s="406"/>
      <c r="AC107" s="392"/>
      <c r="AD107" s="392"/>
      <c r="AE107" s="392"/>
      <c r="AF107" s="392"/>
      <c r="AG107" s="392"/>
      <c r="AH107" s="392"/>
      <c r="AI107" s="392"/>
      <c r="AJ107" s="392"/>
      <c r="AK107" s="392"/>
      <c r="AL107" s="392"/>
      <c r="AM107" s="392"/>
      <c r="AN107" s="392"/>
      <c r="AO107" s="392"/>
      <c r="AP107" s="392"/>
      <c r="AQ107" s="392"/>
      <c r="AR107" s="392"/>
      <c r="AS107" s="392"/>
      <c r="AT107" s="392"/>
      <c r="AU107" s="392"/>
      <c r="AV107" s="392"/>
      <c r="AW107" s="392"/>
      <c r="AX107" s="392"/>
      <c r="AY107" s="392"/>
      <c r="AZ107" s="392"/>
      <c r="BA107" s="392"/>
      <c r="BB107" s="392"/>
      <c r="BC107" s="392"/>
      <c r="BD107" s="392"/>
      <c r="BE107" s="392"/>
      <c r="BF107" s="392"/>
      <c r="BG107" s="392"/>
      <c r="BH107" s="392"/>
      <c r="BI107" s="392"/>
      <c r="BJ107" s="392"/>
      <c r="BK107" s="392"/>
      <c r="BL107" s="392"/>
      <c r="BM107" s="392"/>
      <c r="BN107" s="392"/>
      <c r="BO107" s="392"/>
      <c r="BP107" s="392"/>
      <c r="BQ107" s="392"/>
      <c r="BR107" s="392"/>
      <c r="BS107" s="392"/>
      <c r="BT107" s="392"/>
      <c r="BU107" s="392"/>
      <c r="BV107" s="392"/>
      <c r="BW107" s="392"/>
      <c r="BX107" s="392"/>
      <c r="BY107" s="392"/>
      <c r="BZ107" s="392"/>
      <c r="CA107" s="392"/>
      <c r="CB107" s="392"/>
      <c r="CC107" s="392"/>
      <c r="CD107" s="392"/>
      <c r="CE107" s="392"/>
      <c r="CF107" s="392"/>
      <c r="CG107" s="392"/>
      <c r="CH107" s="392"/>
      <c r="CI107" s="392"/>
      <c r="CJ107" s="392"/>
      <c r="CK107" s="392"/>
      <c r="CL107" s="392"/>
      <c r="CM107" s="392"/>
      <c r="CN107" s="392"/>
      <c r="CO107" s="392"/>
      <c r="CP107" s="392"/>
      <c r="CQ107" s="392"/>
      <c r="CR107" s="392"/>
      <c r="CS107" s="392"/>
      <c r="CT107" s="392"/>
      <c r="CU107" s="392"/>
      <c r="CV107" s="392"/>
      <c r="CW107" s="392"/>
      <c r="CX107" s="392"/>
      <c r="CY107" s="392"/>
      <c r="CZ107" s="392"/>
      <c r="DA107" s="392"/>
    </row>
    <row r="108" spans="1:105" s="393" customFormat="1" ht="15" outlineLevel="1" thickBot="1" x14ac:dyDescent="0.35">
      <c r="A108" s="480" t="s">
        <v>1310</v>
      </c>
      <c r="B108" s="481" t="s">
        <v>1572</v>
      </c>
      <c r="C108" s="502">
        <v>44770.916666666664</v>
      </c>
      <c r="D108" s="502">
        <v>44770.9375</v>
      </c>
      <c r="E108" s="476"/>
      <c r="F108" s="478" t="s">
        <v>1573</v>
      </c>
      <c r="G108" s="479"/>
      <c r="H108" s="472"/>
      <c r="I108" s="479" t="s">
        <v>1290</v>
      </c>
      <c r="J108" s="413"/>
      <c r="K108" s="412"/>
      <c r="L108" s="412"/>
      <c r="M108" s="391"/>
      <c r="N108" s="391"/>
      <c r="O108" s="392"/>
      <c r="P108" s="392"/>
      <c r="Q108" s="392"/>
      <c r="R108" s="392"/>
      <c r="S108" s="392"/>
      <c r="T108" s="392"/>
      <c r="U108" s="392"/>
      <c r="V108" s="392"/>
      <c r="W108" s="392"/>
      <c r="X108" s="392"/>
      <c r="Y108" s="392"/>
      <c r="Z108" s="392"/>
      <c r="AA108" s="406"/>
      <c r="AB108" s="406"/>
      <c r="AC108" s="392"/>
      <c r="AD108" s="392"/>
      <c r="AE108" s="392"/>
      <c r="AF108" s="392"/>
      <c r="AG108" s="392"/>
      <c r="AH108" s="392"/>
      <c r="AI108" s="392"/>
      <c r="AJ108" s="392"/>
      <c r="AK108" s="392"/>
      <c r="AL108" s="392"/>
      <c r="AM108" s="392"/>
      <c r="AN108" s="392"/>
      <c r="AO108" s="392"/>
      <c r="AP108" s="392"/>
      <c r="AQ108" s="392"/>
      <c r="AR108" s="392"/>
      <c r="AS108" s="392"/>
      <c r="AT108" s="392"/>
      <c r="AU108" s="392"/>
      <c r="AV108" s="392"/>
      <c r="AW108" s="392"/>
      <c r="AX108" s="392"/>
      <c r="AY108" s="392"/>
      <c r="AZ108" s="392"/>
      <c r="BA108" s="392"/>
      <c r="BB108" s="392"/>
      <c r="BC108" s="392"/>
      <c r="BD108" s="392"/>
      <c r="BE108" s="392"/>
      <c r="BF108" s="392"/>
      <c r="BG108" s="392"/>
      <c r="BH108" s="392"/>
      <c r="BI108" s="392"/>
      <c r="BJ108" s="392"/>
      <c r="BK108" s="392"/>
      <c r="BL108" s="392"/>
      <c r="BM108" s="392"/>
      <c r="BN108" s="392"/>
      <c r="BO108" s="392"/>
      <c r="BP108" s="392"/>
      <c r="BQ108" s="392"/>
      <c r="BR108" s="392"/>
      <c r="BS108" s="392"/>
      <c r="BT108" s="392"/>
      <c r="BU108" s="392"/>
      <c r="BV108" s="392"/>
      <c r="BW108" s="392"/>
      <c r="BX108" s="392"/>
      <c r="BY108" s="392"/>
      <c r="BZ108" s="392"/>
      <c r="CA108" s="392"/>
      <c r="CB108" s="392"/>
      <c r="CC108" s="392"/>
      <c r="CD108" s="392"/>
      <c r="CE108" s="392"/>
      <c r="CF108" s="392"/>
      <c r="CG108" s="392"/>
      <c r="CH108" s="392"/>
      <c r="CI108" s="392"/>
      <c r="CJ108" s="392"/>
      <c r="CK108" s="392"/>
      <c r="CL108" s="392"/>
      <c r="CM108" s="392"/>
      <c r="CN108" s="392"/>
      <c r="CO108" s="392"/>
      <c r="CP108" s="392"/>
      <c r="CQ108" s="392"/>
      <c r="CR108" s="392"/>
      <c r="CS108" s="392"/>
      <c r="CT108" s="392"/>
      <c r="CU108" s="392"/>
      <c r="CV108" s="392"/>
      <c r="CW108" s="392"/>
      <c r="CX108" s="392"/>
      <c r="CY108" s="392"/>
      <c r="CZ108" s="392"/>
      <c r="DA108" s="392"/>
    </row>
    <row r="109" spans="1:105" s="393" customFormat="1" ht="15" outlineLevel="1" thickBot="1" x14ac:dyDescent="0.35">
      <c r="A109" s="480" t="s">
        <v>1311</v>
      </c>
      <c r="B109" s="481" t="s">
        <v>1574</v>
      </c>
      <c r="C109" s="502">
        <v>44770.9375</v>
      </c>
      <c r="D109" s="502">
        <v>44770.979166666664</v>
      </c>
      <c r="E109" s="476" t="s">
        <v>1245</v>
      </c>
      <c r="F109" s="478" t="s">
        <v>1575</v>
      </c>
      <c r="G109" s="479"/>
      <c r="H109" s="472"/>
      <c r="I109" s="479" t="s">
        <v>1290</v>
      </c>
      <c r="J109" s="413"/>
      <c r="K109" s="412"/>
      <c r="L109" s="412"/>
      <c r="M109" s="391"/>
      <c r="N109" s="391"/>
      <c r="O109" s="392"/>
      <c r="P109" s="392"/>
      <c r="Q109" s="392"/>
      <c r="R109" s="392"/>
      <c r="S109" s="392"/>
      <c r="T109" s="392"/>
      <c r="U109" s="392"/>
      <c r="V109" s="392"/>
      <c r="W109" s="392"/>
      <c r="X109" s="392"/>
      <c r="Y109" s="392"/>
      <c r="Z109" s="392"/>
      <c r="AA109" s="406"/>
      <c r="AB109" s="406"/>
      <c r="AC109" s="392"/>
      <c r="AD109" s="392"/>
      <c r="AE109" s="392"/>
      <c r="AF109" s="392"/>
      <c r="AG109" s="392"/>
      <c r="AH109" s="392"/>
      <c r="AI109" s="392"/>
      <c r="AJ109" s="392"/>
      <c r="AK109" s="392"/>
      <c r="AL109" s="392"/>
      <c r="AM109" s="392"/>
      <c r="AN109" s="392"/>
      <c r="AO109" s="392"/>
      <c r="AP109" s="392"/>
      <c r="AQ109" s="392"/>
      <c r="AR109" s="392"/>
      <c r="AS109" s="392"/>
      <c r="AT109" s="392"/>
      <c r="AU109" s="392"/>
      <c r="AV109" s="392"/>
      <c r="AW109" s="392"/>
      <c r="AX109" s="392"/>
      <c r="AY109" s="392"/>
      <c r="AZ109" s="392"/>
      <c r="BA109" s="392"/>
      <c r="BB109" s="392"/>
      <c r="BC109" s="392"/>
      <c r="BD109" s="392"/>
      <c r="BE109" s="392"/>
      <c r="BF109" s="392"/>
      <c r="BG109" s="392"/>
      <c r="BH109" s="392"/>
      <c r="BI109" s="392"/>
      <c r="BJ109" s="392"/>
      <c r="BK109" s="392"/>
      <c r="BL109" s="392"/>
      <c r="BM109" s="392"/>
      <c r="BN109" s="392"/>
      <c r="BO109" s="392"/>
      <c r="BP109" s="392"/>
      <c r="BQ109" s="392"/>
      <c r="BR109" s="392"/>
      <c r="BS109" s="392"/>
      <c r="BT109" s="392"/>
      <c r="BU109" s="392"/>
      <c r="BV109" s="392"/>
      <c r="BW109" s="392"/>
      <c r="BX109" s="392"/>
      <c r="BY109" s="392"/>
      <c r="BZ109" s="392"/>
      <c r="CA109" s="392"/>
      <c r="CB109" s="392"/>
      <c r="CC109" s="392"/>
      <c r="CD109" s="392"/>
      <c r="CE109" s="392"/>
      <c r="CF109" s="392"/>
      <c r="CG109" s="392"/>
      <c r="CH109" s="392"/>
      <c r="CI109" s="392"/>
      <c r="CJ109" s="392"/>
      <c r="CK109" s="392"/>
      <c r="CL109" s="392"/>
      <c r="CM109" s="392"/>
      <c r="CN109" s="392"/>
      <c r="CO109" s="392"/>
      <c r="CP109" s="392"/>
      <c r="CQ109" s="392"/>
      <c r="CR109" s="392"/>
      <c r="CS109" s="392"/>
      <c r="CT109" s="392"/>
      <c r="CU109" s="392"/>
      <c r="CV109" s="392"/>
      <c r="CW109" s="392"/>
      <c r="CX109" s="392"/>
      <c r="CY109" s="392"/>
      <c r="CZ109" s="392"/>
      <c r="DA109" s="392"/>
    </row>
    <row r="110" spans="1:105" s="393" customFormat="1" ht="15" outlineLevel="1" thickBot="1" x14ac:dyDescent="0.35">
      <c r="A110" s="480" t="s">
        <v>1312</v>
      </c>
      <c r="B110" s="481" t="s">
        <v>1305</v>
      </c>
      <c r="C110" s="483">
        <v>44762</v>
      </c>
      <c r="D110" s="483">
        <v>44762</v>
      </c>
      <c r="E110" s="476" t="s">
        <v>1244</v>
      </c>
      <c r="F110" s="478" t="s">
        <v>1442</v>
      </c>
      <c r="G110" s="479"/>
      <c r="H110" s="472"/>
      <c r="I110" s="479"/>
      <c r="J110" s="413"/>
      <c r="K110" s="412"/>
      <c r="L110" s="412"/>
      <c r="M110" s="391"/>
      <c r="N110" s="391"/>
      <c r="O110" s="392"/>
      <c r="P110" s="392"/>
      <c r="Q110" s="392"/>
      <c r="R110" s="392"/>
      <c r="S110" s="392"/>
      <c r="T110" s="392"/>
      <c r="U110" s="392"/>
      <c r="V110" s="392"/>
      <c r="W110" s="392"/>
      <c r="X110" s="392"/>
      <c r="Y110" s="392"/>
      <c r="Z110" s="392"/>
      <c r="AA110" s="406"/>
      <c r="AB110" s="406"/>
      <c r="AC110" s="392"/>
      <c r="AD110" s="392"/>
      <c r="AE110" s="392"/>
      <c r="AF110" s="392"/>
      <c r="AG110" s="392"/>
      <c r="AH110" s="392"/>
      <c r="AI110" s="392"/>
      <c r="AJ110" s="392"/>
      <c r="AK110" s="392"/>
      <c r="AL110" s="392"/>
      <c r="AM110" s="392"/>
      <c r="AN110" s="392"/>
      <c r="AO110" s="392"/>
      <c r="AP110" s="392"/>
      <c r="AQ110" s="392"/>
      <c r="AR110" s="392"/>
      <c r="AS110" s="392"/>
      <c r="AT110" s="392"/>
      <c r="AU110" s="392"/>
      <c r="AV110" s="392"/>
      <c r="AW110" s="392"/>
      <c r="AX110" s="392"/>
      <c r="AY110" s="392"/>
      <c r="AZ110" s="392"/>
      <c r="BA110" s="392"/>
      <c r="BB110" s="392"/>
      <c r="BC110" s="392"/>
      <c r="BD110" s="392"/>
      <c r="BE110" s="392"/>
      <c r="BF110" s="392"/>
      <c r="BG110" s="392"/>
      <c r="BH110" s="392"/>
      <c r="BI110" s="392"/>
      <c r="BJ110" s="392"/>
      <c r="BK110" s="392"/>
      <c r="BL110" s="392"/>
      <c r="BM110" s="392"/>
      <c r="BN110" s="392"/>
      <c r="BO110" s="392"/>
      <c r="BP110" s="392"/>
      <c r="BQ110" s="392"/>
      <c r="BR110" s="392"/>
      <c r="BS110" s="392"/>
      <c r="BT110" s="392"/>
      <c r="BU110" s="392"/>
      <c r="BV110" s="392"/>
      <c r="BW110" s="392"/>
      <c r="BX110" s="392"/>
      <c r="BY110" s="392"/>
      <c r="BZ110" s="392"/>
      <c r="CA110" s="392"/>
      <c r="CB110" s="392"/>
      <c r="CC110" s="392"/>
      <c r="CD110" s="392"/>
      <c r="CE110" s="392"/>
      <c r="CF110" s="392"/>
      <c r="CG110" s="392"/>
      <c r="CH110" s="392"/>
      <c r="CI110" s="392"/>
      <c r="CJ110" s="392"/>
      <c r="CK110" s="392"/>
      <c r="CL110" s="392"/>
      <c r="CM110" s="392"/>
      <c r="CN110" s="392"/>
      <c r="CO110" s="392"/>
      <c r="CP110" s="392"/>
      <c r="CQ110" s="392"/>
      <c r="CR110" s="392"/>
      <c r="CS110" s="392"/>
      <c r="CT110" s="392"/>
      <c r="CU110" s="392"/>
      <c r="CV110" s="392"/>
      <c r="CW110" s="392"/>
      <c r="CX110" s="392"/>
      <c r="CY110" s="392"/>
      <c r="CZ110" s="392"/>
      <c r="DA110" s="392"/>
    </row>
    <row r="111" spans="1:105" s="393" customFormat="1" ht="15" outlineLevel="1" thickBot="1" x14ac:dyDescent="0.35">
      <c r="A111" s="480" t="s">
        <v>1313</v>
      </c>
      <c r="B111" s="481" t="s">
        <v>1432</v>
      </c>
      <c r="C111" s="483">
        <v>44763</v>
      </c>
      <c r="D111" s="483">
        <v>44763</v>
      </c>
      <c r="E111" s="476" t="s">
        <v>1244</v>
      </c>
      <c r="F111" s="478" t="s">
        <v>1442</v>
      </c>
      <c r="G111" s="479"/>
      <c r="H111" s="472"/>
      <c r="I111" s="479"/>
      <c r="J111" s="413"/>
      <c r="K111" s="412"/>
      <c r="L111" s="412"/>
      <c r="M111" s="391"/>
      <c r="N111" s="391"/>
      <c r="O111" s="392"/>
      <c r="P111" s="392"/>
      <c r="Q111" s="392"/>
      <c r="R111" s="392"/>
      <c r="S111" s="392"/>
      <c r="T111" s="392"/>
      <c r="U111" s="392"/>
      <c r="V111" s="392"/>
      <c r="W111" s="392"/>
      <c r="X111" s="392"/>
      <c r="Y111" s="392"/>
      <c r="Z111" s="392"/>
      <c r="AA111" s="406"/>
      <c r="AB111" s="406"/>
      <c r="AC111" s="392"/>
      <c r="AD111" s="392"/>
      <c r="AE111" s="392"/>
      <c r="AF111" s="392"/>
      <c r="AG111" s="392"/>
      <c r="AH111" s="392"/>
      <c r="AI111" s="392"/>
      <c r="AJ111" s="392"/>
      <c r="AK111" s="392"/>
      <c r="AL111" s="392"/>
      <c r="AM111" s="392"/>
      <c r="AN111" s="392"/>
      <c r="AO111" s="392"/>
      <c r="AP111" s="392"/>
      <c r="AQ111" s="392"/>
      <c r="AR111" s="392"/>
      <c r="AS111" s="392"/>
      <c r="AT111" s="392"/>
      <c r="AU111" s="392"/>
      <c r="AV111" s="392"/>
      <c r="AW111" s="392"/>
      <c r="AX111" s="392"/>
      <c r="AY111" s="392"/>
      <c r="AZ111" s="392"/>
      <c r="BA111" s="392"/>
      <c r="BB111" s="392"/>
      <c r="BC111" s="392"/>
      <c r="BD111" s="392"/>
      <c r="BE111" s="392"/>
      <c r="BF111" s="392"/>
      <c r="BG111" s="392"/>
      <c r="BH111" s="392"/>
      <c r="BI111" s="392"/>
      <c r="BJ111" s="392"/>
      <c r="BK111" s="392"/>
      <c r="BL111" s="392"/>
      <c r="BM111" s="392"/>
      <c r="BN111" s="392"/>
      <c r="BO111" s="392"/>
      <c r="BP111" s="392"/>
      <c r="BQ111" s="392"/>
      <c r="BR111" s="392"/>
      <c r="BS111" s="392"/>
      <c r="BT111" s="392"/>
      <c r="BU111" s="392"/>
      <c r="BV111" s="392"/>
      <c r="BW111" s="392"/>
      <c r="BX111" s="392"/>
      <c r="BY111" s="392"/>
      <c r="BZ111" s="392"/>
      <c r="CA111" s="392"/>
      <c r="CB111" s="392"/>
      <c r="CC111" s="392"/>
      <c r="CD111" s="392"/>
      <c r="CE111" s="392"/>
      <c r="CF111" s="392"/>
      <c r="CG111" s="392"/>
      <c r="CH111" s="392"/>
      <c r="CI111" s="392"/>
      <c r="CJ111" s="392"/>
      <c r="CK111" s="392"/>
      <c r="CL111" s="392"/>
      <c r="CM111" s="392"/>
      <c r="CN111" s="392"/>
      <c r="CO111" s="392"/>
      <c r="CP111" s="392"/>
      <c r="CQ111" s="392"/>
      <c r="CR111" s="392"/>
      <c r="CS111" s="392"/>
      <c r="CT111" s="392"/>
      <c r="CU111" s="392"/>
      <c r="CV111" s="392"/>
      <c r="CW111" s="392"/>
      <c r="CX111" s="392"/>
      <c r="CY111" s="392"/>
      <c r="CZ111" s="392"/>
      <c r="DA111" s="392"/>
    </row>
    <row r="112" spans="1:105" s="393" customFormat="1" ht="15" outlineLevel="1" thickBot="1" x14ac:dyDescent="0.35">
      <c r="A112" s="480" t="s">
        <v>1314</v>
      </c>
      <c r="B112" s="481" t="s">
        <v>1274</v>
      </c>
      <c r="C112" s="502">
        <v>44770.9375</v>
      </c>
      <c r="D112" s="502">
        <v>44770.979166666664</v>
      </c>
      <c r="E112" s="476" t="s">
        <v>1245</v>
      </c>
      <c r="F112" s="478" t="s">
        <v>1442</v>
      </c>
      <c r="G112" s="479"/>
      <c r="H112" s="472"/>
      <c r="I112" s="479"/>
      <c r="J112" s="413"/>
      <c r="K112" s="412"/>
      <c r="L112" s="412"/>
      <c r="M112" s="391"/>
      <c r="N112" s="391"/>
      <c r="O112" s="392"/>
      <c r="P112" s="392"/>
      <c r="Q112" s="392"/>
      <c r="R112" s="392"/>
      <c r="S112" s="392"/>
      <c r="T112" s="392"/>
      <c r="U112" s="392"/>
      <c r="V112" s="392"/>
      <c r="W112" s="392"/>
      <c r="X112" s="392"/>
      <c r="Y112" s="392"/>
      <c r="Z112" s="392"/>
      <c r="AA112" s="406"/>
      <c r="AB112" s="406"/>
      <c r="AC112" s="392"/>
      <c r="AD112" s="392"/>
      <c r="AE112" s="392"/>
      <c r="AF112" s="392"/>
      <c r="AG112" s="392"/>
      <c r="AH112" s="392"/>
      <c r="AI112" s="392"/>
      <c r="AJ112" s="392"/>
      <c r="AK112" s="392"/>
      <c r="AL112" s="392"/>
      <c r="AM112" s="392"/>
      <c r="AN112" s="392"/>
      <c r="AO112" s="392"/>
      <c r="AP112" s="392"/>
      <c r="AQ112" s="392"/>
      <c r="AR112" s="392"/>
      <c r="AS112" s="392"/>
      <c r="AT112" s="392"/>
      <c r="AU112" s="392"/>
      <c r="AV112" s="392"/>
      <c r="AW112" s="392"/>
      <c r="AX112" s="392"/>
      <c r="AY112" s="392"/>
      <c r="AZ112" s="392"/>
      <c r="BA112" s="392"/>
      <c r="BB112" s="392"/>
      <c r="BC112" s="392"/>
      <c r="BD112" s="392"/>
      <c r="BE112" s="392"/>
      <c r="BF112" s="392"/>
      <c r="BG112" s="392"/>
      <c r="BH112" s="392"/>
      <c r="BI112" s="392"/>
      <c r="BJ112" s="392"/>
      <c r="BK112" s="392"/>
      <c r="BL112" s="392"/>
      <c r="BM112" s="392"/>
      <c r="BN112" s="392"/>
      <c r="BO112" s="392"/>
      <c r="BP112" s="392"/>
      <c r="BQ112" s="392"/>
      <c r="BR112" s="392"/>
      <c r="BS112" s="392"/>
      <c r="BT112" s="392"/>
      <c r="BU112" s="392"/>
      <c r="BV112" s="392"/>
      <c r="BW112" s="392"/>
      <c r="BX112" s="392"/>
      <c r="BY112" s="392"/>
      <c r="BZ112" s="392"/>
      <c r="CA112" s="392"/>
      <c r="CB112" s="392"/>
      <c r="CC112" s="392"/>
      <c r="CD112" s="392"/>
      <c r="CE112" s="392"/>
      <c r="CF112" s="392"/>
      <c r="CG112" s="392"/>
      <c r="CH112" s="392"/>
      <c r="CI112" s="392"/>
      <c r="CJ112" s="392"/>
      <c r="CK112" s="392"/>
      <c r="CL112" s="392"/>
      <c r="CM112" s="392"/>
      <c r="CN112" s="392"/>
      <c r="CO112" s="392"/>
      <c r="CP112" s="392"/>
      <c r="CQ112" s="392"/>
      <c r="CR112" s="392"/>
      <c r="CS112" s="392"/>
      <c r="CT112" s="392"/>
      <c r="CU112" s="392"/>
      <c r="CV112" s="392"/>
      <c r="CW112" s="392"/>
      <c r="CX112" s="392"/>
      <c r="CY112" s="392"/>
      <c r="CZ112" s="392"/>
      <c r="DA112" s="392"/>
    </row>
    <row r="113" spans="1:105" s="393" customFormat="1" ht="15" outlineLevel="1" thickBot="1" x14ac:dyDescent="0.35">
      <c r="A113" s="480" t="s">
        <v>1315</v>
      </c>
      <c r="B113" s="481" t="s">
        <v>1275</v>
      </c>
      <c r="C113" s="502">
        <v>44770.9375</v>
      </c>
      <c r="D113" s="502">
        <v>44770.979166666664</v>
      </c>
      <c r="E113" s="476" t="s">
        <v>1245</v>
      </c>
      <c r="F113" s="478" t="s">
        <v>1442</v>
      </c>
      <c r="G113" s="479"/>
      <c r="H113" s="472"/>
      <c r="I113" s="479"/>
      <c r="J113" s="413"/>
      <c r="K113" s="412"/>
      <c r="L113" s="412"/>
      <c r="M113" s="391"/>
      <c r="N113" s="391"/>
      <c r="O113" s="392"/>
      <c r="P113" s="392"/>
      <c r="Q113" s="392"/>
      <c r="R113" s="392"/>
      <c r="S113" s="392"/>
      <c r="T113" s="392"/>
      <c r="U113" s="392"/>
      <c r="V113" s="392"/>
      <c r="W113" s="392"/>
      <c r="X113" s="392"/>
      <c r="Y113" s="392"/>
      <c r="Z113" s="392"/>
      <c r="AA113" s="406"/>
      <c r="AB113" s="406"/>
      <c r="AC113" s="392"/>
      <c r="AD113" s="392"/>
      <c r="AE113" s="392"/>
      <c r="AF113" s="392"/>
      <c r="AG113" s="392"/>
      <c r="AH113" s="392"/>
      <c r="AI113" s="392"/>
      <c r="AJ113" s="392"/>
      <c r="AK113" s="392"/>
      <c r="AL113" s="392"/>
      <c r="AM113" s="392"/>
      <c r="AN113" s="392"/>
      <c r="AO113" s="392"/>
      <c r="AP113" s="392"/>
      <c r="AQ113" s="392"/>
      <c r="AR113" s="392"/>
      <c r="AS113" s="392"/>
      <c r="AT113" s="392"/>
      <c r="AU113" s="392"/>
      <c r="AV113" s="392"/>
      <c r="AW113" s="392"/>
      <c r="AX113" s="392"/>
      <c r="AY113" s="392"/>
      <c r="AZ113" s="392"/>
      <c r="BA113" s="392"/>
      <c r="BB113" s="392"/>
      <c r="BC113" s="392"/>
      <c r="BD113" s="392"/>
      <c r="BE113" s="392"/>
      <c r="BF113" s="392"/>
      <c r="BG113" s="392"/>
      <c r="BH113" s="392"/>
      <c r="BI113" s="392"/>
      <c r="BJ113" s="392"/>
      <c r="BK113" s="392"/>
      <c r="BL113" s="392"/>
      <c r="BM113" s="392"/>
      <c r="BN113" s="392"/>
      <c r="BO113" s="392"/>
      <c r="BP113" s="392"/>
      <c r="BQ113" s="392"/>
      <c r="BR113" s="392"/>
      <c r="BS113" s="392"/>
      <c r="BT113" s="392"/>
      <c r="BU113" s="392"/>
      <c r="BV113" s="392"/>
      <c r="BW113" s="392"/>
      <c r="BX113" s="392"/>
      <c r="BY113" s="392"/>
      <c r="BZ113" s="392"/>
      <c r="CA113" s="392"/>
      <c r="CB113" s="392"/>
      <c r="CC113" s="392"/>
      <c r="CD113" s="392"/>
      <c r="CE113" s="392"/>
      <c r="CF113" s="392"/>
      <c r="CG113" s="392"/>
      <c r="CH113" s="392"/>
      <c r="CI113" s="392"/>
      <c r="CJ113" s="392"/>
      <c r="CK113" s="392"/>
      <c r="CL113" s="392"/>
      <c r="CM113" s="392"/>
      <c r="CN113" s="392"/>
      <c r="CO113" s="392"/>
      <c r="CP113" s="392"/>
      <c r="CQ113" s="392"/>
      <c r="CR113" s="392"/>
      <c r="CS113" s="392"/>
      <c r="CT113" s="392"/>
      <c r="CU113" s="392"/>
      <c r="CV113" s="392"/>
      <c r="CW113" s="392"/>
      <c r="CX113" s="392"/>
      <c r="CY113" s="392"/>
      <c r="CZ113" s="392"/>
      <c r="DA113" s="392"/>
    </row>
    <row r="114" spans="1:105" s="393" customFormat="1" ht="29.4" outlineLevel="1" thickBot="1" x14ac:dyDescent="0.35">
      <c r="A114" s="480" t="s">
        <v>1316</v>
      </c>
      <c r="B114" s="481" t="s">
        <v>1576</v>
      </c>
      <c r="C114" s="502">
        <v>44770.9375</v>
      </c>
      <c r="D114" s="502">
        <v>44770.979166666664</v>
      </c>
      <c r="E114" s="476" t="s">
        <v>1245</v>
      </c>
      <c r="F114" s="478" t="s">
        <v>1577</v>
      </c>
      <c r="G114" s="479"/>
      <c r="H114" s="472"/>
      <c r="I114" s="479" t="s">
        <v>1290</v>
      </c>
      <c r="J114" s="413"/>
      <c r="K114" s="412"/>
      <c r="L114" s="412"/>
      <c r="M114" s="391"/>
      <c r="N114" s="391"/>
      <c r="O114" s="392"/>
      <c r="P114" s="392"/>
      <c r="Q114" s="392"/>
      <c r="R114" s="392"/>
      <c r="S114" s="392"/>
      <c r="T114" s="392"/>
      <c r="U114" s="392"/>
      <c r="V114" s="392"/>
      <c r="W114" s="392"/>
      <c r="X114" s="392"/>
      <c r="Y114" s="392"/>
      <c r="Z114" s="392"/>
      <c r="AA114" s="406"/>
      <c r="AB114" s="406"/>
      <c r="AC114" s="392"/>
      <c r="AD114" s="392"/>
      <c r="AE114" s="392"/>
      <c r="AF114" s="392"/>
      <c r="AG114" s="392"/>
      <c r="AH114" s="392"/>
      <c r="AI114" s="392"/>
      <c r="AJ114" s="392"/>
      <c r="AK114" s="392"/>
      <c r="AL114" s="392"/>
      <c r="AM114" s="392"/>
      <c r="AN114" s="392"/>
      <c r="AO114" s="392"/>
      <c r="AP114" s="392"/>
      <c r="AQ114" s="392"/>
      <c r="AR114" s="392"/>
      <c r="AS114" s="392"/>
      <c r="AT114" s="392"/>
      <c r="AU114" s="392"/>
      <c r="AV114" s="392"/>
      <c r="AW114" s="392"/>
      <c r="AX114" s="392"/>
      <c r="AY114" s="392"/>
      <c r="AZ114" s="392"/>
      <c r="BA114" s="392"/>
      <c r="BB114" s="392"/>
      <c r="BC114" s="392"/>
      <c r="BD114" s="392"/>
      <c r="BE114" s="392"/>
      <c r="BF114" s="392"/>
      <c r="BG114" s="392"/>
      <c r="BH114" s="392"/>
      <c r="BI114" s="392"/>
      <c r="BJ114" s="392"/>
      <c r="BK114" s="392"/>
      <c r="BL114" s="392"/>
      <c r="BM114" s="392"/>
      <c r="BN114" s="392"/>
      <c r="BO114" s="392"/>
      <c r="BP114" s="392"/>
      <c r="BQ114" s="392"/>
      <c r="BR114" s="392"/>
      <c r="BS114" s="392"/>
      <c r="BT114" s="392"/>
      <c r="BU114" s="392"/>
      <c r="BV114" s="392"/>
      <c r="BW114" s="392"/>
      <c r="BX114" s="392"/>
      <c r="BY114" s="392"/>
      <c r="BZ114" s="392"/>
      <c r="CA114" s="392"/>
      <c r="CB114" s="392"/>
      <c r="CC114" s="392"/>
      <c r="CD114" s="392"/>
      <c r="CE114" s="392"/>
      <c r="CF114" s="392"/>
      <c r="CG114" s="392"/>
      <c r="CH114" s="392"/>
      <c r="CI114" s="392"/>
      <c r="CJ114" s="392"/>
      <c r="CK114" s="392"/>
      <c r="CL114" s="392"/>
      <c r="CM114" s="392"/>
      <c r="CN114" s="392"/>
      <c r="CO114" s="392"/>
      <c r="CP114" s="392"/>
      <c r="CQ114" s="392"/>
      <c r="CR114" s="392"/>
      <c r="CS114" s="392"/>
      <c r="CT114" s="392"/>
      <c r="CU114" s="392"/>
      <c r="CV114" s="392"/>
      <c r="CW114" s="392"/>
      <c r="CX114" s="392"/>
      <c r="CY114" s="392"/>
      <c r="CZ114" s="392"/>
      <c r="DA114" s="392"/>
    </row>
    <row r="115" spans="1:105" s="393" customFormat="1" ht="15" outlineLevel="1" thickBot="1" x14ac:dyDescent="0.35">
      <c r="A115" s="480" t="s">
        <v>1317</v>
      </c>
      <c r="B115" s="481" t="s">
        <v>1276</v>
      </c>
      <c r="C115" s="502">
        <v>44770.9375</v>
      </c>
      <c r="D115" s="502">
        <v>44770.979166666664</v>
      </c>
      <c r="E115" s="476" t="s">
        <v>1245</v>
      </c>
      <c r="F115" s="478" t="s">
        <v>1442</v>
      </c>
      <c r="G115" s="479"/>
      <c r="H115" s="472"/>
      <c r="I115" s="479"/>
      <c r="J115" s="413"/>
      <c r="K115" s="412"/>
      <c r="L115" s="412"/>
      <c r="M115" s="391"/>
      <c r="N115" s="391"/>
      <c r="O115" s="392"/>
      <c r="P115" s="392"/>
      <c r="Q115" s="392"/>
      <c r="R115" s="392"/>
      <c r="S115" s="392"/>
      <c r="T115" s="392"/>
      <c r="U115" s="392"/>
      <c r="V115" s="392"/>
      <c r="W115" s="392"/>
      <c r="X115" s="392"/>
      <c r="Y115" s="392"/>
      <c r="Z115" s="392"/>
      <c r="AA115" s="406"/>
      <c r="AB115" s="406"/>
      <c r="AC115" s="392"/>
      <c r="AD115" s="392"/>
      <c r="AE115" s="392"/>
      <c r="AF115" s="392"/>
      <c r="AG115" s="392"/>
      <c r="AH115" s="392"/>
      <c r="AI115" s="392"/>
      <c r="AJ115" s="392"/>
      <c r="AK115" s="392"/>
      <c r="AL115" s="392"/>
      <c r="AM115" s="392"/>
      <c r="AN115" s="392"/>
      <c r="AO115" s="392"/>
      <c r="AP115" s="392"/>
      <c r="AQ115" s="392"/>
      <c r="AR115" s="392"/>
      <c r="AS115" s="392"/>
      <c r="AT115" s="392"/>
      <c r="AU115" s="392"/>
      <c r="AV115" s="392"/>
      <c r="AW115" s="392"/>
      <c r="AX115" s="392"/>
      <c r="AY115" s="392"/>
      <c r="AZ115" s="392"/>
      <c r="BA115" s="392"/>
      <c r="BB115" s="392"/>
      <c r="BC115" s="392"/>
      <c r="BD115" s="392"/>
      <c r="BE115" s="392"/>
      <c r="BF115" s="392"/>
      <c r="BG115" s="392"/>
      <c r="BH115" s="392"/>
      <c r="BI115" s="392"/>
      <c r="BJ115" s="392"/>
      <c r="BK115" s="392"/>
      <c r="BL115" s="392"/>
      <c r="BM115" s="392"/>
      <c r="BN115" s="392"/>
      <c r="BO115" s="392"/>
      <c r="BP115" s="392"/>
      <c r="BQ115" s="392"/>
      <c r="BR115" s="392"/>
      <c r="BS115" s="392"/>
      <c r="BT115" s="392"/>
      <c r="BU115" s="392"/>
      <c r="BV115" s="392"/>
      <c r="BW115" s="392"/>
      <c r="BX115" s="392"/>
      <c r="BY115" s="392"/>
      <c r="BZ115" s="392"/>
      <c r="CA115" s="392"/>
      <c r="CB115" s="392"/>
      <c r="CC115" s="392"/>
      <c r="CD115" s="392"/>
      <c r="CE115" s="392"/>
      <c r="CF115" s="392"/>
      <c r="CG115" s="392"/>
      <c r="CH115" s="392"/>
      <c r="CI115" s="392"/>
      <c r="CJ115" s="392"/>
      <c r="CK115" s="392"/>
      <c r="CL115" s="392"/>
      <c r="CM115" s="392"/>
      <c r="CN115" s="392"/>
      <c r="CO115" s="392"/>
      <c r="CP115" s="392"/>
      <c r="CQ115" s="392"/>
      <c r="CR115" s="392"/>
      <c r="CS115" s="392"/>
      <c r="CT115" s="392"/>
      <c r="CU115" s="392"/>
      <c r="CV115" s="392"/>
      <c r="CW115" s="392"/>
      <c r="CX115" s="392"/>
      <c r="CY115" s="392"/>
      <c r="CZ115" s="392"/>
      <c r="DA115" s="392"/>
    </row>
    <row r="116" spans="1:105" s="393" customFormat="1" ht="15" outlineLevel="1" thickBot="1" x14ac:dyDescent="0.35">
      <c r="A116" s="480" t="s">
        <v>1318</v>
      </c>
      <c r="B116" s="481" t="s">
        <v>1277</v>
      </c>
      <c r="C116" s="502">
        <v>44770.9375</v>
      </c>
      <c r="D116" s="502">
        <v>44770.979166666664</v>
      </c>
      <c r="E116" s="476" t="s">
        <v>1245</v>
      </c>
      <c r="F116" s="478"/>
      <c r="G116" s="479"/>
      <c r="H116" s="472"/>
      <c r="I116" s="479"/>
      <c r="J116" s="413"/>
      <c r="K116" s="412"/>
      <c r="L116" s="412"/>
      <c r="M116" s="391"/>
      <c r="N116" s="391"/>
      <c r="O116" s="392"/>
      <c r="P116" s="392"/>
      <c r="Q116" s="392"/>
      <c r="R116" s="392"/>
      <c r="S116" s="392"/>
      <c r="T116" s="392"/>
      <c r="U116" s="392"/>
      <c r="V116" s="392"/>
      <c r="W116" s="392"/>
      <c r="X116" s="392"/>
      <c r="Y116" s="392"/>
      <c r="Z116" s="392"/>
      <c r="AA116" s="406"/>
      <c r="AB116" s="406"/>
      <c r="AC116" s="392"/>
      <c r="AD116" s="392"/>
      <c r="AE116" s="392"/>
      <c r="AF116" s="392"/>
      <c r="AG116" s="392"/>
      <c r="AH116" s="392"/>
      <c r="AI116" s="392"/>
      <c r="AJ116" s="392"/>
      <c r="AK116" s="392"/>
      <c r="AL116" s="392"/>
      <c r="AM116" s="392"/>
      <c r="AN116" s="392"/>
      <c r="AO116" s="392"/>
      <c r="AP116" s="392"/>
      <c r="AQ116" s="392"/>
      <c r="AR116" s="392"/>
      <c r="AS116" s="392"/>
      <c r="AT116" s="392"/>
      <c r="AU116" s="392"/>
      <c r="AV116" s="392"/>
      <c r="AW116" s="392"/>
      <c r="AX116" s="392"/>
      <c r="AY116" s="392"/>
      <c r="AZ116" s="392"/>
      <c r="BA116" s="392"/>
      <c r="BB116" s="392"/>
      <c r="BC116" s="392"/>
      <c r="BD116" s="392"/>
      <c r="BE116" s="392"/>
      <c r="BF116" s="392"/>
      <c r="BG116" s="392"/>
      <c r="BH116" s="392"/>
      <c r="BI116" s="392"/>
      <c r="BJ116" s="392"/>
      <c r="BK116" s="392"/>
      <c r="BL116" s="392"/>
      <c r="BM116" s="392"/>
      <c r="BN116" s="392"/>
      <c r="BO116" s="392"/>
      <c r="BP116" s="392"/>
      <c r="BQ116" s="392"/>
      <c r="BR116" s="392"/>
      <c r="BS116" s="392"/>
      <c r="BT116" s="392"/>
      <c r="BU116" s="392"/>
      <c r="BV116" s="392"/>
      <c r="BW116" s="392"/>
      <c r="BX116" s="392"/>
      <c r="BY116" s="392"/>
      <c r="BZ116" s="392"/>
      <c r="CA116" s="392"/>
      <c r="CB116" s="392"/>
      <c r="CC116" s="392"/>
      <c r="CD116" s="392"/>
      <c r="CE116" s="392"/>
      <c r="CF116" s="392"/>
      <c r="CG116" s="392"/>
      <c r="CH116" s="392"/>
      <c r="CI116" s="392"/>
      <c r="CJ116" s="392"/>
      <c r="CK116" s="392"/>
      <c r="CL116" s="392"/>
      <c r="CM116" s="392"/>
      <c r="CN116" s="392"/>
      <c r="CO116" s="392"/>
      <c r="CP116" s="392"/>
      <c r="CQ116" s="392"/>
      <c r="CR116" s="392"/>
      <c r="CS116" s="392"/>
      <c r="CT116" s="392"/>
      <c r="CU116" s="392"/>
      <c r="CV116" s="392"/>
      <c r="CW116" s="392"/>
      <c r="CX116" s="392"/>
      <c r="CY116" s="392"/>
      <c r="CZ116" s="392"/>
      <c r="DA116" s="392"/>
    </row>
    <row r="117" spans="1:105" s="393" customFormat="1" ht="15" outlineLevel="1" thickBot="1" x14ac:dyDescent="0.35">
      <c r="A117" s="480" t="s">
        <v>1319</v>
      </c>
      <c r="B117" s="481" t="s">
        <v>1112</v>
      </c>
      <c r="C117" s="502">
        <v>44770.9375</v>
      </c>
      <c r="D117" s="502">
        <v>44770.979166666664</v>
      </c>
      <c r="E117" s="476" t="s">
        <v>1245</v>
      </c>
      <c r="F117" s="478" t="s">
        <v>1285</v>
      </c>
      <c r="G117" s="479"/>
      <c r="H117" s="472"/>
      <c r="I117" s="479"/>
      <c r="J117" s="413"/>
      <c r="K117" s="412"/>
      <c r="L117" s="412"/>
      <c r="M117" s="391"/>
      <c r="N117" s="391"/>
      <c r="O117" s="392"/>
      <c r="P117" s="392"/>
      <c r="Q117" s="392"/>
      <c r="R117" s="392"/>
      <c r="S117" s="392"/>
      <c r="T117" s="392"/>
      <c r="U117" s="392"/>
      <c r="V117" s="392"/>
      <c r="W117" s="392"/>
      <c r="X117" s="392"/>
      <c r="Y117" s="392"/>
      <c r="Z117" s="392"/>
      <c r="AA117" s="406"/>
      <c r="AB117" s="406"/>
      <c r="AC117" s="392"/>
      <c r="AD117" s="392"/>
      <c r="AE117" s="392"/>
      <c r="AF117" s="392"/>
      <c r="AG117" s="392"/>
      <c r="AH117" s="392"/>
      <c r="AI117" s="392"/>
      <c r="AJ117" s="392"/>
      <c r="AK117" s="392"/>
      <c r="AL117" s="392"/>
      <c r="AM117" s="392"/>
      <c r="AN117" s="392"/>
      <c r="AO117" s="392"/>
      <c r="AP117" s="392"/>
      <c r="AQ117" s="392"/>
      <c r="AR117" s="392"/>
      <c r="AS117" s="392"/>
      <c r="AT117" s="392"/>
      <c r="AU117" s="392"/>
      <c r="AV117" s="392"/>
      <c r="AW117" s="392"/>
      <c r="AX117" s="392"/>
      <c r="AY117" s="392"/>
      <c r="AZ117" s="392"/>
      <c r="BA117" s="392"/>
      <c r="BB117" s="392"/>
      <c r="BC117" s="392"/>
      <c r="BD117" s="392"/>
      <c r="BE117" s="392"/>
      <c r="BF117" s="392"/>
      <c r="BG117" s="392"/>
      <c r="BH117" s="392"/>
      <c r="BI117" s="392"/>
      <c r="BJ117" s="392"/>
      <c r="BK117" s="392"/>
      <c r="BL117" s="392"/>
      <c r="BM117" s="392"/>
      <c r="BN117" s="392"/>
      <c r="BO117" s="392"/>
      <c r="BP117" s="392"/>
      <c r="BQ117" s="392"/>
      <c r="BR117" s="392"/>
      <c r="BS117" s="392"/>
      <c r="BT117" s="392"/>
      <c r="BU117" s="392"/>
      <c r="BV117" s="392"/>
      <c r="BW117" s="392"/>
      <c r="BX117" s="392"/>
      <c r="BY117" s="392"/>
      <c r="BZ117" s="392"/>
      <c r="CA117" s="392"/>
      <c r="CB117" s="392"/>
      <c r="CC117" s="392"/>
      <c r="CD117" s="392"/>
      <c r="CE117" s="392"/>
      <c r="CF117" s="392"/>
      <c r="CG117" s="392"/>
      <c r="CH117" s="392"/>
      <c r="CI117" s="392"/>
      <c r="CJ117" s="392"/>
      <c r="CK117" s="392"/>
      <c r="CL117" s="392"/>
      <c r="CM117" s="392"/>
      <c r="CN117" s="392"/>
      <c r="CO117" s="392"/>
      <c r="CP117" s="392"/>
      <c r="CQ117" s="392"/>
      <c r="CR117" s="392"/>
      <c r="CS117" s="392"/>
      <c r="CT117" s="392"/>
      <c r="CU117" s="392"/>
      <c r="CV117" s="392"/>
      <c r="CW117" s="392"/>
      <c r="CX117" s="392"/>
      <c r="CY117" s="392"/>
      <c r="CZ117" s="392"/>
      <c r="DA117" s="392"/>
    </row>
    <row r="118" spans="1:105" s="393" customFormat="1" ht="15" outlineLevel="1" thickBot="1" x14ac:dyDescent="0.35">
      <c r="A118" s="480" t="s">
        <v>1320</v>
      </c>
      <c r="B118" s="481" t="s">
        <v>1114</v>
      </c>
      <c r="C118" s="502">
        <v>44770.9375</v>
      </c>
      <c r="D118" s="502">
        <v>44770.979166666664</v>
      </c>
      <c r="E118" s="476" t="s">
        <v>1245</v>
      </c>
      <c r="F118" s="478" t="s">
        <v>1285</v>
      </c>
      <c r="G118" s="479"/>
      <c r="H118" s="472"/>
      <c r="I118" s="479"/>
      <c r="J118" s="413"/>
      <c r="K118" s="412"/>
      <c r="L118" s="412"/>
      <c r="M118" s="391"/>
      <c r="N118" s="391"/>
      <c r="O118" s="392"/>
      <c r="P118" s="392"/>
      <c r="Q118" s="392"/>
      <c r="R118" s="392"/>
      <c r="S118" s="392"/>
      <c r="T118" s="392"/>
      <c r="U118" s="392"/>
      <c r="V118" s="392"/>
      <c r="W118" s="392"/>
      <c r="X118" s="392"/>
      <c r="Y118" s="392"/>
      <c r="Z118" s="392"/>
      <c r="AA118" s="406"/>
      <c r="AB118" s="406"/>
      <c r="AC118" s="392"/>
      <c r="AD118" s="392"/>
      <c r="AE118" s="392"/>
      <c r="AF118" s="392"/>
      <c r="AG118" s="392"/>
      <c r="AH118" s="392"/>
      <c r="AI118" s="392"/>
      <c r="AJ118" s="392"/>
      <c r="AK118" s="392"/>
      <c r="AL118" s="392"/>
      <c r="AM118" s="392"/>
      <c r="AN118" s="392"/>
      <c r="AO118" s="392"/>
      <c r="AP118" s="392"/>
      <c r="AQ118" s="392"/>
      <c r="AR118" s="392"/>
      <c r="AS118" s="392"/>
      <c r="AT118" s="392"/>
      <c r="AU118" s="392"/>
      <c r="AV118" s="392"/>
      <c r="AW118" s="392"/>
      <c r="AX118" s="392"/>
      <c r="AY118" s="392"/>
      <c r="AZ118" s="392"/>
      <c r="BA118" s="392"/>
      <c r="BB118" s="392"/>
      <c r="BC118" s="392"/>
      <c r="BD118" s="392"/>
      <c r="BE118" s="392"/>
      <c r="BF118" s="392"/>
      <c r="BG118" s="392"/>
      <c r="BH118" s="392"/>
      <c r="BI118" s="392"/>
      <c r="BJ118" s="392"/>
      <c r="BK118" s="392"/>
      <c r="BL118" s="392"/>
      <c r="BM118" s="392"/>
      <c r="BN118" s="392"/>
      <c r="BO118" s="392"/>
      <c r="BP118" s="392"/>
      <c r="BQ118" s="392"/>
      <c r="BR118" s="392"/>
      <c r="BS118" s="392"/>
      <c r="BT118" s="392"/>
      <c r="BU118" s="392"/>
      <c r="BV118" s="392"/>
      <c r="BW118" s="392"/>
      <c r="BX118" s="392"/>
      <c r="BY118" s="392"/>
      <c r="BZ118" s="392"/>
      <c r="CA118" s="392"/>
      <c r="CB118" s="392"/>
      <c r="CC118" s="392"/>
      <c r="CD118" s="392"/>
      <c r="CE118" s="392"/>
      <c r="CF118" s="392"/>
      <c r="CG118" s="392"/>
      <c r="CH118" s="392"/>
      <c r="CI118" s="392"/>
      <c r="CJ118" s="392"/>
      <c r="CK118" s="392"/>
      <c r="CL118" s="392"/>
      <c r="CM118" s="392"/>
      <c r="CN118" s="392"/>
      <c r="CO118" s="392"/>
      <c r="CP118" s="392"/>
      <c r="CQ118" s="392"/>
      <c r="CR118" s="392"/>
      <c r="CS118" s="392"/>
      <c r="CT118" s="392"/>
      <c r="CU118" s="392"/>
      <c r="CV118" s="392"/>
      <c r="CW118" s="392"/>
      <c r="CX118" s="392"/>
      <c r="CY118" s="392"/>
      <c r="CZ118" s="392"/>
      <c r="DA118" s="392"/>
    </row>
    <row r="119" spans="1:105" s="393" customFormat="1" ht="15" outlineLevel="1" thickBot="1" x14ac:dyDescent="0.35">
      <c r="A119" s="480" t="s">
        <v>1321</v>
      </c>
      <c r="B119" s="481" t="s">
        <v>1113</v>
      </c>
      <c r="C119" s="502">
        <v>44770.9375</v>
      </c>
      <c r="D119" s="502">
        <v>44770.979166666664</v>
      </c>
      <c r="E119" s="476" t="s">
        <v>1245</v>
      </c>
      <c r="F119" s="478" t="s">
        <v>1285</v>
      </c>
      <c r="G119" s="479"/>
      <c r="H119" s="472"/>
      <c r="I119" s="479"/>
      <c r="J119" s="413"/>
      <c r="K119" s="412"/>
      <c r="L119" s="412"/>
      <c r="M119" s="391"/>
      <c r="N119" s="391"/>
      <c r="O119" s="392"/>
      <c r="P119" s="392"/>
      <c r="Q119" s="392"/>
      <c r="R119" s="392"/>
      <c r="S119" s="392"/>
      <c r="T119" s="392"/>
      <c r="U119" s="392"/>
      <c r="V119" s="392"/>
      <c r="W119" s="392"/>
      <c r="X119" s="392"/>
      <c r="Y119" s="392"/>
      <c r="Z119" s="392"/>
      <c r="AA119" s="406"/>
      <c r="AB119" s="406"/>
      <c r="AC119" s="392"/>
      <c r="AD119" s="392"/>
      <c r="AE119" s="392"/>
      <c r="AF119" s="392"/>
      <c r="AG119" s="392"/>
      <c r="AH119" s="392"/>
      <c r="AI119" s="392"/>
      <c r="AJ119" s="392"/>
      <c r="AK119" s="392"/>
      <c r="AL119" s="392"/>
      <c r="AM119" s="392"/>
      <c r="AN119" s="392"/>
      <c r="AO119" s="392"/>
      <c r="AP119" s="392"/>
      <c r="AQ119" s="392"/>
      <c r="AR119" s="392"/>
      <c r="AS119" s="392"/>
      <c r="AT119" s="392"/>
      <c r="AU119" s="392"/>
      <c r="AV119" s="392"/>
      <c r="AW119" s="392"/>
      <c r="AX119" s="392"/>
      <c r="AY119" s="392"/>
      <c r="AZ119" s="392"/>
      <c r="BA119" s="392"/>
      <c r="BB119" s="392"/>
      <c r="BC119" s="392"/>
      <c r="BD119" s="392"/>
      <c r="BE119" s="392"/>
      <c r="BF119" s="392"/>
      <c r="BG119" s="392"/>
      <c r="BH119" s="392"/>
      <c r="BI119" s="392"/>
      <c r="BJ119" s="392"/>
      <c r="BK119" s="392"/>
      <c r="BL119" s="392"/>
      <c r="BM119" s="392"/>
      <c r="BN119" s="392"/>
      <c r="BO119" s="392"/>
      <c r="BP119" s="392"/>
      <c r="BQ119" s="392"/>
      <c r="BR119" s="392"/>
      <c r="BS119" s="392"/>
      <c r="BT119" s="392"/>
      <c r="BU119" s="392"/>
      <c r="BV119" s="392"/>
      <c r="BW119" s="392"/>
      <c r="BX119" s="392"/>
      <c r="BY119" s="392"/>
      <c r="BZ119" s="392"/>
      <c r="CA119" s="392"/>
      <c r="CB119" s="392"/>
      <c r="CC119" s="392"/>
      <c r="CD119" s="392"/>
      <c r="CE119" s="392"/>
      <c r="CF119" s="392"/>
      <c r="CG119" s="392"/>
      <c r="CH119" s="392"/>
      <c r="CI119" s="392"/>
      <c r="CJ119" s="392"/>
      <c r="CK119" s="392"/>
      <c r="CL119" s="392"/>
      <c r="CM119" s="392"/>
      <c r="CN119" s="392"/>
      <c r="CO119" s="392"/>
      <c r="CP119" s="392"/>
      <c r="CQ119" s="392"/>
      <c r="CR119" s="392"/>
      <c r="CS119" s="392"/>
      <c r="CT119" s="392"/>
      <c r="CU119" s="392"/>
      <c r="CV119" s="392"/>
      <c r="CW119" s="392"/>
      <c r="CX119" s="392"/>
      <c r="CY119" s="392"/>
      <c r="CZ119" s="392"/>
      <c r="DA119" s="392"/>
    </row>
    <row r="120" spans="1:105" s="393" customFormat="1" ht="15" outlineLevel="1" thickBot="1" x14ac:dyDescent="0.35">
      <c r="A120" s="480" t="s">
        <v>1322</v>
      </c>
      <c r="B120" s="481" t="s">
        <v>1115</v>
      </c>
      <c r="C120" s="502">
        <v>44770.9375</v>
      </c>
      <c r="D120" s="502">
        <v>44770.979166666664</v>
      </c>
      <c r="E120" s="476" t="s">
        <v>1245</v>
      </c>
      <c r="F120" s="478" t="s">
        <v>1285</v>
      </c>
      <c r="G120" s="479"/>
      <c r="H120" s="472"/>
      <c r="I120" s="479"/>
      <c r="J120" s="413"/>
      <c r="K120" s="412"/>
      <c r="L120" s="412"/>
      <c r="M120" s="391"/>
      <c r="N120" s="391"/>
      <c r="O120" s="392"/>
      <c r="P120" s="392"/>
      <c r="Q120" s="392"/>
      <c r="R120" s="392"/>
      <c r="S120" s="392"/>
      <c r="T120" s="392"/>
      <c r="U120" s="392"/>
      <c r="V120" s="392"/>
      <c r="W120" s="392"/>
      <c r="X120" s="392"/>
      <c r="Y120" s="392"/>
      <c r="Z120" s="392"/>
      <c r="AA120" s="406"/>
      <c r="AB120" s="406"/>
      <c r="AC120" s="392"/>
      <c r="AD120" s="392"/>
      <c r="AE120" s="392"/>
      <c r="AF120" s="392"/>
      <c r="AG120" s="392"/>
      <c r="AH120" s="392"/>
      <c r="AI120" s="392"/>
      <c r="AJ120" s="392"/>
      <c r="AK120" s="392"/>
      <c r="AL120" s="392"/>
      <c r="AM120" s="392"/>
      <c r="AN120" s="392"/>
      <c r="AO120" s="392"/>
      <c r="AP120" s="392"/>
      <c r="AQ120" s="392"/>
      <c r="AR120" s="392"/>
      <c r="AS120" s="392"/>
      <c r="AT120" s="392"/>
      <c r="AU120" s="392"/>
      <c r="AV120" s="392"/>
      <c r="AW120" s="392"/>
      <c r="AX120" s="392"/>
      <c r="AY120" s="392"/>
      <c r="AZ120" s="392"/>
      <c r="BA120" s="392"/>
      <c r="BB120" s="392"/>
      <c r="BC120" s="392"/>
      <c r="BD120" s="392"/>
      <c r="BE120" s="392"/>
      <c r="BF120" s="392"/>
      <c r="BG120" s="392"/>
      <c r="BH120" s="392"/>
      <c r="BI120" s="392"/>
      <c r="BJ120" s="392"/>
      <c r="BK120" s="392"/>
      <c r="BL120" s="392"/>
      <c r="BM120" s="392"/>
      <c r="BN120" s="392"/>
      <c r="BO120" s="392"/>
      <c r="BP120" s="392"/>
      <c r="BQ120" s="392"/>
      <c r="BR120" s="392"/>
      <c r="BS120" s="392"/>
      <c r="BT120" s="392"/>
      <c r="BU120" s="392"/>
      <c r="BV120" s="392"/>
      <c r="BW120" s="392"/>
      <c r="BX120" s="392"/>
      <c r="BY120" s="392"/>
      <c r="BZ120" s="392"/>
      <c r="CA120" s="392"/>
      <c r="CB120" s="392"/>
      <c r="CC120" s="392"/>
      <c r="CD120" s="392"/>
      <c r="CE120" s="392"/>
      <c r="CF120" s="392"/>
      <c r="CG120" s="392"/>
      <c r="CH120" s="392"/>
      <c r="CI120" s="392"/>
      <c r="CJ120" s="392"/>
      <c r="CK120" s="392"/>
      <c r="CL120" s="392"/>
      <c r="CM120" s="392"/>
      <c r="CN120" s="392"/>
      <c r="CO120" s="392"/>
      <c r="CP120" s="392"/>
      <c r="CQ120" s="392"/>
      <c r="CR120" s="392"/>
      <c r="CS120" s="392"/>
      <c r="CT120" s="392"/>
      <c r="CU120" s="392"/>
      <c r="CV120" s="392"/>
      <c r="CW120" s="392"/>
      <c r="CX120" s="392"/>
      <c r="CY120" s="392"/>
      <c r="CZ120" s="392"/>
      <c r="DA120" s="392"/>
    </row>
    <row r="121" spans="1:105" s="393" customFormat="1" ht="15" outlineLevel="1" thickBot="1" x14ac:dyDescent="0.35">
      <c r="A121" s="480" t="s">
        <v>1323</v>
      </c>
      <c r="B121" s="481" t="s">
        <v>1108</v>
      </c>
      <c r="C121" s="502">
        <v>44770.9375</v>
      </c>
      <c r="D121" s="502">
        <v>44770.979166666664</v>
      </c>
      <c r="E121" s="476" t="s">
        <v>1245</v>
      </c>
      <c r="F121" s="478" t="s">
        <v>1285</v>
      </c>
      <c r="G121" s="479"/>
      <c r="H121" s="472"/>
      <c r="I121" s="479" t="s">
        <v>1290</v>
      </c>
      <c r="J121" s="413"/>
      <c r="K121" s="412"/>
      <c r="L121" s="412"/>
      <c r="M121" s="391"/>
      <c r="N121" s="391"/>
      <c r="O121" s="392"/>
      <c r="P121" s="392"/>
      <c r="Q121" s="392"/>
      <c r="R121" s="392"/>
      <c r="S121" s="392"/>
      <c r="T121" s="392"/>
      <c r="U121" s="392"/>
      <c r="V121" s="392"/>
      <c r="W121" s="392"/>
      <c r="X121" s="392"/>
      <c r="Y121" s="392"/>
      <c r="Z121" s="392"/>
      <c r="AA121" s="406"/>
      <c r="AB121" s="406"/>
      <c r="AC121" s="392"/>
      <c r="AD121" s="392"/>
      <c r="AE121" s="392"/>
      <c r="AF121" s="392"/>
      <c r="AG121" s="392"/>
      <c r="AH121" s="392"/>
      <c r="AI121" s="392"/>
      <c r="AJ121" s="392"/>
      <c r="AK121" s="392"/>
      <c r="AL121" s="392"/>
      <c r="AM121" s="392"/>
      <c r="AN121" s="392"/>
      <c r="AO121" s="392"/>
      <c r="AP121" s="392"/>
      <c r="AQ121" s="392"/>
      <c r="AR121" s="392"/>
      <c r="AS121" s="392"/>
      <c r="AT121" s="392"/>
      <c r="AU121" s="392"/>
      <c r="AV121" s="392"/>
      <c r="AW121" s="392"/>
      <c r="AX121" s="392"/>
      <c r="AY121" s="392"/>
      <c r="AZ121" s="392"/>
      <c r="BA121" s="392"/>
      <c r="BB121" s="392"/>
      <c r="BC121" s="392"/>
      <c r="BD121" s="392"/>
      <c r="BE121" s="392"/>
      <c r="BF121" s="392"/>
      <c r="BG121" s="392"/>
      <c r="BH121" s="392"/>
      <c r="BI121" s="392"/>
      <c r="BJ121" s="392"/>
      <c r="BK121" s="392"/>
      <c r="BL121" s="392"/>
      <c r="BM121" s="392"/>
      <c r="BN121" s="392"/>
      <c r="BO121" s="392"/>
      <c r="BP121" s="392"/>
      <c r="BQ121" s="392"/>
      <c r="BR121" s="392"/>
      <c r="BS121" s="392"/>
      <c r="BT121" s="392"/>
      <c r="BU121" s="392"/>
      <c r="BV121" s="392"/>
      <c r="BW121" s="392"/>
      <c r="BX121" s="392"/>
      <c r="BY121" s="392"/>
      <c r="BZ121" s="392"/>
      <c r="CA121" s="392"/>
      <c r="CB121" s="392"/>
      <c r="CC121" s="392"/>
      <c r="CD121" s="392"/>
      <c r="CE121" s="392"/>
      <c r="CF121" s="392"/>
      <c r="CG121" s="392"/>
      <c r="CH121" s="392"/>
      <c r="CI121" s="392"/>
      <c r="CJ121" s="392"/>
      <c r="CK121" s="392"/>
      <c r="CL121" s="392"/>
      <c r="CM121" s="392"/>
      <c r="CN121" s="392"/>
      <c r="CO121" s="392"/>
      <c r="CP121" s="392"/>
      <c r="CQ121" s="392"/>
      <c r="CR121" s="392"/>
      <c r="CS121" s="392"/>
      <c r="CT121" s="392"/>
      <c r="CU121" s="392"/>
      <c r="CV121" s="392"/>
      <c r="CW121" s="392"/>
      <c r="CX121" s="392"/>
      <c r="CY121" s="392"/>
      <c r="CZ121" s="392"/>
      <c r="DA121" s="392"/>
    </row>
    <row r="122" spans="1:105" s="393" customFormat="1" ht="15" outlineLevel="1" thickBot="1" x14ac:dyDescent="0.35">
      <c r="A122" s="480" t="s">
        <v>1324</v>
      </c>
      <c r="B122" s="504" t="s">
        <v>1278</v>
      </c>
      <c r="C122" s="502">
        <v>44765</v>
      </c>
      <c r="D122" s="482">
        <v>44765</v>
      </c>
      <c r="E122" s="476" t="s">
        <v>1244</v>
      </c>
      <c r="F122" s="478" t="s">
        <v>1286</v>
      </c>
      <c r="G122" s="479"/>
      <c r="H122" s="472"/>
      <c r="I122" s="479" t="s">
        <v>1291</v>
      </c>
      <c r="J122" s="413"/>
      <c r="K122" s="412"/>
      <c r="L122" s="412"/>
      <c r="M122" s="391"/>
      <c r="N122" s="391"/>
      <c r="O122" s="392"/>
      <c r="P122" s="392"/>
      <c r="Q122" s="392"/>
      <c r="R122" s="392"/>
      <c r="S122" s="392"/>
      <c r="T122" s="392"/>
      <c r="U122" s="392"/>
      <c r="V122" s="392"/>
      <c r="W122" s="392"/>
      <c r="X122" s="392"/>
      <c r="Y122" s="392"/>
      <c r="Z122" s="392"/>
      <c r="AA122" s="406"/>
      <c r="AB122" s="406"/>
      <c r="AC122" s="392"/>
      <c r="AD122" s="392"/>
      <c r="AE122" s="392"/>
      <c r="AF122" s="392"/>
      <c r="AG122" s="392"/>
      <c r="AH122" s="392"/>
      <c r="AI122" s="392"/>
      <c r="AJ122" s="392"/>
      <c r="AK122" s="392"/>
      <c r="AL122" s="392"/>
      <c r="AM122" s="392"/>
      <c r="AN122" s="392"/>
      <c r="AO122" s="392"/>
      <c r="AP122" s="392"/>
      <c r="AQ122" s="392"/>
      <c r="AR122" s="392"/>
      <c r="AS122" s="392"/>
      <c r="AT122" s="392"/>
      <c r="AU122" s="392"/>
      <c r="AV122" s="392"/>
      <c r="AW122" s="392"/>
      <c r="AX122" s="392"/>
      <c r="AY122" s="392"/>
      <c r="AZ122" s="392"/>
      <c r="BA122" s="392"/>
      <c r="BB122" s="392"/>
      <c r="BC122" s="392"/>
      <c r="BD122" s="392"/>
      <c r="BE122" s="392"/>
      <c r="BF122" s="392"/>
      <c r="BG122" s="392"/>
      <c r="BH122" s="392"/>
      <c r="BI122" s="392"/>
      <c r="BJ122" s="392"/>
      <c r="BK122" s="392"/>
      <c r="BL122" s="392"/>
      <c r="BM122" s="392"/>
      <c r="BN122" s="392"/>
      <c r="BO122" s="392"/>
      <c r="BP122" s="392"/>
      <c r="BQ122" s="392"/>
      <c r="BR122" s="392"/>
      <c r="BS122" s="392"/>
      <c r="BT122" s="392"/>
      <c r="BU122" s="392"/>
      <c r="BV122" s="392"/>
      <c r="BW122" s="392"/>
      <c r="BX122" s="392"/>
      <c r="BY122" s="392"/>
      <c r="BZ122" s="392"/>
      <c r="CA122" s="392"/>
      <c r="CB122" s="392"/>
      <c r="CC122" s="392"/>
      <c r="CD122" s="392"/>
      <c r="CE122" s="392"/>
      <c r="CF122" s="392"/>
      <c r="CG122" s="392"/>
      <c r="CH122" s="392"/>
      <c r="CI122" s="392"/>
      <c r="CJ122" s="392"/>
      <c r="CK122" s="392"/>
      <c r="CL122" s="392"/>
      <c r="CM122" s="392"/>
      <c r="CN122" s="392"/>
      <c r="CO122" s="392"/>
      <c r="CP122" s="392"/>
      <c r="CQ122" s="392"/>
      <c r="CR122" s="392"/>
      <c r="CS122" s="392"/>
      <c r="CT122" s="392"/>
      <c r="CU122" s="392"/>
      <c r="CV122" s="392"/>
      <c r="CW122" s="392"/>
      <c r="CX122" s="392"/>
      <c r="CY122" s="392"/>
      <c r="CZ122" s="392"/>
      <c r="DA122" s="392"/>
    </row>
    <row r="123" spans="1:105" s="393" customFormat="1" ht="29.4" outlineLevel="1" thickBot="1" x14ac:dyDescent="0.35">
      <c r="A123" s="480" t="s">
        <v>1325</v>
      </c>
      <c r="B123" s="504" t="s">
        <v>1443</v>
      </c>
      <c r="C123" s="502">
        <v>44770</v>
      </c>
      <c r="D123" s="476"/>
      <c r="E123" s="476" t="s">
        <v>1578</v>
      </c>
      <c r="F123" s="478" t="s">
        <v>1032</v>
      </c>
      <c r="G123" s="479"/>
      <c r="H123" s="472"/>
      <c r="I123" s="479"/>
      <c r="J123" s="413"/>
      <c r="K123" s="412"/>
      <c r="L123" s="412"/>
      <c r="M123" s="391"/>
      <c r="N123" s="391"/>
      <c r="O123" s="392"/>
      <c r="P123" s="392"/>
      <c r="Q123" s="392"/>
      <c r="R123" s="392"/>
      <c r="S123" s="392"/>
      <c r="T123" s="392"/>
      <c r="U123" s="392"/>
      <c r="V123" s="392"/>
      <c r="W123" s="392"/>
      <c r="X123" s="392"/>
      <c r="Y123" s="392"/>
      <c r="Z123" s="392"/>
      <c r="AA123" s="406"/>
      <c r="AB123" s="406"/>
      <c r="AC123" s="392"/>
      <c r="AD123" s="392"/>
      <c r="AE123" s="392"/>
      <c r="AF123" s="392"/>
      <c r="AG123" s="392"/>
      <c r="AH123" s="392"/>
      <c r="AI123" s="392"/>
      <c r="AJ123" s="392"/>
      <c r="AK123" s="392"/>
      <c r="AL123" s="392"/>
      <c r="AM123" s="392"/>
      <c r="AN123" s="392"/>
      <c r="AO123" s="392"/>
      <c r="AP123" s="392"/>
      <c r="AQ123" s="392"/>
      <c r="AR123" s="392"/>
      <c r="AS123" s="392"/>
      <c r="AT123" s="392"/>
      <c r="AU123" s="392"/>
      <c r="AV123" s="392"/>
      <c r="AW123" s="392"/>
      <c r="AX123" s="392"/>
      <c r="AY123" s="392"/>
      <c r="AZ123" s="392"/>
      <c r="BA123" s="392"/>
      <c r="BB123" s="392"/>
      <c r="BC123" s="392"/>
      <c r="BD123" s="392"/>
      <c r="BE123" s="392"/>
      <c r="BF123" s="392"/>
      <c r="BG123" s="392"/>
      <c r="BH123" s="392"/>
      <c r="BI123" s="392"/>
      <c r="BJ123" s="392"/>
      <c r="BK123" s="392"/>
      <c r="BL123" s="392"/>
      <c r="BM123" s="392"/>
      <c r="BN123" s="392"/>
      <c r="BO123" s="392"/>
      <c r="BP123" s="392"/>
      <c r="BQ123" s="392"/>
      <c r="BR123" s="392"/>
      <c r="BS123" s="392"/>
      <c r="BT123" s="392"/>
      <c r="BU123" s="392"/>
      <c r="BV123" s="392"/>
      <c r="BW123" s="392"/>
      <c r="BX123" s="392"/>
      <c r="BY123" s="392"/>
      <c r="BZ123" s="392"/>
      <c r="CA123" s="392"/>
      <c r="CB123" s="392"/>
      <c r="CC123" s="392"/>
      <c r="CD123" s="392"/>
      <c r="CE123" s="392"/>
      <c r="CF123" s="392"/>
      <c r="CG123" s="392"/>
      <c r="CH123" s="392"/>
      <c r="CI123" s="392"/>
      <c r="CJ123" s="392"/>
      <c r="CK123" s="392"/>
      <c r="CL123" s="392"/>
      <c r="CM123" s="392"/>
      <c r="CN123" s="392"/>
      <c r="CO123" s="392"/>
      <c r="CP123" s="392"/>
      <c r="CQ123" s="392"/>
      <c r="CR123" s="392"/>
      <c r="CS123" s="392"/>
      <c r="CT123" s="392"/>
      <c r="CU123" s="392"/>
      <c r="CV123" s="392"/>
      <c r="CW123" s="392"/>
      <c r="CX123" s="392"/>
      <c r="CY123" s="392"/>
      <c r="CZ123" s="392"/>
      <c r="DA123" s="392"/>
    </row>
    <row r="124" spans="1:105" s="393" customFormat="1" ht="15" outlineLevel="1" thickBot="1" x14ac:dyDescent="0.35">
      <c r="A124" s="480" t="s">
        <v>1326</v>
      </c>
      <c r="B124" s="504" t="s">
        <v>1445</v>
      </c>
      <c r="C124" s="502">
        <v>44763</v>
      </c>
      <c r="D124" s="482">
        <v>44763</v>
      </c>
      <c r="E124" s="476" t="s">
        <v>1244</v>
      </c>
      <c r="F124" s="478" t="s">
        <v>1444</v>
      </c>
      <c r="G124" s="479"/>
      <c r="H124" s="472"/>
      <c r="I124" s="479"/>
      <c r="J124" s="413"/>
      <c r="K124" s="412"/>
      <c r="L124" s="412"/>
      <c r="M124" s="391"/>
      <c r="N124" s="391"/>
      <c r="O124" s="392"/>
      <c r="P124" s="392"/>
      <c r="Q124" s="392"/>
      <c r="R124" s="392"/>
      <c r="S124" s="392"/>
      <c r="T124" s="392"/>
      <c r="U124" s="392"/>
      <c r="V124" s="392"/>
      <c r="W124" s="392"/>
      <c r="X124" s="392"/>
      <c r="Y124" s="392"/>
      <c r="Z124" s="392"/>
      <c r="AA124" s="406"/>
      <c r="AB124" s="406"/>
      <c r="AC124" s="392"/>
      <c r="AD124" s="392"/>
      <c r="AE124" s="392"/>
      <c r="AF124" s="392"/>
      <c r="AG124" s="392"/>
      <c r="AH124" s="392"/>
      <c r="AI124" s="392"/>
      <c r="AJ124" s="392"/>
      <c r="AK124" s="392"/>
      <c r="AL124" s="392"/>
      <c r="AM124" s="392"/>
      <c r="AN124" s="392"/>
      <c r="AO124" s="392"/>
      <c r="AP124" s="392"/>
      <c r="AQ124" s="392"/>
      <c r="AR124" s="392"/>
      <c r="AS124" s="392"/>
      <c r="AT124" s="392"/>
      <c r="AU124" s="392"/>
      <c r="AV124" s="392"/>
      <c r="AW124" s="392"/>
      <c r="AX124" s="392"/>
      <c r="AY124" s="392"/>
      <c r="AZ124" s="392"/>
      <c r="BA124" s="392"/>
      <c r="BB124" s="392"/>
      <c r="BC124" s="392"/>
      <c r="BD124" s="392"/>
      <c r="BE124" s="392"/>
      <c r="BF124" s="392"/>
      <c r="BG124" s="392"/>
      <c r="BH124" s="392"/>
      <c r="BI124" s="392"/>
      <c r="BJ124" s="392"/>
      <c r="BK124" s="392"/>
      <c r="BL124" s="392"/>
      <c r="BM124" s="392"/>
      <c r="BN124" s="392"/>
      <c r="BO124" s="392"/>
      <c r="BP124" s="392"/>
      <c r="BQ124" s="392"/>
      <c r="BR124" s="392"/>
      <c r="BS124" s="392"/>
      <c r="BT124" s="392"/>
      <c r="BU124" s="392"/>
      <c r="BV124" s="392"/>
      <c r="BW124" s="392"/>
      <c r="BX124" s="392"/>
      <c r="BY124" s="392"/>
      <c r="BZ124" s="392"/>
      <c r="CA124" s="392"/>
      <c r="CB124" s="392"/>
      <c r="CC124" s="392"/>
      <c r="CD124" s="392"/>
      <c r="CE124" s="392"/>
      <c r="CF124" s="392"/>
      <c r="CG124" s="392"/>
      <c r="CH124" s="392"/>
      <c r="CI124" s="392"/>
      <c r="CJ124" s="392"/>
      <c r="CK124" s="392"/>
      <c r="CL124" s="392"/>
      <c r="CM124" s="392"/>
      <c r="CN124" s="392"/>
      <c r="CO124" s="392"/>
      <c r="CP124" s="392"/>
      <c r="CQ124" s="392"/>
      <c r="CR124" s="392"/>
      <c r="CS124" s="392"/>
      <c r="CT124" s="392"/>
      <c r="CU124" s="392"/>
      <c r="CV124" s="392"/>
      <c r="CW124" s="392"/>
      <c r="CX124" s="392"/>
      <c r="CY124" s="392"/>
      <c r="CZ124" s="392"/>
      <c r="DA124" s="392"/>
    </row>
    <row r="125" spans="1:105" s="393" customFormat="1" ht="15" outlineLevel="1" thickBot="1" x14ac:dyDescent="0.35">
      <c r="A125" s="480" t="s">
        <v>1327</v>
      </c>
      <c r="B125" s="504" t="s">
        <v>1279</v>
      </c>
      <c r="C125" s="502">
        <v>44763</v>
      </c>
      <c r="D125" s="482">
        <v>44763</v>
      </c>
      <c r="E125" s="476" t="s">
        <v>1244</v>
      </c>
      <c r="F125" s="478" t="s">
        <v>1285</v>
      </c>
      <c r="G125" s="479"/>
      <c r="H125" s="472"/>
      <c r="I125" s="479" t="s">
        <v>1292</v>
      </c>
      <c r="J125" s="413"/>
      <c r="K125" s="412"/>
      <c r="L125" s="412"/>
      <c r="M125" s="391"/>
      <c r="N125" s="391"/>
      <c r="O125" s="392"/>
      <c r="P125" s="392"/>
      <c r="Q125" s="392"/>
      <c r="R125" s="392"/>
      <c r="S125" s="392"/>
      <c r="T125" s="392"/>
      <c r="U125" s="392"/>
      <c r="V125" s="392"/>
      <c r="W125" s="392"/>
      <c r="X125" s="392"/>
      <c r="Y125" s="392"/>
      <c r="Z125" s="392"/>
      <c r="AA125" s="406"/>
      <c r="AB125" s="406"/>
      <c r="AC125" s="392"/>
      <c r="AD125" s="392"/>
      <c r="AE125" s="392"/>
      <c r="AF125" s="392"/>
      <c r="AG125" s="392"/>
      <c r="AH125" s="392"/>
      <c r="AI125" s="392"/>
      <c r="AJ125" s="392"/>
      <c r="AK125" s="392"/>
      <c r="AL125" s="392"/>
      <c r="AM125" s="392"/>
      <c r="AN125" s="392"/>
      <c r="AO125" s="392"/>
      <c r="AP125" s="392"/>
      <c r="AQ125" s="392"/>
      <c r="AR125" s="392"/>
      <c r="AS125" s="392"/>
      <c r="AT125" s="392"/>
      <c r="AU125" s="392"/>
      <c r="AV125" s="392"/>
      <c r="AW125" s="392"/>
      <c r="AX125" s="392"/>
      <c r="AY125" s="392"/>
      <c r="AZ125" s="392"/>
      <c r="BA125" s="392"/>
      <c r="BB125" s="392"/>
      <c r="BC125" s="392"/>
      <c r="BD125" s="392"/>
      <c r="BE125" s="392"/>
      <c r="BF125" s="392"/>
      <c r="BG125" s="392"/>
      <c r="BH125" s="392"/>
      <c r="BI125" s="392"/>
      <c r="BJ125" s="392"/>
      <c r="BK125" s="392"/>
      <c r="BL125" s="392"/>
      <c r="BM125" s="392"/>
      <c r="BN125" s="392"/>
      <c r="BO125" s="392"/>
      <c r="BP125" s="392"/>
      <c r="BQ125" s="392"/>
      <c r="BR125" s="392"/>
      <c r="BS125" s="392"/>
      <c r="BT125" s="392"/>
      <c r="BU125" s="392"/>
      <c r="BV125" s="392"/>
      <c r="BW125" s="392"/>
      <c r="BX125" s="392"/>
      <c r="BY125" s="392"/>
      <c r="BZ125" s="392"/>
      <c r="CA125" s="392"/>
      <c r="CB125" s="392"/>
      <c r="CC125" s="392"/>
      <c r="CD125" s="392"/>
      <c r="CE125" s="392"/>
      <c r="CF125" s="392"/>
      <c r="CG125" s="392"/>
      <c r="CH125" s="392"/>
      <c r="CI125" s="392"/>
      <c r="CJ125" s="392"/>
      <c r="CK125" s="392"/>
      <c r="CL125" s="392"/>
      <c r="CM125" s="392"/>
      <c r="CN125" s="392"/>
      <c r="CO125" s="392"/>
      <c r="CP125" s="392"/>
      <c r="CQ125" s="392"/>
      <c r="CR125" s="392"/>
      <c r="CS125" s="392"/>
      <c r="CT125" s="392"/>
      <c r="CU125" s="392"/>
      <c r="CV125" s="392"/>
      <c r="CW125" s="392"/>
      <c r="CX125" s="392"/>
      <c r="CY125" s="392"/>
      <c r="CZ125" s="392"/>
      <c r="DA125" s="392"/>
    </row>
    <row r="126" spans="1:105" s="393" customFormat="1" ht="29.4" outlineLevel="1" thickBot="1" x14ac:dyDescent="0.35">
      <c r="A126" s="480" t="s">
        <v>1328</v>
      </c>
      <c r="B126" s="481" t="s">
        <v>1118</v>
      </c>
      <c r="C126" s="502" t="s">
        <v>1622</v>
      </c>
      <c r="D126" s="502" t="s">
        <v>1623</v>
      </c>
      <c r="E126" s="476" t="s">
        <v>1245</v>
      </c>
      <c r="F126" s="478" t="s">
        <v>1444</v>
      </c>
      <c r="G126" s="479"/>
      <c r="H126" s="472"/>
      <c r="I126" s="479" t="s">
        <v>1290</v>
      </c>
      <c r="J126" s="413"/>
      <c r="K126" s="412"/>
      <c r="L126" s="412"/>
      <c r="M126" s="391"/>
      <c r="N126" s="391"/>
      <c r="O126" s="392"/>
      <c r="P126" s="392"/>
      <c r="Q126" s="392"/>
      <c r="R126" s="392"/>
      <c r="S126" s="392"/>
      <c r="T126" s="392"/>
      <c r="U126" s="392"/>
      <c r="V126" s="392"/>
      <c r="W126" s="392"/>
      <c r="X126" s="392"/>
      <c r="Y126" s="392"/>
      <c r="Z126" s="392"/>
      <c r="AA126" s="406"/>
      <c r="AB126" s="406"/>
      <c r="AC126" s="392"/>
      <c r="AD126" s="392"/>
      <c r="AE126" s="392"/>
      <c r="AF126" s="392"/>
      <c r="AG126" s="392"/>
      <c r="AH126" s="392"/>
      <c r="AI126" s="392"/>
      <c r="AJ126" s="392"/>
      <c r="AK126" s="392"/>
      <c r="AL126" s="392"/>
      <c r="AM126" s="392"/>
      <c r="AN126" s="392"/>
      <c r="AO126" s="392"/>
      <c r="AP126" s="392"/>
      <c r="AQ126" s="392"/>
      <c r="AR126" s="392"/>
      <c r="AS126" s="392"/>
      <c r="AT126" s="392"/>
      <c r="AU126" s="392"/>
      <c r="AV126" s="392"/>
      <c r="AW126" s="392"/>
      <c r="AX126" s="392"/>
      <c r="AY126" s="392"/>
      <c r="AZ126" s="392"/>
      <c r="BA126" s="392"/>
      <c r="BB126" s="392"/>
      <c r="BC126" s="392"/>
      <c r="BD126" s="392"/>
      <c r="BE126" s="392"/>
      <c r="BF126" s="392"/>
      <c r="BG126" s="392"/>
      <c r="BH126" s="392"/>
      <c r="BI126" s="392"/>
      <c r="BJ126" s="392"/>
      <c r="BK126" s="392"/>
      <c r="BL126" s="392"/>
      <c r="BM126" s="392"/>
      <c r="BN126" s="392"/>
      <c r="BO126" s="392"/>
      <c r="BP126" s="392"/>
      <c r="BQ126" s="392"/>
      <c r="BR126" s="392"/>
      <c r="BS126" s="392"/>
      <c r="BT126" s="392"/>
      <c r="BU126" s="392"/>
      <c r="BV126" s="392"/>
      <c r="BW126" s="392"/>
      <c r="BX126" s="392"/>
      <c r="BY126" s="392"/>
      <c r="BZ126" s="392"/>
      <c r="CA126" s="392"/>
      <c r="CB126" s="392"/>
      <c r="CC126" s="392"/>
      <c r="CD126" s="392"/>
      <c r="CE126" s="392"/>
      <c r="CF126" s="392"/>
      <c r="CG126" s="392"/>
      <c r="CH126" s="392"/>
      <c r="CI126" s="392"/>
      <c r="CJ126" s="392"/>
      <c r="CK126" s="392"/>
      <c r="CL126" s="392"/>
      <c r="CM126" s="392"/>
      <c r="CN126" s="392"/>
      <c r="CO126" s="392"/>
      <c r="CP126" s="392"/>
      <c r="CQ126" s="392"/>
      <c r="CR126" s="392"/>
      <c r="CS126" s="392"/>
      <c r="CT126" s="392"/>
      <c r="CU126" s="392"/>
      <c r="CV126" s="392"/>
      <c r="CW126" s="392"/>
      <c r="CX126" s="392"/>
      <c r="CY126" s="392"/>
      <c r="CZ126" s="392"/>
      <c r="DA126" s="392"/>
    </row>
    <row r="127" spans="1:105" s="393" customFormat="1" ht="15" outlineLevel="1" thickBot="1" x14ac:dyDescent="0.35">
      <c r="A127" s="480" t="s">
        <v>1329</v>
      </c>
      <c r="B127" s="504" t="s">
        <v>1120</v>
      </c>
      <c r="C127" s="502"/>
      <c r="D127" s="482"/>
      <c r="E127" s="476" t="s">
        <v>1245</v>
      </c>
      <c r="F127" s="478" t="s">
        <v>1032</v>
      </c>
      <c r="G127" s="479"/>
      <c r="H127" s="472"/>
      <c r="I127" s="479"/>
      <c r="J127" s="413"/>
      <c r="K127" s="412"/>
      <c r="L127" s="412"/>
      <c r="M127" s="391"/>
      <c r="N127" s="391"/>
      <c r="O127" s="392"/>
      <c r="P127" s="392"/>
      <c r="Q127" s="392"/>
      <c r="R127" s="392"/>
      <c r="S127" s="392"/>
      <c r="T127" s="392"/>
      <c r="U127" s="392"/>
      <c r="V127" s="392"/>
      <c r="W127" s="392"/>
      <c r="X127" s="392"/>
      <c r="Y127" s="392"/>
      <c r="Z127" s="392"/>
      <c r="AA127" s="406"/>
      <c r="AB127" s="406"/>
      <c r="AC127" s="392"/>
      <c r="AD127" s="392"/>
      <c r="AE127" s="392"/>
      <c r="AF127" s="392"/>
      <c r="AG127" s="392"/>
      <c r="AH127" s="392"/>
      <c r="AI127" s="392"/>
      <c r="AJ127" s="392"/>
      <c r="AK127" s="392"/>
      <c r="AL127" s="392"/>
      <c r="AM127" s="392"/>
      <c r="AN127" s="392"/>
      <c r="AO127" s="392"/>
      <c r="AP127" s="392"/>
      <c r="AQ127" s="392"/>
      <c r="AR127" s="392"/>
      <c r="AS127" s="392"/>
      <c r="AT127" s="392"/>
      <c r="AU127" s="392"/>
      <c r="AV127" s="392"/>
      <c r="AW127" s="392"/>
      <c r="AX127" s="392"/>
      <c r="AY127" s="392"/>
      <c r="AZ127" s="392"/>
      <c r="BA127" s="392"/>
      <c r="BB127" s="392"/>
      <c r="BC127" s="392"/>
      <c r="BD127" s="392"/>
      <c r="BE127" s="392"/>
      <c r="BF127" s="392"/>
      <c r="BG127" s="392"/>
      <c r="BH127" s="392"/>
      <c r="BI127" s="392"/>
      <c r="BJ127" s="392"/>
      <c r="BK127" s="392"/>
      <c r="BL127" s="392"/>
      <c r="BM127" s="392"/>
      <c r="BN127" s="392"/>
      <c r="BO127" s="392"/>
      <c r="BP127" s="392"/>
      <c r="BQ127" s="392"/>
      <c r="BR127" s="392"/>
      <c r="BS127" s="392"/>
      <c r="BT127" s="392"/>
      <c r="BU127" s="392"/>
      <c r="BV127" s="392"/>
      <c r="BW127" s="392"/>
      <c r="BX127" s="392"/>
      <c r="BY127" s="392"/>
      <c r="BZ127" s="392"/>
      <c r="CA127" s="392"/>
      <c r="CB127" s="392"/>
      <c r="CC127" s="392"/>
      <c r="CD127" s="392"/>
      <c r="CE127" s="392"/>
      <c r="CF127" s="392"/>
      <c r="CG127" s="392"/>
      <c r="CH127" s="392"/>
      <c r="CI127" s="392"/>
      <c r="CJ127" s="392"/>
      <c r="CK127" s="392"/>
      <c r="CL127" s="392"/>
      <c r="CM127" s="392"/>
      <c r="CN127" s="392"/>
      <c r="CO127" s="392"/>
      <c r="CP127" s="392"/>
      <c r="CQ127" s="392"/>
      <c r="CR127" s="392"/>
      <c r="CS127" s="392"/>
      <c r="CT127" s="392"/>
      <c r="CU127" s="392"/>
      <c r="CV127" s="392"/>
      <c r="CW127" s="392"/>
      <c r="CX127" s="392"/>
      <c r="CY127" s="392"/>
      <c r="CZ127" s="392"/>
      <c r="DA127" s="392"/>
    </row>
    <row r="128" spans="1:105" s="393" customFormat="1" ht="15" outlineLevel="1" thickBot="1" x14ac:dyDescent="0.35">
      <c r="A128" s="480" t="s">
        <v>1330</v>
      </c>
      <c r="B128" s="481" t="s">
        <v>1446</v>
      </c>
      <c r="C128" s="502" t="s">
        <v>1622</v>
      </c>
      <c r="D128" s="482" t="s">
        <v>1629</v>
      </c>
      <c r="E128" s="476" t="s">
        <v>1245</v>
      </c>
      <c r="F128" s="478" t="s">
        <v>1481</v>
      </c>
      <c r="G128" s="479"/>
      <c r="H128" s="472"/>
      <c r="I128" s="479"/>
      <c r="J128" s="413"/>
      <c r="K128" s="412"/>
      <c r="L128" s="412"/>
      <c r="M128" s="391"/>
      <c r="N128" s="391"/>
      <c r="O128" s="392"/>
      <c r="P128" s="392"/>
      <c r="Q128" s="392"/>
      <c r="R128" s="392"/>
      <c r="S128" s="392"/>
      <c r="T128" s="392"/>
      <c r="U128" s="392"/>
      <c r="V128" s="392"/>
      <c r="W128" s="392"/>
      <c r="X128" s="392"/>
      <c r="Y128" s="392"/>
      <c r="Z128" s="392"/>
      <c r="AA128" s="406"/>
      <c r="AB128" s="406"/>
      <c r="AC128" s="392"/>
      <c r="AD128" s="392"/>
      <c r="AE128" s="392"/>
      <c r="AF128" s="392"/>
      <c r="AG128" s="392"/>
      <c r="AH128" s="392"/>
      <c r="AI128" s="392"/>
      <c r="AJ128" s="392"/>
      <c r="AK128" s="392"/>
      <c r="AL128" s="392"/>
      <c r="AM128" s="392"/>
      <c r="AN128" s="392"/>
      <c r="AO128" s="392"/>
      <c r="AP128" s="392"/>
      <c r="AQ128" s="392"/>
      <c r="AR128" s="392"/>
      <c r="AS128" s="392"/>
      <c r="AT128" s="392"/>
      <c r="AU128" s="392"/>
      <c r="AV128" s="392"/>
      <c r="AW128" s="392"/>
      <c r="AX128" s="392"/>
      <c r="AY128" s="392"/>
      <c r="AZ128" s="392"/>
      <c r="BA128" s="392"/>
      <c r="BB128" s="392"/>
      <c r="BC128" s="392"/>
      <c r="BD128" s="392"/>
      <c r="BE128" s="392"/>
      <c r="BF128" s="392"/>
      <c r="BG128" s="392"/>
      <c r="BH128" s="392"/>
      <c r="BI128" s="392"/>
      <c r="BJ128" s="392"/>
      <c r="BK128" s="392"/>
      <c r="BL128" s="392"/>
      <c r="BM128" s="392"/>
      <c r="BN128" s="392"/>
      <c r="BO128" s="392"/>
      <c r="BP128" s="392"/>
      <c r="BQ128" s="392"/>
      <c r="BR128" s="392"/>
      <c r="BS128" s="392"/>
      <c r="BT128" s="392"/>
      <c r="BU128" s="392"/>
      <c r="BV128" s="392"/>
      <c r="BW128" s="392"/>
      <c r="BX128" s="392"/>
      <c r="BY128" s="392"/>
      <c r="BZ128" s="392"/>
      <c r="CA128" s="392"/>
      <c r="CB128" s="392"/>
      <c r="CC128" s="392"/>
      <c r="CD128" s="392"/>
      <c r="CE128" s="392"/>
      <c r="CF128" s="392"/>
      <c r="CG128" s="392"/>
      <c r="CH128" s="392"/>
      <c r="CI128" s="392"/>
      <c r="CJ128" s="392"/>
      <c r="CK128" s="392"/>
      <c r="CL128" s="392"/>
      <c r="CM128" s="392"/>
      <c r="CN128" s="392"/>
      <c r="CO128" s="392"/>
      <c r="CP128" s="392"/>
      <c r="CQ128" s="392"/>
      <c r="CR128" s="392"/>
      <c r="CS128" s="392"/>
      <c r="CT128" s="392"/>
      <c r="CU128" s="392"/>
      <c r="CV128" s="392"/>
      <c r="CW128" s="392"/>
      <c r="CX128" s="392"/>
      <c r="CY128" s="392"/>
      <c r="CZ128" s="392"/>
      <c r="DA128" s="392"/>
    </row>
    <row r="129" spans="1:105" s="393" customFormat="1" ht="15" outlineLevel="1" thickBot="1" x14ac:dyDescent="0.35">
      <c r="A129" s="480" t="s">
        <v>1331</v>
      </c>
      <c r="B129" s="481" t="s">
        <v>1174</v>
      </c>
      <c r="C129" s="482" t="s">
        <v>1629</v>
      </c>
      <c r="D129" s="482" t="s">
        <v>1630</v>
      </c>
      <c r="E129" s="476" t="s">
        <v>1245</v>
      </c>
      <c r="F129" s="478" t="s">
        <v>1285</v>
      </c>
      <c r="G129" s="479"/>
      <c r="H129" s="472"/>
      <c r="I129" s="479"/>
      <c r="J129" s="413"/>
      <c r="K129" s="412"/>
      <c r="L129" s="412"/>
      <c r="M129" s="391"/>
      <c r="N129" s="391"/>
      <c r="O129" s="392"/>
      <c r="P129" s="392"/>
      <c r="Q129" s="392"/>
      <c r="R129" s="392"/>
      <c r="S129" s="392"/>
      <c r="T129" s="392"/>
      <c r="U129" s="392"/>
      <c r="V129" s="392"/>
      <c r="W129" s="392"/>
      <c r="X129" s="392"/>
      <c r="Y129" s="392"/>
      <c r="Z129" s="392"/>
      <c r="AA129" s="406"/>
      <c r="AB129" s="406"/>
      <c r="AC129" s="392"/>
      <c r="AD129" s="392"/>
      <c r="AE129" s="392"/>
      <c r="AF129" s="392"/>
      <c r="AG129" s="392"/>
      <c r="AH129" s="392"/>
      <c r="AI129" s="392"/>
      <c r="AJ129" s="392"/>
      <c r="AK129" s="392"/>
      <c r="AL129" s="392"/>
      <c r="AM129" s="392"/>
      <c r="AN129" s="392"/>
      <c r="AO129" s="392"/>
      <c r="AP129" s="392"/>
      <c r="AQ129" s="392"/>
      <c r="AR129" s="392"/>
      <c r="AS129" s="392"/>
      <c r="AT129" s="392"/>
      <c r="AU129" s="392"/>
      <c r="AV129" s="392"/>
      <c r="AW129" s="392"/>
      <c r="AX129" s="392"/>
      <c r="AY129" s="392"/>
      <c r="AZ129" s="392"/>
      <c r="BA129" s="392"/>
      <c r="BB129" s="392"/>
      <c r="BC129" s="392"/>
      <c r="BD129" s="392"/>
      <c r="BE129" s="392"/>
      <c r="BF129" s="392"/>
      <c r="BG129" s="392"/>
      <c r="BH129" s="392"/>
      <c r="BI129" s="392"/>
      <c r="BJ129" s="392"/>
      <c r="BK129" s="392"/>
      <c r="BL129" s="392"/>
      <c r="BM129" s="392"/>
      <c r="BN129" s="392"/>
      <c r="BO129" s="392"/>
      <c r="BP129" s="392"/>
      <c r="BQ129" s="392"/>
      <c r="BR129" s="392"/>
      <c r="BS129" s="392"/>
      <c r="BT129" s="392"/>
      <c r="BU129" s="392"/>
      <c r="BV129" s="392"/>
      <c r="BW129" s="392"/>
      <c r="BX129" s="392"/>
      <c r="BY129" s="392"/>
      <c r="BZ129" s="392"/>
      <c r="CA129" s="392"/>
      <c r="CB129" s="392"/>
      <c r="CC129" s="392"/>
      <c r="CD129" s="392"/>
      <c r="CE129" s="392"/>
      <c r="CF129" s="392"/>
      <c r="CG129" s="392"/>
      <c r="CH129" s="392"/>
      <c r="CI129" s="392"/>
      <c r="CJ129" s="392"/>
      <c r="CK129" s="392"/>
      <c r="CL129" s="392"/>
      <c r="CM129" s="392"/>
      <c r="CN129" s="392"/>
      <c r="CO129" s="392"/>
      <c r="CP129" s="392"/>
      <c r="CQ129" s="392"/>
      <c r="CR129" s="392"/>
      <c r="CS129" s="392"/>
      <c r="CT129" s="392"/>
      <c r="CU129" s="392"/>
      <c r="CV129" s="392"/>
      <c r="CW129" s="392"/>
      <c r="CX129" s="392"/>
      <c r="CY129" s="392"/>
      <c r="CZ129" s="392"/>
      <c r="DA129" s="392"/>
    </row>
    <row r="130" spans="1:105" s="393" customFormat="1" ht="15" outlineLevel="1" thickBot="1" x14ac:dyDescent="0.35">
      <c r="A130" s="480" t="s">
        <v>1332</v>
      </c>
      <c r="B130" s="504" t="s">
        <v>1158</v>
      </c>
      <c r="C130" s="482" t="s">
        <v>1629</v>
      </c>
      <c r="D130" s="482" t="s">
        <v>1630</v>
      </c>
      <c r="E130" s="476" t="s">
        <v>1245</v>
      </c>
      <c r="F130" s="478" t="s">
        <v>1579</v>
      </c>
      <c r="G130" s="479"/>
      <c r="H130" s="472"/>
      <c r="I130" s="479"/>
      <c r="J130" s="413"/>
      <c r="K130" s="412"/>
      <c r="L130" s="412"/>
      <c r="M130" s="391"/>
      <c r="N130" s="391"/>
      <c r="O130" s="392"/>
      <c r="P130" s="392"/>
      <c r="Q130" s="392"/>
      <c r="R130" s="392"/>
      <c r="S130" s="392"/>
      <c r="T130" s="392"/>
      <c r="U130" s="392"/>
      <c r="V130" s="392"/>
      <c r="W130" s="392"/>
      <c r="X130" s="392"/>
      <c r="Y130" s="392"/>
      <c r="Z130" s="392"/>
      <c r="AA130" s="406"/>
      <c r="AB130" s="406"/>
      <c r="AC130" s="392"/>
      <c r="AD130" s="392"/>
      <c r="AE130" s="392"/>
      <c r="AF130" s="392"/>
      <c r="AG130" s="392"/>
      <c r="AH130" s="392"/>
      <c r="AI130" s="392"/>
      <c r="AJ130" s="392"/>
      <c r="AK130" s="392"/>
      <c r="AL130" s="392"/>
      <c r="AM130" s="392"/>
      <c r="AN130" s="392"/>
      <c r="AO130" s="392"/>
      <c r="AP130" s="392"/>
      <c r="AQ130" s="392"/>
      <c r="AR130" s="392"/>
      <c r="AS130" s="392"/>
      <c r="AT130" s="392"/>
      <c r="AU130" s="392"/>
      <c r="AV130" s="392"/>
      <c r="AW130" s="392"/>
      <c r="AX130" s="392"/>
      <c r="AY130" s="392"/>
      <c r="AZ130" s="392"/>
      <c r="BA130" s="392"/>
      <c r="BB130" s="392"/>
      <c r="BC130" s="392"/>
      <c r="BD130" s="392"/>
      <c r="BE130" s="392"/>
      <c r="BF130" s="392"/>
      <c r="BG130" s="392"/>
      <c r="BH130" s="392"/>
      <c r="BI130" s="392"/>
      <c r="BJ130" s="392"/>
      <c r="BK130" s="392"/>
      <c r="BL130" s="392"/>
      <c r="BM130" s="392"/>
      <c r="BN130" s="392"/>
      <c r="BO130" s="392"/>
      <c r="BP130" s="392"/>
      <c r="BQ130" s="392"/>
      <c r="BR130" s="392"/>
      <c r="BS130" s="392"/>
      <c r="BT130" s="392"/>
      <c r="BU130" s="392"/>
      <c r="BV130" s="392"/>
      <c r="BW130" s="392"/>
      <c r="BX130" s="392"/>
      <c r="BY130" s="392"/>
      <c r="BZ130" s="392"/>
      <c r="CA130" s="392"/>
      <c r="CB130" s="392"/>
      <c r="CC130" s="392"/>
      <c r="CD130" s="392"/>
      <c r="CE130" s="392"/>
      <c r="CF130" s="392"/>
      <c r="CG130" s="392"/>
      <c r="CH130" s="392"/>
      <c r="CI130" s="392"/>
      <c r="CJ130" s="392"/>
      <c r="CK130" s="392"/>
      <c r="CL130" s="392"/>
      <c r="CM130" s="392"/>
      <c r="CN130" s="392"/>
      <c r="CO130" s="392"/>
      <c r="CP130" s="392"/>
      <c r="CQ130" s="392"/>
      <c r="CR130" s="392"/>
      <c r="CS130" s="392"/>
      <c r="CT130" s="392"/>
      <c r="CU130" s="392"/>
      <c r="CV130" s="392"/>
      <c r="CW130" s="392"/>
      <c r="CX130" s="392"/>
      <c r="CY130" s="392"/>
      <c r="CZ130" s="392"/>
      <c r="DA130" s="392"/>
    </row>
    <row r="131" spans="1:105" s="393" customFormat="1" ht="15" outlineLevel="1" thickBot="1" x14ac:dyDescent="0.35">
      <c r="A131" s="480" t="s">
        <v>1333</v>
      </c>
      <c r="B131" s="504" t="s">
        <v>1157</v>
      </c>
      <c r="C131" s="482" t="s">
        <v>1629</v>
      </c>
      <c r="D131" s="482" t="s">
        <v>1630</v>
      </c>
      <c r="E131" s="476" t="s">
        <v>1245</v>
      </c>
      <c r="F131" s="478" t="s">
        <v>1579</v>
      </c>
      <c r="G131" s="479"/>
      <c r="H131" s="472"/>
      <c r="I131" s="479"/>
      <c r="J131" s="413"/>
      <c r="K131" s="412"/>
      <c r="L131" s="412"/>
      <c r="M131" s="391"/>
      <c r="N131" s="391"/>
      <c r="O131" s="392"/>
      <c r="P131" s="392"/>
      <c r="Q131" s="392"/>
      <c r="R131" s="392"/>
      <c r="S131" s="392"/>
      <c r="T131" s="392"/>
      <c r="U131" s="392"/>
      <c r="V131" s="392"/>
      <c r="W131" s="392"/>
      <c r="X131" s="392"/>
      <c r="Y131" s="392"/>
      <c r="Z131" s="392"/>
      <c r="AA131" s="406"/>
      <c r="AB131" s="406"/>
      <c r="AC131" s="392"/>
      <c r="AD131" s="392"/>
      <c r="AE131" s="392"/>
      <c r="AF131" s="392"/>
      <c r="AG131" s="392"/>
      <c r="AH131" s="392"/>
      <c r="AI131" s="392"/>
      <c r="AJ131" s="392"/>
      <c r="AK131" s="392"/>
      <c r="AL131" s="392"/>
      <c r="AM131" s="392"/>
      <c r="AN131" s="392"/>
      <c r="AO131" s="392"/>
      <c r="AP131" s="392"/>
      <c r="AQ131" s="392"/>
      <c r="AR131" s="392"/>
      <c r="AS131" s="392"/>
      <c r="AT131" s="392"/>
      <c r="AU131" s="392"/>
      <c r="AV131" s="392"/>
      <c r="AW131" s="392"/>
      <c r="AX131" s="392"/>
      <c r="AY131" s="392"/>
      <c r="AZ131" s="392"/>
      <c r="BA131" s="392"/>
      <c r="BB131" s="392"/>
      <c r="BC131" s="392"/>
      <c r="BD131" s="392"/>
      <c r="BE131" s="392"/>
      <c r="BF131" s="392"/>
      <c r="BG131" s="392"/>
      <c r="BH131" s="392"/>
      <c r="BI131" s="392"/>
      <c r="BJ131" s="392"/>
      <c r="BK131" s="392"/>
      <c r="BL131" s="392"/>
      <c r="BM131" s="392"/>
      <c r="BN131" s="392"/>
      <c r="BO131" s="392"/>
      <c r="BP131" s="392"/>
      <c r="BQ131" s="392"/>
      <c r="BR131" s="392"/>
      <c r="BS131" s="392"/>
      <c r="BT131" s="392"/>
      <c r="BU131" s="392"/>
      <c r="BV131" s="392"/>
      <c r="BW131" s="392"/>
      <c r="BX131" s="392"/>
      <c r="BY131" s="392"/>
      <c r="BZ131" s="392"/>
      <c r="CA131" s="392"/>
      <c r="CB131" s="392"/>
      <c r="CC131" s="392"/>
      <c r="CD131" s="392"/>
      <c r="CE131" s="392"/>
      <c r="CF131" s="392"/>
      <c r="CG131" s="392"/>
      <c r="CH131" s="392"/>
      <c r="CI131" s="392"/>
      <c r="CJ131" s="392"/>
      <c r="CK131" s="392"/>
      <c r="CL131" s="392"/>
      <c r="CM131" s="392"/>
      <c r="CN131" s="392"/>
      <c r="CO131" s="392"/>
      <c r="CP131" s="392"/>
      <c r="CQ131" s="392"/>
      <c r="CR131" s="392"/>
      <c r="CS131" s="392"/>
      <c r="CT131" s="392"/>
      <c r="CU131" s="392"/>
      <c r="CV131" s="392"/>
      <c r="CW131" s="392"/>
      <c r="CX131" s="392"/>
      <c r="CY131" s="392"/>
      <c r="CZ131" s="392"/>
      <c r="DA131" s="392"/>
    </row>
    <row r="132" spans="1:105" s="393" customFormat="1" ht="15" outlineLevel="1" thickBot="1" x14ac:dyDescent="0.35">
      <c r="A132" s="480" t="s">
        <v>1334</v>
      </c>
      <c r="B132" s="504" t="s">
        <v>1121</v>
      </c>
      <c r="C132" s="482" t="s">
        <v>1629</v>
      </c>
      <c r="D132" s="482" t="s">
        <v>1630</v>
      </c>
      <c r="E132" s="476" t="s">
        <v>1245</v>
      </c>
      <c r="F132" s="478" t="s">
        <v>1579</v>
      </c>
      <c r="G132" s="479"/>
      <c r="H132" s="472"/>
      <c r="I132" s="479"/>
      <c r="J132" s="413"/>
      <c r="K132" s="412"/>
      <c r="L132" s="412"/>
      <c r="M132" s="391"/>
      <c r="N132" s="391"/>
      <c r="O132" s="392"/>
      <c r="P132" s="392"/>
      <c r="Q132" s="392"/>
      <c r="R132" s="392"/>
      <c r="S132" s="392"/>
      <c r="T132" s="392"/>
      <c r="U132" s="392"/>
      <c r="V132" s="392"/>
      <c r="W132" s="392"/>
      <c r="X132" s="392"/>
      <c r="Y132" s="392"/>
      <c r="Z132" s="392"/>
      <c r="AA132" s="406"/>
      <c r="AB132" s="406"/>
      <c r="AC132" s="392"/>
      <c r="AD132" s="392"/>
      <c r="AE132" s="392"/>
      <c r="AF132" s="392"/>
      <c r="AG132" s="392"/>
      <c r="AH132" s="392"/>
      <c r="AI132" s="392"/>
      <c r="AJ132" s="392"/>
      <c r="AK132" s="392"/>
      <c r="AL132" s="392"/>
      <c r="AM132" s="392"/>
      <c r="AN132" s="392"/>
      <c r="AO132" s="392"/>
      <c r="AP132" s="392"/>
      <c r="AQ132" s="392"/>
      <c r="AR132" s="392"/>
      <c r="AS132" s="392"/>
      <c r="AT132" s="392"/>
      <c r="AU132" s="392"/>
      <c r="AV132" s="392"/>
      <c r="AW132" s="392"/>
      <c r="AX132" s="392"/>
      <c r="AY132" s="392"/>
      <c r="AZ132" s="392"/>
      <c r="BA132" s="392"/>
      <c r="BB132" s="392"/>
      <c r="BC132" s="392"/>
      <c r="BD132" s="392"/>
      <c r="BE132" s="392"/>
      <c r="BF132" s="392"/>
      <c r="BG132" s="392"/>
      <c r="BH132" s="392"/>
      <c r="BI132" s="392"/>
      <c r="BJ132" s="392"/>
      <c r="BK132" s="392"/>
      <c r="BL132" s="392"/>
      <c r="BM132" s="392"/>
      <c r="BN132" s="392"/>
      <c r="BO132" s="392"/>
      <c r="BP132" s="392"/>
      <c r="BQ132" s="392"/>
      <c r="BR132" s="392"/>
      <c r="BS132" s="392"/>
      <c r="BT132" s="392"/>
      <c r="BU132" s="392"/>
      <c r="BV132" s="392"/>
      <c r="BW132" s="392"/>
      <c r="BX132" s="392"/>
      <c r="BY132" s="392"/>
      <c r="BZ132" s="392"/>
      <c r="CA132" s="392"/>
      <c r="CB132" s="392"/>
      <c r="CC132" s="392"/>
      <c r="CD132" s="392"/>
      <c r="CE132" s="392"/>
      <c r="CF132" s="392"/>
      <c r="CG132" s="392"/>
      <c r="CH132" s="392"/>
      <c r="CI132" s="392"/>
      <c r="CJ132" s="392"/>
      <c r="CK132" s="392"/>
      <c r="CL132" s="392"/>
      <c r="CM132" s="392"/>
      <c r="CN132" s="392"/>
      <c r="CO132" s="392"/>
      <c r="CP132" s="392"/>
      <c r="CQ132" s="392"/>
      <c r="CR132" s="392"/>
      <c r="CS132" s="392"/>
      <c r="CT132" s="392"/>
      <c r="CU132" s="392"/>
      <c r="CV132" s="392"/>
      <c r="CW132" s="392"/>
      <c r="CX132" s="392"/>
      <c r="CY132" s="392"/>
      <c r="CZ132" s="392"/>
      <c r="DA132" s="392"/>
    </row>
    <row r="133" spans="1:105" s="393" customFormat="1" ht="15" outlineLevel="1" thickBot="1" x14ac:dyDescent="0.35">
      <c r="A133" s="480" t="s">
        <v>1335</v>
      </c>
      <c r="B133" s="481" t="s">
        <v>1125</v>
      </c>
      <c r="C133" s="502" t="s">
        <v>1631</v>
      </c>
      <c r="D133" s="482" t="s">
        <v>1624</v>
      </c>
      <c r="E133" s="476" t="s">
        <v>1245</v>
      </c>
      <c r="F133" s="478" t="s">
        <v>902</v>
      </c>
      <c r="G133" s="479"/>
      <c r="H133" s="472"/>
      <c r="I133" s="479"/>
      <c r="J133" s="413"/>
      <c r="K133" s="412"/>
      <c r="L133" s="412"/>
      <c r="M133" s="391"/>
      <c r="N133" s="391"/>
      <c r="O133" s="392"/>
      <c r="P133" s="392"/>
      <c r="Q133" s="392"/>
      <c r="R133" s="392"/>
      <c r="S133" s="392"/>
      <c r="T133" s="392"/>
      <c r="U133" s="392"/>
      <c r="V133" s="392"/>
      <c r="W133" s="392"/>
      <c r="X133" s="392"/>
      <c r="Y133" s="392"/>
      <c r="Z133" s="392"/>
      <c r="AA133" s="406"/>
      <c r="AB133" s="406"/>
      <c r="AC133" s="392"/>
      <c r="AD133" s="392"/>
      <c r="AE133" s="392"/>
      <c r="AF133" s="392"/>
      <c r="AG133" s="392"/>
      <c r="AH133" s="392"/>
      <c r="AI133" s="392"/>
      <c r="AJ133" s="392"/>
      <c r="AK133" s="392"/>
      <c r="AL133" s="392"/>
      <c r="AM133" s="392"/>
      <c r="AN133" s="392"/>
      <c r="AO133" s="392"/>
      <c r="AP133" s="392"/>
      <c r="AQ133" s="392"/>
      <c r="AR133" s="392"/>
      <c r="AS133" s="392"/>
      <c r="AT133" s="392"/>
      <c r="AU133" s="392"/>
      <c r="AV133" s="392"/>
      <c r="AW133" s="392"/>
      <c r="AX133" s="392"/>
      <c r="AY133" s="392"/>
      <c r="AZ133" s="392"/>
      <c r="BA133" s="392"/>
      <c r="BB133" s="392"/>
      <c r="BC133" s="392"/>
      <c r="BD133" s="392"/>
      <c r="BE133" s="392"/>
      <c r="BF133" s="392"/>
      <c r="BG133" s="392"/>
      <c r="BH133" s="392"/>
      <c r="BI133" s="392"/>
      <c r="BJ133" s="392"/>
      <c r="BK133" s="392"/>
      <c r="BL133" s="392"/>
      <c r="BM133" s="392"/>
      <c r="BN133" s="392"/>
      <c r="BO133" s="392"/>
      <c r="BP133" s="392"/>
      <c r="BQ133" s="392"/>
      <c r="BR133" s="392"/>
      <c r="BS133" s="392"/>
      <c r="BT133" s="392"/>
      <c r="BU133" s="392"/>
      <c r="BV133" s="392"/>
      <c r="BW133" s="392"/>
      <c r="BX133" s="392"/>
      <c r="BY133" s="392"/>
      <c r="BZ133" s="392"/>
      <c r="CA133" s="392"/>
      <c r="CB133" s="392"/>
      <c r="CC133" s="392"/>
      <c r="CD133" s="392"/>
      <c r="CE133" s="392"/>
      <c r="CF133" s="392"/>
      <c r="CG133" s="392"/>
      <c r="CH133" s="392"/>
      <c r="CI133" s="392"/>
      <c r="CJ133" s="392"/>
      <c r="CK133" s="392"/>
      <c r="CL133" s="392"/>
      <c r="CM133" s="392"/>
      <c r="CN133" s="392"/>
      <c r="CO133" s="392"/>
      <c r="CP133" s="392"/>
      <c r="CQ133" s="392"/>
      <c r="CR133" s="392"/>
      <c r="CS133" s="392"/>
      <c r="CT133" s="392"/>
      <c r="CU133" s="392"/>
      <c r="CV133" s="392"/>
      <c r="CW133" s="392"/>
      <c r="CX133" s="392"/>
      <c r="CY133" s="392"/>
      <c r="CZ133" s="392"/>
      <c r="DA133" s="392"/>
    </row>
    <row r="134" spans="1:105" s="393" customFormat="1" ht="15" outlineLevel="1" thickBot="1" x14ac:dyDescent="0.35">
      <c r="A134" s="480" t="s">
        <v>1336</v>
      </c>
      <c r="B134" s="481" t="s">
        <v>1069</v>
      </c>
      <c r="C134" s="502" t="s">
        <v>1625</v>
      </c>
      <c r="D134" s="482" t="s">
        <v>1580</v>
      </c>
      <c r="E134" s="476" t="s">
        <v>1245</v>
      </c>
      <c r="F134" s="478" t="s">
        <v>1284</v>
      </c>
      <c r="G134" s="479"/>
      <c r="H134" s="472"/>
      <c r="I134" s="479" t="s">
        <v>1293</v>
      </c>
      <c r="J134" s="413"/>
      <c r="K134" s="412"/>
      <c r="L134" s="412"/>
      <c r="M134" s="391"/>
      <c r="N134" s="391"/>
      <c r="O134" s="392"/>
      <c r="P134" s="392"/>
      <c r="Q134" s="392"/>
      <c r="R134" s="392"/>
      <c r="S134" s="392"/>
      <c r="T134" s="392"/>
      <c r="U134" s="392"/>
      <c r="V134" s="392"/>
      <c r="W134" s="392"/>
      <c r="X134" s="392"/>
      <c r="Y134" s="392"/>
      <c r="Z134" s="392"/>
      <c r="AA134" s="406"/>
      <c r="AB134" s="406"/>
      <c r="AC134" s="392"/>
      <c r="AD134" s="392"/>
      <c r="AE134" s="392"/>
      <c r="AF134" s="392"/>
      <c r="AG134" s="392"/>
      <c r="AH134" s="392"/>
      <c r="AI134" s="392"/>
      <c r="AJ134" s="392"/>
      <c r="AK134" s="392"/>
      <c r="AL134" s="392"/>
      <c r="AM134" s="392"/>
      <c r="AN134" s="392"/>
      <c r="AO134" s="392"/>
      <c r="AP134" s="392"/>
      <c r="AQ134" s="392"/>
      <c r="AR134" s="392"/>
      <c r="AS134" s="392"/>
      <c r="AT134" s="392"/>
      <c r="AU134" s="392"/>
      <c r="AV134" s="392"/>
      <c r="AW134" s="392"/>
      <c r="AX134" s="392"/>
      <c r="AY134" s="392"/>
      <c r="AZ134" s="392"/>
      <c r="BA134" s="392"/>
      <c r="BB134" s="392"/>
      <c r="BC134" s="392"/>
      <c r="BD134" s="392"/>
      <c r="BE134" s="392"/>
      <c r="BF134" s="392"/>
      <c r="BG134" s="392"/>
      <c r="BH134" s="392"/>
      <c r="BI134" s="392"/>
      <c r="BJ134" s="392"/>
      <c r="BK134" s="392"/>
      <c r="BL134" s="392"/>
      <c r="BM134" s="392"/>
      <c r="BN134" s="392"/>
      <c r="BO134" s="392"/>
      <c r="BP134" s="392"/>
      <c r="BQ134" s="392"/>
      <c r="BR134" s="392"/>
      <c r="BS134" s="392"/>
      <c r="BT134" s="392"/>
      <c r="BU134" s="392"/>
      <c r="BV134" s="392"/>
      <c r="BW134" s="392"/>
      <c r="BX134" s="392"/>
      <c r="BY134" s="392"/>
      <c r="BZ134" s="392"/>
      <c r="CA134" s="392"/>
      <c r="CB134" s="392"/>
      <c r="CC134" s="392"/>
      <c r="CD134" s="392"/>
      <c r="CE134" s="392"/>
      <c r="CF134" s="392"/>
      <c r="CG134" s="392"/>
      <c r="CH134" s="392"/>
      <c r="CI134" s="392"/>
      <c r="CJ134" s="392"/>
      <c r="CK134" s="392"/>
      <c r="CL134" s="392"/>
      <c r="CM134" s="392"/>
      <c r="CN134" s="392"/>
      <c r="CO134" s="392"/>
      <c r="CP134" s="392"/>
      <c r="CQ134" s="392"/>
      <c r="CR134" s="392"/>
      <c r="CS134" s="392"/>
      <c r="CT134" s="392"/>
      <c r="CU134" s="392"/>
      <c r="CV134" s="392"/>
      <c r="CW134" s="392"/>
      <c r="CX134" s="392"/>
      <c r="CY134" s="392"/>
      <c r="CZ134" s="392"/>
      <c r="DA134" s="392"/>
    </row>
    <row r="135" spans="1:105" s="393" customFormat="1" ht="15" outlineLevel="1" thickBot="1" x14ac:dyDescent="0.35">
      <c r="A135" s="480" t="s">
        <v>1337</v>
      </c>
      <c r="B135" s="480" t="s">
        <v>1126</v>
      </c>
      <c r="C135" s="503"/>
      <c r="D135" s="476"/>
      <c r="E135" s="476"/>
      <c r="F135" s="478"/>
      <c r="G135" s="479"/>
      <c r="H135" s="472"/>
      <c r="I135" s="479"/>
      <c r="J135" s="413"/>
      <c r="K135" s="412"/>
      <c r="L135" s="412"/>
      <c r="M135" s="391"/>
      <c r="N135" s="391"/>
      <c r="O135" s="392"/>
      <c r="P135" s="392"/>
      <c r="Q135" s="392"/>
      <c r="R135" s="392"/>
      <c r="S135" s="392"/>
      <c r="T135" s="392"/>
      <c r="U135" s="392"/>
      <c r="V135" s="392"/>
      <c r="W135" s="392"/>
      <c r="X135" s="392"/>
      <c r="Y135" s="392"/>
      <c r="Z135" s="392"/>
      <c r="AA135" s="406"/>
      <c r="AB135" s="406"/>
      <c r="AC135" s="392"/>
      <c r="AD135" s="392"/>
      <c r="AE135" s="392"/>
      <c r="AF135" s="392"/>
      <c r="AG135" s="392"/>
      <c r="AH135" s="392"/>
      <c r="AI135" s="392"/>
      <c r="AJ135" s="392"/>
      <c r="AK135" s="392"/>
      <c r="AL135" s="392"/>
      <c r="AM135" s="392"/>
      <c r="AN135" s="392"/>
      <c r="AO135" s="392"/>
      <c r="AP135" s="392"/>
      <c r="AQ135" s="392"/>
      <c r="AR135" s="392"/>
      <c r="AS135" s="392"/>
      <c r="AT135" s="392"/>
      <c r="AU135" s="392"/>
      <c r="AV135" s="392"/>
      <c r="AW135" s="392"/>
      <c r="AX135" s="392"/>
      <c r="AY135" s="392"/>
      <c r="AZ135" s="392"/>
      <c r="BA135" s="392"/>
      <c r="BB135" s="392"/>
      <c r="BC135" s="392"/>
      <c r="BD135" s="392"/>
      <c r="BE135" s="392"/>
      <c r="BF135" s="392"/>
      <c r="BG135" s="392"/>
      <c r="BH135" s="392"/>
      <c r="BI135" s="392"/>
      <c r="BJ135" s="392"/>
      <c r="BK135" s="392"/>
      <c r="BL135" s="392"/>
      <c r="BM135" s="392"/>
      <c r="BN135" s="392"/>
      <c r="BO135" s="392"/>
      <c r="BP135" s="392"/>
      <c r="BQ135" s="392"/>
      <c r="BR135" s="392"/>
      <c r="BS135" s="392"/>
      <c r="BT135" s="392"/>
      <c r="BU135" s="392"/>
      <c r="BV135" s="392"/>
      <c r="BW135" s="392"/>
      <c r="BX135" s="392"/>
      <c r="BY135" s="392"/>
      <c r="BZ135" s="392"/>
      <c r="CA135" s="392"/>
      <c r="CB135" s="392"/>
      <c r="CC135" s="392"/>
      <c r="CD135" s="392"/>
      <c r="CE135" s="392"/>
      <c r="CF135" s="392"/>
      <c r="CG135" s="392"/>
      <c r="CH135" s="392"/>
      <c r="CI135" s="392"/>
      <c r="CJ135" s="392"/>
      <c r="CK135" s="392"/>
      <c r="CL135" s="392"/>
      <c r="CM135" s="392"/>
      <c r="CN135" s="392"/>
      <c r="CO135" s="392"/>
      <c r="CP135" s="392"/>
      <c r="CQ135" s="392"/>
      <c r="CR135" s="392"/>
      <c r="CS135" s="392"/>
      <c r="CT135" s="392"/>
      <c r="CU135" s="392"/>
      <c r="CV135" s="392"/>
      <c r="CW135" s="392"/>
      <c r="CX135" s="392"/>
      <c r="CY135" s="392"/>
      <c r="CZ135" s="392"/>
      <c r="DA135" s="392"/>
    </row>
    <row r="136" spans="1:105" s="393" customFormat="1" ht="29.4" outlineLevel="1" thickBot="1" x14ac:dyDescent="0.35">
      <c r="A136" s="480" t="s">
        <v>1338</v>
      </c>
      <c r="B136" s="481" t="s">
        <v>1049</v>
      </c>
      <c r="C136" s="502" t="s">
        <v>1626</v>
      </c>
      <c r="D136" s="482" t="s">
        <v>1627</v>
      </c>
      <c r="E136" s="476" t="s">
        <v>1245</v>
      </c>
      <c r="F136" s="478" t="s">
        <v>1285</v>
      </c>
      <c r="G136" s="479"/>
      <c r="H136" s="476"/>
      <c r="I136" s="479" t="s">
        <v>1294</v>
      </c>
      <c r="J136" s="413"/>
      <c r="K136" s="412"/>
      <c r="L136" s="412"/>
      <c r="M136" s="391"/>
      <c r="N136" s="391"/>
      <c r="O136" s="392"/>
      <c r="P136" s="392"/>
      <c r="Q136" s="392"/>
      <c r="R136" s="392"/>
      <c r="S136" s="392"/>
      <c r="T136" s="392"/>
      <c r="U136" s="392"/>
      <c r="V136" s="392"/>
      <c r="W136" s="392"/>
      <c r="X136" s="392"/>
      <c r="Y136" s="392"/>
      <c r="Z136" s="392"/>
      <c r="AA136" s="406"/>
      <c r="AB136" s="406"/>
      <c r="AC136" s="392"/>
      <c r="AD136" s="392"/>
      <c r="AE136" s="392"/>
      <c r="AF136" s="392"/>
      <c r="AG136" s="392"/>
      <c r="AH136" s="392"/>
      <c r="AI136" s="392"/>
      <c r="AJ136" s="392"/>
      <c r="AK136" s="392"/>
      <c r="AL136" s="392"/>
      <c r="AM136" s="392"/>
      <c r="AN136" s="392"/>
      <c r="AO136" s="392"/>
      <c r="AP136" s="392"/>
      <c r="AQ136" s="392"/>
      <c r="AR136" s="392"/>
      <c r="AS136" s="392"/>
      <c r="AT136" s="392"/>
      <c r="AU136" s="392"/>
      <c r="AV136" s="392"/>
      <c r="AW136" s="392"/>
      <c r="AX136" s="392"/>
      <c r="AY136" s="392"/>
      <c r="AZ136" s="392"/>
      <c r="BA136" s="392"/>
      <c r="BB136" s="392"/>
      <c r="BC136" s="392"/>
      <c r="BD136" s="392"/>
      <c r="BE136" s="392"/>
      <c r="BF136" s="392"/>
      <c r="BG136" s="392"/>
      <c r="BH136" s="392"/>
      <c r="BI136" s="392"/>
      <c r="BJ136" s="392"/>
      <c r="BK136" s="392"/>
      <c r="BL136" s="392"/>
      <c r="BM136" s="392"/>
      <c r="BN136" s="392"/>
      <c r="BO136" s="392"/>
      <c r="BP136" s="392"/>
      <c r="BQ136" s="392"/>
      <c r="BR136" s="392"/>
      <c r="BS136" s="392"/>
      <c r="BT136" s="392"/>
      <c r="BU136" s="392"/>
      <c r="BV136" s="392"/>
      <c r="BW136" s="392"/>
      <c r="BX136" s="392"/>
      <c r="BY136" s="392"/>
      <c r="BZ136" s="392"/>
      <c r="CA136" s="392"/>
      <c r="CB136" s="392"/>
      <c r="CC136" s="392"/>
      <c r="CD136" s="392"/>
      <c r="CE136" s="392"/>
      <c r="CF136" s="392"/>
      <c r="CG136" s="392"/>
      <c r="CH136" s="392"/>
      <c r="CI136" s="392"/>
      <c r="CJ136" s="392"/>
      <c r="CK136" s="392"/>
      <c r="CL136" s="392"/>
      <c r="CM136" s="392"/>
      <c r="CN136" s="392"/>
      <c r="CO136" s="392"/>
      <c r="CP136" s="392"/>
      <c r="CQ136" s="392"/>
      <c r="CR136" s="392"/>
      <c r="CS136" s="392"/>
      <c r="CT136" s="392"/>
      <c r="CU136" s="392"/>
      <c r="CV136" s="392"/>
      <c r="CW136" s="392"/>
      <c r="CX136" s="392"/>
      <c r="CY136" s="392"/>
      <c r="CZ136" s="392"/>
      <c r="DA136" s="392"/>
    </row>
    <row r="137" spans="1:105" s="393" customFormat="1" ht="15" outlineLevel="1" thickBot="1" x14ac:dyDescent="0.35">
      <c r="A137" s="480" t="s">
        <v>1339</v>
      </c>
      <c r="B137" s="481" t="s">
        <v>1050</v>
      </c>
      <c r="C137" s="502" t="s">
        <v>1628</v>
      </c>
      <c r="D137" s="482" t="s">
        <v>1622</v>
      </c>
      <c r="E137" s="476" t="s">
        <v>1245</v>
      </c>
      <c r="F137" s="478" t="s">
        <v>1285</v>
      </c>
      <c r="G137" s="479"/>
      <c r="H137" s="476"/>
      <c r="I137" s="479" t="s">
        <v>1294</v>
      </c>
      <c r="J137" s="413"/>
      <c r="K137" s="412"/>
      <c r="L137" s="412"/>
      <c r="M137" s="391"/>
      <c r="N137" s="391"/>
      <c r="O137" s="392"/>
      <c r="P137" s="392"/>
      <c r="Q137" s="392"/>
      <c r="R137" s="392"/>
      <c r="S137" s="392"/>
      <c r="T137" s="392"/>
      <c r="U137" s="392"/>
      <c r="V137" s="392"/>
      <c r="W137" s="392"/>
      <c r="X137" s="392"/>
      <c r="Y137" s="392"/>
      <c r="Z137" s="392"/>
      <c r="AA137" s="406"/>
      <c r="AB137" s="406"/>
      <c r="AC137" s="392"/>
      <c r="AD137" s="392"/>
      <c r="AE137" s="392"/>
      <c r="AF137" s="392"/>
      <c r="AG137" s="392"/>
      <c r="AH137" s="392"/>
      <c r="AI137" s="392"/>
      <c r="AJ137" s="392"/>
      <c r="AK137" s="392"/>
      <c r="AL137" s="392"/>
      <c r="AM137" s="392"/>
      <c r="AN137" s="392"/>
      <c r="AO137" s="392"/>
      <c r="AP137" s="392"/>
      <c r="AQ137" s="392"/>
      <c r="AR137" s="392"/>
      <c r="AS137" s="392"/>
      <c r="AT137" s="392"/>
      <c r="AU137" s="392"/>
      <c r="AV137" s="392"/>
      <c r="AW137" s="392"/>
      <c r="AX137" s="392"/>
      <c r="AY137" s="392"/>
      <c r="AZ137" s="392"/>
      <c r="BA137" s="392"/>
      <c r="BB137" s="392"/>
      <c r="BC137" s="392"/>
      <c r="BD137" s="392"/>
      <c r="BE137" s="392"/>
      <c r="BF137" s="392"/>
      <c r="BG137" s="392"/>
      <c r="BH137" s="392"/>
      <c r="BI137" s="392"/>
      <c r="BJ137" s="392"/>
      <c r="BK137" s="392"/>
      <c r="BL137" s="392"/>
      <c r="BM137" s="392"/>
      <c r="BN137" s="392"/>
      <c r="BO137" s="392"/>
      <c r="BP137" s="392"/>
      <c r="BQ137" s="392"/>
      <c r="BR137" s="392"/>
      <c r="BS137" s="392"/>
      <c r="BT137" s="392"/>
      <c r="BU137" s="392"/>
      <c r="BV137" s="392"/>
      <c r="BW137" s="392"/>
      <c r="BX137" s="392"/>
      <c r="BY137" s="392"/>
      <c r="BZ137" s="392"/>
      <c r="CA137" s="392"/>
      <c r="CB137" s="392"/>
      <c r="CC137" s="392"/>
      <c r="CD137" s="392"/>
      <c r="CE137" s="392"/>
      <c r="CF137" s="392"/>
      <c r="CG137" s="392"/>
      <c r="CH137" s="392"/>
      <c r="CI137" s="392"/>
      <c r="CJ137" s="392"/>
      <c r="CK137" s="392"/>
      <c r="CL137" s="392"/>
      <c r="CM137" s="392"/>
      <c r="CN137" s="392"/>
      <c r="CO137" s="392"/>
      <c r="CP137" s="392"/>
      <c r="CQ137" s="392"/>
      <c r="CR137" s="392"/>
      <c r="CS137" s="392"/>
      <c r="CT137" s="392"/>
      <c r="CU137" s="392"/>
      <c r="CV137" s="392"/>
      <c r="CW137" s="392"/>
      <c r="CX137" s="392"/>
      <c r="CY137" s="392"/>
      <c r="CZ137" s="392"/>
      <c r="DA137" s="392"/>
    </row>
    <row r="138" spans="1:105" s="467" customFormat="1" ht="15" outlineLevel="1" thickBot="1" x14ac:dyDescent="0.35">
      <c r="A138" s="480" t="s">
        <v>1340</v>
      </c>
      <c r="B138" s="481" t="s">
        <v>1051</v>
      </c>
      <c r="C138" s="482" t="s">
        <v>1622</v>
      </c>
      <c r="D138" s="482" t="s">
        <v>1632</v>
      </c>
      <c r="E138" s="476" t="s">
        <v>1245</v>
      </c>
      <c r="F138" s="478" t="s">
        <v>1285</v>
      </c>
      <c r="G138" s="479"/>
      <c r="H138" s="476"/>
      <c r="I138" s="479" t="s">
        <v>1294</v>
      </c>
      <c r="J138" s="468"/>
      <c r="K138" s="463"/>
      <c r="L138" s="463"/>
      <c r="M138" s="464"/>
      <c r="N138" s="464"/>
      <c r="O138" s="465"/>
      <c r="P138" s="465"/>
      <c r="Q138" s="465"/>
      <c r="R138" s="465"/>
      <c r="S138" s="465"/>
      <c r="T138" s="465"/>
      <c r="U138" s="465"/>
      <c r="V138" s="465"/>
      <c r="W138" s="465"/>
      <c r="X138" s="465"/>
      <c r="Y138" s="465"/>
      <c r="Z138" s="465"/>
      <c r="AA138" s="466"/>
      <c r="AB138" s="466"/>
      <c r="AC138" s="465"/>
      <c r="AD138" s="465"/>
      <c r="AE138" s="465"/>
      <c r="AF138" s="465"/>
      <c r="AG138" s="465"/>
      <c r="AH138" s="465"/>
      <c r="AI138" s="465"/>
      <c r="AJ138" s="465"/>
      <c r="AK138" s="465"/>
      <c r="AL138" s="465"/>
      <c r="AM138" s="465"/>
      <c r="AN138" s="465"/>
      <c r="AO138" s="465"/>
      <c r="AP138" s="465"/>
      <c r="AQ138" s="465"/>
      <c r="AR138" s="465"/>
      <c r="AS138" s="465"/>
      <c r="AT138" s="465"/>
      <c r="AU138" s="465"/>
      <c r="AV138" s="465"/>
      <c r="AW138" s="465"/>
      <c r="AX138" s="465"/>
      <c r="AY138" s="465"/>
      <c r="AZ138" s="465"/>
      <c r="BA138" s="465"/>
      <c r="BB138" s="465"/>
      <c r="BC138" s="465"/>
      <c r="BD138" s="465"/>
      <c r="BE138" s="465"/>
      <c r="BF138" s="465"/>
      <c r="BG138" s="465"/>
      <c r="BH138" s="465"/>
      <c r="BI138" s="465"/>
      <c r="BJ138" s="465"/>
      <c r="BK138" s="465"/>
      <c r="BL138" s="465"/>
      <c r="BM138" s="465"/>
      <c r="BN138" s="465"/>
      <c r="BO138" s="465"/>
      <c r="BP138" s="465"/>
      <c r="BQ138" s="465"/>
      <c r="BR138" s="465"/>
      <c r="BS138" s="465"/>
      <c r="BT138" s="465"/>
      <c r="BU138" s="465"/>
      <c r="BV138" s="465"/>
      <c r="BW138" s="465"/>
      <c r="BX138" s="465"/>
      <c r="BY138" s="465"/>
      <c r="BZ138" s="465"/>
      <c r="CA138" s="465"/>
      <c r="CB138" s="465"/>
      <c r="CC138" s="465"/>
      <c r="CD138" s="465"/>
      <c r="CE138" s="465"/>
      <c r="CF138" s="465"/>
      <c r="CG138" s="465"/>
      <c r="CH138" s="465"/>
      <c r="CI138" s="465"/>
      <c r="CJ138" s="465"/>
      <c r="CK138" s="465"/>
      <c r="CL138" s="465"/>
      <c r="CM138" s="465"/>
      <c r="CN138" s="465"/>
      <c r="CO138" s="465"/>
      <c r="CP138" s="465"/>
      <c r="CQ138" s="465"/>
      <c r="CR138" s="465"/>
      <c r="CS138" s="465"/>
      <c r="CT138" s="465"/>
      <c r="CU138" s="465"/>
      <c r="CV138" s="465"/>
      <c r="CW138" s="465"/>
      <c r="CX138" s="465"/>
      <c r="CY138" s="465"/>
      <c r="CZ138" s="465"/>
      <c r="DA138" s="465"/>
    </row>
    <row r="139" spans="1:105" s="467" customFormat="1" ht="15" outlineLevel="1" thickBot="1" x14ac:dyDescent="0.35">
      <c r="A139" s="480" t="s">
        <v>1341</v>
      </c>
      <c r="B139" s="481" t="s">
        <v>1052</v>
      </c>
      <c r="C139" s="482" t="s">
        <v>1632</v>
      </c>
      <c r="D139" s="482" t="s">
        <v>1633</v>
      </c>
      <c r="E139" s="476" t="s">
        <v>1245</v>
      </c>
      <c r="F139" s="478" t="s">
        <v>1285</v>
      </c>
      <c r="G139" s="479"/>
      <c r="H139" s="476"/>
      <c r="I139" s="479" t="s">
        <v>1295</v>
      </c>
      <c r="J139" s="468"/>
      <c r="K139" s="463"/>
      <c r="L139" s="463"/>
      <c r="M139" s="464"/>
      <c r="N139" s="464"/>
      <c r="O139" s="465"/>
      <c r="P139" s="465"/>
      <c r="Q139" s="465"/>
      <c r="R139" s="465"/>
      <c r="S139" s="465"/>
      <c r="T139" s="465"/>
      <c r="U139" s="465"/>
      <c r="V139" s="465"/>
      <c r="W139" s="465"/>
      <c r="X139" s="465"/>
      <c r="Y139" s="465"/>
      <c r="Z139" s="465"/>
      <c r="AA139" s="466"/>
      <c r="AB139" s="466"/>
      <c r="AC139" s="465"/>
      <c r="AD139" s="465"/>
      <c r="AE139" s="465"/>
      <c r="AF139" s="465"/>
      <c r="AG139" s="465"/>
      <c r="AH139" s="465"/>
      <c r="AI139" s="465"/>
      <c r="AJ139" s="465"/>
      <c r="AK139" s="465"/>
      <c r="AL139" s="465"/>
      <c r="AM139" s="465"/>
      <c r="AN139" s="465"/>
      <c r="AO139" s="465"/>
      <c r="AP139" s="465"/>
      <c r="AQ139" s="465"/>
      <c r="AR139" s="465"/>
      <c r="AS139" s="465"/>
      <c r="AT139" s="465"/>
      <c r="AU139" s="465"/>
      <c r="AV139" s="465"/>
      <c r="AW139" s="465"/>
      <c r="AX139" s="465"/>
      <c r="AY139" s="465"/>
      <c r="AZ139" s="465"/>
      <c r="BA139" s="465"/>
      <c r="BB139" s="465"/>
      <c r="BC139" s="465"/>
      <c r="BD139" s="465"/>
      <c r="BE139" s="465"/>
      <c r="BF139" s="465"/>
      <c r="BG139" s="465"/>
      <c r="BH139" s="465"/>
      <c r="BI139" s="465"/>
      <c r="BJ139" s="465"/>
      <c r="BK139" s="465"/>
      <c r="BL139" s="465"/>
      <c r="BM139" s="465"/>
      <c r="BN139" s="465"/>
      <c r="BO139" s="465"/>
      <c r="BP139" s="465"/>
      <c r="BQ139" s="465"/>
      <c r="BR139" s="465"/>
      <c r="BS139" s="465"/>
      <c r="BT139" s="465"/>
      <c r="BU139" s="465"/>
      <c r="BV139" s="465"/>
      <c r="BW139" s="465"/>
      <c r="BX139" s="465"/>
      <c r="BY139" s="465"/>
      <c r="BZ139" s="465"/>
      <c r="CA139" s="465"/>
      <c r="CB139" s="465"/>
      <c r="CC139" s="465"/>
      <c r="CD139" s="465"/>
      <c r="CE139" s="465"/>
      <c r="CF139" s="465"/>
      <c r="CG139" s="465"/>
      <c r="CH139" s="465"/>
      <c r="CI139" s="465"/>
      <c r="CJ139" s="465"/>
      <c r="CK139" s="465"/>
      <c r="CL139" s="465"/>
      <c r="CM139" s="465"/>
      <c r="CN139" s="465"/>
      <c r="CO139" s="465"/>
      <c r="CP139" s="465"/>
      <c r="CQ139" s="465"/>
      <c r="CR139" s="465"/>
      <c r="CS139" s="465"/>
      <c r="CT139" s="465"/>
      <c r="CU139" s="465"/>
      <c r="CV139" s="465"/>
      <c r="CW139" s="465"/>
      <c r="CX139" s="465"/>
      <c r="CY139" s="465"/>
      <c r="CZ139" s="465"/>
      <c r="DA139" s="465"/>
    </row>
    <row r="140" spans="1:105" s="467" customFormat="1" ht="43.8" outlineLevel="1" thickBot="1" x14ac:dyDescent="0.35">
      <c r="A140" s="480" t="s">
        <v>1342</v>
      </c>
      <c r="B140" s="481" t="s">
        <v>881</v>
      </c>
      <c r="C140" s="482" t="s">
        <v>1633</v>
      </c>
      <c r="D140" s="482" t="s">
        <v>1634</v>
      </c>
      <c r="E140" s="476" t="s">
        <v>1245</v>
      </c>
      <c r="F140" s="478" t="s">
        <v>1285</v>
      </c>
      <c r="G140" s="479"/>
      <c r="H140" s="476"/>
      <c r="I140" s="479" t="s">
        <v>1290</v>
      </c>
      <c r="J140" s="468"/>
      <c r="K140" s="463"/>
      <c r="L140" s="463"/>
      <c r="M140" s="464"/>
      <c r="N140" s="464"/>
      <c r="O140" s="465"/>
      <c r="P140" s="465"/>
      <c r="Q140" s="465"/>
      <c r="R140" s="465"/>
      <c r="S140" s="465"/>
      <c r="T140" s="465"/>
      <c r="U140" s="465"/>
      <c r="V140" s="465"/>
      <c r="W140" s="465"/>
      <c r="X140" s="465"/>
      <c r="Y140" s="465"/>
      <c r="Z140" s="465"/>
      <c r="AA140" s="466"/>
      <c r="AB140" s="466"/>
      <c r="AC140" s="465"/>
      <c r="AD140" s="465"/>
      <c r="AE140" s="465"/>
      <c r="AF140" s="465"/>
      <c r="AG140" s="465"/>
      <c r="AH140" s="465"/>
      <c r="AI140" s="465"/>
      <c r="AJ140" s="465"/>
      <c r="AK140" s="465"/>
      <c r="AL140" s="465"/>
      <c r="AM140" s="465"/>
      <c r="AN140" s="465"/>
      <c r="AO140" s="465"/>
      <c r="AP140" s="465"/>
      <c r="AQ140" s="465"/>
      <c r="AR140" s="465"/>
      <c r="AS140" s="465"/>
      <c r="AT140" s="465"/>
      <c r="AU140" s="465"/>
      <c r="AV140" s="465"/>
      <c r="AW140" s="465"/>
      <c r="AX140" s="465"/>
      <c r="AY140" s="465"/>
      <c r="AZ140" s="465"/>
      <c r="BA140" s="465"/>
      <c r="BB140" s="465"/>
      <c r="BC140" s="465"/>
      <c r="BD140" s="465"/>
      <c r="BE140" s="465"/>
      <c r="BF140" s="465"/>
      <c r="BG140" s="465"/>
      <c r="BH140" s="465"/>
      <c r="BI140" s="465"/>
      <c r="BJ140" s="465"/>
      <c r="BK140" s="465"/>
      <c r="BL140" s="465"/>
      <c r="BM140" s="465"/>
      <c r="BN140" s="465"/>
      <c r="BO140" s="465"/>
      <c r="BP140" s="465"/>
      <c r="BQ140" s="465"/>
      <c r="BR140" s="465"/>
      <c r="BS140" s="465"/>
      <c r="BT140" s="465"/>
      <c r="BU140" s="465"/>
      <c r="BV140" s="465"/>
      <c r="BW140" s="465"/>
      <c r="BX140" s="465"/>
      <c r="BY140" s="465"/>
      <c r="BZ140" s="465"/>
      <c r="CA140" s="465"/>
      <c r="CB140" s="465"/>
      <c r="CC140" s="465"/>
      <c r="CD140" s="465"/>
      <c r="CE140" s="465"/>
      <c r="CF140" s="465"/>
      <c r="CG140" s="465"/>
      <c r="CH140" s="465"/>
      <c r="CI140" s="465"/>
      <c r="CJ140" s="465"/>
      <c r="CK140" s="465"/>
      <c r="CL140" s="465"/>
      <c r="CM140" s="465"/>
      <c r="CN140" s="465"/>
      <c r="CO140" s="465"/>
      <c r="CP140" s="465"/>
      <c r="CQ140" s="465"/>
      <c r="CR140" s="465"/>
      <c r="CS140" s="465"/>
      <c r="CT140" s="465"/>
      <c r="CU140" s="465"/>
      <c r="CV140" s="465"/>
      <c r="CW140" s="465"/>
      <c r="CX140" s="465"/>
      <c r="CY140" s="465"/>
      <c r="CZ140" s="465"/>
      <c r="DA140" s="465"/>
    </row>
    <row r="141" spans="1:105" s="393" customFormat="1" ht="43.8" outlineLevel="1" thickBot="1" x14ac:dyDescent="0.35">
      <c r="A141" s="480" t="s">
        <v>1343</v>
      </c>
      <c r="B141" s="481" t="s">
        <v>1281</v>
      </c>
      <c r="C141" s="482" t="s">
        <v>1634</v>
      </c>
      <c r="D141" s="482" t="s">
        <v>1635</v>
      </c>
      <c r="E141" s="476" t="s">
        <v>1245</v>
      </c>
      <c r="F141" s="478" t="s">
        <v>1285</v>
      </c>
      <c r="G141" s="479"/>
      <c r="H141" s="476"/>
      <c r="I141" s="479" t="s">
        <v>1289</v>
      </c>
      <c r="J141" s="413"/>
      <c r="K141" s="412"/>
      <c r="L141" s="412"/>
      <c r="M141" s="391"/>
      <c r="N141" s="391"/>
      <c r="O141" s="392"/>
      <c r="P141" s="392"/>
      <c r="Q141" s="392"/>
      <c r="R141" s="392"/>
      <c r="S141" s="392"/>
      <c r="T141" s="392"/>
      <c r="U141" s="392"/>
      <c r="V141" s="392"/>
      <c r="W141" s="392"/>
      <c r="X141" s="392"/>
      <c r="Y141" s="392"/>
      <c r="Z141" s="392"/>
      <c r="AA141" s="406"/>
      <c r="AB141" s="406"/>
      <c r="AC141" s="392"/>
      <c r="AD141" s="392"/>
      <c r="AE141" s="392"/>
      <c r="AF141" s="392"/>
      <c r="AG141" s="392"/>
      <c r="AH141" s="392"/>
      <c r="AI141" s="392"/>
      <c r="AJ141" s="392"/>
      <c r="AK141" s="392"/>
      <c r="AL141" s="392"/>
      <c r="AM141" s="392"/>
      <c r="AN141" s="392"/>
      <c r="AO141" s="392"/>
      <c r="AP141" s="392"/>
      <c r="AQ141" s="392"/>
      <c r="AR141" s="392"/>
      <c r="AS141" s="392"/>
      <c r="AT141" s="392"/>
      <c r="AU141" s="392"/>
      <c r="AV141" s="392"/>
      <c r="AW141" s="392"/>
      <c r="AX141" s="392"/>
      <c r="AY141" s="392"/>
      <c r="AZ141" s="392"/>
      <c r="BA141" s="392"/>
      <c r="BB141" s="392"/>
      <c r="BC141" s="392"/>
      <c r="BD141" s="392"/>
      <c r="BE141" s="392"/>
      <c r="BF141" s="392"/>
      <c r="BG141" s="392"/>
      <c r="BH141" s="392"/>
      <c r="BI141" s="392"/>
      <c r="BJ141" s="392"/>
      <c r="BK141" s="392"/>
      <c r="BL141" s="392"/>
      <c r="BM141" s="392"/>
      <c r="BN141" s="392"/>
      <c r="BO141" s="392"/>
      <c r="BP141" s="392"/>
      <c r="BQ141" s="392"/>
      <c r="BR141" s="392"/>
      <c r="BS141" s="392"/>
      <c r="BT141" s="392"/>
      <c r="BU141" s="392"/>
      <c r="BV141" s="392"/>
      <c r="BW141" s="392"/>
      <c r="BX141" s="392"/>
      <c r="BY141" s="392"/>
      <c r="BZ141" s="392"/>
      <c r="CA141" s="392"/>
      <c r="CB141" s="392"/>
      <c r="CC141" s="392"/>
      <c r="CD141" s="392"/>
      <c r="CE141" s="392"/>
      <c r="CF141" s="392"/>
      <c r="CG141" s="392"/>
      <c r="CH141" s="392"/>
      <c r="CI141" s="392"/>
      <c r="CJ141" s="392"/>
      <c r="CK141" s="392"/>
      <c r="CL141" s="392"/>
      <c r="CM141" s="392"/>
      <c r="CN141" s="392"/>
      <c r="CO141" s="392"/>
      <c r="CP141" s="392"/>
      <c r="CQ141" s="392"/>
      <c r="CR141" s="392"/>
      <c r="CS141" s="392"/>
      <c r="CT141" s="392"/>
      <c r="CU141" s="392"/>
      <c r="CV141" s="392"/>
      <c r="CW141" s="392"/>
      <c r="CX141" s="392"/>
      <c r="CY141" s="392"/>
      <c r="CZ141" s="392"/>
      <c r="DA141" s="392"/>
    </row>
    <row r="142" spans="1:105" s="393" customFormat="1" ht="15" outlineLevel="1" thickBot="1" x14ac:dyDescent="0.35">
      <c r="A142" s="480" t="s">
        <v>1344</v>
      </c>
      <c r="B142" s="481" t="s">
        <v>883</v>
      </c>
      <c r="C142" s="482" t="s">
        <v>1635</v>
      </c>
      <c r="D142" s="482" t="s">
        <v>1636</v>
      </c>
      <c r="E142" s="476" t="s">
        <v>1245</v>
      </c>
      <c r="F142" s="478" t="s">
        <v>1285</v>
      </c>
      <c r="G142" s="479"/>
      <c r="H142" s="476"/>
      <c r="I142" s="479" t="s">
        <v>1290</v>
      </c>
      <c r="J142" s="413"/>
      <c r="K142" s="412"/>
      <c r="L142" s="412"/>
      <c r="M142" s="391"/>
      <c r="N142" s="391"/>
      <c r="O142" s="392"/>
      <c r="P142" s="392"/>
      <c r="Q142" s="392"/>
      <c r="R142" s="392"/>
      <c r="S142" s="392"/>
      <c r="T142" s="392"/>
      <c r="U142" s="392"/>
      <c r="V142" s="392"/>
      <c r="W142" s="392"/>
      <c r="X142" s="392"/>
      <c r="Y142" s="392"/>
      <c r="Z142" s="392"/>
      <c r="AA142" s="406"/>
      <c r="AB142" s="406"/>
      <c r="AC142" s="392"/>
      <c r="AD142" s="392"/>
      <c r="AE142" s="392"/>
      <c r="AF142" s="392"/>
      <c r="AG142" s="392"/>
      <c r="AH142" s="392"/>
      <c r="AI142" s="392"/>
      <c r="AJ142" s="392"/>
      <c r="AK142" s="392"/>
      <c r="AL142" s="392"/>
      <c r="AM142" s="392"/>
      <c r="AN142" s="392"/>
      <c r="AO142" s="392"/>
      <c r="AP142" s="392"/>
      <c r="AQ142" s="392"/>
      <c r="AR142" s="392"/>
      <c r="AS142" s="392"/>
      <c r="AT142" s="392"/>
      <c r="AU142" s="392"/>
      <c r="AV142" s="392"/>
      <c r="AW142" s="392"/>
      <c r="AX142" s="392"/>
      <c r="AY142" s="392"/>
      <c r="AZ142" s="392"/>
      <c r="BA142" s="392"/>
      <c r="BB142" s="392"/>
      <c r="BC142" s="392"/>
      <c r="BD142" s="392"/>
      <c r="BE142" s="392"/>
      <c r="BF142" s="392"/>
      <c r="BG142" s="392"/>
      <c r="BH142" s="392"/>
      <c r="BI142" s="392"/>
      <c r="BJ142" s="392"/>
      <c r="BK142" s="392"/>
      <c r="BL142" s="392"/>
      <c r="BM142" s="392"/>
      <c r="BN142" s="392"/>
      <c r="BO142" s="392"/>
      <c r="BP142" s="392"/>
      <c r="BQ142" s="392"/>
      <c r="BR142" s="392"/>
      <c r="BS142" s="392"/>
      <c r="BT142" s="392"/>
      <c r="BU142" s="392"/>
      <c r="BV142" s="392"/>
      <c r="BW142" s="392"/>
      <c r="BX142" s="392"/>
      <c r="BY142" s="392"/>
      <c r="BZ142" s="392"/>
      <c r="CA142" s="392"/>
      <c r="CB142" s="392"/>
      <c r="CC142" s="392"/>
      <c r="CD142" s="392"/>
      <c r="CE142" s="392"/>
      <c r="CF142" s="392"/>
      <c r="CG142" s="392"/>
      <c r="CH142" s="392"/>
      <c r="CI142" s="392"/>
      <c r="CJ142" s="392"/>
      <c r="CK142" s="392"/>
      <c r="CL142" s="392"/>
      <c r="CM142" s="392"/>
      <c r="CN142" s="392"/>
      <c r="CO142" s="392"/>
      <c r="CP142" s="392"/>
      <c r="CQ142" s="392"/>
      <c r="CR142" s="392"/>
      <c r="CS142" s="392"/>
      <c r="CT142" s="392"/>
      <c r="CU142" s="392"/>
      <c r="CV142" s="392"/>
      <c r="CW142" s="392"/>
      <c r="CX142" s="392"/>
      <c r="CY142" s="392"/>
      <c r="CZ142" s="392"/>
      <c r="DA142" s="392"/>
    </row>
    <row r="143" spans="1:105" s="393" customFormat="1" ht="29.4" outlineLevel="1" thickBot="1" x14ac:dyDescent="0.35">
      <c r="A143" s="480" t="s">
        <v>1345</v>
      </c>
      <c r="B143" s="481" t="s">
        <v>1053</v>
      </c>
      <c r="C143" s="482" t="s">
        <v>1636</v>
      </c>
      <c r="D143" s="482" t="s">
        <v>1637</v>
      </c>
      <c r="E143" s="476" t="s">
        <v>1245</v>
      </c>
      <c r="F143" s="478" t="s">
        <v>1285</v>
      </c>
      <c r="G143" s="479"/>
      <c r="H143" s="476"/>
      <c r="I143" s="479"/>
      <c r="J143" s="413"/>
      <c r="K143" s="412"/>
      <c r="L143" s="412"/>
      <c r="M143" s="391"/>
      <c r="N143" s="391"/>
      <c r="O143" s="392"/>
      <c r="P143" s="392"/>
      <c r="Q143" s="392"/>
      <c r="R143" s="392"/>
      <c r="S143" s="392"/>
      <c r="T143" s="392"/>
      <c r="U143" s="392"/>
      <c r="V143" s="392"/>
      <c r="W143" s="392"/>
      <c r="X143" s="392"/>
      <c r="Y143" s="392"/>
      <c r="Z143" s="392"/>
      <c r="AA143" s="406"/>
      <c r="AB143" s="406"/>
      <c r="AC143" s="392"/>
      <c r="AD143" s="392"/>
      <c r="AE143" s="392"/>
      <c r="AF143" s="392"/>
      <c r="AG143" s="392"/>
      <c r="AH143" s="392"/>
      <c r="AI143" s="392"/>
      <c r="AJ143" s="392"/>
      <c r="AK143" s="392"/>
      <c r="AL143" s="392"/>
      <c r="AM143" s="392"/>
      <c r="AN143" s="392"/>
      <c r="AO143" s="392"/>
      <c r="AP143" s="392"/>
      <c r="AQ143" s="392"/>
      <c r="AR143" s="392"/>
      <c r="AS143" s="392"/>
      <c r="AT143" s="392"/>
      <c r="AU143" s="392"/>
      <c r="AV143" s="392"/>
      <c r="AW143" s="392"/>
      <c r="AX143" s="392"/>
      <c r="AY143" s="392"/>
      <c r="AZ143" s="392"/>
      <c r="BA143" s="392"/>
      <c r="BB143" s="392"/>
      <c r="BC143" s="392"/>
      <c r="BD143" s="392"/>
      <c r="BE143" s="392"/>
      <c r="BF143" s="392"/>
      <c r="BG143" s="392"/>
      <c r="BH143" s="392"/>
      <c r="BI143" s="392"/>
      <c r="BJ143" s="392"/>
      <c r="BK143" s="392"/>
      <c r="BL143" s="392"/>
      <c r="BM143" s="392"/>
      <c r="BN143" s="392"/>
      <c r="BO143" s="392"/>
      <c r="BP143" s="392"/>
      <c r="BQ143" s="392"/>
      <c r="BR143" s="392"/>
      <c r="BS143" s="392"/>
      <c r="BT143" s="392"/>
      <c r="BU143" s="392"/>
      <c r="BV143" s="392"/>
      <c r="BW143" s="392"/>
      <c r="BX143" s="392"/>
      <c r="BY143" s="392"/>
      <c r="BZ143" s="392"/>
      <c r="CA143" s="392"/>
      <c r="CB143" s="392"/>
      <c r="CC143" s="392"/>
      <c r="CD143" s="392"/>
      <c r="CE143" s="392"/>
      <c r="CF143" s="392"/>
      <c r="CG143" s="392"/>
      <c r="CH143" s="392"/>
      <c r="CI143" s="392"/>
      <c r="CJ143" s="392"/>
      <c r="CK143" s="392"/>
      <c r="CL143" s="392"/>
      <c r="CM143" s="392"/>
      <c r="CN143" s="392"/>
      <c r="CO143" s="392"/>
      <c r="CP143" s="392"/>
      <c r="CQ143" s="392"/>
      <c r="CR143" s="392"/>
      <c r="CS143" s="392"/>
      <c r="CT143" s="392"/>
      <c r="CU143" s="392"/>
      <c r="CV143" s="392"/>
      <c r="CW143" s="392"/>
      <c r="CX143" s="392"/>
      <c r="CY143" s="392"/>
      <c r="CZ143" s="392"/>
      <c r="DA143" s="392"/>
    </row>
    <row r="144" spans="1:105" s="393" customFormat="1" ht="29.4" outlineLevel="1" thickBot="1" x14ac:dyDescent="0.35">
      <c r="A144" s="480" t="s">
        <v>1346</v>
      </c>
      <c r="B144" s="481" t="s">
        <v>1065</v>
      </c>
      <c r="C144" s="482" t="s">
        <v>1636</v>
      </c>
      <c r="D144" s="482" t="s">
        <v>1637</v>
      </c>
      <c r="E144" s="476" t="s">
        <v>1245</v>
      </c>
      <c r="F144" s="478" t="s">
        <v>1285</v>
      </c>
      <c r="G144" s="479"/>
      <c r="H144" s="476"/>
      <c r="I144" s="479" t="s">
        <v>1289</v>
      </c>
      <c r="J144" s="413"/>
      <c r="K144" s="412"/>
      <c r="L144" s="412"/>
      <c r="M144" s="391"/>
      <c r="N144" s="391"/>
      <c r="O144" s="392"/>
      <c r="P144" s="392"/>
      <c r="Q144" s="392"/>
      <c r="R144" s="392"/>
      <c r="S144" s="392"/>
      <c r="T144" s="392"/>
      <c r="U144" s="392"/>
      <c r="V144" s="392"/>
      <c r="W144" s="392"/>
      <c r="X144" s="392"/>
      <c r="Y144" s="392"/>
      <c r="Z144" s="392"/>
      <c r="AA144" s="406"/>
      <c r="AB144" s="406"/>
      <c r="AC144" s="392"/>
      <c r="AD144" s="392"/>
      <c r="AE144" s="392"/>
      <c r="AF144" s="392"/>
      <c r="AG144" s="392"/>
      <c r="AH144" s="392"/>
      <c r="AI144" s="392"/>
      <c r="AJ144" s="392"/>
      <c r="AK144" s="392"/>
      <c r="AL144" s="392"/>
      <c r="AM144" s="392"/>
      <c r="AN144" s="392"/>
      <c r="AO144" s="392"/>
      <c r="AP144" s="392"/>
      <c r="AQ144" s="392"/>
      <c r="AR144" s="392"/>
      <c r="AS144" s="392"/>
      <c r="AT144" s="392"/>
      <c r="AU144" s="392"/>
      <c r="AV144" s="392"/>
      <c r="AW144" s="392"/>
      <c r="AX144" s="392"/>
      <c r="AY144" s="392"/>
      <c r="AZ144" s="392"/>
      <c r="BA144" s="392"/>
      <c r="BB144" s="392"/>
      <c r="BC144" s="392"/>
      <c r="BD144" s="392"/>
      <c r="BE144" s="392"/>
      <c r="BF144" s="392"/>
      <c r="BG144" s="392"/>
      <c r="BH144" s="392"/>
      <c r="BI144" s="392"/>
      <c r="BJ144" s="392"/>
      <c r="BK144" s="392"/>
      <c r="BL144" s="392"/>
      <c r="BM144" s="392"/>
      <c r="BN144" s="392"/>
      <c r="BO144" s="392"/>
      <c r="BP144" s="392"/>
      <c r="BQ144" s="392"/>
      <c r="BR144" s="392"/>
      <c r="BS144" s="392"/>
      <c r="BT144" s="392"/>
      <c r="BU144" s="392"/>
      <c r="BV144" s="392"/>
      <c r="BW144" s="392"/>
      <c r="BX144" s="392"/>
      <c r="BY144" s="392"/>
      <c r="BZ144" s="392"/>
      <c r="CA144" s="392"/>
      <c r="CB144" s="392"/>
      <c r="CC144" s="392"/>
      <c r="CD144" s="392"/>
      <c r="CE144" s="392"/>
      <c r="CF144" s="392"/>
      <c r="CG144" s="392"/>
      <c r="CH144" s="392"/>
      <c r="CI144" s="392"/>
      <c r="CJ144" s="392"/>
      <c r="CK144" s="392"/>
      <c r="CL144" s="392"/>
      <c r="CM144" s="392"/>
      <c r="CN144" s="392"/>
      <c r="CO144" s="392"/>
      <c r="CP144" s="392"/>
      <c r="CQ144" s="392"/>
      <c r="CR144" s="392"/>
      <c r="CS144" s="392"/>
      <c r="CT144" s="392"/>
      <c r="CU144" s="392"/>
      <c r="CV144" s="392"/>
      <c r="CW144" s="392"/>
      <c r="CX144" s="392"/>
      <c r="CY144" s="392"/>
      <c r="CZ144" s="392"/>
      <c r="DA144" s="392"/>
    </row>
    <row r="145" spans="1:105" s="393" customFormat="1" ht="15" outlineLevel="1" thickBot="1" x14ac:dyDescent="0.35">
      <c r="A145" s="480" t="s">
        <v>1347</v>
      </c>
      <c r="B145" s="481" t="s">
        <v>1080</v>
      </c>
      <c r="C145" s="482" t="s">
        <v>1637</v>
      </c>
      <c r="D145" s="482" t="s">
        <v>1638</v>
      </c>
      <c r="E145" s="476" t="s">
        <v>1245</v>
      </c>
      <c r="F145" s="478" t="s">
        <v>1285</v>
      </c>
      <c r="G145" s="479"/>
      <c r="H145" s="476"/>
      <c r="I145" s="479" t="s">
        <v>1289</v>
      </c>
      <c r="J145" s="413"/>
      <c r="K145" s="412"/>
      <c r="L145" s="412"/>
      <c r="M145" s="391"/>
      <c r="N145" s="391"/>
      <c r="O145" s="392"/>
      <c r="P145" s="392"/>
      <c r="Q145" s="392"/>
      <c r="R145" s="392"/>
      <c r="S145" s="392"/>
      <c r="T145" s="392"/>
      <c r="U145" s="392"/>
      <c r="V145" s="392"/>
      <c r="W145" s="392"/>
      <c r="X145" s="392"/>
      <c r="Y145" s="392"/>
      <c r="Z145" s="392"/>
      <c r="AA145" s="406"/>
      <c r="AB145" s="406"/>
      <c r="AC145" s="392"/>
      <c r="AD145" s="392"/>
      <c r="AE145" s="392"/>
      <c r="AF145" s="392"/>
      <c r="AG145" s="392"/>
      <c r="AH145" s="392"/>
      <c r="AI145" s="392"/>
      <c r="AJ145" s="392"/>
      <c r="AK145" s="392"/>
      <c r="AL145" s="392"/>
      <c r="AM145" s="392"/>
      <c r="AN145" s="392"/>
      <c r="AO145" s="392"/>
      <c r="AP145" s="392"/>
      <c r="AQ145" s="392"/>
      <c r="AR145" s="392"/>
      <c r="AS145" s="392"/>
      <c r="AT145" s="392"/>
      <c r="AU145" s="392"/>
      <c r="AV145" s="392"/>
      <c r="AW145" s="392"/>
      <c r="AX145" s="392"/>
      <c r="AY145" s="392"/>
      <c r="AZ145" s="392"/>
      <c r="BA145" s="392"/>
      <c r="BB145" s="392"/>
      <c r="BC145" s="392"/>
      <c r="BD145" s="392"/>
      <c r="BE145" s="392"/>
      <c r="BF145" s="392"/>
      <c r="BG145" s="392"/>
      <c r="BH145" s="392"/>
      <c r="BI145" s="392"/>
      <c r="BJ145" s="392"/>
      <c r="BK145" s="392"/>
      <c r="BL145" s="392"/>
      <c r="BM145" s="392"/>
      <c r="BN145" s="392"/>
      <c r="BO145" s="392"/>
      <c r="BP145" s="392"/>
      <c r="BQ145" s="392"/>
      <c r="BR145" s="392"/>
      <c r="BS145" s="392"/>
      <c r="BT145" s="392"/>
      <c r="BU145" s="392"/>
      <c r="BV145" s="392"/>
      <c r="BW145" s="392"/>
      <c r="BX145" s="392"/>
      <c r="BY145" s="392"/>
      <c r="BZ145" s="392"/>
      <c r="CA145" s="392"/>
      <c r="CB145" s="392"/>
      <c r="CC145" s="392"/>
      <c r="CD145" s="392"/>
      <c r="CE145" s="392"/>
      <c r="CF145" s="392"/>
      <c r="CG145" s="392"/>
      <c r="CH145" s="392"/>
      <c r="CI145" s="392"/>
      <c r="CJ145" s="392"/>
      <c r="CK145" s="392"/>
      <c r="CL145" s="392"/>
      <c r="CM145" s="392"/>
      <c r="CN145" s="392"/>
      <c r="CO145" s="392"/>
      <c r="CP145" s="392"/>
      <c r="CQ145" s="392"/>
      <c r="CR145" s="392"/>
      <c r="CS145" s="392"/>
      <c r="CT145" s="392"/>
      <c r="CU145" s="392"/>
      <c r="CV145" s="392"/>
      <c r="CW145" s="392"/>
      <c r="CX145" s="392"/>
      <c r="CY145" s="392"/>
      <c r="CZ145" s="392"/>
      <c r="DA145" s="392"/>
    </row>
    <row r="146" spans="1:105" s="393" customFormat="1" ht="15" outlineLevel="1" thickBot="1" x14ac:dyDescent="0.35">
      <c r="A146" s="480" t="s">
        <v>1348</v>
      </c>
      <c r="B146" s="481" t="s">
        <v>1306</v>
      </c>
      <c r="C146" s="482" t="s">
        <v>1638</v>
      </c>
      <c r="D146" s="482" t="s">
        <v>1639</v>
      </c>
      <c r="E146" s="476" t="s">
        <v>1245</v>
      </c>
      <c r="F146" s="478" t="s">
        <v>1285</v>
      </c>
      <c r="G146" s="479"/>
      <c r="H146" s="476"/>
      <c r="I146" s="479"/>
      <c r="J146" s="413"/>
      <c r="K146" s="412"/>
      <c r="L146" s="412"/>
      <c r="M146" s="391"/>
      <c r="N146" s="391"/>
      <c r="O146" s="392"/>
      <c r="P146" s="392"/>
      <c r="Q146" s="392"/>
      <c r="R146" s="392"/>
      <c r="S146" s="392"/>
      <c r="T146" s="392"/>
      <c r="U146" s="392"/>
      <c r="V146" s="392"/>
      <c r="W146" s="392"/>
      <c r="X146" s="392"/>
      <c r="Y146" s="392"/>
      <c r="Z146" s="392"/>
      <c r="AA146" s="406"/>
      <c r="AB146" s="406"/>
      <c r="AC146" s="392"/>
      <c r="AD146" s="392"/>
      <c r="AE146" s="392"/>
      <c r="AF146" s="392"/>
      <c r="AG146" s="392"/>
      <c r="AH146" s="392"/>
      <c r="AI146" s="392"/>
      <c r="AJ146" s="392"/>
      <c r="AK146" s="392"/>
      <c r="AL146" s="392"/>
      <c r="AM146" s="392"/>
      <c r="AN146" s="392"/>
      <c r="AO146" s="392"/>
      <c r="AP146" s="392"/>
      <c r="AQ146" s="392"/>
      <c r="AR146" s="392"/>
      <c r="AS146" s="392"/>
      <c r="AT146" s="392"/>
      <c r="AU146" s="392"/>
      <c r="AV146" s="392"/>
      <c r="AW146" s="392"/>
      <c r="AX146" s="392"/>
      <c r="AY146" s="392"/>
      <c r="AZ146" s="392"/>
      <c r="BA146" s="392"/>
      <c r="BB146" s="392"/>
      <c r="BC146" s="392"/>
      <c r="BD146" s="392"/>
      <c r="BE146" s="392"/>
      <c r="BF146" s="392"/>
      <c r="BG146" s="392"/>
      <c r="BH146" s="392"/>
      <c r="BI146" s="392"/>
      <c r="BJ146" s="392"/>
      <c r="BK146" s="392"/>
      <c r="BL146" s="392"/>
      <c r="BM146" s="392"/>
      <c r="BN146" s="392"/>
      <c r="BO146" s="392"/>
      <c r="BP146" s="392"/>
      <c r="BQ146" s="392"/>
      <c r="BR146" s="392"/>
      <c r="BS146" s="392"/>
      <c r="BT146" s="392"/>
      <c r="BU146" s="392"/>
      <c r="BV146" s="392"/>
      <c r="BW146" s="392"/>
      <c r="BX146" s="392"/>
      <c r="BY146" s="392"/>
      <c r="BZ146" s="392"/>
      <c r="CA146" s="392"/>
      <c r="CB146" s="392"/>
      <c r="CC146" s="392"/>
      <c r="CD146" s="392"/>
      <c r="CE146" s="392"/>
      <c r="CF146" s="392"/>
      <c r="CG146" s="392"/>
      <c r="CH146" s="392"/>
      <c r="CI146" s="392"/>
      <c r="CJ146" s="392"/>
      <c r="CK146" s="392"/>
      <c r="CL146" s="392"/>
      <c r="CM146" s="392"/>
      <c r="CN146" s="392"/>
      <c r="CO146" s="392"/>
      <c r="CP146" s="392"/>
      <c r="CQ146" s="392"/>
      <c r="CR146" s="392"/>
      <c r="CS146" s="392"/>
      <c r="CT146" s="392"/>
      <c r="CU146" s="392"/>
      <c r="CV146" s="392"/>
      <c r="CW146" s="392"/>
      <c r="CX146" s="392"/>
      <c r="CY146" s="392"/>
      <c r="CZ146" s="392"/>
      <c r="DA146" s="392"/>
    </row>
    <row r="147" spans="1:105" s="393" customFormat="1" ht="15" outlineLevel="1" thickBot="1" x14ac:dyDescent="0.35">
      <c r="A147" s="480" t="s">
        <v>1349</v>
      </c>
      <c r="B147" s="481" t="s">
        <v>1482</v>
      </c>
      <c r="C147" s="482" t="s">
        <v>1639</v>
      </c>
      <c r="D147" s="482" t="s">
        <v>1640</v>
      </c>
      <c r="E147" s="476" t="s">
        <v>1245</v>
      </c>
      <c r="F147" s="478" t="s">
        <v>1285</v>
      </c>
      <c r="G147" s="479"/>
      <c r="H147" s="476"/>
      <c r="I147" s="479" t="s">
        <v>1290</v>
      </c>
      <c r="J147" s="413"/>
      <c r="K147" s="412"/>
      <c r="L147" s="412"/>
      <c r="M147" s="391"/>
      <c r="N147" s="391"/>
      <c r="O147" s="392"/>
      <c r="P147" s="392"/>
      <c r="Q147" s="392"/>
      <c r="R147" s="392"/>
      <c r="S147" s="392"/>
      <c r="T147" s="392"/>
      <c r="U147" s="392"/>
      <c r="V147" s="392"/>
      <c r="W147" s="392"/>
      <c r="X147" s="392"/>
      <c r="Y147" s="392"/>
      <c r="Z147" s="392"/>
      <c r="AA147" s="406"/>
      <c r="AB147" s="406"/>
      <c r="AC147" s="392"/>
      <c r="AD147" s="392"/>
      <c r="AE147" s="392"/>
      <c r="AF147" s="392"/>
      <c r="AG147" s="392"/>
      <c r="AH147" s="392"/>
      <c r="AI147" s="392"/>
      <c r="AJ147" s="392"/>
      <c r="AK147" s="392"/>
      <c r="AL147" s="392"/>
      <c r="AM147" s="392"/>
      <c r="AN147" s="392"/>
      <c r="AO147" s="392"/>
      <c r="AP147" s="392"/>
      <c r="AQ147" s="392"/>
      <c r="AR147" s="392"/>
      <c r="AS147" s="392"/>
      <c r="AT147" s="392"/>
      <c r="AU147" s="392"/>
      <c r="AV147" s="392"/>
      <c r="AW147" s="392"/>
      <c r="AX147" s="392"/>
      <c r="AY147" s="392"/>
      <c r="AZ147" s="392"/>
      <c r="BA147" s="392"/>
      <c r="BB147" s="392"/>
      <c r="BC147" s="392"/>
      <c r="BD147" s="392"/>
      <c r="BE147" s="392"/>
      <c r="BF147" s="392"/>
      <c r="BG147" s="392"/>
      <c r="BH147" s="392"/>
      <c r="BI147" s="392"/>
      <c r="BJ147" s="392"/>
      <c r="BK147" s="392"/>
      <c r="BL147" s="392"/>
      <c r="BM147" s="392"/>
      <c r="BN147" s="392"/>
      <c r="BO147" s="392"/>
      <c r="BP147" s="392"/>
      <c r="BQ147" s="392"/>
      <c r="BR147" s="392"/>
      <c r="BS147" s="392"/>
      <c r="BT147" s="392"/>
      <c r="BU147" s="392"/>
      <c r="BV147" s="392"/>
      <c r="BW147" s="392"/>
      <c r="BX147" s="392"/>
      <c r="BY147" s="392"/>
      <c r="BZ147" s="392"/>
      <c r="CA147" s="392"/>
      <c r="CB147" s="392"/>
      <c r="CC147" s="392"/>
      <c r="CD147" s="392"/>
      <c r="CE147" s="392"/>
      <c r="CF147" s="392"/>
      <c r="CG147" s="392"/>
      <c r="CH147" s="392"/>
      <c r="CI147" s="392"/>
      <c r="CJ147" s="392"/>
      <c r="CK147" s="392"/>
      <c r="CL147" s="392"/>
      <c r="CM147" s="392"/>
      <c r="CN147" s="392"/>
      <c r="CO147" s="392"/>
      <c r="CP147" s="392"/>
      <c r="CQ147" s="392"/>
      <c r="CR147" s="392"/>
      <c r="CS147" s="392"/>
      <c r="CT147" s="392"/>
      <c r="CU147" s="392"/>
      <c r="CV147" s="392"/>
      <c r="CW147" s="392"/>
      <c r="CX147" s="392"/>
      <c r="CY147" s="392"/>
      <c r="CZ147" s="392"/>
      <c r="DA147" s="392"/>
    </row>
    <row r="148" spans="1:105" s="393" customFormat="1" ht="15" outlineLevel="1" thickBot="1" x14ac:dyDescent="0.35">
      <c r="A148" s="480" t="s">
        <v>1350</v>
      </c>
      <c r="B148" s="481" t="s">
        <v>1055</v>
      </c>
      <c r="C148" s="482" t="s">
        <v>1640</v>
      </c>
      <c r="D148" s="482" t="s">
        <v>1641</v>
      </c>
      <c r="E148" s="476" t="s">
        <v>1245</v>
      </c>
      <c r="F148" s="478" t="s">
        <v>1285</v>
      </c>
      <c r="G148" s="479"/>
      <c r="H148" s="476"/>
      <c r="I148" s="479" t="s">
        <v>1296</v>
      </c>
      <c r="J148" s="413"/>
      <c r="K148" s="412"/>
      <c r="L148" s="412"/>
      <c r="M148" s="391"/>
      <c r="N148" s="391"/>
      <c r="O148" s="392"/>
      <c r="P148" s="392"/>
      <c r="Q148" s="392"/>
      <c r="R148" s="392"/>
      <c r="S148" s="392"/>
      <c r="T148" s="392"/>
      <c r="U148" s="392"/>
      <c r="V148" s="392"/>
      <c r="W148" s="392"/>
      <c r="X148" s="392"/>
      <c r="Y148" s="392"/>
      <c r="Z148" s="392"/>
      <c r="AA148" s="406"/>
      <c r="AB148" s="406"/>
      <c r="AC148" s="392"/>
      <c r="AD148" s="392"/>
      <c r="AE148" s="392"/>
      <c r="AF148" s="392"/>
      <c r="AG148" s="392"/>
      <c r="AH148" s="392"/>
      <c r="AI148" s="392"/>
      <c r="AJ148" s="392"/>
      <c r="AK148" s="392"/>
      <c r="AL148" s="392"/>
      <c r="AM148" s="392"/>
      <c r="AN148" s="392"/>
      <c r="AO148" s="392"/>
      <c r="AP148" s="392"/>
      <c r="AQ148" s="392"/>
      <c r="AR148" s="392"/>
      <c r="AS148" s="392"/>
      <c r="AT148" s="392"/>
      <c r="AU148" s="392"/>
      <c r="AV148" s="392"/>
      <c r="AW148" s="392"/>
      <c r="AX148" s="392"/>
      <c r="AY148" s="392"/>
      <c r="AZ148" s="392"/>
      <c r="BA148" s="392"/>
      <c r="BB148" s="392"/>
      <c r="BC148" s="392"/>
      <c r="BD148" s="392"/>
      <c r="BE148" s="392"/>
      <c r="BF148" s="392"/>
      <c r="BG148" s="392"/>
      <c r="BH148" s="392"/>
      <c r="BI148" s="392"/>
      <c r="BJ148" s="392"/>
      <c r="BK148" s="392"/>
      <c r="BL148" s="392"/>
      <c r="BM148" s="392"/>
      <c r="BN148" s="392"/>
      <c r="BO148" s="392"/>
      <c r="BP148" s="392"/>
      <c r="BQ148" s="392"/>
      <c r="BR148" s="392"/>
      <c r="BS148" s="392"/>
      <c r="BT148" s="392"/>
      <c r="BU148" s="392"/>
      <c r="BV148" s="392"/>
      <c r="BW148" s="392"/>
      <c r="BX148" s="392"/>
      <c r="BY148" s="392"/>
      <c r="BZ148" s="392"/>
      <c r="CA148" s="392"/>
      <c r="CB148" s="392"/>
      <c r="CC148" s="392"/>
      <c r="CD148" s="392"/>
      <c r="CE148" s="392"/>
      <c r="CF148" s="392"/>
      <c r="CG148" s="392"/>
      <c r="CH148" s="392"/>
      <c r="CI148" s="392"/>
      <c r="CJ148" s="392"/>
      <c r="CK148" s="392"/>
      <c r="CL148" s="392"/>
      <c r="CM148" s="392"/>
      <c r="CN148" s="392"/>
      <c r="CO148" s="392"/>
      <c r="CP148" s="392"/>
      <c r="CQ148" s="392"/>
      <c r="CR148" s="392"/>
      <c r="CS148" s="392"/>
      <c r="CT148" s="392"/>
      <c r="CU148" s="392"/>
      <c r="CV148" s="392"/>
      <c r="CW148" s="392"/>
      <c r="CX148" s="392"/>
      <c r="CY148" s="392"/>
      <c r="CZ148" s="392"/>
      <c r="DA148" s="392"/>
    </row>
    <row r="149" spans="1:105" s="393" customFormat="1" ht="15" outlineLevel="1" thickBot="1" x14ac:dyDescent="0.35">
      <c r="A149" s="507" t="s">
        <v>1351</v>
      </c>
      <c r="B149" s="504" t="s">
        <v>1132</v>
      </c>
      <c r="C149" s="508" t="s">
        <v>1641</v>
      </c>
      <c r="D149" s="508" t="s">
        <v>1642</v>
      </c>
      <c r="E149" s="509" t="s">
        <v>1245</v>
      </c>
      <c r="F149" s="510" t="s">
        <v>1285</v>
      </c>
      <c r="G149" s="479"/>
      <c r="H149" s="476"/>
      <c r="I149" s="479" t="s">
        <v>1297</v>
      </c>
      <c r="J149" s="413"/>
      <c r="K149" s="412"/>
      <c r="L149" s="412"/>
      <c r="M149" s="391"/>
      <c r="N149" s="391"/>
      <c r="O149" s="392"/>
      <c r="P149" s="392"/>
      <c r="Q149" s="392"/>
      <c r="R149" s="392"/>
      <c r="S149" s="392"/>
      <c r="T149" s="392"/>
      <c r="U149" s="392"/>
      <c r="V149" s="392"/>
      <c r="W149" s="392"/>
      <c r="X149" s="392"/>
      <c r="Y149" s="392"/>
      <c r="Z149" s="392"/>
      <c r="AA149" s="406"/>
      <c r="AB149" s="406"/>
      <c r="AC149" s="392"/>
      <c r="AD149" s="392"/>
      <c r="AE149" s="392"/>
      <c r="AF149" s="392"/>
      <c r="AG149" s="392"/>
      <c r="AH149" s="392"/>
      <c r="AI149" s="392"/>
      <c r="AJ149" s="392"/>
      <c r="AK149" s="392"/>
      <c r="AL149" s="392"/>
      <c r="AM149" s="392"/>
      <c r="AN149" s="392"/>
      <c r="AO149" s="392"/>
      <c r="AP149" s="392"/>
      <c r="AQ149" s="392"/>
      <c r="AR149" s="392"/>
      <c r="AS149" s="392"/>
      <c r="AT149" s="392"/>
      <c r="AU149" s="392"/>
      <c r="AV149" s="392"/>
      <c r="AW149" s="392"/>
      <c r="AX149" s="392"/>
      <c r="AY149" s="392"/>
      <c r="AZ149" s="392"/>
      <c r="BA149" s="392"/>
      <c r="BB149" s="392"/>
      <c r="BC149" s="392"/>
      <c r="BD149" s="392"/>
      <c r="BE149" s="392"/>
      <c r="BF149" s="392"/>
      <c r="BG149" s="392"/>
      <c r="BH149" s="392"/>
      <c r="BI149" s="392"/>
      <c r="BJ149" s="392"/>
      <c r="BK149" s="392"/>
      <c r="BL149" s="392"/>
      <c r="BM149" s="392"/>
      <c r="BN149" s="392"/>
      <c r="BO149" s="392"/>
      <c r="BP149" s="392"/>
      <c r="BQ149" s="392"/>
      <c r="BR149" s="392"/>
      <c r="BS149" s="392"/>
      <c r="BT149" s="392"/>
      <c r="BU149" s="392"/>
      <c r="BV149" s="392"/>
      <c r="BW149" s="392"/>
      <c r="BX149" s="392"/>
      <c r="BY149" s="392"/>
      <c r="BZ149" s="392"/>
      <c r="CA149" s="392"/>
      <c r="CB149" s="392"/>
      <c r="CC149" s="392"/>
      <c r="CD149" s="392"/>
      <c r="CE149" s="392"/>
      <c r="CF149" s="392"/>
      <c r="CG149" s="392"/>
      <c r="CH149" s="392"/>
      <c r="CI149" s="392"/>
      <c r="CJ149" s="392"/>
      <c r="CK149" s="392"/>
      <c r="CL149" s="392"/>
      <c r="CM149" s="392"/>
      <c r="CN149" s="392"/>
      <c r="CO149" s="392"/>
      <c r="CP149" s="392"/>
      <c r="CQ149" s="392"/>
      <c r="CR149" s="392"/>
      <c r="CS149" s="392"/>
      <c r="CT149" s="392"/>
      <c r="CU149" s="392"/>
      <c r="CV149" s="392"/>
      <c r="CW149" s="392"/>
      <c r="CX149" s="392"/>
      <c r="CY149" s="392"/>
      <c r="CZ149" s="392"/>
      <c r="DA149" s="392"/>
    </row>
    <row r="150" spans="1:105" s="393" customFormat="1" ht="15" outlineLevel="1" thickBot="1" x14ac:dyDescent="0.35">
      <c r="A150" s="480" t="s">
        <v>1352</v>
      </c>
      <c r="B150" s="481" t="s">
        <v>1581</v>
      </c>
      <c r="C150" s="502" t="s">
        <v>1640</v>
      </c>
      <c r="D150" s="482" t="s">
        <v>1643</v>
      </c>
      <c r="E150" s="476" t="s">
        <v>1245</v>
      </c>
      <c r="F150" s="478" t="s">
        <v>1285</v>
      </c>
      <c r="G150" s="479"/>
      <c r="H150" s="476"/>
      <c r="I150" s="479"/>
      <c r="J150" s="413"/>
      <c r="K150" s="412"/>
      <c r="L150" s="412"/>
      <c r="M150" s="391"/>
      <c r="N150" s="391"/>
      <c r="O150" s="392"/>
      <c r="P150" s="392"/>
      <c r="Q150" s="392"/>
      <c r="R150" s="392"/>
      <c r="S150" s="392"/>
      <c r="T150" s="392"/>
      <c r="U150" s="392"/>
      <c r="V150" s="392"/>
      <c r="W150" s="392"/>
      <c r="X150" s="392"/>
      <c r="Y150" s="392"/>
      <c r="Z150" s="392"/>
      <c r="AA150" s="406"/>
      <c r="AB150" s="406"/>
      <c r="AC150" s="392"/>
      <c r="AD150" s="392"/>
      <c r="AE150" s="392"/>
      <c r="AF150" s="392"/>
      <c r="AG150" s="392"/>
      <c r="AH150" s="392"/>
      <c r="AI150" s="392"/>
      <c r="AJ150" s="392"/>
      <c r="AK150" s="392"/>
      <c r="AL150" s="392"/>
      <c r="AM150" s="392"/>
      <c r="AN150" s="392"/>
      <c r="AO150" s="392"/>
      <c r="AP150" s="392"/>
      <c r="AQ150" s="392"/>
      <c r="AR150" s="392"/>
      <c r="AS150" s="392"/>
      <c r="AT150" s="392"/>
      <c r="AU150" s="392"/>
      <c r="AV150" s="392"/>
      <c r="AW150" s="392"/>
      <c r="AX150" s="392"/>
      <c r="AY150" s="392"/>
      <c r="AZ150" s="392"/>
      <c r="BA150" s="392"/>
      <c r="BB150" s="392"/>
      <c r="BC150" s="392"/>
      <c r="BD150" s="392"/>
      <c r="BE150" s="392"/>
      <c r="BF150" s="392"/>
      <c r="BG150" s="392"/>
      <c r="BH150" s="392"/>
      <c r="BI150" s="392"/>
      <c r="BJ150" s="392"/>
      <c r="BK150" s="392"/>
      <c r="BL150" s="392"/>
      <c r="BM150" s="392"/>
      <c r="BN150" s="392"/>
      <c r="BO150" s="392"/>
      <c r="BP150" s="392"/>
      <c r="BQ150" s="392"/>
      <c r="BR150" s="392"/>
      <c r="BS150" s="392"/>
      <c r="BT150" s="392"/>
      <c r="BU150" s="392"/>
      <c r="BV150" s="392"/>
      <c r="BW150" s="392"/>
      <c r="BX150" s="392"/>
      <c r="BY150" s="392"/>
      <c r="BZ150" s="392"/>
      <c r="CA150" s="392"/>
      <c r="CB150" s="392"/>
      <c r="CC150" s="392"/>
      <c r="CD150" s="392"/>
      <c r="CE150" s="392"/>
      <c r="CF150" s="392"/>
      <c r="CG150" s="392"/>
      <c r="CH150" s="392"/>
      <c r="CI150" s="392"/>
      <c r="CJ150" s="392"/>
      <c r="CK150" s="392"/>
      <c r="CL150" s="392"/>
      <c r="CM150" s="392"/>
      <c r="CN150" s="392"/>
      <c r="CO150" s="392"/>
      <c r="CP150" s="392"/>
      <c r="CQ150" s="392"/>
      <c r="CR150" s="392"/>
      <c r="CS150" s="392"/>
      <c r="CT150" s="392"/>
      <c r="CU150" s="392"/>
      <c r="CV150" s="392"/>
      <c r="CW150" s="392"/>
      <c r="CX150" s="392"/>
      <c r="CY150" s="392"/>
      <c r="CZ150" s="392"/>
      <c r="DA150" s="392"/>
    </row>
    <row r="151" spans="1:105" s="393" customFormat="1" ht="15" outlineLevel="1" thickBot="1" x14ac:dyDescent="0.35">
      <c r="A151" s="480" t="s">
        <v>1353</v>
      </c>
      <c r="B151" s="481" t="s">
        <v>1104</v>
      </c>
      <c r="C151" s="502" t="s">
        <v>1640</v>
      </c>
      <c r="D151" s="482" t="s">
        <v>1643</v>
      </c>
      <c r="E151" s="476" t="s">
        <v>1245</v>
      </c>
      <c r="F151" s="478" t="s">
        <v>1285</v>
      </c>
      <c r="G151" s="479"/>
      <c r="H151" s="476"/>
      <c r="I151" s="479" t="s">
        <v>1296</v>
      </c>
      <c r="J151" s="413"/>
      <c r="K151" s="412"/>
      <c r="L151" s="412"/>
      <c r="M151" s="391"/>
      <c r="N151" s="391"/>
      <c r="O151" s="392"/>
      <c r="P151" s="392"/>
      <c r="Q151" s="392"/>
      <c r="R151" s="392"/>
      <c r="S151" s="392"/>
      <c r="T151" s="392"/>
      <c r="U151" s="392"/>
      <c r="V151" s="392"/>
      <c r="W151" s="392"/>
      <c r="X151" s="392"/>
      <c r="Y151" s="392"/>
      <c r="Z151" s="392"/>
      <c r="AA151" s="406"/>
      <c r="AB151" s="406"/>
      <c r="AC151" s="392"/>
      <c r="AD151" s="392"/>
      <c r="AE151" s="392"/>
      <c r="AF151" s="392"/>
      <c r="AG151" s="392"/>
      <c r="AH151" s="392"/>
      <c r="AI151" s="392"/>
      <c r="AJ151" s="392"/>
      <c r="AK151" s="392"/>
      <c r="AL151" s="392"/>
      <c r="AM151" s="392"/>
      <c r="AN151" s="392"/>
      <c r="AO151" s="392"/>
      <c r="AP151" s="392"/>
      <c r="AQ151" s="392"/>
      <c r="AR151" s="392"/>
      <c r="AS151" s="392"/>
      <c r="AT151" s="392"/>
      <c r="AU151" s="392"/>
      <c r="AV151" s="392"/>
      <c r="AW151" s="392"/>
      <c r="AX151" s="392"/>
      <c r="AY151" s="392"/>
      <c r="AZ151" s="392"/>
      <c r="BA151" s="392"/>
      <c r="BB151" s="392"/>
      <c r="BC151" s="392"/>
      <c r="BD151" s="392"/>
      <c r="BE151" s="392"/>
      <c r="BF151" s="392"/>
      <c r="BG151" s="392"/>
      <c r="BH151" s="392"/>
      <c r="BI151" s="392"/>
      <c r="BJ151" s="392"/>
      <c r="BK151" s="392"/>
      <c r="BL151" s="392"/>
      <c r="BM151" s="392"/>
      <c r="BN151" s="392"/>
      <c r="BO151" s="392"/>
      <c r="BP151" s="392"/>
      <c r="BQ151" s="392"/>
      <c r="BR151" s="392"/>
      <c r="BS151" s="392"/>
      <c r="BT151" s="392"/>
      <c r="BU151" s="392"/>
      <c r="BV151" s="392"/>
      <c r="BW151" s="392"/>
      <c r="BX151" s="392"/>
      <c r="BY151" s="392"/>
      <c r="BZ151" s="392"/>
      <c r="CA151" s="392"/>
      <c r="CB151" s="392"/>
      <c r="CC151" s="392"/>
      <c r="CD151" s="392"/>
      <c r="CE151" s="392"/>
      <c r="CF151" s="392"/>
      <c r="CG151" s="392"/>
      <c r="CH151" s="392"/>
      <c r="CI151" s="392"/>
      <c r="CJ151" s="392"/>
      <c r="CK151" s="392"/>
      <c r="CL151" s="392"/>
      <c r="CM151" s="392"/>
      <c r="CN151" s="392"/>
      <c r="CO151" s="392"/>
      <c r="CP151" s="392"/>
      <c r="CQ151" s="392"/>
      <c r="CR151" s="392"/>
      <c r="CS151" s="392"/>
      <c r="CT151" s="392"/>
      <c r="CU151" s="392"/>
      <c r="CV151" s="392"/>
      <c r="CW151" s="392"/>
      <c r="CX151" s="392"/>
      <c r="CY151" s="392"/>
      <c r="CZ151" s="392"/>
      <c r="DA151" s="392"/>
    </row>
    <row r="152" spans="1:105" s="393" customFormat="1" ht="29.4" outlineLevel="1" thickBot="1" x14ac:dyDescent="0.35">
      <c r="A152" s="480" t="s">
        <v>1354</v>
      </c>
      <c r="B152" s="481" t="s">
        <v>1107</v>
      </c>
      <c r="C152" s="502" t="s">
        <v>1640</v>
      </c>
      <c r="D152" s="482" t="s">
        <v>1643</v>
      </c>
      <c r="E152" s="476" t="s">
        <v>1245</v>
      </c>
      <c r="F152" s="478" t="s">
        <v>1285</v>
      </c>
      <c r="G152" s="479"/>
      <c r="H152" s="476"/>
      <c r="I152" s="479" t="s">
        <v>1298</v>
      </c>
      <c r="J152" s="413"/>
      <c r="K152" s="412"/>
      <c r="L152" s="412"/>
      <c r="M152" s="391"/>
      <c r="N152" s="391"/>
      <c r="O152" s="392"/>
      <c r="P152" s="392"/>
      <c r="Q152" s="392"/>
      <c r="R152" s="392"/>
      <c r="S152" s="392"/>
      <c r="T152" s="392"/>
      <c r="U152" s="392"/>
      <c r="V152" s="392"/>
      <c r="W152" s="392"/>
      <c r="X152" s="392"/>
      <c r="Y152" s="392"/>
      <c r="Z152" s="392"/>
      <c r="AA152" s="406"/>
      <c r="AB152" s="406"/>
      <c r="AC152" s="392"/>
      <c r="AD152" s="392"/>
      <c r="AE152" s="392"/>
      <c r="AF152" s="392"/>
      <c r="AG152" s="392"/>
      <c r="AH152" s="392"/>
      <c r="AI152" s="392"/>
      <c r="AJ152" s="392"/>
      <c r="AK152" s="392"/>
      <c r="AL152" s="392"/>
      <c r="AM152" s="392"/>
      <c r="AN152" s="392"/>
      <c r="AO152" s="392"/>
      <c r="AP152" s="392"/>
      <c r="AQ152" s="392"/>
      <c r="AR152" s="392"/>
      <c r="AS152" s="392"/>
      <c r="AT152" s="392"/>
      <c r="AU152" s="392"/>
      <c r="AV152" s="392"/>
      <c r="AW152" s="392"/>
      <c r="AX152" s="392"/>
      <c r="AY152" s="392"/>
      <c r="AZ152" s="392"/>
      <c r="BA152" s="392"/>
      <c r="BB152" s="392"/>
      <c r="BC152" s="392"/>
      <c r="BD152" s="392"/>
      <c r="BE152" s="392"/>
      <c r="BF152" s="392"/>
      <c r="BG152" s="392"/>
      <c r="BH152" s="392"/>
      <c r="BI152" s="392"/>
      <c r="BJ152" s="392"/>
      <c r="BK152" s="392"/>
      <c r="BL152" s="392"/>
      <c r="BM152" s="392"/>
      <c r="BN152" s="392"/>
      <c r="BO152" s="392"/>
      <c r="BP152" s="392"/>
      <c r="BQ152" s="392"/>
      <c r="BR152" s="392"/>
      <c r="BS152" s="392"/>
      <c r="BT152" s="392"/>
      <c r="BU152" s="392"/>
      <c r="BV152" s="392"/>
      <c r="BW152" s="392"/>
      <c r="BX152" s="392"/>
      <c r="BY152" s="392"/>
      <c r="BZ152" s="392"/>
      <c r="CA152" s="392"/>
      <c r="CB152" s="392"/>
      <c r="CC152" s="392"/>
      <c r="CD152" s="392"/>
      <c r="CE152" s="392"/>
      <c r="CF152" s="392"/>
      <c r="CG152" s="392"/>
      <c r="CH152" s="392"/>
      <c r="CI152" s="392"/>
      <c r="CJ152" s="392"/>
      <c r="CK152" s="392"/>
      <c r="CL152" s="392"/>
      <c r="CM152" s="392"/>
      <c r="CN152" s="392"/>
      <c r="CO152" s="392"/>
      <c r="CP152" s="392"/>
      <c r="CQ152" s="392"/>
      <c r="CR152" s="392"/>
      <c r="CS152" s="392"/>
      <c r="CT152" s="392"/>
      <c r="CU152" s="392"/>
      <c r="CV152" s="392"/>
      <c r="CW152" s="392"/>
      <c r="CX152" s="392"/>
      <c r="CY152" s="392"/>
      <c r="CZ152" s="392"/>
      <c r="DA152" s="392"/>
    </row>
    <row r="153" spans="1:105" s="393" customFormat="1" ht="15" outlineLevel="1" thickBot="1" x14ac:dyDescent="0.35">
      <c r="A153" s="480" t="s">
        <v>1355</v>
      </c>
      <c r="B153" s="481" t="s">
        <v>1105</v>
      </c>
      <c r="C153" s="502" t="s">
        <v>1640</v>
      </c>
      <c r="D153" s="482" t="s">
        <v>1643</v>
      </c>
      <c r="E153" s="476" t="s">
        <v>1245</v>
      </c>
      <c r="F153" s="478" t="s">
        <v>1285</v>
      </c>
      <c r="G153" s="479"/>
      <c r="H153" s="476"/>
      <c r="I153" s="479"/>
      <c r="J153" s="413"/>
      <c r="K153" s="412"/>
      <c r="L153" s="412"/>
      <c r="M153" s="391"/>
      <c r="N153" s="391"/>
      <c r="O153" s="392"/>
      <c r="P153" s="392"/>
      <c r="Q153" s="392"/>
      <c r="R153" s="392"/>
      <c r="S153" s="392"/>
      <c r="T153" s="392"/>
      <c r="U153" s="392"/>
      <c r="V153" s="392"/>
      <c r="W153" s="392"/>
      <c r="X153" s="392"/>
      <c r="Y153" s="392"/>
      <c r="Z153" s="392"/>
      <c r="AA153" s="406"/>
      <c r="AB153" s="406"/>
      <c r="AC153" s="392"/>
      <c r="AD153" s="392"/>
      <c r="AE153" s="392"/>
      <c r="AF153" s="392"/>
      <c r="AG153" s="392"/>
      <c r="AH153" s="392"/>
      <c r="AI153" s="392"/>
      <c r="AJ153" s="392"/>
      <c r="AK153" s="392"/>
      <c r="AL153" s="392"/>
      <c r="AM153" s="392"/>
      <c r="AN153" s="392"/>
      <c r="AO153" s="392"/>
      <c r="AP153" s="392"/>
      <c r="AQ153" s="392"/>
      <c r="AR153" s="392"/>
      <c r="AS153" s="392"/>
      <c r="AT153" s="392"/>
      <c r="AU153" s="392"/>
      <c r="AV153" s="392"/>
      <c r="AW153" s="392"/>
      <c r="AX153" s="392"/>
      <c r="AY153" s="392"/>
      <c r="AZ153" s="392"/>
      <c r="BA153" s="392"/>
      <c r="BB153" s="392"/>
      <c r="BC153" s="392"/>
      <c r="BD153" s="392"/>
      <c r="BE153" s="392"/>
      <c r="BF153" s="392"/>
      <c r="BG153" s="392"/>
      <c r="BH153" s="392"/>
      <c r="BI153" s="392"/>
      <c r="BJ153" s="392"/>
      <c r="BK153" s="392"/>
      <c r="BL153" s="392"/>
      <c r="BM153" s="392"/>
      <c r="BN153" s="392"/>
      <c r="BO153" s="392"/>
      <c r="BP153" s="392"/>
      <c r="BQ153" s="392"/>
      <c r="BR153" s="392"/>
      <c r="BS153" s="392"/>
      <c r="BT153" s="392"/>
      <c r="BU153" s="392"/>
      <c r="BV153" s="392"/>
      <c r="BW153" s="392"/>
      <c r="BX153" s="392"/>
      <c r="BY153" s="392"/>
      <c r="BZ153" s="392"/>
      <c r="CA153" s="392"/>
      <c r="CB153" s="392"/>
      <c r="CC153" s="392"/>
      <c r="CD153" s="392"/>
      <c r="CE153" s="392"/>
      <c r="CF153" s="392"/>
      <c r="CG153" s="392"/>
      <c r="CH153" s="392"/>
      <c r="CI153" s="392"/>
      <c r="CJ153" s="392"/>
      <c r="CK153" s="392"/>
      <c r="CL153" s="392"/>
      <c r="CM153" s="392"/>
      <c r="CN153" s="392"/>
      <c r="CO153" s="392"/>
      <c r="CP153" s="392"/>
      <c r="CQ153" s="392"/>
      <c r="CR153" s="392"/>
      <c r="CS153" s="392"/>
      <c r="CT153" s="392"/>
      <c r="CU153" s="392"/>
      <c r="CV153" s="392"/>
      <c r="CW153" s="392"/>
      <c r="CX153" s="392"/>
      <c r="CY153" s="392"/>
      <c r="CZ153" s="392"/>
      <c r="DA153" s="392"/>
    </row>
    <row r="154" spans="1:105" s="393" customFormat="1" ht="15" outlineLevel="1" thickBot="1" x14ac:dyDescent="0.35">
      <c r="A154" s="480" t="s">
        <v>1356</v>
      </c>
      <c r="B154" s="481" t="s">
        <v>1109</v>
      </c>
      <c r="C154" s="502" t="s">
        <v>1640</v>
      </c>
      <c r="D154" s="482" t="s">
        <v>1643</v>
      </c>
      <c r="E154" s="476" t="s">
        <v>1245</v>
      </c>
      <c r="F154" s="478" t="s">
        <v>1285</v>
      </c>
      <c r="G154" s="479"/>
      <c r="H154" s="476"/>
      <c r="I154" s="479"/>
      <c r="J154" s="413"/>
      <c r="K154" s="412"/>
      <c r="L154" s="412"/>
      <c r="M154" s="391"/>
      <c r="N154" s="391"/>
      <c r="O154" s="392"/>
      <c r="P154" s="392"/>
      <c r="Q154" s="392"/>
      <c r="R154" s="392"/>
      <c r="S154" s="392"/>
      <c r="T154" s="392"/>
      <c r="U154" s="392"/>
      <c r="V154" s="392"/>
      <c r="W154" s="392"/>
      <c r="X154" s="392"/>
      <c r="Y154" s="392"/>
      <c r="Z154" s="392"/>
      <c r="AA154" s="406"/>
      <c r="AB154" s="406"/>
      <c r="AC154" s="392"/>
      <c r="AD154" s="392"/>
      <c r="AE154" s="392"/>
      <c r="AF154" s="392"/>
      <c r="AG154" s="392"/>
      <c r="AH154" s="392"/>
      <c r="AI154" s="392"/>
      <c r="AJ154" s="392"/>
      <c r="AK154" s="392"/>
      <c r="AL154" s="392"/>
      <c r="AM154" s="392"/>
      <c r="AN154" s="392"/>
      <c r="AO154" s="392"/>
      <c r="AP154" s="392"/>
      <c r="AQ154" s="392"/>
      <c r="AR154" s="392"/>
      <c r="AS154" s="392"/>
      <c r="AT154" s="392"/>
      <c r="AU154" s="392"/>
      <c r="AV154" s="392"/>
      <c r="AW154" s="392"/>
      <c r="AX154" s="392"/>
      <c r="AY154" s="392"/>
      <c r="AZ154" s="392"/>
      <c r="BA154" s="392"/>
      <c r="BB154" s="392"/>
      <c r="BC154" s="392"/>
      <c r="BD154" s="392"/>
      <c r="BE154" s="392"/>
      <c r="BF154" s="392"/>
      <c r="BG154" s="392"/>
      <c r="BH154" s="392"/>
      <c r="BI154" s="392"/>
      <c r="BJ154" s="392"/>
      <c r="BK154" s="392"/>
      <c r="BL154" s="392"/>
      <c r="BM154" s="392"/>
      <c r="BN154" s="392"/>
      <c r="BO154" s="392"/>
      <c r="BP154" s="392"/>
      <c r="BQ154" s="392"/>
      <c r="BR154" s="392"/>
      <c r="BS154" s="392"/>
      <c r="BT154" s="392"/>
      <c r="BU154" s="392"/>
      <c r="BV154" s="392"/>
      <c r="BW154" s="392"/>
      <c r="BX154" s="392"/>
      <c r="BY154" s="392"/>
      <c r="BZ154" s="392"/>
      <c r="CA154" s="392"/>
      <c r="CB154" s="392"/>
      <c r="CC154" s="392"/>
      <c r="CD154" s="392"/>
      <c r="CE154" s="392"/>
      <c r="CF154" s="392"/>
      <c r="CG154" s="392"/>
      <c r="CH154" s="392"/>
      <c r="CI154" s="392"/>
      <c r="CJ154" s="392"/>
      <c r="CK154" s="392"/>
      <c r="CL154" s="392"/>
      <c r="CM154" s="392"/>
      <c r="CN154" s="392"/>
      <c r="CO154" s="392"/>
      <c r="CP154" s="392"/>
      <c r="CQ154" s="392"/>
      <c r="CR154" s="392"/>
      <c r="CS154" s="392"/>
      <c r="CT154" s="392"/>
      <c r="CU154" s="392"/>
      <c r="CV154" s="392"/>
      <c r="CW154" s="392"/>
      <c r="CX154" s="392"/>
      <c r="CY154" s="392"/>
      <c r="CZ154" s="392"/>
      <c r="DA154" s="392"/>
    </row>
    <row r="155" spans="1:105" s="393" customFormat="1" ht="15" outlineLevel="1" thickBot="1" x14ac:dyDescent="0.35">
      <c r="A155" s="480" t="s">
        <v>1357</v>
      </c>
      <c r="B155" s="481" t="s">
        <v>1106</v>
      </c>
      <c r="C155" s="502" t="s">
        <v>1640</v>
      </c>
      <c r="D155" s="482" t="s">
        <v>1643</v>
      </c>
      <c r="E155" s="476" t="s">
        <v>1245</v>
      </c>
      <c r="F155" s="478" t="s">
        <v>1285</v>
      </c>
      <c r="G155" s="479"/>
      <c r="H155" s="476"/>
      <c r="I155" s="479"/>
      <c r="J155" s="413"/>
      <c r="K155" s="412"/>
      <c r="L155" s="412"/>
      <c r="M155" s="391"/>
      <c r="N155" s="391"/>
      <c r="O155" s="392"/>
      <c r="P155" s="392"/>
      <c r="Q155" s="392"/>
      <c r="R155" s="392"/>
      <c r="S155" s="392"/>
      <c r="T155" s="392"/>
      <c r="U155" s="392"/>
      <c r="V155" s="392"/>
      <c r="W155" s="392"/>
      <c r="X155" s="392"/>
      <c r="Y155" s="392"/>
      <c r="Z155" s="392"/>
      <c r="AA155" s="406"/>
      <c r="AB155" s="406"/>
      <c r="AC155" s="392"/>
      <c r="AD155" s="392"/>
      <c r="AE155" s="392"/>
      <c r="AF155" s="392"/>
      <c r="AG155" s="392"/>
      <c r="AH155" s="392"/>
      <c r="AI155" s="392"/>
      <c r="AJ155" s="392"/>
      <c r="AK155" s="392"/>
      <c r="AL155" s="392"/>
      <c r="AM155" s="392"/>
      <c r="AN155" s="392"/>
      <c r="AO155" s="392"/>
      <c r="AP155" s="392"/>
      <c r="AQ155" s="392"/>
      <c r="AR155" s="392"/>
      <c r="AS155" s="392"/>
      <c r="AT155" s="392"/>
      <c r="AU155" s="392"/>
      <c r="AV155" s="392"/>
      <c r="AW155" s="392"/>
      <c r="AX155" s="392"/>
      <c r="AY155" s="392"/>
      <c r="AZ155" s="392"/>
      <c r="BA155" s="392"/>
      <c r="BB155" s="392"/>
      <c r="BC155" s="392"/>
      <c r="BD155" s="392"/>
      <c r="BE155" s="392"/>
      <c r="BF155" s="392"/>
      <c r="BG155" s="392"/>
      <c r="BH155" s="392"/>
      <c r="BI155" s="392"/>
      <c r="BJ155" s="392"/>
      <c r="BK155" s="392"/>
      <c r="BL155" s="392"/>
      <c r="BM155" s="392"/>
      <c r="BN155" s="392"/>
      <c r="BO155" s="392"/>
      <c r="BP155" s="392"/>
      <c r="BQ155" s="392"/>
      <c r="BR155" s="392"/>
      <c r="BS155" s="392"/>
      <c r="BT155" s="392"/>
      <c r="BU155" s="392"/>
      <c r="BV155" s="392"/>
      <c r="BW155" s="392"/>
      <c r="BX155" s="392"/>
      <c r="BY155" s="392"/>
      <c r="BZ155" s="392"/>
      <c r="CA155" s="392"/>
      <c r="CB155" s="392"/>
      <c r="CC155" s="392"/>
      <c r="CD155" s="392"/>
      <c r="CE155" s="392"/>
      <c r="CF155" s="392"/>
      <c r="CG155" s="392"/>
      <c r="CH155" s="392"/>
      <c r="CI155" s="392"/>
      <c r="CJ155" s="392"/>
      <c r="CK155" s="392"/>
      <c r="CL155" s="392"/>
      <c r="CM155" s="392"/>
      <c r="CN155" s="392"/>
      <c r="CO155" s="392"/>
      <c r="CP155" s="392"/>
      <c r="CQ155" s="392"/>
      <c r="CR155" s="392"/>
      <c r="CS155" s="392"/>
      <c r="CT155" s="392"/>
      <c r="CU155" s="392"/>
      <c r="CV155" s="392"/>
      <c r="CW155" s="392"/>
      <c r="CX155" s="392"/>
      <c r="CY155" s="392"/>
      <c r="CZ155" s="392"/>
      <c r="DA155" s="392"/>
    </row>
    <row r="156" spans="1:105" s="393" customFormat="1" ht="15" outlineLevel="1" thickBot="1" x14ac:dyDescent="0.35">
      <c r="A156" s="480" t="s">
        <v>1358</v>
      </c>
      <c r="B156" s="481" t="s">
        <v>1401</v>
      </c>
      <c r="C156" s="502" t="s">
        <v>1640</v>
      </c>
      <c r="D156" s="482" t="s">
        <v>1643</v>
      </c>
      <c r="E156" s="476" t="s">
        <v>1245</v>
      </c>
      <c r="F156" s="478" t="s">
        <v>1481</v>
      </c>
      <c r="G156" s="479"/>
      <c r="H156" s="476"/>
      <c r="I156" s="479" t="s">
        <v>1299</v>
      </c>
      <c r="J156" s="413"/>
      <c r="K156" s="412"/>
      <c r="L156" s="412"/>
      <c r="M156" s="391"/>
      <c r="N156" s="391"/>
      <c r="O156" s="392"/>
      <c r="P156" s="392"/>
      <c r="Q156" s="392"/>
      <c r="R156" s="392"/>
      <c r="S156" s="392"/>
      <c r="T156" s="392"/>
      <c r="U156" s="392"/>
      <c r="V156" s="392"/>
      <c r="W156" s="392"/>
      <c r="X156" s="392"/>
      <c r="Y156" s="392"/>
      <c r="Z156" s="392"/>
      <c r="AA156" s="406"/>
      <c r="AB156" s="406"/>
      <c r="AC156" s="392"/>
      <c r="AD156" s="392"/>
      <c r="AE156" s="392"/>
      <c r="AF156" s="392"/>
      <c r="AG156" s="392"/>
      <c r="AH156" s="392"/>
      <c r="AI156" s="392"/>
      <c r="AJ156" s="392"/>
      <c r="AK156" s="392"/>
      <c r="AL156" s="392"/>
      <c r="AM156" s="392"/>
      <c r="AN156" s="392"/>
      <c r="AO156" s="392"/>
      <c r="AP156" s="392"/>
      <c r="AQ156" s="392"/>
      <c r="AR156" s="392"/>
      <c r="AS156" s="392"/>
      <c r="AT156" s="392"/>
      <c r="AU156" s="392"/>
      <c r="AV156" s="392"/>
      <c r="AW156" s="392"/>
      <c r="AX156" s="392"/>
      <c r="AY156" s="392"/>
      <c r="AZ156" s="392"/>
      <c r="BA156" s="392"/>
      <c r="BB156" s="392"/>
      <c r="BC156" s="392"/>
      <c r="BD156" s="392"/>
      <c r="BE156" s="392"/>
      <c r="BF156" s="392"/>
      <c r="BG156" s="392"/>
      <c r="BH156" s="392"/>
      <c r="BI156" s="392"/>
      <c r="BJ156" s="392"/>
      <c r="BK156" s="392"/>
      <c r="BL156" s="392"/>
      <c r="BM156" s="392"/>
      <c r="BN156" s="392"/>
      <c r="BO156" s="392"/>
      <c r="BP156" s="392"/>
      <c r="BQ156" s="392"/>
      <c r="BR156" s="392"/>
      <c r="BS156" s="392"/>
      <c r="BT156" s="392"/>
      <c r="BU156" s="392"/>
      <c r="BV156" s="392"/>
      <c r="BW156" s="392"/>
      <c r="BX156" s="392"/>
      <c r="BY156" s="392"/>
      <c r="BZ156" s="392"/>
      <c r="CA156" s="392"/>
      <c r="CB156" s="392"/>
      <c r="CC156" s="392"/>
      <c r="CD156" s="392"/>
      <c r="CE156" s="392"/>
      <c r="CF156" s="392"/>
      <c r="CG156" s="392"/>
      <c r="CH156" s="392"/>
      <c r="CI156" s="392"/>
      <c r="CJ156" s="392"/>
      <c r="CK156" s="392"/>
      <c r="CL156" s="392"/>
      <c r="CM156" s="392"/>
      <c r="CN156" s="392"/>
      <c r="CO156" s="392"/>
      <c r="CP156" s="392"/>
      <c r="CQ156" s="392"/>
      <c r="CR156" s="392"/>
      <c r="CS156" s="392"/>
      <c r="CT156" s="392"/>
      <c r="CU156" s="392"/>
      <c r="CV156" s="392"/>
      <c r="CW156" s="392"/>
      <c r="CX156" s="392"/>
      <c r="CY156" s="392"/>
      <c r="CZ156" s="392"/>
      <c r="DA156" s="392"/>
    </row>
    <row r="157" spans="1:105" s="393" customFormat="1" ht="15" outlineLevel="1" thickBot="1" x14ac:dyDescent="0.35">
      <c r="A157" s="480" t="s">
        <v>1359</v>
      </c>
      <c r="B157" s="481" t="s">
        <v>1582</v>
      </c>
      <c r="C157" s="502" t="s">
        <v>1640</v>
      </c>
      <c r="D157" s="482" t="s">
        <v>1643</v>
      </c>
      <c r="E157" s="476" t="s">
        <v>1245</v>
      </c>
      <c r="F157" s="478" t="s">
        <v>1481</v>
      </c>
      <c r="G157" s="479"/>
      <c r="H157" s="476"/>
      <c r="I157" s="479" t="s">
        <v>1300</v>
      </c>
      <c r="J157" s="413"/>
      <c r="K157" s="412"/>
      <c r="L157" s="412"/>
      <c r="M157" s="391"/>
      <c r="N157" s="391"/>
      <c r="O157" s="392"/>
      <c r="P157" s="392"/>
      <c r="Q157" s="392"/>
      <c r="R157" s="392"/>
      <c r="S157" s="392"/>
      <c r="T157" s="392"/>
      <c r="U157" s="392"/>
      <c r="V157" s="392"/>
      <c r="W157" s="392"/>
      <c r="X157" s="392"/>
      <c r="Y157" s="392"/>
      <c r="Z157" s="392"/>
      <c r="AA157" s="406"/>
      <c r="AB157" s="406"/>
      <c r="AC157" s="392"/>
      <c r="AD157" s="392"/>
      <c r="AE157" s="392"/>
      <c r="AF157" s="392"/>
      <c r="AG157" s="392"/>
      <c r="AH157" s="392"/>
      <c r="AI157" s="392"/>
      <c r="AJ157" s="392"/>
      <c r="AK157" s="392"/>
      <c r="AL157" s="392"/>
      <c r="AM157" s="392"/>
      <c r="AN157" s="392"/>
      <c r="AO157" s="392"/>
      <c r="AP157" s="392"/>
      <c r="AQ157" s="392"/>
      <c r="AR157" s="392"/>
      <c r="AS157" s="392"/>
      <c r="AT157" s="392"/>
      <c r="AU157" s="392"/>
      <c r="AV157" s="392"/>
      <c r="AW157" s="392"/>
      <c r="AX157" s="392"/>
      <c r="AY157" s="392"/>
      <c r="AZ157" s="392"/>
      <c r="BA157" s="392"/>
      <c r="BB157" s="392"/>
      <c r="BC157" s="392"/>
      <c r="BD157" s="392"/>
      <c r="BE157" s="392"/>
      <c r="BF157" s="392"/>
      <c r="BG157" s="392"/>
      <c r="BH157" s="392"/>
      <c r="BI157" s="392"/>
      <c r="BJ157" s="392"/>
      <c r="BK157" s="392"/>
      <c r="BL157" s="392"/>
      <c r="BM157" s="392"/>
      <c r="BN157" s="392"/>
      <c r="BO157" s="392"/>
      <c r="BP157" s="392"/>
      <c r="BQ157" s="392"/>
      <c r="BR157" s="392"/>
      <c r="BS157" s="392"/>
      <c r="BT157" s="392"/>
      <c r="BU157" s="392"/>
      <c r="BV157" s="392"/>
      <c r="BW157" s="392"/>
      <c r="BX157" s="392"/>
      <c r="BY157" s="392"/>
      <c r="BZ157" s="392"/>
      <c r="CA157" s="392"/>
      <c r="CB157" s="392"/>
      <c r="CC157" s="392"/>
      <c r="CD157" s="392"/>
      <c r="CE157" s="392"/>
      <c r="CF157" s="392"/>
      <c r="CG157" s="392"/>
      <c r="CH157" s="392"/>
      <c r="CI157" s="392"/>
      <c r="CJ157" s="392"/>
      <c r="CK157" s="392"/>
      <c r="CL157" s="392"/>
      <c r="CM157" s="392"/>
      <c r="CN157" s="392"/>
      <c r="CO157" s="392"/>
      <c r="CP157" s="392"/>
      <c r="CQ157" s="392"/>
      <c r="CR157" s="392"/>
      <c r="CS157" s="392"/>
      <c r="CT157" s="392"/>
      <c r="CU157" s="392"/>
      <c r="CV157" s="392"/>
      <c r="CW157" s="392"/>
      <c r="CX157" s="392"/>
      <c r="CY157" s="392"/>
      <c r="CZ157" s="392"/>
      <c r="DA157" s="392"/>
    </row>
    <row r="158" spans="1:105" s="393" customFormat="1" ht="15" outlineLevel="1" thickBot="1" x14ac:dyDescent="0.35">
      <c r="A158" s="480" t="s">
        <v>1360</v>
      </c>
      <c r="B158" s="481" t="s">
        <v>1110</v>
      </c>
      <c r="C158" s="502" t="s">
        <v>1640</v>
      </c>
      <c r="D158" s="482" t="s">
        <v>1643</v>
      </c>
      <c r="E158" s="476" t="s">
        <v>1245</v>
      </c>
      <c r="F158" s="478" t="s">
        <v>1285</v>
      </c>
      <c r="G158" s="479"/>
      <c r="H158" s="476"/>
      <c r="I158" s="479" t="s">
        <v>1296</v>
      </c>
      <c r="J158" s="413"/>
      <c r="K158" s="412"/>
      <c r="L158" s="412"/>
      <c r="M158" s="391"/>
      <c r="N158" s="391"/>
      <c r="O158" s="392"/>
      <c r="P158" s="392"/>
      <c r="Q158" s="392"/>
      <c r="R158" s="392"/>
      <c r="S158" s="392"/>
      <c r="T158" s="392"/>
      <c r="U158" s="392"/>
      <c r="V158" s="392"/>
      <c r="W158" s="392"/>
      <c r="X158" s="392"/>
      <c r="Y158" s="392"/>
      <c r="Z158" s="392"/>
      <c r="AA158" s="406"/>
      <c r="AB158" s="406"/>
      <c r="AC158" s="392"/>
      <c r="AD158" s="392"/>
      <c r="AE158" s="392"/>
      <c r="AF158" s="392"/>
      <c r="AG158" s="392"/>
      <c r="AH158" s="392"/>
      <c r="AI158" s="392"/>
      <c r="AJ158" s="392"/>
      <c r="AK158" s="392"/>
      <c r="AL158" s="392"/>
      <c r="AM158" s="392"/>
      <c r="AN158" s="392"/>
      <c r="AO158" s="392"/>
      <c r="AP158" s="392"/>
      <c r="AQ158" s="392"/>
      <c r="AR158" s="392"/>
      <c r="AS158" s="392"/>
      <c r="AT158" s="392"/>
      <c r="AU158" s="392"/>
      <c r="AV158" s="392"/>
      <c r="AW158" s="392"/>
      <c r="AX158" s="392"/>
      <c r="AY158" s="392"/>
      <c r="AZ158" s="392"/>
      <c r="BA158" s="392"/>
      <c r="BB158" s="392"/>
      <c r="BC158" s="392"/>
      <c r="BD158" s="392"/>
      <c r="BE158" s="392"/>
      <c r="BF158" s="392"/>
      <c r="BG158" s="392"/>
      <c r="BH158" s="392"/>
      <c r="BI158" s="392"/>
      <c r="BJ158" s="392"/>
      <c r="BK158" s="392"/>
      <c r="BL158" s="392"/>
      <c r="BM158" s="392"/>
      <c r="BN158" s="392"/>
      <c r="BO158" s="392"/>
      <c r="BP158" s="392"/>
      <c r="BQ158" s="392"/>
      <c r="BR158" s="392"/>
      <c r="BS158" s="392"/>
      <c r="BT158" s="392"/>
      <c r="BU158" s="392"/>
      <c r="BV158" s="392"/>
      <c r="BW158" s="392"/>
      <c r="BX158" s="392"/>
      <c r="BY158" s="392"/>
      <c r="BZ158" s="392"/>
      <c r="CA158" s="392"/>
      <c r="CB158" s="392"/>
      <c r="CC158" s="392"/>
      <c r="CD158" s="392"/>
      <c r="CE158" s="392"/>
      <c r="CF158" s="392"/>
      <c r="CG158" s="392"/>
      <c r="CH158" s="392"/>
      <c r="CI158" s="392"/>
      <c r="CJ158" s="392"/>
      <c r="CK158" s="392"/>
      <c r="CL158" s="392"/>
      <c r="CM158" s="392"/>
      <c r="CN158" s="392"/>
      <c r="CO158" s="392"/>
      <c r="CP158" s="392"/>
      <c r="CQ158" s="392"/>
      <c r="CR158" s="392"/>
      <c r="CS158" s="392"/>
      <c r="CT158" s="392"/>
      <c r="CU158" s="392"/>
      <c r="CV158" s="392"/>
      <c r="CW158" s="392"/>
      <c r="CX158" s="392"/>
      <c r="CY158" s="392"/>
      <c r="CZ158" s="392"/>
      <c r="DA158" s="392"/>
    </row>
    <row r="159" spans="1:105" s="393" customFormat="1" ht="15" outlineLevel="1" thickBot="1" x14ac:dyDescent="0.35">
      <c r="A159" s="480" t="s">
        <v>1361</v>
      </c>
      <c r="B159" s="481" t="s">
        <v>1431</v>
      </c>
      <c r="C159" s="502" t="s">
        <v>1640</v>
      </c>
      <c r="D159" s="482" t="s">
        <v>1643</v>
      </c>
      <c r="E159" s="476" t="s">
        <v>1245</v>
      </c>
      <c r="F159" s="478" t="s">
        <v>1285</v>
      </c>
      <c r="G159" s="479"/>
      <c r="H159" s="476"/>
      <c r="I159" s="479" t="s">
        <v>1296</v>
      </c>
      <c r="J159" s="413"/>
      <c r="K159" s="412"/>
      <c r="L159" s="412"/>
      <c r="M159" s="391"/>
      <c r="N159" s="391"/>
      <c r="O159" s="392"/>
      <c r="P159" s="392"/>
      <c r="Q159" s="392"/>
      <c r="R159" s="392"/>
      <c r="S159" s="392"/>
      <c r="T159" s="392"/>
      <c r="U159" s="392"/>
      <c r="V159" s="392"/>
      <c r="W159" s="392"/>
      <c r="X159" s="392"/>
      <c r="Y159" s="392"/>
      <c r="Z159" s="392"/>
      <c r="AA159" s="406"/>
      <c r="AB159" s="406"/>
      <c r="AC159" s="392"/>
      <c r="AD159" s="392"/>
      <c r="AE159" s="392"/>
      <c r="AF159" s="392"/>
      <c r="AG159" s="392"/>
      <c r="AH159" s="392"/>
      <c r="AI159" s="392"/>
      <c r="AJ159" s="392"/>
      <c r="AK159" s="392"/>
      <c r="AL159" s="392"/>
      <c r="AM159" s="392"/>
      <c r="AN159" s="392"/>
      <c r="AO159" s="392"/>
      <c r="AP159" s="392"/>
      <c r="AQ159" s="392"/>
      <c r="AR159" s="392"/>
      <c r="AS159" s="392"/>
      <c r="AT159" s="392"/>
      <c r="AU159" s="392"/>
      <c r="AV159" s="392"/>
      <c r="AW159" s="392"/>
      <c r="AX159" s="392"/>
      <c r="AY159" s="392"/>
      <c r="AZ159" s="392"/>
      <c r="BA159" s="392"/>
      <c r="BB159" s="392"/>
      <c r="BC159" s="392"/>
      <c r="BD159" s="392"/>
      <c r="BE159" s="392"/>
      <c r="BF159" s="392"/>
      <c r="BG159" s="392"/>
      <c r="BH159" s="392"/>
      <c r="BI159" s="392"/>
      <c r="BJ159" s="392"/>
      <c r="BK159" s="392"/>
      <c r="BL159" s="392"/>
      <c r="BM159" s="392"/>
      <c r="BN159" s="392"/>
      <c r="BO159" s="392"/>
      <c r="BP159" s="392"/>
      <c r="BQ159" s="392"/>
      <c r="BR159" s="392"/>
      <c r="BS159" s="392"/>
      <c r="BT159" s="392"/>
      <c r="BU159" s="392"/>
      <c r="BV159" s="392"/>
      <c r="BW159" s="392"/>
      <c r="BX159" s="392"/>
      <c r="BY159" s="392"/>
      <c r="BZ159" s="392"/>
      <c r="CA159" s="392"/>
      <c r="CB159" s="392"/>
      <c r="CC159" s="392"/>
      <c r="CD159" s="392"/>
      <c r="CE159" s="392"/>
      <c r="CF159" s="392"/>
      <c r="CG159" s="392"/>
      <c r="CH159" s="392"/>
      <c r="CI159" s="392"/>
      <c r="CJ159" s="392"/>
      <c r="CK159" s="392"/>
      <c r="CL159" s="392"/>
      <c r="CM159" s="392"/>
      <c r="CN159" s="392"/>
      <c r="CO159" s="392"/>
      <c r="CP159" s="392"/>
      <c r="CQ159" s="392"/>
      <c r="CR159" s="392"/>
      <c r="CS159" s="392"/>
      <c r="CT159" s="392"/>
      <c r="CU159" s="392"/>
      <c r="CV159" s="392"/>
      <c r="CW159" s="392"/>
      <c r="CX159" s="392"/>
      <c r="CY159" s="392"/>
      <c r="CZ159" s="392"/>
      <c r="DA159" s="392"/>
    </row>
    <row r="160" spans="1:105" s="393" customFormat="1" ht="15" outlineLevel="1" thickBot="1" x14ac:dyDescent="0.35">
      <c r="A160" s="480" t="s">
        <v>1362</v>
      </c>
      <c r="B160" s="481" t="s">
        <v>1129</v>
      </c>
      <c r="C160" s="502" t="s">
        <v>1640</v>
      </c>
      <c r="D160" s="482" t="s">
        <v>1643</v>
      </c>
      <c r="E160" s="476" t="s">
        <v>1245</v>
      </c>
      <c r="F160" s="478" t="s">
        <v>1285</v>
      </c>
      <c r="G160" s="479"/>
      <c r="H160" s="476"/>
      <c r="I160" s="479" t="s">
        <v>1296</v>
      </c>
      <c r="J160" s="413"/>
      <c r="K160" s="412"/>
      <c r="L160" s="412"/>
      <c r="M160" s="391"/>
      <c r="N160" s="391"/>
      <c r="O160" s="392"/>
      <c r="P160" s="392"/>
      <c r="Q160" s="392"/>
      <c r="R160" s="392"/>
      <c r="S160" s="392"/>
      <c r="T160" s="392"/>
      <c r="U160" s="392"/>
      <c r="V160" s="392"/>
      <c r="W160" s="392"/>
      <c r="X160" s="392"/>
      <c r="Y160" s="392"/>
      <c r="Z160" s="392"/>
      <c r="AA160" s="406"/>
      <c r="AB160" s="406"/>
      <c r="AC160" s="392"/>
      <c r="AD160" s="392"/>
      <c r="AE160" s="392"/>
      <c r="AF160" s="392"/>
      <c r="AG160" s="392"/>
      <c r="AH160" s="392"/>
      <c r="AI160" s="392"/>
      <c r="AJ160" s="392"/>
      <c r="AK160" s="392"/>
      <c r="AL160" s="392"/>
      <c r="AM160" s="392"/>
      <c r="AN160" s="392"/>
      <c r="AO160" s="392"/>
      <c r="AP160" s="392"/>
      <c r="AQ160" s="392"/>
      <c r="AR160" s="392"/>
      <c r="AS160" s="392"/>
      <c r="AT160" s="392"/>
      <c r="AU160" s="392"/>
      <c r="AV160" s="392"/>
      <c r="AW160" s="392"/>
      <c r="AX160" s="392"/>
      <c r="AY160" s="392"/>
      <c r="AZ160" s="392"/>
      <c r="BA160" s="392"/>
      <c r="BB160" s="392"/>
      <c r="BC160" s="392"/>
      <c r="BD160" s="392"/>
      <c r="BE160" s="392"/>
      <c r="BF160" s="392"/>
      <c r="BG160" s="392"/>
      <c r="BH160" s="392"/>
      <c r="BI160" s="392"/>
      <c r="BJ160" s="392"/>
      <c r="BK160" s="392"/>
      <c r="BL160" s="392"/>
      <c r="BM160" s="392"/>
      <c r="BN160" s="392"/>
      <c r="BO160" s="392"/>
      <c r="BP160" s="392"/>
      <c r="BQ160" s="392"/>
      <c r="BR160" s="392"/>
      <c r="BS160" s="392"/>
      <c r="BT160" s="392"/>
      <c r="BU160" s="392"/>
      <c r="BV160" s="392"/>
      <c r="BW160" s="392"/>
      <c r="BX160" s="392"/>
      <c r="BY160" s="392"/>
      <c r="BZ160" s="392"/>
      <c r="CA160" s="392"/>
      <c r="CB160" s="392"/>
      <c r="CC160" s="392"/>
      <c r="CD160" s="392"/>
      <c r="CE160" s="392"/>
      <c r="CF160" s="392"/>
      <c r="CG160" s="392"/>
      <c r="CH160" s="392"/>
      <c r="CI160" s="392"/>
      <c r="CJ160" s="392"/>
      <c r="CK160" s="392"/>
      <c r="CL160" s="392"/>
      <c r="CM160" s="392"/>
      <c r="CN160" s="392"/>
      <c r="CO160" s="392"/>
      <c r="CP160" s="392"/>
      <c r="CQ160" s="392"/>
      <c r="CR160" s="392"/>
      <c r="CS160" s="392"/>
      <c r="CT160" s="392"/>
      <c r="CU160" s="392"/>
      <c r="CV160" s="392"/>
      <c r="CW160" s="392"/>
      <c r="CX160" s="392"/>
      <c r="CY160" s="392"/>
      <c r="CZ160" s="392"/>
      <c r="DA160" s="392"/>
    </row>
    <row r="161" spans="1:105" s="393" customFormat="1" ht="15" outlineLevel="1" thickBot="1" x14ac:dyDescent="0.35">
      <c r="A161" s="480" t="s">
        <v>1363</v>
      </c>
      <c r="B161" s="481" t="s">
        <v>1128</v>
      </c>
      <c r="C161" s="502" t="s">
        <v>1640</v>
      </c>
      <c r="D161" s="482" t="s">
        <v>1643</v>
      </c>
      <c r="E161" s="476" t="s">
        <v>1245</v>
      </c>
      <c r="F161" s="478" t="s">
        <v>1285</v>
      </c>
      <c r="G161" s="479"/>
      <c r="H161" s="476"/>
      <c r="I161" s="479" t="s">
        <v>1299</v>
      </c>
      <c r="J161" s="413"/>
      <c r="K161" s="412"/>
      <c r="L161" s="412"/>
      <c r="M161" s="391"/>
      <c r="N161" s="391"/>
      <c r="O161" s="392"/>
      <c r="P161" s="392"/>
      <c r="Q161" s="392"/>
      <c r="R161" s="392"/>
      <c r="S161" s="392"/>
      <c r="T161" s="392"/>
      <c r="U161" s="392"/>
      <c r="V161" s="392"/>
      <c r="W161" s="392"/>
      <c r="X161" s="392"/>
      <c r="Y161" s="392"/>
      <c r="Z161" s="392"/>
      <c r="AA161" s="406"/>
      <c r="AB161" s="406"/>
      <c r="AC161" s="392"/>
      <c r="AD161" s="392"/>
      <c r="AE161" s="392"/>
      <c r="AF161" s="392"/>
      <c r="AG161" s="392"/>
      <c r="AH161" s="392"/>
      <c r="AI161" s="392"/>
      <c r="AJ161" s="392"/>
      <c r="AK161" s="392"/>
      <c r="AL161" s="392"/>
      <c r="AM161" s="392"/>
      <c r="AN161" s="392"/>
      <c r="AO161" s="392"/>
      <c r="AP161" s="392"/>
      <c r="AQ161" s="392"/>
      <c r="AR161" s="392"/>
      <c r="AS161" s="392"/>
      <c r="AT161" s="392"/>
      <c r="AU161" s="392"/>
      <c r="AV161" s="392"/>
      <c r="AW161" s="392"/>
      <c r="AX161" s="392"/>
      <c r="AY161" s="392"/>
      <c r="AZ161" s="392"/>
      <c r="BA161" s="392"/>
      <c r="BB161" s="392"/>
      <c r="BC161" s="392"/>
      <c r="BD161" s="392"/>
      <c r="BE161" s="392"/>
      <c r="BF161" s="392"/>
      <c r="BG161" s="392"/>
      <c r="BH161" s="392"/>
      <c r="BI161" s="392"/>
      <c r="BJ161" s="392"/>
      <c r="BK161" s="392"/>
      <c r="BL161" s="392"/>
      <c r="BM161" s="392"/>
      <c r="BN161" s="392"/>
      <c r="BO161" s="392"/>
      <c r="BP161" s="392"/>
      <c r="BQ161" s="392"/>
      <c r="BR161" s="392"/>
      <c r="BS161" s="392"/>
      <c r="BT161" s="392"/>
      <c r="BU161" s="392"/>
      <c r="BV161" s="392"/>
      <c r="BW161" s="392"/>
      <c r="BX161" s="392"/>
      <c r="BY161" s="392"/>
      <c r="BZ161" s="392"/>
      <c r="CA161" s="392"/>
      <c r="CB161" s="392"/>
      <c r="CC161" s="392"/>
      <c r="CD161" s="392"/>
      <c r="CE161" s="392"/>
      <c r="CF161" s="392"/>
      <c r="CG161" s="392"/>
      <c r="CH161" s="392"/>
      <c r="CI161" s="392"/>
      <c r="CJ161" s="392"/>
      <c r="CK161" s="392"/>
      <c r="CL161" s="392"/>
      <c r="CM161" s="392"/>
      <c r="CN161" s="392"/>
      <c r="CO161" s="392"/>
      <c r="CP161" s="392"/>
      <c r="CQ161" s="392"/>
      <c r="CR161" s="392"/>
      <c r="CS161" s="392"/>
      <c r="CT161" s="392"/>
      <c r="CU161" s="392"/>
      <c r="CV161" s="392"/>
      <c r="CW161" s="392"/>
      <c r="CX161" s="392"/>
      <c r="CY161" s="392"/>
      <c r="CZ161" s="392"/>
      <c r="DA161" s="392"/>
    </row>
    <row r="162" spans="1:105" s="393" customFormat="1" ht="15" outlineLevel="1" thickBot="1" x14ac:dyDescent="0.35">
      <c r="A162" s="480" t="s">
        <v>1364</v>
      </c>
      <c r="B162" s="481" t="s">
        <v>1111</v>
      </c>
      <c r="C162" s="502" t="s">
        <v>1640</v>
      </c>
      <c r="D162" s="482" t="s">
        <v>1643</v>
      </c>
      <c r="E162" s="476" t="s">
        <v>1245</v>
      </c>
      <c r="F162" s="478" t="s">
        <v>1481</v>
      </c>
      <c r="G162" s="479"/>
      <c r="H162" s="476"/>
      <c r="I162" s="479" t="s">
        <v>1299</v>
      </c>
      <c r="J162" s="413"/>
      <c r="K162" s="412"/>
      <c r="L162" s="412"/>
      <c r="M162" s="391"/>
      <c r="N162" s="391"/>
      <c r="O162" s="392"/>
      <c r="P162" s="392"/>
      <c r="Q162" s="392"/>
      <c r="R162" s="392"/>
      <c r="S162" s="392"/>
      <c r="T162" s="392"/>
      <c r="U162" s="392"/>
      <c r="V162" s="392"/>
      <c r="W162" s="392"/>
      <c r="X162" s="392"/>
      <c r="Y162" s="392"/>
      <c r="Z162" s="392"/>
      <c r="AA162" s="406"/>
      <c r="AB162" s="406"/>
      <c r="AC162" s="392"/>
      <c r="AD162" s="392"/>
      <c r="AE162" s="392"/>
      <c r="AF162" s="392"/>
      <c r="AG162" s="392"/>
      <c r="AH162" s="392"/>
      <c r="AI162" s="392"/>
      <c r="AJ162" s="392"/>
      <c r="AK162" s="392"/>
      <c r="AL162" s="392"/>
      <c r="AM162" s="392"/>
      <c r="AN162" s="392"/>
      <c r="AO162" s="392"/>
      <c r="AP162" s="392"/>
      <c r="AQ162" s="392"/>
      <c r="AR162" s="392"/>
      <c r="AS162" s="392"/>
      <c r="AT162" s="392"/>
      <c r="AU162" s="392"/>
      <c r="AV162" s="392"/>
      <c r="AW162" s="392"/>
      <c r="AX162" s="392"/>
      <c r="AY162" s="392"/>
      <c r="AZ162" s="392"/>
      <c r="BA162" s="392"/>
      <c r="BB162" s="392"/>
      <c r="BC162" s="392"/>
      <c r="BD162" s="392"/>
      <c r="BE162" s="392"/>
      <c r="BF162" s="392"/>
      <c r="BG162" s="392"/>
      <c r="BH162" s="392"/>
      <c r="BI162" s="392"/>
      <c r="BJ162" s="392"/>
      <c r="BK162" s="392"/>
      <c r="BL162" s="392"/>
      <c r="BM162" s="392"/>
      <c r="BN162" s="392"/>
      <c r="BO162" s="392"/>
      <c r="BP162" s="392"/>
      <c r="BQ162" s="392"/>
      <c r="BR162" s="392"/>
      <c r="BS162" s="392"/>
      <c r="BT162" s="392"/>
      <c r="BU162" s="392"/>
      <c r="BV162" s="392"/>
      <c r="BW162" s="392"/>
      <c r="BX162" s="392"/>
      <c r="BY162" s="392"/>
      <c r="BZ162" s="392"/>
      <c r="CA162" s="392"/>
      <c r="CB162" s="392"/>
      <c r="CC162" s="392"/>
      <c r="CD162" s="392"/>
      <c r="CE162" s="392"/>
      <c r="CF162" s="392"/>
      <c r="CG162" s="392"/>
      <c r="CH162" s="392"/>
      <c r="CI162" s="392"/>
      <c r="CJ162" s="392"/>
      <c r="CK162" s="392"/>
      <c r="CL162" s="392"/>
      <c r="CM162" s="392"/>
      <c r="CN162" s="392"/>
      <c r="CO162" s="392"/>
      <c r="CP162" s="392"/>
      <c r="CQ162" s="392"/>
      <c r="CR162" s="392"/>
      <c r="CS162" s="392"/>
      <c r="CT162" s="392"/>
      <c r="CU162" s="392"/>
      <c r="CV162" s="392"/>
      <c r="CW162" s="392"/>
      <c r="CX162" s="392"/>
      <c r="CY162" s="392"/>
      <c r="CZ162" s="392"/>
      <c r="DA162" s="392"/>
    </row>
    <row r="163" spans="1:105" s="393" customFormat="1" ht="15" outlineLevel="1" thickBot="1" x14ac:dyDescent="0.35">
      <c r="A163" s="480" t="s">
        <v>1365</v>
      </c>
      <c r="B163" s="504" t="s">
        <v>1123</v>
      </c>
      <c r="C163" s="502" t="s">
        <v>1640</v>
      </c>
      <c r="D163" s="482" t="s">
        <v>1643</v>
      </c>
      <c r="E163" s="476" t="s">
        <v>1245</v>
      </c>
      <c r="F163" s="478" t="s">
        <v>1481</v>
      </c>
      <c r="G163" s="479"/>
      <c r="H163" s="476"/>
      <c r="I163" s="479" t="s">
        <v>1299</v>
      </c>
      <c r="J163" s="413"/>
      <c r="K163" s="412"/>
      <c r="L163" s="412"/>
      <c r="M163" s="391"/>
      <c r="N163" s="391"/>
      <c r="O163" s="392"/>
      <c r="P163" s="392"/>
      <c r="Q163" s="392"/>
      <c r="R163" s="392"/>
      <c r="S163" s="392"/>
      <c r="T163" s="392"/>
      <c r="U163" s="392"/>
      <c r="V163" s="392"/>
      <c r="W163" s="392"/>
      <c r="X163" s="392"/>
      <c r="Y163" s="392"/>
      <c r="Z163" s="392"/>
      <c r="AA163" s="406"/>
      <c r="AB163" s="406"/>
      <c r="AC163" s="392"/>
      <c r="AD163" s="392"/>
      <c r="AE163" s="392"/>
      <c r="AF163" s="392"/>
      <c r="AG163" s="392"/>
      <c r="AH163" s="392"/>
      <c r="AI163" s="392"/>
      <c r="AJ163" s="392"/>
      <c r="AK163" s="392"/>
      <c r="AL163" s="392"/>
      <c r="AM163" s="392"/>
      <c r="AN163" s="392"/>
      <c r="AO163" s="392"/>
      <c r="AP163" s="392"/>
      <c r="AQ163" s="392"/>
      <c r="AR163" s="392"/>
      <c r="AS163" s="392"/>
      <c r="AT163" s="392"/>
      <c r="AU163" s="392"/>
      <c r="AV163" s="392"/>
      <c r="AW163" s="392"/>
      <c r="AX163" s="392"/>
      <c r="AY163" s="392"/>
      <c r="AZ163" s="392"/>
      <c r="BA163" s="392"/>
      <c r="BB163" s="392"/>
      <c r="BC163" s="392"/>
      <c r="BD163" s="392"/>
      <c r="BE163" s="392"/>
      <c r="BF163" s="392"/>
      <c r="BG163" s="392"/>
      <c r="BH163" s="392"/>
      <c r="BI163" s="392"/>
      <c r="BJ163" s="392"/>
      <c r="BK163" s="392"/>
      <c r="BL163" s="392"/>
      <c r="BM163" s="392"/>
      <c r="BN163" s="392"/>
      <c r="BO163" s="392"/>
      <c r="BP163" s="392"/>
      <c r="BQ163" s="392"/>
      <c r="BR163" s="392"/>
      <c r="BS163" s="392"/>
      <c r="BT163" s="392"/>
      <c r="BU163" s="392"/>
      <c r="BV163" s="392"/>
      <c r="BW163" s="392"/>
      <c r="BX163" s="392"/>
      <c r="BY163" s="392"/>
      <c r="BZ163" s="392"/>
      <c r="CA163" s="392"/>
      <c r="CB163" s="392"/>
      <c r="CC163" s="392"/>
      <c r="CD163" s="392"/>
      <c r="CE163" s="392"/>
      <c r="CF163" s="392"/>
      <c r="CG163" s="392"/>
      <c r="CH163" s="392"/>
      <c r="CI163" s="392"/>
      <c r="CJ163" s="392"/>
      <c r="CK163" s="392"/>
      <c r="CL163" s="392"/>
      <c r="CM163" s="392"/>
      <c r="CN163" s="392"/>
      <c r="CO163" s="392"/>
      <c r="CP163" s="392"/>
      <c r="CQ163" s="392"/>
      <c r="CR163" s="392"/>
      <c r="CS163" s="392"/>
      <c r="CT163" s="392"/>
      <c r="CU163" s="392"/>
      <c r="CV163" s="392"/>
      <c r="CW163" s="392"/>
      <c r="CX163" s="392"/>
      <c r="CY163" s="392"/>
      <c r="CZ163" s="392"/>
      <c r="DA163" s="392"/>
    </row>
    <row r="164" spans="1:105" s="393" customFormat="1" ht="15" outlineLevel="1" thickBot="1" x14ac:dyDescent="0.35">
      <c r="A164" s="480" t="s">
        <v>1366</v>
      </c>
      <c r="B164" s="481" t="s">
        <v>1122</v>
      </c>
      <c r="C164" s="502" t="s">
        <v>1640</v>
      </c>
      <c r="D164" s="482" t="s">
        <v>1643</v>
      </c>
      <c r="E164" s="476" t="s">
        <v>1245</v>
      </c>
      <c r="F164" s="478" t="s">
        <v>1284</v>
      </c>
      <c r="G164" s="479"/>
      <c r="H164" s="476"/>
      <c r="I164" s="479" t="s">
        <v>1299</v>
      </c>
      <c r="J164" s="413"/>
      <c r="K164" s="412"/>
      <c r="L164" s="412"/>
      <c r="M164" s="391"/>
      <c r="N164" s="391"/>
      <c r="O164" s="392"/>
      <c r="P164" s="392"/>
      <c r="Q164" s="392"/>
      <c r="R164" s="392"/>
      <c r="S164" s="392"/>
      <c r="T164" s="392"/>
      <c r="U164" s="392"/>
      <c r="V164" s="392"/>
      <c r="W164" s="392"/>
      <c r="X164" s="392"/>
      <c r="Y164" s="392"/>
      <c r="Z164" s="392"/>
      <c r="AA164" s="406"/>
      <c r="AB164" s="406"/>
      <c r="AC164" s="392"/>
      <c r="AD164" s="392"/>
      <c r="AE164" s="392"/>
      <c r="AF164" s="392"/>
      <c r="AG164" s="392"/>
      <c r="AH164" s="392"/>
      <c r="AI164" s="392"/>
      <c r="AJ164" s="392"/>
      <c r="AK164" s="392"/>
      <c r="AL164" s="392"/>
      <c r="AM164" s="392"/>
      <c r="AN164" s="392"/>
      <c r="AO164" s="392"/>
      <c r="AP164" s="392"/>
      <c r="AQ164" s="392"/>
      <c r="AR164" s="392"/>
      <c r="AS164" s="392"/>
      <c r="AT164" s="392"/>
      <c r="AU164" s="392"/>
      <c r="AV164" s="392"/>
      <c r="AW164" s="392"/>
      <c r="AX164" s="392"/>
      <c r="AY164" s="392"/>
      <c r="AZ164" s="392"/>
      <c r="BA164" s="392"/>
      <c r="BB164" s="392"/>
      <c r="BC164" s="392"/>
      <c r="BD164" s="392"/>
      <c r="BE164" s="392"/>
      <c r="BF164" s="392"/>
      <c r="BG164" s="392"/>
      <c r="BH164" s="392"/>
      <c r="BI164" s="392"/>
      <c r="BJ164" s="392"/>
      <c r="BK164" s="392"/>
      <c r="BL164" s="392"/>
      <c r="BM164" s="392"/>
      <c r="BN164" s="392"/>
      <c r="BO164" s="392"/>
      <c r="BP164" s="392"/>
      <c r="BQ164" s="392"/>
      <c r="BR164" s="392"/>
      <c r="BS164" s="392"/>
      <c r="BT164" s="392"/>
      <c r="BU164" s="392"/>
      <c r="BV164" s="392"/>
      <c r="BW164" s="392"/>
      <c r="BX164" s="392"/>
      <c r="BY164" s="392"/>
      <c r="BZ164" s="392"/>
      <c r="CA164" s="392"/>
      <c r="CB164" s="392"/>
      <c r="CC164" s="392"/>
      <c r="CD164" s="392"/>
      <c r="CE164" s="392"/>
      <c r="CF164" s="392"/>
      <c r="CG164" s="392"/>
      <c r="CH164" s="392"/>
      <c r="CI164" s="392"/>
      <c r="CJ164" s="392"/>
      <c r="CK164" s="392"/>
      <c r="CL164" s="392"/>
      <c r="CM164" s="392"/>
      <c r="CN164" s="392"/>
      <c r="CO164" s="392"/>
      <c r="CP164" s="392"/>
      <c r="CQ164" s="392"/>
      <c r="CR164" s="392"/>
      <c r="CS164" s="392"/>
      <c r="CT164" s="392"/>
      <c r="CU164" s="392"/>
      <c r="CV164" s="392"/>
      <c r="CW164" s="392"/>
      <c r="CX164" s="392"/>
      <c r="CY164" s="392"/>
      <c r="CZ164" s="392"/>
      <c r="DA164" s="392"/>
    </row>
    <row r="165" spans="1:105" s="393" customFormat="1" ht="15" outlineLevel="1" thickBot="1" x14ac:dyDescent="0.35">
      <c r="A165" s="480" t="s">
        <v>1367</v>
      </c>
      <c r="B165" s="481" t="s">
        <v>1130</v>
      </c>
      <c r="C165" s="502" t="s">
        <v>1640</v>
      </c>
      <c r="D165" s="482" t="s">
        <v>1643</v>
      </c>
      <c r="E165" s="476" t="s">
        <v>1245</v>
      </c>
      <c r="F165" s="478" t="s">
        <v>1284</v>
      </c>
      <c r="G165" s="479"/>
      <c r="H165" s="476"/>
      <c r="I165" s="479" t="s">
        <v>1299</v>
      </c>
      <c r="J165" s="413"/>
      <c r="K165" s="412"/>
      <c r="L165" s="412"/>
      <c r="M165" s="391"/>
      <c r="N165" s="391"/>
      <c r="O165" s="392"/>
      <c r="P165" s="392"/>
      <c r="Q165" s="392"/>
      <c r="R165" s="392"/>
      <c r="S165" s="392"/>
      <c r="T165" s="392"/>
      <c r="U165" s="392"/>
      <c r="V165" s="392"/>
      <c r="W165" s="392"/>
      <c r="X165" s="392"/>
      <c r="Y165" s="392"/>
      <c r="Z165" s="392"/>
      <c r="AA165" s="406"/>
      <c r="AB165" s="406"/>
      <c r="AC165" s="392"/>
      <c r="AD165" s="392"/>
      <c r="AE165" s="392"/>
      <c r="AF165" s="392"/>
      <c r="AG165" s="392"/>
      <c r="AH165" s="392"/>
      <c r="AI165" s="392"/>
      <c r="AJ165" s="392"/>
      <c r="AK165" s="392"/>
      <c r="AL165" s="392"/>
      <c r="AM165" s="392"/>
      <c r="AN165" s="392"/>
      <c r="AO165" s="392"/>
      <c r="AP165" s="392"/>
      <c r="AQ165" s="392"/>
      <c r="AR165" s="392"/>
      <c r="AS165" s="392"/>
      <c r="AT165" s="392"/>
      <c r="AU165" s="392"/>
      <c r="AV165" s="392"/>
      <c r="AW165" s="392"/>
      <c r="AX165" s="392"/>
      <c r="AY165" s="392"/>
      <c r="AZ165" s="392"/>
      <c r="BA165" s="392"/>
      <c r="BB165" s="392"/>
      <c r="BC165" s="392"/>
      <c r="BD165" s="392"/>
      <c r="BE165" s="392"/>
      <c r="BF165" s="392"/>
      <c r="BG165" s="392"/>
      <c r="BH165" s="392"/>
      <c r="BI165" s="392"/>
      <c r="BJ165" s="392"/>
      <c r="BK165" s="392"/>
      <c r="BL165" s="392"/>
      <c r="BM165" s="392"/>
      <c r="BN165" s="392"/>
      <c r="BO165" s="392"/>
      <c r="BP165" s="392"/>
      <c r="BQ165" s="392"/>
      <c r="BR165" s="392"/>
      <c r="BS165" s="392"/>
      <c r="BT165" s="392"/>
      <c r="BU165" s="392"/>
      <c r="BV165" s="392"/>
      <c r="BW165" s="392"/>
      <c r="BX165" s="392"/>
      <c r="BY165" s="392"/>
      <c r="BZ165" s="392"/>
      <c r="CA165" s="392"/>
      <c r="CB165" s="392"/>
      <c r="CC165" s="392"/>
      <c r="CD165" s="392"/>
      <c r="CE165" s="392"/>
      <c r="CF165" s="392"/>
      <c r="CG165" s="392"/>
      <c r="CH165" s="392"/>
      <c r="CI165" s="392"/>
      <c r="CJ165" s="392"/>
      <c r="CK165" s="392"/>
      <c r="CL165" s="392"/>
      <c r="CM165" s="392"/>
      <c r="CN165" s="392"/>
      <c r="CO165" s="392"/>
      <c r="CP165" s="392"/>
      <c r="CQ165" s="392"/>
      <c r="CR165" s="392"/>
      <c r="CS165" s="392"/>
      <c r="CT165" s="392"/>
      <c r="CU165" s="392"/>
      <c r="CV165" s="392"/>
      <c r="CW165" s="392"/>
      <c r="CX165" s="392"/>
      <c r="CY165" s="392"/>
      <c r="CZ165" s="392"/>
      <c r="DA165" s="392"/>
    </row>
    <row r="166" spans="1:105" s="393" customFormat="1" ht="15" outlineLevel="1" thickBot="1" x14ac:dyDescent="0.35">
      <c r="A166" s="480" t="s">
        <v>1368</v>
      </c>
      <c r="B166" s="481" t="s">
        <v>1131</v>
      </c>
      <c r="C166" s="502" t="s">
        <v>1640</v>
      </c>
      <c r="D166" s="482" t="s">
        <v>1643</v>
      </c>
      <c r="E166" s="476" t="s">
        <v>1245</v>
      </c>
      <c r="F166" s="478" t="s">
        <v>1284</v>
      </c>
      <c r="G166" s="479"/>
      <c r="H166" s="476"/>
      <c r="I166" s="479" t="s">
        <v>1299</v>
      </c>
      <c r="J166" s="413"/>
      <c r="K166" s="412"/>
      <c r="L166" s="412"/>
      <c r="M166" s="391"/>
      <c r="N166" s="391"/>
      <c r="O166" s="392"/>
      <c r="P166" s="392"/>
      <c r="Q166" s="392"/>
      <c r="R166" s="392"/>
      <c r="S166" s="392"/>
      <c r="T166" s="392"/>
      <c r="U166" s="392"/>
      <c r="V166" s="392"/>
      <c r="W166" s="392"/>
      <c r="X166" s="392"/>
      <c r="Y166" s="392"/>
      <c r="Z166" s="392"/>
      <c r="AA166" s="406"/>
      <c r="AB166" s="406"/>
      <c r="AC166" s="392"/>
      <c r="AD166" s="392"/>
      <c r="AE166" s="392"/>
      <c r="AF166" s="392"/>
      <c r="AG166" s="392"/>
      <c r="AH166" s="392"/>
      <c r="AI166" s="392"/>
      <c r="AJ166" s="392"/>
      <c r="AK166" s="392"/>
      <c r="AL166" s="392"/>
      <c r="AM166" s="392"/>
      <c r="AN166" s="392"/>
      <c r="AO166" s="392"/>
      <c r="AP166" s="392"/>
      <c r="AQ166" s="392"/>
      <c r="AR166" s="392"/>
      <c r="AS166" s="392"/>
      <c r="AT166" s="392"/>
      <c r="AU166" s="392"/>
      <c r="AV166" s="392"/>
      <c r="AW166" s="392"/>
      <c r="AX166" s="392"/>
      <c r="AY166" s="392"/>
      <c r="AZ166" s="392"/>
      <c r="BA166" s="392"/>
      <c r="BB166" s="392"/>
      <c r="BC166" s="392"/>
      <c r="BD166" s="392"/>
      <c r="BE166" s="392"/>
      <c r="BF166" s="392"/>
      <c r="BG166" s="392"/>
      <c r="BH166" s="392"/>
      <c r="BI166" s="392"/>
      <c r="BJ166" s="392"/>
      <c r="BK166" s="392"/>
      <c r="BL166" s="392"/>
      <c r="BM166" s="392"/>
      <c r="BN166" s="392"/>
      <c r="BO166" s="392"/>
      <c r="BP166" s="392"/>
      <c r="BQ166" s="392"/>
      <c r="BR166" s="392"/>
      <c r="BS166" s="392"/>
      <c r="BT166" s="392"/>
      <c r="BU166" s="392"/>
      <c r="BV166" s="392"/>
      <c r="BW166" s="392"/>
      <c r="BX166" s="392"/>
      <c r="BY166" s="392"/>
      <c r="BZ166" s="392"/>
      <c r="CA166" s="392"/>
      <c r="CB166" s="392"/>
      <c r="CC166" s="392"/>
      <c r="CD166" s="392"/>
      <c r="CE166" s="392"/>
      <c r="CF166" s="392"/>
      <c r="CG166" s="392"/>
      <c r="CH166" s="392"/>
      <c r="CI166" s="392"/>
      <c r="CJ166" s="392"/>
      <c r="CK166" s="392"/>
      <c r="CL166" s="392"/>
      <c r="CM166" s="392"/>
      <c r="CN166" s="392"/>
      <c r="CO166" s="392"/>
      <c r="CP166" s="392"/>
      <c r="CQ166" s="392"/>
      <c r="CR166" s="392"/>
      <c r="CS166" s="392"/>
      <c r="CT166" s="392"/>
      <c r="CU166" s="392"/>
      <c r="CV166" s="392"/>
      <c r="CW166" s="392"/>
      <c r="CX166" s="392"/>
      <c r="CY166" s="392"/>
      <c r="CZ166" s="392"/>
      <c r="DA166" s="392"/>
    </row>
    <row r="167" spans="1:105" s="393" customFormat="1" ht="15" outlineLevel="1" thickBot="1" x14ac:dyDescent="0.35">
      <c r="A167" s="480" t="s">
        <v>1369</v>
      </c>
      <c r="B167" s="481" t="s">
        <v>1057</v>
      </c>
      <c r="C167" s="502" t="s">
        <v>1640</v>
      </c>
      <c r="D167" s="482" t="s">
        <v>1643</v>
      </c>
      <c r="E167" s="476" t="s">
        <v>1245</v>
      </c>
      <c r="F167" s="478" t="s">
        <v>1284</v>
      </c>
      <c r="G167" s="479"/>
      <c r="H167" s="476"/>
      <c r="I167" s="479" t="s">
        <v>1290</v>
      </c>
      <c r="J167" s="413"/>
      <c r="K167" s="412"/>
      <c r="L167" s="412"/>
      <c r="M167" s="391"/>
      <c r="N167" s="391"/>
      <c r="O167" s="392"/>
      <c r="P167" s="392"/>
      <c r="Q167" s="392"/>
      <c r="R167" s="392"/>
      <c r="S167" s="392"/>
      <c r="T167" s="392"/>
      <c r="U167" s="392"/>
      <c r="V167" s="392"/>
      <c r="W167" s="392"/>
      <c r="X167" s="392"/>
      <c r="Y167" s="392"/>
      <c r="Z167" s="392"/>
      <c r="AA167" s="406"/>
      <c r="AB167" s="406"/>
      <c r="AC167" s="392"/>
      <c r="AD167" s="392"/>
      <c r="AE167" s="392"/>
      <c r="AF167" s="392"/>
      <c r="AG167" s="392"/>
      <c r="AH167" s="392"/>
      <c r="AI167" s="392"/>
      <c r="AJ167" s="392"/>
      <c r="AK167" s="392"/>
      <c r="AL167" s="392"/>
      <c r="AM167" s="392"/>
      <c r="AN167" s="392"/>
      <c r="AO167" s="392"/>
      <c r="AP167" s="392"/>
      <c r="AQ167" s="392"/>
      <c r="AR167" s="392"/>
      <c r="AS167" s="392"/>
      <c r="AT167" s="392"/>
      <c r="AU167" s="392"/>
      <c r="AV167" s="392"/>
      <c r="AW167" s="392"/>
      <c r="AX167" s="392"/>
      <c r="AY167" s="392"/>
      <c r="AZ167" s="392"/>
      <c r="BA167" s="392"/>
      <c r="BB167" s="392"/>
      <c r="BC167" s="392"/>
      <c r="BD167" s="392"/>
      <c r="BE167" s="392"/>
      <c r="BF167" s="392"/>
      <c r="BG167" s="392"/>
      <c r="BH167" s="392"/>
      <c r="BI167" s="392"/>
      <c r="BJ167" s="392"/>
      <c r="BK167" s="392"/>
      <c r="BL167" s="392"/>
      <c r="BM167" s="392"/>
      <c r="BN167" s="392"/>
      <c r="BO167" s="392"/>
      <c r="BP167" s="392"/>
      <c r="BQ167" s="392"/>
      <c r="BR167" s="392"/>
      <c r="BS167" s="392"/>
      <c r="BT167" s="392"/>
      <c r="BU167" s="392"/>
      <c r="BV167" s="392"/>
      <c r="BW167" s="392"/>
      <c r="BX167" s="392"/>
      <c r="BY167" s="392"/>
      <c r="BZ167" s="392"/>
      <c r="CA167" s="392"/>
      <c r="CB167" s="392"/>
      <c r="CC167" s="392"/>
      <c r="CD167" s="392"/>
      <c r="CE167" s="392"/>
      <c r="CF167" s="392"/>
      <c r="CG167" s="392"/>
      <c r="CH167" s="392"/>
      <c r="CI167" s="392"/>
      <c r="CJ167" s="392"/>
      <c r="CK167" s="392"/>
      <c r="CL167" s="392"/>
      <c r="CM167" s="392"/>
      <c r="CN167" s="392"/>
      <c r="CO167" s="392"/>
      <c r="CP167" s="392"/>
      <c r="CQ167" s="392"/>
      <c r="CR167" s="392"/>
      <c r="CS167" s="392"/>
      <c r="CT167" s="392"/>
      <c r="CU167" s="392"/>
      <c r="CV167" s="392"/>
      <c r="CW167" s="392"/>
      <c r="CX167" s="392"/>
      <c r="CY167" s="392"/>
      <c r="CZ167" s="392"/>
      <c r="DA167" s="392"/>
    </row>
    <row r="168" spans="1:105" s="393" customFormat="1" ht="15" outlineLevel="1" thickBot="1" x14ac:dyDescent="0.35">
      <c r="A168" s="480" t="s">
        <v>1370</v>
      </c>
      <c r="B168" s="481" t="s">
        <v>1058</v>
      </c>
      <c r="C168" s="482" t="s">
        <v>1643</v>
      </c>
      <c r="D168" s="482" t="s">
        <v>1644</v>
      </c>
      <c r="E168" s="476" t="s">
        <v>1245</v>
      </c>
      <c r="F168" s="478" t="s">
        <v>1285</v>
      </c>
      <c r="G168" s="479"/>
      <c r="H168" s="476"/>
      <c r="I168" s="479" t="s">
        <v>1289</v>
      </c>
      <c r="J168" s="413"/>
      <c r="K168" s="412"/>
      <c r="L168" s="412"/>
      <c r="M168" s="391"/>
      <c r="N168" s="391"/>
      <c r="O168" s="392"/>
      <c r="P168" s="392"/>
      <c r="Q168" s="392"/>
      <c r="R168" s="392"/>
      <c r="S168" s="392"/>
      <c r="T168" s="392"/>
      <c r="U168" s="392"/>
      <c r="V168" s="392"/>
      <c r="W168" s="392"/>
      <c r="X168" s="392"/>
      <c r="Y168" s="392"/>
      <c r="Z168" s="392"/>
      <c r="AA168" s="406"/>
      <c r="AB168" s="406"/>
      <c r="AC168" s="392"/>
      <c r="AD168" s="392"/>
      <c r="AE168" s="392"/>
      <c r="AF168" s="392"/>
      <c r="AG168" s="392"/>
      <c r="AH168" s="392"/>
      <c r="AI168" s="392"/>
      <c r="AJ168" s="392"/>
      <c r="AK168" s="392"/>
      <c r="AL168" s="392"/>
      <c r="AM168" s="392"/>
      <c r="AN168" s="392"/>
      <c r="AO168" s="392"/>
      <c r="AP168" s="392"/>
      <c r="AQ168" s="392"/>
      <c r="AR168" s="392"/>
      <c r="AS168" s="392"/>
      <c r="AT168" s="392"/>
      <c r="AU168" s="392"/>
      <c r="AV168" s="392"/>
      <c r="AW168" s="392"/>
      <c r="AX168" s="392"/>
      <c r="AY168" s="392"/>
      <c r="AZ168" s="392"/>
      <c r="BA168" s="392"/>
      <c r="BB168" s="392"/>
      <c r="BC168" s="392"/>
      <c r="BD168" s="392"/>
      <c r="BE168" s="392"/>
      <c r="BF168" s="392"/>
      <c r="BG168" s="392"/>
      <c r="BH168" s="392"/>
      <c r="BI168" s="392"/>
      <c r="BJ168" s="392"/>
      <c r="BK168" s="392"/>
      <c r="BL168" s="392"/>
      <c r="BM168" s="392"/>
      <c r="BN168" s="392"/>
      <c r="BO168" s="392"/>
      <c r="BP168" s="392"/>
      <c r="BQ168" s="392"/>
      <c r="BR168" s="392"/>
      <c r="BS168" s="392"/>
      <c r="BT168" s="392"/>
      <c r="BU168" s="392"/>
      <c r="BV168" s="392"/>
      <c r="BW168" s="392"/>
      <c r="BX168" s="392"/>
      <c r="BY168" s="392"/>
      <c r="BZ168" s="392"/>
      <c r="CA168" s="392"/>
      <c r="CB168" s="392"/>
      <c r="CC168" s="392"/>
      <c r="CD168" s="392"/>
      <c r="CE168" s="392"/>
      <c r="CF168" s="392"/>
      <c r="CG168" s="392"/>
      <c r="CH168" s="392"/>
      <c r="CI168" s="392"/>
      <c r="CJ168" s="392"/>
      <c r="CK168" s="392"/>
      <c r="CL168" s="392"/>
      <c r="CM168" s="392"/>
      <c r="CN168" s="392"/>
      <c r="CO168" s="392"/>
      <c r="CP168" s="392"/>
      <c r="CQ168" s="392"/>
      <c r="CR168" s="392"/>
      <c r="CS168" s="392"/>
      <c r="CT168" s="392"/>
      <c r="CU168" s="392"/>
      <c r="CV168" s="392"/>
      <c r="CW168" s="392"/>
      <c r="CX168" s="392"/>
      <c r="CY168" s="392"/>
      <c r="CZ168" s="392"/>
      <c r="DA168" s="392"/>
    </row>
    <row r="169" spans="1:105" s="393" customFormat="1" ht="15" outlineLevel="1" thickBot="1" x14ac:dyDescent="0.35">
      <c r="A169" s="480" t="s">
        <v>1371</v>
      </c>
      <c r="B169" s="481" t="s">
        <v>1082</v>
      </c>
      <c r="C169" s="482" t="s">
        <v>1643</v>
      </c>
      <c r="D169" s="482" t="s">
        <v>1644</v>
      </c>
      <c r="E169" s="476" t="s">
        <v>1245</v>
      </c>
      <c r="F169" s="478" t="s">
        <v>1285</v>
      </c>
      <c r="G169" s="479"/>
      <c r="H169" s="476"/>
      <c r="I169" s="479" t="s">
        <v>1289</v>
      </c>
      <c r="J169" s="413"/>
      <c r="K169" s="412"/>
      <c r="L169" s="412"/>
      <c r="M169" s="391"/>
      <c r="N169" s="391"/>
      <c r="O169" s="392"/>
      <c r="P169" s="392"/>
      <c r="Q169" s="392"/>
      <c r="R169" s="392"/>
      <c r="S169" s="392"/>
      <c r="T169" s="392"/>
      <c r="U169" s="392"/>
      <c r="V169" s="392"/>
      <c r="W169" s="392"/>
      <c r="X169" s="392"/>
      <c r="Y169" s="392"/>
      <c r="Z169" s="392"/>
      <c r="AA169" s="406"/>
      <c r="AB169" s="406"/>
      <c r="AC169" s="392"/>
      <c r="AD169" s="392"/>
      <c r="AE169" s="392"/>
      <c r="AF169" s="392"/>
      <c r="AG169" s="392"/>
      <c r="AH169" s="392"/>
      <c r="AI169" s="392"/>
      <c r="AJ169" s="392"/>
      <c r="AK169" s="392"/>
      <c r="AL169" s="392"/>
      <c r="AM169" s="392"/>
      <c r="AN169" s="392"/>
      <c r="AO169" s="392"/>
      <c r="AP169" s="392"/>
      <c r="AQ169" s="392"/>
      <c r="AR169" s="392"/>
      <c r="AS169" s="392"/>
      <c r="AT169" s="392"/>
      <c r="AU169" s="392"/>
      <c r="AV169" s="392"/>
      <c r="AW169" s="392"/>
      <c r="AX169" s="392"/>
      <c r="AY169" s="392"/>
      <c r="AZ169" s="392"/>
      <c r="BA169" s="392"/>
      <c r="BB169" s="392"/>
      <c r="BC169" s="392"/>
      <c r="BD169" s="392"/>
      <c r="BE169" s="392"/>
      <c r="BF169" s="392"/>
      <c r="BG169" s="392"/>
      <c r="BH169" s="392"/>
      <c r="BI169" s="392"/>
      <c r="BJ169" s="392"/>
      <c r="BK169" s="392"/>
      <c r="BL169" s="392"/>
      <c r="BM169" s="392"/>
      <c r="BN169" s="392"/>
      <c r="BO169" s="392"/>
      <c r="BP169" s="392"/>
      <c r="BQ169" s="392"/>
      <c r="BR169" s="392"/>
      <c r="BS169" s="392"/>
      <c r="BT169" s="392"/>
      <c r="BU169" s="392"/>
      <c r="BV169" s="392"/>
      <c r="BW169" s="392"/>
      <c r="BX169" s="392"/>
      <c r="BY169" s="392"/>
      <c r="BZ169" s="392"/>
      <c r="CA169" s="392"/>
      <c r="CB169" s="392"/>
      <c r="CC169" s="392"/>
      <c r="CD169" s="392"/>
      <c r="CE169" s="392"/>
      <c r="CF169" s="392"/>
      <c r="CG169" s="392"/>
      <c r="CH169" s="392"/>
      <c r="CI169" s="392"/>
      <c r="CJ169" s="392"/>
      <c r="CK169" s="392"/>
      <c r="CL169" s="392"/>
      <c r="CM169" s="392"/>
      <c r="CN169" s="392"/>
      <c r="CO169" s="392"/>
      <c r="CP169" s="392"/>
      <c r="CQ169" s="392"/>
      <c r="CR169" s="392"/>
      <c r="CS169" s="392"/>
      <c r="CT169" s="392"/>
      <c r="CU169" s="392"/>
      <c r="CV169" s="392"/>
      <c r="CW169" s="392"/>
      <c r="CX169" s="392"/>
      <c r="CY169" s="392"/>
      <c r="CZ169" s="392"/>
      <c r="DA169" s="392"/>
    </row>
    <row r="170" spans="1:105" s="393" customFormat="1" ht="15" outlineLevel="1" thickBot="1" x14ac:dyDescent="0.35">
      <c r="A170" s="480" t="s">
        <v>1372</v>
      </c>
      <c r="B170" s="481" t="s">
        <v>1059</v>
      </c>
      <c r="C170" s="482" t="s">
        <v>1643</v>
      </c>
      <c r="D170" s="482" t="s">
        <v>1644</v>
      </c>
      <c r="E170" s="476" t="s">
        <v>1245</v>
      </c>
      <c r="F170" s="478" t="s">
        <v>1285</v>
      </c>
      <c r="G170" s="479"/>
      <c r="H170" s="476"/>
      <c r="I170" s="479" t="s">
        <v>1294</v>
      </c>
      <c r="J170" s="413"/>
      <c r="K170" s="412"/>
      <c r="L170" s="412"/>
      <c r="M170" s="391"/>
      <c r="N170" s="391"/>
      <c r="O170" s="392"/>
      <c r="P170" s="392"/>
      <c r="Q170" s="392"/>
      <c r="R170" s="392"/>
      <c r="S170" s="392"/>
      <c r="T170" s="392"/>
      <c r="U170" s="392"/>
      <c r="V170" s="392"/>
      <c r="W170" s="392"/>
      <c r="X170" s="392"/>
      <c r="Y170" s="392"/>
      <c r="Z170" s="392"/>
      <c r="AA170" s="406"/>
      <c r="AB170" s="406"/>
      <c r="AC170" s="392"/>
      <c r="AD170" s="392"/>
      <c r="AE170" s="392"/>
      <c r="AF170" s="392"/>
      <c r="AG170" s="392"/>
      <c r="AH170" s="392"/>
      <c r="AI170" s="392"/>
      <c r="AJ170" s="392"/>
      <c r="AK170" s="392"/>
      <c r="AL170" s="392"/>
      <c r="AM170" s="392"/>
      <c r="AN170" s="392"/>
      <c r="AO170" s="392"/>
      <c r="AP170" s="392"/>
      <c r="AQ170" s="392"/>
      <c r="AR170" s="392"/>
      <c r="AS170" s="392"/>
      <c r="AT170" s="392"/>
      <c r="AU170" s="392"/>
      <c r="AV170" s="392"/>
      <c r="AW170" s="392"/>
      <c r="AX170" s="392"/>
      <c r="AY170" s="392"/>
      <c r="AZ170" s="392"/>
      <c r="BA170" s="392"/>
      <c r="BB170" s="392"/>
      <c r="BC170" s="392"/>
      <c r="BD170" s="392"/>
      <c r="BE170" s="392"/>
      <c r="BF170" s="392"/>
      <c r="BG170" s="392"/>
      <c r="BH170" s="392"/>
      <c r="BI170" s="392"/>
      <c r="BJ170" s="392"/>
      <c r="BK170" s="392"/>
      <c r="BL170" s="392"/>
      <c r="BM170" s="392"/>
      <c r="BN170" s="392"/>
      <c r="BO170" s="392"/>
      <c r="BP170" s="392"/>
      <c r="BQ170" s="392"/>
      <c r="BR170" s="392"/>
      <c r="BS170" s="392"/>
      <c r="BT170" s="392"/>
      <c r="BU170" s="392"/>
      <c r="BV170" s="392"/>
      <c r="BW170" s="392"/>
      <c r="BX170" s="392"/>
      <c r="BY170" s="392"/>
      <c r="BZ170" s="392"/>
      <c r="CA170" s="392"/>
      <c r="CB170" s="392"/>
      <c r="CC170" s="392"/>
      <c r="CD170" s="392"/>
      <c r="CE170" s="392"/>
      <c r="CF170" s="392"/>
      <c r="CG170" s="392"/>
      <c r="CH170" s="392"/>
      <c r="CI170" s="392"/>
      <c r="CJ170" s="392"/>
      <c r="CK170" s="392"/>
      <c r="CL170" s="392"/>
      <c r="CM170" s="392"/>
      <c r="CN170" s="392"/>
      <c r="CO170" s="392"/>
      <c r="CP170" s="392"/>
      <c r="CQ170" s="392"/>
      <c r="CR170" s="392"/>
      <c r="CS170" s="392"/>
      <c r="CT170" s="392"/>
      <c r="CU170" s="392"/>
      <c r="CV170" s="392"/>
      <c r="CW170" s="392"/>
      <c r="CX170" s="392"/>
      <c r="CY170" s="392"/>
      <c r="CZ170" s="392"/>
      <c r="DA170" s="392"/>
    </row>
    <row r="171" spans="1:105" s="393" customFormat="1" ht="15" outlineLevel="1" thickBot="1" x14ac:dyDescent="0.35">
      <c r="A171" s="480" t="s">
        <v>1373</v>
      </c>
      <c r="B171" s="481" t="s">
        <v>1282</v>
      </c>
      <c r="C171" s="482" t="s">
        <v>1643</v>
      </c>
      <c r="D171" s="482" t="s">
        <v>1644</v>
      </c>
      <c r="E171" s="476" t="s">
        <v>1245</v>
      </c>
      <c r="F171" s="478" t="s">
        <v>1285</v>
      </c>
      <c r="G171" s="479"/>
      <c r="H171" s="476"/>
      <c r="I171" s="479" t="s">
        <v>1290</v>
      </c>
      <c r="J171" s="413"/>
      <c r="K171" s="412"/>
      <c r="L171" s="412"/>
      <c r="M171" s="391"/>
      <c r="N171" s="391"/>
      <c r="O171" s="392"/>
      <c r="P171" s="392"/>
      <c r="Q171" s="392"/>
      <c r="R171" s="392"/>
      <c r="S171" s="392"/>
      <c r="T171" s="392"/>
      <c r="U171" s="392"/>
      <c r="V171" s="392"/>
      <c r="W171" s="392"/>
      <c r="X171" s="392"/>
      <c r="Y171" s="392"/>
      <c r="Z171" s="392"/>
      <c r="AA171" s="406"/>
      <c r="AB171" s="406"/>
      <c r="AC171" s="392"/>
      <c r="AD171" s="392"/>
      <c r="AE171" s="392"/>
      <c r="AF171" s="392"/>
      <c r="AG171" s="392"/>
      <c r="AH171" s="392"/>
      <c r="AI171" s="392"/>
      <c r="AJ171" s="392"/>
      <c r="AK171" s="392"/>
      <c r="AL171" s="392"/>
      <c r="AM171" s="392"/>
      <c r="AN171" s="392"/>
      <c r="AO171" s="392"/>
      <c r="AP171" s="392"/>
      <c r="AQ171" s="392"/>
      <c r="AR171" s="392"/>
      <c r="AS171" s="392"/>
      <c r="AT171" s="392"/>
      <c r="AU171" s="392"/>
      <c r="AV171" s="392"/>
      <c r="AW171" s="392"/>
      <c r="AX171" s="392"/>
      <c r="AY171" s="392"/>
      <c r="AZ171" s="392"/>
      <c r="BA171" s="392"/>
      <c r="BB171" s="392"/>
      <c r="BC171" s="392"/>
      <c r="BD171" s="392"/>
      <c r="BE171" s="392"/>
      <c r="BF171" s="392"/>
      <c r="BG171" s="392"/>
      <c r="BH171" s="392"/>
      <c r="BI171" s="392"/>
      <c r="BJ171" s="392"/>
      <c r="BK171" s="392"/>
      <c r="BL171" s="392"/>
      <c r="BM171" s="392"/>
      <c r="BN171" s="392"/>
      <c r="BO171" s="392"/>
      <c r="BP171" s="392"/>
      <c r="BQ171" s="392"/>
      <c r="BR171" s="392"/>
      <c r="BS171" s="392"/>
      <c r="BT171" s="392"/>
      <c r="BU171" s="392"/>
      <c r="BV171" s="392"/>
      <c r="BW171" s="392"/>
      <c r="BX171" s="392"/>
      <c r="BY171" s="392"/>
      <c r="BZ171" s="392"/>
      <c r="CA171" s="392"/>
      <c r="CB171" s="392"/>
      <c r="CC171" s="392"/>
      <c r="CD171" s="392"/>
      <c r="CE171" s="392"/>
      <c r="CF171" s="392"/>
      <c r="CG171" s="392"/>
      <c r="CH171" s="392"/>
      <c r="CI171" s="392"/>
      <c r="CJ171" s="392"/>
      <c r="CK171" s="392"/>
      <c r="CL171" s="392"/>
      <c r="CM171" s="392"/>
      <c r="CN171" s="392"/>
      <c r="CO171" s="392"/>
      <c r="CP171" s="392"/>
      <c r="CQ171" s="392"/>
      <c r="CR171" s="392"/>
      <c r="CS171" s="392"/>
      <c r="CT171" s="392"/>
      <c r="CU171" s="392"/>
      <c r="CV171" s="392"/>
      <c r="CW171" s="392"/>
      <c r="CX171" s="392"/>
      <c r="CY171" s="392"/>
      <c r="CZ171" s="392"/>
      <c r="DA171" s="392"/>
    </row>
    <row r="172" spans="1:105" s="393" customFormat="1" ht="15" outlineLevel="1" thickBot="1" x14ac:dyDescent="0.35">
      <c r="A172" s="480" t="s">
        <v>1374</v>
      </c>
      <c r="B172" s="481" t="s">
        <v>1134</v>
      </c>
      <c r="C172" s="482" t="s">
        <v>1643</v>
      </c>
      <c r="D172" s="482" t="s">
        <v>1644</v>
      </c>
      <c r="E172" s="476" t="s">
        <v>1245</v>
      </c>
      <c r="F172" s="478" t="s">
        <v>1285</v>
      </c>
      <c r="G172" s="479"/>
      <c r="H172" s="476"/>
      <c r="I172" s="479" t="s">
        <v>1290</v>
      </c>
      <c r="J172" s="413"/>
      <c r="K172" s="412"/>
      <c r="L172" s="412"/>
      <c r="M172" s="391"/>
      <c r="N172" s="391"/>
      <c r="O172" s="392"/>
      <c r="P172" s="392"/>
      <c r="Q172" s="392"/>
      <c r="R172" s="392"/>
      <c r="S172" s="392"/>
      <c r="T172" s="392"/>
      <c r="U172" s="392"/>
      <c r="V172" s="392"/>
      <c r="W172" s="392"/>
      <c r="X172" s="392"/>
      <c r="Y172" s="392"/>
      <c r="Z172" s="392"/>
      <c r="AA172" s="406"/>
      <c r="AB172" s="406"/>
      <c r="AC172" s="392"/>
      <c r="AD172" s="392"/>
      <c r="AE172" s="392"/>
      <c r="AF172" s="392"/>
      <c r="AG172" s="392"/>
      <c r="AH172" s="392"/>
      <c r="AI172" s="392"/>
      <c r="AJ172" s="392"/>
      <c r="AK172" s="392"/>
      <c r="AL172" s="392"/>
      <c r="AM172" s="392"/>
      <c r="AN172" s="392"/>
      <c r="AO172" s="392"/>
      <c r="AP172" s="392"/>
      <c r="AQ172" s="392"/>
      <c r="AR172" s="392"/>
      <c r="AS172" s="392"/>
      <c r="AT172" s="392"/>
      <c r="AU172" s="392"/>
      <c r="AV172" s="392"/>
      <c r="AW172" s="392"/>
      <c r="AX172" s="392"/>
      <c r="AY172" s="392"/>
      <c r="AZ172" s="392"/>
      <c r="BA172" s="392"/>
      <c r="BB172" s="392"/>
      <c r="BC172" s="392"/>
      <c r="BD172" s="392"/>
      <c r="BE172" s="392"/>
      <c r="BF172" s="392"/>
      <c r="BG172" s="392"/>
      <c r="BH172" s="392"/>
      <c r="BI172" s="392"/>
      <c r="BJ172" s="392"/>
      <c r="BK172" s="392"/>
      <c r="BL172" s="392"/>
      <c r="BM172" s="392"/>
      <c r="BN172" s="392"/>
      <c r="BO172" s="392"/>
      <c r="BP172" s="392"/>
      <c r="BQ172" s="392"/>
      <c r="BR172" s="392"/>
      <c r="BS172" s="392"/>
      <c r="BT172" s="392"/>
      <c r="BU172" s="392"/>
      <c r="BV172" s="392"/>
      <c r="BW172" s="392"/>
      <c r="BX172" s="392"/>
      <c r="BY172" s="392"/>
      <c r="BZ172" s="392"/>
      <c r="CA172" s="392"/>
      <c r="CB172" s="392"/>
      <c r="CC172" s="392"/>
      <c r="CD172" s="392"/>
      <c r="CE172" s="392"/>
      <c r="CF172" s="392"/>
      <c r="CG172" s="392"/>
      <c r="CH172" s="392"/>
      <c r="CI172" s="392"/>
      <c r="CJ172" s="392"/>
      <c r="CK172" s="392"/>
      <c r="CL172" s="392"/>
      <c r="CM172" s="392"/>
      <c r="CN172" s="392"/>
      <c r="CO172" s="392"/>
      <c r="CP172" s="392"/>
      <c r="CQ172" s="392"/>
      <c r="CR172" s="392"/>
      <c r="CS172" s="392"/>
      <c r="CT172" s="392"/>
      <c r="CU172" s="392"/>
      <c r="CV172" s="392"/>
      <c r="CW172" s="392"/>
      <c r="CX172" s="392"/>
      <c r="CY172" s="392"/>
      <c r="CZ172" s="392"/>
      <c r="DA172" s="392"/>
    </row>
    <row r="173" spans="1:105" s="393" customFormat="1" ht="15" outlineLevel="1" thickBot="1" x14ac:dyDescent="0.35">
      <c r="A173" s="480" t="s">
        <v>1375</v>
      </c>
      <c r="B173" s="481" t="s">
        <v>884</v>
      </c>
      <c r="C173" s="482" t="s">
        <v>1643</v>
      </c>
      <c r="D173" s="482" t="s">
        <v>1644</v>
      </c>
      <c r="E173" s="476" t="s">
        <v>1245</v>
      </c>
      <c r="F173" s="478" t="s">
        <v>1285</v>
      </c>
      <c r="G173" s="479"/>
      <c r="H173" s="476"/>
      <c r="I173" s="479" t="s">
        <v>1290</v>
      </c>
      <c r="J173" s="413"/>
      <c r="K173" s="412"/>
      <c r="L173" s="412"/>
      <c r="M173" s="391"/>
      <c r="N173" s="391"/>
      <c r="O173" s="392"/>
      <c r="P173" s="392"/>
      <c r="Q173" s="392"/>
      <c r="R173" s="392"/>
      <c r="S173" s="392"/>
      <c r="T173" s="392"/>
      <c r="U173" s="392"/>
      <c r="V173" s="392"/>
      <c r="W173" s="392"/>
      <c r="X173" s="392"/>
      <c r="Y173" s="392"/>
      <c r="Z173" s="392"/>
      <c r="AA173" s="406"/>
      <c r="AB173" s="406"/>
      <c r="AC173" s="392"/>
      <c r="AD173" s="392"/>
      <c r="AE173" s="392"/>
      <c r="AF173" s="392"/>
      <c r="AG173" s="392"/>
      <c r="AH173" s="392"/>
      <c r="AI173" s="392"/>
      <c r="AJ173" s="392"/>
      <c r="AK173" s="392"/>
      <c r="AL173" s="392"/>
      <c r="AM173" s="392"/>
      <c r="AN173" s="392"/>
      <c r="AO173" s="392"/>
      <c r="AP173" s="392"/>
      <c r="AQ173" s="392"/>
      <c r="AR173" s="392"/>
      <c r="AS173" s="392"/>
      <c r="AT173" s="392"/>
      <c r="AU173" s="392"/>
      <c r="AV173" s="392"/>
      <c r="AW173" s="392"/>
      <c r="AX173" s="392"/>
      <c r="AY173" s="392"/>
      <c r="AZ173" s="392"/>
      <c r="BA173" s="392"/>
      <c r="BB173" s="392"/>
      <c r="BC173" s="392"/>
      <c r="BD173" s="392"/>
      <c r="BE173" s="392"/>
      <c r="BF173" s="392"/>
      <c r="BG173" s="392"/>
      <c r="BH173" s="392"/>
      <c r="BI173" s="392"/>
      <c r="BJ173" s="392"/>
      <c r="BK173" s="392"/>
      <c r="BL173" s="392"/>
      <c r="BM173" s="392"/>
      <c r="BN173" s="392"/>
      <c r="BO173" s="392"/>
      <c r="BP173" s="392"/>
      <c r="BQ173" s="392"/>
      <c r="BR173" s="392"/>
      <c r="BS173" s="392"/>
      <c r="BT173" s="392"/>
      <c r="BU173" s="392"/>
      <c r="BV173" s="392"/>
      <c r="BW173" s="392"/>
      <c r="BX173" s="392"/>
      <c r="BY173" s="392"/>
      <c r="BZ173" s="392"/>
      <c r="CA173" s="392"/>
      <c r="CB173" s="392"/>
      <c r="CC173" s="392"/>
      <c r="CD173" s="392"/>
      <c r="CE173" s="392"/>
      <c r="CF173" s="392"/>
      <c r="CG173" s="392"/>
      <c r="CH173" s="392"/>
      <c r="CI173" s="392"/>
      <c r="CJ173" s="392"/>
      <c r="CK173" s="392"/>
      <c r="CL173" s="392"/>
      <c r="CM173" s="392"/>
      <c r="CN173" s="392"/>
      <c r="CO173" s="392"/>
      <c r="CP173" s="392"/>
      <c r="CQ173" s="392"/>
      <c r="CR173" s="392"/>
      <c r="CS173" s="392"/>
      <c r="CT173" s="392"/>
      <c r="CU173" s="392"/>
      <c r="CV173" s="392"/>
      <c r="CW173" s="392"/>
      <c r="CX173" s="392"/>
      <c r="CY173" s="392"/>
      <c r="CZ173" s="392"/>
      <c r="DA173" s="392"/>
    </row>
    <row r="174" spans="1:105" s="393" customFormat="1" ht="15" outlineLevel="1" thickBot="1" x14ac:dyDescent="0.35">
      <c r="A174" s="480" t="s">
        <v>1376</v>
      </c>
      <c r="B174" s="481" t="s">
        <v>1061</v>
      </c>
      <c r="C174" s="482" t="s">
        <v>1643</v>
      </c>
      <c r="D174" s="482" t="s">
        <v>1644</v>
      </c>
      <c r="E174" s="476" t="s">
        <v>1245</v>
      </c>
      <c r="F174" s="478" t="s">
        <v>1285</v>
      </c>
      <c r="G174" s="479"/>
      <c r="H174" s="476"/>
      <c r="I174" s="479" t="s">
        <v>1290</v>
      </c>
      <c r="J174" s="413"/>
      <c r="K174" s="412"/>
      <c r="L174" s="412"/>
      <c r="M174" s="391"/>
      <c r="N174" s="391"/>
      <c r="O174" s="392"/>
      <c r="P174" s="392"/>
      <c r="Q174" s="392"/>
      <c r="R174" s="392"/>
      <c r="S174" s="392"/>
      <c r="T174" s="392"/>
      <c r="U174" s="392"/>
      <c r="V174" s="392"/>
      <c r="W174" s="392"/>
      <c r="X174" s="392"/>
      <c r="Y174" s="392"/>
      <c r="Z174" s="392"/>
      <c r="AA174" s="406"/>
      <c r="AB174" s="406"/>
      <c r="AC174" s="392"/>
      <c r="AD174" s="392"/>
      <c r="AE174" s="392"/>
      <c r="AF174" s="392"/>
      <c r="AG174" s="392"/>
      <c r="AH174" s="392"/>
      <c r="AI174" s="392"/>
      <c r="AJ174" s="392"/>
      <c r="AK174" s="392"/>
      <c r="AL174" s="392"/>
      <c r="AM174" s="392"/>
      <c r="AN174" s="392"/>
      <c r="AO174" s="392"/>
      <c r="AP174" s="392"/>
      <c r="AQ174" s="392"/>
      <c r="AR174" s="392"/>
      <c r="AS174" s="392"/>
      <c r="AT174" s="392"/>
      <c r="AU174" s="392"/>
      <c r="AV174" s="392"/>
      <c r="AW174" s="392"/>
      <c r="AX174" s="392"/>
      <c r="AY174" s="392"/>
      <c r="AZ174" s="392"/>
      <c r="BA174" s="392"/>
      <c r="BB174" s="392"/>
      <c r="BC174" s="392"/>
      <c r="BD174" s="392"/>
      <c r="BE174" s="392"/>
      <c r="BF174" s="392"/>
      <c r="BG174" s="392"/>
      <c r="BH174" s="392"/>
      <c r="BI174" s="392"/>
      <c r="BJ174" s="392"/>
      <c r="BK174" s="392"/>
      <c r="BL174" s="392"/>
      <c r="BM174" s="392"/>
      <c r="BN174" s="392"/>
      <c r="BO174" s="392"/>
      <c r="BP174" s="392"/>
      <c r="BQ174" s="392"/>
      <c r="BR174" s="392"/>
      <c r="BS174" s="392"/>
      <c r="BT174" s="392"/>
      <c r="BU174" s="392"/>
      <c r="BV174" s="392"/>
      <c r="BW174" s="392"/>
      <c r="BX174" s="392"/>
      <c r="BY174" s="392"/>
      <c r="BZ174" s="392"/>
      <c r="CA174" s="392"/>
      <c r="CB174" s="392"/>
      <c r="CC174" s="392"/>
      <c r="CD174" s="392"/>
      <c r="CE174" s="392"/>
      <c r="CF174" s="392"/>
      <c r="CG174" s="392"/>
      <c r="CH174" s="392"/>
      <c r="CI174" s="392"/>
      <c r="CJ174" s="392"/>
      <c r="CK174" s="392"/>
      <c r="CL174" s="392"/>
      <c r="CM174" s="392"/>
      <c r="CN174" s="392"/>
      <c r="CO174" s="392"/>
      <c r="CP174" s="392"/>
      <c r="CQ174" s="392"/>
      <c r="CR174" s="392"/>
      <c r="CS174" s="392"/>
      <c r="CT174" s="392"/>
      <c r="CU174" s="392"/>
      <c r="CV174" s="392"/>
      <c r="CW174" s="392"/>
      <c r="CX174" s="392"/>
      <c r="CY174" s="392"/>
      <c r="CZ174" s="392"/>
      <c r="DA174" s="392"/>
    </row>
    <row r="175" spans="1:105" s="393" customFormat="1" ht="15" outlineLevel="1" thickBot="1" x14ac:dyDescent="0.35">
      <c r="A175" s="480" t="s">
        <v>1377</v>
      </c>
      <c r="B175" s="481" t="s">
        <v>885</v>
      </c>
      <c r="C175" s="482" t="s">
        <v>1643</v>
      </c>
      <c r="D175" s="482" t="s">
        <v>1644</v>
      </c>
      <c r="E175" s="476" t="s">
        <v>1245</v>
      </c>
      <c r="F175" s="478" t="s">
        <v>1285</v>
      </c>
      <c r="G175" s="479"/>
      <c r="H175" s="476"/>
      <c r="I175" s="479" t="s">
        <v>1294</v>
      </c>
      <c r="J175" s="413"/>
      <c r="K175" s="412"/>
      <c r="L175" s="412"/>
      <c r="M175" s="391"/>
      <c r="N175" s="391"/>
      <c r="O175" s="392"/>
      <c r="P175" s="392"/>
      <c r="Q175" s="392"/>
      <c r="R175" s="392"/>
      <c r="S175" s="392"/>
      <c r="T175" s="392"/>
      <c r="U175" s="392"/>
      <c r="V175" s="392"/>
      <c r="W175" s="392"/>
      <c r="X175" s="392"/>
      <c r="Y175" s="392"/>
      <c r="Z175" s="392"/>
      <c r="AA175" s="406"/>
      <c r="AB175" s="406"/>
      <c r="AC175" s="392"/>
      <c r="AD175" s="392"/>
      <c r="AE175" s="392"/>
      <c r="AF175" s="392"/>
      <c r="AG175" s="392"/>
      <c r="AH175" s="392"/>
      <c r="AI175" s="392"/>
      <c r="AJ175" s="392"/>
      <c r="AK175" s="392"/>
      <c r="AL175" s="392"/>
      <c r="AM175" s="392"/>
      <c r="AN175" s="392"/>
      <c r="AO175" s="392"/>
      <c r="AP175" s="392"/>
      <c r="AQ175" s="392"/>
      <c r="AR175" s="392"/>
      <c r="AS175" s="392"/>
      <c r="AT175" s="392"/>
      <c r="AU175" s="392"/>
      <c r="AV175" s="392"/>
      <c r="AW175" s="392"/>
      <c r="AX175" s="392"/>
      <c r="AY175" s="392"/>
      <c r="AZ175" s="392"/>
      <c r="BA175" s="392"/>
      <c r="BB175" s="392"/>
      <c r="BC175" s="392"/>
      <c r="BD175" s="392"/>
      <c r="BE175" s="392"/>
      <c r="BF175" s="392"/>
      <c r="BG175" s="392"/>
      <c r="BH175" s="392"/>
      <c r="BI175" s="392"/>
      <c r="BJ175" s="392"/>
      <c r="BK175" s="392"/>
      <c r="BL175" s="392"/>
      <c r="BM175" s="392"/>
      <c r="BN175" s="392"/>
      <c r="BO175" s="392"/>
      <c r="BP175" s="392"/>
      <c r="BQ175" s="392"/>
      <c r="BR175" s="392"/>
      <c r="BS175" s="392"/>
      <c r="BT175" s="392"/>
      <c r="BU175" s="392"/>
      <c r="BV175" s="392"/>
      <c r="BW175" s="392"/>
      <c r="BX175" s="392"/>
      <c r="BY175" s="392"/>
      <c r="BZ175" s="392"/>
      <c r="CA175" s="392"/>
      <c r="CB175" s="392"/>
      <c r="CC175" s="392"/>
      <c r="CD175" s="392"/>
      <c r="CE175" s="392"/>
      <c r="CF175" s="392"/>
      <c r="CG175" s="392"/>
      <c r="CH175" s="392"/>
      <c r="CI175" s="392"/>
      <c r="CJ175" s="392"/>
      <c r="CK175" s="392"/>
      <c r="CL175" s="392"/>
      <c r="CM175" s="392"/>
      <c r="CN175" s="392"/>
      <c r="CO175" s="392"/>
      <c r="CP175" s="392"/>
      <c r="CQ175" s="392"/>
      <c r="CR175" s="392"/>
      <c r="CS175" s="392"/>
      <c r="CT175" s="392"/>
      <c r="CU175" s="392"/>
      <c r="CV175" s="392"/>
      <c r="CW175" s="392"/>
      <c r="CX175" s="392"/>
      <c r="CY175" s="392"/>
      <c r="CZ175" s="392"/>
      <c r="DA175" s="392"/>
    </row>
    <row r="176" spans="1:105" s="393" customFormat="1" ht="15" outlineLevel="1" thickBot="1" x14ac:dyDescent="0.35">
      <c r="A176" s="480" t="s">
        <v>1378</v>
      </c>
      <c r="B176" s="481" t="s">
        <v>1135</v>
      </c>
      <c r="C176" s="502" t="s">
        <v>1644</v>
      </c>
      <c r="D176" s="502" t="s">
        <v>1645</v>
      </c>
      <c r="E176" s="476" t="s">
        <v>1245</v>
      </c>
      <c r="F176" s="478" t="s">
        <v>1285</v>
      </c>
      <c r="G176" s="479"/>
      <c r="H176" s="476"/>
      <c r="I176" s="479" t="s">
        <v>1289</v>
      </c>
      <c r="J176" s="413"/>
      <c r="K176" s="412"/>
      <c r="L176" s="412"/>
      <c r="M176" s="391"/>
      <c r="N176" s="391"/>
      <c r="O176" s="392"/>
      <c r="P176" s="392"/>
      <c r="Q176" s="392"/>
      <c r="R176" s="392"/>
      <c r="S176" s="392"/>
      <c r="T176" s="392"/>
      <c r="U176" s="392"/>
      <c r="V176" s="392"/>
      <c r="W176" s="392"/>
      <c r="X176" s="392"/>
      <c r="Y176" s="392"/>
      <c r="Z176" s="392"/>
      <c r="AA176" s="406"/>
      <c r="AB176" s="406"/>
      <c r="AC176" s="392"/>
      <c r="AD176" s="392"/>
      <c r="AE176" s="392"/>
      <c r="AF176" s="392"/>
      <c r="AG176" s="392"/>
      <c r="AH176" s="392"/>
      <c r="AI176" s="392"/>
      <c r="AJ176" s="392"/>
      <c r="AK176" s="392"/>
      <c r="AL176" s="392"/>
      <c r="AM176" s="392"/>
      <c r="AN176" s="392"/>
      <c r="AO176" s="392"/>
      <c r="AP176" s="392"/>
      <c r="AQ176" s="392"/>
      <c r="AR176" s="392"/>
      <c r="AS176" s="392"/>
      <c r="AT176" s="392"/>
      <c r="AU176" s="392"/>
      <c r="AV176" s="392"/>
      <c r="AW176" s="392"/>
      <c r="AX176" s="392"/>
      <c r="AY176" s="392"/>
      <c r="AZ176" s="392"/>
      <c r="BA176" s="392"/>
      <c r="BB176" s="392"/>
      <c r="BC176" s="392"/>
      <c r="BD176" s="392"/>
      <c r="BE176" s="392"/>
      <c r="BF176" s="392"/>
      <c r="BG176" s="392"/>
      <c r="BH176" s="392"/>
      <c r="BI176" s="392"/>
      <c r="BJ176" s="392"/>
      <c r="BK176" s="392"/>
      <c r="BL176" s="392"/>
      <c r="BM176" s="392"/>
      <c r="BN176" s="392"/>
      <c r="BO176" s="392"/>
      <c r="BP176" s="392"/>
      <c r="BQ176" s="392"/>
      <c r="BR176" s="392"/>
      <c r="BS176" s="392"/>
      <c r="BT176" s="392"/>
      <c r="BU176" s="392"/>
      <c r="BV176" s="392"/>
      <c r="BW176" s="392"/>
      <c r="BX176" s="392"/>
      <c r="BY176" s="392"/>
      <c r="BZ176" s="392"/>
      <c r="CA176" s="392"/>
      <c r="CB176" s="392"/>
      <c r="CC176" s="392"/>
      <c r="CD176" s="392"/>
      <c r="CE176" s="392"/>
      <c r="CF176" s="392"/>
      <c r="CG176" s="392"/>
      <c r="CH176" s="392"/>
      <c r="CI176" s="392"/>
      <c r="CJ176" s="392"/>
      <c r="CK176" s="392"/>
      <c r="CL176" s="392"/>
      <c r="CM176" s="392"/>
      <c r="CN176" s="392"/>
      <c r="CO176" s="392"/>
      <c r="CP176" s="392"/>
      <c r="CQ176" s="392"/>
      <c r="CR176" s="392"/>
      <c r="CS176" s="392"/>
      <c r="CT176" s="392"/>
      <c r="CU176" s="392"/>
      <c r="CV176" s="392"/>
      <c r="CW176" s="392"/>
      <c r="CX176" s="392"/>
      <c r="CY176" s="392"/>
      <c r="CZ176" s="392"/>
      <c r="DA176" s="392"/>
    </row>
    <row r="177" spans="1:105" s="393" customFormat="1" ht="15" outlineLevel="1" thickBot="1" x14ac:dyDescent="0.35">
      <c r="A177" s="480" t="s">
        <v>1379</v>
      </c>
      <c r="B177" s="481" t="s">
        <v>886</v>
      </c>
      <c r="C177" s="502" t="s">
        <v>1645</v>
      </c>
      <c r="D177" s="502" t="s">
        <v>1646</v>
      </c>
      <c r="E177" s="476" t="s">
        <v>1245</v>
      </c>
      <c r="F177" s="478" t="s">
        <v>1285</v>
      </c>
      <c r="G177" s="479"/>
      <c r="H177" s="476"/>
      <c r="I177" s="479"/>
      <c r="J177" s="413"/>
      <c r="K177" s="412"/>
      <c r="L177" s="412"/>
      <c r="M177" s="391"/>
      <c r="N177" s="391"/>
      <c r="O177" s="392"/>
      <c r="P177" s="392"/>
      <c r="Q177" s="392"/>
      <c r="R177" s="392"/>
      <c r="S177" s="392"/>
      <c r="T177" s="392"/>
      <c r="U177" s="392"/>
      <c r="V177" s="392"/>
      <c r="W177" s="392"/>
      <c r="X177" s="392"/>
      <c r="Y177" s="392"/>
      <c r="Z177" s="392"/>
      <c r="AA177" s="406"/>
      <c r="AB177" s="406"/>
      <c r="AC177" s="392"/>
      <c r="AD177" s="392"/>
      <c r="AE177" s="392"/>
      <c r="AF177" s="392"/>
      <c r="AG177" s="392"/>
      <c r="AH177" s="392"/>
      <c r="AI177" s="392"/>
      <c r="AJ177" s="392"/>
      <c r="AK177" s="392"/>
      <c r="AL177" s="392"/>
      <c r="AM177" s="392"/>
      <c r="AN177" s="392"/>
      <c r="AO177" s="392"/>
      <c r="AP177" s="392"/>
      <c r="AQ177" s="392"/>
      <c r="AR177" s="392"/>
      <c r="AS177" s="392"/>
      <c r="AT177" s="392"/>
      <c r="AU177" s="392"/>
      <c r="AV177" s="392"/>
      <c r="AW177" s="392"/>
      <c r="AX177" s="392"/>
      <c r="AY177" s="392"/>
      <c r="AZ177" s="392"/>
      <c r="BA177" s="392"/>
      <c r="BB177" s="392"/>
      <c r="BC177" s="392"/>
      <c r="BD177" s="392"/>
      <c r="BE177" s="392"/>
      <c r="BF177" s="392"/>
      <c r="BG177" s="392"/>
      <c r="BH177" s="392"/>
      <c r="BI177" s="392"/>
      <c r="BJ177" s="392"/>
      <c r="BK177" s="392"/>
      <c r="BL177" s="392"/>
      <c r="BM177" s="392"/>
      <c r="BN177" s="392"/>
      <c r="BO177" s="392"/>
      <c r="BP177" s="392"/>
      <c r="BQ177" s="392"/>
      <c r="BR177" s="392"/>
      <c r="BS177" s="392"/>
      <c r="BT177" s="392"/>
      <c r="BU177" s="392"/>
      <c r="BV177" s="392"/>
      <c r="BW177" s="392"/>
      <c r="BX177" s="392"/>
      <c r="BY177" s="392"/>
      <c r="BZ177" s="392"/>
      <c r="CA177" s="392"/>
      <c r="CB177" s="392"/>
      <c r="CC177" s="392"/>
      <c r="CD177" s="392"/>
      <c r="CE177" s="392"/>
      <c r="CF177" s="392"/>
      <c r="CG177" s="392"/>
      <c r="CH177" s="392"/>
      <c r="CI177" s="392"/>
      <c r="CJ177" s="392"/>
      <c r="CK177" s="392"/>
      <c r="CL177" s="392"/>
      <c r="CM177" s="392"/>
      <c r="CN177" s="392"/>
      <c r="CO177" s="392"/>
      <c r="CP177" s="392"/>
      <c r="CQ177" s="392"/>
      <c r="CR177" s="392"/>
      <c r="CS177" s="392"/>
      <c r="CT177" s="392"/>
      <c r="CU177" s="392"/>
      <c r="CV177" s="392"/>
      <c r="CW177" s="392"/>
      <c r="CX177" s="392"/>
      <c r="CY177" s="392"/>
      <c r="CZ177" s="392"/>
      <c r="DA177" s="392"/>
    </row>
    <row r="178" spans="1:105" s="393" customFormat="1" ht="15" outlineLevel="1" thickBot="1" x14ac:dyDescent="0.35">
      <c r="A178" s="480" t="s">
        <v>1380</v>
      </c>
      <c r="B178" s="481" t="s">
        <v>1280</v>
      </c>
      <c r="C178" s="502"/>
      <c r="D178" s="482"/>
      <c r="E178" s="476" t="s">
        <v>1245</v>
      </c>
      <c r="F178" s="478" t="s">
        <v>902</v>
      </c>
      <c r="G178" s="479"/>
      <c r="H178" s="476"/>
      <c r="I178" s="479"/>
      <c r="J178" s="413"/>
      <c r="K178" s="412"/>
      <c r="L178" s="412"/>
      <c r="M178" s="391"/>
      <c r="N178" s="391"/>
      <c r="O178" s="392"/>
      <c r="P178" s="392"/>
      <c r="Q178" s="392"/>
      <c r="R178" s="392"/>
      <c r="S178" s="392"/>
      <c r="T178" s="392"/>
      <c r="U178" s="392"/>
      <c r="V178" s="392"/>
      <c r="W178" s="392"/>
      <c r="X178" s="392"/>
      <c r="Y178" s="392"/>
      <c r="Z178" s="392"/>
      <c r="AA178" s="406"/>
      <c r="AB178" s="406"/>
      <c r="AC178" s="392"/>
      <c r="AD178" s="392"/>
      <c r="AE178" s="392"/>
      <c r="AF178" s="392"/>
      <c r="AG178" s="392"/>
      <c r="AH178" s="392"/>
      <c r="AI178" s="392"/>
      <c r="AJ178" s="392"/>
      <c r="AK178" s="392"/>
      <c r="AL178" s="392"/>
      <c r="AM178" s="392"/>
      <c r="AN178" s="392"/>
      <c r="AO178" s="392"/>
      <c r="AP178" s="392"/>
      <c r="AQ178" s="392"/>
      <c r="AR178" s="392"/>
      <c r="AS178" s="392"/>
      <c r="AT178" s="392"/>
      <c r="AU178" s="392"/>
      <c r="AV178" s="392"/>
      <c r="AW178" s="392"/>
      <c r="AX178" s="392"/>
      <c r="AY178" s="392"/>
      <c r="AZ178" s="392"/>
      <c r="BA178" s="392"/>
      <c r="BB178" s="392"/>
      <c r="BC178" s="392"/>
      <c r="BD178" s="392"/>
      <c r="BE178" s="392"/>
      <c r="BF178" s="392"/>
      <c r="BG178" s="392"/>
      <c r="BH178" s="392"/>
      <c r="BI178" s="392"/>
      <c r="BJ178" s="392"/>
      <c r="BK178" s="392"/>
      <c r="BL178" s="392"/>
      <c r="BM178" s="392"/>
      <c r="BN178" s="392"/>
      <c r="BO178" s="392"/>
      <c r="BP178" s="392"/>
      <c r="BQ178" s="392"/>
      <c r="BR178" s="392"/>
      <c r="BS178" s="392"/>
      <c r="BT178" s="392"/>
      <c r="BU178" s="392"/>
      <c r="BV178" s="392"/>
      <c r="BW178" s="392"/>
      <c r="BX178" s="392"/>
      <c r="BY178" s="392"/>
      <c r="BZ178" s="392"/>
      <c r="CA178" s="392"/>
      <c r="CB178" s="392"/>
      <c r="CC178" s="392"/>
      <c r="CD178" s="392"/>
      <c r="CE178" s="392"/>
      <c r="CF178" s="392"/>
      <c r="CG178" s="392"/>
      <c r="CH178" s="392"/>
      <c r="CI178" s="392"/>
      <c r="CJ178" s="392"/>
      <c r="CK178" s="392"/>
      <c r="CL178" s="392"/>
      <c r="CM178" s="392"/>
      <c r="CN178" s="392"/>
      <c r="CO178" s="392"/>
      <c r="CP178" s="392"/>
      <c r="CQ178" s="392"/>
      <c r="CR178" s="392"/>
      <c r="CS178" s="392"/>
      <c r="CT178" s="392"/>
      <c r="CU178" s="392"/>
      <c r="CV178" s="392"/>
      <c r="CW178" s="392"/>
      <c r="CX178" s="392"/>
      <c r="CY178" s="392"/>
      <c r="CZ178" s="392"/>
      <c r="DA178" s="392"/>
    </row>
    <row r="179" spans="1:105" s="393" customFormat="1" ht="15" outlineLevel="1" thickBot="1" x14ac:dyDescent="0.35">
      <c r="A179" s="480" t="s">
        <v>1381</v>
      </c>
      <c r="B179" s="497" t="s">
        <v>1483</v>
      </c>
      <c r="C179" s="502"/>
      <c r="D179" s="482"/>
      <c r="E179" s="476" t="s">
        <v>1245</v>
      </c>
      <c r="F179" s="478" t="s">
        <v>902</v>
      </c>
      <c r="G179" s="479"/>
      <c r="H179" s="472"/>
      <c r="I179" s="479"/>
      <c r="J179" s="413"/>
      <c r="K179" s="412"/>
      <c r="L179" s="412"/>
      <c r="M179" s="391"/>
      <c r="N179" s="391"/>
      <c r="O179" s="392"/>
      <c r="P179" s="392"/>
      <c r="Q179" s="392"/>
      <c r="R179" s="392"/>
      <c r="S179" s="392"/>
      <c r="T179" s="392"/>
      <c r="U179" s="392"/>
      <c r="V179" s="392"/>
      <c r="W179" s="392"/>
      <c r="X179" s="392"/>
      <c r="Y179" s="392"/>
      <c r="Z179" s="392"/>
      <c r="AA179" s="406"/>
      <c r="AB179" s="406"/>
      <c r="AC179" s="392"/>
      <c r="AD179" s="392"/>
      <c r="AE179" s="392"/>
      <c r="AF179" s="392"/>
      <c r="AG179" s="392"/>
      <c r="AH179" s="392"/>
      <c r="AI179" s="392"/>
      <c r="AJ179" s="392"/>
      <c r="AK179" s="392"/>
      <c r="AL179" s="392"/>
      <c r="AM179" s="392"/>
      <c r="AN179" s="392"/>
      <c r="AO179" s="392"/>
      <c r="AP179" s="392"/>
      <c r="AQ179" s="392"/>
      <c r="AR179" s="392"/>
      <c r="AS179" s="392"/>
      <c r="AT179" s="392"/>
      <c r="AU179" s="392"/>
      <c r="AV179" s="392"/>
      <c r="AW179" s="392"/>
      <c r="AX179" s="392"/>
      <c r="AY179" s="392"/>
      <c r="AZ179" s="392"/>
      <c r="BA179" s="392"/>
      <c r="BB179" s="392"/>
      <c r="BC179" s="392"/>
      <c r="BD179" s="392"/>
      <c r="BE179" s="392"/>
      <c r="BF179" s="392"/>
      <c r="BG179" s="392"/>
      <c r="BH179" s="392"/>
      <c r="BI179" s="392"/>
      <c r="BJ179" s="392"/>
      <c r="BK179" s="392"/>
      <c r="BL179" s="392"/>
      <c r="BM179" s="392"/>
      <c r="BN179" s="392"/>
      <c r="BO179" s="392"/>
      <c r="BP179" s="392"/>
      <c r="BQ179" s="392"/>
      <c r="BR179" s="392"/>
      <c r="BS179" s="392"/>
      <c r="BT179" s="392"/>
      <c r="BU179" s="392"/>
      <c r="BV179" s="392"/>
      <c r="BW179" s="392"/>
      <c r="BX179" s="392"/>
      <c r="BY179" s="392"/>
      <c r="BZ179" s="392"/>
      <c r="CA179" s="392"/>
      <c r="CB179" s="392"/>
      <c r="CC179" s="392"/>
      <c r="CD179" s="392"/>
      <c r="CE179" s="392"/>
      <c r="CF179" s="392"/>
      <c r="CG179" s="392"/>
      <c r="CH179" s="392"/>
      <c r="CI179" s="392"/>
      <c r="CJ179" s="392"/>
      <c r="CK179" s="392"/>
      <c r="CL179" s="392"/>
      <c r="CM179" s="392"/>
      <c r="CN179" s="392"/>
      <c r="CO179" s="392"/>
      <c r="CP179" s="392"/>
      <c r="CQ179" s="392"/>
      <c r="CR179" s="392"/>
      <c r="CS179" s="392"/>
      <c r="CT179" s="392"/>
      <c r="CU179" s="392"/>
      <c r="CV179" s="392"/>
      <c r="CW179" s="392"/>
      <c r="CX179" s="392"/>
      <c r="CY179" s="392"/>
      <c r="CZ179" s="392"/>
      <c r="DA179" s="392"/>
    </row>
    <row r="180" spans="1:105" s="393" customFormat="1" ht="15" outlineLevel="1" thickBot="1" x14ac:dyDescent="0.35">
      <c r="A180" s="480" t="s">
        <v>1382</v>
      </c>
      <c r="B180" s="497" t="s">
        <v>1062</v>
      </c>
      <c r="C180" s="502" t="s">
        <v>1644</v>
      </c>
      <c r="D180" s="502" t="s">
        <v>1646</v>
      </c>
      <c r="E180" s="476" t="s">
        <v>1245</v>
      </c>
      <c r="F180" s="478" t="s">
        <v>1288</v>
      </c>
      <c r="G180" s="479"/>
      <c r="H180" s="472"/>
      <c r="I180" s="479"/>
      <c r="J180" s="413"/>
      <c r="K180" s="412"/>
      <c r="L180" s="412"/>
      <c r="M180" s="391"/>
      <c r="N180" s="391"/>
      <c r="O180" s="392"/>
      <c r="P180" s="392"/>
      <c r="Q180" s="392"/>
      <c r="R180" s="392"/>
      <c r="S180" s="392"/>
      <c r="T180" s="392"/>
      <c r="U180" s="392"/>
      <c r="V180" s="392"/>
      <c r="W180" s="392"/>
      <c r="X180" s="392"/>
      <c r="Y180" s="392"/>
      <c r="Z180" s="392"/>
      <c r="AA180" s="406"/>
      <c r="AB180" s="406"/>
      <c r="AC180" s="392"/>
      <c r="AD180" s="392"/>
      <c r="AE180" s="392"/>
      <c r="AF180" s="392"/>
      <c r="AG180" s="392"/>
      <c r="AH180" s="392"/>
      <c r="AI180" s="392"/>
      <c r="AJ180" s="392"/>
      <c r="AK180" s="392"/>
      <c r="AL180" s="392"/>
      <c r="AM180" s="392"/>
      <c r="AN180" s="392"/>
      <c r="AO180" s="392"/>
      <c r="AP180" s="392"/>
      <c r="AQ180" s="392"/>
      <c r="AR180" s="392"/>
      <c r="AS180" s="392"/>
      <c r="AT180" s="392"/>
      <c r="AU180" s="392"/>
      <c r="AV180" s="392"/>
      <c r="AW180" s="392"/>
      <c r="AX180" s="392"/>
      <c r="AY180" s="392"/>
      <c r="AZ180" s="392"/>
      <c r="BA180" s="392"/>
      <c r="BB180" s="392"/>
      <c r="BC180" s="392"/>
      <c r="BD180" s="392"/>
      <c r="BE180" s="392"/>
      <c r="BF180" s="392"/>
      <c r="BG180" s="392"/>
      <c r="BH180" s="392"/>
      <c r="BI180" s="392"/>
      <c r="BJ180" s="392"/>
      <c r="BK180" s="392"/>
      <c r="BL180" s="392"/>
      <c r="BM180" s="392"/>
      <c r="BN180" s="392"/>
      <c r="BO180" s="392"/>
      <c r="BP180" s="392"/>
      <c r="BQ180" s="392"/>
      <c r="BR180" s="392"/>
      <c r="BS180" s="392"/>
      <c r="BT180" s="392"/>
      <c r="BU180" s="392"/>
      <c r="BV180" s="392"/>
      <c r="BW180" s="392"/>
      <c r="BX180" s="392"/>
      <c r="BY180" s="392"/>
      <c r="BZ180" s="392"/>
      <c r="CA180" s="392"/>
      <c r="CB180" s="392"/>
      <c r="CC180" s="392"/>
      <c r="CD180" s="392"/>
      <c r="CE180" s="392"/>
      <c r="CF180" s="392"/>
      <c r="CG180" s="392"/>
      <c r="CH180" s="392"/>
      <c r="CI180" s="392"/>
      <c r="CJ180" s="392"/>
      <c r="CK180" s="392"/>
      <c r="CL180" s="392"/>
      <c r="CM180" s="392"/>
      <c r="CN180" s="392"/>
      <c r="CO180" s="392"/>
      <c r="CP180" s="392"/>
      <c r="CQ180" s="392"/>
      <c r="CR180" s="392"/>
      <c r="CS180" s="392"/>
      <c r="CT180" s="392"/>
      <c r="CU180" s="392"/>
      <c r="CV180" s="392"/>
      <c r="CW180" s="392"/>
      <c r="CX180" s="392"/>
      <c r="CY180" s="392"/>
      <c r="CZ180" s="392"/>
      <c r="DA180" s="392"/>
    </row>
    <row r="181" spans="1:105" s="393" customFormat="1" ht="15" outlineLevel="1" thickBot="1" x14ac:dyDescent="0.35">
      <c r="A181" s="480" t="s">
        <v>1383</v>
      </c>
      <c r="B181" s="497" t="s">
        <v>1063</v>
      </c>
      <c r="C181" s="503"/>
      <c r="D181" s="476"/>
      <c r="E181" s="476" t="s">
        <v>1245</v>
      </c>
      <c r="F181" s="478" t="s">
        <v>902</v>
      </c>
      <c r="G181" s="479"/>
      <c r="H181" s="472"/>
      <c r="I181" s="479"/>
      <c r="J181" s="413"/>
      <c r="K181" s="412"/>
      <c r="L181" s="412"/>
      <c r="M181" s="391"/>
      <c r="N181" s="391"/>
      <c r="O181" s="392"/>
      <c r="P181" s="392"/>
      <c r="Q181" s="392"/>
      <c r="R181" s="392"/>
      <c r="S181" s="392"/>
      <c r="T181" s="392"/>
      <c r="U181" s="392"/>
      <c r="V181" s="392"/>
      <c r="W181" s="392"/>
      <c r="X181" s="392"/>
      <c r="Y181" s="392"/>
      <c r="Z181" s="392"/>
      <c r="AA181" s="406"/>
      <c r="AB181" s="406"/>
      <c r="AC181" s="392"/>
      <c r="AD181" s="392"/>
      <c r="AE181" s="392"/>
      <c r="AF181" s="392"/>
      <c r="AG181" s="392"/>
      <c r="AH181" s="392"/>
      <c r="AI181" s="392"/>
      <c r="AJ181" s="392"/>
      <c r="AK181" s="392"/>
      <c r="AL181" s="392"/>
      <c r="AM181" s="392"/>
      <c r="AN181" s="392"/>
      <c r="AO181" s="392"/>
      <c r="AP181" s="392"/>
      <c r="AQ181" s="392"/>
      <c r="AR181" s="392"/>
      <c r="AS181" s="392"/>
      <c r="AT181" s="392"/>
      <c r="AU181" s="392"/>
      <c r="AV181" s="392"/>
      <c r="AW181" s="392"/>
      <c r="AX181" s="392"/>
      <c r="AY181" s="392"/>
      <c r="AZ181" s="392"/>
      <c r="BA181" s="392"/>
      <c r="BB181" s="392"/>
      <c r="BC181" s="392"/>
      <c r="BD181" s="392"/>
      <c r="BE181" s="392"/>
      <c r="BF181" s="392"/>
      <c r="BG181" s="392"/>
      <c r="BH181" s="392"/>
      <c r="BI181" s="392"/>
      <c r="BJ181" s="392"/>
      <c r="BK181" s="392"/>
      <c r="BL181" s="392"/>
      <c r="BM181" s="392"/>
      <c r="BN181" s="392"/>
      <c r="BO181" s="392"/>
      <c r="BP181" s="392"/>
      <c r="BQ181" s="392"/>
      <c r="BR181" s="392"/>
      <c r="BS181" s="392"/>
      <c r="BT181" s="392"/>
      <c r="BU181" s="392"/>
      <c r="BV181" s="392"/>
      <c r="BW181" s="392"/>
      <c r="BX181" s="392"/>
      <c r="BY181" s="392"/>
      <c r="BZ181" s="392"/>
      <c r="CA181" s="392"/>
      <c r="CB181" s="392"/>
      <c r="CC181" s="392"/>
      <c r="CD181" s="392"/>
      <c r="CE181" s="392"/>
      <c r="CF181" s="392"/>
      <c r="CG181" s="392"/>
      <c r="CH181" s="392"/>
      <c r="CI181" s="392"/>
      <c r="CJ181" s="392"/>
      <c r="CK181" s="392"/>
      <c r="CL181" s="392"/>
      <c r="CM181" s="392"/>
      <c r="CN181" s="392"/>
      <c r="CO181" s="392"/>
      <c r="CP181" s="392"/>
      <c r="CQ181" s="392"/>
      <c r="CR181" s="392"/>
      <c r="CS181" s="392"/>
      <c r="CT181" s="392"/>
      <c r="CU181" s="392"/>
      <c r="CV181" s="392"/>
      <c r="CW181" s="392"/>
      <c r="CX181" s="392"/>
      <c r="CY181" s="392"/>
      <c r="CZ181" s="392"/>
      <c r="DA181" s="392"/>
    </row>
    <row r="182" spans="1:105" s="393" customFormat="1" ht="15" outlineLevel="1" thickBot="1" x14ac:dyDescent="0.35">
      <c r="A182" s="480" t="s">
        <v>1384</v>
      </c>
      <c r="B182" s="497" t="s">
        <v>1064</v>
      </c>
      <c r="C182" s="503"/>
      <c r="D182" s="476"/>
      <c r="E182" s="476" t="s">
        <v>1245</v>
      </c>
      <c r="F182" s="478" t="s">
        <v>902</v>
      </c>
      <c r="G182" s="479"/>
      <c r="H182" s="472"/>
      <c r="I182" s="479"/>
      <c r="J182" s="413"/>
      <c r="K182" s="412"/>
      <c r="L182" s="412"/>
      <c r="M182" s="391"/>
      <c r="N182" s="391"/>
      <c r="O182" s="392"/>
      <c r="P182" s="392"/>
      <c r="Q182" s="392"/>
      <c r="R182" s="392"/>
      <c r="S182" s="392"/>
      <c r="T182" s="392"/>
      <c r="U182" s="392"/>
      <c r="V182" s="392"/>
      <c r="W182" s="392"/>
      <c r="X182" s="392"/>
      <c r="Y182" s="392"/>
      <c r="Z182" s="392"/>
      <c r="AA182" s="406"/>
      <c r="AB182" s="406"/>
      <c r="AC182" s="392"/>
      <c r="AD182" s="392"/>
      <c r="AE182" s="392"/>
      <c r="AF182" s="392"/>
      <c r="AG182" s="392"/>
      <c r="AH182" s="392"/>
      <c r="AI182" s="392"/>
      <c r="AJ182" s="392"/>
      <c r="AK182" s="392"/>
      <c r="AL182" s="392"/>
      <c r="AM182" s="392"/>
      <c r="AN182" s="392"/>
      <c r="AO182" s="392"/>
      <c r="AP182" s="392"/>
      <c r="AQ182" s="392"/>
      <c r="AR182" s="392"/>
      <c r="AS182" s="392"/>
      <c r="AT182" s="392"/>
      <c r="AU182" s="392"/>
      <c r="AV182" s="392"/>
      <c r="AW182" s="392"/>
      <c r="AX182" s="392"/>
      <c r="AY182" s="392"/>
      <c r="AZ182" s="392"/>
      <c r="BA182" s="392"/>
      <c r="BB182" s="392"/>
      <c r="BC182" s="392"/>
      <c r="BD182" s="392"/>
      <c r="BE182" s="392"/>
      <c r="BF182" s="392"/>
      <c r="BG182" s="392"/>
      <c r="BH182" s="392"/>
      <c r="BI182" s="392"/>
      <c r="BJ182" s="392"/>
      <c r="BK182" s="392"/>
      <c r="BL182" s="392"/>
      <c r="BM182" s="392"/>
      <c r="BN182" s="392"/>
      <c r="BO182" s="392"/>
      <c r="BP182" s="392"/>
      <c r="BQ182" s="392"/>
      <c r="BR182" s="392"/>
      <c r="BS182" s="392"/>
      <c r="BT182" s="392"/>
      <c r="BU182" s="392"/>
      <c r="BV182" s="392"/>
      <c r="BW182" s="392"/>
      <c r="BX182" s="392"/>
      <c r="BY182" s="392"/>
      <c r="BZ182" s="392"/>
      <c r="CA182" s="392"/>
      <c r="CB182" s="392"/>
      <c r="CC182" s="392"/>
      <c r="CD182" s="392"/>
      <c r="CE182" s="392"/>
      <c r="CF182" s="392"/>
      <c r="CG182" s="392"/>
      <c r="CH182" s="392"/>
      <c r="CI182" s="392"/>
      <c r="CJ182" s="392"/>
      <c r="CK182" s="392"/>
      <c r="CL182" s="392"/>
      <c r="CM182" s="392"/>
      <c r="CN182" s="392"/>
      <c r="CO182" s="392"/>
      <c r="CP182" s="392"/>
      <c r="CQ182" s="392"/>
      <c r="CR182" s="392"/>
      <c r="CS182" s="392"/>
      <c r="CT182" s="392"/>
      <c r="CU182" s="392"/>
      <c r="CV182" s="392"/>
      <c r="CW182" s="392"/>
      <c r="CX182" s="392"/>
      <c r="CY182" s="392"/>
      <c r="CZ182" s="392"/>
      <c r="DA182" s="392"/>
    </row>
    <row r="183" spans="1:105" s="393" customFormat="1" ht="15" outlineLevel="1" thickBot="1" x14ac:dyDescent="0.35">
      <c r="A183" s="480"/>
      <c r="B183" s="480" t="s">
        <v>691</v>
      </c>
      <c r="C183" s="503"/>
      <c r="D183" s="476"/>
      <c r="E183" s="476"/>
      <c r="F183" s="478"/>
      <c r="G183" s="479"/>
      <c r="H183" s="472"/>
      <c r="I183" s="479"/>
      <c r="J183" s="413"/>
      <c r="K183" s="412"/>
      <c r="L183" s="412"/>
      <c r="M183" s="391"/>
      <c r="N183" s="391"/>
      <c r="O183" s="392"/>
      <c r="P183" s="392"/>
      <c r="Q183" s="392"/>
      <c r="R183" s="392"/>
      <c r="S183" s="392"/>
      <c r="T183" s="392"/>
      <c r="U183" s="392"/>
      <c r="V183" s="392"/>
      <c r="W183" s="392"/>
      <c r="X183" s="392"/>
      <c r="Y183" s="392"/>
      <c r="Z183" s="392"/>
      <c r="AA183" s="406"/>
      <c r="AB183" s="406"/>
      <c r="AC183" s="392"/>
      <c r="AD183" s="392"/>
      <c r="AE183" s="392"/>
      <c r="AF183" s="392"/>
      <c r="AG183" s="392"/>
      <c r="AH183" s="392"/>
      <c r="AI183" s="392"/>
      <c r="AJ183" s="392"/>
      <c r="AK183" s="392"/>
      <c r="AL183" s="392"/>
      <c r="AM183" s="392"/>
      <c r="AN183" s="392"/>
      <c r="AO183" s="392"/>
      <c r="AP183" s="392"/>
      <c r="AQ183" s="392"/>
      <c r="AR183" s="392"/>
      <c r="AS183" s="392"/>
      <c r="AT183" s="392"/>
      <c r="AU183" s="392"/>
      <c r="AV183" s="392"/>
      <c r="AW183" s="392"/>
      <c r="AX183" s="392"/>
      <c r="AY183" s="392"/>
      <c r="AZ183" s="392"/>
      <c r="BA183" s="392"/>
      <c r="BB183" s="392"/>
      <c r="BC183" s="392"/>
      <c r="BD183" s="392"/>
      <c r="BE183" s="392"/>
      <c r="BF183" s="392"/>
      <c r="BG183" s="392"/>
      <c r="BH183" s="392"/>
      <c r="BI183" s="392"/>
      <c r="BJ183" s="392"/>
      <c r="BK183" s="392"/>
      <c r="BL183" s="392"/>
      <c r="BM183" s="392"/>
      <c r="BN183" s="392"/>
      <c r="BO183" s="392"/>
      <c r="BP183" s="392"/>
      <c r="BQ183" s="392"/>
      <c r="BR183" s="392"/>
      <c r="BS183" s="392"/>
      <c r="BT183" s="392"/>
      <c r="BU183" s="392"/>
      <c r="BV183" s="392"/>
      <c r="BW183" s="392"/>
      <c r="BX183" s="392"/>
      <c r="BY183" s="392"/>
      <c r="BZ183" s="392"/>
      <c r="CA183" s="392"/>
      <c r="CB183" s="392"/>
      <c r="CC183" s="392"/>
      <c r="CD183" s="392"/>
      <c r="CE183" s="392"/>
      <c r="CF183" s="392"/>
      <c r="CG183" s="392"/>
      <c r="CH183" s="392"/>
      <c r="CI183" s="392"/>
      <c r="CJ183" s="392"/>
      <c r="CK183" s="392"/>
      <c r="CL183" s="392"/>
      <c r="CM183" s="392"/>
      <c r="CN183" s="392"/>
      <c r="CO183" s="392"/>
      <c r="CP183" s="392"/>
      <c r="CQ183" s="392"/>
      <c r="CR183" s="392"/>
      <c r="CS183" s="392"/>
      <c r="CT183" s="392"/>
      <c r="CU183" s="392"/>
      <c r="CV183" s="392"/>
      <c r="CW183" s="392"/>
      <c r="CX183" s="392"/>
      <c r="CY183" s="392"/>
      <c r="CZ183" s="392"/>
      <c r="DA183" s="392"/>
    </row>
    <row r="184" spans="1:105" s="393" customFormat="1" ht="15" outlineLevel="1" thickBot="1" x14ac:dyDescent="0.35">
      <c r="A184" s="480" t="s">
        <v>1383</v>
      </c>
      <c r="B184" s="481" t="s">
        <v>1152</v>
      </c>
      <c r="C184" s="505" t="s">
        <v>1583</v>
      </c>
      <c r="D184" s="476"/>
      <c r="E184" s="476" t="s">
        <v>1245</v>
      </c>
      <c r="F184" s="478"/>
      <c r="G184" s="479"/>
      <c r="H184" s="472"/>
      <c r="I184" s="479"/>
      <c r="J184" s="413"/>
      <c r="K184" s="412"/>
      <c r="L184" s="412"/>
      <c r="M184" s="391"/>
      <c r="N184" s="391"/>
      <c r="O184" s="392"/>
      <c r="P184" s="392"/>
      <c r="Q184" s="392"/>
      <c r="R184" s="392"/>
      <c r="S184" s="392"/>
      <c r="T184" s="392"/>
      <c r="U184" s="392"/>
      <c r="V184" s="392"/>
      <c r="W184" s="392"/>
      <c r="X184" s="392"/>
      <c r="Y184" s="392"/>
      <c r="Z184" s="392"/>
      <c r="AA184" s="406"/>
      <c r="AB184" s="406"/>
      <c r="AC184" s="392"/>
      <c r="AD184" s="392"/>
      <c r="AE184" s="392"/>
      <c r="AF184" s="392"/>
      <c r="AG184" s="392"/>
      <c r="AH184" s="392"/>
      <c r="AI184" s="392"/>
      <c r="AJ184" s="392"/>
      <c r="AK184" s="392"/>
      <c r="AL184" s="392"/>
      <c r="AM184" s="392"/>
      <c r="AN184" s="392"/>
      <c r="AO184" s="392"/>
      <c r="AP184" s="392"/>
      <c r="AQ184" s="392"/>
      <c r="AR184" s="392"/>
      <c r="AS184" s="392"/>
      <c r="AT184" s="392"/>
      <c r="AU184" s="392"/>
      <c r="AV184" s="392"/>
      <c r="AW184" s="392"/>
      <c r="AX184" s="392"/>
      <c r="AY184" s="392"/>
      <c r="AZ184" s="392"/>
      <c r="BA184" s="392"/>
      <c r="BB184" s="392"/>
      <c r="BC184" s="392"/>
      <c r="BD184" s="392"/>
      <c r="BE184" s="392"/>
      <c r="BF184" s="392"/>
      <c r="BG184" s="392"/>
      <c r="BH184" s="392"/>
      <c r="BI184" s="392"/>
      <c r="BJ184" s="392"/>
      <c r="BK184" s="392"/>
      <c r="BL184" s="392"/>
      <c r="BM184" s="392"/>
      <c r="BN184" s="392"/>
      <c r="BO184" s="392"/>
      <c r="BP184" s="392"/>
      <c r="BQ184" s="392"/>
      <c r="BR184" s="392"/>
      <c r="BS184" s="392"/>
      <c r="BT184" s="392"/>
      <c r="BU184" s="392"/>
      <c r="BV184" s="392"/>
      <c r="BW184" s="392"/>
      <c r="BX184" s="392"/>
      <c r="BY184" s="392"/>
      <c r="BZ184" s="392"/>
      <c r="CA184" s="392"/>
      <c r="CB184" s="392"/>
      <c r="CC184" s="392"/>
      <c r="CD184" s="392"/>
      <c r="CE184" s="392"/>
      <c r="CF184" s="392"/>
      <c r="CG184" s="392"/>
      <c r="CH184" s="392"/>
      <c r="CI184" s="392"/>
      <c r="CJ184" s="392"/>
      <c r="CK184" s="392"/>
      <c r="CL184" s="392"/>
      <c r="CM184" s="392"/>
      <c r="CN184" s="392"/>
      <c r="CO184" s="392"/>
      <c r="CP184" s="392"/>
      <c r="CQ184" s="392"/>
      <c r="CR184" s="392"/>
      <c r="CS184" s="392"/>
      <c r="CT184" s="392"/>
      <c r="CU184" s="392"/>
      <c r="CV184" s="392"/>
      <c r="CW184" s="392"/>
      <c r="CX184" s="392"/>
      <c r="CY184" s="392"/>
      <c r="CZ184" s="392"/>
      <c r="DA184" s="392"/>
    </row>
    <row r="185" spans="1:105" s="393" customFormat="1" ht="15" outlineLevel="1" thickBot="1" x14ac:dyDescent="0.35">
      <c r="A185" s="480"/>
      <c r="B185" s="480" t="s">
        <v>1140</v>
      </c>
      <c r="C185" s="503"/>
      <c r="D185" s="476"/>
      <c r="E185" s="476"/>
      <c r="F185" s="478"/>
      <c r="G185" s="479"/>
      <c r="H185" s="472"/>
      <c r="I185" s="479"/>
      <c r="J185" s="413"/>
      <c r="K185" s="412"/>
      <c r="L185" s="412"/>
      <c r="M185" s="391"/>
      <c r="N185" s="391"/>
      <c r="O185" s="392"/>
      <c r="P185" s="392"/>
      <c r="Q185" s="392"/>
      <c r="R185" s="392"/>
      <c r="S185" s="392"/>
      <c r="T185" s="392"/>
      <c r="U185" s="392"/>
      <c r="V185" s="392"/>
      <c r="W185" s="392"/>
      <c r="X185" s="392"/>
      <c r="Y185" s="392"/>
      <c r="Z185" s="392"/>
      <c r="AA185" s="406"/>
      <c r="AB185" s="406"/>
      <c r="AC185" s="392"/>
      <c r="AD185" s="392"/>
      <c r="AE185" s="392"/>
      <c r="AF185" s="392"/>
      <c r="AG185" s="392"/>
      <c r="AH185" s="392"/>
      <c r="AI185" s="392"/>
      <c r="AJ185" s="392"/>
      <c r="AK185" s="392"/>
      <c r="AL185" s="392"/>
      <c r="AM185" s="392"/>
      <c r="AN185" s="392"/>
      <c r="AO185" s="392"/>
      <c r="AP185" s="392"/>
      <c r="AQ185" s="392"/>
      <c r="AR185" s="392"/>
      <c r="AS185" s="392"/>
      <c r="AT185" s="392"/>
      <c r="AU185" s="392"/>
      <c r="AV185" s="392"/>
      <c r="AW185" s="392"/>
      <c r="AX185" s="392"/>
      <c r="AY185" s="392"/>
      <c r="AZ185" s="392"/>
      <c r="BA185" s="392"/>
      <c r="BB185" s="392"/>
      <c r="BC185" s="392"/>
      <c r="BD185" s="392"/>
      <c r="BE185" s="392"/>
      <c r="BF185" s="392"/>
      <c r="BG185" s="392"/>
      <c r="BH185" s="392"/>
      <c r="BI185" s="392"/>
      <c r="BJ185" s="392"/>
      <c r="BK185" s="392"/>
      <c r="BL185" s="392"/>
      <c r="BM185" s="392"/>
      <c r="BN185" s="392"/>
      <c r="BO185" s="392"/>
      <c r="BP185" s="392"/>
      <c r="BQ185" s="392"/>
      <c r="BR185" s="392"/>
      <c r="BS185" s="392"/>
      <c r="BT185" s="392"/>
      <c r="BU185" s="392"/>
      <c r="BV185" s="392"/>
      <c r="BW185" s="392"/>
      <c r="BX185" s="392"/>
      <c r="BY185" s="392"/>
      <c r="BZ185" s="392"/>
      <c r="CA185" s="392"/>
      <c r="CB185" s="392"/>
      <c r="CC185" s="392"/>
      <c r="CD185" s="392"/>
      <c r="CE185" s="392"/>
      <c r="CF185" s="392"/>
      <c r="CG185" s="392"/>
      <c r="CH185" s="392"/>
      <c r="CI185" s="392"/>
      <c r="CJ185" s="392"/>
      <c r="CK185" s="392"/>
      <c r="CL185" s="392"/>
      <c r="CM185" s="392"/>
      <c r="CN185" s="392"/>
      <c r="CO185" s="392"/>
      <c r="CP185" s="392"/>
      <c r="CQ185" s="392"/>
      <c r="CR185" s="392"/>
      <c r="CS185" s="392"/>
      <c r="CT185" s="392"/>
      <c r="CU185" s="392"/>
      <c r="CV185" s="392"/>
      <c r="CW185" s="392"/>
      <c r="CX185" s="392"/>
      <c r="CY185" s="392"/>
      <c r="CZ185" s="392"/>
      <c r="DA185" s="392"/>
    </row>
    <row r="186" spans="1:105" s="393" customFormat="1" ht="15" outlineLevel="1" thickBot="1" x14ac:dyDescent="0.35">
      <c r="A186" s="480" t="s">
        <v>1384</v>
      </c>
      <c r="B186" s="481" t="s">
        <v>1584</v>
      </c>
      <c r="C186" s="502">
        <v>44768</v>
      </c>
      <c r="D186" s="506">
        <v>44768</v>
      </c>
      <c r="E186" s="476" t="s">
        <v>1244</v>
      </c>
      <c r="F186" s="478" t="s">
        <v>902</v>
      </c>
      <c r="G186" s="479"/>
      <c r="H186" s="472"/>
      <c r="I186" s="479"/>
      <c r="J186" s="413"/>
      <c r="K186" s="412"/>
      <c r="L186" s="412"/>
      <c r="M186" s="391"/>
      <c r="N186" s="391"/>
      <c r="O186" s="392"/>
      <c r="P186" s="392"/>
      <c r="Q186" s="392"/>
      <c r="R186" s="392"/>
      <c r="S186" s="392"/>
      <c r="T186" s="392"/>
      <c r="U186" s="392"/>
      <c r="V186" s="392"/>
      <c r="W186" s="392"/>
      <c r="X186" s="392"/>
      <c r="Y186" s="392"/>
      <c r="Z186" s="392"/>
      <c r="AA186" s="406"/>
      <c r="AB186" s="406"/>
      <c r="AC186" s="392"/>
      <c r="AD186" s="392"/>
      <c r="AE186" s="392"/>
      <c r="AF186" s="392"/>
      <c r="AG186" s="392"/>
      <c r="AH186" s="392"/>
      <c r="AI186" s="392"/>
      <c r="AJ186" s="392"/>
      <c r="AK186" s="392"/>
      <c r="AL186" s="392"/>
      <c r="AM186" s="392"/>
      <c r="AN186" s="392"/>
      <c r="AO186" s="392"/>
      <c r="AP186" s="392"/>
      <c r="AQ186" s="392"/>
      <c r="AR186" s="392"/>
      <c r="AS186" s="392"/>
      <c r="AT186" s="392"/>
      <c r="AU186" s="392"/>
      <c r="AV186" s="392"/>
      <c r="AW186" s="392"/>
      <c r="AX186" s="392"/>
      <c r="AY186" s="392"/>
      <c r="AZ186" s="392"/>
      <c r="BA186" s="392"/>
      <c r="BB186" s="392"/>
      <c r="BC186" s="392"/>
      <c r="BD186" s="392"/>
      <c r="BE186" s="392"/>
      <c r="BF186" s="392"/>
      <c r="BG186" s="392"/>
      <c r="BH186" s="392"/>
      <c r="BI186" s="392"/>
      <c r="BJ186" s="392"/>
      <c r="BK186" s="392"/>
      <c r="BL186" s="392"/>
      <c r="BM186" s="392"/>
      <c r="BN186" s="392"/>
      <c r="BO186" s="392"/>
      <c r="BP186" s="392"/>
      <c r="BQ186" s="392"/>
      <c r="BR186" s="392"/>
      <c r="BS186" s="392"/>
      <c r="BT186" s="392"/>
      <c r="BU186" s="392"/>
      <c r="BV186" s="392"/>
      <c r="BW186" s="392"/>
      <c r="BX186" s="392"/>
      <c r="BY186" s="392"/>
      <c r="BZ186" s="392"/>
      <c r="CA186" s="392"/>
      <c r="CB186" s="392"/>
      <c r="CC186" s="392"/>
      <c r="CD186" s="392"/>
      <c r="CE186" s="392"/>
      <c r="CF186" s="392"/>
      <c r="CG186" s="392"/>
      <c r="CH186" s="392"/>
      <c r="CI186" s="392"/>
      <c r="CJ186" s="392"/>
      <c r="CK186" s="392"/>
      <c r="CL186" s="392"/>
      <c r="CM186" s="392"/>
      <c r="CN186" s="392"/>
      <c r="CO186" s="392"/>
      <c r="CP186" s="392"/>
      <c r="CQ186" s="392"/>
      <c r="CR186" s="392"/>
      <c r="CS186" s="392"/>
      <c r="CT186" s="392"/>
      <c r="CU186" s="392"/>
      <c r="CV186" s="392"/>
      <c r="CW186" s="392"/>
      <c r="CX186" s="392"/>
      <c r="CY186" s="392"/>
      <c r="CZ186" s="392"/>
      <c r="DA186" s="392"/>
    </row>
    <row r="187" spans="1:105" s="393" customFormat="1" ht="15" outlineLevel="1" thickBot="1" x14ac:dyDescent="0.35">
      <c r="A187" s="480" t="s">
        <v>1385</v>
      </c>
      <c r="B187" s="481" t="s">
        <v>1585</v>
      </c>
      <c r="C187" s="503"/>
      <c r="D187" s="476"/>
      <c r="E187" s="476" t="s">
        <v>1245</v>
      </c>
      <c r="F187" s="478" t="s">
        <v>902</v>
      </c>
      <c r="G187" s="479"/>
      <c r="H187" s="472"/>
      <c r="I187" s="479"/>
      <c r="J187" s="413"/>
      <c r="K187" s="412"/>
      <c r="L187" s="412"/>
      <c r="M187" s="391"/>
      <c r="N187" s="391"/>
      <c r="O187" s="392"/>
      <c r="P187" s="392"/>
      <c r="Q187" s="392"/>
      <c r="R187" s="392"/>
      <c r="S187" s="392"/>
      <c r="T187" s="392"/>
      <c r="U187" s="392"/>
      <c r="V187" s="392"/>
      <c r="W187" s="392"/>
      <c r="X187" s="392"/>
      <c r="Y187" s="392"/>
      <c r="Z187" s="392"/>
      <c r="AA187" s="406"/>
      <c r="AB187" s="406"/>
      <c r="AC187" s="392"/>
      <c r="AD187" s="392"/>
      <c r="AE187" s="392"/>
      <c r="AF187" s="392"/>
      <c r="AG187" s="392"/>
      <c r="AH187" s="392"/>
      <c r="AI187" s="392"/>
      <c r="AJ187" s="392"/>
      <c r="AK187" s="392"/>
      <c r="AL187" s="392"/>
      <c r="AM187" s="392"/>
      <c r="AN187" s="392"/>
      <c r="AO187" s="392"/>
      <c r="AP187" s="392"/>
      <c r="AQ187" s="392"/>
      <c r="AR187" s="392"/>
      <c r="AS187" s="392"/>
      <c r="AT187" s="392"/>
      <c r="AU187" s="392"/>
      <c r="AV187" s="392"/>
      <c r="AW187" s="392"/>
      <c r="AX187" s="392"/>
      <c r="AY187" s="392"/>
      <c r="AZ187" s="392"/>
      <c r="BA187" s="392"/>
      <c r="BB187" s="392"/>
      <c r="BC187" s="392"/>
      <c r="BD187" s="392"/>
      <c r="BE187" s="392"/>
      <c r="BF187" s="392"/>
      <c r="BG187" s="392"/>
      <c r="BH187" s="392"/>
      <c r="BI187" s="392"/>
      <c r="BJ187" s="392"/>
      <c r="BK187" s="392"/>
      <c r="BL187" s="392"/>
      <c r="BM187" s="392"/>
      <c r="BN187" s="392"/>
      <c r="BO187" s="392"/>
      <c r="BP187" s="392"/>
      <c r="BQ187" s="392"/>
      <c r="BR187" s="392"/>
      <c r="BS187" s="392"/>
      <c r="BT187" s="392"/>
      <c r="BU187" s="392"/>
      <c r="BV187" s="392"/>
      <c r="BW187" s="392"/>
      <c r="BX187" s="392"/>
      <c r="BY187" s="392"/>
      <c r="BZ187" s="392"/>
      <c r="CA187" s="392"/>
      <c r="CB187" s="392"/>
      <c r="CC187" s="392"/>
      <c r="CD187" s="392"/>
      <c r="CE187" s="392"/>
      <c r="CF187" s="392"/>
      <c r="CG187" s="392"/>
      <c r="CH187" s="392"/>
      <c r="CI187" s="392"/>
      <c r="CJ187" s="392"/>
      <c r="CK187" s="392"/>
      <c r="CL187" s="392"/>
      <c r="CM187" s="392"/>
      <c r="CN187" s="392"/>
      <c r="CO187" s="392"/>
      <c r="CP187" s="392"/>
      <c r="CQ187" s="392"/>
      <c r="CR187" s="392"/>
      <c r="CS187" s="392"/>
      <c r="CT187" s="392"/>
      <c r="CU187" s="392"/>
      <c r="CV187" s="392"/>
      <c r="CW187" s="392"/>
      <c r="CX187" s="392"/>
      <c r="CY187" s="392"/>
      <c r="CZ187" s="392"/>
      <c r="DA187" s="392"/>
    </row>
    <row r="188" spans="1:105" s="393" customFormat="1" ht="15" outlineLevel="1" thickBot="1" x14ac:dyDescent="0.35">
      <c r="A188" s="480" t="s">
        <v>1386</v>
      </c>
      <c r="B188" s="481" t="s">
        <v>1586</v>
      </c>
      <c r="C188" s="505">
        <v>44768</v>
      </c>
      <c r="D188" s="506">
        <v>44768</v>
      </c>
      <c r="E188" s="476" t="s">
        <v>1244</v>
      </c>
      <c r="F188" s="478" t="s">
        <v>902</v>
      </c>
      <c r="G188" s="479"/>
      <c r="H188" s="472"/>
      <c r="I188" s="479"/>
      <c r="J188" s="413"/>
      <c r="K188" s="412"/>
      <c r="L188" s="412"/>
      <c r="M188" s="391"/>
      <c r="N188" s="391"/>
      <c r="O188" s="392"/>
      <c r="P188" s="392"/>
      <c r="Q188" s="392"/>
      <c r="R188" s="392"/>
      <c r="S188" s="392"/>
      <c r="T188" s="392"/>
      <c r="U188" s="392"/>
      <c r="V188" s="392"/>
      <c r="W188" s="392"/>
      <c r="X188" s="392"/>
      <c r="Y188" s="392"/>
      <c r="Z188" s="392"/>
      <c r="AA188" s="406"/>
      <c r="AB188" s="406"/>
      <c r="AC188" s="392"/>
      <c r="AD188" s="392"/>
      <c r="AE188" s="392"/>
      <c r="AF188" s="392"/>
      <c r="AG188" s="392"/>
      <c r="AH188" s="392"/>
      <c r="AI188" s="392"/>
      <c r="AJ188" s="392"/>
      <c r="AK188" s="392"/>
      <c r="AL188" s="392"/>
      <c r="AM188" s="392"/>
      <c r="AN188" s="392"/>
      <c r="AO188" s="392"/>
      <c r="AP188" s="392"/>
      <c r="AQ188" s="392"/>
      <c r="AR188" s="392"/>
      <c r="AS188" s="392"/>
      <c r="AT188" s="392"/>
      <c r="AU188" s="392"/>
      <c r="AV188" s="392"/>
      <c r="AW188" s="392"/>
      <c r="AX188" s="392"/>
      <c r="AY188" s="392"/>
      <c r="AZ188" s="392"/>
      <c r="BA188" s="392"/>
      <c r="BB188" s="392"/>
      <c r="BC188" s="392"/>
      <c r="BD188" s="392"/>
      <c r="BE188" s="392"/>
      <c r="BF188" s="392"/>
      <c r="BG188" s="392"/>
      <c r="BH188" s="392"/>
      <c r="BI188" s="392"/>
      <c r="BJ188" s="392"/>
      <c r="BK188" s="392"/>
      <c r="BL188" s="392"/>
      <c r="BM188" s="392"/>
      <c r="BN188" s="392"/>
      <c r="BO188" s="392"/>
      <c r="BP188" s="392"/>
      <c r="BQ188" s="392"/>
      <c r="BR188" s="392"/>
      <c r="BS188" s="392"/>
      <c r="BT188" s="392"/>
      <c r="BU188" s="392"/>
      <c r="BV188" s="392"/>
      <c r="BW188" s="392"/>
      <c r="BX188" s="392"/>
      <c r="BY188" s="392"/>
      <c r="BZ188" s="392"/>
      <c r="CA188" s="392"/>
      <c r="CB188" s="392"/>
      <c r="CC188" s="392"/>
      <c r="CD188" s="392"/>
      <c r="CE188" s="392"/>
      <c r="CF188" s="392"/>
      <c r="CG188" s="392"/>
      <c r="CH188" s="392"/>
      <c r="CI188" s="392"/>
      <c r="CJ188" s="392"/>
      <c r="CK188" s="392"/>
      <c r="CL188" s="392"/>
      <c r="CM188" s="392"/>
      <c r="CN188" s="392"/>
      <c r="CO188" s="392"/>
      <c r="CP188" s="392"/>
      <c r="CQ188" s="392"/>
      <c r="CR188" s="392"/>
      <c r="CS188" s="392"/>
      <c r="CT188" s="392"/>
      <c r="CU188" s="392"/>
      <c r="CV188" s="392"/>
      <c r="CW188" s="392"/>
      <c r="CX188" s="392"/>
      <c r="CY188" s="392"/>
      <c r="CZ188" s="392"/>
      <c r="DA188" s="392"/>
    </row>
    <row r="189" spans="1:105" s="393" customFormat="1" ht="15" outlineLevel="1" thickBot="1" x14ac:dyDescent="0.35">
      <c r="A189" s="480" t="s">
        <v>1387</v>
      </c>
      <c r="B189" s="481" t="s">
        <v>1173</v>
      </c>
      <c r="C189" s="502" t="s">
        <v>1647</v>
      </c>
      <c r="D189" s="502" t="s">
        <v>1648</v>
      </c>
      <c r="E189" s="476" t="s">
        <v>1245</v>
      </c>
      <c r="F189" s="478" t="s">
        <v>1285</v>
      </c>
      <c r="G189" s="479"/>
      <c r="H189" s="472"/>
      <c r="I189" s="479"/>
      <c r="J189" s="413"/>
      <c r="K189" s="412"/>
      <c r="L189" s="412"/>
      <c r="M189" s="391"/>
      <c r="N189" s="391"/>
      <c r="O189" s="392"/>
      <c r="P189" s="392"/>
      <c r="Q189" s="392"/>
      <c r="R189" s="392"/>
      <c r="S189" s="392"/>
      <c r="T189" s="392"/>
      <c r="U189" s="392"/>
      <c r="V189" s="392"/>
      <c r="W189" s="392"/>
      <c r="X189" s="392"/>
      <c r="Y189" s="392"/>
      <c r="Z189" s="392"/>
      <c r="AA189" s="406"/>
      <c r="AB189" s="406"/>
      <c r="AC189" s="392"/>
      <c r="AD189" s="392"/>
      <c r="AE189" s="392"/>
      <c r="AF189" s="392"/>
      <c r="AG189" s="392"/>
      <c r="AH189" s="392"/>
      <c r="AI189" s="392"/>
      <c r="AJ189" s="392"/>
      <c r="AK189" s="392"/>
      <c r="AL189" s="392"/>
      <c r="AM189" s="392"/>
      <c r="AN189" s="392"/>
      <c r="AO189" s="392"/>
      <c r="AP189" s="392"/>
      <c r="AQ189" s="392"/>
      <c r="AR189" s="392"/>
      <c r="AS189" s="392"/>
      <c r="AT189" s="392"/>
      <c r="AU189" s="392"/>
      <c r="AV189" s="392"/>
      <c r="AW189" s="392"/>
      <c r="AX189" s="392"/>
      <c r="AY189" s="392"/>
      <c r="AZ189" s="392"/>
      <c r="BA189" s="392"/>
      <c r="BB189" s="392"/>
      <c r="BC189" s="392"/>
      <c r="BD189" s="392"/>
      <c r="BE189" s="392"/>
      <c r="BF189" s="392"/>
      <c r="BG189" s="392"/>
      <c r="BH189" s="392"/>
      <c r="BI189" s="392"/>
      <c r="BJ189" s="392"/>
      <c r="BK189" s="392"/>
      <c r="BL189" s="392"/>
      <c r="BM189" s="392"/>
      <c r="BN189" s="392"/>
      <c r="BO189" s="392"/>
      <c r="BP189" s="392"/>
      <c r="BQ189" s="392"/>
      <c r="BR189" s="392"/>
      <c r="BS189" s="392"/>
      <c r="BT189" s="392"/>
      <c r="BU189" s="392"/>
      <c r="BV189" s="392"/>
      <c r="BW189" s="392"/>
      <c r="BX189" s="392"/>
      <c r="BY189" s="392"/>
      <c r="BZ189" s="392"/>
      <c r="CA189" s="392"/>
      <c r="CB189" s="392"/>
      <c r="CC189" s="392"/>
      <c r="CD189" s="392"/>
      <c r="CE189" s="392"/>
      <c r="CF189" s="392"/>
      <c r="CG189" s="392"/>
      <c r="CH189" s="392"/>
      <c r="CI189" s="392"/>
      <c r="CJ189" s="392"/>
      <c r="CK189" s="392"/>
      <c r="CL189" s="392"/>
      <c r="CM189" s="392"/>
      <c r="CN189" s="392"/>
      <c r="CO189" s="392"/>
      <c r="CP189" s="392"/>
      <c r="CQ189" s="392"/>
      <c r="CR189" s="392"/>
      <c r="CS189" s="392"/>
      <c r="CT189" s="392"/>
      <c r="CU189" s="392"/>
      <c r="CV189" s="392"/>
      <c r="CW189" s="392"/>
      <c r="CX189" s="392"/>
      <c r="CY189" s="392"/>
      <c r="CZ189" s="392"/>
      <c r="DA189" s="392"/>
    </row>
    <row r="190" spans="1:105" s="393" customFormat="1" ht="15" outlineLevel="1" thickBot="1" x14ac:dyDescent="0.35">
      <c r="A190" s="480" t="s">
        <v>1388</v>
      </c>
      <c r="B190" s="481" t="s">
        <v>1083</v>
      </c>
      <c r="C190" s="502" t="s">
        <v>1647</v>
      </c>
      <c r="D190" s="502" t="s">
        <v>1648</v>
      </c>
      <c r="E190" s="476" t="s">
        <v>1245</v>
      </c>
      <c r="F190" s="478" t="s">
        <v>1288</v>
      </c>
      <c r="G190" s="479"/>
      <c r="H190" s="472"/>
      <c r="I190" s="479"/>
      <c r="J190" s="413"/>
      <c r="K190" s="412"/>
      <c r="L190" s="412"/>
      <c r="M190" s="391"/>
      <c r="N190" s="391"/>
      <c r="O190" s="392"/>
      <c r="P190" s="392"/>
      <c r="Q190" s="392"/>
      <c r="R190" s="392"/>
      <c r="S190" s="392"/>
      <c r="T190" s="392"/>
      <c r="U190" s="392"/>
      <c r="V190" s="392"/>
      <c r="W190" s="392"/>
      <c r="X190" s="392"/>
      <c r="Y190" s="392"/>
      <c r="Z190" s="392"/>
      <c r="AA190" s="406"/>
      <c r="AB190" s="406"/>
      <c r="AC190" s="392"/>
      <c r="AD190" s="392"/>
      <c r="AE190" s="392"/>
      <c r="AF190" s="392"/>
      <c r="AG190" s="392"/>
      <c r="AH190" s="392"/>
      <c r="AI190" s="392"/>
      <c r="AJ190" s="392"/>
      <c r="AK190" s="392"/>
      <c r="AL190" s="392"/>
      <c r="AM190" s="392"/>
      <c r="AN190" s="392"/>
      <c r="AO190" s="392"/>
      <c r="AP190" s="392"/>
      <c r="AQ190" s="392"/>
      <c r="AR190" s="392"/>
      <c r="AS190" s="392"/>
      <c r="AT190" s="392"/>
      <c r="AU190" s="392"/>
      <c r="AV190" s="392"/>
      <c r="AW190" s="392"/>
      <c r="AX190" s="392"/>
      <c r="AY190" s="392"/>
      <c r="AZ190" s="392"/>
      <c r="BA190" s="392"/>
      <c r="BB190" s="392"/>
      <c r="BC190" s="392"/>
      <c r="BD190" s="392"/>
      <c r="BE190" s="392"/>
      <c r="BF190" s="392"/>
      <c r="BG190" s="392"/>
      <c r="BH190" s="392"/>
      <c r="BI190" s="392"/>
      <c r="BJ190" s="392"/>
      <c r="BK190" s="392"/>
      <c r="BL190" s="392"/>
      <c r="BM190" s="392"/>
      <c r="BN190" s="392"/>
      <c r="BO190" s="392"/>
      <c r="BP190" s="392"/>
      <c r="BQ190" s="392"/>
      <c r="BR190" s="392"/>
      <c r="BS190" s="392"/>
      <c r="BT190" s="392"/>
      <c r="BU190" s="392"/>
      <c r="BV190" s="392"/>
      <c r="BW190" s="392"/>
      <c r="BX190" s="392"/>
      <c r="BY190" s="392"/>
      <c r="BZ190" s="392"/>
      <c r="CA190" s="392"/>
      <c r="CB190" s="392"/>
      <c r="CC190" s="392"/>
      <c r="CD190" s="392"/>
      <c r="CE190" s="392"/>
      <c r="CF190" s="392"/>
      <c r="CG190" s="392"/>
      <c r="CH190" s="392"/>
      <c r="CI190" s="392"/>
      <c r="CJ190" s="392"/>
      <c r="CK190" s="392"/>
      <c r="CL190" s="392"/>
      <c r="CM190" s="392"/>
      <c r="CN190" s="392"/>
      <c r="CO190" s="392"/>
      <c r="CP190" s="392"/>
      <c r="CQ190" s="392"/>
      <c r="CR190" s="392"/>
      <c r="CS190" s="392"/>
      <c r="CT190" s="392"/>
      <c r="CU190" s="392"/>
      <c r="CV190" s="392"/>
      <c r="CW190" s="392"/>
      <c r="CX190" s="392"/>
      <c r="CY190" s="392"/>
      <c r="CZ190" s="392"/>
      <c r="DA190" s="392"/>
    </row>
    <row r="191" spans="1:105" s="393" customFormat="1" ht="15" outlineLevel="1" thickBot="1" x14ac:dyDescent="0.35">
      <c r="A191" s="480" t="s">
        <v>1389</v>
      </c>
      <c r="B191" s="481" t="s">
        <v>1167</v>
      </c>
      <c r="C191" s="502" t="s">
        <v>1647</v>
      </c>
      <c r="D191" s="502" t="s">
        <v>1648</v>
      </c>
      <c r="E191" s="476" t="s">
        <v>1245</v>
      </c>
      <c r="F191" s="478" t="s">
        <v>1288</v>
      </c>
      <c r="G191" s="479"/>
      <c r="H191" s="472"/>
      <c r="I191" s="479"/>
      <c r="J191" s="413"/>
      <c r="K191" s="412"/>
      <c r="L191" s="412"/>
      <c r="M191" s="391"/>
      <c r="N191" s="391"/>
      <c r="O191" s="392"/>
      <c r="P191" s="392"/>
      <c r="Q191" s="392"/>
      <c r="R191" s="392"/>
      <c r="S191" s="392"/>
      <c r="T191" s="392"/>
      <c r="U191" s="392"/>
      <c r="V191" s="392"/>
      <c r="W191" s="392"/>
      <c r="X191" s="392"/>
      <c r="Y191" s="392"/>
      <c r="Z191" s="392"/>
      <c r="AA191" s="406"/>
      <c r="AB191" s="406"/>
      <c r="AC191" s="392"/>
      <c r="AD191" s="392"/>
      <c r="AE191" s="392"/>
      <c r="AF191" s="392"/>
      <c r="AG191" s="392"/>
      <c r="AH191" s="392"/>
      <c r="AI191" s="392"/>
      <c r="AJ191" s="392"/>
      <c r="AK191" s="392"/>
      <c r="AL191" s="392"/>
      <c r="AM191" s="392"/>
      <c r="AN191" s="392"/>
      <c r="AO191" s="392"/>
      <c r="AP191" s="392"/>
      <c r="AQ191" s="392"/>
      <c r="AR191" s="392"/>
      <c r="AS191" s="392"/>
      <c r="AT191" s="392"/>
      <c r="AU191" s="392"/>
      <c r="AV191" s="392"/>
      <c r="AW191" s="392"/>
      <c r="AX191" s="392"/>
      <c r="AY191" s="392"/>
      <c r="AZ191" s="392"/>
      <c r="BA191" s="392"/>
      <c r="BB191" s="392"/>
      <c r="BC191" s="392"/>
      <c r="BD191" s="392"/>
      <c r="BE191" s="392"/>
      <c r="BF191" s="392"/>
      <c r="BG191" s="392"/>
      <c r="BH191" s="392"/>
      <c r="BI191" s="392"/>
      <c r="BJ191" s="392"/>
      <c r="BK191" s="392"/>
      <c r="BL191" s="392"/>
      <c r="BM191" s="392"/>
      <c r="BN191" s="392"/>
      <c r="BO191" s="392"/>
      <c r="BP191" s="392"/>
      <c r="BQ191" s="392"/>
      <c r="BR191" s="392"/>
      <c r="BS191" s="392"/>
      <c r="BT191" s="392"/>
      <c r="BU191" s="392"/>
      <c r="BV191" s="392"/>
      <c r="BW191" s="392"/>
      <c r="BX191" s="392"/>
      <c r="BY191" s="392"/>
      <c r="BZ191" s="392"/>
      <c r="CA191" s="392"/>
      <c r="CB191" s="392"/>
      <c r="CC191" s="392"/>
      <c r="CD191" s="392"/>
      <c r="CE191" s="392"/>
      <c r="CF191" s="392"/>
      <c r="CG191" s="392"/>
      <c r="CH191" s="392"/>
      <c r="CI191" s="392"/>
      <c r="CJ191" s="392"/>
      <c r="CK191" s="392"/>
      <c r="CL191" s="392"/>
      <c r="CM191" s="392"/>
      <c r="CN191" s="392"/>
      <c r="CO191" s="392"/>
      <c r="CP191" s="392"/>
      <c r="CQ191" s="392"/>
      <c r="CR191" s="392"/>
      <c r="CS191" s="392"/>
      <c r="CT191" s="392"/>
      <c r="CU191" s="392"/>
      <c r="CV191" s="392"/>
      <c r="CW191" s="392"/>
      <c r="CX191" s="392"/>
      <c r="CY191" s="392"/>
      <c r="CZ191" s="392"/>
      <c r="DA191" s="392"/>
    </row>
    <row r="192" spans="1:105" s="393" customFormat="1" ht="15" outlineLevel="1" thickBot="1" x14ac:dyDescent="0.35">
      <c r="A192" s="480" t="s">
        <v>1390</v>
      </c>
      <c r="B192" s="481" t="s">
        <v>1084</v>
      </c>
      <c r="C192" s="502" t="s">
        <v>1647</v>
      </c>
      <c r="D192" s="502" t="s">
        <v>1648</v>
      </c>
      <c r="E192" s="476" t="s">
        <v>1245</v>
      </c>
      <c r="F192" s="478" t="s">
        <v>1288</v>
      </c>
      <c r="G192" s="479"/>
      <c r="H192" s="472" t="s">
        <v>1294</v>
      </c>
      <c r="I192" s="479" t="s">
        <v>1301</v>
      </c>
      <c r="J192" s="413"/>
      <c r="K192" s="412"/>
      <c r="L192" s="412"/>
      <c r="M192" s="391"/>
      <c r="N192" s="391"/>
      <c r="O192" s="392"/>
      <c r="P192" s="392"/>
      <c r="Q192" s="392"/>
      <c r="R192" s="392"/>
      <c r="S192" s="392"/>
      <c r="T192" s="392"/>
      <c r="U192" s="392"/>
      <c r="V192" s="392"/>
      <c r="W192" s="392"/>
      <c r="X192" s="392"/>
      <c r="Y192" s="392"/>
      <c r="Z192" s="392"/>
      <c r="AA192" s="406"/>
      <c r="AB192" s="406"/>
      <c r="AC192" s="392"/>
      <c r="AD192" s="392"/>
      <c r="AE192" s="392"/>
      <c r="AF192" s="392"/>
      <c r="AG192" s="392"/>
      <c r="AH192" s="392"/>
      <c r="AI192" s="392"/>
      <c r="AJ192" s="392"/>
      <c r="AK192" s="392"/>
      <c r="AL192" s="392"/>
      <c r="AM192" s="392"/>
      <c r="AN192" s="392"/>
      <c r="AO192" s="392"/>
      <c r="AP192" s="392"/>
      <c r="AQ192" s="392"/>
      <c r="AR192" s="392"/>
      <c r="AS192" s="392"/>
      <c r="AT192" s="392"/>
      <c r="AU192" s="392"/>
      <c r="AV192" s="392"/>
      <c r="AW192" s="392"/>
      <c r="AX192" s="392"/>
      <c r="AY192" s="392"/>
      <c r="AZ192" s="392"/>
      <c r="BA192" s="392"/>
      <c r="BB192" s="392"/>
      <c r="BC192" s="392"/>
      <c r="BD192" s="392"/>
      <c r="BE192" s="392"/>
      <c r="BF192" s="392"/>
      <c r="BG192" s="392"/>
      <c r="BH192" s="392"/>
      <c r="BI192" s="392"/>
      <c r="BJ192" s="392"/>
      <c r="BK192" s="392"/>
      <c r="BL192" s="392"/>
      <c r="BM192" s="392"/>
      <c r="BN192" s="392"/>
      <c r="BO192" s="392"/>
      <c r="BP192" s="392"/>
      <c r="BQ192" s="392"/>
      <c r="BR192" s="392"/>
      <c r="BS192" s="392"/>
      <c r="BT192" s="392"/>
      <c r="BU192" s="392"/>
      <c r="BV192" s="392"/>
      <c r="BW192" s="392"/>
      <c r="BX192" s="392"/>
      <c r="BY192" s="392"/>
      <c r="BZ192" s="392"/>
      <c r="CA192" s="392"/>
      <c r="CB192" s="392"/>
      <c r="CC192" s="392"/>
      <c r="CD192" s="392"/>
      <c r="CE192" s="392"/>
      <c r="CF192" s="392"/>
      <c r="CG192" s="392"/>
      <c r="CH192" s="392"/>
      <c r="CI192" s="392"/>
      <c r="CJ192" s="392"/>
      <c r="CK192" s="392"/>
      <c r="CL192" s="392"/>
      <c r="CM192" s="392"/>
      <c r="CN192" s="392"/>
      <c r="CO192" s="392"/>
      <c r="CP192" s="392"/>
      <c r="CQ192" s="392"/>
      <c r="CR192" s="392"/>
      <c r="CS192" s="392"/>
      <c r="CT192" s="392"/>
      <c r="CU192" s="392"/>
      <c r="CV192" s="392"/>
      <c r="CW192" s="392"/>
      <c r="CX192" s="392"/>
      <c r="CY192" s="392"/>
      <c r="CZ192" s="392"/>
      <c r="DA192" s="392"/>
    </row>
    <row r="193" spans="1:105" s="393" customFormat="1" ht="29.4" outlineLevel="1" thickBot="1" x14ac:dyDescent="0.35">
      <c r="A193" s="480" t="s">
        <v>1391</v>
      </c>
      <c r="B193" s="481" t="s">
        <v>1587</v>
      </c>
      <c r="C193" s="502" t="s">
        <v>1647</v>
      </c>
      <c r="D193" s="502" t="s">
        <v>1648</v>
      </c>
      <c r="E193" s="476" t="s">
        <v>1245</v>
      </c>
      <c r="F193" s="478" t="s">
        <v>1288</v>
      </c>
      <c r="G193" s="479"/>
      <c r="H193" s="472" t="s">
        <v>1289</v>
      </c>
      <c r="I193" s="479" t="s">
        <v>1302</v>
      </c>
      <c r="J193" s="413"/>
      <c r="K193" s="412"/>
      <c r="L193" s="412"/>
      <c r="M193" s="391"/>
      <c r="N193" s="391"/>
      <c r="O193" s="392"/>
      <c r="P193" s="392"/>
      <c r="Q193" s="392"/>
      <c r="R193" s="392"/>
      <c r="S193" s="392"/>
      <c r="T193" s="392"/>
      <c r="U193" s="392"/>
      <c r="V193" s="392"/>
      <c r="W193" s="392"/>
      <c r="X193" s="392"/>
      <c r="Y193" s="392"/>
      <c r="Z193" s="392"/>
      <c r="AA193" s="406"/>
      <c r="AB193" s="406"/>
      <c r="AC193" s="392"/>
      <c r="AD193" s="392"/>
      <c r="AE193" s="392"/>
      <c r="AF193" s="392"/>
      <c r="AG193" s="392"/>
      <c r="AH193" s="392"/>
      <c r="AI193" s="392"/>
      <c r="AJ193" s="392"/>
      <c r="AK193" s="392"/>
      <c r="AL193" s="392"/>
      <c r="AM193" s="392"/>
      <c r="AN193" s="392"/>
      <c r="AO193" s="392"/>
      <c r="AP193" s="392"/>
      <c r="AQ193" s="392"/>
      <c r="AR193" s="392"/>
      <c r="AS193" s="392"/>
      <c r="AT193" s="392"/>
      <c r="AU193" s="392"/>
      <c r="AV193" s="392"/>
      <c r="AW193" s="392"/>
      <c r="AX193" s="392"/>
      <c r="AY193" s="392"/>
      <c r="AZ193" s="392"/>
      <c r="BA193" s="392"/>
      <c r="BB193" s="392"/>
      <c r="BC193" s="392"/>
      <c r="BD193" s="392"/>
      <c r="BE193" s="392"/>
      <c r="BF193" s="392"/>
      <c r="BG193" s="392"/>
      <c r="BH193" s="392"/>
      <c r="BI193" s="392"/>
      <c r="BJ193" s="392"/>
      <c r="BK193" s="392"/>
      <c r="BL193" s="392"/>
      <c r="BM193" s="392"/>
      <c r="BN193" s="392"/>
      <c r="BO193" s="392"/>
      <c r="BP193" s="392"/>
      <c r="BQ193" s="392"/>
      <c r="BR193" s="392"/>
      <c r="BS193" s="392"/>
      <c r="BT193" s="392"/>
      <c r="BU193" s="392"/>
      <c r="BV193" s="392"/>
      <c r="BW193" s="392"/>
      <c r="BX193" s="392"/>
      <c r="BY193" s="392"/>
      <c r="BZ193" s="392"/>
      <c r="CA193" s="392"/>
      <c r="CB193" s="392"/>
      <c r="CC193" s="392"/>
      <c r="CD193" s="392"/>
      <c r="CE193" s="392"/>
      <c r="CF193" s="392"/>
      <c r="CG193" s="392"/>
      <c r="CH193" s="392"/>
      <c r="CI193" s="392"/>
      <c r="CJ193" s="392"/>
      <c r="CK193" s="392"/>
      <c r="CL193" s="392"/>
      <c r="CM193" s="392"/>
      <c r="CN193" s="392"/>
      <c r="CO193" s="392"/>
      <c r="CP193" s="392"/>
      <c r="CQ193" s="392"/>
      <c r="CR193" s="392"/>
      <c r="CS193" s="392"/>
      <c r="CT193" s="392"/>
      <c r="CU193" s="392"/>
      <c r="CV193" s="392"/>
      <c r="CW193" s="392"/>
      <c r="CX193" s="392"/>
      <c r="CY193" s="392"/>
      <c r="CZ193" s="392"/>
      <c r="DA193" s="392"/>
    </row>
    <row r="194" spans="1:105" s="393" customFormat="1" ht="15" outlineLevel="1" thickBot="1" x14ac:dyDescent="0.35">
      <c r="A194" s="480" t="s">
        <v>1392</v>
      </c>
      <c r="B194" s="481" t="s">
        <v>888</v>
      </c>
      <c r="C194" s="502" t="s">
        <v>1647</v>
      </c>
      <c r="D194" s="502" t="s">
        <v>1648</v>
      </c>
      <c r="E194" s="476" t="s">
        <v>1245</v>
      </c>
      <c r="F194" s="478" t="s">
        <v>1288</v>
      </c>
      <c r="G194" s="479"/>
      <c r="H194" s="472" t="s">
        <v>1290</v>
      </c>
      <c r="I194" s="479" t="s">
        <v>1303</v>
      </c>
      <c r="J194" s="413"/>
      <c r="K194" s="412"/>
      <c r="L194" s="412"/>
      <c r="M194" s="391"/>
      <c r="N194" s="391"/>
      <c r="O194" s="392"/>
      <c r="P194" s="392"/>
      <c r="Q194" s="392"/>
      <c r="R194" s="392"/>
      <c r="S194" s="392"/>
      <c r="T194" s="392"/>
      <c r="U194" s="392"/>
      <c r="V194" s="392"/>
      <c r="W194" s="392"/>
      <c r="X194" s="392"/>
      <c r="Y194" s="392"/>
      <c r="Z194" s="392"/>
      <c r="AA194" s="406"/>
      <c r="AB194" s="406"/>
      <c r="AC194" s="392"/>
      <c r="AD194" s="392"/>
      <c r="AE194" s="392"/>
      <c r="AF194" s="392"/>
      <c r="AG194" s="392"/>
      <c r="AH194" s="392"/>
      <c r="AI194" s="392"/>
      <c r="AJ194" s="392"/>
      <c r="AK194" s="392"/>
      <c r="AL194" s="392"/>
      <c r="AM194" s="392"/>
      <c r="AN194" s="392"/>
      <c r="AO194" s="392"/>
      <c r="AP194" s="392"/>
      <c r="AQ194" s="392"/>
      <c r="AR194" s="392"/>
      <c r="AS194" s="392"/>
      <c r="AT194" s="392"/>
      <c r="AU194" s="392"/>
      <c r="AV194" s="392"/>
      <c r="AW194" s="392"/>
      <c r="AX194" s="392"/>
      <c r="AY194" s="392"/>
      <c r="AZ194" s="392"/>
      <c r="BA194" s="392"/>
      <c r="BB194" s="392"/>
      <c r="BC194" s="392"/>
      <c r="BD194" s="392"/>
      <c r="BE194" s="392"/>
      <c r="BF194" s="392"/>
      <c r="BG194" s="392"/>
      <c r="BH194" s="392"/>
      <c r="BI194" s="392"/>
      <c r="BJ194" s="392"/>
      <c r="BK194" s="392"/>
      <c r="BL194" s="392"/>
      <c r="BM194" s="392"/>
      <c r="BN194" s="392"/>
      <c r="BO194" s="392"/>
      <c r="BP194" s="392"/>
      <c r="BQ194" s="392"/>
      <c r="BR194" s="392"/>
      <c r="BS194" s="392"/>
      <c r="BT194" s="392"/>
      <c r="BU194" s="392"/>
      <c r="BV194" s="392"/>
      <c r="BW194" s="392"/>
      <c r="BX194" s="392"/>
      <c r="BY194" s="392"/>
      <c r="BZ194" s="392"/>
      <c r="CA194" s="392"/>
      <c r="CB194" s="392"/>
      <c r="CC194" s="392"/>
      <c r="CD194" s="392"/>
      <c r="CE194" s="392"/>
      <c r="CF194" s="392"/>
      <c r="CG194" s="392"/>
      <c r="CH194" s="392"/>
      <c r="CI194" s="392"/>
      <c r="CJ194" s="392"/>
      <c r="CK194" s="392"/>
      <c r="CL194" s="392"/>
      <c r="CM194" s="392"/>
      <c r="CN194" s="392"/>
      <c r="CO194" s="392"/>
      <c r="CP194" s="392"/>
      <c r="CQ194" s="392"/>
      <c r="CR194" s="392"/>
      <c r="CS194" s="392"/>
      <c r="CT194" s="392"/>
      <c r="CU194" s="392"/>
      <c r="CV194" s="392"/>
      <c r="CW194" s="392"/>
      <c r="CX194" s="392"/>
      <c r="CY194" s="392"/>
      <c r="CZ194" s="392"/>
      <c r="DA194" s="392"/>
    </row>
    <row r="195" spans="1:105" s="393" customFormat="1" ht="15" outlineLevel="1" thickBot="1" x14ac:dyDescent="0.35">
      <c r="A195" s="480" t="s">
        <v>1393</v>
      </c>
      <c r="B195" s="481" t="s">
        <v>1136</v>
      </c>
      <c r="C195" s="502" t="s">
        <v>1647</v>
      </c>
      <c r="D195" s="502" t="s">
        <v>1648</v>
      </c>
      <c r="E195" s="476" t="s">
        <v>1245</v>
      </c>
      <c r="F195" s="478" t="s">
        <v>1288</v>
      </c>
      <c r="G195" s="479"/>
      <c r="H195" s="472" t="s">
        <v>1290</v>
      </c>
      <c r="I195" s="479" t="s">
        <v>1303</v>
      </c>
      <c r="J195" s="413"/>
      <c r="K195" s="412"/>
      <c r="L195" s="412"/>
      <c r="M195" s="391"/>
      <c r="N195" s="391"/>
      <c r="O195" s="392"/>
      <c r="P195" s="392"/>
      <c r="Q195" s="392"/>
      <c r="R195" s="392"/>
      <c r="S195" s="392"/>
      <c r="T195" s="392"/>
      <c r="U195" s="392"/>
      <c r="V195" s="392"/>
      <c r="W195" s="392"/>
      <c r="X195" s="392"/>
      <c r="Y195" s="392"/>
      <c r="Z195" s="392"/>
      <c r="AA195" s="406"/>
      <c r="AB195" s="406"/>
      <c r="AC195" s="392"/>
      <c r="AD195" s="392"/>
      <c r="AE195" s="392"/>
      <c r="AF195" s="392"/>
      <c r="AG195" s="392"/>
      <c r="AH195" s="392"/>
      <c r="AI195" s="392"/>
      <c r="AJ195" s="392"/>
      <c r="AK195" s="392"/>
      <c r="AL195" s="392"/>
      <c r="AM195" s="392"/>
      <c r="AN195" s="392"/>
      <c r="AO195" s="392"/>
      <c r="AP195" s="392"/>
      <c r="AQ195" s="392"/>
      <c r="AR195" s="392"/>
      <c r="AS195" s="392"/>
      <c r="AT195" s="392"/>
      <c r="AU195" s="392"/>
      <c r="AV195" s="392"/>
      <c r="AW195" s="392"/>
      <c r="AX195" s="392"/>
      <c r="AY195" s="392"/>
      <c r="AZ195" s="392"/>
      <c r="BA195" s="392"/>
      <c r="BB195" s="392"/>
      <c r="BC195" s="392"/>
      <c r="BD195" s="392"/>
      <c r="BE195" s="392"/>
      <c r="BF195" s="392"/>
      <c r="BG195" s="392"/>
      <c r="BH195" s="392"/>
      <c r="BI195" s="392"/>
      <c r="BJ195" s="392"/>
      <c r="BK195" s="392"/>
      <c r="BL195" s="392"/>
      <c r="BM195" s="392"/>
      <c r="BN195" s="392"/>
      <c r="BO195" s="392"/>
      <c r="BP195" s="392"/>
      <c r="BQ195" s="392"/>
      <c r="BR195" s="392"/>
      <c r="BS195" s="392"/>
      <c r="BT195" s="392"/>
      <c r="BU195" s="392"/>
      <c r="BV195" s="392"/>
      <c r="BW195" s="392"/>
      <c r="BX195" s="392"/>
      <c r="BY195" s="392"/>
      <c r="BZ195" s="392"/>
      <c r="CA195" s="392"/>
      <c r="CB195" s="392"/>
      <c r="CC195" s="392"/>
      <c r="CD195" s="392"/>
      <c r="CE195" s="392"/>
      <c r="CF195" s="392"/>
      <c r="CG195" s="392"/>
      <c r="CH195" s="392"/>
      <c r="CI195" s="392"/>
      <c r="CJ195" s="392"/>
      <c r="CK195" s="392"/>
      <c r="CL195" s="392"/>
      <c r="CM195" s="392"/>
      <c r="CN195" s="392"/>
      <c r="CO195" s="392"/>
      <c r="CP195" s="392"/>
      <c r="CQ195" s="392"/>
      <c r="CR195" s="392"/>
      <c r="CS195" s="392"/>
      <c r="CT195" s="392"/>
      <c r="CU195" s="392"/>
      <c r="CV195" s="392"/>
      <c r="CW195" s="392"/>
      <c r="CX195" s="392"/>
      <c r="CY195" s="392"/>
      <c r="CZ195" s="392"/>
      <c r="DA195" s="392"/>
    </row>
    <row r="196" spans="1:105" s="393" customFormat="1" ht="15" outlineLevel="1" thickBot="1" x14ac:dyDescent="0.35">
      <c r="A196" s="480" t="s">
        <v>1394</v>
      </c>
      <c r="B196" s="481" t="s">
        <v>889</v>
      </c>
      <c r="C196" s="502" t="s">
        <v>1647</v>
      </c>
      <c r="D196" s="502" t="s">
        <v>1648</v>
      </c>
      <c r="E196" s="476" t="s">
        <v>1245</v>
      </c>
      <c r="F196" s="478" t="s">
        <v>1288</v>
      </c>
      <c r="G196" s="479"/>
      <c r="H196" s="472" t="s">
        <v>1290</v>
      </c>
      <c r="I196" s="479" t="s">
        <v>1303</v>
      </c>
      <c r="J196" s="413"/>
      <c r="K196" s="412"/>
      <c r="L196" s="412"/>
      <c r="M196" s="391"/>
      <c r="N196" s="391"/>
      <c r="O196" s="392"/>
      <c r="P196" s="392"/>
      <c r="Q196" s="392"/>
      <c r="R196" s="392"/>
      <c r="S196" s="392"/>
      <c r="T196" s="392"/>
      <c r="U196" s="392"/>
      <c r="V196" s="392"/>
      <c r="W196" s="392"/>
      <c r="X196" s="392"/>
      <c r="Y196" s="392"/>
      <c r="Z196" s="392"/>
      <c r="AA196" s="406"/>
      <c r="AB196" s="406"/>
      <c r="AC196" s="392"/>
      <c r="AD196" s="392"/>
      <c r="AE196" s="392"/>
      <c r="AF196" s="392"/>
      <c r="AG196" s="392"/>
      <c r="AH196" s="392"/>
      <c r="AI196" s="392"/>
      <c r="AJ196" s="392"/>
      <c r="AK196" s="392"/>
      <c r="AL196" s="392"/>
      <c r="AM196" s="392"/>
      <c r="AN196" s="392"/>
      <c r="AO196" s="392"/>
      <c r="AP196" s="392"/>
      <c r="AQ196" s="392"/>
      <c r="AR196" s="392"/>
      <c r="AS196" s="392"/>
      <c r="AT196" s="392"/>
      <c r="AU196" s="392"/>
      <c r="AV196" s="392"/>
      <c r="AW196" s="392"/>
      <c r="AX196" s="392"/>
      <c r="AY196" s="392"/>
      <c r="AZ196" s="392"/>
      <c r="BA196" s="392"/>
      <c r="BB196" s="392"/>
      <c r="BC196" s="392"/>
      <c r="BD196" s="392"/>
      <c r="BE196" s="392"/>
      <c r="BF196" s="392"/>
      <c r="BG196" s="392"/>
      <c r="BH196" s="392"/>
      <c r="BI196" s="392"/>
      <c r="BJ196" s="392"/>
      <c r="BK196" s="392"/>
      <c r="BL196" s="392"/>
      <c r="BM196" s="392"/>
      <c r="BN196" s="392"/>
      <c r="BO196" s="392"/>
      <c r="BP196" s="392"/>
      <c r="BQ196" s="392"/>
      <c r="BR196" s="392"/>
      <c r="BS196" s="392"/>
      <c r="BT196" s="392"/>
      <c r="BU196" s="392"/>
      <c r="BV196" s="392"/>
      <c r="BW196" s="392"/>
      <c r="BX196" s="392"/>
      <c r="BY196" s="392"/>
      <c r="BZ196" s="392"/>
      <c r="CA196" s="392"/>
      <c r="CB196" s="392"/>
      <c r="CC196" s="392"/>
      <c r="CD196" s="392"/>
      <c r="CE196" s="392"/>
      <c r="CF196" s="392"/>
      <c r="CG196" s="392"/>
      <c r="CH196" s="392"/>
      <c r="CI196" s="392"/>
      <c r="CJ196" s="392"/>
      <c r="CK196" s="392"/>
      <c r="CL196" s="392"/>
      <c r="CM196" s="392"/>
      <c r="CN196" s="392"/>
      <c r="CO196" s="392"/>
      <c r="CP196" s="392"/>
      <c r="CQ196" s="392"/>
      <c r="CR196" s="392"/>
      <c r="CS196" s="392"/>
      <c r="CT196" s="392"/>
      <c r="CU196" s="392"/>
      <c r="CV196" s="392"/>
      <c r="CW196" s="392"/>
      <c r="CX196" s="392"/>
      <c r="CY196" s="392"/>
      <c r="CZ196" s="392"/>
      <c r="DA196" s="392"/>
    </row>
    <row r="197" spans="1:105" s="393" customFormat="1" ht="15" outlineLevel="1" thickBot="1" x14ac:dyDescent="0.35">
      <c r="A197" s="480" t="s">
        <v>1395</v>
      </c>
      <c r="B197" s="481" t="s">
        <v>1283</v>
      </c>
      <c r="C197" s="502" t="s">
        <v>1647</v>
      </c>
      <c r="D197" s="502" t="s">
        <v>1648</v>
      </c>
      <c r="E197" s="476" t="s">
        <v>1245</v>
      </c>
      <c r="F197" s="478" t="s">
        <v>1288</v>
      </c>
      <c r="G197" s="479"/>
      <c r="H197" s="472" t="s">
        <v>1290</v>
      </c>
      <c r="I197" s="479" t="s">
        <v>1303</v>
      </c>
      <c r="J197" s="413"/>
      <c r="K197" s="412"/>
      <c r="L197" s="412"/>
      <c r="M197" s="391"/>
      <c r="N197" s="391"/>
      <c r="O197" s="392"/>
      <c r="P197" s="392"/>
      <c r="Q197" s="392"/>
      <c r="R197" s="392"/>
      <c r="S197" s="392"/>
      <c r="T197" s="392"/>
      <c r="U197" s="392"/>
      <c r="V197" s="392"/>
      <c r="W197" s="392"/>
      <c r="X197" s="392"/>
      <c r="Y197" s="392"/>
      <c r="Z197" s="392"/>
      <c r="AA197" s="406"/>
      <c r="AB197" s="406"/>
      <c r="AC197" s="392"/>
      <c r="AD197" s="392"/>
      <c r="AE197" s="392"/>
      <c r="AF197" s="392"/>
      <c r="AG197" s="392"/>
      <c r="AH197" s="392"/>
      <c r="AI197" s="392"/>
      <c r="AJ197" s="392"/>
      <c r="AK197" s="392"/>
      <c r="AL197" s="392"/>
      <c r="AM197" s="392"/>
      <c r="AN197" s="392"/>
      <c r="AO197" s="392"/>
      <c r="AP197" s="392"/>
      <c r="AQ197" s="392"/>
      <c r="AR197" s="392"/>
      <c r="AS197" s="392"/>
      <c r="AT197" s="392"/>
      <c r="AU197" s="392"/>
      <c r="AV197" s="392"/>
      <c r="AW197" s="392"/>
      <c r="AX197" s="392"/>
      <c r="AY197" s="392"/>
      <c r="AZ197" s="392"/>
      <c r="BA197" s="392"/>
      <c r="BB197" s="392"/>
      <c r="BC197" s="392"/>
      <c r="BD197" s="392"/>
      <c r="BE197" s="392"/>
      <c r="BF197" s="392"/>
      <c r="BG197" s="392"/>
      <c r="BH197" s="392"/>
      <c r="BI197" s="392"/>
      <c r="BJ197" s="392"/>
      <c r="BK197" s="392"/>
      <c r="BL197" s="392"/>
      <c r="BM197" s="392"/>
      <c r="BN197" s="392"/>
      <c r="BO197" s="392"/>
      <c r="BP197" s="392"/>
      <c r="BQ197" s="392"/>
      <c r="BR197" s="392"/>
      <c r="BS197" s="392"/>
      <c r="BT197" s="392"/>
      <c r="BU197" s="392"/>
      <c r="BV197" s="392"/>
      <c r="BW197" s="392"/>
      <c r="BX197" s="392"/>
      <c r="BY197" s="392"/>
      <c r="BZ197" s="392"/>
      <c r="CA197" s="392"/>
      <c r="CB197" s="392"/>
      <c r="CC197" s="392"/>
      <c r="CD197" s="392"/>
      <c r="CE197" s="392"/>
      <c r="CF197" s="392"/>
      <c r="CG197" s="392"/>
      <c r="CH197" s="392"/>
      <c r="CI197" s="392"/>
      <c r="CJ197" s="392"/>
      <c r="CK197" s="392"/>
      <c r="CL197" s="392"/>
      <c r="CM197" s="392"/>
      <c r="CN197" s="392"/>
      <c r="CO197" s="392"/>
      <c r="CP197" s="392"/>
      <c r="CQ197" s="392"/>
      <c r="CR197" s="392"/>
      <c r="CS197" s="392"/>
      <c r="CT197" s="392"/>
      <c r="CU197" s="392"/>
      <c r="CV197" s="392"/>
      <c r="CW197" s="392"/>
      <c r="CX197" s="392"/>
      <c r="CY197" s="392"/>
      <c r="CZ197" s="392"/>
      <c r="DA197" s="392"/>
    </row>
    <row r="198" spans="1:105" s="393" customFormat="1" ht="15" outlineLevel="1" thickBot="1" x14ac:dyDescent="0.35">
      <c r="A198" s="480" t="s">
        <v>1396</v>
      </c>
      <c r="B198" s="481" t="s">
        <v>890</v>
      </c>
      <c r="C198" s="502" t="s">
        <v>1647</v>
      </c>
      <c r="D198" s="502" t="s">
        <v>1648</v>
      </c>
      <c r="E198" s="476" t="s">
        <v>1245</v>
      </c>
      <c r="F198" s="478" t="s">
        <v>1288</v>
      </c>
      <c r="G198" s="479"/>
      <c r="H198" s="472" t="s">
        <v>1294</v>
      </c>
      <c r="I198" s="479" t="s">
        <v>1301</v>
      </c>
      <c r="J198" s="413"/>
      <c r="K198" s="412"/>
      <c r="L198" s="412"/>
      <c r="M198" s="391"/>
      <c r="N198" s="391"/>
      <c r="O198" s="392"/>
      <c r="P198" s="392"/>
      <c r="Q198" s="392"/>
      <c r="R198" s="392"/>
      <c r="S198" s="392"/>
      <c r="T198" s="392"/>
      <c r="U198" s="392"/>
      <c r="V198" s="392"/>
      <c r="W198" s="392"/>
      <c r="X198" s="392"/>
      <c r="Y198" s="392"/>
      <c r="Z198" s="392"/>
      <c r="AA198" s="406"/>
      <c r="AB198" s="406"/>
      <c r="AC198" s="392"/>
      <c r="AD198" s="392"/>
      <c r="AE198" s="392"/>
      <c r="AF198" s="392"/>
      <c r="AG198" s="392"/>
      <c r="AH198" s="392"/>
      <c r="AI198" s="392"/>
      <c r="AJ198" s="392"/>
      <c r="AK198" s="392"/>
      <c r="AL198" s="392"/>
      <c r="AM198" s="392"/>
      <c r="AN198" s="392"/>
      <c r="AO198" s="392"/>
      <c r="AP198" s="392"/>
      <c r="AQ198" s="392"/>
      <c r="AR198" s="392"/>
      <c r="AS198" s="392"/>
      <c r="AT198" s="392"/>
      <c r="AU198" s="392"/>
      <c r="AV198" s="392"/>
      <c r="AW198" s="392"/>
      <c r="AX198" s="392"/>
      <c r="AY198" s="392"/>
      <c r="AZ198" s="392"/>
      <c r="BA198" s="392"/>
      <c r="BB198" s="392"/>
      <c r="BC198" s="392"/>
      <c r="BD198" s="392"/>
      <c r="BE198" s="392"/>
      <c r="BF198" s="392"/>
      <c r="BG198" s="392"/>
      <c r="BH198" s="392"/>
      <c r="BI198" s="392"/>
      <c r="BJ198" s="392"/>
      <c r="BK198" s="392"/>
      <c r="BL198" s="392"/>
      <c r="BM198" s="392"/>
      <c r="BN198" s="392"/>
      <c r="BO198" s="392"/>
      <c r="BP198" s="392"/>
      <c r="BQ198" s="392"/>
      <c r="BR198" s="392"/>
      <c r="BS198" s="392"/>
      <c r="BT198" s="392"/>
      <c r="BU198" s="392"/>
      <c r="BV198" s="392"/>
      <c r="BW198" s="392"/>
      <c r="BX198" s="392"/>
      <c r="BY198" s="392"/>
      <c r="BZ198" s="392"/>
      <c r="CA198" s="392"/>
      <c r="CB198" s="392"/>
      <c r="CC198" s="392"/>
      <c r="CD198" s="392"/>
      <c r="CE198" s="392"/>
      <c r="CF198" s="392"/>
      <c r="CG198" s="392"/>
      <c r="CH198" s="392"/>
      <c r="CI198" s="392"/>
      <c r="CJ198" s="392"/>
      <c r="CK198" s="392"/>
      <c r="CL198" s="392"/>
      <c r="CM198" s="392"/>
      <c r="CN198" s="392"/>
      <c r="CO198" s="392"/>
      <c r="CP198" s="392"/>
      <c r="CQ198" s="392"/>
      <c r="CR198" s="392"/>
      <c r="CS198" s="392"/>
      <c r="CT198" s="392"/>
      <c r="CU198" s="392"/>
      <c r="CV198" s="392"/>
      <c r="CW198" s="392"/>
      <c r="CX198" s="392"/>
      <c r="CY198" s="392"/>
      <c r="CZ198" s="392"/>
      <c r="DA198" s="392"/>
    </row>
    <row r="199" spans="1:105" s="393" customFormat="1" ht="29.4" outlineLevel="1" thickBot="1" x14ac:dyDescent="0.35">
      <c r="A199" s="480" t="s">
        <v>1397</v>
      </c>
      <c r="B199" s="481" t="s">
        <v>1588</v>
      </c>
      <c r="C199" s="502" t="s">
        <v>1647</v>
      </c>
      <c r="D199" s="502" t="s">
        <v>1648</v>
      </c>
      <c r="E199" s="476" t="s">
        <v>1245</v>
      </c>
      <c r="F199" s="478" t="s">
        <v>1288</v>
      </c>
      <c r="G199" s="479"/>
      <c r="H199" s="472" t="s">
        <v>1290</v>
      </c>
      <c r="I199" s="479" t="s">
        <v>1303</v>
      </c>
      <c r="J199" s="413"/>
      <c r="K199" s="412"/>
      <c r="L199" s="412"/>
      <c r="M199" s="391"/>
      <c r="N199" s="391"/>
      <c r="O199" s="392"/>
      <c r="P199" s="392"/>
      <c r="Q199" s="392"/>
      <c r="R199" s="392"/>
      <c r="S199" s="392"/>
      <c r="T199" s="392"/>
      <c r="U199" s="392"/>
      <c r="V199" s="392"/>
      <c r="W199" s="392"/>
      <c r="X199" s="392"/>
      <c r="Y199" s="392"/>
      <c r="Z199" s="392"/>
      <c r="AA199" s="406"/>
      <c r="AB199" s="406"/>
      <c r="AC199" s="392"/>
      <c r="AD199" s="392"/>
      <c r="AE199" s="392"/>
      <c r="AF199" s="392"/>
      <c r="AG199" s="392"/>
      <c r="AH199" s="392"/>
      <c r="AI199" s="392"/>
      <c r="AJ199" s="392"/>
      <c r="AK199" s="392"/>
      <c r="AL199" s="392"/>
      <c r="AM199" s="392"/>
      <c r="AN199" s="392"/>
      <c r="AO199" s="392"/>
      <c r="AP199" s="392"/>
      <c r="AQ199" s="392"/>
      <c r="AR199" s="392"/>
      <c r="AS199" s="392"/>
      <c r="AT199" s="392"/>
      <c r="AU199" s="392"/>
      <c r="AV199" s="392"/>
      <c r="AW199" s="392"/>
      <c r="AX199" s="392"/>
      <c r="AY199" s="392"/>
      <c r="AZ199" s="392"/>
      <c r="BA199" s="392"/>
      <c r="BB199" s="392"/>
      <c r="BC199" s="392"/>
      <c r="BD199" s="392"/>
      <c r="BE199" s="392"/>
      <c r="BF199" s="392"/>
      <c r="BG199" s="392"/>
      <c r="BH199" s="392"/>
      <c r="BI199" s="392"/>
      <c r="BJ199" s="392"/>
      <c r="BK199" s="392"/>
      <c r="BL199" s="392"/>
      <c r="BM199" s="392"/>
      <c r="BN199" s="392"/>
      <c r="BO199" s="392"/>
      <c r="BP199" s="392"/>
      <c r="BQ199" s="392"/>
      <c r="BR199" s="392"/>
      <c r="BS199" s="392"/>
      <c r="BT199" s="392"/>
      <c r="BU199" s="392"/>
      <c r="BV199" s="392"/>
      <c r="BW199" s="392"/>
      <c r="BX199" s="392"/>
      <c r="BY199" s="392"/>
      <c r="BZ199" s="392"/>
      <c r="CA199" s="392"/>
      <c r="CB199" s="392"/>
      <c r="CC199" s="392"/>
      <c r="CD199" s="392"/>
      <c r="CE199" s="392"/>
      <c r="CF199" s="392"/>
      <c r="CG199" s="392"/>
      <c r="CH199" s="392"/>
      <c r="CI199" s="392"/>
      <c r="CJ199" s="392"/>
      <c r="CK199" s="392"/>
      <c r="CL199" s="392"/>
      <c r="CM199" s="392"/>
      <c r="CN199" s="392"/>
      <c r="CO199" s="392"/>
      <c r="CP199" s="392"/>
      <c r="CQ199" s="392"/>
      <c r="CR199" s="392"/>
      <c r="CS199" s="392"/>
      <c r="CT199" s="392"/>
      <c r="CU199" s="392"/>
      <c r="CV199" s="392"/>
      <c r="CW199" s="392"/>
      <c r="CX199" s="392"/>
      <c r="CY199" s="392"/>
      <c r="CZ199" s="392"/>
      <c r="DA199" s="392"/>
    </row>
    <row r="200" spans="1:105" s="393" customFormat="1" ht="15" outlineLevel="1" thickBot="1" x14ac:dyDescent="0.35">
      <c r="A200" s="480" t="s">
        <v>1398</v>
      </c>
      <c r="B200" s="481" t="s">
        <v>1086</v>
      </c>
      <c r="C200" s="503"/>
      <c r="D200" s="476"/>
      <c r="E200" s="476" t="s">
        <v>1245</v>
      </c>
      <c r="F200" s="478" t="s">
        <v>902</v>
      </c>
      <c r="G200" s="479"/>
      <c r="H200" s="472" t="s">
        <v>1290</v>
      </c>
      <c r="I200" s="479" t="s">
        <v>1303</v>
      </c>
      <c r="J200" s="413"/>
      <c r="K200" s="412"/>
      <c r="L200" s="412"/>
      <c r="M200" s="391"/>
      <c r="N200" s="391"/>
      <c r="O200" s="392"/>
      <c r="P200" s="392"/>
      <c r="Q200" s="392"/>
      <c r="R200" s="392"/>
      <c r="S200" s="392"/>
      <c r="T200" s="392"/>
      <c r="U200" s="392"/>
      <c r="V200" s="392"/>
      <c r="W200" s="392"/>
      <c r="X200" s="392"/>
      <c r="Y200" s="392"/>
      <c r="Z200" s="392"/>
      <c r="AA200" s="406"/>
      <c r="AB200" s="406"/>
      <c r="AC200" s="392"/>
      <c r="AD200" s="392"/>
      <c r="AE200" s="392"/>
      <c r="AF200" s="392"/>
      <c r="AG200" s="392"/>
      <c r="AH200" s="392"/>
      <c r="AI200" s="392"/>
      <c r="AJ200" s="392"/>
      <c r="AK200" s="392"/>
      <c r="AL200" s="392"/>
      <c r="AM200" s="392"/>
      <c r="AN200" s="392"/>
      <c r="AO200" s="392"/>
      <c r="AP200" s="392"/>
      <c r="AQ200" s="392"/>
      <c r="AR200" s="392"/>
      <c r="AS200" s="392"/>
      <c r="AT200" s="392"/>
      <c r="AU200" s="392"/>
      <c r="AV200" s="392"/>
      <c r="AW200" s="392"/>
      <c r="AX200" s="392"/>
      <c r="AY200" s="392"/>
      <c r="AZ200" s="392"/>
      <c r="BA200" s="392"/>
      <c r="BB200" s="392"/>
      <c r="BC200" s="392"/>
      <c r="BD200" s="392"/>
      <c r="BE200" s="392"/>
      <c r="BF200" s="392"/>
      <c r="BG200" s="392"/>
      <c r="BH200" s="392"/>
      <c r="BI200" s="392"/>
      <c r="BJ200" s="392"/>
      <c r="BK200" s="392"/>
      <c r="BL200" s="392"/>
      <c r="BM200" s="392"/>
      <c r="BN200" s="392"/>
      <c r="BO200" s="392"/>
      <c r="BP200" s="392"/>
      <c r="BQ200" s="392"/>
      <c r="BR200" s="392"/>
      <c r="BS200" s="392"/>
      <c r="BT200" s="392"/>
      <c r="BU200" s="392"/>
      <c r="BV200" s="392"/>
      <c r="BW200" s="392"/>
      <c r="BX200" s="392"/>
      <c r="BY200" s="392"/>
      <c r="BZ200" s="392"/>
      <c r="CA200" s="392"/>
      <c r="CB200" s="392"/>
      <c r="CC200" s="392"/>
      <c r="CD200" s="392"/>
      <c r="CE200" s="392"/>
      <c r="CF200" s="392"/>
      <c r="CG200" s="392"/>
      <c r="CH200" s="392"/>
      <c r="CI200" s="392"/>
      <c r="CJ200" s="392"/>
      <c r="CK200" s="392"/>
      <c r="CL200" s="392"/>
      <c r="CM200" s="392"/>
      <c r="CN200" s="392"/>
      <c r="CO200" s="392"/>
      <c r="CP200" s="392"/>
      <c r="CQ200" s="392"/>
      <c r="CR200" s="392"/>
      <c r="CS200" s="392"/>
      <c r="CT200" s="392"/>
      <c r="CU200" s="392"/>
      <c r="CV200" s="392"/>
      <c r="CW200" s="392"/>
      <c r="CX200" s="392"/>
      <c r="CY200" s="392"/>
      <c r="CZ200" s="392"/>
      <c r="DA200" s="392"/>
    </row>
    <row r="201" spans="1:105" s="393" customFormat="1" ht="15" outlineLevel="1" thickBot="1" x14ac:dyDescent="0.35">
      <c r="A201" s="480" t="s">
        <v>1492</v>
      </c>
      <c r="B201" s="481" t="s">
        <v>1589</v>
      </c>
      <c r="C201" s="503"/>
      <c r="D201" s="476"/>
      <c r="E201" s="476" t="s">
        <v>1245</v>
      </c>
      <c r="F201" s="478" t="s">
        <v>902</v>
      </c>
      <c r="G201" s="479"/>
      <c r="H201" s="472" t="s">
        <v>1294</v>
      </c>
      <c r="I201" s="479" t="s">
        <v>1301</v>
      </c>
      <c r="J201" s="413"/>
      <c r="K201" s="412"/>
      <c r="L201" s="412"/>
      <c r="M201" s="391"/>
      <c r="N201" s="391"/>
      <c r="O201" s="392"/>
      <c r="P201" s="392"/>
      <c r="Q201" s="392"/>
      <c r="R201" s="392"/>
      <c r="S201" s="392"/>
      <c r="T201" s="392"/>
      <c r="U201" s="392"/>
      <c r="V201" s="392"/>
      <c r="W201" s="392"/>
      <c r="X201" s="392"/>
      <c r="Y201" s="392"/>
      <c r="Z201" s="392"/>
      <c r="AA201" s="406"/>
      <c r="AB201" s="406"/>
      <c r="AC201" s="392"/>
      <c r="AD201" s="392"/>
      <c r="AE201" s="392"/>
      <c r="AF201" s="392"/>
      <c r="AG201" s="392"/>
      <c r="AH201" s="392"/>
      <c r="AI201" s="392"/>
      <c r="AJ201" s="392"/>
      <c r="AK201" s="392"/>
      <c r="AL201" s="392"/>
      <c r="AM201" s="392"/>
      <c r="AN201" s="392"/>
      <c r="AO201" s="392"/>
      <c r="AP201" s="392"/>
      <c r="AQ201" s="392"/>
      <c r="AR201" s="392"/>
      <c r="AS201" s="392"/>
      <c r="AT201" s="392"/>
      <c r="AU201" s="392"/>
      <c r="AV201" s="392"/>
      <c r="AW201" s="392"/>
      <c r="AX201" s="392"/>
      <c r="AY201" s="392"/>
      <c r="AZ201" s="392"/>
      <c r="BA201" s="392"/>
      <c r="BB201" s="392"/>
      <c r="BC201" s="392"/>
      <c r="BD201" s="392"/>
      <c r="BE201" s="392"/>
      <c r="BF201" s="392"/>
      <c r="BG201" s="392"/>
      <c r="BH201" s="392"/>
      <c r="BI201" s="392"/>
      <c r="BJ201" s="392"/>
      <c r="BK201" s="392"/>
      <c r="BL201" s="392"/>
      <c r="BM201" s="392"/>
      <c r="BN201" s="392"/>
      <c r="BO201" s="392"/>
      <c r="BP201" s="392"/>
      <c r="BQ201" s="392"/>
      <c r="BR201" s="392"/>
      <c r="BS201" s="392"/>
      <c r="BT201" s="392"/>
      <c r="BU201" s="392"/>
      <c r="BV201" s="392"/>
      <c r="BW201" s="392"/>
      <c r="BX201" s="392"/>
      <c r="BY201" s="392"/>
      <c r="BZ201" s="392"/>
      <c r="CA201" s="392"/>
      <c r="CB201" s="392"/>
      <c r="CC201" s="392"/>
      <c r="CD201" s="392"/>
      <c r="CE201" s="392"/>
      <c r="CF201" s="392"/>
      <c r="CG201" s="392"/>
      <c r="CH201" s="392"/>
      <c r="CI201" s="392"/>
      <c r="CJ201" s="392"/>
      <c r="CK201" s="392"/>
      <c r="CL201" s="392"/>
      <c r="CM201" s="392"/>
      <c r="CN201" s="392"/>
      <c r="CO201" s="392"/>
      <c r="CP201" s="392"/>
      <c r="CQ201" s="392"/>
      <c r="CR201" s="392"/>
      <c r="CS201" s="392"/>
      <c r="CT201" s="392"/>
      <c r="CU201" s="392"/>
      <c r="CV201" s="392"/>
      <c r="CW201" s="392"/>
      <c r="CX201" s="392"/>
      <c r="CY201" s="392"/>
      <c r="CZ201" s="392"/>
      <c r="DA201" s="392"/>
    </row>
    <row r="202" spans="1:105" s="393" customFormat="1" ht="15" outlineLevel="1" thickBot="1" x14ac:dyDescent="0.35">
      <c r="A202" s="480" t="s">
        <v>1493</v>
      </c>
      <c r="B202" s="481" t="s">
        <v>681</v>
      </c>
      <c r="C202" s="503"/>
      <c r="D202" s="476"/>
      <c r="E202" s="476" t="s">
        <v>1245</v>
      </c>
      <c r="F202" s="478" t="s">
        <v>902</v>
      </c>
      <c r="G202" s="479"/>
      <c r="H202" s="472"/>
      <c r="I202" s="479"/>
      <c r="J202" s="413"/>
      <c r="K202" s="412"/>
      <c r="L202" s="412"/>
      <c r="M202" s="391"/>
      <c r="N202" s="391"/>
      <c r="O202" s="392"/>
      <c r="P202" s="392"/>
      <c r="Q202" s="392"/>
      <c r="R202" s="392"/>
      <c r="S202" s="392"/>
      <c r="T202" s="392"/>
      <c r="U202" s="392"/>
      <c r="V202" s="392"/>
      <c r="W202" s="392"/>
      <c r="X202" s="392"/>
      <c r="Y202" s="392"/>
      <c r="Z202" s="392"/>
      <c r="AA202" s="406"/>
      <c r="AB202" s="406"/>
      <c r="AC202" s="392"/>
      <c r="AD202" s="392"/>
      <c r="AE202" s="392"/>
      <c r="AF202" s="392"/>
      <c r="AG202" s="392"/>
      <c r="AH202" s="392"/>
      <c r="AI202" s="392"/>
      <c r="AJ202" s="392"/>
      <c r="AK202" s="392"/>
      <c r="AL202" s="392"/>
      <c r="AM202" s="392"/>
      <c r="AN202" s="392"/>
      <c r="AO202" s="392"/>
      <c r="AP202" s="392"/>
      <c r="AQ202" s="392"/>
      <c r="AR202" s="392"/>
      <c r="AS202" s="392"/>
      <c r="AT202" s="392"/>
      <c r="AU202" s="392"/>
      <c r="AV202" s="392"/>
      <c r="AW202" s="392"/>
      <c r="AX202" s="392"/>
      <c r="AY202" s="392"/>
      <c r="AZ202" s="392"/>
      <c r="BA202" s="392"/>
      <c r="BB202" s="392"/>
      <c r="BC202" s="392"/>
      <c r="BD202" s="392"/>
      <c r="BE202" s="392"/>
      <c r="BF202" s="392"/>
      <c r="BG202" s="392"/>
      <c r="BH202" s="392"/>
      <c r="BI202" s="392"/>
      <c r="BJ202" s="392"/>
      <c r="BK202" s="392"/>
      <c r="BL202" s="392"/>
      <c r="BM202" s="392"/>
      <c r="BN202" s="392"/>
      <c r="BO202" s="392"/>
      <c r="BP202" s="392"/>
      <c r="BQ202" s="392"/>
      <c r="BR202" s="392"/>
      <c r="BS202" s="392"/>
      <c r="BT202" s="392"/>
      <c r="BU202" s="392"/>
      <c r="BV202" s="392"/>
      <c r="BW202" s="392"/>
      <c r="BX202" s="392"/>
      <c r="BY202" s="392"/>
      <c r="BZ202" s="392"/>
      <c r="CA202" s="392"/>
      <c r="CB202" s="392"/>
      <c r="CC202" s="392"/>
      <c r="CD202" s="392"/>
      <c r="CE202" s="392"/>
      <c r="CF202" s="392"/>
      <c r="CG202" s="392"/>
      <c r="CH202" s="392"/>
      <c r="CI202" s="392"/>
      <c r="CJ202" s="392"/>
      <c r="CK202" s="392"/>
      <c r="CL202" s="392"/>
      <c r="CM202" s="392"/>
      <c r="CN202" s="392"/>
      <c r="CO202" s="392"/>
      <c r="CP202" s="392"/>
      <c r="CQ202" s="392"/>
      <c r="CR202" s="392"/>
      <c r="CS202" s="392"/>
      <c r="CT202" s="392"/>
      <c r="CU202" s="392"/>
      <c r="CV202" s="392"/>
      <c r="CW202" s="392"/>
      <c r="CX202" s="392"/>
      <c r="CY202" s="392"/>
      <c r="CZ202" s="392"/>
      <c r="DA202" s="392"/>
    </row>
    <row r="203" spans="1:105" s="393" customFormat="1" ht="15" outlineLevel="1" thickBot="1" x14ac:dyDescent="0.35">
      <c r="A203" s="480" t="s">
        <v>1590</v>
      </c>
      <c r="B203" s="481" t="s">
        <v>1591</v>
      </c>
      <c r="C203" s="502">
        <v>44770</v>
      </c>
      <c r="D203" s="482">
        <v>44770</v>
      </c>
      <c r="E203" s="476"/>
      <c r="F203" s="478"/>
      <c r="G203" s="479"/>
      <c r="H203" s="472"/>
      <c r="I203" s="479"/>
      <c r="J203" s="413"/>
      <c r="K203" s="412"/>
      <c r="L203" s="412"/>
      <c r="M203" s="391"/>
      <c r="N203" s="391"/>
      <c r="O203" s="392"/>
      <c r="P203" s="392"/>
      <c r="Q203" s="392"/>
      <c r="R203" s="392"/>
      <c r="S203" s="392"/>
      <c r="T203" s="392"/>
      <c r="U203" s="392"/>
      <c r="V203" s="392"/>
      <c r="W203" s="392"/>
      <c r="X203" s="392"/>
      <c r="Y203" s="392"/>
      <c r="Z203" s="392"/>
      <c r="AA203" s="406"/>
      <c r="AB203" s="406"/>
      <c r="AC203" s="392"/>
      <c r="AD203" s="392"/>
      <c r="AE203" s="392"/>
      <c r="AF203" s="392"/>
      <c r="AG203" s="392"/>
      <c r="AH203" s="392"/>
      <c r="AI203" s="392"/>
      <c r="AJ203" s="392"/>
      <c r="AK203" s="392"/>
      <c r="AL203" s="392"/>
      <c r="AM203" s="392"/>
      <c r="AN203" s="392"/>
      <c r="AO203" s="392"/>
      <c r="AP203" s="392"/>
      <c r="AQ203" s="392"/>
      <c r="AR203" s="392"/>
      <c r="AS203" s="392"/>
      <c r="AT203" s="392"/>
      <c r="AU203" s="392"/>
      <c r="AV203" s="392"/>
      <c r="AW203" s="392"/>
      <c r="AX203" s="392"/>
      <c r="AY203" s="392"/>
      <c r="AZ203" s="392"/>
      <c r="BA203" s="392"/>
      <c r="BB203" s="392"/>
      <c r="BC203" s="392"/>
      <c r="BD203" s="392"/>
      <c r="BE203" s="392"/>
      <c r="BF203" s="392"/>
      <c r="BG203" s="392"/>
      <c r="BH203" s="392"/>
      <c r="BI203" s="392"/>
      <c r="BJ203" s="392"/>
      <c r="BK203" s="392"/>
      <c r="BL203" s="392"/>
      <c r="BM203" s="392"/>
      <c r="BN203" s="392"/>
      <c r="BO203" s="392"/>
      <c r="BP203" s="392"/>
      <c r="BQ203" s="392"/>
      <c r="BR203" s="392"/>
      <c r="BS203" s="392"/>
      <c r="BT203" s="392"/>
      <c r="BU203" s="392"/>
      <c r="BV203" s="392"/>
      <c r="BW203" s="392"/>
      <c r="BX203" s="392"/>
      <c r="BY203" s="392"/>
      <c r="BZ203" s="392"/>
      <c r="CA203" s="392"/>
      <c r="CB203" s="392"/>
      <c r="CC203" s="392"/>
      <c r="CD203" s="392"/>
      <c r="CE203" s="392"/>
      <c r="CF203" s="392"/>
      <c r="CG203" s="392"/>
      <c r="CH203" s="392"/>
      <c r="CI203" s="392"/>
      <c r="CJ203" s="392"/>
      <c r="CK203" s="392"/>
      <c r="CL203" s="392"/>
      <c r="CM203" s="392"/>
      <c r="CN203" s="392"/>
      <c r="CO203" s="392"/>
      <c r="CP203" s="392"/>
      <c r="CQ203" s="392"/>
      <c r="CR203" s="392"/>
      <c r="CS203" s="392"/>
      <c r="CT203" s="392"/>
      <c r="CU203" s="392"/>
      <c r="CV203" s="392"/>
      <c r="CW203" s="392"/>
      <c r="CX203" s="392"/>
      <c r="CY203" s="392"/>
      <c r="CZ203" s="392"/>
      <c r="DA203" s="392"/>
    </row>
    <row r="204" spans="1:105" s="393" customFormat="1" ht="15" outlineLevel="1" thickBot="1" x14ac:dyDescent="0.35">
      <c r="A204" s="480" t="s">
        <v>1494</v>
      </c>
      <c r="B204" s="497" t="s">
        <v>1137</v>
      </c>
      <c r="C204" s="502"/>
      <c r="D204" s="482"/>
      <c r="E204" s="476" t="s">
        <v>1245</v>
      </c>
      <c r="F204" s="478" t="s">
        <v>902</v>
      </c>
      <c r="G204" s="479"/>
      <c r="H204" s="472" t="s">
        <v>1448</v>
      </c>
      <c r="I204" s="479" t="s">
        <v>1304</v>
      </c>
      <c r="J204" s="413"/>
      <c r="K204" s="412"/>
      <c r="L204" s="412"/>
      <c r="M204" s="391"/>
      <c r="N204" s="391"/>
      <c r="O204" s="392"/>
      <c r="P204" s="392"/>
      <c r="Q204" s="392"/>
      <c r="R204" s="392"/>
      <c r="S204" s="392"/>
      <c r="T204" s="392"/>
      <c r="U204" s="392"/>
      <c r="V204" s="392"/>
      <c r="W204" s="392"/>
      <c r="X204" s="392"/>
      <c r="Y204" s="392"/>
      <c r="Z204" s="392"/>
      <c r="AA204" s="406"/>
      <c r="AB204" s="406"/>
      <c r="AC204" s="392"/>
      <c r="AD204" s="392"/>
      <c r="AE204" s="392"/>
      <c r="AF204" s="392"/>
      <c r="AG204" s="392"/>
      <c r="AH204" s="392"/>
      <c r="AI204" s="392"/>
      <c r="AJ204" s="392"/>
      <c r="AK204" s="392"/>
      <c r="AL204" s="392"/>
      <c r="AM204" s="392"/>
      <c r="AN204" s="392"/>
      <c r="AO204" s="392"/>
      <c r="AP204" s="392"/>
      <c r="AQ204" s="392"/>
      <c r="AR204" s="392"/>
      <c r="AS204" s="392"/>
      <c r="AT204" s="392"/>
      <c r="AU204" s="392"/>
      <c r="AV204" s="392"/>
      <c r="AW204" s="392"/>
      <c r="AX204" s="392"/>
      <c r="AY204" s="392"/>
      <c r="AZ204" s="392"/>
      <c r="BA204" s="392"/>
      <c r="BB204" s="392"/>
      <c r="BC204" s="392"/>
      <c r="BD204" s="392"/>
      <c r="BE204" s="392"/>
      <c r="BF204" s="392"/>
      <c r="BG204" s="392"/>
      <c r="BH204" s="392"/>
      <c r="BI204" s="392"/>
      <c r="BJ204" s="392"/>
      <c r="BK204" s="392"/>
      <c r="BL204" s="392"/>
      <c r="BM204" s="392"/>
      <c r="BN204" s="392"/>
      <c r="BO204" s="392"/>
      <c r="BP204" s="392"/>
      <c r="BQ204" s="392"/>
      <c r="BR204" s="392"/>
      <c r="BS204" s="392"/>
      <c r="BT204" s="392"/>
      <c r="BU204" s="392"/>
      <c r="BV204" s="392"/>
      <c r="BW204" s="392"/>
      <c r="BX204" s="392"/>
      <c r="BY204" s="392"/>
      <c r="BZ204" s="392"/>
      <c r="CA204" s="392"/>
      <c r="CB204" s="392"/>
      <c r="CC204" s="392"/>
      <c r="CD204" s="392"/>
      <c r="CE204" s="392"/>
      <c r="CF204" s="392"/>
      <c r="CG204" s="392"/>
      <c r="CH204" s="392"/>
      <c r="CI204" s="392"/>
      <c r="CJ204" s="392"/>
      <c r="CK204" s="392"/>
      <c r="CL204" s="392"/>
      <c r="CM204" s="392"/>
      <c r="CN204" s="392"/>
      <c r="CO204" s="392"/>
      <c r="CP204" s="392"/>
      <c r="CQ204" s="392"/>
      <c r="CR204" s="392"/>
      <c r="CS204" s="392"/>
      <c r="CT204" s="392"/>
      <c r="CU204" s="392"/>
      <c r="CV204" s="392"/>
      <c r="CW204" s="392"/>
      <c r="CX204" s="392"/>
      <c r="CY204" s="392"/>
      <c r="CZ204" s="392"/>
      <c r="DA204" s="392"/>
    </row>
    <row r="205" spans="1:105" s="393" customFormat="1" ht="15" outlineLevel="1" thickBot="1" x14ac:dyDescent="0.35">
      <c r="A205" s="480" t="s">
        <v>1495</v>
      </c>
      <c r="B205" s="497" t="s">
        <v>1138</v>
      </c>
      <c r="C205" s="502"/>
      <c r="D205" s="482"/>
      <c r="E205" s="476" t="s">
        <v>1245</v>
      </c>
      <c r="F205" s="478" t="s">
        <v>902</v>
      </c>
      <c r="G205" s="479"/>
      <c r="H205" s="472"/>
      <c r="I205" s="479"/>
      <c r="J205" s="413"/>
      <c r="K205" s="412"/>
      <c r="L205" s="412"/>
      <c r="M205" s="391"/>
      <c r="N205" s="391"/>
      <c r="O205" s="392"/>
      <c r="P205" s="392"/>
      <c r="Q205" s="392"/>
      <c r="R205" s="392"/>
      <c r="S205" s="392"/>
      <c r="T205" s="392"/>
      <c r="U205" s="392"/>
      <c r="V205" s="392"/>
      <c r="W205" s="392"/>
      <c r="X205" s="392"/>
      <c r="Y205" s="392"/>
      <c r="Z205" s="392"/>
      <c r="AA205" s="406"/>
      <c r="AB205" s="406"/>
      <c r="AC205" s="392"/>
      <c r="AD205" s="392"/>
      <c r="AE205" s="392"/>
      <c r="AF205" s="392"/>
      <c r="AG205" s="392"/>
      <c r="AH205" s="392"/>
      <c r="AI205" s="392"/>
      <c r="AJ205" s="392"/>
      <c r="AK205" s="392"/>
      <c r="AL205" s="392"/>
      <c r="AM205" s="392"/>
      <c r="AN205" s="392"/>
      <c r="AO205" s="392"/>
      <c r="AP205" s="392"/>
      <c r="AQ205" s="392"/>
      <c r="AR205" s="392"/>
      <c r="AS205" s="392"/>
      <c r="AT205" s="392"/>
      <c r="AU205" s="392"/>
      <c r="AV205" s="392"/>
      <c r="AW205" s="392"/>
      <c r="AX205" s="392"/>
      <c r="AY205" s="392"/>
      <c r="AZ205" s="392"/>
      <c r="BA205" s="392"/>
      <c r="BB205" s="392"/>
      <c r="BC205" s="392"/>
      <c r="BD205" s="392"/>
      <c r="BE205" s="392"/>
      <c r="BF205" s="392"/>
      <c r="BG205" s="392"/>
      <c r="BH205" s="392"/>
      <c r="BI205" s="392"/>
      <c r="BJ205" s="392"/>
      <c r="BK205" s="392"/>
      <c r="BL205" s="392"/>
      <c r="BM205" s="392"/>
      <c r="BN205" s="392"/>
      <c r="BO205" s="392"/>
      <c r="BP205" s="392"/>
      <c r="BQ205" s="392"/>
      <c r="BR205" s="392"/>
      <c r="BS205" s="392"/>
      <c r="BT205" s="392"/>
      <c r="BU205" s="392"/>
      <c r="BV205" s="392"/>
      <c r="BW205" s="392"/>
      <c r="BX205" s="392"/>
      <c r="BY205" s="392"/>
      <c r="BZ205" s="392"/>
      <c r="CA205" s="392"/>
      <c r="CB205" s="392"/>
      <c r="CC205" s="392"/>
      <c r="CD205" s="392"/>
      <c r="CE205" s="392"/>
      <c r="CF205" s="392"/>
      <c r="CG205" s="392"/>
      <c r="CH205" s="392"/>
      <c r="CI205" s="392"/>
      <c r="CJ205" s="392"/>
      <c r="CK205" s="392"/>
      <c r="CL205" s="392"/>
      <c r="CM205" s="392"/>
      <c r="CN205" s="392"/>
      <c r="CO205" s="392"/>
      <c r="CP205" s="392"/>
      <c r="CQ205" s="392"/>
      <c r="CR205" s="392"/>
      <c r="CS205" s="392"/>
      <c r="CT205" s="392"/>
      <c r="CU205" s="392"/>
      <c r="CV205" s="392"/>
      <c r="CW205" s="392"/>
      <c r="CX205" s="392"/>
      <c r="CY205" s="392"/>
      <c r="CZ205" s="392"/>
      <c r="DA205" s="392"/>
    </row>
    <row r="206" spans="1:105" s="393" customFormat="1" ht="15" outlineLevel="1" thickBot="1" x14ac:dyDescent="0.35">
      <c r="A206" s="480" t="s">
        <v>1399</v>
      </c>
      <c r="B206" s="497" t="s">
        <v>1139</v>
      </c>
      <c r="C206" s="503"/>
      <c r="D206" s="476"/>
      <c r="E206" s="476" t="s">
        <v>1245</v>
      </c>
      <c r="F206" s="478" t="s">
        <v>902</v>
      </c>
      <c r="G206" s="479"/>
      <c r="H206" s="472"/>
      <c r="I206" s="479"/>
      <c r="J206" s="413"/>
      <c r="K206" s="412"/>
      <c r="L206" s="412"/>
      <c r="M206" s="391"/>
      <c r="N206" s="391"/>
      <c r="O206" s="392"/>
      <c r="P206" s="392"/>
      <c r="Q206" s="392"/>
      <c r="R206" s="392"/>
      <c r="S206" s="392"/>
      <c r="T206" s="392"/>
      <c r="U206" s="392"/>
      <c r="V206" s="392"/>
      <c r="W206" s="392"/>
      <c r="X206" s="392"/>
      <c r="Y206" s="392"/>
      <c r="Z206" s="392"/>
      <c r="AA206" s="406"/>
      <c r="AB206" s="406"/>
      <c r="AC206" s="392"/>
      <c r="AD206" s="392"/>
      <c r="AE206" s="392"/>
      <c r="AF206" s="392"/>
      <c r="AG206" s="392"/>
      <c r="AH206" s="392"/>
      <c r="AI206" s="392"/>
      <c r="AJ206" s="392"/>
      <c r="AK206" s="392"/>
      <c r="AL206" s="392"/>
      <c r="AM206" s="392"/>
      <c r="AN206" s="392"/>
      <c r="AO206" s="392"/>
      <c r="AP206" s="392"/>
      <c r="AQ206" s="392"/>
      <c r="AR206" s="392"/>
      <c r="AS206" s="392"/>
      <c r="AT206" s="392"/>
      <c r="AU206" s="392"/>
      <c r="AV206" s="392"/>
      <c r="AW206" s="392"/>
      <c r="AX206" s="392"/>
      <c r="AY206" s="392"/>
      <c r="AZ206" s="392"/>
      <c r="BA206" s="392"/>
      <c r="BB206" s="392"/>
      <c r="BC206" s="392"/>
      <c r="BD206" s="392"/>
      <c r="BE206" s="392"/>
      <c r="BF206" s="392"/>
      <c r="BG206" s="392"/>
      <c r="BH206" s="392"/>
      <c r="BI206" s="392"/>
      <c r="BJ206" s="392"/>
      <c r="BK206" s="392"/>
      <c r="BL206" s="392"/>
      <c r="BM206" s="392"/>
      <c r="BN206" s="392"/>
      <c r="BO206" s="392"/>
      <c r="BP206" s="392"/>
      <c r="BQ206" s="392"/>
      <c r="BR206" s="392"/>
      <c r="BS206" s="392"/>
      <c r="BT206" s="392"/>
      <c r="BU206" s="392"/>
      <c r="BV206" s="392"/>
      <c r="BW206" s="392"/>
      <c r="BX206" s="392"/>
      <c r="BY206" s="392"/>
      <c r="BZ206" s="392"/>
      <c r="CA206" s="392"/>
      <c r="CB206" s="392"/>
      <c r="CC206" s="392"/>
      <c r="CD206" s="392"/>
      <c r="CE206" s="392"/>
      <c r="CF206" s="392"/>
      <c r="CG206" s="392"/>
      <c r="CH206" s="392"/>
      <c r="CI206" s="392"/>
      <c r="CJ206" s="392"/>
      <c r="CK206" s="392"/>
      <c r="CL206" s="392"/>
      <c r="CM206" s="392"/>
      <c r="CN206" s="392"/>
      <c r="CO206" s="392"/>
      <c r="CP206" s="392"/>
      <c r="CQ206" s="392"/>
      <c r="CR206" s="392"/>
      <c r="CS206" s="392"/>
      <c r="CT206" s="392"/>
      <c r="CU206" s="392"/>
      <c r="CV206" s="392"/>
      <c r="CW206" s="392"/>
      <c r="CX206" s="392"/>
      <c r="CY206" s="392"/>
      <c r="CZ206" s="392"/>
      <c r="DA206" s="392"/>
    </row>
    <row r="207" spans="1:105" s="393" customFormat="1" ht="15" outlineLevel="1" thickBot="1" x14ac:dyDescent="0.35">
      <c r="A207" s="480"/>
      <c r="B207" s="480" t="s">
        <v>689</v>
      </c>
      <c r="C207" s="503"/>
      <c r="D207" s="476"/>
      <c r="E207" s="476"/>
      <c r="F207" s="478"/>
      <c r="G207" s="479"/>
      <c r="H207" s="472"/>
      <c r="I207" s="479"/>
      <c r="J207" s="413"/>
      <c r="K207" s="412"/>
      <c r="L207" s="412"/>
      <c r="M207" s="391"/>
      <c r="N207" s="391"/>
      <c r="O207" s="392"/>
      <c r="P207" s="392"/>
      <c r="Q207" s="392"/>
      <c r="R207" s="392"/>
      <c r="S207" s="392"/>
      <c r="T207" s="392"/>
      <c r="U207" s="392"/>
      <c r="V207" s="392"/>
      <c r="W207" s="392"/>
      <c r="X207" s="392"/>
      <c r="Y207" s="392"/>
      <c r="Z207" s="392"/>
      <c r="AA207" s="406"/>
      <c r="AB207" s="406"/>
      <c r="AC207" s="392"/>
      <c r="AD207" s="392"/>
      <c r="AE207" s="392"/>
      <c r="AF207" s="392"/>
      <c r="AG207" s="392"/>
      <c r="AH207" s="392"/>
      <c r="AI207" s="392"/>
      <c r="AJ207" s="392"/>
      <c r="AK207" s="392"/>
      <c r="AL207" s="392"/>
      <c r="AM207" s="392"/>
      <c r="AN207" s="392"/>
      <c r="AO207" s="392"/>
      <c r="AP207" s="392"/>
      <c r="AQ207" s="392"/>
      <c r="AR207" s="392"/>
      <c r="AS207" s="392"/>
      <c r="AT207" s="392"/>
      <c r="AU207" s="392"/>
      <c r="AV207" s="392"/>
      <c r="AW207" s="392"/>
      <c r="AX207" s="392"/>
      <c r="AY207" s="392"/>
      <c r="AZ207" s="392"/>
      <c r="BA207" s="392"/>
      <c r="BB207" s="392"/>
      <c r="BC207" s="392"/>
      <c r="BD207" s="392"/>
      <c r="BE207" s="392"/>
      <c r="BF207" s="392"/>
      <c r="BG207" s="392"/>
      <c r="BH207" s="392"/>
      <c r="BI207" s="392"/>
      <c r="BJ207" s="392"/>
      <c r="BK207" s="392"/>
      <c r="BL207" s="392"/>
      <c r="BM207" s="392"/>
      <c r="BN207" s="392"/>
      <c r="BO207" s="392"/>
      <c r="BP207" s="392"/>
      <c r="BQ207" s="392"/>
      <c r="BR207" s="392"/>
      <c r="BS207" s="392"/>
      <c r="BT207" s="392"/>
      <c r="BU207" s="392"/>
      <c r="BV207" s="392"/>
      <c r="BW207" s="392"/>
      <c r="BX207" s="392"/>
      <c r="BY207" s="392"/>
      <c r="BZ207" s="392"/>
      <c r="CA207" s="392"/>
      <c r="CB207" s="392"/>
      <c r="CC207" s="392"/>
      <c r="CD207" s="392"/>
      <c r="CE207" s="392"/>
      <c r="CF207" s="392"/>
      <c r="CG207" s="392"/>
      <c r="CH207" s="392"/>
      <c r="CI207" s="392"/>
      <c r="CJ207" s="392"/>
      <c r="CK207" s="392"/>
      <c r="CL207" s="392"/>
      <c r="CM207" s="392"/>
      <c r="CN207" s="392"/>
      <c r="CO207" s="392"/>
      <c r="CP207" s="392"/>
      <c r="CQ207" s="392"/>
      <c r="CR207" s="392"/>
      <c r="CS207" s="392"/>
      <c r="CT207" s="392"/>
      <c r="CU207" s="392"/>
      <c r="CV207" s="392"/>
      <c r="CW207" s="392"/>
      <c r="CX207" s="392"/>
      <c r="CY207" s="392"/>
      <c r="CZ207" s="392"/>
      <c r="DA207" s="392"/>
    </row>
    <row r="208" spans="1:105" s="393" customFormat="1" ht="29.4" outlineLevel="1" thickBot="1" x14ac:dyDescent="0.35">
      <c r="A208" s="480" t="s">
        <v>1592</v>
      </c>
      <c r="B208" s="481" t="s">
        <v>1153</v>
      </c>
      <c r="C208" s="503"/>
      <c r="D208" s="476"/>
      <c r="E208" s="476" t="s">
        <v>1245</v>
      </c>
      <c r="F208" s="478"/>
      <c r="G208" s="479"/>
      <c r="H208" s="472"/>
      <c r="I208" s="479"/>
      <c r="J208" s="413"/>
      <c r="K208" s="412"/>
      <c r="L208" s="412"/>
      <c r="M208" s="391"/>
      <c r="N208" s="391"/>
      <c r="O208" s="392"/>
      <c r="P208" s="392"/>
      <c r="Q208" s="392"/>
      <c r="R208" s="392"/>
      <c r="S208" s="392"/>
      <c r="T208" s="392"/>
      <c r="U208" s="392"/>
      <c r="V208" s="392"/>
      <c r="W208" s="392"/>
      <c r="X208" s="392"/>
      <c r="Y208" s="392"/>
      <c r="Z208" s="392"/>
      <c r="AA208" s="406"/>
      <c r="AB208" s="406"/>
      <c r="AC208" s="392"/>
      <c r="AD208" s="392"/>
      <c r="AE208" s="392"/>
      <c r="AF208" s="392"/>
      <c r="AG208" s="392"/>
      <c r="AH208" s="392"/>
      <c r="AI208" s="392"/>
      <c r="AJ208" s="392"/>
      <c r="AK208" s="392"/>
      <c r="AL208" s="392"/>
      <c r="AM208" s="392"/>
      <c r="AN208" s="392"/>
      <c r="AO208" s="392"/>
      <c r="AP208" s="392"/>
      <c r="AQ208" s="392"/>
      <c r="AR208" s="392"/>
      <c r="AS208" s="392"/>
      <c r="AT208" s="392"/>
      <c r="AU208" s="392"/>
      <c r="AV208" s="392"/>
      <c r="AW208" s="392"/>
      <c r="AX208" s="392"/>
      <c r="AY208" s="392"/>
      <c r="AZ208" s="392"/>
      <c r="BA208" s="392"/>
      <c r="BB208" s="392"/>
      <c r="BC208" s="392"/>
      <c r="BD208" s="392"/>
      <c r="BE208" s="392"/>
      <c r="BF208" s="392"/>
      <c r="BG208" s="392"/>
      <c r="BH208" s="392"/>
      <c r="BI208" s="392"/>
      <c r="BJ208" s="392"/>
      <c r="BK208" s="392"/>
      <c r="BL208" s="392"/>
      <c r="BM208" s="392"/>
      <c r="BN208" s="392"/>
      <c r="BO208" s="392"/>
      <c r="BP208" s="392"/>
      <c r="BQ208" s="392"/>
      <c r="BR208" s="392"/>
      <c r="BS208" s="392"/>
      <c r="BT208" s="392"/>
      <c r="BU208" s="392"/>
      <c r="BV208" s="392"/>
      <c r="BW208" s="392"/>
      <c r="BX208" s="392"/>
      <c r="BY208" s="392"/>
      <c r="BZ208" s="392"/>
      <c r="CA208" s="392"/>
      <c r="CB208" s="392"/>
      <c r="CC208" s="392"/>
      <c r="CD208" s="392"/>
      <c r="CE208" s="392"/>
      <c r="CF208" s="392"/>
      <c r="CG208" s="392"/>
      <c r="CH208" s="392"/>
      <c r="CI208" s="392"/>
      <c r="CJ208" s="392"/>
      <c r="CK208" s="392"/>
      <c r="CL208" s="392"/>
      <c r="CM208" s="392"/>
      <c r="CN208" s="392"/>
      <c r="CO208" s="392"/>
      <c r="CP208" s="392"/>
      <c r="CQ208" s="392"/>
      <c r="CR208" s="392"/>
      <c r="CS208" s="392"/>
      <c r="CT208" s="392"/>
      <c r="CU208" s="392"/>
      <c r="CV208" s="392"/>
      <c r="CW208" s="392"/>
      <c r="CX208" s="392"/>
      <c r="CY208" s="392"/>
      <c r="CZ208" s="392"/>
      <c r="DA208" s="392"/>
    </row>
    <row r="209" spans="1:105" s="393" customFormat="1" ht="15" collapsed="1" thickBot="1" x14ac:dyDescent="0.35">
      <c r="A209" s="325"/>
      <c r="B209" s="325"/>
      <c r="C209" s="325"/>
      <c r="D209" s="325"/>
      <c r="E209" s="325"/>
      <c r="F209" s="450"/>
      <c r="G209" s="449"/>
      <c r="H209" s="471"/>
      <c r="I209" s="411"/>
      <c r="J209" s="413"/>
      <c r="K209" s="412"/>
      <c r="L209" s="412"/>
      <c r="M209" s="391"/>
      <c r="N209" s="391"/>
      <c r="O209" s="392"/>
      <c r="P209" s="392"/>
      <c r="Q209" s="392"/>
      <c r="R209" s="392"/>
      <c r="S209" s="392"/>
      <c r="T209" s="392"/>
      <c r="U209" s="392"/>
      <c r="V209" s="392"/>
      <c r="W209" s="392"/>
      <c r="X209" s="392"/>
      <c r="Y209" s="392"/>
      <c r="Z209" s="392"/>
      <c r="AA209" s="406"/>
      <c r="AB209" s="406"/>
      <c r="AC209" s="392"/>
      <c r="AD209" s="392"/>
      <c r="AE209" s="392"/>
      <c r="AF209" s="392"/>
      <c r="AG209" s="392"/>
      <c r="AH209" s="392"/>
      <c r="AI209" s="392"/>
      <c r="AJ209" s="392"/>
      <c r="AK209" s="392"/>
      <c r="AL209" s="392"/>
      <c r="AM209" s="392"/>
      <c r="AN209" s="392"/>
      <c r="AO209" s="392"/>
      <c r="AP209" s="392"/>
      <c r="AQ209" s="392"/>
      <c r="AR209" s="392"/>
      <c r="AS209" s="392"/>
      <c r="AT209" s="392"/>
      <c r="AU209" s="392"/>
      <c r="AV209" s="392"/>
      <c r="AW209" s="392"/>
      <c r="AX209" s="392"/>
      <c r="AY209" s="392"/>
      <c r="AZ209" s="392"/>
      <c r="BA209" s="392"/>
      <c r="BB209" s="392"/>
      <c r="BC209" s="392"/>
      <c r="BD209" s="392"/>
      <c r="BE209" s="392"/>
      <c r="BF209" s="392"/>
      <c r="BG209" s="392"/>
      <c r="BH209" s="392"/>
      <c r="BI209" s="392"/>
      <c r="BJ209" s="392"/>
      <c r="BK209" s="392"/>
      <c r="BL209" s="392"/>
      <c r="BM209" s="392"/>
      <c r="BN209" s="392"/>
      <c r="BO209" s="392"/>
      <c r="BP209" s="392"/>
      <c r="BQ209" s="392"/>
      <c r="BR209" s="392"/>
      <c r="BS209" s="392"/>
      <c r="BT209" s="392"/>
      <c r="BU209" s="392"/>
      <c r="BV209" s="392"/>
      <c r="BW209" s="392"/>
      <c r="BX209" s="392"/>
      <c r="BY209" s="392"/>
      <c r="BZ209" s="392"/>
      <c r="CA209" s="392"/>
      <c r="CB209" s="392"/>
      <c r="CC209" s="392"/>
      <c r="CD209" s="392"/>
      <c r="CE209" s="392"/>
      <c r="CF209" s="392"/>
      <c r="CG209" s="392"/>
      <c r="CH209" s="392"/>
      <c r="CI209" s="392"/>
      <c r="CJ209" s="392"/>
      <c r="CK209" s="392"/>
      <c r="CL209" s="392"/>
      <c r="CM209" s="392"/>
      <c r="CN209" s="392"/>
      <c r="CO209" s="392"/>
      <c r="CP209" s="392"/>
      <c r="CQ209" s="392"/>
      <c r="CR209" s="392"/>
      <c r="CS209" s="392"/>
      <c r="CT209" s="392"/>
      <c r="CU209" s="392"/>
      <c r="CV209" s="392"/>
      <c r="CW209" s="392"/>
      <c r="CX209" s="392"/>
      <c r="CY209" s="392"/>
      <c r="CZ209" s="392"/>
      <c r="DA209" s="392"/>
    </row>
    <row r="210" spans="1:105" s="393" customFormat="1" ht="26.25" hidden="1" customHeight="1" outlineLevel="1" thickBot="1" x14ac:dyDescent="0.35">
      <c r="A210" s="127" t="s">
        <v>992</v>
      </c>
      <c r="B210" s="414"/>
      <c r="C210" s="414"/>
      <c r="D210" s="414"/>
      <c r="E210" s="414"/>
      <c r="F210" s="415"/>
      <c r="G210" s="416"/>
      <c r="H210" s="475"/>
      <c r="I210" s="417"/>
      <c r="J210" s="418"/>
      <c r="K210" s="419"/>
      <c r="L210" s="419"/>
      <c r="M210" s="391"/>
      <c r="N210" s="391"/>
      <c r="O210" s="392"/>
      <c r="P210" s="392"/>
      <c r="Q210" s="392"/>
      <c r="R210" s="392"/>
      <c r="S210" s="392"/>
      <c r="T210" s="392"/>
      <c r="U210" s="392"/>
      <c r="V210" s="392"/>
      <c r="W210" s="392"/>
      <c r="X210" s="392"/>
      <c r="Y210" s="392"/>
      <c r="Z210" s="392"/>
      <c r="AA210" s="406"/>
      <c r="AB210" s="406"/>
      <c r="AC210" s="392"/>
      <c r="AD210" s="392"/>
      <c r="AE210" s="392"/>
      <c r="AF210" s="392"/>
      <c r="AG210" s="392"/>
      <c r="AH210" s="392"/>
      <c r="AI210" s="392"/>
      <c r="AJ210" s="392"/>
      <c r="AK210" s="392"/>
      <c r="AL210" s="392"/>
      <c r="AM210" s="392"/>
      <c r="AN210" s="392"/>
      <c r="AO210" s="392"/>
      <c r="AP210" s="392"/>
      <c r="AQ210" s="392"/>
      <c r="AR210" s="392"/>
      <c r="AS210" s="392"/>
      <c r="AT210" s="392"/>
      <c r="AU210" s="392"/>
      <c r="AV210" s="392"/>
      <c r="AW210" s="392"/>
      <c r="AX210" s="392"/>
      <c r="AY210" s="392"/>
      <c r="AZ210" s="392"/>
      <c r="BA210" s="392"/>
      <c r="BB210" s="392"/>
      <c r="BC210" s="392"/>
      <c r="BD210" s="392"/>
      <c r="BE210" s="392"/>
      <c r="BF210" s="392"/>
      <c r="BG210" s="392"/>
      <c r="BH210" s="392"/>
      <c r="BI210" s="392"/>
      <c r="BJ210" s="392"/>
      <c r="BK210" s="392"/>
      <c r="BL210" s="392"/>
      <c r="BM210" s="392"/>
      <c r="BN210" s="392"/>
      <c r="BO210" s="392"/>
      <c r="BP210" s="392"/>
      <c r="BQ210" s="392"/>
      <c r="BR210" s="392"/>
      <c r="BS210" s="392"/>
      <c r="BT210" s="392"/>
      <c r="BU210" s="392"/>
      <c r="BV210" s="392"/>
      <c r="BW210" s="392"/>
      <c r="BX210" s="392"/>
      <c r="BY210" s="392"/>
      <c r="BZ210" s="392"/>
      <c r="CA210" s="392"/>
      <c r="CB210" s="392"/>
      <c r="CC210" s="392"/>
      <c r="CD210" s="392"/>
      <c r="CE210" s="392"/>
      <c r="CF210" s="392"/>
      <c r="CG210" s="392"/>
      <c r="CH210" s="392"/>
      <c r="CI210" s="392"/>
      <c r="CJ210" s="392"/>
      <c r="CK210" s="392"/>
      <c r="CL210" s="392"/>
      <c r="CM210" s="392"/>
      <c r="CN210" s="392"/>
      <c r="CO210" s="392"/>
      <c r="CP210" s="392"/>
      <c r="CQ210" s="392"/>
      <c r="CR210" s="392"/>
      <c r="CS210" s="392"/>
      <c r="CT210" s="392"/>
      <c r="CU210" s="392"/>
      <c r="CV210" s="392"/>
      <c r="CW210" s="392"/>
      <c r="CX210" s="392"/>
      <c r="CY210" s="392"/>
      <c r="CZ210" s="392"/>
      <c r="DA210" s="392"/>
    </row>
    <row r="211" spans="1:105" s="393" customFormat="1" ht="15" hidden="1" outlineLevel="2" thickBot="1" x14ac:dyDescent="0.35">
      <c r="A211" s="420"/>
      <c r="B211" s="421" t="s">
        <v>993</v>
      </c>
      <c r="C211" s="421"/>
      <c r="D211" s="421"/>
      <c r="E211" s="421"/>
      <c r="F211" s="422"/>
      <c r="G211" s="423"/>
      <c r="H211" s="474"/>
      <c r="I211" s="409"/>
      <c r="J211" s="409"/>
      <c r="K211" s="419"/>
      <c r="L211" s="419"/>
      <c r="M211" s="391"/>
      <c r="N211" s="391"/>
      <c r="O211" s="392"/>
      <c r="P211" s="392"/>
      <c r="Q211" s="392"/>
      <c r="R211" s="392"/>
      <c r="S211" s="392"/>
      <c r="T211" s="392"/>
      <c r="U211" s="392"/>
      <c r="V211" s="392"/>
      <c r="W211" s="392"/>
      <c r="X211" s="392"/>
      <c r="Y211" s="392"/>
      <c r="Z211" s="392"/>
      <c r="AA211" s="406"/>
      <c r="AB211" s="406"/>
      <c r="AC211" s="392"/>
      <c r="AD211" s="392"/>
      <c r="AE211" s="392"/>
      <c r="AF211" s="392"/>
      <c r="AG211" s="392"/>
      <c r="AH211" s="392"/>
      <c r="AI211" s="392"/>
      <c r="AJ211" s="392"/>
      <c r="AK211" s="392"/>
      <c r="AL211" s="392"/>
      <c r="AM211" s="392"/>
      <c r="AN211" s="392"/>
      <c r="AO211" s="392"/>
      <c r="AP211" s="392"/>
      <c r="AQ211" s="392"/>
      <c r="AR211" s="392"/>
      <c r="AS211" s="392"/>
      <c r="AT211" s="392"/>
      <c r="AU211" s="392"/>
      <c r="AV211" s="392"/>
      <c r="AW211" s="392"/>
      <c r="AX211" s="392"/>
      <c r="AY211" s="392"/>
      <c r="AZ211" s="392"/>
      <c r="BA211" s="392"/>
      <c r="BB211" s="392"/>
      <c r="BC211" s="392"/>
      <c r="BD211" s="392"/>
      <c r="BE211" s="392"/>
      <c r="BF211" s="392"/>
      <c r="BG211" s="392"/>
      <c r="BH211" s="392"/>
      <c r="BI211" s="392"/>
      <c r="BJ211" s="392"/>
      <c r="BK211" s="392"/>
      <c r="BL211" s="392"/>
      <c r="BM211" s="392"/>
      <c r="BN211" s="392"/>
      <c r="BO211" s="392"/>
      <c r="BP211" s="392"/>
      <c r="BQ211" s="392"/>
      <c r="BR211" s="392"/>
      <c r="BS211" s="392"/>
      <c r="BT211" s="392"/>
      <c r="BU211" s="392"/>
      <c r="BV211" s="392"/>
      <c r="BW211" s="392"/>
      <c r="BX211" s="392"/>
      <c r="BY211" s="392"/>
      <c r="BZ211" s="392"/>
      <c r="CA211" s="392"/>
      <c r="CB211" s="392"/>
      <c r="CC211" s="392"/>
      <c r="CD211" s="392"/>
      <c r="CE211" s="392"/>
      <c r="CF211" s="392"/>
      <c r="CG211" s="392"/>
      <c r="CH211" s="392"/>
      <c r="CI211" s="392"/>
      <c r="CJ211" s="392"/>
      <c r="CK211" s="392"/>
      <c r="CL211" s="392"/>
      <c r="CM211" s="392"/>
      <c r="CN211" s="392"/>
      <c r="CO211" s="392"/>
      <c r="CP211" s="392"/>
      <c r="CQ211" s="392"/>
      <c r="CR211" s="392"/>
      <c r="CS211" s="392"/>
      <c r="CT211" s="392"/>
      <c r="CU211" s="392"/>
      <c r="CV211" s="392"/>
      <c r="CW211" s="392"/>
      <c r="CX211" s="392"/>
      <c r="CY211" s="392"/>
      <c r="CZ211" s="392"/>
      <c r="DA211" s="392"/>
    </row>
    <row r="212" spans="1:105" s="393" customFormat="1" ht="15" hidden="1" outlineLevel="2" thickBot="1" x14ac:dyDescent="0.35">
      <c r="A212" s="420"/>
      <c r="B212" s="424" t="s">
        <v>994</v>
      </c>
      <c r="C212" s="424"/>
      <c r="D212" s="424"/>
      <c r="E212" s="424"/>
      <c r="F212" s="425" t="s">
        <v>902</v>
      </c>
      <c r="G212" s="426"/>
      <c r="H212" s="475"/>
      <c r="I212" s="411"/>
      <c r="J212" s="411"/>
      <c r="K212" s="419"/>
      <c r="L212" s="419"/>
      <c r="M212" s="391"/>
      <c r="N212" s="391"/>
      <c r="O212" s="392"/>
      <c r="P212" s="392"/>
      <c r="Q212" s="392"/>
      <c r="R212" s="392"/>
      <c r="S212" s="392"/>
      <c r="T212" s="392"/>
      <c r="U212" s="392"/>
      <c r="V212" s="392"/>
      <c r="W212" s="392"/>
      <c r="X212" s="392"/>
      <c r="Y212" s="392"/>
      <c r="Z212" s="392"/>
      <c r="AA212" s="406"/>
      <c r="AB212" s="406"/>
      <c r="AC212" s="392"/>
      <c r="AD212" s="392"/>
      <c r="AE212" s="392"/>
      <c r="AF212" s="392"/>
      <c r="AG212" s="392"/>
      <c r="AH212" s="392"/>
      <c r="AI212" s="392"/>
      <c r="AJ212" s="392"/>
      <c r="AK212" s="392"/>
      <c r="AL212" s="392"/>
      <c r="AM212" s="392"/>
      <c r="AN212" s="392"/>
      <c r="AO212" s="392"/>
      <c r="AP212" s="392"/>
      <c r="AQ212" s="392"/>
      <c r="AR212" s="392"/>
      <c r="AS212" s="392"/>
      <c r="AT212" s="392"/>
      <c r="AU212" s="392"/>
      <c r="AV212" s="392"/>
      <c r="AW212" s="392"/>
      <c r="AX212" s="392"/>
      <c r="AY212" s="392"/>
      <c r="AZ212" s="392"/>
      <c r="BA212" s="392"/>
      <c r="BB212" s="392"/>
      <c r="BC212" s="392"/>
      <c r="BD212" s="392"/>
      <c r="BE212" s="392"/>
      <c r="BF212" s="392"/>
      <c r="BG212" s="392"/>
      <c r="BH212" s="392"/>
      <c r="BI212" s="392"/>
      <c r="BJ212" s="392"/>
      <c r="BK212" s="392"/>
      <c r="BL212" s="392"/>
      <c r="BM212" s="392"/>
      <c r="BN212" s="392"/>
      <c r="BO212" s="392"/>
      <c r="BP212" s="392"/>
      <c r="BQ212" s="392"/>
      <c r="BR212" s="392"/>
      <c r="BS212" s="392"/>
      <c r="BT212" s="392"/>
      <c r="BU212" s="392"/>
      <c r="BV212" s="392"/>
      <c r="BW212" s="392"/>
      <c r="BX212" s="392"/>
      <c r="BY212" s="392"/>
      <c r="BZ212" s="392"/>
      <c r="CA212" s="392"/>
      <c r="CB212" s="392"/>
      <c r="CC212" s="392"/>
      <c r="CD212" s="392"/>
      <c r="CE212" s="392"/>
      <c r="CF212" s="392"/>
      <c r="CG212" s="392"/>
      <c r="CH212" s="392"/>
      <c r="CI212" s="392"/>
      <c r="CJ212" s="392"/>
      <c r="CK212" s="392"/>
      <c r="CL212" s="392"/>
      <c r="CM212" s="392"/>
      <c r="CN212" s="392"/>
      <c r="CO212" s="392"/>
      <c r="CP212" s="392"/>
      <c r="CQ212" s="392"/>
      <c r="CR212" s="392"/>
      <c r="CS212" s="392"/>
      <c r="CT212" s="392"/>
      <c r="CU212" s="392"/>
      <c r="CV212" s="392"/>
      <c r="CW212" s="392"/>
      <c r="CX212" s="392"/>
      <c r="CY212" s="392"/>
      <c r="CZ212" s="392"/>
      <c r="DA212" s="392"/>
    </row>
    <row r="213" spans="1:105" s="393" customFormat="1" ht="15" hidden="1" outlineLevel="1" thickBot="1" x14ac:dyDescent="0.35">
      <c r="A213" s="420"/>
      <c r="B213" s="424" t="s">
        <v>995</v>
      </c>
      <c r="C213" s="424"/>
      <c r="D213" s="424"/>
      <c r="E213" s="424"/>
      <c r="F213" s="425" t="s">
        <v>902</v>
      </c>
      <c r="G213" s="426"/>
      <c r="H213" s="475"/>
      <c r="I213" s="411"/>
      <c r="J213" s="411"/>
      <c r="K213" s="419"/>
      <c r="L213" s="419"/>
      <c r="M213" s="391"/>
      <c r="N213" s="391"/>
      <c r="O213" s="392"/>
      <c r="P213" s="392"/>
      <c r="Q213" s="392"/>
      <c r="R213" s="392"/>
      <c r="S213" s="392"/>
      <c r="T213" s="392"/>
      <c r="U213" s="392"/>
      <c r="V213" s="392"/>
      <c r="W213" s="392"/>
      <c r="X213" s="392"/>
      <c r="Y213" s="392"/>
      <c r="Z213" s="392"/>
      <c r="AA213" s="406"/>
      <c r="AB213" s="406"/>
      <c r="AC213" s="392"/>
      <c r="AD213" s="392"/>
      <c r="AE213" s="392"/>
      <c r="AF213" s="392"/>
      <c r="AG213" s="392"/>
      <c r="AH213" s="392"/>
      <c r="AI213" s="392"/>
      <c r="AJ213" s="392"/>
      <c r="AK213" s="392"/>
      <c r="AL213" s="392"/>
      <c r="AM213" s="392"/>
      <c r="AN213" s="392"/>
      <c r="AO213" s="392"/>
      <c r="AP213" s="392"/>
      <c r="AQ213" s="392"/>
      <c r="AR213" s="392"/>
      <c r="AS213" s="392"/>
      <c r="AT213" s="392"/>
      <c r="AU213" s="392"/>
      <c r="AV213" s="392"/>
      <c r="AW213" s="392"/>
      <c r="AX213" s="392"/>
      <c r="AY213" s="392"/>
      <c r="AZ213" s="392"/>
      <c r="BA213" s="392"/>
      <c r="BB213" s="392"/>
      <c r="BC213" s="392"/>
      <c r="BD213" s="392"/>
      <c r="BE213" s="392"/>
      <c r="BF213" s="392"/>
      <c r="BG213" s="392"/>
      <c r="BH213" s="392"/>
      <c r="BI213" s="392"/>
      <c r="BJ213" s="392"/>
      <c r="BK213" s="392"/>
      <c r="BL213" s="392"/>
      <c r="BM213" s="392"/>
      <c r="BN213" s="392"/>
      <c r="BO213" s="392"/>
      <c r="BP213" s="392"/>
      <c r="BQ213" s="392"/>
      <c r="BR213" s="392"/>
      <c r="BS213" s="392"/>
      <c r="BT213" s="392"/>
      <c r="BU213" s="392"/>
      <c r="BV213" s="392"/>
      <c r="BW213" s="392"/>
      <c r="BX213" s="392"/>
      <c r="BY213" s="392"/>
      <c r="BZ213" s="392"/>
      <c r="CA213" s="392"/>
      <c r="CB213" s="392"/>
      <c r="CC213" s="392"/>
      <c r="CD213" s="392"/>
      <c r="CE213" s="392"/>
      <c r="CF213" s="392"/>
      <c r="CG213" s="392"/>
      <c r="CH213" s="392"/>
      <c r="CI213" s="392"/>
      <c r="CJ213" s="392"/>
      <c r="CK213" s="392"/>
      <c r="CL213" s="392"/>
      <c r="CM213" s="392"/>
      <c r="CN213" s="392"/>
      <c r="CO213" s="392"/>
      <c r="CP213" s="392"/>
      <c r="CQ213" s="392"/>
      <c r="CR213" s="392"/>
      <c r="CS213" s="392"/>
      <c r="CT213" s="392"/>
      <c r="CU213" s="392"/>
      <c r="CV213" s="392"/>
      <c r="CW213" s="392"/>
      <c r="CX213" s="392"/>
      <c r="CY213" s="392"/>
      <c r="CZ213" s="392"/>
      <c r="DA213" s="392"/>
    </row>
    <row r="214" spans="1:105" s="393" customFormat="1" ht="15" hidden="1" outlineLevel="1" thickBot="1" x14ac:dyDescent="0.35">
      <c r="A214" s="420"/>
      <c r="B214" s="424" t="s">
        <v>996</v>
      </c>
      <c r="C214" s="424"/>
      <c r="D214" s="424"/>
      <c r="E214" s="424"/>
      <c r="F214" s="422"/>
      <c r="G214" s="423"/>
      <c r="H214" s="474"/>
      <c r="I214" s="409"/>
      <c r="J214" s="409"/>
      <c r="K214" s="419"/>
      <c r="L214" s="419"/>
      <c r="M214" s="391"/>
      <c r="N214" s="391"/>
      <c r="O214" s="392"/>
      <c r="P214" s="392"/>
      <c r="Q214" s="392"/>
      <c r="R214" s="392"/>
      <c r="S214" s="392"/>
      <c r="T214" s="392"/>
      <c r="U214" s="392"/>
      <c r="V214" s="392"/>
      <c r="W214" s="392"/>
      <c r="X214" s="392"/>
      <c r="Y214" s="392"/>
      <c r="Z214" s="392"/>
      <c r="AA214" s="406"/>
      <c r="AB214" s="406"/>
      <c r="AC214" s="392"/>
      <c r="AD214" s="392"/>
      <c r="AE214" s="392"/>
      <c r="AF214" s="392"/>
      <c r="AG214" s="392"/>
      <c r="AH214" s="392"/>
      <c r="AI214" s="392"/>
      <c r="AJ214" s="392"/>
      <c r="AK214" s="392"/>
      <c r="AL214" s="392"/>
      <c r="AM214" s="392"/>
      <c r="AN214" s="392"/>
      <c r="AO214" s="392"/>
      <c r="AP214" s="392"/>
      <c r="AQ214" s="392"/>
      <c r="AR214" s="392"/>
      <c r="AS214" s="392"/>
      <c r="AT214" s="392"/>
      <c r="AU214" s="392"/>
      <c r="AV214" s="392"/>
      <c r="AW214" s="392"/>
      <c r="AX214" s="392"/>
      <c r="AY214" s="392"/>
      <c r="AZ214" s="392"/>
      <c r="BA214" s="392"/>
      <c r="BB214" s="392"/>
      <c r="BC214" s="392"/>
      <c r="BD214" s="392"/>
      <c r="BE214" s="392"/>
      <c r="BF214" s="392"/>
      <c r="BG214" s="392"/>
      <c r="BH214" s="392"/>
      <c r="BI214" s="392"/>
      <c r="BJ214" s="392"/>
      <c r="BK214" s="392"/>
      <c r="BL214" s="392"/>
      <c r="BM214" s="392"/>
      <c r="BN214" s="392"/>
      <c r="BO214" s="392"/>
      <c r="BP214" s="392"/>
      <c r="BQ214" s="392"/>
      <c r="BR214" s="392"/>
      <c r="BS214" s="392"/>
      <c r="BT214" s="392"/>
      <c r="BU214" s="392"/>
      <c r="BV214" s="392"/>
      <c r="BW214" s="392"/>
      <c r="BX214" s="392"/>
      <c r="BY214" s="392"/>
      <c r="BZ214" s="392"/>
      <c r="CA214" s="392"/>
      <c r="CB214" s="392"/>
      <c r="CC214" s="392"/>
      <c r="CD214" s="392"/>
      <c r="CE214" s="392"/>
      <c r="CF214" s="392"/>
      <c r="CG214" s="392"/>
      <c r="CH214" s="392"/>
      <c r="CI214" s="392"/>
      <c r="CJ214" s="392"/>
      <c r="CK214" s="392"/>
      <c r="CL214" s="392"/>
      <c r="CM214" s="392"/>
      <c r="CN214" s="392"/>
      <c r="CO214" s="392"/>
      <c r="CP214" s="392"/>
      <c r="CQ214" s="392"/>
      <c r="CR214" s="392"/>
      <c r="CS214" s="392"/>
      <c r="CT214" s="392"/>
      <c r="CU214" s="392"/>
      <c r="CV214" s="392"/>
      <c r="CW214" s="392"/>
      <c r="CX214" s="392"/>
      <c r="CY214" s="392"/>
      <c r="CZ214" s="392"/>
      <c r="DA214" s="392"/>
    </row>
    <row r="215" spans="1:105" s="393" customFormat="1" ht="15" hidden="1" outlineLevel="2" thickBot="1" x14ac:dyDescent="0.35">
      <c r="A215" s="420"/>
      <c r="B215" s="424" t="s">
        <v>998</v>
      </c>
      <c r="C215" s="424"/>
      <c r="D215" s="424"/>
      <c r="E215" s="424"/>
      <c r="F215" s="422"/>
      <c r="G215" s="423"/>
      <c r="H215" s="474"/>
      <c r="I215" s="409"/>
      <c r="J215" s="409"/>
      <c r="K215" s="419"/>
      <c r="L215" s="419"/>
      <c r="M215" s="391"/>
      <c r="N215" s="391"/>
      <c r="O215" s="392"/>
      <c r="P215" s="392"/>
      <c r="Q215" s="392"/>
      <c r="R215" s="392"/>
      <c r="S215" s="392"/>
      <c r="T215" s="392"/>
      <c r="U215" s="392"/>
      <c r="V215" s="392"/>
      <c r="W215" s="392"/>
      <c r="X215" s="392"/>
      <c r="Y215" s="392"/>
      <c r="Z215" s="392"/>
      <c r="AA215" s="406"/>
      <c r="AB215" s="406"/>
      <c r="AC215" s="392"/>
      <c r="AD215" s="392"/>
      <c r="AE215" s="392"/>
      <c r="AF215" s="392"/>
      <c r="AG215" s="392"/>
      <c r="AH215" s="392"/>
      <c r="AI215" s="392"/>
      <c r="AJ215" s="392"/>
      <c r="AK215" s="392"/>
      <c r="AL215" s="392"/>
      <c r="AM215" s="392"/>
      <c r="AN215" s="392"/>
      <c r="AO215" s="392"/>
      <c r="AP215" s="392"/>
      <c r="AQ215" s="392"/>
      <c r="AR215" s="392"/>
      <c r="AS215" s="392"/>
      <c r="AT215" s="392"/>
      <c r="AU215" s="392"/>
      <c r="AV215" s="392"/>
      <c r="AW215" s="392"/>
      <c r="AX215" s="392"/>
      <c r="AY215" s="392"/>
      <c r="AZ215" s="392"/>
      <c r="BA215" s="392"/>
      <c r="BB215" s="392"/>
      <c r="BC215" s="392"/>
      <c r="BD215" s="392"/>
      <c r="BE215" s="392"/>
      <c r="BF215" s="392"/>
      <c r="BG215" s="392"/>
      <c r="BH215" s="392"/>
      <c r="BI215" s="392"/>
      <c r="BJ215" s="392"/>
      <c r="BK215" s="392"/>
      <c r="BL215" s="392"/>
      <c r="BM215" s="392"/>
      <c r="BN215" s="392"/>
      <c r="BO215" s="392"/>
      <c r="BP215" s="392"/>
      <c r="BQ215" s="392"/>
      <c r="BR215" s="392"/>
      <c r="BS215" s="392"/>
      <c r="BT215" s="392"/>
      <c r="BU215" s="392"/>
      <c r="BV215" s="392"/>
      <c r="BW215" s="392"/>
      <c r="BX215" s="392"/>
      <c r="BY215" s="392"/>
      <c r="BZ215" s="392"/>
      <c r="CA215" s="392"/>
      <c r="CB215" s="392"/>
      <c r="CC215" s="392"/>
      <c r="CD215" s="392"/>
      <c r="CE215" s="392"/>
      <c r="CF215" s="392"/>
      <c r="CG215" s="392"/>
      <c r="CH215" s="392"/>
      <c r="CI215" s="392"/>
      <c r="CJ215" s="392"/>
      <c r="CK215" s="392"/>
      <c r="CL215" s="392"/>
      <c r="CM215" s="392"/>
      <c r="CN215" s="392"/>
      <c r="CO215" s="392"/>
      <c r="CP215" s="392"/>
      <c r="CQ215" s="392"/>
      <c r="CR215" s="392"/>
      <c r="CS215" s="392"/>
      <c r="CT215" s="392"/>
      <c r="CU215" s="392"/>
      <c r="CV215" s="392"/>
      <c r="CW215" s="392"/>
      <c r="CX215" s="392"/>
      <c r="CY215" s="392"/>
      <c r="CZ215" s="392"/>
      <c r="DA215" s="392"/>
    </row>
    <row r="216" spans="1:105" s="393" customFormat="1" ht="15" hidden="1" outlineLevel="2" thickBot="1" x14ac:dyDescent="0.35">
      <c r="A216" s="420"/>
      <c r="B216" s="424" t="s">
        <v>999</v>
      </c>
      <c r="C216" s="424"/>
      <c r="D216" s="424"/>
      <c r="E216" s="424"/>
      <c r="F216" s="425"/>
      <c r="G216" s="426"/>
      <c r="H216" s="475"/>
      <c r="I216" s="411"/>
      <c r="J216" s="411"/>
      <c r="K216" s="419"/>
      <c r="L216" s="419"/>
      <c r="M216" s="391"/>
      <c r="N216" s="391"/>
      <c r="O216" s="392"/>
      <c r="P216" s="392"/>
      <c r="Q216" s="392"/>
      <c r="R216" s="392"/>
      <c r="S216" s="392"/>
      <c r="T216" s="392"/>
      <c r="U216" s="392"/>
      <c r="V216" s="392"/>
      <c r="W216" s="392"/>
      <c r="X216" s="392"/>
      <c r="Y216" s="392"/>
      <c r="Z216" s="392"/>
      <c r="AA216" s="406"/>
      <c r="AB216" s="406"/>
      <c r="AC216" s="392"/>
      <c r="AD216" s="392"/>
      <c r="AE216" s="392"/>
      <c r="AF216" s="392"/>
      <c r="AG216" s="392"/>
      <c r="AH216" s="392"/>
      <c r="AI216" s="392"/>
      <c r="AJ216" s="392"/>
      <c r="AK216" s="392"/>
      <c r="AL216" s="392"/>
      <c r="AM216" s="392"/>
      <c r="AN216" s="392"/>
      <c r="AO216" s="392"/>
      <c r="AP216" s="392"/>
      <c r="AQ216" s="392"/>
      <c r="AR216" s="392"/>
      <c r="AS216" s="392"/>
      <c r="AT216" s="392"/>
      <c r="AU216" s="392"/>
      <c r="AV216" s="392"/>
      <c r="AW216" s="392"/>
      <c r="AX216" s="392"/>
      <c r="AY216" s="392"/>
      <c r="AZ216" s="392"/>
      <c r="BA216" s="392"/>
      <c r="BB216" s="392"/>
      <c r="BC216" s="392"/>
      <c r="BD216" s="392"/>
      <c r="BE216" s="392"/>
      <c r="BF216" s="392"/>
      <c r="BG216" s="392"/>
      <c r="BH216" s="392"/>
      <c r="BI216" s="392"/>
      <c r="BJ216" s="392"/>
      <c r="BK216" s="392"/>
      <c r="BL216" s="392"/>
      <c r="BM216" s="392"/>
      <c r="BN216" s="392"/>
      <c r="BO216" s="392"/>
      <c r="BP216" s="392"/>
      <c r="BQ216" s="392"/>
      <c r="BR216" s="392"/>
      <c r="BS216" s="392"/>
      <c r="BT216" s="392"/>
      <c r="BU216" s="392"/>
      <c r="BV216" s="392"/>
      <c r="BW216" s="392"/>
      <c r="BX216" s="392"/>
      <c r="BY216" s="392"/>
      <c r="BZ216" s="392"/>
      <c r="CA216" s="392"/>
      <c r="CB216" s="392"/>
      <c r="CC216" s="392"/>
      <c r="CD216" s="392"/>
      <c r="CE216" s="392"/>
      <c r="CF216" s="392"/>
      <c r="CG216" s="392"/>
      <c r="CH216" s="392"/>
      <c r="CI216" s="392"/>
      <c r="CJ216" s="392"/>
      <c r="CK216" s="392"/>
      <c r="CL216" s="392"/>
      <c r="CM216" s="392"/>
      <c r="CN216" s="392"/>
      <c r="CO216" s="392"/>
      <c r="CP216" s="392"/>
      <c r="CQ216" s="392"/>
      <c r="CR216" s="392"/>
      <c r="CS216" s="392"/>
      <c r="CT216" s="392"/>
      <c r="CU216" s="392"/>
      <c r="CV216" s="392"/>
      <c r="CW216" s="392"/>
      <c r="CX216" s="392"/>
      <c r="CY216" s="392"/>
      <c r="CZ216" s="392"/>
      <c r="DA216" s="392"/>
    </row>
    <row r="217" spans="1:105" s="393" customFormat="1" ht="15" hidden="1" outlineLevel="2" thickBot="1" x14ac:dyDescent="0.35">
      <c r="A217" s="420"/>
      <c r="B217" s="424" t="s">
        <v>1000</v>
      </c>
      <c r="C217" s="424"/>
      <c r="D217" s="424"/>
      <c r="E217" s="424"/>
      <c r="F217" s="425" t="s">
        <v>1001</v>
      </c>
      <c r="G217" s="426"/>
      <c r="H217" s="475"/>
      <c r="I217" s="411"/>
      <c r="J217" s="411"/>
      <c r="K217" s="419"/>
      <c r="L217" s="419"/>
      <c r="M217" s="391"/>
      <c r="N217" s="391"/>
      <c r="O217" s="392"/>
      <c r="P217" s="392"/>
      <c r="Q217" s="392"/>
      <c r="R217" s="392"/>
      <c r="S217" s="392"/>
      <c r="T217" s="392"/>
      <c r="U217" s="392"/>
      <c r="V217" s="392"/>
      <c r="W217" s="392"/>
      <c r="X217" s="392"/>
      <c r="Y217" s="392"/>
      <c r="Z217" s="392"/>
      <c r="AA217" s="406"/>
      <c r="AB217" s="406"/>
      <c r="AC217" s="392"/>
      <c r="AD217" s="392"/>
      <c r="AE217" s="392"/>
      <c r="AF217" s="392"/>
      <c r="AG217" s="392"/>
      <c r="AH217" s="392"/>
      <c r="AI217" s="392"/>
      <c r="AJ217" s="392"/>
      <c r="AK217" s="392"/>
      <c r="AL217" s="392"/>
      <c r="AM217" s="392"/>
      <c r="AN217" s="392"/>
      <c r="AO217" s="392"/>
      <c r="AP217" s="392"/>
      <c r="AQ217" s="392"/>
      <c r="AR217" s="392"/>
      <c r="AS217" s="392"/>
      <c r="AT217" s="392"/>
      <c r="AU217" s="392"/>
      <c r="AV217" s="392"/>
      <c r="AW217" s="392"/>
      <c r="AX217" s="392"/>
      <c r="AY217" s="392"/>
      <c r="AZ217" s="392"/>
      <c r="BA217" s="392"/>
      <c r="BB217" s="392"/>
      <c r="BC217" s="392"/>
      <c r="BD217" s="392"/>
      <c r="BE217" s="392"/>
      <c r="BF217" s="392"/>
      <c r="BG217" s="392"/>
      <c r="BH217" s="392"/>
      <c r="BI217" s="392"/>
      <c r="BJ217" s="392"/>
      <c r="BK217" s="392"/>
      <c r="BL217" s="392"/>
      <c r="BM217" s="392"/>
      <c r="BN217" s="392"/>
      <c r="BO217" s="392"/>
      <c r="BP217" s="392"/>
      <c r="BQ217" s="392"/>
      <c r="BR217" s="392"/>
      <c r="BS217" s="392"/>
      <c r="BT217" s="392"/>
      <c r="BU217" s="392"/>
      <c r="BV217" s="392"/>
      <c r="BW217" s="392"/>
      <c r="BX217" s="392"/>
      <c r="BY217" s="392"/>
      <c r="BZ217" s="392"/>
      <c r="CA217" s="392"/>
      <c r="CB217" s="392"/>
      <c r="CC217" s="392"/>
      <c r="CD217" s="392"/>
      <c r="CE217" s="392"/>
      <c r="CF217" s="392"/>
      <c r="CG217" s="392"/>
      <c r="CH217" s="392"/>
      <c r="CI217" s="392"/>
      <c r="CJ217" s="392"/>
      <c r="CK217" s="392"/>
      <c r="CL217" s="392"/>
      <c r="CM217" s="392"/>
      <c r="CN217" s="392"/>
      <c r="CO217" s="392"/>
      <c r="CP217" s="392"/>
      <c r="CQ217" s="392"/>
      <c r="CR217" s="392"/>
      <c r="CS217" s="392"/>
      <c r="CT217" s="392"/>
      <c r="CU217" s="392"/>
      <c r="CV217" s="392"/>
      <c r="CW217" s="392"/>
      <c r="CX217" s="392"/>
      <c r="CY217" s="392"/>
      <c r="CZ217" s="392"/>
      <c r="DA217" s="392"/>
    </row>
    <row r="218" spans="1:105" s="393" customFormat="1" ht="15" hidden="1" outlineLevel="2" thickBot="1" x14ac:dyDescent="0.35">
      <c r="A218" s="420"/>
      <c r="B218" s="420" t="s">
        <v>1074</v>
      </c>
      <c r="C218" s="420"/>
      <c r="D218" s="420"/>
      <c r="E218" s="420"/>
      <c r="F218" s="427" t="s">
        <v>1075</v>
      </c>
      <c r="G218" s="426"/>
      <c r="H218" s="475"/>
      <c r="I218" s="411"/>
      <c r="J218" s="411"/>
      <c r="K218" s="419"/>
      <c r="L218" s="419"/>
      <c r="M218" s="391"/>
      <c r="N218" s="391"/>
      <c r="O218" s="392"/>
      <c r="P218" s="392"/>
      <c r="Q218" s="392"/>
      <c r="R218" s="392"/>
      <c r="S218" s="392"/>
      <c r="T218" s="392"/>
      <c r="U218" s="392"/>
      <c r="V218" s="392"/>
      <c r="W218" s="392"/>
      <c r="X218" s="392"/>
      <c r="Y218" s="392"/>
      <c r="Z218" s="392"/>
      <c r="AA218" s="406"/>
      <c r="AB218" s="406"/>
      <c r="AC218" s="392"/>
      <c r="AD218" s="392"/>
      <c r="AE218" s="392"/>
      <c r="AF218" s="392"/>
      <c r="AG218" s="392"/>
      <c r="AH218" s="392"/>
      <c r="AI218" s="392"/>
      <c r="AJ218" s="392"/>
      <c r="AK218" s="392"/>
      <c r="AL218" s="392"/>
      <c r="AM218" s="392"/>
      <c r="AN218" s="392"/>
      <c r="AO218" s="392"/>
      <c r="AP218" s="392"/>
      <c r="AQ218" s="392"/>
      <c r="AR218" s="392"/>
      <c r="AS218" s="392"/>
      <c r="AT218" s="392"/>
      <c r="AU218" s="392"/>
      <c r="AV218" s="392"/>
      <c r="AW218" s="392"/>
      <c r="AX218" s="392"/>
      <c r="AY218" s="392"/>
      <c r="AZ218" s="392"/>
      <c r="BA218" s="392"/>
      <c r="BB218" s="392"/>
      <c r="BC218" s="392"/>
      <c r="BD218" s="392"/>
      <c r="BE218" s="392"/>
      <c r="BF218" s="392"/>
      <c r="BG218" s="392"/>
      <c r="BH218" s="392"/>
      <c r="BI218" s="392"/>
      <c r="BJ218" s="392"/>
      <c r="BK218" s="392"/>
      <c r="BL218" s="392"/>
      <c r="BM218" s="392"/>
      <c r="BN218" s="392"/>
      <c r="BO218" s="392"/>
      <c r="BP218" s="392"/>
      <c r="BQ218" s="392"/>
      <c r="BR218" s="392"/>
      <c r="BS218" s="392"/>
      <c r="BT218" s="392"/>
      <c r="BU218" s="392"/>
      <c r="BV218" s="392"/>
      <c r="BW218" s="392"/>
      <c r="BX218" s="392"/>
      <c r="BY218" s="392"/>
      <c r="BZ218" s="392"/>
      <c r="CA218" s="392"/>
      <c r="CB218" s="392"/>
      <c r="CC218" s="392"/>
      <c r="CD218" s="392"/>
      <c r="CE218" s="392"/>
      <c r="CF218" s="392"/>
      <c r="CG218" s="392"/>
      <c r="CH218" s="392"/>
      <c r="CI218" s="392"/>
      <c r="CJ218" s="392"/>
      <c r="CK218" s="392"/>
      <c r="CL218" s="392"/>
      <c r="CM218" s="392"/>
      <c r="CN218" s="392"/>
      <c r="CO218" s="392"/>
      <c r="CP218" s="392"/>
      <c r="CQ218" s="392"/>
      <c r="CR218" s="392"/>
      <c r="CS218" s="392"/>
      <c r="CT218" s="392"/>
      <c r="CU218" s="392"/>
      <c r="CV218" s="392"/>
      <c r="CW218" s="392"/>
      <c r="CX218" s="392"/>
      <c r="CY218" s="392"/>
      <c r="CZ218" s="392"/>
      <c r="DA218" s="392"/>
    </row>
    <row r="219" spans="1:105" s="393" customFormat="1" ht="15" thickBot="1" x14ac:dyDescent="0.35">
      <c r="A219" s="420"/>
      <c r="B219" s="420"/>
      <c r="C219" s="420"/>
      <c r="D219" s="420"/>
      <c r="E219" s="420"/>
      <c r="F219" s="427"/>
      <c r="G219" s="426"/>
      <c r="H219" s="427"/>
      <c r="I219" s="428"/>
      <c r="J219" s="428"/>
      <c r="K219" s="412"/>
      <c r="L219" s="412"/>
      <c r="M219" s="391"/>
      <c r="N219" s="391"/>
      <c r="O219" s="392"/>
      <c r="P219" s="392"/>
      <c r="Q219" s="392"/>
      <c r="R219" s="392"/>
      <c r="S219" s="392"/>
      <c r="T219" s="392"/>
      <c r="U219" s="392"/>
      <c r="V219" s="392"/>
      <c r="W219" s="392"/>
      <c r="X219" s="392"/>
      <c r="Y219" s="392"/>
      <c r="Z219" s="392"/>
      <c r="AA219" s="406"/>
      <c r="AB219" s="406"/>
      <c r="AC219" s="392"/>
      <c r="AD219" s="392"/>
      <c r="AE219" s="392"/>
      <c r="AF219" s="392"/>
      <c r="AG219" s="392"/>
      <c r="AH219" s="392"/>
      <c r="AI219" s="392"/>
      <c r="AJ219" s="392"/>
      <c r="AK219" s="392"/>
      <c r="AL219" s="392"/>
      <c r="AM219" s="392"/>
      <c r="AN219" s="392"/>
      <c r="AO219" s="392"/>
      <c r="AP219" s="392"/>
      <c r="AQ219" s="392"/>
      <c r="AR219" s="392"/>
      <c r="AS219" s="392"/>
      <c r="AT219" s="392"/>
      <c r="AU219" s="392"/>
      <c r="AV219" s="392"/>
      <c r="AW219" s="392"/>
      <c r="AX219" s="392"/>
      <c r="AY219" s="392"/>
      <c r="AZ219" s="392"/>
      <c r="BA219" s="392"/>
      <c r="BB219" s="392"/>
      <c r="BC219" s="392"/>
      <c r="BD219" s="392"/>
      <c r="BE219" s="392"/>
      <c r="BF219" s="392"/>
      <c r="BG219" s="392"/>
      <c r="BH219" s="392"/>
      <c r="BI219" s="392"/>
      <c r="BJ219" s="392"/>
      <c r="BK219" s="392"/>
      <c r="BL219" s="392"/>
      <c r="BM219" s="392"/>
      <c r="BN219" s="392"/>
      <c r="BO219" s="392"/>
      <c r="BP219" s="392"/>
      <c r="BQ219" s="392"/>
      <c r="BR219" s="392"/>
      <c r="BS219" s="392"/>
      <c r="BT219" s="392"/>
      <c r="BU219" s="392"/>
      <c r="BV219" s="392"/>
      <c r="BW219" s="392"/>
      <c r="BX219" s="392"/>
      <c r="BY219" s="392"/>
      <c r="BZ219" s="392"/>
      <c r="CA219" s="392"/>
      <c r="CB219" s="392"/>
      <c r="CC219" s="392"/>
      <c r="CD219" s="392"/>
      <c r="CE219" s="392"/>
      <c r="CF219" s="392"/>
      <c r="CG219" s="392"/>
      <c r="CH219" s="392"/>
      <c r="CI219" s="392"/>
      <c r="CJ219" s="392"/>
      <c r="CK219" s="392"/>
      <c r="CL219" s="392"/>
      <c r="CM219" s="392"/>
      <c r="CN219" s="392"/>
      <c r="CO219" s="392"/>
      <c r="CP219" s="392"/>
      <c r="CQ219" s="392"/>
      <c r="CR219" s="392"/>
      <c r="CS219" s="392"/>
      <c r="CT219" s="392"/>
      <c r="CU219" s="392"/>
      <c r="CV219" s="392"/>
      <c r="CW219" s="392"/>
      <c r="CX219" s="392"/>
      <c r="CY219" s="392"/>
      <c r="CZ219" s="392"/>
      <c r="DA219" s="392"/>
    </row>
    <row r="220" spans="1:105" s="393" customFormat="1" ht="15" hidden="1" thickBot="1" x14ac:dyDescent="0.35">
      <c r="A220" s="461" t="s">
        <v>1403</v>
      </c>
      <c r="B220" s="420"/>
      <c r="C220" s="420"/>
      <c r="D220" s="420"/>
      <c r="E220" s="420"/>
      <c r="F220" s="427"/>
      <c r="G220" s="426"/>
      <c r="H220" s="427"/>
      <c r="I220" s="428"/>
      <c r="J220" s="428"/>
      <c r="K220" s="412"/>
      <c r="L220" s="412"/>
      <c r="M220" s="391"/>
      <c r="N220" s="391"/>
      <c r="O220" s="392"/>
      <c r="P220" s="392"/>
      <c r="Q220" s="392"/>
      <c r="R220" s="392"/>
      <c r="S220" s="392"/>
      <c r="T220" s="392"/>
      <c r="U220" s="392"/>
      <c r="V220" s="392"/>
      <c r="W220" s="392"/>
      <c r="X220" s="392"/>
      <c r="Y220" s="392"/>
      <c r="Z220" s="392"/>
      <c r="AA220" s="406"/>
      <c r="AB220" s="406"/>
      <c r="AC220" s="392"/>
      <c r="AD220" s="392"/>
      <c r="AE220" s="392"/>
      <c r="AF220" s="392"/>
      <c r="AG220" s="392"/>
      <c r="AH220" s="392"/>
      <c r="AI220" s="392"/>
      <c r="AJ220" s="392"/>
      <c r="AK220" s="392"/>
      <c r="AL220" s="392"/>
      <c r="AM220" s="392"/>
      <c r="AN220" s="392"/>
      <c r="AO220" s="392"/>
      <c r="AP220" s="392"/>
      <c r="AQ220" s="392"/>
      <c r="AR220" s="392"/>
      <c r="AS220" s="392"/>
      <c r="AT220" s="392"/>
      <c r="AU220" s="392"/>
      <c r="AV220" s="392"/>
      <c r="AW220" s="392"/>
      <c r="AX220" s="392"/>
      <c r="AY220" s="392"/>
      <c r="AZ220" s="392"/>
      <c r="BA220" s="392"/>
      <c r="BB220" s="392"/>
      <c r="BC220" s="392"/>
      <c r="BD220" s="392"/>
      <c r="BE220" s="392"/>
      <c r="BF220" s="392"/>
      <c r="BG220" s="392"/>
      <c r="BH220" s="392"/>
      <c r="BI220" s="392"/>
      <c r="BJ220" s="392"/>
      <c r="BK220" s="392"/>
      <c r="BL220" s="392"/>
      <c r="BM220" s="392"/>
      <c r="BN220" s="392"/>
      <c r="BO220" s="392"/>
      <c r="BP220" s="392"/>
      <c r="BQ220" s="392"/>
      <c r="BR220" s="392"/>
      <c r="BS220" s="392"/>
      <c r="BT220" s="392"/>
      <c r="BU220" s="392"/>
      <c r="BV220" s="392"/>
      <c r="BW220" s="392"/>
      <c r="BX220" s="392"/>
      <c r="BY220" s="392"/>
      <c r="BZ220" s="392"/>
      <c r="CA220" s="392"/>
      <c r="CB220" s="392"/>
      <c r="CC220" s="392"/>
      <c r="CD220" s="392"/>
      <c r="CE220" s="392"/>
      <c r="CF220" s="392"/>
      <c r="CG220" s="392"/>
      <c r="CH220" s="392"/>
      <c r="CI220" s="392"/>
      <c r="CJ220" s="392"/>
      <c r="CK220" s="392"/>
      <c r="CL220" s="392"/>
      <c r="CM220" s="392"/>
      <c r="CN220" s="392"/>
      <c r="CO220" s="392"/>
      <c r="CP220" s="392"/>
      <c r="CQ220" s="392"/>
      <c r="CR220" s="392"/>
      <c r="CS220" s="392"/>
      <c r="CT220" s="392"/>
      <c r="CU220" s="392"/>
      <c r="CV220" s="392"/>
      <c r="CW220" s="392"/>
      <c r="CX220" s="392"/>
      <c r="CY220" s="392"/>
      <c r="CZ220" s="392"/>
      <c r="DA220" s="392"/>
    </row>
    <row r="221" spans="1:105" s="393" customFormat="1" ht="15" hidden="1" thickBot="1" x14ac:dyDescent="0.35">
      <c r="A221" s="420" t="s">
        <v>1404</v>
      </c>
      <c r="B221" s="420"/>
      <c r="C221" s="420"/>
      <c r="D221" s="420"/>
      <c r="E221" s="420"/>
      <c r="F221" s="427"/>
      <c r="G221" s="426"/>
      <c r="H221" s="427"/>
      <c r="I221" s="428"/>
      <c r="J221" s="428"/>
      <c r="K221" s="412"/>
      <c r="L221" s="412"/>
      <c r="M221" s="391"/>
      <c r="N221" s="391"/>
      <c r="O221" s="392"/>
      <c r="P221" s="392"/>
      <c r="Q221" s="392"/>
      <c r="R221" s="392"/>
      <c r="S221" s="392"/>
      <c r="T221" s="392"/>
      <c r="U221" s="392"/>
      <c r="V221" s="392"/>
      <c r="W221" s="392"/>
      <c r="X221" s="392"/>
      <c r="Y221" s="392"/>
      <c r="Z221" s="392"/>
      <c r="AA221" s="406"/>
      <c r="AB221" s="406"/>
      <c r="AC221" s="392"/>
      <c r="AD221" s="392"/>
      <c r="AE221" s="392"/>
      <c r="AF221" s="392"/>
      <c r="AG221" s="392"/>
      <c r="AH221" s="392"/>
      <c r="AI221" s="392"/>
      <c r="AJ221" s="392"/>
      <c r="AK221" s="392"/>
      <c r="AL221" s="392"/>
      <c r="AM221" s="392"/>
      <c r="AN221" s="392"/>
      <c r="AO221" s="392"/>
      <c r="AP221" s="392"/>
      <c r="AQ221" s="392"/>
      <c r="AR221" s="392"/>
      <c r="AS221" s="392"/>
      <c r="AT221" s="392"/>
      <c r="AU221" s="392"/>
      <c r="AV221" s="392"/>
      <c r="AW221" s="392"/>
      <c r="AX221" s="392"/>
      <c r="AY221" s="392"/>
      <c r="AZ221" s="392"/>
      <c r="BA221" s="392"/>
      <c r="BB221" s="392"/>
      <c r="BC221" s="392"/>
      <c r="BD221" s="392"/>
      <c r="BE221" s="392"/>
      <c r="BF221" s="392"/>
      <c r="BG221" s="392"/>
      <c r="BH221" s="392"/>
      <c r="BI221" s="392"/>
      <c r="BJ221" s="392"/>
      <c r="BK221" s="392"/>
      <c r="BL221" s="392"/>
      <c r="BM221" s="392"/>
      <c r="BN221" s="392"/>
      <c r="BO221" s="392"/>
      <c r="BP221" s="392"/>
      <c r="BQ221" s="392"/>
      <c r="BR221" s="392"/>
      <c r="BS221" s="392"/>
      <c r="BT221" s="392"/>
      <c r="BU221" s="392"/>
      <c r="BV221" s="392"/>
      <c r="BW221" s="392"/>
      <c r="BX221" s="392"/>
      <c r="BY221" s="392"/>
      <c r="BZ221" s="392"/>
      <c r="CA221" s="392"/>
      <c r="CB221" s="392"/>
      <c r="CC221" s="392"/>
      <c r="CD221" s="392"/>
      <c r="CE221" s="392"/>
      <c r="CF221" s="392"/>
      <c r="CG221" s="392"/>
      <c r="CH221" s="392"/>
      <c r="CI221" s="392"/>
      <c r="CJ221" s="392"/>
      <c r="CK221" s="392"/>
      <c r="CL221" s="392"/>
      <c r="CM221" s="392"/>
      <c r="CN221" s="392"/>
      <c r="CO221" s="392"/>
      <c r="CP221" s="392"/>
      <c r="CQ221" s="392"/>
      <c r="CR221" s="392"/>
      <c r="CS221" s="392"/>
      <c r="CT221" s="392"/>
      <c r="CU221" s="392"/>
      <c r="CV221" s="392"/>
      <c r="CW221" s="392"/>
      <c r="CX221" s="392"/>
      <c r="CY221" s="392"/>
      <c r="CZ221" s="392"/>
      <c r="DA221" s="392"/>
    </row>
    <row r="222" spans="1:105" s="393" customFormat="1" ht="15" hidden="1" thickBot="1" x14ac:dyDescent="0.35">
      <c r="A222" s="420" t="s">
        <v>1405</v>
      </c>
      <c r="B222" s="420"/>
      <c r="C222" s="420"/>
      <c r="D222" s="420"/>
      <c r="E222" s="420"/>
      <c r="F222" s="427"/>
      <c r="G222" s="426"/>
      <c r="H222" s="427"/>
      <c r="I222" s="428"/>
      <c r="J222" s="428"/>
      <c r="K222" s="412"/>
      <c r="L222" s="412"/>
      <c r="M222" s="391"/>
      <c r="N222" s="391"/>
      <c r="O222" s="392"/>
      <c r="P222" s="392"/>
      <c r="Q222" s="392"/>
      <c r="R222" s="392"/>
      <c r="S222" s="392"/>
      <c r="T222" s="392"/>
      <c r="U222" s="392"/>
      <c r="V222" s="392"/>
      <c r="W222" s="392"/>
      <c r="X222" s="392"/>
      <c r="Y222" s="392"/>
      <c r="Z222" s="392"/>
      <c r="AA222" s="406"/>
      <c r="AB222" s="406"/>
      <c r="AC222" s="392"/>
      <c r="AD222" s="392"/>
      <c r="AE222" s="392"/>
      <c r="AF222" s="392"/>
      <c r="AG222" s="392"/>
      <c r="AH222" s="392"/>
      <c r="AI222" s="392"/>
      <c r="AJ222" s="392"/>
      <c r="AK222" s="392"/>
      <c r="AL222" s="392"/>
      <c r="AM222" s="392"/>
      <c r="AN222" s="392"/>
      <c r="AO222" s="392"/>
      <c r="AP222" s="392"/>
      <c r="AQ222" s="392"/>
      <c r="AR222" s="392"/>
      <c r="AS222" s="392"/>
      <c r="AT222" s="392"/>
      <c r="AU222" s="392"/>
      <c r="AV222" s="392"/>
      <c r="AW222" s="392"/>
      <c r="AX222" s="392"/>
      <c r="AY222" s="392"/>
      <c r="AZ222" s="392"/>
      <c r="BA222" s="392"/>
      <c r="BB222" s="392"/>
      <c r="BC222" s="392"/>
      <c r="BD222" s="392"/>
      <c r="BE222" s="392"/>
      <c r="BF222" s="392"/>
      <c r="BG222" s="392"/>
      <c r="BH222" s="392"/>
      <c r="BI222" s="392"/>
      <c r="BJ222" s="392"/>
      <c r="BK222" s="392"/>
      <c r="BL222" s="392"/>
      <c r="BM222" s="392"/>
      <c r="BN222" s="392"/>
      <c r="BO222" s="392"/>
      <c r="BP222" s="392"/>
      <c r="BQ222" s="392"/>
      <c r="BR222" s="392"/>
      <c r="BS222" s="392"/>
      <c r="BT222" s="392"/>
      <c r="BU222" s="392"/>
      <c r="BV222" s="392"/>
      <c r="BW222" s="392"/>
      <c r="BX222" s="392"/>
      <c r="BY222" s="392"/>
      <c r="BZ222" s="392"/>
      <c r="CA222" s="392"/>
      <c r="CB222" s="392"/>
      <c r="CC222" s="392"/>
      <c r="CD222" s="392"/>
      <c r="CE222" s="392"/>
      <c r="CF222" s="392"/>
      <c r="CG222" s="392"/>
      <c r="CH222" s="392"/>
      <c r="CI222" s="392"/>
      <c r="CJ222" s="392"/>
      <c r="CK222" s="392"/>
      <c r="CL222" s="392"/>
      <c r="CM222" s="392"/>
      <c r="CN222" s="392"/>
      <c r="CO222" s="392"/>
      <c r="CP222" s="392"/>
      <c r="CQ222" s="392"/>
      <c r="CR222" s="392"/>
      <c r="CS222" s="392"/>
      <c r="CT222" s="392"/>
      <c r="CU222" s="392"/>
      <c r="CV222" s="392"/>
      <c r="CW222" s="392"/>
      <c r="CX222" s="392"/>
      <c r="CY222" s="392"/>
      <c r="CZ222" s="392"/>
      <c r="DA222" s="392"/>
    </row>
    <row r="223" spans="1:105" s="393" customFormat="1" ht="15" hidden="1" thickBot="1" x14ac:dyDescent="0.35">
      <c r="A223" s="420" t="s">
        <v>1406</v>
      </c>
      <c r="B223" s="420"/>
      <c r="C223" s="420"/>
      <c r="D223" s="420"/>
      <c r="E223" s="420"/>
      <c r="F223" s="427"/>
      <c r="G223" s="426"/>
      <c r="H223" s="427"/>
      <c r="I223" s="428"/>
      <c r="J223" s="428"/>
      <c r="K223" s="412"/>
      <c r="L223" s="412"/>
      <c r="M223" s="391"/>
      <c r="N223" s="391"/>
      <c r="O223" s="392"/>
      <c r="P223" s="392"/>
      <c r="Q223" s="392"/>
      <c r="R223" s="392"/>
      <c r="S223" s="392"/>
      <c r="T223" s="392"/>
      <c r="U223" s="392"/>
      <c r="V223" s="392"/>
      <c r="W223" s="392"/>
      <c r="X223" s="392"/>
      <c r="Y223" s="392"/>
      <c r="Z223" s="392"/>
      <c r="AA223" s="406"/>
      <c r="AB223" s="406"/>
      <c r="AC223" s="392"/>
      <c r="AD223" s="392"/>
      <c r="AE223" s="392"/>
      <c r="AF223" s="392"/>
      <c r="AG223" s="392"/>
      <c r="AH223" s="392"/>
      <c r="AI223" s="392"/>
      <c r="AJ223" s="392"/>
      <c r="AK223" s="392"/>
      <c r="AL223" s="392"/>
      <c r="AM223" s="392"/>
      <c r="AN223" s="392"/>
      <c r="AO223" s="392"/>
      <c r="AP223" s="392"/>
      <c r="AQ223" s="392"/>
      <c r="AR223" s="392"/>
      <c r="AS223" s="392"/>
      <c r="AT223" s="392"/>
      <c r="AU223" s="392"/>
      <c r="AV223" s="392"/>
      <c r="AW223" s="392"/>
      <c r="AX223" s="392"/>
      <c r="AY223" s="392"/>
      <c r="AZ223" s="392"/>
      <c r="BA223" s="392"/>
      <c r="BB223" s="392"/>
      <c r="BC223" s="392"/>
      <c r="BD223" s="392"/>
      <c r="BE223" s="392"/>
      <c r="BF223" s="392"/>
      <c r="BG223" s="392"/>
      <c r="BH223" s="392"/>
      <c r="BI223" s="392"/>
      <c r="BJ223" s="392"/>
      <c r="BK223" s="392"/>
      <c r="BL223" s="392"/>
      <c r="BM223" s="392"/>
      <c r="BN223" s="392"/>
      <c r="BO223" s="392"/>
      <c r="BP223" s="392"/>
      <c r="BQ223" s="392"/>
      <c r="BR223" s="392"/>
      <c r="BS223" s="392"/>
      <c r="BT223" s="392"/>
      <c r="BU223" s="392"/>
      <c r="BV223" s="392"/>
      <c r="BW223" s="392"/>
      <c r="BX223" s="392"/>
      <c r="BY223" s="392"/>
      <c r="BZ223" s="392"/>
      <c r="CA223" s="392"/>
      <c r="CB223" s="392"/>
      <c r="CC223" s="392"/>
      <c r="CD223" s="392"/>
      <c r="CE223" s="392"/>
      <c r="CF223" s="392"/>
      <c r="CG223" s="392"/>
      <c r="CH223" s="392"/>
      <c r="CI223" s="392"/>
      <c r="CJ223" s="392"/>
      <c r="CK223" s="392"/>
      <c r="CL223" s="392"/>
      <c r="CM223" s="392"/>
      <c r="CN223" s="392"/>
      <c r="CO223" s="392"/>
      <c r="CP223" s="392"/>
      <c r="CQ223" s="392"/>
      <c r="CR223" s="392"/>
      <c r="CS223" s="392"/>
      <c r="CT223" s="392"/>
      <c r="CU223" s="392"/>
      <c r="CV223" s="392"/>
      <c r="CW223" s="392"/>
      <c r="CX223" s="392"/>
      <c r="CY223" s="392"/>
      <c r="CZ223" s="392"/>
      <c r="DA223" s="392"/>
    </row>
    <row r="224" spans="1:105" s="393" customFormat="1" ht="15" hidden="1" thickBot="1" x14ac:dyDescent="0.35">
      <c r="A224" s="420" t="s">
        <v>1407</v>
      </c>
      <c r="B224" s="420"/>
      <c r="C224" s="420"/>
      <c r="D224" s="420"/>
      <c r="E224" s="420"/>
      <c r="F224" s="427"/>
      <c r="G224" s="426"/>
      <c r="H224" s="427"/>
      <c r="I224" s="428"/>
      <c r="J224" s="428"/>
      <c r="K224" s="412"/>
      <c r="L224" s="412"/>
      <c r="M224" s="391"/>
      <c r="N224" s="391"/>
      <c r="O224" s="392"/>
      <c r="P224" s="392"/>
      <c r="Q224" s="392"/>
      <c r="R224" s="392"/>
      <c r="S224" s="392"/>
      <c r="T224" s="392"/>
      <c r="U224" s="392"/>
      <c r="V224" s="392"/>
      <c r="W224" s="392"/>
      <c r="X224" s="392"/>
      <c r="Y224" s="392"/>
      <c r="Z224" s="392"/>
      <c r="AA224" s="406"/>
      <c r="AB224" s="406"/>
      <c r="AC224" s="392"/>
      <c r="AD224" s="392"/>
      <c r="AE224" s="392"/>
      <c r="AF224" s="392"/>
      <c r="AG224" s="392"/>
      <c r="AH224" s="392"/>
      <c r="AI224" s="392"/>
      <c r="AJ224" s="392"/>
      <c r="AK224" s="392"/>
      <c r="AL224" s="392"/>
      <c r="AM224" s="392"/>
      <c r="AN224" s="392"/>
      <c r="AO224" s="392"/>
      <c r="AP224" s="392"/>
      <c r="AQ224" s="392"/>
      <c r="AR224" s="392"/>
      <c r="AS224" s="392"/>
      <c r="AT224" s="392"/>
      <c r="AU224" s="392"/>
      <c r="AV224" s="392"/>
      <c r="AW224" s="392"/>
      <c r="AX224" s="392"/>
      <c r="AY224" s="392"/>
      <c r="AZ224" s="392"/>
      <c r="BA224" s="392"/>
      <c r="BB224" s="392"/>
      <c r="BC224" s="392"/>
      <c r="BD224" s="392"/>
      <c r="BE224" s="392"/>
      <c r="BF224" s="392"/>
      <c r="BG224" s="392"/>
      <c r="BH224" s="392"/>
      <c r="BI224" s="392"/>
      <c r="BJ224" s="392"/>
      <c r="BK224" s="392"/>
      <c r="BL224" s="392"/>
      <c r="BM224" s="392"/>
      <c r="BN224" s="392"/>
      <c r="BO224" s="392"/>
      <c r="BP224" s="392"/>
      <c r="BQ224" s="392"/>
      <c r="BR224" s="392"/>
      <c r="BS224" s="392"/>
      <c r="BT224" s="392"/>
      <c r="BU224" s="392"/>
      <c r="BV224" s="392"/>
      <c r="BW224" s="392"/>
      <c r="BX224" s="392"/>
      <c r="BY224" s="392"/>
      <c r="BZ224" s="392"/>
      <c r="CA224" s="392"/>
      <c r="CB224" s="392"/>
      <c r="CC224" s="392"/>
      <c r="CD224" s="392"/>
      <c r="CE224" s="392"/>
      <c r="CF224" s="392"/>
      <c r="CG224" s="392"/>
      <c r="CH224" s="392"/>
      <c r="CI224" s="392"/>
      <c r="CJ224" s="392"/>
      <c r="CK224" s="392"/>
      <c r="CL224" s="392"/>
      <c r="CM224" s="392"/>
      <c r="CN224" s="392"/>
      <c r="CO224" s="392"/>
      <c r="CP224" s="392"/>
      <c r="CQ224" s="392"/>
      <c r="CR224" s="392"/>
      <c r="CS224" s="392"/>
      <c r="CT224" s="392"/>
      <c r="CU224" s="392"/>
      <c r="CV224" s="392"/>
      <c r="CW224" s="392"/>
      <c r="CX224" s="392"/>
      <c r="CY224" s="392"/>
      <c r="CZ224" s="392"/>
      <c r="DA224" s="392"/>
    </row>
    <row r="225" spans="1:105" s="393" customFormat="1" ht="15" hidden="1" thickBot="1" x14ac:dyDescent="0.35">
      <c r="A225" s="420" t="s">
        <v>1408</v>
      </c>
      <c r="B225" s="420"/>
      <c r="C225" s="420"/>
      <c r="D225" s="420"/>
      <c r="E225" s="420"/>
      <c r="F225" s="427"/>
      <c r="G225" s="426"/>
      <c r="H225" s="427"/>
      <c r="I225" s="428"/>
      <c r="J225" s="428"/>
      <c r="K225" s="412"/>
      <c r="L225" s="412"/>
      <c r="M225" s="391"/>
      <c r="N225" s="391"/>
      <c r="O225" s="392"/>
      <c r="P225" s="392"/>
      <c r="Q225" s="392"/>
      <c r="R225" s="392"/>
      <c r="S225" s="392"/>
      <c r="T225" s="392"/>
      <c r="U225" s="392"/>
      <c r="V225" s="392"/>
      <c r="W225" s="392"/>
      <c r="X225" s="392"/>
      <c r="Y225" s="392"/>
      <c r="Z225" s="392"/>
      <c r="AA225" s="406"/>
      <c r="AB225" s="406"/>
      <c r="AC225" s="392"/>
      <c r="AD225" s="392"/>
      <c r="AE225" s="392"/>
      <c r="AF225" s="392"/>
      <c r="AG225" s="392"/>
      <c r="AH225" s="392"/>
      <c r="AI225" s="392"/>
      <c r="AJ225" s="392"/>
      <c r="AK225" s="392"/>
      <c r="AL225" s="392"/>
      <c r="AM225" s="392"/>
      <c r="AN225" s="392"/>
      <c r="AO225" s="392"/>
      <c r="AP225" s="392"/>
      <c r="AQ225" s="392"/>
      <c r="AR225" s="392"/>
      <c r="AS225" s="392"/>
      <c r="AT225" s="392"/>
      <c r="AU225" s="392"/>
      <c r="AV225" s="392"/>
      <c r="AW225" s="392"/>
      <c r="AX225" s="392"/>
      <c r="AY225" s="392"/>
      <c r="AZ225" s="392"/>
      <c r="BA225" s="392"/>
      <c r="BB225" s="392"/>
      <c r="BC225" s="392"/>
      <c r="BD225" s="392"/>
      <c r="BE225" s="392"/>
      <c r="BF225" s="392"/>
      <c r="BG225" s="392"/>
      <c r="BH225" s="392"/>
      <c r="BI225" s="392"/>
      <c r="BJ225" s="392"/>
      <c r="BK225" s="392"/>
      <c r="BL225" s="392"/>
      <c r="BM225" s="392"/>
      <c r="BN225" s="392"/>
      <c r="BO225" s="392"/>
      <c r="BP225" s="392"/>
      <c r="BQ225" s="392"/>
      <c r="BR225" s="392"/>
      <c r="BS225" s="392"/>
      <c r="BT225" s="392"/>
      <c r="BU225" s="392"/>
      <c r="BV225" s="392"/>
      <c r="BW225" s="392"/>
      <c r="BX225" s="392"/>
      <c r="BY225" s="392"/>
      <c r="BZ225" s="392"/>
      <c r="CA225" s="392"/>
      <c r="CB225" s="392"/>
      <c r="CC225" s="392"/>
      <c r="CD225" s="392"/>
      <c r="CE225" s="392"/>
      <c r="CF225" s="392"/>
      <c r="CG225" s="392"/>
      <c r="CH225" s="392"/>
      <c r="CI225" s="392"/>
      <c r="CJ225" s="392"/>
      <c r="CK225" s="392"/>
      <c r="CL225" s="392"/>
      <c r="CM225" s="392"/>
      <c r="CN225" s="392"/>
      <c r="CO225" s="392"/>
      <c r="CP225" s="392"/>
      <c r="CQ225" s="392"/>
      <c r="CR225" s="392"/>
      <c r="CS225" s="392"/>
      <c r="CT225" s="392"/>
      <c r="CU225" s="392"/>
      <c r="CV225" s="392"/>
      <c r="CW225" s="392"/>
      <c r="CX225" s="392"/>
      <c r="CY225" s="392"/>
      <c r="CZ225" s="392"/>
      <c r="DA225" s="392"/>
    </row>
    <row r="226" spans="1:105" s="393" customFormat="1" ht="15" hidden="1" thickBot="1" x14ac:dyDescent="0.35">
      <c r="A226" s="420" t="s">
        <v>1409</v>
      </c>
      <c r="B226" s="420"/>
      <c r="C226" s="420"/>
      <c r="D226" s="420"/>
      <c r="E226" s="420"/>
      <c r="F226" s="427"/>
      <c r="G226" s="426"/>
      <c r="H226" s="427"/>
      <c r="I226" s="428"/>
      <c r="J226" s="428"/>
      <c r="K226" s="412"/>
      <c r="L226" s="412"/>
      <c r="M226" s="391"/>
      <c r="N226" s="391"/>
      <c r="O226" s="392"/>
      <c r="P226" s="392"/>
      <c r="Q226" s="392"/>
      <c r="R226" s="392"/>
      <c r="S226" s="392"/>
      <c r="T226" s="392"/>
      <c r="U226" s="392"/>
      <c r="V226" s="392"/>
      <c r="W226" s="392"/>
      <c r="X226" s="392"/>
      <c r="Y226" s="392"/>
      <c r="Z226" s="392"/>
      <c r="AA226" s="406"/>
      <c r="AB226" s="406"/>
      <c r="AC226" s="392"/>
      <c r="AD226" s="392"/>
      <c r="AE226" s="392"/>
      <c r="AF226" s="392"/>
      <c r="AG226" s="392"/>
      <c r="AH226" s="392"/>
      <c r="AI226" s="392"/>
      <c r="AJ226" s="392"/>
      <c r="AK226" s="392"/>
      <c r="AL226" s="392"/>
      <c r="AM226" s="392"/>
      <c r="AN226" s="392"/>
      <c r="AO226" s="392"/>
      <c r="AP226" s="392"/>
      <c r="AQ226" s="392"/>
      <c r="AR226" s="392"/>
      <c r="AS226" s="392"/>
      <c r="AT226" s="392"/>
      <c r="AU226" s="392"/>
      <c r="AV226" s="392"/>
      <c r="AW226" s="392"/>
      <c r="AX226" s="392"/>
      <c r="AY226" s="392"/>
      <c r="AZ226" s="392"/>
      <c r="BA226" s="392"/>
      <c r="BB226" s="392"/>
      <c r="BC226" s="392"/>
      <c r="BD226" s="392"/>
      <c r="BE226" s="392"/>
      <c r="BF226" s="392"/>
      <c r="BG226" s="392"/>
      <c r="BH226" s="392"/>
      <c r="BI226" s="392"/>
      <c r="BJ226" s="392"/>
      <c r="BK226" s="392"/>
      <c r="BL226" s="392"/>
      <c r="BM226" s="392"/>
      <c r="BN226" s="392"/>
      <c r="BO226" s="392"/>
      <c r="BP226" s="392"/>
      <c r="BQ226" s="392"/>
      <c r="BR226" s="392"/>
      <c r="BS226" s="392"/>
      <c r="BT226" s="392"/>
      <c r="BU226" s="392"/>
      <c r="BV226" s="392"/>
      <c r="BW226" s="392"/>
      <c r="BX226" s="392"/>
      <c r="BY226" s="392"/>
      <c r="BZ226" s="392"/>
      <c r="CA226" s="392"/>
      <c r="CB226" s="392"/>
      <c r="CC226" s="392"/>
      <c r="CD226" s="392"/>
      <c r="CE226" s="392"/>
      <c r="CF226" s="392"/>
      <c r="CG226" s="392"/>
      <c r="CH226" s="392"/>
      <c r="CI226" s="392"/>
      <c r="CJ226" s="392"/>
      <c r="CK226" s="392"/>
      <c r="CL226" s="392"/>
      <c r="CM226" s="392"/>
      <c r="CN226" s="392"/>
      <c r="CO226" s="392"/>
      <c r="CP226" s="392"/>
      <c r="CQ226" s="392"/>
      <c r="CR226" s="392"/>
      <c r="CS226" s="392"/>
      <c r="CT226" s="392"/>
      <c r="CU226" s="392"/>
      <c r="CV226" s="392"/>
      <c r="CW226" s="392"/>
      <c r="CX226" s="392"/>
      <c r="CY226" s="392"/>
      <c r="CZ226" s="392"/>
      <c r="DA226" s="392"/>
    </row>
    <row r="227" spans="1:105" s="393" customFormat="1" ht="15" hidden="1" thickBot="1" x14ac:dyDescent="0.35">
      <c r="A227" s="420" t="s">
        <v>1410</v>
      </c>
      <c r="B227" s="420"/>
      <c r="C227" s="420"/>
      <c r="D227" s="420"/>
      <c r="E227" s="420"/>
      <c r="F227" s="427"/>
      <c r="G227" s="426"/>
      <c r="H227" s="427"/>
      <c r="I227" s="428"/>
      <c r="J227" s="428"/>
      <c r="K227" s="412"/>
      <c r="L227" s="412"/>
      <c r="M227" s="391"/>
      <c r="N227" s="391"/>
      <c r="O227" s="392"/>
      <c r="P227" s="392"/>
      <c r="Q227" s="392"/>
      <c r="R227" s="392"/>
      <c r="S227" s="392"/>
      <c r="T227" s="392"/>
      <c r="U227" s="392"/>
      <c r="V227" s="392"/>
      <c r="W227" s="392"/>
      <c r="X227" s="392"/>
      <c r="Y227" s="392"/>
      <c r="Z227" s="392"/>
      <c r="AA227" s="406"/>
      <c r="AB227" s="406"/>
      <c r="AC227" s="392"/>
      <c r="AD227" s="392"/>
      <c r="AE227" s="392"/>
      <c r="AF227" s="392"/>
      <c r="AG227" s="392"/>
      <c r="AH227" s="392"/>
      <c r="AI227" s="392"/>
      <c r="AJ227" s="392"/>
      <c r="AK227" s="392"/>
      <c r="AL227" s="392"/>
      <c r="AM227" s="392"/>
      <c r="AN227" s="392"/>
      <c r="AO227" s="392"/>
      <c r="AP227" s="392"/>
      <c r="AQ227" s="392"/>
      <c r="AR227" s="392"/>
      <c r="AS227" s="392"/>
      <c r="AT227" s="392"/>
      <c r="AU227" s="392"/>
      <c r="AV227" s="392"/>
      <c r="AW227" s="392"/>
      <c r="AX227" s="392"/>
      <c r="AY227" s="392"/>
      <c r="AZ227" s="392"/>
      <c r="BA227" s="392"/>
      <c r="BB227" s="392"/>
      <c r="BC227" s="392"/>
      <c r="BD227" s="392"/>
      <c r="BE227" s="392"/>
      <c r="BF227" s="392"/>
      <c r="BG227" s="392"/>
      <c r="BH227" s="392"/>
      <c r="BI227" s="392"/>
      <c r="BJ227" s="392"/>
      <c r="BK227" s="392"/>
      <c r="BL227" s="392"/>
      <c r="BM227" s="392"/>
      <c r="BN227" s="392"/>
      <c r="BO227" s="392"/>
      <c r="BP227" s="392"/>
      <c r="BQ227" s="392"/>
      <c r="BR227" s="392"/>
      <c r="BS227" s="392"/>
      <c r="BT227" s="392"/>
      <c r="BU227" s="392"/>
      <c r="BV227" s="392"/>
      <c r="BW227" s="392"/>
      <c r="BX227" s="392"/>
      <c r="BY227" s="392"/>
      <c r="BZ227" s="392"/>
      <c r="CA227" s="392"/>
      <c r="CB227" s="392"/>
      <c r="CC227" s="392"/>
      <c r="CD227" s="392"/>
      <c r="CE227" s="392"/>
      <c r="CF227" s="392"/>
      <c r="CG227" s="392"/>
      <c r="CH227" s="392"/>
      <c r="CI227" s="392"/>
      <c r="CJ227" s="392"/>
      <c r="CK227" s="392"/>
      <c r="CL227" s="392"/>
      <c r="CM227" s="392"/>
      <c r="CN227" s="392"/>
      <c r="CO227" s="392"/>
      <c r="CP227" s="392"/>
      <c r="CQ227" s="392"/>
      <c r="CR227" s="392"/>
      <c r="CS227" s="392"/>
      <c r="CT227" s="392"/>
      <c r="CU227" s="392"/>
      <c r="CV227" s="392"/>
      <c r="CW227" s="392"/>
      <c r="CX227" s="392"/>
      <c r="CY227" s="392"/>
      <c r="CZ227" s="392"/>
      <c r="DA227" s="392"/>
    </row>
    <row r="228" spans="1:105" s="393" customFormat="1" ht="15" hidden="1" thickBot="1" x14ac:dyDescent="0.35">
      <c r="A228" s="420" t="s">
        <v>1411</v>
      </c>
      <c r="B228" s="420"/>
      <c r="C228" s="420"/>
      <c r="D228" s="420"/>
      <c r="E228" s="420"/>
      <c r="F228" s="427"/>
      <c r="G228" s="426"/>
      <c r="H228" s="427"/>
      <c r="I228" s="428"/>
      <c r="J228" s="428"/>
      <c r="K228" s="412"/>
      <c r="L228" s="412"/>
      <c r="M228" s="391"/>
      <c r="N228" s="391"/>
      <c r="O228" s="392"/>
      <c r="P228" s="392"/>
      <c r="Q228" s="392"/>
      <c r="R228" s="392"/>
      <c r="S228" s="392"/>
      <c r="T228" s="392"/>
      <c r="U228" s="392"/>
      <c r="V228" s="392"/>
      <c r="W228" s="392"/>
      <c r="X228" s="392"/>
      <c r="Y228" s="392"/>
      <c r="Z228" s="392"/>
      <c r="AA228" s="406"/>
      <c r="AB228" s="406"/>
      <c r="AC228" s="392"/>
      <c r="AD228" s="392"/>
      <c r="AE228" s="392"/>
      <c r="AF228" s="392"/>
      <c r="AG228" s="392"/>
      <c r="AH228" s="392"/>
      <c r="AI228" s="392"/>
      <c r="AJ228" s="392"/>
      <c r="AK228" s="392"/>
      <c r="AL228" s="392"/>
      <c r="AM228" s="392"/>
      <c r="AN228" s="392"/>
      <c r="AO228" s="392"/>
      <c r="AP228" s="392"/>
      <c r="AQ228" s="392"/>
      <c r="AR228" s="392"/>
      <c r="AS228" s="392"/>
      <c r="AT228" s="392"/>
      <c r="AU228" s="392"/>
      <c r="AV228" s="392"/>
      <c r="AW228" s="392"/>
      <c r="AX228" s="392"/>
      <c r="AY228" s="392"/>
      <c r="AZ228" s="392"/>
      <c r="BA228" s="392"/>
      <c r="BB228" s="392"/>
      <c r="BC228" s="392"/>
      <c r="BD228" s="392"/>
      <c r="BE228" s="392"/>
      <c r="BF228" s="392"/>
      <c r="BG228" s="392"/>
      <c r="BH228" s="392"/>
      <c r="BI228" s="392"/>
      <c r="BJ228" s="392"/>
      <c r="BK228" s="392"/>
      <c r="BL228" s="392"/>
      <c r="BM228" s="392"/>
      <c r="BN228" s="392"/>
      <c r="BO228" s="392"/>
      <c r="BP228" s="392"/>
      <c r="BQ228" s="392"/>
      <c r="BR228" s="392"/>
      <c r="BS228" s="392"/>
      <c r="BT228" s="392"/>
      <c r="BU228" s="392"/>
      <c r="BV228" s="392"/>
      <c r="BW228" s="392"/>
      <c r="BX228" s="392"/>
      <c r="BY228" s="392"/>
      <c r="BZ228" s="392"/>
      <c r="CA228" s="392"/>
      <c r="CB228" s="392"/>
      <c r="CC228" s="392"/>
      <c r="CD228" s="392"/>
      <c r="CE228" s="392"/>
      <c r="CF228" s="392"/>
      <c r="CG228" s="392"/>
      <c r="CH228" s="392"/>
      <c r="CI228" s="392"/>
      <c r="CJ228" s="392"/>
      <c r="CK228" s="392"/>
      <c r="CL228" s="392"/>
      <c r="CM228" s="392"/>
      <c r="CN228" s="392"/>
      <c r="CO228" s="392"/>
      <c r="CP228" s="392"/>
      <c r="CQ228" s="392"/>
      <c r="CR228" s="392"/>
      <c r="CS228" s="392"/>
      <c r="CT228" s="392"/>
      <c r="CU228" s="392"/>
      <c r="CV228" s="392"/>
      <c r="CW228" s="392"/>
      <c r="CX228" s="392"/>
      <c r="CY228" s="392"/>
      <c r="CZ228" s="392"/>
      <c r="DA228" s="392"/>
    </row>
    <row r="229" spans="1:105" s="393" customFormat="1" ht="15" hidden="1" thickBot="1" x14ac:dyDescent="0.35">
      <c r="A229" s="420" t="s">
        <v>1412</v>
      </c>
      <c r="B229" s="420"/>
      <c r="C229" s="420"/>
      <c r="D229" s="420"/>
      <c r="E229" s="420"/>
      <c r="F229" s="427"/>
      <c r="G229" s="426"/>
      <c r="H229" s="427"/>
      <c r="I229" s="428"/>
      <c r="J229" s="428"/>
      <c r="K229" s="412"/>
      <c r="L229" s="412"/>
      <c r="M229" s="391"/>
      <c r="N229" s="391"/>
      <c r="O229" s="392"/>
      <c r="P229" s="392"/>
      <c r="Q229" s="392"/>
      <c r="R229" s="392"/>
      <c r="S229" s="392"/>
      <c r="T229" s="392"/>
      <c r="U229" s="392"/>
      <c r="V229" s="392"/>
      <c r="W229" s="392"/>
      <c r="X229" s="392"/>
      <c r="Y229" s="392"/>
      <c r="Z229" s="392"/>
      <c r="AA229" s="406"/>
      <c r="AB229" s="406"/>
      <c r="AC229" s="392"/>
      <c r="AD229" s="392"/>
      <c r="AE229" s="392"/>
      <c r="AF229" s="392"/>
      <c r="AG229" s="392"/>
      <c r="AH229" s="392"/>
      <c r="AI229" s="392"/>
      <c r="AJ229" s="392"/>
      <c r="AK229" s="392"/>
      <c r="AL229" s="392"/>
      <c r="AM229" s="392"/>
      <c r="AN229" s="392"/>
      <c r="AO229" s="392"/>
      <c r="AP229" s="392"/>
      <c r="AQ229" s="392"/>
      <c r="AR229" s="392"/>
      <c r="AS229" s="392"/>
      <c r="AT229" s="392"/>
      <c r="AU229" s="392"/>
      <c r="AV229" s="392"/>
      <c r="AW229" s="392"/>
      <c r="AX229" s="392"/>
      <c r="AY229" s="392"/>
      <c r="AZ229" s="392"/>
      <c r="BA229" s="392"/>
      <c r="BB229" s="392"/>
      <c r="BC229" s="392"/>
      <c r="BD229" s="392"/>
      <c r="BE229" s="392"/>
      <c r="BF229" s="392"/>
      <c r="BG229" s="392"/>
      <c r="BH229" s="392"/>
      <c r="BI229" s="392"/>
      <c r="BJ229" s="392"/>
      <c r="BK229" s="392"/>
      <c r="BL229" s="392"/>
      <c r="BM229" s="392"/>
      <c r="BN229" s="392"/>
      <c r="BO229" s="392"/>
      <c r="BP229" s="392"/>
      <c r="BQ229" s="392"/>
      <c r="BR229" s="392"/>
      <c r="BS229" s="392"/>
      <c r="BT229" s="392"/>
      <c r="BU229" s="392"/>
      <c r="BV229" s="392"/>
      <c r="BW229" s="392"/>
      <c r="BX229" s="392"/>
      <c r="BY229" s="392"/>
      <c r="BZ229" s="392"/>
      <c r="CA229" s="392"/>
      <c r="CB229" s="392"/>
      <c r="CC229" s="392"/>
      <c r="CD229" s="392"/>
      <c r="CE229" s="392"/>
      <c r="CF229" s="392"/>
      <c r="CG229" s="392"/>
      <c r="CH229" s="392"/>
      <c r="CI229" s="392"/>
      <c r="CJ229" s="392"/>
      <c r="CK229" s="392"/>
      <c r="CL229" s="392"/>
      <c r="CM229" s="392"/>
      <c r="CN229" s="392"/>
      <c r="CO229" s="392"/>
      <c r="CP229" s="392"/>
      <c r="CQ229" s="392"/>
      <c r="CR229" s="392"/>
      <c r="CS229" s="392"/>
      <c r="CT229" s="392"/>
      <c r="CU229" s="392"/>
      <c r="CV229" s="392"/>
      <c r="CW229" s="392"/>
      <c r="CX229" s="392"/>
      <c r="CY229" s="392"/>
      <c r="CZ229" s="392"/>
      <c r="DA229" s="392"/>
    </row>
    <row r="230" spans="1:105" s="393" customFormat="1" ht="15" hidden="1" thickBot="1" x14ac:dyDescent="0.35">
      <c r="A230" s="420" t="s">
        <v>1413</v>
      </c>
      <c r="B230" s="420"/>
      <c r="C230" s="420"/>
      <c r="D230" s="420"/>
      <c r="E230" s="420"/>
      <c r="F230" s="427"/>
      <c r="G230" s="426"/>
      <c r="H230" s="427"/>
      <c r="I230" s="428"/>
      <c r="J230" s="428"/>
      <c r="K230" s="412"/>
      <c r="L230" s="412"/>
      <c r="M230" s="391"/>
      <c r="N230" s="391"/>
      <c r="O230" s="392"/>
      <c r="P230" s="392"/>
      <c r="Q230" s="392"/>
      <c r="R230" s="392"/>
      <c r="S230" s="392"/>
      <c r="T230" s="392"/>
      <c r="U230" s="392"/>
      <c r="V230" s="392"/>
      <c r="W230" s="392"/>
      <c r="X230" s="392"/>
      <c r="Y230" s="392"/>
      <c r="Z230" s="392"/>
      <c r="AA230" s="406"/>
      <c r="AB230" s="406"/>
      <c r="AC230" s="392"/>
      <c r="AD230" s="392"/>
      <c r="AE230" s="392"/>
      <c r="AF230" s="392"/>
      <c r="AG230" s="392"/>
      <c r="AH230" s="392"/>
      <c r="AI230" s="392"/>
      <c r="AJ230" s="392"/>
      <c r="AK230" s="392"/>
      <c r="AL230" s="392"/>
      <c r="AM230" s="392"/>
      <c r="AN230" s="392"/>
      <c r="AO230" s="392"/>
      <c r="AP230" s="392"/>
      <c r="AQ230" s="392"/>
      <c r="AR230" s="392"/>
      <c r="AS230" s="392"/>
      <c r="AT230" s="392"/>
      <c r="AU230" s="392"/>
      <c r="AV230" s="392"/>
      <c r="AW230" s="392"/>
      <c r="AX230" s="392"/>
      <c r="AY230" s="392"/>
      <c r="AZ230" s="392"/>
      <c r="BA230" s="392"/>
      <c r="BB230" s="392"/>
      <c r="BC230" s="392"/>
      <c r="BD230" s="392"/>
      <c r="BE230" s="392"/>
      <c r="BF230" s="392"/>
      <c r="BG230" s="392"/>
      <c r="BH230" s="392"/>
      <c r="BI230" s="392"/>
      <c r="BJ230" s="392"/>
      <c r="BK230" s="392"/>
      <c r="BL230" s="392"/>
      <c r="BM230" s="392"/>
      <c r="BN230" s="392"/>
      <c r="BO230" s="392"/>
      <c r="BP230" s="392"/>
      <c r="BQ230" s="392"/>
      <c r="BR230" s="392"/>
      <c r="BS230" s="392"/>
      <c r="BT230" s="392"/>
      <c r="BU230" s="392"/>
      <c r="BV230" s="392"/>
      <c r="BW230" s="392"/>
      <c r="BX230" s="392"/>
      <c r="BY230" s="392"/>
      <c r="BZ230" s="392"/>
      <c r="CA230" s="392"/>
      <c r="CB230" s="392"/>
      <c r="CC230" s="392"/>
      <c r="CD230" s="392"/>
      <c r="CE230" s="392"/>
      <c r="CF230" s="392"/>
      <c r="CG230" s="392"/>
      <c r="CH230" s="392"/>
      <c r="CI230" s="392"/>
      <c r="CJ230" s="392"/>
      <c r="CK230" s="392"/>
      <c r="CL230" s="392"/>
      <c r="CM230" s="392"/>
      <c r="CN230" s="392"/>
      <c r="CO230" s="392"/>
      <c r="CP230" s="392"/>
      <c r="CQ230" s="392"/>
      <c r="CR230" s="392"/>
      <c r="CS230" s="392"/>
      <c r="CT230" s="392"/>
      <c r="CU230" s="392"/>
      <c r="CV230" s="392"/>
      <c r="CW230" s="392"/>
      <c r="CX230" s="392"/>
      <c r="CY230" s="392"/>
      <c r="CZ230" s="392"/>
      <c r="DA230" s="392"/>
    </row>
    <row r="231" spans="1:105" s="393" customFormat="1" ht="15" hidden="1" thickBot="1" x14ac:dyDescent="0.35">
      <c r="A231" s="420" t="s">
        <v>1414</v>
      </c>
      <c r="B231" s="420"/>
      <c r="C231" s="420"/>
      <c r="D231" s="420"/>
      <c r="E231" s="420"/>
      <c r="F231" s="427"/>
      <c r="G231" s="426"/>
      <c r="H231" s="427"/>
      <c r="I231" s="428"/>
      <c r="J231" s="428"/>
      <c r="K231" s="412"/>
      <c r="L231" s="412"/>
      <c r="M231" s="391"/>
      <c r="N231" s="391"/>
      <c r="O231" s="392"/>
      <c r="P231" s="392"/>
      <c r="Q231" s="392"/>
      <c r="R231" s="392"/>
      <c r="S231" s="392"/>
      <c r="T231" s="392"/>
      <c r="U231" s="392"/>
      <c r="V231" s="392"/>
      <c r="W231" s="392"/>
      <c r="X231" s="392"/>
      <c r="Y231" s="392"/>
      <c r="Z231" s="392"/>
      <c r="AA231" s="406"/>
      <c r="AB231" s="406"/>
      <c r="AC231" s="392"/>
      <c r="AD231" s="392"/>
      <c r="AE231" s="392"/>
      <c r="AF231" s="392"/>
      <c r="AG231" s="392"/>
      <c r="AH231" s="392"/>
      <c r="AI231" s="392"/>
      <c r="AJ231" s="392"/>
      <c r="AK231" s="392"/>
      <c r="AL231" s="392"/>
      <c r="AM231" s="392"/>
      <c r="AN231" s="392"/>
      <c r="AO231" s="392"/>
      <c r="AP231" s="392"/>
      <c r="AQ231" s="392"/>
      <c r="AR231" s="392"/>
      <c r="AS231" s="392"/>
      <c r="AT231" s="392"/>
      <c r="AU231" s="392"/>
      <c r="AV231" s="392"/>
      <c r="AW231" s="392"/>
      <c r="AX231" s="392"/>
      <c r="AY231" s="392"/>
      <c r="AZ231" s="392"/>
      <c r="BA231" s="392"/>
      <c r="BB231" s="392"/>
      <c r="BC231" s="392"/>
      <c r="BD231" s="392"/>
      <c r="BE231" s="392"/>
      <c r="BF231" s="392"/>
      <c r="BG231" s="392"/>
      <c r="BH231" s="392"/>
      <c r="BI231" s="392"/>
      <c r="BJ231" s="392"/>
      <c r="BK231" s="392"/>
      <c r="BL231" s="392"/>
      <c r="BM231" s="392"/>
      <c r="BN231" s="392"/>
      <c r="BO231" s="392"/>
      <c r="BP231" s="392"/>
      <c r="BQ231" s="392"/>
      <c r="BR231" s="392"/>
      <c r="BS231" s="392"/>
      <c r="BT231" s="392"/>
      <c r="BU231" s="392"/>
      <c r="BV231" s="392"/>
      <c r="BW231" s="392"/>
      <c r="BX231" s="392"/>
      <c r="BY231" s="392"/>
      <c r="BZ231" s="392"/>
      <c r="CA231" s="392"/>
      <c r="CB231" s="392"/>
      <c r="CC231" s="392"/>
      <c r="CD231" s="392"/>
      <c r="CE231" s="392"/>
      <c r="CF231" s="392"/>
      <c r="CG231" s="392"/>
      <c r="CH231" s="392"/>
      <c r="CI231" s="392"/>
      <c r="CJ231" s="392"/>
      <c r="CK231" s="392"/>
      <c r="CL231" s="392"/>
      <c r="CM231" s="392"/>
      <c r="CN231" s="392"/>
      <c r="CO231" s="392"/>
      <c r="CP231" s="392"/>
      <c r="CQ231" s="392"/>
      <c r="CR231" s="392"/>
      <c r="CS231" s="392"/>
      <c r="CT231" s="392"/>
      <c r="CU231" s="392"/>
      <c r="CV231" s="392"/>
      <c r="CW231" s="392"/>
      <c r="CX231" s="392"/>
      <c r="CY231" s="392"/>
      <c r="CZ231" s="392"/>
      <c r="DA231" s="392"/>
    </row>
    <row r="232" spans="1:105" s="393" customFormat="1" ht="15" hidden="1" thickBot="1" x14ac:dyDescent="0.35">
      <c r="A232" s="420" t="s">
        <v>1415</v>
      </c>
      <c r="B232" s="420"/>
      <c r="C232" s="420"/>
      <c r="D232" s="420"/>
      <c r="E232" s="420"/>
      <c r="F232" s="427"/>
      <c r="G232" s="426"/>
      <c r="H232" s="427"/>
      <c r="I232" s="428"/>
      <c r="J232" s="428"/>
      <c r="K232" s="412"/>
      <c r="L232" s="412"/>
      <c r="M232" s="391"/>
      <c r="N232" s="391"/>
      <c r="O232" s="392"/>
      <c r="P232" s="392"/>
      <c r="Q232" s="392"/>
      <c r="R232" s="392"/>
      <c r="S232" s="392"/>
      <c r="T232" s="392"/>
      <c r="U232" s="392"/>
      <c r="V232" s="392"/>
      <c r="W232" s="392"/>
      <c r="X232" s="392"/>
      <c r="Y232" s="392"/>
      <c r="Z232" s="392"/>
      <c r="AA232" s="406"/>
      <c r="AB232" s="406"/>
      <c r="AC232" s="392"/>
      <c r="AD232" s="392"/>
      <c r="AE232" s="392"/>
      <c r="AF232" s="392"/>
      <c r="AG232" s="392"/>
      <c r="AH232" s="392"/>
      <c r="AI232" s="392"/>
      <c r="AJ232" s="392"/>
      <c r="AK232" s="392"/>
      <c r="AL232" s="392"/>
      <c r="AM232" s="392"/>
      <c r="AN232" s="392"/>
      <c r="AO232" s="392"/>
      <c r="AP232" s="392"/>
      <c r="AQ232" s="392"/>
      <c r="AR232" s="392"/>
      <c r="AS232" s="392"/>
      <c r="AT232" s="392"/>
      <c r="AU232" s="392"/>
      <c r="AV232" s="392"/>
      <c r="AW232" s="392"/>
      <c r="AX232" s="392"/>
      <c r="AY232" s="392"/>
      <c r="AZ232" s="392"/>
      <c r="BA232" s="392"/>
      <c r="BB232" s="392"/>
      <c r="BC232" s="392"/>
      <c r="BD232" s="392"/>
      <c r="BE232" s="392"/>
      <c r="BF232" s="392"/>
      <c r="BG232" s="392"/>
      <c r="BH232" s="392"/>
      <c r="BI232" s="392"/>
      <c r="BJ232" s="392"/>
      <c r="BK232" s="392"/>
      <c r="BL232" s="392"/>
      <c r="BM232" s="392"/>
      <c r="BN232" s="392"/>
      <c r="BO232" s="392"/>
      <c r="BP232" s="392"/>
      <c r="BQ232" s="392"/>
      <c r="BR232" s="392"/>
      <c r="BS232" s="392"/>
      <c r="BT232" s="392"/>
      <c r="BU232" s="392"/>
      <c r="BV232" s="392"/>
      <c r="BW232" s="392"/>
      <c r="BX232" s="392"/>
      <c r="BY232" s="392"/>
      <c r="BZ232" s="392"/>
      <c r="CA232" s="392"/>
      <c r="CB232" s="392"/>
      <c r="CC232" s="392"/>
      <c r="CD232" s="392"/>
      <c r="CE232" s="392"/>
      <c r="CF232" s="392"/>
      <c r="CG232" s="392"/>
      <c r="CH232" s="392"/>
      <c r="CI232" s="392"/>
      <c r="CJ232" s="392"/>
      <c r="CK232" s="392"/>
      <c r="CL232" s="392"/>
      <c r="CM232" s="392"/>
      <c r="CN232" s="392"/>
      <c r="CO232" s="392"/>
      <c r="CP232" s="392"/>
      <c r="CQ232" s="392"/>
      <c r="CR232" s="392"/>
      <c r="CS232" s="392"/>
      <c r="CT232" s="392"/>
      <c r="CU232" s="392"/>
      <c r="CV232" s="392"/>
      <c r="CW232" s="392"/>
      <c r="CX232" s="392"/>
      <c r="CY232" s="392"/>
      <c r="CZ232" s="392"/>
      <c r="DA232" s="392"/>
    </row>
    <row r="233" spans="1:105" s="393" customFormat="1" ht="15" hidden="1" thickBot="1" x14ac:dyDescent="0.35">
      <c r="A233" s="420" t="s">
        <v>1416</v>
      </c>
      <c r="B233" s="420"/>
      <c r="C233" s="420"/>
      <c r="D233" s="420"/>
      <c r="E233" s="420"/>
      <c r="F233" s="427"/>
      <c r="G233" s="426"/>
      <c r="H233" s="427"/>
      <c r="I233" s="428"/>
      <c r="J233" s="428"/>
      <c r="K233" s="412"/>
      <c r="L233" s="412"/>
      <c r="M233" s="391"/>
      <c r="N233" s="391"/>
      <c r="O233" s="392"/>
      <c r="P233" s="392"/>
      <c r="Q233" s="392"/>
      <c r="R233" s="392"/>
      <c r="S233" s="392"/>
      <c r="T233" s="392"/>
      <c r="U233" s="392"/>
      <c r="V233" s="392"/>
      <c r="W233" s="392"/>
      <c r="X233" s="392"/>
      <c r="Y233" s="392"/>
      <c r="Z233" s="392"/>
      <c r="AA233" s="406"/>
      <c r="AB233" s="406"/>
      <c r="AC233" s="392"/>
      <c r="AD233" s="392"/>
      <c r="AE233" s="392"/>
      <c r="AF233" s="392"/>
      <c r="AG233" s="392"/>
      <c r="AH233" s="392"/>
      <c r="AI233" s="392"/>
      <c r="AJ233" s="392"/>
      <c r="AK233" s="392"/>
      <c r="AL233" s="392"/>
      <c r="AM233" s="392"/>
      <c r="AN233" s="392"/>
      <c r="AO233" s="392"/>
      <c r="AP233" s="392"/>
      <c r="AQ233" s="392"/>
      <c r="AR233" s="392"/>
      <c r="AS233" s="392"/>
      <c r="AT233" s="392"/>
      <c r="AU233" s="392"/>
      <c r="AV233" s="392"/>
      <c r="AW233" s="392"/>
      <c r="AX233" s="392"/>
      <c r="AY233" s="392"/>
      <c r="AZ233" s="392"/>
      <c r="BA233" s="392"/>
      <c r="BB233" s="392"/>
      <c r="BC233" s="392"/>
      <c r="BD233" s="392"/>
      <c r="BE233" s="392"/>
      <c r="BF233" s="392"/>
      <c r="BG233" s="392"/>
      <c r="BH233" s="392"/>
      <c r="BI233" s="392"/>
      <c r="BJ233" s="392"/>
      <c r="BK233" s="392"/>
      <c r="BL233" s="392"/>
      <c r="BM233" s="392"/>
      <c r="BN233" s="392"/>
      <c r="BO233" s="392"/>
      <c r="BP233" s="392"/>
      <c r="BQ233" s="392"/>
      <c r="BR233" s="392"/>
      <c r="BS233" s="392"/>
      <c r="BT233" s="392"/>
      <c r="BU233" s="392"/>
      <c r="BV233" s="392"/>
      <c r="BW233" s="392"/>
      <c r="BX233" s="392"/>
      <c r="BY233" s="392"/>
      <c r="BZ233" s="392"/>
      <c r="CA233" s="392"/>
      <c r="CB233" s="392"/>
      <c r="CC233" s="392"/>
      <c r="CD233" s="392"/>
      <c r="CE233" s="392"/>
      <c r="CF233" s="392"/>
      <c r="CG233" s="392"/>
      <c r="CH233" s="392"/>
      <c r="CI233" s="392"/>
      <c r="CJ233" s="392"/>
      <c r="CK233" s="392"/>
      <c r="CL233" s="392"/>
      <c r="CM233" s="392"/>
      <c r="CN233" s="392"/>
      <c r="CO233" s="392"/>
      <c r="CP233" s="392"/>
      <c r="CQ233" s="392"/>
      <c r="CR233" s="392"/>
      <c r="CS233" s="392"/>
      <c r="CT233" s="392"/>
      <c r="CU233" s="392"/>
      <c r="CV233" s="392"/>
      <c r="CW233" s="392"/>
      <c r="CX233" s="392"/>
      <c r="CY233" s="392"/>
      <c r="CZ233" s="392"/>
      <c r="DA233" s="392"/>
    </row>
    <row r="234" spans="1:105" s="393" customFormat="1" ht="15" outlineLevel="2" thickBot="1" x14ac:dyDescent="0.35">
      <c r="A234" s="127" t="s">
        <v>1154</v>
      </c>
      <c r="B234" s="414"/>
      <c r="C234" s="414"/>
      <c r="D234" s="414"/>
      <c r="E234" s="414"/>
      <c r="F234" s="415"/>
      <c r="G234" s="416"/>
      <c r="H234" s="475"/>
      <c r="I234" s="417"/>
      <c r="J234" s="418"/>
      <c r="K234" s="419"/>
      <c r="L234" s="419"/>
      <c r="M234" s="391"/>
      <c r="N234" s="391"/>
      <c r="O234" s="392"/>
      <c r="P234" s="392"/>
      <c r="Q234" s="392"/>
      <c r="R234" s="392"/>
      <c r="S234" s="392"/>
      <c r="T234" s="392"/>
      <c r="U234" s="392"/>
      <c r="V234" s="392"/>
      <c r="W234" s="392"/>
      <c r="X234" s="392"/>
      <c r="Y234" s="392"/>
      <c r="Z234" s="392"/>
      <c r="AA234" s="406"/>
      <c r="AB234" s="406"/>
      <c r="AC234" s="392"/>
      <c r="AD234" s="392"/>
      <c r="AE234" s="392"/>
      <c r="AF234" s="392"/>
      <c r="AG234" s="392"/>
      <c r="AH234" s="392"/>
      <c r="AI234" s="392"/>
      <c r="AJ234" s="392"/>
      <c r="AK234" s="392"/>
      <c r="AL234" s="392"/>
      <c r="AM234" s="392"/>
      <c r="AN234" s="392"/>
      <c r="AO234" s="392"/>
      <c r="AP234" s="392"/>
      <c r="AQ234" s="392"/>
      <c r="AR234" s="392"/>
      <c r="AS234" s="392"/>
      <c r="AT234" s="392"/>
      <c r="AU234" s="392"/>
      <c r="AV234" s="392"/>
      <c r="AW234" s="392"/>
      <c r="AX234" s="392"/>
      <c r="AY234" s="392"/>
      <c r="AZ234" s="392"/>
      <c r="BA234" s="392"/>
      <c r="BB234" s="392"/>
      <c r="BC234" s="392"/>
      <c r="BD234" s="392"/>
      <c r="BE234" s="392"/>
      <c r="BF234" s="392"/>
      <c r="BG234" s="392"/>
      <c r="BH234" s="392"/>
      <c r="BI234" s="392"/>
      <c r="BJ234" s="392"/>
      <c r="BK234" s="392"/>
      <c r="BL234" s="392"/>
      <c r="BM234" s="392"/>
      <c r="BN234" s="392"/>
      <c r="BO234" s="392"/>
      <c r="BP234" s="392"/>
      <c r="BQ234" s="392"/>
      <c r="BR234" s="392"/>
      <c r="BS234" s="392"/>
      <c r="BT234" s="392"/>
      <c r="BU234" s="392"/>
      <c r="BV234" s="392"/>
      <c r="BW234" s="392"/>
      <c r="BX234" s="392"/>
      <c r="BY234" s="392"/>
      <c r="BZ234" s="392"/>
      <c r="CA234" s="392"/>
      <c r="CB234" s="392"/>
      <c r="CC234" s="392"/>
      <c r="CD234" s="392"/>
      <c r="CE234" s="392"/>
      <c r="CF234" s="392"/>
      <c r="CG234" s="392"/>
      <c r="CH234" s="392"/>
      <c r="CI234" s="392"/>
      <c r="CJ234" s="392"/>
      <c r="CK234" s="392"/>
      <c r="CL234" s="392"/>
      <c r="CM234" s="392"/>
      <c r="CN234" s="392"/>
      <c r="CO234" s="392"/>
      <c r="CP234" s="392"/>
      <c r="CQ234" s="392"/>
      <c r="CR234" s="392"/>
      <c r="CS234" s="392"/>
      <c r="CT234" s="392"/>
      <c r="CU234" s="392"/>
      <c r="CV234" s="392"/>
      <c r="CW234" s="392"/>
      <c r="CX234" s="392"/>
      <c r="CY234" s="392"/>
      <c r="CZ234" s="392"/>
      <c r="DA234" s="392"/>
    </row>
    <row r="235" spans="1:105" s="393" customFormat="1" ht="15" outlineLevel="2" thickBot="1" x14ac:dyDescent="0.35">
      <c r="A235" s="420"/>
      <c r="B235" s="420" t="s">
        <v>1155</v>
      </c>
      <c r="C235" s="420"/>
      <c r="D235" s="420"/>
      <c r="E235" s="420"/>
      <c r="F235" s="427" t="s">
        <v>901</v>
      </c>
      <c r="G235" s="426"/>
      <c r="H235" s="427"/>
      <c r="I235" s="428"/>
      <c r="J235" s="428"/>
      <c r="K235" s="419"/>
      <c r="L235" s="419"/>
      <c r="M235" s="391"/>
      <c r="N235" s="391"/>
      <c r="O235" s="392"/>
      <c r="P235" s="392"/>
      <c r="Q235" s="392"/>
      <c r="R235" s="392"/>
      <c r="S235" s="392"/>
      <c r="T235" s="392"/>
      <c r="U235" s="392"/>
      <c r="V235" s="392"/>
      <c r="W235" s="392"/>
      <c r="X235" s="392"/>
      <c r="Y235" s="392"/>
      <c r="Z235" s="392"/>
      <c r="AA235" s="406"/>
      <c r="AB235" s="406"/>
      <c r="AC235" s="392"/>
      <c r="AD235" s="392"/>
      <c r="AE235" s="392"/>
      <c r="AF235" s="392"/>
      <c r="AG235" s="392"/>
      <c r="AH235" s="392"/>
      <c r="AI235" s="392"/>
      <c r="AJ235" s="392"/>
      <c r="AK235" s="392"/>
      <c r="AL235" s="392"/>
      <c r="AM235" s="392"/>
      <c r="AN235" s="392"/>
      <c r="AO235" s="392"/>
      <c r="AP235" s="392"/>
      <c r="AQ235" s="392"/>
      <c r="AR235" s="392"/>
      <c r="AS235" s="392"/>
      <c r="AT235" s="392"/>
      <c r="AU235" s="392"/>
      <c r="AV235" s="392"/>
      <c r="AW235" s="392"/>
      <c r="AX235" s="392"/>
      <c r="AY235" s="392"/>
      <c r="AZ235" s="392"/>
      <c r="BA235" s="392"/>
      <c r="BB235" s="392"/>
      <c r="BC235" s="392"/>
      <c r="BD235" s="392"/>
      <c r="BE235" s="392"/>
      <c r="BF235" s="392"/>
      <c r="BG235" s="392"/>
      <c r="BH235" s="392"/>
      <c r="BI235" s="392"/>
      <c r="BJ235" s="392"/>
      <c r="BK235" s="392"/>
      <c r="BL235" s="392"/>
      <c r="BM235" s="392"/>
      <c r="BN235" s="392"/>
      <c r="BO235" s="392"/>
      <c r="BP235" s="392"/>
      <c r="BQ235" s="392"/>
      <c r="BR235" s="392"/>
      <c r="BS235" s="392"/>
      <c r="BT235" s="392"/>
      <c r="BU235" s="392"/>
      <c r="BV235" s="392"/>
      <c r="BW235" s="392"/>
      <c r="BX235" s="392"/>
      <c r="BY235" s="392"/>
      <c r="BZ235" s="392"/>
      <c r="CA235" s="392"/>
      <c r="CB235" s="392"/>
      <c r="CC235" s="392"/>
      <c r="CD235" s="392"/>
      <c r="CE235" s="392"/>
      <c r="CF235" s="392"/>
      <c r="CG235" s="392"/>
      <c r="CH235" s="392"/>
      <c r="CI235" s="392"/>
      <c r="CJ235" s="392"/>
      <c r="CK235" s="392"/>
      <c r="CL235" s="392"/>
      <c r="CM235" s="392"/>
      <c r="CN235" s="392"/>
      <c r="CO235" s="392"/>
      <c r="CP235" s="392"/>
      <c r="CQ235" s="392"/>
      <c r="CR235" s="392"/>
      <c r="CS235" s="392"/>
      <c r="CT235" s="392"/>
      <c r="CU235" s="392"/>
      <c r="CV235" s="392"/>
      <c r="CW235" s="392"/>
      <c r="CX235" s="392"/>
      <c r="CY235" s="392"/>
      <c r="CZ235" s="392"/>
      <c r="DA235" s="392"/>
    </row>
    <row r="236" spans="1:105" s="393" customFormat="1" ht="15" outlineLevel="2" thickBot="1" x14ac:dyDescent="0.35">
      <c r="A236" s="420"/>
      <c r="B236" s="420" t="s">
        <v>1156</v>
      </c>
      <c r="C236" s="420"/>
      <c r="D236" s="420"/>
      <c r="E236" s="420"/>
      <c r="F236" s="427" t="s">
        <v>901</v>
      </c>
      <c r="G236" s="426"/>
      <c r="H236" s="427"/>
      <c r="I236" s="428"/>
      <c r="J236" s="428"/>
      <c r="K236" s="419"/>
      <c r="L236" s="419"/>
      <c r="M236" s="391"/>
      <c r="N236" s="391"/>
      <c r="O236" s="392"/>
      <c r="P236" s="392"/>
      <c r="Q236" s="392"/>
      <c r="R236" s="392"/>
      <c r="S236" s="392"/>
      <c r="T236" s="392"/>
      <c r="U236" s="392"/>
      <c r="V236" s="392"/>
      <c r="W236" s="392"/>
      <c r="X236" s="392"/>
      <c r="Y236" s="392"/>
      <c r="Z236" s="392"/>
      <c r="AA236" s="406"/>
      <c r="AB236" s="406"/>
      <c r="AC236" s="392"/>
      <c r="AD236" s="392"/>
      <c r="AE236" s="392"/>
      <c r="AF236" s="392"/>
      <c r="AG236" s="392"/>
      <c r="AH236" s="392"/>
      <c r="AI236" s="392"/>
      <c r="AJ236" s="392"/>
      <c r="AK236" s="392"/>
      <c r="AL236" s="392"/>
      <c r="AM236" s="392"/>
      <c r="AN236" s="392"/>
      <c r="AO236" s="392"/>
      <c r="AP236" s="392"/>
      <c r="AQ236" s="392"/>
      <c r="AR236" s="392"/>
      <c r="AS236" s="392"/>
      <c r="AT236" s="392"/>
      <c r="AU236" s="392"/>
      <c r="AV236" s="392"/>
      <c r="AW236" s="392"/>
      <c r="AX236" s="392"/>
      <c r="AY236" s="392"/>
      <c r="AZ236" s="392"/>
      <c r="BA236" s="392"/>
      <c r="BB236" s="392"/>
      <c r="BC236" s="392"/>
      <c r="BD236" s="392"/>
      <c r="BE236" s="392"/>
      <c r="BF236" s="392"/>
      <c r="BG236" s="392"/>
      <c r="BH236" s="392"/>
      <c r="BI236" s="392"/>
      <c r="BJ236" s="392"/>
      <c r="BK236" s="392"/>
      <c r="BL236" s="392"/>
      <c r="BM236" s="392"/>
      <c r="BN236" s="392"/>
      <c r="BO236" s="392"/>
      <c r="BP236" s="392"/>
      <c r="BQ236" s="392"/>
      <c r="BR236" s="392"/>
      <c r="BS236" s="392"/>
      <c r="BT236" s="392"/>
      <c r="BU236" s="392"/>
      <c r="BV236" s="392"/>
      <c r="BW236" s="392"/>
      <c r="BX236" s="392"/>
      <c r="BY236" s="392"/>
      <c r="BZ236" s="392"/>
      <c r="CA236" s="392"/>
      <c r="CB236" s="392"/>
      <c r="CC236" s="392"/>
      <c r="CD236" s="392"/>
      <c r="CE236" s="392"/>
      <c r="CF236" s="392"/>
      <c r="CG236" s="392"/>
      <c r="CH236" s="392"/>
      <c r="CI236" s="392"/>
      <c r="CJ236" s="392"/>
      <c r="CK236" s="392"/>
      <c r="CL236" s="392"/>
      <c r="CM236" s="392"/>
      <c r="CN236" s="392"/>
      <c r="CO236" s="392"/>
      <c r="CP236" s="392"/>
      <c r="CQ236" s="392"/>
      <c r="CR236" s="392"/>
      <c r="CS236" s="392"/>
      <c r="CT236" s="392"/>
      <c r="CU236" s="392"/>
      <c r="CV236" s="392"/>
      <c r="CW236" s="392"/>
      <c r="CX236" s="392"/>
      <c r="CY236" s="392"/>
      <c r="CZ236" s="392"/>
      <c r="DA236" s="392"/>
    </row>
    <row r="237" spans="1:105" s="393" customFormat="1" ht="15" hidden="1" outlineLevel="1" collapsed="1" thickBot="1" x14ac:dyDescent="0.35">
      <c r="A237" s="120" t="s">
        <v>1002</v>
      </c>
      <c r="B237" s="429"/>
      <c r="C237" s="429"/>
      <c r="D237" s="429"/>
      <c r="E237" s="429"/>
      <c r="F237" s="430"/>
      <c r="G237" s="431"/>
      <c r="H237" s="430"/>
      <c r="I237" s="432"/>
      <c r="J237" s="433"/>
      <c r="K237" s="434"/>
      <c r="L237" s="434"/>
      <c r="M237" s="391"/>
      <c r="N237" s="391"/>
      <c r="O237" s="392"/>
      <c r="P237" s="392"/>
      <c r="Q237" s="392"/>
      <c r="R237" s="392"/>
      <c r="S237" s="392"/>
      <c r="T237" s="392"/>
      <c r="U237" s="392"/>
      <c r="V237" s="392"/>
      <c r="W237" s="392"/>
      <c r="X237" s="392"/>
      <c r="Y237" s="392"/>
      <c r="Z237" s="392"/>
      <c r="AA237" s="406"/>
      <c r="AB237" s="406"/>
      <c r="AC237" s="392"/>
      <c r="AD237" s="392"/>
      <c r="AE237" s="392"/>
      <c r="AF237" s="392"/>
      <c r="AG237" s="392"/>
      <c r="AH237" s="392"/>
      <c r="AI237" s="392"/>
      <c r="AJ237" s="392"/>
      <c r="AK237" s="392"/>
      <c r="AL237" s="392"/>
      <c r="AM237" s="392"/>
      <c r="AN237" s="392"/>
      <c r="AO237" s="392"/>
      <c r="AP237" s="392"/>
      <c r="AQ237" s="392"/>
      <c r="AR237" s="392"/>
      <c r="AS237" s="392"/>
      <c r="AT237" s="392"/>
      <c r="AU237" s="392"/>
      <c r="AV237" s="392"/>
      <c r="AW237" s="392"/>
      <c r="AX237" s="392"/>
      <c r="AY237" s="392"/>
      <c r="AZ237" s="392"/>
      <c r="BA237" s="392"/>
      <c r="BB237" s="392"/>
      <c r="BC237" s="392"/>
      <c r="BD237" s="392"/>
      <c r="BE237" s="392"/>
      <c r="BF237" s="392"/>
      <c r="BG237" s="392"/>
      <c r="BH237" s="392"/>
      <c r="BI237" s="392"/>
      <c r="BJ237" s="392"/>
      <c r="BK237" s="392"/>
      <c r="BL237" s="392"/>
      <c r="BM237" s="392"/>
      <c r="BN237" s="392"/>
      <c r="BO237" s="392"/>
      <c r="BP237" s="392"/>
      <c r="BQ237" s="392"/>
      <c r="BR237" s="392"/>
      <c r="BS237" s="392"/>
      <c r="BT237" s="392"/>
      <c r="BU237" s="392"/>
      <c r="BV237" s="392"/>
      <c r="BW237" s="392"/>
      <c r="BX237" s="392"/>
      <c r="BY237" s="392"/>
      <c r="BZ237" s="392"/>
      <c r="CA237" s="392"/>
      <c r="CB237" s="392"/>
      <c r="CC237" s="392"/>
      <c r="CD237" s="392"/>
      <c r="CE237" s="392"/>
      <c r="CF237" s="392"/>
      <c r="CG237" s="392"/>
      <c r="CH237" s="392"/>
      <c r="CI237" s="392"/>
      <c r="CJ237" s="392"/>
      <c r="CK237" s="392"/>
      <c r="CL237" s="392"/>
      <c r="CM237" s="392"/>
      <c r="CN237" s="392"/>
      <c r="CO237" s="392"/>
      <c r="CP237" s="392"/>
      <c r="CQ237" s="392"/>
      <c r="CR237" s="392"/>
      <c r="CS237" s="392"/>
      <c r="CT237" s="392"/>
      <c r="CU237" s="392"/>
      <c r="CV237" s="392"/>
      <c r="CW237" s="392"/>
      <c r="CX237" s="392"/>
      <c r="CY237" s="392"/>
      <c r="CZ237" s="392"/>
      <c r="DA237" s="392"/>
    </row>
    <row r="238" spans="1:105" s="393" customFormat="1" ht="15" hidden="1" outlineLevel="2" thickBot="1" x14ac:dyDescent="0.35">
      <c r="A238" s="435"/>
      <c r="B238" s="436" t="s">
        <v>993</v>
      </c>
      <c r="C238" s="436"/>
      <c r="D238" s="436"/>
      <c r="E238" s="436"/>
      <c r="F238" s="437"/>
      <c r="G238" s="438">
        <f>AVERAGE(G239:G241)</f>
        <v>0</v>
      </c>
      <c r="H238" s="437">
        <f>NETWORKDAYS(I238,J238)</f>
        <v>0</v>
      </c>
      <c r="I238" s="439"/>
      <c r="J238" s="439"/>
      <c r="K238" s="434"/>
      <c r="L238" s="434"/>
      <c r="M238" s="391"/>
      <c r="N238" s="391"/>
      <c r="O238" s="392"/>
      <c r="P238" s="392"/>
      <c r="Q238" s="392"/>
      <c r="R238" s="392"/>
      <c r="S238" s="392"/>
      <c r="T238" s="392"/>
      <c r="U238" s="392"/>
      <c r="V238" s="392"/>
      <c r="W238" s="392"/>
      <c r="X238" s="392"/>
      <c r="Y238" s="392"/>
      <c r="Z238" s="392"/>
      <c r="AA238" s="406"/>
      <c r="AB238" s="406"/>
      <c r="AC238" s="392"/>
      <c r="AD238" s="392"/>
      <c r="AE238" s="392"/>
      <c r="AF238" s="392"/>
      <c r="AG238" s="392"/>
      <c r="AH238" s="392"/>
      <c r="AI238" s="392"/>
      <c r="AJ238" s="392"/>
      <c r="AK238" s="392"/>
      <c r="AL238" s="392"/>
      <c r="AM238" s="392"/>
      <c r="AN238" s="392"/>
      <c r="AO238" s="392"/>
      <c r="AP238" s="392"/>
      <c r="AQ238" s="392"/>
      <c r="AR238" s="392"/>
      <c r="AS238" s="392"/>
      <c r="AT238" s="392"/>
      <c r="AU238" s="392"/>
      <c r="AV238" s="392"/>
      <c r="AW238" s="392"/>
      <c r="AX238" s="392"/>
      <c r="AY238" s="392"/>
      <c r="AZ238" s="392"/>
      <c r="BA238" s="392"/>
      <c r="BB238" s="392"/>
      <c r="BC238" s="392"/>
      <c r="BD238" s="392"/>
      <c r="BE238" s="392"/>
      <c r="BF238" s="392"/>
      <c r="BG238" s="392"/>
      <c r="BH238" s="392"/>
      <c r="BI238" s="392"/>
      <c r="BJ238" s="392"/>
      <c r="BK238" s="392"/>
      <c r="BL238" s="392"/>
      <c r="BM238" s="392"/>
      <c r="BN238" s="392"/>
      <c r="BO238" s="392"/>
      <c r="BP238" s="392"/>
      <c r="BQ238" s="392"/>
      <c r="BR238" s="392"/>
      <c r="BS238" s="392"/>
      <c r="BT238" s="392"/>
      <c r="BU238" s="392"/>
      <c r="BV238" s="392"/>
      <c r="BW238" s="392"/>
      <c r="BX238" s="392"/>
      <c r="BY238" s="392"/>
      <c r="BZ238" s="392"/>
      <c r="CA238" s="392"/>
      <c r="CB238" s="392"/>
      <c r="CC238" s="392"/>
      <c r="CD238" s="392"/>
      <c r="CE238" s="392"/>
      <c r="CF238" s="392"/>
      <c r="CG238" s="392"/>
      <c r="CH238" s="392"/>
      <c r="CI238" s="392"/>
      <c r="CJ238" s="392"/>
      <c r="CK238" s="392"/>
      <c r="CL238" s="392"/>
      <c r="CM238" s="392"/>
      <c r="CN238" s="392"/>
      <c r="CO238" s="392"/>
      <c r="CP238" s="392"/>
      <c r="CQ238" s="392"/>
      <c r="CR238" s="392"/>
      <c r="CS238" s="392"/>
      <c r="CT238" s="392"/>
      <c r="CU238" s="392"/>
      <c r="CV238" s="392"/>
      <c r="CW238" s="392"/>
      <c r="CX238" s="392"/>
      <c r="CY238" s="392"/>
      <c r="CZ238" s="392"/>
      <c r="DA238" s="392"/>
    </row>
    <row r="239" spans="1:105" s="393" customFormat="1" ht="29.4" hidden="1" outlineLevel="2" thickBot="1" x14ac:dyDescent="0.35">
      <c r="A239" s="435"/>
      <c r="B239" s="440" t="s">
        <v>1003</v>
      </c>
      <c r="C239" s="440"/>
      <c r="D239" s="440"/>
      <c r="E239" s="440"/>
      <c r="F239" s="441"/>
      <c r="G239" s="442">
        <v>0</v>
      </c>
      <c r="H239" s="441">
        <v>10</v>
      </c>
      <c r="I239" s="443"/>
      <c r="J239" s="443"/>
      <c r="K239" s="434"/>
      <c r="L239" s="434"/>
      <c r="M239" s="391"/>
      <c r="N239" s="391"/>
      <c r="O239" s="392"/>
      <c r="P239" s="392"/>
      <c r="Q239" s="392"/>
      <c r="R239" s="392"/>
      <c r="S239" s="392"/>
      <c r="T239" s="392"/>
      <c r="U239" s="392"/>
      <c r="V239" s="392"/>
      <c r="W239" s="392"/>
      <c r="X239" s="392"/>
      <c r="Y239" s="392"/>
      <c r="Z239" s="392"/>
      <c r="AA239" s="406"/>
      <c r="AB239" s="406"/>
      <c r="AC239" s="392"/>
      <c r="AD239" s="392"/>
      <c r="AE239" s="392"/>
      <c r="AF239" s="392"/>
      <c r="AG239" s="392"/>
      <c r="AH239" s="392"/>
      <c r="AI239" s="392"/>
      <c r="AJ239" s="392"/>
      <c r="AK239" s="392"/>
      <c r="AL239" s="392"/>
      <c r="AM239" s="392"/>
      <c r="AN239" s="392"/>
      <c r="AO239" s="392"/>
      <c r="AP239" s="392"/>
      <c r="AQ239" s="392"/>
      <c r="AR239" s="392"/>
      <c r="AS239" s="392"/>
      <c r="AT239" s="392"/>
      <c r="AU239" s="392"/>
      <c r="AV239" s="392"/>
      <c r="AW239" s="392"/>
      <c r="AX239" s="392"/>
      <c r="AY239" s="392"/>
      <c r="AZ239" s="392"/>
      <c r="BA239" s="392"/>
      <c r="BB239" s="392"/>
      <c r="BC239" s="392"/>
      <c r="BD239" s="392"/>
      <c r="BE239" s="392"/>
      <c r="BF239" s="392"/>
      <c r="BG239" s="392"/>
      <c r="BH239" s="392"/>
      <c r="BI239" s="392"/>
      <c r="BJ239" s="392"/>
      <c r="BK239" s="392"/>
      <c r="BL239" s="392"/>
      <c r="BM239" s="392"/>
      <c r="BN239" s="392"/>
      <c r="BO239" s="392"/>
      <c r="BP239" s="392"/>
      <c r="BQ239" s="392"/>
      <c r="BR239" s="392"/>
      <c r="BS239" s="392"/>
      <c r="BT239" s="392"/>
      <c r="BU239" s="392"/>
      <c r="BV239" s="392"/>
      <c r="BW239" s="392"/>
      <c r="BX239" s="392"/>
      <c r="BY239" s="392"/>
      <c r="BZ239" s="392"/>
      <c r="CA239" s="392"/>
      <c r="CB239" s="392"/>
      <c r="CC239" s="392"/>
      <c r="CD239" s="392"/>
      <c r="CE239" s="392"/>
      <c r="CF239" s="392"/>
      <c r="CG239" s="392"/>
      <c r="CH239" s="392"/>
      <c r="CI239" s="392"/>
      <c r="CJ239" s="392"/>
      <c r="CK239" s="392"/>
      <c r="CL239" s="392"/>
      <c r="CM239" s="392"/>
      <c r="CN239" s="392"/>
      <c r="CO239" s="392"/>
      <c r="CP239" s="392"/>
      <c r="CQ239" s="392"/>
      <c r="CR239" s="392"/>
      <c r="CS239" s="392"/>
      <c r="CT239" s="392"/>
      <c r="CU239" s="392"/>
      <c r="CV239" s="392"/>
      <c r="CW239" s="392"/>
      <c r="CX239" s="392"/>
      <c r="CY239" s="392"/>
      <c r="CZ239" s="392"/>
      <c r="DA239" s="392"/>
    </row>
    <row r="240" spans="1:105" s="393" customFormat="1" ht="15" hidden="1" outlineLevel="2" thickBot="1" x14ac:dyDescent="0.35">
      <c r="A240" s="435"/>
      <c r="B240" s="440" t="s">
        <v>1004</v>
      </c>
      <c r="C240" s="440"/>
      <c r="D240" s="440"/>
      <c r="E240" s="440"/>
      <c r="F240" s="441"/>
      <c r="G240" s="442">
        <v>0</v>
      </c>
      <c r="H240" s="441">
        <v>10</v>
      </c>
      <c r="I240" s="443"/>
      <c r="J240" s="443"/>
      <c r="K240" s="434"/>
      <c r="L240" s="434"/>
      <c r="M240" s="391"/>
      <c r="N240" s="391"/>
      <c r="O240" s="392"/>
      <c r="P240" s="392"/>
      <c r="Q240" s="392"/>
      <c r="R240" s="392"/>
      <c r="S240" s="392"/>
      <c r="T240" s="392"/>
      <c r="U240" s="392"/>
      <c r="V240" s="392"/>
      <c r="W240" s="392"/>
      <c r="X240" s="392"/>
      <c r="Y240" s="392"/>
      <c r="Z240" s="392"/>
      <c r="AA240" s="406"/>
      <c r="AB240" s="406"/>
      <c r="AC240" s="392"/>
      <c r="AD240" s="392"/>
      <c r="AE240" s="392"/>
      <c r="AF240" s="392"/>
      <c r="AG240" s="392"/>
      <c r="AH240" s="392"/>
      <c r="AI240" s="392"/>
      <c r="AJ240" s="392"/>
      <c r="AK240" s="392"/>
      <c r="AL240" s="392"/>
      <c r="AM240" s="392"/>
      <c r="AN240" s="392"/>
      <c r="AO240" s="392"/>
      <c r="AP240" s="392"/>
      <c r="AQ240" s="392"/>
      <c r="AR240" s="392"/>
      <c r="AS240" s="392"/>
      <c r="AT240" s="392"/>
      <c r="AU240" s="392"/>
      <c r="AV240" s="392"/>
      <c r="AW240" s="392"/>
      <c r="AX240" s="392"/>
      <c r="AY240" s="392"/>
      <c r="AZ240" s="392"/>
      <c r="BA240" s="392"/>
      <c r="BB240" s="392"/>
      <c r="BC240" s="392"/>
      <c r="BD240" s="392"/>
      <c r="BE240" s="392"/>
      <c r="BF240" s="392"/>
      <c r="BG240" s="392"/>
      <c r="BH240" s="392"/>
      <c r="BI240" s="392"/>
      <c r="BJ240" s="392"/>
      <c r="BK240" s="392"/>
      <c r="BL240" s="392"/>
      <c r="BM240" s="392"/>
      <c r="BN240" s="392"/>
      <c r="BO240" s="392"/>
      <c r="BP240" s="392"/>
      <c r="BQ240" s="392"/>
      <c r="BR240" s="392"/>
      <c r="BS240" s="392"/>
      <c r="BT240" s="392"/>
      <c r="BU240" s="392"/>
      <c r="BV240" s="392"/>
      <c r="BW240" s="392"/>
      <c r="BX240" s="392"/>
      <c r="BY240" s="392"/>
      <c r="BZ240" s="392"/>
      <c r="CA240" s="392"/>
      <c r="CB240" s="392"/>
      <c r="CC240" s="392"/>
      <c r="CD240" s="392"/>
      <c r="CE240" s="392"/>
      <c r="CF240" s="392"/>
      <c r="CG240" s="392"/>
      <c r="CH240" s="392"/>
      <c r="CI240" s="392"/>
      <c r="CJ240" s="392"/>
      <c r="CK240" s="392"/>
      <c r="CL240" s="392"/>
      <c r="CM240" s="392"/>
      <c r="CN240" s="392"/>
      <c r="CO240" s="392"/>
      <c r="CP240" s="392"/>
      <c r="CQ240" s="392"/>
      <c r="CR240" s="392"/>
      <c r="CS240" s="392"/>
      <c r="CT240" s="392"/>
      <c r="CU240" s="392"/>
      <c r="CV240" s="392"/>
      <c r="CW240" s="392"/>
      <c r="CX240" s="392"/>
      <c r="CY240" s="392"/>
      <c r="CZ240" s="392"/>
      <c r="DA240" s="392"/>
    </row>
    <row r="241" spans="1:105" s="393" customFormat="1" ht="15" hidden="1" outlineLevel="2" thickBot="1" x14ac:dyDescent="0.35">
      <c r="A241" s="435"/>
      <c r="B241" s="440" t="s">
        <v>1005</v>
      </c>
      <c r="C241" s="440"/>
      <c r="D241" s="440"/>
      <c r="E241" s="440"/>
      <c r="F241" s="444" t="s">
        <v>1006</v>
      </c>
      <c r="G241" s="442">
        <v>0</v>
      </c>
      <c r="H241" s="441">
        <v>2</v>
      </c>
      <c r="I241" s="443"/>
      <c r="J241" s="443"/>
      <c r="K241" s="434"/>
      <c r="L241" s="434"/>
      <c r="M241" s="391"/>
      <c r="N241" s="391"/>
      <c r="O241" s="392"/>
      <c r="P241" s="392"/>
      <c r="Q241" s="392"/>
      <c r="R241" s="392"/>
      <c r="S241" s="392"/>
      <c r="T241" s="392"/>
      <c r="U241" s="392"/>
      <c r="V241" s="392"/>
      <c r="W241" s="392"/>
      <c r="X241" s="392"/>
      <c r="Y241" s="392"/>
      <c r="Z241" s="392"/>
      <c r="AA241" s="406"/>
      <c r="AB241" s="406"/>
      <c r="AC241" s="392"/>
      <c r="AD241" s="392"/>
      <c r="AE241" s="392"/>
      <c r="AF241" s="392"/>
      <c r="AG241" s="392"/>
      <c r="AH241" s="392"/>
      <c r="AI241" s="392"/>
      <c r="AJ241" s="392"/>
      <c r="AK241" s="392"/>
      <c r="AL241" s="392"/>
      <c r="AM241" s="392"/>
      <c r="AN241" s="392"/>
      <c r="AO241" s="392"/>
      <c r="AP241" s="392"/>
      <c r="AQ241" s="392"/>
      <c r="AR241" s="392"/>
      <c r="AS241" s="392"/>
      <c r="AT241" s="392"/>
      <c r="AU241" s="392"/>
      <c r="AV241" s="392"/>
      <c r="AW241" s="392"/>
      <c r="AX241" s="392"/>
      <c r="AY241" s="392"/>
      <c r="AZ241" s="392"/>
      <c r="BA241" s="392"/>
      <c r="BB241" s="392"/>
      <c r="BC241" s="392"/>
      <c r="BD241" s="392"/>
      <c r="BE241" s="392"/>
      <c r="BF241" s="392"/>
      <c r="BG241" s="392"/>
      <c r="BH241" s="392"/>
      <c r="BI241" s="392"/>
      <c r="BJ241" s="392"/>
      <c r="BK241" s="392"/>
      <c r="BL241" s="392"/>
      <c r="BM241" s="392"/>
      <c r="BN241" s="392"/>
      <c r="BO241" s="392"/>
      <c r="BP241" s="392"/>
      <c r="BQ241" s="392"/>
      <c r="BR241" s="392"/>
      <c r="BS241" s="392"/>
      <c r="BT241" s="392"/>
      <c r="BU241" s="392"/>
      <c r="BV241" s="392"/>
      <c r="BW241" s="392"/>
      <c r="BX241" s="392"/>
      <c r="BY241" s="392"/>
      <c r="BZ241" s="392"/>
      <c r="CA241" s="392"/>
      <c r="CB241" s="392"/>
      <c r="CC241" s="392"/>
      <c r="CD241" s="392"/>
      <c r="CE241" s="392"/>
      <c r="CF241" s="392"/>
      <c r="CG241" s="392"/>
      <c r="CH241" s="392"/>
      <c r="CI241" s="392"/>
      <c r="CJ241" s="392"/>
      <c r="CK241" s="392"/>
      <c r="CL241" s="392"/>
      <c r="CM241" s="392"/>
      <c r="CN241" s="392"/>
      <c r="CO241" s="392"/>
      <c r="CP241" s="392"/>
      <c r="CQ241" s="392"/>
      <c r="CR241" s="392"/>
      <c r="CS241" s="392"/>
      <c r="CT241" s="392"/>
      <c r="CU241" s="392"/>
      <c r="CV241" s="392"/>
      <c r="CW241" s="392"/>
      <c r="CX241" s="392"/>
      <c r="CY241" s="392"/>
      <c r="CZ241" s="392"/>
      <c r="DA241" s="392"/>
    </row>
    <row r="242" spans="1:105" x14ac:dyDescent="0.3">
      <c r="K242" s="446"/>
      <c r="L242" s="446"/>
    </row>
    <row r="243" spans="1:105" x14ac:dyDescent="0.3">
      <c r="G243" s="447"/>
      <c r="J243" s="446"/>
    </row>
    <row r="244" spans="1:105" x14ac:dyDescent="0.3">
      <c r="G244" s="448"/>
    </row>
  </sheetData>
  <autoFilter ref="C104:D208" xr:uid="{00000000-0001-0000-0000-000000000000}"/>
  <mergeCells count="15">
    <mergeCell ref="CN1:CT1"/>
    <mergeCell ref="CU1:DA1"/>
    <mergeCell ref="B2:M2"/>
    <mergeCell ref="AX1:BD1"/>
    <mergeCell ref="BE1:BK1"/>
    <mergeCell ref="BL1:BR1"/>
    <mergeCell ref="BS1:BY1"/>
    <mergeCell ref="BZ1:CF1"/>
    <mergeCell ref="CG1:CM1"/>
    <mergeCell ref="A1:B1"/>
    <mergeCell ref="O1:U1"/>
    <mergeCell ref="V1:AB1"/>
    <mergeCell ref="AC1:AI1"/>
    <mergeCell ref="AJ1:AP1"/>
    <mergeCell ref="AQ1:AW1"/>
  </mergeCells>
  <phoneticPr fontId="18" type="noConversion"/>
  <conditionalFormatting sqref="G239:G241 G4:G11 G235:G236 G84 G29:G33 G61:G65 G80:G81 G86:G90 G20:G21 G37:G59 H105:H135 G95:G103 H179:H209 G209:G233">
    <cfRule type="dataBar" priority="87">
      <dataBar>
        <cfvo type="num" val="0"/>
        <cfvo type="num" val="1"/>
        <color theme="0" tint="-0.249977111117893"/>
      </dataBar>
      <extLst>
        <ext xmlns:x14="http://schemas.microsoft.com/office/spreadsheetml/2009/9/main" uri="{B025F937-C7B1-47D3-B67F-A62EFF666E3E}">
          <x14:id>{1E9EDBAA-C23F-9C4B-8DB8-873D296CE900}</x14:id>
        </ext>
      </extLst>
    </cfRule>
  </conditionalFormatting>
  <conditionalFormatting sqref="O234:DA241 O2:DA218">
    <cfRule type="expression" dxfId="118" priority="88">
      <formula>AND(TODAY()&gt;=O$2,TODAY()&lt;P$2)</formula>
    </cfRule>
  </conditionalFormatting>
  <conditionalFormatting sqref="O234:DA241 O4:DA218">
    <cfRule type="expression" dxfId="117" priority="84">
      <formula>AND(task_start&lt;=O$2,ROUNDDOWN((task_end-task_start+1)*task_progress,0)+task_start-1&gt;=O$2)</formula>
    </cfRule>
    <cfRule type="expression" dxfId="116" priority="85" stopIfTrue="1">
      <formula>AND(task_end&gt;=O$2,task_start&lt;P$2)</formula>
    </cfRule>
  </conditionalFormatting>
  <conditionalFormatting sqref="G237">
    <cfRule type="dataBar" priority="83">
      <dataBar>
        <cfvo type="num" val="0"/>
        <cfvo type="num" val="1"/>
        <color theme="0" tint="-0.249977111117893"/>
      </dataBar>
      <extLst>
        <ext xmlns:x14="http://schemas.microsoft.com/office/spreadsheetml/2009/9/main" uri="{B025F937-C7B1-47D3-B67F-A62EFF666E3E}">
          <x14:id>{6C15DBE2-9B55-454D-8032-B15953A78EC1}</x14:id>
        </ext>
      </extLst>
    </cfRule>
  </conditionalFormatting>
  <conditionalFormatting sqref="G238">
    <cfRule type="dataBar" priority="82">
      <dataBar>
        <cfvo type="num" val="0"/>
        <cfvo type="num" val="1"/>
        <color theme="0" tint="-0.249977111117893"/>
      </dataBar>
      <extLst>
        <ext xmlns:x14="http://schemas.microsoft.com/office/spreadsheetml/2009/9/main" uri="{B025F937-C7B1-47D3-B67F-A62EFF666E3E}">
          <x14:id>{8A3B6F40-1DCC-8C40-9FC7-CA548BD5BC43}</x14:id>
        </ext>
      </extLst>
    </cfRule>
  </conditionalFormatting>
  <conditionalFormatting sqref="G210">
    <cfRule type="dataBar" priority="81">
      <dataBar>
        <cfvo type="num" val="0"/>
        <cfvo type="num" val="1"/>
        <color theme="0" tint="-0.249977111117893"/>
      </dataBar>
      <extLst>
        <ext xmlns:x14="http://schemas.microsoft.com/office/spreadsheetml/2009/9/main" uri="{B025F937-C7B1-47D3-B67F-A62EFF666E3E}">
          <x14:id>{A8ED5CF9-7CDB-2046-8A1F-8262AED85645}</x14:id>
        </ext>
      </extLst>
    </cfRule>
  </conditionalFormatting>
  <conditionalFormatting sqref="G211">
    <cfRule type="dataBar" priority="80">
      <dataBar>
        <cfvo type="num" val="0"/>
        <cfvo type="num" val="1"/>
        <color theme="0" tint="-0.249977111117893"/>
      </dataBar>
      <extLst>
        <ext xmlns:x14="http://schemas.microsoft.com/office/spreadsheetml/2009/9/main" uri="{B025F937-C7B1-47D3-B67F-A62EFF666E3E}">
          <x14:id>{51500CAB-02B1-3A4B-91CC-795B99E2C39E}</x14:id>
        </ext>
      </extLst>
    </cfRule>
  </conditionalFormatting>
  <conditionalFormatting sqref="G26:G28">
    <cfRule type="dataBar" priority="34">
      <dataBar>
        <cfvo type="num" val="0"/>
        <cfvo type="num" val="1"/>
        <color theme="0" tint="-0.249977111117893"/>
      </dataBar>
      <extLst>
        <ext xmlns:x14="http://schemas.microsoft.com/office/spreadsheetml/2009/9/main" uri="{B025F937-C7B1-47D3-B67F-A62EFF666E3E}">
          <x14:id>{7FD0ACA5-F165-5041-8427-0F4E1CEC8C6F}</x14:id>
        </ext>
      </extLst>
    </cfRule>
  </conditionalFormatting>
  <conditionalFormatting sqref="G75:G76">
    <cfRule type="dataBar" priority="27">
      <dataBar>
        <cfvo type="num" val="0"/>
        <cfvo type="num" val="1"/>
        <color theme="0" tint="-0.249977111117893"/>
      </dataBar>
      <extLst>
        <ext xmlns:x14="http://schemas.microsoft.com/office/spreadsheetml/2009/9/main" uri="{B025F937-C7B1-47D3-B67F-A62EFF666E3E}">
          <x14:id>{13BA7CC8-6742-B448-9C3A-043980BFF6C1}</x14:id>
        </ext>
      </extLst>
    </cfRule>
  </conditionalFormatting>
  <conditionalFormatting sqref="G66:G74">
    <cfRule type="dataBar" priority="28">
      <dataBar>
        <cfvo type="num" val="0"/>
        <cfvo type="num" val="1"/>
        <color theme="0" tint="-0.249977111117893"/>
      </dataBar>
      <extLst>
        <ext xmlns:x14="http://schemas.microsoft.com/office/spreadsheetml/2009/9/main" uri="{B025F937-C7B1-47D3-B67F-A62EFF666E3E}">
          <x14:id>{117E49C3-E323-0F42-A633-CE8652F24449}</x14:id>
        </ext>
      </extLst>
    </cfRule>
  </conditionalFormatting>
  <conditionalFormatting sqref="G91:G94">
    <cfRule type="dataBar" priority="23">
      <dataBar>
        <cfvo type="num" val="0"/>
        <cfvo type="num" val="1"/>
        <color theme="0" tint="-0.249977111117893"/>
      </dataBar>
      <extLst>
        <ext xmlns:x14="http://schemas.microsoft.com/office/spreadsheetml/2009/9/main" uri="{B025F937-C7B1-47D3-B67F-A62EFF666E3E}">
          <x14:id>{037779C5-4737-F94D-B274-FC744580A3E1}</x14:id>
        </ext>
      </extLst>
    </cfRule>
  </conditionalFormatting>
  <conditionalFormatting sqref="G77">
    <cfRule type="dataBar" priority="25">
      <dataBar>
        <cfvo type="num" val="0"/>
        <cfvo type="num" val="1"/>
        <color theme="0" tint="-0.249977111117893"/>
      </dataBar>
      <extLst>
        <ext xmlns:x14="http://schemas.microsoft.com/office/spreadsheetml/2009/9/main" uri="{B025F937-C7B1-47D3-B67F-A62EFF666E3E}">
          <x14:id>{ED1FF381-38ED-E64D-B912-4536852EB08B}</x14:id>
        </ext>
      </extLst>
    </cfRule>
  </conditionalFormatting>
  <conditionalFormatting sqref="G82:G83">
    <cfRule type="dataBar" priority="24">
      <dataBar>
        <cfvo type="num" val="0"/>
        <cfvo type="num" val="1"/>
        <color theme="0" tint="-0.249977111117893"/>
      </dataBar>
      <extLst>
        <ext xmlns:x14="http://schemas.microsoft.com/office/spreadsheetml/2009/9/main" uri="{B025F937-C7B1-47D3-B67F-A62EFF666E3E}">
          <x14:id>{318C90F2-4B32-D54B-9090-A7C3B9D915BB}</x14:id>
        </ext>
      </extLst>
    </cfRule>
  </conditionalFormatting>
  <conditionalFormatting sqref="G12:G19">
    <cfRule type="dataBar" priority="17">
      <dataBar>
        <cfvo type="num" val="0"/>
        <cfvo type="num" val="1"/>
        <color theme="0" tint="-0.249977111117893"/>
      </dataBar>
      <extLst>
        <ext xmlns:x14="http://schemas.microsoft.com/office/spreadsheetml/2009/9/main" uri="{B025F937-C7B1-47D3-B67F-A62EFF666E3E}">
          <x14:id>{19B23CB5-5C2A-4806-A016-831E2C3BCED5}</x14:id>
        </ext>
      </extLst>
    </cfRule>
  </conditionalFormatting>
  <conditionalFormatting sqref="G34:G36">
    <cfRule type="dataBar" priority="16">
      <dataBar>
        <cfvo type="num" val="0"/>
        <cfvo type="num" val="1"/>
        <color theme="0" tint="-0.249977111117893"/>
      </dataBar>
      <extLst>
        <ext xmlns:x14="http://schemas.microsoft.com/office/spreadsheetml/2009/9/main" uri="{B025F937-C7B1-47D3-B67F-A62EFF666E3E}">
          <x14:id>{0170237C-1C30-4253-9FF6-DAC85BA0E1EA}</x14:id>
        </ext>
      </extLst>
    </cfRule>
  </conditionalFormatting>
  <conditionalFormatting sqref="G234">
    <cfRule type="dataBar" priority="13">
      <dataBar>
        <cfvo type="num" val="0"/>
        <cfvo type="num" val="1"/>
        <color theme="0" tint="-0.249977111117893"/>
      </dataBar>
      <extLst>
        <ext xmlns:x14="http://schemas.microsoft.com/office/spreadsheetml/2009/9/main" uri="{B025F937-C7B1-47D3-B67F-A62EFF666E3E}">
          <x14:id>{C5381BA3-9DC1-4D89-877E-113D5123DF30}</x14:id>
        </ext>
      </extLst>
    </cfRule>
  </conditionalFormatting>
  <conditionalFormatting sqref="O219:DA233">
    <cfRule type="expression" dxfId="115" priority="14">
      <formula>AND(TODAY()&gt;=O$2,TODAY()&lt;P$2)</formula>
    </cfRule>
  </conditionalFormatting>
  <conditionalFormatting sqref="O219:DA233">
    <cfRule type="expression" dxfId="114" priority="11">
      <formula>AND(task_start&lt;=O$2,ROUNDDOWN((task_end-task_start+1)*task_progress,0)+task_start-1&gt;=O$2)</formula>
    </cfRule>
    <cfRule type="expression" dxfId="113" priority="12" stopIfTrue="1">
      <formula>AND(task_end&gt;=O$2,task_start&lt;P$2)</formula>
    </cfRule>
  </conditionalFormatting>
  <conditionalFormatting sqref="G234">
    <cfRule type="dataBar" priority="10">
      <dataBar>
        <cfvo type="num" val="0"/>
        <cfvo type="num" val="1"/>
        <color theme="0" tint="-0.249977111117893"/>
      </dataBar>
      <extLst>
        <ext xmlns:x14="http://schemas.microsoft.com/office/spreadsheetml/2009/9/main" uri="{B025F937-C7B1-47D3-B67F-A62EFF666E3E}">
          <x14:id>{FF4AD0AA-DE26-4F50-A8B0-0BE6270B1118}</x14:id>
        </ext>
      </extLst>
    </cfRule>
  </conditionalFormatting>
  <conditionalFormatting sqref="G78:G79">
    <cfRule type="dataBar" priority="9">
      <dataBar>
        <cfvo type="num" val="0"/>
        <cfvo type="num" val="1"/>
        <color theme="0" tint="-0.249977111117893"/>
      </dataBar>
      <extLst>
        <ext xmlns:x14="http://schemas.microsoft.com/office/spreadsheetml/2009/9/main" uri="{B025F937-C7B1-47D3-B67F-A62EFF666E3E}">
          <x14:id>{7C1B6DD9-4401-4A76-ACDC-FA8F849D6959}</x14:id>
        </ext>
      </extLst>
    </cfRule>
  </conditionalFormatting>
  <conditionalFormatting sqref="G22:G24">
    <cfRule type="dataBar" priority="7">
      <dataBar>
        <cfvo type="num" val="0"/>
        <cfvo type="num" val="1"/>
        <color theme="0" tint="-0.249977111117893"/>
      </dataBar>
      <extLst>
        <ext xmlns:x14="http://schemas.microsoft.com/office/spreadsheetml/2009/9/main" uri="{B025F937-C7B1-47D3-B67F-A62EFF666E3E}">
          <x14:id>{8D2E01B4-FA83-42EC-8FB4-847C8DFA8DD9}</x14:id>
        </ext>
      </extLst>
    </cfRule>
  </conditionalFormatting>
  <conditionalFormatting sqref="G25:H25">
    <cfRule type="dataBar" priority="5">
      <dataBar>
        <cfvo type="num" val="0"/>
        <cfvo type="num" val="1"/>
        <color theme="0" tint="-0.249977111117893"/>
      </dataBar>
      <extLst>
        <ext xmlns:x14="http://schemas.microsoft.com/office/spreadsheetml/2009/9/main" uri="{B025F937-C7B1-47D3-B67F-A62EFF666E3E}">
          <x14:id>{3DE11282-69CA-42A1-B0C5-03CEE2531334}</x14:id>
        </ext>
      </extLst>
    </cfRule>
  </conditionalFormatting>
  <conditionalFormatting sqref="F25">
    <cfRule type="dataBar" priority="4">
      <dataBar>
        <cfvo type="num" val="0"/>
        <cfvo type="num" val="1"/>
        <color theme="0" tint="-0.249977111117893"/>
      </dataBar>
      <extLst>
        <ext xmlns:x14="http://schemas.microsoft.com/office/spreadsheetml/2009/9/main" uri="{B025F937-C7B1-47D3-B67F-A62EFF666E3E}">
          <x14:id>{2228D3B6-B714-4991-8CE2-DBDFADA68F3D}</x14:id>
        </ext>
      </extLst>
    </cfRule>
  </conditionalFormatting>
  <conditionalFormatting sqref="G104:G208">
    <cfRule type="dataBar" priority="1">
      <dataBar>
        <cfvo type="num" val="0"/>
        <cfvo type="num" val="1"/>
        <color theme="0" tint="-0.249977111117893"/>
      </dataBar>
      <extLst>
        <ext xmlns:x14="http://schemas.microsoft.com/office/spreadsheetml/2009/9/main" uri="{B025F937-C7B1-47D3-B67F-A62EFF666E3E}">
          <x14:id>{86B7F457-24A9-4619-8B14-9C1B756CA450}</x14:id>
        </ext>
      </extLst>
    </cfRule>
  </conditionalFormatting>
  <dataValidations count="1">
    <dataValidation type="whole" operator="greaterThanOrEqual" allowBlank="1" showInputMessage="1" promptTitle="Display Week" prompt="Changing this number will scroll the Gantt Chart view." sqref="I1" xr:uid="{00000000-0002-0000-0000-000000000000}">
      <formula1>1</formula1>
    </dataValidation>
  </dataValidations>
  <printOptions horizontalCentered="1"/>
  <pageMargins left="0.35" right="0.35" top="0.35" bottom="0.5" header="0.3" footer="0.3"/>
  <pageSetup scale="31"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1E9EDBAA-C23F-9C4B-8DB8-873D296CE900}">
            <x14:dataBar minLength="0" maxLength="100" gradient="0">
              <x14:cfvo type="num">
                <xm:f>0</xm:f>
              </x14:cfvo>
              <x14:cfvo type="num">
                <xm:f>1</xm:f>
              </x14:cfvo>
              <x14:negativeFillColor rgb="FFFF0000"/>
              <x14:axisColor rgb="FF000000"/>
            </x14:dataBar>
          </x14:cfRule>
          <xm:sqref>G239:G241 G4:G11 G235:G236 G84 G29:G33 G61:G65 G80:G81 G86:G90 G20:G21 G37:G59 H105:H135 G95:G103 H179:H209 G209:G233</xm:sqref>
        </x14:conditionalFormatting>
        <x14:conditionalFormatting xmlns:xm="http://schemas.microsoft.com/office/excel/2006/main">
          <x14:cfRule type="dataBar" id="{6C15DBE2-9B55-454D-8032-B15953A78EC1}">
            <x14:dataBar minLength="0" maxLength="100" gradient="0">
              <x14:cfvo type="num">
                <xm:f>0</xm:f>
              </x14:cfvo>
              <x14:cfvo type="num">
                <xm:f>1</xm:f>
              </x14:cfvo>
              <x14:negativeFillColor rgb="FFFF0000"/>
              <x14:axisColor rgb="FF000000"/>
            </x14:dataBar>
          </x14:cfRule>
          <xm:sqref>G237</xm:sqref>
        </x14:conditionalFormatting>
        <x14:conditionalFormatting xmlns:xm="http://schemas.microsoft.com/office/excel/2006/main">
          <x14:cfRule type="dataBar" id="{8A3B6F40-1DCC-8C40-9FC7-CA548BD5BC43}">
            <x14:dataBar minLength="0" maxLength="100" gradient="0">
              <x14:cfvo type="num">
                <xm:f>0</xm:f>
              </x14:cfvo>
              <x14:cfvo type="num">
                <xm:f>1</xm:f>
              </x14:cfvo>
              <x14:negativeFillColor rgb="FFFF0000"/>
              <x14:axisColor rgb="FF000000"/>
            </x14:dataBar>
          </x14:cfRule>
          <xm:sqref>G238</xm:sqref>
        </x14:conditionalFormatting>
        <x14:conditionalFormatting xmlns:xm="http://schemas.microsoft.com/office/excel/2006/main">
          <x14:cfRule type="dataBar" id="{A8ED5CF9-7CDB-2046-8A1F-8262AED85645}">
            <x14:dataBar minLength="0" maxLength="100" gradient="0">
              <x14:cfvo type="num">
                <xm:f>0</xm:f>
              </x14:cfvo>
              <x14:cfvo type="num">
                <xm:f>1</xm:f>
              </x14:cfvo>
              <x14:negativeFillColor rgb="FFFF0000"/>
              <x14:axisColor rgb="FF000000"/>
            </x14:dataBar>
          </x14:cfRule>
          <xm:sqref>G210</xm:sqref>
        </x14:conditionalFormatting>
        <x14:conditionalFormatting xmlns:xm="http://schemas.microsoft.com/office/excel/2006/main">
          <x14:cfRule type="dataBar" id="{51500CAB-02B1-3A4B-91CC-795B99E2C39E}">
            <x14:dataBar minLength="0" maxLength="100" gradient="0">
              <x14:cfvo type="num">
                <xm:f>0</xm:f>
              </x14:cfvo>
              <x14:cfvo type="num">
                <xm:f>1</xm:f>
              </x14:cfvo>
              <x14:negativeFillColor rgb="FFFF0000"/>
              <x14:axisColor rgb="FF000000"/>
            </x14:dataBar>
          </x14:cfRule>
          <xm:sqref>G211</xm:sqref>
        </x14:conditionalFormatting>
        <x14:conditionalFormatting xmlns:xm="http://schemas.microsoft.com/office/excel/2006/main">
          <x14:cfRule type="dataBar" id="{7FD0ACA5-F165-5041-8427-0F4E1CEC8C6F}">
            <x14:dataBar minLength="0" maxLength="100" gradient="0">
              <x14:cfvo type="num">
                <xm:f>0</xm:f>
              </x14:cfvo>
              <x14:cfvo type="num">
                <xm:f>1</xm:f>
              </x14:cfvo>
              <x14:negativeFillColor rgb="FFFF0000"/>
              <x14:axisColor rgb="FF000000"/>
            </x14:dataBar>
          </x14:cfRule>
          <xm:sqref>G26:G28</xm:sqref>
        </x14:conditionalFormatting>
        <x14:conditionalFormatting xmlns:xm="http://schemas.microsoft.com/office/excel/2006/main">
          <x14:cfRule type="dataBar" id="{13BA7CC8-6742-B448-9C3A-043980BFF6C1}">
            <x14:dataBar minLength="0" maxLength="100" gradient="0">
              <x14:cfvo type="num">
                <xm:f>0</xm:f>
              </x14:cfvo>
              <x14:cfvo type="num">
                <xm:f>1</xm:f>
              </x14:cfvo>
              <x14:negativeFillColor rgb="FFFF0000"/>
              <x14:axisColor rgb="FF000000"/>
            </x14:dataBar>
          </x14:cfRule>
          <xm:sqref>G75:G76</xm:sqref>
        </x14:conditionalFormatting>
        <x14:conditionalFormatting xmlns:xm="http://schemas.microsoft.com/office/excel/2006/main">
          <x14:cfRule type="dataBar" id="{117E49C3-E323-0F42-A633-CE8652F24449}">
            <x14:dataBar minLength="0" maxLength="100" gradient="0">
              <x14:cfvo type="num">
                <xm:f>0</xm:f>
              </x14:cfvo>
              <x14:cfvo type="num">
                <xm:f>1</xm:f>
              </x14:cfvo>
              <x14:negativeFillColor rgb="FFFF0000"/>
              <x14:axisColor rgb="FF000000"/>
            </x14:dataBar>
          </x14:cfRule>
          <xm:sqref>G66:G74</xm:sqref>
        </x14:conditionalFormatting>
        <x14:conditionalFormatting xmlns:xm="http://schemas.microsoft.com/office/excel/2006/main">
          <x14:cfRule type="dataBar" id="{037779C5-4737-F94D-B274-FC744580A3E1}">
            <x14:dataBar minLength="0" maxLength="100" gradient="0">
              <x14:cfvo type="num">
                <xm:f>0</xm:f>
              </x14:cfvo>
              <x14:cfvo type="num">
                <xm:f>1</xm:f>
              </x14:cfvo>
              <x14:negativeFillColor rgb="FFFF0000"/>
              <x14:axisColor rgb="FF000000"/>
            </x14:dataBar>
          </x14:cfRule>
          <xm:sqref>G91:G94</xm:sqref>
        </x14:conditionalFormatting>
        <x14:conditionalFormatting xmlns:xm="http://schemas.microsoft.com/office/excel/2006/main">
          <x14:cfRule type="dataBar" id="{ED1FF381-38ED-E64D-B912-4536852EB08B}">
            <x14:dataBar minLength="0" maxLength="100" gradient="0">
              <x14:cfvo type="num">
                <xm:f>0</xm:f>
              </x14:cfvo>
              <x14:cfvo type="num">
                <xm:f>1</xm:f>
              </x14:cfvo>
              <x14:negativeFillColor rgb="FFFF0000"/>
              <x14:axisColor rgb="FF000000"/>
            </x14:dataBar>
          </x14:cfRule>
          <xm:sqref>G77</xm:sqref>
        </x14:conditionalFormatting>
        <x14:conditionalFormatting xmlns:xm="http://schemas.microsoft.com/office/excel/2006/main">
          <x14:cfRule type="dataBar" id="{318C90F2-4B32-D54B-9090-A7C3B9D915BB}">
            <x14:dataBar minLength="0" maxLength="100" gradient="0">
              <x14:cfvo type="num">
                <xm:f>0</xm:f>
              </x14:cfvo>
              <x14:cfvo type="num">
                <xm:f>1</xm:f>
              </x14:cfvo>
              <x14:negativeFillColor rgb="FFFF0000"/>
              <x14:axisColor rgb="FF000000"/>
            </x14:dataBar>
          </x14:cfRule>
          <xm:sqref>G82:G83</xm:sqref>
        </x14:conditionalFormatting>
        <x14:conditionalFormatting xmlns:xm="http://schemas.microsoft.com/office/excel/2006/main">
          <x14:cfRule type="dataBar" id="{19B23CB5-5C2A-4806-A016-831E2C3BCED5}">
            <x14:dataBar minLength="0" maxLength="100" gradient="0">
              <x14:cfvo type="num">
                <xm:f>0</xm:f>
              </x14:cfvo>
              <x14:cfvo type="num">
                <xm:f>1</xm:f>
              </x14:cfvo>
              <x14:negativeFillColor rgb="FFFF0000"/>
              <x14:axisColor rgb="FF000000"/>
            </x14:dataBar>
          </x14:cfRule>
          <xm:sqref>G12:G19</xm:sqref>
        </x14:conditionalFormatting>
        <x14:conditionalFormatting xmlns:xm="http://schemas.microsoft.com/office/excel/2006/main">
          <x14:cfRule type="dataBar" id="{0170237C-1C30-4253-9FF6-DAC85BA0E1EA}">
            <x14:dataBar minLength="0" maxLength="100" gradient="0">
              <x14:cfvo type="num">
                <xm:f>0</xm:f>
              </x14:cfvo>
              <x14:cfvo type="num">
                <xm:f>1</xm:f>
              </x14:cfvo>
              <x14:negativeFillColor rgb="FFFF0000"/>
              <x14:axisColor rgb="FF000000"/>
            </x14:dataBar>
          </x14:cfRule>
          <xm:sqref>G34:G36</xm:sqref>
        </x14:conditionalFormatting>
        <x14:conditionalFormatting xmlns:xm="http://schemas.microsoft.com/office/excel/2006/main">
          <x14:cfRule type="dataBar" id="{C5381BA3-9DC1-4D89-877E-113D5123DF30}">
            <x14:dataBar minLength="0" maxLength="100" gradient="0">
              <x14:cfvo type="num">
                <xm:f>0</xm:f>
              </x14:cfvo>
              <x14:cfvo type="num">
                <xm:f>1</xm:f>
              </x14:cfvo>
              <x14:negativeFillColor rgb="FFFF0000"/>
              <x14:axisColor rgb="FF000000"/>
            </x14:dataBar>
          </x14:cfRule>
          <xm:sqref>G234</xm:sqref>
        </x14:conditionalFormatting>
        <x14:conditionalFormatting xmlns:xm="http://schemas.microsoft.com/office/excel/2006/main">
          <x14:cfRule type="dataBar" id="{FF4AD0AA-DE26-4F50-A8B0-0BE6270B1118}">
            <x14:dataBar minLength="0" maxLength="100" gradient="0">
              <x14:cfvo type="num">
                <xm:f>0</xm:f>
              </x14:cfvo>
              <x14:cfvo type="num">
                <xm:f>1</xm:f>
              </x14:cfvo>
              <x14:negativeFillColor rgb="FFFF0000"/>
              <x14:axisColor rgb="FF000000"/>
            </x14:dataBar>
          </x14:cfRule>
          <xm:sqref>G234</xm:sqref>
        </x14:conditionalFormatting>
        <x14:conditionalFormatting xmlns:xm="http://schemas.microsoft.com/office/excel/2006/main">
          <x14:cfRule type="dataBar" id="{7C1B6DD9-4401-4A76-ACDC-FA8F849D6959}">
            <x14:dataBar minLength="0" maxLength="100" gradient="0">
              <x14:cfvo type="num">
                <xm:f>0</xm:f>
              </x14:cfvo>
              <x14:cfvo type="num">
                <xm:f>1</xm:f>
              </x14:cfvo>
              <x14:negativeFillColor rgb="FFFF0000"/>
              <x14:axisColor rgb="FF000000"/>
            </x14:dataBar>
          </x14:cfRule>
          <xm:sqref>G78:G79</xm:sqref>
        </x14:conditionalFormatting>
        <x14:conditionalFormatting xmlns:xm="http://schemas.microsoft.com/office/excel/2006/main">
          <x14:cfRule type="dataBar" id="{8D2E01B4-FA83-42EC-8FB4-847C8DFA8DD9}">
            <x14:dataBar minLength="0" maxLength="100" gradient="0">
              <x14:cfvo type="num">
                <xm:f>0</xm:f>
              </x14:cfvo>
              <x14:cfvo type="num">
                <xm:f>1</xm:f>
              </x14:cfvo>
              <x14:negativeFillColor rgb="FFFF0000"/>
              <x14:axisColor rgb="FF000000"/>
            </x14:dataBar>
          </x14:cfRule>
          <xm:sqref>G22:G24</xm:sqref>
        </x14:conditionalFormatting>
        <x14:conditionalFormatting xmlns:xm="http://schemas.microsoft.com/office/excel/2006/main">
          <x14:cfRule type="dataBar" id="{3DE11282-69CA-42A1-B0C5-03CEE2531334}">
            <x14:dataBar minLength="0" maxLength="100" gradient="0">
              <x14:cfvo type="num">
                <xm:f>0</xm:f>
              </x14:cfvo>
              <x14:cfvo type="num">
                <xm:f>1</xm:f>
              </x14:cfvo>
              <x14:negativeFillColor rgb="FFFF0000"/>
              <x14:axisColor rgb="FF000000"/>
            </x14:dataBar>
          </x14:cfRule>
          <xm:sqref>G25:H25</xm:sqref>
        </x14:conditionalFormatting>
        <x14:conditionalFormatting xmlns:xm="http://schemas.microsoft.com/office/excel/2006/main">
          <x14:cfRule type="dataBar" id="{2228D3B6-B714-4991-8CE2-DBDFADA68F3D}">
            <x14:dataBar minLength="0" maxLength="100" gradient="0">
              <x14:cfvo type="num">
                <xm:f>0</xm:f>
              </x14:cfvo>
              <x14:cfvo type="num">
                <xm:f>1</xm:f>
              </x14:cfvo>
              <x14:negativeFillColor rgb="FFFF0000"/>
              <x14:axisColor rgb="FF000000"/>
            </x14:dataBar>
          </x14:cfRule>
          <xm:sqref>F25</xm:sqref>
        </x14:conditionalFormatting>
        <x14:conditionalFormatting xmlns:xm="http://schemas.microsoft.com/office/excel/2006/main">
          <x14:cfRule type="dataBar" id="{86B7F457-24A9-4619-8B14-9C1B756CA450}">
            <x14:dataBar minLength="0" maxLength="100" gradient="0">
              <x14:cfvo type="num">
                <xm:f>0</xm:f>
              </x14:cfvo>
              <x14:cfvo type="num">
                <xm:f>1</xm:f>
              </x14:cfvo>
              <x14:negativeFillColor rgb="FFFF0000"/>
              <x14:axisColor rgb="FF000000"/>
            </x14:dataBar>
          </x14:cfRule>
          <xm:sqref>G104:G208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049D1-81A9-499A-80F1-501C56057BEF}">
  <dimension ref="A1:H20"/>
  <sheetViews>
    <sheetView zoomScale="80" zoomScaleNormal="80" workbookViewId="0">
      <selection activeCell="C3" sqref="C3:D20"/>
    </sheetView>
  </sheetViews>
  <sheetFormatPr defaultRowHeight="36.75" customHeight="1" x14ac:dyDescent="0.3"/>
  <cols>
    <col min="2" max="2" width="126.6640625" bestFit="1" customWidth="1"/>
  </cols>
  <sheetData>
    <row r="1" spans="1:8" ht="36.75" customHeight="1" x14ac:dyDescent="0.3">
      <c r="A1" s="489" t="s">
        <v>13</v>
      </c>
      <c r="B1" s="490" t="s">
        <v>14</v>
      </c>
      <c r="C1" s="490" t="s">
        <v>20</v>
      </c>
      <c r="D1" s="490" t="s">
        <v>21</v>
      </c>
      <c r="E1" s="490" t="s">
        <v>1212</v>
      </c>
      <c r="F1" s="490" t="s">
        <v>1227</v>
      </c>
      <c r="G1" s="490" t="s">
        <v>694</v>
      </c>
      <c r="H1" s="7" t="s">
        <v>18</v>
      </c>
    </row>
    <row r="2" spans="1:8" ht="36.75" customHeight="1" x14ac:dyDescent="0.3">
      <c r="A2" s="491"/>
      <c r="B2" s="491" t="s">
        <v>1484</v>
      </c>
      <c r="C2" s="492"/>
      <c r="D2" s="492"/>
      <c r="E2" s="492"/>
      <c r="F2" s="493"/>
      <c r="G2" s="494"/>
      <c r="H2" s="494"/>
    </row>
    <row r="3" spans="1:8" ht="36.75" customHeight="1" x14ac:dyDescent="0.3">
      <c r="A3" s="491" t="s">
        <v>1308</v>
      </c>
      <c r="B3" s="495" t="s">
        <v>1485</v>
      </c>
      <c r="C3" s="496">
        <v>44769</v>
      </c>
      <c r="D3" s="496">
        <v>44769</v>
      </c>
      <c r="E3" s="492" t="s">
        <v>1245</v>
      </c>
      <c r="F3" s="493" t="s">
        <v>1285</v>
      </c>
      <c r="G3" s="494"/>
      <c r="H3" s="494" t="s">
        <v>1294</v>
      </c>
    </row>
    <row r="4" spans="1:8" ht="36.75" customHeight="1" x14ac:dyDescent="0.3">
      <c r="A4" s="491" t="s">
        <v>1309</v>
      </c>
      <c r="B4" s="495" t="s">
        <v>1051</v>
      </c>
      <c r="C4" s="496">
        <v>44769</v>
      </c>
      <c r="D4" s="496">
        <v>44769</v>
      </c>
      <c r="E4" s="492" t="s">
        <v>1245</v>
      </c>
      <c r="F4" s="493" t="s">
        <v>1285</v>
      </c>
      <c r="G4" s="494"/>
      <c r="H4" s="494" t="s">
        <v>1294</v>
      </c>
    </row>
    <row r="5" spans="1:8" ht="36.75" customHeight="1" x14ac:dyDescent="0.3">
      <c r="A5" s="491" t="s">
        <v>1310</v>
      </c>
      <c r="B5" s="495" t="s">
        <v>1052</v>
      </c>
      <c r="C5" s="496">
        <v>44769</v>
      </c>
      <c r="D5" s="496">
        <v>44769</v>
      </c>
      <c r="E5" s="492" t="s">
        <v>1245</v>
      </c>
      <c r="F5" s="493" t="s">
        <v>1285</v>
      </c>
      <c r="G5" s="494"/>
      <c r="H5" s="494" t="s">
        <v>1295</v>
      </c>
    </row>
    <row r="6" spans="1:8" ht="36.75" customHeight="1" x14ac:dyDescent="0.3">
      <c r="A6" s="491" t="s">
        <v>1311</v>
      </c>
      <c r="B6" s="495" t="s">
        <v>881</v>
      </c>
      <c r="C6" s="496">
        <v>44769</v>
      </c>
      <c r="D6" s="496">
        <v>44769</v>
      </c>
      <c r="E6" s="492" t="s">
        <v>1245</v>
      </c>
      <c r="F6" s="493" t="s">
        <v>1285</v>
      </c>
      <c r="G6" s="494"/>
      <c r="H6" s="494" t="s">
        <v>1290</v>
      </c>
    </row>
    <row r="7" spans="1:8" ht="57.75" customHeight="1" x14ac:dyDescent="0.3">
      <c r="A7" s="491" t="s">
        <v>1312</v>
      </c>
      <c r="B7" s="495" t="s">
        <v>1486</v>
      </c>
      <c r="C7" s="496">
        <v>44769</v>
      </c>
      <c r="D7" s="496">
        <v>44769</v>
      </c>
      <c r="E7" s="492" t="s">
        <v>1245</v>
      </c>
      <c r="F7" s="493" t="s">
        <v>1285</v>
      </c>
      <c r="G7" s="494"/>
      <c r="H7" s="494" t="s">
        <v>1289</v>
      </c>
    </row>
    <row r="8" spans="1:8" ht="36.75" customHeight="1" x14ac:dyDescent="0.3">
      <c r="A8" s="491" t="s">
        <v>1313</v>
      </c>
      <c r="B8" s="495" t="s">
        <v>883</v>
      </c>
      <c r="C8" s="496">
        <v>44769</v>
      </c>
      <c r="D8" s="496">
        <v>44769</v>
      </c>
      <c r="E8" s="492" t="s">
        <v>1245</v>
      </c>
      <c r="F8" s="493" t="s">
        <v>1285</v>
      </c>
      <c r="G8" s="494"/>
      <c r="H8" s="494" t="s">
        <v>1290</v>
      </c>
    </row>
    <row r="9" spans="1:8" ht="36.75" customHeight="1" x14ac:dyDescent="0.3">
      <c r="A9" s="491" t="s">
        <v>1314</v>
      </c>
      <c r="B9" s="495" t="s">
        <v>1053</v>
      </c>
      <c r="C9" s="496">
        <v>44769</v>
      </c>
      <c r="D9" s="496">
        <v>44769</v>
      </c>
      <c r="E9" s="492" t="s">
        <v>1245</v>
      </c>
      <c r="F9" s="493" t="s">
        <v>1285</v>
      </c>
      <c r="G9" s="494"/>
      <c r="H9" s="494" t="s">
        <v>1289</v>
      </c>
    </row>
    <row r="10" spans="1:8" ht="36.75" customHeight="1" x14ac:dyDescent="0.3">
      <c r="A10" s="491" t="s">
        <v>1315</v>
      </c>
      <c r="B10" s="495" t="s">
        <v>1065</v>
      </c>
      <c r="C10" s="496">
        <v>44769</v>
      </c>
      <c r="D10" s="496">
        <v>44769</v>
      </c>
      <c r="E10" s="492" t="s">
        <v>1245</v>
      </c>
      <c r="F10" s="493" t="s">
        <v>1285</v>
      </c>
      <c r="G10" s="494"/>
      <c r="H10" s="494" t="s">
        <v>1289</v>
      </c>
    </row>
    <row r="11" spans="1:8" ht="36.75" customHeight="1" x14ac:dyDescent="0.3">
      <c r="A11" s="491" t="s">
        <v>1316</v>
      </c>
      <c r="B11" s="495" t="s">
        <v>1487</v>
      </c>
      <c r="C11" s="496">
        <v>44769</v>
      </c>
      <c r="D11" s="496">
        <v>44769</v>
      </c>
      <c r="E11" s="492" t="s">
        <v>1245</v>
      </c>
      <c r="F11" s="493" t="s">
        <v>1285</v>
      </c>
      <c r="G11" s="494"/>
      <c r="H11" s="494" t="s">
        <v>1290</v>
      </c>
    </row>
    <row r="12" spans="1:8" ht="36.75" customHeight="1" x14ac:dyDescent="0.3">
      <c r="A12" s="491" t="s">
        <v>1317</v>
      </c>
      <c r="B12" s="495" t="s">
        <v>1082</v>
      </c>
      <c r="C12" s="496">
        <v>44769</v>
      </c>
      <c r="D12" s="496">
        <v>44769</v>
      </c>
      <c r="E12" s="492" t="s">
        <v>1245</v>
      </c>
      <c r="F12" s="493" t="s">
        <v>1285</v>
      </c>
      <c r="G12" s="494"/>
      <c r="H12" s="494" t="s">
        <v>1289</v>
      </c>
    </row>
    <row r="13" spans="1:8" ht="36.75" customHeight="1" x14ac:dyDescent="0.3">
      <c r="A13" s="491" t="s">
        <v>1318</v>
      </c>
      <c r="B13" s="495" t="s">
        <v>1059</v>
      </c>
      <c r="C13" s="496">
        <v>44769</v>
      </c>
      <c r="D13" s="496">
        <v>44769</v>
      </c>
      <c r="E13" s="492" t="s">
        <v>1245</v>
      </c>
      <c r="F13" s="493" t="s">
        <v>1285</v>
      </c>
      <c r="G13" s="494"/>
      <c r="H13" s="494" t="s">
        <v>1289</v>
      </c>
    </row>
    <row r="14" spans="1:8" ht="36.75" customHeight="1" x14ac:dyDescent="0.3">
      <c r="A14" s="491" t="s">
        <v>1319</v>
      </c>
      <c r="B14" s="495" t="s">
        <v>1282</v>
      </c>
      <c r="C14" s="496">
        <v>44769</v>
      </c>
      <c r="D14" s="496">
        <v>44769</v>
      </c>
      <c r="E14" s="492" t="s">
        <v>1245</v>
      </c>
      <c r="F14" s="493" t="s">
        <v>1285</v>
      </c>
      <c r="G14" s="494"/>
      <c r="H14" s="494" t="s">
        <v>1294</v>
      </c>
    </row>
    <row r="15" spans="1:8" ht="36.75" customHeight="1" x14ac:dyDescent="0.3">
      <c r="A15" s="491" t="s">
        <v>1320</v>
      </c>
      <c r="B15" s="495" t="s">
        <v>1488</v>
      </c>
      <c r="C15" s="496">
        <v>44769</v>
      </c>
      <c r="D15" s="496">
        <v>44769</v>
      </c>
      <c r="E15" s="492" t="s">
        <v>1245</v>
      </c>
      <c r="F15" s="493" t="s">
        <v>1285</v>
      </c>
      <c r="G15" s="494"/>
      <c r="H15" s="494" t="s">
        <v>1290</v>
      </c>
    </row>
    <row r="16" spans="1:8" ht="36.75" customHeight="1" x14ac:dyDescent="0.3">
      <c r="A16" s="491" t="s">
        <v>1321</v>
      </c>
      <c r="B16" s="495" t="s">
        <v>1489</v>
      </c>
      <c r="C16" s="496">
        <v>44769</v>
      </c>
      <c r="D16" s="496">
        <v>44769</v>
      </c>
      <c r="E16" s="492" t="s">
        <v>1245</v>
      </c>
      <c r="F16" s="493" t="s">
        <v>1285</v>
      </c>
      <c r="G16" s="494"/>
      <c r="H16" s="494" t="s">
        <v>1290</v>
      </c>
    </row>
    <row r="17" spans="1:8" ht="36.75" customHeight="1" x14ac:dyDescent="0.3">
      <c r="A17" s="491" t="s">
        <v>1322</v>
      </c>
      <c r="B17" s="495" t="s">
        <v>1061</v>
      </c>
      <c r="C17" s="496">
        <v>44769</v>
      </c>
      <c r="D17" s="496">
        <v>44769</v>
      </c>
      <c r="E17" s="492" t="s">
        <v>1245</v>
      </c>
      <c r="F17" s="493" t="s">
        <v>1285</v>
      </c>
      <c r="G17" s="494"/>
      <c r="H17" s="494" t="s">
        <v>1290</v>
      </c>
    </row>
    <row r="18" spans="1:8" ht="36.75" customHeight="1" x14ac:dyDescent="0.3">
      <c r="A18" s="491" t="s">
        <v>1323</v>
      </c>
      <c r="B18" s="495" t="s">
        <v>885</v>
      </c>
      <c r="C18" s="496">
        <v>44769</v>
      </c>
      <c r="D18" s="496">
        <v>44769</v>
      </c>
      <c r="E18" s="492" t="s">
        <v>1245</v>
      </c>
      <c r="F18" s="493" t="s">
        <v>1285</v>
      </c>
      <c r="G18" s="494"/>
      <c r="H18" s="494" t="s">
        <v>1290</v>
      </c>
    </row>
    <row r="19" spans="1:8" ht="36.75" customHeight="1" x14ac:dyDescent="0.3">
      <c r="A19" s="491" t="s">
        <v>1324</v>
      </c>
      <c r="B19" s="495" t="s">
        <v>1135</v>
      </c>
      <c r="C19" s="496">
        <v>44769</v>
      </c>
      <c r="D19" s="496">
        <v>44769</v>
      </c>
      <c r="E19" s="492" t="s">
        <v>1245</v>
      </c>
      <c r="F19" s="493" t="s">
        <v>1285</v>
      </c>
      <c r="G19" s="494"/>
      <c r="H19" s="494" t="s">
        <v>1294</v>
      </c>
    </row>
    <row r="20" spans="1:8" ht="36.75" customHeight="1" x14ac:dyDescent="0.3">
      <c r="A20" s="491" t="s">
        <v>1325</v>
      </c>
      <c r="B20" s="495" t="s">
        <v>886</v>
      </c>
      <c r="C20" s="496">
        <v>44769</v>
      </c>
      <c r="D20" s="496">
        <v>44769</v>
      </c>
      <c r="E20" s="492" t="s">
        <v>1245</v>
      </c>
      <c r="F20" s="493" t="s">
        <v>1285</v>
      </c>
      <c r="G20" s="494"/>
      <c r="H20" s="494" t="s">
        <v>1289</v>
      </c>
    </row>
  </sheetData>
  <conditionalFormatting sqref="G2:H10">
    <cfRule type="dataBar" priority="2">
      <dataBar>
        <cfvo type="num" val="0"/>
        <cfvo type="num" val="1"/>
        <color theme="0" tint="-0.249977111117893"/>
      </dataBar>
      <extLst>
        <ext xmlns:x14="http://schemas.microsoft.com/office/spreadsheetml/2009/9/main" uri="{B025F937-C7B1-47D3-B67F-A62EFF666E3E}">
          <x14:id>{705459ED-3EBB-43EB-9985-77128B7FBE1E}</x14:id>
        </ext>
      </extLst>
    </cfRule>
  </conditionalFormatting>
  <conditionalFormatting sqref="G11:H20">
    <cfRule type="dataBar" priority="1">
      <dataBar>
        <cfvo type="num" val="0"/>
        <cfvo type="num" val="1"/>
        <color theme="0" tint="-0.249977111117893"/>
      </dataBar>
      <extLst>
        <ext xmlns:x14="http://schemas.microsoft.com/office/spreadsheetml/2009/9/main" uri="{B025F937-C7B1-47D3-B67F-A62EFF666E3E}">
          <x14:id>{1E2DAE4B-A2E8-4C29-B213-AF606B6DFEB2}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05459ED-3EBB-43EB-9985-77128B7FBE1E}">
            <x14:dataBar minLength="0" maxLength="100" gradient="0">
              <x14:cfvo type="num">
                <xm:f>0</xm:f>
              </x14:cfvo>
              <x14:cfvo type="num">
                <xm:f>1</xm:f>
              </x14:cfvo>
              <x14:negativeFillColor rgb="FFFF0000"/>
              <x14:axisColor rgb="FF000000"/>
            </x14:dataBar>
          </x14:cfRule>
          <xm:sqref>G2:H10</xm:sqref>
        </x14:conditionalFormatting>
        <x14:conditionalFormatting xmlns:xm="http://schemas.microsoft.com/office/excel/2006/main">
          <x14:cfRule type="dataBar" id="{1E2DAE4B-A2E8-4C29-B213-AF606B6DFEB2}">
            <x14:dataBar minLength="0" maxLength="100" gradient="0">
              <x14:cfvo type="num">
                <xm:f>0</xm:f>
              </x14:cfvo>
              <x14:cfvo type="num">
                <xm:f>1</xm:f>
              </x14:cfvo>
              <x14:negativeFillColor rgb="FFFF0000"/>
              <x14:axisColor rgb="FF000000"/>
            </x14:dataBar>
          </x14:cfRule>
          <xm:sqref>G11:H20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workbookViewId="0">
      <selection activeCell="D13" sqref="D13"/>
    </sheetView>
  </sheetViews>
  <sheetFormatPr defaultColWidth="8.88671875" defaultRowHeight="14.4" x14ac:dyDescent="0.3"/>
  <cols>
    <col min="2" max="2" width="27.88671875" customWidth="1"/>
    <col min="3" max="3" width="25.88671875" customWidth="1"/>
  </cols>
  <sheetData>
    <row r="1" spans="1:4" ht="29.4" thickBot="1" x14ac:dyDescent="0.35">
      <c r="A1" s="532" t="s">
        <v>1179</v>
      </c>
      <c r="B1" s="532"/>
      <c r="C1" s="312" t="s">
        <v>1087</v>
      </c>
    </row>
    <row r="2" spans="1:4" ht="15" thickBot="1" x14ac:dyDescent="0.35">
      <c r="A2" s="313"/>
      <c r="B2" s="314" t="s">
        <v>915</v>
      </c>
      <c r="C2" s="315" t="s">
        <v>1090</v>
      </c>
      <c r="D2" t="s">
        <v>1417</v>
      </c>
    </row>
    <row r="3" spans="1:4" ht="15" thickBot="1" x14ac:dyDescent="0.35">
      <c r="A3" s="316"/>
      <c r="B3" s="314" t="s">
        <v>939</v>
      </c>
      <c r="C3" s="375" t="s">
        <v>366</v>
      </c>
      <c r="D3" t="s">
        <v>1176</v>
      </c>
    </row>
    <row r="4" spans="1:4" ht="15" thickBot="1" x14ac:dyDescent="0.35">
      <c r="A4" s="316"/>
      <c r="B4" s="314" t="s">
        <v>948</v>
      </c>
      <c r="C4" s="315" t="s">
        <v>1089</v>
      </c>
    </row>
    <row r="5" spans="1:4" ht="15" thickBot="1" x14ac:dyDescent="0.35">
      <c r="A5" s="316"/>
      <c r="B5" s="314" t="s">
        <v>956</v>
      </c>
      <c r="C5" s="315" t="s">
        <v>1090</v>
      </c>
      <c r="D5" t="s">
        <v>1209</v>
      </c>
    </row>
    <row r="6" spans="1:4" ht="15" thickBot="1" x14ac:dyDescent="0.35">
      <c r="A6" s="316"/>
      <c r="B6" s="314" t="s">
        <v>959</v>
      </c>
      <c r="C6" s="315" t="s">
        <v>1090</v>
      </c>
      <c r="D6" t="s">
        <v>1091</v>
      </c>
    </row>
    <row r="7" spans="1:4" ht="15" thickBot="1" x14ac:dyDescent="0.35">
      <c r="A7" s="316"/>
      <c r="B7" s="314" t="s">
        <v>963</v>
      </c>
      <c r="C7" s="315" t="s">
        <v>1090</v>
      </c>
    </row>
    <row r="8" spans="1:4" ht="15" thickBot="1" x14ac:dyDescent="0.35">
      <c r="A8" s="316"/>
      <c r="B8" s="314" t="s">
        <v>967</v>
      </c>
      <c r="C8" s="315" t="s">
        <v>1090</v>
      </c>
      <c r="D8" t="s">
        <v>1177</v>
      </c>
    </row>
    <row r="9" spans="1:4" ht="15" thickBot="1" x14ac:dyDescent="0.35">
      <c r="A9" s="316"/>
      <c r="B9" s="314" t="s">
        <v>975</v>
      </c>
      <c r="C9" s="315" t="s">
        <v>1089</v>
      </c>
    </row>
    <row r="10" spans="1:4" ht="15" thickBot="1" x14ac:dyDescent="0.35">
      <c r="A10" s="316"/>
      <c r="B10" s="314" t="s">
        <v>977</v>
      </c>
      <c r="C10" s="315" t="s">
        <v>1090</v>
      </c>
    </row>
    <row r="11" spans="1:4" ht="15" thickBot="1" x14ac:dyDescent="0.35">
      <c r="A11" s="316"/>
      <c r="B11" s="314" t="s">
        <v>982</v>
      </c>
      <c r="C11" s="315" t="s">
        <v>1089</v>
      </c>
    </row>
    <row r="12" spans="1:4" ht="15" thickBot="1" x14ac:dyDescent="0.35">
      <c r="A12" s="317"/>
      <c r="B12" s="314" t="s">
        <v>381</v>
      </c>
      <c r="C12" s="315" t="s">
        <v>1090</v>
      </c>
    </row>
    <row r="13" spans="1:4" ht="15" thickBot="1" x14ac:dyDescent="0.35">
      <c r="A13" s="316"/>
      <c r="B13" s="318" t="s">
        <v>1088</v>
      </c>
      <c r="C13" s="319" t="s">
        <v>1090</v>
      </c>
    </row>
    <row r="14" spans="1:4" ht="15" thickBot="1" x14ac:dyDescent="0.35">
      <c r="A14" s="374"/>
      <c r="B14" s="314" t="s">
        <v>1178</v>
      </c>
      <c r="C14" s="315" t="s">
        <v>1090</v>
      </c>
      <c r="D14" t="s">
        <v>1194</v>
      </c>
    </row>
    <row r="15" spans="1:4" ht="15" thickBot="1" x14ac:dyDescent="0.35">
      <c r="A15" s="2"/>
      <c r="B15" s="314" t="s">
        <v>1097</v>
      </c>
      <c r="C15" s="315" t="s">
        <v>1090</v>
      </c>
    </row>
    <row r="16" spans="1:4" ht="15" thickBot="1" x14ac:dyDescent="0.35">
      <c r="B16" s="314" t="s">
        <v>1098</v>
      </c>
      <c r="C16" s="315" t="s">
        <v>1090</v>
      </c>
    </row>
    <row r="17" spans="2:4" ht="15" thickBot="1" x14ac:dyDescent="0.35">
      <c r="B17" s="314" t="s">
        <v>1099</v>
      </c>
      <c r="C17" s="315" t="s">
        <v>1090</v>
      </c>
      <c r="D17" t="s">
        <v>1433</v>
      </c>
    </row>
    <row r="18" spans="2:4" ht="15" thickBot="1" x14ac:dyDescent="0.35">
      <c r="B18" s="314" t="s">
        <v>1100</v>
      </c>
      <c r="C18" s="375" t="s">
        <v>1090</v>
      </c>
    </row>
    <row r="19" spans="2:4" x14ac:dyDescent="0.3">
      <c r="B19" s="469" t="s">
        <v>1434</v>
      </c>
      <c r="C19" s="470" t="s">
        <v>1090</v>
      </c>
    </row>
  </sheetData>
  <mergeCells count="1">
    <mergeCell ref="A1:B1"/>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0B001-58C8-42C1-8F56-4B56F294EE47}">
  <sheetPr>
    <tabColor theme="3"/>
    <pageSetUpPr fitToPage="1"/>
  </sheetPr>
  <dimension ref="A1:G55"/>
  <sheetViews>
    <sheetView showGridLines="0" topLeftCell="A28" zoomScaleNormal="100" workbookViewId="0">
      <selection activeCell="C20" sqref="C20"/>
    </sheetView>
  </sheetViews>
  <sheetFormatPr defaultColWidth="10" defaultRowHeight="30" customHeight="1" x14ac:dyDescent="0.3"/>
  <cols>
    <col min="1" max="1" width="21.109375" style="499" customWidth="1"/>
    <col min="2" max="2" width="33.33203125" style="499" customWidth="1"/>
    <col min="3" max="4" width="21.109375" style="499" customWidth="1"/>
    <col min="5" max="6" width="34.88671875" style="499" customWidth="1"/>
    <col min="7" max="7" width="18.88671875" style="499" customWidth="1"/>
    <col min="8" max="8" width="2.88671875" style="499" customWidth="1"/>
    <col min="9" max="16384" width="10" style="499"/>
  </cols>
  <sheetData>
    <row r="1" spans="1:7" ht="50.1" customHeight="1" x14ac:dyDescent="0.3">
      <c r="A1" s="533" t="s">
        <v>1499</v>
      </c>
      <c r="B1" s="533"/>
      <c r="C1" s="498"/>
      <c r="D1" s="498"/>
      <c r="E1" s="498"/>
      <c r="F1" s="498"/>
      <c r="G1" s="498"/>
    </row>
    <row r="2" spans="1:7" ht="40.200000000000003" customHeight="1" x14ac:dyDescent="0.4">
      <c r="A2" s="500" t="s">
        <v>1500</v>
      </c>
      <c r="B2" s="500" t="s">
        <v>1501</v>
      </c>
      <c r="C2" s="500" t="s">
        <v>1502</v>
      </c>
      <c r="D2" s="500" t="s">
        <v>1503</v>
      </c>
      <c r="E2" s="500" t="s">
        <v>1504</v>
      </c>
      <c r="F2" s="500" t="s">
        <v>1505</v>
      </c>
      <c r="G2" s="500" t="s">
        <v>867</v>
      </c>
    </row>
    <row r="3" spans="1:7" ht="69" customHeight="1" x14ac:dyDescent="0.35">
      <c r="A3" s="512" t="s">
        <v>1088</v>
      </c>
      <c r="B3" s="512" t="s">
        <v>1145</v>
      </c>
      <c r="C3" s="513">
        <v>4168268160</v>
      </c>
      <c r="D3" s="514"/>
      <c r="E3" s="515" t="s">
        <v>1506</v>
      </c>
      <c r="F3" s="516" t="s">
        <v>1507</v>
      </c>
      <c r="G3" s="501"/>
    </row>
    <row r="4" spans="1:7" ht="69" customHeight="1" x14ac:dyDescent="0.35">
      <c r="A4" s="512" t="s">
        <v>1088</v>
      </c>
      <c r="B4" s="512" t="s">
        <v>1508</v>
      </c>
      <c r="C4" s="513">
        <v>9053203031</v>
      </c>
      <c r="D4" s="514"/>
      <c r="E4" s="515" t="s">
        <v>1509</v>
      </c>
      <c r="F4" s="516" t="s">
        <v>1507</v>
      </c>
      <c r="G4" s="501"/>
    </row>
    <row r="5" spans="1:7" ht="69" customHeight="1" x14ac:dyDescent="0.35">
      <c r="A5" s="512" t="s">
        <v>1088</v>
      </c>
      <c r="B5" s="512" t="s">
        <v>1510</v>
      </c>
      <c r="C5" s="513"/>
      <c r="D5" s="514"/>
      <c r="E5" s="515" t="s">
        <v>1511</v>
      </c>
      <c r="F5" s="516" t="s">
        <v>1512</v>
      </c>
      <c r="G5" s="501"/>
    </row>
    <row r="6" spans="1:7" ht="69" customHeight="1" x14ac:dyDescent="0.35">
      <c r="A6" s="512" t="s">
        <v>1088</v>
      </c>
      <c r="B6" s="512" t="s">
        <v>1513</v>
      </c>
      <c r="C6" s="513">
        <v>6473381468</v>
      </c>
      <c r="D6" s="514"/>
      <c r="E6" s="515" t="s">
        <v>1514</v>
      </c>
      <c r="F6" s="516" t="s">
        <v>1507</v>
      </c>
      <c r="G6" s="501"/>
    </row>
    <row r="7" spans="1:7" ht="30" customHeight="1" x14ac:dyDescent="0.35">
      <c r="A7" s="512" t="s">
        <v>902</v>
      </c>
      <c r="B7" s="512" t="s">
        <v>1515</v>
      </c>
      <c r="C7" s="513">
        <v>7809748010</v>
      </c>
      <c r="D7" s="514"/>
      <c r="E7" s="515" t="s">
        <v>1516</v>
      </c>
      <c r="F7" s="516" t="s">
        <v>1517</v>
      </c>
      <c r="G7" s="501"/>
    </row>
    <row r="8" spans="1:7" ht="30" customHeight="1" x14ac:dyDescent="0.35">
      <c r="A8" s="512" t="s">
        <v>902</v>
      </c>
      <c r="B8" s="512" t="s">
        <v>1518</v>
      </c>
      <c r="C8" s="513">
        <v>2368335251</v>
      </c>
      <c r="D8" s="514"/>
      <c r="E8" s="515" t="s">
        <v>1519</v>
      </c>
      <c r="F8" s="516" t="s">
        <v>1520</v>
      </c>
      <c r="G8" s="501"/>
    </row>
    <row r="9" spans="1:7" ht="30" customHeight="1" x14ac:dyDescent="0.35">
      <c r="A9" s="512" t="s">
        <v>902</v>
      </c>
      <c r="B9" s="512" t="s">
        <v>1521</v>
      </c>
      <c r="C9" s="513">
        <v>7809347087</v>
      </c>
      <c r="D9" s="514"/>
      <c r="E9" s="515" t="s">
        <v>1522</v>
      </c>
      <c r="F9" s="516" t="s">
        <v>1523</v>
      </c>
      <c r="G9" s="501"/>
    </row>
    <row r="10" spans="1:7" ht="30" customHeight="1" x14ac:dyDescent="0.35">
      <c r="A10" s="512" t="s">
        <v>902</v>
      </c>
      <c r="B10" s="512" t="s">
        <v>1524</v>
      </c>
      <c r="C10" s="513">
        <v>7807204226</v>
      </c>
      <c r="D10" s="514"/>
      <c r="E10" s="515" t="s">
        <v>1525</v>
      </c>
      <c r="F10" s="516" t="s">
        <v>1523</v>
      </c>
      <c r="G10" s="501"/>
    </row>
    <row r="11" spans="1:7" ht="30" customHeight="1" x14ac:dyDescent="0.35">
      <c r="A11" s="512" t="s">
        <v>902</v>
      </c>
      <c r="B11" s="512" t="s">
        <v>1526</v>
      </c>
      <c r="C11" s="513">
        <v>7809835216</v>
      </c>
      <c r="D11" s="514"/>
      <c r="E11" s="515" t="s">
        <v>1527</v>
      </c>
      <c r="F11" s="516" t="s">
        <v>1528</v>
      </c>
      <c r="G11" s="501"/>
    </row>
    <row r="12" spans="1:7" ht="30" customHeight="1" x14ac:dyDescent="0.35">
      <c r="A12" s="512" t="s">
        <v>902</v>
      </c>
      <c r="B12" s="512" t="s">
        <v>1529</v>
      </c>
      <c r="C12" s="513">
        <v>2045584669</v>
      </c>
      <c r="D12" s="514"/>
      <c r="E12" s="515" t="s">
        <v>1530</v>
      </c>
      <c r="F12" s="516" t="s">
        <v>1531</v>
      </c>
      <c r="G12" s="501"/>
    </row>
    <row r="13" spans="1:7" ht="30" customHeight="1" x14ac:dyDescent="0.35">
      <c r="A13" s="512" t="s">
        <v>902</v>
      </c>
      <c r="B13" s="512" t="s">
        <v>1532</v>
      </c>
      <c r="C13" s="513"/>
      <c r="D13" s="514"/>
      <c r="E13" s="515" t="s">
        <v>1533</v>
      </c>
      <c r="F13" s="516" t="s">
        <v>1534</v>
      </c>
      <c r="G13" s="501"/>
    </row>
    <row r="14" spans="1:7" ht="30" customHeight="1" x14ac:dyDescent="0.35">
      <c r="A14" s="512" t="s">
        <v>902</v>
      </c>
      <c r="B14" s="512" t="s">
        <v>1535</v>
      </c>
      <c r="C14" s="513"/>
      <c r="D14" s="514"/>
      <c r="E14" s="515" t="s">
        <v>1536</v>
      </c>
      <c r="F14" s="516" t="s">
        <v>1537</v>
      </c>
      <c r="G14" s="501"/>
    </row>
    <row r="15" spans="1:7" ht="30" customHeight="1" x14ac:dyDescent="0.35">
      <c r="A15" s="512" t="s">
        <v>902</v>
      </c>
      <c r="B15" s="512" t="s">
        <v>1538</v>
      </c>
      <c r="C15" s="513">
        <v>7806863285</v>
      </c>
      <c r="D15" s="514"/>
      <c r="E15" s="515" t="s">
        <v>1539</v>
      </c>
      <c r="F15" s="516" t="s">
        <v>1523</v>
      </c>
      <c r="G15" s="501"/>
    </row>
    <row r="16" spans="1:7" ht="30" customHeight="1" x14ac:dyDescent="0.35">
      <c r="A16" s="512" t="s">
        <v>902</v>
      </c>
      <c r="B16" s="512" t="s">
        <v>1540</v>
      </c>
      <c r="C16" s="513">
        <v>7809194664</v>
      </c>
      <c r="D16" s="514"/>
      <c r="E16" s="515" t="s">
        <v>1541</v>
      </c>
      <c r="F16" s="516" t="s">
        <v>1542</v>
      </c>
      <c r="G16" s="501"/>
    </row>
    <row r="17" spans="1:7" ht="30" customHeight="1" x14ac:dyDescent="0.35">
      <c r="A17" s="512" t="s">
        <v>902</v>
      </c>
      <c r="B17" s="512" t="s">
        <v>1543</v>
      </c>
      <c r="C17" s="513">
        <v>2369912757</v>
      </c>
      <c r="D17" s="514"/>
      <c r="E17" s="515" t="s">
        <v>1544</v>
      </c>
      <c r="F17" s="516" t="s">
        <v>1545</v>
      </c>
      <c r="G17" s="501"/>
    </row>
    <row r="18" spans="1:7" ht="30" customHeight="1" x14ac:dyDescent="0.35">
      <c r="A18" s="512" t="s">
        <v>902</v>
      </c>
      <c r="B18" s="512" t="s">
        <v>1546</v>
      </c>
      <c r="C18" s="513"/>
      <c r="D18" s="514"/>
      <c r="E18" s="515" t="s">
        <v>1547</v>
      </c>
      <c r="F18" s="516" t="s">
        <v>1534</v>
      </c>
      <c r="G18" s="501"/>
    </row>
    <row r="19" spans="1:7" ht="30" customHeight="1" x14ac:dyDescent="0.3">
      <c r="A19" s="521" t="s">
        <v>902</v>
      </c>
      <c r="B19" s="521" t="s">
        <v>1620</v>
      </c>
      <c r="C19" s="522">
        <v>7809646957</v>
      </c>
      <c r="D19" s="523"/>
      <c r="E19" s="515" t="s">
        <v>1723</v>
      </c>
      <c r="F19" s="524" t="s">
        <v>1724</v>
      </c>
      <c r="G19" s="525"/>
    </row>
    <row r="20" spans="1:7" ht="30" customHeight="1" x14ac:dyDescent="0.35">
      <c r="A20" s="512" t="s">
        <v>902</v>
      </c>
      <c r="B20" s="512" t="s">
        <v>1548</v>
      </c>
      <c r="C20" s="513">
        <v>5879879460</v>
      </c>
      <c r="D20" s="514"/>
      <c r="E20" s="515" t="s">
        <v>1549</v>
      </c>
      <c r="F20" s="516" t="s">
        <v>1550</v>
      </c>
      <c r="G20" s="501"/>
    </row>
    <row r="21" spans="1:7" ht="30" customHeight="1" x14ac:dyDescent="0.35">
      <c r="A21" s="512" t="s">
        <v>902</v>
      </c>
      <c r="B21" s="512" t="s">
        <v>1551</v>
      </c>
      <c r="C21" s="513">
        <v>7806193224</v>
      </c>
      <c r="D21" s="514"/>
      <c r="E21" s="515" t="s">
        <v>1552</v>
      </c>
      <c r="F21" s="516" t="s">
        <v>1553</v>
      </c>
      <c r="G21" s="501"/>
    </row>
    <row r="22" spans="1:7" ht="30" customHeight="1" x14ac:dyDescent="0.35">
      <c r="A22" s="512" t="s">
        <v>902</v>
      </c>
      <c r="B22" s="512" t="s">
        <v>1092</v>
      </c>
      <c r="C22" s="513"/>
      <c r="D22" s="514"/>
      <c r="E22" s="515" t="s">
        <v>1554</v>
      </c>
      <c r="F22" s="516" t="s">
        <v>1555</v>
      </c>
      <c r="G22" s="501"/>
    </row>
    <row r="23" spans="1:7" ht="30" customHeight="1" x14ac:dyDescent="0.35">
      <c r="A23" s="512" t="s">
        <v>901</v>
      </c>
      <c r="B23" s="512" t="s">
        <v>1556</v>
      </c>
      <c r="C23" s="513">
        <v>6478938908</v>
      </c>
      <c r="D23" s="514"/>
      <c r="E23" s="515" t="s">
        <v>1557</v>
      </c>
      <c r="F23" s="516" t="s">
        <v>1534</v>
      </c>
      <c r="G23" s="501"/>
    </row>
    <row r="24" spans="1:7" ht="30" customHeight="1" x14ac:dyDescent="0.35">
      <c r="A24" s="512" t="s">
        <v>901</v>
      </c>
      <c r="B24" s="512" t="s">
        <v>1558</v>
      </c>
      <c r="C24" s="513">
        <v>4167990798</v>
      </c>
      <c r="D24" s="514"/>
      <c r="E24" s="515" t="s">
        <v>1559</v>
      </c>
      <c r="F24" s="516" t="s">
        <v>1537</v>
      </c>
      <c r="G24" s="501"/>
    </row>
    <row r="25" spans="1:7" ht="30" customHeight="1" x14ac:dyDescent="0.35">
      <c r="A25" s="512" t="s">
        <v>901</v>
      </c>
      <c r="B25" s="512" t="s">
        <v>1560</v>
      </c>
      <c r="C25" s="513">
        <v>6472126477</v>
      </c>
      <c r="D25" s="514"/>
      <c r="E25" s="515" t="s">
        <v>1561</v>
      </c>
      <c r="F25" s="516" t="s">
        <v>1523</v>
      </c>
      <c r="G25" s="501"/>
    </row>
    <row r="26" spans="1:7" ht="30" customHeight="1" x14ac:dyDescent="0.3">
      <c r="A26" s="512" t="s">
        <v>901</v>
      </c>
      <c r="B26" s="512" t="s">
        <v>1649</v>
      </c>
      <c r="C26" s="517"/>
      <c r="D26" s="514"/>
      <c r="E26" s="515" t="s">
        <v>1650</v>
      </c>
      <c r="F26" s="516" t="s">
        <v>1651</v>
      </c>
      <c r="G26" s="518"/>
    </row>
    <row r="27" spans="1:7" ht="30" customHeight="1" x14ac:dyDescent="0.35">
      <c r="A27" s="512" t="s">
        <v>901</v>
      </c>
      <c r="B27" s="512" t="s">
        <v>1562</v>
      </c>
      <c r="C27" s="513">
        <v>2054276587</v>
      </c>
      <c r="D27" s="514"/>
      <c r="E27" s="515" t="s">
        <v>1563</v>
      </c>
      <c r="F27" s="516" t="s">
        <v>1564</v>
      </c>
      <c r="G27" s="501"/>
    </row>
    <row r="28" spans="1:7" ht="30" customHeight="1" x14ac:dyDescent="0.35">
      <c r="A28" s="512" t="s">
        <v>901</v>
      </c>
      <c r="B28" s="512" t="s">
        <v>1652</v>
      </c>
      <c r="C28" s="513">
        <v>6475760345</v>
      </c>
      <c r="D28" s="514"/>
      <c r="E28" s="515" t="s">
        <v>1653</v>
      </c>
      <c r="F28" s="516" t="s">
        <v>1654</v>
      </c>
      <c r="G28" s="518"/>
    </row>
    <row r="29" spans="1:7" ht="30" customHeight="1" x14ac:dyDescent="0.3">
      <c r="A29" s="512" t="s">
        <v>901</v>
      </c>
      <c r="B29" s="512" t="s">
        <v>1565</v>
      </c>
      <c r="C29" s="517"/>
      <c r="D29" s="514"/>
      <c r="E29" s="515" t="s">
        <v>1566</v>
      </c>
      <c r="F29" s="516" t="s">
        <v>1567</v>
      </c>
      <c r="G29" s="501"/>
    </row>
    <row r="30" spans="1:7" ht="30" customHeight="1" x14ac:dyDescent="0.3">
      <c r="A30" s="512" t="s">
        <v>901</v>
      </c>
      <c r="B30" s="512" t="s">
        <v>1655</v>
      </c>
      <c r="C30" s="517"/>
      <c r="D30" s="514"/>
      <c r="E30" s="515" t="s">
        <v>1656</v>
      </c>
      <c r="F30" s="516" t="s">
        <v>1657</v>
      </c>
      <c r="G30" s="518"/>
    </row>
    <row r="31" spans="1:7" ht="30" customHeight="1" x14ac:dyDescent="0.35">
      <c r="A31" s="512" t="s">
        <v>901</v>
      </c>
      <c r="B31" s="512" t="s">
        <v>1658</v>
      </c>
      <c r="C31" s="513">
        <v>9989475327</v>
      </c>
      <c r="D31" s="514"/>
      <c r="E31" s="515" t="s">
        <v>1659</v>
      </c>
      <c r="F31" s="516" t="s">
        <v>1660</v>
      </c>
      <c r="G31" s="518"/>
    </row>
    <row r="32" spans="1:7" ht="30" customHeight="1" x14ac:dyDescent="0.35">
      <c r="A32" s="512" t="s">
        <v>901</v>
      </c>
      <c r="B32" s="512" t="s">
        <v>1661</v>
      </c>
      <c r="C32" s="513">
        <v>8978306909</v>
      </c>
      <c r="D32" s="514"/>
      <c r="E32" s="515" t="s">
        <v>1662</v>
      </c>
      <c r="F32" s="516" t="s">
        <v>1663</v>
      </c>
      <c r="G32" s="518"/>
    </row>
    <row r="33" spans="1:7" ht="30" customHeight="1" x14ac:dyDescent="0.3">
      <c r="A33" s="512" t="s">
        <v>901</v>
      </c>
      <c r="B33" s="512" t="s">
        <v>1664</v>
      </c>
      <c r="C33" s="517">
        <v>7893149141</v>
      </c>
      <c r="D33" s="514"/>
      <c r="E33" s="515" t="s">
        <v>1665</v>
      </c>
      <c r="F33" s="516" t="s">
        <v>1663</v>
      </c>
      <c r="G33" s="518"/>
    </row>
    <row r="34" spans="1:7" ht="30" customHeight="1" x14ac:dyDescent="0.35">
      <c r="A34" s="512" t="s">
        <v>901</v>
      </c>
      <c r="B34" s="512" t="s">
        <v>1666</v>
      </c>
      <c r="C34" s="513">
        <v>9886054926</v>
      </c>
      <c r="D34" s="514"/>
      <c r="E34" s="515" t="s">
        <v>1667</v>
      </c>
      <c r="F34" s="516" t="s">
        <v>1668</v>
      </c>
      <c r="G34" s="518"/>
    </row>
    <row r="35" spans="1:7" ht="30" customHeight="1" x14ac:dyDescent="0.35">
      <c r="A35" s="512" t="s">
        <v>901</v>
      </c>
      <c r="B35" s="512" t="s">
        <v>1669</v>
      </c>
      <c r="C35" s="513">
        <v>9490793420</v>
      </c>
      <c r="D35" s="514"/>
      <c r="E35" s="515" t="s">
        <v>1670</v>
      </c>
      <c r="F35" s="516" t="s">
        <v>1671</v>
      </c>
      <c r="G35" s="518"/>
    </row>
    <row r="36" spans="1:7" ht="30" customHeight="1" x14ac:dyDescent="0.35">
      <c r="A36" s="512" t="s">
        <v>901</v>
      </c>
      <c r="B36" s="512" t="s">
        <v>1672</v>
      </c>
      <c r="C36" s="519">
        <v>9948053807</v>
      </c>
      <c r="D36" s="514"/>
      <c r="E36" s="515" t="s">
        <v>1673</v>
      </c>
      <c r="F36" s="516" t="s">
        <v>1674</v>
      </c>
      <c r="G36" s="518"/>
    </row>
    <row r="37" spans="1:7" ht="30" customHeight="1" x14ac:dyDescent="0.35">
      <c r="A37" s="512" t="s">
        <v>901</v>
      </c>
      <c r="B37" s="512" t="s">
        <v>1675</v>
      </c>
      <c r="C37" s="519">
        <v>9885052849</v>
      </c>
      <c r="D37" s="514"/>
      <c r="E37" s="515" t="s">
        <v>1676</v>
      </c>
      <c r="F37" s="516" t="s">
        <v>1677</v>
      </c>
      <c r="G37" s="518"/>
    </row>
    <row r="38" spans="1:7" ht="30" customHeight="1" x14ac:dyDescent="0.35">
      <c r="A38" s="512" t="s">
        <v>901</v>
      </c>
      <c r="B38" s="512" t="s">
        <v>1678</v>
      </c>
      <c r="C38" s="519">
        <v>9866273937</v>
      </c>
      <c r="D38" s="514"/>
      <c r="E38" s="515" t="s">
        <v>1679</v>
      </c>
      <c r="F38" s="516" t="s">
        <v>1677</v>
      </c>
      <c r="G38" s="518"/>
    </row>
    <row r="39" spans="1:7" ht="30" customHeight="1" x14ac:dyDescent="0.35">
      <c r="A39" s="512" t="s">
        <v>901</v>
      </c>
      <c r="B39" s="512" t="s">
        <v>1680</v>
      </c>
      <c r="C39" s="519">
        <v>9908225443</v>
      </c>
      <c r="D39" s="514"/>
      <c r="E39" s="515" t="s">
        <v>1681</v>
      </c>
      <c r="F39" s="516" t="s">
        <v>1682</v>
      </c>
      <c r="G39" s="518"/>
    </row>
    <row r="40" spans="1:7" ht="30" customHeight="1" x14ac:dyDescent="0.35">
      <c r="A40" s="512" t="s">
        <v>901</v>
      </c>
      <c r="B40" s="512" t="s">
        <v>1683</v>
      </c>
      <c r="C40" s="519">
        <v>9059282576</v>
      </c>
      <c r="D40" s="514"/>
      <c r="E40" s="515" t="s">
        <v>1684</v>
      </c>
      <c r="F40" s="516" t="s">
        <v>1685</v>
      </c>
      <c r="G40" s="518"/>
    </row>
    <row r="41" spans="1:7" ht="30" customHeight="1" x14ac:dyDescent="0.35">
      <c r="A41" s="512" t="s">
        <v>901</v>
      </c>
      <c r="B41" s="512" t="s">
        <v>1686</v>
      </c>
      <c r="C41" s="519">
        <v>8220933442</v>
      </c>
      <c r="D41" s="514"/>
      <c r="E41" s="515" t="s">
        <v>1687</v>
      </c>
      <c r="F41" s="516" t="s">
        <v>1688</v>
      </c>
      <c r="G41" s="518"/>
    </row>
    <row r="42" spans="1:7" ht="30" customHeight="1" x14ac:dyDescent="0.35">
      <c r="A42" s="512" t="s">
        <v>901</v>
      </c>
      <c r="B42" s="512" t="s">
        <v>1689</v>
      </c>
      <c r="C42" s="519">
        <v>9553752419</v>
      </c>
      <c r="D42" s="514"/>
      <c r="E42" s="515" t="s">
        <v>1690</v>
      </c>
      <c r="F42" s="516" t="s">
        <v>1688</v>
      </c>
      <c r="G42" s="518"/>
    </row>
    <row r="43" spans="1:7" ht="30" customHeight="1" x14ac:dyDescent="0.35">
      <c r="A43" s="512" t="s">
        <v>901</v>
      </c>
      <c r="B43" s="512" t="s">
        <v>1691</v>
      </c>
      <c r="C43" s="519">
        <v>8464912238</v>
      </c>
      <c r="D43" s="514"/>
      <c r="E43" s="515" t="s">
        <v>1692</v>
      </c>
      <c r="F43" s="516" t="s">
        <v>1688</v>
      </c>
      <c r="G43" s="518"/>
    </row>
    <row r="44" spans="1:7" ht="30" customHeight="1" x14ac:dyDescent="0.35">
      <c r="A44" s="512" t="s">
        <v>901</v>
      </c>
      <c r="B44" s="512" t="s">
        <v>1693</v>
      </c>
      <c r="C44" s="519">
        <v>9100331704</v>
      </c>
      <c r="D44" s="514"/>
      <c r="E44" s="515" t="s">
        <v>1694</v>
      </c>
      <c r="F44" s="516" t="s">
        <v>1688</v>
      </c>
      <c r="G44" s="518"/>
    </row>
    <row r="45" spans="1:7" ht="30" customHeight="1" x14ac:dyDescent="0.35">
      <c r="A45" s="512" t="s">
        <v>901</v>
      </c>
      <c r="B45" s="512" t="s">
        <v>1695</v>
      </c>
      <c r="C45" s="519">
        <v>8801091876</v>
      </c>
      <c r="D45" s="514"/>
      <c r="E45" s="515" t="s">
        <v>1696</v>
      </c>
      <c r="F45" s="516" t="s">
        <v>1688</v>
      </c>
      <c r="G45" s="518"/>
    </row>
    <row r="46" spans="1:7" ht="30" customHeight="1" x14ac:dyDescent="0.35">
      <c r="A46" s="512" t="s">
        <v>901</v>
      </c>
      <c r="B46" s="512" t="s">
        <v>1697</v>
      </c>
      <c r="C46" s="519">
        <v>9791152624</v>
      </c>
      <c r="D46" s="514"/>
      <c r="E46" s="515" t="s">
        <v>1698</v>
      </c>
      <c r="F46" s="516" t="s">
        <v>1688</v>
      </c>
      <c r="G46" s="518"/>
    </row>
    <row r="47" spans="1:7" ht="30" customHeight="1" x14ac:dyDescent="0.35">
      <c r="A47" s="512" t="s">
        <v>901</v>
      </c>
      <c r="B47" s="512" t="s">
        <v>1699</v>
      </c>
      <c r="C47" s="519">
        <v>9160467047</v>
      </c>
      <c r="D47" s="514"/>
      <c r="E47" s="515" t="s">
        <v>1700</v>
      </c>
      <c r="F47" s="516" t="s">
        <v>1688</v>
      </c>
      <c r="G47" s="518"/>
    </row>
    <row r="48" spans="1:7" ht="30" customHeight="1" x14ac:dyDescent="0.35">
      <c r="A48" s="512" t="s">
        <v>901</v>
      </c>
      <c r="B48" s="512" t="s">
        <v>1701</v>
      </c>
      <c r="C48" s="519">
        <v>6301215082</v>
      </c>
      <c r="D48" s="514"/>
      <c r="E48" s="515" t="s">
        <v>1702</v>
      </c>
      <c r="F48" s="516" t="s">
        <v>1688</v>
      </c>
      <c r="G48" s="518"/>
    </row>
    <row r="49" spans="1:7" ht="30" customHeight="1" x14ac:dyDescent="0.35">
      <c r="A49" s="512" t="s">
        <v>901</v>
      </c>
      <c r="B49" s="512" t="s">
        <v>1703</v>
      </c>
      <c r="C49" s="519" t="s">
        <v>1704</v>
      </c>
      <c r="D49" s="514"/>
      <c r="E49" s="515" t="s">
        <v>1705</v>
      </c>
      <c r="F49" s="516" t="s">
        <v>1528</v>
      </c>
      <c r="G49" s="518"/>
    </row>
    <row r="50" spans="1:7" ht="30" customHeight="1" x14ac:dyDescent="0.35">
      <c r="A50" s="512" t="s">
        <v>901</v>
      </c>
      <c r="B50" s="512" t="s">
        <v>1706</v>
      </c>
      <c r="C50" s="519" t="s">
        <v>1707</v>
      </c>
      <c r="D50" s="514"/>
      <c r="E50" s="515" t="s">
        <v>1708</v>
      </c>
      <c r="F50" s="516" t="s">
        <v>1528</v>
      </c>
      <c r="G50" s="518"/>
    </row>
    <row r="51" spans="1:7" ht="30" customHeight="1" x14ac:dyDescent="0.35">
      <c r="A51" s="512" t="s">
        <v>901</v>
      </c>
      <c r="B51" s="512" t="s">
        <v>1709</v>
      </c>
      <c r="C51" s="519">
        <v>7569096888</v>
      </c>
      <c r="D51" s="514"/>
      <c r="E51" s="515" t="s">
        <v>1710</v>
      </c>
      <c r="F51" s="516" t="s">
        <v>1711</v>
      </c>
      <c r="G51" s="518"/>
    </row>
    <row r="52" spans="1:7" ht="30" customHeight="1" x14ac:dyDescent="0.35">
      <c r="A52" s="512" t="s">
        <v>901</v>
      </c>
      <c r="B52" s="512" t="s">
        <v>1712</v>
      </c>
      <c r="C52" s="519">
        <v>9030138256</v>
      </c>
      <c r="D52" s="514"/>
      <c r="E52" s="515" t="s">
        <v>1713</v>
      </c>
      <c r="F52" s="516" t="s">
        <v>1711</v>
      </c>
      <c r="G52" s="518"/>
    </row>
    <row r="53" spans="1:7" ht="30" customHeight="1" x14ac:dyDescent="0.3">
      <c r="A53" s="512" t="s">
        <v>901</v>
      </c>
      <c r="B53" s="512" t="s">
        <v>1714</v>
      </c>
      <c r="C53" s="517">
        <v>8157930268</v>
      </c>
      <c r="D53" s="514"/>
      <c r="E53" s="514" t="s">
        <v>1715</v>
      </c>
      <c r="F53" s="516" t="s">
        <v>1716</v>
      </c>
      <c r="G53" s="518"/>
    </row>
    <row r="54" spans="1:7" ht="30" customHeight="1" x14ac:dyDescent="0.3">
      <c r="A54" s="512" t="s">
        <v>901</v>
      </c>
      <c r="B54" s="512" t="s">
        <v>1717</v>
      </c>
      <c r="C54" s="517"/>
      <c r="D54" s="514"/>
      <c r="E54" s="514" t="s">
        <v>1718</v>
      </c>
      <c r="F54" s="516" t="s">
        <v>1719</v>
      </c>
      <c r="G54" s="518"/>
    </row>
    <row r="55" spans="1:7" ht="30" customHeight="1" x14ac:dyDescent="0.3">
      <c r="A55" s="512" t="s">
        <v>901</v>
      </c>
      <c r="B55" s="512" t="s">
        <v>1720</v>
      </c>
      <c r="C55" s="520">
        <v>593990361401</v>
      </c>
      <c r="D55" s="514"/>
      <c r="E55" s="514" t="s">
        <v>1721</v>
      </c>
      <c r="F55" s="516" t="s">
        <v>1722</v>
      </c>
      <c r="G55" s="518"/>
    </row>
  </sheetData>
  <mergeCells count="1">
    <mergeCell ref="A1:B1"/>
  </mergeCells>
  <conditionalFormatting sqref="A2:G2">
    <cfRule type="expression" dxfId="112" priority="1">
      <formula>$A$2="Row Labels"</formula>
    </cfRule>
  </conditionalFormatting>
  <dataValidations count="7">
    <dataValidation allowBlank="1" showInputMessage="1" showErrorMessage="1" prompt="Enter any Notes in this column under this heading" sqref="G2" xr:uid="{74C08A6C-0B8B-47D7-A8BE-1DFB6620CBDE}"/>
    <dataValidation allowBlank="1" showInputMessage="1" showErrorMessage="1" prompt="Enter Address in this column under this heading" sqref="F2" xr:uid="{3D1AA47E-77D3-49F7-AD7C-7B25C24D6FAB}"/>
    <dataValidation allowBlank="1" showInputMessage="1" showErrorMessage="1" prompt="Enter Email address in this column under this heading" sqref="E2" xr:uid="{0D28679A-306E-4977-8087-807C7CCC3AF8}"/>
    <dataValidation allowBlank="1" showInputMessage="1" showErrorMessage="1" prompt="Enter Home Phone number in this column under this heading" sqref="D2" xr:uid="{6C99FCA5-55D4-4CD7-9A28-89D31269A571}"/>
    <dataValidation allowBlank="1" showInputMessage="1" showErrorMessage="1" prompt="Enter Cell Phone number in this column under this heading" sqref="C2" xr:uid="{477D3D15-70CB-4A64-86C7-11CDA672089B}"/>
    <dataValidation allowBlank="1" showInputMessage="1" showErrorMessage="1" prompt="Enter First Name in this column under this heading" sqref="B2" xr:uid="{7E648C8C-09B6-407B-AD71-17FBE45CAF9B}"/>
    <dataValidation allowBlank="1" showInputMessage="1" showErrorMessage="1" prompt="Enter Last Name in this column under this heading. Use heading filters to find specific entries" sqref="A2" xr:uid="{17EA0632-E0B2-4AAD-8038-B1A4EAA1F745}"/>
  </dataValidations>
  <hyperlinks>
    <hyperlink ref="E8" r:id="rId1" xr:uid="{8FDA79C6-411F-429B-8EEC-62F9E5EC9CBE}"/>
    <hyperlink ref="E20" r:id="rId2" xr:uid="{94FBEBE5-A867-4CD9-8391-85DA506A9BBA}"/>
    <hyperlink ref="E7" r:id="rId3" xr:uid="{72E8F403-A628-4443-85F9-E8CA1592D225}"/>
    <hyperlink ref="E16" r:id="rId4" xr:uid="{3CEFBF62-5888-4973-BED5-078BD55517C9}"/>
    <hyperlink ref="E9" r:id="rId5" xr:uid="{0096FA68-5526-424D-AD83-F304BFC47376}"/>
    <hyperlink ref="E10" r:id="rId6" xr:uid="{8A4C2F1E-C653-4457-BD42-EF71924F9367}"/>
    <hyperlink ref="E15" r:id="rId7" xr:uid="{4A2D3BB0-08FD-4559-BE7A-C2E90328D8A6}"/>
    <hyperlink ref="E22" r:id="rId8" xr:uid="{E91560AF-9E6F-4E86-BF23-68C8313020AA}"/>
    <hyperlink ref="E17" r:id="rId9" xr:uid="{181A8508-5957-470C-BD1A-C79E00E586DD}"/>
    <hyperlink ref="E18" r:id="rId10" xr:uid="{BADFA726-03FA-43D0-A508-38CCCF346175}"/>
    <hyperlink ref="E13" r:id="rId11" xr:uid="{E9B133B5-80FA-4508-9BD3-8E3462C1A3D7}"/>
    <hyperlink ref="E6" r:id="rId12" xr:uid="{ACD6B092-88D9-4C65-9881-F388E4D063B0}"/>
    <hyperlink ref="E3" r:id="rId13" xr:uid="{12A0E893-9778-4134-8EAA-1E4E1F4CB050}"/>
    <hyperlink ref="E14" r:id="rId14" xr:uid="{11933C35-5755-472E-96F7-1106E3E73808}"/>
    <hyperlink ref="E11" r:id="rId15" xr:uid="{FF71FEE2-842D-4362-88B2-56E6CCF20188}"/>
    <hyperlink ref="E5" r:id="rId16" xr:uid="{CD7E62CA-393E-489B-BD63-5D9524C078F3}"/>
    <hyperlink ref="E12" r:id="rId17" xr:uid="{C8BCDD68-D0EA-4E63-BE1F-FD8FBFDA65B2}"/>
    <hyperlink ref="E21" r:id="rId18" xr:uid="{509D7623-6115-45C8-A0F7-F84D1471011E}"/>
    <hyperlink ref="E25" r:id="rId19" xr:uid="{A37273FD-818D-4066-AA32-279225DC3A26}"/>
    <hyperlink ref="E27" r:id="rId20" xr:uid="{EA8715C3-533B-4A3F-A873-CD2172A079FD}"/>
    <hyperlink ref="E24" r:id="rId21" xr:uid="{1381D002-79C0-49AB-9BA7-B8E305F50C60}"/>
    <hyperlink ref="E23" r:id="rId22" xr:uid="{D5EEFF0D-C13B-47FC-B409-2A017F52DA01}"/>
    <hyperlink ref="E29" r:id="rId23" xr:uid="{19808AF5-8935-4034-9115-31D1EFD843ED}"/>
    <hyperlink ref="E30" r:id="rId24" xr:uid="{F08D1157-2EF2-474C-B481-74689F951C36}"/>
    <hyperlink ref="E31" r:id="rId25" xr:uid="{12E09F5E-C40E-4CE0-961B-7D3DE3C7864D}"/>
    <hyperlink ref="E32" r:id="rId26" xr:uid="{73136DE4-92B1-440A-999C-81A94F523997}"/>
    <hyperlink ref="E34" r:id="rId27" xr:uid="{60A4D8A3-ACF3-48D5-BD41-F1C1232DCEF0}"/>
    <hyperlink ref="E35" r:id="rId28" xr:uid="{13B88F6E-55C0-4AB8-9C9D-421902488492}"/>
    <hyperlink ref="E36" r:id="rId29" xr:uid="{1BF25870-5197-4CFA-BC5A-37FD35BC7D9F}"/>
    <hyperlink ref="E37" r:id="rId30" xr:uid="{6E288A36-D743-4CD6-AA06-FA0763B7AABC}"/>
    <hyperlink ref="E38" r:id="rId31" xr:uid="{615B34E5-90B2-411D-BDA1-6625F0166DDB}"/>
    <hyperlink ref="E39" r:id="rId32" xr:uid="{EA5BB6E2-39A5-46F9-85F3-4C50E45B05DE}"/>
    <hyperlink ref="E40" r:id="rId33" xr:uid="{7D0199B0-82D0-46C6-8DE1-AFB77DCC1202}"/>
    <hyperlink ref="E41" r:id="rId34" xr:uid="{F313BA18-178C-4AEC-9C59-53F2CE1C1036}"/>
    <hyperlink ref="E42" r:id="rId35" xr:uid="{81B23F64-942D-47AC-8974-A4FBC96D5A23}"/>
    <hyperlink ref="E43" r:id="rId36" xr:uid="{451A784B-DB1D-4700-9CA6-59CA6E22B272}"/>
    <hyperlink ref="E44" r:id="rId37" xr:uid="{777E221B-49C7-47C9-846D-DEF73293440C}"/>
    <hyperlink ref="E45" r:id="rId38" xr:uid="{12A7E68B-D0CC-4D2C-A820-F939B52E27CA}"/>
    <hyperlink ref="E46" r:id="rId39" xr:uid="{19E8D004-3834-44A1-8BB7-3D229A0B3496}"/>
    <hyperlink ref="E47" r:id="rId40" xr:uid="{068AA4A1-19E3-44E0-8E9C-D963C29C699A}"/>
    <hyperlink ref="E48" r:id="rId41" xr:uid="{667A0F89-42D2-4FB5-8448-540C8FC293C0}"/>
    <hyperlink ref="E49" r:id="rId42" xr:uid="{CEDA1C3C-2787-4148-930B-94000AB16ACF}"/>
    <hyperlink ref="E50" r:id="rId43" xr:uid="{CF369DA2-3010-477B-82ED-A92F2EC8115A}"/>
    <hyperlink ref="E51" r:id="rId44" xr:uid="{5639CA98-0240-4862-B285-571CF19991DA}"/>
    <hyperlink ref="E52" r:id="rId45" xr:uid="{33770240-161F-4EA4-BC44-2840423CA305}"/>
    <hyperlink ref="E28" r:id="rId46" xr:uid="{BAFD8FF1-F344-4477-8D68-AFDC97D062F6}"/>
    <hyperlink ref="E33" r:id="rId47" display="mailto:k.lakshmankumar@temenos.com" xr:uid="{046BE4AD-66A1-4CCF-A7F9-C9A182F4E1CD}"/>
    <hyperlink ref="E55" r:id="rId48" xr:uid="{F5DE70FB-CED8-44AA-81FC-CA3BCB8BDB23}"/>
    <hyperlink ref="E19" r:id="rId49" xr:uid="{BC0C3CB4-CD15-436A-B3F2-18A378E4FB6C}"/>
  </hyperlinks>
  <printOptions horizontalCentered="1"/>
  <pageMargins left="0.4" right="0.4" top="0.4" bottom="0.4" header="0.3" footer="0.3"/>
  <pageSetup scale="71" fitToHeight="0" orientation="landscape" r:id="rId50"/>
  <headerFooter differentFirst="1">
    <oddFooter>Page &amp;P of &amp;N</oddFooter>
  </headerFooter>
  <tableParts count="1">
    <tablePart r:id="rId5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tint="0.79998168889431442"/>
  </sheetPr>
  <dimension ref="B1:DZ30"/>
  <sheetViews>
    <sheetView showGridLines="0" workbookViewId="0">
      <pane xSplit="7" ySplit="4" topLeftCell="H5" activePane="bottomRight" state="frozen"/>
      <selection pane="topRight" activeCell="G1" sqref="G1"/>
      <selection pane="bottomLeft" activeCell="A5" sqref="A5"/>
      <selection pane="bottomRight" activeCell="B8" sqref="B8:B22"/>
    </sheetView>
  </sheetViews>
  <sheetFormatPr defaultColWidth="8.88671875" defaultRowHeight="14.4" x14ac:dyDescent="0.3"/>
  <cols>
    <col min="1" max="1" width="1.88671875" style="163" customWidth="1"/>
    <col min="2" max="2" width="12.109375" style="174" customWidth="1"/>
    <col min="3" max="3" width="40.109375" style="163" customWidth="1"/>
    <col min="4" max="4" width="9" style="163" bestFit="1" customWidth="1"/>
    <col min="5" max="5" width="9" style="264" customWidth="1"/>
    <col min="6" max="6" width="10.88671875" style="222" customWidth="1"/>
    <col min="7" max="7" width="11.109375" style="222" customWidth="1"/>
    <col min="8" max="9" width="3.44140625" style="163" customWidth="1"/>
    <col min="10" max="10" width="3.109375" style="163" customWidth="1"/>
    <col min="11" max="11" width="2.88671875" style="163" customWidth="1"/>
    <col min="12" max="60" width="2.44140625" style="163" customWidth="1"/>
    <col min="61" max="61" width="3.44140625" style="163" customWidth="1"/>
    <col min="62" max="62" width="3" style="163" customWidth="1"/>
    <col min="63" max="111" width="2.44140625" style="163" customWidth="1"/>
    <col min="112" max="16384" width="8.88671875" style="163"/>
  </cols>
  <sheetData>
    <row r="1" spans="2:130" ht="15" thickBot="1" x14ac:dyDescent="0.35">
      <c r="B1" s="163"/>
    </row>
    <row r="2" spans="2:130" ht="15" thickBot="1" x14ac:dyDescent="0.35">
      <c r="B2" s="163"/>
      <c r="H2" s="536">
        <v>44197</v>
      </c>
      <c r="I2" s="537"/>
      <c r="J2" s="537"/>
      <c r="K2" s="537"/>
      <c r="L2" s="537"/>
      <c r="M2" s="537"/>
      <c r="N2" s="537"/>
      <c r="O2" s="537"/>
      <c r="P2" s="537"/>
      <c r="Q2" s="537"/>
      <c r="R2" s="537"/>
      <c r="S2" s="537"/>
      <c r="T2" s="537"/>
      <c r="U2" s="537"/>
      <c r="V2" s="537"/>
      <c r="W2" s="537"/>
      <c r="X2" s="537"/>
      <c r="Y2" s="537"/>
      <c r="Z2" s="537"/>
      <c r="AA2" s="537"/>
      <c r="AB2" s="537"/>
      <c r="AC2" s="537"/>
      <c r="AD2" s="537"/>
      <c r="AE2" s="537"/>
      <c r="AF2" s="537"/>
      <c r="AG2" s="537"/>
      <c r="AH2" s="537"/>
      <c r="AI2" s="537"/>
      <c r="AJ2" s="537"/>
      <c r="AK2" s="537"/>
      <c r="AL2" s="537"/>
      <c r="AM2" s="537"/>
      <c r="AN2" s="537"/>
      <c r="AO2" s="537"/>
      <c r="AP2" s="537"/>
      <c r="AQ2" s="537"/>
      <c r="AR2" s="537"/>
      <c r="AS2" s="537"/>
      <c r="AT2" s="537"/>
      <c r="AU2" s="537"/>
      <c r="AV2" s="537"/>
      <c r="AW2" s="537"/>
      <c r="AX2" s="537"/>
      <c r="AY2" s="537"/>
      <c r="AZ2" s="537"/>
      <c r="BA2" s="537"/>
      <c r="BB2" s="537"/>
      <c r="BC2" s="537"/>
      <c r="BD2" s="537"/>
      <c r="BE2" s="537"/>
      <c r="BF2" s="537"/>
      <c r="BG2" s="538"/>
      <c r="BH2" s="536">
        <v>44562</v>
      </c>
      <c r="BI2" s="537"/>
      <c r="BJ2" s="537"/>
      <c r="BK2" s="537"/>
      <c r="BL2" s="537"/>
      <c r="BM2" s="537"/>
      <c r="BN2" s="537"/>
      <c r="BO2" s="537"/>
      <c r="BP2" s="537"/>
      <c r="BQ2" s="537"/>
      <c r="BR2" s="537"/>
      <c r="BS2" s="537"/>
      <c r="BT2" s="537"/>
      <c r="BU2" s="537"/>
      <c r="BV2" s="537"/>
      <c r="BW2" s="537"/>
      <c r="BX2" s="537"/>
      <c r="BY2" s="537"/>
      <c r="BZ2" s="537"/>
      <c r="CA2" s="537"/>
      <c r="CB2" s="537"/>
      <c r="CC2" s="537"/>
      <c r="CD2" s="537"/>
      <c r="CE2" s="537"/>
      <c r="CF2" s="537"/>
      <c r="CG2" s="537"/>
      <c r="CH2" s="537"/>
      <c r="CI2" s="537"/>
      <c r="CJ2" s="537"/>
      <c r="CK2" s="537"/>
      <c r="CL2" s="537"/>
      <c r="CM2" s="537"/>
      <c r="CN2" s="537"/>
      <c r="CO2" s="537"/>
      <c r="CP2" s="537"/>
      <c r="CQ2" s="537"/>
      <c r="CR2" s="537"/>
      <c r="CS2" s="537"/>
      <c r="CT2" s="537"/>
      <c r="CU2" s="537"/>
      <c r="CV2" s="537"/>
      <c r="CW2" s="537"/>
      <c r="CX2" s="537"/>
      <c r="CY2" s="537"/>
      <c r="CZ2" s="537"/>
      <c r="DA2" s="537"/>
      <c r="DB2" s="537"/>
      <c r="DC2" s="537"/>
      <c r="DD2" s="537"/>
      <c r="DE2" s="537"/>
      <c r="DF2" s="537"/>
      <c r="DG2" s="538"/>
    </row>
    <row r="3" spans="2:130" ht="15" thickBot="1" x14ac:dyDescent="0.35">
      <c r="B3" s="163"/>
      <c r="E3" s="265"/>
      <c r="H3" s="539" t="s">
        <v>868</v>
      </c>
      <c r="I3" s="534"/>
      <c r="J3" s="534"/>
      <c r="K3" s="535"/>
      <c r="L3" s="539" t="s">
        <v>869</v>
      </c>
      <c r="M3" s="534"/>
      <c r="N3" s="534"/>
      <c r="O3" s="535"/>
      <c r="P3" s="539" t="s">
        <v>870</v>
      </c>
      <c r="Q3" s="534"/>
      <c r="R3" s="534"/>
      <c r="S3" s="534"/>
      <c r="T3" s="535"/>
      <c r="U3" s="539" t="s">
        <v>871</v>
      </c>
      <c r="V3" s="534"/>
      <c r="W3" s="534"/>
      <c r="X3" s="535"/>
      <c r="Y3" s="539" t="s">
        <v>872</v>
      </c>
      <c r="Z3" s="534"/>
      <c r="AA3" s="534"/>
      <c r="AB3" s="534"/>
      <c r="AC3" s="535"/>
      <c r="AD3" s="539" t="s">
        <v>873</v>
      </c>
      <c r="AE3" s="534"/>
      <c r="AF3" s="534"/>
      <c r="AG3" s="535"/>
      <c r="AH3" s="539" t="s">
        <v>874</v>
      </c>
      <c r="AI3" s="534"/>
      <c r="AJ3" s="534"/>
      <c r="AK3" s="535"/>
      <c r="AL3" s="539" t="s">
        <v>875</v>
      </c>
      <c r="AM3" s="534"/>
      <c r="AN3" s="534"/>
      <c r="AO3" s="534"/>
      <c r="AP3" s="535"/>
      <c r="AQ3" s="539" t="s">
        <v>876</v>
      </c>
      <c r="AR3" s="534"/>
      <c r="AS3" s="534"/>
      <c r="AT3" s="535"/>
      <c r="AU3" s="539" t="s">
        <v>877</v>
      </c>
      <c r="AV3" s="534"/>
      <c r="AW3" s="534"/>
      <c r="AX3" s="535"/>
      <c r="AY3" s="539" t="s">
        <v>878</v>
      </c>
      <c r="AZ3" s="534"/>
      <c r="BA3" s="534"/>
      <c r="BB3" s="534"/>
      <c r="BC3" s="535"/>
      <c r="BD3" s="539" t="s">
        <v>879</v>
      </c>
      <c r="BE3" s="534"/>
      <c r="BF3" s="534"/>
      <c r="BG3" s="535"/>
      <c r="BH3" s="539">
        <f>BH4</f>
        <v>44564</v>
      </c>
      <c r="BI3" s="534"/>
      <c r="BJ3" s="534"/>
      <c r="BK3" s="534"/>
      <c r="BL3" s="535"/>
      <c r="BM3" s="539">
        <f>BM4</f>
        <v>44599</v>
      </c>
      <c r="BN3" s="534"/>
      <c r="BO3" s="534"/>
      <c r="BP3" s="535"/>
      <c r="BQ3" s="534">
        <f>BQ4</f>
        <v>44627</v>
      </c>
      <c r="BR3" s="534"/>
      <c r="BS3" s="534"/>
      <c r="BT3" s="535"/>
      <c r="BU3" s="539">
        <f>BU4</f>
        <v>44655</v>
      </c>
      <c r="BV3" s="534"/>
      <c r="BW3" s="534"/>
      <c r="BX3" s="535"/>
      <c r="BY3" s="539">
        <f>BY4</f>
        <v>44683</v>
      </c>
      <c r="BZ3" s="534"/>
      <c r="CA3" s="534"/>
      <c r="CB3" s="534"/>
      <c r="CC3" s="535"/>
      <c r="CD3" s="539">
        <f>CD4</f>
        <v>44718</v>
      </c>
      <c r="CE3" s="534"/>
      <c r="CF3" s="534"/>
      <c r="CG3" s="535"/>
      <c r="CH3" s="539">
        <f>CH4</f>
        <v>44746</v>
      </c>
      <c r="CI3" s="534"/>
      <c r="CJ3" s="534"/>
      <c r="CK3" s="535"/>
      <c r="CL3" s="539">
        <f>CL4</f>
        <v>44774</v>
      </c>
      <c r="CM3" s="534"/>
      <c r="CN3" s="534"/>
      <c r="CO3" s="534"/>
      <c r="CP3" s="535"/>
      <c r="CQ3" s="539">
        <f>CQ4</f>
        <v>44809</v>
      </c>
      <c r="CR3" s="534"/>
      <c r="CS3" s="534"/>
      <c r="CT3" s="535"/>
      <c r="CU3" s="539">
        <f>CU4</f>
        <v>44837</v>
      </c>
      <c r="CV3" s="534"/>
      <c r="CW3" s="534"/>
      <c r="CX3" s="534"/>
      <c r="CY3" s="535"/>
      <c r="CZ3" s="534">
        <f>CZ4</f>
        <v>44872</v>
      </c>
      <c r="DA3" s="534"/>
      <c r="DB3" s="534"/>
      <c r="DC3" s="535"/>
      <c r="DD3" s="534">
        <f>DD4</f>
        <v>44900</v>
      </c>
      <c r="DE3" s="534"/>
      <c r="DF3" s="534"/>
      <c r="DG3" s="535"/>
    </row>
    <row r="4" spans="2:130" ht="15" thickBot="1" x14ac:dyDescent="0.35">
      <c r="B4" s="164"/>
      <c r="C4" s="226"/>
      <c r="D4" s="271" t="s">
        <v>841</v>
      </c>
      <c r="E4" s="266" t="s">
        <v>880</v>
      </c>
      <c r="F4" s="272" t="s">
        <v>842</v>
      </c>
      <c r="G4" s="273" t="s">
        <v>843</v>
      </c>
      <c r="H4" s="175">
        <v>44200</v>
      </c>
      <c r="I4" s="176">
        <f>H4+7</f>
        <v>44207</v>
      </c>
      <c r="J4" s="176">
        <f>I4+7</f>
        <v>44214</v>
      </c>
      <c r="K4" s="177">
        <f t="shared" ref="K4:BH4" si="0">J4+7</f>
        <v>44221</v>
      </c>
      <c r="L4" s="175">
        <f t="shared" si="0"/>
        <v>44228</v>
      </c>
      <c r="M4" s="176">
        <f t="shared" si="0"/>
        <v>44235</v>
      </c>
      <c r="N4" s="176">
        <f t="shared" si="0"/>
        <v>44242</v>
      </c>
      <c r="O4" s="177">
        <f t="shared" si="0"/>
        <v>44249</v>
      </c>
      <c r="P4" s="175">
        <f t="shared" si="0"/>
        <v>44256</v>
      </c>
      <c r="Q4" s="176">
        <f t="shared" si="0"/>
        <v>44263</v>
      </c>
      <c r="R4" s="176">
        <f t="shared" si="0"/>
        <v>44270</v>
      </c>
      <c r="S4" s="176">
        <f t="shared" si="0"/>
        <v>44277</v>
      </c>
      <c r="T4" s="177">
        <f t="shared" si="0"/>
        <v>44284</v>
      </c>
      <c r="U4" s="175">
        <f t="shared" si="0"/>
        <v>44291</v>
      </c>
      <c r="V4" s="176">
        <f t="shared" si="0"/>
        <v>44298</v>
      </c>
      <c r="W4" s="176">
        <f t="shared" si="0"/>
        <v>44305</v>
      </c>
      <c r="X4" s="177">
        <f t="shared" si="0"/>
        <v>44312</v>
      </c>
      <c r="Y4" s="175">
        <f t="shared" si="0"/>
        <v>44319</v>
      </c>
      <c r="Z4" s="176">
        <f t="shared" si="0"/>
        <v>44326</v>
      </c>
      <c r="AA4" s="176">
        <f t="shared" si="0"/>
        <v>44333</v>
      </c>
      <c r="AB4" s="176">
        <f t="shared" si="0"/>
        <v>44340</v>
      </c>
      <c r="AC4" s="195">
        <f t="shared" si="0"/>
        <v>44347</v>
      </c>
      <c r="AD4" s="194">
        <f t="shared" si="0"/>
        <v>44354</v>
      </c>
      <c r="AE4" s="176">
        <f t="shared" si="0"/>
        <v>44361</v>
      </c>
      <c r="AF4" s="176">
        <f t="shared" si="0"/>
        <v>44368</v>
      </c>
      <c r="AG4" s="177">
        <f t="shared" si="0"/>
        <v>44375</v>
      </c>
      <c r="AH4" s="175">
        <f t="shared" si="0"/>
        <v>44382</v>
      </c>
      <c r="AI4" s="176">
        <f t="shared" si="0"/>
        <v>44389</v>
      </c>
      <c r="AJ4" s="176">
        <f t="shared" si="0"/>
        <v>44396</v>
      </c>
      <c r="AK4" s="177">
        <f t="shared" si="0"/>
        <v>44403</v>
      </c>
      <c r="AL4" s="175">
        <f t="shared" si="0"/>
        <v>44410</v>
      </c>
      <c r="AM4" s="176">
        <f t="shared" si="0"/>
        <v>44417</v>
      </c>
      <c r="AN4" s="176">
        <f t="shared" si="0"/>
        <v>44424</v>
      </c>
      <c r="AO4" s="176">
        <f t="shared" si="0"/>
        <v>44431</v>
      </c>
      <c r="AP4" s="177">
        <f t="shared" si="0"/>
        <v>44438</v>
      </c>
      <c r="AQ4" s="178">
        <f t="shared" si="0"/>
        <v>44445</v>
      </c>
      <c r="AR4" s="179">
        <f t="shared" si="0"/>
        <v>44452</v>
      </c>
      <c r="AS4" s="179">
        <f t="shared" si="0"/>
        <v>44459</v>
      </c>
      <c r="AT4" s="180">
        <f t="shared" si="0"/>
        <v>44466</v>
      </c>
      <c r="AU4" s="178">
        <f t="shared" si="0"/>
        <v>44473</v>
      </c>
      <c r="AV4" s="179">
        <f t="shared" si="0"/>
        <v>44480</v>
      </c>
      <c r="AW4" s="179">
        <f t="shared" si="0"/>
        <v>44487</v>
      </c>
      <c r="AX4" s="180">
        <f t="shared" si="0"/>
        <v>44494</v>
      </c>
      <c r="AY4" s="175">
        <f t="shared" si="0"/>
        <v>44501</v>
      </c>
      <c r="AZ4" s="176">
        <f t="shared" si="0"/>
        <v>44508</v>
      </c>
      <c r="BA4" s="176">
        <f t="shared" si="0"/>
        <v>44515</v>
      </c>
      <c r="BB4" s="176">
        <f t="shared" si="0"/>
        <v>44522</v>
      </c>
      <c r="BC4" s="177">
        <f t="shared" si="0"/>
        <v>44529</v>
      </c>
      <c r="BD4" s="227">
        <f t="shared" si="0"/>
        <v>44536</v>
      </c>
      <c r="BE4" s="228">
        <f t="shared" si="0"/>
        <v>44543</v>
      </c>
      <c r="BF4" s="228">
        <f t="shared" si="0"/>
        <v>44550</v>
      </c>
      <c r="BG4" s="229">
        <f t="shared" si="0"/>
        <v>44557</v>
      </c>
      <c r="BH4" s="175">
        <f t="shared" si="0"/>
        <v>44564</v>
      </c>
      <c r="BI4" s="176">
        <f>BH4+7</f>
        <v>44571</v>
      </c>
      <c r="BJ4" s="176">
        <f>BI4+7</f>
        <v>44578</v>
      </c>
      <c r="BK4" s="176">
        <f t="shared" ref="BK4:DG4" si="1">BJ4+7</f>
        <v>44585</v>
      </c>
      <c r="BL4" s="177">
        <f t="shared" si="1"/>
        <v>44592</v>
      </c>
      <c r="BM4" s="175">
        <f t="shared" si="1"/>
        <v>44599</v>
      </c>
      <c r="BN4" s="176">
        <f t="shared" si="1"/>
        <v>44606</v>
      </c>
      <c r="BO4" s="176">
        <f t="shared" si="1"/>
        <v>44613</v>
      </c>
      <c r="BP4" s="195">
        <f t="shared" si="1"/>
        <v>44620</v>
      </c>
      <c r="BQ4" s="194">
        <f t="shared" si="1"/>
        <v>44627</v>
      </c>
      <c r="BR4" s="176">
        <f t="shared" si="1"/>
        <v>44634</v>
      </c>
      <c r="BS4" s="176">
        <f t="shared" si="1"/>
        <v>44641</v>
      </c>
      <c r="BT4" s="177">
        <f t="shared" si="1"/>
        <v>44648</v>
      </c>
      <c r="BU4" s="175">
        <f t="shared" si="1"/>
        <v>44655</v>
      </c>
      <c r="BV4" s="176">
        <f t="shared" si="1"/>
        <v>44662</v>
      </c>
      <c r="BW4" s="176">
        <f t="shared" si="1"/>
        <v>44669</v>
      </c>
      <c r="BX4" s="177">
        <f t="shared" si="1"/>
        <v>44676</v>
      </c>
      <c r="BY4" s="175">
        <f t="shared" si="1"/>
        <v>44683</v>
      </c>
      <c r="BZ4" s="176">
        <f t="shared" si="1"/>
        <v>44690</v>
      </c>
      <c r="CA4" s="176">
        <f t="shared" si="1"/>
        <v>44697</v>
      </c>
      <c r="CB4" s="176">
        <f t="shared" si="1"/>
        <v>44704</v>
      </c>
      <c r="CC4" s="195">
        <f t="shared" si="1"/>
        <v>44711</v>
      </c>
      <c r="CD4" s="194">
        <f t="shared" si="1"/>
        <v>44718</v>
      </c>
      <c r="CE4" s="176">
        <f t="shared" si="1"/>
        <v>44725</v>
      </c>
      <c r="CF4" s="176">
        <f t="shared" si="1"/>
        <v>44732</v>
      </c>
      <c r="CG4" s="177">
        <f t="shared" si="1"/>
        <v>44739</v>
      </c>
      <c r="CH4" s="175">
        <f t="shared" si="1"/>
        <v>44746</v>
      </c>
      <c r="CI4" s="176">
        <f t="shared" si="1"/>
        <v>44753</v>
      </c>
      <c r="CJ4" s="176">
        <f t="shared" si="1"/>
        <v>44760</v>
      </c>
      <c r="CK4" s="177">
        <f t="shared" si="1"/>
        <v>44767</v>
      </c>
      <c r="CL4" s="175">
        <f t="shared" si="1"/>
        <v>44774</v>
      </c>
      <c r="CM4" s="176">
        <f t="shared" si="1"/>
        <v>44781</v>
      </c>
      <c r="CN4" s="176">
        <f t="shared" si="1"/>
        <v>44788</v>
      </c>
      <c r="CO4" s="176">
        <f t="shared" si="1"/>
        <v>44795</v>
      </c>
      <c r="CP4" s="177">
        <f t="shared" si="1"/>
        <v>44802</v>
      </c>
      <c r="CQ4" s="178">
        <f t="shared" si="1"/>
        <v>44809</v>
      </c>
      <c r="CR4" s="179">
        <f t="shared" si="1"/>
        <v>44816</v>
      </c>
      <c r="CS4" s="179">
        <f t="shared" si="1"/>
        <v>44823</v>
      </c>
      <c r="CT4" s="180">
        <f t="shared" si="1"/>
        <v>44830</v>
      </c>
      <c r="CU4" s="178">
        <f t="shared" si="1"/>
        <v>44837</v>
      </c>
      <c r="CV4" s="179">
        <f t="shared" si="1"/>
        <v>44844</v>
      </c>
      <c r="CW4" s="179">
        <f t="shared" si="1"/>
        <v>44851</v>
      </c>
      <c r="CX4" s="179">
        <f t="shared" si="1"/>
        <v>44858</v>
      </c>
      <c r="CY4" s="195">
        <f t="shared" si="1"/>
        <v>44865</v>
      </c>
      <c r="CZ4" s="194">
        <f t="shared" si="1"/>
        <v>44872</v>
      </c>
      <c r="DA4" s="176">
        <f t="shared" si="1"/>
        <v>44879</v>
      </c>
      <c r="DB4" s="176">
        <f t="shared" si="1"/>
        <v>44886</v>
      </c>
      <c r="DC4" s="177">
        <f t="shared" si="1"/>
        <v>44893</v>
      </c>
      <c r="DD4" s="181">
        <f t="shared" si="1"/>
        <v>44900</v>
      </c>
      <c r="DE4" s="181">
        <f t="shared" si="1"/>
        <v>44907</v>
      </c>
      <c r="DF4" s="181">
        <f t="shared" si="1"/>
        <v>44914</v>
      </c>
      <c r="DG4" s="181">
        <f t="shared" si="1"/>
        <v>44921</v>
      </c>
    </row>
    <row r="5" spans="2:130" s="209" customFormat="1" ht="14.85" customHeight="1" x14ac:dyDescent="0.3">
      <c r="B5" s="540" t="s">
        <v>864</v>
      </c>
      <c r="C5" s="200" t="s">
        <v>26</v>
      </c>
      <c r="D5" s="200"/>
      <c r="E5" s="267"/>
      <c r="F5" s="223"/>
      <c r="G5" s="223"/>
      <c r="H5" s="201"/>
      <c r="I5" s="202"/>
      <c r="J5" s="202"/>
      <c r="K5" s="203"/>
      <c r="L5" s="201"/>
      <c r="M5" s="202"/>
      <c r="N5" s="202"/>
      <c r="O5" s="203"/>
      <c r="P5" s="201"/>
      <c r="Q5" s="202"/>
      <c r="R5" s="202"/>
      <c r="S5" s="202"/>
      <c r="T5" s="203"/>
      <c r="U5" s="201"/>
      <c r="V5" s="202"/>
      <c r="W5" s="202"/>
      <c r="X5" s="203"/>
      <c r="Y5" s="201"/>
      <c r="Z5" s="202"/>
      <c r="AA5" s="202"/>
      <c r="AB5" s="202"/>
      <c r="AC5" s="205"/>
      <c r="AD5" s="204"/>
      <c r="AE5" s="202"/>
      <c r="AF5" s="202"/>
      <c r="AG5" s="203"/>
      <c r="AH5" s="201"/>
      <c r="AI5" s="202"/>
      <c r="AJ5" s="202"/>
      <c r="AK5" s="203"/>
      <c r="AL5" s="204"/>
      <c r="AM5" s="202"/>
      <c r="AN5" s="202"/>
      <c r="AO5" s="202"/>
      <c r="AP5" s="203"/>
      <c r="AQ5" s="204"/>
      <c r="AR5" s="202"/>
      <c r="AS5" s="202"/>
      <c r="AT5" s="203"/>
      <c r="AU5" s="204"/>
      <c r="AV5" s="202"/>
      <c r="AW5" s="202"/>
      <c r="AX5" s="203"/>
      <c r="AY5" s="201"/>
      <c r="AZ5" s="202"/>
      <c r="BA5" s="202"/>
      <c r="BB5" s="202"/>
      <c r="BC5" s="203"/>
      <c r="BD5" s="216"/>
      <c r="BE5" s="217"/>
      <c r="BF5" s="217"/>
      <c r="BG5" s="218"/>
      <c r="BH5" s="201"/>
      <c r="BI5" s="202"/>
      <c r="BJ5" s="202"/>
      <c r="BK5" s="202"/>
      <c r="BL5" s="203"/>
      <c r="BM5" s="201"/>
      <c r="BN5" s="202"/>
      <c r="BO5" s="202"/>
      <c r="BP5" s="205"/>
      <c r="BQ5" s="204"/>
      <c r="BR5" s="202"/>
      <c r="BS5" s="202"/>
      <c r="BT5" s="203"/>
      <c r="BU5" s="201"/>
      <c r="BV5" s="202"/>
      <c r="BW5" s="202"/>
      <c r="BX5" s="203"/>
      <c r="BY5" s="201"/>
      <c r="BZ5" s="202"/>
      <c r="CA5" s="202"/>
      <c r="CB5" s="202"/>
      <c r="CC5" s="205"/>
      <c r="CD5" s="204"/>
      <c r="CE5" s="202"/>
      <c r="CF5" s="202"/>
      <c r="CG5" s="203"/>
      <c r="CH5" s="201"/>
      <c r="CI5" s="202"/>
      <c r="CJ5" s="202"/>
      <c r="CK5" s="203"/>
      <c r="CL5" s="204"/>
      <c r="CM5" s="202"/>
      <c r="CN5" s="202"/>
      <c r="CO5" s="202"/>
      <c r="CP5" s="203"/>
      <c r="CQ5" s="204"/>
      <c r="CR5" s="202"/>
      <c r="CS5" s="202"/>
      <c r="CT5" s="203"/>
      <c r="CU5" s="201"/>
      <c r="CV5" s="202"/>
      <c r="CW5" s="202"/>
      <c r="CX5" s="202"/>
      <c r="CY5" s="205"/>
      <c r="CZ5" s="204"/>
      <c r="DA5" s="202"/>
      <c r="DB5" s="202"/>
      <c r="DC5" s="203"/>
      <c r="DD5" s="216"/>
      <c r="DE5" s="217"/>
      <c r="DF5" s="217"/>
      <c r="DG5" s="218"/>
    </row>
    <row r="6" spans="2:130" x14ac:dyDescent="0.3">
      <c r="B6" s="541"/>
      <c r="C6" s="199" t="s">
        <v>861</v>
      </c>
      <c r="D6" s="224"/>
      <c r="E6" s="268">
        <f>VLOOKUP($C6,'Project Readiness'!$B:$K,4,0)</f>
        <v>0</v>
      </c>
      <c r="F6" s="224">
        <f>VLOOKUP($C6,'Project Readiness'!$B:$K,6,0)</f>
        <v>44200</v>
      </c>
      <c r="G6" s="224">
        <f>VLOOKUP($C6,'Project Readiness'!$B:$K,7,0)</f>
        <v>44245</v>
      </c>
      <c r="H6" s="186"/>
      <c r="I6" s="187"/>
      <c r="J6" s="187"/>
      <c r="K6" s="188"/>
      <c r="L6" s="186"/>
      <c r="M6" s="187"/>
      <c r="N6" s="187"/>
      <c r="O6" s="188"/>
      <c r="P6" s="186"/>
      <c r="Q6" s="187"/>
      <c r="R6" s="187"/>
      <c r="S6" s="187"/>
      <c r="T6" s="188"/>
      <c r="U6" s="186"/>
      <c r="V6" s="187"/>
      <c r="W6" s="187"/>
      <c r="X6" s="188"/>
      <c r="Y6" s="186"/>
      <c r="Z6" s="187"/>
      <c r="AA6" s="187"/>
      <c r="AB6" s="187"/>
      <c r="AC6" s="197"/>
      <c r="AD6" s="189"/>
      <c r="AE6" s="187"/>
      <c r="AF6" s="187"/>
      <c r="AG6" s="188"/>
      <c r="AH6" s="186"/>
      <c r="AI6" s="187"/>
      <c r="AJ6" s="187"/>
      <c r="AK6" s="188"/>
      <c r="AL6" s="189"/>
      <c r="AM6" s="187"/>
      <c r="AN6" s="187"/>
      <c r="AO6" s="187"/>
      <c r="AP6" s="188"/>
      <c r="AQ6" s="189"/>
      <c r="AR6" s="187"/>
      <c r="AS6" s="187"/>
      <c r="AT6" s="188"/>
      <c r="AU6" s="189"/>
      <c r="AV6" s="187"/>
      <c r="AW6" s="187"/>
      <c r="AX6" s="188"/>
      <c r="AY6" s="186"/>
      <c r="AZ6" s="187"/>
      <c r="BA6" s="187"/>
      <c r="BB6" s="187"/>
      <c r="BC6" s="188"/>
      <c r="BD6" s="256"/>
      <c r="BE6" s="257"/>
      <c r="BF6" s="257"/>
      <c r="BG6" s="258"/>
      <c r="BH6" s="186"/>
      <c r="BI6" s="187"/>
      <c r="BJ6" s="187"/>
      <c r="BK6" s="187"/>
      <c r="BL6" s="188"/>
      <c r="BM6" s="186"/>
      <c r="BN6" s="187"/>
      <c r="BO6" s="187"/>
      <c r="BP6" s="197"/>
      <c r="BQ6" s="189"/>
      <c r="BR6" s="187"/>
      <c r="BS6" s="187"/>
      <c r="BT6" s="188"/>
      <c r="BU6" s="186"/>
      <c r="BV6" s="187"/>
      <c r="BW6" s="187"/>
      <c r="BX6" s="188"/>
      <c r="BY6" s="186"/>
      <c r="BZ6" s="187"/>
      <c r="CA6" s="187"/>
      <c r="CB6" s="187"/>
      <c r="CC6" s="197"/>
      <c r="CD6" s="189"/>
      <c r="CE6" s="187"/>
      <c r="CF6" s="187"/>
      <c r="CG6" s="188"/>
      <c r="CH6" s="186"/>
      <c r="CI6" s="187"/>
      <c r="CJ6" s="187"/>
      <c r="CK6" s="188"/>
      <c r="CL6" s="189"/>
      <c r="CM6" s="187"/>
      <c r="CN6" s="187"/>
      <c r="CO6" s="187"/>
      <c r="CP6" s="188"/>
      <c r="CQ6" s="189"/>
      <c r="CR6" s="187"/>
      <c r="CS6" s="187"/>
      <c r="CT6" s="188"/>
      <c r="CU6" s="186"/>
      <c r="CV6" s="187"/>
      <c r="CW6" s="187"/>
      <c r="CX6" s="187"/>
      <c r="CY6" s="197"/>
      <c r="CZ6" s="189"/>
      <c r="DA6" s="187"/>
      <c r="DB6" s="187"/>
      <c r="DC6" s="188"/>
      <c r="DD6" s="170"/>
      <c r="DE6" s="171"/>
      <c r="DF6" s="171"/>
      <c r="DG6" s="172"/>
    </row>
    <row r="7" spans="2:130" ht="15" thickBot="1" x14ac:dyDescent="0.35">
      <c r="B7" s="541"/>
      <c r="C7" s="248" t="s">
        <v>62</v>
      </c>
      <c r="D7" s="224"/>
      <c r="E7" s="268">
        <f>VLOOKUP($C7,'Project Readiness'!$B:$K,4,0)</f>
        <v>0</v>
      </c>
      <c r="F7" s="224">
        <f>VLOOKUP($C7,'Project Readiness'!$B:$K,6,0)</f>
        <v>44200</v>
      </c>
      <c r="G7" s="224">
        <f>VLOOKUP($C7,'Project Readiness'!$B:$K,7,0)</f>
        <v>44214</v>
      </c>
      <c r="H7" s="190"/>
      <c r="I7" s="191"/>
      <c r="J7" s="191"/>
      <c r="K7" s="192"/>
      <c r="L7" s="190"/>
      <c r="M7" s="191"/>
      <c r="N7" s="191"/>
      <c r="O7" s="192"/>
      <c r="P7" s="190"/>
      <c r="Q7" s="191"/>
      <c r="R7" s="191"/>
      <c r="S7" s="191"/>
      <c r="T7" s="192"/>
      <c r="U7" s="190"/>
      <c r="V7" s="191"/>
      <c r="W7" s="191"/>
      <c r="X7" s="192"/>
      <c r="Y7" s="190"/>
      <c r="Z7" s="191"/>
      <c r="AA7" s="191"/>
      <c r="AB7" s="191"/>
      <c r="AC7" s="198"/>
      <c r="AD7" s="193"/>
      <c r="AE7" s="191"/>
      <c r="AF7" s="191"/>
      <c r="AG7" s="192"/>
      <c r="AH7" s="190"/>
      <c r="AI7" s="191"/>
      <c r="AJ7" s="191"/>
      <c r="AK7" s="192"/>
      <c r="AL7" s="193"/>
      <c r="AM7" s="191"/>
      <c r="AN7" s="191"/>
      <c r="AO7" s="191"/>
      <c r="AP7" s="192"/>
      <c r="AQ7" s="193"/>
      <c r="AR7" s="191"/>
      <c r="AS7" s="191"/>
      <c r="AT7" s="192"/>
      <c r="AU7" s="193"/>
      <c r="AV7" s="191"/>
      <c r="AW7" s="191"/>
      <c r="AX7" s="192"/>
      <c r="AY7" s="190"/>
      <c r="AZ7" s="191"/>
      <c r="BA7" s="191"/>
      <c r="BB7" s="191"/>
      <c r="BC7" s="192"/>
      <c r="BD7" s="256"/>
      <c r="BE7" s="257"/>
      <c r="BF7" s="257"/>
      <c r="BG7" s="258"/>
      <c r="BH7" s="190"/>
      <c r="BI7" s="191"/>
      <c r="BJ7" s="191"/>
      <c r="BK7" s="191"/>
      <c r="BL7" s="192"/>
      <c r="BM7" s="190"/>
      <c r="BN7" s="191"/>
      <c r="BO7" s="191"/>
      <c r="BP7" s="198"/>
      <c r="BQ7" s="193"/>
      <c r="BR7" s="191"/>
      <c r="BS7" s="191"/>
      <c r="BT7" s="192"/>
      <c r="BU7" s="190"/>
      <c r="BV7" s="191"/>
      <c r="BW7" s="191"/>
      <c r="BX7" s="192"/>
      <c r="BY7" s="190"/>
      <c r="BZ7" s="191"/>
      <c r="CA7" s="191"/>
      <c r="CB7" s="191"/>
      <c r="CC7" s="198"/>
      <c r="CD7" s="193"/>
      <c r="CE7" s="191"/>
      <c r="CF7" s="191"/>
      <c r="CG7" s="192"/>
      <c r="CH7" s="190"/>
      <c r="CI7" s="191"/>
      <c r="CJ7" s="191"/>
      <c r="CK7" s="192"/>
      <c r="CL7" s="193"/>
      <c r="CM7" s="191"/>
      <c r="CN7" s="191"/>
      <c r="CO7" s="191"/>
      <c r="CP7" s="192"/>
      <c r="CQ7" s="193"/>
      <c r="CR7" s="191"/>
      <c r="CS7" s="191"/>
      <c r="CT7" s="192"/>
      <c r="CU7" s="190"/>
      <c r="CV7" s="191"/>
      <c r="CW7" s="191"/>
      <c r="CX7" s="191"/>
      <c r="CY7" s="198"/>
      <c r="CZ7" s="193"/>
      <c r="DA7" s="191"/>
      <c r="DB7" s="191"/>
      <c r="DC7" s="192"/>
      <c r="DD7" s="170"/>
      <c r="DE7" s="171"/>
      <c r="DF7" s="171"/>
      <c r="DG7" s="172"/>
    </row>
    <row r="8" spans="2:130" s="209" customFormat="1" ht="16.2" x14ac:dyDescent="0.3">
      <c r="B8" s="542" t="s">
        <v>865</v>
      </c>
      <c r="C8" s="200" t="s">
        <v>866</v>
      </c>
      <c r="D8" s="200"/>
      <c r="E8" s="267"/>
      <c r="F8" s="223"/>
      <c r="G8" s="274"/>
      <c r="H8" s="201"/>
      <c r="I8" s="202"/>
      <c r="J8" s="202"/>
      <c r="K8" s="203"/>
      <c r="L8" s="201"/>
      <c r="M8" s="202"/>
      <c r="N8" s="202"/>
      <c r="O8" s="203"/>
      <c r="P8" s="201"/>
      <c r="Q8" s="202"/>
      <c r="R8" s="202"/>
      <c r="S8" s="202"/>
      <c r="T8" s="203"/>
      <c r="U8" s="204"/>
      <c r="V8" s="202"/>
      <c r="W8" s="202"/>
      <c r="X8" s="203"/>
      <c r="Y8" s="201"/>
      <c r="Z8" s="202"/>
      <c r="AA8" s="202"/>
      <c r="AB8" s="202"/>
      <c r="AC8" s="205"/>
      <c r="AD8" s="204"/>
      <c r="AE8" s="202"/>
      <c r="AF8" s="202"/>
      <c r="AG8" s="203"/>
      <c r="AH8" s="201"/>
      <c r="AI8" s="202"/>
      <c r="AJ8" s="202"/>
      <c r="AK8" s="203"/>
      <c r="AL8" s="201"/>
      <c r="AM8" s="202"/>
      <c r="AN8" s="202"/>
      <c r="AO8" s="202"/>
      <c r="AP8" s="203"/>
      <c r="AQ8" s="204"/>
      <c r="AR8" s="202"/>
      <c r="AS8" s="202"/>
      <c r="AT8" s="203"/>
      <c r="AU8" s="204"/>
      <c r="AV8" s="202"/>
      <c r="AW8" s="202"/>
      <c r="AX8" s="203"/>
      <c r="AY8" s="201"/>
      <c r="AZ8" s="202"/>
      <c r="BA8" s="202"/>
      <c r="BB8" s="202"/>
      <c r="BC8" s="203"/>
      <c r="BD8" s="206"/>
      <c r="BE8" s="207"/>
      <c r="BF8" s="207"/>
      <c r="BG8" s="208"/>
      <c r="BH8" s="201"/>
      <c r="BI8" s="202"/>
      <c r="BJ8" s="202"/>
      <c r="BK8" s="202"/>
      <c r="BL8" s="203"/>
      <c r="BM8" s="201"/>
      <c r="BN8" s="202"/>
      <c r="BO8" s="202"/>
      <c r="BP8" s="205"/>
      <c r="BQ8" s="204"/>
      <c r="BR8" s="202"/>
      <c r="BS8" s="202"/>
      <c r="BT8" s="203"/>
      <c r="BU8" s="204"/>
      <c r="BV8" s="202"/>
      <c r="BW8" s="202"/>
      <c r="BX8" s="203"/>
      <c r="BY8" s="201"/>
      <c r="BZ8" s="202"/>
      <c r="CA8" s="202"/>
      <c r="CB8" s="202"/>
      <c r="CC8" s="205"/>
      <c r="CD8" s="204"/>
      <c r="CE8" s="202"/>
      <c r="CF8" s="202"/>
      <c r="CG8" s="203"/>
      <c r="CH8" s="201"/>
      <c r="CI8" s="202"/>
      <c r="CJ8" s="202"/>
      <c r="CK8" s="203"/>
      <c r="CL8" s="201"/>
      <c r="CM8" s="202"/>
      <c r="CN8" s="202"/>
      <c r="CO8" s="202"/>
      <c r="CP8" s="203"/>
      <c r="CQ8" s="204"/>
      <c r="CR8" s="202"/>
      <c r="CS8" s="202"/>
      <c r="CT8" s="203"/>
      <c r="CU8" s="201"/>
      <c r="CV8" s="202"/>
      <c r="CW8" s="202"/>
      <c r="CX8" s="202"/>
      <c r="CY8" s="205"/>
      <c r="CZ8" s="204"/>
      <c r="DA8" s="202"/>
      <c r="DB8" s="202"/>
      <c r="DC8" s="203"/>
      <c r="DD8" s="206"/>
      <c r="DE8" s="207"/>
      <c r="DF8" s="207"/>
      <c r="DG8" s="208"/>
      <c r="DH8" s="163"/>
      <c r="DI8" s="163"/>
      <c r="DJ8" s="163"/>
      <c r="DK8" s="163"/>
      <c r="DL8" s="163"/>
      <c r="DM8" s="163"/>
      <c r="DN8" s="163"/>
      <c r="DO8" s="163"/>
      <c r="DP8" s="163"/>
      <c r="DQ8" s="163"/>
      <c r="DR8" s="163"/>
      <c r="DS8" s="163"/>
      <c r="DT8" s="163"/>
      <c r="DU8" s="163"/>
      <c r="DV8" s="163"/>
      <c r="DW8" s="163"/>
      <c r="DX8" s="163"/>
      <c r="DY8" s="163"/>
      <c r="DZ8" s="163"/>
    </row>
    <row r="9" spans="2:130" x14ac:dyDescent="0.3">
      <c r="B9" s="543"/>
      <c r="C9" s="199" t="s">
        <v>852</v>
      </c>
      <c r="D9" s="224"/>
      <c r="E9" s="268">
        <f>VLOOKUP($C9,'Infinity OLB &amp; Mob App'!$C:$L,4,0)</f>
        <v>0</v>
      </c>
      <c r="F9" s="224">
        <f>VLOOKUP($C9,'Infinity OLB &amp; Mob App'!$C:$L,6,0)</f>
        <v>0</v>
      </c>
      <c r="G9" s="275">
        <f>VLOOKUP($C9,'Infinity OLB &amp; Mob App'!$C:$L,7,0)</f>
        <v>0</v>
      </c>
      <c r="H9" s="190"/>
      <c r="I9" s="189"/>
      <c r="J9" s="187"/>
      <c r="K9" s="188"/>
      <c r="L9" s="186"/>
      <c r="M9" s="187"/>
      <c r="N9" s="187"/>
      <c r="O9" s="188"/>
      <c r="P9" s="186"/>
      <c r="Q9" s="187"/>
      <c r="R9" s="187"/>
      <c r="S9" s="187"/>
      <c r="T9" s="188"/>
      <c r="U9" s="189"/>
      <c r="V9" s="187"/>
      <c r="W9" s="187"/>
      <c r="X9" s="188"/>
      <c r="Y9" s="186"/>
      <c r="Z9" s="187"/>
      <c r="AA9" s="187"/>
      <c r="AB9" s="187"/>
      <c r="AC9" s="197"/>
      <c r="AD9" s="189"/>
      <c r="AE9" s="187"/>
      <c r="AF9" s="187"/>
      <c r="AG9" s="188"/>
      <c r="AH9" s="186"/>
      <c r="AI9" s="187"/>
      <c r="AJ9" s="187"/>
      <c r="AK9" s="188"/>
      <c r="AL9" s="186"/>
      <c r="AM9" s="187"/>
      <c r="AN9" s="187"/>
      <c r="AO9" s="187"/>
      <c r="AP9" s="188"/>
      <c r="AQ9" s="189"/>
      <c r="AR9" s="187"/>
      <c r="AS9" s="187"/>
      <c r="AT9" s="188"/>
      <c r="AU9" s="189"/>
      <c r="AV9" s="187"/>
      <c r="AW9" s="187"/>
      <c r="AX9" s="188"/>
      <c r="AY9" s="186"/>
      <c r="AZ9" s="187"/>
      <c r="BA9" s="187"/>
      <c r="BB9" s="187"/>
      <c r="BC9" s="188"/>
      <c r="BD9" s="216"/>
      <c r="BE9" s="217"/>
      <c r="BF9" s="217"/>
      <c r="BG9" s="218"/>
      <c r="BH9" s="186"/>
      <c r="BI9" s="187"/>
      <c r="BJ9" s="187"/>
      <c r="BK9" s="187"/>
      <c r="BL9" s="188"/>
      <c r="BM9" s="186"/>
      <c r="BN9" s="187"/>
      <c r="BO9" s="187"/>
      <c r="BP9" s="197"/>
      <c r="BQ9" s="189"/>
      <c r="BR9" s="187"/>
      <c r="BS9" s="187"/>
      <c r="BT9" s="188"/>
      <c r="BU9" s="189"/>
      <c r="BV9" s="187"/>
      <c r="BW9" s="187"/>
      <c r="BX9" s="188"/>
      <c r="BY9" s="186"/>
      <c r="BZ9" s="187"/>
      <c r="CA9" s="187"/>
      <c r="CB9" s="187"/>
      <c r="CC9" s="197"/>
      <c r="CD9" s="189"/>
      <c r="CE9" s="187"/>
      <c r="CF9" s="187"/>
      <c r="CG9" s="188"/>
      <c r="CH9" s="186"/>
      <c r="CI9" s="187"/>
      <c r="CJ9" s="187"/>
      <c r="CK9" s="188"/>
      <c r="CL9" s="186"/>
      <c r="CM9" s="187"/>
      <c r="CN9" s="187"/>
      <c r="CO9" s="187"/>
      <c r="CP9" s="188"/>
      <c r="CQ9" s="189"/>
      <c r="CR9" s="187"/>
      <c r="CS9" s="187"/>
      <c r="CT9" s="188"/>
      <c r="CU9" s="186"/>
      <c r="CV9" s="187"/>
      <c r="CW9" s="187"/>
      <c r="CX9" s="187"/>
      <c r="CY9" s="197"/>
      <c r="CZ9" s="189"/>
      <c r="DA9" s="187"/>
      <c r="DB9" s="187"/>
      <c r="DC9" s="188"/>
      <c r="DD9" s="167"/>
      <c r="DE9" s="168"/>
      <c r="DF9" s="168"/>
      <c r="DG9" s="169"/>
    </row>
    <row r="10" spans="2:130" x14ac:dyDescent="0.3">
      <c r="B10" s="543"/>
      <c r="C10" s="199" t="s">
        <v>364</v>
      </c>
      <c r="D10" s="224"/>
      <c r="E10" s="268">
        <f>VLOOKUP($C10,'Infinity OLB &amp; Mob App'!$C:$L,4,0)</f>
        <v>0</v>
      </c>
      <c r="F10" s="224">
        <f>VLOOKUP($C10,'Infinity OLB &amp; Mob App'!$C:$L,6,0)</f>
        <v>0</v>
      </c>
      <c r="G10" s="275">
        <f>VLOOKUP($C10,'Infinity OLB &amp; Mob App'!$C:$L,7,0)</f>
        <v>0</v>
      </c>
      <c r="H10" s="186"/>
      <c r="I10" s="187"/>
      <c r="J10" s="187"/>
      <c r="K10" s="188"/>
      <c r="L10" s="186"/>
      <c r="M10" s="187"/>
      <c r="N10" s="187"/>
      <c r="O10" s="188"/>
      <c r="P10" s="186"/>
      <c r="Q10" s="187"/>
      <c r="R10" s="187"/>
      <c r="S10" s="187"/>
      <c r="T10" s="188"/>
      <c r="U10" s="189"/>
      <c r="V10" s="187"/>
      <c r="W10" s="187"/>
      <c r="X10" s="188"/>
      <c r="Y10" s="186"/>
      <c r="Z10" s="187"/>
      <c r="AA10" s="187"/>
      <c r="AB10" s="187"/>
      <c r="AC10" s="197"/>
      <c r="AD10" s="189"/>
      <c r="AE10" s="187"/>
      <c r="AF10" s="187"/>
      <c r="AG10" s="188"/>
      <c r="AH10" s="186"/>
      <c r="AI10" s="187"/>
      <c r="AJ10" s="187"/>
      <c r="AK10" s="188"/>
      <c r="AL10" s="186"/>
      <c r="AM10" s="187"/>
      <c r="AN10" s="187"/>
      <c r="AO10" s="187"/>
      <c r="AP10" s="188"/>
      <c r="AQ10" s="189"/>
      <c r="AR10" s="187"/>
      <c r="AS10" s="187"/>
      <c r="AT10" s="188"/>
      <c r="AU10" s="189"/>
      <c r="AV10" s="187"/>
      <c r="AW10" s="187"/>
      <c r="AX10" s="188"/>
      <c r="AY10" s="186"/>
      <c r="AZ10" s="187"/>
      <c r="BA10" s="187"/>
      <c r="BB10" s="187"/>
      <c r="BC10" s="188"/>
      <c r="BD10" s="216"/>
      <c r="BE10" s="217"/>
      <c r="BF10" s="217"/>
      <c r="BG10" s="218"/>
      <c r="BH10" s="186"/>
      <c r="BI10" s="187"/>
      <c r="BJ10" s="187"/>
      <c r="BK10" s="187"/>
      <c r="BL10" s="188"/>
      <c r="BM10" s="186"/>
      <c r="BN10" s="187"/>
      <c r="BO10" s="187"/>
      <c r="BP10" s="197"/>
      <c r="BQ10" s="189"/>
      <c r="BR10" s="187"/>
      <c r="BS10" s="187"/>
      <c r="BT10" s="188"/>
      <c r="BU10" s="189"/>
      <c r="BV10" s="187"/>
      <c r="BW10" s="187"/>
      <c r="BX10" s="188"/>
      <c r="BY10" s="186"/>
      <c r="BZ10" s="187"/>
      <c r="CA10" s="187"/>
      <c r="CB10" s="187"/>
      <c r="CC10" s="197"/>
      <c r="CD10" s="189"/>
      <c r="CE10" s="187"/>
      <c r="CF10" s="187"/>
      <c r="CG10" s="188"/>
      <c r="CH10" s="186"/>
      <c r="CI10" s="187"/>
      <c r="CJ10" s="187"/>
      <c r="CK10" s="188"/>
      <c r="CL10" s="186"/>
      <c r="CM10" s="187"/>
      <c r="CN10" s="187"/>
      <c r="CO10" s="187"/>
      <c r="CP10" s="188"/>
      <c r="CQ10" s="189"/>
      <c r="CR10" s="187"/>
      <c r="CS10" s="187"/>
      <c r="CT10" s="188"/>
      <c r="CU10" s="186"/>
      <c r="CV10" s="187"/>
      <c r="CW10" s="187"/>
      <c r="CX10" s="187"/>
      <c r="CY10" s="197"/>
      <c r="CZ10" s="189"/>
      <c r="DA10" s="187"/>
      <c r="DB10" s="187"/>
      <c r="DC10" s="188"/>
      <c r="DD10" s="167"/>
      <c r="DE10" s="168"/>
      <c r="DF10" s="168"/>
      <c r="DG10" s="169"/>
    </row>
    <row r="11" spans="2:130" s="209" customFormat="1" x14ac:dyDescent="0.3">
      <c r="B11" s="543"/>
      <c r="C11" s="210" t="s">
        <v>838</v>
      </c>
      <c r="D11" s="210"/>
      <c r="E11" s="269"/>
      <c r="F11" s="225"/>
      <c r="G11" s="276"/>
      <c r="H11" s="211"/>
      <c r="I11" s="212"/>
      <c r="J11" s="212"/>
      <c r="K11" s="213"/>
      <c r="L11" s="211"/>
      <c r="M11" s="212"/>
      <c r="N11" s="212"/>
      <c r="O11" s="213"/>
      <c r="P11" s="211"/>
      <c r="Q11" s="212"/>
      <c r="R11" s="212"/>
      <c r="S11" s="212"/>
      <c r="T11" s="213"/>
      <c r="U11" s="214"/>
      <c r="V11" s="212"/>
      <c r="W11" s="212"/>
      <c r="X11" s="213"/>
      <c r="Y11" s="211"/>
      <c r="Z11" s="212"/>
      <c r="AA11" s="212"/>
      <c r="AB11" s="212"/>
      <c r="AC11" s="215"/>
      <c r="AD11" s="214"/>
      <c r="AE11" s="212"/>
      <c r="AF11" s="212"/>
      <c r="AG11" s="213"/>
      <c r="AH11" s="211"/>
      <c r="AI11" s="212"/>
      <c r="AJ11" s="212"/>
      <c r="AK11" s="213"/>
      <c r="AL11" s="211"/>
      <c r="AM11" s="212"/>
      <c r="AN11" s="212"/>
      <c r="AO11" s="212"/>
      <c r="AP11" s="213"/>
      <c r="AQ11" s="214"/>
      <c r="AR11" s="212"/>
      <c r="AS11" s="212"/>
      <c r="AT11" s="213"/>
      <c r="AU11" s="214"/>
      <c r="AV11" s="212"/>
      <c r="AW11" s="212"/>
      <c r="AX11" s="213"/>
      <c r="AY11" s="211"/>
      <c r="AZ11" s="212"/>
      <c r="BA11" s="212"/>
      <c r="BB11" s="212"/>
      <c r="BC11" s="213"/>
      <c r="BD11" s="216"/>
      <c r="BE11" s="217"/>
      <c r="BF11" s="217"/>
      <c r="BG11" s="218"/>
      <c r="BH11" s="211"/>
      <c r="BI11" s="212"/>
      <c r="BJ11" s="212"/>
      <c r="BK11" s="212"/>
      <c r="BL11" s="213"/>
      <c r="BM11" s="211"/>
      <c r="BN11" s="212"/>
      <c r="BO11" s="212"/>
      <c r="BP11" s="215"/>
      <c r="BQ11" s="214"/>
      <c r="BR11" s="212"/>
      <c r="BS11" s="212"/>
      <c r="BT11" s="213"/>
      <c r="BU11" s="214"/>
      <c r="BV11" s="212"/>
      <c r="BW11" s="212"/>
      <c r="BX11" s="213"/>
      <c r="BY11" s="211"/>
      <c r="BZ11" s="212"/>
      <c r="CA11" s="212"/>
      <c r="CB11" s="212"/>
      <c r="CC11" s="215"/>
      <c r="CD11" s="214"/>
      <c r="CE11" s="212"/>
      <c r="CF11" s="212"/>
      <c r="CG11" s="213"/>
      <c r="CH11" s="211"/>
      <c r="CI11" s="212"/>
      <c r="CJ11" s="212"/>
      <c r="CK11" s="213"/>
      <c r="CL11" s="211"/>
      <c r="CM11" s="212"/>
      <c r="CN11" s="212"/>
      <c r="CO11" s="212"/>
      <c r="CP11" s="213"/>
      <c r="CQ11" s="214"/>
      <c r="CR11" s="212"/>
      <c r="CS11" s="212"/>
      <c r="CT11" s="213"/>
      <c r="CU11" s="211"/>
      <c r="CV11" s="212"/>
      <c r="CW11" s="212"/>
      <c r="CX11" s="212"/>
      <c r="CY11" s="215"/>
      <c r="CZ11" s="214"/>
      <c r="DA11" s="212"/>
      <c r="DB11" s="212"/>
      <c r="DC11" s="213"/>
      <c r="DD11" s="216"/>
      <c r="DE11" s="217"/>
      <c r="DF11" s="217"/>
      <c r="DG11" s="218"/>
      <c r="DH11" s="163"/>
      <c r="DI11" s="163"/>
      <c r="DJ11" s="163"/>
      <c r="DK11" s="163"/>
      <c r="DL11" s="163"/>
      <c r="DM11" s="163"/>
      <c r="DN11" s="163"/>
      <c r="DO11" s="163"/>
      <c r="DP11" s="163"/>
      <c r="DQ11" s="163"/>
      <c r="DR11" s="163"/>
      <c r="DS11" s="163"/>
      <c r="DT11" s="163"/>
      <c r="DU11" s="163"/>
      <c r="DV11" s="163"/>
      <c r="DW11" s="163"/>
      <c r="DX11" s="163"/>
      <c r="DY11" s="163"/>
      <c r="DZ11" s="163"/>
    </row>
    <row r="12" spans="2:130" x14ac:dyDescent="0.3">
      <c r="B12" s="543"/>
      <c r="C12" s="199" t="s">
        <v>846</v>
      </c>
      <c r="D12" s="224"/>
      <c r="E12" s="268" t="e">
        <f>VLOOKUP($C12,'Infinity OLB &amp; Mob App'!$C:$L,4,0)</f>
        <v>#N/A</v>
      </c>
      <c r="F12" s="224" t="e">
        <f>VLOOKUP($C12,'Infinity OLB &amp; Mob App'!$C:$L,6,0)</f>
        <v>#N/A</v>
      </c>
      <c r="G12" s="275" t="e">
        <f>VLOOKUP($C12,'Infinity OLB &amp; Mob App'!$C:$L,7,0)</f>
        <v>#N/A</v>
      </c>
      <c r="H12" s="186"/>
      <c r="I12" s="187"/>
      <c r="J12" s="187"/>
      <c r="K12" s="188"/>
      <c r="L12" s="186"/>
      <c r="M12" s="187"/>
      <c r="N12" s="187"/>
      <c r="O12" s="188"/>
      <c r="P12" s="186"/>
      <c r="Q12" s="187"/>
      <c r="R12" s="187"/>
      <c r="S12" s="187"/>
      <c r="T12" s="188"/>
      <c r="U12" s="189"/>
      <c r="V12" s="187"/>
      <c r="W12" s="187"/>
      <c r="X12" s="188"/>
      <c r="Y12" s="186"/>
      <c r="Z12" s="187"/>
      <c r="AA12" s="187"/>
      <c r="AB12" s="187"/>
      <c r="AC12" s="197"/>
      <c r="AD12" s="189"/>
      <c r="AE12" s="187"/>
      <c r="AF12" s="187"/>
      <c r="AG12" s="188"/>
      <c r="AH12" s="186"/>
      <c r="AI12" s="187"/>
      <c r="AJ12" s="187"/>
      <c r="AK12" s="188"/>
      <c r="AL12" s="186"/>
      <c r="AM12" s="187"/>
      <c r="AN12" s="187"/>
      <c r="AO12" s="187"/>
      <c r="AP12" s="188"/>
      <c r="AQ12" s="189"/>
      <c r="AR12" s="187"/>
      <c r="AS12" s="187"/>
      <c r="AT12" s="188"/>
      <c r="AU12" s="189"/>
      <c r="AV12" s="187"/>
      <c r="AW12" s="187"/>
      <c r="AX12" s="188"/>
      <c r="AY12" s="186"/>
      <c r="AZ12" s="187"/>
      <c r="BA12" s="187"/>
      <c r="BB12" s="187"/>
      <c r="BC12" s="188"/>
      <c r="BD12" s="216"/>
      <c r="BE12" s="217"/>
      <c r="BF12" s="217"/>
      <c r="BG12" s="218"/>
      <c r="BH12" s="186"/>
      <c r="BI12" s="187"/>
      <c r="BJ12" s="187"/>
      <c r="BK12" s="187"/>
      <c r="BL12" s="188"/>
      <c r="BM12" s="186"/>
      <c r="BN12" s="187"/>
      <c r="BO12" s="187"/>
      <c r="BP12" s="197"/>
      <c r="BQ12" s="189"/>
      <c r="BR12" s="187"/>
      <c r="BS12" s="187"/>
      <c r="BT12" s="188"/>
      <c r="BU12" s="189"/>
      <c r="BV12" s="187"/>
      <c r="BW12" s="187"/>
      <c r="BX12" s="188"/>
      <c r="BY12" s="186"/>
      <c r="BZ12" s="187"/>
      <c r="CA12" s="187"/>
      <c r="CB12" s="187"/>
      <c r="CC12" s="197"/>
      <c r="CD12" s="189"/>
      <c r="CE12" s="187"/>
      <c r="CF12" s="187"/>
      <c r="CG12" s="188"/>
      <c r="CH12" s="186"/>
      <c r="CI12" s="187"/>
      <c r="CJ12" s="187"/>
      <c r="CK12" s="188"/>
      <c r="CL12" s="186"/>
      <c r="CM12" s="187"/>
      <c r="CN12" s="187"/>
      <c r="CO12" s="187"/>
      <c r="CP12" s="188"/>
      <c r="CQ12" s="189"/>
      <c r="CR12" s="187"/>
      <c r="CS12" s="187"/>
      <c r="CT12" s="188"/>
      <c r="CU12" s="186"/>
      <c r="CV12" s="187"/>
      <c r="CW12" s="187"/>
      <c r="CX12" s="187"/>
      <c r="CY12" s="197"/>
      <c r="CZ12" s="189"/>
      <c r="DA12" s="187"/>
      <c r="DB12" s="187"/>
      <c r="DC12" s="188"/>
      <c r="DD12" s="167"/>
      <c r="DE12" s="168"/>
      <c r="DF12" s="168"/>
      <c r="DG12" s="169"/>
    </row>
    <row r="13" spans="2:130" x14ac:dyDescent="0.3">
      <c r="B13" s="543"/>
      <c r="C13" s="199" t="s">
        <v>847</v>
      </c>
      <c r="D13" s="224"/>
      <c r="E13" s="268" t="e">
        <f>VLOOKUP($C13,'Infinity OLB &amp; Mob App'!$C:$L,4,0)</f>
        <v>#N/A</v>
      </c>
      <c r="F13" s="224" t="e">
        <f>VLOOKUP($C13,'Infinity OLB &amp; Mob App'!$C:$L,6,0)</f>
        <v>#N/A</v>
      </c>
      <c r="G13" s="275" t="e">
        <f>VLOOKUP($C13,'Infinity OLB &amp; Mob App'!$C:$L,7,0)</f>
        <v>#N/A</v>
      </c>
      <c r="H13" s="186"/>
      <c r="I13" s="187"/>
      <c r="J13" s="187"/>
      <c r="K13" s="188"/>
      <c r="L13" s="186"/>
      <c r="M13" s="187"/>
      <c r="N13" s="187"/>
      <c r="O13" s="188"/>
      <c r="P13" s="186"/>
      <c r="Q13" s="187"/>
      <c r="R13" s="187"/>
      <c r="S13" s="187"/>
      <c r="T13" s="188"/>
      <c r="U13" s="189"/>
      <c r="V13" s="187"/>
      <c r="W13" s="187"/>
      <c r="X13" s="188"/>
      <c r="Y13" s="186"/>
      <c r="Z13" s="187"/>
      <c r="AA13" s="187"/>
      <c r="AB13" s="187"/>
      <c r="AC13" s="197"/>
      <c r="AD13" s="189"/>
      <c r="AE13" s="187"/>
      <c r="AF13" s="187"/>
      <c r="AG13" s="188"/>
      <c r="AH13" s="186"/>
      <c r="AI13" s="187"/>
      <c r="AJ13" s="187"/>
      <c r="AK13" s="188"/>
      <c r="AL13" s="186"/>
      <c r="AM13" s="187"/>
      <c r="AN13" s="187"/>
      <c r="AO13" s="187"/>
      <c r="AP13" s="188"/>
      <c r="AQ13" s="189"/>
      <c r="AR13" s="187"/>
      <c r="AS13" s="187"/>
      <c r="AT13" s="188"/>
      <c r="AU13" s="189"/>
      <c r="AV13" s="187"/>
      <c r="AW13" s="187"/>
      <c r="AX13" s="188"/>
      <c r="AY13" s="186"/>
      <c r="AZ13" s="187"/>
      <c r="BA13" s="187"/>
      <c r="BB13" s="187"/>
      <c r="BC13" s="188"/>
      <c r="BD13" s="216"/>
      <c r="BE13" s="217"/>
      <c r="BF13" s="217"/>
      <c r="BG13" s="218"/>
      <c r="BH13" s="186"/>
      <c r="BI13" s="187"/>
      <c r="BJ13" s="187"/>
      <c r="BK13" s="187"/>
      <c r="BL13" s="188"/>
      <c r="BM13" s="186"/>
      <c r="BN13" s="187"/>
      <c r="BO13" s="187"/>
      <c r="BP13" s="197"/>
      <c r="BQ13" s="189"/>
      <c r="BR13" s="187"/>
      <c r="BS13" s="187"/>
      <c r="BT13" s="188"/>
      <c r="BU13" s="189"/>
      <c r="BV13" s="187"/>
      <c r="BW13" s="187"/>
      <c r="BX13" s="188"/>
      <c r="BY13" s="186"/>
      <c r="BZ13" s="187"/>
      <c r="CA13" s="187"/>
      <c r="CB13" s="187"/>
      <c r="CC13" s="197"/>
      <c r="CD13" s="189"/>
      <c r="CE13" s="187"/>
      <c r="CF13" s="187"/>
      <c r="CG13" s="188"/>
      <c r="CH13" s="186"/>
      <c r="CI13" s="187"/>
      <c r="CJ13" s="187"/>
      <c r="CK13" s="188"/>
      <c r="CL13" s="186"/>
      <c r="CM13" s="187"/>
      <c r="CN13" s="187"/>
      <c r="CO13" s="187"/>
      <c r="CP13" s="188"/>
      <c r="CQ13" s="189"/>
      <c r="CR13" s="187"/>
      <c r="CS13" s="187"/>
      <c r="CT13" s="188"/>
      <c r="CU13" s="186"/>
      <c r="CV13" s="187"/>
      <c r="CW13" s="187"/>
      <c r="CX13" s="187"/>
      <c r="CY13" s="197"/>
      <c r="CZ13" s="189"/>
      <c r="DA13" s="187"/>
      <c r="DB13" s="187"/>
      <c r="DC13" s="188"/>
      <c r="DD13" s="167"/>
      <c r="DE13" s="168"/>
      <c r="DF13" s="168"/>
      <c r="DG13" s="169"/>
    </row>
    <row r="14" spans="2:130" x14ac:dyDescent="0.3">
      <c r="B14" s="543"/>
      <c r="C14" s="199" t="s">
        <v>844</v>
      </c>
      <c r="D14" s="224"/>
      <c r="E14" s="268" t="e">
        <f>VLOOKUP($C14,'Infinity OLB &amp; Mob App'!$C:$L,4,0)</f>
        <v>#N/A</v>
      </c>
      <c r="F14" s="224" t="e">
        <f>VLOOKUP($C14,'Infinity OLB &amp; Mob App'!$C:$L,6,0)</f>
        <v>#N/A</v>
      </c>
      <c r="G14" s="275" t="e">
        <f>VLOOKUP($C14,'Infinity OLB &amp; Mob App'!$C:$L,7,0)</f>
        <v>#N/A</v>
      </c>
      <c r="H14" s="186"/>
      <c r="I14" s="187"/>
      <c r="J14" s="187"/>
      <c r="K14" s="188"/>
      <c r="L14" s="186"/>
      <c r="M14" s="187"/>
      <c r="N14" s="187"/>
      <c r="O14" s="188"/>
      <c r="P14" s="186"/>
      <c r="Q14" s="187"/>
      <c r="R14" s="187"/>
      <c r="S14" s="187"/>
      <c r="T14" s="188"/>
      <c r="U14" s="189"/>
      <c r="V14" s="187"/>
      <c r="W14" s="187"/>
      <c r="X14" s="188"/>
      <c r="Y14" s="186"/>
      <c r="Z14" s="187"/>
      <c r="AA14" s="187"/>
      <c r="AB14" s="187"/>
      <c r="AC14" s="197"/>
      <c r="AD14" s="189"/>
      <c r="AE14" s="187"/>
      <c r="AF14" s="187"/>
      <c r="AG14" s="188"/>
      <c r="AH14" s="186"/>
      <c r="AI14" s="187"/>
      <c r="AJ14" s="187"/>
      <c r="AK14" s="188"/>
      <c r="AL14" s="186"/>
      <c r="AM14" s="187"/>
      <c r="AN14" s="187"/>
      <c r="AO14" s="187"/>
      <c r="AP14" s="188"/>
      <c r="AQ14" s="189"/>
      <c r="AR14" s="187"/>
      <c r="AS14" s="187"/>
      <c r="AT14" s="188"/>
      <c r="AU14" s="189"/>
      <c r="AV14" s="187"/>
      <c r="AW14" s="187"/>
      <c r="AX14" s="188"/>
      <c r="AY14" s="186"/>
      <c r="AZ14" s="187"/>
      <c r="BA14" s="187"/>
      <c r="BB14" s="187"/>
      <c r="BC14" s="188"/>
      <c r="BD14" s="216"/>
      <c r="BE14" s="217"/>
      <c r="BF14" s="217"/>
      <c r="BG14" s="218"/>
      <c r="BH14" s="186"/>
      <c r="BI14" s="187"/>
      <c r="BJ14" s="187"/>
      <c r="BK14" s="187"/>
      <c r="BL14" s="188"/>
      <c r="BM14" s="186"/>
      <c r="BN14" s="187"/>
      <c r="BO14" s="187"/>
      <c r="BP14" s="197"/>
      <c r="BQ14" s="189"/>
      <c r="BR14" s="187"/>
      <c r="BS14" s="187"/>
      <c r="BT14" s="188"/>
      <c r="BU14" s="189"/>
      <c r="BV14" s="187"/>
      <c r="BW14" s="187"/>
      <c r="BX14" s="188"/>
      <c r="BY14" s="186"/>
      <c r="BZ14" s="187"/>
      <c r="CA14" s="187"/>
      <c r="CB14" s="187"/>
      <c r="CC14" s="197"/>
      <c r="CD14" s="189"/>
      <c r="CE14" s="187"/>
      <c r="CF14" s="187"/>
      <c r="CG14" s="188"/>
      <c r="CH14" s="186"/>
      <c r="CI14" s="187"/>
      <c r="CJ14" s="187"/>
      <c r="CK14" s="188"/>
      <c r="CL14" s="186"/>
      <c r="CM14" s="187"/>
      <c r="CN14" s="187"/>
      <c r="CO14" s="187"/>
      <c r="CP14" s="188"/>
      <c r="CQ14" s="189"/>
      <c r="CR14" s="187"/>
      <c r="CS14" s="187"/>
      <c r="CT14" s="188"/>
      <c r="CU14" s="186"/>
      <c r="CV14" s="187"/>
      <c r="CW14" s="187"/>
      <c r="CX14" s="187"/>
      <c r="CY14" s="197"/>
      <c r="CZ14" s="189"/>
      <c r="DA14" s="187"/>
      <c r="DB14" s="187"/>
      <c r="DC14" s="188"/>
      <c r="DD14" s="167"/>
      <c r="DE14" s="168"/>
      <c r="DF14" s="168"/>
      <c r="DG14" s="169"/>
    </row>
    <row r="15" spans="2:130" x14ac:dyDescent="0.3">
      <c r="B15" s="543"/>
      <c r="C15" s="199" t="s">
        <v>845</v>
      </c>
      <c r="D15" s="224"/>
      <c r="E15" s="268" t="e">
        <f>VLOOKUP($C15,'Infinity OLB &amp; Mob App'!$C:$L,4,0)</f>
        <v>#N/A</v>
      </c>
      <c r="F15" s="224" t="e">
        <f>VLOOKUP($C15,'Infinity OLB &amp; Mob App'!$C:$L,6,0)</f>
        <v>#N/A</v>
      </c>
      <c r="G15" s="275" t="e">
        <f>VLOOKUP($C15,'Infinity OLB &amp; Mob App'!$C:$L,7,0)</f>
        <v>#N/A</v>
      </c>
      <c r="H15" s="186"/>
      <c r="I15" s="187"/>
      <c r="J15" s="187"/>
      <c r="K15" s="188"/>
      <c r="L15" s="186"/>
      <c r="M15" s="187"/>
      <c r="N15" s="187"/>
      <c r="O15" s="188"/>
      <c r="P15" s="186"/>
      <c r="Q15" s="187"/>
      <c r="R15" s="187"/>
      <c r="S15" s="187"/>
      <c r="T15" s="188"/>
      <c r="U15" s="189"/>
      <c r="V15" s="187"/>
      <c r="W15" s="187"/>
      <c r="X15" s="188"/>
      <c r="Y15" s="186"/>
      <c r="Z15" s="187"/>
      <c r="AA15" s="187"/>
      <c r="AB15" s="187"/>
      <c r="AC15" s="197"/>
      <c r="AD15" s="189"/>
      <c r="AE15" s="187"/>
      <c r="AF15" s="187"/>
      <c r="AG15" s="188"/>
      <c r="AH15" s="186"/>
      <c r="AI15" s="187"/>
      <c r="AJ15" s="187"/>
      <c r="AK15" s="188"/>
      <c r="AL15" s="186"/>
      <c r="AM15" s="187"/>
      <c r="AN15" s="187"/>
      <c r="AO15" s="187"/>
      <c r="AP15" s="188"/>
      <c r="AQ15" s="189"/>
      <c r="AR15" s="187"/>
      <c r="AS15" s="187"/>
      <c r="AT15" s="188"/>
      <c r="AU15" s="189"/>
      <c r="AV15" s="187"/>
      <c r="AW15" s="187"/>
      <c r="AX15" s="188"/>
      <c r="AY15" s="186"/>
      <c r="AZ15" s="187"/>
      <c r="BA15" s="187"/>
      <c r="BB15" s="187"/>
      <c r="BC15" s="188"/>
      <c r="BD15" s="216"/>
      <c r="BE15" s="217"/>
      <c r="BF15" s="217"/>
      <c r="BG15" s="218"/>
      <c r="BH15" s="186"/>
      <c r="BI15" s="187"/>
      <c r="BJ15" s="187"/>
      <c r="BK15" s="187"/>
      <c r="BL15" s="188"/>
      <c r="BM15" s="186"/>
      <c r="BN15" s="187"/>
      <c r="BO15" s="187"/>
      <c r="BP15" s="197"/>
      <c r="BQ15" s="189"/>
      <c r="BR15" s="187"/>
      <c r="BS15" s="187"/>
      <c r="BT15" s="188"/>
      <c r="BU15" s="189"/>
      <c r="BV15" s="187"/>
      <c r="BW15" s="187"/>
      <c r="BX15" s="188"/>
      <c r="BY15" s="186"/>
      <c r="BZ15" s="187"/>
      <c r="CA15" s="187"/>
      <c r="CB15" s="187"/>
      <c r="CC15" s="197"/>
      <c r="CD15" s="189"/>
      <c r="CE15" s="187"/>
      <c r="CF15" s="187"/>
      <c r="CG15" s="188"/>
      <c r="CH15" s="186"/>
      <c r="CI15" s="187"/>
      <c r="CJ15" s="187"/>
      <c r="CK15" s="188"/>
      <c r="CL15" s="186"/>
      <c r="CM15" s="187"/>
      <c r="CN15" s="187"/>
      <c r="CO15" s="187"/>
      <c r="CP15" s="188"/>
      <c r="CQ15" s="189"/>
      <c r="CR15" s="187"/>
      <c r="CS15" s="187"/>
      <c r="CT15" s="188"/>
      <c r="CU15" s="186"/>
      <c r="CV15" s="187"/>
      <c r="CW15" s="187"/>
      <c r="CX15" s="187"/>
      <c r="CY15" s="197"/>
      <c r="CZ15" s="189"/>
      <c r="DA15" s="187"/>
      <c r="DB15" s="187"/>
      <c r="DC15" s="188"/>
      <c r="DD15" s="167"/>
      <c r="DE15" s="168"/>
      <c r="DF15" s="168"/>
      <c r="DG15" s="169"/>
    </row>
    <row r="16" spans="2:130" x14ac:dyDescent="0.3">
      <c r="B16" s="543"/>
      <c r="C16" s="199" t="s">
        <v>689</v>
      </c>
      <c r="D16" s="224"/>
      <c r="E16" s="268">
        <f>VLOOKUP($C16,'Infinity OLB &amp; Mob App'!$C:$L,4,0)</f>
        <v>0</v>
      </c>
      <c r="F16" s="224">
        <f>VLOOKUP($C16,'Infinity OLB &amp; Mob App'!$C:$L,6,0)</f>
        <v>44653</v>
      </c>
      <c r="G16" s="275">
        <f>VLOOKUP($C16,'Infinity OLB &amp; Mob App'!$C:$L,7,0)</f>
        <v>44653</v>
      </c>
      <c r="H16" s="186"/>
      <c r="I16" s="187"/>
      <c r="J16" s="187"/>
      <c r="K16" s="188"/>
      <c r="L16" s="186"/>
      <c r="M16" s="187"/>
      <c r="N16" s="187"/>
      <c r="O16" s="188"/>
      <c r="P16" s="186"/>
      <c r="Q16" s="187"/>
      <c r="R16" s="187"/>
      <c r="S16" s="187"/>
      <c r="T16" s="188"/>
      <c r="U16" s="189"/>
      <c r="V16" s="187"/>
      <c r="W16" s="187"/>
      <c r="X16" s="188"/>
      <c r="Y16" s="186"/>
      <c r="Z16" s="187"/>
      <c r="AA16" s="187"/>
      <c r="AB16" s="187"/>
      <c r="AC16" s="197"/>
      <c r="AD16" s="189"/>
      <c r="AE16" s="187"/>
      <c r="AF16" s="187"/>
      <c r="AG16" s="188"/>
      <c r="AH16" s="186"/>
      <c r="AI16" s="187"/>
      <c r="AJ16" s="187"/>
      <c r="AK16" s="188"/>
      <c r="AL16" s="186"/>
      <c r="AM16" s="187"/>
      <c r="AN16" s="187"/>
      <c r="AO16" s="187"/>
      <c r="AP16" s="188"/>
      <c r="AQ16" s="189"/>
      <c r="AR16" s="187"/>
      <c r="AS16" s="187"/>
      <c r="AT16" s="188"/>
      <c r="AU16" s="189"/>
      <c r="AV16" s="187"/>
      <c r="AW16" s="187"/>
      <c r="AX16" s="188"/>
      <c r="AY16" s="186"/>
      <c r="AZ16" s="187"/>
      <c r="BA16" s="187"/>
      <c r="BB16" s="187"/>
      <c r="BC16" s="188"/>
      <c r="BD16" s="216"/>
      <c r="BE16" s="217"/>
      <c r="BF16" s="217"/>
      <c r="BG16" s="218"/>
      <c r="BH16" s="186"/>
      <c r="BI16" s="187"/>
      <c r="BJ16" s="187"/>
      <c r="BK16" s="187"/>
      <c r="BL16" s="188"/>
      <c r="BM16" s="186"/>
      <c r="BN16" s="187"/>
      <c r="BO16" s="187"/>
      <c r="BP16" s="197"/>
      <c r="BQ16" s="189"/>
      <c r="BR16" s="187"/>
      <c r="BS16" s="187"/>
      <c r="BT16" s="188"/>
      <c r="BU16" s="189"/>
      <c r="BV16" s="187"/>
      <c r="BW16" s="187"/>
      <c r="BX16" s="188"/>
      <c r="BY16" s="186"/>
      <c r="BZ16" s="187"/>
      <c r="CA16" s="187"/>
      <c r="CB16" s="187"/>
      <c r="CC16" s="197"/>
      <c r="CD16" s="189"/>
      <c r="CE16" s="187"/>
      <c r="CF16" s="187"/>
      <c r="CG16" s="188"/>
      <c r="CH16" s="186"/>
      <c r="CI16" s="187"/>
      <c r="CJ16" s="187"/>
      <c r="CK16" s="188"/>
      <c r="CL16" s="186"/>
      <c r="CM16" s="187"/>
      <c r="CN16" s="187"/>
      <c r="CO16" s="187"/>
      <c r="CP16" s="188"/>
      <c r="CQ16" s="189"/>
      <c r="CR16" s="187"/>
      <c r="CS16" s="187"/>
      <c r="CT16" s="188"/>
      <c r="CU16" s="186"/>
      <c r="CV16" s="187"/>
      <c r="CW16" s="187"/>
      <c r="CX16" s="187"/>
      <c r="CY16" s="197"/>
      <c r="CZ16" s="189"/>
      <c r="DA16" s="187"/>
      <c r="DB16" s="187"/>
      <c r="DC16" s="188"/>
      <c r="DD16" s="167"/>
      <c r="DE16" s="168"/>
      <c r="DF16" s="168"/>
      <c r="DG16" s="169"/>
    </row>
    <row r="17" spans="2:130" s="209" customFormat="1" x14ac:dyDescent="0.3">
      <c r="B17" s="543"/>
      <c r="C17" s="210" t="s">
        <v>692</v>
      </c>
      <c r="D17" s="210"/>
      <c r="E17" s="269"/>
      <c r="F17" s="225"/>
      <c r="G17" s="276"/>
      <c r="H17" s="211"/>
      <c r="I17" s="212"/>
      <c r="J17" s="212"/>
      <c r="K17" s="213"/>
      <c r="L17" s="211"/>
      <c r="M17" s="212"/>
      <c r="N17" s="212"/>
      <c r="O17" s="213"/>
      <c r="P17" s="211"/>
      <c r="Q17" s="212"/>
      <c r="R17" s="212"/>
      <c r="S17" s="212"/>
      <c r="T17" s="213"/>
      <c r="U17" s="214"/>
      <c r="V17" s="212"/>
      <c r="W17" s="212"/>
      <c r="X17" s="213"/>
      <c r="Y17" s="211"/>
      <c r="Z17" s="212"/>
      <c r="AA17" s="212"/>
      <c r="AB17" s="212"/>
      <c r="AC17" s="215"/>
      <c r="AD17" s="214"/>
      <c r="AE17" s="212"/>
      <c r="AF17" s="212"/>
      <c r="AG17" s="213"/>
      <c r="AH17" s="211"/>
      <c r="AI17" s="212"/>
      <c r="AJ17" s="212"/>
      <c r="AK17" s="213"/>
      <c r="AL17" s="211"/>
      <c r="AM17" s="212"/>
      <c r="AN17" s="212"/>
      <c r="AO17" s="212"/>
      <c r="AP17" s="213"/>
      <c r="AQ17" s="214"/>
      <c r="AR17" s="212"/>
      <c r="AS17" s="212"/>
      <c r="AT17" s="213"/>
      <c r="AU17" s="214"/>
      <c r="AV17" s="212"/>
      <c r="AW17" s="212"/>
      <c r="AX17" s="213"/>
      <c r="AY17" s="211"/>
      <c r="AZ17" s="212"/>
      <c r="BA17" s="212"/>
      <c r="BB17" s="212"/>
      <c r="BC17" s="213"/>
      <c r="BD17" s="216"/>
      <c r="BE17" s="217"/>
      <c r="BF17" s="217"/>
      <c r="BG17" s="218"/>
      <c r="BH17" s="211"/>
      <c r="BI17" s="212"/>
      <c r="BJ17" s="212"/>
      <c r="BK17" s="212"/>
      <c r="BL17" s="213"/>
      <c r="BM17" s="211"/>
      <c r="BN17" s="212"/>
      <c r="BO17" s="212"/>
      <c r="BP17" s="215"/>
      <c r="BQ17" s="214"/>
      <c r="BR17" s="212"/>
      <c r="BS17" s="212"/>
      <c r="BT17" s="213"/>
      <c r="BU17" s="214"/>
      <c r="BV17" s="212"/>
      <c r="BW17" s="212"/>
      <c r="BX17" s="213"/>
      <c r="BY17" s="211"/>
      <c r="BZ17" s="212"/>
      <c r="CA17" s="212"/>
      <c r="CB17" s="212"/>
      <c r="CC17" s="215"/>
      <c r="CD17" s="214"/>
      <c r="CE17" s="212"/>
      <c r="CF17" s="212"/>
      <c r="CG17" s="213"/>
      <c r="CH17" s="211"/>
      <c r="CI17" s="212"/>
      <c r="CJ17" s="212"/>
      <c r="CK17" s="213"/>
      <c r="CL17" s="211"/>
      <c r="CM17" s="212"/>
      <c r="CN17" s="212"/>
      <c r="CO17" s="212"/>
      <c r="CP17" s="213"/>
      <c r="CQ17" s="214"/>
      <c r="CR17" s="212"/>
      <c r="CS17" s="212"/>
      <c r="CT17" s="213"/>
      <c r="CU17" s="211"/>
      <c r="CV17" s="212"/>
      <c r="CW17" s="212"/>
      <c r="CX17" s="212"/>
      <c r="CY17" s="215"/>
      <c r="CZ17" s="214"/>
      <c r="DA17" s="212"/>
      <c r="DB17" s="212"/>
      <c r="DC17" s="213"/>
      <c r="DD17" s="216"/>
      <c r="DE17" s="217"/>
      <c r="DF17" s="217"/>
      <c r="DG17" s="218"/>
      <c r="DH17" s="163"/>
      <c r="DI17" s="163"/>
      <c r="DJ17" s="163"/>
      <c r="DK17" s="163"/>
      <c r="DL17" s="163"/>
      <c r="DM17" s="163"/>
      <c r="DN17" s="163"/>
      <c r="DO17" s="163"/>
      <c r="DP17" s="163"/>
      <c r="DQ17" s="163"/>
      <c r="DR17" s="163"/>
      <c r="DS17" s="163"/>
      <c r="DT17" s="163"/>
      <c r="DU17" s="163"/>
      <c r="DV17" s="163"/>
      <c r="DW17" s="163"/>
      <c r="DX17" s="163"/>
      <c r="DY17" s="163"/>
      <c r="DZ17" s="163"/>
    </row>
    <row r="18" spans="2:130" x14ac:dyDescent="0.3">
      <c r="B18" s="543"/>
      <c r="C18" s="199" t="s">
        <v>848</v>
      </c>
      <c r="D18" s="224"/>
      <c r="E18" s="268" t="e">
        <f>VLOOKUP($C18,'Infinity OLB &amp; Mob App'!$C:$L,4,0)</f>
        <v>#N/A</v>
      </c>
      <c r="F18" s="224" t="e">
        <f>VLOOKUP($C18,'Infinity OLB &amp; Mob App'!$C:$L,6,0)</f>
        <v>#N/A</v>
      </c>
      <c r="G18" s="275" t="e">
        <f>VLOOKUP($C18,'Infinity OLB &amp; Mob App'!$C:$L,7,0)</f>
        <v>#N/A</v>
      </c>
      <c r="H18" s="186"/>
      <c r="I18" s="187"/>
      <c r="J18" s="187"/>
      <c r="K18" s="188"/>
      <c r="L18" s="186"/>
      <c r="M18" s="187"/>
      <c r="N18" s="187"/>
      <c r="O18" s="188"/>
      <c r="P18" s="186"/>
      <c r="Q18" s="187"/>
      <c r="R18" s="187"/>
      <c r="S18" s="187"/>
      <c r="T18" s="188"/>
      <c r="U18" s="189"/>
      <c r="V18" s="187"/>
      <c r="W18" s="187"/>
      <c r="X18" s="188"/>
      <c r="Y18" s="186"/>
      <c r="Z18" s="187"/>
      <c r="AA18" s="187"/>
      <c r="AB18" s="187"/>
      <c r="AC18" s="197"/>
      <c r="AD18" s="189"/>
      <c r="AE18" s="187"/>
      <c r="AF18" s="187"/>
      <c r="AG18" s="188"/>
      <c r="AH18" s="186"/>
      <c r="AI18" s="187"/>
      <c r="AJ18" s="187"/>
      <c r="AK18" s="188"/>
      <c r="AL18" s="186"/>
      <c r="AM18" s="187"/>
      <c r="AN18" s="187"/>
      <c r="AO18" s="187"/>
      <c r="AP18" s="188"/>
      <c r="AQ18" s="189"/>
      <c r="AR18" s="187"/>
      <c r="AS18" s="187"/>
      <c r="AT18" s="188"/>
      <c r="AU18" s="189"/>
      <c r="AV18" s="187"/>
      <c r="AW18" s="187"/>
      <c r="AX18" s="188"/>
      <c r="AY18" s="186"/>
      <c r="AZ18" s="187"/>
      <c r="BA18" s="187"/>
      <c r="BB18" s="187"/>
      <c r="BC18" s="188"/>
      <c r="BD18" s="216"/>
      <c r="BE18" s="217"/>
      <c r="BF18" s="217"/>
      <c r="BG18" s="218"/>
      <c r="BH18" s="186"/>
      <c r="BI18" s="187"/>
      <c r="BJ18" s="187"/>
      <c r="BK18" s="187"/>
      <c r="BL18" s="188"/>
      <c r="BM18" s="186"/>
      <c r="BN18" s="187"/>
      <c r="BO18" s="187"/>
      <c r="BP18" s="197"/>
      <c r="BQ18" s="189"/>
      <c r="BR18" s="187"/>
      <c r="BS18" s="187"/>
      <c r="BT18" s="188"/>
      <c r="BU18" s="189"/>
      <c r="BV18" s="187"/>
      <c r="BW18" s="187"/>
      <c r="BX18" s="188"/>
      <c r="BY18" s="186"/>
      <c r="BZ18" s="187"/>
      <c r="CA18" s="187"/>
      <c r="CB18" s="187"/>
      <c r="CC18" s="197"/>
      <c r="CD18" s="189"/>
      <c r="CE18" s="187"/>
      <c r="CF18" s="187"/>
      <c r="CG18" s="188"/>
      <c r="CH18" s="186"/>
      <c r="CI18" s="187"/>
      <c r="CJ18" s="187"/>
      <c r="CK18" s="188"/>
      <c r="CL18" s="186"/>
      <c r="CM18" s="187"/>
      <c r="CN18" s="187"/>
      <c r="CO18" s="187"/>
      <c r="CP18" s="188"/>
      <c r="CQ18" s="189"/>
      <c r="CR18" s="187"/>
      <c r="CS18" s="187"/>
      <c r="CT18" s="188"/>
      <c r="CU18" s="186"/>
      <c r="CV18" s="187"/>
      <c r="CW18" s="187"/>
      <c r="CX18" s="187"/>
      <c r="CY18" s="197"/>
      <c r="CZ18" s="189"/>
      <c r="DA18" s="187"/>
      <c r="DB18" s="187"/>
      <c r="DC18" s="188"/>
      <c r="DD18" s="167"/>
      <c r="DE18" s="168"/>
      <c r="DF18" s="168"/>
      <c r="DG18" s="169"/>
    </row>
    <row r="19" spans="2:130" x14ac:dyDescent="0.3">
      <c r="B19" s="543"/>
      <c r="C19" s="199" t="s">
        <v>849</v>
      </c>
      <c r="D19" s="224"/>
      <c r="E19" s="268" t="e">
        <f>VLOOKUP($C19,'Infinity OLB &amp; Mob App'!$C:$L,4,0)</f>
        <v>#N/A</v>
      </c>
      <c r="F19" s="224" t="e">
        <f>VLOOKUP($C19,'Infinity OLB &amp; Mob App'!$C:$L,6,0)</f>
        <v>#N/A</v>
      </c>
      <c r="G19" s="275" t="e">
        <f>VLOOKUP($C19,'Infinity OLB &amp; Mob App'!$C:$L,7,0)</f>
        <v>#N/A</v>
      </c>
      <c r="H19" s="186"/>
      <c r="I19" s="187"/>
      <c r="J19" s="187"/>
      <c r="K19" s="188"/>
      <c r="L19" s="186"/>
      <c r="M19" s="187"/>
      <c r="N19" s="187"/>
      <c r="O19" s="188"/>
      <c r="P19" s="186"/>
      <c r="Q19" s="187"/>
      <c r="R19" s="187"/>
      <c r="S19" s="187"/>
      <c r="T19" s="188"/>
      <c r="U19" s="189"/>
      <c r="V19" s="187"/>
      <c r="W19" s="187"/>
      <c r="X19" s="188"/>
      <c r="Y19" s="186"/>
      <c r="Z19" s="187"/>
      <c r="AA19" s="187"/>
      <c r="AB19" s="187"/>
      <c r="AC19" s="197"/>
      <c r="AD19" s="189"/>
      <c r="AE19" s="187"/>
      <c r="AF19" s="187"/>
      <c r="AG19" s="188"/>
      <c r="AH19" s="186"/>
      <c r="AI19" s="187"/>
      <c r="AJ19" s="187"/>
      <c r="AK19" s="188"/>
      <c r="AL19" s="186"/>
      <c r="AM19" s="187"/>
      <c r="AN19" s="187"/>
      <c r="AO19" s="187"/>
      <c r="AP19" s="188"/>
      <c r="AQ19" s="189"/>
      <c r="AR19" s="187"/>
      <c r="AS19" s="187"/>
      <c r="AT19" s="188"/>
      <c r="AU19" s="189"/>
      <c r="AV19" s="187"/>
      <c r="AW19" s="187"/>
      <c r="AX19" s="188"/>
      <c r="AY19" s="186"/>
      <c r="AZ19" s="187"/>
      <c r="BA19" s="187"/>
      <c r="BB19" s="187"/>
      <c r="BC19" s="188"/>
      <c r="BD19" s="216"/>
      <c r="BE19" s="217"/>
      <c r="BF19" s="217"/>
      <c r="BG19" s="218"/>
      <c r="BH19" s="186"/>
      <c r="BI19" s="187"/>
      <c r="BJ19" s="187"/>
      <c r="BK19" s="187"/>
      <c r="BL19" s="188"/>
      <c r="BM19" s="186"/>
      <c r="BN19" s="187"/>
      <c r="BO19" s="187"/>
      <c r="BP19" s="197"/>
      <c r="BQ19" s="189"/>
      <c r="BR19" s="187"/>
      <c r="BS19" s="187"/>
      <c r="BT19" s="188"/>
      <c r="BU19" s="189"/>
      <c r="BV19" s="187"/>
      <c r="BW19" s="187"/>
      <c r="BX19" s="188"/>
      <c r="BY19" s="186"/>
      <c r="BZ19" s="187"/>
      <c r="CA19" s="187"/>
      <c r="CB19" s="187"/>
      <c r="CC19" s="197"/>
      <c r="CD19" s="189"/>
      <c r="CE19" s="187"/>
      <c r="CF19" s="187"/>
      <c r="CG19" s="188"/>
      <c r="CH19" s="186"/>
      <c r="CI19" s="187"/>
      <c r="CJ19" s="187"/>
      <c r="CK19" s="188"/>
      <c r="CL19" s="186"/>
      <c r="CM19" s="187"/>
      <c r="CN19" s="187"/>
      <c r="CO19" s="187"/>
      <c r="CP19" s="188"/>
      <c r="CQ19" s="189"/>
      <c r="CR19" s="187"/>
      <c r="CS19" s="187"/>
      <c r="CT19" s="188"/>
      <c r="CU19" s="186"/>
      <c r="CV19" s="187"/>
      <c r="CW19" s="187"/>
      <c r="CX19" s="187"/>
      <c r="CY19" s="197"/>
      <c r="CZ19" s="189"/>
      <c r="DA19" s="187"/>
      <c r="DB19" s="187"/>
      <c r="DC19" s="188"/>
      <c r="DD19" s="167"/>
      <c r="DE19" s="168"/>
      <c r="DF19" s="168"/>
      <c r="DG19" s="169"/>
    </row>
    <row r="20" spans="2:130" x14ac:dyDescent="0.3">
      <c r="B20" s="543"/>
      <c r="C20" s="199" t="s">
        <v>850</v>
      </c>
      <c r="D20" s="224"/>
      <c r="E20" s="268" t="e">
        <f>VLOOKUP($C20,'Infinity OLB &amp; Mob App'!$C:$L,4,0)</f>
        <v>#N/A</v>
      </c>
      <c r="F20" s="224" t="e">
        <f>VLOOKUP($C20,'Infinity OLB &amp; Mob App'!$C:$L,6,0)</f>
        <v>#N/A</v>
      </c>
      <c r="G20" s="275" t="e">
        <f>VLOOKUP($C20,'Infinity OLB &amp; Mob App'!$C:$L,7,0)</f>
        <v>#N/A</v>
      </c>
      <c r="H20" s="186"/>
      <c r="I20" s="187"/>
      <c r="J20" s="187"/>
      <c r="K20" s="188"/>
      <c r="L20" s="186"/>
      <c r="M20" s="187"/>
      <c r="N20" s="187"/>
      <c r="O20" s="188"/>
      <c r="P20" s="186"/>
      <c r="Q20" s="187"/>
      <c r="R20" s="187"/>
      <c r="S20" s="187"/>
      <c r="T20" s="188"/>
      <c r="U20" s="189"/>
      <c r="V20" s="187"/>
      <c r="W20" s="187"/>
      <c r="X20" s="188"/>
      <c r="Y20" s="186"/>
      <c r="Z20" s="187"/>
      <c r="AA20" s="187"/>
      <c r="AB20" s="187"/>
      <c r="AC20" s="197"/>
      <c r="AD20" s="189"/>
      <c r="AE20" s="187"/>
      <c r="AF20" s="187"/>
      <c r="AG20" s="188"/>
      <c r="AH20" s="186"/>
      <c r="AI20" s="187"/>
      <c r="AJ20" s="187"/>
      <c r="AK20" s="188"/>
      <c r="AL20" s="186"/>
      <c r="AM20" s="187"/>
      <c r="AN20" s="187"/>
      <c r="AO20" s="187"/>
      <c r="AP20" s="188"/>
      <c r="AQ20" s="189"/>
      <c r="AR20" s="187"/>
      <c r="AS20" s="187"/>
      <c r="AT20" s="188"/>
      <c r="AU20" s="189"/>
      <c r="AV20" s="187"/>
      <c r="AW20" s="187"/>
      <c r="AX20" s="188"/>
      <c r="AY20" s="186"/>
      <c r="AZ20" s="187"/>
      <c r="BA20" s="187"/>
      <c r="BB20" s="187"/>
      <c r="BC20" s="188"/>
      <c r="BD20" s="216"/>
      <c r="BE20" s="217"/>
      <c r="BF20" s="217"/>
      <c r="BG20" s="218"/>
      <c r="BH20" s="186"/>
      <c r="BI20" s="187"/>
      <c r="BJ20" s="187"/>
      <c r="BK20" s="187"/>
      <c r="BL20" s="188"/>
      <c r="BM20" s="186"/>
      <c r="BN20" s="187"/>
      <c r="BO20" s="187"/>
      <c r="BP20" s="197"/>
      <c r="BQ20" s="189"/>
      <c r="BR20" s="187"/>
      <c r="BS20" s="187"/>
      <c r="BT20" s="188"/>
      <c r="BU20" s="189"/>
      <c r="BV20" s="187"/>
      <c r="BW20" s="187"/>
      <c r="BX20" s="188"/>
      <c r="BY20" s="186"/>
      <c r="BZ20" s="187"/>
      <c r="CA20" s="187"/>
      <c r="CB20" s="187"/>
      <c r="CC20" s="197"/>
      <c r="CD20" s="189"/>
      <c r="CE20" s="187"/>
      <c r="CF20" s="187"/>
      <c r="CG20" s="188"/>
      <c r="CH20" s="186"/>
      <c r="CI20" s="187"/>
      <c r="CJ20" s="187"/>
      <c r="CK20" s="188"/>
      <c r="CL20" s="186"/>
      <c r="CM20" s="187"/>
      <c r="CN20" s="187"/>
      <c r="CO20" s="187"/>
      <c r="CP20" s="188"/>
      <c r="CQ20" s="189"/>
      <c r="CR20" s="187"/>
      <c r="CS20" s="187"/>
      <c r="CT20" s="188"/>
      <c r="CU20" s="186"/>
      <c r="CV20" s="187"/>
      <c r="CW20" s="187"/>
      <c r="CX20" s="187"/>
      <c r="CY20" s="197"/>
      <c r="CZ20" s="189"/>
      <c r="DA20" s="187"/>
      <c r="DB20" s="187"/>
      <c r="DC20" s="188"/>
      <c r="DD20" s="167"/>
      <c r="DE20" s="168"/>
      <c r="DF20" s="168"/>
      <c r="DG20" s="169"/>
    </row>
    <row r="21" spans="2:130" x14ac:dyDescent="0.3">
      <c r="B21" s="543"/>
      <c r="C21" s="199" t="s">
        <v>851</v>
      </c>
      <c r="D21" s="224"/>
      <c r="E21" s="268" t="e">
        <f>VLOOKUP($C21,'Infinity OLB &amp; Mob App'!$C:$L,4,0)</f>
        <v>#N/A</v>
      </c>
      <c r="F21" s="224" t="e">
        <f>VLOOKUP($C21,'Infinity OLB &amp; Mob App'!$C:$L,6,0)</f>
        <v>#N/A</v>
      </c>
      <c r="G21" s="275" t="e">
        <f>VLOOKUP($C21,'Infinity OLB &amp; Mob App'!$C:$L,7,0)</f>
        <v>#N/A</v>
      </c>
      <c r="H21" s="186"/>
      <c r="I21" s="187"/>
      <c r="J21" s="187"/>
      <c r="K21" s="188"/>
      <c r="L21" s="186"/>
      <c r="M21" s="187"/>
      <c r="N21" s="187"/>
      <c r="O21" s="188"/>
      <c r="P21" s="186"/>
      <c r="Q21" s="187"/>
      <c r="R21" s="187"/>
      <c r="S21" s="187"/>
      <c r="T21" s="188"/>
      <c r="U21" s="189"/>
      <c r="V21" s="187"/>
      <c r="W21" s="187"/>
      <c r="X21" s="188"/>
      <c r="Y21" s="186"/>
      <c r="Z21" s="187"/>
      <c r="AA21" s="187"/>
      <c r="AB21" s="187"/>
      <c r="AC21" s="197"/>
      <c r="AD21" s="189"/>
      <c r="AE21" s="187"/>
      <c r="AF21" s="187"/>
      <c r="AG21" s="188"/>
      <c r="AH21" s="186"/>
      <c r="AI21" s="187"/>
      <c r="AJ21" s="187"/>
      <c r="AK21" s="188"/>
      <c r="AL21" s="186"/>
      <c r="AM21" s="187"/>
      <c r="AN21" s="187"/>
      <c r="AO21" s="187"/>
      <c r="AP21" s="188"/>
      <c r="AQ21" s="189"/>
      <c r="AR21" s="187"/>
      <c r="AS21" s="187"/>
      <c r="AT21" s="188"/>
      <c r="AU21" s="189"/>
      <c r="AV21" s="187"/>
      <c r="AW21" s="187"/>
      <c r="AX21" s="188"/>
      <c r="AY21" s="186"/>
      <c r="AZ21" s="187"/>
      <c r="BA21" s="187"/>
      <c r="BB21" s="187"/>
      <c r="BC21" s="188"/>
      <c r="BD21" s="216"/>
      <c r="BE21" s="217"/>
      <c r="BF21" s="217"/>
      <c r="BG21" s="218"/>
      <c r="BH21" s="186"/>
      <c r="BI21" s="187"/>
      <c r="BJ21" s="187"/>
      <c r="BK21" s="187"/>
      <c r="BL21" s="188"/>
      <c r="BM21" s="186"/>
      <c r="BN21" s="187"/>
      <c r="BO21" s="187"/>
      <c r="BP21" s="197"/>
      <c r="BQ21" s="189"/>
      <c r="BR21" s="187"/>
      <c r="BS21" s="187"/>
      <c r="BT21" s="188"/>
      <c r="BU21" s="189"/>
      <c r="BV21" s="187"/>
      <c r="BW21" s="187"/>
      <c r="BX21" s="188"/>
      <c r="BY21" s="186"/>
      <c r="BZ21" s="187"/>
      <c r="CA21" s="187"/>
      <c r="CB21" s="187"/>
      <c r="CC21" s="197"/>
      <c r="CD21" s="189"/>
      <c r="CE21" s="187"/>
      <c r="CF21" s="187"/>
      <c r="CG21" s="188"/>
      <c r="CH21" s="186"/>
      <c r="CI21" s="187"/>
      <c r="CJ21" s="187"/>
      <c r="CK21" s="188"/>
      <c r="CL21" s="186"/>
      <c r="CM21" s="187"/>
      <c r="CN21" s="187"/>
      <c r="CO21" s="187"/>
      <c r="CP21" s="188"/>
      <c r="CQ21" s="189"/>
      <c r="CR21" s="187"/>
      <c r="CS21" s="187"/>
      <c r="CT21" s="188"/>
      <c r="CU21" s="186"/>
      <c r="CV21" s="187"/>
      <c r="CW21" s="187"/>
      <c r="CX21" s="187"/>
      <c r="CY21" s="197"/>
      <c r="CZ21" s="189"/>
      <c r="DA21" s="187"/>
      <c r="DB21" s="187"/>
      <c r="DC21" s="188"/>
      <c r="DD21" s="167"/>
      <c r="DE21" s="168"/>
      <c r="DF21" s="168"/>
      <c r="DG21" s="169"/>
    </row>
    <row r="22" spans="2:130" ht="15" thickBot="1" x14ac:dyDescent="0.35">
      <c r="B22" s="544"/>
      <c r="C22" s="249" t="s">
        <v>691</v>
      </c>
      <c r="D22" s="250"/>
      <c r="E22" s="270">
        <f>VLOOKUP($C22,'Infinity OLB &amp; Mob App'!$C:$L,4,0)</f>
        <v>0</v>
      </c>
      <c r="F22" s="250">
        <f>VLOOKUP($C22,'Infinity OLB &amp; Mob App'!$C:$L,6,0)</f>
        <v>44646</v>
      </c>
      <c r="G22" s="277">
        <f>VLOOKUP($C22,'Infinity OLB &amp; Mob App'!$C:$L,7,0)</f>
        <v>44646</v>
      </c>
      <c r="H22" s="182"/>
      <c r="I22" s="183"/>
      <c r="J22" s="183"/>
      <c r="K22" s="184"/>
      <c r="L22" s="182"/>
      <c r="M22" s="183"/>
      <c r="N22" s="183"/>
      <c r="O22" s="184"/>
      <c r="P22" s="182"/>
      <c r="Q22" s="183"/>
      <c r="R22" s="183"/>
      <c r="S22" s="183"/>
      <c r="T22" s="184"/>
      <c r="U22" s="182"/>
      <c r="V22" s="183"/>
      <c r="W22" s="183"/>
      <c r="X22" s="184"/>
      <c r="Y22" s="182"/>
      <c r="Z22" s="183"/>
      <c r="AA22" s="183"/>
      <c r="AB22" s="183"/>
      <c r="AC22" s="196"/>
      <c r="AD22" s="185"/>
      <c r="AE22" s="183"/>
      <c r="AF22" s="183"/>
      <c r="AG22" s="184"/>
      <c r="AH22" s="182"/>
      <c r="AI22" s="183"/>
      <c r="AJ22" s="183"/>
      <c r="AK22" s="184"/>
      <c r="AL22" s="182"/>
      <c r="AM22" s="183"/>
      <c r="AN22" s="183"/>
      <c r="AO22" s="183"/>
      <c r="AP22" s="184"/>
      <c r="AQ22" s="185"/>
      <c r="AR22" s="183"/>
      <c r="AS22" s="183"/>
      <c r="AT22" s="184"/>
      <c r="AU22" s="185"/>
      <c r="AV22" s="183"/>
      <c r="AW22" s="183"/>
      <c r="AX22" s="184"/>
      <c r="AY22" s="182"/>
      <c r="AZ22" s="183"/>
      <c r="BA22" s="183"/>
      <c r="BB22" s="183"/>
      <c r="BC22" s="184"/>
      <c r="BD22" s="259"/>
      <c r="BE22" s="260"/>
      <c r="BF22" s="260"/>
      <c r="BG22" s="261"/>
      <c r="BH22" s="182"/>
      <c r="BI22" s="183"/>
      <c r="BJ22" s="183"/>
      <c r="BK22" s="183"/>
      <c r="BL22" s="184"/>
      <c r="BM22" s="182"/>
      <c r="BN22" s="183"/>
      <c r="BO22" s="183"/>
      <c r="BP22" s="196"/>
      <c r="BQ22" s="185"/>
      <c r="BR22" s="183"/>
      <c r="BS22" s="183"/>
      <c r="BT22" s="184"/>
      <c r="BU22" s="182"/>
      <c r="BV22" s="183"/>
      <c r="BW22" s="183"/>
      <c r="BX22" s="184"/>
      <c r="BY22" s="182"/>
      <c r="BZ22" s="183"/>
      <c r="CA22" s="183"/>
      <c r="CB22" s="183"/>
      <c r="CC22" s="196"/>
      <c r="CD22" s="185"/>
      <c r="CE22" s="183"/>
      <c r="CF22" s="183"/>
      <c r="CG22" s="184"/>
      <c r="CH22" s="182"/>
      <c r="CI22" s="183"/>
      <c r="CJ22" s="183"/>
      <c r="CK22" s="184"/>
      <c r="CL22" s="182"/>
      <c r="CM22" s="183"/>
      <c r="CN22" s="183"/>
      <c r="CO22" s="183"/>
      <c r="CP22" s="184"/>
      <c r="CQ22" s="185"/>
      <c r="CR22" s="183"/>
      <c r="CS22" s="183"/>
      <c r="CT22" s="184"/>
      <c r="CU22" s="182"/>
      <c r="CV22" s="183"/>
      <c r="CW22" s="183"/>
      <c r="CX22" s="183"/>
      <c r="CY22" s="196"/>
      <c r="CZ22" s="185"/>
      <c r="DA22" s="183"/>
      <c r="DB22" s="183"/>
      <c r="DC22" s="184"/>
      <c r="DD22" s="173"/>
      <c r="DE22" s="165"/>
      <c r="DF22" s="165"/>
      <c r="DG22" s="166"/>
    </row>
    <row r="24" spans="2:130" x14ac:dyDescent="0.3">
      <c r="C24" s="251" t="s">
        <v>867</v>
      </c>
    </row>
    <row r="25" spans="2:130" ht="16.350000000000001" customHeight="1" x14ac:dyDescent="0.3">
      <c r="B25" s="253"/>
      <c r="C25" s="252"/>
    </row>
    <row r="26" spans="2:130" x14ac:dyDescent="0.3">
      <c r="B26" s="254"/>
      <c r="C26" s="255"/>
    </row>
    <row r="27" spans="2:130" x14ac:dyDescent="0.3">
      <c r="C27" s="255"/>
    </row>
    <row r="28" spans="2:130" x14ac:dyDescent="0.3">
      <c r="C28" s="252"/>
    </row>
    <row r="29" spans="2:130" x14ac:dyDescent="0.3">
      <c r="C29" s="252"/>
    </row>
    <row r="30" spans="2:130" x14ac:dyDescent="0.3">
      <c r="C30" s="252"/>
    </row>
  </sheetData>
  <mergeCells count="28">
    <mergeCell ref="B8:B22"/>
    <mergeCell ref="BH2:DG2"/>
    <mergeCell ref="BU3:BX3"/>
    <mergeCell ref="BY3:CC3"/>
    <mergeCell ref="CD3:CG3"/>
    <mergeCell ref="CH3:CK3"/>
    <mergeCell ref="CL3:CP3"/>
    <mergeCell ref="CQ3:CT3"/>
    <mergeCell ref="DD3:DG3"/>
    <mergeCell ref="BH3:BL3"/>
    <mergeCell ref="BM3:BP3"/>
    <mergeCell ref="BQ3:BT3"/>
    <mergeCell ref="CU3:CY3"/>
    <mergeCell ref="AQ3:AT3"/>
    <mergeCell ref="AU3:AX3"/>
    <mergeCell ref="AY3:BC3"/>
    <mergeCell ref="CZ3:DC3"/>
    <mergeCell ref="H2:BG2"/>
    <mergeCell ref="AD3:AG3"/>
    <mergeCell ref="B5:B7"/>
    <mergeCell ref="BD3:BG3"/>
    <mergeCell ref="AL3:AP3"/>
    <mergeCell ref="Y3:AC3"/>
    <mergeCell ref="H3:K3"/>
    <mergeCell ref="L3:O3"/>
    <mergeCell ref="P3:T3"/>
    <mergeCell ref="U3:X3"/>
    <mergeCell ref="AH3:AK3"/>
  </mergeCells>
  <conditionalFormatting sqref="H5:DG80">
    <cfRule type="expression" dxfId="102" priority="2" stopIfTrue="1">
      <formula>AND($F5&lt;=H$4,$G5&gt;=H$4)</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6" tint="0.79998168889431442"/>
    <outlinePr summaryBelow="0"/>
    <pageSetUpPr fitToPage="1"/>
  </sheetPr>
  <dimension ref="A1:BP24"/>
  <sheetViews>
    <sheetView showGridLines="0" showRuler="0" topLeftCell="F1" zoomScaleNormal="100" zoomScalePageLayoutView="70" workbookViewId="0">
      <pane ySplit="3" topLeftCell="A4" activePane="bottomLeft" state="frozen"/>
      <selection activeCell="B104" sqref="B104"/>
      <selection pane="bottomLeft" activeCell="G6" sqref="G6"/>
    </sheetView>
  </sheetViews>
  <sheetFormatPr defaultColWidth="8.88671875" defaultRowHeight="30" customHeight="1" outlineLevelRow="1" x14ac:dyDescent="0.3"/>
  <cols>
    <col min="1" max="1" width="8.44140625" style="80" customWidth="1"/>
    <col min="2" max="2" width="53.44140625" customWidth="1"/>
    <col min="3" max="3" width="66.44140625" customWidth="1"/>
    <col min="4" max="4" width="15.44140625" bestFit="1" customWidth="1"/>
    <col min="5" max="5" width="9.44140625" customWidth="1"/>
    <col min="6" max="6" width="15.109375" customWidth="1"/>
    <col min="7" max="7" width="13.44140625" style="3" customWidth="1"/>
    <col min="8" max="8" width="13" customWidth="1"/>
    <col min="9" max="10" width="10.44140625" hidden="1" customWidth="1"/>
    <col min="11" max="11" width="2.44140625" customWidth="1"/>
    <col min="12" max="12" width="6.109375" hidden="1" customWidth="1"/>
    <col min="13" max="68" width="2.44140625" customWidth="1"/>
  </cols>
  <sheetData>
    <row r="1" spans="1:68" ht="30" customHeight="1" x14ac:dyDescent="0.3">
      <c r="A1" s="79" t="s">
        <v>10</v>
      </c>
      <c r="B1" s="242" t="s">
        <v>853</v>
      </c>
      <c r="C1" s="243">
        <v>44200</v>
      </c>
      <c r="E1" s="242" t="s">
        <v>11</v>
      </c>
      <c r="F1" s="240">
        <v>1</v>
      </c>
      <c r="M1" s="545">
        <f>M2</f>
        <v>44200</v>
      </c>
      <c r="N1" s="546"/>
      <c r="O1" s="546"/>
      <c r="P1" s="546"/>
      <c r="Q1" s="546"/>
      <c r="R1" s="546"/>
      <c r="S1" s="547"/>
      <c r="T1" s="545">
        <f>T2</f>
        <v>44207</v>
      </c>
      <c r="U1" s="546"/>
      <c r="V1" s="546"/>
      <c r="W1" s="546"/>
      <c r="X1" s="546"/>
      <c r="Y1" s="546"/>
      <c r="Z1" s="547"/>
      <c r="AA1" s="545">
        <f>AA2</f>
        <v>44214</v>
      </c>
      <c r="AB1" s="546"/>
      <c r="AC1" s="546"/>
      <c r="AD1" s="546"/>
      <c r="AE1" s="546"/>
      <c r="AF1" s="546"/>
      <c r="AG1" s="547"/>
      <c r="AH1" s="545">
        <f>AH2</f>
        <v>44221</v>
      </c>
      <c r="AI1" s="546"/>
      <c r="AJ1" s="546"/>
      <c r="AK1" s="546"/>
      <c r="AL1" s="546"/>
      <c r="AM1" s="546"/>
      <c r="AN1" s="547"/>
      <c r="AO1" s="545">
        <f>AO2</f>
        <v>44228</v>
      </c>
      <c r="AP1" s="546"/>
      <c r="AQ1" s="546"/>
      <c r="AR1" s="546"/>
      <c r="AS1" s="546"/>
      <c r="AT1" s="546"/>
      <c r="AU1" s="547"/>
      <c r="AV1" s="545">
        <f>AV2</f>
        <v>44235</v>
      </c>
      <c r="AW1" s="546"/>
      <c r="AX1" s="546"/>
      <c r="AY1" s="546"/>
      <c r="AZ1" s="546"/>
      <c r="BA1" s="546"/>
      <c r="BB1" s="547"/>
      <c r="BC1" s="545">
        <f>BC2</f>
        <v>44242</v>
      </c>
      <c r="BD1" s="546"/>
      <c r="BE1" s="546"/>
      <c r="BF1" s="546"/>
      <c r="BG1" s="546"/>
      <c r="BH1" s="546"/>
      <c r="BI1" s="547"/>
      <c r="BJ1" s="545">
        <f>BJ2</f>
        <v>44249</v>
      </c>
      <c r="BK1" s="546"/>
      <c r="BL1" s="546"/>
      <c r="BM1" s="546"/>
      <c r="BN1" s="546"/>
      <c r="BO1" s="546"/>
      <c r="BP1" s="547"/>
    </row>
    <row r="2" spans="1:68" ht="15" customHeight="1" x14ac:dyDescent="0.3">
      <c r="A2" s="79" t="s">
        <v>12</v>
      </c>
      <c r="B2" s="548"/>
      <c r="C2" s="548"/>
      <c r="D2" s="548"/>
      <c r="E2" s="548"/>
      <c r="F2" s="548"/>
      <c r="G2" s="548"/>
      <c r="H2" s="548"/>
      <c r="I2" s="548"/>
      <c r="J2" s="548"/>
      <c r="K2" s="548"/>
      <c r="M2" s="9">
        <f>Project_Start-WEEKDAY(Project_Start,1)+2+7*(Display_Week-1)</f>
        <v>44200</v>
      </c>
      <c r="N2" s="8">
        <f t="shared" ref="N2:AS2" si="0">M2+1</f>
        <v>44201</v>
      </c>
      <c r="O2" s="8">
        <f t="shared" si="0"/>
        <v>44202</v>
      </c>
      <c r="P2" s="8">
        <f t="shared" si="0"/>
        <v>44203</v>
      </c>
      <c r="Q2" s="8">
        <f t="shared" si="0"/>
        <v>44204</v>
      </c>
      <c r="R2" s="8">
        <f t="shared" si="0"/>
        <v>44205</v>
      </c>
      <c r="S2" s="10">
        <f t="shared" si="0"/>
        <v>44206</v>
      </c>
      <c r="T2" s="9">
        <f t="shared" si="0"/>
        <v>44207</v>
      </c>
      <c r="U2" s="8">
        <f t="shared" si="0"/>
        <v>44208</v>
      </c>
      <c r="V2" s="8">
        <f t="shared" si="0"/>
        <v>44209</v>
      </c>
      <c r="W2" s="8">
        <f t="shared" si="0"/>
        <v>44210</v>
      </c>
      <c r="X2" s="8">
        <f t="shared" si="0"/>
        <v>44211</v>
      </c>
      <c r="Y2" s="8">
        <f t="shared" si="0"/>
        <v>44212</v>
      </c>
      <c r="Z2" s="10">
        <f t="shared" si="0"/>
        <v>44213</v>
      </c>
      <c r="AA2" s="9">
        <f t="shared" si="0"/>
        <v>44214</v>
      </c>
      <c r="AB2" s="8">
        <f t="shared" si="0"/>
        <v>44215</v>
      </c>
      <c r="AC2" s="8">
        <f t="shared" si="0"/>
        <v>44216</v>
      </c>
      <c r="AD2" s="8">
        <f t="shared" si="0"/>
        <v>44217</v>
      </c>
      <c r="AE2" s="8">
        <f t="shared" si="0"/>
        <v>44218</v>
      </c>
      <c r="AF2" s="8">
        <f t="shared" si="0"/>
        <v>44219</v>
      </c>
      <c r="AG2" s="10">
        <f t="shared" si="0"/>
        <v>44220</v>
      </c>
      <c r="AH2" s="9">
        <f t="shared" si="0"/>
        <v>44221</v>
      </c>
      <c r="AI2" s="8">
        <f t="shared" si="0"/>
        <v>44222</v>
      </c>
      <c r="AJ2" s="8">
        <f t="shared" si="0"/>
        <v>44223</v>
      </c>
      <c r="AK2" s="8">
        <f t="shared" si="0"/>
        <v>44224</v>
      </c>
      <c r="AL2" s="8">
        <f t="shared" si="0"/>
        <v>44225</v>
      </c>
      <c r="AM2" s="8">
        <f t="shared" si="0"/>
        <v>44226</v>
      </c>
      <c r="AN2" s="10">
        <f t="shared" si="0"/>
        <v>44227</v>
      </c>
      <c r="AO2" s="9">
        <f t="shared" si="0"/>
        <v>44228</v>
      </c>
      <c r="AP2" s="8">
        <f t="shared" si="0"/>
        <v>44229</v>
      </c>
      <c r="AQ2" s="8">
        <f t="shared" si="0"/>
        <v>44230</v>
      </c>
      <c r="AR2" s="8">
        <f t="shared" si="0"/>
        <v>44231</v>
      </c>
      <c r="AS2" s="8">
        <f t="shared" si="0"/>
        <v>44232</v>
      </c>
      <c r="AT2" s="8">
        <f t="shared" ref="AT2:BP2" si="1">AS2+1</f>
        <v>44233</v>
      </c>
      <c r="AU2" s="10">
        <f t="shared" si="1"/>
        <v>44234</v>
      </c>
      <c r="AV2" s="9">
        <f t="shared" si="1"/>
        <v>44235</v>
      </c>
      <c r="AW2" s="8">
        <f t="shared" si="1"/>
        <v>44236</v>
      </c>
      <c r="AX2" s="8">
        <f t="shared" si="1"/>
        <v>44237</v>
      </c>
      <c r="AY2" s="8">
        <f t="shared" si="1"/>
        <v>44238</v>
      </c>
      <c r="AZ2" s="8">
        <f t="shared" si="1"/>
        <v>44239</v>
      </c>
      <c r="BA2" s="8">
        <f t="shared" si="1"/>
        <v>44240</v>
      </c>
      <c r="BB2" s="10">
        <f t="shared" si="1"/>
        <v>44241</v>
      </c>
      <c r="BC2" s="9">
        <f t="shared" si="1"/>
        <v>44242</v>
      </c>
      <c r="BD2" s="8">
        <f t="shared" si="1"/>
        <v>44243</v>
      </c>
      <c r="BE2" s="8">
        <f t="shared" si="1"/>
        <v>44244</v>
      </c>
      <c r="BF2" s="8">
        <f t="shared" si="1"/>
        <v>44245</v>
      </c>
      <c r="BG2" s="8">
        <f t="shared" si="1"/>
        <v>44246</v>
      </c>
      <c r="BH2" s="8">
        <f t="shared" si="1"/>
        <v>44247</v>
      </c>
      <c r="BI2" s="10">
        <f t="shared" si="1"/>
        <v>44248</v>
      </c>
      <c r="BJ2" s="9">
        <f t="shared" si="1"/>
        <v>44249</v>
      </c>
      <c r="BK2" s="8">
        <f t="shared" si="1"/>
        <v>44250</v>
      </c>
      <c r="BL2" s="8">
        <f t="shared" si="1"/>
        <v>44251</v>
      </c>
      <c r="BM2" s="8">
        <f t="shared" si="1"/>
        <v>44252</v>
      </c>
      <c r="BN2" s="8">
        <f t="shared" si="1"/>
        <v>44253</v>
      </c>
      <c r="BO2" s="8">
        <f t="shared" si="1"/>
        <v>44254</v>
      </c>
      <c r="BP2" s="10">
        <f t="shared" si="1"/>
        <v>44255</v>
      </c>
    </row>
    <row r="3" spans="1:68" ht="30" customHeight="1" thickBot="1" x14ac:dyDescent="0.35">
      <c r="A3" s="78" t="s">
        <v>840</v>
      </c>
      <c r="B3" s="6" t="s">
        <v>14</v>
      </c>
      <c r="C3" s="6" t="s">
        <v>15</v>
      </c>
      <c r="D3" s="7" t="s">
        <v>17</v>
      </c>
      <c r="E3" s="7" t="s">
        <v>694</v>
      </c>
      <c r="F3" s="7" t="s">
        <v>18</v>
      </c>
      <c r="G3" s="7" t="s">
        <v>20</v>
      </c>
      <c r="H3" s="7" t="s">
        <v>21</v>
      </c>
      <c r="I3" s="7" t="s">
        <v>22</v>
      </c>
      <c r="J3" s="7" t="s">
        <v>23</v>
      </c>
      <c r="K3" s="7"/>
      <c r="L3" s="7" t="s">
        <v>24</v>
      </c>
      <c r="M3" s="11" t="str">
        <f t="shared" ref="M3:AR3" si="2">LEFT(TEXT(M2,"ddd"),1)</f>
        <v>M</v>
      </c>
      <c r="N3" s="11" t="str">
        <f t="shared" si="2"/>
        <v>T</v>
      </c>
      <c r="O3" s="11" t="str">
        <f t="shared" si="2"/>
        <v>W</v>
      </c>
      <c r="P3" s="11" t="str">
        <f t="shared" si="2"/>
        <v>T</v>
      </c>
      <c r="Q3" s="11" t="str">
        <f t="shared" si="2"/>
        <v>F</v>
      </c>
      <c r="R3" s="11" t="str">
        <f t="shared" si="2"/>
        <v>S</v>
      </c>
      <c r="S3" s="11" t="str">
        <f t="shared" si="2"/>
        <v>S</v>
      </c>
      <c r="T3" s="11" t="str">
        <f t="shared" si="2"/>
        <v>M</v>
      </c>
      <c r="U3" s="11" t="str">
        <f t="shared" si="2"/>
        <v>T</v>
      </c>
      <c r="V3" s="11" t="str">
        <f t="shared" si="2"/>
        <v>W</v>
      </c>
      <c r="W3" s="11" t="str">
        <f t="shared" si="2"/>
        <v>T</v>
      </c>
      <c r="X3" s="11" t="str">
        <f t="shared" si="2"/>
        <v>F</v>
      </c>
      <c r="Y3" s="11" t="str">
        <f t="shared" si="2"/>
        <v>S</v>
      </c>
      <c r="Z3" s="11" t="str">
        <f t="shared" si="2"/>
        <v>S</v>
      </c>
      <c r="AA3" s="11" t="str">
        <f t="shared" si="2"/>
        <v>M</v>
      </c>
      <c r="AB3" s="11" t="str">
        <f t="shared" si="2"/>
        <v>T</v>
      </c>
      <c r="AC3" s="11" t="str">
        <f t="shared" si="2"/>
        <v>W</v>
      </c>
      <c r="AD3" s="11" t="str">
        <f t="shared" si="2"/>
        <v>T</v>
      </c>
      <c r="AE3" s="11" t="str">
        <f t="shared" si="2"/>
        <v>F</v>
      </c>
      <c r="AF3" s="11" t="str">
        <f t="shared" si="2"/>
        <v>S</v>
      </c>
      <c r="AG3" s="11" t="str">
        <f t="shared" si="2"/>
        <v>S</v>
      </c>
      <c r="AH3" s="11" t="str">
        <f t="shared" si="2"/>
        <v>M</v>
      </c>
      <c r="AI3" s="11" t="str">
        <f t="shared" si="2"/>
        <v>T</v>
      </c>
      <c r="AJ3" s="11" t="str">
        <f t="shared" si="2"/>
        <v>W</v>
      </c>
      <c r="AK3" s="11" t="str">
        <f t="shared" si="2"/>
        <v>T</v>
      </c>
      <c r="AL3" s="11" t="str">
        <f t="shared" si="2"/>
        <v>F</v>
      </c>
      <c r="AM3" s="11" t="str">
        <f t="shared" si="2"/>
        <v>S</v>
      </c>
      <c r="AN3" s="11" t="str">
        <f t="shared" si="2"/>
        <v>S</v>
      </c>
      <c r="AO3" s="11" t="str">
        <f t="shared" si="2"/>
        <v>M</v>
      </c>
      <c r="AP3" s="11" t="str">
        <f t="shared" si="2"/>
        <v>T</v>
      </c>
      <c r="AQ3" s="11" t="str">
        <f t="shared" si="2"/>
        <v>W</v>
      </c>
      <c r="AR3" s="11" t="str">
        <f t="shared" si="2"/>
        <v>T</v>
      </c>
      <c r="AS3" s="11" t="str">
        <f t="shared" ref="AS3:BP3" si="3">LEFT(TEXT(AS2,"ddd"),1)</f>
        <v>F</v>
      </c>
      <c r="AT3" s="11" t="str">
        <f t="shared" si="3"/>
        <v>S</v>
      </c>
      <c r="AU3" s="11" t="str">
        <f t="shared" si="3"/>
        <v>S</v>
      </c>
      <c r="AV3" s="11" t="str">
        <f t="shared" si="3"/>
        <v>M</v>
      </c>
      <c r="AW3" s="11" t="str">
        <f t="shared" si="3"/>
        <v>T</v>
      </c>
      <c r="AX3" s="11" t="str">
        <f t="shared" si="3"/>
        <v>W</v>
      </c>
      <c r="AY3" s="11" t="str">
        <f t="shared" si="3"/>
        <v>T</v>
      </c>
      <c r="AZ3" s="11" t="str">
        <f t="shared" si="3"/>
        <v>F</v>
      </c>
      <c r="BA3" s="11" t="str">
        <f t="shared" si="3"/>
        <v>S</v>
      </c>
      <c r="BB3" s="11" t="str">
        <f t="shared" si="3"/>
        <v>S</v>
      </c>
      <c r="BC3" s="11" t="str">
        <f t="shared" si="3"/>
        <v>M</v>
      </c>
      <c r="BD3" s="11" t="str">
        <f t="shared" si="3"/>
        <v>T</v>
      </c>
      <c r="BE3" s="11" t="str">
        <f t="shared" si="3"/>
        <v>W</v>
      </c>
      <c r="BF3" s="11" t="str">
        <f t="shared" si="3"/>
        <v>T</v>
      </c>
      <c r="BG3" s="11" t="str">
        <f t="shared" si="3"/>
        <v>F</v>
      </c>
      <c r="BH3" s="11" t="str">
        <f t="shared" si="3"/>
        <v>S</v>
      </c>
      <c r="BI3" s="11" t="str">
        <f t="shared" si="3"/>
        <v>S</v>
      </c>
      <c r="BJ3" s="11" t="str">
        <f t="shared" si="3"/>
        <v>M</v>
      </c>
      <c r="BK3" s="11" t="str">
        <f t="shared" si="3"/>
        <v>T</v>
      </c>
      <c r="BL3" s="11" t="str">
        <f t="shared" si="3"/>
        <v>W</v>
      </c>
      <c r="BM3" s="11" t="str">
        <f t="shared" si="3"/>
        <v>T</v>
      </c>
      <c r="BN3" s="11" t="str">
        <f t="shared" si="3"/>
        <v>F</v>
      </c>
      <c r="BO3" s="11" t="str">
        <f t="shared" si="3"/>
        <v>S</v>
      </c>
      <c r="BP3" s="11" t="str">
        <f t="shared" si="3"/>
        <v>S</v>
      </c>
    </row>
    <row r="4" spans="1:68" ht="15" hidden="1" customHeight="1" thickBot="1" x14ac:dyDescent="0.35">
      <c r="A4" s="80" t="s">
        <v>25</v>
      </c>
      <c r="D4" s="47"/>
      <c r="F4" s="47"/>
      <c r="G4"/>
      <c r="L4" t="str">
        <f t="shared" ref="L4:L13" si="4">IF(OR(ISBLANK(task_start),ISBLANK(task_end)),"",task_end-task_start+1)</f>
        <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row>
    <row r="5" spans="1:68" s="2" customFormat="1" ht="15" customHeight="1" thickBot="1" x14ac:dyDescent="0.35">
      <c r="A5" s="233" t="s">
        <v>26</v>
      </c>
      <c r="B5" s="234"/>
      <c r="C5" s="234"/>
      <c r="D5" s="235"/>
      <c r="E5" s="236"/>
      <c r="F5" s="235"/>
      <c r="G5" s="237"/>
      <c r="H5" s="238"/>
      <c r="I5" s="19"/>
      <c r="J5" s="19"/>
      <c r="K5" s="15"/>
      <c r="L5" s="15" t="str">
        <f t="shared" si="4"/>
        <v/>
      </c>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row>
    <row r="6" spans="1:68" s="2" customFormat="1" ht="15" customHeight="1" collapsed="1" thickBot="1" x14ac:dyDescent="0.35">
      <c r="A6" s="141"/>
      <c r="B6" s="83" t="s">
        <v>861</v>
      </c>
      <c r="C6" s="230"/>
      <c r="D6" s="93" t="s">
        <v>31</v>
      </c>
      <c r="E6" s="262">
        <f>AVERAGE(E7:E16)</f>
        <v>0</v>
      </c>
      <c r="F6" s="93">
        <f>NETWORKDAYS(G6,H6)</f>
        <v>34</v>
      </c>
      <c r="G6" s="247">
        <f>MIN(G7:G16)</f>
        <v>44200</v>
      </c>
      <c r="H6" s="247">
        <f>MAX(H7:H16)</f>
        <v>44245</v>
      </c>
      <c r="I6" s="19"/>
      <c r="J6" s="19"/>
      <c r="K6" s="15"/>
      <c r="L6" s="15"/>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row>
    <row r="7" spans="1:68" s="2" customFormat="1" ht="15" hidden="1" customHeight="1" outlineLevel="1" thickBot="1" x14ac:dyDescent="0.35">
      <c r="A7" s="141"/>
      <c r="B7" s="244" t="s">
        <v>28</v>
      </c>
      <c r="C7" s="230" t="s">
        <v>29</v>
      </c>
      <c r="D7" s="231" t="s">
        <v>31</v>
      </c>
      <c r="E7" s="35">
        <v>0</v>
      </c>
      <c r="F7" s="231">
        <v>0</v>
      </c>
      <c r="G7" s="246">
        <f>Project_Start</f>
        <v>44200</v>
      </c>
      <c r="H7" s="246">
        <f t="shared" ref="H7:H16" si="5">WORKDAY(G7,F7)</f>
        <v>44200</v>
      </c>
      <c r="I7" s="140"/>
      <c r="J7" s="140"/>
      <c r="K7" s="15"/>
      <c r="L7" s="15">
        <f t="shared" si="4"/>
        <v>1</v>
      </c>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row>
    <row r="8" spans="1:68" s="2" customFormat="1" ht="15" hidden="1" customHeight="1" outlineLevel="1" thickBot="1" x14ac:dyDescent="0.35">
      <c r="A8" s="141"/>
      <c r="B8" s="244" t="s">
        <v>33</v>
      </c>
      <c r="C8" s="230" t="s">
        <v>34</v>
      </c>
      <c r="D8" s="231" t="s">
        <v>35</v>
      </c>
      <c r="E8" s="35">
        <v>0</v>
      </c>
      <c r="F8" s="231">
        <v>0</v>
      </c>
      <c r="G8" s="246">
        <f>Project_Start</f>
        <v>44200</v>
      </c>
      <c r="H8" s="246">
        <f t="shared" si="5"/>
        <v>44200</v>
      </c>
      <c r="I8" s="140"/>
      <c r="J8" s="140"/>
      <c r="K8" s="15"/>
      <c r="L8" s="15">
        <f t="shared" si="4"/>
        <v>1</v>
      </c>
      <c r="M8" s="42"/>
      <c r="N8" s="42"/>
      <c r="O8" s="42"/>
      <c r="P8" s="42"/>
      <c r="Q8" s="42"/>
      <c r="R8" s="42"/>
      <c r="S8" s="42"/>
      <c r="T8" s="42"/>
      <c r="U8" s="42"/>
      <c r="V8" s="42"/>
      <c r="W8" s="42"/>
      <c r="X8" s="42"/>
      <c r="Y8" s="43"/>
      <c r="Z8" s="43"/>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row>
    <row r="9" spans="1:68" s="2" customFormat="1" ht="15" hidden="1" customHeight="1" outlineLevel="1" thickBot="1" x14ac:dyDescent="0.35">
      <c r="A9" s="141"/>
      <c r="B9" s="244" t="s">
        <v>37</v>
      </c>
      <c r="C9" s="230" t="s">
        <v>38</v>
      </c>
      <c r="D9" s="231" t="s">
        <v>35</v>
      </c>
      <c r="E9" s="35">
        <v>0</v>
      </c>
      <c r="F9" s="231">
        <v>5</v>
      </c>
      <c r="G9" s="246">
        <f>H8</f>
        <v>44200</v>
      </c>
      <c r="H9" s="246">
        <f t="shared" si="5"/>
        <v>44207</v>
      </c>
      <c r="I9" s="140"/>
      <c r="J9" s="140"/>
      <c r="K9" s="15"/>
      <c r="L9" s="15">
        <f t="shared" si="4"/>
        <v>8</v>
      </c>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row>
    <row r="10" spans="1:68" s="2" customFormat="1" ht="15" hidden="1" customHeight="1" outlineLevel="1" thickBot="1" x14ac:dyDescent="0.35">
      <c r="A10" s="141"/>
      <c r="B10" s="244" t="s">
        <v>858</v>
      </c>
      <c r="C10" s="230" t="s">
        <v>857</v>
      </c>
      <c r="D10" s="231" t="s">
        <v>35</v>
      </c>
      <c r="E10" s="35">
        <v>0</v>
      </c>
      <c r="F10" s="231">
        <v>10</v>
      </c>
      <c r="G10" s="246">
        <f>WORKDAY(H9,1)</f>
        <v>44208</v>
      </c>
      <c r="H10" s="246">
        <f t="shared" si="5"/>
        <v>44222</v>
      </c>
      <c r="I10" s="140"/>
      <c r="J10" s="140"/>
      <c r="K10" s="15"/>
      <c r="L10" s="15"/>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row>
    <row r="11" spans="1:68" s="2" customFormat="1" ht="15" hidden="1" customHeight="1" outlineLevel="1" thickBot="1" x14ac:dyDescent="0.35">
      <c r="A11" s="141"/>
      <c r="B11" s="244" t="s">
        <v>859</v>
      </c>
      <c r="C11" s="230" t="s">
        <v>860</v>
      </c>
      <c r="D11" s="231" t="s">
        <v>61</v>
      </c>
      <c r="E11" s="35">
        <v>0</v>
      </c>
      <c r="F11" s="231">
        <v>0</v>
      </c>
      <c r="G11" s="246">
        <f>H10</f>
        <v>44222</v>
      </c>
      <c r="H11" s="246">
        <f t="shared" si="5"/>
        <v>44222</v>
      </c>
      <c r="I11" s="140"/>
      <c r="J11" s="140"/>
      <c r="K11" s="15"/>
      <c r="L11" s="15"/>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row>
    <row r="12" spans="1:68" s="2" customFormat="1" ht="15" hidden="1" outlineLevel="1" thickBot="1" x14ac:dyDescent="0.35">
      <c r="A12" s="141"/>
      <c r="B12" s="245" t="s">
        <v>855</v>
      </c>
      <c r="C12" s="232" t="s">
        <v>856</v>
      </c>
      <c r="D12" s="231" t="s">
        <v>31</v>
      </c>
      <c r="E12" s="35">
        <v>0</v>
      </c>
      <c r="F12" s="231">
        <v>10</v>
      </c>
      <c r="G12" s="246">
        <f>WORKDAY(H9,1)</f>
        <v>44208</v>
      </c>
      <c r="H12" s="246">
        <f t="shared" si="5"/>
        <v>44222</v>
      </c>
      <c r="I12" s="140"/>
      <c r="J12" s="140"/>
      <c r="K12" s="15"/>
      <c r="L12" s="15">
        <f t="shared" si="4"/>
        <v>15</v>
      </c>
      <c r="M12" s="42"/>
      <c r="N12" s="42"/>
      <c r="O12" s="42"/>
      <c r="P12" s="42"/>
      <c r="Q12" s="42"/>
      <c r="R12" s="42"/>
      <c r="S12" s="42"/>
      <c r="T12" s="42"/>
      <c r="U12" s="42"/>
      <c r="V12" s="42"/>
      <c r="W12" s="42"/>
      <c r="X12" s="42"/>
      <c r="Y12" s="42"/>
      <c r="Z12" s="42"/>
      <c r="AA12" s="42"/>
      <c r="AB12" s="42"/>
      <c r="AC12" s="43"/>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row>
    <row r="13" spans="1:68" s="2" customFormat="1" ht="15" hidden="1" customHeight="1" outlineLevel="1" thickBot="1" x14ac:dyDescent="0.35">
      <c r="A13" s="141"/>
      <c r="B13" s="244" t="s">
        <v>43</v>
      </c>
      <c r="C13" s="230" t="s">
        <v>44</v>
      </c>
      <c r="D13" s="231" t="s">
        <v>31</v>
      </c>
      <c r="E13" s="35">
        <v>0</v>
      </c>
      <c r="F13" s="231">
        <v>10</v>
      </c>
      <c r="G13" s="246">
        <f>WORKDAY(H9,1)</f>
        <v>44208</v>
      </c>
      <c r="H13" s="246">
        <f t="shared" si="5"/>
        <v>44222</v>
      </c>
      <c r="I13" s="140"/>
      <c r="J13" s="140"/>
      <c r="K13" s="15"/>
      <c r="L13" s="15">
        <f t="shared" si="4"/>
        <v>15</v>
      </c>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row>
    <row r="14" spans="1:68" s="2" customFormat="1" ht="15" hidden="1" customHeight="1" outlineLevel="1" thickBot="1" x14ac:dyDescent="0.35">
      <c r="A14" s="141"/>
      <c r="B14" s="244" t="s">
        <v>56</v>
      </c>
      <c r="C14" s="230" t="s">
        <v>57</v>
      </c>
      <c r="D14" s="231" t="s">
        <v>31</v>
      </c>
      <c r="E14" s="35">
        <v>0</v>
      </c>
      <c r="F14" s="231">
        <v>10</v>
      </c>
      <c r="G14" s="246">
        <f>WORKDAY(H9,1)</f>
        <v>44208</v>
      </c>
      <c r="H14" s="246">
        <f t="shared" si="5"/>
        <v>44222</v>
      </c>
      <c r="I14" s="140"/>
      <c r="J14" s="140"/>
      <c r="K14" s="15"/>
      <c r="L14" s="15"/>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row>
    <row r="15" spans="1:68" s="2" customFormat="1" ht="15" hidden="1" customHeight="1" outlineLevel="1" thickBot="1" x14ac:dyDescent="0.35">
      <c r="A15" s="141"/>
      <c r="B15" s="244" t="s">
        <v>46</v>
      </c>
      <c r="C15" s="230" t="s">
        <v>47</v>
      </c>
      <c r="D15" s="231" t="s">
        <v>35</v>
      </c>
      <c r="E15" s="35">
        <v>0</v>
      </c>
      <c r="F15" s="231">
        <v>5</v>
      </c>
      <c r="G15" s="246">
        <f>MAX(WORKDAY(H13,1),WORKDAY(H12,1),WORKDAY(H11,1),WORKDAY(H14,1))</f>
        <v>44223</v>
      </c>
      <c r="H15" s="246">
        <f t="shared" si="5"/>
        <v>44230</v>
      </c>
      <c r="I15" s="140"/>
      <c r="J15" s="140"/>
      <c r="K15" s="15"/>
      <c r="L15" s="15"/>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row>
    <row r="16" spans="1:68" s="2" customFormat="1" ht="15" hidden="1" customHeight="1" outlineLevel="1" thickBot="1" x14ac:dyDescent="0.35">
      <c r="A16" s="141"/>
      <c r="B16" s="244" t="s">
        <v>49</v>
      </c>
      <c r="C16" s="230" t="s">
        <v>50</v>
      </c>
      <c r="D16" s="231" t="s">
        <v>31</v>
      </c>
      <c r="E16" s="35">
        <v>0</v>
      </c>
      <c r="F16" s="231">
        <v>10</v>
      </c>
      <c r="G16" s="246">
        <f>WORKDAY(H15,1)</f>
        <v>44231</v>
      </c>
      <c r="H16" s="246">
        <f t="shared" si="5"/>
        <v>44245</v>
      </c>
      <c r="I16" s="140"/>
      <c r="J16" s="140"/>
      <c r="K16" s="15"/>
      <c r="L16" s="15"/>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row>
    <row r="17" spans="1:68" s="2" customFormat="1" ht="15" customHeight="1" collapsed="1" thickBot="1" x14ac:dyDescent="0.35">
      <c r="A17" s="141"/>
      <c r="B17" s="83" t="s">
        <v>62</v>
      </c>
      <c r="C17" s="230"/>
      <c r="D17" s="93" t="s">
        <v>61</v>
      </c>
      <c r="E17" s="262">
        <f>AVERAGE(E18:E19)</f>
        <v>0</v>
      </c>
      <c r="F17" s="93">
        <f>NETWORKDAYS(G17,H17)</f>
        <v>11</v>
      </c>
      <c r="G17" s="247">
        <f>MIN(G18:G19)</f>
        <v>44200</v>
      </c>
      <c r="H17" s="247">
        <f>MAX(H18:H19)</f>
        <v>44214</v>
      </c>
      <c r="I17" s="19"/>
      <c r="J17" s="19"/>
      <c r="K17" s="15"/>
      <c r="L17" s="15"/>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row>
    <row r="18" spans="1:68" s="2" customFormat="1" ht="15" hidden="1" customHeight="1" outlineLevel="1" thickBot="1" x14ac:dyDescent="0.35">
      <c r="A18" s="141"/>
      <c r="B18" s="244" t="s">
        <v>862</v>
      </c>
      <c r="C18" s="230" t="s">
        <v>65</v>
      </c>
      <c r="D18" s="231" t="s">
        <v>61</v>
      </c>
      <c r="E18" s="35">
        <v>0</v>
      </c>
      <c r="F18" s="231">
        <v>10</v>
      </c>
      <c r="G18" s="246">
        <f>Project_Start</f>
        <v>44200</v>
      </c>
      <c r="H18" s="246">
        <f>WORKDAY(G18,F18)</f>
        <v>44214</v>
      </c>
      <c r="I18" s="140"/>
      <c r="J18" s="140"/>
      <c r="K18" s="15"/>
      <c r="L18" s="15"/>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row>
    <row r="19" spans="1:68" s="2" customFormat="1" ht="15" hidden="1" customHeight="1" outlineLevel="1" thickBot="1" x14ac:dyDescent="0.35">
      <c r="A19" s="141"/>
      <c r="B19" s="244" t="s">
        <v>863</v>
      </c>
      <c r="C19" s="230" t="s">
        <v>854</v>
      </c>
      <c r="D19" s="231" t="s">
        <v>31</v>
      </c>
      <c r="E19" s="35">
        <v>0</v>
      </c>
      <c r="F19" s="231">
        <v>10</v>
      </c>
      <c r="G19" s="246">
        <f>Project_Start</f>
        <v>44200</v>
      </c>
      <c r="H19" s="246">
        <f>WORKDAY(G19,F19)</f>
        <v>44214</v>
      </c>
      <c r="I19" s="140"/>
      <c r="J19" s="140"/>
      <c r="K19" s="15"/>
      <c r="L19" s="15"/>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row>
    <row r="20" spans="1:68" s="2" customFormat="1" ht="15" customHeight="1" thickBot="1" x14ac:dyDescent="0.35">
      <c r="A20" s="141"/>
      <c r="B20" s="142"/>
      <c r="C20" s="142"/>
      <c r="D20" s="143"/>
      <c r="E20" s="143"/>
      <c r="F20" s="14"/>
      <c r="G20" s="144"/>
      <c r="H20" s="144"/>
      <c r="I20" s="144"/>
      <c r="J20" s="144"/>
      <c r="K20" s="15"/>
      <c r="L20" s="15" t="str">
        <f>IF(OR(ISBLANK(task_start),ISBLANK(task_end)),"",task_end-task_start+1)</f>
        <v/>
      </c>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row>
    <row r="21" spans="1:68" s="2" customFormat="1" ht="15" customHeight="1" thickBot="1" x14ac:dyDescent="0.35">
      <c r="A21" s="141"/>
      <c r="B21" s="36" t="s">
        <v>502</v>
      </c>
      <c r="C21" s="36"/>
      <c r="D21" s="37"/>
      <c r="E21" s="37"/>
      <c r="F21" s="38"/>
      <c r="G21" s="39"/>
      <c r="H21" s="40"/>
      <c r="I21" s="40"/>
      <c r="J21" s="40"/>
      <c r="K21" s="41"/>
      <c r="L21" s="41" t="str">
        <f>IF(OR(ISBLANK(task_start),ISBLANK(task_end)),"",task_end-task_start+1)</f>
        <v/>
      </c>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row>
    <row r="22" spans="1:68" ht="30" customHeight="1" x14ac:dyDescent="0.3">
      <c r="K22" s="4"/>
    </row>
    <row r="23" spans="1:68" ht="30" customHeight="1" x14ac:dyDescent="0.3">
      <c r="D23" s="12"/>
      <c r="E23" s="12"/>
      <c r="H23" s="45"/>
      <c r="I23" s="45"/>
      <c r="J23" s="45"/>
    </row>
    <row r="24" spans="1:68" ht="30" customHeight="1" x14ac:dyDescent="0.3">
      <c r="D24" s="13"/>
      <c r="E24" s="13"/>
    </row>
  </sheetData>
  <mergeCells count="9">
    <mergeCell ref="BC1:BI1"/>
    <mergeCell ref="BJ1:BP1"/>
    <mergeCell ref="T1:Z1"/>
    <mergeCell ref="AA1:AG1"/>
    <mergeCell ref="B2:K2"/>
    <mergeCell ref="M1:S1"/>
    <mergeCell ref="AH1:AN1"/>
    <mergeCell ref="AO1:AU1"/>
    <mergeCell ref="AV1:BB1"/>
  </mergeCells>
  <conditionalFormatting sqref="F20:F21 E18:E19 E4:E5 E7:E16">
    <cfRule type="dataBar" priority="25">
      <dataBar>
        <cfvo type="num" val="0"/>
        <cfvo type="num" val="1"/>
        <color theme="0" tint="-0.249977111117893"/>
      </dataBar>
      <extLst>
        <ext xmlns:x14="http://schemas.microsoft.com/office/spreadsheetml/2009/9/main" uri="{B025F937-C7B1-47D3-B67F-A62EFF666E3E}">
          <x14:id>{7E9B5EF4-C4BB-49CD-ABC2-00EC07B57D03}</x14:id>
        </ext>
      </extLst>
    </cfRule>
  </conditionalFormatting>
  <conditionalFormatting sqref="M2:BP16 M18:BP21">
    <cfRule type="expression" dxfId="101" priority="28">
      <formula>AND(TODAY()&gt;=M$2,TODAY()&lt;N$2)</formula>
    </cfRule>
  </conditionalFormatting>
  <conditionalFormatting sqref="M4:BP16 M18:BP21">
    <cfRule type="expression" dxfId="100" priority="26">
      <formula>AND(task_start&lt;=M$2,ROUNDDOWN((task_end-task_start+1)*task_progress,0)+task_start-1&gt;=M$2)</formula>
    </cfRule>
    <cfRule type="expression" dxfId="99" priority="27" stopIfTrue="1">
      <formula>AND(task_end&gt;=M$2,task_start&lt;N$2)</formula>
    </cfRule>
  </conditionalFormatting>
  <conditionalFormatting sqref="E6">
    <cfRule type="dataBar" priority="5">
      <dataBar>
        <cfvo type="num" val="0"/>
        <cfvo type="num" val="1"/>
        <color theme="0" tint="-0.249977111117893"/>
      </dataBar>
      <extLst>
        <ext xmlns:x14="http://schemas.microsoft.com/office/spreadsheetml/2009/9/main" uri="{B025F937-C7B1-47D3-B67F-A62EFF666E3E}">
          <x14:id>{C5AB62FF-D5B0-4821-A5DC-392225F3DBF7}</x14:id>
        </ext>
      </extLst>
    </cfRule>
  </conditionalFormatting>
  <conditionalFormatting sqref="M17:BP17">
    <cfRule type="expression" dxfId="98" priority="4">
      <formula>AND(TODAY()&gt;=M$2,TODAY()&lt;N$2)</formula>
    </cfRule>
  </conditionalFormatting>
  <conditionalFormatting sqref="M17:BP17">
    <cfRule type="expression" dxfId="97" priority="2">
      <formula>AND(task_start&lt;=M$2,ROUNDDOWN((task_end-task_start+1)*task_progress,0)+task_start-1&gt;=M$2)</formula>
    </cfRule>
    <cfRule type="expression" dxfId="96" priority="3" stopIfTrue="1">
      <formula>AND(task_end&gt;=M$2,task_start&lt;N$2)</formula>
    </cfRule>
  </conditionalFormatting>
  <conditionalFormatting sqref="E17">
    <cfRule type="dataBar" priority="1">
      <dataBar>
        <cfvo type="num" val="0"/>
        <cfvo type="num" val="1"/>
        <color theme="0" tint="-0.249977111117893"/>
      </dataBar>
      <extLst>
        <ext xmlns:x14="http://schemas.microsoft.com/office/spreadsheetml/2009/9/main" uri="{B025F937-C7B1-47D3-B67F-A62EFF666E3E}">
          <x14:id>{389DC0F3-9E9A-428E-BDD9-943AC8C13ECE}</x14:id>
        </ext>
      </extLst>
    </cfRule>
  </conditionalFormatting>
  <dataValidations count="1">
    <dataValidation type="whole" operator="greaterThanOrEqual" allowBlank="1" showInputMessage="1" promptTitle="Display Week" prompt="Changing this number will scroll the Gantt Chart view." sqref="F1" xr:uid="{00000000-0002-0000-0300-000000000000}">
      <formula1>1</formula1>
    </dataValidation>
  </dataValidations>
  <printOptions horizontalCentered="1"/>
  <pageMargins left="0.35" right="0.35" top="0.35" bottom="0.5" header="0.3" footer="0.3"/>
  <pageSetup scale="35"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7E9B5EF4-C4BB-49CD-ABC2-00EC07B57D03}">
            <x14:dataBar minLength="0" maxLength="100" gradient="0">
              <x14:cfvo type="num">
                <xm:f>0</xm:f>
              </x14:cfvo>
              <x14:cfvo type="num">
                <xm:f>1</xm:f>
              </x14:cfvo>
              <x14:negativeFillColor rgb="FFFF0000"/>
              <x14:axisColor rgb="FF000000"/>
            </x14:dataBar>
          </x14:cfRule>
          <xm:sqref>F20:F21 E18:E19 E4:E5 E7:E16</xm:sqref>
        </x14:conditionalFormatting>
        <x14:conditionalFormatting xmlns:xm="http://schemas.microsoft.com/office/excel/2006/main">
          <x14:cfRule type="dataBar" id="{C5AB62FF-D5B0-4821-A5DC-392225F3DBF7}">
            <x14:dataBar minLength="0" maxLength="100" gradient="0">
              <x14:cfvo type="num">
                <xm:f>0</xm:f>
              </x14:cfvo>
              <x14:cfvo type="num">
                <xm:f>1</xm:f>
              </x14:cfvo>
              <x14:negativeFillColor rgb="FFFF0000"/>
              <x14:axisColor rgb="FF000000"/>
            </x14:dataBar>
          </x14:cfRule>
          <xm:sqref>E6</xm:sqref>
        </x14:conditionalFormatting>
        <x14:conditionalFormatting xmlns:xm="http://schemas.microsoft.com/office/excel/2006/main">
          <x14:cfRule type="dataBar" id="{389DC0F3-9E9A-428E-BDD9-943AC8C13ECE}">
            <x14:dataBar minLength="0" maxLength="100" gradient="0">
              <x14:cfvo type="num">
                <xm:f>0</xm:f>
              </x14:cfvo>
              <x14:cfvo type="num">
                <xm:f>1</xm:f>
              </x14:cfvo>
              <x14:negativeFillColor rgb="FFFF0000"/>
              <x14:axisColor rgb="FF000000"/>
            </x14:dataBar>
          </x14:cfRule>
          <xm:sqref>E17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6" tint="0.79998168889431442"/>
    <outlinePr summaryBelow="0"/>
    <pageSetUpPr fitToPage="1"/>
  </sheetPr>
  <dimension ref="A1:BQ150"/>
  <sheetViews>
    <sheetView showGridLines="0" showRuler="0" zoomScaleNormal="100" zoomScalePageLayoutView="70" workbookViewId="0">
      <pane ySplit="3" topLeftCell="A58" activePane="bottomLeft" state="frozen"/>
      <selection activeCell="B35" sqref="B35"/>
      <selection pane="bottomLeft" activeCell="C28" sqref="C28"/>
    </sheetView>
  </sheetViews>
  <sheetFormatPr defaultColWidth="8.88671875" defaultRowHeight="30" customHeight="1" outlineLevelRow="2" x14ac:dyDescent="0.3"/>
  <cols>
    <col min="1" max="1" width="9.44140625" style="116" bestFit="1" customWidth="1"/>
    <col min="2" max="2" width="17.5546875" style="116" bestFit="1" customWidth="1"/>
    <col min="3" max="3" width="90.88671875" style="47" customWidth="1"/>
    <col min="4" max="4" width="13" customWidth="1"/>
    <col min="5" max="5" width="18" bestFit="1" customWidth="1"/>
    <col min="6" max="6" width="9.44140625" customWidth="1"/>
    <col min="7" max="7" width="10.44140625" customWidth="1"/>
    <col min="8" max="8" width="14.88671875" style="3" bestFit="1" customWidth="1"/>
    <col min="9" max="9" width="14.88671875" bestFit="1" customWidth="1"/>
    <col min="10" max="11" width="10.44140625" hidden="1" customWidth="1"/>
    <col min="12" max="12" width="2.44140625" customWidth="1"/>
    <col min="13" max="13" width="6.109375" hidden="1" customWidth="1"/>
    <col min="14" max="69" width="2.44140625" customWidth="1"/>
  </cols>
  <sheetData>
    <row r="1" spans="1:69" ht="30" customHeight="1" x14ac:dyDescent="0.3">
      <c r="A1" s="549" t="s">
        <v>839</v>
      </c>
      <c r="B1" s="549"/>
      <c r="C1" s="550"/>
      <c r="D1" s="241"/>
      <c r="E1" s="156"/>
      <c r="F1" s="156"/>
      <c r="G1" s="239" t="s">
        <v>11</v>
      </c>
      <c r="H1" s="240">
        <v>1</v>
      </c>
      <c r="N1" s="545">
        <f>N2</f>
        <v>-5</v>
      </c>
      <c r="O1" s="546"/>
      <c r="P1" s="546"/>
      <c r="Q1" s="546"/>
      <c r="R1" s="546"/>
      <c r="S1" s="546"/>
      <c r="T1" s="547"/>
      <c r="U1" s="545">
        <f>U2</f>
        <v>2</v>
      </c>
      <c r="V1" s="546"/>
      <c r="W1" s="546"/>
      <c r="X1" s="546"/>
      <c r="Y1" s="546"/>
      <c r="Z1" s="546"/>
      <c r="AA1" s="547"/>
      <c r="AB1" s="545">
        <f>AB2</f>
        <v>9</v>
      </c>
      <c r="AC1" s="546"/>
      <c r="AD1" s="546"/>
      <c r="AE1" s="546"/>
      <c r="AF1" s="546"/>
      <c r="AG1" s="546"/>
      <c r="AH1" s="547"/>
      <c r="AI1" s="545">
        <f>AI2</f>
        <v>16</v>
      </c>
      <c r="AJ1" s="546"/>
      <c r="AK1" s="546"/>
      <c r="AL1" s="546"/>
      <c r="AM1" s="546"/>
      <c r="AN1" s="546"/>
      <c r="AO1" s="547"/>
      <c r="AP1" s="545">
        <f>AP2</f>
        <v>23</v>
      </c>
      <c r="AQ1" s="546"/>
      <c r="AR1" s="546"/>
      <c r="AS1" s="546"/>
      <c r="AT1" s="546"/>
      <c r="AU1" s="546"/>
      <c r="AV1" s="547"/>
      <c r="AW1" s="545">
        <f>AW2</f>
        <v>30</v>
      </c>
      <c r="AX1" s="546"/>
      <c r="AY1" s="546"/>
      <c r="AZ1" s="546"/>
      <c r="BA1" s="546"/>
      <c r="BB1" s="546"/>
      <c r="BC1" s="547"/>
      <c r="BD1" s="545">
        <f>BD2</f>
        <v>37</v>
      </c>
      <c r="BE1" s="546"/>
      <c r="BF1" s="546"/>
      <c r="BG1" s="546"/>
      <c r="BH1" s="546"/>
      <c r="BI1" s="546"/>
      <c r="BJ1" s="547"/>
      <c r="BK1" s="545">
        <f>BK2</f>
        <v>44</v>
      </c>
      <c r="BL1" s="546"/>
      <c r="BM1" s="546"/>
      <c r="BN1" s="546"/>
      <c r="BO1" s="546"/>
      <c r="BP1" s="546"/>
      <c r="BQ1" s="547"/>
    </row>
    <row r="2" spans="1:69" ht="15" customHeight="1" x14ac:dyDescent="0.3">
      <c r="A2" s="117"/>
      <c r="B2" s="117"/>
      <c r="C2" s="548"/>
      <c r="D2" s="548"/>
      <c r="E2" s="548"/>
      <c r="F2" s="548"/>
      <c r="G2" s="548"/>
      <c r="H2" s="548"/>
      <c r="I2" s="548"/>
      <c r="J2" s="548"/>
      <c r="K2" s="548"/>
      <c r="L2" s="548"/>
      <c r="N2" s="9">
        <f>Project_Start-WEEKDAY(Project_Start,1)+2+7*(Display_Week-1)</f>
        <v>-5</v>
      </c>
      <c r="O2" s="8">
        <f>N2+1</f>
        <v>-4</v>
      </c>
      <c r="P2" s="8">
        <f t="shared" ref="P2:BC2" si="0">O2+1</f>
        <v>-3</v>
      </c>
      <c r="Q2" s="8">
        <f t="shared" si="0"/>
        <v>-2</v>
      </c>
      <c r="R2" s="8">
        <f t="shared" si="0"/>
        <v>-1</v>
      </c>
      <c r="S2" s="8">
        <f t="shared" si="0"/>
        <v>0</v>
      </c>
      <c r="T2" s="10">
        <f t="shared" si="0"/>
        <v>1</v>
      </c>
      <c r="U2" s="9">
        <f>T2+1</f>
        <v>2</v>
      </c>
      <c r="V2" s="8">
        <f>U2+1</f>
        <v>3</v>
      </c>
      <c r="W2" s="8">
        <f t="shared" si="0"/>
        <v>4</v>
      </c>
      <c r="X2" s="8">
        <f t="shared" si="0"/>
        <v>5</v>
      </c>
      <c r="Y2" s="8">
        <f t="shared" si="0"/>
        <v>6</v>
      </c>
      <c r="Z2" s="8">
        <f t="shared" si="0"/>
        <v>7</v>
      </c>
      <c r="AA2" s="10">
        <f t="shared" si="0"/>
        <v>8</v>
      </c>
      <c r="AB2" s="9">
        <f>AA2+1</f>
        <v>9</v>
      </c>
      <c r="AC2" s="8">
        <f>AB2+1</f>
        <v>10</v>
      </c>
      <c r="AD2" s="8">
        <f t="shared" si="0"/>
        <v>11</v>
      </c>
      <c r="AE2" s="8">
        <f t="shared" si="0"/>
        <v>12</v>
      </c>
      <c r="AF2" s="8">
        <f t="shared" si="0"/>
        <v>13</v>
      </c>
      <c r="AG2" s="8">
        <f t="shared" si="0"/>
        <v>14</v>
      </c>
      <c r="AH2" s="10">
        <f t="shared" si="0"/>
        <v>15</v>
      </c>
      <c r="AI2" s="9">
        <f>AH2+1</f>
        <v>16</v>
      </c>
      <c r="AJ2" s="8">
        <f>AI2+1</f>
        <v>17</v>
      </c>
      <c r="AK2" s="8">
        <f t="shared" si="0"/>
        <v>18</v>
      </c>
      <c r="AL2" s="8">
        <f t="shared" si="0"/>
        <v>19</v>
      </c>
      <c r="AM2" s="8">
        <f t="shared" si="0"/>
        <v>20</v>
      </c>
      <c r="AN2" s="8">
        <f t="shared" si="0"/>
        <v>21</v>
      </c>
      <c r="AO2" s="10">
        <f t="shared" si="0"/>
        <v>22</v>
      </c>
      <c r="AP2" s="9">
        <f>AO2+1</f>
        <v>23</v>
      </c>
      <c r="AQ2" s="8">
        <f>AP2+1</f>
        <v>24</v>
      </c>
      <c r="AR2" s="8">
        <f t="shared" si="0"/>
        <v>25</v>
      </c>
      <c r="AS2" s="8">
        <f t="shared" si="0"/>
        <v>26</v>
      </c>
      <c r="AT2" s="8">
        <f t="shared" si="0"/>
        <v>27</v>
      </c>
      <c r="AU2" s="8">
        <f t="shared" si="0"/>
        <v>28</v>
      </c>
      <c r="AV2" s="10">
        <f t="shared" si="0"/>
        <v>29</v>
      </c>
      <c r="AW2" s="9">
        <f>AV2+1</f>
        <v>30</v>
      </c>
      <c r="AX2" s="8">
        <f>AW2+1</f>
        <v>31</v>
      </c>
      <c r="AY2" s="8">
        <f t="shared" si="0"/>
        <v>32</v>
      </c>
      <c r="AZ2" s="8">
        <f t="shared" si="0"/>
        <v>33</v>
      </c>
      <c r="BA2" s="8">
        <f t="shared" si="0"/>
        <v>34</v>
      </c>
      <c r="BB2" s="8">
        <f t="shared" si="0"/>
        <v>35</v>
      </c>
      <c r="BC2" s="10">
        <f t="shared" si="0"/>
        <v>36</v>
      </c>
      <c r="BD2" s="9">
        <f t="shared" ref="BD2:BQ2" si="1">BC2+1</f>
        <v>37</v>
      </c>
      <c r="BE2" s="8">
        <f t="shared" si="1"/>
        <v>38</v>
      </c>
      <c r="BF2" s="8">
        <f t="shared" si="1"/>
        <v>39</v>
      </c>
      <c r="BG2" s="8">
        <f t="shared" si="1"/>
        <v>40</v>
      </c>
      <c r="BH2" s="8">
        <f t="shared" si="1"/>
        <v>41</v>
      </c>
      <c r="BI2" s="8">
        <f t="shared" si="1"/>
        <v>42</v>
      </c>
      <c r="BJ2" s="10">
        <f t="shared" si="1"/>
        <v>43</v>
      </c>
      <c r="BK2" s="9">
        <f t="shared" si="1"/>
        <v>44</v>
      </c>
      <c r="BL2" s="8">
        <f t="shared" si="1"/>
        <v>45</v>
      </c>
      <c r="BM2" s="8">
        <f t="shared" si="1"/>
        <v>46</v>
      </c>
      <c r="BN2" s="8">
        <f t="shared" si="1"/>
        <v>47</v>
      </c>
      <c r="BO2" s="8">
        <f t="shared" si="1"/>
        <v>48</v>
      </c>
      <c r="BP2" s="8">
        <f t="shared" si="1"/>
        <v>49</v>
      </c>
      <c r="BQ2" s="10">
        <f t="shared" si="1"/>
        <v>50</v>
      </c>
    </row>
    <row r="3" spans="1:69" ht="30" customHeight="1" thickBot="1" x14ac:dyDescent="0.35">
      <c r="A3" s="118" t="s">
        <v>506</v>
      </c>
      <c r="B3" s="118" t="s">
        <v>1101</v>
      </c>
      <c r="C3" s="7" t="s">
        <v>14</v>
      </c>
      <c r="D3" s="78" t="s">
        <v>15</v>
      </c>
      <c r="E3" s="7" t="s">
        <v>17</v>
      </c>
      <c r="F3" s="7" t="s">
        <v>694</v>
      </c>
      <c r="G3" s="7" t="s">
        <v>18</v>
      </c>
      <c r="H3" s="7" t="s">
        <v>20</v>
      </c>
      <c r="I3" s="7" t="s">
        <v>21</v>
      </c>
      <c r="J3" s="7" t="s">
        <v>22</v>
      </c>
      <c r="K3" s="7" t="s">
        <v>23</v>
      </c>
      <c r="L3" s="7"/>
      <c r="M3" s="7" t="s">
        <v>24</v>
      </c>
      <c r="N3" s="11" t="e">
        <f t="shared" ref="N3:AS3" si="2">LEFT(TEXT(N2,"ddd"),1)</f>
        <v>#VALUE!</v>
      </c>
      <c r="O3" s="11" t="e">
        <f t="shared" si="2"/>
        <v>#VALUE!</v>
      </c>
      <c r="P3" s="11" t="e">
        <f t="shared" si="2"/>
        <v>#VALUE!</v>
      </c>
      <c r="Q3" s="11" t="e">
        <f t="shared" si="2"/>
        <v>#VALUE!</v>
      </c>
      <c r="R3" s="11" t="e">
        <f t="shared" si="2"/>
        <v>#VALUE!</v>
      </c>
      <c r="S3" s="11" t="str">
        <f t="shared" si="2"/>
        <v>S</v>
      </c>
      <c r="T3" s="11" t="str">
        <f t="shared" si="2"/>
        <v>S</v>
      </c>
      <c r="U3" s="11" t="str">
        <f t="shared" si="2"/>
        <v>M</v>
      </c>
      <c r="V3" s="11" t="str">
        <f t="shared" si="2"/>
        <v>T</v>
      </c>
      <c r="W3" s="11" t="str">
        <f t="shared" si="2"/>
        <v>W</v>
      </c>
      <c r="X3" s="11" t="str">
        <f t="shared" si="2"/>
        <v>T</v>
      </c>
      <c r="Y3" s="11" t="str">
        <f t="shared" si="2"/>
        <v>F</v>
      </c>
      <c r="Z3" s="11" t="str">
        <f t="shared" si="2"/>
        <v>S</v>
      </c>
      <c r="AA3" s="11" t="str">
        <f t="shared" si="2"/>
        <v>S</v>
      </c>
      <c r="AB3" s="11" t="str">
        <f t="shared" si="2"/>
        <v>M</v>
      </c>
      <c r="AC3" s="11" t="str">
        <f t="shared" si="2"/>
        <v>T</v>
      </c>
      <c r="AD3" s="11" t="str">
        <f t="shared" si="2"/>
        <v>W</v>
      </c>
      <c r="AE3" s="11" t="str">
        <f t="shared" si="2"/>
        <v>T</v>
      </c>
      <c r="AF3" s="11" t="str">
        <f t="shared" si="2"/>
        <v>F</v>
      </c>
      <c r="AG3" s="11" t="str">
        <f t="shared" si="2"/>
        <v>S</v>
      </c>
      <c r="AH3" s="11" t="str">
        <f t="shared" si="2"/>
        <v>S</v>
      </c>
      <c r="AI3" s="11" t="str">
        <f t="shared" si="2"/>
        <v>M</v>
      </c>
      <c r="AJ3" s="11" t="str">
        <f t="shared" si="2"/>
        <v>T</v>
      </c>
      <c r="AK3" s="11" t="str">
        <f t="shared" si="2"/>
        <v>W</v>
      </c>
      <c r="AL3" s="11" t="str">
        <f t="shared" si="2"/>
        <v>T</v>
      </c>
      <c r="AM3" s="11" t="str">
        <f t="shared" si="2"/>
        <v>F</v>
      </c>
      <c r="AN3" s="11" t="str">
        <f t="shared" si="2"/>
        <v>S</v>
      </c>
      <c r="AO3" s="11" t="str">
        <f t="shared" si="2"/>
        <v>S</v>
      </c>
      <c r="AP3" s="11" t="str">
        <f t="shared" si="2"/>
        <v>M</v>
      </c>
      <c r="AQ3" s="11" t="str">
        <f t="shared" si="2"/>
        <v>T</v>
      </c>
      <c r="AR3" s="11" t="str">
        <f t="shared" si="2"/>
        <v>W</v>
      </c>
      <c r="AS3" s="11" t="str">
        <f t="shared" si="2"/>
        <v>T</v>
      </c>
      <c r="AT3" s="11" t="str">
        <f t="shared" ref="AT3:BQ3" si="3">LEFT(TEXT(AT2,"ddd"),1)</f>
        <v>F</v>
      </c>
      <c r="AU3" s="11" t="str">
        <f t="shared" si="3"/>
        <v>S</v>
      </c>
      <c r="AV3" s="11" t="str">
        <f t="shared" si="3"/>
        <v>S</v>
      </c>
      <c r="AW3" s="11" t="str">
        <f t="shared" si="3"/>
        <v>M</v>
      </c>
      <c r="AX3" s="11" t="str">
        <f t="shared" si="3"/>
        <v>T</v>
      </c>
      <c r="AY3" s="11" t="str">
        <f t="shared" si="3"/>
        <v>W</v>
      </c>
      <c r="AZ3" s="11" t="str">
        <f t="shared" si="3"/>
        <v>T</v>
      </c>
      <c r="BA3" s="11" t="str">
        <f t="shared" si="3"/>
        <v>F</v>
      </c>
      <c r="BB3" s="11" t="str">
        <f t="shared" si="3"/>
        <v>S</v>
      </c>
      <c r="BC3" s="11" t="str">
        <f t="shared" si="3"/>
        <v>S</v>
      </c>
      <c r="BD3" s="11" t="str">
        <f t="shared" si="3"/>
        <v>M</v>
      </c>
      <c r="BE3" s="11" t="str">
        <f t="shared" si="3"/>
        <v>T</v>
      </c>
      <c r="BF3" s="11" t="str">
        <f t="shared" si="3"/>
        <v>W</v>
      </c>
      <c r="BG3" s="11" t="str">
        <f t="shared" si="3"/>
        <v>T</v>
      </c>
      <c r="BH3" s="11" t="str">
        <f t="shared" si="3"/>
        <v>F</v>
      </c>
      <c r="BI3" s="11" t="str">
        <f t="shared" si="3"/>
        <v>S</v>
      </c>
      <c r="BJ3" s="11" t="str">
        <f t="shared" si="3"/>
        <v>S</v>
      </c>
      <c r="BK3" s="11" t="str">
        <f t="shared" si="3"/>
        <v>M</v>
      </c>
      <c r="BL3" s="11" t="str">
        <f t="shared" si="3"/>
        <v>T</v>
      </c>
      <c r="BM3" s="11" t="str">
        <f t="shared" si="3"/>
        <v>W</v>
      </c>
      <c r="BN3" s="11" t="str">
        <f t="shared" si="3"/>
        <v>T</v>
      </c>
      <c r="BO3" s="11" t="str">
        <f t="shared" si="3"/>
        <v>F</v>
      </c>
      <c r="BP3" s="11" t="str">
        <f t="shared" si="3"/>
        <v>S</v>
      </c>
      <c r="BQ3" s="11" t="str">
        <f t="shared" si="3"/>
        <v>S</v>
      </c>
    </row>
    <row r="4" spans="1:69" s="2" customFormat="1" ht="15" customHeight="1" thickBot="1" x14ac:dyDescent="0.35">
      <c r="A4" s="110" t="s">
        <v>837</v>
      </c>
      <c r="B4" s="110"/>
      <c r="C4" s="324"/>
      <c r="D4" s="16"/>
      <c r="E4" s="56"/>
      <c r="F4" s="17"/>
      <c r="G4" s="56"/>
      <c r="H4" s="18"/>
      <c r="I4" s="19"/>
      <c r="J4" s="19"/>
      <c r="K4" s="19"/>
      <c r="L4" s="15"/>
      <c r="M4" s="15" t="str">
        <f>IF(OR(ISBLANK(task_start),ISBLANK(task_end)),"",task_end-task_start+1)</f>
        <v/>
      </c>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row>
    <row r="5" spans="1:69" s="2" customFormat="1" ht="15" customHeight="1" outlineLevel="1" thickBot="1" x14ac:dyDescent="0.35">
      <c r="A5" s="119"/>
      <c r="B5" s="119"/>
      <c r="C5" s="325" t="s">
        <v>241</v>
      </c>
      <c r="D5" s="65"/>
      <c r="E5" s="57"/>
      <c r="F5" s="20"/>
      <c r="G5" s="159"/>
      <c r="H5" s="159"/>
      <c r="I5" s="159"/>
      <c r="J5" s="51"/>
      <c r="K5" s="51"/>
      <c r="L5" s="15"/>
      <c r="M5" s="15" t="str">
        <f>IF(OR(ISBLANK(task_start),ISBLANK(task_end)),"",task_end-task_start+1)</f>
        <v/>
      </c>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row>
    <row r="6" spans="1:69" s="2" customFormat="1" ht="12.6" customHeight="1" outlineLevel="1" thickBot="1" x14ac:dyDescent="0.35">
      <c r="A6" s="119"/>
      <c r="B6" s="119"/>
      <c r="C6" s="325" t="s">
        <v>511</v>
      </c>
      <c r="D6" s="119"/>
      <c r="E6" s="57"/>
      <c r="F6" s="20"/>
      <c r="G6" s="159"/>
      <c r="H6" s="159"/>
      <c r="I6" s="159"/>
      <c r="J6" s="51"/>
      <c r="K6" s="51"/>
      <c r="L6" s="15"/>
      <c r="M6" s="15" t="str">
        <f>IF(OR(ISBLANK(task_start),ISBLANK(task_end)),"",task_end-task_start+1)</f>
        <v/>
      </c>
      <c r="N6" s="42"/>
      <c r="O6" s="42"/>
      <c r="P6" s="42"/>
      <c r="Q6" s="42"/>
      <c r="R6" s="42"/>
      <c r="S6" s="42"/>
      <c r="T6" s="42"/>
      <c r="U6" s="42"/>
      <c r="V6" s="42"/>
      <c r="W6" s="42"/>
      <c r="X6" s="42"/>
      <c r="Y6" s="42"/>
      <c r="Z6" s="43"/>
      <c r="AA6" s="43"/>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row>
    <row r="7" spans="1:69" s="152" customFormat="1" ht="12.6" customHeight="1" outlineLevel="1" thickBot="1" x14ac:dyDescent="0.35">
      <c r="A7" s="145"/>
      <c r="B7" s="145"/>
      <c r="C7" s="326" t="s">
        <v>852</v>
      </c>
      <c r="D7" s="296"/>
      <c r="E7" s="297"/>
      <c r="F7" s="298"/>
      <c r="G7" s="299"/>
      <c r="H7" s="299"/>
      <c r="I7" s="299"/>
      <c r="J7" s="148"/>
      <c r="K7" s="148"/>
      <c r="L7" s="149"/>
      <c r="M7" s="149"/>
      <c r="N7" s="150"/>
      <c r="O7" s="150"/>
      <c r="P7" s="150"/>
      <c r="Q7" s="150"/>
      <c r="R7" s="150"/>
      <c r="S7" s="150"/>
      <c r="T7" s="150"/>
      <c r="U7" s="150"/>
      <c r="V7" s="150"/>
      <c r="W7" s="150"/>
      <c r="X7" s="150"/>
      <c r="Y7" s="150"/>
      <c r="Z7" s="151"/>
      <c r="AA7" s="151"/>
      <c r="AB7" s="150"/>
      <c r="AC7" s="150"/>
      <c r="AD7" s="150"/>
      <c r="AE7" s="150"/>
      <c r="AF7" s="150"/>
      <c r="AG7" s="150"/>
      <c r="AH7" s="150"/>
      <c r="AI7" s="150"/>
      <c r="AJ7" s="150"/>
      <c r="AK7" s="150"/>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0"/>
      <c r="BO7" s="150"/>
      <c r="BP7" s="150"/>
      <c r="BQ7" s="150"/>
    </row>
    <row r="8" spans="1:69" s="2" customFormat="1" ht="12.6" customHeight="1" outlineLevel="2" thickBot="1" x14ac:dyDescent="0.35">
      <c r="A8" s="372"/>
      <c r="B8" s="372" t="s">
        <v>1102</v>
      </c>
      <c r="C8" s="366" t="s">
        <v>900</v>
      </c>
      <c r="D8" s="365" t="s">
        <v>693</v>
      </c>
      <c r="E8" s="369" t="s">
        <v>901</v>
      </c>
      <c r="F8" s="370"/>
      <c r="G8" s="368"/>
      <c r="H8" s="368"/>
      <c r="I8" s="368"/>
      <c r="J8" s="51"/>
      <c r="K8" s="51"/>
      <c r="L8" s="15"/>
      <c r="M8" s="15"/>
      <c r="N8" s="42"/>
      <c r="O8" s="42"/>
      <c r="P8" s="42"/>
      <c r="Q8" s="42"/>
      <c r="R8" s="42"/>
      <c r="S8" s="42"/>
      <c r="T8" s="42"/>
      <c r="U8" s="42"/>
      <c r="V8" s="42"/>
      <c r="W8" s="42"/>
      <c r="X8" s="42"/>
      <c r="Y8" s="42"/>
      <c r="Z8" s="43"/>
      <c r="AA8" s="43"/>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row>
    <row r="9" spans="1:69" s="2" customFormat="1" ht="12.6" customHeight="1" outlineLevel="2" thickBot="1" x14ac:dyDescent="0.35">
      <c r="A9" s="372"/>
      <c r="B9" s="372" t="s">
        <v>1102</v>
      </c>
      <c r="C9" s="366" t="s">
        <v>893</v>
      </c>
      <c r="D9" s="367"/>
      <c r="E9" s="369" t="s">
        <v>901</v>
      </c>
      <c r="F9" s="370"/>
      <c r="G9" s="368"/>
      <c r="H9" s="368"/>
      <c r="I9" s="368"/>
      <c r="J9" s="51"/>
      <c r="K9" s="51"/>
      <c r="L9" s="15"/>
      <c r="M9" s="15"/>
      <c r="N9" s="42"/>
      <c r="O9" s="42"/>
      <c r="P9" s="42"/>
      <c r="Q9" s="42"/>
      <c r="R9" s="42"/>
      <c r="S9" s="42"/>
      <c r="T9" s="42"/>
      <c r="U9" s="42"/>
      <c r="V9" s="42"/>
      <c r="W9" s="42"/>
      <c r="X9" s="42"/>
      <c r="Y9" s="42"/>
      <c r="Z9" s="43"/>
      <c r="AA9" s="43"/>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row>
    <row r="10" spans="1:69" s="2" customFormat="1" ht="12.6" customHeight="1" outlineLevel="2" thickBot="1" x14ac:dyDescent="0.35">
      <c r="A10" s="372"/>
      <c r="B10" s="372" t="s">
        <v>1102</v>
      </c>
      <c r="C10" s="366" t="s">
        <v>936</v>
      </c>
      <c r="D10" s="367"/>
      <c r="E10" s="369" t="s">
        <v>902</v>
      </c>
      <c r="F10" s="370"/>
      <c r="G10" s="368"/>
      <c r="H10" s="368"/>
      <c r="I10" s="368"/>
      <c r="J10" s="51"/>
      <c r="K10" s="51"/>
      <c r="L10" s="15"/>
      <c r="M10" s="15"/>
      <c r="N10" s="42"/>
      <c r="O10" s="42"/>
      <c r="P10" s="42"/>
      <c r="Q10" s="42"/>
      <c r="R10" s="42"/>
      <c r="S10" s="42"/>
      <c r="T10" s="42"/>
      <c r="U10" s="42"/>
      <c r="V10" s="42"/>
      <c r="W10" s="42"/>
      <c r="X10" s="42"/>
      <c r="Y10" s="42"/>
      <c r="Z10" s="43"/>
      <c r="AA10" s="43"/>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row>
    <row r="11" spans="1:69" s="2" customFormat="1" ht="12.6" customHeight="1" outlineLevel="2" thickBot="1" x14ac:dyDescent="0.35">
      <c r="A11" s="372"/>
      <c r="B11" s="372" t="s">
        <v>1102</v>
      </c>
      <c r="C11" s="366" t="s">
        <v>1034</v>
      </c>
      <c r="D11" s="367"/>
      <c r="E11" s="369" t="s">
        <v>911</v>
      </c>
      <c r="F11" s="370"/>
      <c r="G11" s="368"/>
      <c r="H11" s="368"/>
      <c r="I11" s="368"/>
      <c r="J11" s="51"/>
      <c r="K11" s="51"/>
      <c r="L11" s="15"/>
      <c r="M11" s="15"/>
      <c r="N11" s="42"/>
      <c r="O11" s="42"/>
      <c r="P11" s="42"/>
      <c r="Q11" s="42"/>
      <c r="R11" s="42"/>
      <c r="S11" s="42"/>
      <c r="T11" s="42"/>
      <c r="U11" s="42"/>
      <c r="V11" s="42"/>
      <c r="W11" s="42"/>
      <c r="X11" s="42"/>
      <c r="Y11" s="42"/>
      <c r="Z11" s="43"/>
      <c r="AA11" s="43"/>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row>
    <row r="12" spans="1:69" s="2" customFormat="1" ht="12.6" customHeight="1" outlineLevel="2" thickBot="1" x14ac:dyDescent="0.35">
      <c r="A12" s="372"/>
      <c r="B12" s="372" t="s">
        <v>1102</v>
      </c>
      <c r="C12" s="366" t="s">
        <v>1067</v>
      </c>
      <c r="D12" s="367"/>
      <c r="E12" s="369" t="s">
        <v>902</v>
      </c>
      <c r="F12" s="370"/>
      <c r="G12" s="368"/>
      <c r="H12" s="368"/>
      <c r="I12" s="368"/>
      <c r="J12" s="51"/>
      <c r="K12" s="51"/>
      <c r="L12" s="15"/>
      <c r="M12" s="15"/>
      <c r="N12" s="42"/>
      <c r="O12" s="42"/>
      <c r="P12" s="42"/>
      <c r="Q12" s="42"/>
      <c r="R12" s="42"/>
      <c r="S12" s="42"/>
      <c r="T12" s="42"/>
      <c r="U12" s="42"/>
      <c r="V12" s="42"/>
      <c r="W12" s="42"/>
      <c r="X12" s="42"/>
      <c r="Y12" s="42"/>
      <c r="Z12" s="43"/>
      <c r="AA12" s="43"/>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row>
    <row r="13" spans="1:69" s="2" customFormat="1" ht="12.6" customHeight="1" outlineLevel="2" thickBot="1" x14ac:dyDescent="0.35">
      <c r="A13" s="372"/>
      <c r="B13" s="372" t="s">
        <v>1102</v>
      </c>
      <c r="C13" s="366" t="s">
        <v>903</v>
      </c>
      <c r="D13" s="367"/>
      <c r="E13" s="369" t="s">
        <v>904</v>
      </c>
      <c r="F13" s="370"/>
      <c r="G13" s="368"/>
      <c r="H13" s="368"/>
      <c r="I13" s="368"/>
      <c r="J13" s="51"/>
      <c r="K13" s="51"/>
      <c r="L13" s="15"/>
      <c r="M13" s="15"/>
      <c r="N13" s="42"/>
      <c r="O13" s="42"/>
      <c r="P13" s="42"/>
      <c r="Q13" s="42"/>
      <c r="R13" s="42"/>
      <c r="S13" s="42"/>
      <c r="T13" s="42"/>
      <c r="U13" s="42"/>
      <c r="V13" s="42"/>
      <c r="W13" s="42"/>
      <c r="X13" s="42"/>
      <c r="Y13" s="42"/>
      <c r="Z13" s="43"/>
      <c r="AA13" s="43"/>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row>
    <row r="14" spans="1:69" s="2" customFormat="1" ht="12.6" customHeight="1" outlineLevel="2" thickBot="1" x14ac:dyDescent="0.35">
      <c r="A14" s="372"/>
      <c r="B14" s="372" t="s">
        <v>1102</v>
      </c>
      <c r="C14" s="366" t="s">
        <v>1044</v>
      </c>
      <c r="D14" s="367"/>
      <c r="E14" s="369" t="s">
        <v>906</v>
      </c>
      <c r="F14" s="370"/>
      <c r="G14" s="368"/>
      <c r="H14" s="368"/>
      <c r="I14" s="368"/>
      <c r="J14" s="51"/>
      <c r="K14" s="51"/>
      <c r="L14" s="15"/>
      <c r="M14" s="15"/>
      <c r="N14" s="42"/>
      <c r="O14" s="42"/>
      <c r="P14" s="42"/>
      <c r="Q14" s="42"/>
      <c r="R14" s="42"/>
      <c r="S14" s="42"/>
      <c r="T14" s="42"/>
      <c r="U14" s="42"/>
      <c r="V14" s="42"/>
      <c r="W14" s="42"/>
      <c r="X14" s="42"/>
      <c r="Y14" s="42"/>
      <c r="Z14" s="43"/>
      <c r="AA14" s="43"/>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row>
    <row r="15" spans="1:69" s="2" customFormat="1" ht="12.6" customHeight="1" outlineLevel="2" thickBot="1" x14ac:dyDescent="0.35">
      <c r="A15" s="372"/>
      <c r="B15" s="372" t="s">
        <v>1102</v>
      </c>
      <c r="C15" s="366" t="s">
        <v>907</v>
      </c>
      <c r="D15" s="367"/>
      <c r="E15" s="369" t="s">
        <v>902</v>
      </c>
      <c r="F15" s="370"/>
      <c r="G15" s="368"/>
      <c r="H15" s="368"/>
      <c r="I15" s="368"/>
      <c r="J15" s="51"/>
      <c r="K15" s="51"/>
      <c r="L15" s="15"/>
      <c r="M15" s="15"/>
      <c r="N15" s="42"/>
      <c r="O15" s="42"/>
      <c r="P15" s="42"/>
      <c r="Q15" s="42"/>
      <c r="R15" s="42"/>
      <c r="S15" s="42"/>
      <c r="T15" s="42"/>
      <c r="U15" s="42"/>
      <c r="V15" s="42"/>
      <c r="W15" s="42"/>
      <c r="X15" s="42"/>
      <c r="Y15" s="42"/>
      <c r="Z15" s="43"/>
      <c r="AA15" s="43"/>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row>
    <row r="16" spans="1:69" s="2" customFormat="1" ht="12.6" customHeight="1" outlineLevel="2" thickBot="1" x14ac:dyDescent="0.35">
      <c r="A16" s="372"/>
      <c r="B16" s="372" t="s">
        <v>1102</v>
      </c>
      <c r="C16" s="366" t="s">
        <v>1035</v>
      </c>
      <c r="D16" s="367"/>
      <c r="E16" s="369" t="s">
        <v>905</v>
      </c>
      <c r="F16" s="370"/>
      <c r="G16" s="368"/>
      <c r="H16" s="368"/>
      <c r="I16" s="368"/>
      <c r="J16" s="51"/>
      <c r="K16" s="51"/>
      <c r="L16" s="15"/>
      <c r="M16" s="15"/>
      <c r="N16" s="42"/>
      <c r="O16" s="42"/>
      <c r="P16" s="42"/>
      <c r="Q16" s="42"/>
      <c r="R16" s="42"/>
      <c r="S16" s="42"/>
      <c r="T16" s="42"/>
      <c r="U16" s="42"/>
      <c r="V16" s="42"/>
      <c r="W16" s="42"/>
      <c r="X16" s="42"/>
      <c r="Y16" s="42"/>
      <c r="Z16" s="43"/>
      <c r="AA16" s="43"/>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row>
    <row r="17" spans="1:69" s="2" customFormat="1" ht="12.6" customHeight="1" outlineLevel="2" thickBot="1" x14ac:dyDescent="0.35">
      <c r="A17" s="372"/>
      <c r="B17" s="372" t="s">
        <v>1102</v>
      </c>
      <c r="C17" s="366" t="s">
        <v>908</v>
      </c>
      <c r="D17" s="367"/>
      <c r="E17" s="369" t="s">
        <v>909</v>
      </c>
      <c r="F17" s="370"/>
      <c r="G17" s="368"/>
      <c r="H17" s="368"/>
      <c r="I17" s="368"/>
      <c r="J17" s="51"/>
      <c r="K17" s="51"/>
      <c r="L17" s="15"/>
      <c r="M17" s="15"/>
      <c r="N17" s="42"/>
      <c r="O17" s="42"/>
      <c r="P17" s="42"/>
      <c r="Q17" s="42"/>
      <c r="R17" s="42"/>
      <c r="S17" s="42"/>
      <c r="T17" s="42"/>
      <c r="U17" s="42"/>
      <c r="V17" s="42"/>
      <c r="W17" s="42"/>
      <c r="X17" s="42"/>
      <c r="Y17" s="42"/>
      <c r="Z17" s="43"/>
      <c r="AA17" s="43"/>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row>
    <row r="18" spans="1:69" s="2" customFormat="1" ht="12.6" customHeight="1" outlineLevel="2" thickBot="1" x14ac:dyDescent="0.35">
      <c r="A18" s="372"/>
      <c r="B18" s="372" t="s">
        <v>1102</v>
      </c>
      <c r="C18" s="366" t="s">
        <v>1036</v>
      </c>
      <c r="D18" s="367"/>
      <c r="E18" s="369" t="s">
        <v>901</v>
      </c>
      <c r="F18" s="370"/>
      <c r="G18" s="368"/>
      <c r="H18" s="368"/>
      <c r="I18" s="368"/>
      <c r="J18" s="51"/>
      <c r="K18" s="51"/>
      <c r="L18" s="15"/>
      <c r="M18" s="15"/>
      <c r="N18" s="42"/>
      <c r="O18" s="42"/>
      <c r="P18" s="42"/>
      <c r="Q18" s="42"/>
      <c r="R18" s="42"/>
      <c r="S18" s="42"/>
      <c r="T18" s="42"/>
      <c r="U18" s="42"/>
      <c r="V18" s="42"/>
      <c r="W18" s="42"/>
      <c r="X18" s="42"/>
      <c r="Y18" s="42"/>
      <c r="Z18" s="43"/>
      <c r="AA18" s="43"/>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row>
    <row r="19" spans="1:69" s="2" customFormat="1" ht="12.6" customHeight="1" outlineLevel="2" thickBot="1" x14ac:dyDescent="0.35">
      <c r="A19" s="372"/>
      <c r="B19" s="372" t="s">
        <v>1102</v>
      </c>
      <c r="C19" s="366" t="s">
        <v>1037</v>
      </c>
      <c r="D19" s="367"/>
      <c r="E19" s="369" t="s">
        <v>1076</v>
      </c>
      <c r="F19" s="370"/>
      <c r="G19" s="368"/>
      <c r="H19" s="368"/>
      <c r="I19" s="368"/>
      <c r="J19" s="51"/>
      <c r="K19" s="51"/>
      <c r="L19" s="15"/>
      <c r="M19" s="15"/>
      <c r="N19" s="42"/>
      <c r="O19" s="42"/>
      <c r="P19" s="42"/>
      <c r="Q19" s="42"/>
      <c r="R19" s="42"/>
      <c r="S19" s="42"/>
      <c r="T19" s="42"/>
      <c r="U19" s="42"/>
      <c r="V19" s="42"/>
      <c r="W19" s="42"/>
      <c r="X19" s="42"/>
      <c r="Y19" s="42"/>
      <c r="Z19" s="43"/>
      <c r="AA19" s="43"/>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row>
    <row r="20" spans="1:69" s="2" customFormat="1" ht="12.6" customHeight="1" outlineLevel="2" thickBot="1" x14ac:dyDescent="0.35">
      <c r="A20" s="372"/>
      <c r="B20" s="372" t="s">
        <v>1102</v>
      </c>
      <c r="C20" s="366" t="s">
        <v>1038</v>
      </c>
      <c r="D20" s="367"/>
      <c r="E20" s="369" t="s">
        <v>905</v>
      </c>
      <c r="F20" s="370"/>
      <c r="G20" s="368"/>
      <c r="H20" s="368"/>
      <c r="I20" s="368"/>
      <c r="J20" s="51"/>
      <c r="K20" s="51"/>
      <c r="L20" s="15"/>
      <c r="M20" s="15"/>
      <c r="N20" s="42"/>
      <c r="O20" s="42"/>
      <c r="P20" s="42"/>
      <c r="Q20" s="42"/>
      <c r="R20" s="42"/>
      <c r="S20" s="42"/>
      <c r="T20" s="42"/>
      <c r="U20" s="42"/>
      <c r="V20" s="42"/>
      <c r="W20" s="42"/>
      <c r="X20" s="42"/>
      <c r="Y20" s="42"/>
      <c r="Z20" s="43"/>
      <c r="AA20" s="43"/>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row>
    <row r="21" spans="1:69" s="2" customFormat="1" ht="12.6" customHeight="1" outlineLevel="2" thickBot="1" x14ac:dyDescent="0.35">
      <c r="A21" s="372"/>
      <c r="B21" s="372" t="s">
        <v>1102</v>
      </c>
      <c r="C21" s="366" t="s">
        <v>1045</v>
      </c>
      <c r="D21" s="367"/>
      <c r="E21" s="369" t="s">
        <v>905</v>
      </c>
      <c r="F21" s="370"/>
      <c r="G21" s="368"/>
      <c r="H21" s="368"/>
      <c r="I21" s="368"/>
      <c r="J21" s="51"/>
      <c r="K21" s="51"/>
      <c r="L21" s="15"/>
      <c r="M21" s="15"/>
      <c r="N21" s="42"/>
      <c r="O21" s="42"/>
      <c r="P21" s="42"/>
      <c r="Q21" s="42"/>
      <c r="R21" s="42"/>
      <c r="S21" s="42"/>
      <c r="T21" s="42"/>
      <c r="U21" s="42"/>
      <c r="V21" s="42"/>
      <c r="W21" s="42"/>
      <c r="X21" s="42"/>
      <c r="Y21" s="42"/>
      <c r="Z21" s="43"/>
      <c r="AA21" s="43"/>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row>
    <row r="22" spans="1:69" s="2" customFormat="1" ht="12.6" customHeight="1" outlineLevel="2" thickBot="1" x14ac:dyDescent="0.35">
      <c r="A22" s="372"/>
      <c r="B22" s="372" t="s">
        <v>1102</v>
      </c>
      <c r="C22" s="366" t="s">
        <v>1068</v>
      </c>
      <c r="D22" s="367"/>
      <c r="E22" s="369" t="s">
        <v>905</v>
      </c>
      <c r="F22" s="370"/>
      <c r="G22" s="368"/>
      <c r="H22" s="368"/>
      <c r="I22" s="368"/>
      <c r="J22" s="51"/>
      <c r="K22" s="51"/>
      <c r="L22" s="15"/>
      <c r="M22" s="15"/>
      <c r="N22" s="42"/>
      <c r="O22" s="42"/>
      <c r="P22" s="42"/>
      <c r="Q22" s="42"/>
      <c r="R22" s="42"/>
      <c r="S22" s="42"/>
      <c r="T22" s="42"/>
      <c r="U22" s="42"/>
      <c r="V22" s="42"/>
      <c r="W22" s="42"/>
      <c r="X22" s="42"/>
      <c r="Y22" s="42"/>
      <c r="Z22" s="43"/>
      <c r="AA22" s="43"/>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row>
    <row r="23" spans="1:69" s="2" customFormat="1" ht="12.6" customHeight="1" outlineLevel="2" thickBot="1" x14ac:dyDescent="0.35">
      <c r="A23" s="372"/>
      <c r="B23" s="372" t="s">
        <v>1102</v>
      </c>
      <c r="C23" s="366" t="s">
        <v>910</v>
      </c>
      <c r="D23" s="367"/>
      <c r="E23" s="369" t="s">
        <v>911</v>
      </c>
      <c r="F23" s="370"/>
      <c r="G23" s="368"/>
      <c r="H23" s="368"/>
      <c r="I23" s="368"/>
      <c r="J23" s="51"/>
      <c r="K23" s="51"/>
      <c r="L23" s="15"/>
      <c r="M23" s="15"/>
      <c r="N23" s="42"/>
      <c r="O23" s="42"/>
      <c r="P23" s="42"/>
      <c r="Q23" s="42"/>
      <c r="R23" s="42"/>
      <c r="S23" s="42"/>
      <c r="T23" s="42"/>
      <c r="U23" s="42"/>
      <c r="V23" s="42"/>
      <c r="W23" s="42"/>
      <c r="X23" s="42"/>
      <c r="Y23" s="42"/>
      <c r="Z23" s="43"/>
      <c r="AA23" s="43"/>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row>
    <row r="24" spans="1:69" s="2" customFormat="1" ht="12.6" customHeight="1" outlineLevel="2" thickBot="1" x14ac:dyDescent="0.35">
      <c r="A24" s="372"/>
      <c r="B24" s="372" t="s">
        <v>1102</v>
      </c>
      <c r="C24" s="366" t="s">
        <v>912</v>
      </c>
      <c r="D24" s="367"/>
      <c r="E24" s="369" t="s">
        <v>911</v>
      </c>
      <c r="F24" s="370"/>
      <c r="G24" s="368"/>
      <c r="H24" s="368"/>
      <c r="I24" s="368"/>
      <c r="J24" s="51"/>
      <c r="K24" s="51"/>
      <c r="L24" s="15"/>
      <c r="M24" s="15"/>
      <c r="N24" s="42"/>
      <c r="O24" s="42"/>
      <c r="P24" s="42"/>
      <c r="Q24" s="42"/>
      <c r="R24" s="42"/>
      <c r="S24" s="42"/>
      <c r="T24" s="42"/>
      <c r="U24" s="42"/>
      <c r="V24" s="42"/>
      <c r="W24" s="42"/>
      <c r="X24" s="42"/>
      <c r="Y24" s="42"/>
      <c r="Z24" s="43"/>
      <c r="AA24" s="43"/>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row>
    <row r="25" spans="1:69" s="2" customFormat="1" ht="12.6" customHeight="1" outlineLevel="2" thickBot="1" x14ac:dyDescent="0.35">
      <c r="A25" s="372"/>
      <c r="B25" s="372" t="s">
        <v>1102</v>
      </c>
      <c r="C25" s="366" t="s">
        <v>1039</v>
      </c>
      <c r="D25" s="367"/>
      <c r="E25" s="369" t="s">
        <v>911</v>
      </c>
      <c r="F25" s="370"/>
      <c r="G25" s="368"/>
      <c r="H25" s="368"/>
      <c r="I25" s="368"/>
      <c r="J25" s="51"/>
      <c r="K25" s="51"/>
      <c r="L25" s="15"/>
      <c r="M25" s="15"/>
      <c r="N25" s="42"/>
      <c r="O25" s="42"/>
      <c r="P25" s="42"/>
      <c r="Q25" s="42"/>
      <c r="R25" s="42"/>
      <c r="S25" s="42"/>
      <c r="T25" s="42"/>
      <c r="U25" s="42"/>
      <c r="V25" s="42"/>
      <c r="W25" s="42"/>
      <c r="X25" s="42"/>
      <c r="Y25" s="42"/>
      <c r="Z25" s="43"/>
      <c r="AA25" s="43"/>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row>
    <row r="26" spans="1:69" s="2" customFormat="1" ht="12.6" customHeight="1" outlineLevel="2" thickBot="1" x14ac:dyDescent="0.35">
      <c r="A26" s="372"/>
      <c r="B26" s="372" t="s">
        <v>1102</v>
      </c>
      <c r="C26" s="366" t="s">
        <v>1081</v>
      </c>
      <c r="D26" s="367"/>
      <c r="E26" s="367" t="s">
        <v>911</v>
      </c>
      <c r="F26" s="370"/>
      <c r="G26" s="368"/>
      <c r="H26" s="368"/>
      <c r="I26" s="368"/>
      <c r="J26" s="51"/>
      <c r="K26" s="51"/>
      <c r="L26" s="15"/>
      <c r="M26" s="15"/>
      <c r="N26" s="42"/>
      <c r="O26" s="42"/>
      <c r="P26" s="42"/>
      <c r="Q26" s="42"/>
      <c r="R26" s="42"/>
      <c r="S26" s="42"/>
      <c r="T26" s="42"/>
      <c r="U26" s="42"/>
      <c r="V26" s="42"/>
      <c r="W26" s="42"/>
      <c r="X26" s="42"/>
      <c r="Y26" s="42"/>
      <c r="Z26" s="43"/>
      <c r="AA26" s="43"/>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row>
    <row r="27" spans="1:69" s="2" customFormat="1" ht="12.6" customHeight="1" outlineLevel="2" thickBot="1" x14ac:dyDescent="0.35">
      <c r="A27" s="372"/>
      <c r="B27" s="372" t="s">
        <v>1102</v>
      </c>
      <c r="C27" s="366" t="s">
        <v>1040</v>
      </c>
      <c r="D27" s="367"/>
      <c r="E27" s="369" t="s">
        <v>905</v>
      </c>
      <c r="F27" s="370"/>
      <c r="G27" s="368"/>
      <c r="H27" s="368"/>
      <c r="I27" s="368"/>
      <c r="J27" s="51"/>
      <c r="K27" s="51"/>
      <c r="L27" s="15"/>
      <c r="M27" s="15"/>
      <c r="N27" s="42"/>
      <c r="O27" s="42"/>
      <c r="P27" s="42"/>
      <c r="Q27" s="42"/>
      <c r="R27" s="42"/>
      <c r="S27" s="42"/>
      <c r="T27" s="42"/>
      <c r="U27" s="42"/>
      <c r="V27" s="42"/>
      <c r="W27" s="42"/>
      <c r="X27" s="42"/>
      <c r="Y27" s="42"/>
      <c r="Z27" s="43"/>
      <c r="AA27" s="43"/>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row>
    <row r="28" spans="1:69" s="2" customFormat="1" ht="12.6" customHeight="1" outlineLevel="2" thickBot="1" x14ac:dyDescent="0.35">
      <c r="A28" s="372"/>
      <c r="B28" s="372" t="s">
        <v>1102</v>
      </c>
      <c r="C28" s="366" t="s">
        <v>913</v>
      </c>
      <c r="D28" s="367"/>
      <c r="E28" s="369" t="s">
        <v>906</v>
      </c>
      <c r="F28" s="370"/>
      <c r="G28" s="368"/>
      <c r="H28" s="368"/>
      <c r="I28" s="368"/>
      <c r="J28" s="51"/>
      <c r="K28" s="51"/>
      <c r="L28" s="15"/>
      <c r="M28" s="15"/>
      <c r="N28" s="42"/>
      <c r="O28" s="42"/>
      <c r="P28" s="42"/>
      <c r="Q28" s="42"/>
      <c r="R28" s="42"/>
      <c r="S28" s="42"/>
      <c r="T28" s="42"/>
      <c r="U28" s="42"/>
      <c r="V28" s="42"/>
      <c r="W28" s="42"/>
      <c r="X28" s="42"/>
      <c r="Y28" s="42"/>
      <c r="Z28" s="43"/>
      <c r="AA28" s="43"/>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row>
    <row r="29" spans="1:69" s="2" customFormat="1" ht="12.6" customHeight="1" outlineLevel="2" thickBot="1" x14ac:dyDescent="0.35">
      <c r="A29" s="372"/>
      <c r="B29" s="372" t="s">
        <v>1102</v>
      </c>
      <c r="C29" s="366" t="s">
        <v>1041</v>
      </c>
      <c r="D29" s="367"/>
      <c r="E29" s="369" t="s">
        <v>1046</v>
      </c>
      <c r="F29" s="370"/>
      <c r="G29" s="368"/>
      <c r="H29" s="368"/>
      <c r="I29" s="368"/>
      <c r="J29" s="51"/>
      <c r="K29" s="51"/>
      <c r="L29" s="15"/>
      <c r="M29" s="15"/>
      <c r="N29" s="42"/>
      <c r="O29" s="42"/>
      <c r="P29" s="42"/>
      <c r="Q29" s="42"/>
      <c r="R29" s="42"/>
      <c r="S29" s="42"/>
      <c r="T29" s="42"/>
      <c r="U29" s="42"/>
      <c r="V29" s="42"/>
      <c r="W29" s="42"/>
      <c r="X29" s="42"/>
      <c r="Y29" s="42"/>
      <c r="Z29" s="43"/>
      <c r="AA29" s="43"/>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row>
    <row r="30" spans="1:69" s="2" customFormat="1" ht="12.6" customHeight="1" outlineLevel="2" thickBot="1" x14ac:dyDescent="0.35">
      <c r="A30" s="372"/>
      <c r="B30" s="372" t="s">
        <v>1102</v>
      </c>
      <c r="C30" s="366" t="s">
        <v>1066</v>
      </c>
      <c r="D30" s="367"/>
      <c r="E30" s="369" t="s">
        <v>911</v>
      </c>
      <c r="F30" s="370"/>
      <c r="G30" s="368"/>
      <c r="H30" s="368"/>
      <c r="I30" s="368"/>
      <c r="J30" s="51"/>
      <c r="K30" s="51"/>
      <c r="L30" s="15"/>
      <c r="M30" s="15"/>
      <c r="N30" s="42"/>
      <c r="O30" s="42"/>
      <c r="P30" s="42"/>
      <c r="Q30" s="42"/>
      <c r="R30" s="42"/>
      <c r="S30" s="42"/>
      <c r="T30" s="42"/>
      <c r="U30" s="42"/>
      <c r="V30" s="42"/>
      <c r="W30" s="42"/>
      <c r="X30" s="42"/>
      <c r="Y30" s="42"/>
      <c r="Z30" s="43"/>
      <c r="AA30" s="43"/>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row>
    <row r="31" spans="1:69" s="2" customFormat="1" ht="12.6" customHeight="1" outlineLevel="2" thickBot="1" x14ac:dyDescent="0.35">
      <c r="A31" s="372"/>
      <c r="B31" s="372" t="s">
        <v>1102</v>
      </c>
      <c r="C31" s="366" t="s">
        <v>1043</v>
      </c>
      <c r="D31" s="367"/>
      <c r="E31" s="369" t="s">
        <v>1047</v>
      </c>
      <c r="F31" s="370"/>
      <c r="G31" s="368"/>
      <c r="H31" s="368"/>
      <c r="I31" s="368"/>
      <c r="J31" s="51"/>
      <c r="K31" s="51"/>
      <c r="L31" s="15"/>
      <c r="M31" s="15"/>
      <c r="N31" s="42"/>
      <c r="O31" s="42"/>
      <c r="P31" s="42"/>
      <c r="Q31" s="42"/>
      <c r="R31" s="42"/>
      <c r="S31" s="42"/>
      <c r="T31" s="42"/>
      <c r="U31" s="42"/>
      <c r="V31" s="42"/>
      <c r="W31" s="42"/>
      <c r="X31" s="42"/>
      <c r="Y31" s="42"/>
      <c r="Z31" s="43"/>
      <c r="AA31" s="43"/>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row>
    <row r="32" spans="1:69" s="2" customFormat="1" ht="12.6" customHeight="1" outlineLevel="2" thickBot="1" x14ac:dyDescent="0.35">
      <c r="A32" s="372"/>
      <c r="B32" s="372" t="s">
        <v>1102</v>
      </c>
      <c r="C32" s="366" t="s">
        <v>1077</v>
      </c>
      <c r="D32" s="367"/>
      <c r="E32" s="369" t="s">
        <v>1078</v>
      </c>
      <c r="F32" s="370"/>
      <c r="G32" s="368"/>
      <c r="H32" s="368"/>
      <c r="I32" s="368"/>
      <c r="J32" s="51"/>
      <c r="K32" s="51"/>
      <c r="L32" s="15"/>
      <c r="M32" s="15"/>
      <c r="N32" s="42"/>
      <c r="O32" s="42"/>
      <c r="P32" s="42"/>
      <c r="Q32" s="42"/>
      <c r="R32" s="42"/>
      <c r="S32" s="42"/>
      <c r="T32" s="42"/>
      <c r="U32" s="42"/>
      <c r="V32" s="42"/>
      <c r="W32" s="42"/>
      <c r="X32" s="42"/>
      <c r="Y32" s="42"/>
      <c r="Z32" s="43"/>
      <c r="AA32" s="43"/>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row>
    <row r="33" spans="1:69" s="2" customFormat="1" ht="12.6" customHeight="1" outlineLevel="2" thickBot="1" x14ac:dyDescent="0.35">
      <c r="A33" s="372"/>
      <c r="B33" s="372" t="s">
        <v>1102</v>
      </c>
      <c r="C33" s="366" t="s">
        <v>894</v>
      </c>
      <c r="D33" s="365"/>
      <c r="E33" s="369" t="s">
        <v>901</v>
      </c>
      <c r="F33" s="370"/>
      <c r="G33" s="368"/>
      <c r="H33" s="368"/>
      <c r="I33" s="368"/>
      <c r="J33" s="51"/>
      <c r="K33" s="51"/>
      <c r="L33" s="15"/>
      <c r="M33" s="15"/>
      <c r="N33" s="42"/>
      <c r="O33" s="42"/>
      <c r="P33" s="42"/>
      <c r="Q33" s="42"/>
      <c r="R33" s="42"/>
      <c r="S33" s="42"/>
      <c r="T33" s="42"/>
      <c r="U33" s="42"/>
      <c r="V33" s="42"/>
      <c r="W33" s="42"/>
      <c r="X33" s="42"/>
      <c r="Y33" s="42"/>
      <c r="Z33" s="43"/>
      <c r="AA33" s="43"/>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row>
    <row r="34" spans="1:69" s="2" customFormat="1" ht="12.6" customHeight="1" outlineLevel="2" thickBot="1" x14ac:dyDescent="0.35">
      <c r="A34" s="372"/>
      <c r="B34" s="372" t="s">
        <v>1102</v>
      </c>
      <c r="C34" s="366" t="s">
        <v>895</v>
      </c>
      <c r="D34" s="367"/>
      <c r="E34" s="369" t="s">
        <v>901</v>
      </c>
      <c r="F34" s="370"/>
      <c r="G34" s="368"/>
      <c r="H34" s="368"/>
      <c r="I34" s="368"/>
      <c r="J34" s="51"/>
      <c r="K34" s="51"/>
      <c r="L34" s="15"/>
      <c r="M34" s="15"/>
      <c r="N34" s="42"/>
      <c r="O34" s="42"/>
      <c r="P34" s="42"/>
      <c r="Q34" s="42"/>
      <c r="R34" s="42"/>
      <c r="S34" s="42"/>
      <c r="T34" s="42"/>
      <c r="U34" s="42"/>
      <c r="V34" s="42"/>
      <c r="W34" s="42"/>
      <c r="X34" s="42"/>
      <c r="Y34" s="42"/>
      <c r="Z34" s="43"/>
      <c r="AA34" s="43"/>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row>
    <row r="35" spans="1:69" s="2" customFormat="1" ht="12.6" customHeight="1" outlineLevel="2" thickBot="1" x14ac:dyDescent="0.35">
      <c r="A35" s="372"/>
      <c r="B35" s="372" t="s">
        <v>1102</v>
      </c>
      <c r="C35" s="366" t="s">
        <v>896</v>
      </c>
      <c r="D35" s="367"/>
      <c r="E35" s="369" t="s">
        <v>901</v>
      </c>
      <c r="F35" s="370"/>
      <c r="G35" s="368"/>
      <c r="H35" s="368"/>
      <c r="I35" s="368"/>
      <c r="J35" s="51"/>
      <c r="K35" s="51"/>
      <c r="L35" s="15"/>
      <c r="M35" s="15"/>
      <c r="N35" s="42"/>
      <c r="O35" s="42"/>
      <c r="P35" s="42"/>
      <c r="Q35" s="42"/>
      <c r="R35" s="42"/>
      <c r="S35" s="42"/>
      <c r="T35" s="42"/>
      <c r="U35" s="42"/>
      <c r="V35" s="42"/>
      <c r="W35" s="42"/>
      <c r="X35" s="42"/>
      <c r="Y35" s="42"/>
      <c r="Z35" s="43"/>
      <c r="AA35" s="43"/>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row>
    <row r="36" spans="1:69" s="2" customFormat="1" ht="12.6" customHeight="1" outlineLevel="2" thickBot="1" x14ac:dyDescent="0.35">
      <c r="A36" s="372"/>
      <c r="B36" s="372" t="s">
        <v>1102</v>
      </c>
      <c r="C36" s="366" t="s">
        <v>1048</v>
      </c>
      <c r="D36" s="367"/>
      <c r="E36" s="369" t="s">
        <v>911</v>
      </c>
      <c r="F36" s="370"/>
      <c r="G36" s="368"/>
      <c r="H36" s="368"/>
      <c r="I36" s="368"/>
      <c r="J36" s="51"/>
      <c r="K36" s="51"/>
      <c r="L36" s="15"/>
      <c r="M36" s="15"/>
      <c r="N36" s="42"/>
      <c r="O36" s="42"/>
      <c r="P36" s="42"/>
      <c r="Q36" s="42"/>
      <c r="R36" s="42"/>
      <c r="S36" s="42"/>
      <c r="T36" s="42"/>
      <c r="U36" s="42"/>
      <c r="V36" s="42"/>
      <c r="W36" s="42"/>
      <c r="X36" s="42"/>
      <c r="Y36" s="42"/>
      <c r="Z36" s="43"/>
      <c r="AA36" s="43"/>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row>
    <row r="37" spans="1:69" s="2" customFormat="1" ht="12.6" customHeight="1" outlineLevel="2" thickBot="1" x14ac:dyDescent="0.35">
      <c r="A37" s="372"/>
      <c r="B37" s="372" t="s">
        <v>1102</v>
      </c>
      <c r="C37" s="366" t="s">
        <v>914</v>
      </c>
      <c r="D37" s="367"/>
      <c r="E37" s="369" t="s">
        <v>911</v>
      </c>
      <c r="F37" s="370"/>
      <c r="G37" s="368"/>
      <c r="H37" s="368"/>
      <c r="I37" s="368"/>
      <c r="J37" s="51"/>
      <c r="K37" s="51"/>
      <c r="L37" s="15"/>
      <c r="M37" s="15"/>
      <c r="N37" s="42"/>
      <c r="O37" s="42"/>
      <c r="P37" s="42"/>
      <c r="Q37" s="42"/>
      <c r="R37" s="42"/>
      <c r="S37" s="42"/>
      <c r="T37" s="42"/>
      <c r="U37" s="42"/>
      <c r="V37" s="42"/>
      <c r="W37" s="42"/>
      <c r="X37" s="42"/>
      <c r="Y37" s="42"/>
      <c r="Z37" s="43"/>
      <c r="AA37" s="43"/>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row>
    <row r="38" spans="1:69" s="2" customFormat="1" ht="12.6" customHeight="1" outlineLevel="2" thickBot="1" x14ac:dyDescent="0.35">
      <c r="A38" s="372"/>
      <c r="B38" s="372" t="s">
        <v>1102</v>
      </c>
      <c r="C38" s="366" t="s">
        <v>897</v>
      </c>
      <c r="D38" s="367"/>
      <c r="E38" s="369" t="s">
        <v>901</v>
      </c>
      <c r="F38" s="370"/>
      <c r="G38" s="368"/>
      <c r="H38" s="368"/>
      <c r="I38" s="368"/>
      <c r="J38" s="51"/>
      <c r="K38" s="51"/>
      <c r="L38" s="15"/>
      <c r="M38" s="15"/>
      <c r="N38" s="42"/>
      <c r="O38" s="42"/>
      <c r="P38" s="42"/>
      <c r="Q38" s="42"/>
      <c r="R38" s="42"/>
      <c r="S38" s="42"/>
      <c r="T38" s="42"/>
      <c r="U38" s="42"/>
      <c r="V38" s="42"/>
      <c r="W38" s="42"/>
      <c r="X38" s="42"/>
      <c r="Y38" s="42"/>
      <c r="Z38" s="43"/>
      <c r="AA38" s="43"/>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row>
    <row r="39" spans="1:69" s="2" customFormat="1" ht="12.6" customHeight="1" outlineLevel="2" thickBot="1" x14ac:dyDescent="0.35">
      <c r="A39" s="119"/>
      <c r="B39" s="109" t="s">
        <v>1103</v>
      </c>
      <c r="C39" s="328" t="s">
        <v>1112</v>
      </c>
      <c r="D39" s="322"/>
      <c r="E39" s="323" t="s">
        <v>901</v>
      </c>
      <c r="F39" s="303"/>
      <c r="G39" s="304"/>
      <c r="H39" s="304">
        <v>44496</v>
      </c>
      <c r="I39" s="304">
        <v>44616</v>
      </c>
      <c r="J39" s="51"/>
      <c r="K39" s="51"/>
      <c r="L39" s="15"/>
      <c r="M39" s="15"/>
      <c r="N39" s="42"/>
      <c r="O39" s="42"/>
      <c r="P39" s="42"/>
      <c r="Q39" s="42"/>
      <c r="R39" s="42"/>
      <c r="S39" s="42"/>
      <c r="T39" s="42"/>
      <c r="U39" s="42"/>
      <c r="V39" s="42"/>
      <c r="W39" s="42"/>
      <c r="X39" s="42"/>
      <c r="Y39" s="42"/>
      <c r="Z39" s="43"/>
      <c r="AA39" s="43"/>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row>
    <row r="40" spans="1:69" s="2" customFormat="1" ht="12.6" customHeight="1" outlineLevel="2" thickBot="1" x14ac:dyDescent="0.35">
      <c r="A40" s="119"/>
      <c r="B40" s="109" t="s">
        <v>1103</v>
      </c>
      <c r="C40" s="328" t="s">
        <v>1114</v>
      </c>
      <c r="D40" s="322"/>
      <c r="E40" s="323" t="s">
        <v>901</v>
      </c>
      <c r="F40" s="303"/>
      <c r="G40" s="304"/>
      <c r="H40" s="304">
        <v>44496</v>
      </c>
      <c r="I40" s="304">
        <v>44616</v>
      </c>
      <c r="J40" s="51"/>
      <c r="K40" s="51"/>
      <c r="L40" s="15"/>
      <c r="M40" s="15"/>
      <c r="N40" s="42"/>
      <c r="O40" s="42"/>
      <c r="P40" s="42"/>
      <c r="Q40" s="42"/>
      <c r="R40" s="42"/>
      <c r="S40" s="42"/>
      <c r="T40" s="42"/>
      <c r="U40" s="42"/>
      <c r="V40" s="42"/>
      <c r="W40" s="42"/>
      <c r="X40" s="42"/>
      <c r="Y40" s="42"/>
      <c r="Z40" s="43"/>
      <c r="AA40" s="43"/>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row>
    <row r="41" spans="1:69" s="2" customFormat="1" ht="12.6" customHeight="1" outlineLevel="2" thickBot="1" x14ac:dyDescent="0.35">
      <c r="A41" s="119"/>
      <c r="B41" s="109" t="s">
        <v>1103</v>
      </c>
      <c r="C41" s="328" t="s">
        <v>1113</v>
      </c>
      <c r="D41" s="322"/>
      <c r="E41" s="323" t="s">
        <v>901</v>
      </c>
      <c r="F41" s="303"/>
      <c r="G41" s="304"/>
      <c r="H41" s="304">
        <v>44496</v>
      </c>
      <c r="I41" s="304">
        <v>44616</v>
      </c>
      <c r="J41" s="51"/>
      <c r="K41" s="51"/>
      <c r="L41" s="15"/>
      <c r="M41" s="15"/>
      <c r="N41" s="42"/>
      <c r="O41" s="42"/>
      <c r="P41" s="42"/>
      <c r="Q41" s="42"/>
      <c r="R41" s="42"/>
      <c r="S41" s="42"/>
      <c r="T41" s="42"/>
      <c r="U41" s="42"/>
      <c r="V41" s="42"/>
      <c r="W41" s="42"/>
      <c r="X41" s="42"/>
      <c r="Y41" s="42"/>
      <c r="Z41" s="43"/>
      <c r="AA41" s="43"/>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row>
    <row r="42" spans="1:69" s="2" customFormat="1" ht="12.6" customHeight="1" outlineLevel="2" thickBot="1" x14ac:dyDescent="0.35">
      <c r="A42" s="119"/>
      <c r="B42" s="109" t="s">
        <v>1103</v>
      </c>
      <c r="C42" s="328" t="s">
        <v>1115</v>
      </c>
      <c r="D42" s="322"/>
      <c r="E42" s="323" t="s">
        <v>901</v>
      </c>
      <c r="F42" s="303"/>
      <c r="G42" s="304"/>
      <c r="H42" s="304">
        <v>44496</v>
      </c>
      <c r="I42" s="304">
        <v>44616</v>
      </c>
      <c r="J42" s="51"/>
      <c r="K42" s="51"/>
      <c r="L42" s="15"/>
      <c r="M42" s="15"/>
      <c r="N42" s="42"/>
      <c r="O42" s="42"/>
      <c r="P42" s="42"/>
      <c r="Q42" s="42"/>
      <c r="R42" s="42"/>
      <c r="S42" s="42"/>
      <c r="T42" s="42"/>
      <c r="U42" s="42"/>
      <c r="V42" s="42"/>
      <c r="W42" s="42"/>
      <c r="X42" s="42"/>
      <c r="Y42" s="42"/>
      <c r="Z42" s="43"/>
      <c r="AA42" s="43"/>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row>
    <row r="43" spans="1:69" s="2" customFormat="1" ht="12.6" customHeight="1" outlineLevel="2" thickBot="1" x14ac:dyDescent="0.35">
      <c r="A43" s="119"/>
      <c r="B43" s="109" t="s">
        <v>1103</v>
      </c>
      <c r="C43" s="328" t="s">
        <v>1108</v>
      </c>
      <c r="D43" s="322"/>
      <c r="E43" s="323" t="s">
        <v>901</v>
      </c>
      <c r="F43" s="303"/>
      <c r="G43" s="304"/>
      <c r="H43" s="304">
        <v>44496</v>
      </c>
      <c r="I43" s="304">
        <v>44616</v>
      </c>
      <c r="J43" s="51"/>
      <c r="K43" s="51"/>
      <c r="L43" s="15"/>
      <c r="M43" s="15"/>
      <c r="N43" s="42"/>
      <c r="O43" s="42"/>
      <c r="P43" s="42"/>
      <c r="Q43" s="42"/>
      <c r="R43" s="42"/>
      <c r="S43" s="42"/>
      <c r="T43" s="42"/>
      <c r="U43" s="42"/>
      <c r="V43" s="42"/>
      <c r="W43" s="42"/>
      <c r="X43" s="42"/>
      <c r="Y43" s="42"/>
      <c r="Z43" s="43"/>
      <c r="AA43" s="43"/>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row>
    <row r="44" spans="1:69" s="2" customFormat="1" ht="12.6" customHeight="1" outlineLevel="2" thickBot="1" x14ac:dyDescent="0.35">
      <c r="A44" s="119"/>
      <c r="B44" s="109" t="s">
        <v>1103</v>
      </c>
      <c r="C44" s="328" t="s">
        <v>1116</v>
      </c>
      <c r="D44" s="322"/>
      <c r="E44" s="323" t="s">
        <v>909</v>
      </c>
      <c r="F44" s="303">
        <v>1</v>
      </c>
      <c r="G44" s="304"/>
      <c r="H44" s="304"/>
      <c r="I44" s="304">
        <v>44512</v>
      </c>
      <c r="J44" s="51"/>
      <c r="K44" s="51"/>
      <c r="L44" s="15"/>
      <c r="M44" s="15"/>
      <c r="N44" s="42"/>
      <c r="O44" s="42"/>
      <c r="P44" s="42"/>
      <c r="Q44" s="42"/>
      <c r="R44" s="42"/>
      <c r="S44" s="42"/>
      <c r="T44" s="42"/>
      <c r="U44" s="42"/>
      <c r="V44" s="42"/>
      <c r="W44" s="42"/>
      <c r="X44" s="42"/>
      <c r="Y44" s="42"/>
      <c r="Z44" s="43"/>
      <c r="AA44" s="43"/>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row>
    <row r="45" spans="1:69" s="2" customFormat="1" ht="12.6" customHeight="1" outlineLevel="2" thickBot="1" x14ac:dyDescent="0.35">
      <c r="A45" s="119"/>
      <c r="B45" s="109" t="s">
        <v>1103</v>
      </c>
      <c r="C45" s="328" t="s">
        <v>1117</v>
      </c>
      <c r="D45" s="322"/>
      <c r="E45" s="323" t="s">
        <v>909</v>
      </c>
      <c r="F45" s="303">
        <v>1</v>
      </c>
      <c r="G45" s="304"/>
      <c r="H45" s="304"/>
      <c r="I45" s="304">
        <v>44512</v>
      </c>
      <c r="J45" s="51"/>
      <c r="K45" s="51"/>
      <c r="L45" s="15"/>
      <c r="M45" s="15"/>
      <c r="N45" s="42"/>
      <c r="O45" s="42"/>
      <c r="P45" s="42"/>
      <c r="Q45" s="42"/>
      <c r="R45" s="42"/>
      <c r="S45" s="42"/>
      <c r="T45" s="42"/>
      <c r="U45" s="42"/>
      <c r="V45" s="42"/>
      <c r="W45" s="42"/>
      <c r="X45" s="42"/>
      <c r="Y45" s="42"/>
      <c r="Z45" s="43"/>
      <c r="AA45" s="43"/>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row>
    <row r="46" spans="1:69" s="2" customFormat="1" ht="12.6" customHeight="1" outlineLevel="2" thickBot="1" x14ac:dyDescent="0.35">
      <c r="A46" s="119"/>
      <c r="B46" s="109" t="s">
        <v>1103</v>
      </c>
      <c r="C46" s="328" t="s">
        <v>1119</v>
      </c>
      <c r="D46" s="322"/>
      <c r="E46" s="323" t="s">
        <v>901</v>
      </c>
      <c r="F46" s="303"/>
      <c r="G46" s="304"/>
      <c r="H46" s="304">
        <v>44496</v>
      </c>
      <c r="I46" s="304">
        <v>44512</v>
      </c>
      <c r="J46" s="51"/>
      <c r="K46" s="51"/>
      <c r="L46" s="15"/>
      <c r="M46" s="15"/>
      <c r="N46" s="42"/>
      <c r="O46" s="42"/>
      <c r="P46" s="42"/>
      <c r="Q46" s="42"/>
      <c r="R46" s="42"/>
      <c r="S46" s="42"/>
      <c r="T46" s="42"/>
      <c r="U46" s="42"/>
      <c r="V46" s="42"/>
      <c r="W46" s="42"/>
      <c r="X46" s="42"/>
      <c r="Y46" s="42"/>
      <c r="Z46" s="43"/>
      <c r="AA46" s="43"/>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row>
    <row r="47" spans="1:69" s="2" customFormat="1" ht="12.6" customHeight="1" outlineLevel="2" thickBot="1" x14ac:dyDescent="0.35">
      <c r="A47" s="119"/>
      <c r="B47" s="109" t="s">
        <v>1103</v>
      </c>
      <c r="C47" s="328" t="s">
        <v>1118</v>
      </c>
      <c r="D47" s="322"/>
      <c r="E47" s="323" t="s">
        <v>909</v>
      </c>
      <c r="F47" s="303">
        <v>1</v>
      </c>
      <c r="G47" s="304"/>
      <c r="H47" s="304"/>
      <c r="I47" s="304">
        <v>44512</v>
      </c>
      <c r="J47" s="51"/>
      <c r="K47" s="51"/>
      <c r="L47" s="15"/>
      <c r="M47" s="15"/>
      <c r="N47" s="42"/>
      <c r="O47" s="42"/>
      <c r="P47" s="42"/>
      <c r="Q47" s="42"/>
      <c r="R47" s="42"/>
      <c r="S47" s="42"/>
      <c r="T47" s="42"/>
      <c r="U47" s="42"/>
      <c r="V47" s="42"/>
      <c r="W47" s="42"/>
      <c r="X47" s="42"/>
      <c r="Y47" s="42"/>
      <c r="Z47" s="43"/>
      <c r="AA47" s="43"/>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row>
    <row r="48" spans="1:69" s="2" customFormat="1" ht="12.6" customHeight="1" outlineLevel="2" thickBot="1" x14ac:dyDescent="0.35">
      <c r="A48" s="119"/>
      <c r="B48" s="109" t="s">
        <v>1103</v>
      </c>
      <c r="C48" s="328" t="s">
        <v>1120</v>
      </c>
      <c r="D48" s="322"/>
      <c r="E48" s="323" t="s">
        <v>909</v>
      </c>
      <c r="F48" s="303">
        <v>1</v>
      </c>
      <c r="G48" s="304"/>
      <c r="H48" s="304"/>
      <c r="I48" s="304">
        <v>44512</v>
      </c>
      <c r="J48" s="51"/>
      <c r="K48" s="51"/>
      <c r="L48" s="15"/>
      <c r="M48" s="15"/>
      <c r="N48" s="42"/>
      <c r="O48" s="42"/>
      <c r="P48" s="42"/>
      <c r="Q48" s="42"/>
      <c r="R48" s="42"/>
      <c r="S48" s="42"/>
      <c r="T48" s="42"/>
      <c r="U48" s="42"/>
      <c r="V48" s="42"/>
      <c r="W48" s="42"/>
      <c r="X48" s="42"/>
      <c r="Y48" s="42"/>
      <c r="Z48" s="43"/>
      <c r="AA48" s="43"/>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row>
    <row r="49" spans="1:69" s="2" customFormat="1" ht="12.6" customHeight="1" outlineLevel="2" thickBot="1" x14ac:dyDescent="0.35">
      <c r="A49" s="119"/>
      <c r="B49" s="109" t="s">
        <v>1103</v>
      </c>
      <c r="C49" s="328" t="s">
        <v>1174</v>
      </c>
      <c r="D49" s="322"/>
      <c r="E49" s="323" t="s">
        <v>901</v>
      </c>
      <c r="F49" s="303"/>
      <c r="G49" s="304"/>
      <c r="H49" s="304"/>
      <c r="I49" s="304"/>
      <c r="J49" s="51"/>
      <c r="K49" s="51"/>
      <c r="L49" s="15"/>
      <c r="M49" s="15"/>
      <c r="N49" s="42"/>
      <c r="O49" s="42"/>
      <c r="P49" s="42"/>
      <c r="Q49" s="42"/>
      <c r="R49" s="42"/>
      <c r="S49" s="42"/>
      <c r="T49" s="42"/>
      <c r="U49" s="42"/>
      <c r="V49" s="42"/>
      <c r="W49" s="42"/>
      <c r="X49" s="42"/>
      <c r="Y49" s="42"/>
      <c r="Z49" s="43"/>
      <c r="AA49" s="43"/>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row>
    <row r="50" spans="1:69" s="2" customFormat="1" ht="12.6" customHeight="1" outlineLevel="2" thickBot="1" x14ac:dyDescent="0.35">
      <c r="A50" s="119"/>
      <c r="B50" s="109" t="s">
        <v>1103</v>
      </c>
      <c r="C50" s="328" t="s">
        <v>1175</v>
      </c>
      <c r="D50" s="322"/>
      <c r="E50" s="323" t="s">
        <v>901</v>
      </c>
      <c r="F50" s="303"/>
      <c r="G50" s="304"/>
      <c r="H50" s="304"/>
      <c r="I50" s="304"/>
      <c r="J50" s="51"/>
      <c r="K50" s="51"/>
      <c r="L50" s="15"/>
      <c r="M50" s="15"/>
      <c r="N50" s="42"/>
      <c r="O50" s="42"/>
      <c r="P50" s="42"/>
      <c r="Q50" s="42"/>
      <c r="R50" s="42"/>
      <c r="S50" s="42"/>
      <c r="T50" s="42"/>
      <c r="U50" s="42"/>
      <c r="V50" s="42"/>
      <c r="W50" s="42"/>
      <c r="X50" s="42"/>
      <c r="Y50" s="42"/>
      <c r="Z50" s="43"/>
      <c r="AA50" s="43"/>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row>
    <row r="51" spans="1:69" s="2" customFormat="1" ht="12.6" customHeight="1" outlineLevel="2" thickBot="1" x14ac:dyDescent="0.35">
      <c r="A51" s="119"/>
      <c r="B51" s="109" t="s">
        <v>1103</v>
      </c>
      <c r="C51" s="328" t="s">
        <v>1148</v>
      </c>
      <c r="D51" s="322"/>
      <c r="E51" s="323" t="s">
        <v>1149</v>
      </c>
      <c r="F51" s="303">
        <v>1</v>
      </c>
      <c r="G51" s="304"/>
      <c r="H51" s="304"/>
      <c r="I51" s="304">
        <v>44512</v>
      </c>
      <c r="J51" s="51"/>
      <c r="K51" s="51"/>
      <c r="L51" s="15"/>
      <c r="M51" s="15"/>
      <c r="N51" s="42"/>
      <c r="O51" s="42"/>
      <c r="P51" s="42"/>
      <c r="Q51" s="42"/>
      <c r="R51" s="42"/>
      <c r="S51" s="42"/>
      <c r="T51" s="42"/>
      <c r="U51" s="42"/>
      <c r="V51" s="42"/>
      <c r="W51" s="42"/>
      <c r="X51" s="42"/>
      <c r="Y51" s="42"/>
      <c r="Z51" s="43"/>
      <c r="AA51" s="43"/>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row>
    <row r="52" spans="1:69" s="2" customFormat="1" ht="12.6" customHeight="1" outlineLevel="2" thickBot="1" x14ac:dyDescent="0.35">
      <c r="A52" s="119"/>
      <c r="B52" s="109" t="s">
        <v>1103</v>
      </c>
      <c r="C52" s="328" t="s">
        <v>1158</v>
      </c>
      <c r="D52" s="322"/>
      <c r="E52" s="323" t="s">
        <v>1149</v>
      </c>
      <c r="F52" s="303">
        <v>1</v>
      </c>
      <c r="G52" s="304"/>
      <c r="H52" s="304"/>
      <c r="I52" s="304">
        <v>44512</v>
      </c>
      <c r="J52" s="51"/>
      <c r="K52" s="51"/>
      <c r="L52" s="15"/>
      <c r="M52" s="15"/>
      <c r="N52" s="42"/>
      <c r="O52" s="42"/>
      <c r="P52" s="42"/>
      <c r="Q52" s="42"/>
      <c r="R52" s="42"/>
      <c r="S52" s="42"/>
      <c r="T52" s="42"/>
      <c r="U52" s="42"/>
      <c r="V52" s="42"/>
      <c r="W52" s="42"/>
      <c r="X52" s="42"/>
      <c r="Y52" s="42"/>
      <c r="Z52" s="43"/>
      <c r="AA52" s="43"/>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row>
    <row r="53" spans="1:69" s="2" customFormat="1" ht="12.6" customHeight="1" outlineLevel="2" thickBot="1" x14ac:dyDescent="0.35">
      <c r="A53" s="119"/>
      <c r="B53" s="109" t="s">
        <v>1103</v>
      </c>
      <c r="C53" s="328" t="s">
        <v>1157</v>
      </c>
      <c r="D53" s="322"/>
      <c r="E53" s="323" t="s">
        <v>1147</v>
      </c>
      <c r="F53" s="303"/>
      <c r="G53" s="304"/>
      <c r="H53" s="304"/>
      <c r="I53" s="304">
        <v>44512</v>
      </c>
      <c r="J53" s="51"/>
      <c r="K53" s="51"/>
      <c r="L53" s="15"/>
      <c r="M53" s="15"/>
      <c r="N53" s="42"/>
      <c r="O53" s="42"/>
      <c r="P53" s="42"/>
      <c r="Q53" s="42"/>
      <c r="R53" s="42"/>
      <c r="S53" s="42"/>
      <c r="T53" s="42"/>
      <c r="U53" s="42"/>
      <c r="V53" s="42"/>
      <c r="W53" s="42"/>
      <c r="X53" s="42"/>
      <c r="Y53" s="42"/>
      <c r="Z53" s="43"/>
      <c r="AA53" s="43"/>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row>
    <row r="54" spans="1:69" s="2" customFormat="1" ht="12.6" customHeight="1" outlineLevel="2" thickBot="1" x14ac:dyDescent="0.35">
      <c r="A54" s="119"/>
      <c r="B54" s="109" t="s">
        <v>1103</v>
      </c>
      <c r="C54" s="328" t="s">
        <v>1121</v>
      </c>
      <c r="D54" s="322"/>
      <c r="E54" s="323" t="s">
        <v>1147</v>
      </c>
      <c r="F54" s="303"/>
      <c r="G54" s="304"/>
      <c r="H54" s="304"/>
      <c r="I54" s="304">
        <v>44512</v>
      </c>
      <c r="J54" s="51"/>
      <c r="K54" s="51"/>
      <c r="L54" s="15"/>
      <c r="M54" s="15"/>
      <c r="N54" s="42"/>
      <c r="O54" s="42"/>
      <c r="P54" s="42"/>
      <c r="Q54" s="42"/>
      <c r="R54" s="42"/>
      <c r="S54" s="42"/>
      <c r="T54" s="42"/>
      <c r="U54" s="42"/>
      <c r="V54" s="42"/>
      <c r="W54" s="42"/>
      <c r="X54" s="42"/>
      <c r="Y54" s="42"/>
      <c r="Z54" s="43"/>
      <c r="AA54" s="43"/>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row>
    <row r="55" spans="1:69" s="2" customFormat="1" ht="12.6" customHeight="1" outlineLevel="2" thickBot="1" x14ac:dyDescent="0.35">
      <c r="A55" s="119"/>
      <c r="B55" s="109" t="s">
        <v>1103</v>
      </c>
      <c r="C55" s="328" t="s">
        <v>1124</v>
      </c>
      <c r="D55" s="322"/>
      <c r="E55" s="323" t="s">
        <v>1147</v>
      </c>
      <c r="F55" s="303"/>
      <c r="G55" s="304"/>
      <c r="H55" s="304"/>
      <c r="I55" s="304">
        <v>44512</v>
      </c>
      <c r="J55" s="51"/>
      <c r="K55" s="51"/>
      <c r="L55" s="15"/>
      <c r="M55" s="15"/>
      <c r="N55" s="42"/>
      <c r="O55" s="42"/>
      <c r="P55" s="42"/>
      <c r="Q55" s="42"/>
      <c r="R55" s="42"/>
      <c r="S55" s="42"/>
      <c r="T55" s="42"/>
      <c r="U55" s="42"/>
      <c r="V55" s="42"/>
      <c r="W55" s="42"/>
      <c r="X55" s="42"/>
      <c r="Y55" s="42"/>
      <c r="Z55" s="43"/>
      <c r="AA55" s="43"/>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row>
    <row r="56" spans="1:69" s="2" customFormat="1" ht="12.6" customHeight="1" outlineLevel="2" thickBot="1" x14ac:dyDescent="0.35">
      <c r="A56" s="119"/>
      <c r="B56" s="109" t="s">
        <v>1103</v>
      </c>
      <c r="C56" s="328" t="s">
        <v>1125</v>
      </c>
      <c r="D56" s="322"/>
      <c r="E56" s="323" t="s">
        <v>902</v>
      </c>
      <c r="F56" s="303"/>
      <c r="G56" s="304"/>
      <c r="H56" s="304"/>
      <c r="I56" s="304">
        <v>44512</v>
      </c>
      <c r="J56" s="51"/>
      <c r="K56" s="51"/>
      <c r="L56" s="15"/>
      <c r="M56" s="15"/>
      <c r="N56" s="42"/>
      <c r="O56" s="42"/>
      <c r="P56" s="42"/>
      <c r="Q56" s="42"/>
      <c r="R56" s="42"/>
      <c r="S56" s="42"/>
      <c r="T56" s="42"/>
      <c r="U56" s="42"/>
      <c r="V56" s="42"/>
      <c r="W56" s="42"/>
      <c r="X56" s="42"/>
      <c r="Y56" s="42"/>
      <c r="Z56" s="43"/>
      <c r="AA56" s="43"/>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2"/>
      <c r="BK56" s="42"/>
      <c r="BL56" s="42"/>
      <c r="BM56" s="42"/>
      <c r="BN56" s="42"/>
      <c r="BO56" s="42"/>
      <c r="BP56" s="42"/>
      <c r="BQ56" s="42"/>
    </row>
    <row r="57" spans="1:69" s="2" customFormat="1" ht="12.6" customHeight="1" outlineLevel="2" thickBot="1" x14ac:dyDescent="0.35">
      <c r="A57" s="119"/>
      <c r="B57" s="109" t="s">
        <v>1103</v>
      </c>
      <c r="C57" s="328" t="s">
        <v>1069</v>
      </c>
      <c r="D57" s="322"/>
      <c r="E57" s="323" t="s">
        <v>901</v>
      </c>
      <c r="F57" s="303"/>
      <c r="G57" s="304"/>
      <c r="H57" s="304"/>
      <c r="I57" s="304">
        <v>44646</v>
      </c>
      <c r="J57" s="51"/>
      <c r="K57" s="51"/>
      <c r="L57" s="15"/>
      <c r="M57" s="15"/>
      <c r="N57" s="42"/>
      <c r="O57" s="42"/>
      <c r="P57" s="42"/>
      <c r="Q57" s="42"/>
      <c r="R57" s="42"/>
      <c r="S57" s="42"/>
      <c r="T57" s="42"/>
      <c r="U57" s="42"/>
      <c r="V57" s="42"/>
      <c r="W57" s="42"/>
      <c r="X57" s="42"/>
      <c r="Y57" s="42"/>
      <c r="Z57" s="43"/>
      <c r="AA57" s="43"/>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c r="BD57" s="42"/>
      <c r="BE57" s="42"/>
      <c r="BF57" s="42"/>
      <c r="BG57" s="42"/>
      <c r="BH57" s="42"/>
      <c r="BI57" s="42"/>
      <c r="BJ57" s="42"/>
      <c r="BK57" s="42"/>
      <c r="BL57" s="42"/>
      <c r="BM57" s="42"/>
      <c r="BN57" s="42"/>
      <c r="BO57" s="42"/>
      <c r="BP57" s="42"/>
      <c r="BQ57" s="42"/>
    </row>
    <row r="58" spans="1:69" s="2" customFormat="1" ht="12.6" customHeight="1" outlineLevel="2" thickBot="1" x14ac:dyDescent="0.35">
      <c r="A58" s="119"/>
      <c r="B58" s="109" t="s">
        <v>1103</v>
      </c>
      <c r="C58" s="328" t="s">
        <v>1070</v>
      </c>
      <c r="D58" s="322"/>
      <c r="E58" s="323" t="s">
        <v>1071</v>
      </c>
      <c r="F58" s="303"/>
      <c r="G58" s="304"/>
      <c r="H58" s="304"/>
      <c r="I58" s="304">
        <v>44646</v>
      </c>
      <c r="J58" s="51"/>
      <c r="K58" s="51"/>
      <c r="L58" s="15"/>
      <c r="M58" s="15"/>
      <c r="N58" s="42"/>
      <c r="O58" s="42"/>
      <c r="P58" s="42"/>
      <c r="Q58" s="42"/>
      <c r="R58" s="42"/>
      <c r="S58" s="42"/>
      <c r="T58" s="42"/>
      <c r="U58" s="42"/>
      <c r="V58" s="42"/>
      <c r="W58" s="42"/>
      <c r="X58" s="42"/>
      <c r="Y58" s="42"/>
      <c r="Z58" s="43"/>
      <c r="AA58" s="43"/>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row>
    <row r="59" spans="1:69" s="2" customFormat="1" ht="12.6" customHeight="1" outlineLevel="1" thickBot="1" x14ac:dyDescent="0.35">
      <c r="A59" s="219"/>
      <c r="B59" s="320"/>
      <c r="C59" s="329" t="s">
        <v>364</v>
      </c>
      <c r="D59" s="306"/>
      <c r="E59" s="307"/>
      <c r="F59" s="308">
        <f>AVERAGE(F61:F62)</f>
        <v>0</v>
      </c>
      <c r="G59" s="304"/>
      <c r="H59" s="304"/>
      <c r="I59" s="304"/>
      <c r="J59" s="24"/>
      <c r="K59" s="24"/>
      <c r="L59" s="15"/>
      <c r="M59" s="15"/>
      <c r="N59" s="42"/>
      <c r="O59" s="42"/>
      <c r="P59" s="42"/>
      <c r="Q59" s="42"/>
      <c r="R59" s="42"/>
      <c r="S59" s="42"/>
      <c r="T59" s="42"/>
      <c r="U59" s="42"/>
      <c r="V59" s="42"/>
      <c r="W59" s="42"/>
      <c r="X59" s="42"/>
      <c r="Y59" s="42"/>
      <c r="Z59" s="43"/>
      <c r="AA59" s="43"/>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c r="BP59" s="42"/>
      <c r="BQ59" s="42"/>
    </row>
    <row r="60" spans="1:69" s="2" customFormat="1" ht="12.6" customHeight="1" outlineLevel="1" thickBot="1" x14ac:dyDescent="0.35">
      <c r="A60" s="219"/>
      <c r="B60" s="119" t="s">
        <v>1102</v>
      </c>
      <c r="C60" s="327" t="s">
        <v>937</v>
      </c>
      <c r="D60" s="306"/>
      <c r="E60" s="302" t="s">
        <v>902</v>
      </c>
      <c r="F60" s="308"/>
      <c r="G60" s="304"/>
      <c r="H60" s="304"/>
      <c r="I60" s="304"/>
      <c r="J60" s="24"/>
      <c r="K60" s="24"/>
      <c r="L60" s="15"/>
      <c r="M60" s="15"/>
      <c r="N60" s="42"/>
      <c r="O60" s="42"/>
      <c r="P60" s="42"/>
      <c r="Q60" s="42"/>
      <c r="R60" s="42"/>
      <c r="S60" s="42"/>
      <c r="T60" s="42"/>
      <c r="U60" s="42"/>
      <c r="V60" s="42"/>
      <c r="W60" s="42"/>
      <c r="X60" s="42"/>
      <c r="Y60" s="42"/>
      <c r="Z60" s="43"/>
      <c r="AA60" s="43"/>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2"/>
      <c r="BK60" s="42"/>
      <c r="BL60" s="42"/>
      <c r="BM60" s="42"/>
      <c r="BN60" s="42"/>
      <c r="BO60" s="42"/>
      <c r="BP60" s="42"/>
      <c r="BQ60" s="42"/>
    </row>
    <row r="61" spans="1:69" s="2" customFormat="1" ht="12.6" customHeight="1" outlineLevel="2" thickBot="1" x14ac:dyDescent="0.35">
      <c r="A61" s="119"/>
      <c r="B61" s="119" t="s">
        <v>1102</v>
      </c>
      <c r="C61" s="327" t="s">
        <v>899</v>
      </c>
      <c r="D61" s="301"/>
      <c r="E61" s="302"/>
      <c r="F61" s="303">
        <v>0</v>
      </c>
      <c r="G61" s="304"/>
      <c r="H61" s="304"/>
      <c r="I61" s="304"/>
      <c r="J61" s="52"/>
      <c r="K61" s="52"/>
      <c r="L61" s="15"/>
      <c r="M61" s="15"/>
      <c r="N61" s="42"/>
      <c r="O61" s="42"/>
      <c r="P61" s="42"/>
      <c r="Q61" s="42"/>
      <c r="R61" s="42"/>
      <c r="S61" s="42"/>
      <c r="T61" s="42"/>
      <c r="U61" s="42"/>
      <c r="V61" s="42"/>
      <c r="W61" s="42"/>
      <c r="X61" s="42"/>
      <c r="Y61" s="42"/>
      <c r="Z61" s="43"/>
      <c r="AA61" s="43"/>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42"/>
      <c r="BL61" s="42"/>
      <c r="BM61" s="42"/>
      <c r="BN61" s="42"/>
      <c r="BO61" s="42"/>
      <c r="BP61" s="42"/>
      <c r="BQ61" s="42"/>
    </row>
    <row r="62" spans="1:69" s="2" customFormat="1" ht="12.6" customHeight="1" outlineLevel="2" thickBot="1" x14ac:dyDescent="0.35">
      <c r="A62" s="119"/>
      <c r="B62" s="119" t="s">
        <v>1102</v>
      </c>
      <c r="C62" s="327" t="s">
        <v>898</v>
      </c>
      <c r="D62" s="305"/>
      <c r="E62" s="302"/>
      <c r="F62" s="303">
        <v>0</v>
      </c>
      <c r="G62" s="304"/>
      <c r="H62" s="304"/>
      <c r="I62" s="304"/>
      <c r="J62" s="52"/>
      <c r="K62" s="52"/>
      <c r="L62" s="15"/>
      <c r="M62" s="15"/>
      <c r="N62" s="42"/>
      <c r="O62" s="42"/>
      <c r="P62" s="42"/>
      <c r="Q62" s="42"/>
      <c r="R62" s="42"/>
      <c r="S62" s="42"/>
      <c r="T62" s="42"/>
      <c r="U62" s="42"/>
      <c r="V62" s="42"/>
      <c r="W62" s="42"/>
      <c r="X62" s="42"/>
      <c r="Y62" s="42"/>
      <c r="Z62" s="43"/>
      <c r="AA62" s="43"/>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row>
    <row r="63" spans="1:69" s="2" customFormat="1" ht="12.6" customHeight="1" thickBot="1" x14ac:dyDescent="0.35">
      <c r="A63" s="127"/>
      <c r="B63" s="321"/>
      <c r="C63" s="330"/>
      <c r="D63" s="309"/>
      <c r="E63" s="310"/>
      <c r="F63" s="311"/>
      <c r="G63" s="300"/>
      <c r="H63" s="300"/>
      <c r="I63" s="300"/>
      <c r="J63" s="131"/>
      <c r="K63" s="131"/>
      <c r="L63" s="15"/>
      <c r="M63" s="15"/>
      <c r="N63" s="42"/>
      <c r="O63" s="42"/>
      <c r="P63" s="42"/>
      <c r="Q63" s="42"/>
      <c r="R63" s="42"/>
      <c r="S63" s="42"/>
      <c r="T63" s="42"/>
      <c r="U63" s="42"/>
      <c r="V63" s="42"/>
      <c r="W63" s="42"/>
      <c r="X63" s="42"/>
      <c r="Y63" s="42"/>
      <c r="Z63" s="43"/>
      <c r="AA63" s="43"/>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row>
    <row r="64" spans="1:69" s="2" customFormat="1" ht="15" outlineLevel="1" thickBot="1" x14ac:dyDescent="0.35">
      <c r="A64" s="331"/>
      <c r="B64" s="331"/>
      <c r="C64" s="332" t="s">
        <v>1126</v>
      </c>
      <c r="D64" s="333"/>
      <c r="E64" s="334"/>
      <c r="F64" s="335"/>
      <c r="G64" s="299"/>
      <c r="H64" s="299"/>
      <c r="I64" s="299"/>
      <c r="J64" s="136"/>
      <c r="K64" s="136"/>
      <c r="L64" s="15"/>
      <c r="M64" s="15"/>
      <c r="N64" s="42"/>
      <c r="O64" s="42"/>
      <c r="P64" s="42"/>
      <c r="Q64" s="42"/>
      <c r="R64" s="42"/>
      <c r="S64" s="42"/>
      <c r="T64" s="42"/>
      <c r="U64" s="42"/>
      <c r="V64" s="42"/>
      <c r="W64" s="42"/>
      <c r="X64" s="42"/>
      <c r="Y64" s="42"/>
      <c r="Z64" s="43"/>
      <c r="AA64" s="43"/>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row>
    <row r="65" spans="1:69" s="2" customFormat="1" ht="29.4" outlineLevel="1" thickBot="1" x14ac:dyDescent="0.35">
      <c r="A65" s="336"/>
      <c r="B65" s="337" t="s">
        <v>1103</v>
      </c>
      <c r="C65" s="337" t="s">
        <v>1049</v>
      </c>
      <c r="D65" s="338"/>
      <c r="E65" s="337" t="s">
        <v>901</v>
      </c>
      <c r="F65" s="304"/>
      <c r="G65" s="304"/>
      <c r="H65" s="304">
        <v>44646</v>
      </c>
      <c r="I65" s="304">
        <v>44646</v>
      </c>
      <c r="J65" s="136"/>
      <c r="K65" s="136"/>
      <c r="L65" s="15"/>
      <c r="M65" s="15"/>
      <c r="N65" s="42"/>
      <c r="O65" s="42"/>
      <c r="P65" s="42"/>
      <c r="Q65" s="42"/>
      <c r="R65" s="42"/>
      <c r="S65" s="42"/>
      <c r="T65" s="42"/>
      <c r="U65" s="42"/>
      <c r="V65" s="42"/>
      <c r="W65" s="42"/>
      <c r="X65" s="42"/>
      <c r="Y65" s="42"/>
      <c r="Z65" s="43"/>
      <c r="AA65" s="43"/>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row>
    <row r="66" spans="1:69" s="2" customFormat="1" ht="12.6" customHeight="1" outlineLevel="2" thickBot="1" x14ac:dyDescent="0.35">
      <c r="A66" s="336"/>
      <c r="B66" s="337" t="s">
        <v>1103</v>
      </c>
      <c r="C66" s="337" t="s">
        <v>1050</v>
      </c>
      <c r="D66" s="338"/>
      <c r="E66" s="337" t="s">
        <v>901</v>
      </c>
      <c r="F66" s="304"/>
      <c r="G66" s="304"/>
      <c r="H66" s="304">
        <v>44646</v>
      </c>
      <c r="I66" s="304">
        <v>44646</v>
      </c>
      <c r="J66" s="136"/>
      <c r="K66" s="136"/>
      <c r="L66" s="15"/>
      <c r="M66" s="15"/>
      <c r="N66" s="42"/>
      <c r="O66" s="42"/>
      <c r="P66" s="42"/>
      <c r="Q66" s="42"/>
      <c r="R66" s="42"/>
      <c r="S66" s="42"/>
      <c r="T66" s="42"/>
      <c r="U66" s="42"/>
      <c r="V66" s="42"/>
      <c r="W66" s="42"/>
      <c r="X66" s="42"/>
      <c r="Y66" s="42"/>
      <c r="Z66" s="43"/>
      <c r="AA66" s="43"/>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row>
    <row r="67" spans="1:69" s="2" customFormat="1" ht="12.6" customHeight="1" outlineLevel="2" thickBot="1" x14ac:dyDescent="0.35">
      <c r="A67" s="336"/>
      <c r="B67" s="337" t="s">
        <v>1103</v>
      </c>
      <c r="C67" s="337" t="s">
        <v>1051</v>
      </c>
      <c r="D67" s="338"/>
      <c r="E67" s="337" t="s">
        <v>901</v>
      </c>
      <c r="F67" s="304"/>
      <c r="G67" s="304"/>
      <c r="H67" s="304">
        <v>44646</v>
      </c>
      <c r="I67" s="304">
        <v>44646</v>
      </c>
      <c r="J67" s="136"/>
      <c r="K67" s="136"/>
      <c r="L67" s="15"/>
      <c r="M67" s="15"/>
      <c r="N67" s="42"/>
      <c r="O67" s="42"/>
      <c r="P67" s="42"/>
      <c r="Q67" s="42"/>
      <c r="R67" s="42"/>
      <c r="S67" s="42"/>
      <c r="T67" s="42"/>
      <c r="U67" s="42"/>
      <c r="V67" s="42"/>
      <c r="W67" s="42"/>
      <c r="X67" s="42"/>
      <c r="Y67" s="42"/>
      <c r="Z67" s="43"/>
      <c r="AA67" s="43"/>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42"/>
    </row>
    <row r="68" spans="1:69" s="2" customFormat="1" ht="12.6" customHeight="1" outlineLevel="2" thickBot="1" x14ac:dyDescent="0.35">
      <c r="A68" s="336"/>
      <c r="B68" s="337" t="s">
        <v>1103</v>
      </c>
      <c r="C68" s="337" t="s">
        <v>1052</v>
      </c>
      <c r="D68" s="338"/>
      <c r="E68" s="337" t="s">
        <v>901</v>
      </c>
      <c r="F68" s="304"/>
      <c r="G68" s="304"/>
      <c r="H68" s="304">
        <v>44646</v>
      </c>
      <c r="I68" s="304">
        <v>44646</v>
      </c>
      <c r="J68" s="136"/>
      <c r="K68" s="136"/>
      <c r="L68" s="15"/>
      <c r="M68" s="15"/>
      <c r="N68" s="42"/>
      <c r="O68" s="42"/>
      <c r="P68" s="42"/>
      <c r="Q68" s="42"/>
      <c r="R68" s="42"/>
      <c r="S68" s="42"/>
      <c r="T68" s="42"/>
      <c r="U68" s="42"/>
      <c r="V68" s="42"/>
      <c r="W68" s="42"/>
      <c r="X68" s="42"/>
      <c r="Y68" s="42"/>
      <c r="Z68" s="43"/>
      <c r="AA68" s="43"/>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row>
    <row r="69" spans="1:69" s="2" customFormat="1" ht="43.8" outlineLevel="2" thickBot="1" x14ac:dyDescent="0.35">
      <c r="A69" s="336"/>
      <c r="B69" s="337" t="s">
        <v>1103</v>
      </c>
      <c r="C69" s="337" t="s">
        <v>881</v>
      </c>
      <c r="D69" s="338"/>
      <c r="E69" s="337" t="s">
        <v>901</v>
      </c>
      <c r="F69" s="304"/>
      <c r="G69" s="304"/>
      <c r="H69" s="304">
        <v>44646</v>
      </c>
      <c r="I69" s="304">
        <v>44646</v>
      </c>
      <c r="J69" s="136"/>
      <c r="K69" s="136"/>
      <c r="L69" s="15"/>
      <c r="M69" s="15"/>
      <c r="N69" s="42"/>
      <c r="O69" s="42"/>
      <c r="P69" s="42"/>
      <c r="Q69" s="42"/>
      <c r="R69" s="42"/>
      <c r="S69" s="42"/>
      <c r="T69" s="42"/>
      <c r="U69" s="42"/>
      <c r="V69" s="42"/>
      <c r="W69" s="42"/>
      <c r="X69" s="42"/>
      <c r="Y69" s="42"/>
      <c r="Z69" s="43"/>
      <c r="AA69" s="43"/>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row>
    <row r="70" spans="1:69" s="2" customFormat="1" ht="29.4" outlineLevel="2" thickBot="1" x14ac:dyDescent="0.35">
      <c r="A70" s="336"/>
      <c r="B70" s="337" t="s">
        <v>1103</v>
      </c>
      <c r="C70" s="337" t="s">
        <v>1079</v>
      </c>
      <c r="D70" s="338"/>
      <c r="E70" s="337" t="s">
        <v>901</v>
      </c>
      <c r="F70" s="304"/>
      <c r="G70" s="304"/>
      <c r="H70" s="304">
        <v>44646</v>
      </c>
      <c r="I70" s="304">
        <v>44646</v>
      </c>
      <c r="J70" s="136"/>
      <c r="K70" s="136"/>
      <c r="L70" s="15"/>
      <c r="M70" s="15"/>
      <c r="N70" s="42"/>
      <c r="O70" s="42"/>
      <c r="P70" s="42"/>
      <c r="Q70" s="42"/>
      <c r="R70" s="42"/>
      <c r="S70" s="42"/>
      <c r="T70" s="42"/>
      <c r="U70" s="42"/>
      <c r="V70" s="42"/>
      <c r="W70" s="42"/>
      <c r="X70" s="42"/>
      <c r="Y70" s="42"/>
      <c r="Z70" s="43"/>
      <c r="AA70" s="43"/>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row>
    <row r="71" spans="1:69" s="2" customFormat="1" ht="29.4" outlineLevel="2" thickBot="1" x14ac:dyDescent="0.35">
      <c r="A71" s="365"/>
      <c r="B71" s="366" t="s">
        <v>1102</v>
      </c>
      <c r="C71" s="366" t="s">
        <v>882</v>
      </c>
      <c r="D71" s="367"/>
      <c r="E71" s="368"/>
      <c r="F71" s="368"/>
      <c r="G71" s="368"/>
      <c r="H71" s="368"/>
      <c r="I71" s="368"/>
      <c r="J71" s="136"/>
      <c r="K71" s="136"/>
      <c r="L71" s="15"/>
      <c r="M71" s="15"/>
      <c r="N71" s="42"/>
      <c r="O71" s="42"/>
      <c r="P71" s="42"/>
      <c r="Q71" s="42"/>
      <c r="R71" s="42"/>
      <c r="S71" s="42"/>
      <c r="T71" s="42"/>
      <c r="U71" s="42"/>
      <c r="V71" s="42"/>
      <c r="W71" s="42"/>
      <c r="X71" s="42"/>
      <c r="Y71" s="42"/>
      <c r="Z71" s="43"/>
      <c r="AA71" s="43"/>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row>
    <row r="72" spans="1:69" s="2" customFormat="1" ht="15" outlineLevel="2" thickBot="1" x14ac:dyDescent="0.35">
      <c r="A72" s="336"/>
      <c r="B72" s="337" t="s">
        <v>1103</v>
      </c>
      <c r="C72" s="337" t="s">
        <v>883</v>
      </c>
      <c r="D72" s="338"/>
      <c r="E72" s="337" t="s">
        <v>901</v>
      </c>
      <c r="F72" s="304"/>
      <c r="G72" s="304"/>
      <c r="H72" s="304">
        <v>44646</v>
      </c>
      <c r="I72" s="304">
        <v>44646</v>
      </c>
      <c r="J72" s="136"/>
      <c r="K72" s="136"/>
      <c r="L72" s="15"/>
      <c r="M72" s="15"/>
      <c r="N72" s="42"/>
      <c r="O72" s="42"/>
      <c r="P72" s="42"/>
      <c r="Q72" s="42"/>
      <c r="R72" s="42"/>
      <c r="S72" s="42"/>
      <c r="T72" s="42"/>
      <c r="U72" s="42"/>
      <c r="V72" s="42"/>
      <c r="W72" s="42"/>
      <c r="X72" s="42"/>
      <c r="Y72" s="42"/>
      <c r="Z72" s="43"/>
      <c r="AA72" s="43"/>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row>
    <row r="73" spans="1:69" s="2" customFormat="1" ht="29.4" outlineLevel="2" thickBot="1" x14ac:dyDescent="0.35">
      <c r="A73" s="336"/>
      <c r="B73" s="337" t="s">
        <v>1103</v>
      </c>
      <c r="C73" s="337" t="s">
        <v>1053</v>
      </c>
      <c r="D73" s="338"/>
      <c r="E73" s="337" t="s">
        <v>901</v>
      </c>
      <c r="F73" s="304"/>
      <c r="G73" s="304"/>
      <c r="H73" s="304">
        <v>44646</v>
      </c>
      <c r="I73" s="304">
        <v>44646</v>
      </c>
      <c r="J73" s="136"/>
      <c r="K73" s="136"/>
      <c r="L73" s="15"/>
      <c r="M73" s="15"/>
      <c r="N73" s="42"/>
      <c r="O73" s="42"/>
      <c r="P73" s="42"/>
      <c r="Q73" s="42"/>
      <c r="R73" s="42"/>
      <c r="S73" s="42"/>
      <c r="T73" s="42"/>
      <c r="U73" s="42"/>
      <c r="V73" s="42"/>
      <c r="W73" s="42"/>
      <c r="X73" s="42"/>
      <c r="Y73" s="42"/>
      <c r="Z73" s="43"/>
      <c r="AA73" s="43"/>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row>
    <row r="74" spans="1:69" s="2" customFormat="1" ht="29.4" outlineLevel="2" thickBot="1" x14ac:dyDescent="0.35">
      <c r="A74" s="336"/>
      <c r="B74" s="337" t="s">
        <v>1103</v>
      </c>
      <c r="C74" s="337" t="s">
        <v>1065</v>
      </c>
      <c r="D74" s="338"/>
      <c r="E74" s="337" t="s">
        <v>901</v>
      </c>
      <c r="F74" s="304"/>
      <c r="G74" s="304"/>
      <c r="H74" s="304">
        <v>44646</v>
      </c>
      <c r="I74" s="304">
        <v>44646</v>
      </c>
      <c r="J74" s="136"/>
      <c r="K74" s="136"/>
      <c r="L74" s="15"/>
      <c r="M74" s="15"/>
      <c r="N74" s="42"/>
      <c r="O74" s="42"/>
      <c r="P74" s="42"/>
      <c r="Q74" s="42"/>
      <c r="R74" s="42"/>
      <c r="S74" s="42"/>
      <c r="T74" s="42"/>
      <c r="U74" s="42"/>
      <c r="V74" s="42"/>
      <c r="W74" s="42"/>
      <c r="X74" s="42"/>
      <c r="Y74" s="42"/>
      <c r="Z74" s="43"/>
      <c r="AA74" s="43"/>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row>
    <row r="75" spans="1:69" s="2" customFormat="1" ht="15" outlineLevel="2" thickBot="1" x14ac:dyDescent="0.35">
      <c r="A75" s="365"/>
      <c r="B75" s="365" t="s">
        <v>1103</v>
      </c>
      <c r="C75" s="366" t="s">
        <v>1080</v>
      </c>
      <c r="D75" s="367"/>
      <c r="E75" s="368" t="s">
        <v>901</v>
      </c>
      <c r="F75" s="368"/>
      <c r="G75" s="368"/>
      <c r="H75" s="368"/>
      <c r="I75" s="368"/>
      <c r="J75" s="136"/>
      <c r="K75" s="136"/>
      <c r="L75" s="15"/>
      <c r="M75" s="15"/>
      <c r="N75" s="42"/>
      <c r="O75" s="42"/>
      <c r="P75" s="42"/>
      <c r="Q75" s="42"/>
      <c r="R75" s="42"/>
      <c r="S75" s="42"/>
      <c r="T75" s="42"/>
      <c r="U75" s="42"/>
      <c r="V75" s="42"/>
      <c r="W75" s="42"/>
      <c r="X75" s="42"/>
      <c r="Y75" s="42"/>
      <c r="Z75" s="43"/>
      <c r="AA75" s="43"/>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row>
    <row r="76" spans="1:69" s="2" customFormat="1" ht="15" outlineLevel="2" thickBot="1" x14ac:dyDescent="0.35">
      <c r="A76" s="365"/>
      <c r="B76" s="365" t="s">
        <v>1103</v>
      </c>
      <c r="C76" s="366" t="s">
        <v>1054</v>
      </c>
      <c r="D76" s="367"/>
      <c r="E76" s="368" t="s">
        <v>901</v>
      </c>
      <c r="F76" s="368"/>
      <c r="G76" s="368"/>
      <c r="H76" s="368"/>
      <c r="I76" s="368"/>
      <c r="J76" s="136"/>
      <c r="K76" s="136"/>
      <c r="L76" s="15"/>
      <c r="M76" s="15"/>
      <c r="N76" s="42"/>
      <c r="O76" s="42"/>
      <c r="P76" s="42"/>
      <c r="Q76" s="42"/>
      <c r="R76" s="42"/>
      <c r="S76" s="42"/>
      <c r="T76" s="42"/>
      <c r="U76" s="42"/>
      <c r="V76" s="42"/>
      <c r="W76" s="42"/>
      <c r="X76" s="42"/>
      <c r="Y76" s="42"/>
      <c r="Z76" s="43"/>
      <c r="AA76" s="43"/>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row>
    <row r="77" spans="1:69" s="2" customFormat="1" ht="15" outlineLevel="2" thickBot="1" x14ac:dyDescent="0.35">
      <c r="A77" s="365"/>
      <c r="B77" s="365" t="s">
        <v>1103</v>
      </c>
      <c r="C77" s="366" t="s">
        <v>1055</v>
      </c>
      <c r="D77" s="367"/>
      <c r="E77" s="368" t="s">
        <v>901</v>
      </c>
      <c r="F77" s="368"/>
      <c r="G77" s="368"/>
      <c r="H77" s="368"/>
      <c r="I77" s="368"/>
      <c r="J77" s="136"/>
      <c r="K77" s="136"/>
      <c r="L77" s="15"/>
      <c r="M77" s="15"/>
      <c r="N77" s="42"/>
      <c r="O77" s="42"/>
      <c r="P77" s="42"/>
      <c r="Q77" s="42"/>
      <c r="R77" s="42"/>
      <c r="S77" s="42"/>
      <c r="T77" s="42"/>
      <c r="U77" s="42"/>
      <c r="V77" s="42"/>
      <c r="W77" s="42"/>
      <c r="X77" s="42"/>
      <c r="Y77" s="42"/>
      <c r="Z77" s="43"/>
      <c r="AA77" s="43"/>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row>
    <row r="78" spans="1:69" s="2" customFormat="1" ht="15" outlineLevel="2" thickBot="1" x14ac:dyDescent="0.35">
      <c r="A78" s="365"/>
      <c r="B78" s="365" t="s">
        <v>1102</v>
      </c>
      <c r="C78" s="366" t="s">
        <v>1056</v>
      </c>
      <c r="D78" s="367"/>
      <c r="E78" s="368"/>
      <c r="F78" s="368"/>
      <c r="G78" s="368"/>
      <c r="H78" s="368"/>
      <c r="I78" s="368"/>
      <c r="J78" s="136"/>
      <c r="K78" s="136"/>
      <c r="L78" s="15"/>
      <c r="M78" s="15"/>
      <c r="N78" s="42"/>
      <c r="O78" s="42"/>
      <c r="P78" s="42"/>
      <c r="Q78" s="42"/>
      <c r="R78" s="42"/>
      <c r="S78" s="42"/>
      <c r="T78" s="42"/>
      <c r="U78" s="42"/>
      <c r="V78" s="42"/>
      <c r="W78" s="42"/>
      <c r="X78" s="42"/>
      <c r="Y78" s="42"/>
      <c r="Z78" s="43"/>
      <c r="AA78" s="43"/>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row>
    <row r="79" spans="1:69" s="2" customFormat="1" ht="15" outlineLevel="2" thickBot="1" x14ac:dyDescent="0.35">
      <c r="A79" s="337"/>
      <c r="B79" s="337" t="s">
        <v>1103</v>
      </c>
      <c r="C79" s="337" t="s">
        <v>1132</v>
      </c>
      <c r="D79" s="337"/>
      <c r="E79" s="337" t="s">
        <v>901</v>
      </c>
      <c r="F79" s="337"/>
      <c r="G79" s="337"/>
      <c r="H79" s="304">
        <v>44646</v>
      </c>
      <c r="I79" s="304">
        <v>44646</v>
      </c>
      <c r="J79" s="136"/>
      <c r="K79" s="136"/>
      <c r="L79" s="15"/>
      <c r="M79" s="15"/>
      <c r="N79" s="42"/>
      <c r="O79" s="42"/>
      <c r="P79" s="42"/>
      <c r="Q79" s="42"/>
      <c r="R79" s="42"/>
      <c r="S79" s="42"/>
      <c r="T79" s="42"/>
      <c r="U79" s="42"/>
      <c r="V79" s="42"/>
      <c r="W79" s="42"/>
      <c r="X79" s="42"/>
      <c r="Y79" s="42"/>
      <c r="Z79" s="43"/>
      <c r="AA79" s="43"/>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row>
    <row r="80" spans="1:69" s="2" customFormat="1" ht="12.6" customHeight="1" outlineLevel="2" thickBot="1" x14ac:dyDescent="0.35">
      <c r="A80" s="337"/>
      <c r="B80" s="337" t="s">
        <v>1103</v>
      </c>
      <c r="C80" s="337" t="s">
        <v>1042</v>
      </c>
      <c r="D80" s="337"/>
      <c r="E80" s="337" t="s">
        <v>901</v>
      </c>
      <c r="F80" s="337"/>
      <c r="G80" s="337"/>
      <c r="H80" s="304">
        <v>44646</v>
      </c>
      <c r="I80" s="304">
        <v>44646</v>
      </c>
      <c r="J80" s="51"/>
      <c r="K80" s="51"/>
      <c r="L80" s="15"/>
      <c r="M80" s="15"/>
      <c r="N80" s="42"/>
      <c r="O80" s="42"/>
      <c r="P80" s="42"/>
      <c r="Q80" s="42"/>
      <c r="R80" s="42"/>
      <c r="S80" s="42"/>
      <c r="T80" s="42"/>
      <c r="U80" s="42"/>
      <c r="V80" s="42"/>
      <c r="W80" s="42"/>
      <c r="X80" s="42"/>
      <c r="Y80" s="42"/>
      <c r="Z80" s="43"/>
      <c r="AA80" s="43"/>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row>
    <row r="81" spans="1:69" s="2" customFormat="1" ht="12.6" customHeight="1" outlineLevel="2" thickBot="1" x14ac:dyDescent="0.35">
      <c r="A81" s="337"/>
      <c r="B81" s="337" t="s">
        <v>1103</v>
      </c>
      <c r="C81" s="337" t="s">
        <v>1104</v>
      </c>
      <c r="D81" s="337"/>
      <c r="E81" s="337" t="s">
        <v>901</v>
      </c>
      <c r="F81" s="337"/>
      <c r="G81" s="337"/>
      <c r="H81" s="304">
        <v>44646</v>
      </c>
      <c r="I81" s="304">
        <v>44646</v>
      </c>
      <c r="J81" s="51"/>
      <c r="K81" s="51"/>
      <c r="L81" s="15"/>
      <c r="M81" s="15"/>
      <c r="N81" s="42"/>
      <c r="O81" s="42"/>
      <c r="P81" s="42"/>
      <c r="Q81" s="42"/>
      <c r="R81" s="42"/>
      <c r="S81" s="42"/>
      <c r="T81" s="42"/>
      <c r="U81" s="42"/>
      <c r="V81" s="42"/>
      <c r="W81" s="42"/>
      <c r="X81" s="42"/>
      <c r="Y81" s="42"/>
      <c r="Z81" s="43"/>
      <c r="AA81" s="43"/>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row>
    <row r="82" spans="1:69" s="2" customFormat="1" ht="12.6" customHeight="1" outlineLevel="2" thickBot="1" x14ac:dyDescent="0.35">
      <c r="A82" s="337"/>
      <c r="B82" s="337" t="s">
        <v>1103</v>
      </c>
      <c r="C82" s="337" t="s">
        <v>1107</v>
      </c>
      <c r="D82" s="337"/>
      <c r="E82" s="337" t="s">
        <v>901</v>
      </c>
      <c r="F82" s="337"/>
      <c r="G82" s="337"/>
      <c r="H82" s="304">
        <v>44646</v>
      </c>
      <c r="I82" s="304">
        <v>44646</v>
      </c>
      <c r="J82" s="51"/>
      <c r="K82" s="51"/>
      <c r="L82" s="15"/>
      <c r="M82" s="15"/>
      <c r="N82" s="42"/>
      <c r="O82" s="42"/>
      <c r="P82" s="42"/>
      <c r="Q82" s="42"/>
      <c r="R82" s="42"/>
      <c r="S82" s="42"/>
      <c r="T82" s="42"/>
      <c r="U82" s="42"/>
      <c r="V82" s="42"/>
      <c r="W82" s="42"/>
      <c r="X82" s="42"/>
      <c r="Y82" s="42"/>
      <c r="Z82" s="43"/>
      <c r="AA82" s="43"/>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row>
    <row r="83" spans="1:69" s="2" customFormat="1" ht="12.6" customHeight="1" outlineLevel="2" thickBot="1" x14ac:dyDescent="0.35">
      <c r="A83" s="337"/>
      <c r="B83" s="337" t="s">
        <v>1103</v>
      </c>
      <c r="C83" s="337" t="s">
        <v>1105</v>
      </c>
      <c r="D83" s="337"/>
      <c r="E83" s="337" t="s">
        <v>901</v>
      </c>
      <c r="F83" s="337"/>
      <c r="G83" s="337"/>
      <c r="H83" s="304">
        <v>44646</v>
      </c>
      <c r="I83" s="304">
        <v>44646</v>
      </c>
      <c r="J83" s="51"/>
      <c r="K83" s="51"/>
      <c r="L83" s="15"/>
      <c r="M83" s="15"/>
      <c r="N83" s="42"/>
      <c r="O83" s="42"/>
      <c r="P83" s="42"/>
      <c r="Q83" s="42"/>
      <c r="R83" s="42"/>
      <c r="S83" s="42"/>
      <c r="T83" s="42"/>
      <c r="U83" s="42"/>
      <c r="V83" s="42"/>
      <c r="W83" s="42"/>
      <c r="X83" s="42"/>
      <c r="Y83" s="42"/>
      <c r="Z83" s="43"/>
      <c r="AA83" s="43"/>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row>
    <row r="84" spans="1:69" s="2" customFormat="1" ht="12.6" customHeight="1" outlineLevel="2" thickBot="1" x14ac:dyDescent="0.35">
      <c r="A84" s="337"/>
      <c r="B84" s="337" t="s">
        <v>1103</v>
      </c>
      <c r="C84" s="337" t="s">
        <v>1109</v>
      </c>
      <c r="D84" s="337"/>
      <c r="E84" s="337" t="s">
        <v>901</v>
      </c>
      <c r="F84" s="337"/>
      <c r="G84" s="337"/>
      <c r="H84" s="304">
        <v>44646</v>
      </c>
      <c r="I84" s="304">
        <v>44646</v>
      </c>
      <c r="J84" s="51"/>
      <c r="K84" s="51"/>
      <c r="L84" s="15"/>
      <c r="M84" s="15"/>
      <c r="N84" s="42"/>
      <c r="O84" s="42"/>
      <c r="P84" s="42"/>
      <c r="Q84" s="42"/>
      <c r="R84" s="42"/>
      <c r="S84" s="42"/>
      <c r="T84" s="42"/>
      <c r="U84" s="42"/>
      <c r="V84" s="42"/>
      <c r="W84" s="42"/>
      <c r="X84" s="42"/>
      <c r="Y84" s="42"/>
      <c r="Z84" s="43"/>
      <c r="AA84" s="43"/>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row>
    <row r="85" spans="1:69" s="2" customFormat="1" ht="12.6" customHeight="1" outlineLevel="2" thickBot="1" x14ac:dyDescent="0.35">
      <c r="A85" s="337"/>
      <c r="B85" s="337" t="s">
        <v>1103</v>
      </c>
      <c r="C85" s="337" t="s">
        <v>1106</v>
      </c>
      <c r="D85" s="337"/>
      <c r="E85" s="337" t="s">
        <v>901</v>
      </c>
      <c r="F85" s="337"/>
      <c r="G85" s="337"/>
      <c r="H85" s="304">
        <v>44646</v>
      </c>
      <c r="I85" s="304">
        <v>44646</v>
      </c>
      <c r="J85" s="51"/>
      <c r="K85" s="51"/>
      <c r="L85" s="15"/>
      <c r="M85" s="15"/>
      <c r="N85" s="42"/>
      <c r="O85" s="42"/>
      <c r="P85" s="42"/>
      <c r="Q85" s="42"/>
      <c r="R85" s="42"/>
      <c r="S85" s="42"/>
      <c r="T85" s="42"/>
      <c r="U85" s="42"/>
      <c r="V85" s="42"/>
      <c r="W85" s="42"/>
      <c r="X85" s="42"/>
      <c r="Y85" s="42"/>
      <c r="Z85" s="43"/>
      <c r="AA85" s="43"/>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row>
    <row r="86" spans="1:69" s="2" customFormat="1" ht="12.6" customHeight="1" outlineLevel="2" thickBot="1" x14ac:dyDescent="0.35">
      <c r="A86" s="337"/>
      <c r="B86" s="337" t="s">
        <v>1103</v>
      </c>
      <c r="C86" s="337" t="s">
        <v>1127</v>
      </c>
      <c r="D86" s="337"/>
      <c r="E86" s="337" t="s">
        <v>901</v>
      </c>
      <c r="F86" s="337"/>
      <c r="G86" s="337"/>
      <c r="H86" s="304">
        <v>44646</v>
      </c>
      <c r="I86" s="304">
        <v>44646</v>
      </c>
      <c r="J86" s="51"/>
      <c r="K86" s="51"/>
      <c r="L86" s="15"/>
      <c r="M86" s="15"/>
      <c r="N86" s="42"/>
      <c r="O86" s="42"/>
      <c r="P86" s="42"/>
      <c r="Q86" s="42"/>
      <c r="R86" s="42"/>
      <c r="S86" s="42"/>
      <c r="T86" s="42"/>
      <c r="U86" s="42"/>
      <c r="V86" s="42"/>
      <c r="W86" s="42"/>
      <c r="X86" s="42"/>
      <c r="Y86" s="42"/>
      <c r="Z86" s="43"/>
      <c r="AA86" s="43"/>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row>
    <row r="87" spans="1:69" s="2" customFormat="1" ht="12.6" customHeight="1" outlineLevel="2" thickBot="1" x14ac:dyDescent="0.35">
      <c r="A87" s="337"/>
      <c r="B87" s="337" t="s">
        <v>1103</v>
      </c>
      <c r="C87" s="337" t="s">
        <v>1110</v>
      </c>
      <c r="D87" s="337"/>
      <c r="E87" s="337" t="s">
        <v>901</v>
      </c>
      <c r="F87" s="337"/>
      <c r="G87" s="337"/>
      <c r="H87" s="304">
        <v>44646</v>
      </c>
      <c r="I87" s="304">
        <v>44646</v>
      </c>
      <c r="J87" s="51"/>
      <c r="K87" s="51"/>
      <c r="L87" s="15"/>
      <c r="M87" s="15"/>
      <c r="N87" s="42"/>
      <c r="O87" s="42"/>
      <c r="P87" s="42"/>
      <c r="Q87" s="42"/>
      <c r="R87" s="42"/>
      <c r="S87" s="42"/>
      <c r="T87" s="42"/>
      <c r="U87" s="42"/>
      <c r="V87" s="42"/>
      <c r="W87" s="42"/>
      <c r="X87" s="42"/>
      <c r="Y87" s="42"/>
      <c r="Z87" s="43"/>
      <c r="AA87" s="43"/>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row>
    <row r="88" spans="1:69" s="2" customFormat="1" ht="12.6" customHeight="1" outlineLevel="2" thickBot="1" x14ac:dyDescent="0.35">
      <c r="A88" s="337"/>
      <c r="B88" s="337" t="s">
        <v>1103</v>
      </c>
      <c r="C88" s="337" t="s">
        <v>1133</v>
      </c>
      <c r="D88" s="337"/>
      <c r="E88" s="337" t="s">
        <v>901</v>
      </c>
      <c r="F88" s="337"/>
      <c r="G88" s="337"/>
      <c r="H88" s="304">
        <v>44646</v>
      </c>
      <c r="I88" s="304">
        <v>44646</v>
      </c>
      <c r="J88" s="51"/>
      <c r="K88" s="51"/>
      <c r="L88" s="15"/>
      <c r="M88" s="15"/>
      <c r="N88" s="42"/>
      <c r="O88" s="42"/>
      <c r="P88" s="42"/>
      <c r="Q88" s="42"/>
      <c r="R88" s="42"/>
      <c r="S88" s="42"/>
      <c r="T88" s="42"/>
      <c r="U88" s="42"/>
      <c r="V88" s="42"/>
      <c r="W88" s="42"/>
      <c r="X88" s="42"/>
      <c r="Y88" s="42"/>
      <c r="Z88" s="43"/>
      <c r="AA88" s="43"/>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row>
    <row r="89" spans="1:69" s="2" customFormat="1" ht="12.6" customHeight="1" outlineLevel="2" thickBot="1" x14ac:dyDescent="0.35">
      <c r="A89" s="337"/>
      <c r="B89" s="337" t="s">
        <v>1103</v>
      </c>
      <c r="C89" s="337" t="s">
        <v>1129</v>
      </c>
      <c r="D89" s="337"/>
      <c r="E89" s="337" t="s">
        <v>901</v>
      </c>
      <c r="F89" s="337"/>
      <c r="G89" s="337"/>
      <c r="H89" s="304">
        <v>44646</v>
      </c>
      <c r="I89" s="304">
        <v>44646</v>
      </c>
      <c r="J89" s="51"/>
      <c r="K89" s="51"/>
      <c r="L89" s="15"/>
      <c r="M89" s="15"/>
      <c r="N89" s="42"/>
      <c r="O89" s="42"/>
      <c r="P89" s="42"/>
      <c r="Q89" s="42"/>
      <c r="R89" s="42"/>
      <c r="S89" s="42"/>
      <c r="T89" s="42"/>
      <c r="U89" s="42"/>
      <c r="V89" s="42"/>
      <c r="W89" s="42"/>
      <c r="X89" s="42"/>
      <c r="Y89" s="42"/>
      <c r="Z89" s="43"/>
      <c r="AA89" s="43"/>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row>
    <row r="90" spans="1:69" s="2" customFormat="1" ht="12.6" customHeight="1" outlineLevel="2" thickBot="1" x14ac:dyDescent="0.35">
      <c r="A90" s="337"/>
      <c r="B90" s="337" t="s">
        <v>1103</v>
      </c>
      <c r="C90" s="337" t="s">
        <v>1128</v>
      </c>
      <c r="D90" s="337"/>
      <c r="E90" s="337" t="s">
        <v>901</v>
      </c>
      <c r="F90" s="337"/>
      <c r="G90" s="337"/>
      <c r="H90" s="304">
        <v>44646</v>
      </c>
      <c r="I90" s="304">
        <v>44646</v>
      </c>
      <c r="J90" s="51"/>
      <c r="K90" s="51"/>
      <c r="L90" s="15"/>
      <c r="M90" s="15"/>
      <c r="N90" s="42"/>
      <c r="O90" s="42"/>
      <c r="P90" s="42"/>
      <c r="Q90" s="42"/>
      <c r="R90" s="42"/>
      <c r="S90" s="42"/>
      <c r="T90" s="42"/>
      <c r="U90" s="42"/>
      <c r="V90" s="42"/>
      <c r="W90" s="42"/>
      <c r="X90" s="42"/>
      <c r="Y90" s="42"/>
      <c r="Z90" s="43"/>
      <c r="AA90" s="43"/>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row>
    <row r="91" spans="1:69" s="2" customFormat="1" ht="12.6" customHeight="1" outlineLevel="2" thickBot="1" x14ac:dyDescent="0.35">
      <c r="A91" s="337"/>
      <c r="B91" s="337" t="s">
        <v>1103</v>
      </c>
      <c r="C91" s="337" t="s">
        <v>1111</v>
      </c>
      <c r="D91" s="337"/>
      <c r="E91" s="337" t="s">
        <v>901</v>
      </c>
      <c r="F91" s="337"/>
      <c r="G91" s="337"/>
      <c r="H91" s="304">
        <v>44646</v>
      </c>
      <c r="I91" s="304">
        <v>44646</v>
      </c>
      <c r="J91" s="51"/>
      <c r="K91" s="51"/>
      <c r="L91" s="15"/>
      <c r="M91" s="15"/>
      <c r="N91" s="42"/>
      <c r="O91" s="42"/>
      <c r="P91" s="42"/>
      <c r="Q91" s="42"/>
      <c r="R91" s="42"/>
      <c r="S91" s="42"/>
      <c r="T91" s="42"/>
      <c r="U91" s="42"/>
      <c r="V91" s="42"/>
      <c r="W91" s="42"/>
      <c r="X91" s="42"/>
      <c r="Y91" s="42"/>
      <c r="Z91" s="43"/>
      <c r="AA91" s="43"/>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row>
    <row r="92" spans="1:69" s="2" customFormat="1" ht="12.6" customHeight="1" outlineLevel="2" thickBot="1" x14ac:dyDescent="0.35">
      <c r="A92" s="337"/>
      <c r="B92" s="337" t="s">
        <v>1103</v>
      </c>
      <c r="C92" s="337" t="s">
        <v>1123</v>
      </c>
      <c r="D92" s="337"/>
      <c r="E92" s="337" t="s">
        <v>901</v>
      </c>
      <c r="F92" s="337"/>
      <c r="G92" s="337"/>
      <c r="H92" s="304">
        <v>44646</v>
      </c>
      <c r="I92" s="304">
        <v>44646</v>
      </c>
      <c r="J92" s="51"/>
      <c r="K92" s="51"/>
      <c r="L92" s="15"/>
      <c r="M92" s="15"/>
      <c r="N92" s="42"/>
      <c r="O92" s="42"/>
      <c r="P92" s="42"/>
      <c r="Q92" s="42"/>
      <c r="R92" s="42"/>
      <c r="S92" s="42"/>
      <c r="T92" s="42"/>
      <c r="U92" s="42"/>
      <c r="V92" s="42"/>
      <c r="W92" s="42"/>
      <c r="X92" s="42"/>
      <c r="Y92" s="42"/>
      <c r="Z92" s="43"/>
      <c r="AA92" s="43"/>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row>
    <row r="93" spans="1:69" s="2" customFormat="1" ht="12.6" customHeight="1" outlineLevel="2" thickBot="1" x14ac:dyDescent="0.35">
      <c r="A93" s="337"/>
      <c r="B93" s="337" t="s">
        <v>1103</v>
      </c>
      <c r="C93" s="337" t="s">
        <v>1122</v>
      </c>
      <c r="D93" s="337"/>
      <c r="E93" s="337" t="s">
        <v>901</v>
      </c>
      <c r="F93" s="337"/>
      <c r="G93" s="337"/>
      <c r="H93" s="304">
        <v>44646</v>
      </c>
      <c r="I93" s="304">
        <v>44646</v>
      </c>
      <c r="J93" s="51"/>
      <c r="K93" s="51"/>
      <c r="L93" s="15"/>
      <c r="M93" s="15"/>
      <c r="N93" s="42"/>
      <c r="O93" s="42"/>
      <c r="P93" s="42"/>
      <c r="Q93" s="42"/>
      <c r="R93" s="42"/>
      <c r="S93" s="42"/>
      <c r="T93" s="42"/>
      <c r="U93" s="42"/>
      <c r="V93" s="42"/>
      <c r="W93" s="42"/>
      <c r="X93" s="42"/>
      <c r="Y93" s="42"/>
      <c r="Z93" s="43"/>
      <c r="AA93" s="43"/>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row>
    <row r="94" spans="1:69" s="2" customFormat="1" ht="12.6" customHeight="1" outlineLevel="2" thickBot="1" x14ac:dyDescent="0.35">
      <c r="A94" s="337"/>
      <c r="B94" s="337" t="s">
        <v>1103</v>
      </c>
      <c r="C94" s="337" t="s">
        <v>1130</v>
      </c>
      <c r="D94" s="337"/>
      <c r="E94" s="337" t="s">
        <v>901</v>
      </c>
      <c r="F94" s="337"/>
      <c r="G94" s="337"/>
      <c r="H94" s="304">
        <v>44646</v>
      </c>
      <c r="I94" s="304">
        <v>44646</v>
      </c>
      <c r="J94" s="51"/>
      <c r="K94" s="51"/>
      <c r="L94" s="15"/>
      <c r="M94" s="15"/>
      <c r="N94" s="42"/>
      <c r="O94" s="42"/>
      <c r="P94" s="42"/>
      <c r="Q94" s="42"/>
      <c r="R94" s="42"/>
      <c r="S94" s="42"/>
      <c r="T94" s="42"/>
      <c r="U94" s="42"/>
      <c r="V94" s="42"/>
      <c r="W94" s="42"/>
      <c r="X94" s="42"/>
      <c r="Y94" s="42"/>
      <c r="Z94" s="43"/>
      <c r="AA94" s="43"/>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row>
    <row r="95" spans="1:69" s="2" customFormat="1" ht="12" customHeight="1" outlineLevel="2" thickBot="1" x14ac:dyDescent="0.35">
      <c r="A95" s="337"/>
      <c r="B95" s="337" t="s">
        <v>1103</v>
      </c>
      <c r="C95" s="337" t="s">
        <v>1131</v>
      </c>
      <c r="D95" s="337"/>
      <c r="E95" s="337" t="s">
        <v>901</v>
      </c>
      <c r="F95" s="337"/>
      <c r="G95" s="337"/>
      <c r="H95" s="304">
        <v>44646</v>
      </c>
      <c r="I95" s="304">
        <v>44646</v>
      </c>
      <c r="J95" s="51"/>
      <c r="K95" s="51"/>
      <c r="L95" s="15"/>
      <c r="M95" s="15"/>
      <c r="N95" s="42"/>
      <c r="O95" s="42"/>
      <c r="P95" s="42"/>
      <c r="Q95" s="42"/>
      <c r="R95" s="42"/>
      <c r="S95" s="42"/>
      <c r="T95" s="42"/>
      <c r="U95" s="42"/>
      <c r="V95" s="42"/>
      <c r="W95" s="42"/>
      <c r="X95" s="42"/>
      <c r="Y95" s="42"/>
      <c r="Z95" s="43"/>
      <c r="AA95" s="43"/>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row>
    <row r="96" spans="1:69" s="2" customFormat="1" ht="15" outlineLevel="2" thickBot="1" x14ac:dyDescent="0.35">
      <c r="A96" s="365"/>
      <c r="B96" s="365" t="s">
        <v>1103</v>
      </c>
      <c r="C96" s="366" t="s">
        <v>1057</v>
      </c>
      <c r="D96" s="367"/>
      <c r="E96" s="369" t="s">
        <v>901</v>
      </c>
      <c r="F96" s="370"/>
      <c r="G96" s="369"/>
      <c r="H96" s="368"/>
      <c r="I96" s="368"/>
      <c r="J96" s="136"/>
      <c r="K96" s="136"/>
      <c r="L96" s="15"/>
      <c r="M96" s="15"/>
      <c r="N96" s="42"/>
      <c r="O96" s="42"/>
      <c r="P96" s="42"/>
      <c r="Q96" s="42"/>
      <c r="R96" s="42"/>
      <c r="S96" s="42"/>
      <c r="T96" s="42"/>
      <c r="U96" s="42"/>
      <c r="V96" s="42"/>
      <c r="W96" s="42"/>
      <c r="X96" s="42"/>
      <c r="Y96" s="42"/>
      <c r="Z96" s="43"/>
      <c r="AA96" s="43"/>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row>
    <row r="97" spans="1:69" s="2" customFormat="1" ht="15" outlineLevel="2" thickBot="1" x14ac:dyDescent="0.35">
      <c r="A97" s="365"/>
      <c r="B97" s="365" t="s">
        <v>1103</v>
      </c>
      <c r="C97" s="366" t="s">
        <v>1058</v>
      </c>
      <c r="D97" s="367"/>
      <c r="E97" s="369" t="s">
        <v>901</v>
      </c>
      <c r="F97" s="370"/>
      <c r="G97" s="369"/>
      <c r="H97" s="368"/>
      <c r="I97" s="368"/>
      <c r="J97" s="136"/>
      <c r="K97" s="136"/>
      <c r="L97" s="15"/>
      <c r="M97" s="15"/>
      <c r="N97" s="42"/>
      <c r="O97" s="42"/>
      <c r="P97" s="42"/>
      <c r="Q97" s="42"/>
      <c r="R97" s="42"/>
      <c r="S97" s="42"/>
      <c r="T97" s="42"/>
      <c r="U97" s="42"/>
      <c r="V97" s="42"/>
      <c r="W97" s="42"/>
      <c r="X97" s="42"/>
      <c r="Y97" s="42"/>
      <c r="Z97" s="43"/>
      <c r="AA97" s="43"/>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row>
    <row r="98" spans="1:69" s="2" customFormat="1" ht="15" outlineLevel="2" thickBot="1" x14ac:dyDescent="0.35">
      <c r="A98" s="365"/>
      <c r="B98" s="365" t="s">
        <v>1103</v>
      </c>
      <c r="C98" s="366" t="s">
        <v>1082</v>
      </c>
      <c r="D98" s="370"/>
      <c r="E98" s="370" t="s">
        <v>901</v>
      </c>
      <c r="F98" s="370"/>
      <c r="G98" s="369"/>
      <c r="H98" s="368"/>
      <c r="I98" s="368"/>
      <c r="J98" s="136"/>
      <c r="K98" s="136"/>
      <c r="L98" s="15"/>
      <c r="M98" s="15"/>
      <c r="N98" s="42"/>
      <c r="O98" s="42"/>
      <c r="P98" s="42"/>
      <c r="Q98" s="42"/>
      <c r="R98" s="42"/>
      <c r="S98" s="42"/>
      <c r="T98" s="42"/>
      <c r="U98" s="42"/>
      <c r="V98" s="42"/>
      <c r="W98" s="42"/>
      <c r="X98" s="42"/>
      <c r="Y98" s="42"/>
      <c r="Z98" s="43"/>
      <c r="AA98" s="43"/>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row>
    <row r="99" spans="1:69" s="2" customFormat="1" ht="15" outlineLevel="2" thickBot="1" x14ac:dyDescent="0.35">
      <c r="A99" s="336"/>
      <c r="B99" s="337" t="s">
        <v>1103</v>
      </c>
      <c r="C99" s="337" t="s">
        <v>1059</v>
      </c>
      <c r="D99" s="338"/>
      <c r="E99" s="337" t="s">
        <v>901</v>
      </c>
      <c r="F99" s="337"/>
      <c r="G99" s="337"/>
      <c r="H99" s="304">
        <v>44646</v>
      </c>
      <c r="I99" s="304">
        <v>44646</v>
      </c>
      <c r="J99" s="136"/>
      <c r="K99" s="136"/>
      <c r="L99" s="15"/>
      <c r="M99" s="15"/>
      <c r="N99" s="42"/>
      <c r="O99" s="42"/>
      <c r="P99" s="42"/>
      <c r="Q99" s="42"/>
      <c r="R99" s="42"/>
      <c r="S99" s="42"/>
      <c r="T99" s="42"/>
      <c r="U99" s="42"/>
      <c r="V99" s="42"/>
      <c r="W99" s="42"/>
      <c r="X99" s="42"/>
      <c r="Y99" s="42"/>
      <c r="Z99" s="43"/>
      <c r="AA99" s="43"/>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row>
    <row r="100" spans="1:69" s="2" customFormat="1" ht="12.6" customHeight="1" outlineLevel="1" thickBot="1" x14ac:dyDescent="0.35">
      <c r="A100" s="336"/>
      <c r="B100" s="337" t="s">
        <v>1103</v>
      </c>
      <c r="C100" s="337" t="s">
        <v>1060</v>
      </c>
      <c r="D100" s="338"/>
      <c r="E100" s="337" t="s">
        <v>901</v>
      </c>
      <c r="F100" s="337"/>
      <c r="G100" s="337"/>
      <c r="H100" s="304">
        <v>44646</v>
      </c>
      <c r="I100" s="304">
        <v>44646</v>
      </c>
      <c r="J100" s="136"/>
      <c r="K100" s="136"/>
      <c r="L100" s="15"/>
      <c r="M100" s="15"/>
      <c r="N100" s="42"/>
      <c r="O100" s="42"/>
      <c r="P100" s="42"/>
      <c r="Q100" s="42"/>
      <c r="R100" s="42"/>
      <c r="S100" s="42"/>
      <c r="T100" s="42"/>
      <c r="U100" s="42"/>
      <c r="V100" s="42"/>
      <c r="W100" s="42"/>
      <c r="X100" s="42"/>
      <c r="Y100" s="42"/>
      <c r="Z100" s="43"/>
      <c r="AA100" s="43"/>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row>
    <row r="101" spans="1:69" s="2" customFormat="1" ht="12.6" customHeight="1" outlineLevel="1" thickBot="1" x14ac:dyDescent="0.35">
      <c r="A101" s="336"/>
      <c r="B101" s="337" t="s">
        <v>1103</v>
      </c>
      <c r="C101" s="337" t="s">
        <v>1134</v>
      </c>
      <c r="D101" s="338"/>
      <c r="E101" s="337" t="s">
        <v>901</v>
      </c>
      <c r="F101" s="339"/>
      <c r="G101" s="341"/>
      <c r="H101" s="304">
        <v>44646</v>
      </c>
      <c r="I101" s="304">
        <v>44646</v>
      </c>
      <c r="J101" s="136"/>
      <c r="K101" s="136"/>
      <c r="L101" s="15"/>
      <c r="M101" s="15"/>
      <c r="N101" s="42"/>
      <c r="O101" s="42"/>
      <c r="P101" s="42"/>
      <c r="Q101" s="42"/>
      <c r="R101" s="42"/>
      <c r="S101" s="42"/>
      <c r="T101" s="42"/>
      <c r="U101" s="42"/>
      <c r="V101" s="42"/>
      <c r="W101" s="42"/>
      <c r="X101" s="42"/>
      <c r="Y101" s="42"/>
      <c r="Z101" s="43"/>
      <c r="AA101" s="43"/>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row>
    <row r="102" spans="1:69" s="2" customFormat="1" ht="12.6" customHeight="1" outlineLevel="1" thickBot="1" x14ac:dyDescent="0.35">
      <c r="A102" s="336"/>
      <c r="B102" s="337" t="s">
        <v>1103</v>
      </c>
      <c r="C102" s="337" t="s">
        <v>884</v>
      </c>
      <c r="D102" s="338"/>
      <c r="E102" s="337" t="s">
        <v>901</v>
      </c>
      <c r="F102" s="339"/>
      <c r="G102" s="341"/>
      <c r="H102" s="304">
        <v>44646</v>
      </c>
      <c r="I102" s="304">
        <v>44646</v>
      </c>
      <c r="J102" s="136"/>
      <c r="K102" s="136"/>
      <c r="L102" s="15"/>
      <c r="M102" s="15"/>
      <c r="N102" s="42"/>
      <c r="O102" s="42"/>
      <c r="P102" s="42"/>
      <c r="Q102" s="42"/>
      <c r="R102" s="42"/>
      <c r="S102" s="42"/>
      <c r="T102" s="42"/>
      <c r="U102" s="42"/>
      <c r="V102" s="42"/>
      <c r="W102" s="42"/>
      <c r="X102" s="42"/>
      <c r="Y102" s="42"/>
      <c r="Z102" s="43"/>
      <c r="AA102" s="43"/>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row>
    <row r="103" spans="1:69" s="2" customFormat="1" ht="12.6" customHeight="1" outlineLevel="1" thickBot="1" x14ac:dyDescent="0.35">
      <c r="A103" s="336"/>
      <c r="B103" s="337" t="s">
        <v>1103</v>
      </c>
      <c r="C103" s="337" t="s">
        <v>1061</v>
      </c>
      <c r="D103" s="338"/>
      <c r="E103" s="337" t="s">
        <v>901</v>
      </c>
      <c r="F103" s="339"/>
      <c r="G103" s="341"/>
      <c r="H103" s="304">
        <v>44646</v>
      </c>
      <c r="I103" s="304">
        <v>44646</v>
      </c>
      <c r="J103" s="136"/>
      <c r="K103" s="136"/>
      <c r="L103" s="15"/>
      <c r="M103" s="15"/>
      <c r="N103" s="42"/>
      <c r="O103" s="42"/>
      <c r="P103" s="42"/>
      <c r="Q103" s="42"/>
      <c r="R103" s="42"/>
      <c r="S103" s="42"/>
      <c r="T103" s="42"/>
      <c r="U103" s="42"/>
      <c r="V103" s="42"/>
      <c r="W103" s="42"/>
      <c r="X103" s="42"/>
      <c r="Y103" s="42"/>
      <c r="Z103" s="43"/>
      <c r="AA103" s="43"/>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row>
    <row r="104" spans="1:69" s="2" customFormat="1" ht="12.6" customHeight="1" outlineLevel="1" thickBot="1" x14ac:dyDescent="0.35">
      <c r="A104" s="336"/>
      <c r="B104" s="337" t="s">
        <v>1103</v>
      </c>
      <c r="C104" s="337" t="s">
        <v>885</v>
      </c>
      <c r="D104" s="338"/>
      <c r="E104" s="337" t="s">
        <v>901</v>
      </c>
      <c r="F104" s="339"/>
      <c r="G104" s="341"/>
      <c r="H104" s="304">
        <v>44646</v>
      </c>
      <c r="I104" s="304">
        <v>44646</v>
      </c>
      <c r="J104" s="136"/>
      <c r="K104" s="136"/>
      <c r="L104" s="15"/>
      <c r="M104" s="15"/>
      <c r="N104" s="42"/>
      <c r="O104" s="42"/>
      <c r="P104" s="42"/>
      <c r="Q104" s="42"/>
      <c r="R104" s="42"/>
      <c r="S104" s="42"/>
      <c r="T104" s="42"/>
      <c r="U104" s="42"/>
      <c r="V104" s="42"/>
      <c r="W104" s="42"/>
      <c r="X104" s="42"/>
      <c r="Y104" s="42"/>
      <c r="Z104" s="43"/>
      <c r="AA104" s="43"/>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row>
    <row r="105" spans="1:69" s="2" customFormat="1" ht="12.6" customHeight="1" outlineLevel="1" thickBot="1" x14ac:dyDescent="0.35">
      <c r="A105" s="336"/>
      <c r="B105" s="337" t="s">
        <v>1103</v>
      </c>
      <c r="C105" s="337" t="s">
        <v>1135</v>
      </c>
      <c r="D105" s="338"/>
      <c r="E105" s="337" t="s">
        <v>901</v>
      </c>
      <c r="F105" s="339"/>
      <c r="G105" s="341"/>
      <c r="H105" s="304">
        <v>44646</v>
      </c>
      <c r="I105" s="304">
        <v>44646</v>
      </c>
      <c r="J105" s="136"/>
      <c r="K105" s="136"/>
      <c r="L105" s="15"/>
      <c r="M105" s="15"/>
      <c r="N105" s="42"/>
      <c r="O105" s="42"/>
      <c r="P105" s="42"/>
      <c r="Q105" s="42"/>
      <c r="R105" s="42"/>
      <c r="S105" s="42"/>
      <c r="T105" s="42"/>
      <c r="U105" s="42"/>
      <c r="V105" s="42"/>
      <c r="W105" s="42"/>
      <c r="X105" s="42"/>
      <c r="Y105" s="42"/>
      <c r="Z105" s="43"/>
      <c r="AA105" s="43"/>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row>
    <row r="106" spans="1:69" s="2" customFormat="1" ht="12.6" customHeight="1" outlineLevel="2" thickBot="1" x14ac:dyDescent="0.35">
      <c r="A106" s="336"/>
      <c r="B106" s="337" t="s">
        <v>1103</v>
      </c>
      <c r="C106" s="337" t="s">
        <v>886</v>
      </c>
      <c r="D106" s="338"/>
      <c r="E106" s="337" t="s">
        <v>901</v>
      </c>
      <c r="F106" s="339"/>
      <c r="G106" s="340"/>
      <c r="H106" s="304">
        <v>44646</v>
      </c>
      <c r="I106" s="304">
        <v>44646</v>
      </c>
      <c r="J106" s="136"/>
      <c r="K106" s="136"/>
      <c r="L106" s="15"/>
      <c r="M106" s="15"/>
      <c r="N106" s="42"/>
      <c r="O106" s="42"/>
      <c r="P106" s="42"/>
      <c r="Q106" s="42"/>
      <c r="R106" s="42"/>
      <c r="S106" s="42"/>
      <c r="T106" s="42"/>
      <c r="U106" s="42"/>
      <c r="V106" s="42"/>
      <c r="W106" s="42"/>
      <c r="X106" s="42"/>
      <c r="Y106" s="42"/>
      <c r="Z106" s="43"/>
      <c r="AA106" s="43"/>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row>
    <row r="107" spans="1:69" s="2" customFormat="1" ht="12.6" customHeight="1" outlineLevel="1" thickBot="1" x14ac:dyDescent="0.35">
      <c r="A107" s="336"/>
      <c r="B107" s="337" t="s">
        <v>1103</v>
      </c>
      <c r="C107" s="337" t="s">
        <v>682</v>
      </c>
      <c r="D107" s="338"/>
      <c r="E107" s="337" t="s">
        <v>901</v>
      </c>
      <c r="F107" s="343"/>
      <c r="G107" s="341"/>
      <c r="H107" s="304">
        <v>44646</v>
      </c>
      <c r="I107" s="304">
        <v>44646</v>
      </c>
      <c r="J107" s="136"/>
      <c r="K107" s="136"/>
      <c r="L107" s="15"/>
      <c r="M107" s="15"/>
      <c r="N107" s="42"/>
      <c r="O107" s="42"/>
      <c r="P107" s="42"/>
      <c r="Q107" s="42"/>
      <c r="R107" s="42"/>
      <c r="S107" s="42"/>
      <c r="T107" s="42"/>
      <c r="U107" s="42"/>
      <c r="V107" s="42"/>
      <c r="W107" s="42"/>
      <c r="X107" s="42"/>
      <c r="Y107" s="42"/>
      <c r="Z107" s="43"/>
      <c r="AA107" s="43"/>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row>
    <row r="108" spans="1:69" s="2" customFormat="1" ht="12.6" customHeight="1" outlineLevel="2" thickBot="1" x14ac:dyDescent="0.35">
      <c r="A108" s="336"/>
      <c r="B108" s="337" t="s">
        <v>1103</v>
      </c>
      <c r="C108" s="337" t="s">
        <v>1062</v>
      </c>
      <c r="D108" s="338"/>
      <c r="E108" s="337" t="s">
        <v>901</v>
      </c>
      <c r="F108" s="339"/>
      <c r="G108" s="340"/>
      <c r="H108" s="304">
        <v>44646</v>
      </c>
      <c r="I108" s="304">
        <v>44646</v>
      </c>
      <c r="J108" s="136"/>
      <c r="K108" s="136"/>
      <c r="L108" s="15"/>
      <c r="M108" s="15"/>
      <c r="N108" s="42"/>
      <c r="O108" s="42"/>
      <c r="P108" s="42"/>
      <c r="Q108" s="42"/>
      <c r="R108" s="42"/>
      <c r="S108" s="42"/>
      <c r="T108" s="42"/>
      <c r="U108" s="42"/>
      <c r="V108" s="42"/>
      <c r="W108" s="42"/>
      <c r="X108" s="42"/>
      <c r="Y108" s="42"/>
      <c r="Z108" s="43"/>
      <c r="AA108" s="43"/>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row>
    <row r="109" spans="1:69" s="2" customFormat="1" ht="12.6" customHeight="1" outlineLevel="2" thickBot="1" x14ac:dyDescent="0.35">
      <c r="A109" s="336"/>
      <c r="B109" s="337" t="s">
        <v>1103</v>
      </c>
      <c r="C109" s="337" t="s">
        <v>1063</v>
      </c>
      <c r="D109" s="338"/>
      <c r="E109" s="337" t="s">
        <v>902</v>
      </c>
      <c r="F109" s="339"/>
      <c r="G109" s="340"/>
      <c r="H109" s="304">
        <v>44646</v>
      </c>
      <c r="I109" s="304">
        <v>44646</v>
      </c>
      <c r="J109" s="136"/>
      <c r="K109" s="136"/>
      <c r="L109" s="15"/>
      <c r="M109" s="15"/>
      <c r="N109" s="42"/>
      <c r="O109" s="42"/>
      <c r="P109" s="42"/>
      <c r="Q109" s="42"/>
      <c r="R109" s="42"/>
      <c r="S109" s="42"/>
      <c r="T109" s="42"/>
      <c r="U109" s="42"/>
      <c r="V109" s="42"/>
      <c r="W109" s="42"/>
      <c r="X109" s="42"/>
      <c r="Y109" s="42"/>
      <c r="Z109" s="43"/>
      <c r="AA109" s="43"/>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row>
    <row r="110" spans="1:69" s="2" customFormat="1" ht="12.6" customHeight="1" outlineLevel="2" thickBot="1" x14ac:dyDescent="0.35">
      <c r="A110" s="336"/>
      <c r="B110" s="337" t="s">
        <v>1103</v>
      </c>
      <c r="C110" s="337" t="s">
        <v>1064</v>
      </c>
      <c r="D110" s="338"/>
      <c r="E110" s="337" t="s">
        <v>902</v>
      </c>
      <c r="F110" s="339"/>
      <c r="G110" s="340"/>
      <c r="H110" s="304">
        <v>44646</v>
      </c>
      <c r="I110" s="304">
        <v>44646</v>
      </c>
      <c r="J110" s="136"/>
      <c r="K110" s="136"/>
      <c r="L110" s="15"/>
      <c r="M110" s="15"/>
      <c r="N110" s="42"/>
      <c r="O110" s="42"/>
      <c r="P110" s="42"/>
      <c r="Q110" s="42"/>
      <c r="R110" s="42"/>
      <c r="S110" s="42"/>
      <c r="T110" s="42"/>
      <c r="U110" s="42"/>
      <c r="V110" s="42"/>
      <c r="W110" s="42"/>
      <c r="X110" s="42"/>
      <c r="Y110" s="42"/>
      <c r="Z110" s="43"/>
      <c r="AA110" s="43"/>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row>
    <row r="111" spans="1:69" s="2" customFormat="1" ht="12.6" customHeight="1" outlineLevel="2" thickBot="1" x14ac:dyDescent="0.35">
      <c r="A111" s="365"/>
      <c r="B111" s="365" t="s">
        <v>1102</v>
      </c>
      <c r="C111" s="366" t="s">
        <v>557</v>
      </c>
      <c r="D111" s="367"/>
      <c r="E111" s="369"/>
      <c r="F111" s="370"/>
      <c r="G111" s="369"/>
      <c r="H111" s="368"/>
      <c r="I111" s="368"/>
      <c r="J111" s="136"/>
      <c r="K111" s="136"/>
      <c r="L111" s="15"/>
      <c r="M111" s="15"/>
      <c r="N111" s="42"/>
      <c r="O111" s="42"/>
      <c r="P111" s="42"/>
      <c r="Q111" s="42"/>
      <c r="R111" s="42"/>
      <c r="S111" s="42"/>
      <c r="T111" s="42"/>
      <c r="U111" s="42"/>
      <c r="V111" s="42"/>
      <c r="W111" s="42"/>
      <c r="X111" s="42"/>
      <c r="Y111" s="42"/>
      <c r="Z111" s="43"/>
      <c r="AA111" s="43"/>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row>
    <row r="112" spans="1:69" s="2" customFormat="1" ht="12.6" customHeight="1" outlineLevel="2" thickBot="1" x14ac:dyDescent="0.35">
      <c r="A112" s="365"/>
      <c r="B112" s="365" t="s">
        <v>1102</v>
      </c>
      <c r="C112" s="366" t="s">
        <v>683</v>
      </c>
      <c r="D112" s="367"/>
      <c r="E112" s="369"/>
      <c r="F112" s="370"/>
      <c r="G112" s="369"/>
      <c r="H112" s="371"/>
      <c r="I112" s="368"/>
      <c r="J112" s="136"/>
      <c r="K112" s="136"/>
      <c r="L112" s="15"/>
      <c r="M112" s="15"/>
      <c r="N112" s="42"/>
      <c r="O112" s="42"/>
      <c r="P112" s="42"/>
      <c r="Q112" s="42"/>
      <c r="R112" s="42"/>
      <c r="S112" s="42"/>
      <c r="T112" s="42"/>
      <c r="U112" s="42"/>
      <c r="V112" s="42"/>
      <c r="W112" s="42"/>
      <c r="X112" s="42"/>
      <c r="Y112" s="42"/>
      <c r="Z112" s="43"/>
      <c r="AA112" s="43"/>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row>
    <row r="113" spans="1:69" s="2" customFormat="1" ht="12.6" customHeight="1" outlineLevel="2" thickBot="1" x14ac:dyDescent="0.35">
      <c r="A113" s="365"/>
      <c r="B113" s="365" t="s">
        <v>1102</v>
      </c>
      <c r="C113" s="366" t="s">
        <v>684</v>
      </c>
      <c r="D113" s="367"/>
      <c r="E113" s="369"/>
      <c r="F113" s="370"/>
      <c r="G113" s="369"/>
      <c r="H113" s="371"/>
      <c r="I113" s="368"/>
      <c r="J113" s="136"/>
      <c r="K113" s="136"/>
      <c r="L113" s="15"/>
      <c r="M113" s="15"/>
      <c r="N113" s="42"/>
      <c r="O113" s="42"/>
      <c r="P113" s="42"/>
      <c r="Q113" s="42"/>
      <c r="R113" s="42"/>
      <c r="S113" s="42"/>
      <c r="T113" s="42"/>
      <c r="U113" s="42"/>
      <c r="V113" s="42"/>
      <c r="W113" s="42"/>
      <c r="X113" s="42"/>
      <c r="Y113" s="42"/>
      <c r="Z113" s="43"/>
      <c r="AA113" s="43"/>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row>
    <row r="114" spans="1:69" s="2" customFormat="1" ht="12.6" customHeight="1" outlineLevel="2" thickBot="1" x14ac:dyDescent="0.35">
      <c r="A114" s="365"/>
      <c r="B114" s="365" t="s">
        <v>1102</v>
      </c>
      <c r="C114" s="366" t="s">
        <v>685</v>
      </c>
      <c r="D114" s="367"/>
      <c r="E114" s="369"/>
      <c r="F114" s="370"/>
      <c r="G114" s="369"/>
      <c r="H114" s="371"/>
      <c r="I114" s="368"/>
      <c r="J114" s="136"/>
      <c r="K114" s="136"/>
      <c r="L114" s="15"/>
      <c r="M114" s="15"/>
      <c r="N114" s="42"/>
      <c r="O114" s="42"/>
      <c r="P114" s="42"/>
      <c r="Q114" s="42"/>
      <c r="R114" s="42"/>
      <c r="S114" s="42"/>
      <c r="T114" s="42"/>
      <c r="U114" s="42"/>
      <c r="V114" s="42"/>
      <c r="W114" s="42"/>
      <c r="X114" s="42"/>
      <c r="Y114" s="42"/>
      <c r="Z114" s="43"/>
      <c r="AA114" s="43"/>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row>
    <row r="115" spans="1:69" s="2" customFormat="1" ht="12.6" customHeight="1" outlineLevel="2" thickBot="1" x14ac:dyDescent="0.35">
      <c r="A115" s="365"/>
      <c r="B115" s="365" t="s">
        <v>1102</v>
      </c>
      <c r="C115" s="366" t="s">
        <v>686</v>
      </c>
      <c r="D115" s="367"/>
      <c r="E115" s="369"/>
      <c r="F115" s="370"/>
      <c r="G115" s="369"/>
      <c r="H115" s="371"/>
      <c r="I115" s="368"/>
      <c r="J115" s="136"/>
      <c r="K115" s="136"/>
      <c r="L115" s="15"/>
      <c r="M115" s="15"/>
      <c r="N115" s="42"/>
      <c r="O115" s="42"/>
      <c r="P115" s="42"/>
      <c r="Q115" s="42"/>
      <c r="R115" s="42"/>
      <c r="S115" s="42"/>
      <c r="T115" s="42"/>
      <c r="U115" s="42"/>
      <c r="V115" s="42"/>
      <c r="W115" s="42"/>
      <c r="X115" s="42"/>
      <c r="Y115" s="42"/>
      <c r="Z115" s="43"/>
      <c r="AA115" s="43"/>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row>
    <row r="116" spans="1:69" s="2" customFormat="1" ht="12.6" customHeight="1" outlineLevel="2" thickBot="1" x14ac:dyDescent="0.35">
      <c r="A116" s="365"/>
      <c r="B116" s="365" t="s">
        <v>1102</v>
      </c>
      <c r="C116" s="366" t="s">
        <v>687</v>
      </c>
      <c r="D116" s="367"/>
      <c r="E116" s="369"/>
      <c r="F116" s="370"/>
      <c r="G116" s="369"/>
      <c r="H116" s="371"/>
      <c r="I116" s="368"/>
      <c r="J116" s="136"/>
      <c r="K116" s="136"/>
      <c r="L116" s="15"/>
      <c r="M116" s="15"/>
      <c r="N116" s="42"/>
      <c r="O116" s="42"/>
      <c r="P116" s="42"/>
      <c r="Q116" s="42"/>
      <c r="R116" s="42"/>
      <c r="S116" s="42"/>
      <c r="T116" s="42"/>
      <c r="U116" s="42"/>
      <c r="V116" s="42"/>
      <c r="W116" s="42"/>
      <c r="X116" s="42"/>
      <c r="Y116" s="42"/>
      <c r="Z116" s="43"/>
      <c r="AA116" s="43"/>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row>
    <row r="117" spans="1:69" s="2" customFormat="1" ht="12.6" customHeight="1" outlineLevel="2" thickBot="1" x14ac:dyDescent="0.35">
      <c r="A117" s="365"/>
      <c r="B117" s="365" t="s">
        <v>1102</v>
      </c>
      <c r="C117" s="366" t="s">
        <v>688</v>
      </c>
      <c r="D117" s="367"/>
      <c r="E117" s="369"/>
      <c r="F117" s="370"/>
      <c r="G117" s="369"/>
      <c r="H117" s="371"/>
      <c r="I117" s="368"/>
      <c r="J117" s="136"/>
      <c r="K117" s="136"/>
      <c r="L117" s="15"/>
      <c r="M117" s="15"/>
      <c r="N117" s="42"/>
      <c r="O117" s="42"/>
      <c r="P117" s="42"/>
      <c r="Q117" s="42"/>
      <c r="R117" s="42"/>
      <c r="S117" s="42"/>
      <c r="T117" s="42"/>
      <c r="U117" s="42"/>
      <c r="V117" s="42"/>
      <c r="W117" s="42"/>
      <c r="X117" s="42"/>
      <c r="Y117" s="42"/>
      <c r="Z117" s="43"/>
      <c r="AA117" s="43"/>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row>
    <row r="118" spans="1:69" s="2" customFormat="1" ht="12.6" customHeight="1" outlineLevel="2" thickBot="1" x14ac:dyDescent="0.35">
      <c r="A118" s="365"/>
      <c r="B118" s="365" t="s">
        <v>1102</v>
      </c>
      <c r="C118" s="366" t="s">
        <v>690</v>
      </c>
      <c r="D118" s="367"/>
      <c r="E118" s="369"/>
      <c r="F118" s="370"/>
      <c r="G118" s="369"/>
      <c r="H118" s="371"/>
      <c r="I118" s="368"/>
      <c r="J118" s="136"/>
      <c r="K118" s="136"/>
      <c r="L118" s="15"/>
      <c r="M118" s="15"/>
      <c r="N118" s="42"/>
      <c r="O118" s="42"/>
      <c r="P118" s="42"/>
      <c r="Q118" s="42"/>
      <c r="R118" s="42"/>
      <c r="S118" s="42"/>
      <c r="T118" s="42"/>
      <c r="U118" s="42"/>
      <c r="V118" s="42"/>
      <c r="W118" s="42"/>
      <c r="X118" s="42"/>
      <c r="Y118" s="42"/>
      <c r="Z118" s="43"/>
      <c r="AA118" s="43"/>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row>
    <row r="119" spans="1:69" s="2" customFormat="1" ht="12.6" customHeight="1" outlineLevel="1" thickBot="1" x14ac:dyDescent="0.35">
      <c r="A119" s="336"/>
      <c r="B119" s="301" t="s">
        <v>1103</v>
      </c>
      <c r="C119" s="344" t="s">
        <v>691</v>
      </c>
      <c r="D119" s="338"/>
      <c r="E119" s="341" t="s">
        <v>901</v>
      </c>
      <c r="F119" s="343"/>
      <c r="G119" s="341"/>
      <c r="H119" s="342">
        <v>44646</v>
      </c>
      <c r="I119" s="342">
        <v>44646</v>
      </c>
      <c r="J119" s="136"/>
      <c r="K119" s="136"/>
      <c r="L119" s="15"/>
      <c r="M119" s="15"/>
      <c r="N119" s="42"/>
      <c r="O119" s="42"/>
      <c r="P119" s="42"/>
      <c r="Q119" s="42"/>
      <c r="R119" s="42"/>
      <c r="S119" s="42"/>
      <c r="T119" s="42"/>
      <c r="U119" s="42"/>
      <c r="V119" s="42"/>
      <c r="W119" s="42"/>
      <c r="X119" s="42"/>
      <c r="Y119" s="42"/>
      <c r="Z119" s="43"/>
      <c r="AA119" s="43"/>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row>
    <row r="120" spans="1:69" s="2" customFormat="1" ht="12.6" customHeight="1" outlineLevel="1" thickBot="1" x14ac:dyDescent="0.35">
      <c r="A120" s="336"/>
      <c r="B120" s="301" t="s">
        <v>1151</v>
      </c>
      <c r="C120" s="337" t="s">
        <v>1152</v>
      </c>
      <c r="D120" s="338"/>
      <c r="E120" s="341"/>
      <c r="F120" s="343"/>
      <c r="G120" s="341"/>
      <c r="H120" s="342"/>
      <c r="I120" s="342"/>
      <c r="J120" s="136"/>
      <c r="K120" s="136"/>
      <c r="L120" s="15"/>
      <c r="M120" s="15"/>
      <c r="N120" s="42"/>
      <c r="O120" s="42"/>
      <c r="P120" s="42"/>
      <c r="Q120" s="42"/>
      <c r="R120" s="42"/>
      <c r="S120" s="42"/>
      <c r="T120" s="42"/>
      <c r="U120" s="42"/>
      <c r="V120" s="42"/>
      <c r="W120" s="42"/>
      <c r="X120" s="42"/>
      <c r="Y120" s="42"/>
      <c r="Z120" s="43"/>
      <c r="AA120" s="43"/>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row>
    <row r="121" spans="1:69" s="2" customFormat="1" ht="15" customHeight="1" thickBot="1" x14ac:dyDescent="0.35">
      <c r="A121" s="345"/>
      <c r="B121" s="345"/>
      <c r="C121" s="346" t="s">
        <v>502</v>
      </c>
      <c r="D121" s="347"/>
      <c r="E121" s="348"/>
      <c r="F121" s="348"/>
      <c r="G121" s="349"/>
      <c r="H121" s="350"/>
      <c r="I121" s="351"/>
      <c r="J121" s="40"/>
      <c r="K121" s="40"/>
      <c r="L121" s="41"/>
      <c r="M121" s="41" t="str">
        <f>IF(OR(ISBLANK(task_start),ISBLANK(task_end)),"",task_end-task_start+1)</f>
        <v/>
      </c>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c r="BK121" s="44"/>
      <c r="BL121" s="44"/>
      <c r="BM121" s="44"/>
      <c r="BN121" s="44"/>
      <c r="BO121" s="44"/>
      <c r="BP121" s="44"/>
      <c r="BQ121" s="44"/>
    </row>
    <row r="122" spans="1:69" s="2" customFormat="1" ht="12.6" customHeight="1" thickBot="1" x14ac:dyDescent="0.35">
      <c r="A122" s="352"/>
      <c r="B122" s="352"/>
      <c r="C122" s="353"/>
      <c r="D122" s="354"/>
      <c r="E122" s="355"/>
      <c r="F122" s="356"/>
      <c r="G122" s="355"/>
      <c r="H122" s="357"/>
      <c r="I122" s="358"/>
      <c r="J122" s="124"/>
      <c r="K122" s="124"/>
      <c r="L122" s="15"/>
      <c r="M122" s="15"/>
      <c r="N122" s="42"/>
      <c r="O122" s="42"/>
      <c r="P122" s="42"/>
      <c r="Q122" s="42"/>
      <c r="R122" s="42"/>
      <c r="S122" s="42"/>
      <c r="T122" s="42"/>
      <c r="U122" s="42"/>
      <c r="V122" s="42"/>
      <c r="W122" s="42"/>
      <c r="X122" s="42"/>
      <c r="Y122" s="42"/>
      <c r="Z122" s="43"/>
      <c r="AA122" s="43"/>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row>
    <row r="123" spans="1:69" s="2" customFormat="1" ht="12.6" customHeight="1" outlineLevel="1" thickBot="1" x14ac:dyDescent="0.35">
      <c r="A123" s="359"/>
      <c r="B123" s="359"/>
      <c r="C123" s="360" t="s">
        <v>1140</v>
      </c>
      <c r="D123" s="322"/>
      <c r="E123" s="361"/>
      <c r="F123" s="362"/>
      <c r="G123" s="361"/>
      <c r="H123" s="363"/>
      <c r="I123" s="363"/>
      <c r="J123" s="53"/>
      <c r="K123" s="53"/>
      <c r="L123" s="15"/>
      <c r="M123" s="15"/>
      <c r="N123" s="42"/>
      <c r="O123" s="42"/>
      <c r="P123" s="42"/>
      <c r="Q123" s="42"/>
      <c r="R123" s="42"/>
      <c r="S123" s="42"/>
      <c r="T123" s="42"/>
      <c r="U123" s="42"/>
      <c r="V123" s="42"/>
      <c r="W123" s="42"/>
      <c r="X123" s="42"/>
      <c r="Y123" s="42"/>
      <c r="Z123" s="43"/>
      <c r="AA123" s="43"/>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row>
    <row r="124" spans="1:69" s="2" customFormat="1" ht="12.6" customHeight="1" outlineLevel="2" thickBot="1" x14ac:dyDescent="0.35">
      <c r="A124" s="359"/>
      <c r="B124" s="301" t="s">
        <v>1103</v>
      </c>
      <c r="C124" s="328" t="s">
        <v>1171</v>
      </c>
      <c r="D124" s="322"/>
      <c r="E124" s="323" t="s">
        <v>902</v>
      </c>
      <c r="F124" s="362"/>
      <c r="G124" s="323"/>
      <c r="H124" s="304"/>
      <c r="I124" s="304"/>
      <c r="J124" s="53"/>
      <c r="K124" s="53"/>
      <c r="L124" s="15"/>
      <c r="M124" s="15"/>
      <c r="N124" s="42"/>
      <c r="O124" s="42"/>
      <c r="P124" s="42"/>
      <c r="Q124" s="42"/>
      <c r="R124" s="42"/>
      <c r="S124" s="42"/>
      <c r="T124" s="42"/>
      <c r="U124" s="42"/>
      <c r="V124" s="42"/>
      <c r="W124" s="42"/>
      <c r="X124" s="42"/>
      <c r="Y124" s="42"/>
      <c r="Z124" s="43"/>
      <c r="AA124" s="43"/>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row>
    <row r="125" spans="1:69" s="2" customFormat="1" ht="12.6" customHeight="1" outlineLevel="2" thickBot="1" x14ac:dyDescent="0.35">
      <c r="A125" s="359"/>
      <c r="B125" s="301" t="s">
        <v>1103</v>
      </c>
      <c r="C125" s="328" t="s">
        <v>1173</v>
      </c>
      <c r="D125" s="322"/>
      <c r="E125" s="323" t="s">
        <v>901</v>
      </c>
      <c r="F125" s="362"/>
      <c r="G125" s="323"/>
      <c r="H125" s="304"/>
      <c r="I125" s="304"/>
      <c r="J125" s="53"/>
      <c r="K125" s="53"/>
      <c r="L125" s="15"/>
      <c r="M125" s="15"/>
      <c r="N125" s="42"/>
      <c r="O125" s="42"/>
      <c r="P125" s="42"/>
      <c r="Q125" s="42"/>
      <c r="R125" s="42"/>
      <c r="S125" s="42"/>
      <c r="T125" s="42"/>
      <c r="U125" s="42"/>
      <c r="V125" s="42"/>
      <c r="W125" s="42"/>
      <c r="X125" s="42"/>
      <c r="Y125" s="42"/>
      <c r="Z125" s="43"/>
      <c r="AA125" s="43"/>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row>
    <row r="126" spans="1:69" s="2" customFormat="1" ht="12.6" customHeight="1" outlineLevel="2" thickBot="1" x14ac:dyDescent="0.35">
      <c r="A126" s="359"/>
      <c r="B126" s="301" t="s">
        <v>1103</v>
      </c>
      <c r="C126" s="328" t="s">
        <v>1083</v>
      </c>
      <c r="D126" s="322"/>
      <c r="E126" s="323" t="s">
        <v>901</v>
      </c>
      <c r="F126" s="364"/>
      <c r="G126" s="323"/>
      <c r="H126" s="304">
        <v>44753</v>
      </c>
      <c r="I126" s="304">
        <v>44753</v>
      </c>
      <c r="J126" s="53"/>
      <c r="K126" s="53"/>
      <c r="L126" s="15"/>
      <c r="M126" s="15"/>
      <c r="N126" s="42"/>
      <c r="O126" s="42"/>
      <c r="P126" s="42"/>
      <c r="Q126" s="42"/>
      <c r="R126" s="42"/>
      <c r="S126" s="42"/>
      <c r="T126" s="42"/>
      <c r="U126" s="42"/>
      <c r="V126" s="42"/>
      <c r="W126" s="42"/>
      <c r="X126" s="42"/>
      <c r="Y126" s="42"/>
      <c r="Z126" s="43"/>
      <c r="AA126" s="43"/>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row>
    <row r="127" spans="1:69" s="2" customFormat="1" ht="12.6" customHeight="1" outlineLevel="2" thickBot="1" x14ac:dyDescent="0.35">
      <c r="A127" s="359"/>
      <c r="B127" s="301" t="s">
        <v>1103</v>
      </c>
      <c r="C127" s="328" t="s">
        <v>1167</v>
      </c>
      <c r="D127" s="322"/>
      <c r="E127" s="323" t="s">
        <v>901</v>
      </c>
      <c r="F127" s="364"/>
      <c r="G127" s="323"/>
      <c r="H127" s="304">
        <v>44753</v>
      </c>
      <c r="I127" s="304">
        <v>44753</v>
      </c>
      <c r="J127" s="53"/>
      <c r="K127" s="53"/>
      <c r="L127" s="15"/>
      <c r="M127" s="15"/>
      <c r="N127" s="42"/>
      <c r="O127" s="42"/>
      <c r="P127" s="42"/>
      <c r="Q127" s="42"/>
      <c r="R127" s="42"/>
      <c r="S127" s="42"/>
      <c r="T127" s="42"/>
      <c r="U127" s="42"/>
      <c r="V127" s="42"/>
      <c r="W127" s="42"/>
      <c r="X127" s="42"/>
      <c r="Y127" s="42"/>
      <c r="Z127" s="43"/>
      <c r="AA127" s="43"/>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row>
    <row r="128" spans="1:69" s="2" customFormat="1" ht="12.6" customHeight="1" outlineLevel="2" thickBot="1" x14ac:dyDescent="0.35">
      <c r="A128" s="359"/>
      <c r="B128" s="301" t="s">
        <v>1103</v>
      </c>
      <c r="C128" s="328" t="s">
        <v>1084</v>
      </c>
      <c r="D128" s="322"/>
      <c r="E128" s="323" t="s">
        <v>901</v>
      </c>
      <c r="F128" s="364"/>
      <c r="G128" s="323"/>
      <c r="H128" s="304">
        <v>44753</v>
      </c>
      <c r="I128" s="304">
        <v>44753</v>
      </c>
      <c r="J128" s="53"/>
      <c r="K128" s="53"/>
      <c r="L128" s="15"/>
      <c r="M128" s="15"/>
      <c r="N128" s="42"/>
      <c r="O128" s="42"/>
      <c r="P128" s="42"/>
      <c r="Q128" s="42"/>
      <c r="R128" s="42"/>
      <c r="S128" s="42"/>
      <c r="T128" s="42"/>
      <c r="U128" s="42"/>
      <c r="V128" s="42"/>
      <c r="W128" s="42"/>
      <c r="X128" s="42"/>
      <c r="Y128" s="42"/>
      <c r="Z128" s="43"/>
      <c r="AA128" s="43"/>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row>
    <row r="129" spans="1:69" s="2" customFormat="1" ht="12.6" customHeight="1" outlineLevel="2" thickBot="1" x14ac:dyDescent="0.35">
      <c r="A129" s="359"/>
      <c r="B129" s="301" t="s">
        <v>1103</v>
      </c>
      <c r="C129" s="328" t="s">
        <v>887</v>
      </c>
      <c r="D129" s="322"/>
      <c r="E129" s="323" t="s">
        <v>901</v>
      </c>
      <c r="F129" s="364"/>
      <c r="G129" s="323"/>
      <c r="H129" s="304">
        <v>44753</v>
      </c>
      <c r="I129" s="304">
        <v>44753</v>
      </c>
      <c r="J129" s="53"/>
      <c r="K129" s="53"/>
      <c r="L129" s="15"/>
      <c r="M129" s="15"/>
      <c r="N129" s="42"/>
      <c r="O129" s="42"/>
      <c r="P129" s="42"/>
      <c r="Q129" s="42"/>
      <c r="R129" s="42"/>
      <c r="S129" s="42"/>
      <c r="T129" s="42"/>
      <c r="U129" s="42"/>
      <c r="V129" s="42"/>
      <c r="W129" s="42"/>
      <c r="X129" s="42"/>
      <c r="Y129" s="42"/>
      <c r="Z129" s="43"/>
      <c r="AA129" s="43"/>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row>
    <row r="130" spans="1:69" s="2" customFormat="1" ht="12.6" customHeight="1" outlineLevel="2" thickBot="1" x14ac:dyDescent="0.35">
      <c r="A130" s="359"/>
      <c r="B130" s="301" t="s">
        <v>1103</v>
      </c>
      <c r="C130" s="328" t="s">
        <v>888</v>
      </c>
      <c r="D130" s="322"/>
      <c r="E130" s="323" t="s">
        <v>901</v>
      </c>
      <c r="F130" s="364"/>
      <c r="G130" s="323"/>
      <c r="H130" s="304">
        <v>44753</v>
      </c>
      <c r="I130" s="304">
        <v>44753</v>
      </c>
      <c r="J130" s="53"/>
      <c r="K130" s="53"/>
      <c r="L130" s="15"/>
      <c r="M130" s="15"/>
      <c r="N130" s="42"/>
      <c r="O130" s="42"/>
      <c r="P130" s="42"/>
      <c r="Q130" s="42"/>
      <c r="R130" s="42"/>
      <c r="S130" s="42"/>
      <c r="T130" s="42"/>
      <c r="U130" s="42"/>
      <c r="V130" s="42"/>
      <c r="W130" s="42"/>
      <c r="X130" s="42"/>
      <c r="Y130" s="42"/>
      <c r="Z130" s="43"/>
      <c r="AA130" s="43"/>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row>
    <row r="131" spans="1:69" s="2" customFormat="1" ht="12.6" customHeight="1" outlineLevel="2" thickBot="1" x14ac:dyDescent="0.35">
      <c r="A131" s="359"/>
      <c r="B131" s="301" t="s">
        <v>1103</v>
      </c>
      <c r="C131" s="328" t="s">
        <v>1136</v>
      </c>
      <c r="D131" s="322"/>
      <c r="E131" s="323" t="s">
        <v>901</v>
      </c>
      <c r="F131" s="362"/>
      <c r="G131" s="323"/>
      <c r="H131" s="304">
        <v>44753</v>
      </c>
      <c r="I131" s="304">
        <v>44753</v>
      </c>
      <c r="J131" s="53"/>
      <c r="K131" s="53"/>
      <c r="L131" s="15"/>
      <c r="M131" s="15"/>
      <c r="N131" s="42"/>
      <c r="O131" s="42"/>
      <c r="P131" s="42"/>
      <c r="Q131" s="42"/>
      <c r="R131" s="42"/>
      <c r="S131" s="42"/>
      <c r="T131" s="42"/>
      <c r="U131" s="42"/>
      <c r="V131" s="42"/>
      <c r="W131" s="42"/>
      <c r="X131" s="42"/>
      <c r="Y131" s="42"/>
      <c r="Z131" s="43"/>
      <c r="AA131" s="43"/>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row>
    <row r="132" spans="1:69" s="2" customFormat="1" ht="12.6" customHeight="1" outlineLevel="2" thickBot="1" x14ac:dyDescent="0.35">
      <c r="A132" s="359"/>
      <c r="B132" s="301" t="s">
        <v>1103</v>
      </c>
      <c r="C132" s="328" t="s">
        <v>889</v>
      </c>
      <c r="D132" s="322"/>
      <c r="E132" s="323" t="s">
        <v>901</v>
      </c>
      <c r="F132" s="364"/>
      <c r="G132" s="323"/>
      <c r="H132" s="304">
        <v>44753</v>
      </c>
      <c r="I132" s="304">
        <v>44753</v>
      </c>
      <c r="J132" s="53"/>
      <c r="K132" s="53"/>
      <c r="L132" s="15"/>
      <c r="M132" s="15"/>
      <c r="N132" s="42"/>
      <c r="O132" s="42"/>
      <c r="P132" s="42"/>
      <c r="Q132" s="42"/>
      <c r="R132" s="42"/>
      <c r="S132" s="42"/>
      <c r="T132" s="42"/>
      <c r="U132" s="42"/>
      <c r="V132" s="42"/>
      <c r="W132" s="42"/>
      <c r="X132" s="42"/>
      <c r="Y132" s="42"/>
      <c r="Z132" s="43"/>
      <c r="AA132" s="43"/>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row>
    <row r="133" spans="1:69" s="2" customFormat="1" ht="12.6" customHeight="1" outlineLevel="2" thickBot="1" x14ac:dyDescent="0.35">
      <c r="A133" s="359"/>
      <c r="B133" s="301" t="s">
        <v>1103</v>
      </c>
      <c r="C133" s="328" t="s">
        <v>1168</v>
      </c>
      <c r="D133" s="322"/>
      <c r="E133" s="323" t="s">
        <v>902</v>
      </c>
      <c r="F133" s="364"/>
      <c r="G133" s="323"/>
      <c r="H133" s="304"/>
      <c r="I133" s="304"/>
      <c r="J133" s="53"/>
      <c r="K133" s="53"/>
      <c r="L133" s="15"/>
      <c r="M133" s="15"/>
      <c r="N133" s="42"/>
      <c r="O133" s="42"/>
      <c r="P133" s="42"/>
      <c r="Q133" s="42"/>
      <c r="R133" s="42"/>
      <c r="S133" s="42"/>
      <c r="T133" s="42"/>
      <c r="U133" s="42"/>
      <c r="V133" s="42"/>
      <c r="W133" s="42"/>
      <c r="X133" s="42"/>
      <c r="Y133" s="42"/>
      <c r="Z133" s="43"/>
      <c r="AA133" s="43"/>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row>
    <row r="134" spans="1:69" s="2" customFormat="1" ht="12.6" customHeight="1" outlineLevel="2" thickBot="1" x14ac:dyDescent="0.35">
      <c r="A134" s="359"/>
      <c r="B134" s="301" t="s">
        <v>1103</v>
      </c>
      <c r="C134" s="328" t="s">
        <v>1169</v>
      </c>
      <c r="D134" s="322"/>
      <c r="E134" s="323" t="s">
        <v>902</v>
      </c>
      <c r="F134" s="364"/>
      <c r="G134" s="323"/>
      <c r="H134" s="304"/>
      <c r="I134" s="304"/>
      <c r="J134" s="53"/>
      <c r="K134" s="53"/>
      <c r="L134" s="15"/>
      <c r="M134" s="15"/>
      <c r="N134" s="42"/>
      <c r="O134" s="42"/>
      <c r="P134" s="42"/>
      <c r="Q134" s="42"/>
      <c r="R134" s="42"/>
      <c r="S134" s="42"/>
      <c r="T134" s="42"/>
      <c r="U134" s="42"/>
      <c r="V134" s="42"/>
      <c r="W134" s="42"/>
      <c r="X134" s="42"/>
      <c r="Y134" s="42"/>
      <c r="Z134" s="43"/>
      <c r="AA134" s="43"/>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row>
    <row r="135" spans="1:69" s="2" customFormat="1" ht="12.6" customHeight="1" outlineLevel="2" thickBot="1" x14ac:dyDescent="0.35">
      <c r="A135" s="359"/>
      <c r="B135" s="301" t="s">
        <v>1103</v>
      </c>
      <c r="C135" s="328" t="s">
        <v>1170</v>
      </c>
      <c r="D135" s="322"/>
      <c r="E135" s="323" t="s">
        <v>902</v>
      </c>
      <c r="F135" s="364"/>
      <c r="G135" s="323"/>
      <c r="H135" s="304"/>
      <c r="I135" s="304"/>
      <c r="J135" s="53"/>
      <c r="K135" s="53"/>
      <c r="L135" s="15"/>
      <c r="M135" s="15"/>
      <c r="N135" s="42"/>
      <c r="O135" s="42"/>
      <c r="P135" s="42"/>
      <c r="Q135" s="42"/>
      <c r="R135" s="42"/>
      <c r="S135" s="42"/>
      <c r="T135" s="42"/>
      <c r="U135" s="42"/>
      <c r="V135" s="42"/>
      <c r="W135" s="42"/>
      <c r="X135" s="42"/>
      <c r="Y135" s="42"/>
      <c r="Z135" s="43"/>
      <c r="AA135" s="43"/>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row>
    <row r="136" spans="1:69" s="2" customFormat="1" ht="12.6" customHeight="1" outlineLevel="2" thickBot="1" x14ac:dyDescent="0.35">
      <c r="A136" s="359"/>
      <c r="B136" s="301" t="s">
        <v>1103</v>
      </c>
      <c r="C136" s="328" t="s">
        <v>891</v>
      </c>
      <c r="D136" s="322"/>
      <c r="E136" s="323" t="s">
        <v>901</v>
      </c>
      <c r="F136" s="364"/>
      <c r="G136" s="323"/>
      <c r="H136" s="304">
        <v>44753</v>
      </c>
      <c r="I136" s="304">
        <v>44753</v>
      </c>
      <c r="J136" s="53"/>
      <c r="K136" s="53"/>
      <c r="L136" s="15"/>
      <c r="M136" s="15"/>
      <c r="N136" s="42"/>
      <c r="O136" s="42"/>
      <c r="P136" s="42"/>
      <c r="Q136" s="42"/>
      <c r="R136" s="42"/>
      <c r="S136" s="42"/>
      <c r="T136" s="42"/>
      <c r="U136" s="42"/>
      <c r="V136" s="42"/>
      <c r="W136" s="42"/>
      <c r="X136" s="42"/>
      <c r="Y136" s="42"/>
      <c r="Z136" s="43"/>
      <c r="AA136" s="43"/>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row>
    <row r="137" spans="1:69" s="2" customFormat="1" ht="12.6" customHeight="1" outlineLevel="2" thickBot="1" x14ac:dyDescent="0.35">
      <c r="A137" s="359"/>
      <c r="B137" s="301" t="s">
        <v>1103</v>
      </c>
      <c r="C137" s="328" t="s">
        <v>890</v>
      </c>
      <c r="D137" s="322"/>
      <c r="E137" s="323" t="s">
        <v>901</v>
      </c>
      <c r="F137" s="364"/>
      <c r="G137" s="323"/>
      <c r="H137" s="304">
        <v>44753</v>
      </c>
      <c r="I137" s="304">
        <v>44753</v>
      </c>
      <c r="J137" s="53"/>
      <c r="K137" s="53"/>
      <c r="L137" s="15"/>
      <c r="M137" s="15"/>
      <c r="N137" s="42"/>
      <c r="O137" s="42"/>
      <c r="P137" s="42"/>
      <c r="Q137" s="42"/>
      <c r="R137" s="42"/>
      <c r="S137" s="42"/>
      <c r="T137" s="42"/>
      <c r="U137" s="42"/>
      <c r="V137" s="42"/>
      <c r="W137" s="42"/>
      <c r="X137" s="42"/>
      <c r="Y137" s="42"/>
      <c r="Z137" s="43"/>
      <c r="AA137" s="43"/>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row>
    <row r="138" spans="1:69" s="2" customFormat="1" ht="12.6" customHeight="1" outlineLevel="2" thickBot="1" x14ac:dyDescent="0.35">
      <c r="A138" s="359"/>
      <c r="B138" s="301" t="s">
        <v>1103</v>
      </c>
      <c r="C138" s="328" t="s">
        <v>892</v>
      </c>
      <c r="D138" s="322"/>
      <c r="E138" s="323" t="s">
        <v>901</v>
      </c>
      <c r="F138" s="364"/>
      <c r="G138" s="323"/>
      <c r="H138" s="304">
        <v>44753</v>
      </c>
      <c r="I138" s="304">
        <v>44753</v>
      </c>
      <c r="J138" s="53"/>
      <c r="K138" s="53"/>
      <c r="L138" s="15"/>
      <c r="M138" s="15"/>
      <c r="N138" s="42"/>
      <c r="O138" s="42"/>
      <c r="P138" s="42"/>
      <c r="Q138" s="42"/>
      <c r="R138" s="42"/>
      <c r="S138" s="42"/>
      <c r="T138" s="42"/>
      <c r="U138" s="42"/>
      <c r="V138" s="42"/>
      <c r="W138" s="42"/>
      <c r="X138" s="42"/>
      <c r="Y138" s="42"/>
      <c r="Z138" s="43"/>
      <c r="AA138" s="43"/>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row>
    <row r="139" spans="1:69" s="2" customFormat="1" ht="12.6" customHeight="1" outlineLevel="2" thickBot="1" x14ac:dyDescent="0.35">
      <c r="A139" s="359"/>
      <c r="B139" s="301" t="s">
        <v>1103</v>
      </c>
      <c r="C139" s="328" t="s">
        <v>1085</v>
      </c>
      <c r="D139" s="322"/>
      <c r="E139" s="323" t="s">
        <v>901</v>
      </c>
      <c r="F139" s="364"/>
      <c r="G139" s="323"/>
      <c r="H139" s="304">
        <v>44753</v>
      </c>
      <c r="I139" s="304">
        <v>44753</v>
      </c>
      <c r="J139" s="53"/>
      <c r="K139" s="53"/>
      <c r="L139" s="15"/>
      <c r="M139" s="15"/>
      <c r="N139" s="42"/>
      <c r="O139" s="42"/>
      <c r="P139" s="42"/>
      <c r="Q139" s="42"/>
      <c r="R139" s="42"/>
      <c r="S139" s="42"/>
      <c r="T139" s="42"/>
      <c r="U139" s="42"/>
      <c r="V139" s="42"/>
      <c r="W139" s="42"/>
      <c r="X139" s="42"/>
      <c r="Y139" s="42"/>
      <c r="Z139" s="43"/>
      <c r="AA139" s="43"/>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row>
    <row r="140" spans="1:69" s="2" customFormat="1" ht="12.6" customHeight="1" outlineLevel="2" thickBot="1" x14ac:dyDescent="0.35">
      <c r="A140" s="359"/>
      <c r="B140" s="301" t="s">
        <v>1103</v>
      </c>
      <c r="C140" s="373" t="s">
        <v>1086</v>
      </c>
      <c r="D140" s="322"/>
      <c r="E140" s="323"/>
      <c r="F140" s="364"/>
      <c r="G140" s="323"/>
      <c r="H140" s="304">
        <v>44646</v>
      </c>
      <c r="I140" s="304">
        <v>44646</v>
      </c>
      <c r="J140" s="53"/>
      <c r="K140" s="53"/>
      <c r="L140" s="15"/>
      <c r="M140" s="15"/>
      <c r="N140" s="42"/>
      <c r="O140" s="42"/>
      <c r="P140" s="42"/>
      <c r="Q140" s="42"/>
      <c r="R140" s="42"/>
      <c r="S140" s="42"/>
      <c r="T140" s="42"/>
      <c r="U140" s="42"/>
      <c r="V140" s="42"/>
      <c r="W140" s="42"/>
      <c r="X140" s="42"/>
      <c r="Y140" s="42"/>
      <c r="Z140" s="43"/>
      <c r="AA140" s="43"/>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row>
    <row r="141" spans="1:69" s="2" customFormat="1" ht="12.6" customHeight="1" outlineLevel="2" thickBot="1" x14ac:dyDescent="0.35">
      <c r="A141" s="359"/>
      <c r="B141" s="301" t="s">
        <v>1103</v>
      </c>
      <c r="C141" s="328" t="s">
        <v>1172</v>
      </c>
      <c r="D141" s="322"/>
      <c r="E141" s="323"/>
      <c r="F141" s="364"/>
      <c r="G141" s="323"/>
      <c r="H141" s="304">
        <v>44646</v>
      </c>
      <c r="I141" s="304">
        <v>44646</v>
      </c>
      <c r="J141" s="53"/>
      <c r="K141" s="53"/>
      <c r="L141" s="15"/>
      <c r="M141" s="15"/>
      <c r="N141" s="42"/>
      <c r="O141" s="42"/>
      <c r="P141" s="42"/>
      <c r="Q141" s="42"/>
      <c r="R141" s="42"/>
      <c r="S141" s="42"/>
      <c r="T141" s="42"/>
      <c r="U141" s="42"/>
      <c r="V141" s="42"/>
      <c r="W141" s="42"/>
      <c r="X141" s="42"/>
      <c r="Y141" s="42"/>
      <c r="Z141" s="43"/>
      <c r="AA141" s="43"/>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row>
    <row r="142" spans="1:69" s="2" customFormat="1" ht="12.6" customHeight="1" outlineLevel="2" thickBot="1" x14ac:dyDescent="0.35">
      <c r="A142" s="359"/>
      <c r="B142" s="301" t="s">
        <v>1103</v>
      </c>
      <c r="C142" s="328" t="s">
        <v>681</v>
      </c>
      <c r="D142" s="322"/>
      <c r="E142" s="323"/>
      <c r="F142" s="364"/>
      <c r="G142" s="323"/>
      <c r="H142" s="304">
        <v>44646</v>
      </c>
      <c r="I142" s="304">
        <v>44646</v>
      </c>
      <c r="J142" s="53"/>
      <c r="K142" s="53"/>
      <c r="L142" s="15"/>
      <c r="M142" s="15"/>
      <c r="N142" s="42"/>
      <c r="O142" s="42"/>
      <c r="P142" s="42"/>
      <c r="Q142" s="42"/>
      <c r="R142" s="42"/>
      <c r="S142" s="42"/>
      <c r="T142" s="42"/>
      <c r="U142" s="42"/>
      <c r="V142" s="42"/>
      <c r="W142" s="42"/>
      <c r="X142" s="42"/>
      <c r="Y142" s="42"/>
      <c r="Z142" s="43"/>
      <c r="AA142" s="43"/>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row>
    <row r="143" spans="1:69" s="2" customFormat="1" ht="12.6" customHeight="1" outlineLevel="2" thickBot="1" x14ac:dyDescent="0.35">
      <c r="A143" s="365"/>
      <c r="B143" s="301" t="s">
        <v>1103</v>
      </c>
      <c r="C143" s="328" t="s">
        <v>1137</v>
      </c>
      <c r="D143" s="323"/>
      <c r="E143" s="323" t="s">
        <v>1166</v>
      </c>
      <c r="F143" s="323"/>
      <c r="G143" s="323"/>
      <c r="H143" s="304">
        <v>44646</v>
      </c>
      <c r="I143" s="304">
        <v>44646</v>
      </c>
      <c r="J143" s="53"/>
      <c r="K143" s="53"/>
      <c r="L143" s="15"/>
      <c r="M143" s="15"/>
      <c r="N143" s="42"/>
      <c r="O143" s="42"/>
      <c r="P143" s="42"/>
      <c r="Q143" s="42"/>
      <c r="R143" s="42"/>
      <c r="S143" s="42"/>
      <c r="T143" s="42"/>
      <c r="U143" s="42"/>
      <c r="V143" s="42"/>
      <c r="W143" s="42"/>
      <c r="X143" s="42"/>
      <c r="Y143" s="42"/>
      <c r="Z143" s="43"/>
      <c r="AA143" s="43"/>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row>
    <row r="144" spans="1:69" s="2" customFormat="1" ht="12.6" customHeight="1" outlineLevel="2" thickBot="1" x14ac:dyDescent="0.35">
      <c r="A144" s="359"/>
      <c r="B144" s="301" t="s">
        <v>1103</v>
      </c>
      <c r="C144" s="328" t="s">
        <v>1138</v>
      </c>
      <c r="D144" s="322"/>
      <c r="E144" s="323" t="s">
        <v>1166</v>
      </c>
      <c r="F144" s="364"/>
      <c r="G144" s="323"/>
      <c r="H144" s="304">
        <v>44646</v>
      </c>
      <c r="I144" s="304">
        <v>44646</v>
      </c>
      <c r="J144" s="53"/>
      <c r="K144" s="53"/>
      <c r="L144" s="15"/>
      <c r="M144" s="15"/>
      <c r="N144" s="42"/>
      <c r="O144" s="42"/>
      <c r="P144" s="42"/>
      <c r="Q144" s="42"/>
      <c r="R144" s="42"/>
      <c r="S144" s="42"/>
      <c r="T144" s="42"/>
      <c r="U144" s="42"/>
      <c r="V144" s="42"/>
      <c r="W144" s="42"/>
      <c r="X144" s="42"/>
      <c r="Y144" s="42"/>
      <c r="Z144" s="43"/>
      <c r="AA144" s="43"/>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row>
    <row r="145" spans="1:69" s="2" customFormat="1" ht="12.6" customHeight="1" outlineLevel="2" thickBot="1" x14ac:dyDescent="0.35">
      <c r="A145" s="359"/>
      <c r="B145" s="301" t="s">
        <v>1103</v>
      </c>
      <c r="C145" s="328" t="s">
        <v>1139</v>
      </c>
      <c r="D145" s="322"/>
      <c r="E145" s="323" t="s">
        <v>1166</v>
      </c>
      <c r="F145" s="364"/>
      <c r="G145" s="323"/>
      <c r="H145" s="304">
        <v>44646</v>
      </c>
      <c r="I145" s="304">
        <v>44646</v>
      </c>
      <c r="J145" s="53"/>
      <c r="K145" s="53"/>
      <c r="L145" s="15"/>
      <c r="M145" s="15"/>
      <c r="N145" s="42"/>
      <c r="O145" s="42"/>
      <c r="P145" s="42"/>
      <c r="Q145" s="42"/>
      <c r="R145" s="42"/>
      <c r="S145" s="42"/>
      <c r="T145" s="42"/>
      <c r="U145" s="42"/>
      <c r="V145" s="42"/>
      <c r="W145" s="42"/>
      <c r="X145" s="42"/>
      <c r="Y145" s="42"/>
      <c r="Z145" s="43"/>
      <c r="AA145" s="43"/>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row>
    <row r="146" spans="1:69" s="2" customFormat="1" ht="12.6" customHeight="1" outlineLevel="1" thickBot="1" x14ac:dyDescent="0.35">
      <c r="A146" s="359"/>
      <c r="B146" s="301" t="s">
        <v>1103</v>
      </c>
      <c r="C146" s="360" t="s">
        <v>689</v>
      </c>
      <c r="D146" s="322"/>
      <c r="E146" s="323" t="s">
        <v>901</v>
      </c>
      <c r="F146" s="362"/>
      <c r="G146" s="361"/>
      <c r="H146" s="304">
        <v>44653</v>
      </c>
      <c r="I146" s="304">
        <v>44653</v>
      </c>
      <c r="J146" s="53"/>
      <c r="K146" s="53"/>
      <c r="L146" s="15"/>
      <c r="M146" s="15"/>
      <c r="N146" s="42"/>
      <c r="O146" s="42"/>
      <c r="P146" s="42"/>
      <c r="Q146" s="42"/>
      <c r="R146" s="42"/>
      <c r="S146" s="42"/>
      <c r="T146" s="42"/>
      <c r="U146" s="42"/>
      <c r="V146" s="42"/>
      <c r="W146" s="42"/>
      <c r="X146" s="42"/>
      <c r="Y146" s="42"/>
      <c r="Z146" s="43"/>
      <c r="AA146" s="43"/>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row>
    <row r="147" spans="1:69" s="2" customFormat="1" ht="12.6" customHeight="1" outlineLevel="1" thickBot="1" x14ac:dyDescent="0.35">
      <c r="A147" s="359"/>
      <c r="B147" s="301" t="s">
        <v>1151</v>
      </c>
      <c r="C147" s="328" t="s">
        <v>1153</v>
      </c>
      <c r="D147" s="322"/>
      <c r="E147" s="361"/>
      <c r="F147" s="362"/>
      <c r="G147" s="361"/>
      <c r="H147" s="304">
        <v>44653</v>
      </c>
      <c r="I147" s="304">
        <v>44653</v>
      </c>
      <c r="J147" s="53"/>
      <c r="K147" s="53"/>
      <c r="L147" s="15"/>
      <c r="M147" s="15"/>
      <c r="N147" s="42"/>
      <c r="O147" s="42"/>
      <c r="P147" s="42"/>
      <c r="Q147" s="42"/>
      <c r="R147" s="42"/>
      <c r="S147" s="42"/>
      <c r="T147" s="42"/>
      <c r="U147" s="42"/>
      <c r="V147" s="42"/>
      <c r="W147" s="42"/>
      <c r="X147" s="42"/>
      <c r="Y147" s="42"/>
      <c r="Z147" s="43"/>
      <c r="AA147" s="43"/>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row>
    <row r="148" spans="1:69" ht="30" customHeight="1" x14ac:dyDescent="0.3">
      <c r="L148" s="4"/>
    </row>
    <row r="149" spans="1:69" ht="30" customHeight="1" x14ac:dyDescent="0.3">
      <c r="E149" s="12"/>
      <c r="F149" s="12"/>
      <c r="I149" s="45"/>
      <c r="J149" s="45"/>
      <c r="K149" s="45"/>
    </row>
    <row r="150" spans="1:69" ht="30" customHeight="1" x14ac:dyDescent="0.3">
      <c r="E150" s="13"/>
      <c r="F150" s="13"/>
    </row>
  </sheetData>
  <mergeCells count="10">
    <mergeCell ref="U1:AA1"/>
    <mergeCell ref="AB1:AH1"/>
    <mergeCell ref="C2:L2"/>
    <mergeCell ref="A1:C1"/>
    <mergeCell ref="N1:T1"/>
    <mergeCell ref="AI1:AO1"/>
    <mergeCell ref="AP1:AV1"/>
    <mergeCell ref="AW1:BC1"/>
    <mergeCell ref="BD1:BJ1"/>
    <mergeCell ref="BK1:BQ1"/>
  </mergeCells>
  <phoneticPr fontId="18" type="noConversion"/>
  <conditionalFormatting sqref="F61:F64 F96:F98 F101:F119 F4:F41 F144:F146 F121:G121 F123:F142 F43:F58">
    <cfRule type="dataBar" priority="82">
      <dataBar>
        <cfvo type="num" val="0"/>
        <cfvo type="num" val="1"/>
        <color theme="0" tint="-0.249977111117893"/>
      </dataBar>
      <extLst>
        <ext xmlns:x14="http://schemas.microsoft.com/office/spreadsheetml/2009/9/main" uri="{B025F937-C7B1-47D3-B67F-A62EFF666E3E}">
          <x14:id>{9B46DBAB-3992-4A20-A528-4F838AFCAE76}</x14:id>
        </ext>
      </extLst>
    </cfRule>
  </conditionalFormatting>
  <conditionalFormatting sqref="N85:BQ86 N93:BQ95 N88:BQ90 N100:BQ119 N2:BQ41 N80:BQ81 N121:BQ146 N43:BQ73">
    <cfRule type="expression" dxfId="95" priority="85">
      <formula>AND(TODAY()&gt;=N$2,TODAY()&lt;O$2)</formula>
    </cfRule>
  </conditionalFormatting>
  <conditionalFormatting sqref="F59:F60">
    <cfRule type="dataBar" priority="62">
      <dataBar>
        <cfvo type="num" val="0"/>
        <cfvo type="num" val="1"/>
        <color theme="0" tint="-0.249977111117893"/>
      </dataBar>
      <extLst>
        <ext xmlns:x14="http://schemas.microsoft.com/office/spreadsheetml/2009/9/main" uri="{B025F937-C7B1-47D3-B67F-A62EFF666E3E}">
          <x14:id>{6C9CD8E8-3421-4B50-BFCC-392D1D834B19}</x14:id>
        </ext>
      </extLst>
    </cfRule>
  </conditionalFormatting>
  <conditionalFormatting sqref="N85:BQ86 N93:BQ95 N88:BQ90 N100:BQ119 N4:BQ41 N80:BQ81 N121:BQ146 N43:BQ73">
    <cfRule type="expression" dxfId="94" priority="59">
      <formula>AND(task_start&lt;=N$2,ROUNDDOWN((task_end-task_start+1)*task_progress,0)+task_start-1&gt;=N$2)</formula>
    </cfRule>
    <cfRule type="expression" dxfId="93" priority="60" stopIfTrue="1">
      <formula>AND(task_end&gt;=N$2,task_start&lt;O$2)</formula>
    </cfRule>
  </conditionalFormatting>
  <conditionalFormatting sqref="F122">
    <cfRule type="dataBar" priority="58">
      <dataBar>
        <cfvo type="num" val="0"/>
        <cfvo type="num" val="1"/>
        <color theme="0" tint="-0.249977111117893"/>
      </dataBar>
      <extLst>
        <ext xmlns:x14="http://schemas.microsoft.com/office/spreadsheetml/2009/9/main" uri="{B025F937-C7B1-47D3-B67F-A62EFF666E3E}">
          <x14:id>{285F76A8-FAFB-481D-822C-17D58C374851}</x14:id>
        </ext>
      </extLst>
    </cfRule>
  </conditionalFormatting>
  <conditionalFormatting sqref="F63">
    <cfRule type="dataBar" priority="56">
      <dataBar>
        <cfvo type="num" val="0"/>
        <cfvo type="num" val="1"/>
        <color theme="0" tint="-0.249977111117893"/>
      </dataBar>
      <extLst>
        <ext xmlns:x14="http://schemas.microsoft.com/office/spreadsheetml/2009/9/main" uri="{B025F937-C7B1-47D3-B67F-A62EFF666E3E}">
          <x14:id>{FC24F54E-73C4-4365-BEF4-6F1EE2C1AD9A}</x14:id>
        </ext>
      </extLst>
    </cfRule>
  </conditionalFormatting>
  <conditionalFormatting sqref="F96:F98 F101:F105">
    <cfRule type="dataBar" priority="51">
      <dataBar>
        <cfvo type="num" val="0"/>
        <cfvo type="num" val="1"/>
        <color theme="0" tint="-0.249977111117893"/>
      </dataBar>
      <extLst>
        <ext xmlns:x14="http://schemas.microsoft.com/office/spreadsheetml/2009/9/main" uri="{B025F937-C7B1-47D3-B67F-A62EFF666E3E}">
          <x14:id>{1BAF1A13-890C-EC4E-8B6D-38AF258AAA8A}</x14:id>
        </ext>
      </extLst>
    </cfRule>
  </conditionalFormatting>
  <conditionalFormatting sqref="N74:BQ81 N96:BQ105">
    <cfRule type="expression" dxfId="92" priority="52">
      <formula>AND(TODAY()&gt;=N$2,TODAY()&lt;O$2)</formula>
    </cfRule>
  </conditionalFormatting>
  <conditionalFormatting sqref="N74:BQ81 N96:BQ105">
    <cfRule type="expression" dxfId="91" priority="49">
      <formula>AND(task_start&lt;=N$2,ROUNDDOWN((task_end-task_start+1)*task_progress,0)+task_start-1&gt;=N$2)</formula>
    </cfRule>
    <cfRule type="expression" dxfId="90" priority="50" stopIfTrue="1">
      <formula>AND(task_end&gt;=N$2,task_start&lt;O$2)</formula>
    </cfRule>
  </conditionalFormatting>
  <conditionalFormatting sqref="F106">
    <cfRule type="dataBar" priority="48">
      <dataBar>
        <cfvo type="num" val="0"/>
        <cfvo type="num" val="1"/>
        <color theme="0" tint="-0.249977111117893"/>
      </dataBar>
      <extLst>
        <ext xmlns:x14="http://schemas.microsoft.com/office/spreadsheetml/2009/9/main" uri="{B025F937-C7B1-47D3-B67F-A62EFF666E3E}">
          <x14:id>{EE9D0FE2-99ED-4439-A1FF-12337BDF3DFD}</x14:id>
        </ext>
      </extLst>
    </cfRule>
  </conditionalFormatting>
  <conditionalFormatting sqref="F42">
    <cfRule type="dataBar" priority="46">
      <dataBar>
        <cfvo type="num" val="0"/>
        <cfvo type="num" val="1"/>
        <color theme="0" tint="-0.249977111117893"/>
      </dataBar>
      <extLst>
        <ext xmlns:x14="http://schemas.microsoft.com/office/spreadsheetml/2009/9/main" uri="{B025F937-C7B1-47D3-B67F-A62EFF666E3E}">
          <x14:id>{FBEA2F1A-0008-9640-B517-9FB8BEA8A648}</x14:id>
        </ext>
      </extLst>
    </cfRule>
  </conditionalFormatting>
  <conditionalFormatting sqref="N42:BQ42">
    <cfRule type="expression" dxfId="89" priority="47">
      <formula>AND(TODAY()&gt;=N$2,TODAY()&lt;O$2)</formula>
    </cfRule>
  </conditionalFormatting>
  <conditionalFormatting sqref="N42:BQ42">
    <cfRule type="expression" dxfId="88" priority="44">
      <formula>AND(task_start&lt;=N$2,ROUNDDOWN((task_end-task_start+1)*task_progress,0)+task_start-1&gt;=N$2)</formula>
    </cfRule>
    <cfRule type="expression" dxfId="87" priority="45" stopIfTrue="1">
      <formula>AND(task_end&gt;=N$2,task_start&lt;O$2)</formula>
    </cfRule>
  </conditionalFormatting>
  <conditionalFormatting sqref="N82:BQ82">
    <cfRule type="expression" dxfId="86" priority="43">
      <formula>AND(TODAY()&gt;=N$2,TODAY()&lt;O$2)</formula>
    </cfRule>
  </conditionalFormatting>
  <conditionalFormatting sqref="N82:BQ82">
    <cfRule type="expression" dxfId="85" priority="40">
      <formula>AND(task_start&lt;=N$2,ROUNDDOWN((task_end-task_start+1)*task_progress,0)+task_start-1&gt;=N$2)</formula>
    </cfRule>
    <cfRule type="expression" dxfId="84" priority="41" stopIfTrue="1">
      <formula>AND(task_end&gt;=N$2,task_start&lt;O$2)</formula>
    </cfRule>
  </conditionalFormatting>
  <conditionalFormatting sqref="N83:BQ83">
    <cfRule type="expression" dxfId="83" priority="39">
      <formula>AND(TODAY()&gt;=N$2,TODAY()&lt;O$2)</formula>
    </cfRule>
  </conditionalFormatting>
  <conditionalFormatting sqref="N83:BQ83">
    <cfRule type="expression" dxfId="82" priority="36">
      <formula>AND(task_start&lt;=N$2,ROUNDDOWN((task_end-task_start+1)*task_progress,0)+task_start-1&gt;=N$2)</formula>
    </cfRule>
    <cfRule type="expression" dxfId="81" priority="37" stopIfTrue="1">
      <formula>AND(task_end&gt;=N$2,task_start&lt;O$2)</formula>
    </cfRule>
  </conditionalFormatting>
  <conditionalFormatting sqref="N84:BQ85">
    <cfRule type="expression" dxfId="80" priority="35">
      <formula>AND(TODAY()&gt;=N$2,TODAY()&lt;O$2)</formula>
    </cfRule>
  </conditionalFormatting>
  <conditionalFormatting sqref="N84:BQ85">
    <cfRule type="expression" dxfId="79" priority="32">
      <formula>AND(task_start&lt;=N$2,ROUNDDOWN((task_end-task_start+1)*task_progress,0)+task_start-1&gt;=N$2)</formula>
    </cfRule>
    <cfRule type="expression" dxfId="78" priority="33" stopIfTrue="1">
      <formula>AND(task_end&gt;=N$2,task_start&lt;O$2)</formula>
    </cfRule>
  </conditionalFormatting>
  <conditionalFormatting sqref="N87:BQ87">
    <cfRule type="expression" dxfId="77" priority="31">
      <formula>AND(TODAY()&gt;=N$2,TODAY()&lt;O$2)</formula>
    </cfRule>
  </conditionalFormatting>
  <conditionalFormatting sqref="N87:BQ87">
    <cfRule type="expression" dxfId="76" priority="28">
      <formula>AND(task_start&lt;=N$2,ROUNDDOWN((task_end-task_start+1)*task_progress,0)+task_start-1&gt;=N$2)</formula>
    </cfRule>
    <cfRule type="expression" dxfId="75" priority="29" stopIfTrue="1">
      <formula>AND(task_end&gt;=N$2,task_start&lt;O$2)</formula>
    </cfRule>
  </conditionalFormatting>
  <conditionalFormatting sqref="N91:BQ91">
    <cfRule type="expression" dxfId="74" priority="27">
      <formula>AND(TODAY()&gt;=N$2,TODAY()&lt;O$2)</formula>
    </cfRule>
  </conditionalFormatting>
  <conditionalFormatting sqref="N91:BQ91">
    <cfRule type="expression" dxfId="73" priority="24">
      <formula>AND(task_start&lt;=N$2,ROUNDDOWN((task_end-task_start+1)*task_progress,0)+task_start-1&gt;=N$2)</formula>
    </cfRule>
    <cfRule type="expression" dxfId="72" priority="25" stopIfTrue="1">
      <formula>AND(task_end&gt;=N$2,task_start&lt;O$2)</formula>
    </cfRule>
  </conditionalFormatting>
  <conditionalFormatting sqref="N92:BQ92">
    <cfRule type="expression" dxfId="71" priority="19">
      <formula>AND(TODAY()&gt;=N$2,TODAY()&lt;O$2)</formula>
    </cfRule>
  </conditionalFormatting>
  <conditionalFormatting sqref="N92:BQ92">
    <cfRule type="expression" dxfId="70" priority="16">
      <formula>AND(task_start&lt;=N$2,ROUNDDOWN((task_end-task_start+1)*task_progress,0)+task_start-1&gt;=N$2)</formula>
    </cfRule>
    <cfRule type="expression" dxfId="69" priority="17" stopIfTrue="1">
      <formula>AND(task_end&gt;=N$2,task_start&lt;O$2)</formula>
    </cfRule>
  </conditionalFormatting>
  <conditionalFormatting sqref="D98:E98">
    <cfRule type="dataBar" priority="10">
      <dataBar>
        <cfvo type="num" val="0"/>
        <cfvo type="num" val="1"/>
        <color theme="0" tint="-0.249977111117893"/>
      </dataBar>
      <extLst>
        <ext xmlns:x14="http://schemas.microsoft.com/office/spreadsheetml/2009/9/main" uri="{B025F937-C7B1-47D3-B67F-A62EFF666E3E}">
          <x14:id>{8CBF2878-A845-5944-A4E5-159B45E8EEAB}</x14:id>
        </ext>
      </extLst>
    </cfRule>
  </conditionalFormatting>
  <conditionalFormatting sqref="D98:E98">
    <cfRule type="dataBar" priority="9">
      <dataBar>
        <cfvo type="num" val="0"/>
        <cfvo type="num" val="1"/>
        <color theme="0" tint="-0.249977111117893"/>
      </dataBar>
      <extLst>
        <ext xmlns:x14="http://schemas.microsoft.com/office/spreadsheetml/2009/9/main" uri="{B025F937-C7B1-47D3-B67F-A62EFF666E3E}">
          <x14:id>{BB642291-68A9-2E4C-84D8-51AD22253673}</x14:id>
        </ext>
      </extLst>
    </cfRule>
  </conditionalFormatting>
  <conditionalFormatting sqref="F120">
    <cfRule type="dataBar" priority="7">
      <dataBar>
        <cfvo type="num" val="0"/>
        <cfvo type="num" val="1"/>
        <color theme="0" tint="-0.249977111117893"/>
      </dataBar>
      <extLst>
        <ext xmlns:x14="http://schemas.microsoft.com/office/spreadsheetml/2009/9/main" uri="{B025F937-C7B1-47D3-B67F-A62EFF666E3E}">
          <x14:id>{1A612753-119B-7C4F-BF9D-57B6C928C237}</x14:id>
        </ext>
      </extLst>
    </cfRule>
  </conditionalFormatting>
  <conditionalFormatting sqref="N120:BQ120">
    <cfRule type="expression" dxfId="68" priority="8">
      <formula>AND(TODAY()&gt;=N$2,TODAY()&lt;O$2)</formula>
    </cfRule>
  </conditionalFormatting>
  <conditionalFormatting sqref="N120:BQ120">
    <cfRule type="expression" dxfId="67" priority="5">
      <formula>AND(task_start&lt;=N$2,ROUNDDOWN((task_end-task_start+1)*task_progress,0)+task_start-1&gt;=N$2)</formula>
    </cfRule>
    <cfRule type="expression" dxfId="66" priority="6" stopIfTrue="1">
      <formula>AND(task_end&gt;=N$2,task_start&lt;O$2)</formula>
    </cfRule>
  </conditionalFormatting>
  <conditionalFormatting sqref="F147">
    <cfRule type="dataBar" priority="3">
      <dataBar>
        <cfvo type="num" val="0"/>
        <cfvo type="num" val="1"/>
        <color theme="0" tint="-0.249977111117893"/>
      </dataBar>
      <extLst>
        <ext xmlns:x14="http://schemas.microsoft.com/office/spreadsheetml/2009/9/main" uri="{B025F937-C7B1-47D3-B67F-A62EFF666E3E}">
          <x14:id>{8F25F75D-5B83-8342-B94C-2D344D182CA7}</x14:id>
        </ext>
      </extLst>
    </cfRule>
  </conditionalFormatting>
  <conditionalFormatting sqref="N147:BQ147">
    <cfRule type="expression" dxfId="65" priority="4">
      <formula>AND(TODAY()&gt;=N$2,TODAY()&lt;O$2)</formula>
    </cfRule>
  </conditionalFormatting>
  <conditionalFormatting sqref="N147:BQ147">
    <cfRule type="expression" dxfId="64" priority="1">
      <formula>AND(task_start&lt;=N$2,ROUNDDOWN((task_end-task_start+1)*task_progress,0)+task_start-1&gt;=N$2)</formula>
    </cfRule>
    <cfRule type="expression" dxfId="63" priority="2" stopIfTrue="1">
      <formula>AND(task_end&gt;=N$2,task_start&lt;O$2)</formula>
    </cfRule>
  </conditionalFormatting>
  <dataValidations disablePrompts="1" count="1">
    <dataValidation type="whole" operator="greaterThanOrEqual" allowBlank="1" showInputMessage="1" promptTitle="Display Week" prompt="Changing this number will scroll the Gantt Chart view." sqref="H1" xr:uid="{00000000-0002-0000-04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9B46DBAB-3992-4A20-A528-4F838AFCAE76}">
            <x14:dataBar minLength="0" maxLength="100" gradient="0">
              <x14:cfvo type="num">
                <xm:f>0</xm:f>
              </x14:cfvo>
              <x14:cfvo type="num">
                <xm:f>1</xm:f>
              </x14:cfvo>
              <x14:negativeFillColor rgb="FFFF0000"/>
              <x14:axisColor rgb="FF000000"/>
            </x14:dataBar>
          </x14:cfRule>
          <xm:sqref>F61:F64 F96:F98 F101:F119 F4:F41 F144:F146 F121:G121 F123:F142 F43:F58</xm:sqref>
        </x14:conditionalFormatting>
        <x14:conditionalFormatting xmlns:xm="http://schemas.microsoft.com/office/excel/2006/main">
          <x14:cfRule type="dataBar" id="{6C9CD8E8-3421-4B50-BFCC-392D1D834B19}">
            <x14:dataBar minLength="0" maxLength="100" gradient="0">
              <x14:cfvo type="num">
                <xm:f>0</xm:f>
              </x14:cfvo>
              <x14:cfvo type="num">
                <xm:f>1</xm:f>
              </x14:cfvo>
              <x14:negativeFillColor rgb="FFFF0000"/>
              <x14:axisColor rgb="FF000000"/>
            </x14:dataBar>
          </x14:cfRule>
          <xm:sqref>F59:F60</xm:sqref>
        </x14:conditionalFormatting>
        <x14:conditionalFormatting xmlns:xm="http://schemas.microsoft.com/office/excel/2006/main">
          <x14:cfRule type="dataBar" id="{285F76A8-FAFB-481D-822C-17D58C374851}">
            <x14:dataBar minLength="0" maxLength="100" gradient="0">
              <x14:cfvo type="num">
                <xm:f>0</xm:f>
              </x14:cfvo>
              <x14:cfvo type="num">
                <xm:f>1</xm:f>
              </x14:cfvo>
              <x14:negativeFillColor rgb="FFFF0000"/>
              <x14:axisColor rgb="FF000000"/>
            </x14:dataBar>
          </x14:cfRule>
          <xm:sqref>F122</xm:sqref>
        </x14:conditionalFormatting>
        <x14:conditionalFormatting xmlns:xm="http://schemas.microsoft.com/office/excel/2006/main">
          <x14:cfRule type="dataBar" id="{FC24F54E-73C4-4365-BEF4-6F1EE2C1AD9A}">
            <x14:dataBar minLength="0" maxLength="100" gradient="0">
              <x14:cfvo type="num">
                <xm:f>0</xm:f>
              </x14:cfvo>
              <x14:cfvo type="num">
                <xm:f>1</xm:f>
              </x14:cfvo>
              <x14:negativeFillColor rgb="FFFF0000"/>
              <x14:axisColor rgb="FF000000"/>
            </x14:dataBar>
          </x14:cfRule>
          <xm:sqref>F63</xm:sqref>
        </x14:conditionalFormatting>
        <x14:conditionalFormatting xmlns:xm="http://schemas.microsoft.com/office/excel/2006/main">
          <x14:cfRule type="dataBar" id="{1BAF1A13-890C-EC4E-8B6D-38AF258AAA8A}">
            <x14:dataBar minLength="0" maxLength="100" gradient="0">
              <x14:cfvo type="num">
                <xm:f>0</xm:f>
              </x14:cfvo>
              <x14:cfvo type="num">
                <xm:f>1</xm:f>
              </x14:cfvo>
              <x14:negativeFillColor rgb="FFFF0000"/>
              <x14:axisColor rgb="FF000000"/>
            </x14:dataBar>
          </x14:cfRule>
          <xm:sqref>F96:F98 F101:F105</xm:sqref>
        </x14:conditionalFormatting>
        <x14:conditionalFormatting xmlns:xm="http://schemas.microsoft.com/office/excel/2006/main">
          <x14:cfRule type="dataBar" id="{EE9D0FE2-99ED-4439-A1FF-12337BDF3DFD}">
            <x14:dataBar minLength="0" maxLength="100" gradient="0">
              <x14:cfvo type="num">
                <xm:f>0</xm:f>
              </x14:cfvo>
              <x14:cfvo type="num">
                <xm:f>1</xm:f>
              </x14:cfvo>
              <x14:negativeFillColor rgb="FFFF0000"/>
              <x14:axisColor rgb="FF000000"/>
            </x14:dataBar>
          </x14:cfRule>
          <xm:sqref>F106</xm:sqref>
        </x14:conditionalFormatting>
        <x14:conditionalFormatting xmlns:xm="http://schemas.microsoft.com/office/excel/2006/main">
          <x14:cfRule type="dataBar" id="{FBEA2F1A-0008-9640-B517-9FB8BEA8A648}">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8CBF2878-A845-5944-A4E5-159B45E8EEAB}">
            <x14:dataBar minLength="0" maxLength="100" gradient="0">
              <x14:cfvo type="num">
                <xm:f>0</xm:f>
              </x14:cfvo>
              <x14:cfvo type="num">
                <xm:f>1</xm:f>
              </x14:cfvo>
              <x14:negativeFillColor rgb="FFFF0000"/>
              <x14:axisColor rgb="FF000000"/>
            </x14:dataBar>
          </x14:cfRule>
          <xm:sqref>D98:E98</xm:sqref>
        </x14:conditionalFormatting>
        <x14:conditionalFormatting xmlns:xm="http://schemas.microsoft.com/office/excel/2006/main">
          <x14:cfRule type="dataBar" id="{BB642291-68A9-2E4C-84D8-51AD22253673}">
            <x14:dataBar minLength="0" maxLength="100" gradient="0">
              <x14:cfvo type="num">
                <xm:f>0</xm:f>
              </x14:cfvo>
              <x14:cfvo type="num">
                <xm:f>1</xm:f>
              </x14:cfvo>
              <x14:negativeFillColor rgb="FFFF0000"/>
              <x14:axisColor rgb="FF000000"/>
            </x14:dataBar>
          </x14:cfRule>
          <xm:sqref>D98:E98</xm:sqref>
        </x14:conditionalFormatting>
        <x14:conditionalFormatting xmlns:xm="http://schemas.microsoft.com/office/excel/2006/main">
          <x14:cfRule type="dataBar" id="{1A612753-119B-7C4F-BF9D-57B6C928C237}">
            <x14:dataBar minLength="0" maxLength="100" gradient="0">
              <x14:cfvo type="num">
                <xm:f>0</xm:f>
              </x14:cfvo>
              <x14:cfvo type="num">
                <xm:f>1</xm:f>
              </x14:cfvo>
              <x14:negativeFillColor rgb="FFFF0000"/>
              <x14:axisColor rgb="FF000000"/>
            </x14:dataBar>
          </x14:cfRule>
          <xm:sqref>F120</xm:sqref>
        </x14:conditionalFormatting>
        <x14:conditionalFormatting xmlns:xm="http://schemas.microsoft.com/office/excel/2006/main">
          <x14:cfRule type="dataBar" id="{8F25F75D-5B83-8342-B94C-2D344D182CA7}">
            <x14:dataBar minLength="0" maxLength="100" gradient="0">
              <x14:cfvo type="num">
                <xm:f>0</xm:f>
              </x14:cfvo>
              <x14:cfvo type="num">
                <xm:f>1</xm:f>
              </x14:cfvo>
              <x14:negativeFillColor rgb="FFFF0000"/>
              <x14:axisColor rgb="FF000000"/>
            </x14:dataBar>
          </x14:cfRule>
          <xm:sqref>F147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outlinePr summaryBelow="0"/>
    <pageSetUpPr fitToPage="1"/>
  </sheetPr>
  <dimension ref="A1:CY182"/>
  <sheetViews>
    <sheetView showGridLines="0" showRuler="0" zoomScale="115" zoomScaleNormal="115" zoomScalePageLayoutView="70" workbookViewId="0">
      <pane ySplit="3" topLeftCell="A4" activePane="bottomLeft" state="frozen"/>
      <selection activeCell="B35" sqref="B35"/>
      <selection pane="bottomLeft" activeCell="B83" activeCellId="1" sqref="B43 B83"/>
    </sheetView>
  </sheetViews>
  <sheetFormatPr defaultColWidth="8.88671875" defaultRowHeight="30" customHeight="1" outlineLevelRow="2" x14ac:dyDescent="0.3"/>
  <cols>
    <col min="1" max="1" width="9.44140625" style="116" bestFit="1" customWidth="1"/>
    <col min="2" max="2" width="90.88671875" customWidth="1"/>
    <col min="3" max="3" width="17.44140625" customWidth="1"/>
    <col min="4" max="4" width="17.88671875" bestFit="1" customWidth="1"/>
    <col min="5" max="5" width="9.44140625" customWidth="1"/>
    <col min="6" max="6" width="10.44140625" customWidth="1"/>
    <col min="7" max="7" width="14.88671875" style="3" bestFit="1" customWidth="1"/>
    <col min="8" max="8" width="14.88671875" bestFit="1" customWidth="1"/>
    <col min="9" max="10" width="10.44140625" hidden="1" customWidth="1"/>
    <col min="11" max="11" width="2.44140625" customWidth="1"/>
    <col min="12" max="12" width="6.109375" hidden="1" customWidth="1"/>
    <col min="13" max="103" width="2.44140625" customWidth="1"/>
  </cols>
  <sheetData>
    <row r="1" spans="1:103" ht="30" customHeight="1" x14ac:dyDescent="0.3">
      <c r="A1" s="549" t="s">
        <v>945</v>
      </c>
      <c r="B1" s="550"/>
      <c r="C1" s="241">
        <v>44362</v>
      </c>
      <c r="D1" s="156"/>
      <c r="E1" s="156"/>
      <c r="F1" s="239" t="s">
        <v>11</v>
      </c>
      <c r="G1" s="240">
        <v>1</v>
      </c>
      <c r="M1" s="545">
        <f>M2</f>
        <v>44361</v>
      </c>
      <c r="N1" s="546"/>
      <c r="O1" s="546"/>
      <c r="P1" s="546"/>
      <c r="Q1" s="546"/>
      <c r="R1" s="546"/>
      <c r="S1" s="547"/>
      <c r="T1" s="545">
        <f>T2</f>
        <v>44368</v>
      </c>
      <c r="U1" s="546"/>
      <c r="V1" s="546"/>
      <c r="W1" s="546"/>
      <c r="X1" s="546"/>
      <c r="Y1" s="546"/>
      <c r="Z1" s="547"/>
      <c r="AA1" s="545">
        <f>AA2</f>
        <v>44375</v>
      </c>
      <c r="AB1" s="546"/>
      <c r="AC1" s="546"/>
      <c r="AD1" s="546"/>
      <c r="AE1" s="546"/>
      <c r="AF1" s="546"/>
      <c r="AG1" s="547"/>
      <c r="AH1" s="545">
        <f>AH2</f>
        <v>44382</v>
      </c>
      <c r="AI1" s="546"/>
      <c r="AJ1" s="546"/>
      <c r="AK1" s="546"/>
      <c r="AL1" s="546"/>
      <c r="AM1" s="546"/>
      <c r="AN1" s="547"/>
      <c r="AO1" s="545">
        <f>AO2</f>
        <v>44389</v>
      </c>
      <c r="AP1" s="546"/>
      <c r="AQ1" s="546"/>
      <c r="AR1" s="546"/>
      <c r="AS1" s="546"/>
      <c r="AT1" s="546"/>
      <c r="AU1" s="547"/>
      <c r="AV1" s="545">
        <f>AV2</f>
        <v>44396</v>
      </c>
      <c r="AW1" s="546"/>
      <c r="AX1" s="546"/>
      <c r="AY1" s="546"/>
      <c r="AZ1" s="546"/>
      <c r="BA1" s="546"/>
      <c r="BB1" s="547"/>
      <c r="BC1" s="545">
        <f>BC2</f>
        <v>44403</v>
      </c>
      <c r="BD1" s="546"/>
      <c r="BE1" s="546"/>
      <c r="BF1" s="546"/>
      <c r="BG1" s="546"/>
      <c r="BH1" s="546"/>
      <c r="BI1" s="547"/>
      <c r="BJ1" s="545">
        <f>BJ2</f>
        <v>44410</v>
      </c>
      <c r="BK1" s="546"/>
      <c r="BL1" s="546"/>
      <c r="BM1" s="546"/>
      <c r="BN1" s="546"/>
      <c r="BO1" s="546"/>
      <c r="BP1" s="547"/>
      <c r="BQ1" s="545">
        <f>BQ2</f>
        <v>44417</v>
      </c>
      <c r="BR1" s="546"/>
      <c r="BS1" s="546"/>
      <c r="BT1" s="546"/>
      <c r="BU1" s="546"/>
      <c r="BV1" s="546"/>
      <c r="BW1" s="547"/>
      <c r="BX1" s="545">
        <f>BX2</f>
        <v>44424</v>
      </c>
      <c r="BY1" s="546"/>
      <c r="BZ1" s="546"/>
      <c r="CA1" s="546"/>
      <c r="CB1" s="546"/>
      <c r="CC1" s="546"/>
      <c r="CD1" s="547"/>
      <c r="CE1" s="545">
        <f>CE2</f>
        <v>44431</v>
      </c>
      <c r="CF1" s="546"/>
      <c r="CG1" s="546"/>
      <c r="CH1" s="546"/>
      <c r="CI1" s="546"/>
      <c r="CJ1" s="546"/>
      <c r="CK1" s="547"/>
      <c r="CL1" s="545">
        <f>CL2</f>
        <v>44438</v>
      </c>
      <c r="CM1" s="546"/>
      <c r="CN1" s="546"/>
      <c r="CO1" s="546"/>
      <c r="CP1" s="546"/>
      <c r="CQ1" s="546"/>
      <c r="CR1" s="547"/>
      <c r="CS1" s="545">
        <f>CS2</f>
        <v>44445</v>
      </c>
      <c r="CT1" s="546"/>
      <c r="CU1" s="546"/>
      <c r="CV1" s="546"/>
      <c r="CW1" s="546"/>
      <c r="CX1" s="546"/>
      <c r="CY1" s="547"/>
    </row>
    <row r="2" spans="1:103" ht="15" customHeight="1" x14ac:dyDescent="0.3">
      <c r="A2" s="117"/>
      <c r="B2" s="548"/>
      <c r="C2" s="548"/>
      <c r="D2" s="548"/>
      <c r="E2" s="548"/>
      <c r="F2" s="548"/>
      <c r="G2" s="548"/>
      <c r="H2" s="548"/>
      <c r="I2" s="548"/>
      <c r="J2" s="548"/>
      <c r="K2" s="548"/>
      <c r="M2" s="9">
        <f>Project_Start-WEEKDAY(Project_Start,1)+2+7*(Display_Week-1)</f>
        <v>44361</v>
      </c>
      <c r="N2" s="8">
        <f>M2+1</f>
        <v>44362</v>
      </c>
      <c r="O2" s="8">
        <f t="shared" ref="O2:BB2" si="0">N2+1</f>
        <v>44363</v>
      </c>
      <c r="P2" s="8">
        <f t="shared" si="0"/>
        <v>44364</v>
      </c>
      <c r="Q2" s="8">
        <f t="shared" si="0"/>
        <v>44365</v>
      </c>
      <c r="R2" s="8">
        <f t="shared" si="0"/>
        <v>44366</v>
      </c>
      <c r="S2" s="10">
        <f t="shared" si="0"/>
        <v>44367</v>
      </c>
      <c r="T2" s="9">
        <f>S2+1</f>
        <v>44368</v>
      </c>
      <c r="U2" s="8">
        <f>T2+1</f>
        <v>44369</v>
      </c>
      <c r="V2" s="8">
        <f t="shared" si="0"/>
        <v>44370</v>
      </c>
      <c r="W2" s="8">
        <f t="shared" si="0"/>
        <v>44371</v>
      </c>
      <c r="X2" s="8">
        <f t="shared" si="0"/>
        <v>44372</v>
      </c>
      <c r="Y2" s="8">
        <f t="shared" si="0"/>
        <v>44373</v>
      </c>
      <c r="Z2" s="10">
        <f t="shared" si="0"/>
        <v>44374</v>
      </c>
      <c r="AA2" s="9">
        <f>Z2+1</f>
        <v>44375</v>
      </c>
      <c r="AB2" s="8">
        <f>AA2+1</f>
        <v>44376</v>
      </c>
      <c r="AC2" s="8">
        <f t="shared" si="0"/>
        <v>44377</v>
      </c>
      <c r="AD2" s="8">
        <f t="shared" si="0"/>
        <v>44378</v>
      </c>
      <c r="AE2" s="8">
        <f t="shared" si="0"/>
        <v>44379</v>
      </c>
      <c r="AF2" s="8">
        <f t="shared" si="0"/>
        <v>44380</v>
      </c>
      <c r="AG2" s="10">
        <f t="shared" si="0"/>
        <v>44381</v>
      </c>
      <c r="AH2" s="9">
        <f>AG2+1</f>
        <v>44382</v>
      </c>
      <c r="AI2" s="8">
        <f>AH2+1</f>
        <v>44383</v>
      </c>
      <c r="AJ2" s="8">
        <f t="shared" si="0"/>
        <v>44384</v>
      </c>
      <c r="AK2" s="8">
        <f t="shared" si="0"/>
        <v>44385</v>
      </c>
      <c r="AL2" s="8">
        <f t="shared" si="0"/>
        <v>44386</v>
      </c>
      <c r="AM2" s="8">
        <f t="shared" si="0"/>
        <v>44387</v>
      </c>
      <c r="AN2" s="10">
        <f t="shared" si="0"/>
        <v>44388</v>
      </c>
      <c r="AO2" s="9">
        <f>AN2+1</f>
        <v>44389</v>
      </c>
      <c r="AP2" s="8">
        <f>AO2+1</f>
        <v>44390</v>
      </c>
      <c r="AQ2" s="8">
        <f t="shared" si="0"/>
        <v>44391</v>
      </c>
      <c r="AR2" s="8">
        <f t="shared" si="0"/>
        <v>44392</v>
      </c>
      <c r="AS2" s="8">
        <f t="shared" si="0"/>
        <v>44393</v>
      </c>
      <c r="AT2" s="8">
        <f t="shared" si="0"/>
        <v>44394</v>
      </c>
      <c r="AU2" s="10">
        <f t="shared" si="0"/>
        <v>44395</v>
      </c>
      <c r="AV2" s="9">
        <f>AU2+1</f>
        <v>44396</v>
      </c>
      <c r="AW2" s="8">
        <f>AV2+1</f>
        <v>44397</v>
      </c>
      <c r="AX2" s="8">
        <f t="shared" si="0"/>
        <v>44398</v>
      </c>
      <c r="AY2" s="8">
        <f t="shared" si="0"/>
        <v>44399</v>
      </c>
      <c r="AZ2" s="8">
        <f t="shared" si="0"/>
        <v>44400</v>
      </c>
      <c r="BA2" s="8">
        <f t="shared" si="0"/>
        <v>44401</v>
      </c>
      <c r="BB2" s="10">
        <f t="shared" si="0"/>
        <v>44402</v>
      </c>
      <c r="BC2" s="9">
        <f t="shared" ref="BC2:CH2" si="1">BB2+1</f>
        <v>44403</v>
      </c>
      <c r="BD2" s="8">
        <f t="shared" si="1"/>
        <v>44404</v>
      </c>
      <c r="BE2" s="8">
        <f t="shared" si="1"/>
        <v>44405</v>
      </c>
      <c r="BF2" s="8">
        <f t="shared" si="1"/>
        <v>44406</v>
      </c>
      <c r="BG2" s="8">
        <f t="shared" si="1"/>
        <v>44407</v>
      </c>
      <c r="BH2" s="8">
        <f t="shared" si="1"/>
        <v>44408</v>
      </c>
      <c r="BI2" s="10">
        <f t="shared" si="1"/>
        <v>44409</v>
      </c>
      <c r="BJ2" s="9">
        <f t="shared" si="1"/>
        <v>44410</v>
      </c>
      <c r="BK2" s="8">
        <f t="shared" si="1"/>
        <v>44411</v>
      </c>
      <c r="BL2" s="8">
        <f t="shared" si="1"/>
        <v>44412</v>
      </c>
      <c r="BM2" s="8">
        <f t="shared" si="1"/>
        <v>44413</v>
      </c>
      <c r="BN2" s="8">
        <f t="shared" si="1"/>
        <v>44414</v>
      </c>
      <c r="BO2" s="8">
        <f t="shared" si="1"/>
        <v>44415</v>
      </c>
      <c r="BP2" s="10">
        <f t="shared" si="1"/>
        <v>44416</v>
      </c>
      <c r="BQ2" s="9">
        <f t="shared" si="1"/>
        <v>44417</v>
      </c>
      <c r="BR2" s="8">
        <f t="shared" si="1"/>
        <v>44418</v>
      </c>
      <c r="BS2" s="8">
        <f t="shared" si="1"/>
        <v>44419</v>
      </c>
      <c r="BT2" s="8">
        <f t="shared" si="1"/>
        <v>44420</v>
      </c>
      <c r="BU2" s="8">
        <f t="shared" si="1"/>
        <v>44421</v>
      </c>
      <c r="BV2" s="8">
        <f t="shared" si="1"/>
        <v>44422</v>
      </c>
      <c r="BW2" s="10">
        <f t="shared" si="1"/>
        <v>44423</v>
      </c>
      <c r="BX2" s="9">
        <f t="shared" si="1"/>
        <v>44424</v>
      </c>
      <c r="BY2" s="8">
        <f t="shared" si="1"/>
        <v>44425</v>
      </c>
      <c r="BZ2" s="8">
        <f t="shared" si="1"/>
        <v>44426</v>
      </c>
      <c r="CA2" s="8">
        <f t="shared" si="1"/>
        <v>44427</v>
      </c>
      <c r="CB2" s="8">
        <f t="shared" si="1"/>
        <v>44428</v>
      </c>
      <c r="CC2" s="8">
        <f t="shared" si="1"/>
        <v>44429</v>
      </c>
      <c r="CD2" s="10">
        <f t="shared" si="1"/>
        <v>44430</v>
      </c>
      <c r="CE2" s="9">
        <f t="shared" si="1"/>
        <v>44431</v>
      </c>
      <c r="CF2" s="8">
        <f t="shared" si="1"/>
        <v>44432</v>
      </c>
      <c r="CG2" s="8">
        <f t="shared" si="1"/>
        <v>44433</v>
      </c>
      <c r="CH2" s="8">
        <f t="shared" si="1"/>
        <v>44434</v>
      </c>
      <c r="CI2" s="8">
        <f t="shared" ref="CI2:CY2" si="2">CH2+1</f>
        <v>44435</v>
      </c>
      <c r="CJ2" s="8">
        <f t="shared" si="2"/>
        <v>44436</v>
      </c>
      <c r="CK2" s="10">
        <f t="shared" si="2"/>
        <v>44437</v>
      </c>
      <c r="CL2" s="9">
        <f t="shared" si="2"/>
        <v>44438</v>
      </c>
      <c r="CM2" s="8">
        <f t="shared" si="2"/>
        <v>44439</v>
      </c>
      <c r="CN2" s="8">
        <f t="shared" si="2"/>
        <v>44440</v>
      </c>
      <c r="CO2" s="8">
        <f t="shared" si="2"/>
        <v>44441</v>
      </c>
      <c r="CP2" s="8">
        <f t="shared" si="2"/>
        <v>44442</v>
      </c>
      <c r="CQ2" s="8">
        <f t="shared" si="2"/>
        <v>44443</v>
      </c>
      <c r="CR2" s="10">
        <f t="shared" si="2"/>
        <v>44444</v>
      </c>
      <c r="CS2" s="9">
        <f t="shared" si="2"/>
        <v>44445</v>
      </c>
      <c r="CT2" s="8">
        <f t="shared" si="2"/>
        <v>44446</v>
      </c>
      <c r="CU2" s="8">
        <f t="shared" si="2"/>
        <v>44447</v>
      </c>
      <c r="CV2" s="8">
        <f t="shared" si="2"/>
        <v>44448</v>
      </c>
      <c r="CW2" s="8">
        <f t="shared" si="2"/>
        <v>44449</v>
      </c>
      <c r="CX2" s="8">
        <f t="shared" si="2"/>
        <v>44450</v>
      </c>
      <c r="CY2" s="10">
        <f t="shared" si="2"/>
        <v>44451</v>
      </c>
    </row>
    <row r="3" spans="1:103" ht="30" customHeight="1" thickBot="1" x14ac:dyDescent="0.35">
      <c r="A3" s="118" t="s">
        <v>506</v>
      </c>
      <c r="B3" s="78" t="s">
        <v>14</v>
      </c>
      <c r="C3" s="78" t="s">
        <v>15</v>
      </c>
      <c r="D3" s="7" t="s">
        <v>17</v>
      </c>
      <c r="E3" s="7" t="s">
        <v>694</v>
      </c>
      <c r="F3" s="7" t="s">
        <v>18</v>
      </c>
      <c r="G3" s="7" t="s">
        <v>20</v>
      </c>
      <c r="H3" s="7" t="s">
        <v>21</v>
      </c>
      <c r="I3" s="7" t="s">
        <v>22</v>
      </c>
      <c r="J3" s="7" t="s">
        <v>23</v>
      </c>
      <c r="K3" s="7"/>
      <c r="L3" s="7" t="s">
        <v>24</v>
      </c>
      <c r="M3" s="11" t="str">
        <f t="shared" ref="M3:BP3" si="3">LEFT(TEXT(M2,"ddd"),1)</f>
        <v>M</v>
      </c>
      <c r="N3" s="11" t="str">
        <f t="shared" si="3"/>
        <v>T</v>
      </c>
      <c r="O3" s="11" t="str">
        <f t="shared" si="3"/>
        <v>W</v>
      </c>
      <c r="P3" s="11" t="str">
        <f t="shared" si="3"/>
        <v>T</v>
      </c>
      <c r="Q3" s="11" t="str">
        <f t="shared" si="3"/>
        <v>F</v>
      </c>
      <c r="R3" s="11" t="str">
        <f t="shared" si="3"/>
        <v>S</v>
      </c>
      <c r="S3" s="11" t="str">
        <f t="shared" si="3"/>
        <v>S</v>
      </c>
      <c r="T3" s="11" t="str">
        <f t="shared" si="3"/>
        <v>M</v>
      </c>
      <c r="U3" s="11" t="str">
        <f t="shared" si="3"/>
        <v>T</v>
      </c>
      <c r="V3" s="11" t="str">
        <f t="shared" si="3"/>
        <v>W</v>
      </c>
      <c r="W3" s="11" t="str">
        <f t="shared" si="3"/>
        <v>T</v>
      </c>
      <c r="X3" s="11" t="str">
        <f t="shared" si="3"/>
        <v>F</v>
      </c>
      <c r="Y3" s="11" t="str">
        <f t="shared" si="3"/>
        <v>S</v>
      </c>
      <c r="Z3" s="11" t="str">
        <f t="shared" si="3"/>
        <v>S</v>
      </c>
      <c r="AA3" s="11" t="str">
        <f t="shared" si="3"/>
        <v>M</v>
      </c>
      <c r="AB3" s="11" t="str">
        <f t="shared" si="3"/>
        <v>T</v>
      </c>
      <c r="AC3" s="11" t="str">
        <f t="shared" si="3"/>
        <v>W</v>
      </c>
      <c r="AD3" s="11" t="str">
        <f t="shared" si="3"/>
        <v>T</v>
      </c>
      <c r="AE3" s="11" t="str">
        <f t="shared" si="3"/>
        <v>F</v>
      </c>
      <c r="AF3" s="11" t="str">
        <f t="shared" si="3"/>
        <v>S</v>
      </c>
      <c r="AG3" s="11" t="str">
        <f t="shared" si="3"/>
        <v>S</v>
      </c>
      <c r="AH3" s="11" t="str">
        <f t="shared" si="3"/>
        <v>M</v>
      </c>
      <c r="AI3" s="11" t="str">
        <f t="shared" si="3"/>
        <v>T</v>
      </c>
      <c r="AJ3" s="11" t="str">
        <f t="shared" si="3"/>
        <v>W</v>
      </c>
      <c r="AK3" s="11" t="str">
        <f t="shared" si="3"/>
        <v>T</v>
      </c>
      <c r="AL3" s="11" t="str">
        <f t="shared" si="3"/>
        <v>F</v>
      </c>
      <c r="AM3" s="11" t="str">
        <f t="shared" si="3"/>
        <v>S</v>
      </c>
      <c r="AN3" s="11" t="str">
        <f t="shared" si="3"/>
        <v>S</v>
      </c>
      <c r="AO3" s="11" t="str">
        <f t="shared" si="3"/>
        <v>M</v>
      </c>
      <c r="AP3" s="11" t="str">
        <f t="shared" si="3"/>
        <v>T</v>
      </c>
      <c r="AQ3" s="11" t="str">
        <f t="shared" si="3"/>
        <v>W</v>
      </c>
      <c r="AR3" s="11" t="str">
        <f t="shared" si="3"/>
        <v>T</v>
      </c>
      <c r="AS3" s="11" t="str">
        <f t="shared" si="3"/>
        <v>F</v>
      </c>
      <c r="AT3" s="11" t="str">
        <f t="shared" si="3"/>
        <v>S</v>
      </c>
      <c r="AU3" s="11" t="str">
        <f t="shared" si="3"/>
        <v>S</v>
      </c>
      <c r="AV3" s="11" t="str">
        <f t="shared" si="3"/>
        <v>M</v>
      </c>
      <c r="AW3" s="11" t="str">
        <f t="shared" si="3"/>
        <v>T</v>
      </c>
      <c r="AX3" s="11" t="str">
        <f t="shared" si="3"/>
        <v>W</v>
      </c>
      <c r="AY3" s="11" t="str">
        <f t="shared" si="3"/>
        <v>T</v>
      </c>
      <c r="AZ3" s="11" t="str">
        <f t="shared" si="3"/>
        <v>F</v>
      </c>
      <c r="BA3" s="11" t="str">
        <f t="shared" si="3"/>
        <v>S</v>
      </c>
      <c r="BB3" s="11" t="str">
        <f t="shared" si="3"/>
        <v>S</v>
      </c>
      <c r="BC3" s="11" t="str">
        <f t="shared" si="3"/>
        <v>M</v>
      </c>
      <c r="BD3" s="11" t="str">
        <f t="shared" si="3"/>
        <v>T</v>
      </c>
      <c r="BE3" s="11" t="str">
        <f t="shared" si="3"/>
        <v>W</v>
      </c>
      <c r="BF3" s="11" t="str">
        <f t="shared" si="3"/>
        <v>T</v>
      </c>
      <c r="BG3" s="11" t="str">
        <f t="shared" si="3"/>
        <v>F</v>
      </c>
      <c r="BH3" s="11" t="str">
        <f t="shared" si="3"/>
        <v>S</v>
      </c>
      <c r="BI3" s="11" t="str">
        <f t="shared" si="3"/>
        <v>S</v>
      </c>
      <c r="BJ3" s="11" t="str">
        <f t="shared" si="3"/>
        <v>M</v>
      </c>
      <c r="BK3" s="11" t="str">
        <f t="shared" si="3"/>
        <v>T</v>
      </c>
      <c r="BL3" s="11" t="str">
        <f t="shared" si="3"/>
        <v>W</v>
      </c>
      <c r="BM3" s="11" t="str">
        <f t="shared" si="3"/>
        <v>T</v>
      </c>
      <c r="BN3" s="11" t="str">
        <f t="shared" si="3"/>
        <v>F</v>
      </c>
      <c r="BO3" s="11" t="str">
        <f t="shared" si="3"/>
        <v>S</v>
      </c>
      <c r="BP3" s="11" t="str">
        <f t="shared" si="3"/>
        <v>S</v>
      </c>
      <c r="BQ3" s="11" t="str">
        <f t="shared" ref="BQ3:BW3" si="4">LEFT(TEXT(BQ2,"ddd"),1)</f>
        <v>M</v>
      </c>
      <c r="BR3" s="11" t="str">
        <f t="shared" si="4"/>
        <v>T</v>
      </c>
      <c r="BS3" s="11" t="str">
        <f t="shared" si="4"/>
        <v>W</v>
      </c>
      <c r="BT3" s="11" t="str">
        <f t="shared" si="4"/>
        <v>T</v>
      </c>
      <c r="BU3" s="11" t="str">
        <f t="shared" si="4"/>
        <v>F</v>
      </c>
      <c r="BV3" s="11" t="str">
        <f t="shared" si="4"/>
        <v>S</v>
      </c>
      <c r="BW3" s="11" t="str">
        <f t="shared" si="4"/>
        <v>S</v>
      </c>
      <c r="BX3" s="11" t="str">
        <f t="shared" ref="BX3:CD3" si="5">LEFT(TEXT(BX2,"ddd"),1)</f>
        <v>M</v>
      </c>
      <c r="BY3" s="11" t="str">
        <f t="shared" si="5"/>
        <v>T</v>
      </c>
      <c r="BZ3" s="11" t="str">
        <f t="shared" si="5"/>
        <v>W</v>
      </c>
      <c r="CA3" s="11" t="str">
        <f t="shared" si="5"/>
        <v>T</v>
      </c>
      <c r="CB3" s="11" t="str">
        <f t="shared" si="5"/>
        <v>F</v>
      </c>
      <c r="CC3" s="11" t="str">
        <f t="shared" si="5"/>
        <v>S</v>
      </c>
      <c r="CD3" s="11" t="str">
        <f t="shared" si="5"/>
        <v>S</v>
      </c>
      <c r="CE3" s="11" t="str">
        <f t="shared" ref="CE3:CK3" si="6">LEFT(TEXT(CE2,"ddd"),1)</f>
        <v>M</v>
      </c>
      <c r="CF3" s="11" t="str">
        <f t="shared" si="6"/>
        <v>T</v>
      </c>
      <c r="CG3" s="11" t="str">
        <f t="shared" si="6"/>
        <v>W</v>
      </c>
      <c r="CH3" s="11" t="str">
        <f t="shared" si="6"/>
        <v>T</v>
      </c>
      <c r="CI3" s="11" t="str">
        <f t="shared" si="6"/>
        <v>F</v>
      </c>
      <c r="CJ3" s="11" t="str">
        <f t="shared" si="6"/>
        <v>S</v>
      </c>
      <c r="CK3" s="11" t="str">
        <f t="shared" si="6"/>
        <v>S</v>
      </c>
      <c r="CL3" s="11" t="str">
        <f t="shared" ref="CL3:CR3" si="7">LEFT(TEXT(CL2,"ddd"),1)</f>
        <v>M</v>
      </c>
      <c r="CM3" s="11" t="str">
        <f t="shared" si="7"/>
        <v>T</v>
      </c>
      <c r="CN3" s="11" t="str">
        <f t="shared" si="7"/>
        <v>W</v>
      </c>
      <c r="CO3" s="11" t="str">
        <f t="shared" si="7"/>
        <v>T</v>
      </c>
      <c r="CP3" s="11" t="str">
        <f t="shared" si="7"/>
        <v>F</v>
      </c>
      <c r="CQ3" s="11" t="str">
        <f t="shared" si="7"/>
        <v>S</v>
      </c>
      <c r="CR3" s="11" t="str">
        <f t="shared" si="7"/>
        <v>S</v>
      </c>
      <c r="CS3" s="11" t="str">
        <f t="shared" ref="CS3:CY3" si="8">LEFT(TEXT(CS2,"ddd"),1)</f>
        <v>M</v>
      </c>
      <c r="CT3" s="11" t="str">
        <f t="shared" si="8"/>
        <v>T</v>
      </c>
      <c r="CU3" s="11" t="str">
        <f t="shared" si="8"/>
        <v>W</v>
      </c>
      <c r="CV3" s="11" t="str">
        <f t="shared" si="8"/>
        <v>T</v>
      </c>
      <c r="CW3" s="11" t="str">
        <f t="shared" si="8"/>
        <v>F</v>
      </c>
      <c r="CX3" s="11" t="str">
        <f t="shared" si="8"/>
        <v>S</v>
      </c>
      <c r="CY3" s="11" t="str">
        <f t="shared" si="8"/>
        <v>S</v>
      </c>
    </row>
    <row r="4" spans="1:103" s="2" customFormat="1" ht="15" customHeight="1" thickBot="1" x14ac:dyDescent="0.35">
      <c r="A4" s="110" t="s">
        <v>934</v>
      </c>
      <c r="B4" s="16"/>
      <c r="C4" s="16"/>
      <c r="D4" s="56"/>
      <c r="E4" s="17"/>
      <c r="F4" s="56"/>
      <c r="G4" s="18"/>
      <c r="H4" s="19"/>
      <c r="I4" s="19"/>
      <c r="J4" s="19"/>
      <c r="K4" s="15"/>
      <c r="L4" s="15" t="str">
        <f>IF(OR(ISBLANK(task_start),ISBLANK(task_end)),"",task_end-task_start+1)</f>
        <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row>
    <row r="5" spans="1:103" s="152" customFormat="1" ht="12.6" customHeight="1" outlineLevel="1" thickBot="1" x14ac:dyDescent="0.35">
      <c r="A5" s="145"/>
      <c r="B5" s="125" t="s">
        <v>915</v>
      </c>
      <c r="C5" s="125"/>
      <c r="D5" s="146"/>
      <c r="E5" s="147">
        <f>AVERAGE(E6:E94)</f>
        <v>0.93103448275862066</v>
      </c>
      <c r="F5" s="281"/>
      <c r="G5" s="282"/>
      <c r="H5" s="282"/>
      <c r="I5" s="148"/>
      <c r="J5" s="148"/>
      <c r="K5" s="149"/>
      <c r="L5" s="149"/>
      <c r="M5" s="150"/>
      <c r="N5" s="150"/>
      <c r="O5" s="150"/>
      <c r="P5" s="150"/>
      <c r="Q5" s="150"/>
      <c r="R5" s="150"/>
      <c r="S5" s="150"/>
      <c r="T5" s="150"/>
      <c r="U5" s="150"/>
      <c r="V5" s="150"/>
      <c r="W5" s="150"/>
      <c r="X5" s="150"/>
      <c r="Y5" s="151"/>
      <c r="Z5" s="151"/>
      <c r="AA5" s="150"/>
      <c r="AB5" s="150"/>
      <c r="AC5" s="150"/>
      <c r="AD5" s="150"/>
      <c r="AE5" s="150"/>
      <c r="AF5" s="150"/>
      <c r="AG5" s="150"/>
      <c r="AH5" s="150"/>
      <c r="AI5" s="150"/>
      <c r="AJ5" s="150"/>
      <c r="AK5" s="150"/>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c r="CS5" s="150"/>
      <c r="CT5" s="150"/>
      <c r="CU5" s="150"/>
      <c r="CV5" s="150"/>
      <c r="CW5" s="150"/>
      <c r="CX5" s="150"/>
      <c r="CY5" s="150"/>
    </row>
    <row r="6" spans="1:103" s="2" customFormat="1" ht="12.6" customHeight="1" outlineLevel="2" thickBot="1" x14ac:dyDescent="0.35">
      <c r="A6" s="119"/>
      <c r="B6" s="126" t="s">
        <v>916</v>
      </c>
      <c r="C6" s="119"/>
      <c r="D6" s="57" t="s">
        <v>917</v>
      </c>
      <c r="E6" s="20">
        <v>1</v>
      </c>
      <c r="F6" s="279">
        <v>0</v>
      </c>
      <c r="G6" s="280">
        <v>44362</v>
      </c>
      <c r="H6" s="280">
        <f t="shared" ref="H6:H18" si="9">WORKDAY(G6,F6)</f>
        <v>44362</v>
      </c>
      <c r="I6" s="51"/>
      <c r="J6" s="51"/>
      <c r="K6" s="15"/>
      <c r="L6" s="15"/>
      <c r="M6" s="42"/>
      <c r="N6" s="288"/>
      <c r="O6" s="42"/>
      <c r="P6" s="42"/>
      <c r="Q6" s="42"/>
      <c r="R6" s="42"/>
      <c r="S6" s="42"/>
      <c r="T6" s="42"/>
      <c r="U6" s="42"/>
      <c r="V6" s="42"/>
      <c r="W6" s="42"/>
      <c r="X6" s="42"/>
      <c r="Y6" s="43"/>
      <c r="Z6" s="43"/>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row>
    <row r="7" spans="1:103" s="2" customFormat="1" ht="12.6" customHeight="1" outlineLevel="2" thickBot="1" x14ac:dyDescent="0.35">
      <c r="A7" s="119"/>
      <c r="B7" s="126" t="s">
        <v>918</v>
      </c>
      <c r="C7" s="65"/>
      <c r="D7" s="57" t="s">
        <v>919</v>
      </c>
      <c r="E7" s="20">
        <v>1</v>
      </c>
      <c r="F7" s="279">
        <v>0</v>
      </c>
      <c r="G7" s="280">
        <v>44364</v>
      </c>
      <c r="H7" s="280">
        <f t="shared" si="9"/>
        <v>44364</v>
      </c>
      <c r="I7" s="51"/>
      <c r="J7" s="51"/>
      <c r="K7" s="15"/>
      <c r="L7" s="15"/>
      <c r="M7" s="42"/>
      <c r="N7" s="42"/>
      <c r="O7" s="42"/>
      <c r="P7" s="288"/>
      <c r="Q7" s="42"/>
      <c r="R7" s="42"/>
      <c r="S7" s="42"/>
      <c r="T7" s="42"/>
      <c r="U7" s="42"/>
      <c r="V7" s="42"/>
      <c r="W7" s="42"/>
      <c r="X7" s="42"/>
      <c r="Y7" s="43"/>
      <c r="Z7" s="43"/>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row>
    <row r="8" spans="1:103" s="2" customFormat="1" ht="12.6" customHeight="1" outlineLevel="2" thickBot="1" x14ac:dyDescent="0.35">
      <c r="A8" s="119"/>
      <c r="B8" s="126" t="s">
        <v>920</v>
      </c>
      <c r="C8" s="65"/>
      <c r="D8" s="57" t="s">
        <v>917</v>
      </c>
      <c r="E8" s="20">
        <v>1</v>
      </c>
      <c r="F8" s="279">
        <v>0</v>
      </c>
      <c r="G8" s="280">
        <v>44364</v>
      </c>
      <c r="H8" s="280">
        <f t="shared" si="9"/>
        <v>44364</v>
      </c>
      <c r="I8" s="51"/>
      <c r="J8" s="51"/>
      <c r="K8" s="15"/>
      <c r="L8" s="15"/>
      <c r="M8" s="42"/>
      <c r="N8" s="42"/>
      <c r="O8" s="42"/>
      <c r="P8" s="288"/>
      <c r="Q8" s="42"/>
      <c r="R8" s="42"/>
      <c r="S8" s="42"/>
      <c r="T8" s="42"/>
      <c r="U8" s="42"/>
      <c r="V8" s="42"/>
      <c r="W8" s="42"/>
      <c r="X8" s="42"/>
      <c r="Y8" s="43"/>
      <c r="Z8" s="43"/>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row>
    <row r="9" spans="1:103" s="2" customFormat="1" ht="12.6" customHeight="1" outlineLevel="2" thickBot="1" x14ac:dyDescent="0.35">
      <c r="A9" s="119"/>
      <c r="B9" s="126" t="s">
        <v>921</v>
      </c>
      <c r="C9" s="65"/>
      <c r="D9" s="57" t="s">
        <v>922</v>
      </c>
      <c r="E9" s="20">
        <v>1</v>
      </c>
      <c r="F9" s="279">
        <v>0</v>
      </c>
      <c r="G9" s="280">
        <v>44364</v>
      </c>
      <c r="H9" s="280">
        <f t="shared" si="9"/>
        <v>44364</v>
      </c>
      <c r="I9" s="51"/>
      <c r="J9" s="51"/>
      <c r="K9" s="15"/>
      <c r="L9" s="15"/>
      <c r="M9" s="42"/>
      <c r="N9" s="42"/>
      <c r="O9" s="42"/>
      <c r="P9" s="288"/>
      <c r="Q9" s="42"/>
      <c r="R9" s="42"/>
      <c r="S9" s="42"/>
      <c r="T9" s="42"/>
      <c r="U9" s="42"/>
      <c r="V9" s="42"/>
      <c r="W9" s="42"/>
      <c r="X9" s="42"/>
      <c r="Y9" s="43"/>
      <c r="Z9" s="43"/>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row>
    <row r="10" spans="1:103" s="2" customFormat="1" ht="12.6" customHeight="1" outlineLevel="2" thickBot="1" x14ac:dyDescent="0.35">
      <c r="A10" s="119"/>
      <c r="B10" s="126" t="s">
        <v>923</v>
      </c>
      <c r="C10" s="65"/>
      <c r="D10" s="57" t="s">
        <v>924</v>
      </c>
      <c r="E10" s="20">
        <v>1</v>
      </c>
      <c r="F10" s="279">
        <v>12</v>
      </c>
      <c r="G10" s="280">
        <v>44364</v>
      </c>
      <c r="H10" s="280">
        <f t="shared" si="9"/>
        <v>44382</v>
      </c>
      <c r="I10" s="51"/>
      <c r="J10" s="51"/>
      <c r="K10" s="15"/>
      <c r="L10" s="15"/>
      <c r="M10" s="42"/>
      <c r="N10" s="42"/>
      <c r="O10" s="42"/>
      <c r="P10" s="288"/>
      <c r="Q10" s="288"/>
      <c r="R10" s="288"/>
      <c r="S10" s="288"/>
      <c r="T10" s="288"/>
      <c r="U10" s="288"/>
      <c r="V10" s="288"/>
      <c r="W10" s="288"/>
      <c r="X10" s="288"/>
      <c r="Y10" s="288"/>
      <c r="Z10" s="288"/>
      <c r="AA10" s="288"/>
      <c r="AB10" s="288"/>
      <c r="AC10" s="288"/>
      <c r="AD10" s="288"/>
      <c r="AE10" s="288"/>
      <c r="AF10" s="288"/>
      <c r="AG10" s="288"/>
      <c r="AH10" s="288"/>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row>
    <row r="11" spans="1:103" s="2" customFormat="1" ht="12.6" customHeight="1" outlineLevel="2" thickBot="1" x14ac:dyDescent="0.35">
      <c r="A11" s="119"/>
      <c r="B11" s="126" t="s">
        <v>925</v>
      </c>
      <c r="C11" s="65"/>
      <c r="D11" s="57" t="s">
        <v>919</v>
      </c>
      <c r="E11" s="20">
        <v>1</v>
      </c>
      <c r="F11" s="279">
        <v>0</v>
      </c>
      <c r="G11" s="280">
        <v>44364</v>
      </c>
      <c r="H11" s="280">
        <f t="shared" si="9"/>
        <v>44364</v>
      </c>
      <c r="I11" s="51"/>
      <c r="J11" s="51"/>
      <c r="K11" s="15"/>
      <c r="L11" s="15"/>
      <c r="M11" s="42"/>
      <c r="N11" s="42"/>
      <c r="O11" s="42"/>
      <c r="P11" s="288"/>
      <c r="Q11" s="42"/>
      <c r="R11" s="42"/>
      <c r="S11" s="42"/>
      <c r="T11" s="42"/>
      <c r="U11" s="42"/>
      <c r="V11" s="42"/>
      <c r="W11" s="42"/>
      <c r="X11" s="42"/>
      <c r="Y11" s="43"/>
      <c r="Z11" s="43"/>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row>
    <row r="12" spans="1:103" s="2" customFormat="1" ht="12.6" customHeight="1" outlineLevel="2" thickBot="1" x14ac:dyDescent="0.35">
      <c r="A12" s="119"/>
      <c r="B12" s="126" t="s">
        <v>926</v>
      </c>
      <c r="C12" s="65"/>
      <c r="D12" s="57" t="s">
        <v>919</v>
      </c>
      <c r="E12" s="20">
        <v>1</v>
      </c>
      <c r="F12" s="279">
        <v>0</v>
      </c>
      <c r="G12" s="280">
        <v>44389</v>
      </c>
      <c r="H12" s="280">
        <f t="shared" si="9"/>
        <v>44389</v>
      </c>
      <c r="I12" s="51"/>
      <c r="J12" s="51"/>
      <c r="K12" s="15"/>
      <c r="L12" s="15"/>
      <c r="M12" s="42"/>
      <c r="N12" s="42"/>
      <c r="O12" s="42"/>
      <c r="P12" s="42"/>
      <c r="Q12" s="42"/>
      <c r="R12" s="42"/>
      <c r="S12" s="42"/>
      <c r="T12" s="42"/>
      <c r="U12" s="42"/>
      <c r="V12" s="42"/>
      <c r="W12" s="42"/>
      <c r="X12" s="42"/>
      <c r="Y12" s="43"/>
      <c r="Z12" s="43"/>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s="42"/>
      <c r="CI12" s="42"/>
      <c r="CJ12" s="42"/>
      <c r="CK12" s="42"/>
      <c r="CL12" s="42"/>
      <c r="CM12" s="42"/>
      <c r="CN12" s="42"/>
      <c r="CO12" s="42"/>
      <c r="CP12" s="42"/>
      <c r="CQ12" s="42"/>
      <c r="CR12" s="42"/>
      <c r="CS12" s="42"/>
      <c r="CT12" s="42"/>
      <c r="CU12" s="42"/>
      <c r="CV12" s="42"/>
      <c r="CW12" s="42"/>
      <c r="CX12" s="42"/>
      <c r="CY12" s="42"/>
    </row>
    <row r="13" spans="1:103" s="2" customFormat="1" ht="12.6" customHeight="1" outlineLevel="2" thickBot="1" x14ac:dyDescent="0.35">
      <c r="A13" s="119"/>
      <c r="B13" s="126" t="s">
        <v>927</v>
      </c>
      <c r="C13" s="65"/>
      <c r="D13" s="57" t="s">
        <v>922</v>
      </c>
      <c r="E13" s="20">
        <v>1</v>
      </c>
      <c r="F13" s="279">
        <v>0</v>
      </c>
      <c r="G13" s="280">
        <v>44389</v>
      </c>
      <c r="H13" s="280">
        <f t="shared" si="9"/>
        <v>44389</v>
      </c>
      <c r="I13" s="51"/>
      <c r="J13" s="51"/>
      <c r="K13" s="15"/>
      <c r="L13" s="15"/>
      <c r="M13" s="42"/>
      <c r="N13" s="42"/>
      <c r="O13" s="42"/>
      <c r="P13" s="42"/>
      <c r="Q13" s="42"/>
      <c r="R13" s="42"/>
      <c r="S13" s="42"/>
      <c r="T13" s="42"/>
      <c r="U13" s="42"/>
      <c r="V13" s="42"/>
      <c r="W13" s="42"/>
      <c r="X13" s="42"/>
      <c r="Y13" s="43"/>
      <c r="Z13" s="43"/>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row>
    <row r="14" spans="1:103" s="2" customFormat="1" ht="12.6" customHeight="1" outlineLevel="2" thickBot="1" x14ac:dyDescent="0.35">
      <c r="A14" s="119"/>
      <c r="B14" s="126" t="s">
        <v>928</v>
      </c>
      <c r="C14" s="65"/>
      <c r="D14" s="57" t="s">
        <v>924</v>
      </c>
      <c r="E14" s="20">
        <v>1</v>
      </c>
      <c r="F14" s="279">
        <v>3</v>
      </c>
      <c r="G14" s="280">
        <v>44389</v>
      </c>
      <c r="H14" s="280">
        <f t="shared" si="9"/>
        <v>44392</v>
      </c>
      <c r="I14" s="51"/>
      <c r="J14" s="51"/>
      <c r="K14" s="15"/>
      <c r="L14" s="15"/>
      <c r="M14" s="42"/>
      <c r="N14" s="42"/>
      <c r="O14" s="42"/>
      <c r="P14" s="42"/>
      <c r="Q14" s="42"/>
      <c r="R14" s="42"/>
      <c r="S14" s="42"/>
      <c r="T14" s="42"/>
      <c r="U14" s="42"/>
      <c r="V14" s="42"/>
      <c r="W14" s="42"/>
      <c r="X14" s="42"/>
      <c r="Y14" s="43"/>
      <c r="Z14" s="43"/>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row>
    <row r="15" spans="1:103" s="2" customFormat="1" ht="12.6" customHeight="1" outlineLevel="2" thickBot="1" x14ac:dyDescent="0.35">
      <c r="A15" s="119"/>
      <c r="B15" s="126" t="s">
        <v>929</v>
      </c>
      <c r="C15" s="65"/>
      <c r="D15" s="57" t="s">
        <v>935</v>
      </c>
      <c r="E15" s="20">
        <v>1</v>
      </c>
      <c r="F15" s="279">
        <v>0</v>
      </c>
      <c r="G15" s="280">
        <v>44391</v>
      </c>
      <c r="H15" s="280">
        <f t="shared" si="9"/>
        <v>44391</v>
      </c>
      <c r="I15" s="51"/>
      <c r="J15" s="51"/>
      <c r="K15" s="15"/>
      <c r="L15" s="15"/>
      <c r="M15" s="42"/>
      <c r="N15" s="42"/>
      <c r="O15" s="42"/>
      <c r="P15" s="42"/>
      <c r="Q15" s="42"/>
      <c r="R15" s="42"/>
      <c r="S15" s="42"/>
      <c r="T15" s="42"/>
      <c r="U15" s="42"/>
      <c r="V15" s="42"/>
      <c r="W15" s="42"/>
      <c r="X15" s="42"/>
      <c r="Y15" s="43"/>
      <c r="Z15" s="43"/>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row>
    <row r="16" spans="1:103" s="2" customFormat="1" ht="12.6" customHeight="1" outlineLevel="2" thickBot="1" x14ac:dyDescent="0.35">
      <c r="A16" s="119"/>
      <c r="B16" s="126" t="s">
        <v>930</v>
      </c>
      <c r="C16" s="65"/>
      <c r="D16" s="57" t="s">
        <v>933</v>
      </c>
      <c r="E16" s="20">
        <v>1</v>
      </c>
      <c r="F16" s="279">
        <v>0</v>
      </c>
      <c r="G16" s="280">
        <v>44391</v>
      </c>
      <c r="H16" s="280">
        <f t="shared" si="9"/>
        <v>44391</v>
      </c>
      <c r="I16" s="51"/>
      <c r="J16" s="51"/>
      <c r="K16" s="15"/>
      <c r="L16" s="15"/>
      <c r="M16" s="42"/>
      <c r="N16" s="42"/>
      <c r="O16" s="42"/>
      <c r="P16" s="42"/>
      <c r="Q16" s="42"/>
      <c r="R16" s="42"/>
      <c r="S16" s="42"/>
      <c r="T16" s="42"/>
      <c r="U16" s="42"/>
      <c r="V16" s="42"/>
      <c r="W16" s="42"/>
      <c r="X16" s="42"/>
      <c r="Y16" s="43"/>
      <c r="Z16" s="43"/>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s="42"/>
      <c r="CI16" s="42"/>
      <c r="CJ16" s="42"/>
      <c r="CK16" s="42"/>
      <c r="CL16" s="42"/>
      <c r="CM16" s="42"/>
      <c r="CN16" s="42"/>
      <c r="CO16" s="42"/>
      <c r="CP16" s="42"/>
      <c r="CQ16" s="42"/>
      <c r="CR16" s="42"/>
      <c r="CS16" s="42"/>
      <c r="CT16" s="42"/>
      <c r="CU16" s="42"/>
      <c r="CV16" s="42"/>
      <c r="CW16" s="42"/>
      <c r="CX16" s="42"/>
      <c r="CY16" s="42"/>
    </row>
    <row r="17" spans="1:103" s="2" customFormat="1" ht="12.6" customHeight="1" outlineLevel="2" thickBot="1" x14ac:dyDescent="0.35">
      <c r="A17" s="119"/>
      <c r="B17" s="126" t="s">
        <v>931</v>
      </c>
      <c r="C17" s="65"/>
      <c r="D17" s="57" t="s">
        <v>933</v>
      </c>
      <c r="E17" s="20">
        <v>1</v>
      </c>
      <c r="F17" s="279">
        <v>0</v>
      </c>
      <c r="G17" s="280">
        <v>44395</v>
      </c>
      <c r="H17" s="280">
        <f t="shared" si="9"/>
        <v>44395</v>
      </c>
      <c r="I17" s="51"/>
      <c r="J17" s="51"/>
      <c r="K17" s="15"/>
      <c r="L17" s="15"/>
      <c r="M17" s="42"/>
      <c r="N17" s="42"/>
      <c r="O17" s="42"/>
      <c r="P17" s="42"/>
      <c r="Q17" s="42"/>
      <c r="R17" s="42"/>
      <c r="S17" s="42"/>
      <c r="T17" s="42"/>
      <c r="U17" s="42"/>
      <c r="V17" s="42"/>
      <c r="W17" s="42"/>
      <c r="X17" s="42"/>
      <c r="Y17" s="43"/>
      <c r="Z17" s="43"/>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row>
    <row r="18" spans="1:103" s="2" customFormat="1" ht="12.6" customHeight="1" outlineLevel="2" thickBot="1" x14ac:dyDescent="0.35">
      <c r="A18" s="119"/>
      <c r="B18" s="126" t="s">
        <v>932</v>
      </c>
      <c r="C18" s="119"/>
      <c r="D18" s="57" t="s">
        <v>919</v>
      </c>
      <c r="E18" s="20">
        <v>1</v>
      </c>
      <c r="F18" s="279">
        <v>0</v>
      </c>
      <c r="G18" s="280">
        <v>44395</v>
      </c>
      <c r="H18" s="280">
        <f t="shared" si="9"/>
        <v>44395</v>
      </c>
      <c r="I18" s="51"/>
      <c r="J18" s="51"/>
      <c r="K18" s="15"/>
      <c r="L18" s="15"/>
      <c r="M18" s="42"/>
      <c r="N18" s="42"/>
      <c r="O18" s="42"/>
      <c r="P18" s="42"/>
      <c r="Q18" s="42"/>
      <c r="R18" s="42"/>
      <c r="S18" s="42"/>
      <c r="T18" s="42"/>
      <c r="U18" s="42"/>
      <c r="V18" s="42"/>
      <c r="W18" s="42"/>
      <c r="X18" s="42"/>
      <c r="Y18" s="43"/>
      <c r="Z18" s="43"/>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s="42"/>
      <c r="CI18" s="42"/>
      <c r="CJ18" s="42"/>
      <c r="CK18" s="42"/>
      <c r="CL18" s="42"/>
      <c r="CM18" s="42"/>
      <c r="CN18" s="42"/>
      <c r="CO18" s="42"/>
      <c r="CP18" s="42"/>
      <c r="CQ18" s="42"/>
      <c r="CR18" s="42"/>
      <c r="CS18" s="42"/>
      <c r="CT18" s="42"/>
      <c r="CU18" s="42"/>
      <c r="CV18" s="42"/>
      <c r="CW18" s="42"/>
      <c r="CX18" s="42"/>
      <c r="CY18" s="42"/>
    </row>
    <row r="19" spans="1:103" s="2" customFormat="1" ht="12.6" customHeight="1" outlineLevel="2" thickBot="1" x14ac:dyDescent="0.35">
      <c r="A19" s="119"/>
      <c r="B19" s="125" t="s">
        <v>939</v>
      </c>
      <c r="C19" s="65"/>
      <c r="D19" s="57"/>
      <c r="E19" s="20"/>
      <c r="F19" s="279"/>
      <c r="G19" s="280"/>
      <c r="H19" s="280"/>
      <c r="I19" s="51"/>
      <c r="J19" s="51"/>
      <c r="K19" s="15"/>
      <c r="L19" s="15"/>
      <c r="M19" s="42"/>
      <c r="N19" s="42"/>
      <c r="O19" s="42"/>
      <c r="P19" s="42"/>
      <c r="Q19" s="42"/>
      <c r="R19" s="42"/>
      <c r="S19" s="42"/>
      <c r="T19" s="42"/>
      <c r="U19" s="42"/>
      <c r="V19" s="42"/>
      <c r="W19" s="42"/>
      <c r="X19" s="42"/>
      <c r="Y19" s="43"/>
      <c r="Z19" s="43"/>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row>
    <row r="20" spans="1:103" s="2" customFormat="1" ht="12.6" customHeight="1" outlineLevel="2" thickBot="1" x14ac:dyDescent="0.35">
      <c r="A20" s="119"/>
      <c r="B20" s="126" t="s">
        <v>938</v>
      </c>
      <c r="C20" s="65"/>
      <c r="D20" s="57" t="s">
        <v>944</v>
      </c>
      <c r="E20" s="20">
        <v>1</v>
      </c>
      <c r="F20" s="279">
        <v>0</v>
      </c>
      <c r="G20" s="280">
        <v>44390</v>
      </c>
      <c r="H20" s="280">
        <f>WORKDAY(G20,F20)</f>
        <v>44390</v>
      </c>
      <c r="I20" s="51"/>
      <c r="J20" s="51"/>
      <c r="K20" s="15"/>
      <c r="L20" s="15"/>
      <c r="M20" s="42"/>
      <c r="N20" s="42"/>
      <c r="O20" s="42"/>
      <c r="P20" s="42"/>
      <c r="Q20" s="42"/>
      <c r="R20" s="42"/>
      <c r="S20" s="42"/>
      <c r="T20" s="42"/>
      <c r="U20" s="42"/>
      <c r="V20" s="42"/>
      <c r="W20" s="42"/>
      <c r="X20" s="42"/>
      <c r="Y20" s="43"/>
      <c r="Z20" s="43"/>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42"/>
      <c r="CF20" s="42"/>
      <c r="CG20" s="42"/>
      <c r="CH20" s="42"/>
      <c r="CI20" s="42"/>
      <c r="CJ20" s="42"/>
      <c r="CK20" s="42"/>
      <c r="CL20" s="42"/>
      <c r="CM20" s="42"/>
      <c r="CN20" s="42"/>
      <c r="CO20" s="42"/>
      <c r="CP20" s="42"/>
      <c r="CQ20" s="42"/>
      <c r="CR20" s="42"/>
      <c r="CS20" s="42"/>
      <c r="CT20" s="42"/>
      <c r="CU20" s="42"/>
      <c r="CV20" s="42"/>
      <c r="CW20" s="42"/>
      <c r="CX20" s="42"/>
      <c r="CY20" s="42"/>
    </row>
    <row r="21" spans="1:103" s="2" customFormat="1" ht="43.8" outlineLevel="2" thickBot="1" x14ac:dyDescent="0.35">
      <c r="A21" s="119"/>
      <c r="B21" s="287" t="s">
        <v>940</v>
      </c>
      <c r="C21" s="65"/>
      <c r="D21" s="57" t="s">
        <v>943</v>
      </c>
      <c r="E21" s="20">
        <v>1</v>
      </c>
      <c r="F21" s="279">
        <v>0</v>
      </c>
      <c r="G21" s="280">
        <v>44399</v>
      </c>
      <c r="H21" s="280">
        <f>WORKDAY(G21,F21)</f>
        <v>44399</v>
      </c>
      <c r="I21" s="51"/>
      <c r="J21" s="51"/>
      <c r="K21" s="15"/>
      <c r="L21" s="15"/>
      <c r="M21" s="42"/>
      <c r="N21" s="42"/>
      <c r="O21" s="42"/>
      <c r="P21" s="42"/>
      <c r="Q21" s="42"/>
      <c r="R21" s="42"/>
      <c r="S21" s="42"/>
      <c r="T21" s="42"/>
      <c r="U21" s="42"/>
      <c r="V21" s="42"/>
      <c r="W21" s="42"/>
      <c r="X21" s="42"/>
      <c r="Y21" s="43"/>
      <c r="Z21" s="43"/>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42"/>
      <c r="CF21" s="42"/>
      <c r="CG21" s="42"/>
      <c r="CH21" s="42"/>
      <c r="CI21" s="42"/>
      <c r="CJ21" s="42"/>
      <c r="CK21" s="42"/>
      <c r="CL21" s="42"/>
      <c r="CM21" s="42"/>
      <c r="CN21" s="42"/>
      <c r="CO21" s="42"/>
      <c r="CP21" s="42"/>
      <c r="CQ21" s="42"/>
      <c r="CR21" s="42"/>
      <c r="CS21" s="42"/>
      <c r="CT21" s="42"/>
      <c r="CU21" s="42"/>
      <c r="CV21" s="42"/>
      <c r="CW21" s="42"/>
      <c r="CX21" s="42"/>
      <c r="CY21" s="42"/>
    </row>
    <row r="22" spans="1:103" s="2" customFormat="1" ht="15" outlineLevel="2" thickBot="1" x14ac:dyDescent="0.35">
      <c r="A22" s="119"/>
      <c r="B22" s="126" t="s">
        <v>942</v>
      </c>
      <c r="C22" s="65"/>
      <c r="D22" s="57" t="s">
        <v>943</v>
      </c>
      <c r="E22" s="20">
        <v>1</v>
      </c>
      <c r="F22" s="279">
        <v>0</v>
      </c>
      <c r="G22" s="280">
        <v>44400</v>
      </c>
      <c r="H22" s="280">
        <f>WORKDAY(G22,F22)</f>
        <v>44400</v>
      </c>
      <c r="I22" s="51"/>
      <c r="J22" s="51"/>
      <c r="K22" s="15"/>
      <c r="L22" s="15"/>
      <c r="M22" s="42"/>
      <c r="N22" s="42"/>
      <c r="O22" s="42"/>
      <c r="P22" s="42"/>
      <c r="Q22" s="42"/>
      <c r="R22" s="42"/>
      <c r="S22" s="42"/>
      <c r="T22" s="42"/>
      <c r="U22" s="42"/>
      <c r="V22" s="42"/>
      <c r="W22" s="42"/>
      <c r="X22" s="42"/>
      <c r="Y22" s="43"/>
      <c r="Z22" s="43"/>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42"/>
      <c r="CF22" s="42"/>
      <c r="CG22" s="42"/>
      <c r="CH22" s="42"/>
      <c r="CI22" s="42"/>
      <c r="CJ22" s="42"/>
      <c r="CK22" s="42"/>
      <c r="CL22" s="42"/>
      <c r="CM22" s="42"/>
      <c r="CN22" s="42"/>
      <c r="CO22" s="42"/>
      <c r="CP22" s="42"/>
      <c r="CQ22" s="42"/>
      <c r="CR22" s="42"/>
      <c r="CS22" s="42"/>
      <c r="CT22" s="42"/>
      <c r="CU22" s="42"/>
      <c r="CV22" s="42"/>
      <c r="CW22" s="42"/>
      <c r="CX22" s="42"/>
      <c r="CY22" s="42"/>
    </row>
    <row r="23" spans="1:103" s="2" customFormat="1" ht="29.4" outlineLevel="2" thickBot="1" x14ac:dyDescent="0.35">
      <c r="A23" s="119"/>
      <c r="B23" s="287" t="s">
        <v>946</v>
      </c>
      <c r="C23" s="65"/>
      <c r="D23" s="57" t="s">
        <v>901</v>
      </c>
      <c r="E23" s="20">
        <v>0</v>
      </c>
      <c r="F23" s="279">
        <v>2</v>
      </c>
      <c r="G23" s="280">
        <v>44426</v>
      </c>
      <c r="H23" s="280">
        <f>WORKDAY(G23,F23)</f>
        <v>44428</v>
      </c>
      <c r="I23" s="51"/>
      <c r="J23" s="51"/>
      <c r="K23" s="15"/>
      <c r="L23" s="15"/>
      <c r="M23" s="42"/>
      <c r="N23" s="42"/>
      <c r="O23" s="42"/>
      <c r="P23" s="42"/>
      <c r="Q23" s="42"/>
      <c r="R23" s="42"/>
      <c r="S23" s="42"/>
      <c r="T23" s="42"/>
      <c r="U23" s="42"/>
      <c r="V23" s="42"/>
      <c r="W23" s="42"/>
      <c r="X23" s="42"/>
      <c r="Y23" s="43"/>
      <c r="Z23" s="43"/>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42"/>
      <c r="CF23" s="42"/>
      <c r="CG23" s="42"/>
      <c r="CH23" s="42"/>
      <c r="CI23" s="42"/>
      <c r="CJ23" s="42"/>
      <c r="CK23" s="42"/>
      <c r="CL23" s="42"/>
      <c r="CM23" s="42"/>
      <c r="CN23" s="42"/>
      <c r="CO23" s="42"/>
      <c r="CP23" s="42"/>
      <c r="CQ23" s="42"/>
      <c r="CR23" s="42"/>
      <c r="CS23" s="42"/>
      <c r="CT23" s="42"/>
      <c r="CU23" s="42"/>
      <c r="CV23" s="42"/>
      <c r="CW23" s="42"/>
      <c r="CX23" s="42"/>
      <c r="CY23" s="42"/>
    </row>
    <row r="24" spans="1:103" s="2" customFormat="1" ht="15" outlineLevel="2" thickBot="1" x14ac:dyDescent="0.35">
      <c r="A24" s="119"/>
      <c r="B24" s="126" t="s">
        <v>947</v>
      </c>
      <c r="C24" s="65"/>
      <c r="D24" s="57" t="s">
        <v>944</v>
      </c>
      <c r="E24" s="20">
        <v>0</v>
      </c>
      <c r="F24" s="279">
        <v>0</v>
      </c>
      <c r="G24" s="280">
        <v>44426</v>
      </c>
      <c r="H24" s="280">
        <f>WORKDAY(G24,F24)</f>
        <v>44426</v>
      </c>
      <c r="I24" s="51"/>
      <c r="J24" s="51"/>
      <c r="K24" s="15"/>
      <c r="L24" s="15"/>
      <c r="M24" s="42"/>
      <c r="N24" s="42"/>
      <c r="O24" s="42"/>
      <c r="P24" s="42"/>
      <c r="Q24" s="42"/>
      <c r="R24" s="42"/>
      <c r="S24" s="42"/>
      <c r="T24" s="42"/>
      <c r="U24" s="42"/>
      <c r="V24" s="42"/>
      <c r="W24" s="42"/>
      <c r="X24" s="42"/>
      <c r="Y24" s="43"/>
      <c r="Z24" s="43"/>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row>
    <row r="25" spans="1:103" s="2" customFormat="1" ht="15" outlineLevel="2" thickBot="1" x14ac:dyDescent="0.35">
      <c r="A25" s="119"/>
      <c r="B25" s="125" t="s">
        <v>948</v>
      </c>
      <c r="C25" s="65"/>
      <c r="D25" s="57"/>
      <c r="E25" s="20"/>
      <c r="F25" s="279"/>
      <c r="G25" s="280"/>
      <c r="H25" s="280"/>
      <c r="I25" s="51"/>
      <c r="J25" s="51"/>
      <c r="K25" s="15"/>
      <c r="L25" s="15"/>
      <c r="M25" s="42"/>
      <c r="N25" s="42"/>
      <c r="O25" s="42"/>
      <c r="P25" s="42"/>
      <c r="Q25" s="42"/>
      <c r="R25" s="42"/>
      <c r="S25" s="42"/>
      <c r="T25" s="42"/>
      <c r="U25" s="42"/>
      <c r="V25" s="42"/>
      <c r="W25" s="42"/>
      <c r="X25" s="42"/>
      <c r="Y25" s="43"/>
      <c r="Z25" s="43"/>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c r="CG25" s="42"/>
      <c r="CH25" s="42"/>
      <c r="CI25" s="42"/>
      <c r="CJ25" s="42"/>
      <c r="CK25" s="42"/>
      <c r="CL25" s="42"/>
      <c r="CM25" s="42"/>
      <c r="CN25" s="42"/>
      <c r="CO25" s="42"/>
      <c r="CP25" s="42"/>
      <c r="CQ25" s="42"/>
      <c r="CR25" s="42"/>
      <c r="CS25" s="42"/>
      <c r="CT25" s="42"/>
      <c r="CU25" s="42"/>
      <c r="CV25" s="42"/>
      <c r="CW25" s="42"/>
      <c r="CX25" s="42"/>
      <c r="CY25" s="42"/>
    </row>
    <row r="26" spans="1:103" s="2" customFormat="1" ht="15" outlineLevel="2" thickBot="1" x14ac:dyDescent="0.35">
      <c r="A26" s="119"/>
      <c r="B26" s="126" t="s">
        <v>949</v>
      </c>
      <c r="C26" s="65"/>
      <c r="D26" s="57" t="s">
        <v>950</v>
      </c>
      <c r="E26" s="20">
        <v>1</v>
      </c>
      <c r="F26" s="279">
        <v>0</v>
      </c>
      <c r="G26" s="280">
        <v>44390</v>
      </c>
      <c r="H26" s="280">
        <f>WORKDAY(G26,F26)</f>
        <v>44390</v>
      </c>
      <c r="I26" s="51"/>
      <c r="J26" s="51"/>
      <c r="K26" s="15"/>
      <c r="L26" s="15"/>
      <c r="M26" s="42"/>
      <c r="N26" s="42"/>
      <c r="O26" s="42"/>
      <c r="P26" s="42"/>
      <c r="Q26" s="42"/>
      <c r="R26" s="42"/>
      <c r="S26" s="42"/>
      <c r="T26" s="42"/>
      <c r="U26" s="42"/>
      <c r="V26" s="42"/>
      <c r="W26" s="42"/>
      <c r="X26" s="42"/>
      <c r="Y26" s="43"/>
      <c r="Z26" s="43"/>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row>
    <row r="27" spans="1:103" s="2" customFormat="1" ht="15" outlineLevel="2" thickBot="1" x14ac:dyDescent="0.35">
      <c r="A27" s="119"/>
      <c r="B27" s="287" t="s">
        <v>951</v>
      </c>
      <c r="C27" s="65"/>
      <c r="D27" s="57" t="s">
        <v>952</v>
      </c>
      <c r="E27" s="20">
        <v>1</v>
      </c>
      <c r="F27" s="279">
        <v>0</v>
      </c>
      <c r="G27" s="280">
        <v>44393</v>
      </c>
      <c r="H27" s="280">
        <f>WORKDAY(G27,F27)</f>
        <v>44393</v>
      </c>
      <c r="I27" s="51"/>
      <c r="J27" s="51"/>
      <c r="K27" s="15"/>
      <c r="L27" s="15"/>
      <c r="M27" s="42"/>
      <c r="N27" s="42"/>
      <c r="O27" s="42"/>
      <c r="P27" s="42"/>
      <c r="Q27" s="42"/>
      <c r="R27" s="42"/>
      <c r="S27" s="42"/>
      <c r="T27" s="42"/>
      <c r="U27" s="42"/>
      <c r="V27" s="42"/>
      <c r="W27" s="42"/>
      <c r="X27" s="42"/>
      <c r="Y27" s="43"/>
      <c r="Z27" s="43"/>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c r="CH27" s="42"/>
      <c r="CI27" s="42"/>
      <c r="CJ27" s="42"/>
      <c r="CK27" s="42"/>
      <c r="CL27" s="42"/>
      <c r="CM27" s="42"/>
      <c r="CN27" s="42"/>
      <c r="CO27" s="42"/>
      <c r="CP27" s="42"/>
      <c r="CQ27" s="42"/>
      <c r="CR27" s="42"/>
      <c r="CS27" s="42"/>
      <c r="CT27" s="42"/>
      <c r="CU27" s="42"/>
      <c r="CV27" s="42"/>
      <c r="CW27" s="42"/>
      <c r="CX27" s="42"/>
      <c r="CY27" s="42"/>
    </row>
    <row r="28" spans="1:103" s="2" customFormat="1" ht="15" outlineLevel="2" thickBot="1" x14ac:dyDescent="0.35">
      <c r="A28" s="119"/>
      <c r="B28" s="126" t="s">
        <v>953</v>
      </c>
      <c r="C28" s="65"/>
      <c r="D28" s="57" t="s">
        <v>950</v>
      </c>
      <c r="E28" s="20"/>
      <c r="F28" s="279">
        <v>1</v>
      </c>
      <c r="G28" s="280">
        <v>44413</v>
      </c>
      <c r="H28" s="280">
        <f>WORKDAY(G28,F28)</f>
        <v>44414</v>
      </c>
      <c r="I28" s="51"/>
      <c r="J28" s="51"/>
      <c r="K28" s="15"/>
      <c r="L28" s="15"/>
      <c r="M28" s="42"/>
      <c r="N28" s="42"/>
      <c r="O28" s="42"/>
      <c r="P28" s="42"/>
      <c r="Q28" s="42"/>
      <c r="R28" s="42"/>
      <c r="S28" s="42"/>
      <c r="T28" s="42"/>
      <c r="U28" s="42"/>
      <c r="V28" s="42"/>
      <c r="W28" s="42"/>
      <c r="X28" s="42"/>
      <c r="Y28" s="43"/>
      <c r="Z28" s="43"/>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row>
    <row r="29" spans="1:103" s="2" customFormat="1" ht="15" outlineLevel="2" thickBot="1" x14ac:dyDescent="0.35">
      <c r="A29" s="119"/>
      <c r="B29" s="287" t="s">
        <v>954</v>
      </c>
      <c r="C29" s="65"/>
      <c r="D29" s="57" t="s">
        <v>952</v>
      </c>
      <c r="E29" s="20"/>
      <c r="F29" s="279">
        <v>0</v>
      </c>
      <c r="G29" s="280">
        <v>44413</v>
      </c>
      <c r="H29" s="280">
        <f>WORKDAY(G29,F29)</f>
        <v>44413</v>
      </c>
      <c r="I29" s="51"/>
      <c r="J29" s="51"/>
      <c r="K29" s="15"/>
      <c r="L29" s="15"/>
      <c r="M29" s="42"/>
      <c r="N29" s="42"/>
      <c r="O29" s="42"/>
      <c r="P29" s="42"/>
      <c r="Q29" s="42"/>
      <c r="R29" s="42"/>
      <c r="S29" s="42"/>
      <c r="T29" s="42"/>
      <c r="U29" s="42"/>
      <c r="V29" s="42"/>
      <c r="W29" s="42"/>
      <c r="X29" s="42"/>
      <c r="Y29" s="43"/>
      <c r="Z29" s="43"/>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c r="CH29" s="42"/>
      <c r="CI29" s="42"/>
      <c r="CJ29" s="42"/>
      <c r="CK29" s="42"/>
      <c r="CL29" s="42"/>
      <c r="CM29" s="42"/>
      <c r="CN29" s="42"/>
      <c r="CO29" s="42"/>
      <c r="CP29" s="42"/>
      <c r="CQ29" s="42"/>
      <c r="CR29" s="42"/>
      <c r="CS29" s="42"/>
      <c r="CT29" s="42"/>
      <c r="CU29" s="42"/>
      <c r="CV29" s="42"/>
      <c r="CW29" s="42"/>
      <c r="CX29" s="42"/>
      <c r="CY29" s="42"/>
    </row>
    <row r="30" spans="1:103" s="2" customFormat="1" ht="15" outlineLevel="2" thickBot="1" x14ac:dyDescent="0.35">
      <c r="A30" s="119"/>
      <c r="B30" s="125" t="s">
        <v>956</v>
      </c>
      <c r="C30" s="65"/>
      <c r="D30" s="57"/>
      <c r="E30" s="20"/>
      <c r="F30" s="279"/>
      <c r="G30" s="280"/>
      <c r="H30" s="280"/>
      <c r="I30" s="51"/>
      <c r="J30" s="51"/>
      <c r="K30" s="15"/>
      <c r="L30" s="15"/>
      <c r="M30" s="42"/>
      <c r="N30" s="42"/>
      <c r="O30" s="42"/>
      <c r="P30" s="42"/>
      <c r="Q30" s="42"/>
      <c r="R30" s="42"/>
      <c r="S30" s="42"/>
      <c r="T30" s="42"/>
      <c r="U30" s="42"/>
      <c r="V30" s="42"/>
      <c r="W30" s="42"/>
      <c r="X30" s="42"/>
      <c r="Y30" s="43"/>
      <c r="Z30" s="43"/>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42"/>
      <c r="CF30" s="42"/>
      <c r="CG30" s="42"/>
      <c r="CH30" s="42"/>
      <c r="CI30" s="42"/>
      <c r="CJ30" s="42"/>
      <c r="CK30" s="42"/>
      <c r="CL30" s="42"/>
      <c r="CM30" s="42"/>
      <c r="CN30" s="42"/>
      <c r="CO30" s="42"/>
      <c r="CP30" s="42"/>
      <c r="CQ30" s="42"/>
      <c r="CR30" s="42"/>
      <c r="CS30" s="42"/>
      <c r="CT30" s="42"/>
      <c r="CU30" s="42"/>
      <c r="CV30" s="42"/>
      <c r="CW30" s="42"/>
      <c r="CX30" s="42"/>
      <c r="CY30" s="42"/>
    </row>
    <row r="31" spans="1:103" s="2" customFormat="1" ht="15" outlineLevel="2" thickBot="1" x14ac:dyDescent="0.35">
      <c r="A31" s="119"/>
      <c r="B31" s="126" t="s">
        <v>955</v>
      </c>
      <c r="C31" s="65"/>
      <c r="D31" s="57" t="s">
        <v>952</v>
      </c>
      <c r="E31" s="20">
        <v>1</v>
      </c>
      <c r="F31" s="279">
        <v>0</v>
      </c>
      <c r="G31" s="280">
        <v>44392</v>
      </c>
      <c r="H31" s="280">
        <f t="shared" ref="H31:H36" si="10">WORKDAY(G31,F31)</f>
        <v>44392</v>
      </c>
      <c r="I31" s="51"/>
      <c r="J31" s="51"/>
      <c r="K31" s="15"/>
      <c r="L31" s="15"/>
      <c r="M31" s="42"/>
      <c r="N31" s="42"/>
      <c r="O31" s="42"/>
      <c r="P31" s="42"/>
      <c r="Q31" s="42"/>
      <c r="R31" s="42"/>
      <c r="S31" s="42"/>
      <c r="T31" s="42"/>
      <c r="U31" s="42"/>
      <c r="V31" s="42"/>
      <c r="W31" s="42"/>
      <c r="X31" s="42"/>
      <c r="Y31" s="43"/>
      <c r="Z31" s="43"/>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c r="BT31" s="42"/>
      <c r="BU31" s="42"/>
      <c r="BV31" s="42"/>
      <c r="BW31" s="42"/>
      <c r="BX31" s="42"/>
      <c r="BY31" s="42"/>
      <c r="BZ31" s="42"/>
      <c r="CA31" s="42"/>
      <c r="CB31" s="42"/>
      <c r="CC31" s="42"/>
      <c r="CD31" s="42"/>
      <c r="CE31" s="42"/>
      <c r="CF31" s="42"/>
      <c r="CG31" s="42"/>
      <c r="CH31" s="42"/>
      <c r="CI31" s="42"/>
      <c r="CJ31" s="42"/>
      <c r="CK31" s="42"/>
      <c r="CL31" s="42"/>
      <c r="CM31" s="42"/>
      <c r="CN31" s="42"/>
      <c r="CO31" s="42"/>
      <c r="CP31" s="42"/>
      <c r="CQ31" s="42"/>
      <c r="CR31" s="42"/>
      <c r="CS31" s="42"/>
      <c r="CT31" s="42"/>
      <c r="CU31" s="42"/>
      <c r="CV31" s="42"/>
      <c r="CW31" s="42"/>
      <c r="CX31" s="42"/>
      <c r="CY31" s="42"/>
    </row>
    <row r="32" spans="1:103" s="2" customFormat="1" ht="15" outlineLevel="2" thickBot="1" x14ac:dyDescent="0.35">
      <c r="A32" s="119"/>
      <c r="B32" s="287" t="s">
        <v>951</v>
      </c>
      <c r="C32" s="65"/>
      <c r="D32" s="57" t="s">
        <v>952</v>
      </c>
      <c r="E32" s="20">
        <v>1</v>
      </c>
      <c r="F32" s="279">
        <v>0</v>
      </c>
      <c r="G32" s="280">
        <v>44393</v>
      </c>
      <c r="H32" s="280">
        <f t="shared" si="10"/>
        <v>44393</v>
      </c>
      <c r="I32" s="51"/>
      <c r="J32" s="51"/>
      <c r="K32" s="15"/>
      <c r="L32" s="15"/>
      <c r="M32" s="42"/>
      <c r="N32" s="42"/>
      <c r="O32" s="42"/>
      <c r="P32" s="42"/>
      <c r="Q32" s="42"/>
      <c r="R32" s="42"/>
      <c r="S32" s="42"/>
      <c r="T32" s="42"/>
      <c r="U32" s="42"/>
      <c r="V32" s="42"/>
      <c r="W32" s="42"/>
      <c r="X32" s="42"/>
      <c r="Y32" s="43"/>
      <c r="Z32" s="43"/>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c r="CD32" s="42"/>
      <c r="CE32" s="42"/>
      <c r="CF32" s="42"/>
      <c r="CG32" s="42"/>
      <c r="CH32" s="42"/>
      <c r="CI32" s="42"/>
      <c r="CJ32" s="42"/>
      <c r="CK32" s="42"/>
      <c r="CL32" s="42"/>
      <c r="CM32" s="42"/>
      <c r="CN32" s="42"/>
      <c r="CO32" s="42"/>
      <c r="CP32" s="42"/>
      <c r="CQ32" s="42"/>
      <c r="CR32" s="42"/>
      <c r="CS32" s="42"/>
      <c r="CT32" s="42"/>
      <c r="CU32" s="42"/>
      <c r="CV32" s="42"/>
      <c r="CW32" s="42"/>
      <c r="CX32" s="42"/>
      <c r="CY32" s="42"/>
    </row>
    <row r="33" spans="1:103" s="2" customFormat="1" ht="15" outlineLevel="2" thickBot="1" x14ac:dyDescent="0.35">
      <c r="A33" s="119"/>
      <c r="B33" s="126" t="s">
        <v>953</v>
      </c>
      <c r="C33" s="65"/>
      <c r="D33" s="57" t="s">
        <v>950</v>
      </c>
      <c r="E33" s="20"/>
      <c r="F33" s="279">
        <v>1</v>
      </c>
      <c r="G33" s="280">
        <v>44413</v>
      </c>
      <c r="H33" s="280">
        <f t="shared" si="10"/>
        <v>44414</v>
      </c>
      <c r="I33" s="51"/>
      <c r="J33" s="51"/>
      <c r="K33" s="15"/>
      <c r="L33" s="15"/>
      <c r="M33" s="42"/>
      <c r="N33" s="42"/>
      <c r="O33" s="42"/>
      <c r="P33" s="42"/>
      <c r="Q33" s="42"/>
      <c r="R33" s="42"/>
      <c r="S33" s="42"/>
      <c r="T33" s="42"/>
      <c r="U33" s="42"/>
      <c r="V33" s="42"/>
      <c r="W33" s="42"/>
      <c r="X33" s="42"/>
      <c r="Y33" s="43"/>
      <c r="Z33" s="43"/>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c r="BR33" s="42"/>
      <c r="BS33" s="42"/>
      <c r="BT33" s="42"/>
      <c r="BU33" s="42"/>
      <c r="BV33" s="42"/>
      <c r="BW33" s="42"/>
      <c r="BX33" s="42"/>
      <c r="BY33" s="42"/>
      <c r="BZ33" s="42"/>
      <c r="CA33" s="42"/>
      <c r="CB33" s="42"/>
      <c r="CC33" s="42"/>
      <c r="CD33" s="42"/>
      <c r="CE33" s="42"/>
      <c r="CF33" s="42"/>
      <c r="CG33" s="42"/>
      <c r="CH33" s="42"/>
      <c r="CI33" s="42"/>
      <c r="CJ33" s="42"/>
      <c r="CK33" s="42"/>
      <c r="CL33" s="42"/>
      <c r="CM33" s="42"/>
      <c r="CN33" s="42"/>
      <c r="CO33" s="42"/>
      <c r="CP33" s="42"/>
      <c r="CQ33" s="42"/>
      <c r="CR33" s="42"/>
      <c r="CS33" s="42"/>
      <c r="CT33" s="42"/>
      <c r="CU33" s="42"/>
      <c r="CV33" s="42"/>
      <c r="CW33" s="42"/>
      <c r="CX33" s="42"/>
      <c r="CY33" s="42"/>
    </row>
    <row r="34" spans="1:103" s="2" customFormat="1" ht="15" outlineLevel="2" thickBot="1" x14ac:dyDescent="0.35">
      <c r="A34" s="119"/>
      <c r="B34" s="287" t="s">
        <v>954</v>
      </c>
      <c r="C34" s="65"/>
      <c r="D34" s="57" t="s">
        <v>952</v>
      </c>
      <c r="E34" s="20"/>
      <c r="F34" s="279">
        <v>0</v>
      </c>
      <c r="G34" s="280">
        <v>44413</v>
      </c>
      <c r="H34" s="280">
        <f t="shared" si="10"/>
        <v>44413</v>
      </c>
      <c r="I34" s="51"/>
      <c r="J34" s="51"/>
      <c r="K34" s="15"/>
      <c r="L34" s="15"/>
      <c r="M34" s="42"/>
      <c r="N34" s="42"/>
      <c r="O34" s="42"/>
      <c r="P34" s="42"/>
      <c r="Q34" s="42"/>
      <c r="R34" s="42"/>
      <c r="S34" s="42"/>
      <c r="T34" s="42"/>
      <c r="U34" s="42"/>
      <c r="V34" s="42"/>
      <c r="W34" s="42"/>
      <c r="X34" s="42"/>
      <c r="Y34" s="43"/>
      <c r="Z34" s="43"/>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c r="CA34" s="42"/>
      <c r="CB34" s="42"/>
      <c r="CC34" s="42"/>
      <c r="CD34" s="42"/>
      <c r="CE34" s="42"/>
      <c r="CF34" s="42"/>
      <c r="CG34" s="42"/>
      <c r="CH34" s="42"/>
      <c r="CI34" s="42"/>
      <c r="CJ34" s="42"/>
      <c r="CK34" s="42"/>
      <c r="CL34" s="42"/>
      <c r="CM34" s="42"/>
      <c r="CN34" s="42"/>
      <c r="CO34" s="42"/>
      <c r="CP34" s="42"/>
      <c r="CQ34" s="42"/>
      <c r="CR34" s="42"/>
      <c r="CS34" s="42"/>
      <c r="CT34" s="42"/>
      <c r="CU34" s="42"/>
      <c r="CV34" s="42"/>
      <c r="CW34" s="42"/>
      <c r="CX34" s="42"/>
      <c r="CY34" s="42"/>
    </row>
    <row r="35" spans="1:103" s="2" customFormat="1" ht="15" outlineLevel="2" thickBot="1" x14ac:dyDescent="0.35">
      <c r="A35" s="119"/>
      <c r="B35" s="289" t="s">
        <v>957</v>
      </c>
      <c r="C35" s="65"/>
      <c r="D35" s="290" t="s">
        <v>952</v>
      </c>
      <c r="E35" s="20"/>
      <c r="F35" s="279">
        <v>0</v>
      </c>
      <c r="G35" s="280">
        <v>44434</v>
      </c>
      <c r="H35" s="280">
        <f t="shared" si="10"/>
        <v>44434</v>
      </c>
      <c r="I35" s="51"/>
      <c r="J35" s="51"/>
      <c r="K35" s="15"/>
      <c r="L35" s="15"/>
      <c r="M35" s="42"/>
      <c r="N35" s="42"/>
      <c r="O35" s="42"/>
      <c r="P35" s="42"/>
      <c r="Q35" s="42"/>
      <c r="R35" s="42"/>
      <c r="S35" s="42"/>
      <c r="T35" s="42"/>
      <c r="U35" s="42"/>
      <c r="V35" s="42"/>
      <c r="W35" s="42"/>
      <c r="X35" s="42"/>
      <c r="Y35" s="43"/>
      <c r="Z35" s="43"/>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c r="BV35" s="42"/>
      <c r="BW35" s="42"/>
      <c r="BX35" s="42"/>
      <c r="BY35" s="42"/>
      <c r="BZ35" s="42"/>
      <c r="CA35" s="42"/>
      <c r="CB35" s="42"/>
      <c r="CC35" s="42"/>
      <c r="CD35" s="42"/>
      <c r="CE35" s="42"/>
      <c r="CF35" s="42"/>
      <c r="CG35" s="42"/>
      <c r="CH35" s="42"/>
      <c r="CI35" s="42"/>
      <c r="CJ35" s="42"/>
      <c r="CK35" s="42"/>
      <c r="CL35" s="42"/>
      <c r="CM35" s="42"/>
      <c r="CN35" s="42"/>
      <c r="CO35" s="42"/>
      <c r="CP35" s="42"/>
      <c r="CQ35" s="42"/>
      <c r="CR35" s="42"/>
      <c r="CS35" s="42"/>
      <c r="CT35" s="42"/>
      <c r="CU35" s="42"/>
      <c r="CV35" s="42"/>
      <c r="CW35" s="42"/>
      <c r="CX35" s="42"/>
      <c r="CY35" s="42"/>
    </row>
    <row r="36" spans="1:103" s="2" customFormat="1" ht="15" outlineLevel="2" thickBot="1" x14ac:dyDescent="0.35">
      <c r="A36" s="119"/>
      <c r="B36" s="289" t="s">
        <v>958</v>
      </c>
      <c r="C36" s="65"/>
      <c r="D36" s="290" t="s">
        <v>952</v>
      </c>
      <c r="E36" s="20"/>
      <c r="F36" s="279">
        <v>0</v>
      </c>
      <c r="G36" s="280">
        <v>44435</v>
      </c>
      <c r="H36" s="280">
        <f t="shared" si="10"/>
        <v>44435</v>
      </c>
      <c r="I36" s="51"/>
      <c r="J36" s="51"/>
      <c r="K36" s="15"/>
      <c r="L36" s="15"/>
      <c r="M36" s="42"/>
      <c r="N36" s="42"/>
      <c r="O36" s="42"/>
      <c r="P36" s="42"/>
      <c r="Q36" s="42"/>
      <c r="R36" s="42"/>
      <c r="S36" s="42"/>
      <c r="T36" s="42"/>
      <c r="U36" s="42"/>
      <c r="V36" s="42"/>
      <c r="W36" s="42"/>
      <c r="X36" s="42"/>
      <c r="Y36" s="43"/>
      <c r="Z36" s="43"/>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row>
    <row r="37" spans="1:103" s="2" customFormat="1" ht="15" outlineLevel="2" thickBot="1" x14ac:dyDescent="0.35">
      <c r="A37" s="119"/>
      <c r="B37" s="125" t="s">
        <v>959</v>
      </c>
      <c r="C37" s="65"/>
      <c r="D37" s="57"/>
      <c r="E37" s="20"/>
      <c r="F37" s="279"/>
      <c r="G37" s="280"/>
      <c r="H37" s="280"/>
      <c r="I37" s="51"/>
      <c r="J37" s="51"/>
      <c r="K37" s="15"/>
      <c r="L37" s="15"/>
      <c r="M37" s="42"/>
      <c r="N37" s="42"/>
      <c r="O37" s="42"/>
      <c r="P37" s="42"/>
      <c r="Q37" s="42"/>
      <c r="R37" s="42"/>
      <c r="S37" s="42"/>
      <c r="T37" s="42"/>
      <c r="U37" s="42"/>
      <c r="V37" s="42"/>
      <c r="W37" s="42"/>
      <c r="X37" s="42"/>
      <c r="Y37" s="43"/>
      <c r="Z37" s="43"/>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c r="CW37" s="42"/>
      <c r="CX37" s="42"/>
      <c r="CY37" s="42"/>
    </row>
    <row r="38" spans="1:103" s="2" customFormat="1" ht="15" outlineLevel="2" thickBot="1" x14ac:dyDescent="0.35">
      <c r="A38" s="119"/>
      <c r="B38" s="291" t="s">
        <v>960</v>
      </c>
      <c r="C38" s="65"/>
      <c r="D38" s="290" t="s">
        <v>902</v>
      </c>
      <c r="E38" s="20"/>
      <c r="F38" s="279">
        <v>0</v>
      </c>
      <c r="G38" s="280">
        <v>44413</v>
      </c>
      <c r="H38" s="280">
        <f>WORKDAY(G38,F38)</f>
        <v>44413</v>
      </c>
      <c r="I38" s="51"/>
      <c r="J38" s="51"/>
      <c r="K38" s="15"/>
      <c r="L38" s="15"/>
      <c r="M38" s="42"/>
      <c r="N38" s="42"/>
      <c r="O38" s="42"/>
      <c r="P38" s="42"/>
      <c r="Q38" s="42"/>
      <c r="R38" s="42"/>
      <c r="S38" s="42"/>
      <c r="T38" s="42"/>
      <c r="U38" s="42"/>
      <c r="V38" s="42"/>
      <c r="W38" s="42"/>
      <c r="X38" s="42"/>
      <c r="Y38" s="43"/>
      <c r="Z38" s="43"/>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c r="CY38" s="42"/>
    </row>
    <row r="39" spans="1:103" s="2" customFormat="1" ht="15" outlineLevel="2" thickBot="1" x14ac:dyDescent="0.35">
      <c r="A39" s="119"/>
      <c r="B39" s="289" t="s">
        <v>962</v>
      </c>
      <c r="C39" s="65"/>
      <c r="D39" s="57"/>
      <c r="E39" s="20"/>
      <c r="F39" s="279">
        <v>0</v>
      </c>
      <c r="G39" s="280">
        <v>44413</v>
      </c>
      <c r="H39" s="280">
        <f>WORKDAY(G39,F39)</f>
        <v>44413</v>
      </c>
      <c r="I39" s="51"/>
      <c r="J39" s="51"/>
      <c r="K39" s="15"/>
      <c r="L39" s="15"/>
      <c r="M39" s="42"/>
      <c r="N39" s="42"/>
      <c r="O39" s="42"/>
      <c r="P39" s="42"/>
      <c r="Q39" s="42"/>
      <c r="R39" s="42"/>
      <c r="S39" s="42"/>
      <c r="T39" s="42"/>
      <c r="U39" s="42"/>
      <c r="V39" s="42"/>
      <c r="W39" s="42"/>
      <c r="X39" s="42"/>
      <c r="Y39" s="43"/>
      <c r="Z39" s="43"/>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2"/>
      <c r="CI39" s="42"/>
      <c r="CJ39" s="42"/>
      <c r="CK39" s="42"/>
      <c r="CL39" s="42"/>
      <c r="CM39" s="42"/>
      <c r="CN39" s="42"/>
      <c r="CO39" s="42"/>
      <c r="CP39" s="42"/>
      <c r="CQ39" s="42"/>
      <c r="CR39" s="42"/>
      <c r="CS39" s="42"/>
      <c r="CT39" s="42"/>
      <c r="CU39" s="42"/>
      <c r="CV39" s="42"/>
      <c r="CW39" s="42"/>
      <c r="CX39" s="42"/>
      <c r="CY39" s="42"/>
    </row>
    <row r="40" spans="1:103" s="2" customFormat="1" ht="15" outlineLevel="2" thickBot="1" x14ac:dyDescent="0.35">
      <c r="A40" s="119"/>
      <c r="B40" s="289" t="s">
        <v>1007</v>
      </c>
      <c r="C40" s="65"/>
      <c r="D40" s="57" t="s">
        <v>1032</v>
      </c>
      <c r="E40" s="20">
        <v>1</v>
      </c>
      <c r="F40" s="279"/>
      <c r="G40" s="280"/>
      <c r="H40" s="280"/>
      <c r="I40" s="51"/>
      <c r="J40" s="51"/>
      <c r="K40" s="15"/>
      <c r="L40" s="15"/>
      <c r="M40" s="42"/>
      <c r="N40" s="42"/>
      <c r="O40" s="42"/>
      <c r="P40" s="42"/>
      <c r="Q40" s="42"/>
      <c r="R40" s="42"/>
      <c r="S40" s="42"/>
      <c r="T40" s="42"/>
      <c r="U40" s="42"/>
      <c r="V40" s="42"/>
      <c r="W40" s="42"/>
      <c r="X40" s="42"/>
      <c r="Y40" s="43"/>
      <c r="Z40" s="43"/>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c r="CY40" s="42"/>
    </row>
    <row r="41" spans="1:103" s="2" customFormat="1" ht="15" outlineLevel="2" thickBot="1" x14ac:dyDescent="0.35">
      <c r="A41" s="119"/>
      <c r="B41" s="289" t="s">
        <v>1008</v>
      </c>
      <c r="C41" s="65"/>
      <c r="D41" s="57" t="s">
        <v>1032</v>
      </c>
      <c r="E41" s="20">
        <v>1</v>
      </c>
      <c r="F41" s="279"/>
      <c r="G41" s="280"/>
      <c r="H41" s="280"/>
      <c r="I41" s="51"/>
      <c r="J41" s="51"/>
      <c r="K41" s="15"/>
      <c r="L41" s="15"/>
      <c r="M41" s="42"/>
      <c r="N41" s="42"/>
      <c r="O41" s="42"/>
      <c r="P41" s="42"/>
      <c r="Q41" s="42"/>
      <c r="R41" s="42"/>
      <c r="S41" s="42"/>
      <c r="T41" s="42"/>
      <c r="U41" s="42"/>
      <c r="V41" s="42"/>
      <c r="W41" s="42"/>
      <c r="X41" s="42"/>
      <c r="Y41" s="43"/>
      <c r="Z41" s="43"/>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42"/>
      <c r="BY41" s="42"/>
      <c r="BZ41" s="42"/>
      <c r="CA41" s="42"/>
      <c r="CB41" s="42"/>
      <c r="CC41" s="42"/>
      <c r="CD41" s="42"/>
      <c r="CE41" s="42"/>
      <c r="CF41" s="42"/>
      <c r="CG41" s="42"/>
      <c r="CH41" s="42"/>
      <c r="CI41" s="42"/>
      <c r="CJ41" s="42"/>
      <c r="CK41" s="42"/>
      <c r="CL41" s="42"/>
      <c r="CM41" s="42"/>
      <c r="CN41" s="42"/>
      <c r="CO41" s="42"/>
      <c r="CP41" s="42"/>
      <c r="CQ41" s="42"/>
      <c r="CR41" s="42"/>
      <c r="CS41" s="42"/>
      <c r="CT41" s="42"/>
      <c r="CU41" s="42"/>
      <c r="CV41" s="42"/>
      <c r="CW41" s="42"/>
      <c r="CX41" s="42"/>
      <c r="CY41" s="42"/>
    </row>
    <row r="42" spans="1:103" s="2" customFormat="1" ht="15" outlineLevel="2" thickBot="1" x14ac:dyDescent="0.35">
      <c r="A42" s="119"/>
      <c r="B42" s="289" t="s">
        <v>1009</v>
      </c>
      <c r="C42" s="65"/>
      <c r="D42" s="57" t="s">
        <v>1032</v>
      </c>
      <c r="E42" s="20">
        <v>0.75</v>
      </c>
      <c r="F42" s="279"/>
      <c r="G42" s="280"/>
      <c r="H42" s="280"/>
      <c r="I42" s="51"/>
      <c r="J42" s="51"/>
      <c r="K42" s="15"/>
      <c r="L42" s="15"/>
      <c r="M42" s="42"/>
      <c r="N42" s="42"/>
      <c r="O42" s="42"/>
      <c r="P42" s="42"/>
      <c r="Q42" s="42"/>
      <c r="R42" s="42"/>
      <c r="S42" s="42"/>
      <c r="T42" s="42"/>
      <c r="U42" s="42"/>
      <c r="V42" s="42"/>
      <c r="W42" s="42"/>
      <c r="X42" s="42"/>
      <c r="Y42" s="43"/>
      <c r="Z42" s="43"/>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42"/>
      <c r="CH42" s="42"/>
      <c r="CI42" s="42"/>
      <c r="CJ42" s="42"/>
      <c r="CK42" s="42"/>
      <c r="CL42" s="42"/>
      <c r="CM42" s="42"/>
      <c r="CN42" s="42"/>
      <c r="CO42" s="42"/>
      <c r="CP42" s="42"/>
      <c r="CQ42" s="42"/>
      <c r="CR42" s="42"/>
      <c r="CS42" s="42"/>
      <c r="CT42" s="42"/>
      <c r="CU42" s="42"/>
      <c r="CV42" s="42"/>
      <c r="CW42" s="42"/>
      <c r="CX42" s="42"/>
      <c r="CY42" s="42"/>
    </row>
    <row r="43" spans="1:103" s="2" customFormat="1" ht="15" outlineLevel="2" thickBot="1" x14ac:dyDescent="0.35">
      <c r="A43" s="119"/>
      <c r="B43" s="289" t="s">
        <v>1010</v>
      </c>
      <c r="C43" s="65"/>
      <c r="D43" s="57" t="s">
        <v>1032</v>
      </c>
      <c r="E43" s="20">
        <v>1</v>
      </c>
      <c r="F43" s="279"/>
      <c r="G43" s="280"/>
      <c r="H43" s="280"/>
      <c r="I43" s="51"/>
      <c r="J43" s="51"/>
      <c r="K43" s="15"/>
      <c r="L43" s="15"/>
      <c r="M43" s="42"/>
      <c r="N43" s="42"/>
      <c r="O43" s="42"/>
      <c r="P43" s="42"/>
      <c r="Q43" s="42"/>
      <c r="R43" s="42"/>
      <c r="S43" s="42"/>
      <c r="T43" s="42"/>
      <c r="U43" s="42"/>
      <c r="V43" s="42"/>
      <c r="W43" s="42"/>
      <c r="X43" s="42"/>
      <c r="Y43" s="43"/>
      <c r="Z43" s="43"/>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c r="CY43" s="42"/>
    </row>
    <row r="44" spans="1:103" s="2" customFormat="1" ht="15" outlineLevel="2" thickBot="1" x14ac:dyDescent="0.35">
      <c r="A44" s="119"/>
      <c r="B44" s="289" t="s">
        <v>1011</v>
      </c>
      <c r="C44" s="65"/>
      <c r="D44" s="57" t="s">
        <v>1032</v>
      </c>
      <c r="E44" s="20">
        <v>1</v>
      </c>
      <c r="F44" s="279"/>
      <c r="G44" s="280"/>
      <c r="H44" s="280"/>
      <c r="I44" s="51"/>
      <c r="J44" s="51"/>
      <c r="K44" s="15"/>
      <c r="L44" s="15"/>
      <c r="M44" s="42"/>
      <c r="N44" s="42"/>
      <c r="O44" s="42"/>
      <c r="P44" s="42"/>
      <c r="Q44" s="42"/>
      <c r="R44" s="42"/>
      <c r="S44" s="42"/>
      <c r="T44" s="42"/>
      <c r="U44" s="42"/>
      <c r="V44" s="42"/>
      <c r="W44" s="42"/>
      <c r="X44" s="42"/>
      <c r="Y44" s="43"/>
      <c r="Z44" s="43"/>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c r="CY44" s="42"/>
    </row>
    <row r="45" spans="1:103" s="2" customFormat="1" ht="15" outlineLevel="2" thickBot="1" x14ac:dyDescent="0.35">
      <c r="A45" s="119"/>
      <c r="B45" s="289" t="s">
        <v>1012</v>
      </c>
      <c r="C45" s="65"/>
      <c r="D45" s="57" t="s">
        <v>1032</v>
      </c>
      <c r="E45" s="20">
        <v>1</v>
      </c>
      <c r="F45" s="279"/>
      <c r="G45" s="280"/>
      <c r="H45" s="280"/>
      <c r="I45" s="51"/>
      <c r="J45" s="51"/>
      <c r="K45" s="15"/>
      <c r="L45" s="15"/>
      <c r="M45" s="42"/>
      <c r="N45" s="42"/>
      <c r="O45" s="42"/>
      <c r="P45" s="42"/>
      <c r="Q45" s="42"/>
      <c r="R45" s="42"/>
      <c r="S45" s="42"/>
      <c r="T45" s="42"/>
      <c r="U45" s="42"/>
      <c r="V45" s="42"/>
      <c r="W45" s="42"/>
      <c r="X45" s="42"/>
      <c r="Y45" s="43"/>
      <c r="Z45" s="43"/>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c r="CD45" s="42"/>
      <c r="CE45" s="42"/>
      <c r="CF45" s="42"/>
      <c r="CG45" s="42"/>
      <c r="CH45" s="42"/>
      <c r="CI45" s="42"/>
      <c r="CJ45" s="42"/>
      <c r="CK45" s="42"/>
      <c r="CL45" s="42"/>
      <c r="CM45" s="42"/>
      <c r="CN45" s="42"/>
      <c r="CO45" s="42"/>
      <c r="CP45" s="42"/>
      <c r="CQ45" s="42"/>
      <c r="CR45" s="42"/>
      <c r="CS45" s="42"/>
      <c r="CT45" s="42"/>
      <c r="CU45" s="42"/>
      <c r="CV45" s="42"/>
      <c r="CW45" s="42"/>
      <c r="CX45" s="42"/>
      <c r="CY45" s="42"/>
    </row>
    <row r="46" spans="1:103" s="2" customFormat="1" ht="15" outlineLevel="2" thickBot="1" x14ac:dyDescent="0.35">
      <c r="A46" s="119"/>
      <c r="B46" s="289" t="s">
        <v>1013</v>
      </c>
      <c r="C46" s="65"/>
      <c r="D46" s="57" t="s">
        <v>1032</v>
      </c>
      <c r="E46" s="20">
        <v>1</v>
      </c>
      <c r="F46" s="279"/>
      <c r="G46" s="280"/>
      <c r="H46" s="280"/>
      <c r="I46" s="51"/>
      <c r="J46" s="51"/>
      <c r="K46" s="15"/>
      <c r="L46" s="15"/>
      <c r="M46" s="42"/>
      <c r="N46" s="42"/>
      <c r="O46" s="42"/>
      <c r="P46" s="42"/>
      <c r="Q46" s="42"/>
      <c r="R46" s="42"/>
      <c r="S46" s="42"/>
      <c r="T46" s="42"/>
      <c r="U46" s="42"/>
      <c r="V46" s="42"/>
      <c r="W46" s="42"/>
      <c r="X46" s="42"/>
      <c r="Y46" s="43"/>
      <c r="Z46" s="43"/>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c r="CY46" s="42"/>
    </row>
    <row r="47" spans="1:103" s="2" customFormat="1" ht="15" outlineLevel="2" thickBot="1" x14ac:dyDescent="0.35">
      <c r="A47" s="119"/>
      <c r="B47" s="289" t="s">
        <v>1014</v>
      </c>
      <c r="C47" s="65"/>
      <c r="D47" s="57" t="s">
        <v>1032</v>
      </c>
      <c r="E47" s="20">
        <v>1</v>
      </c>
      <c r="F47" s="279"/>
      <c r="G47" s="280"/>
      <c r="H47" s="280"/>
      <c r="I47" s="51"/>
      <c r="J47" s="51"/>
      <c r="K47" s="15"/>
      <c r="L47" s="15"/>
      <c r="M47" s="42"/>
      <c r="N47" s="42"/>
      <c r="O47" s="42"/>
      <c r="P47" s="42"/>
      <c r="Q47" s="42"/>
      <c r="R47" s="42"/>
      <c r="S47" s="42"/>
      <c r="T47" s="42"/>
      <c r="U47" s="42"/>
      <c r="V47" s="42"/>
      <c r="W47" s="42"/>
      <c r="X47" s="42"/>
      <c r="Y47" s="43"/>
      <c r="Z47" s="43"/>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2"/>
      <c r="CS47" s="42"/>
      <c r="CT47" s="42"/>
      <c r="CU47" s="42"/>
      <c r="CV47" s="42"/>
      <c r="CW47" s="42"/>
      <c r="CX47" s="42"/>
      <c r="CY47" s="42"/>
    </row>
    <row r="48" spans="1:103" s="2" customFormat="1" ht="15" outlineLevel="2" thickBot="1" x14ac:dyDescent="0.35">
      <c r="A48" s="119"/>
      <c r="B48" s="289" t="s">
        <v>1015</v>
      </c>
      <c r="C48" s="65"/>
      <c r="D48" s="57" t="s">
        <v>1032</v>
      </c>
      <c r="E48" s="20">
        <v>1</v>
      </c>
      <c r="F48" s="279"/>
      <c r="G48" s="280"/>
      <c r="H48" s="280"/>
      <c r="I48" s="51"/>
      <c r="J48" s="51"/>
      <c r="K48" s="15"/>
      <c r="L48" s="15"/>
      <c r="M48" s="42"/>
      <c r="N48" s="42"/>
      <c r="O48" s="42"/>
      <c r="P48" s="42"/>
      <c r="Q48" s="42"/>
      <c r="R48" s="42"/>
      <c r="S48" s="42"/>
      <c r="T48" s="42"/>
      <c r="U48" s="42"/>
      <c r="V48" s="42"/>
      <c r="W48" s="42"/>
      <c r="X48" s="42"/>
      <c r="Y48" s="43"/>
      <c r="Z48" s="43"/>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c r="CD48" s="42"/>
      <c r="CE48" s="42"/>
      <c r="CF48" s="42"/>
      <c r="CG48" s="42"/>
      <c r="CH48" s="42"/>
      <c r="CI48" s="42"/>
      <c r="CJ48" s="42"/>
      <c r="CK48" s="42"/>
      <c r="CL48" s="42"/>
      <c r="CM48" s="42"/>
      <c r="CN48" s="42"/>
      <c r="CO48" s="42"/>
      <c r="CP48" s="42"/>
      <c r="CQ48" s="42"/>
      <c r="CR48" s="42"/>
      <c r="CS48" s="42"/>
      <c r="CT48" s="42"/>
      <c r="CU48" s="42"/>
      <c r="CV48" s="42"/>
      <c r="CW48" s="42"/>
      <c r="CX48" s="42"/>
      <c r="CY48" s="42"/>
    </row>
    <row r="49" spans="1:103" s="2" customFormat="1" ht="15" outlineLevel="2" thickBot="1" x14ac:dyDescent="0.35">
      <c r="A49" s="119"/>
      <c r="B49" s="289" t="s">
        <v>1016</v>
      </c>
      <c r="C49" s="65"/>
      <c r="D49" s="57" t="s">
        <v>1032</v>
      </c>
      <c r="E49" s="20">
        <v>1</v>
      </c>
      <c r="F49" s="279"/>
      <c r="G49" s="280"/>
      <c r="H49" s="280"/>
      <c r="I49" s="51"/>
      <c r="J49" s="51"/>
      <c r="K49" s="15"/>
      <c r="L49" s="15"/>
      <c r="M49" s="42"/>
      <c r="N49" s="42"/>
      <c r="O49" s="42"/>
      <c r="P49" s="42"/>
      <c r="Q49" s="42"/>
      <c r="R49" s="42"/>
      <c r="S49" s="42"/>
      <c r="T49" s="42"/>
      <c r="U49" s="42"/>
      <c r="V49" s="42"/>
      <c r="W49" s="42"/>
      <c r="X49" s="42"/>
      <c r="Y49" s="43"/>
      <c r="Z49" s="43"/>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c r="CY49" s="42"/>
    </row>
    <row r="50" spans="1:103" s="2" customFormat="1" ht="15" outlineLevel="2" thickBot="1" x14ac:dyDescent="0.35">
      <c r="A50" s="119"/>
      <c r="B50" s="289" t="s">
        <v>1017</v>
      </c>
      <c r="C50" s="65"/>
      <c r="D50" s="57" t="s">
        <v>1032</v>
      </c>
      <c r="E50" s="20">
        <v>1</v>
      </c>
      <c r="F50" s="279"/>
      <c r="G50" s="280"/>
      <c r="H50" s="280"/>
      <c r="I50" s="51"/>
      <c r="J50" s="51"/>
      <c r="K50" s="15"/>
      <c r="L50" s="15"/>
      <c r="M50" s="42"/>
      <c r="N50" s="42"/>
      <c r="O50" s="42"/>
      <c r="P50" s="42"/>
      <c r="Q50" s="42"/>
      <c r="R50" s="42"/>
      <c r="S50" s="42"/>
      <c r="T50" s="42"/>
      <c r="U50" s="42"/>
      <c r="V50" s="42"/>
      <c r="W50" s="42"/>
      <c r="X50" s="42"/>
      <c r="Y50" s="43"/>
      <c r="Z50" s="43"/>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W50" s="42"/>
      <c r="CX50" s="42"/>
      <c r="CY50" s="42"/>
    </row>
    <row r="51" spans="1:103" s="2" customFormat="1" ht="15" outlineLevel="2" thickBot="1" x14ac:dyDescent="0.35">
      <c r="A51" s="119"/>
      <c r="B51" s="289" t="s">
        <v>1018</v>
      </c>
      <c r="C51" s="65"/>
      <c r="D51" s="57" t="s">
        <v>1032</v>
      </c>
      <c r="E51" s="20">
        <v>1</v>
      </c>
      <c r="F51" s="279"/>
      <c r="G51" s="280"/>
      <c r="H51" s="280"/>
      <c r="I51" s="51"/>
      <c r="J51" s="51"/>
      <c r="K51" s="15"/>
      <c r="L51" s="15"/>
      <c r="M51" s="42"/>
      <c r="N51" s="42"/>
      <c r="O51" s="42"/>
      <c r="P51" s="42"/>
      <c r="Q51" s="42"/>
      <c r="R51" s="42"/>
      <c r="S51" s="42"/>
      <c r="T51" s="42"/>
      <c r="U51" s="42"/>
      <c r="V51" s="42"/>
      <c r="W51" s="42"/>
      <c r="X51" s="42"/>
      <c r="Y51" s="43"/>
      <c r="Z51" s="43"/>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W51" s="42"/>
      <c r="CX51" s="42"/>
      <c r="CY51" s="42"/>
    </row>
    <row r="52" spans="1:103" s="2" customFormat="1" ht="15" outlineLevel="2" thickBot="1" x14ac:dyDescent="0.35">
      <c r="A52" s="119"/>
      <c r="B52" s="289" t="s">
        <v>1019</v>
      </c>
      <c r="C52" s="65"/>
      <c r="D52" s="57" t="s">
        <v>1032</v>
      </c>
      <c r="E52" s="20">
        <v>1</v>
      </c>
      <c r="F52" s="279"/>
      <c r="G52" s="280"/>
      <c r="H52" s="280"/>
      <c r="I52" s="51"/>
      <c r="J52" s="51"/>
      <c r="K52" s="15"/>
      <c r="L52" s="15"/>
      <c r="M52" s="42"/>
      <c r="N52" s="42"/>
      <c r="O52" s="42"/>
      <c r="P52" s="42"/>
      <c r="Q52" s="42"/>
      <c r="R52" s="42"/>
      <c r="S52" s="42"/>
      <c r="T52" s="42"/>
      <c r="U52" s="42"/>
      <c r="V52" s="42"/>
      <c r="W52" s="42"/>
      <c r="X52" s="42"/>
      <c r="Y52" s="43"/>
      <c r="Z52" s="43"/>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c r="CY52" s="42"/>
    </row>
    <row r="53" spans="1:103" s="2" customFormat="1" ht="15" outlineLevel="2" thickBot="1" x14ac:dyDescent="0.35">
      <c r="A53" s="119"/>
      <c r="B53" s="289" t="s">
        <v>1020</v>
      </c>
      <c r="C53" s="65"/>
      <c r="D53" s="57" t="s">
        <v>1032</v>
      </c>
      <c r="E53" s="20">
        <v>1</v>
      </c>
      <c r="F53" s="279"/>
      <c r="G53" s="280"/>
      <c r="H53" s="280"/>
      <c r="I53" s="51"/>
      <c r="J53" s="51"/>
      <c r="K53" s="15"/>
      <c r="L53" s="15"/>
      <c r="M53" s="42"/>
      <c r="N53" s="42"/>
      <c r="O53" s="42"/>
      <c r="P53" s="42"/>
      <c r="Q53" s="42"/>
      <c r="R53" s="42"/>
      <c r="S53" s="42"/>
      <c r="T53" s="42"/>
      <c r="U53" s="42"/>
      <c r="V53" s="42"/>
      <c r="W53" s="42"/>
      <c r="X53" s="42"/>
      <c r="Y53" s="43"/>
      <c r="Z53" s="43"/>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42"/>
      <c r="CH53" s="42"/>
      <c r="CI53" s="42"/>
      <c r="CJ53" s="42"/>
      <c r="CK53" s="42"/>
      <c r="CL53" s="42"/>
      <c r="CM53" s="42"/>
      <c r="CN53" s="42"/>
      <c r="CO53" s="42"/>
      <c r="CP53" s="42"/>
      <c r="CQ53" s="42"/>
      <c r="CR53" s="42"/>
      <c r="CS53" s="42"/>
      <c r="CT53" s="42"/>
      <c r="CU53" s="42"/>
      <c r="CV53" s="42"/>
      <c r="CW53" s="42"/>
      <c r="CX53" s="42"/>
      <c r="CY53" s="42"/>
    </row>
    <row r="54" spans="1:103" s="2" customFormat="1" ht="15" outlineLevel="2" thickBot="1" x14ac:dyDescent="0.35">
      <c r="A54" s="119"/>
      <c r="B54" s="289" t="s">
        <v>1021</v>
      </c>
      <c r="C54" s="65"/>
      <c r="D54" s="57" t="s">
        <v>1032</v>
      </c>
      <c r="E54" s="20">
        <v>1</v>
      </c>
      <c r="F54" s="279"/>
      <c r="G54" s="280"/>
      <c r="H54" s="280"/>
      <c r="I54" s="51"/>
      <c r="J54" s="51"/>
      <c r="K54" s="15"/>
      <c r="L54" s="15"/>
      <c r="M54" s="42"/>
      <c r="N54" s="42"/>
      <c r="O54" s="42"/>
      <c r="P54" s="42"/>
      <c r="Q54" s="42"/>
      <c r="R54" s="42"/>
      <c r="S54" s="42"/>
      <c r="T54" s="42"/>
      <c r="U54" s="42"/>
      <c r="V54" s="42"/>
      <c r="W54" s="42"/>
      <c r="X54" s="42"/>
      <c r="Y54" s="43"/>
      <c r="Z54" s="43"/>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c r="CY54" s="42"/>
    </row>
    <row r="55" spans="1:103" s="2" customFormat="1" ht="15" outlineLevel="2" thickBot="1" x14ac:dyDescent="0.35">
      <c r="A55" s="119"/>
      <c r="B55" s="289" t="s">
        <v>1033</v>
      </c>
      <c r="C55" s="65"/>
      <c r="D55" s="57" t="s">
        <v>1032</v>
      </c>
      <c r="E55" s="20">
        <v>1</v>
      </c>
      <c r="F55" s="279"/>
      <c r="G55" s="280"/>
      <c r="H55" s="280"/>
      <c r="I55" s="51"/>
      <c r="J55" s="51"/>
      <c r="K55" s="15"/>
      <c r="L55" s="15"/>
      <c r="M55" s="42"/>
      <c r="N55" s="42"/>
      <c r="O55" s="42"/>
      <c r="P55" s="42"/>
      <c r="Q55" s="42"/>
      <c r="R55" s="42"/>
      <c r="S55" s="42"/>
      <c r="T55" s="42"/>
      <c r="U55" s="42"/>
      <c r="V55" s="42"/>
      <c r="W55" s="42"/>
      <c r="X55" s="42"/>
      <c r="Y55" s="43"/>
      <c r="Z55" s="43"/>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c r="CY55" s="42"/>
    </row>
    <row r="56" spans="1:103" s="2" customFormat="1" ht="15" outlineLevel="2" thickBot="1" x14ac:dyDescent="0.35">
      <c r="A56" s="119"/>
      <c r="B56" s="289" t="s">
        <v>1022</v>
      </c>
      <c r="C56" s="65"/>
      <c r="D56" s="57" t="s">
        <v>1032</v>
      </c>
      <c r="E56" s="20">
        <v>0</v>
      </c>
      <c r="F56" s="279"/>
      <c r="G56" s="280"/>
      <c r="H56" s="280"/>
      <c r="I56" s="51"/>
      <c r="J56" s="51"/>
      <c r="K56" s="15"/>
      <c r="L56" s="15"/>
      <c r="M56" s="42"/>
      <c r="N56" s="42"/>
      <c r="O56" s="42"/>
      <c r="P56" s="42"/>
      <c r="Q56" s="42"/>
      <c r="R56" s="42"/>
      <c r="S56" s="42"/>
      <c r="T56" s="42"/>
      <c r="U56" s="42"/>
      <c r="V56" s="42"/>
      <c r="W56" s="42"/>
      <c r="X56" s="42"/>
      <c r="Y56" s="43"/>
      <c r="Z56" s="43"/>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2"/>
      <c r="BK56" s="42"/>
      <c r="BL56" s="42"/>
      <c r="BM56" s="42"/>
      <c r="BN56" s="42"/>
      <c r="BO56" s="42"/>
      <c r="BP56" s="42"/>
      <c r="BQ56" s="42"/>
      <c r="BR56" s="42"/>
      <c r="BS56" s="42"/>
      <c r="BT56" s="42"/>
      <c r="BU56" s="42"/>
      <c r="BV56" s="42"/>
      <c r="BW56" s="42"/>
      <c r="BX56" s="42"/>
      <c r="BY56" s="42"/>
      <c r="BZ56" s="42"/>
      <c r="CA56" s="42"/>
      <c r="CB56" s="42"/>
      <c r="CC56" s="42"/>
      <c r="CD56" s="42"/>
      <c r="CE56" s="42"/>
      <c r="CF56" s="42"/>
      <c r="CG56" s="42"/>
      <c r="CH56" s="42"/>
      <c r="CI56" s="42"/>
      <c r="CJ56" s="42"/>
      <c r="CK56" s="42"/>
      <c r="CL56" s="42"/>
      <c r="CM56" s="42"/>
      <c r="CN56" s="42"/>
      <c r="CO56" s="42"/>
      <c r="CP56" s="42"/>
      <c r="CQ56" s="42"/>
      <c r="CR56" s="42"/>
      <c r="CS56" s="42"/>
      <c r="CT56" s="42"/>
      <c r="CU56" s="42"/>
      <c r="CV56" s="42"/>
      <c r="CW56" s="42"/>
      <c r="CX56" s="42"/>
      <c r="CY56" s="42"/>
    </row>
    <row r="57" spans="1:103" s="2" customFormat="1" ht="15" outlineLevel="2" thickBot="1" x14ac:dyDescent="0.35">
      <c r="A57" s="119"/>
      <c r="B57" s="289" t="s">
        <v>1023</v>
      </c>
      <c r="C57" s="65"/>
      <c r="D57" s="57" t="s">
        <v>1032</v>
      </c>
      <c r="E57" s="20">
        <v>0.75</v>
      </c>
      <c r="F57" s="279"/>
      <c r="G57" s="280"/>
      <c r="H57" s="280"/>
      <c r="I57" s="51"/>
      <c r="J57" s="51"/>
      <c r="K57" s="15"/>
      <c r="L57" s="15"/>
      <c r="M57" s="42"/>
      <c r="N57" s="42"/>
      <c r="O57" s="42"/>
      <c r="P57" s="42"/>
      <c r="Q57" s="42"/>
      <c r="R57" s="42"/>
      <c r="S57" s="42"/>
      <c r="T57" s="42"/>
      <c r="U57" s="42"/>
      <c r="V57" s="42"/>
      <c r="W57" s="42"/>
      <c r="X57" s="42"/>
      <c r="Y57" s="43"/>
      <c r="Z57" s="43"/>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c r="BD57" s="42"/>
      <c r="BE57" s="42"/>
      <c r="BF57" s="42"/>
      <c r="BG57" s="42"/>
      <c r="BH57" s="42"/>
      <c r="BI57" s="42"/>
      <c r="BJ57" s="42"/>
      <c r="BK57" s="42"/>
      <c r="BL57" s="42"/>
      <c r="BM57" s="42"/>
      <c r="BN57" s="42"/>
      <c r="BO57" s="42"/>
      <c r="BP57" s="42"/>
      <c r="BQ57" s="42"/>
      <c r="BR57" s="42"/>
      <c r="BS57" s="42"/>
      <c r="BT57" s="42"/>
      <c r="BU57" s="42"/>
      <c r="BV57" s="42"/>
      <c r="BW57" s="42"/>
      <c r="BX57" s="42"/>
      <c r="BY57" s="42"/>
      <c r="BZ57" s="42"/>
      <c r="CA57" s="42"/>
      <c r="CB57" s="42"/>
      <c r="CC57" s="42"/>
      <c r="CD57" s="42"/>
      <c r="CE57" s="42"/>
      <c r="CF57" s="42"/>
      <c r="CG57" s="42"/>
      <c r="CH57" s="42"/>
      <c r="CI57" s="42"/>
      <c r="CJ57" s="42"/>
      <c r="CK57" s="42"/>
      <c r="CL57" s="42"/>
      <c r="CM57" s="42"/>
      <c r="CN57" s="42"/>
      <c r="CO57" s="42"/>
      <c r="CP57" s="42"/>
      <c r="CQ57" s="42"/>
      <c r="CR57" s="42"/>
      <c r="CS57" s="42"/>
      <c r="CT57" s="42"/>
      <c r="CU57" s="42"/>
      <c r="CV57" s="42"/>
      <c r="CW57" s="42"/>
      <c r="CX57" s="42"/>
      <c r="CY57" s="42"/>
    </row>
    <row r="58" spans="1:103" s="2" customFormat="1" ht="15" outlineLevel="2" thickBot="1" x14ac:dyDescent="0.35">
      <c r="A58" s="119"/>
      <c r="B58" s="289" t="s">
        <v>1024</v>
      </c>
      <c r="C58" s="65"/>
      <c r="D58" s="57" t="s">
        <v>1032</v>
      </c>
      <c r="E58" s="20">
        <v>1</v>
      </c>
      <c r="F58" s="279"/>
      <c r="G58" s="280"/>
      <c r="H58" s="280"/>
      <c r="I58" s="51"/>
      <c r="J58" s="51"/>
      <c r="K58" s="15"/>
      <c r="L58" s="15"/>
      <c r="M58" s="42"/>
      <c r="N58" s="42"/>
      <c r="O58" s="42"/>
      <c r="P58" s="42"/>
      <c r="Q58" s="42"/>
      <c r="R58" s="42"/>
      <c r="S58" s="42"/>
      <c r="T58" s="42"/>
      <c r="U58" s="42"/>
      <c r="V58" s="42"/>
      <c r="W58" s="42"/>
      <c r="X58" s="42"/>
      <c r="Y58" s="43"/>
      <c r="Z58" s="43"/>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c r="CY58" s="42"/>
    </row>
    <row r="59" spans="1:103" s="2" customFormat="1" ht="15" outlineLevel="2" thickBot="1" x14ac:dyDescent="0.35">
      <c r="A59" s="119"/>
      <c r="B59" s="289" t="s">
        <v>1025</v>
      </c>
      <c r="C59" s="65"/>
      <c r="D59" s="57" t="s">
        <v>1032</v>
      </c>
      <c r="E59" s="20">
        <v>1</v>
      </c>
      <c r="F59" s="279"/>
      <c r="G59" s="280"/>
      <c r="H59" s="280"/>
      <c r="I59" s="51"/>
      <c r="J59" s="51"/>
      <c r="K59" s="15"/>
      <c r="L59" s="15"/>
      <c r="M59" s="42"/>
      <c r="N59" s="42"/>
      <c r="O59" s="42"/>
      <c r="P59" s="42"/>
      <c r="Q59" s="42"/>
      <c r="R59" s="42"/>
      <c r="S59" s="42"/>
      <c r="T59" s="42"/>
      <c r="U59" s="42"/>
      <c r="V59" s="42"/>
      <c r="W59" s="42"/>
      <c r="X59" s="42"/>
      <c r="Y59" s="43"/>
      <c r="Z59" s="43"/>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row>
    <row r="60" spans="1:103" s="2" customFormat="1" ht="15" outlineLevel="2" thickBot="1" x14ac:dyDescent="0.35">
      <c r="A60" s="119"/>
      <c r="B60" s="289" t="s">
        <v>1026</v>
      </c>
      <c r="C60" s="65"/>
      <c r="D60" s="57" t="s">
        <v>1032</v>
      </c>
      <c r="E60" s="20">
        <v>1</v>
      </c>
      <c r="F60" s="279"/>
      <c r="G60" s="280"/>
      <c r="H60" s="280"/>
      <c r="I60" s="51"/>
      <c r="J60" s="51"/>
      <c r="K60" s="15"/>
      <c r="L60" s="15"/>
      <c r="M60" s="42"/>
      <c r="N60" s="42"/>
      <c r="O60" s="42"/>
      <c r="P60" s="42"/>
      <c r="Q60" s="42"/>
      <c r="R60" s="42"/>
      <c r="S60" s="42"/>
      <c r="T60" s="42"/>
      <c r="U60" s="42"/>
      <c r="V60" s="42"/>
      <c r="W60" s="42"/>
      <c r="X60" s="42"/>
      <c r="Y60" s="43"/>
      <c r="Z60" s="43"/>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2"/>
      <c r="BK60" s="42"/>
      <c r="BL60" s="42"/>
      <c r="BM60" s="42"/>
      <c r="BN60" s="42"/>
      <c r="BO60" s="42"/>
      <c r="BP60" s="42"/>
      <c r="BQ60" s="42"/>
      <c r="BR60" s="42"/>
      <c r="BS60" s="42"/>
      <c r="BT60" s="42"/>
      <c r="BU60" s="42"/>
      <c r="BV60" s="42"/>
      <c r="BW60" s="42"/>
      <c r="BX60" s="42"/>
      <c r="BY60" s="42"/>
      <c r="BZ60" s="42"/>
      <c r="CA60" s="42"/>
      <c r="CB60" s="42"/>
      <c r="CC60" s="42"/>
      <c r="CD60" s="42"/>
      <c r="CE60" s="42"/>
      <c r="CF60" s="42"/>
      <c r="CG60" s="42"/>
      <c r="CH60" s="42"/>
      <c r="CI60" s="42"/>
      <c r="CJ60" s="42"/>
      <c r="CK60" s="42"/>
      <c r="CL60" s="42"/>
      <c r="CM60" s="42"/>
      <c r="CN60" s="42"/>
      <c r="CO60" s="42"/>
      <c r="CP60" s="42"/>
      <c r="CQ60" s="42"/>
      <c r="CR60" s="42"/>
      <c r="CS60" s="42"/>
      <c r="CT60" s="42"/>
      <c r="CU60" s="42"/>
      <c r="CV60" s="42"/>
      <c r="CW60" s="42"/>
      <c r="CX60" s="42"/>
      <c r="CY60" s="42"/>
    </row>
    <row r="61" spans="1:103" s="2" customFormat="1" ht="15" outlineLevel="2" thickBot="1" x14ac:dyDescent="0.35">
      <c r="A61" s="119"/>
      <c r="B61" s="289" t="s">
        <v>1027</v>
      </c>
      <c r="C61" s="65"/>
      <c r="D61" s="57" t="s">
        <v>1032</v>
      </c>
      <c r="E61" s="20">
        <v>1</v>
      </c>
      <c r="F61" s="279"/>
      <c r="G61" s="280"/>
      <c r="H61" s="280"/>
      <c r="I61" s="51"/>
      <c r="J61" s="51"/>
      <c r="K61" s="15"/>
      <c r="L61" s="15"/>
      <c r="M61" s="42"/>
      <c r="N61" s="42"/>
      <c r="O61" s="42"/>
      <c r="P61" s="42"/>
      <c r="Q61" s="42"/>
      <c r="R61" s="42"/>
      <c r="S61" s="42"/>
      <c r="T61" s="42"/>
      <c r="U61" s="42"/>
      <c r="V61" s="42"/>
      <c r="W61" s="42"/>
      <c r="X61" s="42"/>
      <c r="Y61" s="43"/>
      <c r="Z61" s="43"/>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42"/>
      <c r="BL61" s="42"/>
      <c r="BM61" s="42"/>
      <c r="BN61" s="42"/>
      <c r="BO61" s="42"/>
      <c r="BP61" s="42"/>
      <c r="BQ61" s="42"/>
      <c r="BR61" s="42"/>
      <c r="BS61" s="42"/>
      <c r="BT61" s="42"/>
      <c r="BU61" s="42"/>
      <c r="BV61" s="42"/>
      <c r="BW61" s="42"/>
      <c r="BX61" s="42"/>
      <c r="BY61" s="42"/>
      <c r="BZ61" s="42"/>
      <c r="CA61" s="42"/>
      <c r="CB61" s="42"/>
      <c r="CC61" s="42"/>
      <c r="CD61" s="42"/>
      <c r="CE61" s="42"/>
      <c r="CF61" s="42"/>
      <c r="CG61" s="42"/>
      <c r="CH61" s="42"/>
      <c r="CI61" s="42"/>
      <c r="CJ61" s="42"/>
      <c r="CK61" s="42"/>
      <c r="CL61" s="42"/>
      <c r="CM61" s="42"/>
      <c r="CN61" s="42"/>
      <c r="CO61" s="42"/>
      <c r="CP61" s="42"/>
      <c r="CQ61" s="42"/>
      <c r="CR61" s="42"/>
      <c r="CS61" s="42"/>
      <c r="CT61" s="42"/>
      <c r="CU61" s="42"/>
      <c r="CV61" s="42"/>
      <c r="CW61" s="42"/>
      <c r="CX61" s="42"/>
      <c r="CY61" s="42"/>
    </row>
    <row r="62" spans="1:103" s="2" customFormat="1" ht="15" outlineLevel="2" thickBot="1" x14ac:dyDescent="0.35">
      <c r="A62" s="119"/>
      <c r="B62" s="289" t="s">
        <v>1028</v>
      </c>
      <c r="C62" s="65"/>
      <c r="D62" s="57" t="s">
        <v>1032</v>
      </c>
      <c r="E62" s="20">
        <v>1</v>
      </c>
      <c r="F62" s="279"/>
      <c r="G62" s="280"/>
      <c r="H62" s="280"/>
      <c r="I62" s="51"/>
      <c r="J62" s="51"/>
      <c r="K62" s="15"/>
      <c r="L62" s="15"/>
      <c r="M62" s="42"/>
      <c r="N62" s="42"/>
      <c r="O62" s="42"/>
      <c r="P62" s="42"/>
      <c r="Q62" s="42"/>
      <c r="R62" s="42"/>
      <c r="S62" s="42"/>
      <c r="T62" s="42"/>
      <c r="U62" s="42"/>
      <c r="V62" s="42"/>
      <c r="W62" s="42"/>
      <c r="X62" s="42"/>
      <c r="Y62" s="43"/>
      <c r="Z62" s="43"/>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c r="BR62" s="42"/>
      <c r="BS62" s="42"/>
      <c r="BT62" s="42"/>
      <c r="BU62" s="42"/>
      <c r="BV62" s="42"/>
      <c r="BW62" s="42"/>
      <c r="BX62" s="42"/>
      <c r="BY62" s="42"/>
      <c r="BZ62" s="42"/>
      <c r="CA62" s="42"/>
      <c r="CB62" s="42"/>
      <c r="CC62" s="42"/>
      <c r="CD62" s="42"/>
      <c r="CE62" s="42"/>
      <c r="CF62" s="42"/>
      <c r="CG62" s="42"/>
      <c r="CH62" s="42"/>
      <c r="CI62" s="42"/>
      <c r="CJ62" s="42"/>
      <c r="CK62" s="42"/>
      <c r="CL62" s="42"/>
      <c r="CM62" s="42"/>
      <c r="CN62" s="42"/>
      <c r="CO62" s="42"/>
      <c r="CP62" s="42"/>
      <c r="CQ62" s="42"/>
      <c r="CR62" s="42"/>
      <c r="CS62" s="42"/>
      <c r="CT62" s="42"/>
      <c r="CU62" s="42"/>
      <c r="CV62" s="42"/>
      <c r="CW62" s="42"/>
      <c r="CX62" s="42"/>
      <c r="CY62" s="42"/>
    </row>
    <row r="63" spans="1:103" s="2" customFormat="1" ht="15" outlineLevel="2" thickBot="1" x14ac:dyDescent="0.35">
      <c r="A63" s="119"/>
      <c r="B63" s="289" t="s">
        <v>1029</v>
      </c>
      <c r="C63" s="65"/>
      <c r="D63" s="57" t="s">
        <v>1032</v>
      </c>
      <c r="E63" s="20">
        <v>1</v>
      </c>
      <c r="F63" s="279"/>
      <c r="G63" s="280"/>
      <c r="H63" s="280"/>
      <c r="I63" s="51"/>
      <c r="J63" s="51"/>
      <c r="K63" s="15"/>
      <c r="L63" s="15"/>
      <c r="M63" s="42"/>
      <c r="N63" s="42"/>
      <c r="O63" s="42"/>
      <c r="P63" s="42"/>
      <c r="Q63" s="42"/>
      <c r="R63" s="42"/>
      <c r="S63" s="42"/>
      <c r="T63" s="42"/>
      <c r="U63" s="42"/>
      <c r="V63" s="42"/>
      <c r="W63" s="42"/>
      <c r="X63" s="42"/>
      <c r="Y63" s="43"/>
      <c r="Z63" s="43"/>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42"/>
      <c r="CU63" s="42"/>
      <c r="CV63" s="42"/>
      <c r="CW63" s="42"/>
      <c r="CX63" s="42"/>
      <c r="CY63" s="42"/>
    </row>
    <row r="64" spans="1:103" s="2" customFormat="1" ht="15" outlineLevel="2" thickBot="1" x14ac:dyDescent="0.35">
      <c r="A64" s="119"/>
      <c r="B64" s="289" t="s">
        <v>1030</v>
      </c>
      <c r="C64" s="65"/>
      <c r="D64" s="57" t="s">
        <v>1032</v>
      </c>
      <c r="E64" s="20">
        <v>1</v>
      </c>
      <c r="F64" s="279"/>
      <c r="G64" s="280"/>
      <c r="H64" s="280"/>
      <c r="I64" s="51"/>
      <c r="J64" s="51"/>
      <c r="K64" s="15"/>
      <c r="L64" s="15"/>
      <c r="M64" s="42"/>
      <c r="N64" s="42"/>
      <c r="O64" s="42"/>
      <c r="P64" s="42"/>
      <c r="Q64" s="42"/>
      <c r="R64" s="42"/>
      <c r="S64" s="42"/>
      <c r="T64" s="42"/>
      <c r="U64" s="42"/>
      <c r="V64" s="42"/>
      <c r="W64" s="42"/>
      <c r="X64" s="42"/>
      <c r="Y64" s="43"/>
      <c r="Z64" s="43"/>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c r="BV64" s="42"/>
      <c r="BW64" s="42"/>
      <c r="BX64" s="42"/>
      <c r="BY64" s="42"/>
      <c r="BZ64" s="42"/>
      <c r="CA64" s="42"/>
      <c r="CB64" s="42"/>
      <c r="CC64" s="42"/>
      <c r="CD64" s="42"/>
      <c r="CE64" s="42"/>
      <c r="CF64" s="42"/>
      <c r="CG64" s="42"/>
      <c r="CH64" s="42"/>
      <c r="CI64" s="42"/>
      <c r="CJ64" s="42"/>
      <c r="CK64" s="42"/>
      <c r="CL64" s="42"/>
      <c r="CM64" s="42"/>
      <c r="CN64" s="42"/>
      <c r="CO64" s="42"/>
      <c r="CP64" s="42"/>
      <c r="CQ64" s="42"/>
      <c r="CR64" s="42"/>
      <c r="CS64" s="42"/>
      <c r="CT64" s="42"/>
      <c r="CU64" s="42"/>
      <c r="CV64" s="42"/>
      <c r="CW64" s="42"/>
      <c r="CX64" s="42"/>
      <c r="CY64" s="42"/>
    </row>
    <row r="65" spans="1:103" s="2" customFormat="1" ht="15" outlineLevel="2" thickBot="1" x14ac:dyDescent="0.35">
      <c r="A65" s="119"/>
      <c r="B65" s="289" t="s">
        <v>1031</v>
      </c>
      <c r="C65" s="65"/>
      <c r="D65" s="57" t="s">
        <v>1032</v>
      </c>
      <c r="E65" s="20">
        <v>1</v>
      </c>
      <c r="F65" s="279"/>
      <c r="G65" s="280"/>
      <c r="H65" s="280"/>
      <c r="I65" s="51"/>
      <c r="J65" s="51"/>
      <c r="K65" s="15"/>
      <c r="L65" s="15"/>
      <c r="M65" s="42"/>
      <c r="N65" s="42"/>
      <c r="O65" s="42"/>
      <c r="P65" s="42"/>
      <c r="Q65" s="42"/>
      <c r="R65" s="42"/>
      <c r="S65" s="42"/>
      <c r="T65" s="42"/>
      <c r="U65" s="42"/>
      <c r="V65" s="42"/>
      <c r="W65" s="42"/>
      <c r="X65" s="42"/>
      <c r="Y65" s="43"/>
      <c r="Z65" s="43"/>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42"/>
      <c r="CV65" s="42"/>
      <c r="CW65" s="42"/>
      <c r="CX65" s="42"/>
      <c r="CY65" s="42"/>
    </row>
    <row r="66" spans="1:103" s="2" customFormat="1" ht="15" outlineLevel="2" thickBot="1" x14ac:dyDescent="0.35">
      <c r="A66" s="119"/>
      <c r="B66" s="289" t="s">
        <v>961</v>
      </c>
      <c r="C66" s="65"/>
      <c r="D66" s="57"/>
      <c r="E66" s="20"/>
      <c r="F66" s="279">
        <v>0</v>
      </c>
      <c r="G66" s="280">
        <v>44413</v>
      </c>
      <c r="H66" s="280">
        <f>WORKDAY(G66,F66)</f>
        <v>44413</v>
      </c>
      <c r="I66" s="51"/>
      <c r="J66" s="51"/>
      <c r="K66" s="15"/>
      <c r="L66" s="15"/>
      <c r="M66" s="42"/>
      <c r="N66" s="42"/>
      <c r="O66" s="42"/>
      <c r="P66" s="42"/>
      <c r="Q66" s="42"/>
      <c r="R66" s="42"/>
      <c r="S66" s="42"/>
      <c r="T66" s="42"/>
      <c r="U66" s="42"/>
      <c r="V66" s="42"/>
      <c r="W66" s="42"/>
      <c r="X66" s="42"/>
      <c r="Y66" s="43"/>
      <c r="Z66" s="43"/>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c r="CB66" s="42"/>
      <c r="CC66" s="42"/>
      <c r="CD66" s="42"/>
      <c r="CE66" s="42"/>
      <c r="CF66" s="42"/>
      <c r="CG66" s="42"/>
      <c r="CH66" s="42"/>
      <c r="CI66" s="42"/>
      <c r="CJ66" s="42"/>
      <c r="CK66" s="42"/>
      <c r="CL66" s="42"/>
      <c r="CM66" s="42"/>
      <c r="CN66" s="42"/>
      <c r="CO66" s="42"/>
      <c r="CP66" s="42"/>
      <c r="CQ66" s="42"/>
      <c r="CR66" s="42"/>
      <c r="CS66" s="42"/>
      <c r="CT66" s="42"/>
      <c r="CU66" s="42"/>
      <c r="CV66" s="42"/>
      <c r="CW66" s="42"/>
      <c r="CX66" s="42"/>
      <c r="CY66" s="42"/>
    </row>
    <row r="67" spans="1:103" s="2" customFormat="1" ht="15" outlineLevel="2" thickBot="1" x14ac:dyDescent="0.35">
      <c r="A67" s="119"/>
      <c r="B67" s="125" t="s">
        <v>963</v>
      </c>
      <c r="C67" s="65"/>
      <c r="D67" s="57"/>
      <c r="E67" s="20"/>
      <c r="F67" s="279"/>
      <c r="G67" s="280"/>
      <c r="H67" s="280"/>
      <c r="I67" s="51"/>
      <c r="J67" s="51"/>
      <c r="K67" s="15"/>
      <c r="L67" s="15"/>
      <c r="M67" s="42"/>
      <c r="N67" s="42"/>
      <c r="O67" s="42"/>
      <c r="P67" s="42"/>
      <c r="Q67" s="42"/>
      <c r="R67" s="42"/>
      <c r="S67" s="42"/>
      <c r="T67" s="42"/>
      <c r="U67" s="42"/>
      <c r="V67" s="42"/>
      <c r="W67" s="42"/>
      <c r="X67" s="42"/>
      <c r="Y67" s="43"/>
      <c r="Z67" s="43"/>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42"/>
      <c r="CV67" s="42"/>
      <c r="CW67" s="42"/>
      <c r="CX67" s="42"/>
      <c r="CY67" s="42"/>
    </row>
    <row r="68" spans="1:103" s="2" customFormat="1" ht="15" outlineLevel="2" thickBot="1" x14ac:dyDescent="0.35">
      <c r="A68" s="119"/>
      <c r="B68" s="291" t="s">
        <v>964</v>
      </c>
      <c r="C68" s="65"/>
      <c r="D68" s="290" t="s">
        <v>965</v>
      </c>
      <c r="E68" s="20">
        <v>1</v>
      </c>
      <c r="F68" s="279">
        <v>0</v>
      </c>
      <c r="G68" s="280">
        <v>44399</v>
      </c>
      <c r="H68" s="280">
        <f>WORKDAY(G68,F68)</f>
        <v>44399</v>
      </c>
      <c r="I68" s="51"/>
      <c r="J68" s="51"/>
      <c r="K68" s="15"/>
      <c r="L68" s="15"/>
      <c r="M68" s="42"/>
      <c r="N68" s="42"/>
      <c r="O68" s="42"/>
      <c r="P68" s="42"/>
      <c r="Q68" s="42"/>
      <c r="R68" s="42"/>
      <c r="S68" s="42"/>
      <c r="T68" s="42"/>
      <c r="U68" s="42"/>
      <c r="V68" s="42"/>
      <c r="W68" s="42"/>
      <c r="X68" s="42"/>
      <c r="Y68" s="43"/>
      <c r="Z68" s="43"/>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c r="BR68" s="42"/>
      <c r="BS68" s="42"/>
      <c r="BT68" s="42"/>
      <c r="BU68" s="42"/>
      <c r="BV68" s="42"/>
      <c r="BW68" s="42"/>
      <c r="BX68" s="42"/>
      <c r="BY68" s="42"/>
      <c r="BZ68" s="42"/>
      <c r="CA68" s="42"/>
      <c r="CB68" s="42"/>
      <c r="CC68" s="42"/>
      <c r="CD68" s="42"/>
      <c r="CE68" s="42"/>
      <c r="CF68" s="42"/>
      <c r="CG68" s="42"/>
      <c r="CH68" s="42"/>
      <c r="CI68" s="42"/>
      <c r="CJ68" s="42"/>
      <c r="CK68" s="42"/>
      <c r="CL68" s="42"/>
      <c r="CM68" s="42"/>
      <c r="CN68" s="42"/>
      <c r="CO68" s="42"/>
      <c r="CP68" s="42"/>
      <c r="CQ68" s="42"/>
      <c r="CR68" s="42"/>
      <c r="CS68" s="42"/>
      <c r="CT68" s="42"/>
      <c r="CU68" s="42"/>
      <c r="CV68" s="42"/>
      <c r="CW68" s="42"/>
      <c r="CX68" s="42"/>
      <c r="CY68" s="42"/>
    </row>
    <row r="69" spans="1:103" s="2" customFormat="1" ht="15" outlineLevel="2" thickBot="1" x14ac:dyDescent="0.35">
      <c r="A69" s="119"/>
      <c r="B69" s="289" t="s">
        <v>966</v>
      </c>
      <c r="C69" s="65"/>
      <c r="D69" s="290" t="s">
        <v>965</v>
      </c>
      <c r="E69" s="20"/>
      <c r="F69" s="279">
        <v>0</v>
      </c>
      <c r="G69" s="280">
        <v>44434</v>
      </c>
      <c r="H69" s="280">
        <f>WORKDAY(G69,F69)</f>
        <v>44434</v>
      </c>
      <c r="I69" s="51"/>
      <c r="J69" s="51"/>
      <c r="K69" s="15"/>
      <c r="L69" s="15"/>
      <c r="M69" s="42"/>
      <c r="N69" s="42"/>
      <c r="O69" s="42"/>
      <c r="P69" s="42"/>
      <c r="Q69" s="42"/>
      <c r="R69" s="42"/>
      <c r="S69" s="42"/>
      <c r="T69" s="42"/>
      <c r="U69" s="42"/>
      <c r="V69" s="42"/>
      <c r="W69" s="42"/>
      <c r="X69" s="42"/>
      <c r="Y69" s="43"/>
      <c r="Z69" s="43"/>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42"/>
      <c r="CV69" s="42"/>
      <c r="CW69" s="42"/>
      <c r="CX69" s="42"/>
      <c r="CY69" s="42"/>
    </row>
    <row r="70" spans="1:103" s="2" customFormat="1" ht="15" outlineLevel="2" thickBot="1" x14ac:dyDescent="0.35">
      <c r="A70" s="119"/>
      <c r="B70" s="125" t="s">
        <v>967</v>
      </c>
      <c r="C70" s="65"/>
      <c r="D70" s="57"/>
      <c r="E70" s="20"/>
      <c r="F70" s="279"/>
      <c r="G70" s="280"/>
      <c r="H70" s="280"/>
      <c r="I70" s="51"/>
      <c r="J70" s="51"/>
      <c r="K70" s="15"/>
      <c r="L70" s="15"/>
      <c r="M70" s="42"/>
      <c r="N70" s="42"/>
      <c r="O70" s="42"/>
      <c r="P70" s="42"/>
      <c r="Q70" s="42"/>
      <c r="R70" s="42"/>
      <c r="S70" s="42"/>
      <c r="T70" s="42"/>
      <c r="U70" s="42"/>
      <c r="V70" s="42"/>
      <c r="W70" s="42"/>
      <c r="X70" s="42"/>
      <c r="Y70" s="43"/>
      <c r="Z70" s="43"/>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c r="CD70" s="42"/>
      <c r="CE70" s="42"/>
      <c r="CF70" s="42"/>
      <c r="CG70" s="42"/>
      <c r="CH70" s="42"/>
      <c r="CI70" s="42"/>
      <c r="CJ70" s="42"/>
      <c r="CK70" s="42"/>
      <c r="CL70" s="42"/>
      <c r="CM70" s="42"/>
      <c r="CN70" s="42"/>
      <c r="CO70" s="42"/>
      <c r="CP70" s="42"/>
      <c r="CQ70" s="42"/>
      <c r="CR70" s="42"/>
      <c r="CS70" s="42"/>
      <c r="CT70" s="42"/>
      <c r="CU70" s="42"/>
      <c r="CV70" s="42"/>
      <c r="CW70" s="42"/>
      <c r="CX70" s="42"/>
      <c r="CY70" s="42"/>
    </row>
    <row r="71" spans="1:103" s="2" customFormat="1" ht="15" outlineLevel="2" thickBot="1" x14ac:dyDescent="0.35">
      <c r="A71" s="119"/>
      <c r="B71" s="291" t="s">
        <v>968</v>
      </c>
      <c r="C71" s="65"/>
      <c r="D71" s="290" t="s">
        <v>952</v>
      </c>
      <c r="E71" s="20">
        <v>1</v>
      </c>
      <c r="F71" s="279">
        <v>0</v>
      </c>
      <c r="G71" s="280">
        <v>44386</v>
      </c>
      <c r="H71" s="280">
        <f>WORKDAY(G71,F71)</f>
        <v>44386</v>
      </c>
      <c r="I71" s="51"/>
      <c r="J71" s="51"/>
      <c r="K71" s="15"/>
      <c r="L71" s="15"/>
      <c r="M71" s="42"/>
      <c r="N71" s="42"/>
      <c r="O71" s="42"/>
      <c r="P71" s="42"/>
      <c r="Q71" s="42"/>
      <c r="R71" s="42"/>
      <c r="S71" s="42"/>
      <c r="T71" s="42"/>
      <c r="U71" s="42"/>
      <c r="V71" s="42"/>
      <c r="W71" s="42"/>
      <c r="X71" s="42"/>
      <c r="Y71" s="43"/>
      <c r="Z71" s="43"/>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W71" s="42"/>
      <c r="CX71" s="42"/>
      <c r="CY71" s="42"/>
    </row>
    <row r="72" spans="1:103" s="2" customFormat="1" ht="15" outlineLevel="2" thickBot="1" x14ac:dyDescent="0.35">
      <c r="A72" s="119"/>
      <c r="B72" s="289" t="s">
        <v>969</v>
      </c>
      <c r="C72" s="65"/>
      <c r="D72" s="290" t="s">
        <v>970</v>
      </c>
      <c r="E72" s="20">
        <v>1</v>
      </c>
      <c r="F72" s="279">
        <v>0</v>
      </c>
      <c r="G72" s="280">
        <v>44396</v>
      </c>
      <c r="H72" s="280">
        <f>WORKDAY(G72,F72)</f>
        <v>44396</v>
      </c>
      <c r="I72" s="51"/>
      <c r="J72" s="51"/>
      <c r="K72" s="15"/>
      <c r="L72" s="15"/>
      <c r="M72" s="42"/>
      <c r="N72" s="42"/>
      <c r="O72" s="42"/>
      <c r="P72" s="42"/>
      <c r="Q72" s="42"/>
      <c r="R72" s="42"/>
      <c r="S72" s="42"/>
      <c r="T72" s="42"/>
      <c r="U72" s="42"/>
      <c r="V72" s="42"/>
      <c r="W72" s="42"/>
      <c r="X72" s="42"/>
      <c r="Y72" s="43"/>
      <c r="Z72" s="43"/>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W72" s="42"/>
      <c r="CX72" s="42"/>
      <c r="CY72" s="42"/>
    </row>
    <row r="73" spans="1:103" s="2" customFormat="1" ht="15" outlineLevel="2" thickBot="1" x14ac:dyDescent="0.35">
      <c r="A73" s="119"/>
      <c r="B73" s="289" t="s">
        <v>971</v>
      </c>
      <c r="C73" s="65"/>
      <c r="D73" s="290" t="s">
        <v>970</v>
      </c>
      <c r="E73" s="20">
        <v>1</v>
      </c>
      <c r="F73" s="279">
        <v>0</v>
      </c>
      <c r="G73" s="280">
        <v>44397</v>
      </c>
      <c r="H73" s="280">
        <f>WORKDAY(G73,F73)</f>
        <v>44397</v>
      </c>
      <c r="I73" s="51"/>
      <c r="J73" s="51"/>
      <c r="K73" s="15"/>
      <c r="L73" s="15"/>
      <c r="M73" s="42"/>
      <c r="N73" s="42"/>
      <c r="O73" s="42"/>
      <c r="P73" s="42"/>
      <c r="Q73" s="42"/>
      <c r="R73" s="42"/>
      <c r="S73" s="42"/>
      <c r="T73" s="42"/>
      <c r="U73" s="42"/>
      <c r="V73" s="42"/>
      <c r="W73" s="42"/>
      <c r="X73" s="42"/>
      <c r="Y73" s="43"/>
      <c r="Z73" s="43"/>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42"/>
      <c r="CV73" s="42"/>
      <c r="CW73" s="42"/>
      <c r="CX73" s="42"/>
      <c r="CY73" s="42"/>
    </row>
    <row r="74" spans="1:103" s="2" customFormat="1" ht="15" outlineLevel="2" thickBot="1" x14ac:dyDescent="0.35">
      <c r="A74" s="119"/>
      <c r="B74" s="289" t="s">
        <v>972</v>
      </c>
      <c r="C74" s="65"/>
      <c r="D74" s="290" t="s">
        <v>973</v>
      </c>
      <c r="E74" s="20"/>
      <c r="F74" s="279">
        <v>0</v>
      </c>
      <c r="G74" s="280">
        <v>44426</v>
      </c>
      <c r="H74" s="280">
        <f>WORKDAY(G74,F74)</f>
        <v>44426</v>
      </c>
      <c r="I74" s="51"/>
      <c r="J74" s="51"/>
      <c r="K74" s="15"/>
      <c r="L74" s="15"/>
      <c r="M74" s="42"/>
      <c r="N74" s="42"/>
      <c r="O74" s="42"/>
      <c r="P74" s="42"/>
      <c r="Q74" s="42"/>
      <c r="R74" s="42"/>
      <c r="S74" s="42"/>
      <c r="T74" s="42"/>
      <c r="U74" s="42"/>
      <c r="V74" s="42"/>
      <c r="W74" s="42"/>
      <c r="X74" s="42"/>
      <c r="Y74" s="43"/>
      <c r="Z74" s="43"/>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W74" s="42"/>
      <c r="CX74" s="42"/>
      <c r="CY74" s="42"/>
    </row>
    <row r="75" spans="1:103" s="2" customFormat="1" ht="15" outlineLevel="2" thickBot="1" x14ac:dyDescent="0.35">
      <c r="A75" s="119"/>
      <c r="B75" s="289" t="s">
        <v>974</v>
      </c>
      <c r="C75" s="65"/>
      <c r="D75" s="290" t="s">
        <v>924</v>
      </c>
      <c r="E75" s="20"/>
      <c r="F75" s="279">
        <v>4</v>
      </c>
      <c r="G75" s="280">
        <v>44417</v>
      </c>
      <c r="H75" s="280">
        <f>WORKDAY(G75,F75)</f>
        <v>44421</v>
      </c>
      <c r="I75" s="51"/>
      <c r="J75" s="51"/>
      <c r="K75" s="15"/>
      <c r="L75" s="15"/>
      <c r="M75" s="42"/>
      <c r="N75" s="42"/>
      <c r="O75" s="42"/>
      <c r="P75" s="42"/>
      <c r="Q75" s="42"/>
      <c r="R75" s="42"/>
      <c r="S75" s="42"/>
      <c r="T75" s="42"/>
      <c r="U75" s="42"/>
      <c r="V75" s="42"/>
      <c r="W75" s="42"/>
      <c r="X75" s="42"/>
      <c r="Y75" s="43"/>
      <c r="Z75" s="43"/>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W75" s="42"/>
      <c r="CX75" s="42"/>
      <c r="CY75" s="42"/>
    </row>
    <row r="76" spans="1:103" s="2" customFormat="1" ht="15" outlineLevel="2" thickBot="1" x14ac:dyDescent="0.35">
      <c r="A76" s="119"/>
      <c r="B76" s="125" t="s">
        <v>975</v>
      </c>
      <c r="C76" s="65"/>
      <c r="D76" s="57"/>
      <c r="E76" s="20"/>
      <c r="F76" s="279"/>
      <c r="G76" s="280"/>
      <c r="H76" s="280"/>
      <c r="I76" s="51"/>
      <c r="J76" s="51"/>
      <c r="K76" s="15"/>
      <c r="L76" s="15"/>
      <c r="M76" s="42"/>
      <c r="N76" s="42"/>
      <c r="O76" s="42"/>
      <c r="P76" s="42"/>
      <c r="Q76" s="42"/>
      <c r="R76" s="42"/>
      <c r="S76" s="42"/>
      <c r="T76" s="42"/>
      <c r="U76" s="42"/>
      <c r="V76" s="42"/>
      <c r="W76" s="42"/>
      <c r="X76" s="42"/>
      <c r="Y76" s="43"/>
      <c r="Z76" s="43"/>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row>
    <row r="77" spans="1:103" s="2" customFormat="1" ht="15" outlineLevel="2" thickBot="1" x14ac:dyDescent="0.35">
      <c r="A77" s="119"/>
      <c r="B77" s="291" t="s">
        <v>976</v>
      </c>
      <c r="C77" s="65"/>
      <c r="D77" s="290" t="s">
        <v>965</v>
      </c>
      <c r="E77" s="20"/>
      <c r="F77" s="279">
        <v>0</v>
      </c>
      <c r="G77" s="280">
        <v>44424</v>
      </c>
      <c r="H77" s="280">
        <f>WORKDAY(G77,F77)</f>
        <v>44424</v>
      </c>
      <c r="I77" s="51"/>
      <c r="J77" s="51"/>
      <c r="K77" s="15"/>
      <c r="L77" s="15"/>
      <c r="M77" s="42"/>
      <c r="N77" s="42"/>
      <c r="O77" s="42"/>
      <c r="P77" s="42"/>
      <c r="Q77" s="42"/>
      <c r="R77" s="42"/>
      <c r="S77" s="42"/>
      <c r="T77" s="42"/>
      <c r="U77" s="42"/>
      <c r="V77" s="42"/>
      <c r="W77" s="42"/>
      <c r="X77" s="42"/>
      <c r="Y77" s="43"/>
      <c r="Z77" s="43"/>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row>
    <row r="78" spans="1:103" s="2" customFormat="1" ht="15" outlineLevel="2" thickBot="1" x14ac:dyDescent="0.35">
      <c r="A78" s="119"/>
      <c r="B78" s="125" t="s">
        <v>977</v>
      </c>
      <c r="C78" s="65"/>
      <c r="D78" s="57"/>
      <c r="E78" s="20"/>
      <c r="F78" s="279"/>
      <c r="G78" s="280"/>
      <c r="H78" s="280"/>
      <c r="I78" s="51"/>
      <c r="J78" s="51"/>
      <c r="K78" s="15"/>
      <c r="L78" s="15"/>
      <c r="M78" s="42"/>
      <c r="N78" s="42"/>
      <c r="O78" s="42"/>
      <c r="P78" s="42"/>
      <c r="Q78" s="42"/>
      <c r="R78" s="42"/>
      <c r="S78" s="42"/>
      <c r="T78" s="42"/>
      <c r="U78" s="42"/>
      <c r="V78" s="42"/>
      <c r="W78" s="42"/>
      <c r="X78" s="42"/>
      <c r="Y78" s="43"/>
      <c r="Z78" s="43"/>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row>
    <row r="79" spans="1:103" s="2" customFormat="1" ht="15" outlineLevel="2" thickBot="1" x14ac:dyDescent="0.35">
      <c r="A79" s="119"/>
      <c r="B79" s="291" t="s">
        <v>978</v>
      </c>
      <c r="C79" s="65"/>
      <c r="D79" s="290" t="s">
        <v>965</v>
      </c>
      <c r="E79" s="20">
        <v>1</v>
      </c>
      <c r="F79" s="279">
        <v>0</v>
      </c>
      <c r="G79" s="280">
        <v>44391</v>
      </c>
      <c r="H79" s="280">
        <f>WORKDAY(G79,F79)</f>
        <v>44391</v>
      </c>
      <c r="I79" s="51"/>
      <c r="J79" s="51"/>
      <c r="K79" s="15"/>
      <c r="L79" s="15"/>
      <c r="M79" s="42"/>
      <c r="N79" s="42"/>
      <c r="O79" s="42"/>
      <c r="P79" s="42"/>
      <c r="Q79" s="42"/>
      <c r="R79" s="42"/>
      <c r="S79" s="42"/>
      <c r="T79" s="42"/>
      <c r="U79" s="42"/>
      <c r="V79" s="42"/>
      <c r="W79" s="42"/>
      <c r="X79" s="42"/>
      <c r="Y79" s="43"/>
      <c r="Z79" s="43"/>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row>
    <row r="80" spans="1:103" s="2" customFormat="1" ht="15" outlineLevel="2" thickBot="1" x14ac:dyDescent="0.35">
      <c r="A80" s="119"/>
      <c r="B80" s="289" t="s">
        <v>979</v>
      </c>
      <c r="C80" s="65"/>
      <c r="D80" s="290" t="s">
        <v>919</v>
      </c>
      <c r="E80" s="20"/>
      <c r="F80" s="279">
        <v>0</v>
      </c>
      <c r="G80" s="280">
        <v>44428</v>
      </c>
      <c r="H80" s="280">
        <f>WORKDAY(G80,F80)</f>
        <v>44428</v>
      </c>
      <c r="I80" s="51"/>
      <c r="J80" s="51"/>
      <c r="K80" s="15"/>
      <c r="L80" s="15"/>
      <c r="M80" s="42"/>
      <c r="N80" s="42"/>
      <c r="O80" s="42"/>
      <c r="P80" s="42"/>
      <c r="Q80" s="42"/>
      <c r="R80" s="42"/>
      <c r="S80" s="42"/>
      <c r="T80" s="42"/>
      <c r="U80" s="42"/>
      <c r="V80" s="42"/>
      <c r="W80" s="42"/>
      <c r="X80" s="42"/>
      <c r="Y80" s="43"/>
      <c r="Z80" s="43"/>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row>
    <row r="81" spans="1:103" s="2" customFormat="1" ht="15" outlineLevel="2" thickBot="1" x14ac:dyDescent="0.35">
      <c r="A81" s="119"/>
      <c r="B81" s="289" t="s">
        <v>980</v>
      </c>
      <c r="C81" s="65"/>
      <c r="D81" s="290" t="s">
        <v>981</v>
      </c>
      <c r="E81" s="20"/>
      <c r="F81" s="279">
        <v>0</v>
      </c>
      <c r="G81" s="280">
        <v>44431</v>
      </c>
      <c r="H81" s="280">
        <f>WORKDAY(G81,F81)</f>
        <v>44431</v>
      </c>
      <c r="I81" s="51"/>
      <c r="J81" s="51"/>
      <c r="K81" s="15"/>
      <c r="L81" s="15"/>
      <c r="M81" s="42"/>
      <c r="N81" s="42"/>
      <c r="O81" s="42"/>
      <c r="P81" s="42"/>
      <c r="Q81" s="42"/>
      <c r="R81" s="42"/>
      <c r="S81" s="42"/>
      <c r="T81" s="42"/>
      <c r="U81" s="42"/>
      <c r="V81" s="42"/>
      <c r="W81" s="42"/>
      <c r="X81" s="42"/>
      <c r="Y81" s="43"/>
      <c r="Z81" s="43"/>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CX81" s="42"/>
      <c r="CY81" s="42"/>
    </row>
    <row r="82" spans="1:103" s="2" customFormat="1" ht="15" outlineLevel="2" thickBot="1" x14ac:dyDescent="0.35">
      <c r="A82" s="119"/>
      <c r="B82" s="125" t="s">
        <v>982</v>
      </c>
      <c r="C82" s="65"/>
      <c r="D82" s="57"/>
      <c r="E82" s="20"/>
      <c r="F82" s="279"/>
      <c r="G82" s="280"/>
      <c r="H82" s="280"/>
      <c r="I82" s="51"/>
      <c r="J82" s="51"/>
      <c r="K82" s="15"/>
      <c r="L82" s="15"/>
      <c r="M82" s="42"/>
      <c r="N82" s="42"/>
      <c r="O82" s="42"/>
      <c r="P82" s="42"/>
      <c r="Q82" s="42"/>
      <c r="R82" s="42"/>
      <c r="S82" s="42"/>
      <c r="T82" s="42"/>
      <c r="U82" s="42"/>
      <c r="V82" s="42"/>
      <c r="W82" s="42"/>
      <c r="X82" s="42"/>
      <c r="Y82" s="43"/>
      <c r="Z82" s="43"/>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c r="CD82" s="42"/>
      <c r="CE82" s="42"/>
      <c r="CF82" s="42"/>
      <c r="CG82" s="42"/>
      <c r="CH82" s="42"/>
      <c r="CI82" s="42"/>
      <c r="CJ82" s="42"/>
      <c r="CK82" s="42"/>
      <c r="CL82" s="42"/>
      <c r="CM82" s="42"/>
      <c r="CN82" s="42"/>
      <c r="CO82" s="42"/>
      <c r="CP82" s="42"/>
      <c r="CQ82" s="42"/>
      <c r="CR82" s="42"/>
      <c r="CS82" s="42"/>
      <c r="CT82" s="42"/>
      <c r="CU82" s="42"/>
      <c r="CV82" s="42"/>
      <c r="CW82" s="42"/>
      <c r="CX82" s="42"/>
      <c r="CY82" s="42"/>
    </row>
    <row r="83" spans="1:103" s="2" customFormat="1" ht="15" outlineLevel="2" thickBot="1" x14ac:dyDescent="0.35">
      <c r="A83" s="119"/>
      <c r="B83" s="291" t="s">
        <v>983</v>
      </c>
      <c r="C83" s="65"/>
      <c r="D83" s="290" t="s">
        <v>965</v>
      </c>
      <c r="E83" s="20">
        <v>1</v>
      </c>
      <c r="F83" s="279">
        <v>0</v>
      </c>
      <c r="G83" s="280">
        <v>44399</v>
      </c>
      <c r="H83" s="280">
        <f>WORKDAY(G83,F83)</f>
        <v>44399</v>
      </c>
      <c r="I83" s="51"/>
      <c r="J83" s="51"/>
      <c r="K83" s="15"/>
      <c r="L83" s="15"/>
      <c r="M83" s="42"/>
      <c r="N83" s="42"/>
      <c r="O83" s="42"/>
      <c r="P83" s="42"/>
      <c r="Q83" s="42"/>
      <c r="R83" s="42"/>
      <c r="S83" s="42"/>
      <c r="T83" s="42"/>
      <c r="U83" s="42"/>
      <c r="V83" s="42"/>
      <c r="W83" s="42"/>
      <c r="X83" s="42"/>
      <c r="Y83" s="43"/>
      <c r="Z83" s="43"/>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42"/>
      <c r="CV83" s="42"/>
      <c r="CW83" s="42"/>
      <c r="CX83" s="42"/>
      <c r="CY83" s="42"/>
    </row>
    <row r="84" spans="1:103" s="2" customFormat="1" ht="15" outlineLevel="2" thickBot="1" x14ac:dyDescent="0.35">
      <c r="A84" s="119"/>
      <c r="B84" s="289" t="s">
        <v>984</v>
      </c>
      <c r="C84" s="65"/>
      <c r="D84" s="290" t="s">
        <v>965</v>
      </c>
      <c r="E84" s="20">
        <v>1</v>
      </c>
      <c r="F84" s="279">
        <v>0</v>
      </c>
      <c r="G84" s="280">
        <v>44399</v>
      </c>
      <c r="H84" s="280">
        <f>WORKDAY(G84,F84)</f>
        <v>44399</v>
      </c>
      <c r="I84" s="51"/>
      <c r="J84" s="51"/>
      <c r="K84" s="15"/>
      <c r="L84" s="15"/>
      <c r="M84" s="42"/>
      <c r="N84" s="42"/>
      <c r="O84" s="42"/>
      <c r="P84" s="42"/>
      <c r="Q84" s="42"/>
      <c r="R84" s="42"/>
      <c r="S84" s="42"/>
      <c r="T84" s="42"/>
      <c r="U84" s="42"/>
      <c r="V84" s="42"/>
      <c r="W84" s="42"/>
      <c r="X84" s="42"/>
      <c r="Y84" s="43"/>
      <c r="Z84" s="43"/>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c r="CL84" s="42"/>
      <c r="CM84" s="42"/>
      <c r="CN84" s="42"/>
      <c r="CO84" s="42"/>
      <c r="CP84" s="42"/>
      <c r="CQ84" s="42"/>
      <c r="CR84" s="42"/>
      <c r="CS84" s="42"/>
      <c r="CT84" s="42"/>
      <c r="CU84" s="42"/>
      <c r="CV84" s="42"/>
      <c r="CW84" s="42"/>
      <c r="CX84" s="42"/>
      <c r="CY84" s="42"/>
    </row>
    <row r="85" spans="1:103" s="2" customFormat="1" ht="15" outlineLevel="2" thickBot="1" x14ac:dyDescent="0.35">
      <c r="A85" s="119"/>
      <c r="B85" s="125" t="s">
        <v>381</v>
      </c>
      <c r="C85" s="65"/>
      <c r="D85" s="57"/>
      <c r="E85" s="20"/>
      <c r="F85" s="279"/>
      <c r="G85" s="280"/>
      <c r="H85" s="280"/>
      <c r="I85" s="51"/>
      <c r="J85" s="51"/>
      <c r="K85" s="15"/>
      <c r="L85" s="15"/>
      <c r="M85" s="42"/>
      <c r="N85" s="42"/>
      <c r="O85" s="42"/>
      <c r="P85" s="42"/>
      <c r="Q85" s="42"/>
      <c r="R85" s="42"/>
      <c r="S85" s="42"/>
      <c r="T85" s="42"/>
      <c r="U85" s="42"/>
      <c r="V85" s="42"/>
      <c r="W85" s="42"/>
      <c r="X85" s="42"/>
      <c r="Y85" s="43"/>
      <c r="Z85" s="43"/>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42"/>
      <c r="CV85" s="42"/>
      <c r="CW85" s="42"/>
      <c r="CX85" s="42"/>
      <c r="CY85" s="42"/>
    </row>
    <row r="86" spans="1:103" s="2" customFormat="1" ht="15" outlineLevel="2" thickBot="1" x14ac:dyDescent="0.35">
      <c r="A86" s="119"/>
      <c r="B86" s="291" t="s">
        <v>985</v>
      </c>
      <c r="C86" s="65"/>
      <c r="D86" s="290" t="s">
        <v>986</v>
      </c>
      <c r="E86" s="20">
        <v>0.5</v>
      </c>
      <c r="F86" s="279">
        <v>0</v>
      </c>
      <c r="G86" s="280">
        <v>44390</v>
      </c>
      <c r="H86" s="280">
        <f t="shared" ref="H86:H92" si="11">WORKDAY(G86,F86)</f>
        <v>44390</v>
      </c>
      <c r="I86" s="51"/>
      <c r="J86" s="51"/>
      <c r="K86" s="15"/>
      <c r="L86" s="15"/>
      <c r="M86" s="42"/>
      <c r="N86" s="42"/>
      <c r="O86" s="42"/>
      <c r="P86" s="42"/>
      <c r="Q86" s="42"/>
      <c r="R86" s="42"/>
      <c r="S86" s="42"/>
      <c r="T86" s="42"/>
      <c r="U86" s="42"/>
      <c r="V86" s="42"/>
      <c r="W86" s="42"/>
      <c r="X86" s="42"/>
      <c r="Y86" s="43"/>
      <c r="Z86" s="43"/>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42"/>
      <c r="CU86" s="42"/>
      <c r="CV86" s="42"/>
      <c r="CW86" s="42"/>
      <c r="CX86" s="42"/>
      <c r="CY86" s="42"/>
    </row>
    <row r="87" spans="1:103" s="2" customFormat="1" ht="15" outlineLevel="2" thickBot="1" x14ac:dyDescent="0.35">
      <c r="A87" s="119"/>
      <c r="B87" s="289" t="s">
        <v>987</v>
      </c>
      <c r="C87" s="65"/>
      <c r="D87" s="290" t="s">
        <v>952</v>
      </c>
      <c r="E87" s="20"/>
      <c r="F87" s="279">
        <v>0</v>
      </c>
      <c r="G87" s="280">
        <v>44411</v>
      </c>
      <c r="H87" s="280">
        <f t="shared" si="11"/>
        <v>44411</v>
      </c>
      <c r="I87" s="51"/>
      <c r="J87" s="51"/>
      <c r="K87" s="15"/>
      <c r="L87" s="15"/>
      <c r="M87" s="42"/>
      <c r="N87" s="42"/>
      <c r="O87" s="42"/>
      <c r="P87" s="42"/>
      <c r="Q87" s="42"/>
      <c r="R87" s="42"/>
      <c r="S87" s="42"/>
      <c r="T87" s="42"/>
      <c r="U87" s="42"/>
      <c r="V87" s="42"/>
      <c r="W87" s="42"/>
      <c r="X87" s="42"/>
      <c r="Y87" s="43"/>
      <c r="Z87" s="43"/>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42"/>
      <c r="CV87" s="42"/>
      <c r="CW87" s="42"/>
      <c r="CX87" s="42"/>
      <c r="CY87" s="42"/>
    </row>
    <row r="88" spans="1:103" s="2" customFormat="1" ht="15" outlineLevel="2" thickBot="1" x14ac:dyDescent="0.35">
      <c r="A88" s="119"/>
      <c r="B88" s="289" t="s">
        <v>988</v>
      </c>
      <c r="C88" s="65"/>
      <c r="D88" s="290" t="s">
        <v>952</v>
      </c>
      <c r="E88" s="20">
        <v>1</v>
      </c>
      <c r="F88" s="279">
        <v>0</v>
      </c>
      <c r="G88" s="280">
        <v>44385</v>
      </c>
      <c r="H88" s="280">
        <f t="shared" si="11"/>
        <v>44385</v>
      </c>
      <c r="I88" s="51"/>
      <c r="J88" s="51"/>
      <c r="K88" s="15"/>
      <c r="L88" s="15"/>
      <c r="M88" s="42"/>
      <c r="N88" s="42"/>
      <c r="O88" s="42"/>
      <c r="P88" s="42"/>
      <c r="Q88" s="42"/>
      <c r="R88" s="42"/>
      <c r="S88" s="42"/>
      <c r="T88" s="42"/>
      <c r="U88" s="42"/>
      <c r="V88" s="42"/>
      <c r="W88" s="42"/>
      <c r="X88" s="42"/>
      <c r="Y88" s="43"/>
      <c r="Z88" s="43"/>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42"/>
      <c r="CH88" s="42"/>
      <c r="CI88" s="42"/>
      <c r="CJ88" s="42"/>
      <c r="CK88" s="42"/>
      <c r="CL88" s="42"/>
      <c r="CM88" s="42"/>
      <c r="CN88" s="42"/>
      <c r="CO88" s="42"/>
      <c r="CP88" s="42"/>
      <c r="CQ88" s="42"/>
      <c r="CR88" s="42"/>
      <c r="CS88" s="42"/>
      <c r="CT88" s="42"/>
      <c r="CU88" s="42"/>
      <c r="CV88" s="42"/>
      <c r="CW88" s="42"/>
      <c r="CX88" s="42"/>
      <c r="CY88" s="42"/>
    </row>
    <row r="89" spans="1:103" s="2" customFormat="1" ht="15" outlineLevel="2" thickBot="1" x14ac:dyDescent="0.35">
      <c r="A89" s="119"/>
      <c r="B89" s="289" t="s">
        <v>991</v>
      </c>
      <c r="C89" s="65"/>
      <c r="D89" s="290" t="s">
        <v>952</v>
      </c>
      <c r="E89" s="20">
        <v>1</v>
      </c>
      <c r="F89" s="279">
        <v>0</v>
      </c>
      <c r="G89" s="280">
        <v>44403</v>
      </c>
      <c r="H89" s="280">
        <f t="shared" si="11"/>
        <v>44403</v>
      </c>
      <c r="I89" s="51"/>
      <c r="J89" s="51"/>
      <c r="K89" s="15"/>
      <c r="L89" s="15"/>
      <c r="M89" s="42"/>
      <c r="N89" s="42"/>
      <c r="O89" s="42"/>
      <c r="P89" s="42"/>
      <c r="Q89" s="42"/>
      <c r="R89" s="42"/>
      <c r="S89" s="42"/>
      <c r="T89" s="42"/>
      <c r="U89" s="42"/>
      <c r="V89" s="42"/>
      <c r="W89" s="42"/>
      <c r="X89" s="42"/>
      <c r="Y89" s="43"/>
      <c r="Z89" s="43"/>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42"/>
      <c r="CV89" s="42"/>
      <c r="CW89" s="42"/>
      <c r="CX89" s="42"/>
      <c r="CY89" s="42"/>
    </row>
    <row r="90" spans="1:103" s="2" customFormat="1" ht="15" outlineLevel="2" thickBot="1" x14ac:dyDescent="0.35">
      <c r="A90" s="119"/>
      <c r="B90" s="289" t="s">
        <v>989</v>
      </c>
      <c r="C90" s="65"/>
      <c r="D90" s="290" t="s">
        <v>924</v>
      </c>
      <c r="E90" s="20"/>
      <c r="F90" s="279">
        <v>0</v>
      </c>
      <c r="G90" s="280">
        <v>44432</v>
      </c>
      <c r="H90" s="280">
        <f t="shared" si="11"/>
        <v>44432</v>
      </c>
      <c r="I90" s="51"/>
      <c r="J90" s="51"/>
      <c r="K90" s="15"/>
      <c r="L90" s="15"/>
      <c r="M90" s="42"/>
      <c r="N90" s="42"/>
      <c r="O90" s="42"/>
      <c r="P90" s="42"/>
      <c r="Q90" s="42"/>
      <c r="R90" s="42"/>
      <c r="S90" s="42"/>
      <c r="T90" s="42"/>
      <c r="U90" s="42"/>
      <c r="V90" s="42"/>
      <c r="W90" s="42"/>
      <c r="X90" s="42"/>
      <c r="Y90" s="43"/>
      <c r="Z90" s="43"/>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c r="CL90" s="42"/>
      <c r="CM90" s="42"/>
      <c r="CN90" s="42"/>
      <c r="CO90" s="42"/>
      <c r="CP90" s="42"/>
      <c r="CQ90" s="42"/>
      <c r="CR90" s="42"/>
      <c r="CS90" s="42"/>
      <c r="CT90" s="42"/>
      <c r="CU90" s="42"/>
      <c r="CV90" s="42"/>
      <c r="CW90" s="42"/>
      <c r="CX90" s="42"/>
      <c r="CY90" s="42"/>
    </row>
    <row r="91" spans="1:103" s="2" customFormat="1" ht="15" outlineLevel="2" thickBot="1" x14ac:dyDescent="0.35">
      <c r="A91" s="119"/>
      <c r="B91" s="289" t="s">
        <v>990</v>
      </c>
      <c r="C91" s="65"/>
      <c r="D91" s="290" t="s">
        <v>952</v>
      </c>
      <c r="E91" s="20"/>
      <c r="F91" s="279">
        <v>0</v>
      </c>
      <c r="G91" s="280">
        <v>44412</v>
      </c>
      <c r="H91" s="280">
        <f t="shared" si="11"/>
        <v>44412</v>
      </c>
      <c r="I91" s="51"/>
      <c r="J91" s="51"/>
      <c r="K91" s="15"/>
      <c r="L91" s="15"/>
      <c r="M91" s="42"/>
      <c r="N91" s="42"/>
      <c r="O91" s="42"/>
      <c r="P91" s="42"/>
      <c r="Q91" s="42"/>
      <c r="R91" s="42"/>
      <c r="S91" s="42"/>
      <c r="T91" s="42"/>
      <c r="U91" s="42"/>
      <c r="V91" s="42"/>
      <c r="W91" s="42"/>
      <c r="X91" s="42"/>
      <c r="Y91" s="43"/>
      <c r="Z91" s="43"/>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c r="CV91" s="42"/>
      <c r="CW91" s="42"/>
      <c r="CX91" s="42"/>
      <c r="CY91" s="42"/>
    </row>
    <row r="92" spans="1:103" s="2" customFormat="1" ht="15" outlineLevel="2" thickBot="1" x14ac:dyDescent="0.35">
      <c r="A92" s="119"/>
      <c r="B92" s="289" t="s">
        <v>941</v>
      </c>
      <c r="C92" s="65"/>
      <c r="D92" s="290" t="s">
        <v>952</v>
      </c>
      <c r="E92" s="20"/>
      <c r="F92" s="279">
        <v>0</v>
      </c>
      <c r="G92" s="280">
        <v>44413</v>
      </c>
      <c r="H92" s="280">
        <f t="shared" si="11"/>
        <v>44413</v>
      </c>
      <c r="I92" s="51"/>
      <c r="J92" s="51"/>
      <c r="K92" s="15"/>
      <c r="L92" s="15"/>
      <c r="M92" s="42"/>
      <c r="N92" s="42"/>
      <c r="O92" s="42"/>
      <c r="P92" s="42"/>
      <c r="Q92" s="42"/>
      <c r="R92" s="42"/>
      <c r="S92" s="42"/>
      <c r="T92" s="42"/>
      <c r="U92" s="42"/>
      <c r="V92" s="42"/>
      <c r="W92" s="42"/>
      <c r="X92" s="42"/>
      <c r="Y92" s="43"/>
      <c r="Z92" s="43"/>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c r="CL92" s="42"/>
      <c r="CM92" s="42"/>
      <c r="CN92" s="42"/>
      <c r="CO92" s="42"/>
      <c r="CP92" s="42"/>
      <c r="CQ92" s="42"/>
      <c r="CR92" s="42"/>
      <c r="CS92" s="42"/>
      <c r="CT92" s="42"/>
      <c r="CU92" s="42"/>
      <c r="CV92" s="42"/>
      <c r="CW92" s="42"/>
      <c r="CX92" s="42"/>
      <c r="CY92" s="42"/>
    </row>
    <row r="93" spans="1:103" s="2" customFormat="1" ht="15" outlineLevel="2" thickBot="1" x14ac:dyDescent="0.35">
      <c r="A93" s="119"/>
      <c r="B93" s="287"/>
      <c r="C93" s="65"/>
      <c r="D93" s="57"/>
      <c r="E93" s="20"/>
      <c r="F93" s="279"/>
      <c r="G93" s="280"/>
      <c r="H93" s="280"/>
      <c r="I93" s="51"/>
      <c r="J93" s="51"/>
      <c r="K93" s="15"/>
      <c r="L93" s="15"/>
      <c r="M93" s="42"/>
      <c r="N93" s="42"/>
      <c r="O93" s="42"/>
      <c r="P93" s="42"/>
      <c r="Q93" s="42"/>
      <c r="R93" s="42"/>
      <c r="S93" s="42"/>
      <c r="T93" s="42"/>
      <c r="U93" s="42"/>
      <c r="V93" s="42"/>
      <c r="W93" s="42"/>
      <c r="X93" s="42"/>
      <c r="Y93" s="43"/>
      <c r="Z93" s="43"/>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42"/>
      <c r="CV93" s="42"/>
      <c r="CW93" s="42"/>
      <c r="CX93" s="42"/>
      <c r="CY93" s="42"/>
    </row>
    <row r="94" spans="1:103" s="2" customFormat="1" ht="12.6" customHeight="1" outlineLevel="2" thickBot="1" x14ac:dyDescent="0.35">
      <c r="A94" s="119"/>
      <c r="B94" s="126"/>
      <c r="C94" s="65"/>
      <c r="D94" s="57"/>
      <c r="E94" s="20"/>
      <c r="F94" s="279"/>
      <c r="G94" s="280"/>
      <c r="H94" s="280"/>
      <c r="I94" s="51"/>
      <c r="J94" s="51"/>
      <c r="K94" s="15"/>
      <c r="L94" s="15"/>
      <c r="M94" s="42"/>
      <c r="N94" s="42"/>
      <c r="O94" s="42"/>
      <c r="P94" s="42"/>
      <c r="Q94" s="42"/>
      <c r="R94" s="42"/>
      <c r="S94" s="42"/>
      <c r="T94" s="42"/>
      <c r="U94" s="42"/>
      <c r="V94" s="42"/>
      <c r="W94" s="42"/>
      <c r="X94" s="42"/>
      <c r="Y94" s="43"/>
      <c r="Z94" s="43"/>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c r="CV94" s="42"/>
      <c r="CW94" s="42"/>
      <c r="CX94" s="42"/>
      <c r="CY94" s="42"/>
    </row>
    <row r="95" spans="1:103" s="2" customFormat="1" ht="12.6" customHeight="1" outlineLevel="1" thickBot="1" x14ac:dyDescent="0.35">
      <c r="A95" s="219"/>
      <c r="B95" s="221"/>
      <c r="C95" s="220"/>
      <c r="D95" s="146"/>
      <c r="E95" s="147">
        <f>AVERAGE(E96:E97)</f>
        <v>0</v>
      </c>
      <c r="F95" s="281"/>
      <c r="G95" s="283"/>
      <c r="H95" s="282"/>
      <c r="I95" s="24"/>
      <c r="J95" s="24"/>
      <c r="K95" s="15"/>
      <c r="L95" s="15"/>
      <c r="M95" s="42"/>
      <c r="N95" s="42"/>
      <c r="O95" s="42"/>
      <c r="P95" s="42"/>
      <c r="Q95" s="42"/>
      <c r="R95" s="42"/>
      <c r="S95" s="42"/>
      <c r="T95" s="42"/>
      <c r="U95" s="42"/>
      <c r="V95" s="42"/>
      <c r="W95" s="42"/>
      <c r="X95" s="42"/>
      <c r="Y95" s="43"/>
      <c r="Z95" s="43"/>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42"/>
      <c r="CV95" s="42"/>
      <c r="CW95" s="42"/>
      <c r="CX95" s="42"/>
      <c r="CY95" s="42"/>
    </row>
    <row r="96" spans="1:103" s="2" customFormat="1" ht="12.6" customHeight="1" outlineLevel="2" thickBot="1" x14ac:dyDescent="0.35">
      <c r="A96" s="119"/>
      <c r="B96" s="291" t="s">
        <v>997</v>
      </c>
      <c r="C96" s="119"/>
      <c r="D96" s="57" t="s">
        <v>902</v>
      </c>
      <c r="E96" s="20">
        <v>0</v>
      </c>
      <c r="F96" s="279"/>
      <c r="G96" s="284"/>
      <c r="H96" s="280"/>
      <c r="I96" s="52"/>
      <c r="J96" s="52"/>
      <c r="K96" s="15"/>
      <c r="L96" s="15"/>
      <c r="M96" s="42"/>
      <c r="N96" s="42"/>
      <c r="O96" s="42"/>
      <c r="P96" s="42"/>
      <c r="Q96" s="42"/>
      <c r="R96" s="42"/>
      <c r="S96" s="42"/>
      <c r="T96" s="42"/>
      <c r="U96" s="42"/>
      <c r="V96" s="42"/>
      <c r="W96" s="42"/>
      <c r="X96" s="42"/>
      <c r="Y96" s="43"/>
      <c r="Z96" s="43"/>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42"/>
      <c r="CD96" s="42"/>
      <c r="CE96" s="42"/>
      <c r="CF96" s="42"/>
      <c r="CG96" s="42"/>
      <c r="CH96" s="42"/>
      <c r="CI96" s="42"/>
      <c r="CJ96" s="42"/>
      <c r="CK96" s="42"/>
      <c r="CL96" s="42"/>
      <c r="CM96" s="42"/>
      <c r="CN96" s="42"/>
      <c r="CO96" s="42"/>
      <c r="CP96" s="42"/>
      <c r="CQ96" s="42"/>
      <c r="CR96" s="42"/>
      <c r="CS96" s="42"/>
      <c r="CT96" s="42"/>
      <c r="CU96" s="42"/>
      <c r="CV96" s="42"/>
      <c r="CW96" s="42"/>
      <c r="CX96" s="42"/>
      <c r="CY96" s="42"/>
    </row>
    <row r="97" spans="1:103" s="2" customFormat="1" ht="12.6" customHeight="1" outlineLevel="2" thickBot="1" x14ac:dyDescent="0.35">
      <c r="A97" s="119"/>
      <c r="B97" s="126"/>
      <c r="C97" s="65"/>
      <c r="D97" s="57"/>
      <c r="E97" s="20"/>
      <c r="F97" s="279"/>
      <c r="G97" s="284"/>
      <c r="H97" s="280"/>
      <c r="I97" s="52"/>
      <c r="J97" s="52"/>
      <c r="K97" s="15"/>
      <c r="L97" s="15"/>
      <c r="M97" s="42"/>
      <c r="N97" s="42"/>
      <c r="O97" s="42"/>
      <c r="P97" s="42"/>
      <c r="Q97" s="42"/>
      <c r="R97" s="42"/>
      <c r="S97" s="42"/>
      <c r="T97" s="42"/>
      <c r="U97" s="42"/>
      <c r="V97" s="42"/>
      <c r="W97" s="42"/>
      <c r="X97" s="42"/>
      <c r="Y97" s="43"/>
      <c r="Z97" s="43"/>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row>
    <row r="98" spans="1:103" s="2" customFormat="1" ht="12.6" customHeight="1" thickBot="1" x14ac:dyDescent="0.35">
      <c r="A98" s="127" t="s">
        <v>992</v>
      </c>
      <c r="B98" s="128"/>
      <c r="C98" s="128"/>
      <c r="D98" s="129"/>
      <c r="E98" s="130"/>
      <c r="F98" s="279"/>
      <c r="G98" s="285"/>
      <c r="H98" s="286"/>
      <c r="I98" s="131"/>
      <c r="J98" s="131"/>
      <c r="K98" s="15"/>
      <c r="L98" s="15"/>
      <c r="M98" s="42"/>
      <c r="N98" s="42"/>
      <c r="O98" s="42"/>
      <c r="P98" s="42"/>
      <c r="Q98" s="42"/>
      <c r="R98" s="42"/>
      <c r="S98" s="42"/>
      <c r="T98" s="42"/>
      <c r="U98" s="42"/>
      <c r="V98" s="42"/>
      <c r="W98" s="42"/>
      <c r="X98" s="42"/>
      <c r="Y98" s="43"/>
      <c r="Z98" s="43"/>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c r="CD98" s="42"/>
      <c r="CE98" s="42"/>
      <c r="CF98" s="42"/>
      <c r="CG98" s="42"/>
      <c r="CH98" s="42"/>
      <c r="CI98" s="42"/>
      <c r="CJ98" s="42"/>
      <c r="CK98" s="42"/>
      <c r="CL98" s="42"/>
      <c r="CM98" s="42"/>
      <c r="CN98" s="42"/>
      <c r="CO98" s="42"/>
      <c r="CP98" s="42"/>
      <c r="CQ98" s="42"/>
      <c r="CR98" s="42"/>
      <c r="CS98" s="42"/>
      <c r="CT98" s="42"/>
      <c r="CU98" s="42"/>
      <c r="CV98" s="42"/>
      <c r="CW98" s="42"/>
      <c r="CX98" s="42"/>
      <c r="CY98" s="42"/>
    </row>
    <row r="99" spans="1:103" s="2" customFormat="1" ht="12.6" customHeight="1" outlineLevel="1" thickBot="1" x14ac:dyDescent="0.35">
      <c r="A99" s="132"/>
      <c r="B99" s="137" t="s">
        <v>993</v>
      </c>
      <c r="C99" s="132"/>
      <c r="D99" s="162"/>
      <c r="E99" s="263">
        <f>AVERAGE(E100:E101)</f>
        <v>0</v>
      </c>
      <c r="F99" s="281"/>
      <c r="G99" s="283"/>
      <c r="H99" s="283"/>
      <c r="I99" s="136"/>
      <c r="J99" s="136"/>
      <c r="K99" s="15"/>
      <c r="L99" s="15"/>
      <c r="M99" s="42"/>
      <c r="N99" s="42"/>
      <c r="O99" s="42"/>
      <c r="P99" s="42"/>
      <c r="Q99" s="42"/>
      <c r="R99" s="42"/>
      <c r="S99" s="42"/>
      <c r="T99" s="42"/>
      <c r="U99" s="42"/>
      <c r="V99" s="42"/>
      <c r="W99" s="42"/>
      <c r="X99" s="42"/>
      <c r="Y99" s="43"/>
      <c r="Z99" s="43"/>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42"/>
      <c r="CV99" s="42"/>
      <c r="CW99" s="42"/>
      <c r="CX99" s="42"/>
      <c r="CY99" s="42"/>
    </row>
    <row r="100" spans="1:103" s="2" customFormat="1" ht="12.6" customHeight="1" outlineLevel="2" thickBot="1" x14ac:dyDescent="0.35">
      <c r="A100" s="132"/>
      <c r="B100" s="292" t="s">
        <v>994</v>
      </c>
      <c r="C100" s="133"/>
      <c r="D100" s="293" t="s">
        <v>902</v>
      </c>
      <c r="E100" s="135">
        <v>0</v>
      </c>
      <c r="F100" s="279"/>
      <c r="G100" s="284"/>
      <c r="H100" s="284"/>
      <c r="I100" s="136"/>
      <c r="J100" s="136"/>
      <c r="K100" s="15"/>
      <c r="L100" s="15"/>
      <c r="M100" s="42"/>
      <c r="N100" s="42"/>
      <c r="O100" s="42"/>
      <c r="P100" s="42"/>
      <c r="Q100" s="42"/>
      <c r="R100" s="42"/>
      <c r="S100" s="42"/>
      <c r="T100" s="42"/>
      <c r="U100" s="42"/>
      <c r="V100" s="42"/>
      <c r="W100" s="42"/>
      <c r="X100" s="42"/>
      <c r="Y100" s="43"/>
      <c r="Z100" s="43"/>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c r="CV100" s="42"/>
      <c r="CW100" s="42"/>
      <c r="CX100" s="42"/>
      <c r="CY100" s="42"/>
    </row>
    <row r="101" spans="1:103" s="2" customFormat="1" ht="12.6" customHeight="1" outlineLevel="2" thickBot="1" x14ac:dyDescent="0.35">
      <c r="A101" s="132"/>
      <c r="B101" s="292" t="s">
        <v>995</v>
      </c>
      <c r="C101" s="133"/>
      <c r="D101" s="293" t="s">
        <v>902</v>
      </c>
      <c r="E101" s="135">
        <v>0</v>
      </c>
      <c r="F101" s="279"/>
      <c r="G101" s="284"/>
      <c r="H101" s="284"/>
      <c r="I101" s="136"/>
      <c r="J101" s="136"/>
      <c r="K101" s="15"/>
      <c r="L101" s="15"/>
      <c r="M101" s="42"/>
      <c r="N101" s="42"/>
      <c r="O101" s="42"/>
      <c r="P101" s="42"/>
      <c r="Q101" s="42"/>
      <c r="R101" s="42"/>
      <c r="S101" s="42"/>
      <c r="T101" s="42"/>
      <c r="U101" s="42"/>
      <c r="V101" s="42"/>
      <c r="W101" s="42"/>
      <c r="X101" s="42"/>
      <c r="Y101" s="43"/>
      <c r="Z101" s="43"/>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42"/>
      <c r="CU101" s="42"/>
      <c r="CV101" s="42"/>
      <c r="CW101" s="42"/>
      <c r="CX101" s="42"/>
      <c r="CY101" s="42"/>
    </row>
    <row r="102" spans="1:103" s="2" customFormat="1" ht="12.6" customHeight="1" outlineLevel="1" thickBot="1" x14ac:dyDescent="0.35">
      <c r="A102" s="132"/>
      <c r="B102" s="292" t="s">
        <v>996</v>
      </c>
      <c r="C102" s="133"/>
      <c r="D102" s="162"/>
      <c r="E102" s="263">
        <f>AVERAGE(E104:E121)</f>
        <v>0</v>
      </c>
      <c r="F102" s="281"/>
      <c r="G102" s="283"/>
      <c r="H102" s="283"/>
      <c r="I102" s="136"/>
      <c r="J102" s="136"/>
      <c r="K102" s="15"/>
      <c r="L102" s="15"/>
      <c r="M102" s="42"/>
      <c r="N102" s="42"/>
      <c r="O102" s="42"/>
      <c r="P102" s="42"/>
      <c r="Q102" s="42"/>
      <c r="R102" s="42"/>
      <c r="S102" s="42"/>
      <c r="T102" s="42"/>
      <c r="U102" s="42"/>
      <c r="V102" s="42"/>
      <c r="W102" s="42"/>
      <c r="X102" s="42"/>
      <c r="Y102" s="43"/>
      <c r="Z102" s="43"/>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c r="BW102" s="42"/>
      <c r="BX102" s="42"/>
      <c r="BY102" s="42"/>
      <c r="BZ102" s="42"/>
      <c r="CA102" s="42"/>
      <c r="CB102" s="42"/>
      <c r="CC102" s="42"/>
      <c r="CD102" s="42"/>
      <c r="CE102" s="42"/>
      <c r="CF102" s="42"/>
      <c r="CG102" s="42"/>
      <c r="CH102" s="42"/>
      <c r="CI102" s="42"/>
      <c r="CJ102" s="42"/>
      <c r="CK102" s="42"/>
      <c r="CL102" s="42"/>
      <c r="CM102" s="42"/>
      <c r="CN102" s="42"/>
      <c r="CO102" s="42"/>
      <c r="CP102" s="42"/>
      <c r="CQ102" s="42"/>
      <c r="CR102" s="42"/>
      <c r="CS102" s="42"/>
      <c r="CT102" s="42"/>
      <c r="CU102" s="42"/>
      <c r="CV102" s="42"/>
      <c r="CW102" s="42"/>
      <c r="CX102" s="42"/>
      <c r="CY102" s="42"/>
    </row>
    <row r="103" spans="1:103" s="2" customFormat="1" ht="12.6" customHeight="1" outlineLevel="1" thickBot="1" x14ac:dyDescent="0.35">
      <c r="A103" s="132"/>
      <c r="B103" s="292" t="s">
        <v>998</v>
      </c>
      <c r="C103" s="133"/>
      <c r="D103" s="162"/>
      <c r="E103" s="263"/>
      <c r="F103" s="281"/>
      <c r="G103" s="283"/>
      <c r="H103" s="283"/>
      <c r="I103" s="136"/>
      <c r="J103" s="136"/>
      <c r="K103" s="15"/>
      <c r="L103" s="15"/>
      <c r="M103" s="42"/>
      <c r="N103" s="42"/>
      <c r="O103" s="42"/>
      <c r="P103" s="42"/>
      <c r="Q103" s="42"/>
      <c r="R103" s="42"/>
      <c r="S103" s="42"/>
      <c r="T103" s="42"/>
      <c r="U103" s="42"/>
      <c r="V103" s="42"/>
      <c r="W103" s="42"/>
      <c r="X103" s="42"/>
      <c r="Y103" s="43"/>
      <c r="Z103" s="43"/>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c r="CV103" s="42"/>
      <c r="CW103" s="42"/>
      <c r="CX103" s="42"/>
      <c r="CY103" s="42"/>
    </row>
    <row r="104" spans="1:103" s="2" customFormat="1" ht="12.6" customHeight="1" outlineLevel="2" thickBot="1" x14ac:dyDescent="0.35">
      <c r="A104" s="132"/>
      <c r="B104" s="292" t="s">
        <v>999</v>
      </c>
      <c r="C104" s="133"/>
      <c r="D104" s="293"/>
      <c r="E104" s="135">
        <v>0</v>
      </c>
      <c r="F104" s="279"/>
      <c r="G104" s="284"/>
      <c r="H104" s="284"/>
      <c r="I104" s="136"/>
      <c r="J104" s="136"/>
      <c r="K104" s="15"/>
      <c r="L104" s="15"/>
      <c r="M104" s="42"/>
      <c r="N104" s="42"/>
      <c r="O104" s="42"/>
      <c r="P104" s="42"/>
      <c r="Q104" s="42"/>
      <c r="R104" s="42"/>
      <c r="S104" s="42"/>
      <c r="T104" s="42"/>
      <c r="U104" s="42"/>
      <c r="V104" s="42"/>
      <c r="W104" s="42"/>
      <c r="X104" s="42"/>
      <c r="Y104" s="43"/>
      <c r="Z104" s="43"/>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c r="BX104" s="42"/>
      <c r="BY104" s="42"/>
      <c r="BZ104" s="42"/>
      <c r="CA104" s="42"/>
      <c r="CB104" s="42"/>
      <c r="CC104" s="42"/>
      <c r="CD104" s="42"/>
      <c r="CE104" s="42"/>
      <c r="CF104" s="42"/>
      <c r="CG104" s="42"/>
      <c r="CH104" s="42"/>
      <c r="CI104" s="42"/>
      <c r="CJ104" s="42"/>
      <c r="CK104" s="42"/>
      <c r="CL104" s="42"/>
      <c r="CM104" s="42"/>
      <c r="CN104" s="42"/>
      <c r="CO104" s="42"/>
      <c r="CP104" s="42"/>
      <c r="CQ104" s="42"/>
      <c r="CR104" s="42"/>
      <c r="CS104" s="42"/>
      <c r="CT104" s="42"/>
      <c r="CU104" s="42"/>
      <c r="CV104" s="42"/>
      <c r="CW104" s="42"/>
      <c r="CX104" s="42"/>
      <c r="CY104" s="42"/>
    </row>
    <row r="105" spans="1:103" s="2" customFormat="1" ht="12.6" customHeight="1" outlineLevel="2" thickBot="1" x14ac:dyDescent="0.35">
      <c r="A105" s="132"/>
      <c r="B105" s="292" t="s">
        <v>1000</v>
      </c>
      <c r="C105" s="133"/>
      <c r="D105" s="293" t="s">
        <v>1001</v>
      </c>
      <c r="E105" s="135">
        <v>0</v>
      </c>
      <c r="F105" s="279"/>
      <c r="G105" s="284"/>
      <c r="H105" s="284"/>
      <c r="I105" s="136"/>
      <c r="J105" s="136"/>
      <c r="K105" s="15"/>
      <c r="L105" s="15"/>
      <c r="M105" s="42"/>
      <c r="N105" s="42"/>
      <c r="O105" s="42"/>
      <c r="P105" s="42"/>
      <c r="Q105" s="42"/>
      <c r="R105" s="42"/>
      <c r="S105" s="42"/>
      <c r="T105" s="42"/>
      <c r="U105" s="42"/>
      <c r="V105" s="42"/>
      <c r="W105" s="42"/>
      <c r="X105" s="42"/>
      <c r="Y105" s="43"/>
      <c r="Z105" s="43"/>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2"/>
      <c r="CJ105" s="42"/>
      <c r="CK105" s="42"/>
      <c r="CL105" s="42"/>
      <c r="CM105" s="42"/>
      <c r="CN105" s="42"/>
      <c r="CO105" s="42"/>
      <c r="CP105" s="42"/>
      <c r="CQ105" s="42"/>
      <c r="CR105" s="42"/>
      <c r="CS105" s="42"/>
      <c r="CT105" s="42"/>
      <c r="CU105" s="42"/>
      <c r="CV105" s="42"/>
      <c r="CW105" s="42"/>
      <c r="CX105" s="42"/>
      <c r="CY105" s="42"/>
    </row>
    <row r="106" spans="1:103" s="2" customFormat="1" ht="12.6" customHeight="1" outlineLevel="2" thickBot="1" x14ac:dyDescent="0.35">
      <c r="A106" s="132"/>
      <c r="B106" s="138"/>
      <c r="C106" s="133"/>
      <c r="D106" s="134"/>
      <c r="E106" s="135">
        <v>0</v>
      </c>
      <c r="F106" s="279"/>
      <c r="G106" s="284"/>
      <c r="H106" s="284"/>
      <c r="I106" s="136"/>
      <c r="J106" s="136"/>
      <c r="K106" s="15"/>
      <c r="L106" s="15"/>
      <c r="M106" s="42"/>
      <c r="N106" s="42"/>
      <c r="O106" s="42"/>
      <c r="P106" s="42"/>
      <c r="Q106" s="42"/>
      <c r="R106" s="42"/>
      <c r="S106" s="42"/>
      <c r="T106" s="42"/>
      <c r="U106" s="42"/>
      <c r="V106" s="42"/>
      <c r="W106" s="42"/>
      <c r="X106" s="42"/>
      <c r="Y106" s="43"/>
      <c r="Z106" s="43"/>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c r="CV106" s="42"/>
      <c r="CW106" s="42"/>
      <c r="CX106" s="42"/>
      <c r="CY106" s="42"/>
    </row>
    <row r="107" spans="1:103" s="2" customFormat="1" ht="15" outlineLevel="2" thickBot="1" x14ac:dyDescent="0.35">
      <c r="A107" s="132"/>
      <c r="B107" s="278"/>
      <c r="C107" s="133"/>
      <c r="D107" s="134"/>
      <c r="E107" s="135">
        <v>0</v>
      </c>
      <c r="F107" s="134"/>
      <c r="G107" s="159"/>
      <c r="H107" s="159"/>
      <c r="I107" s="136"/>
      <c r="J107" s="136"/>
      <c r="K107" s="15"/>
      <c r="L107" s="15"/>
      <c r="M107" s="42"/>
      <c r="N107" s="42"/>
      <c r="O107" s="42"/>
      <c r="P107" s="42"/>
      <c r="Q107" s="42"/>
      <c r="R107" s="42"/>
      <c r="S107" s="42"/>
      <c r="T107" s="42"/>
      <c r="U107" s="42"/>
      <c r="V107" s="42"/>
      <c r="W107" s="42"/>
      <c r="X107" s="42"/>
      <c r="Y107" s="43"/>
      <c r="Z107" s="43"/>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c r="BR107" s="42"/>
      <c r="BS107" s="42"/>
      <c r="BT107" s="42"/>
      <c r="BU107" s="42"/>
      <c r="BV107" s="42"/>
      <c r="BW107" s="42"/>
      <c r="BX107" s="42"/>
      <c r="BY107" s="42"/>
      <c r="BZ107" s="42"/>
      <c r="CA107" s="42"/>
      <c r="CB107" s="42"/>
      <c r="CC107" s="42"/>
      <c r="CD107" s="42"/>
      <c r="CE107" s="42"/>
      <c r="CF107" s="42"/>
      <c r="CG107" s="42"/>
      <c r="CH107" s="42"/>
      <c r="CI107" s="42"/>
      <c r="CJ107" s="42"/>
      <c r="CK107" s="42"/>
      <c r="CL107" s="42"/>
      <c r="CM107" s="42"/>
      <c r="CN107" s="42"/>
      <c r="CO107" s="42"/>
      <c r="CP107" s="42"/>
      <c r="CQ107" s="42"/>
      <c r="CR107" s="42"/>
      <c r="CS107" s="42"/>
      <c r="CT107" s="42"/>
      <c r="CU107" s="42"/>
      <c r="CV107" s="42"/>
      <c r="CW107" s="42"/>
      <c r="CX107" s="42"/>
      <c r="CY107" s="42"/>
    </row>
    <row r="108" spans="1:103" s="2" customFormat="1" ht="15" outlineLevel="2" thickBot="1" x14ac:dyDescent="0.35">
      <c r="A108" s="132"/>
      <c r="B108" s="138"/>
      <c r="C108" s="133"/>
      <c r="D108" s="134"/>
      <c r="E108" s="135">
        <v>0</v>
      </c>
      <c r="F108" s="134"/>
      <c r="G108" s="159"/>
      <c r="H108" s="159"/>
      <c r="I108" s="136"/>
      <c r="J108" s="136"/>
      <c r="K108" s="15"/>
      <c r="L108" s="15"/>
      <c r="M108" s="42"/>
      <c r="N108" s="42"/>
      <c r="O108" s="42"/>
      <c r="P108" s="42"/>
      <c r="Q108" s="42"/>
      <c r="R108" s="42"/>
      <c r="S108" s="42"/>
      <c r="T108" s="42"/>
      <c r="U108" s="42"/>
      <c r="V108" s="42"/>
      <c r="W108" s="42"/>
      <c r="X108" s="42"/>
      <c r="Y108" s="43"/>
      <c r="Z108" s="43"/>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c r="BR108" s="42"/>
      <c r="BS108" s="42"/>
      <c r="BT108" s="42"/>
      <c r="BU108" s="42"/>
      <c r="BV108" s="42"/>
      <c r="BW108" s="42"/>
      <c r="BX108" s="42"/>
      <c r="BY108" s="42"/>
      <c r="BZ108" s="42"/>
      <c r="CA108" s="42"/>
      <c r="CB108" s="42"/>
      <c r="CC108" s="42"/>
      <c r="CD108" s="42"/>
      <c r="CE108" s="42"/>
      <c r="CF108" s="42"/>
      <c r="CG108" s="42"/>
      <c r="CH108" s="42"/>
      <c r="CI108" s="42"/>
      <c r="CJ108" s="42"/>
      <c r="CK108" s="42"/>
      <c r="CL108" s="42"/>
      <c r="CM108" s="42"/>
      <c r="CN108" s="42"/>
      <c r="CO108" s="42"/>
      <c r="CP108" s="42"/>
      <c r="CQ108" s="42"/>
      <c r="CR108" s="42"/>
      <c r="CS108" s="42"/>
      <c r="CT108" s="42"/>
      <c r="CU108" s="42"/>
      <c r="CV108" s="42"/>
      <c r="CW108" s="42"/>
      <c r="CX108" s="42"/>
      <c r="CY108" s="42"/>
    </row>
    <row r="109" spans="1:103" s="2" customFormat="1" ht="15" outlineLevel="2" thickBot="1" x14ac:dyDescent="0.35">
      <c r="A109" s="132"/>
      <c r="B109" s="278"/>
      <c r="C109" s="133"/>
      <c r="D109" s="134"/>
      <c r="E109" s="135">
        <v>0</v>
      </c>
      <c r="F109" s="134"/>
      <c r="G109" s="159"/>
      <c r="H109" s="159"/>
      <c r="I109" s="136"/>
      <c r="J109" s="136"/>
      <c r="K109" s="15"/>
      <c r="L109" s="15"/>
      <c r="M109" s="42"/>
      <c r="N109" s="42"/>
      <c r="O109" s="42"/>
      <c r="P109" s="42"/>
      <c r="Q109" s="42"/>
      <c r="R109" s="42"/>
      <c r="S109" s="42"/>
      <c r="T109" s="42"/>
      <c r="U109" s="42"/>
      <c r="V109" s="42"/>
      <c r="W109" s="42"/>
      <c r="X109" s="42"/>
      <c r="Y109" s="43"/>
      <c r="Z109" s="43"/>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c r="CV109" s="42"/>
      <c r="CW109" s="42"/>
      <c r="CX109" s="42"/>
      <c r="CY109" s="42"/>
    </row>
    <row r="110" spans="1:103" s="2" customFormat="1" ht="15" outlineLevel="2" thickBot="1" x14ac:dyDescent="0.35">
      <c r="A110" s="132"/>
      <c r="B110" s="138"/>
      <c r="C110" s="133"/>
      <c r="D110" s="134"/>
      <c r="E110" s="135">
        <v>0</v>
      </c>
      <c r="F110" s="134"/>
      <c r="G110" s="159"/>
      <c r="H110" s="159"/>
      <c r="I110" s="136"/>
      <c r="J110" s="136"/>
      <c r="K110" s="15"/>
      <c r="L110" s="15"/>
      <c r="M110" s="42"/>
      <c r="N110" s="42"/>
      <c r="O110" s="42"/>
      <c r="P110" s="42"/>
      <c r="Q110" s="42"/>
      <c r="R110" s="42"/>
      <c r="S110" s="42"/>
      <c r="T110" s="42"/>
      <c r="U110" s="42"/>
      <c r="V110" s="42"/>
      <c r="W110" s="42"/>
      <c r="X110" s="42"/>
      <c r="Y110" s="43"/>
      <c r="Z110" s="43"/>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c r="BW110" s="42"/>
      <c r="BX110" s="42"/>
      <c r="BY110" s="42"/>
      <c r="BZ110" s="42"/>
      <c r="CA110" s="42"/>
      <c r="CB110" s="42"/>
      <c r="CC110" s="42"/>
      <c r="CD110" s="42"/>
      <c r="CE110" s="42"/>
      <c r="CF110" s="42"/>
      <c r="CG110" s="42"/>
      <c r="CH110" s="42"/>
      <c r="CI110" s="42"/>
      <c r="CJ110" s="42"/>
      <c r="CK110" s="42"/>
      <c r="CL110" s="42"/>
      <c r="CM110" s="42"/>
      <c r="CN110" s="42"/>
      <c r="CO110" s="42"/>
      <c r="CP110" s="42"/>
      <c r="CQ110" s="42"/>
      <c r="CR110" s="42"/>
      <c r="CS110" s="42"/>
      <c r="CT110" s="42"/>
      <c r="CU110" s="42"/>
      <c r="CV110" s="42"/>
      <c r="CW110" s="42"/>
      <c r="CX110" s="42"/>
      <c r="CY110" s="42"/>
    </row>
    <row r="111" spans="1:103" s="2" customFormat="1" ht="15" outlineLevel="2" thickBot="1" x14ac:dyDescent="0.35">
      <c r="A111" s="132"/>
      <c r="B111" s="138"/>
      <c r="C111" s="133"/>
      <c r="D111" s="134"/>
      <c r="E111" s="135">
        <v>0</v>
      </c>
      <c r="F111" s="134"/>
      <c r="G111" s="159"/>
      <c r="H111" s="159"/>
      <c r="I111" s="136"/>
      <c r="J111" s="136"/>
      <c r="K111" s="15"/>
      <c r="L111" s="15"/>
      <c r="M111" s="42"/>
      <c r="N111" s="42"/>
      <c r="O111" s="42"/>
      <c r="P111" s="42"/>
      <c r="Q111" s="42"/>
      <c r="R111" s="42"/>
      <c r="S111" s="42"/>
      <c r="T111" s="42"/>
      <c r="U111" s="42"/>
      <c r="V111" s="42"/>
      <c r="W111" s="42"/>
      <c r="X111" s="42"/>
      <c r="Y111" s="43"/>
      <c r="Z111" s="43"/>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42"/>
      <c r="BY111" s="42"/>
      <c r="BZ111" s="42"/>
      <c r="CA111" s="42"/>
      <c r="CB111" s="42"/>
      <c r="CC111" s="42"/>
      <c r="CD111" s="42"/>
      <c r="CE111" s="42"/>
      <c r="CF111" s="42"/>
      <c r="CG111" s="42"/>
      <c r="CH111" s="42"/>
      <c r="CI111" s="42"/>
      <c r="CJ111" s="42"/>
      <c r="CK111" s="42"/>
      <c r="CL111" s="42"/>
      <c r="CM111" s="42"/>
      <c r="CN111" s="42"/>
      <c r="CO111" s="42"/>
      <c r="CP111" s="42"/>
      <c r="CQ111" s="42"/>
      <c r="CR111" s="42"/>
      <c r="CS111" s="42"/>
      <c r="CT111" s="42"/>
      <c r="CU111" s="42"/>
      <c r="CV111" s="42"/>
      <c r="CW111" s="42"/>
      <c r="CX111" s="42"/>
      <c r="CY111" s="42"/>
    </row>
    <row r="112" spans="1:103" s="2" customFormat="1" ht="15" outlineLevel="2" thickBot="1" x14ac:dyDescent="0.35">
      <c r="A112" s="132"/>
      <c r="B112" s="138"/>
      <c r="C112" s="133"/>
      <c r="D112" s="134"/>
      <c r="E112" s="135">
        <v>0</v>
      </c>
      <c r="F112" s="134"/>
      <c r="G112" s="159"/>
      <c r="H112" s="159"/>
      <c r="I112" s="136"/>
      <c r="J112" s="136"/>
      <c r="K112" s="15"/>
      <c r="L112" s="15"/>
      <c r="M112" s="42"/>
      <c r="N112" s="42"/>
      <c r="O112" s="42"/>
      <c r="P112" s="42"/>
      <c r="Q112" s="42"/>
      <c r="R112" s="42"/>
      <c r="S112" s="42"/>
      <c r="T112" s="42"/>
      <c r="U112" s="42"/>
      <c r="V112" s="42"/>
      <c r="W112" s="42"/>
      <c r="X112" s="42"/>
      <c r="Y112" s="43"/>
      <c r="Z112" s="43"/>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c r="BX112" s="42"/>
      <c r="BY112" s="42"/>
      <c r="BZ112" s="42"/>
      <c r="CA112" s="42"/>
      <c r="CB112" s="42"/>
      <c r="CC112" s="42"/>
      <c r="CD112" s="42"/>
      <c r="CE112" s="42"/>
      <c r="CF112" s="42"/>
      <c r="CG112" s="42"/>
      <c r="CH112" s="42"/>
      <c r="CI112" s="42"/>
      <c r="CJ112" s="42"/>
      <c r="CK112" s="42"/>
      <c r="CL112" s="42"/>
      <c r="CM112" s="42"/>
      <c r="CN112" s="42"/>
      <c r="CO112" s="42"/>
      <c r="CP112" s="42"/>
      <c r="CQ112" s="42"/>
      <c r="CR112" s="42"/>
      <c r="CS112" s="42"/>
      <c r="CT112" s="42"/>
      <c r="CU112" s="42"/>
      <c r="CV112" s="42"/>
      <c r="CW112" s="42"/>
      <c r="CX112" s="42"/>
      <c r="CY112" s="42"/>
    </row>
    <row r="113" spans="1:103" s="2" customFormat="1" ht="15" outlineLevel="2" thickBot="1" x14ac:dyDescent="0.35">
      <c r="A113" s="132"/>
      <c r="B113" s="138"/>
      <c r="C113" s="133"/>
      <c r="D113" s="134"/>
      <c r="E113" s="135">
        <v>0</v>
      </c>
      <c r="F113" s="134"/>
      <c r="G113" s="159"/>
      <c r="H113" s="159"/>
      <c r="I113" s="136"/>
      <c r="J113" s="136"/>
      <c r="K113" s="15"/>
      <c r="L113" s="15"/>
      <c r="M113" s="42"/>
      <c r="N113" s="42"/>
      <c r="O113" s="42"/>
      <c r="P113" s="42"/>
      <c r="Q113" s="42"/>
      <c r="R113" s="42"/>
      <c r="S113" s="42"/>
      <c r="T113" s="42"/>
      <c r="U113" s="42"/>
      <c r="V113" s="42"/>
      <c r="W113" s="42"/>
      <c r="X113" s="42"/>
      <c r="Y113" s="43"/>
      <c r="Z113" s="43"/>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c r="BW113" s="42"/>
      <c r="BX113" s="42"/>
      <c r="BY113" s="42"/>
      <c r="BZ113" s="42"/>
      <c r="CA113" s="42"/>
      <c r="CB113" s="42"/>
      <c r="CC113" s="42"/>
      <c r="CD113" s="42"/>
      <c r="CE113" s="42"/>
      <c r="CF113" s="42"/>
      <c r="CG113" s="42"/>
      <c r="CH113" s="42"/>
      <c r="CI113" s="42"/>
      <c r="CJ113" s="42"/>
      <c r="CK113" s="42"/>
      <c r="CL113" s="42"/>
      <c r="CM113" s="42"/>
      <c r="CN113" s="42"/>
      <c r="CO113" s="42"/>
      <c r="CP113" s="42"/>
      <c r="CQ113" s="42"/>
      <c r="CR113" s="42"/>
      <c r="CS113" s="42"/>
      <c r="CT113" s="42"/>
      <c r="CU113" s="42"/>
      <c r="CV113" s="42"/>
      <c r="CW113" s="42"/>
      <c r="CX113" s="42"/>
      <c r="CY113" s="42"/>
    </row>
    <row r="114" spans="1:103" s="2" customFormat="1" ht="15" outlineLevel="2" thickBot="1" x14ac:dyDescent="0.35">
      <c r="A114" s="132"/>
      <c r="B114" s="138"/>
      <c r="C114" s="133"/>
      <c r="D114" s="134"/>
      <c r="E114" s="135">
        <v>0</v>
      </c>
      <c r="F114" s="134"/>
      <c r="G114" s="159"/>
      <c r="H114" s="159"/>
      <c r="I114" s="136"/>
      <c r="J114" s="136"/>
      <c r="K114" s="15"/>
      <c r="L114" s="15"/>
      <c r="M114" s="42"/>
      <c r="N114" s="42"/>
      <c r="O114" s="42"/>
      <c r="P114" s="42"/>
      <c r="Q114" s="42"/>
      <c r="R114" s="42"/>
      <c r="S114" s="42"/>
      <c r="T114" s="42"/>
      <c r="U114" s="42"/>
      <c r="V114" s="42"/>
      <c r="W114" s="42"/>
      <c r="X114" s="42"/>
      <c r="Y114" s="43"/>
      <c r="Z114" s="43"/>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c r="BV114" s="42"/>
      <c r="BW114" s="42"/>
      <c r="BX114" s="42"/>
      <c r="BY114" s="42"/>
      <c r="BZ114" s="42"/>
      <c r="CA114" s="42"/>
      <c r="CB114" s="42"/>
      <c r="CC114" s="42"/>
      <c r="CD114" s="42"/>
      <c r="CE114" s="42"/>
      <c r="CF114" s="42"/>
      <c r="CG114" s="42"/>
      <c r="CH114" s="42"/>
      <c r="CI114" s="42"/>
      <c r="CJ114" s="42"/>
      <c r="CK114" s="42"/>
      <c r="CL114" s="42"/>
      <c r="CM114" s="42"/>
      <c r="CN114" s="42"/>
      <c r="CO114" s="42"/>
      <c r="CP114" s="42"/>
      <c r="CQ114" s="42"/>
      <c r="CR114" s="42"/>
      <c r="CS114" s="42"/>
      <c r="CT114" s="42"/>
      <c r="CU114" s="42"/>
      <c r="CV114" s="42"/>
      <c r="CW114" s="42"/>
      <c r="CX114" s="42"/>
      <c r="CY114" s="42"/>
    </row>
    <row r="115" spans="1:103" s="2" customFormat="1" ht="12.6" customHeight="1" outlineLevel="1" thickBot="1" x14ac:dyDescent="0.35">
      <c r="A115" s="132"/>
      <c r="B115" s="138"/>
      <c r="C115" s="133"/>
      <c r="D115" s="162"/>
      <c r="E115" s="135">
        <v>0</v>
      </c>
      <c r="F115" s="162"/>
      <c r="G115" s="161"/>
      <c r="H115" s="161"/>
      <c r="I115" s="136"/>
      <c r="J115" s="136"/>
      <c r="K115" s="15"/>
      <c r="L115" s="15"/>
      <c r="M115" s="42"/>
      <c r="N115" s="42"/>
      <c r="O115" s="42"/>
      <c r="P115" s="42"/>
      <c r="Q115" s="42"/>
      <c r="R115" s="42"/>
      <c r="S115" s="42"/>
      <c r="T115" s="42"/>
      <c r="U115" s="42"/>
      <c r="V115" s="42"/>
      <c r="W115" s="42"/>
      <c r="X115" s="42"/>
      <c r="Y115" s="43"/>
      <c r="Z115" s="43"/>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c r="BV115" s="42"/>
      <c r="BW115" s="42"/>
      <c r="BX115" s="42"/>
      <c r="BY115" s="42"/>
      <c r="BZ115" s="42"/>
      <c r="CA115" s="42"/>
      <c r="CB115" s="42"/>
      <c r="CC115" s="42"/>
      <c r="CD115" s="42"/>
      <c r="CE115" s="42"/>
      <c r="CF115" s="42"/>
      <c r="CG115" s="42"/>
      <c r="CH115" s="42"/>
      <c r="CI115" s="42"/>
      <c r="CJ115" s="42"/>
      <c r="CK115" s="42"/>
      <c r="CL115" s="42"/>
      <c r="CM115" s="42"/>
      <c r="CN115" s="42"/>
      <c r="CO115" s="42"/>
      <c r="CP115" s="42"/>
      <c r="CQ115" s="42"/>
      <c r="CR115" s="42"/>
      <c r="CS115" s="42"/>
      <c r="CT115" s="42"/>
      <c r="CU115" s="42"/>
      <c r="CV115" s="42"/>
      <c r="CW115" s="42"/>
      <c r="CX115" s="42"/>
      <c r="CY115" s="42"/>
    </row>
    <row r="116" spans="1:103" s="2" customFormat="1" ht="12.6" customHeight="1" outlineLevel="1" thickBot="1" x14ac:dyDescent="0.35">
      <c r="A116" s="132"/>
      <c r="B116" s="138"/>
      <c r="C116" s="133"/>
      <c r="D116" s="162"/>
      <c r="E116" s="135">
        <v>0</v>
      </c>
      <c r="F116" s="162"/>
      <c r="G116" s="161"/>
      <c r="H116" s="161"/>
      <c r="I116" s="136"/>
      <c r="J116" s="136"/>
      <c r="K116" s="15"/>
      <c r="L116" s="15"/>
      <c r="M116" s="42"/>
      <c r="N116" s="42"/>
      <c r="O116" s="42"/>
      <c r="P116" s="42"/>
      <c r="Q116" s="42"/>
      <c r="R116" s="42"/>
      <c r="S116" s="42"/>
      <c r="T116" s="42"/>
      <c r="U116" s="42"/>
      <c r="V116" s="42"/>
      <c r="W116" s="42"/>
      <c r="X116" s="42"/>
      <c r="Y116" s="43"/>
      <c r="Z116" s="43"/>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c r="BV116" s="42"/>
      <c r="BW116" s="42"/>
      <c r="BX116" s="42"/>
      <c r="BY116" s="42"/>
      <c r="BZ116" s="42"/>
      <c r="CA116" s="42"/>
      <c r="CB116" s="42"/>
      <c r="CC116" s="42"/>
      <c r="CD116" s="42"/>
      <c r="CE116" s="42"/>
      <c r="CF116" s="42"/>
      <c r="CG116" s="42"/>
      <c r="CH116" s="42"/>
      <c r="CI116" s="42"/>
      <c r="CJ116" s="42"/>
      <c r="CK116" s="42"/>
      <c r="CL116" s="42"/>
      <c r="CM116" s="42"/>
      <c r="CN116" s="42"/>
      <c r="CO116" s="42"/>
      <c r="CP116" s="42"/>
      <c r="CQ116" s="42"/>
      <c r="CR116" s="42"/>
      <c r="CS116" s="42"/>
      <c r="CT116" s="42"/>
      <c r="CU116" s="42"/>
      <c r="CV116" s="42"/>
      <c r="CW116" s="42"/>
      <c r="CX116" s="42"/>
      <c r="CY116" s="42"/>
    </row>
    <row r="117" spans="1:103" s="2" customFormat="1" ht="12.6" customHeight="1" outlineLevel="1" thickBot="1" x14ac:dyDescent="0.35">
      <c r="A117" s="132"/>
      <c r="B117" s="138"/>
      <c r="C117" s="133"/>
      <c r="D117" s="162"/>
      <c r="E117" s="135">
        <v>0</v>
      </c>
      <c r="F117" s="162"/>
      <c r="G117" s="161"/>
      <c r="H117" s="161"/>
      <c r="I117" s="136"/>
      <c r="J117" s="136"/>
      <c r="K117" s="15"/>
      <c r="L117" s="15"/>
      <c r="M117" s="42"/>
      <c r="N117" s="42"/>
      <c r="O117" s="42"/>
      <c r="P117" s="42"/>
      <c r="Q117" s="42"/>
      <c r="R117" s="42"/>
      <c r="S117" s="42"/>
      <c r="T117" s="42"/>
      <c r="U117" s="42"/>
      <c r="V117" s="42"/>
      <c r="W117" s="42"/>
      <c r="X117" s="42"/>
      <c r="Y117" s="43"/>
      <c r="Z117" s="43"/>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c r="BV117" s="42"/>
      <c r="BW117" s="42"/>
      <c r="BX117" s="42"/>
      <c r="BY117" s="42"/>
      <c r="BZ117" s="42"/>
      <c r="CA117" s="42"/>
      <c r="CB117" s="42"/>
      <c r="CC117" s="42"/>
      <c r="CD117" s="42"/>
      <c r="CE117" s="42"/>
      <c r="CF117" s="42"/>
      <c r="CG117" s="42"/>
      <c r="CH117" s="42"/>
      <c r="CI117" s="42"/>
      <c r="CJ117" s="42"/>
      <c r="CK117" s="42"/>
      <c r="CL117" s="42"/>
      <c r="CM117" s="42"/>
      <c r="CN117" s="42"/>
      <c r="CO117" s="42"/>
      <c r="CP117" s="42"/>
      <c r="CQ117" s="42"/>
      <c r="CR117" s="42"/>
      <c r="CS117" s="42"/>
      <c r="CT117" s="42"/>
      <c r="CU117" s="42"/>
      <c r="CV117" s="42"/>
      <c r="CW117" s="42"/>
      <c r="CX117" s="42"/>
      <c r="CY117" s="42"/>
    </row>
    <row r="118" spans="1:103" s="2" customFormat="1" ht="12.6" customHeight="1" outlineLevel="1" thickBot="1" x14ac:dyDescent="0.35">
      <c r="A118" s="132"/>
      <c r="B118" s="138"/>
      <c r="C118" s="133"/>
      <c r="D118" s="162"/>
      <c r="E118" s="135">
        <v>0</v>
      </c>
      <c r="F118" s="162"/>
      <c r="G118" s="161"/>
      <c r="H118" s="161"/>
      <c r="I118" s="136"/>
      <c r="J118" s="136"/>
      <c r="K118" s="15"/>
      <c r="L118" s="15"/>
      <c r="M118" s="42"/>
      <c r="N118" s="42"/>
      <c r="O118" s="42"/>
      <c r="P118" s="42"/>
      <c r="Q118" s="42"/>
      <c r="R118" s="42"/>
      <c r="S118" s="42"/>
      <c r="T118" s="42"/>
      <c r="U118" s="42"/>
      <c r="V118" s="42"/>
      <c r="W118" s="42"/>
      <c r="X118" s="42"/>
      <c r="Y118" s="43"/>
      <c r="Z118" s="43"/>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c r="BW118" s="42"/>
      <c r="BX118" s="42"/>
      <c r="BY118" s="42"/>
      <c r="BZ118" s="42"/>
      <c r="CA118" s="42"/>
      <c r="CB118" s="42"/>
      <c r="CC118" s="42"/>
      <c r="CD118" s="42"/>
      <c r="CE118" s="42"/>
      <c r="CF118" s="42"/>
      <c r="CG118" s="42"/>
      <c r="CH118" s="42"/>
      <c r="CI118" s="42"/>
      <c r="CJ118" s="42"/>
      <c r="CK118" s="42"/>
      <c r="CL118" s="42"/>
      <c r="CM118" s="42"/>
      <c r="CN118" s="42"/>
      <c r="CO118" s="42"/>
      <c r="CP118" s="42"/>
      <c r="CQ118" s="42"/>
      <c r="CR118" s="42"/>
      <c r="CS118" s="42"/>
      <c r="CT118" s="42"/>
      <c r="CU118" s="42"/>
      <c r="CV118" s="42"/>
      <c r="CW118" s="42"/>
      <c r="CX118" s="42"/>
      <c r="CY118" s="42"/>
    </row>
    <row r="119" spans="1:103" s="2" customFormat="1" ht="12.6" customHeight="1" outlineLevel="1" thickBot="1" x14ac:dyDescent="0.35">
      <c r="A119" s="132"/>
      <c r="B119" s="138"/>
      <c r="C119" s="133"/>
      <c r="D119" s="162"/>
      <c r="E119" s="135">
        <v>0</v>
      </c>
      <c r="F119" s="162"/>
      <c r="G119" s="161"/>
      <c r="H119" s="161"/>
      <c r="I119" s="136"/>
      <c r="J119" s="136"/>
      <c r="K119" s="15"/>
      <c r="L119" s="15"/>
      <c r="M119" s="42"/>
      <c r="N119" s="42"/>
      <c r="O119" s="42"/>
      <c r="P119" s="42"/>
      <c r="Q119" s="42"/>
      <c r="R119" s="42"/>
      <c r="S119" s="42"/>
      <c r="T119" s="42"/>
      <c r="U119" s="42"/>
      <c r="V119" s="42"/>
      <c r="W119" s="42"/>
      <c r="X119" s="42"/>
      <c r="Y119" s="43"/>
      <c r="Z119" s="43"/>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c r="BX119" s="42"/>
      <c r="BY119" s="42"/>
      <c r="BZ119" s="42"/>
      <c r="CA119" s="42"/>
      <c r="CB119" s="42"/>
      <c r="CC119" s="42"/>
      <c r="CD119" s="42"/>
      <c r="CE119" s="42"/>
      <c r="CF119" s="42"/>
      <c r="CG119" s="42"/>
      <c r="CH119" s="42"/>
      <c r="CI119" s="42"/>
      <c r="CJ119" s="42"/>
      <c r="CK119" s="42"/>
      <c r="CL119" s="42"/>
      <c r="CM119" s="42"/>
      <c r="CN119" s="42"/>
      <c r="CO119" s="42"/>
      <c r="CP119" s="42"/>
      <c r="CQ119" s="42"/>
      <c r="CR119" s="42"/>
      <c r="CS119" s="42"/>
      <c r="CT119" s="42"/>
      <c r="CU119" s="42"/>
      <c r="CV119" s="42"/>
      <c r="CW119" s="42"/>
      <c r="CX119" s="42"/>
      <c r="CY119" s="42"/>
    </row>
    <row r="120" spans="1:103" s="2" customFormat="1" ht="12.6" customHeight="1" outlineLevel="1" thickBot="1" x14ac:dyDescent="0.35">
      <c r="A120" s="132"/>
      <c r="B120" s="138"/>
      <c r="C120" s="133"/>
      <c r="D120" s="162"/>
      <c r="E120" s="135">
        <v>0</v>
      </c>
      <c r="F120" s="162"/>
      <c r="G120" s="161"/>
      <c r="H120" s="161"/>
      <c r="I120" s="136"/>
      <c r="J120" s="136"/>
      <c r="K120" s="15"/>
      <c r="L120" s="15"/>
      <c r="M120" s="42"/>
      <c r="N120" s="42"/>
      <c r="O120" s="42"/>
      <c r="P120" s="42"/>
      <c r="Q120" s="42"/>
      <c r="R120" s="42"/>
      <c r="S120" s="42"/>
      <c r="T120" s="42"/>
      <c r="U120" s="42"/>
      <c r="V120" s="42"/>
      <c r="W120" s="42"/>
      <c r="X120" s="42"/>
      <c r="Y120" s="43"/>
      <c r="Z120" s="43"/>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c r="BX120" s="42"/>
      <c r="BY120" s="42"/>
      <c r="BZ120" s="42"/>
      <c r="CA120" s="42"/>
      <c r="CB120" s="42"/>
      <c r="CC120" s="42"/>
      <c r="CD120" s="42"/>
      <c r="CE120" s="42"/>
      <c r="CF120" s="42"/>
      <c r="CG120" s="42"/>
      <c r="CH120" s="42"/>
      <c r="CI120" s="42"/>
      <c r="CJ120" s="42"/>
      <c r="CK120" s="42"/>
      <c r="CL120" s="42"/>
      <c r="CM120" s="42"/>
      <c r="CN120" s="42"/>
      <c r="CO120" s="42"/>
      <c r="CP120" s="42"/>
      <c r="CQ120" s="42"/>
      <c r="CR120" s="42"/>
      <c r="CS120" s="42"/>
      <c r="CT120" s="42"/>
      <c r="CU120" s="42"/>
      <c r="CV120" s="42"/>
      <c r="CW120" s="42"/>
      <c r="CX120" s="42"/>
      <c r="CY120" s="42"/>
    </row>
    <row r="121" spans="1:103" s="2" customFormat="1" ht="12.6" customHeight="1" outlineLevel="2" thickBot="1" x14ac:dyDescent="0.35">
      <c r="A121" s="132"/>
      <c r="B121" s="138"/>
      <c r="C121" s="133"/>
      <c r="D121" s="134"/>
      <c r="E121" s="135">
        <v>0</v>
      </c>
      <c r="F121" s="134">
        <v>0</v>
      </c>
      <c r="G121" s="159">
        <f>WORKDAY(H106,1)</f>
        <v>2</v>
      </c>
      <c r="H121" s="159">
        <f>WORKDAY(G121,F121)</f>
        <v>2</v>
      </c>
      <c r="I121" s="136"/>
      <c r="J121" s="136"/>
      <c r="K121" s="15"/>
      <c r="L121" s="15"/>
      <c r="M121" s="42"/>
      <c r="N121" s="42"/>
      <c r="O121" s="42"/>
      <c r="P121" s="42"/>
      <c r="Q121" s="42"/>
      <c r="R121" s="42"/>
      <c r="S121" s="42"/>
      <c r="T121" s="42"/>
      <c r="U121" s="42"/>
      <c r="V121" s="42"/>
      <c r="W121" s="42"/>
      <c r="X121" s="42"/>
      <c r="Y121" s="43"/>
      <c r="Z121" s="43"/>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c r="BX121" s="42"/>
      <c r="BY121" s="42"/>
      <c r="BZ121" s="42"/>
      <c r="CA121" s="42"/>
      <c r="CB121" s="42"/>
      <c r="CC121" s="42"/>
      <c r="CD121" s="42"/>
      <c r="CE121" s="42"/>
      <c r="CF121" s="42"/>
      <c r="CG121" s="42"/>
      <c r="CH121" s="42"/>
      <c r="CI121" s="42"/>
      <c r="CJ121" s="42"/>
      <c r="CK121" s="42"/>
      <c r="CL121" s="42"/>
      <c r="CM121" s="42"/>
      <c r="CN121" s="42"/>
      <c r="CO121" s="42"/>
      <c r="CP121" s="42"/>
      <c r="CQ121" s="42"/>
      <c r="CR121" s="42"/>
      <c r="CS121" s="42"/>
      <c r="CT121" s="42"/>
      <c r="CU121" s="42"/>
      <c r="CV121" s="42"/>
      <c r="CW121" s="42"/>
      <c r="CX121" s="42"/>
      <c r="CY121" s="42"/>
    </row>
    <row r="122" spans="1:103" s="2" customFormat="1" ht="12.6" customHeight="1" outlineLevel="1" thickBot="1" x14ac:dyDescent="0.35">
      <c r="A122" s="132"/>
      <c r="B122" s="137"/>
      <c r="C122" s="133"/>
      <c r="D122" s="162"/>
      <c r="E122" s="263">
        <f>AVERAGE(E123:E126)</f>
        <v>0</v>
      </c>
      <c r="F122" s="162">
        <f>NETWORKDAYS(G122,H122)</f>
        <v>13</v>
      </c>
      <c r="G122" s="161">
        <f>MIN(G123:G125)</f>
        <v>3</v>
      </c>
      <c r="H122" s="161">
        <f>MAX(H123:H125)</f>
        <v>19</v>
      </c>
      <c r="I122" s="136"/>
      <c r="J122" s="136"/>
      <c r="K122" s="15"/>
      <c r="L122" s="15"/>
      <c r="M122" s="42"/>
      <c r="N122" s="42"/>
      <c r="O122" s="42"/>
      <c r="P122" s="42"/>
      <c r="Q122" s="42"/>
      <c r="R122" s="42"/>
      <c r="S122" s="42"/>
      <c r="T122" s="42"/>
      <c r="U122" s="42"/>
      <c r="V122" s="42"/>
      <c r="W122" s="42"/>
      <c r="X122" s="42"/>
      <c r="Y122" s="43"/>
      <c r="Z122" s="43"/>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c r="BX122" s="42"/>
      <c r="BY122" s="42"/>
      <c r="BZ122" s="42"/>
      <c r="CA122" s="42"/>
      <c r="CB122" s="42"/>
      <c r="CC122" s="42"/>
      <c r="CD122" s="42"/>
      <c r="CE122" s="42"/>
      <c r="CF122" s="42"/>
      <c r="CG122" s="42"/>
      <c r="CH122" s="42"/>
      <c r="CI122" s="42"/>
      <c r="CJ122" s="42"/>
      <c r="CK122" s="42"/>
      <c r="CL122" s="42"/>
      <c r="CM122" s="42"/>
      <c r="CN122" s="42"/>
      <c r="CO122" s="42"/>
      <c r="CP122" s="42"/>
      <c r="CQ122" s="42"/>
      <c r="CR122" s="42"/>
      <c r="CS122" s="42"/>
      <c r="CT122" s="42"/>
      <c r="CU122" s="42"/>
      <c r="CV122" s="42"/>
      <c r="CW122" s="42"/>
      <c r="CX122" s="42"/>
      <c r="CY122" s="42"/>
    </row>
    <row r="123" spans="1:103" s="2" customFormat="1" ht="12.6" customHeight="1" outlineLevel="2" thickBot="1" x14ac:dyDescent="0.35">
      <c r="A123" s="132"/>
      <c r="B123" s="138"/>
      <c r="C123" s="133"/>
      <c r="D123" s="134"/>
      <c r="E123" s="135">
        <v>0</v>
      </c>
      <c r="F123" s="134">
        <v>0</v>
      </c>
      <c r="G123" s="159">
        <f>WORKDAY(H121,1)</f>
        <v>3</v>
      </c>
      <c r="H123" s="159">
        <f>WORKDAY(G123,F123)</f>
        <v>3</v>
      </c>
      <c r="I123" s="136"/>
      <c r="J123" s="136"/>
      <c r="K123" s="15"/>
      <c r="L123" s="15"/>
      <c r="M123" s="42"/>
      <c r="N123" s="42"/>
      <c r="O123" s="42"/>
      <c r="P123" s="42"/>
      <c r="Q123" s="42"/>
      <c r="R123" s="42"/>
      <c r="S123" s="42"/>
      <c r="T123" s="42"/>
      <c r="U123" s="42"/>
      <c r="V123" s="42"/>
      <c r="W123" s="42"/>
      <c r="X123" s="42"/>
      <c r="Y123" s="43"/>
      <c r="Z123" s="43"/>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42"/>
      <c r="CU123" s="42"/>
      <c r="CV123" s="42"/>
      <c r="CW123" s="42"/>
      <c r="CX123" s="42"/>
      <c r="CY123" s="42"/>
    </row>
    <row r="124" spans="1:103" s="2" customFormat="1" ht="12.6" customHeight="1" outlineLevel="2" thickBot="1" x14ac:dyDescent="0.35">
      <c r="A124" s="132"/>
      <c r="B124" s="138"/>
      <c r="C124" s="133"/>
      <c r="D124" s="134"/>
      <c r="E124" s="135">
        <v>0</v>
      </c>
      <c r="F124" s="134">
        <v>10</v>
      </c>
      <c r="G124" s="159">
        <f>WORKDAY(H123,1)</f>
        <v>4</v>
      </c>
      <c r="H124" s="159">
        <f>WORKDAY(G124,F124)</f>
        <v>18</v>
      </c>
      <c r="I124" s="136"/>
      <c r="J124" s="136"/>
      <c r="K124" s="15"/>
      <c r="L124" s="15"/>
      <c r="M124" s="42"/>
      <c r="N124" s="42"/>
      <c r="O124" s="42"/>
      <c r="P124" s="42"/>
      <c r="Q124" s="42"/>
      <c r="R124" s="42"/>
      <c r="S124" s="42"/>
      <c r="T124" s="42"/>
      <c r="U124" s="42"/>
      <c r="V124" s="42"/>
      <c r="W124" s="42"/>
      <c r="X124" s="42"/>
      <c r="Y124" s="43"/>
      <c r="Z124" s="43"/>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2"/>
      <c r="CE124" s="42"/>
      <c r="CF124" s="42"/>
      <c r="CG124" s="42"/>
      <c r="CH124" s="42"/>
      <c r="CI124" s="42"/>
      <c r="CJ124" s="42"/>
      <c r="CK124" s="42"/>
      <c r="CL124" s="42"/>
      <c r="CM124" s="42"/>
      <c r="CN124" s="42"/>
      <c r="CO124" s="42"/>
      <c r="CP124" s="42"/>
      <c r="CQ124" s="42"/>
      <c r="CR124" s="42"/>
      <c r="CS124" s="42"/>
      <c r="CT124" s="42"/>
      <c r="CU124" s="42"/>
      <c r="CV124" s="42"/>
      <c r="CW124" s="42"/>
      <c r="CX124" s="42"/>
      <c r="CY124" s="42"/>
    </row>
    <row r="125" spans="1:103" s="2" customFormat="1" ht="12.6" customHeight="1" outlineLevel="2" thickBot="1" x14ac:dyDescent="0.35">
      <c r="A125" s="132"/>
      <c r="B125" s="138"/>
      <c r="C125" s="133"/>
      <c r="D125" s="134"/>
      <c r="E125" s="135">
        <v>0</v>
      </c>
      <c r="F125" s="134">
        <v>0</v>
      </c>
      <c r="G125" s="159">
        <f>WORKDAY(H124,1)</f>
        <v>19</v>
      </c>
      <c r="H125" s="159">
        <f>WORKDAY(G125,F125)</f>
        <v>19</v>
      </c>
      <c r="I125" s="136"/>
      <c r="J125" s="136"/>
      <c r="K125" s="15"/>
      <c r="L125" s="15"/>
      <c r="M125" s="42"/>
      <c r="N125" s="42"/>
      <c r="O125" s="42"/>
      <c r="P125" s="42"/>
      <c r="Q125" s="42"/>
      <c r="R125" s="42"/>
      <c r="S125" s="42"/>
      <c r="T125" s="42"/>
      <c r="U125" s="42"/>
      <c r="V125" s="42"/>
      <c r="W125" s="42"/>
      <c r="X125" s="42"/>
      <c r="Y125" s="43"/>
      <c r="Z125" s="43"/>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2"/>
      <c r="CE125" s="42"/>
      <c r="CF125" s="42"/>
      <c r="CG125" s="42"/>
      <c r="CH125" s="42"/>
      <c r="CI125" s="42"/>
      <c r="CJ125" s="42"/>
      <c r="CK125" s="42"/>
      <c r="CL125" s="42"/>
      <c r="CM125" s="42"/>
      <c r="CN125" s="42"/>
      <c r="CO125" s="42"/>
      <c r="CP125" s="42"/>
      <c r="CQ125" s="42"/>
      <c r="CR125" s="42"/>
      <c r="CS125" s="42"/>
      <c r="CT125" s="42"/>
      <c r="CU125" s="42"/>
      <c r="CV125" s="42"/>
      <c r="CW125" s="42"/>
      <c r="CX125" s="42"/>
      <c r="CY125" s="42"/>
    </row>
    <row r="126" spans="1:103" s="2" customFormat="1" ht="12.6" customHeight="1" outlineLevel="1" thickBot="1" x14ac:dyDescent="0.35">
      <c r="A126" s="132"/>
      <c r="B126" s="137"/>
      <c r="C126" s="133"/>
      <c r="D126" s="162"/>
      <c r="E126" s="263">
        <f>AVERAGE(E127:E136)</f>
        <v>0</v>
      </c>
      <c r="F126" s="162">
        <f>NETWORKDAYS(G126,H126)</f>
        <v>24</v>
      </c>
      <c r="G126" s="161">
        <f>MIN(G127:G136)</f>
        <v>20</v>
      </c>
      <c r="H126" s="161">
        <f>MAX(H127:H136)</f>
        <v>53</v>
      </c>
      <c r="I126" s="136"/>
      <c r="J126" s="136"/>
      <c r="K126" s="15"/>
      <c r="L126" s="15"/>
      <c r="M126" s="42"/>
      <c r="N126" s="42"/>
      <c r="O126" s="42"/>
      <c r="P126" s="42"/>
      <c r="Q126" s="42"/>
      <c r="R126" s="42"/>
      <c r="S126" s="42"/>
      <c r="T126" s="42"/>
      <c r="U126" s="42"/>
      <c r="V126" s="42"/>
      <c r="W126" s="42"/>
      <c r="X126" s="42"/>
      <c r="Y126" s="43"/>
      <c r="Z126" s="43"/>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2"/>
      <c r="CE126" s="42"/>
      <c r="CF126" s="42"/>
      <c r="CG126" s="42"/>
      <c r="CH126" s="42"/>
      <c r="CI126" s="42"/>
      <c r="CJ126" s="42"/>
      <c r="CK126" s="42"/>
      <c r="CL126" s="42"/>
      <c r="CM126" s="42"/>
      <c r="CN126" s="42"/>
      <c r="CO126" s="42"/>
      <c r="CP126" s="42"/>
      <c r="CQ126" s="42"/>
      <c r="CR126" s="42"/>
      <c r="CS126" s="42"/>
      <c r="CT126" s="42"/>
      <c r="CU126" s="42"/>
      <c r="CV126" s="42"/>
      <c r="CW126" s="42"/>
      <c r="CX126" s="42"/>
      <c r="CY126" s="42"/>
    </row>
    <row r="127" spans="1:103" s="2" customFormat="1" ht="12.6" customHeight="1" outlineLevel="2" thickBot="1" x14ac:dyDescent="0.35">
      <c r="A127" s="132"/>
      <c r="B127" s="138"/>
      <c r="C127" s="133"/>
      <c r="D127" s="134"/>
      <c r="E127" s="135">
        <v>0</v>
      </c>
      <c r="F127" s="162">
        <v>5</v>
      </c>
      <c r="G127" s="159">
        <f>WORKDAY(H125,1)</f>
        <v>20</v>
      </c>
      <c r="H127" s="159">
        <f t="shared" ref="H127:H136" si="12">WORKDAY(G127,F127)</f>
        <v>27</v>
      </c>
      <c r="I127" s="136"/>
      <c r="J127" s="136"/>
      <c r="K127" s="15"/>
      <c r="L127" s="15"/>
      <c r="M127" s="42"/>
      <c r="N127" s="42"/>
      <c r="O127" s="42"/>
      <c r="P127" s="42"/>
      <c r="Q127" s="42"/>
      <c r="R127" s="42"/>
      <c r="S127" s="42"/>
      <c r="T127" s="42"/>
      <c r="U127" s="42"/>
      <c r="V127" s="42"/>
      <c r="W127" s="42"/>
      <c r="X127" s="42"/>
      <c r="Y127" s="43"/>
      <c r="Z127" s="43"/>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42"/>
      <c r="CH127" s="42"/>
      <c r="CI127" s="42"/>
      <c r="CJ127" s="42"/>
      <c r="CK127" s="42"/>
      <c r="CL127" s="42"/>
      <c r="CM127" s="42"/>
      <c r="CN127" s="42"/>
      <c r="CO127" s="42"/>
      <c r="CP127" s="42"/>
      <c r="CQ127" s="42"/>
      <c r="CR127" s="42"/>
      <c r="CS127" s="42"/>
      <c r="CT127" s="42"/>
      <c r="CU127" s="42"/>
      <c r="CV127" s="42"/>
      <c r="CW127" s="42"/>
      <c r="CX127" s="42"/>
      <c r="CY127" s="42"/>
    </row>
    <row r="128" spans="1:103" s="2" customFormat="1" ht="15" outlineLevel="2" thickBot="1" x14ac:dyDescent="0.35">
      <c r="A128" s="132"/>
      <c r="B128" s="138"/>
      <c r="C128" s="133"/>
      <c r="D128" s="134"/>
      <c r="E128" s="135">
        <v>0</v>
      </c>
      <c r="F128" s="134">
        <v>5</v>
      </c>
      <c r="G128" s="159">
        <f>WORKDAY(H125,1)</f>
        <v>20</v>
      </c>
      <c r="H128" s="159">
        <f t="shared" si="12"/>
        <v>27</v>
      </c>
      <c r="I128" s="136"/>
      <c r="J128" s="136"/>
      <c r="K128" s="15"/>
      <c r="L128" s="15"/>
      <c r="M128" s="42"/>
      <c r="N128" s="42"/>
      <c r="O128" s="42"/>
      <c r="P128" s="42"/>
      <c r="Q128" s="42"/>
      <c r="R128" s="42"/>
      <c r="S128" s="42"/>
      <c r="T128" s="42"/>
      <c r="U128" s="42"/>
      <c r="V128" s="42"/>
      <c r="W128" s="42"/>
      <c r="X128" s="42"/>
      <c r="Y128" s="43"/>
      <c r="Z128" s="43"/>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c r="CI128" s="42"/>
      <c r="CJ128" s="42"/>
      <c r="CK128" s="42"/>
      <c r="CL128" s="42"/>
      <c r="CM128" s="42"/>
      <c r="CN128" s="42"/>
      <c r="CO128" s="42"/>
      <c r="CP128" s="42"/>
      <c r="CQ128" s="42"/>
      <c r="CR128" s="42"/>
      <c r="CS128" s="42"/>
      <c r="CT128" s="42"/>
      <c r="CU128" s="42"/>
      <c r="CV128" s="42"/>
      <c r="CW128" s="42"/>
      <c r="CX128" s="42"/>
      <c r="CY128" s="42"/>
    </row>
    <row r="129" spans="1:103" s="2" customFormat="1" ht="12.6" customHeight="1" outlineLevel="2" thickBot="1" x14ac:dyDescent="0.35">
      <c r="A129" s="132"/>
      <c r="B129" s="138"/>
      <c r="C129" s="133"/>
      <c r="D129" s="134"/>
      <c r="E129" s="135">
        <v>0</v>
      </c>
      <c r="F129" s="134">
        <v>10</v>
      </c>
      <c r="G129" s="159">
        <f>WORKDAY(H125,1)</f>
        <v>20</v>
      </c>
      <c r="H129" s="159">
        <f t="shared" si="12"/>
        <v>34</v>
      </c>
      <c r="I129" s="136"/>
      <c r="J129" s="136"/>
      <c r="K129" s="15"/>
      <c r="L129" s="15"/>
      <c r="M129" s="42"/>
      <c r="N129" s="42"/>
      <c r="O129" s="42"/>
      <c r="P129" s="42"/>
      <c r="Q129" s="42"/>
      <c r="R129" s="42"/>
      <c r="S129" s="42"/>
      <c r="T129" s="42"/>
      <c r="U129" s="42"/>
      <c r="V129" s="42"/>
      <c r="W129" s="42"/>
      <c r="X129" s="42"/>
      <c r="Y129" s="43"/>
      <c r="Z129" s="43"/>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2"/>
      <c r="CE129" s="42"/>
      <c r="CF129" s="42"/>
      <c r="CG129" s="42"/>
      <c r="CH129" s="42"/>
      <c r="CI129" s="42"/>
      <c r="CJ129" s="42"/>
      <c r="CK129" s="42"/>
      <c r="CL129" s="42"/>
      <c r="CM129" s="42"/>
      <c r="CN129" s="42"/>
      <c r="CO129" s="42"/>
      <c r="CP129" s="42"/>
      <c r="CQ129" s="42"/>
      <c r="CR129" s="42"/>
      <c r="CS129" s="42"/>
      <c r="CT129" s="42"/>
      <c r="CU129" s="42"/>
      <c r="CV129" s="42"/>
      <c r="CW129" s="42"/>
      <c r="CX129" s="42"/>
      <c r="CY129" s="42"/>
    </row>
    <row r="130" spans="1:103" s="2" customFormat="1" ht="12.6" customHeight="1" outlineLevel="2" thickBot="1" x14ac:dyDescent="0.35">
      <c r="A130" s="132"/>
      <c r="B130" s="138"/>
      <c r="C130" s="133"/>
      <c r="D130" s="134"/>
      <c r="E130" s="135">
        <v>0</v>
      </c>
      <c r="F130" s="134">
        <v>5</v>
      </c>
      <c r="G130" s="160">
        <f>WORKDAY(H125,1)</f>
        <v>20</v>
      </c>
      <c r="H130" s="159">
        <f t="shared" si="12"/>
        <v>27</v>
      </c>
      <c r="I130" s="136"/>
      <c r="J130" s="136"/>
      <c r="K130" s="15"/>
      <c r="L130" s="15"/>
      <c r="M130" s="42"/>
      <c r="N130" s="42"/>
      <c r="O130" s="42"/>
      <c r="P130" s="42"/>
      <c r="Q130" s="42"/>
      <c r="R130" s="42"/>
      <c r="S130" s="42"/>
      <c r="T130" s="42"/>
      <c r="U130" s="42"/>
      <c r="V130" s="42"/>
      <c r="W130" s="42"/>
      <c r="X130" s="42"/>
      <c r="Y130" s="43"/>
      <c r="Z130" s="43"/>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c r="BX130" s="42"/>
      <c r="BY130" s="42"/>
      <c r="BZ130" s="42"/>
      <c r="CA130" s="42"/>
      <c r="CB130" s="42"/>
      <c r="CC130" s="42"/>
      <c r="CD130" s="42"/>
      <c r="CE130" s="42"/>
      <c r="CF130" s="42"/>
      <c r="CG130" s="42"/>
      <c r="CH130" s="42"/>
      <c r="CI130" s="42"/>
      <c r="CJ130" s="42"/>
      <c r="CK130" s="42"/>
      <c r="CL130" s="42"/>
      <c r="CM130" s="42"/>
      <c r="CN130" s="42"/>
      <c r="CO130" s="42"/>
      <c r="CP130" s="42"/>
      <c r="CQ130" s="42"/>
      <c r="CR130" s="42"/>
      <c r="CS130" s="42"/>
      <c r="CT130" s="42"/>
      <c r="CU130" s="42"/>
      <c r="CV130" s="42"/>
      <c r="CW130" s="42"/>
      <c r="CX130" s="42"/>
      <c r="CY130" s="42"/>
    </row>
    <row r="131" spans="1:103" s="2" customFormat="1" ht="12.6" customHeight="1" outlineLevel="2" thickBot="1" x14ac:dyDescent="0.35">
      <c r="A131" s="132"/>
      <c r="B131" s="138"/>
      <c r="C131" s="133"/>
      <c r="D131" s="134"/>
      <c r="E131" s="135">
        <v>0</v>
      </c>
      <c r="F131" s="134">
        <v>5</v>
      </c>
      <c r="G131" s="160">
        <f>WORKDAY(H125,1)</f>
        <v>20</v>
      </c>
      <c r="H131" s="159">
        <f t="shared" si="12"/>
        <v>27</v>
      </c>
      <c r="I131" s="136"/>
      <c r="J131" s="136"/>
      <c r="K131" s="15"/>
      <c r="L131" s="15"/>
      <c r="M131" s="42"/>
      <c r="N131" s="42"/>
      <c r="O131" s="42"/>
      <c r="P131" s="42"/>
      <c r="Q131" s="42"/>
      <c r="R131" s="42"/>
      <c r="S131" s="42"/>
      <c r="T131" s="42"/>
      <c r="U131" s="42"/>
      <c r="V131" s="42"/>
      <c r="W131" s="42"/>
      <c r="X131" s="42"/>
      <c r="Y131" s="43"/>
      <c r="Z131" s="43"/>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c r="BR131" s="42"/>
      <c r="BS131" s="42"/>
      <c r="BT131" s="42"/>
      <c r="BU131" s="42"/>
      <c r="BV131" s="42"/>
      <c r="BW131" s="42"/>
      <c r="BX131" s="42"/>
      <c r="BY131" s="42"/>
      <c r="BZ131" s="42"/>
      <c r="CA131" s="42"/>
      <c r="CB131" s="42"/>
      <c r="CC131" s="42"/>
      <c r="CD131" s="42"/>
      <c r="CE131" s="42"/>
      <c r="CF131" s="42"/>
      <c r="CG131" s="42"/>
      <c r="CH131" s="42"/>
      <c r="CI131" s="42"/>
      <c r="CJ131" s="42"/>
      <c r="CK131" s="42"/>
      <c r="CL131" s="42"/>
      <c r="CM131" s="42"/>
      <c r="CN131" s="42"/>
      <c r="CO131" s="42"/>
      <c r="CP131" s="42"/>
      <c r="CQ131" s="42"/>
      <c r="CR131" s="42"/>
      <c r="CS131" s="42"/>
      <c r="CT131" s="42"/>
      <c r="CU131" s="42"/>
      <c r="CV131" s="42"/>
      <c r="CW131" s="42"/>
      <c r="CX131" s="42"/>
      <c r="CY131" s="42"/>
    </row>
    <row r="132" spans="1:103" s="2" customFormat="1" ht="12.6" customHeight="1" outlineLevel="2" thickBot="1" x14ac:dyDescent="0.35">
      <c r="A132" s="132"/>
      <c r="B132" s="138"/>
      <c r="C132" s="133"/>
      <c r="D132" s="134"/>
      <c r="E132" s="135">
        <v>0</v>
      </c>
      <c r="F132" s="134">
        <v>5</v>
      </c>
      <c r="G132" s="160">
        <f>WORKDAY(H131,1)</f>
        <v>30</v>
      </c>
      <c r="H132" s="159">
        <f t="shared" si="12"/>
        <v>37</v>
      </c>
      <c r="I132" s="136"/>
      <c r="J132" s="136"/>
      <c r="K132" s="15"/>
      <c r="L132" s="15"/>
      <c r="M132" s="42"/>
      <c r="N132" s="42"/>
      <c r="O132" s="42"/>
      <c r="P132" s="42"/>
      <c r="Q132" s="42"/>
      <c r="R132" s="42"/>
      <c r="S132" s="42"/>
      <c r="T132" s="42"/>
      <c r="U132" s="42"/>
      <c r="V132" s="42"/>
      <c r="W132" s="42"/>
      <c r="X132" s="42"/>
      <c r="Y132" s="43"/>
      <c r="Z132" s="43"/>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c r="BW132" s="42"/>
      <c r="BX132" s="42"/>
      <c r="BY132" s="42"/>
      <c r="BZ132" s="42"/>
      <c r="CA132" s="42"/>
      <c r="CB132" s="42"/>
      <c r="CC132" s="42"/>
      <c r="CD132" s="42"/>
      <c r="CE132" s="42"/>
      <c r="CF132" s="42"/>
      <c r="CG132" s="42"/>
      <c r="CH132" s="42"/>
      <c r="CI132" s="42"/>
      <c r="CJ132" s="42"/>
      <c r="CK132" s="42"/>
      <c r="CL132" s="42"/>
      <c r="CM132" s="42"/>
      <c r="CN132" s="42"/>
      <c r="CO132" s="42"/>
      <c r="CP132" s="42"/>
      <c r="CQ132" s="42"/>
      <c r="CR132" s="42"/>
      <c r="CS132" s="42"/>
      <c r="CT132" s="42"/>
      <c r="CU132" s="42"/>
      <c r="CV132" s="42"/>
      <c r="CW132" s="42"/>
      <c r="CX132" s="42"/>
      <c r="CY132" s="42"/>
    </row>
    <row r="133" spans="1:103" s="2" customFormat="1" ht="12.6" customHeight="1" outlineLevel="2" thickBot="1" x14ac:dyDescent="0.35">
      <c r="A133" s="132"/>
      <c r="B133" s="138"/>
      <c r="C133" s="133"/>
      <c r="D133" s="134"/>
      <c r="E133" s="135">
        <v>0</v>
      </c>
      <c r="F133" s="134">
        <v>5</v>
      </c>
      <c r="G133" s="160">
        <f>WORKDAY(H125,1)</f>
        <v>20</v>
      </c>
      <c r="H133" s="159">
        <f t="shared" si="12"/>
        <v>27</v>
      </c>
      <c r="I133" s="136"/>
      <c r="J133" s="136"/>
      <c r="K133" s="15"/>
      <c r="L133" s="15"/>
      <c r="M133" s="42"/>
      <c r="N133" s="42"/>
      <c r="O133" s="42"/>
      <c r="P133" s="42"/>
      <c r="Q133" s="42"/>
      <c r="R133" s="42"/>
      <c r="S133" s="42"/>
      <c r="T133" s="42"/>
      <c r="U133" s="42"/>
      <c r="V133" s="42"/>
      <c r="W133" s="42"/>
      <c r="X133" s="42"/>
      <c r="Y133" s="43"/>
      <c r="Z133" s="43"/>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c r="BW133" s="42"/>
      <c r="BX133" s="42"/>
      <c r="BY133" s="42"/>
      <c r="BZ133" s="42"/>
      <c r="CA133" s="42"/>
      <c r="CB133" s="42"/>
      <c r="CC133" s="42"/>
      <c r="CD133" s="42"/>
      <c r="CE133" s="42"/>
      <c r="CF133" s="42"/>
      <c r="CG133" s="42"/>
      <c r="CH133" s="42"/>
      <c r="CI133" s="42"/>
      <c r="CJ133" s="42"/>
      <c r="CK133" s="42"/>
      <c r="CL133" s="42"/>
      <c r="CM133" s="42"/>
      <c r="CN133" s="42"/>
      <c r="CO133" s="42"/>
      <c r="CP133" s="42"/>
      <c r="CQ133" s="42"/>
      <c r="CR133" s="42"/>
      <c r="CS133" s="42"/>
      <c r="CT133" s="42"/>
      <c r="CU133" s="42"/>
      <c r="CV133" s="42"/>
      <c r="CW133" s="42"/>
      <c r="CX133" s="42"/>
      <c r="CY133" s="42"/>
    </row>
    <row r="134" spans="1:103" s="2" customFormat="1" ht="12.6" customHeight="1" outlineLevel="2" thickBot="1" x14ac:dyDescent="0.35">
      <c r="A134" s="132"/>
      <c r="B134" s="138"/>
      <c r="C134" s="133"/>
      <c r="D134" s="134"/>
      <c r="E134" s="135">
        <v>0</v>
      </c>
      <c r="F134" s="134">
        <v>5</v>
      </c>
      <c r="G134" s="160">
        <f>WORKDAY(H130,1)</f>
        <v>30</v>
      </c>
      <c r="H134" s="159">
        <f t="shared" si="12"/>
        <v>37</v>
      </c>
      <c r="I134" s="136"/>
      <c r="J134" s="136"/>
      <c r="K134" s="15"/>
      <c r="L134" s="15"/>
      <c r="M134" s="42"/>
      <c r="N134" s="42"/>
      <c r="O134" s="42"/>
      <c r="P134" s="42"/>
      <c r="Q134" s="42"/>
      <c r="R134" s="42"/>
      <c r="S134" s="42"/>
      <c r="T134" s="42"/>
      <c r="U134" s="42"/>
      <c r="V134" s="42"/>
      <c r="W134" s="42"/>
      <c r="X134" s="42"/>
      <c r="Y134" s="43"/>
      <c r="Z134" s="43"/>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c r="BR134" s="42"/>
      <c r="BS134" s="42"/>
      <c r="BT134" s="42"/>
      <c r="BU134" s="42"/>
      <c r="BV134" s="42"/>
      <c r="BW134" s="42"/>
      <c r="BX134" s="42"/>
      <c r="BY134" s="42"/>
      <c r="BZ134" s="42"/>
      <c r="CA134" s="42"/>
      <c r="CB134" s="42"/>
      <c r="CC134" s="42"/>
      <c r="CD134" s="42"/>
      <c r="CE134" s="42"/>
      <c r="CF134" s="42"/>
      <c r="CG134" s="42"/>
      <c r="CH134" s="42"/>
      <c r="CI134" s="42"/>
      <c r="CJ134" s="42"/>
      <c r="CK134" s="42"/>
      <c r="CL134" s="42"/>
      <c r="CM134" s="42"/>
      <c r="CN134" s="42"/>
      <c r="CO134" s="42"/>
      <c r="CP134" s="42"/>
      <c r="CQ134" s="42"/>
      <c r="CR134" s="42"/>
      <c r="CS134" s="42"/>
      <c r="CT134" s="42"/>
      <c r="CU134" s="42"/>
      <c r="CV134" s="42"/>
      <c r="CW134" s="42"/>
      <c r="CX134" s="42"/>
      <c r="CY134" s="42"/>
    </row>
    <row r="135" spans="1:103" s="2" customFormat="1" ht="12.6" customHeight="1" outlineLevel="2" thickBot="1" x14ac:dyDescent="0.35">
      <c r="A135" s="132"/>
      <c r="B135" s="138"/>
      <c r="C135" s="133"/>
      <c r="D135" s="134"/>
      <c r="E135" s="135">
        <v>0</v>
      </c>
      <c r="F135" s="134">
        <v>0</v>
      </c>
      <c r="G135" s="160">
        <f>WORKDAY(H132,1)</f>
        <v>38</v>
      </c>
      <c r="H135" s="159">
        <f t="shared" si="12"/>
        <v>38</v>
      </c>
      <c r="I135" s="136"/>
      <c r="J135" s="136"/>
      <c r="K135" s="15"/>
      <c r="L135" s="15"/>
      <c r="M135" s="42"/>
      <c r="N135" s="42"/>
      <c r="O135" s="42"/>
      <c r="P135" s="42"/>
      <c r="Q135" s="42"/>
      <c r="R135" s="42"/>
      <c r="S135" s="42"/>
      <c r="T135" s="42"/>
      <c r="U135" s="42"/>
      <c r="V135" s="42"/>
      <c r="W135" s="42"/>
      <c r="X135" s="42"/>
      <c r="Y135" s="43"/>
      <c r="Z135" s="43"/>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c r="BX135" s="42"/>
      <c r="BY135" s="42"/>
      <c r="BZ135" s="42"/>
      <c r="CA135" s="42"/>
      <c r="CB135" s="42"/>
      <c r="CC135" s="42"/>
      <c r="CD135" s="42"/>
      <c r="CE135" s="42"/>
      <c r="CF135" s="42"/>
      <c r="CG135" s="42"/>
      <c r="CH135" s="42"/>
      <c r="CI135" s="42"/>
      <c r="CJ135" s="42"/>
      <c r="CK135" s="42"/>
      <c r="CL135" s="42"/>
      <c r="CM135" s="42"/>
      <c r="CN135" s="42"/>
      <c r="CO135" s="42"/>
      <c r="CP135" s="42"/>
      <c r="CQ135" s="42"/>
      <c r="CR135" s="42"/>
      <c r="CS135" s="42"/>
      <c r="CT135" s="42"/>
      <c r="CU135" s="42"/>
      <c r="CV135" s="42"/>
      <c r="CW135" s="42"/>
      <c r="CX135" s="42"/>
      <c r="CY135" s="42"/>
    </row>
    <row r="136" spans="1:103" s="2" customFormat="1" ht="12.6" customHeight="1" outlineLevel="2" thickBot="1" x14ac:dyDescent="0.35">
      <c r="A136" s="132"/>
      <c r="B136" s="138"/>
      <c r="C136" s="133"/>
      <c r="D136" s="134"/>
      <c r="E136" s="135">
        <v>0</v>
      </c>
      <c r="F136" s="134">
        <v>10</v>
      </c>
      <c r="G136" s="160">
        <f>WORKDAY(H135,1)</f>
        <v>39</v>
      </c>
      <c r="H136" s="159">
        <f t="shared" si="12"/>
        <v>53</v>
      </c>
      <c r="I136" s="136"/>
      <c r="J136" s="136"/>
      <c r="K136" s="15"/>
      <c r="L136" s="15"/>
      <c r="M136" s="42"/>
      <c r="N136" s="42"/>
      <c r="O136" s="42"/>
      <c r="P136" s="42"/>
      <c r="Q136" s="42"/>
      <c r="R136" s="42"/>
      <c r="S136" s="42"/>
      <c r="T136" s="42"/>
      <c r="U136" s="42"/>
      <c r="V136" s="42"/>
      <c r="W136" s="42"/>
      <c r="X136" s="42"/>
      <c r="Y136" s="43"/>
      <c r="Z136" s="43"/>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c r="BW136" s="42"/>
      <c r="BX136" s="42"/>
      <c r="BY136" s="42"/>
      <c r="BZ136" s="42"/>
      <c r="CA136" s="42"/>
      <c r="CB136" s="42"/>
      <c r="CC136" s="42"/>
      <c r="CD136" s="42"/>
      <c r="CE136" s="42"/>
      <c r="CF136" s="42"/>
      <c r="CG136" s="42"/>
      <c r="CH136" s="42"/>
      <c r="CI136" s="42"/>
      <c r="CJ136" s="42"/>
      <c r="CK136" s="42"/>
      <c r="CL136" s="42"/>
      <c r="CM136" s="42"/>
      <c r="CN136" s="42"/>
      <c r="CO136" s="42"/>
      <c r="CP136" s="42"/>
      <c r="CQ136" s="42"/>
      <c r="CR136" s="42"/>
      <c r="CS136" s="42"/>
      <c r="CT136" s="42"/>
      <c r="CU136" s="42"/>
      <c r="CV136" s="42"/>
      <c r="CW136" s="42"/>
      <c r="CX136" s="42"/>
      <c r="CY136" s="42"/>
    </row>
    <row r="137" spans="1:103" s="2" customFormat="1" ht="12.6" customHeight="1" outlineLevel="1" thickBot="1" x14ac:dyDescent="0.35">
      <c r="A137" s="132"/>
      <c r="B137" s="137"/>
      <c r="C137" s="133"/>
      <c r="D137" s="162"/>
      <c r="E137" s="263">
        <f>AVERAGE(E138:E139)</f>
        <v>0</v>
      </c>
      <c r="F137" s="162">
        <f>NETWORKDAYS(G137,H137)</f>
        <v>17</v>
      </c>
      <c r="G137" s="161">
        <f>MIN(G138:G139)</f>
        <v>39</v>
      </c>
      <c r="H137" s="161">
        <f>MAX(H138:H139)</f>
        <v>61</v>
      </c>
      <c r="I137" s="136"/>
      <c r="J137" s="136"/>
      <c r="K137" s="15"/>
      <c r="L137" s="15"/>
      <c r="M137" s="42"/>
      <c r="N137" s="42"/>
      <c r="O137" s="42"/>
      <c r="P137" s="42"/>
      <c r="Q137" s="42"/>
      <c r="R137" s="42"/>
      <c r="S137" s="42"/>
      <c r="T137" s="42"/>
      <c r="U137" s="42"/>
      <c r="V137" s="42"/>
      <c r="W137" s="42"/>
      <c r="X137" s="42"/>
      <c r="Y137" s="43"/>
      <c r="Z137" s="43"/>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c r="BX137" s="42"/>
      <c r="BY137" s="42"/>
      <c r="BZ137" s="42"/>
      <c r="CA137" s="42"/>
      <c r="CB137" s="42"/>
      <c r="CC137" s="42"/>
      <c r="CD137" s="42"/>
      <c r="CE137" s="42"/>
      <c r="CF137" s="42"/>
      <c r="CG137" s="42"/>
      <c r="CH137" s="42"/>
      <c r="CI137" s="42"/>
      <c r="CJ137" s="42"/>
      <c r="CK137" s="42"/>
      <c r="CL137" s="42"/>
      <c r="CM137" s="42"/>
      <c r="CN137" s="42"/>
      <c r="CO137" s="42"/>
      <c r="CP137" s="42"/>
      <c r="CQ137" s="42"/>
      <c r="CR137" s="42"/>
      <c r="CS137" s="42"/>
      <c r="CT137" s="42"/>
      <c r="CU137" s="42"/>
      <c r="CV137" s="42"/>
      <c r="CW137" s="42"/>
      <c r="CX137" s="42"/>
      <c r="CY137" s="42"/>
    </row>
    <row r="138" spans="1:103" s="2" customFormat="1" ht="12.6" customHeight="1" outlineLevel="2" thickBot="1" x14ac:dyDescent="0.35">
      <c r="A138" s="132"/>
      <c r="B138" s="138"/>
      <c r="C138" s="133"/>
      <c r="D138" s="134"/>
      <c r="E138" s="135">
        <v>0</v>
      </c>
      <c r="F138" s="134">
        <v>5</v>
      </c>
      <c r="G138" s="159">
        <f>WORKDAY(H135,1)</f>
        <v>39</v>
      </c>
      <c r="H138" s="159">
        <f>WORKDAY(G138,F138)</f>
        <v>46</v>
      </c>
      <c r="I138" s="136"/>
      <c r="J138" s="136"/>
      <c r="K138" s="15"/>
      <c r="L138" s="15"/>
      <c r="M138" s="42"/>
      <c r="N138" s="42"/>
      <c r="O138" s="42"/>
      <c r="P138" s="42"/>
      <c r="Q138" s="42"/>
      <c r="R138" s="42"/>
      <c r="S138" s="42"/>
      <c r="T138" s="42"/>
      <c r="U138" s="42"/>
      <c r="V138" s="42"/>
      <c r="W138" s="42"/>
      <c r="X138" s="42"/>
      <c r="Y138" s="43"/>
      <c r="Z138" s="43"/>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c r="BV138" s="42"/>
      <c r="BW138" s="42"/>
      <c r="BX138" s="42"/>
      <c r="BY138" s="42"/>
      <c r="BZ138" s="42"/>
      <c r="CA138" s="42"/>
      <c r="CB138" s="42"/>
      <c r="CC138" s="42"/>
      <c r="CD138" s="42"/>
      <c r="CE138" s="42"/>
      <c r="CF138" s="42"/>
      <c r="CG138" s="42"/>
      <c r="CH138" s="42"/>
      <c r="CI138" s="42"/>
      <c r="CJ138" s="42"/>
      <c r="CK138" s="42"/>
      <c r="CL138" s="42"/>
      <c r="CM138" s="42"/>
      <c r="CN138" s="42"/>
      <c r="CO138" s="42"/>
      <c r="CP138" s="42"/>
      <c r="CQ138" s="42"/>
      <c r="CR138" s="42"/>
      <c r="CS138" s="42"/>
      <c r="CT138" s="42"/>
      <c r="CU138" s="42"/>
      <c r="CV138" s="42"/>
      <c r="CW138" s="42"/>
      <c r="CX138" s="42"/>
      <c r="CY138" s="42"/>
    </row>
    <row r="139" spans="1:103" s="2" customFormat="1" ht="12.6" customHeight="1" outlineLevel="2" thickBot="1" x14ac:dyDescent="0.35">
      <c r="A139" s="132"/>
      <c r="B139" s="138"/>
      <c r="C139" s="133"/>
      <c r="D139" s="134"/>
      <c r="E139" s="135">
        <v>0</v>
      </c>
      <c r="F139" s="134">
        <v>5</v>
      </c>
      <c r="G139" s="160">
        <f>WORKDAY(H136,1)</f>
        <v>54</v>
      </c>
      <c r="H139" s="159">
        <f>WORKDAY(G139,F139)</f>
        <v>61</v>
      </c>
      <c r="I139" s="136"/>
      <c r="J139" s="136"/>
      <c r="K139" s="15"/>
      <c r="L139" s="15"/>
      <c r="M139" s="42"/>
      <c r="N139" s="42"/>
      <c r="O139" s="42"/>
      <c r="P139" s="42"/>
      <c r="Q139" s="42"/>
      <c r="R139" s="42"/>
      <c r="S139" s="42"/>
      <c r="T139" s="42"/>
      <c r="U139" s="42"/>
      <c r="V139" s="42"/>
      <c r="W139" s="42"/>
      <c r="X139" s="42"/>
      <c r="Y139" s="43"/>
      <c r="Z139" s="43"/>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c r="BX139" s="42"/>
      <c r="BY139" s="42"/>
      <c r="BZ139" s="42"/>
      <c r="CA139" s="42"/>
      <c r="CB139" s="42"/>
      <c r="CC139" s="42"/>
      <c r="CD139" s="42"/>
      <c r="CE139" s="42"/>
      <c r="CF139" s="42"/>
      <c r="CG139" s="42"/>
      <c r="CH139" s="42"/>
      <c r="CI139" s="42"/>
      <c r="CJ139" s="42"/>
      <c r="CK139" s="42"/>
      <c r="CL139" s="42"/>
      <c r="CM139" s="42"/>
      <c r="CN139" s="42"/>
      <c r="CO139" s="42"/>
      <c r="CP139" s="42"/>
      <c r="CQ139" s="42"/>
      <c r="CR139" s="42"/>
      <c r="CS139" s="42"/>
      <c r="CT139" s="42"/>
      <c r="CU139" s="42"/>
      <c r="CV139" s="42"/>
      <c r="CW139" s="42"/>
      <c r="CX139" s="42"/>
      <c r="CY139" s="42"/>
    </row>
    <row r="140" spans="1:103" s="2" customFormat="1" ht="15" customHeight="1" thickBot="1" x14ac:dyDescent="0.35">
      <c r="A140" s="139"/>
      <c r="B140" s="36" t="s">
        <v>502</v>
      </c>
      <c r="C140" s="36"/>
      <c r="D140" s="37"/>
      <c r="E140" s="37"/>
      <c r="F140" s="38"/>
      <c r="G140" s="39"/>
      <c r="H140" s="40"/>
      <c r="I140" s="40"/>
      <c r="J140" s="40"/>
      <c r="K140" s="41"/>
      <c r="L140" s="41" t="str">
        <f>IF(OR(ISBLANK(task_start),ISBLANK(task_end)),"",task_end-task_start+1)</f>
        <v/>
      </c>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c r="BG140" s="44"/>
      <c r="BH140" s="44"/>
      <c r="BI140" s="44"/>
      <c r="BJ140" s="44"/>
      <c r="BK140" s="44"/>
      <c r="BL140" s="44"/>
      <c r="BM140" s="44"/>
      <c r="BN140" s="44"/>
      <c r="BO140" s="44"/>
      <c r="BP140" s="44"/>
      <c r="BQ140" s="44"/>
      <c r="BR140" s="44"/>
      <c r="BS140" s="44"/>
      <c r="BT140" s="44"/>
      <c r="BU140" s="44"/>
      <c r="BV140" s="44"/>
      <c r="BW140" s="44"/>
      <c r="BX140" s="44"/>
      <c r="BY140" s="44"/>
      <c r="BZ140" s="44"/>
      <c r="CA140" s="44"/>
      <c r="CB140" s="44"/>
      <c r="CC140" s="44"/>
      <c r="CD140" s="44"/>
      <c r="CE140" s="44"/>
      <c r="CF140" s="44"/>
      <c r="CG140" s="44"/>
      <c r="CH140" s="44"/>
      <c r="CI140" s="44"/>
      <c r="CJ140" s="44"/>
      <c r="CK140" s="44"/>
      <c r="CL140" s="44"/>
      <c r="CM140" s="44"/>
      <c r="CN140" s="44"/>
      <c r="CO140" s="44"/>
      <c r="CP140" s="44"/>
      <c r="CQ140" s="44"/>
      <c r="CR140" s="44"/>
      <c r="CS140" s="44"/>
      <c r="CT140" s="44"/>
      <c r="CU140" s="44"/>
      <c r="CV140" s="44"/>
      <c r="CW140" s="44"/>
      <c r="CX140" s="44"/>
      <c r="CY140" s="44"/>
    </row>
    <row r="141" spans="1:103" s="2" customFormat="1" ht="12.6" customHeight="1" thickBot="1" x14ac:dyDescent="0.35">
      <c r="A141" s="120" t="s">
        <v>1002</v>
      </c>
      <c r="B141" s="121"/>
      <c r="C141" s="121"/>
      <c r="D141" s="122"/>
      <c r="E141" s="123"/>
      <c r="F141" s="122"/>
      <c r="G141" s="153"/>
      <c r="H141" s="154"/>
      <c r="I141" s="124"/>
      <c r="J141" s="124"/>
      <c r="K141" s="15"/>
      <c r="L141" s="15"/>
      <c r="M141" s="42"/>
      <c r="N141" s="42"/>
      <c r="O141" s="42"/>
      <c r="P141" s="42"/>
      <c r="Q141" s="42"/>
      <c r="R141" s="42"/>
      <c r="S141" s="42"/>
      <c r="T141" s="42"/>
      <c r="U141" s="42"/>
      <c r="V141" s="42"/>
      <c r="W141" s="42"/>
      <c r="X141" s="42"/>
      <c r="Y141" s="43"/>
      <c r="Z141" s="43"/>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c r="BR141" s="42"/>
      <c r="BS141" s="42"/>
      <c r="BT141" s="42"/>
      <c r="BU141" s="42"/>
      <c r="BV141" s="42"/>
      <c r="BW141" s="42"/>
      <c r="BX141" s="42"/>
      <c r="BY141" s="42"/>
      <c r="BZ141" s="42"/>
      <c r="CA141" s="42"/>
      <c r="CB141" s="42"/>
      <c r="CC141" s="42"/>
      <c r="CD141" s="42"/>
      <c r="CE141" s="42"/>
      <c r="CF141" s="42"/>
      <c r="CG141" s="42"/>
      <c r="CH141" s="42"/>
      <c r="CI141" s="42"/>
      <c r="CJ141" s="42"/>
      <c r="CK141" s="42"/>
      <c r="CL141" s="42"/>
      <c r="CM141" s="42"/>
      <c r="CN141" s="42"/>
      <c r="CO141" s="42"/>
      <c r="CP141" s="42"/>
      <c r="CQ141" s="42"/>
      <c r="CR141" s="42"/>
      <c r="CS141" s="42"/>
      <c r="CT141" s="42"/>
      <c r="CU141" s="42"/>
      <c r="CV141" s="42"/>
      <c r="CW141" s="42"/>
      <c r="CX141" s="42"/>
      <c r="CY141" s="42"/>
    </row>
    <row r="142" spans="1:103" s="2" customFormat="1" ht="12.6" customHeight="1" outlineLevel="1" thickBot="1" x14ac:dyDescent="0.35">
      <c r="A142" s="109"/>
      <c r="B142" s="84" t="s">
        <v>993</v>
      </c>
      <c r="C142" s="67"/>
      <c r="D142" s="89"/>
      <c r="E142" s="90">
        <f>AVERAGE(E143:E146)</f>
        <v>0</v>
      </c>
      <c r="F142" s="89" t="e">
        <f>NETWORKDAYS(G142,H142)</f>
        <v>#REF!</v>
      </c>
      <c r="G142" s="157" t="e">
        <f>MIN(G143:G146)</f>
        <v>#REF!</v>
      </c>
      <c r="H142" s="157" t="e">
        <f>MAX(H143:H146)</f>
        <v>#REF!</v>
      </c>
      <c r="I142" s="53"/>
      <c r="J142" s="53"/>
      <c r="K142" s="15"/>
      <c r="L142" s="15"/>
      <c r="M142" s="42"/>
      <c r="N142" s="42"/>
      <c r="O142" s="42"/>
      <c r="P142" s="42"/>
      <c r="Q142" s="42"/>
      <c r="R142" s="42"/>
      <c r="S142" s="42"/>
      <c r="T142" s="42"/>
      <c r="U142" s="42"/>
      <c r="V142" s="42"/>
      <c r="W142" s="42"/>
      <c r="X142" s="42"/>
      <c r="Y142" s="43"/>
      <c r="Z142" s="43"/>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c r="BV142" s="42"/>
      <c r="BW142" s="42"/>
      <c r="BX142" s="42"/>
      <c r="BY142" s="42"/>
      <c r="BZ142" s="42"/>
      <c r="CA142" s="42"/>
      <c r="CB142" s="42"/>
      <c r="CC142" s="42"/>
      <c r="CD142" s="42"/>
      <c r="CE142" s="42"/>
      <c r="CF142" s="42"/>
      <c r="CG142" s="42"/>
      <c r="CH142" s="42"/>
      <c r="CI142" s="42"/>
      <c r="CJ142" s="42"/>
      <c r="CK142" s="42"/>
      <c r="CL142" s="42"/>
      <c r="CM142" s="42"/>
      <c r="CN142" s="42"/>
      <c r="CO142" s="42"/>
      <c r="CP142" s="42"/>
      <c r="CQ142" s="42"/>
      <c r="CR142" s="42"/>
      <c r="CS142" s="42"/>
      <c r="CT142" s="42"/>
      <c r="CU142" s="42"/>
      <c r="CV142" s="42"/>
      <c r="CW142" s="42"/>
      <c r="CX142" s="42"/>
      <c r="CY142" s="42"/>
    </row>
    <row r="143" spans="1:103" s="2" customFormat="1" ht="12.6" customHeight="1" outlineLevel="2" thickBot="1" x14ac:dyDescent="0.35">
      <c r="A143" s="109"/>
      <c r="B143" s="294" t="s">
        <v>1003</v>
      </c>
      <c r="C143" s="67"/>
      <c r="D143" s="61"/>
      <c r="E143" s="30">
        <v>0</v>
      </c>
      <c r="F143" s="61">
        <v>10</v>
      </c>
      <c r="G143" s="158" t="e">
        <f>WORKDAY(#REF!,1)</f>
        <v>#REF!</v>
      </c>
      <c r="H143" s="158" t="e">
        <f>WORKDAY(G143,F143)</f>
        <v>#REF!</v>
      </c>
      <c r="I143" s="53"/>
      <c r="J143" s="53"/>
      <c r="K143" s="15"/>
      <c r="L143" s="15"/>
      <c r="M143" s="42"/>
      <c r="N143" s="42"/>
      <c r="O143" s="42"/>
      <c r="P143" s="42"/>
      <c r="Q143" s="42"/>
      <c r="R143" s="42"/>
      <c r="S143" s="42"/>
      <c r="T143" s="42"/>
      <c r="U143" s="42"/>
      <c r="V143" s="42"/>
      <c r="W143" s="42"/>
      <c r="X143" s="42"/>
      <c r="Y143" s="43"/>
      <c r="Z143" s="43"/>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c r="BR143" s="42"/>
      <c r="BS143" s="42"/>
      <c r="BT143" s="42"/>
      <c r="BU143" s="42"/>
      <c r="BV143" s="42"/>
      <c r="BW143" s="42"/>
      <c r="BX143" s="42"/>
      <c r="BY143" s="42"/>
      <c r="BZ143" s="42"/>
      <c r="CA143" s="42"/>
      <c r="CB143" s="42"/>
      <c r="CC143" s="42"/>
      <c r="CD143" s="42"/>
      <c r="CE143" s="42"/>
      <c r="CF143" s="42"/>
      <c r="CG143" s="42"/>
      <c r="CH143" s="42"/>
      <c r="CI143" s="42"/>
      <c r="CJ143" s="42"/>
      <c r="CK143" s="42"/>
      <c r="CL143" s="42"/>
      <c r="CM143" s="42"/>
      <c r="CN143" s="42"/>
      <c r="CO143" s="42"/>
      <c r="CP143" s="42"/>
      <c r="CQ143" s="42"/>
      <c r="CR143" s="42"/>
      <c r="CS143" s="42"/>
      <c r="CT143" s="42"/>
      <c r="CU143" s="42"/>
      <c r="CV143" s="42"/>
      <c r="CW143" s="42"/>
      <c r="CX143" s="42"/>
      <c r="CY143" s="42"/>
    </row>
    <row r="144" spans="1:103" s="2" customFormat="1" ht="12.6" customHeight="1" outlineLevel="2" thickBot="1" x14ac:dyDescent="0.35">
      <c r="A144" s="109"/>
      <c r="B144" s="294" t="s">
        <v>1004</v>
      </c>
      <c r="C144" s="67"/>
      <c r="D144" s="61"/>
      <c r="E144" s="30">
        <v>0</v>
      </c>
      <c r="F144" s="61">
        <v>10</v>
      </c>
      <c r="G144" s="158" t="e">
        <f>WORKDAY(#REF!,1)</f>
        <v>#REF!</v>
      </c>
      <c r="H144" s="158" t="e">
        <f>WORKDAY(G144,F144)</f>
        <v>#REF!</v>
      </c>
      <c r="I144" s="53"/>
      <c r="J144" s="53"/>
      <c r="K144" s="15"/>
      <c r="L144" s="15"/>
      <c r="M144" s="42"/>
      <c r="N144" s="42"/>
      <c r="O144" s="42"/>
      <c r="P144" s="42"/>
      <c r="Q144" s="42"/>
      <c r="R144" s="42"/>
      <c r="S144" s="42"/>
      <c r="T144" s="42"/>
      <c r="U144" s="42"/>
      <c r="V144" s="42"/>
      <c r="W144" s="42"/>
      <c r="X144" s="42"/>
      <c r="Y144" s="43"/>
      <c r="Z144" s="43"/>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c r="BR144" s="42"/>
      <c r="BS144" s="42"/>
      <c r="BT144" s="42"/>
      <c r="BU144" s="42"/>
      <c r="BV144" s="42"/>
      <c r="BW144" s="42"/>
      <c r="BX144" s="42"/>
      <c r="BY144" s="42"/>
      <c r="BZ144" s="42"/>
      <c r="CA144" s="42"/>
      <c r="CB144" s="42"/>
      <c r="CC144" s="42"/>
      <c r="CD144" s="42"/>
      <c r="CE144" s="42"/>
      <c r="CF144" s="42"/>
      <c r="CG144" s="42"/>
      <c r="CH144" s="42"/>
      <c r="CI144" s="42"/>
      <c r="CJ144" s="42"/>
      <c r="CK144" s="42"/>
      <c r="CL144" s="42"/>
      <c r="CM144" s="42"/>
      <c r="CN144" s="42"/>
      <c r="CO144" s="42"/>
      <c r="CP144" s="42"/>
      <c r="CQ144" s="42"/>
      <c r="CR144" s="42"/>
      <c r="CS144" s="42"/>
      <c r="CT144" s="42"/>
      <c r="CU144" s="42"/>
      <c r="CV144" s="42"/>
      <c r="CW144" s="42"/>
      <c r="CX144" s="42"/>
      <c r="CY144" s="42"/>
    </row>
    <row r="145" spans="1:103" s="2" customFormat="1" ht="12.6" customHeight="1" outlineLevel="2" thickBot="1" x14ac:dyDescent="0.35">
      <c r="A145" s="109"/>
      <c r="B145" s="294" t="s">
        <v>1005</v>
      </c>
      <c r="C145" s="67"/>
      <c r="D145" s="295" t="s">
        <v>1006</v>
      </c>
      <c r="E145" s="30">
        <v>0</v>
      </c>
      <c r="F145" s="61">
        <v>2</v>
      </c>
      <c r="G145" s="158"/>
      <c r="H145" s="158">
        <f>WORKDAY(G145,F145)</f>
        <v>3</v>
      </c>
      <c r="I145" s="53"/>
      <c r="J145" s="53"/>
      <c r="K145" s="15"/>
      <c r="L145" s="15"/>
      <c r="M145" s="42"/>
      <c r="N145" s="42"/>
      <c r="O145" s="42"/>
      <c r="P145" s="42"/>
      <c r="Q145" s="42"/>
      <c r="R145" s="42"/>
      <c r="S145" s="42"/>
      <c r="T145" s="42"/>
      <c r="U145" s="42"/>
      <c r="V145" s="42"/>
      <c r="W145" s="42"/>
      <c r="X145" s="42"/>
      <c r="Y145" s="43"/>
      <c r="Z145" s="43"/>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c r="BV145" s="42"/>
      <c r="BW145" s="42"/>
      <c r="BX145" s="42"/>
      <c r="BY145" s="42"/>
      <c r="BZ145" s="42"/>
      <c r="CA145" s="42"/>
      <c r="CB145" s="42"/>
      <c r="CC145" s="42"/>
      <c r="CD145" s="42"/>
      <c r="CE145" s="42"/>
      <c r="CF145" s="42"/>
      <c r="CG145" s="42"/>
      <c r="CH145" s="42"/>
      <c r="CI145" s="42"/>
      <c r="CJ145" s="42"/>
      <c r="CK145" s="42"/>
      <c r="CL145" s="42"/>
      <c r="CM145" s="42"/>
      <c r="CN145" s="42"/>
      <c r="CO145" s="42"/>
      <c r="CP145" s="42"/>
      <c r="CQ145" s="42"/>
      <c r="CR145" s="42"/>
      <c r="CS145" s="42"/>
      <c r="CT145" s="42"/>
      <c r="CU145" s="42"/>
      <c r="CV145" s="42"/>
      <c r="CW145" s="42"/>
      <c r="CX145" s="42"/>
      <c r="CY145" s="42"/>
    </row>
    <row r="146" spans="1:103" s="2" customFormat="1" ht="12.6" customHeight="1" outlineLevel="2" thickBot="1" x14ac:dyDescent="0.35">
      <c r="A146" s="109"/>
      <c r="B146" s="96"/>
      <c r="C146" s="67"/>
      <c r="D146" s="61"/>
      <c r="E146" s="30">
        <v>0</v>
      </c>
      <c r="F146" s="61">
        <v>20</v>
      </c>
      <c r="G146" s="158"/>
      <c r="H146" s="158">
        <f>WORKDAY(G146,F146)</f>
        <v>27</v>
      </c>
      <c r="I146" s="53"/>
      <c r="J146" s="53"/>
      <c r="K146" s="15"/>
      <c r="L146" s="15"/>
      <c r="M146" s="42"/>
      <c r="N146" s="42"/>
      <c r="O146" s="42"/>
      <c r="P146" s="42"/>
      <c r="Q146" s="42"/>
      <c r="R146" s="42"/>
      <c r="S146" s="42"/>
      <c r="T146" s="42"/>
      <c r="U146" s="42"/>
      <c r="V146" s="42"/>
      <c r="W146" s="42"/>
      <c r="X146" s="42"/>
      <c r="Y146" s="43"/>
      <c r="Z146" s="43"/>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c r="BW146" s="42"/>
      <c r="BX146" s="42"/>
      <c r="BY146" s="42"/>
      <c r="BZ146" s="42"/>
      <c r="CA146" s="42"/>
      <c r="CB146" s="42"/>
      <c r="CC146" s="42"/>
      <c r="CD146" s="42"/>
      <c r="CE146" s="42"/>
      <c r="CF146" s="42"/>
      <c r="CG146" s="42"/>
      <c r="CH146" s="42"/>
      <c r="CI146" s="42"/>
      <c r="CJ146" s="42"/>
      <c r="CK146" s="42"/>
      <c r="CL146" s="42"/>
      <c r="CM146" s="42"/>
      <c r="CN146" s="42"/>
      <c r="CO146" s="42"/>
      <c r="CP146" s="42"/>
      <c r="CQ146" s="42"/>
      <c r="CR146" s="42"/>
      <c r="CS146" s="42"/>
      <c r="CT146" s="42"/>
      <c r="CU146" s="42"/>
      <c r="CV146" s="42"/>
      <c r="CW146" s="42"/>
      <c r="CX146" s="42"/>
      <c r="CY146" s="42"/>
    </row>
    <row r="147" spans="1:103" s="2" customFormat="1" ht="12.6" customHeight="1" outlineLevel="1" thickBot="1" x14ac:dyDescent="0.35">
      <c r="A147" s="109"/>
      <c r="B147" s="84"/>
      <c r="C147" s="67"/>
      <c r="D147" s="89"/>
      <c r="E147" s="90">
        <f>AVERAGE(E148:E159)</f>
        <v>0</v>
      </c>
      <c r="F147" s="89">
        <f>NETWORKDAYS(G147,H147)</f>
        <v>17</v>
      </c>
      <c r="G147" s="157">
        <f>MIN(G148:G159)</f>
        <v>30</v>
      </c>
      <c r="H147" s="157">
        <f>MAX(H148:H159)</f>
        <v>52</v>
      </c>
      <c r="I147" s="53"/>
      <c r="J147" s="53"/>
      <c r="K147" s="15"/>
      <c r="L147" s="15"/>
      <c r="M147" s="42"/>
      <c r="N147" s="42"/>
      <c r="O147" s="42"/>
      <c r="P147" s="42"/>
      <c r="Q147" s="42"/>
      <c r="R147" s="42"/>
      <c r="S147" s="42"/>
      <c r="T147" s="42"/>
      <c r="U147" s="42"/>
      <c r="V147" s="42"/>
      <c r="W147" s="42"/>
      <c r="X147" s="42"/>
      <c r="Y147" s="43"/>
      <c r="Z147" s="43"/>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c r="BR147" s="42"/>
      <c r="BS147" s="42"/>
      <c r="BT147" s="42"/>
      <c r="BU147" s="42"/>
      <c r="BV147" s="42"/>
      <c r="BW147" s="42"/>
      <c r="BX147" s="42"/>
      <c r="BY147" s="42"/>
      <c r="BZ147" s="42"/>
      <c r="CA147" s="42"/>
      <c r="CB147" s="42"/>
      <c r="CC147" s="42"/>
      <c r="CD147" s="42"/>
      <c r="CE147" s="42"/>
      <c r="CF147" s="42"/>
      <c r="CG147" s="42"/>
      <c r="CH147" s="42"/>
      <c r="CI147" s="42"/>
      <c r="CJ147" s="42"/>
      <c r="CK147" s="42"/>
      <c r="CL147" s="42"/>
      <c r="CM147" s="42"/>
      <c r="CN147" s="42"/>
      <c r="CO147" s="42"/>
      <c r="CP147" s="42"/>
      <c r="CQ147" s="42"/>
      <c r="CR147" s="42"/>
      <c r="CS147" s="42"/>
      <c r="CT147" s="42"/>
      <c r="CU147" s="42"/>
      <c r="CV147" s="42"/>
      <c r="CW147" s="42"/>
      <c r="CX147" s="42"/>
      <c r="CY147" s="42"/>
    </row>
    <row r="148" spans="1:103" s="2" customFormat="1" ht="12.6" customHeight="1" outlineLevel="2" thickBot="1" x14ac:dyDescent="0.35">
      <c r="A148" s="109"/>
      <c r="B148" s="96"/>
      <c r="C148" s="67"/>
      <c r="D148" s="61"/>
      <c r="E148" s="30">
        <v>0</v>
      </c>
      <c r="F148" s="61">
        <v>5</v>
      </c>
      <c r="G148" s="158">
        <f>WORKDAY(H146,1)</f>
        <v>30</v>
      </c>
      <c r="H148" s="158">
        <f>WORKDAY(G148,F148)</f>
        <v>37</v>
      </c>
      <c r="I148" s="53"/>
      <c r="J148" s="53"/>
      <c r="K148" s="15"/>
      <c r="L148" s="15"/>
      <c r="M148" s="42"/>
      <c r="N148" s="42"/>
      <c r="O148" s="42"/>
      <c r="P148" s="42"/>
      <c r="Q148" s="42"/>
      <c r="R148" s="42"/>
      <c r="S148" s="42"/>
      <c r="T148" s="42"/>
      <c r="U148" s="42"/>
      <c r="V148" s="42"/>
      <c r="W148" s="42"/>
      <c r="X148" s="42"/>
      <c r="Y148" s="43"/>
      <c r="Z148" s="43"/>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c r="BR148" s="42"/>
      <c r="BS148" s="42"/>
      <c r="BT148" s="42"/>
      <c r="BU148" s="42"/>
      <c r="BV148" s="42"/>
      <c r="BW148" s="42"/>
      <c r="BX148" s="42"/>
      <c r="BY148" s="42"/>
      <c r="BZ148" s="42"/>
      <c r="CA148" s="42"/>
      <c r="CB148" s="42"/>
      <c r="CC148" s="42"/>
      <c r="CD148" s="42"/>
      <c r="CE148" s="42"/>
      <c r="CF148" s="42"/>
      <c r="CG148" s="42"/>
      <c r="CH148" s="42"/>
      <c r="CI148" s="42"/>
      <c r="CJ148" s="42"/>
      <c r="CK148" s="42"/>
      <c r="CL148" s="42"/>
      <c r="CM148" s="42"/>
      <c r="CN148" s="42"/>
      <c r="CO148" s="42"/>
      <c r="CP148" s="42"/>
      <c r="CQ148" s="42"/>
      <c r="CR148" s="42"/>
      <c r="CS148" s="42"/>
      <c r="CT148" s="42"/>
      <c r="CU148" s="42"/>
      <c r="CV148" s="42"/>
      <c r="CW148" s="42"/>
      <c r="CX148" s="42"/>
      <c r="CY148" s="42"/>
    </row>
    <row r="149" spans="1:103" s="2" customFormat="1" ht="12.6" customHeight="1" outlineLevel="2" thickBot="1" x14ac:dyDescent="0.35">
      <c r="A149" s="109"/>
      <c r="B149" s="96"/>
      <c r="C149" s="67"/>
      <c r="D149" s="61"/>
      <c r="E149" s="30">
        <v>0</v>
      </c>
      <c r="F149" s="61">
        <v>5</v>
      </c>
      <c r="G149" s="158">
        <f>WORKDAY(H146,1)</f>
        <v>30</v>
      </c>
      <c r="H149" s="158">
        <f>WORKDAY(G149,F149)</f>
        <v>37</v>
      </c>
      <c r="I149" s="53"/>
      <c r="J149" s="53"/>
      <c r="K149" s="15"/>
      <c r="L149" s="15"/>
      <c r="M149" s="42"/>
      <c r="N149" s="42"/>
      <c r="O149" s="42"/>
      <c r="P149" s="42"/>
      <c r="Q149" s="42"/>
      <c r="R149" s="42"/>
      <c r="S149" s="42"/>
      <c r="T149" s="42"/>
      <c r="U149" s="42"/>
      <c r="V149" s="42"/>
      <c r="W149" s="42"/>
      <c r="X149" s="42"/>
      <c r="Y149" s="43"/>
      <c r="Z149" s="43"/>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c r="BR149" s="42"/>
      <c r="BS149" s="42"/>
      <c r="BT149" s="42"/>
      <c r="BU149" s="42"/>
      <c r="BV149" s="42"/>
      <c r="BW149" s="42"/>
      <c r="BX149" s="42"/>
      <c r="BY149" s="42"/>
      <c r="BZ149" s="42"/>
      <c r="CA149" s="42"/>
      <c r="CB149" s="42"/>
      <c r="CC149" s="42"/>
      <c r="CD149" s="42"/>
      <c r="CE149" s="42"/>
      <c r="CF149" s="42"/>
      <c r="CG149" s="42"/>
      <c r="CH149" s="42"/>
      <c r="CI149" s="42"/>
      <c r="CJ149" s="42"/>
      <c r="CK149" s="42"/>
      <c r="CL149" s="42"/>
      <c r="CM149" s="42"/>
      <c r="CN149" s="42"/>
      <c r="CO149" s="42"/>
      <c r="CP149" s="42"/>
      <c r="CQ149" s="42"/>
      <c r="CR149" s="42"/>
      <c r="CS149" s="42"/>
      <c r="CT149" s="42"/>
      <c r="CU149" s="42"/>
      <c r="CV149" s="42"/>
      <c r="CW149" s="42"/>
      <c r="CX149" s="42"/>
      <c r="CY149" s="42"/>
    </row>
    <row r="150" spans="1:103" s="2" customFormat="1" ht="12.6" customHeight="1" outlineLevel="2" thickBot="1" x14ac:dyDescent="0.35">
      <c r="A150" s="109"/>
      <c r="B150" s="96"/>
      <c r="C150" s="67"/>
      <c r="D150" s="61"/>
      <c r="E150" s="30">
        <v>0</v>
      </c>
      <c r="F150" s="61">
        <v>5</v>
      </c>
      <c r="G150" s="158">
        <f>WORKDAY(H146,1)</f>
        <v>30</v>
      </c>
      <c r="H150" s="158">
        <f>WORKDAY(G150,F150)</f>
        <v>37</v>
      </c>
      <c r="I150" s="53"/>
      <c r="J150" s="53"/>
      <c r="K150" s="15"/>
      <c r="L150" s="15"/>
      <c r="M150" s="42"/>
      <c r="N150" s="42"/>
      <c r="O150" s="42"/>
      <c r="P150" s="42"/>
      <c r="Q150" s="42"/>
      <c r="R150" s="42"/>
      <c r="S150" s="42"/>
      <c r="T150" s="42"/>
      <c r="U150" s="42"/>
      <c r="V150" s="42"/>
      <c r="W150" s="42"/>
      <c r="X150" s="42"/>
      <c r="Y150" s="43"/>
      <c r="Z150" s="43"/>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c r="BV150" s="42"/>
      <c r="BW150" s="42"/>
      <c r="BX150" s="42"/>
      <c r="BY150" s="42"/>
      <c r="BZ150" s="42"/>
      <c r="CA150" s="42"/>
      <c r="CB150" s="42"/>
      <c r="CC150" s="42"/>
      <c r="CD150" s="42"/>
      <c r="CE150" s="42"/>
      <c r="CF150" s="42"/>
      <c r="CG150" s="42"/>
      <c r="CH150" s="42"/>
      <c r="CI150" s="42"/>
      <c r="CJ150" s="42"/>
      <c r="CK150" s="42"/>
      <c r="CL150" s="42"/>
      <c r="CM150" s="42"/>
      <c r="CN150" s="42"/>
      <c r="CO150" s="42"/>
      <c r="CP150" s="42"/>
      <c r="CQ150" s="42"/>
      <c r="CR150" s="42"/>
      <c r="CS150" s="42"/>
      <c r="CT150" s="42"/>
      <c r="CU150" s="42"/>
      <c r="CV150" s="42"/>
      <c r="CW150" s="42"/>
      <c r="CX150" s="42"/>
      <c r="CY150" s="42"/>
    </row>
    <row r="151" spans="1:103" s="2" customFormat="1" ht="12.6" customHeight="1" outlineLevel="2" thickBot="1" x14ac:dyDescent="0.35">
      <c r="A151" s="109"/>
      <c r="B151" s="96"/>
      <c r="C151" s="67"/>
      <c r="D151" s="61"/>
      <c r="E151" s="30">
        <v>0</v>
      </c>
      <c r="F151" s="61"/>
      <c r="G151" s="158"/>
      <c r="H151" s="158"/>
      <c r="I151" s="53"/>
      <c r="J151" s="53"/>
      <c r="K151" s="15"/>
      <c r="L151" s="15"/>
      <c r="M151" s="42"/>
      <c r="N151" s="42"/>
      <c r="O151" s="42"/>
      <c r="P151" s="42"/>
      <c r="Q151" s="42"/>
      <c r="R151" s="42"/>
      <c r="S151" s="42"/>
      <c r="T151" s="42"/>
      <c r="U151" s="42"/>
      <c r="V151" s="42"/>
      <c r="W151" s="42"/>
      <c r="X151" s="42"/>
      <c r="Y151" s="43"/>
      <c r="Z151" s="43"/>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c r="BR151" s="42"/>
      <c r="BS151" s="42"/>
      <c r="BT151" s="42"/>
      <c r="BU151" s="42"/>
      <c r="BV151" s="42"/>
      <c r="BW151" s="42"/>
      <c r="BX151" s="42"/>
      <c r="BY151" s="42"/>
      <c r="BZ151" s="42"/>
      <c r="CA151" s="42"/>
      <c r="CB151" s="42"/>
      <c r="CC151" s="42"/>
      <c r="CD151" s="42"/>
      <c r="CE151" s="42"/>
      <c r="CF151" s="42"/>
      <c r="CG151" s="42"/>
      <c r="CH151" s="42"/>
      <c r="CI151" s="42"/>
      <c r="CJ151" s="42"/>
      <c r="CK151" s="42"/>
      <c r="CL151" s="42"/>
      <c r="CM151" s="42"/>
      <c r="CN151" s="42"/>
      <c r="CO151" s="42"/>
      <c r="CP151" s="42"/>
      <c r="CQ151" s="42"/>
      <c r="CR151" s="42"/>
      <c r="CS151" s="42"/>
      <c r="CT151" s="42"/>
      <c r="CU151" s="42"/>
      <c r="CV151" s="42"/>
      <c r="CW151" s="42"/>
      <c r="CX151" s="42"/>
      <c r="CY151" s="42"/>
    </row>
    <row r="152" spans="1:103" s="2" customFormat="1" ht="12.6" customHeight="1" outlineLevel="2" thickBot="1" x14ac:dyDescent="0.35">
      <c r="A152" s="109"/>
      <c r="B152" s="96"/>
      <c r="C152" s="67"/>
      <c r="D152" s="61"/>
      <c r="E152" s="30">
        <v>0</v>
      </c>
      <c r="F152" s="61"/>
      <c r="G152" s="158"/>
      <c r="H152" s="158"/>
      <c r="I152" s="53"/>
      <c r="J152" s="53"/>
      <c r="K152" s="15"/>
      <c r="L152" s="15"/>
      <c r="M152" s="42"/>
      <c r="N152" s="42"/>
      <c r="O152" s="42"/>
      <c r="P152" s="42"/>
      <c r="Q152" s="42"/>
      <c r="R152" s="42"/>
      <c r="S152" s="42"/>
      <c r="T152" s="42"/>
      <c r="U152" s="42"/>
      <c r="V152" s="42"/>
      <c r="W152" s="42"/>
      <c r="X152" s="42"/>
      <c r="Y152" s="43"/>
      <c r="Z152" s="43"/>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c r="BV152" s="42"/>
      <c r="BW152" s="42"/>
      <c r="BX152" s="42"/>
      <c r="BY152" s="42"/>
      <c r="BZ152" s="42"/>
      <c r="CA152" s="42"/>
      <c r="CB152" s="42"/>
      <c r="CC152" s="42"/>
      <c r="CD152" s="42"/>
      <c r="CE152" s="42"/>
      <c r="CF152" s="42"/>
      <c r="CG152" s="42"/>
      <c r="CH152" s="42"/>
      <c r="CI152" s="42"/>
      <c r="CJ152" s="42"/>
      <c r="CK152" s="42"/>
      <c r="CL152" s="42"/>
      <c r="CM152" s="42"/>
      <c r="CN152" s="42"/>
      <c r="CO152" s="42"/>
      <c r="CP152" s="42"/>
      <c r="CQ152" s="42"/>
      <c r="CR152" s="42"/>
      <c r="CS152" s="42"/>
      <c r="CT152" s="42"/>
      <c r="CU152" s="42"/>
      <c r="CV152" s="42"/>
      <c r="CW152" s="42"/>
      <c r="CX152" s="42"/>
      <c r="CY152" s="42"/>
    </row>
    <row r="153" spans="1:103" s="2" customFormat="1" ht="12.6" customHeight="1" outlineLevel="2" thickBot="1" x14ac:dyDescent="0.35">
      <c r="A153" s="109"/>
      <c r="B153" s="96"/>
      <c r="C153" s="67"/>
      <c r="D153" s="61"/>
      <c r="E153" s="90">
        <f>AVERAGE(E154:E165)</f>
        <v>0</v>
      </c>
      <c r="F153" s="61"/>
      <c r="G153" s="158"/>
      <c r="H153" s="158"/>
      <c r="I153" s="53"/>
      <c r="J153" s="53"/>
      <c r="K153" s="15"/>
      <c r="L153" s="15"/>
      <c r="M153" s="42"/>
      <c r="N153" s="42"/>
      <c r="O153" s="42"/>
      <c r="P153" s="42"/>
      <c r="Q153" s="42"/>
      <c r="R153" s="42"/>
      <c r="S153" s="42"/>
      <c r="T153" s="42"/>
      <c r="U153" s="42"/>
      <c r="V153" s="42"/>
      <c r="W153" s="42"/>
      <c r="X153" s="42"/>
      <c r="Y153" s="43"/>
      <c r="Z153" s="43"/>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c r="BR153" s="42"/>
      <c r="BS153" s="42"/>
      <c r="BT153" s="42"/>
      <c r="BU153" s="42"/>
      <c r="BV153" s="42"/>
      <c r="BW153" s="42"/>
      <c r="BX153" s="42"/>
      <c r="BY153" s="42"/>
      <c r="BZ153" s="42"/>
      <c r="CA153" s="42"/>
      <c r="CB153" s="42"/>
      <c r="CC153" s="42"/>
      <c r="CD153" s="42"/>
      <c r="CE153" s="42"/>
      <c r="CF153" s="42"/>
      <c r="CG153" s="42"/>
      <c r="CH153" s="42"/>
      <c r="CI153" s="42"/>
      <c r="CJ153" s="42"/>
      <c r="CK153" s="42"/>
      <c r="CL153" s="42"/>
      <c r="CM153" s="42"/>
      <c r="CN153" s="42"/>
      <c r="CO153" s="42"/>
      <c r="CP153" s="42"/>
      <c r="CQ153" s="42"/>
      <c r="CR153" s="42"/>
      <c r="CS153" s="42"/>
      <c r="CT153" s="42"/>
      <c r="CU153" s="42"/>
      <c r="CV153" s="42"/>
      <c r="CW153" s="42"/>
      <c r="CX153" s="42"/>
      <c r="CY153" s="42"/>
    </row>
    <row r="154" spans="1:103" s="2" customFormat="1" ht="12.6" customHeight="1" outlineLevel="2" thickBot="1" x14ac:dyDescent="0.35">
      <c r="A154" s="109"/>
      <c r="B154" s="96"/>
      <c r="C154" s="67"/>
      <c r="D154" s="61"/>
      <c r="E154" s="30">
        <v>0</v>
      </c>
      <c r="F154" s="61"/>
      <c r="G154" s="158"/>
      <c r="H154" s="158"/>
      <c r="I154" s="53"/>
      <c r="J154" s="53"/>
      <c r="K154" s="15"/>
      <c r="L154" s="15"/>
      <c r="M154" s="42"/>
      <c r="N154" s="42"/>
      <c r="O154" s="42"/>
      <c r="P154" s="42"/>
      <c r="Q154" s="42"/>
      <c r="R154" s="42"/>
      <c r="S154" s="42"/>
      <c r="T154" s="42"/>
      <c r="U154" s="42"/>
      <c r="V154" s="42"/>
      <c r="W154" s="42"/>
      <c r="X154" s="42"/>
      <c r="Y154" s="43"/>
      <c r="Z154" s="43"/>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c r="BW154" s="42"/>
      <c r="BX154" s="42"/>
      <c r="BY154" s="42"/>
      <c r="BZ154" s="42"/>
      <c r="CA154" s="42"/>
      <c r="CB154" s="42"/>
      <c r="CC154" s="42"/>
      <c r="CD154" s="42"/>
      <c r="CE154" s="42"/>
      <c r="CF154" s="42"/>
      <c r="CG154" s="42"/>
      <c r="CH154" s="42"/>
      <c r="CI154" s="42"/>
      <c r="CJ154" s="42"/>
      <c r="CK154" s="42"/>
      <c r="CL154" s="42"/>
      <c r="CM154" s="42"/>
      <c r="CN154" s="42"/>
      <c r="CO154" s="42"/>
      <c r="CP154" s="42"/>
      <c r="CQ154" s="42"/>
      <c r="CR154" s="42"/>
      <c r="CS154" s="42"/>
      <c r="CT154" s="42"/>
      <c r="CU154" s="42"/>
      <c r="CV154" s="42"/>
      <c r="CW154" s="42"/>
      <c r="CX154" s="42"/>
      <c r="CY154" s="42"/>
    </row>
    <row r="155" spans="1:103" s="2" customFormat="1" ht="12.6" customHeight="1" outlineLevel="2" thickBot="1" x14ac:dyDescent="0.35">
      <c r="A155" s="109"/>
      <c r="B155" s="96"/>
      <c r="C155" s="67"/>
      <c r="D155" s="61"/>
      <c r="E155" s="30">
        <v>0</v>
      </c>
      <c r="F155" s="61"/>
      <c r="G155" s="158"/>
      <c r="H155" s="158"/>
      <c r="I155" s="53"/>
      <c r="J155" s="53"/>
      <c r="K155" s="15"/>
      <c r="L155" s="15"/>
      <c r="M155" s="42"/>
      <c r="N155" s="42"/>
      <c r="O155" s="42"/>
      <c r="P155" s="42"/>
      <c r="Q155" s="42"/>
      <c r="R155" s="42"/>
      <c r="S155" s="42"/>
      <c r="T155" s="42"/>
      <c r="U155" s="42"/>
      <c r="V155" s="42"/>
      <c r="W155" s="42"/>
      <c r="X155" s="42"/>
      <c r="Y155" s="43"/>
      <c r="Z155" s="43"/>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c r="BV155" s="42"/>
      <c r="BW155" s="42"/>
      <c r="BX155" s="42"/>
      <c r="BY155" s="42"/>
      <c r="BZ155" s="42"/>
      <c r="CA155" s="42"/>
      <c r="CB155" s="42"/>
      <c r="CC155" s="42"/>
      <c r="CD155" s="42"/>
      <c r="CE155" s="42"/>
      <c r="CF155" s="42"/>
      <c r="CG155" s="42"/>
      <c r="CH155" s="42"/>
      <c r="CI155" s="42"/>
      <c r="CJ155" s="42"/>
      <c r="CK155" s="42"/>
      <c r="CL155" s="42"/>
      <c r="CM155" s="42"/>
      <c r="CN155" s="42"/>
      <c r="CO155" s="42"/>
      <c r="CP155" s="42"/>
      <c r="CQ155" s="42"/>
      <c r="CR155" s="42"/>
      <c r="CS155" s="42"/>
      <c r="CT155" s="42"/>
      <c r="CU155" s="42"/>
      <c r="CV155" s="42"/>
      <c r="CW155" s="42"/>
      <c r="CX155" s="42"/>
      <c r="CY155" s="42"/>
    </row>
    <row r="156" spans="1:103" s="2" customFormat="1" ht="12.6" customHeight="1" outlineLevel="2" thickBot="1" x14ac:dyDescent="0.35">
      <c r="A156" s="109"/>
      <c r="B156" s="96"/>
      <c r="C156" s="67"/>
      <c r="D156" s="61"/>
      <c r="E156" s="30">
        <v>0</v>
      </c>
      <c r="F156" s="61"/>
      <c r="G156" s="158"/>
      <c r="H156" s="158"/>
      <c r="I156" s="53"/>
      <c r="J156" s="53"/>
      <c r="K156" s="15"/>
      <c r="L156" s="15"/>
      <c r="M156" s="42"/>
      <c r="N156" s="42"/>
      <c r="O156" s="42"/>
      <c r="P156" s="42"/>
      <c r="Q156" s="42"/>
      <c r="R156" s="42"/>
      <c r="S156" s="42"/>
      <c r="T156" s="42"/>
      <c r="U156" s="42"/>
      <c r="V156" s="42"/>
      <c r="W156" s="42"/>
      <c r="X156" s="42"/>
      <c r="Y156" s="43"/>
      <c r="Z156" s="43"/>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c r="BX156" s="42"/>
      <c r="BY156" s="42"/>
      <c r="BZ156" s="42"/>
      <c r="CA156" s="42"/>
      <c r="CB156" s="42"/>
      <c r="CC156" s="42"/>
      <c r="CD156" s="42"/>
      <c r="CE156" s="42"/>
      <c r="CF156" s="42"/>
      <c r="CG156" s="42"/>
      <c r="CH156" s="42"/>
      <c r="CI156" s="42"/>
      <c r="CJ156" s="42"/>
      <c r="CK156" s="42"/>
      <c r="CL156" s="42"/>
      <c r="CM156" s="42"/>
      <c r="CN156" s="42"/>
      <c r="CO156" s="42"/>
      <c r="CP156" s="42"/>
      <c r="CQ156" s="42"/>
      <c r="CR156" s="42"/>
      <c r="CS156" s="42"/>
      <c r="CT156" s="42"/>
      <c r="CU156" s="42"/>
      <c r="CV156" s="42"/>
      <c r="CW156" s="42"/>
      <c r="CX156" s="42"/>
      <c r="CY156" s="42"/>
    </row>
    <row r="157" spans="1:103" s="2" customFormat="1" ht="12.6" customHeight="1" outlineLevel="2" thickBot="1" x14ac:dyDescent="0.35">
      <c r="A157" s="109"/>
      <c r="B157" s="96"/>
      <c r="C157" s="67"/>
      <c r="D157" s="61"/>
      <c r="E157" s="30">
        <v>0</v>
      </c>
      <c r="F157" s="61"/>
      <c r="G157" s="158"/>
      <c r="H157" s="158"/>
      <c r="I157" s="53"/>
      <c r="J157" s="53"/>
      <c r="K157" s="15"/>
      <c r="L157" s="15"/>
      <c r="M157" s="42"/>
      <c r="N157" s="42"/>
      <c r="O157" s="42"/>
      <c r="P157" s="42"/>
      <c r="Q157" s="42"/>
      <c r="R157" s="42"/>
      <c r="S157" s="42"/>
      <c r="T157" s="42"/>
      <c r="U157" s="42"/>
      <c r="V157" s="42"/>
      <c r="W157" s="42"/>
      <c r="X157" s="42"/>
      <c r="Y157" s="43"/>
      <c r="Z157" s="43"/>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c r="BX157" s="42"/>
      <c r="BY157" s="42"/>
      <c r="BZ157" s="42"/>
      <c r="CA157" s="42"/>
      <c r="CB157" s="42"/>
      <c r="CC157" s="42"/>
      <c r="CD157" s="42"/>
      <c r="CE157" s="42"/>
      <c r="CF157" s="42"/>
      <c r="CG157" s="42"/>
      <c r="CH157" s="42"/>
      <c r="CI157" s="42"/>
      <c r="CJ157" s="42"/>
      <c r="CK157" s="42"/>
      <c r="CL157" s="42"/>
      <c r="CM157" s="42"/>
      <c r="CN157" s="42"/>
      <c r="CO157" s="42"/>
      <c r="CP157" s="42"/>
      <c r="CQ157" s="42"/>
      <c r="CR157" s="42"/>
      <c r="CS157" s="42"/>
      <c r="CT157" s="42"/>
      <c r="CU157" s="42"/>
      <c r="CV157" s="42"/>
      <c r="CW157" s="42"/>
      <c r="CX157" s="42"/>
      <c r="CY157" s="42"/>
    </row>
    <row r="158" spans="1:103" s="2" customFormat="1" ht="12.6" customHeight="1" outlineLevel="2" thickBot="1" x14ac:dyDescent="0.35">
      <c r="A158" s="109"/>
      <c r="B158" s="96"/>
      <c r="C158" s="67"/>
      <c r="D158" s="61"/>
      <c r="E158" s="30">
        <v>0</v>
      </c>
      <c r="F158" s="61">
        <v>5</v>
      </c>
      <c r="G158" s="158">
        <f>WORKDAY(H146,1)</f>
        <v>30</v>
      </c>
      <c r="H158" s="158">
        <f>WORKDAY(G158,F158)</f>
        <v>37</v>
      </c>
      <c r="I158" s="53"/>
      <c r="J158" s="53"/>
      <c r="K158" s="15"/>
      <c r="L158" s="15"/>
      <c r="M158" s="42"/>
      <c r="N158" s="42"/>
      <c r="O158" s="42"/>
      <c r="P158" s="42"/>
      <c r="Q158" s="42"/>
      <c r="R158" s="42"/>
      <c r="S158" s="42"/>
      <c r="T158" s="42"/>
      <c r="U158" s="42"/>
      <c r="V158" s="42"/>
      <c r="W158" s="42"/>
      <c r="X158" s="42"/>
      <c r="Y158" s="43"/>
      <c r="Z158" s="43"/>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c r="BX158" s="42"/>
      <c r="BY158" s="42"/>
      <c r="BZ158" s="42"/>
      <c r="CA158" s="42"/>
      <c r="CB158" s="42"/>
      <c r="CC158" s="42"/>
      <c r="CD158" s="42"/>
      <c r="CE158" s="42"/>
      <c r="CF158" s="42"/>
      <c r="CG158" s="42"/>
      <c r="CH158" s="42"/>
      <c r="CI158" s="42"/>
      <c r="CJ158" s="42"/>
      <c r="CK158" s="42"/>
      <c r="CL158" s="42"/>
      <c r="CM158" s="42"/>
      <c r="CN158" s="42"/>
      <c r="CO158" s="42"/>
      <c r="CP158" s="42"/>
      <c r="CQ158" s="42"/>
      <c r="CR158" s="42"/>
      <c r="CS158" s="42"/>
      <c r="CT158" s="42"/>
      <c r="CU158" s="42"/>
      <c r="CV158" s="42"/>
      <c r="CW158" s="42"/>
      <c r="CX158" s="42"/>
      <c r="CY158" s="42"/>
    </row>
    <row r="159" spans="1:103" s="2" customFormat="1" ht="12.6" customHeight="1" outlineLevel="2" thickBot="1" x14ac:dyDescent="0.35">
      <c r="A159" s="109"/>
      <c r="B159" s="96"/>
      <c r="C159" s="67"/>
      <c r="D159" s="61"/>
      <c r="E159" s="30">
        <v>0</v>
      </c>
      <c r="F159" s="61">
        <v>10</v>
      </c>
      <c r="G159" s="158">
        <f>MAX(WORKDAY(H150,1),WORKDAY(H158,1))</f>
        <v>38</v>
      </c>
      <c r="H159" s="158">
        <f>WORKDAY(G159,F159)</f>
        <v>52</v>
      </c>
      <c r="I159" s="53"/>
      <c r="J159" s="53"/>
      <c r="K159" s="15"/>
      <c r="L159" s="15"/>
      <c r="M159" s="42"/>
      <c r="N159" s="42"/>
      <c r="O159" s="42"/>
      <c r="P159" s="42"/>
      <c r="Q159" s="42"/>
      <c r="R159" s="42"/>
      <c r="S159" s="42"/>
      <c r="T159" s="42"/>
      <c r="U159" s="42"/>
      <c r="V159" s="42"/>
      <c r="W159" s="42"/>
      <c r="X159" s="42"/>
      <c r="Y159" s="43"/>
      <c r="Z159" s="43"/>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c r="BR159" s="42"/>
      <c r="BS159" s="42"/>
      <c r="BT159" s="42"/>
      <c r="BU159" s="42"/>
      <c r="BV159" s="42"/>
      <c r="BW159" s="42"/>
      <c r="BX159" s="42"/>
      <c r="BY159" s="42"/>
      <c r="BZ159" s="42"/>
      <c r="CA159" s="42"/>
      <c r="CB159" s="42"/>
      <c r="CC159" s="42"/>
      <c r="CD159" s="42"/>
      <c r="CE159" s="42"/>
      <c r="CF159" s="42"/>
      <c r="CG159" s="42"/>
      <c r="CH159" s="42"/>
      <c r="CI159" s="42"/>
      <c r="CJ159" s="42"/>
      <c r="CK159" s="42"/>
      <c r="CL159" s="42"/>
      <c r="CM159" s="42"/>
      <c r="CN159" s="42"/>
      <c r="CO159" s="42"/>
      <c r="CP159" s="42"/>
      <c r="CQ159" s="42"/>
      <c r="CR159" s="42"/>
      <c r="CS159" s="42"/>
      <c r="CT159" s="42"/>
      <c r="CU159" s="42"/>
      <c r="CV159" s="42"/>
      <c r="CW159" s="42"/>
      <c r="CX159" s="42"/>
      <c r="CY159" s="42"/>
    </row>
    <row r="160" spans="1:103" s="2" customFormat="1" ht="12.6" customHeight="1" outlineLevel="1" thickBot="1" x14ac:dyDescent="0.35">
      <c r="A160" s="109"/>
      <c r="B160" s="84"/>
      <c r="C160" s="67"/>
      <c r="D160" s="89"/>
      <c r="E160" s="90">
        <f>AVERAGE(E161:E165)</f>
        <v>0</v>
      </c>
      <c r="F160" s="89">
        <f>NETWORKDAYS(G160,H160)</f>
        <v>20</v>
      </c>
      <c r="G160" s="157">
        <f>MIN(G161:G165)</f>
        <v>53</v>
      </c>
      <c r="H160" s="157">
        <f>MAX(H161:H165)</f>
        <v>80</v>
      </c>
      <c r="I160" s="53"/>
      <c r="J160" s="53"/>
      <c r="K160" s="15"/>
      <c r="L160" s="15"/>
      <c r="M160" s="42"/>
      <c r="N160" s="42"/>
      <c r="O160" s="42"/>
      <c r="P160" s="42"/>
      <c r="Q160" s="42"/>
      <c r="R160" s="42"/>
      <c r="S160" s="42"/>
      <c r="T160" s="42"/>
      <c r="U160" s="42"/>
      <c r="V160" s="42"/>
      <c r="W160" s="42"/>
      <c r="X160" s="42"/>
      <c r="Y160" s="43"/>
      <c r="Z160" s="43"/>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c r="BW160" s="42"/>
      <c r="BX160" s="42"/>
      <c r="BY160" s="42"/>
      <c r="BZ160" s="42"/>
      <c r="CA160" s="42"/>
      <c r="CB160" s="42"/>
      <c r="CC160" s="42"/>
      <c r="CD160" s="42"/>
      <c r="CE160" s="42"/>
      <c r="CF160" s="42"/>
      <c r="CG160" s="42"/>
      <c r="CH160" s="42"/>
      <c r="CI160" s="42"/>
      <c r="CJ160" s="42"/>
      <c r="CK160" s="42"/>
      <c r="CL160" s="42"/>
      <c r="CM160" s="42"/>
      <c r="CN160" s="42"/>
      <c r="CO160" s="42"/>
      <c r="CP160" s="42"/>
      <c r="CQ160" s="42"/>
      <c r="CR160" s="42"/>
      <c r="CS160" s="42"/>
      <c r="CT160" s="42"/>
      <c r="CU160" s="42"/>
      <c r="CV160" s="42"/>
      <c r="CW160" s="42"/>
      <c r="CX160" s="42"/>
      <c r="CY160" s="42"/>
    </row>
    <row r="161" spans="1:103" s="2" customFormat="1" ht="12.6" customHeight="1" outlineLevel="2" thickBot="1" x14ac:dyDescent="0.35">
      <c r="A161" s="109"/>
      <c r="B161" s="96"/>
      <c r="C161" s="67"/>
      <c r="D161" s="61"/>
      <c r="E161" s="30">
        <v>0</v>
      </c>
      <c r="F161" s="61">
        <v>2</v>
      </c>
      <c r="G161" s="158">
        <f>WORKDAY(H159,1)</f>
        <v>53</v>
      </c>
      <c r="H161" s="158">
        <f>WORKDAY(G161,F161)</f>
        <v>55</v>
      </c>
      <c r="I161" s="53"/>
      <c r="J161" s="53"/>
      <c r="K161" s="15"/>
      <c r="L161" s="15"/>
      <c r="M161" s="42"/>
      <c r="N161" s="42"/>
      <c r="O161" s="42"/>
      <c r="P161" s="42"/>
      <c r="Q161" s="42"/>
      <c r="R161" s="42"/>
      <c r="S161" s="42"/>
      <c r="T161" s="42"/>
      <c r="U161" s="42"/>
      <c r="V161" s="42"/>
      <c r="W161" s="42"/>
      <c r="X161" s="42"/>
      <c r="Y161" s="43"/>
      <c r="Z161" s="43"/>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c r="BR161" s="42"/>
      <c r="BS161" s="42"/>
      <c r="BT161" s="42"/>
      <c r="BU161" s="42"/>
      <c r="BV161" s="42"/>
      <c r="BW161" s="42"/>
      <c r="BX161" s="42"/>
      <c r="BY161" s="42"/>
      <c r="BZ161" s="42"/>
      <c r="CA161" s="42"/>
      <c r="CB161" s="42"/>
      <c r="CC161" s="42"/>
      <c r="CD161" s="42"/>
      <c r="CE161" s="42"/>
      <c r="CF161" s="42"/>
      <c r="CG161" s="42"/>
      <c r="CH161" s="42"/>
      <c r="CI161" s="42"/>
      <c r="CJ161" s="42"/>
      <c r="CK161" s="42"/>
      <c r="CL161" s="42"/>
      <c r="CM161" s="42"/>
      <c r="CN161" s="42"/>
      <c r="CO161" s="42"/>
      <c r="CP161" s="42"/>
      <c r="CQ161" s="42"/>
      <c r="CR161" s="42"/>
      <c r="CS161" s="42"/>
      <c r="CT161" s="42"/>
      <c r="CU161" s="42"/>
      <c r="CV161" s="42"/>
      <c r="CW161" s="42"/>
      <c r="CX161" s="42"/>
      <c r="CY161" s="42"/>
    </row>
    <row r="162" spans="1:103" s="2" customFormat="1" ht="12.6" customHeight="1" outlineLevel="2" thickBot="1" x14ac:dyDescent="0.35">
      <c r="A162" s="109"/>
      <c r="B162" s="96"/>
      <c r="C162" s="67"/>
      <c r="D162" s="61"/>
      <c r="E162" s="30">
        <v>0</v>
      </c>
      <c r="F162" s="61">
        <v>0</v>
      </c>
      <c r="G162" s="158">
        <f>WORKDAY(H161,1)</f>
        <v>58</v>
      </c>
      <c r="H162" s="158">
        <f>WORKDAY(G162,F162)</f>
        <v>58</v>
      </c>
      <c r="I162" s="53"/>
      <c r="J162" s="53"/>
      <c r="K162" s="15"/>
      <c r="L162" s="15"/>
      <c r="M162" s="42"/>
      <c r="N162" s="42"/>
      <c r="O162" s="42"/>
      <c r="P162" s="42"/>
      <c r="Q162" s="42"/>
      <c r="R162" s="42"/>
      <c r="S162" s="42"/>
      <c r="T162" s="42"/>
      <c r="U162" s="42"/>
      <c r="V162" s="42"/>
      <c r="W162" s="42"/>
      <c r="X162" s="42"/>
      <c r="Y162" s="43"/>
      <c r="Z162" s="43"/>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c r="BR162" s="42"/>
      <c r="BS162" s="42"/>
      <c r="BT162" s="42"/>
      <c r="BU162" s="42"/>
      <c r="BV162" s="42"/>
      <c r="BW162" s="42"/>
      <c r="BX162" s="42"/>
      <c r="BY162" s="42"/>
      <c r="BZ162" s="42"/>
      <c r="CA162" s="42"/>
      <c r="CB162" s="42"/>
      <c r="CC162" s="42"/>
      <c r="CD162" s="42"/>
      <c r="CE162" s="42"/>
      <c r="CF162" s="42"/>
      <c r="CG162" s="42"/>
      <c r="CH162" s="42"/>
      <c r="CI162" s="42"/>
      <c r="CJ162" s="42"/>
      <c r="CK162" s="42"/>
      <c r="CL162" s="42"/>
      <c r="CM162" s="42"/>
      <c r="CN162" s="42"/>
      <c r="CO162" s="42"/>
      <c r="CP162" s="42"/>
      <c r="CQ162" s="42"/>
      <c r="CR162" s="42"/>
      <c r="CS162" s="42"/>
      <c r="CT162" s="42"/>
      <c r="CU162" s="42"/>
      <c r="CV162" s="42"/>
      <c r="CW162" s="42"/>
      <c r="CX162" s="42"/>
      <c r="CY162" s="42"/>
    </row>
    <row r="163" spans="1:103" s="2" customFormat="1" ht="12.6" customHeight="1" outlineLevel="2" thickBot="1" x14ac:dyDescent="0.35">
      <c r="A163" s="109"/>
      <c r="B163" s="96"/>
      <c r="C163" s="67"/>
      <c r="D163" s="61"/>
      <c r="E163" s="30">
        <v>0</v>
      </c>
      <c r="F163" s="61">
        <v>10</v>
      </c>
      <c r="G163" s="158">
        <f>WORKDAY(H162,1)</f>
        <v>59</v>
      </c>
      <c r="H163" s="158">
        <f>WORKDAY(G163,F163)</f>
        <v>73</v>
      </c>
      <c r="I163" s="53"/>
      <c r="J163" s="53"/>
      <c r="K163" s="15"/>
      <c r="L163" s="15"/>
      <c r="M163" s="42"/>
      <c r="N163" s="42"/>
      <c r="O163" s="42"/>
      <c r="P163" s="42"/>
      <c r="Q163" s="42"/>
      <c r="R163" s="42"/>
      <c r="S163" s="42"/>
      <c r="T163" s="42"/>
      <c r="U163" s="42"/>
      <c r="V163" s="42"/>
      <c r="W163" s="42"/>
      <c r="X163" s="42"/>
      <c r="Y163" s="43"/>
      <c r="Z163" s="43"/>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42"/>
      <c r="CE163" s="42"/>
      <c r="CF163" s="42"/>
      <c r="CG163" s="42"/>
      <c r="CH163" s="42"/>
      <c r="CI163" s="42"/>
      <c r="CJ163" s="42"/>
      <c r="CK163" s="42"/>
      <c r="CL163" s="42"/>
      <c r="CM163" s="42"/>
      <c r="CN163" s="42"/>
      <c r="CO163" s="42"/>
      <c r="CP163" s="42"/>
      <c r="CQ163" s="42"/>
      <c r="CR163" s="42"/>
      <c r="CS163" s="42"/>
      <c r="CT163" s="42"/>
      <c r="CU163" s="42"/>
      <c r="CV163" s="42"/>
      <c r="CW163" s="42"/>
      <c r="CX163" s="42"/>
      <c r="CY163" s="42"/>
    </row>
    <row r="164" spans="1:103" s="2" customFormat="1" ht="12.6" customHeight="1" outlineLevel="2" thickBot="1" x14ac:dyDescent="0.35">
      <c r="A164" s="109"/>
      <c r="B164" s="96"/>
      <c r="C164" s="67"/>
      <c r="D164" s="61"/>
      <c r="E164" s="30">
        <v>0</v>
      </c>
      <c r="F164" s="61">
        <v>0</v>
      </c>
      <c r="G164" s="158">
        <f>WORKDAY(H163,1)</f>
        <v>74</v>
      </c>
      <c r="H164" s="158">
        <f>WORKDAY(G164,F164)</f>
        <v>74</v>
      </c>
      <c r="I164" s="53"/>
      <c r="J164" s="53"/>
      <c r="K164" s="15"/>
      <c r="L164" s="15"/>
      <c r="M164" s="42"/>
      <c r="N164" s="42"/>
      <c r="O164" s="42"/>
      <c r="P164" s="42"/>
      <c r="Q164" s="42"/>
      <c r="R164" s="42"/>
      <c r="S164" s="42"/>
      <c r="T164" s="42"/>
      <c r="U164" s="42"/>
      <c r="V164" s="42"/>
      <c r="W164" s="42"/>
      <c r="X164" s="42"/>
      <c r="Y164" s="43"/>
      <c r="Z164" s="43"/>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2"/>
      <c r="BP164" s="42"/>
      <c r="BQ164" s="42"/>
      <c r="BR164" s="42"/>
      <c r="BS164" s="42"/>
      <c r="BT164" s="42"/>
      <c r="BU164" s="42"/>
      <c r="BV164" s="42"/>
      <c r="BW164" s="42"/>
      <c r="BX164" s="42"/>
      <c r="BY164" s="42"/>
      <c r="BZ164" s="42"/>
      <c r="CA164" s="42"/>
      <c r="CB164" s="42"/>
      <c r="CC164" s="42"/>
      <c r="CD164" s="42"/>
      <c r="CE164" s="42"/>
      <c r="CF164" s="42"/>
      <c r="CG164" s="42"/>
      <c r="CH164" s="42"/>
      <c r="CI164" s="42"/>
      <c r="CJ164" s="42"/>
      <c r="CK164" s="42"/>
      <c r="CL164" s="42"/>
      <c r="CM164" s="42"/>
      <c r="CN164" s="42"/>
      <c r="CO164" s="42"/>
      <c r="CP164" s="42"/>
      <c r="CQ164" s="42"/>
      <c r="CR164" s="42"/>
      <c r="CS164" s="42"/>
      <c r="CT164" s="42"/>
      <c r="CU164" s="42"/>
      <c r="CV164" s="42"/>
      <c r="CW164" s="42"/>
      <c r="CX164" s="42"/>
      <c r="CY164" s="42"/>
    </row>
    <row r="165" spans="1:103" s="2" customFormat="1" ht="12.6" customHeight="1" outlineLevel="2" thickBot="1" x14ac:dyDescent="0.35">
      <c r="A165" s="109"/>
      <c r="B165" s="96"/>
      <c r="C165" s="67"/>
      <c r="D165" s="61"/>
      <c r="E165" s="30">
        <v>0</v>
      </c>
      <c r="F165" s="61">
        <v>15</v>
      </c>
      <c r="G165" s="158">
        <f>WORKDAY(H162,1)</f>
        <v>59</v>
      </c>
      <c r="H165" s="158">
        <f>WORKDAY(G165,F165)</f>
        <v>80</v>
      </c>
      <c r="I165" s="53"/>
      <c r="J165" s="53"/>
      <c r="K165" s="15"/>
      <c r="L165" s="15"/>
      <c r="M165" s="42"/>
      <c r="N165" s="42"/>
      <c r="O165" s="42"/>
      <c r="P165" s="42"/>
      <c r="Q165" s="42"/>
      <c r="R165" s="42"/>
      <c r="S165" s="42"/>
      <c r="T165" s="42"/>
      <c r="U165" s="42"/>
      <c r="V165" s="42"/>
      <c r="W165" s="42"/>
      <c r="X165" s="42"/>
      <c r="Y165" s="43"/>
      <c r="Z165" s="43"/>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c r="BR165" s="42"/>
      <c r="BS165" s="42"/>
      <c r="BT165" s="42"/>
      <c r="BU165" s="42"/>
      <c r="BV165" s="42"/>
      <c r="BW165" s="42"/>
      <c r="BX165" s="42"/>
      <c r="BY165" s="42"/>
      <c r="BZ165" s="42"/>
      <c r="CA165" s="42"/>
      <c r="CB165" s="42"/>
      <c r="CC165" s="42"/>
      <c r="CD165" s="42"/>
      <c r="CE165" s="42"/>
      <c r="CF165" s="42"/>
      <c r="CG165" s="42"/>
      <c r="CH165" s="42"/>
      <c r="CI165" s="42"/>
      <c r="CJ165" s="42"/>
      <c r="CK165" s="42"/>
      <c r="CL165" s="42"/>
      <c r="CM165" s="42"/>
      <c r="CN165" s="42"/>
      <c r="CO165" s="42"/>
      <c r="CP165" s="42"/>
      <c r="CQ165" s="42"/>
      <c r="CR165" s="42"/>
      <c r="CS165" s="42"/>
      <c r="CT165" s="42"/>
      <c r="CU165" s="42"/>
      <c r="CV165" s="42"/>
      <c r="CW165" s="42"/>
      <c r="CX165" s="42"/>
      <c r="CY165" s="42"/>
    </row>
    <row r="166" spans="1:103" s="2" customFormat="1" ht="12.6" customHeight="1" outlineLevel="1" thickBot="1" x14ac:dyDescent="0.35">
      <c r="A166" s="109"/>
      <c r="B166" s="84"/>
      <c r="C166" s="67"/>
      <c r="D166" s="89"/>
      <c r="E166" s="90">
        <f>AVERAGE(E167:E175)</f>
        <v>0</v>
      </c>
      <c r="F166" s="89" t="e">
        <f>NETWORKDAYS(G166,H166)</f>
        <v>#REF!</v>
      </c>
      <c r="G166" s="157" t="e">
        <f>MIN(G167:G175)</f>
        <v>#REF!</v>
      </c>
      <c r="H166" s="157" t="e">
        <f>MAX(H167:H175)</f>
        <v>#REF!</v>
      </c>
      <c r="I166" s="53"/>
      <c r="J166" s="53"/>
      <c r="K166" s="15"/>
      <c r="L166" s="15"/>
      <c r="M166" s="42"/>
      <c r="N166" s="42"/>
      <c r="O166" s="42"/>
      <c r="P166" s="42"/>
      <c r="Q166" s="42"/>
      <c r="R166" s="42"/>
      <c r="S166" s="42"/>
      <c r="T166" s="42"/>
      <c r="U166" s="42"/>
      <c r="V166" s="42"/>
      <c r="W166" s="42"/>
      <c r="X166" s="42"/>
      <c r="Y166" s="43"/>
      <c r="Z166" s="43"/>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2"/>
      <c r="BP166" s="42"/>
      <c r="BQ166" s="42"/>
      <c r="BR166" s="42"/>
      <c r="BS166" s="42"/>
      <c r="BT166" s="42"/>
      <c r="BU166" s="42"/>
      <c r="BV166" s="42"/>
      <c r="BW166" s="42"/>
      <c r="BX166" s="42"/>
      <c r="BY166" s="42"/>
      <c r="BZ166" s="42"/>
      <c r="CA166" s="42"/>
      <c r="CB166" s="42"/>
      <c r="CC166" s="42"/>
      <c r="CD166" s="42"/>
      <c r="CE166" s="42"/>
      <c r="CF166" s="42"/>
      <c r="CG166" s="42"/>
      <c r="CH166" s="42"/>
      <c r="CI166" s="42"/>
      <c r="CJ166" s="42"/>
      <c r="CK166" s="42"/>
      <c r="CL166" s="42"/>
      <c r="CM166" s="42"/>
      <c r="CN166" s="42"/>
      <c r="CO166" s="42"/>
      <c r="CP166" s="42"/>
      <c r="CQ166" s="42"/>
      <c r="CR166" s="42"/>
      <c r="CS166" s="42"/>
      <c r="CT166" s="42"/>
      <c r="CU166" s="42"/>
      <c r="CV166" s="42"/>
      <c r="CW166" s="42"/>
      <c r="CX166" s="42"/>
      <c r="CY166" s="42"/>
    </row>
    <row r="167" spans="1:103" s="2" customFormat="1" ht="12.6" customHeight="1" outlineLevel="2" thickBot="1" x14ac:dyDescent="0.35">
      <c r="A167" s="109"/>
      <c r="B167" s="96"/>
      <c r="C167" s="67"/>
      <c r="D167" s="61"/>
      <c r="E167" s="30">
        <v>0</v>
      </c>
      <c r="F167" s="61">
        <v>5</v>
      </c>
      <c r="G167" s="158">
        <f>WORKDAY(H164,1)</f>
        <v>75</v>
      </c>
      <c r="H167" s="158">
        <f t="shared" ref="H167:H175" si="13">WORKDAY(G167,F167)</f>
        <v>82</v>
      </c>
      <c r="I167" s="53"/>
      <c r="J167" s="53"/>
      <c r="K167" s="15"/>
      <c r="L167" s="15"/>
      <c r="M167" s="42"/>
      <c r="N167" s="42"/>
      <c r="O167" s="42"/>
      <c r="P167" s="42"/>
      <c r="Q167" s="42"/>
      <c r="R167" s="42"/>
      <c r="S167" s="42"/>
      <c r="T167" s="42"/>
      <c r="U167" s="42"/>
      <c r="V167" s="42"/>
      <c r="W167" s="42"/>
      <c r="X167" s="42"/>
      <c r="Y167" s="43"/>
      <c r="Z167" s="43"/>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c r="BR167" s="42"/>
      <c r="BS167" s="42"/>
      <c r="BT167" s="42"/>
      <c r="BU167" s="42"/>
      <c r="BV167" s="42"/>
      <c r="BW167" s="42"/>
      <c r="BX167" s="42"/>
      <c r="BY167" s="42"/>
      <c r="BZ167" s="42"/>
      <c r="CA167" s="42"/>
      <c r="CB167" s="42"/>
      <c r="CC167" s="42"/>
      <c r="CD167" s="42"/>
      <c r="CE167" s="42"/>
      <c r="CF167" s="42"/>
      <c r="CG167" s="42"/>
      <c r="CH167" s="42"/>
      <c r="CI167" s="42"/>
      <c r="CJ167" s="42"/>
      <c r="CK167" s="42"/>
      <c r="CL167" s="42"/>
      <c r="CM167" s="42"/>
      <c r="CN167" s="42"/>
      <c r="CO167" s="42"/>
      <c r="CP167" s="42"/>
      <c r="CQ167" s="42"/>
      <c r="CR167" s="42"/>
      <c r="CS167" s="42"/>
      <c r="CT167" s="42"/>
      <c r="CU167" s="42"/>
      <c r="CV167" s="42"/>
      <c r="CW167" s="42"/>
      <c r="CX167" s="42"/>
      <c r="CY167" s="42"/>
    </row>
    <row r="168" spans="1:103" s="2" customFormat="1" ht="12.6" customHeight="1" outlineLevel="2" thickBot="1" x14ac:dyDescent="0.35">
      <c r="A168" s="109"/>
      <c r="B168" s="96"/>
      <c r="C168" s="67"/>
      <c r="D168" s="61"/>
      <c r="E168" s="30">
        <v>0</v>
      </c>
      <c r="F168" s="61">
        <v>5</v>
      </c>
      <c r="G168" s="158">
        <f>WORKDAY(H164,1)</f>
        <v>75</v>
      </c>
      <c r="H168" s="158">
        <f t="shared" si="13"/>
        <v>82</v>
      </c>
      <c r="I168" s="53"/>
      <c r="J168" s="53"/>
      <c r="K168" s="15"/>
      <c r="L168" s="15"/>
      <c r="M168" s="42"/>
      <c r="N168" s="42"/>
      <c r="O168" s="42"/>
      <c r="P168" s="42"/>
      <c r="Q168" s="42"/>
      <c r="R168" s="42"/>
      <c r="S168" s="42"/>
      <c r="T168" s="42"/>
      <c r="U168" s="42"/>
      <c r="V168" s="42"/>
      <c r="W168" s="42"/>
      <c r="X168" s="42"/>
      <c r="Y168" s="43"/>
      <c r="Z168" s="43"/>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2"/>
      <c r="BP168" s="42"/>
      <c r="BQ168" s="42"/>
      <c r="BR168" s="42"/>
      <c r="BS168" s="42"/>
      <c r="BT168" s="42"/>
      <c r="BU168" s="42"/>
      <c r="BV168" s="42"/>
      <c r="BW168" s="42"/>
      <c r="BX168" s="42"/>
      <c r="BY168" s="42"/>
      <c r="BZ168" s="42"/>
      <c r="CA168" s="42"/>
      <c r="CB168" s="42"/>
      <c r="CC168" s="42"/>
      <c r="CD168" s="42"/>
      <c r="CE168" s="42"/>
      <c r="CF168" s="42"/>
      <c r="CG168" s="42"/>
      <c r="CH168" s="42"/>
      <c r="CI168" s="42"/>
      <c r="CJ168" s="42"/>
      <c r="CK168" s="42"/>
      <c r="CL168" s="42"/>
      <c r="CM168" s="42"/>
      <c r="CN168" s="42"/>
      <c r="CO168" s="42"/>
      <c r="CP168" s="42"/>
      <c r="CQ168" s="42"/>
      <c r="CR168" s="42"/>
      <c r="CS168" s="42"/>
      <c r="CT168" s="42"/>
      <c r="CU168" s="42"/>
      <c r="CV168" s="42"/>
      <c r="CW168" s="42"/>
      <c r="CX168" s="42"/>
      <c r="CY168" s="42"/>
    </row>
    <row r="169" spans="1:103" s="2" customFormat="1" ht="12.6" customHeight="1" outlineLevel="2" thickBot="1" x14ac:dyDescent="0.35">
      <c r="A169" s="109"/>
      <c r="B169" s="96"/>
      <c r="C169" s="67"/>
      <c r="D169" s="61"/>
      <c r="E169" s="30">
        <v>0</v>
      </c>
      <c r="F169" s="61">
        <v>2</v>
      </c>
      <c r="G169" s="158">
        <f>WORKDAY(H168,1)</f>
        <v>83</v>
      </c>
      <c r="H169" s="158">
        <f t="shared" si="13"/>
        <v>87</v>
      </c>
      <c r="I169" s="53"/>
      <c r="J169" s="53"/>
      <c r="K169" s="15"/>
      <c r="L169" s="15"/>
      <c r="M169" s="42"/>
      <c r="N169" s="42"/>
      <c r="O169" s="42"/>
      <c r="P169" s="42"/>
      <c r="Q169" s="42"/>
      <c r="R169" s="42"/>
      <c r="S169" s="42"/>
      <c r="T169" s="42"/>
      <c r="U169" s="42"/>
      <c r="V169" s="42"/>
      <c r="W169" s="42"/>
      <c r="X169" s="42"/>
      <c r="Y169" s="43"/>
      <c r="Z169" s="43"/>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c r="BR169" s="42"/>
      <c r="BS169" s="42"/>
      <c r="BT169" s="42"/>
      <c r="BU169" s="42"/>
      <c r="BV169" s="42"/>
      <c r="BW169" s="42"/>
      <c r="BX169" s="42"/>
      <c r="BY169" s="42"/>
      <c r="BZ169" s="42"/>
      <c r="CA169" s="42"/>
      <c r="CB169" s="42"/>
      <c r="CC169" s="42"/>
      <c r="CD169" s="42"/>
      <c r="CE169" s="42"/>
      <c r="CF169" s="42"/>
      <c r="CG169" s="42"/>
      <c r="CH169" s="42"/>
      <c r="CI169" s="42"/>
      <c r="CJ169" s="42"/>
      <c r="CK169" s="42"/>
      <c r="CL169" s="42"/>
      <c r="CM169" s="42"/>
      <c r="CN169" s="42"/>
      <c r="CO169" s="42"/>
      <c r="CP169" s="42"/>
      <c r="CQ169" s="42"/>
      <c r="CR169" s="42"/>
      <c r="CS169" s="42"/>
      <c r="CT169" s="42"/>
      <c r="CU169" s="42"/>
      <c r="CV169" s="42"/>
      <c r="CW169" s="42"/>
      <c r="CX169" s="42"/>
      <c r="CY169" s="42"/>
    </row>
    <row r="170" spans="1:103" s="2" customFormat="1" ht="12.6" customHeight="1" outlineLevel="2" thickBot="1" x14ac:dyDescent="0.35">
      <c r="A170" s="109"/>
      <c r="B170" s="96"/>
      <c r="C170" s="67"/>
      <c r="D170" s="61"/>
      <c r="E170" s="30">
        <v>0</v>
      </c>
      <c r="F170" s="61">
        <v>2</v>
      </c>
      <c r="G170" s="158" t="e">
        <f>WORKDAY(#REF!,1)</f>
        <v>#REF!</v>
      </c>
      <c r="H170" s="158" t="e">
        <f t="shared" si="13"/>
        <v>#REF!</v>
      </c>
      <c r="I170" s="53"/>
      <c r="J170" s="53"/>
      <c r="K170" s="15"/>
      <c r="L170" s="15"/>
      <c r="M170" s="42"/>
      <c r="N170" s="42"/>
      <c r="O170" s="42"/>
      <c r="P170" s="42"/>
      <c r="Q170" s="42"/>
      <c r="R170" s="42"/>
      <c r="S170" s="42"/>
      <c r="T170" s="42"/>
      <c r="U170" s="42"/>
      <c r="V170" s="42"/>
      <c r="W170" s="42"/>
      <c r="X170" s="42"/>
      <c r="Y170" s="43"/>
      <c r="Z170" s="43"/>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42"/>
      <c r="BH170" s="42"/>
      <c r="BI170" s="42"/>
      <c r="BJ170" s="42"/>
      <c r="BK170" s="42"/>
      <c r="BL170" s="42"/>
      <c r="BM170" s="42"/>
      <c r="BN170" s="42"/>
      <c r="BO170" s="42"/>
      <c r="BP170" s="42"/>
      <c r="BQ170" s="42"/>
      <c r="BR170" s="42"/>
      <c r="BS170" s="42"/>
      <c r="BT170" s="42"/>
      <c r="BU170" s="42"/>
      <c r="BV170" s="42"/>
      <c r="BW170" s="42"/>
      <c r="BX170" s="42"/>
      <c r="BY170" s="42"/>
      <c r="BZ170" s="42"/>
      <c r="CA170" s="42"/>
      <c r="CB170" s="42"/>
      <c r="CC170" s="42"/>
      <c r="CD170" s="42"/>
      <c r="CE170" s="42"/>
      <c r="CF170" s="42"/>
      <c r="CG170" s="42"/>
      <c r="CH170" s="42"/>
      <c r="CI170" s="42"/>
      <c r="CJ170" s="42"/>
      <c r="CK170" s="42"/>
      <c r="CL170" s="42"/>
      <c r="CM170" s="42"/>
      <c r="CN170" s="42"/>
      <c r="CO170" s="42"/>
      <c r="CP170" s="42"/>
      <c r="CQ170" s="42"/>
      <c r="CR170" s="42"/>
      <c r="CS170" s="42"/>
      <c r="CT170" s="42"/>
      <c r="CU170" s="42"/>
      <c r="CV170" s="42"/>
      <c r="CW170" s="42"/>
      <c r="CX170" s="42"/>
      <c r="CY170" s="42"/>
    </row>
    <row r="171" spans="1:103" s="2" customFormat="1" ht="12.6" customHeight="1" outlineLevel="2" thickBot="1" x14ac:dyDescent="0.35">
      <c r="A171" s="109"/>
      <c r="B171" s="96"/>
      <c r="C171" s="67"/>
      <c r="D171" s="61"/>
      <c r="E171" s="30">
        <v>0</v>
      </c>
      <c r="F171" s="61">
        <v>5</v>
      </c>
      <c r="G171" s="158">
        <f>WORKDAY(H164,1)</f>
        <v>75</v>
      </c>
      <c r="H171" s="158">
        <f t="shared" si="13"/>
        <v>82</v>
      </c>
      <c r="I171" s="53"/>
      <c r="J171" s="53"/>
      <c r="K171" s="15"/>
      <c r="L171" s="15"/>
      <c r="M171" s="42"/>
      <c r="N171" s="42"/>
      <c r="O171" s="42"/>
      <c r="P171" s="42"/>
      <c r="Q171" s="42"/>
      <c r="R171" s="42"/>
      <c r="S171" s="42"/>
      <c r="T171" s="42"/>
      <c r="U171" s="42"/>
      <c r="V171" s="42"/>
      <c r="W171" s="42"/>
      <c r="X171" s="42"/>
      <c r="Y171" s="43"/>
      <c r="Z171" s="43"/>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c r="BR171" s="42"/>
      <c r="BS171" s="42"/>
      <c r="BT171" s="42"/>
      <c r="BU171" s="42"/>
      <c r="BV171" s="42"/>
      <c r="BW171" s="42"/>
      <c r="BX171" s="42"/>
      <c r="BY171" s="42"/>
      <c r="BZ171" s="42"/>
      <c r="CA171" s="42"/>
      <c r="CB171" s="42"/>
      <c r="CC171" s="42"/>
      <c r="CD171" s="42"/>
      <c r="CE171" s="42"/>
      <c r="CF171" s="42"/>
      <c r="CG171" s="42"/>
      <c r="CH171" s="42"/>
      <c r="CI171" s="42"/>
      <c r="CJ171" s="42"/>
      <c r="CK171" s="42"/>
      <c r="CL171" s="42"/>
      <c r="CM171" s="42"/>
      <c r="CN171" s="42"/>
      <c r="CO171" s="42"/>
      <c r="CP171" s="42"/>
      <c r="CQ171" s="42"/>
      <c r="CR171" s="42"/>
      <c r="CS171" s="42"/>
      <c r="CT171" s="42"/>
      <c r="CU171" s="42"/>
      <c r="CV171" s="42"/>
      <c r="CW171" s="42"/>
      <c r="CX171" s="42"/>
      <c r="CY171" s="42"/>
    </row>
    <row r="172" spans="1:103" s="2" customFormat="1" ht="12.6" customHeight="1" outlineLevel="2" thickBot="1" x14ac:dyDescent="0.35">
      <c r="A172" s="109"/>
      <c r="B172" s="96"/>
      <c r="C172" s="67"/>
      <c r="D172" s="61"/>
      <c r="E172" s="30">
        <v>0</v>
      </c>
      <c r="F172" s="61">
        <v>5</v>
      </c>
      <c r="G172" s="158">
        <f>MAX(WORKDAY(H165,1),WORKDAY(H169,1))</f>
        <v>88</v>
      </c>
      <c r="H172" s="158">
        <f t="shared" si="13"/>
        <v>95</v>
      </c>
      <c r="I172" s="53"/>
      <c r="J172" s="53"/>
      <c r="K172" s="15"/>
      <c r="L172" s="15"/>
      <c r="M172" s="42"/>
      <c r="N172" s="42"/>
      <c r="O172" s="42"/>
      <c r="P172" s="42"/>
      <c r="Q172" s="42"/>
      <c r="R172" s="42"/>
      <c r="S172" s="42"/>
      <c r="T172" s="42"/>
      <c r="U172" s="42"/>
      <c r="V172" s="42"/>
      <c r="W172" s="42"/>
      <c r="X172" s="42"/>
      <c r="Y172" s="43"/>
      <c r="Z172" s="43"/>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42"/>
      <c r="BN172" s="42"/>
      <c r="BO172" s="42"/>
      <c r="BP172" s="42"/>
      <c r="BQ172" s="42"/>
      <c r="BR172" s="42"/>
      <c r="BS172" s="42"/>
      <c r="BT172" s="42"/>
      <c r="BU172" s="42"/>
      <c r="BV172" s="42"/>
      <c r="BW172" s="42"/>
      <c r="BX172" s="42"/>
      <c r="BY172" s="42"/>
      <c r="BZ172" s="42"/>
      <c r="CA172" s="42"/>
      <c r="CB172" s="42"/>
      <c r="CC172" s="42"/>
      <c r="CD172" s="42"/>
      <c r="CE172" s="42"/>
      <c r="CF172" s="42"/>
      <c r="CG172" s="42"/>
      <c r="CH172" s="42"/>
      <c r="CI172" s="42"/>
      <c r="CJ172" s="42"/>
      <c r="CK172" s="42"/>
      <c r="CL172" s="42"/>
      <c r="CM172" s="42"/>
      <c r="CN172" s="42"/>
      <c r="CO172" s="42"/>
      <c r="CP172" s="42"/>
      <c r="CQ172" s="42"/>
      <c r="CR172" s="42"/>
      <c r="CS172" s="42"/>
      <c r="CT172" s="42"/>
      <c r="CU172" s="42"/>
      <c r="CV172" s="42"/>
      <c r="CW172" s="42"/>
      <c r="CX172" s="42"/>
      <c r="CY172" s="42"/>
    </row>
    <row r="173" spans="1:103" s="2" customFormat="1" ht="12.6" customHeight="1" outlineLevel="2" thickBot="1" x14ac:dyDescent="0.35">
      <c r="A173" s="109"/>
      <c r="B173" s="96"/>
      <c r="C173" s="67"/>
      <c r="D173" s="61"/>
      <c r="E173" s="30">
        <v>0</v>
      </c>
      <c r="F173" s="61">
        <v>5</v>
      </c>
      <c r="G173" s="158">
        <f>MAX(WORKDAY(H165,1),WORKDAY(H169,1))</f>
        <v>88</v>
      </c>
      <c r="H173" s="158">
        <f t="shared" si="13"/>
        <v>95</v>
      </c>
      <c r="I173" s="53"/>
      <c r="J173" s="53"/>
      <c r="K173" s="15"/>
      <c r="L173" s="15"/>
      <c r="M173" s="42"/>
      <c r="N173" s="42"/>
      <c r="O173" s="42"/>
      <c r="P173" s="42"/>
      <c r="Q173" s="42"/>
      <c r="R173" s="42"/>
      <c r="S173" s="42"/>
      <c r="T173" s="42"/>
      <c r="U173" s="42"/>
      <c r="V173" s="42"/>
      <c r="W173" s="42"/>
      <c r="X173" s="42"/>
      <c r="Y173" s="43"/>
      <c r="Z173" s="43"/>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2"/>
      <c r="BJ173" s="42"/>
      <c r="BK173" s="42"/>
      <c r="BL173" s="42"/>
      <c r="BM173" s="42"/>
      <c r="BN173" s="42"/>
      <c r="BO173" s="42"/>
      <c r="BP173" s="42"/>
      <c r="BQ173" s="42"/>
      <c r="BR173" s="42"/>
      <c r="BS173" s="42"/>
      <c r="BT173" s="42"/>
      <c r="BU173" s="42"/>
      <c r="BV173" s="42"/>
      <c r="BW173" s="42"/>
      <c r="BX173" s="42"/>
      <c r="BY173" s="42"/>
      <c r="BZ173" s="42"/>
      <c r="CA173" s="42"/>
      <c r="CB173" s="42"/>
      <c r="CC173" s="42"/>
      <c r="CD173" s="42"/>
      <c r="CE173" s="42"/>
      <c r="CF173" s="42"/>
      <c r="CG173" s="42"/>
      <c r="CH173" s="42"/>
      <c r="CI173" s="42"/>
      <c r="CJ173" s="42"/>
      <c r="CK173" s="42"/>
      <c r="CL173" s="42"/>
      <c r="CM173" s="42"/>
      <c r="CN173" s="42"/>
      <c r="CO173" s="42"/>
      <c r="CP173" s="42"/>
      <c r="CQ173" s="42"/>
      <c r="CR173" s="42"/>
      <c r="CS173" s="42"/>
      <c r="CT173" s="42"/>
      <c r="CU173" s="42"/>
      <c r="CV173" s="42"/>
      <c r="CW173" s="42"/>
      <c r="CX173" s="42"/>
      <c r="CY173" s="42"/>
    </row>
    <row r="174" spans="1:103" s="2" customFormat="1" ht="12.6" customHeight="1" outlineLevel="2" thickBot="1" x14ac:dyDescent="0.35">
      <c r="A174" s="109"/>
      <c r="B174" s="96"/>
      <c r="C174" s="67"/>
      <c r="D174" s="61"/>
      <c r="E174" s="30">
        <v>0</v>
      </c>
      <c r="F174" s="61">
        <v>0</v>
      </c>
      <c r="G174" s="158">
        <f>MAX(WORKDAY(H173,1),WORKDAY(H172,1))</f>
        <v>96</v>
      </c>
      <c r="H174" s="158">
        <f t="shared" si="13"/>
        <v>96</v>
      </c>
      <c r="I174" s="53"/>
      <c r="J174" s="53"/>
      <c r="K174" s="15"/>
      <c r="L174" s="15"/>
      <c r="M174" s="42"/>
      <c r="N174" s="42"/>
      <c r="O174" s="42"/>
      <c r="P174" s="42"/>
      <c r="Q174" s="42"/>
      <c r="R174" s="42"/>
      <c r="S174" s="42"/>
      <c r="T174" s="42"/>
      <c r="U174" s="42"/>
      <c r="V174" s="42"/>
      <c r="W174" s="42"/>
      <c r="X174" s="42"/>
      <c r="Y174" s="43"/>
      <c r="Z174" s="43"/>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c r="BD174" s="42"/>
      <c r="BE174" s="42"/>
      <c r="BF174" s="42"/>
      <c r="BG174" s="42"/>
      <c r="BH174" s="42"/>
      <c r="BI174" s="42"/>
      <c r="BJ174" s="42"/>
      <c r="BK174" s="42"/>
      <c r="BL174" s="42"/>
      <c r="BM174" s="42"/>
      <c r="BN174" s="42"/>
      <c r="BO174" s="42"/>
      <c r="BP174" s="42"/>
      <c r="BQ174" s="42"/>
      <c r="BR174" s="42"/>
      <c r="BS174" s="42"/>
      <c r="BT174" s="42"/>
      <c r="BU174" s="42"/>
      <c r="BV174" s="42"/>
      <c r="BW174" s="42"/>
      <c r="BX174" s="42"/>
      <c r="BY174" s="42"/>
      <c r="BZ174" s="42"/>
      <c r="CA174" s="42"/>
      <c r="CB174" s="42"/>
      <c r="CC174" s="42"/>
      <c r="CD174" s="42"/>
      <c r="CE174" s="42"/>
      <c r="CF174" s="42"/>
      <c r="CG174" s="42"/>
      <c r="CH174" s="42"/>
      <c r="CI174" s="42"/>
      <c r="CJ174" s="42"/>
      <c r="CK174" s="42"/>
      <c r="CL174" s="42"/>
      <c r="CM174" s="42"/>
      <c r="CN174" s="42"/>
      <c r="CO174" s="42"/>
      <c r="CP174" s="42"/>
      <c r="CQ174" s="42"/>
      <c r="CR174" s="42"/>
      <c r="CS174" s="42"/>
      <c r="CT174" s="42"/>
      <c r="CU174" s="42"/>
      <c r="CV174" s="42"/>
      <c r="CW174" s="42"/>
      <c r="CX174" s="42"/>
      <c r="CY174" s="42"/>
    </row>
    <row r="175" spans="1:103" s="2" customFormat="1" ht="12.6" customHeight="1" outlineLevel="2" thickBot="1" x14ac:dyDescent="0.35">
      <c r="A175" s="109"/>
      <c r="B175" s="96"/>
      <c r="C175" s="67"/>
      <c r="D175" s="61"/>
      <c r="E175" s="30">
        <v>0</v>
      </c>
      <c r="F175" s="61">
        <v>10</v>
      </c>
      <c r="G175" s="158">
        <f>WORKDAY(H174,1)</f>
        <v>97</v>
      </c>
      <c r="H175" s="158">
        <f t="shared" si="13"/>
        <v>111</v>
      </c>
      <c r="I175" s="53"/>
      <c r="J175" s="53"/>
      <c r="K175" s="15"/>
      <c r="L175" s="15"/>
      <c r="M175" s="42"/>
      <c r="N175" s="42"/>
      <c r="O175" s="42"/>
      <c r="P175" s="42"/>
      <c r="Q175" s="42"/>
      <c r="R175" s="42"/>
      <c r="S175" s="42"/>
      <c r="T175" s="42"/>
      <c r="U175" s="42"/>
      <c r="V175" s="42"/>
      <c r="W175" s="42"/>
      <c r="X175" s="42"/>
      <c r="Y175" s="43"/>
      <c r="Z175" s="43"/>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2"/>
      <c r="BH175" s="42"/>
      <c r="BI175" s="42"/>
      <c r="BJ175" s="42"/>
      <c r="BK175" s="42"/>
      <c r="BL175" s="42"/>
      <c r="BM175" s="42"/>
      <c r="BN175" s="42"/>
      <c r="BO175" s="42"/>
      <c r="BP175" s="42"/>
      <c r="BQ175" s="42"/>
      <c r="BR175" s="42"/>
      <c r="BS175" s="42"/>
      <c r="BT175" s="42"/>
      <c r="BU175" s="42"/>
      <c r="BV175" s="42"/>
      <c r="BW175" s="42"/>
      <c r="BX175" s="42"/>
      <c r="BY175" s="42"/>
      <c r="BZ175" s="42"/>
      <c r="CA175" s="42"/>
      <c r="CB175" s="42"/>
      <c r="CC175" s="42"/>
      <c r="CD175" s="42"/>
      <c r="CE175" s="42"/>
      <c r="CF175" s="42"/>
      <c r="CG175" s="42"/>
      <c r="CH175" s="42"/>
      <c r="CI175" s="42"/>
      <c r="CJ175" s="42"/>
      <c r="CK175" s="42"/>
      <c r="CL175" s="42"/>
      <c r="CM175" s="42"/>
      <c r="CN175" s="42"/>
      <c r="CO175" s="42"/>
      <c r="CP175" s="42"/>
      <c r="CQ175" s="42"/>
      <c r="CR175" s="42"/>
      <c r="CS175" s="42"/>
      <c r="CT175" s="42"/>
      <c r="CU175" s="42"/>
      <c r="CV175" s="42"/>
      <c r="CW175" s="42"/>
      <c r="CX175" s="42"/>
      <c r="CY175" s="42"/>
    </row>
    <row r="176" spans="1:103" s="2" customFormat="1" ht="12.6" customHeight="1" outlineLevel="1" thickBot="1" x14ac:dyDescent="0.35">
      <c r="A176" s="109"/>
      <c r="B176" s="84"/>
      <c r="C176" s="67"/>
      <c r="D176" s="89"/>
      <c r="E176" s="90">
        <f>AVERAGE(E177:E179)</f>
        <v>0</v>
      </c>
      <c r="F176" s="89">
        <f>NETWORKDAYS(G176,H176)</f>
        <v>18</v>
      </c>
      <c r="G176" s="157">
        <f>MIN(G177:G179)</f>
        <v>97</v>
      </c>
      <c r="H176" s="157">
        <f>MAX(H177:H179)</f>
        <v>122</v>
      </c>
      <c r="I176" s="53"/>
      <c r="J176" s="53"/>
      <c r="K176" s="15"/>
      <c r="L176" s="15"/>
      <c r="M176" s="42"/>
      <c r="N176" s="42"/>
      <c r="O176" s="42"/>
      <c r="P176" s="42"/>
      <c r="Q176" s="42"/>
      <c r="R176" s="42"/>
      <c r="S176" s="42"/>
      <c r="T176" s="42"/>
      <c r="U176" s="42"/>
      <c r="V176" s="42"/>
      <c r="W176" s="42"/>
      <c r="X176" s="42"/>
      <c r="Y176" s="43"/>
      <c r="Z176" s="43"/>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2"/>
      <c r="BP176" s="42"/>
      <c r="BQ176" s="42"/>
      <c r="BR176" s="42"/>
      <c r="BS176" s="42"/>
      <c r="BT176" s="42"/>
      <c r="BU176" s="42"/>
      <c r="BV176" s="42"/>
      <c r="BW176" s="42"/>
      <c r="BX176" s="42"/>
      <c r="BY176" s="42"/>
      <c r="BZ176" s="42"/>
      <c r="CA176" s="42"/>
      <c r="CB176" s="42"/>
      <c r="CC176" s="42"/>
      <c r="CD176" s="42"/>
      <c r="CE176" s="42"/>
      <c r="CF176" s="42"/>
      <c r="CG176" s="42"/>
      <c r="CH176" s="42"/>
      <c r="CI176" s="42"/>
      <c r="CJ176" s="42"/>
      <c r="CK176" s="42"/>
      <c r="CL176" s="42"/>
      <c r="CM176" s="42"/>
      <c r="CN176" s="42"/>
      <c r="CO176" s="42"/>
      <c r="CP176" s="42"/>
      <c r="CQ176" s="42"/>
      <c r="CR176" s="42"/>
      <c r="CS176" s="42"/>
      <c r="CT176" s="42"/>
      <c r="CU176" s="42"/>
      <c r="CV176" s="42"/>
      <c r="CW176" s="42"/>
      <c r="CX176" s="42"/>
      <c r="CY176" s="42"/>
    </row>
    <row r="177" spans="1:103" s="2" customFormat="1" ht="12.6" customHeight="1" outlineLevel="2" thickBot="1" x14ac:dyDescent="0.35">
      <c r="A177" s="109"/>
      <c r="B177" s="96"/>
      <c r="C177" s="67"/>
      <c r="D177" s="61"/>
      <c r="E177" s="30">
        <v>0</v>
      </c>
      <c r="F177" s="61">
        <v>5</v>
      </c>
      <c r="G177" s="155">
        <f>WORKDAY(H174,1)</f>
        <v>97</v>
      </c>
      <c r="H177" s="155">
        <f>WORKDAY(G177,F177)</f>
        <v>104</v>
      </c>
      <c r="I177" s="53"/>
      <c r="J177" s="53"/>
      <c r="K177" s="15"/>
      <c r="L177" s="15"/>
      <c r="M177" s="42"/>
      <c r="N177" s="42"/>
      <c r="O177" s="42"/>
      <c r="P177" s="42"/>
      <c r="Q177" s="42"/>
      <c r="R177" s="42"/>
      <c r="S177" s="42"/>
      <c r="T177" s="42"/>
      <c r="U177" s="42"/>
      <c r="V177" s="42"/>
      <c r="W177" s="42"/>
      <c r="X177" s="42"/>
      <c r="Y177" s="43"/>
      <c r="Z177" s="43"/>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c r="BR177" s="42"/>
      <c r="BS177" s="42"/>
      <c r="BT177" s="42"/>
      <c r="BU177" s="42"/>
      <c r="BV177" s="42"/>
      <c r="BW177" s="42"/>
      <c r="BX177" s="42"/>
      <c r="BY177" s="42"/>
      <c r="BZ177" s="42"/>
      <c r="CA177" s="42"/>
      <c r="CB177" s="42"/>
      <c r="CC177" s="42"/>
      <c r="CD177" s="42"/>
      <c r="CE177" s="42"/>
      <c r="CF177" s="42"/>
      <c r="CG177" s="42"/>
      <c r="CH177" s="42"/>
      <c r="CI177" s="42"/>
      <c r="CJ177" s="42"/>
      <c r="CK177" s="42"/>
      <c r="CL177" s="42"/>
      <c r="CM177" s="42"/>
      <c r="CN177" s="42"/>
      <c r="CO177" s="42"/>
      <c r="CP177" s="42"/>
      <c r="CQ177" s="42"/>
      <c r="CR177" s="42"/>
      <c r="CS177" s="42"/>
      <c r="CT177" s="42"/>
      <c r="CU177" s="42"/>
      <c r="CV177" s="42"/>
      <c r="CW177" s="42"/>
      <c r="CX177" s="42"/>
      <c r="CY177" s="42"/>
    </row>
    <row r="178" spans="1:103" s="2" customFormat="1" ht="12.6" customHeight="1" outlineLevel="2" thickBot="1" x14ac:dyDescent="0.35">
      <c r="A178" s="109"/>
      <c r="B178" s="96"/>
      <c r="C178" s="67"/>
      <c r="D178" s="61"/>
      <c r="E178" s="30">
        <v>0</v>
      </c>
      <c r="F178" s="61">
        <v>5</v>
      </c>
      <c r="G178" s="155">
        <f>WORKDAY(H175,1)</f>
        <v>114</v>
      </c>
      <c r="H178" s="155">
        <f>WORKDAY(G178,F178)</f>
        <v>121</v>
      </c>
      <c r="I178" s="53"/>
      <c r="J178" s="53"/>
      <c r="K178" s="15"/>
      <c r="L178" s="15"/>
      <c r="M178" s="42"/>
      <c r="N178" s="42"/>
      <c r="O178" s="42"/>
      <c r="P178" s="42"/>
      <c r="Q178" s="42"/>
      <c r="R178" s="42"/>
      <c r="S178" s="42"/>
      <c r="T178" s="42"/>
      <c r="U178" s="42"/>
      <c r="V178" s="42"/>
      <c r="W178" s="42"/>
      <c r="X178" s="42"/>
      <c r="Y178" s="43"/>
      <c r="Z178" s="43"/>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c r="BD178" s="42"/>
      <c r="BE178" s="42"/>
      <c r="BF178" s="42"/>
      <c r="BG178" s="42"/>
      <c r="BH178" s="42"/>
      <c r="BI178" s="42"/>
      <c r="BJ178" s="42"/>
      <c r="BK178" s="42"/>
      <c r="BL178" s="42"/>
      <c r="BM178" s="42"/>
      <c r="BN178" s="42"/>
      <c r="BO178" s="42"/>
      <c r="BP178" s="42"/>
      <c r="BQ178" s="42"/>
      <c r="BR178" s="42"/>
      <c r="BS178" s="42"/>
      <c r="BT178" s="42"/>
      <c r="BU178" s="42"/>
      <c r="BV178" s="42"/>
      <c r="BW178" s="42"/>
      <c r="BX178" s="42"/>
      <c r="BY178" s="42"/>
      <c r="BZ178" s="42"/>
      <c r="CA178" s="42"/>
      <c r="CB178" s="42"/>
      <c r="CC178" s="42"/>
      <c r="CD178" s="42"/>
      <c r="CE178" s="42"/>
      <c r="CF178" s="42"/>
      <c r="CG178" s="42"/>
      <c r="CH178" s="42"/>
      <c r="CI178" s="42"/>
      <c r="CJ178" s="42"/>
      <c r="CK178" s="42"/>
      <c r="CL178" s="42"/>
      <c r="CM178" s="42"/>
      <c r="CN178" s="42"/>
      <c r="CO178" s="42"/>
      <c r="CP178" s="42"/>
      <c r="CQ178" s="42"/>
      <c r="CR178" s="42"/>
      <c r="CS178" s="42"/>
      <c r="CT178" s="42"/>
      <c r="CU178" s="42"/>
      <c r="CV178" s="42"/>
      <c r="CW178" s="42"/>
      <c r="CX178" s="42"/>
      <c r="CY178" s="42"/>
    </row>
    <row r="179" spans="1:103" s="2" customFormat="1" ht="12.6" customHeight="1" outlineLevel="2" thickBot="1" x14ac:dyDescent="0.35">
      <c r="A179" s="109"/>
      <c r="B179" s="96"/>
      <c r="C179" s="67"/>
      <c r="D179" s="61"/>
      <c r="E179" s="30">
        <v>0</v>
      </c>
      <c r="F179" s="61">
        <v>0</v>
      </c>
      <c r="G179" s="155">
        <f>WORKDAY(H178,1)</f>
        <v>122</v>
      </c>
      <c r="H179" s="155">
        <f>WORKDAY(G179,F179)</f>
        <v>122</v>
      </c>
      <c r="I179" s="53"/>
      <c r="J179" s="53"/>
      <c r="K179" s="15"/>
      <c r="L179" s="15"/>
      <c r="M179" s="42"/>
      <c r="N179" s="42"/>
      <c r="O179" s="42"/>
      <c r="P179" s="42"/>
      <c r="Q179" s="42"/>
      <c r="R179" s="42"/>
      <c r="S179" s="42"/>
      <c r="T179" s="42"/>
      <c r="U179" s="42"/>
      <c r="V179" s="42"/>
      <c r="W179" s="42"/>
      <c r="X179" s="42"/>
      <c r="Y179" s="43"/>
      <c r="Z179" s="43"/>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2"/>
      <c r="BH179" s="42"/>
      <c r="BI179" s="42"/>
      <c r="BJ179" s="42"/>
      <c r="BK179" s="42"/>
      <c r="BL179" s="42"/>
      <c r="BM179" s="42"/>
      <c r="BN179" s="42"/>
      <c r="BO179" s="42"/>
      <c r="BP179" s="42"/>
      <c r="BQ179" s="42"/>
      <c r="BR179" s="42"/>
      <c r="BS179" s="42"/>
      <c r="BT179" s="42"/>
      <c r="BU179" s="42"/>
      <c r="BV179" s="42"/>
      <c r="BW179" s="42"/>
      <c r="BX179" s="42"/>
      <c r="BY179" s="42"/>
      <c r="BZ179" s="42"/>
      <c r="CA179" s="42"/>
      <c r="CB179" s="42"/>
      <c r="CC179" s="42"/>
      <c r="CD179" s="42"/>
      <c r="CE179" s="42"/>
      <c r="CF179" s="42"/>
      <c r="CG179" s="42"/>
      <c r="CH179" s="42"/>
      <c r="CI179" s="42"/>
      <c r="CJ179" s="42"/>
      <c r="CK179" s="42"/>
      <c r="CL179" s="42"/>
      <c r="CM179" s="42"/>
      <c r="CN179" s="42"/>
      <c r="CO179" s="42"/>
      <c r="CP179" s="42"/>
      <c r="CQ179" s="42"/>
      <c r="CR179" s="42"/>
      <c r="CS179" s="42"/>
      <c r="CT179" s="42"/>
      <c r="CU179" s="42"/>
      <c r="CV179" s="42"/>
      <c r="CW179" s="42"/>
      <c r="CX179" s="42"/>
      <c r="CY179" s="42"/>
    </row>
    <row r="180" spans="1:103" ht="30" customHeight="1" x14ac:dyDescent="0.3">
      <c r="K180" s="4"/>
    </row>
    <row r="181" spans="1:103" ht="30" customHeight="1" x14ac:dyDescent="0.3">
      <c r="D181" s="12"/>
      <c r="E181" s="12"/>
      <c r="H181" s="45"/>
      <c r="I181" s="45"/>
      <c r="J181" s="45"/>
    </row>
    <row r="182" spans="1:103" ht="30" customHeight="1" x14ac:dyDescent="0.3">
      <c r="D182" s="13"/>
      <c r="E182" s="13"/>
    </row>
  </sheetData>
  <mergeCells count="15">
    <mergeCell ref="AV1:BB1"/>
    <mergeCell ref="BC1:BI1"/>
    <mergeCell ref="BJ1:BP1"/>
    <mergeCell ref="B2:K2"/>
    <mergeCell ref="A1:B1"/>
    <mergeCell ref="M1:S1"/>
    <mergeCell ref="T1:Z1"/>
    <mergeCell ref="AA1:AG1"/>
    <mergeCell ref="AH1:AN1"/>
    <mergeCell ref="AO1:AU1"/>
    <mergeCell ref="BQ1:BW1"/>
    <mergeCell ref="BX1:CD1"/>
    <mergeCell ref="CE1:CK1"/>
    <mergeCell ref="CL1:CR1"/>
    <mergeCell ref="CS1:CY1"/>
  </mergeCells>
  <conditionalFormatting sqref="E96:E140 F140 E143:E179 E29 E35:E36 E66 E73:E75 E91:E94 E4:E21">
    <cfRule type="dataBar" priority="112">
      <dataBar>
        <cfvo type="num" val="0"/>
        <cfvo type="num" val="1"/>
        <color theme="0" tint="-0.249977111117893"/>
      </dataBar>
      <extLst>
        <ext xmlns:x14="http://schemas.microsoft.com/office/spreadsheetml/2009/9/main" uri="{B025F937-C7B1-47D3-B67F-A62EFF666E3E}">
          <x14:id>{18B6E4D4-B3AE-4B3C-911D-2CB24957B707}</x14:id>
        </ext>
      </extLst>
    </cfRule>
  </conditionalFormatting>
  <conditionalFormatting sqref="M115:BP179 M2:CY39 M56:CY111">
    <cfRule type="expression" dxfId="62" priority="113">
      <formula>AND(TODAY()&gt;=M$2,TODAY()&lt;N$2)</formula>
    </cfRule>
  </conditionalFormatting>
  <conditionalFormatting sqref="E95">
    <cfRule type="dataBar" priority="111">
      <dataBar>
        <cfvo type="num" val="0"/>
        <cfvo type="num" val="1"/>
        <color theme="0" tint="-0.249977111117893"/>
      </dataBar>
      <extLst>
        <ext xmlns:x14="http://schemas.microsoft.com/office/spreadsheetml/2009/9/main" uri="{B025F937-C7B1-47D3-B67F-A62EFF666E3E}">
          <x14:id>{B3C78308-0350-4924-94AC-5661B14D170E}</x14:id>
        </ext>
      </extLst>
    </cfRule>
  </conditionalFormatting>
  <conditionalFormatting sqref="M115:BP138 M141:BP179 M4:CY39 M56:CY111">
    <cfRule type="expression" dxfId="61" priority="109">
      <formula>AND(task_start&lt;=M$2,ROUNDDOWN((task_end-task_start+1)*task_progress,0)+task_start-1&gt;=M$2)</formula>
    </cfRule>
    <cfRule type="expression" dxfId="60" priority="110" stopIfTrue="1">
      <formula>AND(task_end&gt;=M$2,task_start&lt;N$2)</formula>
    </cfRule>
  </conditionalFormatting>
  <conditionalFormatting sqref="E141">
    <cfRule type="dataBar" priority="108">
      <dataBar>
        <cfvo type="num" val="0"/>
        <cfvo type="num" val="1"/>
        <color theme="0" tint="-0.249977111117893"/>
      </dataBar>
      <extLst>
        <ext xmlns:x14="http://schemas.microsoft.com/office/spreadsheetml/2009/9/main" uri="{B025F937-C7B1-47D3-B67F-A62EFF666E3E}">
          <x14:id>{AA670011-A0B9-490C-AD7C-6B6893941818}</x14:id>
        </ext>
      </extLst>
    </cfRule>
  </conditionalFormatting>
  <conditionalFormatting sqref="E142">
    <cfRule type="dataBar" priority="107">
      <dataBar>
        <cfvo type="num" val="0"/>
        <cfvo type="num" val="1"/>
        <color theme="0" tint="-0.249977111117893"/>
      </dataBar>
      <extLst>
        <ext xmlns:x14="http://schemas.microsoft.com/office/spreadsheetml/2009/9/main" uri="{B025F937-C7B1-47D3-B67F-A62EFF666E3E}">
          <x14:id>{65D7569E-0494-4F29-9941-03CA71F2AE98}</x14:id>
        </ext>
      </extLst>
    </cfRule>
  </conditionalFormatting>
  <conditionalFormatting sqref="E98">
    <cfRule type="dataBar" priority="106">
      <dataBar>
        <cfvo type="num" val="0"/>
        <cfvo type="num" val="1"/>
        <color theme="0" tint="-0.249977111117893"/>
      </dataBar>
      <extLst>
        <ext xmlns:x14="http://schemas.microsoft.com/office/spreadsheetml/2009/9/main" uri="{B025F937-C7B1-47D3-B67F-A62EFF666E3E}">
          <x14:id>{2733989C-5C32-42D4-B614-4A46C7F90C02}</x14:id>
        </ext>
      </extLst>
    </cfRule>
  </conditionalFormatting>
  <conditionalFormatting sqref="E99">
    <cfRule type="dataBar" priority="105">
      <dataBar>
        <cfvo type="num" val="0"/>
        <cfvo type="num" val="1"/>
        <color theme="0" tint="-0.249977111117893"/>
      </dataBar>
      <extLst>
        <ext xmlns:x14="http://schemas.microsoft.com/office/spreadsheetml/2009/9/main" uri="{B025F937-C7B1-47D3-B67F-A62EFF666E3E}">
          <x14:id>{66BCEE4A-210D-4069-87F9-7DCFFE745E1B}</x14:id>
        </ext>
      </extLst>
    </cfRule>
  </conditionalFormatting>
  <conditionalFormatting sqref="M139:BP140">
    <cfRule type="expression" dxfId="59" priority="114">
      <formula>AND(task_start&lt;=M$2,ROUNDDOWN((task_end-task_start+1)*task_progress,0)+task_start-1&gt;=M$2)</formula>
    </cfRule>
    <cfRule type="expression" dxfId="58" priority="115" stopIfTrue="1">
      <formula>AND(task_end&gt;=M$2,task_start&lt;N$2)</formula>
    </cfRule>
  </conditionalFormatting>
  <conditionalFormatting sqref="E112:E120">
    <cfRule type="dataBar" priority="103">
      <dataBar>
        <cfvo type="num" val="0"/>
        <cfvo type="num" val="1"/>
        <color theme="0" tint="-0.249977111117893"/>
      </dataBar>
      <extLst>
        <ext xmlns:x14="http://schemas.microsoft.com/office/spreadsheetml/2009/9/main" uri="{B025F937-C7B1-47D3-B67F-A62EFF666E3E}">
          <x14:id>{D5CF8A04-EACB-4F9F-82A3-9B2863B9FA81}</x14:id>
        </ext>
      </extLst>
    </cfRule>
  </conditionalFormatting>
  <conditionalFormatting sqref="M112:BP120">
    <cfRule type="expression" dxfId="57" priority="104">
      <formula>AND(TODAY()&gt;=M$2,TODAY()&lt;N$2)</formula>
    </cfRule>
  </conditionalFormatting>
  <conditionalFormatting sqref="M112:BP120">
    <cfRule type="expression" dxfId="56" priority="101">
      <formula>AND(task_start&lt;=M$2,ROUNDDOWN((task_end-task_start+1)*task_progress,0)+task_start-1&gt;=M$2)</formula>
    </cfRule>
    <cfRule type="expression" dxfId="55" priority="102" stopIfTrue="1">
      <formula>AND(task_end&gt;=M$2,task_start&lt;N$2)</formula>
    </cfRule>
  </conditionalFormatting>
  <conditionalFormatting sqref="E22:E24 E28">
    <cfRule type="dataBar" priority="100">
      <dataBar>
        <cfvo type="num" val="0"/>
        <cfvo type="num" val="1"/>
        <color theme="0" tint="-0.249977111117893"/>
      </dataBar>
      <extLst>
        <ext xmlns:x14="http://schemas.microsoft.com/office/spreadsheetml/2009/9/main" uri="{B025F937-C7B1-47D3-B67F-A62EFF666E3E}">
          <x14:id>{04C2C707-6DB7-404D-A2C7-0A8A8CB94779}</x14:id>
        </ext>
      </extLst>
    </cfRule>
  </conditionalFormatting>
  <conditionalFormatting sqref="CS115:CY179">
    <cfRule type="expression" dxfId="54" priority="24">
      <formula>AND(TODAY()&gt;=CS$2,TODAY()&lt;CT$2)</formula>
    </cfRule>
  </conditionalFormatting>
  <conditionalFormatting sqref="CS115:CY138 CS141:CY179">
    <cfRule type="expression" dxfId="53" priority="22">
      <formula>AND(task_start&lt;=CS$2,ROUNDDOWN((task_end-task_start+1)*task_progress,0)+task_start-1&gt;=CS$2)</formula>
    </cfRule>
    <cfRule type="expression" dxfId="52" priority="23" stopIfTrue="1">
      <formula>AND(task_end&gt;=CS$2,task_start&lt;CT$2)</formula>
    </cfRule>
  </conditionalFormatting>
  <conditionalFormatting sqref="CS139:CY140">
    <cfRule type="expression" dxfId="51" priority="25">
      <formula>AND(task_start&lt;=CS$2,ROUNDDOWN((task_end-task_start+1)*task_progress,0)+task_start-1&gt;=CS$2)</formula>
    </cfRule>
    <cfRule type="expression" dxfId="50" priority="26" stopIfTrue="1">
      <formula>AND(task_end&gt;=CS$2,task_start&lt;CT$2)</formula>
    </cfRule>
  </conditionalFormatting>
  <conditionalFormatting sqref="CS112:CY120">
    <cfRule type="expression" dxfId="49" priority="21">
      <formula>AND(TODAY()&gt;=CS$2,TODAY()&lt;CT$2)</formula>
    </cfRule>
  </conditionalFormatting>
  <conditionalFormatting sqref="CS112:CY120">
    <cfRule type="expression" dxfId="48" priority="19">
      <formula>AND(task_start&lt;=CS$2,ROUNDDOWN((task_end-task_start+1)*task_progress,0)+task_start-1&gt;=CS$2)</formula>
    </cfRule>
    <cfRule type="expression" dxfId="47" priority="20" stopIfTrue="1">
      <formula>AND(task_end&gt;=CS$2,task_start&lt;CT$2)</formula>
    </cfRule>
  </conditionalFormatting>
  <conditionalFormatting sqref="BQ115:BW179">
    <cfRule type="expression" dxfId="46" priority="88">
      <formula>AND(TODAY()&gt;=BQ$2,TODAY()&lt;BR$2)</formula>
    </cfRule>
  </conditionalFormatting>
  <conditionalFormatting sqref="BQ115:BW138 BQ141:BW179">
    <cfRule type="expression" dxfId="45" priority="86">
      <formula>AND(task_start&lt;=BQ$2,ROUNDDOWN((task_end-task_start+1)*task_progress,0)+task_start-1&gt;=BQ$2)</formula>
    </cfRule>
    <cfRule type="expression" dxfId="44" priority="87" stopIfTrue="1">
      <formula>AND(task_end&gt;=BQ$2,task_start&lt;BR$2)</formula>
    </cfRule>
  </conditionalFormatting>
  <conditionalFormatting sqref="BQ139:BW140">
    <cfRule type="expression" dxfId="43" priority="89">
      <formula>AND(task_start&lt;=BQ$2,ROUNDDOWN((task_end-task_start+1)*task_progress,0)+task_start-1&gt;=BQ$2)</formula>
    </cfRule>
    <cfRule type="expression" dxfId="42" priority="90" stopIfTrue="1">
      <formula>AND(task_end&gt;=BQ$2,task_start&lt;BR$2)</formula>
    </cfRule>
  </conditionalFormatting>
  <conditionalFormatting sqref="BQ112:BW120">
    <cfRule type="expression" dxfId="41" priority="85">
      <formula>AND(TODAY()&gt;=BQ$2,TODAY()&lt;BR$2)</formula>
    </cfRule>
  </conditionalFormatting>
  <conditionalFormatting sqref="BQ112:BW120">
    <cfRule type="expression" dxfId="40" priority="83">
      <formula>AND(task_start&lt;=BQ$2,ROUNDDOWN((task_end-task_start+1)*task_progress,0)+task_start-1&gt;=BQ$2)</formula>
    </cfRule>
    <cfRule type="expression" dxfId="39" priority="84" stopIfTrue="1">
      <formula>AND(task_end&gt;=BQ$2,task_start&lt;BR$2)</formula>
    </cfRule>
  </conditionalFormatting>
  <conditionalFormatting sqref="BX115:CD179">
    <cfRule type="expression" dxfId="38" priority="72">
      <formula>AND(TODAY()&gt;=BX$2,TODAY()&lt;BY$2)</formula>
    </cfRule>
  </conditionalFormatting>
  <conditionalFormatting sqref="BX115:CD138 BX141:CD179">
    <cfRule type="expression" dxfId="37" priority="70">
      <formula>AND(task_start&lt;=BX$2,ROUNDDOWN((task_end-task_start+1)*task_progress,0)+task_start-1&gt;=BX$2)</formula>
    </cfRule>
    <cfRule type="expression" dxfId="36" priority="71" stopIfTrue="1">
      <formula>AND(task_end&gt;=BX$2,task_start&lt;BY$2)</formula>
    </cfRule>
  </conditionalFormatting>
  <conditionalFormatting sqref="BX139:CD140">
    <cfRule type="expression" dxfId="35" priority="73">
      <formula>AND(task_start&lt;=BX$2,ROUNDDOWN((task_end-task_start+1)*task_progress,0)+task_start-1&gt;=BX$2)</formula>
    </cfRule>
    <cfRule type="expression" dxfId="34" priority="74" stopIfTrue="1">
      <formula>AND(task_end&gt;=BX$2,task_start&lt;BY$2)</formula>
    </cfRule>
  </conditionalFormatting>
  <conditionalFormatting sqref="BX112:CD120">
    <cfRule type="expression" dxfId="33" priority="69">
      <formula>AND(TODAY()&gt;=BX$2,TODAY()&lt;BY$2)</formula>
    </cfRule>
  </conditionalFormatting>
  <conditionalFormatting sqref="BX112:CD120">
    <cfRule type="expression" dxfId="32" priority="67">
      <formula>AND(task_start&lt;=BX$2,ROUNDDOWN((task_end-task_start+1)*task_progress,0)+task_start-1&gt;=BX$2)</formula>
    </cfRule>
    <cfRule type="expression" dxfId="31" priority="68" stopIfTrue="1">
      <formula>AND(task_end&gt;=BX$2,task_start&lt;BY$2)</formula>
    </cfRule>
  </conditionalFormatting>
  <conditionalFormatting sqref="CE115:CK179">
    <cfRule type="expression" dxfId="30" priority="56">
      <formula>AND(TODAY()&gt;=CE$2,TODAY()&lt;CF$2)</formula>
    </cfRule>
  </conditionalFormatting>
  <conditionalFormatting sqref="CE115:CK138 CE141:CK179">
    <cfRule type="expression" dxfId="29" priority="54">
      <formula>AND(task_start&lt;=CE$2,ROUNDDOWN((task_end-task_start+1)*task_progress,0)+task_start-1&gt;=CE$2)</formula>
    </cfRule>
    <cfRule type="expression" dxfId="28" priority="55" stopIfTrue="1">
      <formula>AND(task_end&gt;=CE$2,task_start&lt;CF$2)</formula>
    </cfRule>
  </conditionalFormatting>
  <conditionalFormatting sqref="CE139:CK140">
    <cfRule type="expression" dxfId="27" priority="57">
      <formula>AND(task_start&lt;=CE$2,ROUNDDOWN((task_end-task_start+1)*task_progress,0)+task_start-1&gt;=CE$2)</formula>
    </cfRule>
    <cfRule type="expression" dxfId="26" priority="58" stopIfTrue="1">
      <formula>AND(task_end&gt;=CE$2,task_start&lt;CF$2)</formula>
    </cfRule>
  </conditionalFormatting>
  <conditionalFormatting sqref="CE112:CK120">
    <cfRule type="expression" dxfId="25" priority="53">
      <formula>AND(TODAY()&gt;=CE$2,TODAY()&lt;CF$2)</formula>
    </cfRule>
  </conditionalFormatting>
  <conditionalFormatting sqref="CE112:CK120">
    <cfRule type="expression" dxfId="24" priority="51">
      <formula>AND(task_start&lt;=CE$2,ROUNDDOWN((task_end-task_start+1)*task_progress,0)+task_start-1&gt;=CE$2)</formula>
    </cfRule>
    <cfRule type="expression" dxfId="23" priority="52" stopIfTrue="1">
      <formula>AND(task_end&gt;=CE$2,task_start&lt;CF$2)</formula>
    </cfRule>
  </conditionalFormatting>
  <conditionalFormatting sqref="CL115:CR179">
    <cfRule type="expression" dxfId="22" priority="40">
      <formula>AND(TODAY()&gt;=CL$2,TODAY()&lt;CM$2)</formula>
    </cfRule>
  </conditionalFormatting>
  <conditionalFormatting sqref="CL115:CR138 CL141:CR179">
    <cfRule type="expression" dxfId="21" priority="38">
      <formula>AND(task_start&lt;=CL$2,ROUNDDOWN((task_end-task_start+1)*task_progress,0)+task_start-1&gt;=CL$2)</formula>
    </cfRule>
    <cfRule type="expression" dxfId="20" priority="39" stopIfTrue="1">
      <formula>AND(task_end&gt;=CL$2,task_start&lt;CM$2)</formula>
    </cfRule>
  </conditionalFormatting>
  <conditionalFormatting sqref="CL139:CR140">
    <cfRule type="expression" dxfId="19" priority="41">
      <formula>AND(task_start&lt;=CL$2,ROUNDDOWN((task_end-task_start+1)*task_progress,0)+task_start-1&gt;=CL$2)</formula>
    </cfRule>
    <cfRule type="expression" dxfId="18" priority="42" stopIfTrue="1">
      <formula>AND(task_end&gt;=CL$2,task_start&lt;CM$2)</formula>
    </cfRule>
  </conditionalFormatting>
  <conditionalFormatting sqref="CL112:CR120">
    <cfRule type="expression" dxfId="17" priority="37">
      <formula>AND(TODAY()&gt;=CL$2,TODAY()&lt;CM$2)</formula>
    </cfRule>
  </conditionalFormatting>
  <conditionalFormatting sqref="CL112:CR120">
    <cfRule type="expression" dxfId="16" priority="35">
      <formula>AND(task_start&lt;=CL$2,ROUNDDOWN((task_end-task_start+1)*task_progress,0)+task_start-1&gt;=CL$2)</formula>
    </cfRule>
    <cfRule type="expression" dxfId="15" priority="36" stopIfTrue="1">
      <formula>AND(task_end&gt;=CL$2,task_start&lt;CM$2)</formula>
    </cfRule>
  </conditionalFormatting>
  <conditionalFormatting sqref="E25:E27">
    <cfRule type="dataBar" priority="18">
      <dataBar>
        <cfvo type="num" val="0"/>
        <cfvo type="num" val="1"/>
        <color theme="0" tint="-0.249977111117893"/>
      </dataBar>
      <extLst>
        <ext xmlns:x14="http://schemas.microsoft.com/office/spreadsheetml/2009/9/main" uri="{B025F937-C7B1-47D3-B67F-A62EFF666E3E}">
          <x14:id>{2F6E78B6-57DA-4EE5-BC28-84812B66BCE0}</x14:id>
        </ext>
      </extLst>
    </cfRule>
  </conditionalFormatting>
  <conditionalFormatting sqref="E37:E39 E56:E65">
    <cfRule type="dataBar" priority="14">
      <dataBar>
        <cfvo type="num" val="0"/>
        <cfvo type="num" val="1"/>
        <color theme="0" tint="-0.249977111117893"/>
      </dataBar>
      <extLst>
        <ext xmlns:x14="http://schemas.microsoft.com/office/spreadsheetml/2009/9/main" uri="{B025F937-C7B1-47D3-B67F-A62EFF666E3E}">
          <x14:id>{CDFF53D6-12C1-4F39-8460-C969B3C28404}</x14:id>
        </ext>
      </extLst>
    </cfRule>
  </conditionalFormatting>
  <conditionalFormatting sqref="E34">
    <cfRule type="dataBar" priority="17">
      <dataBar>
        <cfvo type="num" val="0"/>
        <cfvo type="num" val="1"/>
        <color theme="0" tint="-0.249977111117893"/>
      </dataBar>
      <extLst>
        <ext xmlns:x14="http://schemas.microsoft.com/office/spreadsheetml/2009/9/main" uri="{B025F937-C7B1-47D3-B67F-A62EFF666E3E}">
          <x14:id>{AEF6937B-CCB2-418C-B83C-D722B8222824}</x14:id>
        </ext>
      </extLst>
    </cfRule>
  </conditionalFormatting>
  <conditionalFormatting sqref="E33">
    <cfRule type="dataBar" priority="16">
      <dataBar>
        <cfvo type="num" val="0"/>
        <cfvo type="num" val="1"/>
        <color theme="0" tint="-0.249977111117893"/>
      </dataBar>
      <extLst>
        <ext xmlns:x14="http://schemas.microsoft.com/office/spreadsheetml/2009/9/main" uri="{B025F937-C7B1-47D3-B67F-A62EFF666E3E}">
          <x14:id>{EF63A640-9BA8-45DB-9CF9-6F54F79AD491}</x14:id>
        </ext>
      </extLst>
    </cfRule>
  </conditionalFormatting>
  <conditionalFormatting sqref="E30:E32">
    <cfRule type="dataBar" priority="15">
      <dataBar>
        <cfvo type="num" val="0"/>
        <cfvo type="num" val="1"/>
        <color theme="0" tint="-0.249977111117893"/>
      </dataBar>
      <extLst>
        <ext xmlns:x14="http://schemas.microsoft.com/office/spreadsheetml/2009/9/main" uri="{B025F937-C7B1-47D3-B67F-A62EFF666E3E}">
          <x14:id>{3F0897CB-BD39-4F30-9EE3-6EFF4BA09F6E}</x14:id>
        </ext>
      </extLst>
    </cfRule>
  </conditionalFormatting>
  <conditionalFormatting sqref="E76:E77">
    <cfRule type="dataBar" priority="10">
      <dataBar>
        <cfvo type="num" val="0"/>
        <cfvo type="num" val="1"/>
        <color theme="0" tint="-0.249977111117893"/>
      </dataBar>
      <extLst>
        <ext xmlns:x14="http://schemas.microsoft.com/office/spreadsheetml/2009/9/main" uri="{B025F937-C7B1-47D3-B67F-A62EFF666E3E}">
          <x14:id>{0FDBF04C-9406-4C12-9D23-3FA9E90B02AC}</x14:id>
        </ext>
      </extLst>
    </cfRule>
  </conditionalFormatting>
  <conditionalFormatting sqref="E70:E72">
    <cfRule type="dataBar" priority="11">
      <dataBar>
        <cfvo type="num" val="0"/>
        <cfvo type="num" val="1"/>
        <color theme="0" tint="-0.249977111117893"/>
      </dataBar>
      <extLst>
        <ext xmlns:x14="http://schemas.microsoft.com/office/spreadsheetml/2009/9/main" uri="{B025F937-C7B1-47D3-B67F-A62EFF666E3E}">
          <x14:id>{D1F99083-5105-4364-8A99-7C8FB0955E33}</x14:id>
        </ext>
      </extLst>
    </cfRule>
  </conditionalFormatting>
  <conditionalFormatting sqref="E67:E69">
    <cfRule type="dataBar" priority="12">
      <dataBar>
        <cfvo type="num" val="0"/>
        <cfvo type="num" val="1"/>
        <color theme="0" tint="-0.249977111117893"/>
      </dataBar>
      <extLst>
        <ext xmlns:x14="http://schemas.microsoft.com/office/spreadsheetml/2009/9/main" uri="{B025F937-C7B1-47D3-B67F-A62EFF666E3E}">
          <x14:id>{2EFD20B7-940C-4D32-AB8E-A629C1DBA6D2}</x14:id>
        </ext>
      </extLst>
    </cfRule>
  </conditionalFormatting>
  <conditionalFormatting sqref="E88:E91">
    <cfRule type="dataBar" priority="6">
      <dataBar>
        <cfvo type="num" val="0"/>
        <cfvo type="num" val="1"/>
        <color theme="0" tint="-0.249977111117893"/>
      </dataBar>
      <extLst>
        <ext xmlns:x14="http://schemas.microsoft.com/office/spreadsheetml/2009/9/main" uri="{B025F937-C7B1-47D3-B67F-A62EFF666E3E}">
          <x14:id>{BF87EE76-0867-40FF-8F28-2A227C4AAA28}</x14:id>
        </ext>
      </extLst>
    </cfRule>
  </conditionalFormatting>
  <conditionalFormatting sqref="E85:E87">
    <cfRule type="dataBar" priority="5">
      <dataBar>
        <cfvo type="num" val="0"/>
        <cfvo type="num" val="1"/>
        <color theme="0" tint="-0.249977111117893"/>
      </dataBar>
      <extLst>
        <ext xmlns:x14="http://schemas.microsoft.com/office/spreadsheetml/2009/9/main" uri="{B025F937-C7B1-47D3-B67F-A62EFF666E3E}">
          <x14:id>{2E111FAC-588C-4EF1-8B91-D8E4D743B641}</x14:id>
        </ext>
      </extLst>
    </cfRule>
  </conditionalFormatting>
  <conditionalFormatting sqref="E81">
    <cfRule type="dataBar" priority="9">
      <dataBar>
        <cfvo type="num" val="0"/>
        <cfvo type="num" val="1"/>
        <color theme="0" tint="-0.249977111117893"/>
      </dataBar>
      <extLst>
        <ext xmlns:x14="http://schemas.microsoft.com/office/spreadsheetml/2009/9/main" uri="{B025F937-C7B1-47D3-B67F-A62EFF666E3E}">
          <x14:id>{6AA7E12B-F96C-4165-8D41-6F804AE9B5E3}</x14:id>
        </ext>
      </extLst>
    </cfRule>
  </conditionalFormatting>
  <conditionalFormatting sqref="E78:E80">
    <cfRule type="dataBar" priority="8">
      <dataBar>
        <cfvo type="num" val="0"/>
        <cfvo type="num" val="1"/>
        <color theme="0" tint="-0.249977111117893"/>
      </dataBar>
      <extLst>
        <ext xmlns:x14="http://schemas.microsoft.com/office/spreadsheetml/2009/9/main" uri="{B025F937-C7B1-47D3-B67F-A62EFF666E3E}">
          <x14:id>{D7ACCD9D-6AAD-4B45-A7CA-D089E0334E8D}</x14:id>
        </ext>
      </extLst>
    </cfRule>
  </conditionalFormatting>
  <conditionalFormatting sqref="E82:E84">
    <cfRule type="dataBar" priority="7">
      <dataBar>
        <cfvo type="num" val="0"/>
        <cfvo type="num" val="1"/>
        <color theme="0" tint="-0.249977111117893"/>
      </dataBar>
      <extLst>
        <ext xmlns:x14="http://schemas.microsoft.com/office/spreadsheetml/2009/9/main" uri="{B025F937-C7B1-47D3-B67F-A62EFF666E3E}">
          <x14:id>{38E98B5B-95F3-4F94-8EBF-7ECC531C7986}</x14:id>
        </ext>
      </extLst>
    </cfRule>
  </conditionalFormatting>
  <conditionalFormatting sqref="M40:CY55">
    <cfRule type="expression" dxfId="14" priority="4">
      <formula>AND(TODAY()&gt;=M$2,TODAY()&lt;N$2)</formula>
    </cfRule>
  </conditionalFormatting>
  <conditionalFormatting sqref="M40:CY55">
    <cfRule type="expression" dxfId="13" priority="2">
      <formula>AND(task_start&lt;=M$2,ROUNDDOWN((task_end-task_start+1)*task_progress,0)+task_start-1&gt;=M$2)</formula>
    </cfRule>
    <cfRule type="expression" dxfId="12" priority="3" stopIfTrue="1">
      <formula>AND(task_end&gt;=M$2,task_start&lt;N$2)</formula>
    </cfRule>
  </conditionalFormatting>
  <conditionalFormatting sqref="E40:E55">
    <cfRule type="dataBar" priority="1">
      <dataBar>
        <cfvo type="num" val="0"/>
        <cfvo type="num" val="1"/>
        <color theme="0" tint="-0.249977111117893"/>
      </dataBar>
      <extLst>
        <ext xmlns:x14="http://schemas.microsoft.com/office/spreadsheetml/2009/9/main" uri="{B025F937-C7B1-47D3-B67F-A62EFF666E3E}">
          <x14:id>{BF5D40C7-9A7D-4785-87F0-5FBF3D595F61}</x14:id>
        </ext>
      </extLst>
    </cfRule>
  </conditionalFormatting>
  <dataValidations disablePrompts="1" count="1">
    <dataValidation type="whole" operator="greaterThanOrEqual" allowBlank="1" showInputMessage="1" promptTitle="Display Week" prompt="Changing this number will scroll the Gantt Chart view." sqref="G1" xr:uid="{00000000-0002-0000-0500-000000000000}">
      <formula1>1</formula1>
    </dataValidation>
  </dataValidations>
  <printOptions horizontalCentered="1"/>
  <pageMargins left="0.35" right="0.35" top="0.35" bottom="0.5" header="0.3" footer="0.3"/>
  <pageSetup scale="31"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18B6E4D4-B3AE-4B3C-911D-2CB24957B707}">
            <x14:dataBar minLength="0" maxLength="100" gradient="0">
              <x14:cfvo type="num">
                <xm:f>0</xm:f>
              </x14:cfvo>
              <x14:cfvo type="num">
                <xm:f>1</xm:f>
              </x14:cfvo>
              <x14:negativeFillColor rgb="FFFF0000"/>
              <x14:axisColor rgb="FF000000"/>
            </x14:dataBar>
          </x14:cfRule>
          <xm:sqref>E96:E140 F140 E143:E179 E29 E35:E36 E66 E73:E75 E91:E94 E4:E21</xm:sqref>
        </x14:conditionalFormatting>
        <x14:conditionalFormatting xmlns:xm="http://schemas.microsoft.com/office/excel/2006/main">
          <x14:cfRule type="dataBar" id="{B3C78308-0350-4924-94AC-5661B14D170E}">
            <x14:dataBar minLength="0" maxLength="100" gradient="0">
              <x14:cfvo type="num">
                <xm:f>0</xm:f>
              </x14:cfvo>
              <x14:cfvo type="num">
                <xm:f>1</xm:f>
              </x14:cfvo>
              <x14:negativeFillColor rgb="FFFF0000"/>
              <x14:axisColor rgb="FF000000"/>
            </x14:dataBar>
          </x14:cfRule>
          <xm:sqref>E95</xm:sqref>
        </x14:conditionalFormatting>
        <x14:conditionalFormatting xmlns:xm="http://schemas.microsoft.com/office/excel/2006/main">
          <x14:cfRule type="dataBar" id="{AA670011-A0B9-490C-AD7C-6B6893941818}">
            <x14:dataBar minLength="0" maxLength="100" gradient="0">
              <x14:cfvo type="num">
                <xm:f>0</xm:f>
              </x14:cfvo>
              <x14:cfvo type="num">
                <xm:f>1</xm:f>
              </x14:cfvo>
              <x14:negativeFillColor rgb="FFFF0000"/>
              <x14:axisColor rgb="FF000000"/>
            </x14:dataBar>
          </x14:cfRule>
          <xm:sqref>E141</xm:sqref>
        </x14:conditionalFormatting>
        <x14:conditionalFormatting xmlns:xm="http://schemas.microsoft.com/office/excel/2006/main">
          <x14:cfRule type="dataBar" id="{65D7569E-0494-4F29-9941-03CA71F2AE98}">
            <x14:dataBar minLength="0" maxLength="100" gradient="0">
              <x14:cfvo type="num">
                <xm:f>0</xm:f>
              </x14:cfvo>
              <x14:cfvo type="num">
                <xm:f>1</xm:f>
              </x14:cfvo>
              <x14:negativeFillColor rgb="FFFF0000"/>
              <x14:axisColor rgb="FF000000"/>
            </x14:dataBar>
          </x14:cfRule>
          <xm:sqref>E142</xm:sqref>
        </x14:conditionalFormatting>
        <x14:conditionalFormatting xmlns:xm="http://schemas.microsoft.com/office/excel/2006/main">
          <x14:cfRule type="dataBar" id="{2733989C-5C32-42D4-B614-4A46C7F90C02}">
            <x14:dataBar minLength="0" maxLength="100" gradient="0">
              <x14:cfvo type="num">
                <xm:f>0</xm:f>
              </x14:cfvo>
              <x14:cfvo type="num">
                <xm:f>1</xm:f>
              </x14:cfvo>
              <x14:negativeFillColor rgb="FFFF0000"/>
              <x14:axisColor rgb="FF000000"/>
            </x14:dataBar>
          </x14:cfRule>
          <xm:sqref>E98</xm:sqref>
        </x14:conditionalFormatting>
        <x14:conditionalFormatting xmlns:xm="http://schemas.microsoft.com/office/excel/2006/main">
          <x14:cfRule type="dataBar" id="{66BCEE4A-210D-4069-87F9-7DCFFE745E1B}">
            <x14:dataBar minLength="0" maxLength="100" gradient="0">
              <x14:cfvo type="num">
                <xm:f>0</xm:f>
              </x14:cfvo>
              <x14:cfvo type="num">
                <xm:f>1</xm:f>
              </x14:cfvo>
              <x14:negativeFillColor rgb="FFFF0000"/>
              <x14:axisColor rgb="FF000000"/>
            </x14:dataBar>
          </x14:cfRule>
          <xm:sqref>E99</xm:sqref>
        </x14:conditionalFormatting>
        <x14:conditionalFormatting xmlns:xm="http://schemas.microsoft.com/office/excel/2006/main">
          <x14:cfRule type="dataBar" id="{D5CF8A04-EACB-4F9F-82A3-9B2863B9FA81}">
            <x14:dataBar minLength="0" maxLength="100" gradient="0">
              <x14:cfvo type="num">
                <xm:f>0</xm:f>
              </x14:cfvo>
              <x14:cfvo type="num">
                <xm:f>1</xm:f>
              </x14:cfvo>
              <x14:negativeFillColor rgb="FFFF0000"/>
              <x14:axisColor rgb="FF000000"/>
            </x14:dataBar>
          </x14:cfRule>
          <xm:sqref>E112:E120</xm:sqref>
        </x14:conditionalFormatting>
        <x14:conditionalFormatting xmlns:xm="http://schemas.microsoft.com/office/excel/2006/main">
          <x14:cfRule type="dataBar" id="{04C2C707-6DB7-404D-A2C7-0A8A8CB94779}">
            <x14:dataBar minLength="0" maxLength="100" gradient="0">
              <x14:cfvo type="num">
                <xm:f>0</xm:f>
              </x14:cfvo>
              <x14:cfvo type="num">
                <xm:f>1</xm:f>
              </x14:cfvo>
              <x14:negativeFillColor rgb="FFFF0000"/>
              <x14:axisColor rgb="FF000000"/>
            </x14:dataBar>
          </x14:cfRule>
          <xm:sqref>E22:E24 E28</xm:sqref>
        </x14:conditionalFormatting>
        <x14:conditionalFormatting xmlns:xm="http://schemas.microsoft.com/office/excel/2006/main">
          <x14:cfRule type="dataBar" id="{2F6E78B6-57DA-4EE5-BC28-84812B66BCE0}">
            <x14:dataBar minLength="0" maxLength="100" gradient="0">
              <x14:cfvo type="num">
                <xm:f>0</xm:f>
              </x14:cfvo>
              <x14:cfvo type="num">
                <xm:f>1</xm:f>
              </x14:cfvo>
              <x14:negativeFillColor rgb="FFFF0000"/>
              <x14:axisColor rgb="FF000000"/>
            </x14:dataBar>
          </x14:cfRule>
          <xm:sqref>E25:E27</xm:sqref>
        </x14:conditionalFormatting>
        <x14:conditionalFormatting xmlns:xm="http://schemas.microsoft.com/office/excel/2006/main">
          <x14:cfRule type="dataBar" id="{CDFF53D6-12C1-4F39-8460-C969B3C28404}">
            <x14:dataBar minLength="0" maxLength="100" gradient="0">
              <x14:cfvo type="num">
                <xm:f>0</xm:f>
              </x14:cfvo>
              <x14:cfvo type="num">
                <xm:f>1</xm:f>
              </x14:cfvo>
              <x14:negativeFillColor rgb="FFFF0000"/>
              <x14:axisColor rgb="FF000000"/>
            </x14:dataBar>
          </x14:cfRule>
          <xm:sqref>E37:E39 E56:E65</xm:sqref>
        </x14:conditionalFormatting>
        <x14:conditionalFormatting xmlns:xm="http://schemas.microsoft.com/office/excel/2006/main">
          <x14:cfRule type="dataBar" id="{AEF6937B-CCB2-418C-B83C-D722B8222824}">
            <x14:dataBar minLength="0" maxLength="100" gradient="0">
              <x14:cfvo type="num">
                <xm:f>0</xm:f>
              </x14:cfvo>
              <x14:cfvo type="num">
                <xm:f>1</xm:f>
              </x14:cfvo>
              <x14:negativeFillColor rgb="FFFF0000"/>
              <x14:axisColor rgb="FF000000"/>
            </x14:dataBar>
          </x14:cfRule>
          <xm:sqref>E34</xm:sqref>
        </x14:conditionalFormatting>
        <x14:conditionalFormatting xmlns:xm="http://schemas.microsoft.com/office/excel/2006/main">
          <x14:cfRule type="dataBar" id="{EF63A640-9BA8-45DB-9CF9-6F54F79AD491}">
            <x14:dataBar minLength="0" maxLength="100" gradient="0">
              <x14:cfvo type="num">
                <xm:f>0</xm:f>
              </x14:cfvo>
              <x14:cfvo type="num">
                <xm:f>1</xm:f>
              </x14:cfvo>
              <x14:negativeFillColor rgb="FFFF0000"/>
              <x14:axisColor rgb="FF000000"/>
            </x14:dataBar>
          </x14:cfRule>
          <xm:sqref>E33</xm:sqref>
        </x14:conditionalFormatting>
        <x14:conditionalFormatting xmlns:xm="http://schemas.microsoft.com/office/excel/2006/main">
          <x14:cfRule type="dataBar" id="{3F0897CB-BD39-4F30-9EE3-6EFF4BA09F6E}">
            <x14:dataBar minLength="0" maxLength="100" gradient="0">
              <x14:cfvo type="num">
                <xm:f>0</xm:f>
              </x14:cfvo>
              <x14:cfvo type="num">
                <xm:f>1</xm:f>
              </x14:cfvo>
              <x14:negativeFillColor rgb="FFFF0000"/>
              <x14:axisColor rgb="FF000000"/>
            </x14:dataBar>
          </x14:cfRule>
          <xm:sqref>E30:E32</xm:sqref>
        </x14:conditionalFormatting>
        <x14:conditionalFormatting xmlns:xm="http://schemas.microsoft.com/office/excel/2006/main">
          <x14:cfRule type="dataBar" id="{0FDBF04C-9406-4C12-9D23-3FA9E90B02AC}">
            <x14:dataBar minLength="0" maxLength="100" gradient="0">
              <x14:cfvo type="num">
                <xm:f>0</xm:f>
              </x14:cfvo>
              <x14:cfvo type="num">
                <xm:f>1</xm:f>
              </x14:cfvo>
              <x14:negativeFillColor rgb="FFFF0000"/>
              <x14:axisColor rgb="FF000000"/>
            </x14:dataBar>
          </x14:cfRule>
          <xm:sqref>E76:E77</xm:sqref>
        </x14:conditionalFormatting>
        <x14:conditionalFormatting xmlns:xm="http://schemas.microsoft.com/office/excel/2006/main">
          <x14:cfRule type="dataBar" id="{D1F99083-5105-4364-8A99-7C8FB0955E33}">
            <x14:dataBar minLength="0" maxLength="100" gradient="0">
              <x14:cfvo type="num">
                <xm:f>0</xm:f>
              </x14:cfvo>
              <x14:cfvo type="num">
                <xm:f>1</xm:f>
              </x14:cfvo>
              <x14:negativeFillColor rgb="FFFF0000"/>
              <x14:axisColor rgb="FF000000"/>
            </x14:dataBar>
          </x14:cfRule>
          <xm:sqref>E70:E72</xm:sqref>
        </x14:conditionalFormatting>
        <x14:conditionalFormatting xmlns:xm="http://schemas.microsoft.com/office/excel/2006/main">
          <x14:cfRule type="dataBar" id="{2EFD20B7-940C-4D32-AB8E-A629C1DBA6D2}">
            <x14:dataBar minLength="0" maxLength="100" gradient="0">
              <x14:cfvo type="num">
                <xm:f>0</xm:f>
              </x14:cfvo>
              <x14:cfvo type="num">
                <xm:f>1</xm:f>
              </x14:cfvo>
              <x14:negativeFillColor rgb="FFFF0000"/>
              <x14:axisColor rgb="FF000000"/>
            </x14:dataBar>
          </x14:cfRule>
          <xm:sqref>E67:E69</xm:sqref>
        </x14:conditionalFormatting>
        <x14:conditionalFormatting xmlns:xm="http://schemas.microsoft.com/office/excel/2006/main">
          <x14:cfRule type="dataBar" id="{BF87EE76-0867-40FF-8F28-2A227C4AAA28}">
            <x14:dataBar minLength="0" maxLength="100" gradient="0">
              <x14:cfvo type="num">
                <xm:f>0</xm:f>
              </x14:cfvo>
              <x14:cfvo type="num">
                <xm:f>1</xm:f>
              </x14:cfvo>
              <x14:negativeFillColor rgb="FFFF0000"/>
              <x14:axisColor rgb="FF000000"/>
            </x14:dataBar>
          </x14:cfRule>
          <xm:sqref>E88:E91</xm:sqref>
        </x14:conditionalFormatting>
        <x14:conditionalFormatting xmlns:xm="http://schemas.microsoft.com/office/excel/2006/main">
          <x14:cfRule type="dataBar" id="{2E111FAC-588C-4EF1-8B91-D8E4D743B641}">
            <x14:dataBar minLength="0" maxLength="100" gradient="0">
              <x14:cfvo type="num">
                <xm:f>0</xm:f>
              </x14:cfvo>
              <x14:cfvo type="num">
                <xm:f>1</xm:f>
              </x14:cfvo>
              <x14:negativeFillColor rgb="FFFF0000"/>
              <x14:axisColor rgb="FF000000"/>
            </x14:dataBar>
          </x14:cfRule>
          <xm:sqref>E85:E87</xm:sqref>
        </x14:conditionalFormatting>
        <x14:conditionalFormatting xmlns:xm="http://schemas.microsoft.com/office/excel/2006/main">
          <x14:cfRule type="dataBar" id="{6AA7E12B-F96C-4165-8D41-6F804AE9B5E3}">
            <x14:dataBar minLength="0" maxLength="100" gradient="0">
              <x14:cfvo type="num">
                <xm:f>0</xm:f>
              </x14:cfvo>
              <x14:cfvo type="num">
                <xm:f>1</xm:f>
              </x14:cfvo>
              <x14:negativeFillColor rgb="FFFF0000"/>
              <x14:axisColor rgb="FF000000"/>
            </x14:dataBar>
          </x14:cfRule>
          <xm:sqref>E81</xm:sqref>
        </x14:conditionalFormatting>
        <x14:conditionalFormatting xmlns:xm="http://schemas.microsoft.com/office/excel/2006/main">
          <x14:cfRule type="dataBar" id="{D7ACCD9D-6AAD-4B45-A7CA-D089E0334E8D}">
            <x14:dataBar minLength="0" maxLength="100" gradient="0">
              <x14:cfvo type="num">
                <xm:f>0</xm:f>
              </x14:cfvo>
              <x14:cfvo type="num">
                <xm:f>1</xm:f>
              </x14:cfvo>
              <x14:negativeFillColor rgb="FFFF0000"/>
              <x14:axisColor rgb="FF000000"/>
            </x14:dataBar>
          </x14:cfRule>
          <xm:sqref>E78:E80</xm:sqref>
        </x14:conditionalFormatting>
        <x14:conditionalFormatting xmlns:xm="http://schemas.microsoft.com/office/excel/2006/main">
          <x14:cfRule type="dataBar" id="{38E98B5B-95F3-4F94-8EBF-7ECC531C7986}">
            <x14:dataBar minLength="0" maxLength="100" gradient="0">
              <x14:cfvo type="num">
                <xm:f>0</xm:f>
              </x14:cfvo>
              <x14:cfvo type="num">
                <xm:f>1</xm:f>
              </x14:cfvo>
              <x14:negativeFillColor rgb="FFFF0000"/>
              <x14:axisColor rgb="FF000000"/>
            </x14:dataBar>
          </x14:cfRule>
          <xm:sqref>E82:E84</xm:sqref>
        </x14:conditionalFormatting>
        <x14:conditionalFormatting xmlns:xm="http://schemas.microsoft.com/office/excel/2006/main">
          <x14:cfRule type="dataBar" id="{BF5D40C7-9A7D-4785-87F0-5FBF3D595F61}">
            <x14:dataBar minLength="0" maxLength="100" gradient="0">
              <x14:cfvo type="num">
                <xm:f>0</xm:f>
              </x14:cfvo>
              <x14:cfvo type="num">
                <xm:f>1</xm:f>
              </x14:cfvo>
              <x14:negativeFillColor rgb="FFFF0000"/>
              <x14:axisColor rgb="FF000000"/>
            </x14:dataBar>
          </x14:cfRule>
          <xm:sqref>E40:E55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J104"/>
  <sheetViews>
    <sheetView topLeftCell="A88" workbookViewId="0">
      <selection activeCell="J97" sqref="J97:J104"/>
    </sheetView>
  </sheetViews>
  <sheetFormatPr defaultColWidth="8.88671875" defaultRowHeight="14.4" x14ac:dyDescent="0.3"/>
  <cols>
    <col min="2" max="2" width="50" customWidth="1"/>
    <col min="10" max="10" width="8.88671875" bestFit="1" customWidth="1"/>
  </cols>
  <sheetData>
    <row r="1" spans="1:10" ht="28.2" thickBot="1" x14ac:dyDescent="0.35">
      <c r="A1" s="113">
        <v>1</v>
      </c>
      <c r="B1" s="112" t="s">
        <v>241</v>
      </c>
      <c r="C1" s="114"/>
      <c r="D1" s="115" t="s">
        <v>508</v>
      </c>
      <c r="E1" s="112" t="s">
        <v>509</v>
      </c>
      <c r="F1" s="112" t="s">
        <v>510</v>
      </c>
      <c r="I1" t="s">
        <v>695</v>
      </c>
      <c r="J1" t="s">
        <v>507</v>
      </c>
    </row>
    <row r="2" spans="1:10" ht="28.2" thickBot="1" x14ac:dyDescent="0.35">
      <c r="A2" s="113">
        <v>2</v>
      </c>
      <c r="B2" s="112" t="s">
        <v>511</v>
      </c>
      <c r="C2" s="114"/>
      <c r="D2" s="115" t="s">
        <v>508</v>
      </c>
      <c r="E2" s="112" t="s">
        <v>509</v>
      </c>
      <c r="F2" s="112" t="s">
        <v>510</v>
      </c>
      <c r="I2" t="s">
        <v>696</v>
      </c>
      <c r="J2" t="s">
        <v>616</v>
      </c>
    </row>
    <row r="3" spans="1:10" ht="28.2" thickBot="1" x14ac:dyDescent="0.35">
      <c r="A3" s="113">
        <v>3</v>
      </c>
      <c r="B3" s="112" t="s">
        <v>512</v>
      </c>
      <c r="C3" s="114"/>
      <c r="D3" s="115" t="s">
        <v>508</v>
      </c>
      <c r="E3" s="112" t="s">
        <v>509</v>
      </c>
      <c r="F3" s="112" t="s">
        <v>510</v>
      </c>
      <c r="I3" t="s">
        <v>697</v>
      </c>
      <c r="J3" t="s">
        <v>698</v>
      </c>
    </row>
    <row r="4" spans="1:10" ht="28.2" thickBot="1" x14ac:dyDescent="0.35">
      <c r="A4" s="113">
        <v>4</v>
      </c>
      <c r="B4" s="112" t="s">
        <v>513</v>
      </c>
      <c r="C4" s="114"/>
      <c r="D4" s="115" t="s">
        <v>508</v>
      </c>
      <c r="E4" s="112" t="s">
        <v>509</v>
      </c>
      <c r="F4" s="112" t="s">
        <v>510</v>
      </c>
      <c r="I4" t="s">
        <v>699</v>
      </c>
      <c r="J4" t="s">
        <v>617</v>
      </c>
    </row>
    <row r="5" spans="1:10" ht="28.2" thickBot="1" x14ac:dyDescent="0.35">
      <c r="A5" s="113">
        <v>5</v>
      </c>
      <c r="B5" s="112" t="s">
        <v>514</v>
      </c>
      <c r="C5" s="114"/>
      <c r="D5" s="115" t="s">
        <v>508</v>
      </c>
      <c r="E5" s="112" t="s">
        <v>509</v>
      </c>
      <c r="F5" s="112" t="s">
        <v>510</v>
      </c>
      <c r="I5" t="s">
        <v>700</v>
      </c>
      <c r="J5" t="s">
        <v>618</v>
      </c>
    </row>
    <row r="6" spans="1:10" ht="28.2" thickBot="1" x14ac:dyDescent="0.35">
      <c r="A6" s="113">
        <v>6</v>
      </c>
      <c r="B6" s="112" t="s">
        <v>517</v>
      </c>
      <c r="C6" s="114"/>
      <c r="D6" s="115" t="s">
        <v>508</v>
      </c>
      <c r="E6" s="112" t="s">
        <v>509</v>
      </c>
      <c r="F6" s="112" t="s">
        <v>510</v>
      </c>
      <c r="I6" t="s">
        <v>701</v>
      </c>
      <c r="J6" t="s">
        <v>621</v>
      </c>
    </row>
    <row r="7" spans="1:10" ht="28.2" thickBot="1" x14ac:dyDescent="0.35">
      <c r="A7" s="113">
        <v>7</v>
      </c>
      <c r="B7" s="112" t="s">
        <v>515</v>
      </c>
      <c r="C7" s="114"/>
      <c r="D7" s="115" t="s">
        <v>508</v>
      </c>
      <c r="E7" s="112" t="s">
        <v>509</v>
      </c>
      <c r="F7" s="112" t="s">
        <v>510</v>
      </c>
      <c r="I7" t="s">
        <v>702</v>
      </c>
      <c r="J7" t="s">
        <v>619</v>
      </c>
    </row>
    <row r="8" spans="1:10" ht="28.2" thickBot="1" x14ac:dyDescent="0.35">
      <c r="A8" s="113">
        <v>8</v>
      </c>
      <c r="B8" s="112" t="s">
        <v>516</v>
      </c>
      <c r="C8" s="114"/>
      <c r="D8" s="115" t="s">
        <v>508</v>
      </c>
      <c r="E8" s="112" t="s">
        <v>509</v>
      </c>
      <c r="F8" s="112" t="s">
        <v>510</v>
      </c>
      <c r="I8" t="s">
        <v>703</v>
      </c>
      <c r="J8" t="s">
        <v>620</v>
      </c>
    </row>
    <row r="9" spans="1:10" ht="28.2" thickBot="1" x14ac:dyDescent="0.35">
      <c r="A9" s="113">
        <v>9</v>
      </c>
      <c r="B9" s="112" t="s">
        <v>518</v>
      </c>
      <c r="C9" s="114"/>
      <c r="D9" s="115" t="s">
        <v>508</v>
      </c>
      <c r="E9" s="112" t="s">
        <v>509</v>
      </c>
      <c r="F9" s="112" t="s">
        <v>510</v>
      </c>
      <c r="I9" t="s">
        <v>704</v>
      </c>
      <c r="J9" t="s">
        <v>622</v>
      </c>
    </row>
    <row r="10" spans="1:10" ht="28.2" thickBot="1" x14ac:dyDescent="0.35">
      <c r="A10" s="113">
        <v>10</v>
      </c>
      <c r="B10" s="112" t="s">
        <v>519</v>
      </c>
      <c r="C10" s="114"/>
      <c r="D10" s="115" t="s">
        <v>508</v>
      </c>
      <c r="E10" s="112" t="s">
        <v>520</v>
      </c>
      <c r="F10" s="112" t="s">
        <v>510</v>
      </c>
      <c r="I10" t="s">
        <v>705</v>
      </c>
      <c r="J10" t="s">
        <v>706</v>
      </c>
    </row>
    <row r="11" spans="1:10" ht="28.2" thickBot="1" x14ac:dyDescent="0.35">
      <c r="A11" s="113">
        <v>11</v>
      </c>
      <c r="B11" s="112" t="s">
        <v>521</v>
      </c>
      <c r="C11" s="114"/>
      <c r="D11" s="115" t="s">
        <v>508</v>
      </c>
      <c r="E11" s="112" t="s">
        <v>509</v>
      </c>
      <c r="F11" s="112" t="s">
        <v>510</v>
      </c>
      <c r="I11" t="s">
        <v>707</v>
      </c>
      <c r="J11" t="s">
        <v>623</v>
      </c>
    </row>
    <row r="12" spans="1:10" ht="28.2" thickBot="1" x14ac:dyDescent="0.35">
      <c r="A12" s="113">
        <v>12</v>
      </c>
      <c r="B12" s="112" t="s">
        <v>522</v>
      </c>
      <c r="C12" s="114"/>
      <c r="D12" s="115" t="s">
        <v>508</v>
      </c>
      <c r="E12" s="112" t="s">
        <v>509</v>
      </c>
      <c r="F12" s="112" t="s">
        <v>510</v>
      </c>
      <c r="I12" t="s">
        <v>708</v>
      </c>
      <c r="J12" t="s">
        <v>624</v>
      </c>
    </row>
    <row r="13" spans="1:10" ht="28.2" thickBot="1" x14ac:dyDescent="0.35">
      <c r="A13" s="113">
        <v>13</v>
      </c>
      <c r="B13" s="112" t="s">
        <v>523</v>
      </c>
      <c r="C13" s="114"/>
      <c r="D13" s="115" t="s">
        <v>508</v>
      </c>
      <c r="E13" s="112" t="s">
        <v>509</v>
      </c>
      <c r="F13" s="112" t="s">
        <v>510</v>
      </c>
      <c r="I13" t="s">
        <v>709</v>
      </c>
      <c r="J13" t="s">
        <v>625</v>
      </c>
    </row>
    <row r="14" spans="1:10" ht="28.2" thickBot="1" x14ac:dyDescent="0.35">
      <c r="A14" s="113">
        <v>14</v>
      </c>
      <c r="B14" s="112" t="s">
        <v>524</v>
      </c>
      <c r="C14" s="114"/>
      <c r="D14" s="115" t="s">
        <v>508</v>
      </c>
      <c r="E14" s="112" t="s">
        <v>509</v>
      </c>
      <c r="F14" s="112" t="s">
        <v>510</v>
      </c>
      <c r="I14" t="s">
        <v>710</v>
      </c>
      <c r="J14" t="s">
        <v>626</v>
      </c>
    </row>
    <row r="15" spans="1:10" ht="28.2" thickBot="1" x14ac:dyDescent="0.35">
      <c r="A15" s="113">
        <v>15</v>
      </c>
      <c r="B15" s="112" t="s">
        <v>525</v>
      </c>
      <c r="C15" s="114"/>
      <c r="D15" s="115" t="s">
        <v>508</v>
      </c>
      <c r="E15" s="112" t="s">
        <v>526</v>
      </c>
      <c r="F15" s="112" t="s">
        <v>510</v>
      </c>
      <c r="I15" t="s">
        <v>711</v>
      </c>
      <c r="J15" t="s">
        <v>627</v>
      </c>
    </row>
    <row r="16" spans="1:10" ht="28.2" thickBot="1" x14ac:dyDescent="0.35">
      <c r="A16" s="113">
        <v>16</v>
      </c>
      <c r="B16" s="112" t="s">
        <v>527</v>
      </c>
      <c r="C16" s="114"/>
      <c r="D16" s="115" t="s">
        <v>508</v>
      </c>
      <c r="E16" s="112" t="s">
        <v>509</v>
      </c>
      <c r="F16" s="112" t="s">
        <v>510</v>
      </c>
      <c r="I16" t="s">
        <v>712</v>
      </c>
      <c r="J16" t="s">
        <v>628</v>
      </c>
    </row>
    <row r="17" spans="1:10" ht="28.2" thickBot="1" x14ac:dyDescent="0.35">
      <c r="A17" s="113">
        <v>17</v>
      </c>
      <c r="B17" s="112" t="s">
        <v>528</v>
      </c>
      <c r="C17" s="114"/>
      <c r="D17" s="115" t="s">
        <v>508</v>
      </c>
      <c r="E17" s="112" t="s">
        <v>509</v>
      </c>
      <c r="F17" s="112" t="s">
        <v>510</v>
      </c>
      <c r="I17" t="s">
        <v>713</v>
      </c>
      <c r="J17" t="s">
        <v>629</v>
      </c>
    </row>
    <row r="18" spans="1:10" ht="28.2" thickBot="1" x14ac:dyDescent="0.35">
      <c r="A18" s="113">
        <v>18</v>
      </c>
      <c r="B18" s="112" t="s">
        <v>529</v>
      </c>
      <c r="C18" s="114"/>
      <c r="D18" s="115" t="s">
        <v>508</v>
      </c>
      <c r="E18" s="112" t="s">
        <v>509</v>
      </c>
      <c r="F18" s="112" t="s">
        <v>510</v>
      </c>
      <c r="I18" t="s">
        <v>714</v>
      </c>
      <c r="J18" t="s">
        <v>630</v>
      </c>
    </row>
    <row r="19" spans="1:10" ht="28.2" thickBot="1" x14ac:dyDescent="0.35">
      <c r="A19" s="113">
        <v>19</v>
      </c>
      <c r="B19" s="112" t="s">
        <v>530</v>
      </c>
      <c r="C19" s="114"/>
      <c r="D19" s="115" t="s">
        <v>508</v>
      </c>
      <c r="E19" s="112" t="s">
        <v>526</v>
      </c>
      <c r="F19" s="112" t="s">
        <v>510</v>
      </c>
      <c r="I19" t="s">
        <v>715</v>
      </c>
      <c r="J19" t="s">
        <v>631</v>
      </c>
    </row>
    <row r="20" spans="1:10" ht="28.2" thickBot="1" x14ac:dyDescent="0.35">
      <c r="A20" s="113">
        <v>20</v>
      </c>
      <c r="B20" s="112" t="s">
        <v>531</v>
      </c>
      <c r="C20" s="114"/>
      <c r="D20" s="115" t="s">
        <v>508</v>
      </c>
      <c r="E20" s="112" t="s">
        <v>509</v>
      </c>
      <c r="F20" s="112" t="s">
        <v>510</v>
      </c>
      <c r="I20" t="s">
        <v>716</v>
      </c>
      <c r="J20" t="s">
        <v>632</v>
      </c>
    </row>
    <row r="21" spans="1:10" ht="28.2" thickBot="1" x14ac:dyDescent="0.35">
      <c r="A21" s="113">
        <v>21</v>
      </c>
      <c r="B21" s="112" t="s">
        <v>532</v>
      </c>
      <c r="C21" s="114"/>
      <c r="D21" s="115" t="s">
        <v>508</v>
      </c>
      <c r="E21" s="112" t="s">
        <v>509</v>
      </c>
      <c r="F21" s="112" t="s">
        <v>510</v>
      </c>
      <c r="I21" t="s">
        <v>717</v>
      </c>
      <c r="J21" t="s">
        <v>718</v>
      </c>
    </row>
    <row r="22" spans="1:10" ht="28.2" thickBot="1" x14ac:dyDescent="0.35">
      <c r="A22" s="113">
        <v>22</v>
      </c>
      <c r="B22" s="112" t="s">
        <v>533</v>
      </c>
      <c r="C22" s="114"/>
      <c r="D22" s="115" t="s">
        <v>508</v>
      </c>
      <c r="E22" s="112" t="s">
        <v>509</v>
      </c>
      <c r="F22" s="112" t="s">
        <v>510</v>
      </c>
      <c r="I22" t="s">
        <v>719</v>
      </c>
      <c r="J22" t="s">
        <v>720</v>
      </c>
    </row>
    <row r="23" spans="1:10" ht="28.2" thickBot="1" x14ac:dyDescent="0.35">
      <c r="A23" s="113">
        <v>23</v>
      </c>
      <c r="B23" s="112" t="s">
        <v>534</v>
      </c>
      <c r="C23" s="114"/>
      <c r="D23" s="115" t="s">
        <v>508</v>
      </c>
      <c r="E23" s="112" t="s">
        <v>509</v>
      </c>
      <c r="F23" s="112" t="s">
        <v>510</v>
      </c>
      <c r="I23" t="s">
        <v>721</v>
      </c>
      <c r="J23" t="s">
        <v>633</v>
      </c>
    </row>
    <row r="24" spans="1:10" ht="28.2" thickBot="1" x14ac:dyDescent="0.35">
      <c r="A24" s="113">
        <v>24</v>
      </c>
      <c r="B24" s="112" t="s">
        <v>535</v>
      </c>
      <c r="C24" s="114"/>
      <c r="D24" s="115" t="s">
        <v>508</v>
      </c>
      <c r="E24" s="112" t="s">
        <v>509</v>
      </c>
      <c r="F24" s="112" t="s">
        <v>510</v>
      </c>
      <c r="I24" t="s">
        <v>722</v>
      </c>
      <c r="J24" t="s">
        <v>634</v>
      </c>
    </row>
    <row r="25" spans="1:10" ht="28.2" thickBot="1" x14ac:dyDescent="0.35">
      <c r="A25" s="113">
        <v>25</v>
      </c>
      <c r="B25" s="112" t="s">
        <v>536</v>
      </c>
      <c r="C25" s="114"/>
      <c r="D25" s="115" t="s">
        <v>508</v>
      </c>
      <c r="E25" s="112" t="s">
        <v>509</v>
      </c>
      <c r="F25" s="112" t="s">
        <v>510</v>
      </c>
      <c r="I25" t="s">
        <v>723</v>
      </c>
      <c r="J25" t="s">
        <v>635</v>
      </c>
    </row>
    <row r="26" spans="1:10" ht="28.2" thickBot="1" x14ac:dyDescent="0.35">
      <c r="A26" s="113">
        <v>26</v>
      </c>
      <c r="B26" s="112" t="s">
        <v>537</v>
      </c>
      <c r="C26" s="114"/>
      <c r="D26" s="115" t="s">
        <v>508</v>
      </c>
      <c r="E26" s="112" t="s">
        <v>509</v>
      </c>
      <c r="F26" s="112" t="s">
        <v>510</v>
      </c>
      <c r="I26" t="s">
        <v>724</v>
      </c>
      <c r="J26" t="s">
        <v>636</v>
      </c>
    </row>
    <row r="27" spans="1:10" ht="28.2" thickBot="1" x14ac:dyDescent="0.35">
      <c r="A27" s="113">
        <v>27</v>
      </c>
      <c r="B27" s="112" t="s">
        <v>538</v>
      </c>
      <c r="C27" s="114"/>
      <c r="D27" s="115" t="s">
        <v>508</v>
      </c>
      <c r="E27" s="112" t="s">
        <v>509</v>
      </c>
      <c r="F27" s="112" t="s">
        <v>510</v>
      </c>
      <c r="I27" t="s">
        <v>725</v>
      </c>
      <c r="J27" t="s">
        <v>637</v>
      </c>
    </row>
    <row r="28" spans="1:10" ht="28.2" thickBot="1" x14ac:dyDescent="0.35">
      <c r="A28" s="113">
        <v>28</v>
      </c>
      <c r="B28" s="112" t="s">
        <v>539</v>
      </c>
      <c r="C28" s="114"/>
      <c r="D28" s="115" t="s">
        <v>508</v>
      </c>
      <c r="E28" s="112" t="s">
        <v>509</v>
      </c>
      <c r="F28" s="112" t="s">
        <v>510</v>
      </c>
      <c r="I28" t="s">
        <v>726</v>
      </c>
      <c r="J28" t="s">
        <v>638</v>
      </c>
    </row>
    <row r="29" spans="1:10" ht="28.2" thickBot="1" x14ac:dyDescent="0.35">
      <c r="A29" s="113">
        <v>29</v>
      </c>
      <c r="B29" s="112" t="s">
        <v>540</v>
      </c>
      <c r="C29" s="114"/>
      <c r="D29" s="115" t="s">
        <v>508</v>
      </c>
      <c r="E29" s="112" t="s">
        <v>509</v>
      </c>
      <c r="F29" s="112" t="s">
        <v>510</v>
      </c>
      <c r="I29" t="s">
        <v>727</v>
      </c>
      <c r="J29" t="s">
        <v>728</v>
      </c>
    </row>
    <row r="30" spans="1:10" ht="28.2" thickBot="1" x14ac:dyDescent="0.35">
      <c r="A30" s="113">
        <v>30</v>
      </c>
      <c r="B30" s="112" t="s">
        <v>541</v>
      </c>
      <c r="C30" s="114"/>
      <c r="D30" s="115" t="s">
        <v>508</v>
      </c>
      <c r="E30" s="112" t="s">
        <v>509</v>
      </c>
      <c r="F30" s="112" t="s">
        <v>510</v>
      </c>
      <c r="I30" t="s">
        <v>729</v>
      </c>
      <c r="J30" t="s">
        <v>639</v>
      </c>
    </row>
    <row r="31" spans="1:10" ht="28.2" thickBot="1" x14ac:dyDescent="0.35">
      <c r="A31" s="113">
        <v>31</v>
      </c>
      <c r="B31" s="112" t="s">
        <v>542</v>
      </c>
      <c r="C31" s="114"/>
      <c r="D31" s="115" t="s">
        <v>508</v>
      </c>
      <c r="E31" s="112" t="s">
        <v>509</v>
      </c>
      <c r="F31" s="112" t="s">
        <v>510</v>
      </c>
      <c r="I31" t="s">
        <v>730</v>
      </c>
      <c r="J31" t="s">
        <v>640</v>
      </c>
    </row>
    <row r="32" spans="1:10" ht="28.2" thickBot="1" x14ac:dyDescent="0.35">
      <c r="A32" s="113">
        <v>32</v>
      </c>
      <c r="B32" s="112" t="s">
        <v>543</v>
      </c>
      <c r="C32" s="114"/>
      <c r="D32" s="115" t="s">
        <v>508</v>
      </c>
      <c r="E32" s="112" t="s">
        <v>509</v>
      </c>
      <c r="F32" s="112" t="s">
        <v>510</v>
      </c>
      <c r="I32" t="s">
        <v>731</v>
      </c>
      <c r="J32" t="s">
        <v>641</v>
      </c>
    </row>
    <row r="33" spans="1:10" ht="28.2" thickBot="1" x14ac:dyDescent="0.35">
      <c r="A33" s="113">
        <v>33</v>
      </c>
      <c r="B33" s="112" t="s">
        <v>544</v>
      </c>
      <c r="C33" s="114"/>
      <c r="D33" s="115" t="s">
        <v>508</v>
      </c>
      <c r="E33" s="112" t="s">
        <v>509</v>
      </c>
      <c r="F33" s="112" t="s">
        <v>510</v>
      </c>
      <c r="I33" t="s">
        <v>732</v>
      </c>
      <c r="J33" t="s">
        <v>642</v>
      </c>
    </row>
    <row r="34" spans="1:10" ht="28.2" thickBot="1" x14ac:dyDescent="0.35">
      <c r="A34" s="113">
        <v>34</v>
      </c>
      <c r="B34" s="112" t="s">
        <v>545</v>
      </c>
      <c r="C34" s="114"/>
      <c r="D34" s="115" t="s">
        <v>508</v>
      </c>
      <c r="E34" s="112" t="s">
        <v>509</v>
      </c>
      <c r="F34" s="112" t="s">
        <v>510</v>
      </c>
      <c r="I34" t="s">
        <v>733</v>
      </c>
      <c r="J34" t="s">
        <v>643</v>
      </c>
    </row>
    <row r="35" spans="1:10" ht="28.2" thickBot="1" x14ac:dyDescent="0.35">
      <c r="A35" s="113">
        <v>35</v>
      </c>
      <c r="B35" s="112" t="s">
        <v>546</v>
      </c>
      <c r="C35" s="114"/>
      <c r="D35" s="115" t="s">
        <v>508</v>
      </c>
      <c r="E35" s="112" t="s">
        <v>509</v>
      </c>
      <c r="F35" s="112" t="s">
        <v>510</v>
      </c>
      <c r="I35" t="s">
        <v>734</v>
      </c>
      <c r="J35" t="s">
        <v>644</v>
      </c>
    </row>
    <row r="36" spans="1:10" ht="28.2" thickBot="1" x14ac:dyDescent="0.35">
      <c r="A36" s="113">
        <v>36</v>
      </c>
      <c r="B36" s="112" t="s">
        <v>547</v>
      </c>
      <c r="C36" s="114"/>
      <c r="D36" s="115" t="s">
        <v>508</v>
      </c>
      <c r="E36" s="112" t="s">
        <v>509</v>
      </c>
      <c r="F36" s="112" t="s">
        <v>510</v>
      </c>
      <c r="I36" t="s">
        <v>735</v>
      </c>
      <c r="J36" t="s">
        <v>645</v>
      </c>
    </row>
    <row r="37" spans="1:10" ht="28.2" thickBot="1" x14ac:dyDescent="0.35">
      <c r="A37" s="113">
        <v>37</v>
      </c>
      <c r="B37" s="112" t="s">
        <v>548</v>
      </c>
      <c r="C37" s="114"/>
      <c r="D37" s="115" t="s">
        <v>508</v>
      </c>
      <c r="E37" s="112" t="s">
        <v>509</v>
      </c>
      <c r="F37" s="112" t="s">
        <v>510</v>
      </c>
      <c r="I37" t="s">
        <v>736</v>
      </c>
      <c r="J37" t="s">
        <v>646</v>
      </c>
    </row>
    <row r="38" spans="1:10" ht="28.2" thickBot="1" x14ac:dyDescent="0.35">
      <c r="A38" s="113">
        <v>38</v>
      </c>
      <c r="B38" s="112" t="s">
        <v>549</v>
      </c>
      <c r="C38" s="114"/>
      <c r="D38" s="115" t="s">
        <v>508</v>
      </c>
      <c r="E38" s="112" t="s">
        <v>509</v>
      </c>
      <c r="F38" s="112" t="s">
        <v>510</v>
      </c>
      <c r="I38" t="s">
        <v>737</v>
      </c>
      <c r="J38" t="s">
        <v>647</v>
      </c>
    </row>
    <row r="39" spans="1:10" ht="28.2" thickBot="1" x14ac:dyDescent="0.35">
      <c r="A39" s="113">
        <v>39</v>
      </c>
      <c r="B39" s="112" t="s">
        <v>550</v>
      </c>
      <c r="C39" s="114"/>
      <c r="D39" s="115" t="s">
        <v>508</v>
      </c>
      <c r="E39" s="112" t="s">
        <v>509</v>
      </c>
      <c r="F39" s="112" t="s">
        <v>510</v>
      </c>
      <c r="I39" t="s">
        <v>738</v>
      </c>
      <c r="J39" t="s">
        <v>648</v>
      </c>
    </row>
    <row r="40" spans="1:10" ht="28.2" thickBot="1" x14ac:dyDescent="0.35">
      <c r="A40" s="113">
        <v>40</v>
      </c>
      <c r="B40" s="112" t="s">
        <v>551</v>
      </c>
      <c r="C40" s="114"/>
      <c r="D40" s="115" t="s">
        <v>508</v>
      </c>
      <c r="E40" s="112" t="s">
        <v>509</v>
      </c>
      <c r="F40" s="112" t="s">
        <v>510</v>
      </c>
      <c r="I40" t="s">
        <v>739</v>
      </c>
      <c r="J40" t="s">
        <v>649</v>
      </c>
    </row>
    <row r="41" spans="1:10" ht="28.2" thickBot="1" x14ac:dyDescent="0.35">
      <c r="A41" s="113">
        <v>41</v>
      </c>
      <c r="B41" s="112" t="s">
        <v>552</v>
      </c>
      <c r="C41" s="114"/>
      <c r="D41" s="115" t="s">
        <v>508</v>
      </c>
      <c r="E41" s="112" t="s">
        <v>509</v>
      </c>
      <c r="F41" s="112" t="s">
        <v>510</v>
      </c>
      <c r="I41" t="s">
        <v>740</v>
      </c>
      <c r="J41" t="s">
        <v>650</v>
      </c>
    </row>
    <row r="42" spans="1:10" ht="28.2" thickBot="1" x14ac:dyDescent="0.35">
      <c r="A42" s="113">
        <v>42</v>
      </c>
      <c r="B42" s="112" t="s">
        <v>553</v>
      </c>
      <c r="C42" s="114"/>
      <c r="D42" s="115" t="s">
        <v>508</v>
      </c>
      <c r="E42" s="112" t="s">
        <v>509</v>
      </c>
      <c r="F42" s="112" t="s">
        <v>510</v>
      </c>
      <c r="I42" t="s">
        <v>741</v>
      </c>
      <c r="J42" t="s">
        <v>651</v>
      </c>
    </row>
    <row r="43" spans="1:10" ht="28.2" thickBot="1" x14ac:dyDescent="0.35">
      <c r="A43" s="113">
        <v>43</v>
      </c>
      <c r="B43" s="112" t="s">
        <v>554</v>
      </c>
      <c r="C43" s="114"/>
      <c r="D43" s="115" t="s">
        <v>508</v>
      </c>
      <c r="E43" s="112" t="s">
        <v>509</v>
      </c>
      <c r="F43" s="112" t="s">
        <v>510</v>
      </c>
      <c r="I43" t="s">
        <v>742</v>
      </c>
      <c r="J43" t="s">
        <v>652</v>
      </c>
    </row>
    <row r="44" spans="1:10" ht="28.2" thickBot="1" x14ac:dyDescent="0.35">
      <c r="A44" s="113">
        <v>44</v>
      </c>
      <c r="B44" s="112" t="s">
        <v>555</v>
      </c>
      <c r="C44" s="114"/>
      <c r="D44" s="115" t="s">
        <v>508</v>
      </c>
      <c r="E44" s="112" t="s">
        <v>509</v>
      </c>
      <c r="F44" s="112" t="s">
        <v>510</v>
      </c>
      <c r="I44" t="s">
        <v>743</v>
      </c>
      <c r="J44" t="s">
        <v>653</v>
      </c>
    </row>
    <row r="45" spans="1:10" ht="28.2" thickBot="1" x14ac:dyDescent="0.35">
      <c r="A45" s="113">
        <v>45</v>
      </c>
      <c r="B45" s="112" t="s">
        <v>556</v>
      </c>
      <c r="C45" s="114"/>
      <c r="D45" s="115" t="s">
        <v>508</v>
      </c>
      <c r="E45" s="112" t="s">
        <v>509</v>
      </c>
      <c r="F45" s="112" t="s">
        <v>510</v>
      </c>
      <c r="I45" t="s">
        <v>744</v>
      </c>
      <c r="J45" t="s">
        <v>654</v>
      </c>
    </row>
    <row r="46" spans="1:10" ht="28.2" thickBot="1" x14ac:dyDescent="0.35">
      <c r="A46" s="113">
        <v>46</v>
      </c>
      <c r="B46" s="112" t="s">
        <v>557</v>
      </c>
      <c r="C46" s="114"/>
      <c r="D46" s="115" t="s">
        <v>508</v>
      </c>
      <c r="E46" s="112" t="s">
        <v>509</v>
      </c>
      <c r="F46" s="112" t="s">
        <v>510</v>
      </c>
      <c r="I46" t="s">
        <v>745</v>
      </c>
      <c r="J46" t="s">
        <v>746</v>
      </c>
    </row>
    <row r="47" spans="1:10" ht="28.2" thickBot="1" x14ac:dyDescent="0.35">
      <c r="A47" s="113">
        <v>47</v>
      </c>
      <c r="B47" s="112" t="s">
        <v>558</v>
      </c>
      <c r="C47" s="114"/>
      <c r="D47" s="115" t="s">
        <v>508</v>
      </c>
      <c r="E47" s="112" t="s">
        <v>509</v>
      </c>
      <c r="F47" s="112" t="s">
        <v>510</v>
      </c>
      <c r="I47" t="s">
        <v>747</v>
      </c>
      <c r="J47" t="s">
        <v>655</v>
      </c>
    </row>
    <row r="48" spans="1:10" ht="28.2" thickBot="1" x14ac:dyDescent="0.35">
      <c r="A48" s="113">
        <v>48</v>
      </c>
      <c r="B48" s="112" t="s">
        <v>559</v>
      </c>
      <c r="C48" s="114"/>
      <c r="D48" s="115" t="s">
        <v>508</v>
      </c>
      <c r="E48" s="112" t="s">
        <v>509</v>
      </c>
      <c r="F48" s="112" t="s">
        <v>510</v>
      </c>
      <c r="I48" t="s">
        <v>748</v>
      </c>
      <c r="J48" t="s">
        <v>656</v>
      </c>
    </row>
    <row r="49" spans="1:10" ht="28.2" thickBot="1" x14ac:dyDescent="0.35">
      <c r="A49" s="113">
        <v>49</v>
      </c>
      <c r="B49" s="112" t="s">
        <v>560</v>
      </c>
      <c r="C49" s="114"/>
      <c r="D49" s="115" t="s">
        <v>508</v>
      </c>
      <c r="E49" s="112" t="s">
        <v>509</v>
      </c>
      <c r="F49" s="112" t="s">
        <v>510</v>
      </c>
      <c r="I49" t="s">
        <v>749</v>
      </c>
      <c r="J49" t="s">
        <v>657</v>
      </c>
    </row>
    <row r="50" spans="1:10" ht="28.2" thickBot="1" x14ac:dyDescent="0.35">
      <c r="A50" s="113">
        <v>50</v>
      </c>
      <c r="B50" s="112" t="s">
        <v>561</v>
      </c>
      <c r="C50" s="114"/>
      <c r="D50" s="115" t="s">
        <v>508</v>
      </c>
      <c r="E50" s="112" t="s">
        <v>509</v>
      </c>
      <c r="F50" s="112" t="s">
        <v>510</v>
      </c>
      <c r="I50" t="s">
        <v>750</v>
      </c>
      <c r="J50" t="s">
        <v>658</v>
      </c>
    </row>
    <row r="51" spans="1:10" ht="28.2" thickBot="1" x14ac:dyDescent="0.35">
      <c r="A51" s="113">
        <v>51</v>
      </c>
      <c r="B51" s="112" t="s">
        <v>562</v>
      </c>
      <c r="C51" s="114"/>
      <c r="D51" s="115" t="s">
        <v>508</v>
      </c>
      <c r="E51" s="112" t="s">
        <v>509</v>
      </c>
      <c r="F51" s="112" t="s">
        <v>510</v>
      </c>
      <c r="I51" t="s">
        <v>751</v>
      </c>
      <c r="J51" t="s">
        <v>659</v>
      </c>
    </row>
    <row r="52" spans="1:10" ht="28.2" thickBot="1" x14ac:dyDescent="0.35">
      <c r="A52" s="113">
        <v>52</v>
      </c>
      <c r="B52" s="112" t="s">
        <v>563</v>
      </c>
      <c r="C52" s="114"/>
      <c r="D52" s="115" t="s">
        <v>508</v>
      </c>
      <c r="E52" s="112" t="s">
        <v>509</v>
      </c>
      <c r="F52" s="112" t="s">
        <v>510</v>
      </c>
      <c r="I52" t="s">
        <v>752</v>
      </c>
      <c r="J52" t="s">
        <v>660</v>
      </c>
    </row>
    <row r="53" spans="1:10" ht="28.2" thickBot="1" x14ac:dyDescent="0.35">
      <c r="A53" s="113">
        <v>53</v>
      </c>
      <c r="B53" s="112" t="s">
        <v>564</v>
      </c>
      <c r="C53" s="114"/>
      <c r="D53" s="115" t="s">
        <v>508</v>
      </c>
      <c r="E53" s="112" t="s">
        <v>509</v>
      </c>
      <c r="F53" s="112" t="s">
        <v>510</v>
      </c>
      <c r="I53" t="s">
        <v>753</v>
      </c>
      <c r="J53" t="s">
        <v>661</v>
      </c>
    </row>
    <row r="54" spans="1:10" ht="28.2" thickBot="1" x14ac:dyDescent="0.35">
      <c r="A54" s="113">
        <v>54</v>
      </c>
      <c r="B54" s="112" t="s">
        <v>565</v>
      </c>
      <c r="C54" s="114"/>
      <c r="D54" s="115" t="s">
        <v>508</v>
      </c>
      <c r="E54" s="112" t="s">
        <v>509</v>
      </c>
      <c r="F54" s="112" t="s">
        <v>510</v>
      </c>
      <c r="I54" t="s">
        <v>754</v>
      </c>
      <c r="J54" t="s">
        <v>662</v>
      </c>
    </row>
    <row r="55" spans="1:10" ht="28.2" thickBot="1" x14ac:dyDescent="0.35">
      <c r="A55" s="113">
        <v>55</v>
      </c>
      <c r="B55" s="112" t="s">
        <v>566</v>
      </c>
      <c r="C55" s="114"/>
      <c r="D55" s="115" t="s">
        <v>508</v>
      </c>
      <c r="E55" s="112" t="s">
        <v>509</v>
      </c>
      <c r="F55" s="112" t="s">
        <v>510</v>
      </c>
      <c r="I55" t="s">
        <v>755</v>
      </c>
      <c r="J55" t="s">
        <v>663</v>
      </c>
    </row>
    <row r="56" spans="1:10" ht="28.2" thickBot="1" x14ac:dyDescent="0.35">
      <c r="A56" s="113">
        <v>56</v>
      </c>
      <c r="B56" s="112" t="s">
        <v>567</v>
      </c>
      <c r="C56" s="114"/>
      <c r="D56" s="115" t="s">
        <v>508</v>
      </c>
      <c r="E56" s="112" t="s">
        <v>509</v>
      </c>
      <c r="F56" s="112" t="s">
        <v>510</v>
      </c>
      <c r="I56" t="s">
        <v>756</v>
      </c>
      <c r="J56" t="s">
        <v>664</v>
      </c>
    </row>
    <row r="57" spans="1:10" ht="28.2" thickBot="1" x14ac:dyDescent="0.35">
      <c r="A57" s="113">
        <v>57</v>
      </c>
      <c r="B57" s="112" t="s">
        <v>568</v>
      </c>
      <c r="C57" s="114"/>
      <c r="D57" s="115" t="s">
        <v>508</v>
      </c>
      <c r="E57" s="112" t="s">
        <v>509</v>
      </c>
      <c r="F57" s="112" t="s">
        <v>510</v>
      </c>
      <c r="I57" t="s">
        <v>757</v>
      </c>
      <c r="J57" t="s">
        <v>665</v>
      </c>
    </row>
    <row r="58" spans="1:10" ht="28.2" thickBot="1" x14ac:dyDescent="0.35">
      <c r="A58" s="113">
        <v>58</v>
      </c>
      <c r="B58" s="112" t="s">
        <v>569</v>
      </c>
      <c r="C58" s="114"/>
      <c r="D58" s="115" t="s">
        <v>508</v>
      </c>
      <c r="E58" s="112" t="s">
        <v>509</v>
      </c>
      <c r="F58" s="112" t="s">
        <v>510</v>
      </c>
      <c r="I58" t="s">
        <v>758</v>
      </c>
      <c r="J58" t="s">
        <v>759</v>
      </c>
    </row>
    <row r="59" spans="1:10" ht="28.2" thickBot="1" x14ac:dyDescent="0.35">
      <c r="A59" s="113">
        <v>59</v>
      </c>
      <c r="B59" s="112" t="s">
        <v>570</v>
      </c>
      <c r="C59" s="114"/>
      <c r="D59" s="115" t="s">
        <v>508</v>
      </c>
      <c r="E59" s="112" t="s">
        <v>509</v>
      </c>
      <c r="F59" s="112" t="s">
        <v>510</v>
      </c>
      <c r="I59" t="s">
        <v>760</v>
      </c>
      <c r="J59" t="s">
        <v>761</v>
      </c>
    </row>
    <row r="60" spans="1:10" ht="28.2" thickBot="1" x14ac:dyDescent="0.35">
      <c r="A60" s="113">
        <v>60</v>
      </c>
      <c r="B60" s="112" t="s">
        <v>571</v>
      </c>
      <c r="C60" s="114"/>
      <c r="D60" s="115" t="s">
        <v>508</v>
      </c>
      <c r="E60" s="112" t="s">
        <v>509</v>
      </c>
      <c r="F60" s="112" t="s">
        <v>510</v>
      </c>
      <c r="I60" t="s">
        <v>762</v>
      </c>
      <c r="J60" t="s">
        <v>763</v>
      </c>
    </row>
    <row r="61" spans="1:10" ht="28.2" thickBot="1" x14ac:dyDescent="0.35">
      <c r="A61" s="113">
        <v>61</v>
      </c>
      <c r="B61" s="112" t="s">
        <v>572</v>
      </c>
      <c r="C61" s="114"/>
      <c r="D61" s="115" t="s">
        <v>508</v>
      </c>
      <c r="E61" s="112" t="s">
        <v>520</v>
      </c>
      <c r="F61" s="112" t="s">
        <v>510</v>
      </c>
      <c r="I61" t="s">
        <v>764</v>
      </c>
      <c r="J61" t="s">
        <v>765</v>
      </c>
    </row>
    <row r="62" spans="1:10" ht="28.2" thickBot="1" x14ac:dyDescent="0.35">
      <c r="A62" s="113">
        <v>62</v>
      </c>
      <c r="B62" s="112" t="s">
        <v>573</v>
      </c>
      <c r="C62" s="114"/>
      <c r="D62" s="115" t="s">
        <v>508</v>
      </c>
      <c r="E62" s="112" t="s">
        <v>509</v>
      </c>
      <c r="F62" s="112" t="s">
        <v>510</v>
      </c>
      <c r="I62" t="s">
        <v>766</v>
      </c>
      <c r="J62" t="s">
        <v>767</v>
      </c>
    </row>
    <row r="63" spans="1:10" ht="28.2" thickBot="1" x14ac:dyDescent="0.35">
      <c r="A63" s="113">
        <v>63</v>
      </c>
      <c r="B63" s="112" t="s">
        <v>574</v>
      </c>
      <c r="C63" s="114"/>
      <c r="D63" s="115" t="s">
        <v>508</v>
      </c>
      <c r="E63" s="112" t="s">
        <v>509</v>
      </c>
      <c r="F63" s="112" t="s">
        <v>510</v>
      </c>
      <c r="I63" t="s">
        <v>768</v>
      </c>
      <c r="J63" t="s">
        <v>769</v>
      </c>
    </row>
    <row r="64" spans="1:10" ht="28.2" thickBot="1" x14ac:dyDescent="0.35">
      <c r="A64" s="113">
        <v>64</v>
      </c>
      <c r="B64" s="112" t="s">
        <v>575</v>
      </c>
      <c r="C64" s="114"/>
      <c r="D64" s="115" t="s">
        <v>508</v>
      </c>
      <c r="E64" s="112" t="s">
        <v>509</v>
      </c>
      <c r="F64" s="112" t="s">
        <v>510</v>
      </c>
      <c r="I64" t="s">
        <v>770</v>
      </c>
      <c r="J64" t="s">
        <v>771</v>
      </c>
    </row>
    <row r="65" spans="1:10" ht="28.2" thickBot="1" x14ac:dyDescent="0.35">
      <c r="A65" s="113">
        <v>65</v>
      </c>
      <c r="B65" s="112" t="s">
        <v>576</v>
      </c>
      <c r="C65" s="114"/>
      <c r="D65" s="115" t="s">
        <v>508</v>
      </c>
      <c r="E65" s="112" t="s">
        <v>509</v>
      </c>
      <c r="F65" s="112" t="s">
        <v>510</v>
      </c>
      <c r="I65" t="s">
        <v>772</v>
      </c>
      <c r="J65" t="s">
        <v>773</v>
      </c>
    </row>
    <row r="66" spans="1:10" ht="28.2" thickBot="1" x14ac:dyDescent="0.35">
      <c r="A66" s="113">
        <v>66</v>
      </c>
      <c r="B66" s="112" t="s">
        <v>577</v>
      </c>
      <c r="C66" s="114"/>
      <c r="D66" s="115" t="s">
        <v>508</v>
      </c>
      <c r="E66" s="112" t="s">
        <v>509</v>
      </c>
      <c r="F66" s="112" t="s">
        <v>510</v>
      </c>
      <c r="I66" t="s">
        <v>774</v>
      </c>
      <c r="J66" t="s">
        <v>666</v>
      </c>
    </row>
    <row r="67" spans="1:10" ht="28.2" thickBot="1" x14ac:dyDescent="0.35">
      <c r="A67" s="113">
        <v>67</v>
      </c>
      <c r="B67" s="112" t="s">
        <v>578</v>
      </c>
      <c r="C67" s="114"/>
      <c r="D67" s="115" t="s">
        <v>508</v>
      </c>
      <c r="E67" s="112" t="s">
        <v>509</v>
      </c>
      <c r="F67" s="112" t="s">
        <v>510</v>
      </c>
      <c r="I67" t="s">
        <v>775</v>
      </c>
      <c r="J67" t="s">
        <v>667</v>
      </c>
    </row>
    <row r="68" spans="1:10" ht="28.2" thickBot="1" x14ac:dyDescent="0.35">
      <c r="A68" s="113">
        <v>68</v>
      </c>
      <c r="B68" s="112" t="s">
        <v>579</v>
      </c>
      <c r="C68" s="114"/>
      <c r="D68" s="115" t="s">
        <v>508</v>
      </c>
      <c r="E68" s="112" t="s">
        <v>580</v>
      </c>
      <c r="F68" s="112" t="s">
        <v>510</v>
      </c>
      <c r="I68" t="s">
        <v>776</v>
      </c>
      <c r="J68" t="s">
        <v>668</v>
      </c>
    </row>
    <row r="69" spans="1:10" ht="28.2" thickBot="1" x14ac:dyDescent="0.35">
      <c r="A69" s="113">
        <v>69</v>
      </c>
      <c r="B69" s="112" t="s">
        <v>581</v>
      </c>
      <c r="C69" s="114"/>
      <c r="D69" s="115" t="s">
        <v>508</v>
      </c>
      <c r="E69" s="112" t="s">
        <v>509</v>
      </c>
      <c r="F69" s="112" t="s">
        <v>510</v>
      </c>
      <c r="I69" t="s">
        <v>777</v>
      </c>
      <c r="J69" t="s">
        <v>669</v>
      </c>
    </row>
    <row r="70" spans="1:10" ht="28.2" thickBot="1" x14ac:dyDescent="0.35">
      <c r="A70" s="113">
        <v>70</v>
      </c>
      <c r="B70" s="112" t="s">
        <v>582</v>
      </c>
      <c r="C70" s="114"/>
      <c r="D70" s="115" t="s">
        <v>508</v>
      </c>
      <c r="E70" s="112" t="s">
        <v>509</v>
      </c>
      <c r="F70" s="112" t="s">
        <v>510</v>
      </c>
      <c r="I70" t="s">
        <v>778</v>
      </c>
      <c r="J70" t="s">
        <v>670</v>
      </c>
    </row>
    <row r="71" spans="1:10" ht="28.2" thickBot="1" x14ac:dyDescent="0.35">
      <c r="A71" s="113">
        <v>71</v>
      </c>
      <c r="B71" s="112" t="s">
        <v>583</v>
      </c>
      <c r="C71" s="114"/>
      <c r="D71" s="115" t="s">
        <v>508</v>
      </c>
      <c r="E71" s="112" t="s">
        <v>509</v>
      </c>
      <c r="F71" s="112" t="s">
        <v>510</v>
      </c>
      <c r="I71" t="s">
        <v>779</v>
      </c>
      <c r="J71" t="s">
        <v>671</v>
      </c>
    </row>
    <row r="72" spans="1:10" ht="28.2" thickBot="1" x14ac:dyDescent="0.35">
      <c r="A72" s="113">
        <v>72</v>
      </c>
      <c r="B72" s="112" t="s">
        <v>584</v>
      </c>
      <c r="C72" s="114"/>
      <c r="D72" s="115" t="s">
        <v>508</v>
      </c>
      <c r="E72" s="112" t="s">
        <v>509</v>
      </c>
      <c r="F72" s="112" t="s">
        <v>510</v>
      </c>
      <c r="I72" t="s">
        <v>780</v>
      </c>
      <c r="J72" t="s">
        <v>672</v>
      </c>
    </row>
    <row r="73" spans="1:10" ht="28.2" thickBot="1" x14ac:dyDescent="0.35">
      <c r="A73" s="113">
        <v>73</v>
      </c>
      <c r="B73" s="112" t="s">
        <v>585</v>
      </c>
      <c r="C73" s="114"/>
      <c r="D73" s="115" t="s">
        <v>508</v>
      </c>
      <c r="E73" s="112" t="s">
        <v>509</v>
      </c>
      <c r="F73" s="112" t="s">
        <v>510</v>
      </c>
      <c r="I73" t="s">
        <v>781</v>
      </c>
      <c r="J73" t="s">
        <v>673</v>
      </c>
    </row>
    <row r="74" spans="1:10" ht="28.2" thickBot="1" x14ac:dyDescent="0.35">
      <c r="A74" s="113">
        <v>74</v>
      </c>
      <c r="B74" s="112" t="s">
        <v>557</v>
      </c>
      <c r="C74" s="114"/>
      <c r="D74" s="115" t="s">
        <v>508</v>
      </c>
      <c r="E74" s="112" t="s">
        <v>509</v>
      </c>
      <c r="F74" s="112" t="s">
        <v>510</v>
      </c>
      <c r="I74" t="s">
        <v>782</v>
      </c>
      <c r="J74" t="s">
        <v>674</v>
      </c>
    </row>
    <row r="75" spans="1:10" ht="28.2" thickBot="1" x14ac:dyDescent="0.35">
      <c r="A75" s="113">
        <v>75</v>
      </c>
      <c r="B75" s="112" t="s">
        <v>586</v>
      </c>
      <c r="C75" s="114"/>
      <c r="D75" s="115" t="s">
        <v>508</v>
      </c>
      <c r="E75" s="112" t="s">
        <v>509</v>
      </c>
      <c r="F75" s="112" t="s">
        <v>510</v>
      </c>
      <c r="I75" t="s">
        <v>783</v>
      </c>
      <c r="J75" t="s">
        <v>675</v>
      </c>
    </row>
    <row r="76" spans="1:10" ht="28.2" thickBot="1" x14ac:dyDescent="0.35">
      <c r="A76" s="113">
        <v>76</v>
      </c>
      <c r="B76" s="112" t="s">
        <v>587</v>
      </c>
      <c r="C76" s="114"/>
      <c r="D76" s="115" t="s">
        <v>508</v>
      </c>
      <c r="E76" s="112" t="s">
        <v>509</v>
      </c>
      <c r="F76" s="112" t="s">
        <v>510</v>
      </c>
      <c r="I76" t="s">
        <v>784</v>
      </c>
      <c r="J76" t="s">
        <v>676</v>
      </c>
    </row>
    <row r="77" spans="1:10" ht="28.2" thickBot="1" x14ac:dyDescent="0.35">
      <c r="A77" s="113">
        <v>77</v>
      </c>
      <c r="B77" s="112" t="s">
        <v>588</v>
      </c>
      <c r="C77" s="114"/>
      <c r="D77" s="115" t="s">
        <v>508</v>
      </c>
      <c r="E77" s="112" t="s">
        <v>509</v>
      </c>
      <c r="F77" s="112" t="s">
        <v>510</v>
      </c>
      <c r="I77" t="s">
        <v>785</v>
      </c>
      <c r="J77" t="s">
        <v>677</v>
      </c>
    </row>
    <row r="78" spans="1:10" ht="28.2" thickBot="1" x14ac:dyDescent="0.35">
      <c r="A78" s="113">
        <v>78</v>
      </c>
      <c r="B78" s="112" t="s">
        <v>589</v>
      </c>
      <c r="C78" s="114"/>
      <c r="D78" s="115" t="s">
        <v>508</v>
      </c>
      <c r="E78" s="112" t="s">
        <v>509</v>
      </c>
      <c r="F78" s="112" t="s">
        <v>510</v>
      </c>
      <c r="I78" t="s">
        <v>786</v>
      </c>
      <c r="J78" t="s">
        <v>678</v>
      </c>
    </row>
    <row r="79" spans="1:10" ht="28.2" thickBot="1" x14ac:dyDescent="0.35">
      <c r="A79" s="113">
        <v>79</v>
      </c>
      <c r="B79" s="112" t="s">
        <v>590</v>
      </c>
      <c r="C79" s="114"/>
      <c r="D79" s="115" t="s">
        <v>508</v>
      </c>
      <c r="E79" s="112" t="s">
        <v>509</v>
      </c>
      <c r="F79" s="112" t="s">
        <v>510</v>
      </c>
      <c r="I79" t="s">
        <v>787</v>
      </c>
      <c r="J79" t="s">
        <v>679</v>
      </c>
    </row>
    <row r="80" spans="1:10" ht="28.2" thickBot="1" x14ac:dyDescent="0.35">
      <c r="A80" s="113">
        <v>80</v>
      </c>
      <c r="B80" s="112" t="s">
        <v>591</v>
      </c>
      <c r="C80" s="114"/>
      <c r="D80" s="115" t="s">
        <v>508</v>
      </c>
      <c r="E80" s="112" t="s">
        <v>509</v>
      </c>
      <c r="F80" s="112" t="s">
        <v>510</v>
      </c>
      <c r="I80" t="s">
        <v>788</v>
      </c>
      <c r="J80" t="s">
        <v>680</v>
      </c>
    </row>
    <row r="81" spans="1:10" ht="28.2" thickBot="1" x14ac:dyDescent="0.35">
      <c r="A81" s="113">
        <v>81</v>
      </c>
      <c r="B81" s="112" t="s">
        <v>592</v>
      </c>
      <c r="C81" s="114"/>
      <c r="D81" s="115" t="s">
        <v>508</v>
      </c>
      <c r="E81" s="112" t="s">
        <v>509</v>
      </c>
      <c r="F81" s="112" t="s">
        <v>510</v>
      </c>
      <c r="I81" t="s">
        <v>789</v>
      </c>
      <c r="J81" t="s">
        <v>790</v>
      </c>
    </row>
    <row r="82" spans="1:10" ht="28.2" thickBot="1" x14ac:dyDescent="0.35">
      <c r="A82" s="113">
        <v>82</v>
      </c>
      <c r="B82" s="112" t="s">
        <v>593</v>
      </c>
      <c r="C82" s="114"/>
      <c r="D82" s="115" t="s">
        <v>508</v>
      </c>
      <c r="E82" s="112" t="s">
        <v>509</v>
      </c>
      <c r="F82" s="112" t="s">
        <v>510</v>
      </c>
      <c r="I82" t="s">
        <v>791</v>
      </c>
      <c r="J82" t="s">
        <v>792</v>
      </c>
    </row>
    <row r="83" spans="1:10" ht="28.2" thickBot="1" x14ac:dyDescent="0.35">
      <c r="A83" s="113">
        <v>83</v>
      </c>
      <c r="B83" s="112" t="s">
        <v>594</v>
      </c>
      <c r="C83" s="114"/>
      <c r="D83" s="115" t="s">
        <v>508</v>
      </c>
      <c r="E83" s="112" t="s">
        <v>509</v>
      </c>
      <c r="F83" s="112" t="s">
        <v>510</v>
      </c>
      <c r="I83" t="s">
        <v>793</v>
      </c>
      <c r="J83" t="s">
        <v>794</v>
      </c>
    </row>
    <row r="84" spans="1:10" ht="28.2" thickBot="1" x14ac:dyDescent="0.35">
      <c r="A84" s="113">
        <v>84</v>
      </c>
      <c r="B84" s="112" t="s">
        <v>595</v>
      </c>
      <c r="C84" s="114"/>
      <c r="D84" s="115" t="s">
        <v>508</v>
      </c>
      <c r="E84" s="112" t="s">
        <v>509</v>
      </c>
      <c r="F84" s="112" t="s">
        <v>510</v>
      </c>
      <c r="I84" t="s">
        <v>795</v>
      </c>
      <c r="J84" t="s">
        <v>796</v>
      </c>
    </row>
    <row r="85" spans="1:10" ht="28.2" thickBot="1" x14ac:dyDescent="0.35">
      <c r="A85" s="113">
        <v>85</v>
      </c>
      <c r="B85" s="112" t="s">
        <v>596</v>
      </c>
      <c r="C85" s="114"/>
      <c r="D85" s="115" t="s">
        <v>508</v>
      </c>
      <c r="E85" s="112" t="s">
        <v>597</v>
      </c>
      <c r="F85" s="112" t="s">
        <v>510</v>
      </c>
      <c r="I85" t="s">
        <v>797</v>
      </c>
      <c r="J85" t="s">
        <v>798</v>
      </c>
    </row>
    <row r="86" spans="1:10" ht="28.2" thickBot="1" x14ac:dyDescent="0.35">
      <c r="A86" s="113">
        <v>86</v>
      </c>
      <c r="B86" s="112" t="s">
        <v>598</v>
      </c>
      <c r="C86" s="114"/>
      <c r="D86" s="115" t="s">
        <v>508</v>
      </c>
      <c r="E86" s="112" t="s">
        <v>509</v>
      </c>
      <c r="F86" s="112" t="s">
        <v>510</v>
      </c>
      <c r="I86" t="s">
        <v>799</v>
      </c>
      <c r="J86" t="s">
        <v>800</v>
      </c>
    </row>
    <row r="87" spans="1:10" ht="28.2" thickBot="1" x14ac:dyDescent="0.35">
      <c r="A87" s="113">
        <v>87</v>
      </c>
      <c r="B87" s="112" t="s">
        <v>599</v>
      </c>
      <c r="C87" s="114"/>
      <c r="D87" s="115" t="s">
        <v>508</v>
      </c>
      <c r="E87" s="112" t="s">
        <v>509</v>
      </c>
      <c r="F87" s="112" t="s">
        <v>510</v>
      </c>
      <c r="I87" t="s">
        <v>801</v>
      </c>
      <c r="J87" t="s">
        <v>802</v>
      </c>
    </row>
    <row r="88" spans="1:10" ht="28.2" thickBot="1" x14ac:dyDescent="0.35">
      <c r="A88" s="113">
        <v>88</v>
      </c>
      <c r="B88" s="112" t="s">
        <v>600</v>
      </c>
      <c r="C88" s="114"/>
      <c r="D88" s="115" t="s">
        <v>508</v>
      </c>
      <c r="E88" s="112" t="s">
        <v>509</v>
      </c>
      <c r="F88" s="112" t="s">
        <v>510</v>
      </c>
      <c r="I88" t="s">
        <v>803</v>
      </c>
      <c r="J88" t="s">
        <v>804</v>
      </c>
    </row>
    <row r="89" spans="1:10" ht="28.2" thickBot="1" x14ac:dyDescent="0.35">
      <c r="A89" s="113">
        <v>89</v>
      </c>
      <c r="B89" s="112" t="s">
        <v>601</v>
      </c>
      <c r="C89" s="114"/>
      <c r="D89" s="115" t="s">
        <v>508</v>
      </c>
      <c r="E89" s="112" t="s">
        <v>509</v>
      </c>
      <c r="F89" s="112" t="s">
        <v>510</v>
      </c>
      <c r="I89" t="s">
        <v>805</v>
      </c>
      <c r="J89" t="s">
        <v>806</v>
      </c>
    </row>
    <row r="90" spans="1:10" ht="28.2" thickBot="1" x14ac:dyDescent="0.35">
      <c r="A90" s="113">
        <v>90</v>
      </c>
      <c r="B90" s="112" t="s">
        <v>602</v>
      </c>
      <c r="C90" s="114"/>
      <c r="D90" s="115" t="s">
        <v>508</v>
      </c>
      <c r="E90" s="112" t="s">
        <v>509</v>
      </c>
      <c r="F90" s="112" t="s">
        <v>510</v>
      </c>
      <c r="I90" t="s">
        <v>807</v>
      </c>
      <c r="J90" t="s">
        <v>808</v>
      </c>
    </row>
    <row r="91" spans="1:10" ht="28.2" thickBot="1" x14ac:dyDescent="0.35">
      <c r="A91" s="113">
        <v>91</v>
      </c>
      <c r="B91" s="112" t="s">
        <v>603</v>
      </c>
      <c r="C91" s="114"/>
      <c r="D91" s="115" t="s">
        <v>508</v>
      </c>
      <c r="E91" s="112" t="s">
        <v>509</v>
      </c>
      <c r="F91" s="112" t="s">
        <v>510</v>
      </c>
      <c r="I91" t="s">
        <v>809</v>
      </c>
      <c r="J91" t="s">
        <v>810</v>
      </c>
    </row>
    <row r="92" spans="1:10" ht="28.2" thickBot="1" x14ac:dyDescent="0.35">
      <c r="A92" s="113">
        <v>92</v>
      </c>
      <c r="B92" s="112" t="s">
        <v>604</v>
      </c>
      <c r="C92" s="114"/>
      <c r="D92" s="115" t="s">
        <v>508</v>
      </c>
      <c r="E92" s="112" t="s">
        <v>509</v>
      </c>
      <c r="F92" s="112" t="s">
        <v>510</v>
      </c>
      <c r="I92" t="s">
        <v>811</v>
      </c>
      <c r="J92" t="s">
        <v>812</v>
      </c>
    </row>
    <row r="93" spans="1:10" ht="28.2" thickBot="1" x14ac:dyDescent="0.35">
      <c r="A93" s="113">
        <v>93</v>
      </c>
      <c r="B93" s="112" t="s">
        <v>605</v>
      </c>
      <c r="C93" s="114"/>
      <c r="D93" s="115" t="s">
        <v>508</v>
      </c>
      <c r="E93" s="112" t="s">
        <v>509</v>
      </c>
      <c r="F93" s="112" t="s">
        <v>510</v>
      </c>
      <c r="I93" t="s">
        <v>813</v>
      </c>
      <c r="J93" t="s">
        <v>814</v>
      </c>
    </row>
    <row r="94" spans="1:10" ht="28.2" thickBot="1" x14ac:dyDescent="0.35">
      <c r="A94" s="113">
        <v>94</v>
      </c>
      <c r="B94" s="112" t="s">
        <v>606</v>
      </c>
      <c r="C94" s="114"/>
      <c r="D94" s="115" t="s">
        <v>508</v>
      </c>
      <c r="E94" s="112" t="s">
        <v>509</v>
      </c>
      <c r="F94" s="112" t="s">
        <v>510</v>
      </c>
      <c r="I94" t="s">
        <v>815</v>
      </c>
      <c r="J94" t="s">
        <v>816</v>
      </c>
    </row>
    <row r="95" spans="1:10" ht="28.2" thickBot="1" x14ac:dyDescent="0.35">
      <c r="A95" s="113">
        <v>95</v>
      </c>
      <c r="B95" s="112" t="s">
        <v>607</v>
      </c>
      <c r="C95" s="114"/>
      <c r="D95" s="115" t="s">
        <v>508</v>
      </c>
      <c r="E95" s="112" t="s">
        <v>509</v>
      </c>
      <c r="F95" s="112" t="s">
        <v>510</v>
      </c>
      <c r="I95" t="s">
        <v>817</v>
      </c>
      <c r="J95" t="s">
        <v>818</v>
      </c>
    </row>
    <row r="96" spans="1:10" ht="28.2" thickBot="1" x14ac:dyDescent="0.35">
      <c r="A96" s="113">
        <v>96</v>
      </c>
      <c r="B96" s="112" t="s">
        <v>608</v>
      </c>
      <c r="C96" s="114"/>
      <c r="D96" s="115" t="s">
        <v>508</v>
      </c>
      <c r="E96" s="112" t="s">
        <v>509</v>
      </c>
      <c r="F96" s="112" t="s">
        <v>510</v>
      </c>
      <c r="I96" t="s">
        <v>819</v>
      </c>
      <c r="J96" t="s">
        <v>820</v>
      </c>
    </row>
    <row r="97" spans="1:10" ht="28.2" thickBot="1" x14ac:dyDescent="0.35">
      <c r="A97" s="113">
        <v>97</v>
      </c>
      <c r="B97" s="112" t="s">
        <v>596</v>
      </c>
      <c r="C97" s="114"/>
      <c r="D97" s="115" t="s">
        <v>508</v>
      </c>
      <c r="E97" s="112" t="s">
        <v>509</v>
      </c>
      <c r="F97" s="112" t="s">
        <v>510</v>
      </c>
      <c r="I97" t="s">
        <v>821</v>
      </c>
      <c r="J97" t="s">
        <v>822</v>
      </c>
    </row>
    <row r="98" spans="1:10" ht="42" thickBot="1" x14ac:dyDescent="0.35">
      <c r="A98" s="113">
        <v>98</v>
      </c>
      <c r="B98" s="112" t="s">
        <v>609</v>
      </c>
      <c r="C98" s="114"/>
      <c r="D98" s="115" t="s">
        <v>508</v>
      </c>
      <c r="E98" s="112" t="s">
        <v>509</v>
      </c>
      <c r="F98" s="112" t="s">
        <v>510</v>
      </c>
      <c r="I98" t="s">
        <v>823</v>
      </c>
      <c r="J98" t="s">
        <v>824</v>
      </c>
    </row>
    <row r="99" spans="1:10" ht="28.2" thickBot="1" x14ac:dyDescent="0.35">
      <c r="A99" s="113">
        <v>99</v>
      </c>
      <c r="B99" s="112" t="s">
        <v>610</v>
      </c>
      <c r="C99" s="114"/>
      <c r="D99" s="115" t="s">
        <v>508</v>
      </c>
      <c r="E99" s="112" t="s">
        <v>509</v>
      </c>
      <c r="F99" s="112" t="s">
        <v>510</v>
      </c>
      <c r="I99" t="s">
        <v>825</v>
      </c>
      <c r="J99" t="s">
        <v>826</v>
      </c>
    </row>
    <row r="100" spans="1:10" ht="28.2" thickBot="1" x14ac:dyDescent="0.35">
      <c r="A100" s="113">
        <v>100</v>
      </c>
      <c r="B100" s="112" t="s">
        <v>611</v>
      </c>
      <c r="C100" s="114"/>
      <c r="D100" s="115" t="s">
        <v>508</v>
      </c>
      <c r="E100" s="112" t="s">
        <v>509</v>
      </c>
      <c r="F100" s="112" t="s">
        <v>510</v>
      </c>
      <c r="I100" t="s">
        <v>827</v>
      </c>
      <c r="J100" t="s">
        <v>828</v>
      </c>
    </row>
    <row r="101" spans="1:10" ht="28.2" thickBot="1" x14ac:dyDescent="0.35">
      <c r="A101" s="113">
        <v>101</v>
      </c>
      <c r="B101" s="112" t="s">
        <v>612</v>
      </c>
      <c r="C101" s="114"/>
      <c r="D101" s="115" t="s">
        <v>508</v>
      </c>
      <c r="E101" s="112" t="s">
        <v>509</v>
      </c>
      <c r="F101" s="112" t="s">
        <v>510</v>
      </c>
      <c r="I101" t="s">
        <v>829</v>
      </c>
      <c r="J101" t="s">
        <v>830</v>
      </c>
    </row>
    <row r="102" spans="1:10" ht="28.2" thickBot="1" x14ac:dyDescent="0.35">
      <c r="A102" s="113">
        <v>102</v>
      </c>
      <c r="B102" s="112" t="s">
        <v>613</v>
      </c>
      <c r="C102" s="114"/>
      <c r="D102" s="115" t="s">
        <v>508</v>
      </c>
      <c r="E102" s="112" t="s">
        <v>509</v>
      </c>
      <c r="F102" s="112" t="s">
        <v>510</v>
      </c>
      <c r="I102" t="s">
        <v>831</v>
      </c>
      <c r="J102" t="s">
        <v>832</v>
      </c>
    </row>
    <row r="103" spans="1:10" ht="28.2" thickBot="1" x14ac:dyDescent="0.35">
      <c r="A103" s="113">
        <v>103</v>
      </c>
      <c r="B103" s="112" t="s">
        <v>614</v>
      </c>
      <c r="C103" s="114"/>
      <c r="D103" s="115" t="s">
        <v>508</v>
      </c>
      <c r="E103" s="112" t="s">
        <v>509</v>
      </c>
      <c r="F103" s="112" t="s">
        <v>510</v>
      </c>
      <c r="I103" t="s">
        <v>833</v>
      </c>
      <c r="J103" t="s">
        <v>834</v>
      </c>
    </row>
    <row r="104" spans="1:10" ht="28.2" thickBot="1" x14ac:dyDescent="0.35">
      <c r="A104" s="113">
        <v>104</v>
      </c>
      <c r="B104" s="112" t="s">
        <v>615</v>
      </c>
      <c r="C104" s="114"/>
      <c r="D104" s="115" t="s">
        <v>508</v>
      </c>
      <c r="E104" s="112" t="s">
        <v>509</v>
      </c>
      <c r="F104" s="111"/>
      <c r="I104" t="s">
        <v>835</v>
      </c>
      <c r="J104" t="s">
        <v>836</v>
      </c>
    </row>
  </sheetData>
  <hyperlinks>
    <hyperlink ref="B1" r:id="rId1" display="https://jira.central1.com/browse/FIT-1001" xr:uid="{00000000-0004-0000-0600-000000000000}"/>
    <hyperlink ref="E1" r:id="rId2" display="https://jira.central1.com/secure/ViewProfile.jspa?name=unassigned" xr:uid="{00000000-0004-0000-0600-000001000000}"/>
    <hyperlink ref="F1" r:id="rId3" tooltip="Actions (Type . to access issue actions)" display="https://jira.central1.com/rest/api/1.0/issues/266478/ActionsAndOperations?atl_token=AHT6-MTMP-UBMO-MUYG_cd9c0f64329b81e62a74fcf0fe1854ac19d6211d_lin" xr:uid="{00000000-0004-0000-0600-000002000000}"/>
    <hyperlink ref="B2" r:id="rId4" display="https://jira.central1.com/browse/FIT-1835" xr:uid="{00000000-0004-0000-0600-000003000000}"/>
    <hyperlink ref="E2" r:id="rId5" display="https://jira.central1.com/secure/ViewProfile.jspa?name=unassigned" xr:uid="{00000000-0004-0000-0600-000004000000}"/>
    <hyperlink ref="F2" r:id="rId6" tooltip="Actions (Type . to access issue actions)" display="https://jira.central1.com/rest/api/1.0/issues/270848/ActionsAndOperations?atl_token=AHT6-MTMP-UBMO-MUYG_cd9c0f64329b81e62a74fcf0fe1854ac19d6211d_lin" xr:uid="{00000000-0004-0000-0600-000005000000}"/>
    <hyperlink ref="B3" r:id="rId7" display="https://jira.central1.com/browse/FIT-10262" xr:uid="{00000000-0004-0000-0600-000006000000}"/>
    <hyperlink ref="E3" r:id="rId8" display="https://jira.central1.com/secure/ViewProfile.jspa?name=unassigned" xr:uid="{00000000-0004-0000-0600-000007000000}"/>
    <hyperlink ref="F3" r:id="rId9" tooltip="Actions (Type . to access issue actions)" display="https://jira.central1.com/rest/api/1.0/issues/299545/ActionsAndOperations?atl_token=AHT6-MTMP-UBMO-MUYG_cd9c0f64329b81e62a74fcf0fe1854ac19d6211d_lin" xr:uid="{00000000-0004-0000-0600-000008000000}"/>
    <hyperlink ref="B4" r:id="rId10" display="https://jira.central1.com/browse/FIT-1003" xr:uid="{00000000-0004-0000-0600-000009000000}"/>
    <hyperlink ref="E4" r:id="rId11" display="https://jira.central1.com/secure/ViewProfile.jspa?name=unassigned" xr:uid="{00000000-0004-0000-0600-00000A000000}"/>
    <hyperlink ref="F4" r:id="rId12" tooltip="Actions (Type . to access issue actions)" display="https://jira.central1.com/rest/api/1.0/issues/266480/ActionsAndOperations?atl_token=AHT6-MTMP-UBMO-MUYG_cd9c0f64329b81e62a74fcf0fe1854ac19d6211d_lin" xr:uid="{00000000-0004-0000-0600-00000B000000}"/>
    <hyperlink ref="B5" r:id="rId13" display="https://jira.central1.com/browse/FIT-1005" xr:uid="{00000000-0004-0000-0600-00000C000000}"/>
    <hyperlink ref="E5" r:id="rId14" display="https://jira.central1.com/secure/ViewProfile.jspa?name=unassigned" xr:uid="{00000000-0004-0000-0600-00000D000000}"/>
    <hyperlink ref="F5" r:id="rId15" tooltip="Actions (Type . to access issue actions)" display="https://jira.central1.com/rest/api/1.0/issues/266482/ActionsAndOperations?atl_token=AHT6-MTMP-UBMO-MUYG_cd9c0f64329b81e62a74fcf0fe1854ac19d6211d_lin" xr:uid="{00000000-0004-0000-0600-00000E000000}"/>
    <hyperlink ref="B6" r:id="rId16" display="https://jira.central1.com/browse/FIT-1800" xr:uid="{00000000-0004-0000-0600-00000F000000}"/>
    <hyperlink ref="E6" r:id="rId17" display="https://jira.central1.com/secure/ViewProfile.jspa?name=unassigned" xr:uid="{00000000-0004-0000-0600-000010000000}"/>
    <hyperlink ref="F6" r:id="rId18" tooltip="Actions (Type . to access issue actions)" display="https://jira.central1.com/rest/api/1.0/issues/270549/ActionsAndOperations?atl_token=AHT6-MTMP-UBMO-MUYG_cd9c0f64329b81e62a74fcf0fe1854ac19d6211d_lin" xr:uid="{00000000-0004-0000-0600-000011000000}"/>
    <hyperlink ref="B7" r:id="rId19" display="https://jira.central1.com/browse/FIT-1164" xr:uid="{00000000-0004-0000-0600-000012000000}"/>
    <hyperlink ref="E7" r:id="rId20" display="https://jira.central1.com/secure/ViewProfile.jspa?name=unassigned" xr:uid="{00000000-0004-0000-0600-000013000000}"/>
    <hyperlink ref="F7" r:id="rId21" tooltip="Actions (Type . to access issue actions)" display="https://jira.central1.com/rest/api/1.0/issues/268130/ActionsAndOperations?atl_token=AHT6-MTMP-UBMO-MUYG_cd9c0f64329b81e62a74fcf0fe1854ac19d6211d_lin" xr:uid="{00000000-0004-0000-0600-000014000000}"/>
    <hyperlink ref="B8" r:id="rId22" display="https://jira.central1.com/browse/FIT-1320" xr:uid="{00000000-0004-0000-0600-000015000000}"/>
    <hyperlink ref="E8" r:id="rId23" display="https://jira.central1.com/secure/ViewProfile.jspa?name=unassigned" xr:uid="{00000000-0004-0000-0600-000016000000}"/>
    <hyperlink ref="F8" r:id="rId24" tooltip="Actions (Type . to access issue actions)" display="https://jira.central1.com/rest/api/1.0/issues/268758/ActionsAndOperations?atl_token=AHT6-MTMP-UBMO-MUYG_cd9c0f64329b81e62a74fcf0fe1854ac19d6211d_lin" xr:uid="{00000000-0004-0000-0600-000017000000}"/>
    <hyperlink ref="B9" r:id="rId25" display="https://jira.central1.com/browse/FIT-7939" xr:uid="{00000000-0004-0000-0600-000018000000}"/>
    <hyperlink ref="E9" r:id="rId26" display="https://jira.central1.com/secure/ViewProfile.jspa?name=unassigned" xr:uid="{00000000-0004-0000-0600-000019000000}"/>
    <hyperlink ref="F9" r:id="rId27" tooltip="Actions (Type . to access issue actions)" display="https://jira.central1.com/rest/api/1.0/issues/287242/ActionsAndOperations?atl_token=AHT6-MTMP-UBMO-MUYG_cd9c0f64329b81e62a74fcf0fe1854ac19d6211d_lin" xr:uid="{00000000-0004-0000-0600-00001A000000}"/>
    <hyperlink ref="B10" r:id="rId28" display="https://jira.central1.com/browse/FIT-14954" xr:uid="{00000000-0004-0000-0600-00001B000000}"/>
    <hyperlink ref="E10" r:id="rId29" display="https://jira.central1.com/secure/ViewProfile.jspa?name=christina.chan" xr:uid="{00000000-0004-0000-0600-00001C000000}"/>
    <hyperlink ref="F10" r:id="rId30" tooltip="Actions (Type . to access issue actions)" display="https://jira.central1.com/rest/api/1.0/issues/314800/ActionsAndOperations?atl_token=AHT6-MTMP-UBMO-MUYG_cd9c0f64329b81e62a74fcf0fe1854ac19d6211d_lin" xr:uid="{00000000-0004-0000-0600-00001D000000}"/>
    <hyperlink ref="B11" r:id="rId31" display="https://jira.central1.com/browse/FIT-1010" xr:uid="{00000000-0004-0000-0600-00001E000000}"/>
    <hyperlink ref="E11" r:id="rId32" display="https://jira.central1.com/secure/ViewProfile.jspa?name=unassigned" xr:uid="{00000000-0004-0000-0600-00001F000000}"/>
    <hyperlink ref="F11" r:id="rId33" tooltip="Actions (Type . to access issue actions)" display="https://jira.central1.com/rest/api/1.0/issues/266488/ActionsAndOperations?atl_token=AHT6-MTMP-UBMO-MUYG_cd9c0f64329b81e62a74fcf0fe1854ac19d6211d_lin" xr:uid="{00000000-0004-0000-0600-000020000000}"/>
    <hyperlink ref="B12" r:id="rId34" display="https://jira.central1.com/browse/FIT-1801" xr:uid="{00000000-0004-0000-0600-000021000000}"/>
    <hyperlink ref="E12" r:id="rId35" display="https://jira.central1.com/secure/ViewProfile.jspa?name=unassigned" xr:uid="{00000000-0004-0000-0600-000022000000}"/>
    <hyperlink ref="F12" r:id="rId36" tooltip="Actions (Type . to access issue actions)" display="https://jira.central1.com/rest/api/1.0/issues/270550/ActionsAndOperations?atl_token=AHT6-MTMP-UBMO-MUYG_cd9c0f64329b81e62a74fcf0fe1854ac19d6211d_lin" xr:uid="{00000000-0004-0000-0600-000023000000}"/>
    <hyperlink ref="B13" r:id="rId37" display="https://jira.central1.com/browse/FIT-1802" xr:uid="{00000000-0004-0000-0600-000024000000}"/>
    <hyperlink ref="E13" r:id="rId38" display="https://jira.central1.com/secure/ViewProfile.jspa?name=unassigned" xr:uid="{00000000-0004-0000-0600-000025000000}"/>
    <hyperlink ref="F13" r:id="rId39" tooltip="Actions (Type . to access issue actions)" display="https://jira.central1.com/rest/api/1.0/issues/270551/ActionsAndOperations?atl_token=AHT6-MTMP-UBMO-MUYG_cd9c0f64329b81e62a74fcf0fe1854ac19d6211d_lin" xr:uid="{00000000-0004-0000-0600-000026000000}"/>
    <hyperlink ref="B14" r:id="rId40" display="https://jira.central1.com/browse/FIT-1007" xr:uid="{00000000-0004-0000-0600-000027000000}"/>
    <hyperlink ref="E14" r:id="rId41" display="https://jira.central1.com/secure/ViewProfile.jspa?name=unassigned" xr:uid="{00000000-0004-0000-0600-000028000000}"/>
    <hyperlink ref="F14" r:id="rId42" tooltip="Actions (Type . to access issue actions)" display="https://jira.central1.com/rest/api/1.0/issues/266484/ActionsAndOperations?atl_token=AHT6-MTMP-UBMO-MUYG_cd9c0f64329b81e62a74fcf0fe1854ac19d6211d_lin" xr:uid="{00000000-0004-0000-0600-000029000000}"/>
    <hyperlink ref="B15" r:id="rId43" display="https://jira.central1.com/browse/FIT-5667" xr:uid="{00000000-0004-0000-0600-00002A000000}"/>
    <hyperlink ref="E15" r:id="rId44" display="https://jira.central1.com/secure/ViewProfile.jspa?name=joe.cheng" xr:uid="{00000000-0004-0000-0600-00002B000000}"/>
    <hyperlink ref="F15" r:id="rId45" tooltip="Actions (Type . to access issue actions)" display="https://jira.central1.com/rest/api/1.0/issues/277981/ActionsAndOperations?atl_token=AHT6-MTMP-UBMO-MUYG_cd9c0f64329b81e62a74fcf0fe1854ac19d6211d_lin" xr:uid="{00000000-0004-0000-0600-00002C000000}"/>
    <hyperlink ref="B16" r:id="rId46" display="https://jira.central1.com/browse/FIT-1836" xr:uid="{00000000-0004-0000-0600-00002D000000}"/>
    <hyperlink ref="E16" r:id="rId47" display="https://jira.central1.com/secure/ViewProfile.jspa?name=unassigned" xr:uid="{00000000-0004-0000-0600-00002E000000}"/>
    <hyperlink ref="F16" r:id="rId48" tooltip="Actions (Type . to access issue actions)" display="https://jira.central1.com/rest/api/1.0/issues/270849/ActionsAndOperations?atl_token=AHT6-MTMP-UBMO-MUYG_cd9c0f64329b81e62a74fcf0fe1854ac19d6211d_lin" xr:uid="{00000000-0004-0000-0600-00002F000000}"/>
    <hyperlink ref="B17" r:id="rId49" display="https://jira.central1.com/browse/FIT-2303" xr:uid="{00000000-0004-0000-0600-000030000000}"/>
    <hyperlink ref="E17" r:id="rId50" display="https://jira.central1.com/secure/ViewProfile.jspa?name=unassigned" xr:uid="{00000000-0004-0000-0600-000031000000}"/>
    <hyperlink ref="F17" r:id="rId51" tooltip="Actions (Type . to access issue actions)" display="https://jira.central1.com/rest/api/1.0/issues/272012/ActionsAndOperations?atl_token=AHT6-MTMP-UBMO-MUYG_cd9c0f64329b81e62a74fcf0fe1854ac19d6211d_lin" xr:uid="{00000000-0004-0000-0600-000032000000}"/>
    <hyperlink ref="B18" r:id="rId52" display="https://jira.central1.com/browse/FIT-1837" xr:uid="{00000000-0004-0000-0600-000033000000}"/>
    <hyperlink ref="E18" r:id="rId53" display="https://jira.central1.com/secure/ViewProfile.jspa?name=unassigned" xr:uid="{00000000-0004-0000-0600-000034000000}"/>
    <hyperlink ref="F18" r:id="rId54" tooltip="Actions (Type . to access issue actions)" display="https://jira.central1.com/rest/api/1.0/issues/270850/ActionsAndOperations?atl_token=AHT6-MTMP-UBMO-MUYG_cd9c0f64329b81e62a74fcf0fe1854ac19d6211d_lin" xr:uid="{00000000-0004-0000-0600-000035000000}"/>
    <hyperlink ref="B19" r:id="rId55" display="https://jira.central1.com/browse/FIT-6999" xr:uid="{00000000-0004-0000-0600-000036000000}"/>
    <hyperlink ref="E19" r:id="rId56" display="https://jira.central1.com/secure/ViewProfile.jspa?name=joe.cheng" xr:uid="{00000000-0004-0000-0600-000037000000}"/>
    <hyperlink ref="F19" r:id="rId57" tooltip="Actions (Type . to access issue actions)" display="https://jira.central1.com/rest/api/1.0/issues/283011/ActionsAndOperations?atl_token=AHT6-MTMP-UBMO-MUYG_cd9c0f64329b81e62a74fcf0fe1854ac19d6211d_lin" xr:uid="{00000000-0004-0000-0600-000038000000}"/>
    <hyperlink ref="B20" r:id="rId58" display="https://jira.central1.com/browse/FIT-1840" xr:uid="{00000000-0004-0000-0600-000039000000}"/>
    <hyperlink ref="E20" r:id="rId59" display="https://jira.central1.com/secure/ViewProfile.jspa?name=unassigned" xr:uid="{00000000-0004-0000-0600-00003A000000}"/>
    <hyperlink ref="F20" r:id="rId60" tooltip="Actions (Type . to access issue actions)" display="https://jira.central1.com/rest/api/1.0/issues/270853/ActionsAndOperations?atl_token=AHT6-MTMP-UBMO-MUYG_cd9c0f64329b81e62a74fcf0fe1854ac19d6211d_lin" xr:uid="{00000000-0004-0000-0600-00003B000000}"/>
    <hyperlink ref="B21" r:id="rId61" display="https://jira.central1.com/browse/FIT-14122" xr:uid="{00000000-0004-0000-0600-00003C000000}"/>
    <hyperlink ref="E21" r:id="rId62" display="https://jira.central1.com/secure/ViewProfile.jspa?name=unassigned" xr:uid="{00000000-0004-0000-0600-00003D000000}"/>
    <hyperlink ref="F21" r:id="rId63" tooltip="Actions (Type . to access issue actions)" display="https://jira.central1.com/rest/api/1.0/issues/310485/ActionsAndOperations?atl_token=AHT6-MTMP-UBMO-MUYG_cd9c0f64329b81e62a74fcf0fe1854ac19d6211d_lin" xr:uid="{00000000-0004-0000-0600-00003E000000}"/>
    <hyperlink ref="B22" r:id="rId64" display="https://jira.central1.com/browse/FIT-10265" xr:uid="{00000000-0004-0000-0600-00003F000000}"/>
    <hyperlink ref="E22" r:id="rId65" display="https://jira.central1.com/secure/ViewProfile.jspa?name=unassigned" xr:uid="{00000000-0004-0000-0600-000040000000}"/>
    <hyperlink ref="F22" r:id="rId66" tooltip="Actions (Type . to access issue actions)" display="https://jira.central1.com/rest/api/1.0/issues/299548/ActionsAndOperations?atl_token=AHT6-MTMP-UBMO-MUYG_cd9c0f64329b81e62a74fcf0fe1854ac19d6211d_lin" xr:uid="{00000000-0004-0000-0600-000041000000}"/>
    <hyperlink ref="B23" r:id="rId67" display="https://jira.central1.com/browse/FIT-3930" xr:uid="{00000000-0004-0000-0600-000042000000}"/>
    <hyperlink ref="E23" r:id="rId68" display="https://jira.central1.com/secure/ViewProfile.jspa?name=unassigned" xr:uid="{00000000-0004-0000-0600-000043000000}"/>
    <hyperlink ref="F23" r:id="rId69" tooltip="Actions (Type . to access issue actions)" display="https://jira.central1.com/rest/api/1.0/issues/273967/ActionsAndOperations?atl_token=AHT6-MTMP-UBMO-MUYG_cd9c0f64329b81e62a74fcf0fe1854ac19d6211d_lin" xr:uid="{00000000-0004-0000-0600-000044000000}"/>
    <hyperlink ref="B24" r:id="rId70" display="https://jira.central1.com/browse/FIT-1844" xr:uid="{00000000-0004-0000-0600-000045000000}"/>
    <hyperlink ref="E24" r:id="rId71" display="https://jira.central1.com/secure/ViewProfile.jspa?name=unassigned" xr:uid="{00000000-0004-0000-0600-000046000000}"/>
    <hyperlink ref="F24" r:id="rId72" tooltip="Actions (Type . to access issue actions)" display="https://jira.central1.com/rest/api/1.0/issues/270860/ActionsAndOperations?atl_token=AHT6-MTMP-UBMO-MUYG_cd9c0f64329b81e62a74fcf0fe1854ac19d6211d_lin" xr:uid="{00000000-0004-0000-0600-000047000000}"/>
    <hyperlink ref="B25" r:id="rId73" display="https://jira.central1.com/browse/FIT-3936" xr:uid="{00000000-0004-0000-0600-000048000000}"/>
    <hyperlink ref="E25" r:id="rId74" display="https://jira.central1.com/secure/ViewProfile.jspa?name=unassigned" xr:uid="{00000000-0004-0000-0600-000049000000}"/>
    <hyperlink ref="F25" r:id="rId75" tooltip="Actions (Type . to access issue actions)" display="https://jira.central1.com/rest/api/1.0/issues/274000/ActionsAndOperations?atl_token=AHT6-MTMP-UBMO-MUYG_cd9c0f64329b81e62a74fcf0fe1854ac19d6211d_lin" xr:uid="{00000000-0004-0000-0600-00004A000000}"/>
    <hyperlink ref="B26" r:id="rId76" display="https://jira.central1.com/browse/FIT-1852" xr:uid="{00000000-0004-0000-0600-00004B000000}"/>
    <hyperlink ref="E26" r:id="rId77" display="https://jira.central1.com/secure/ViewProfile.jspa?name=unassigned" xr:uid="{00000000-0004-0000-0600-00004C000000}"/>
    <hyperlink ref="F26" r:id="rId78" tooltip="Actions (Type . to access issue actions)" display="https://jira.central1.com/rest/api/1.0/issues/270872/ActionsAndOperations?atl_token=AHT6-MTMP-UBMO-MUYG_cd9c0f64329b81e62a74fcf0fe1854ac19d6211d_lin" xr:uid="{00000000-0004-0000-0600-00004D000000}"/>
    <hyperlink ref="B27" r:id="rId79" display="https://jira.central1.com/browse/FIT-3937" xr:uid="{00000000-0004-0000-0600-00004E000000}"/>
    <hyperlink ref="E27" r:id="rId80" display="https://jira.central1.com/secure/ViewProfile.jspa?name=unassigned" xr:uid="{00000000-0004-0000-0600-00004F000000}"/>
    <hyperlink ref="F27" r:id="rId81" tooltip="Actions (Type . to access issue actions)" display="https://jira.central1.com/rest/api/1.0/issues/274001/ActionsAndOperations?atl_token=AHT6-MTMP-UBMO-MUYG_cd9c0f64329b81e62a74fcf0fe1854ac19d6211d_lin" xr:uid="{00000000-0004-0000-0600-000050000000}"/>
    <hyperlink ref="B28" r:id="rId82" display="https://jira.central1.com/browse/FIT-1859" xr:uid="{00000000-0004-0000-0600-000051000000}"/>
    <hyperlink ref="E28" r:id="rId83" display="https://jira.central1.com/secure/ViewProfile.jspa?name=unassigned" xr:uid="{00000000-0004-0000-0600-000052000000}"/>
    <hyperlink ref="F28" r:id="rId84" tooltip="Actions (Type . to access issue actions)" display="https://jira.central1.com/rest/api/1.0/issues/270879/ActionsAndOperations?atl_token=AHT6-MTMP-UBMO-MUYG_cd9c0f64329b81e62a74fcf0fe1854ac19d6211d_lin" xr:uid="{00000000-0004-0000-0600-000053000000}"/>
    <hyperlink ref="B29" r:id="rId85" display="https://jira.central1.com/browse/FIT-10263" xr:uid="{00000000-0004-0000-0600-000054000000}"/>
    <hyperlink ref="E29" r:id="rId86" display="https://jira.central1.com/secure/ViewProfile.jspa?name=unassigned" xr:uid="{00000000-0004-0000-0600-000055000000}"/>
    <hyperlink ref="F29" r:id="rId87" tooltip="Actions (Type . to access issue actions)" display="https://jira.central1.com/rest/api/1.0/issues/299546/ActionsAndOperations?atl_token=AHT6-MTMP-UBMO-MUYG_cd9c0f64329b81e62a74fcf0fe1854ac19d6211d_lin" xr:uid="{00000000-0004-0000-0600-000056000000}"/>
    <hyperlink ref="B30" r:id="rId88" display="https://jira.central1.com/browse/FIT-1841" xr:uid="{00000000-0004-0000-0600-000057000000}"/>
    <hyperlink ref="E30" r:id="rId89" display="https://jira.central1.com/secure/ViewProfile.jspa?name=unassigned" xr:uid="{00000000-0004-0000-0600-000058000000}"/>
    <hyperlink ref="F30" r:id="rId90" tooltip="Actions (Type . to access issue actions)" display="https://jira.central1.com/rest/api/1.0/issues/270854/ActionsAndOperations?atl_token=AHT6-MTMP-UBMO-MUYG_cd9c0f64329b81e62a74fcf0fe1854ac19d6211d_lin" xr:uid="{00000000-0004-0000-0600-000059000000}"/>
    <hyperlink ref="B31" r:id="rId91" display="https://jira.central1.com/browse/FIT-1016" xr:uid="{00000000-0004-0000-0600-00005A000000}"/>
    <hyperlink ref="E31" r:id="rId92" display="https://jira.central1.com/secure/ViewProfile.jspa?name=unassigned" xr:uid="{00000000-0004-0000-0600-00005B000000}"/>
    <hyperlink ref="F31" r:id="rId93" tooltip="Actions (Type . to access issue actions)" display="https://jira.central1.com/rest/api/1.0/issues/266495/ActionsAndOperations?atl_token=AHT6-MTMP-UBMO-MUYG_cd9c0f64329b81e62a74fcf0fe1854ac19d6211d_lin" xr:uid="{00000000-0004-0000-0600-00005C000000}"/>
    <hyperlink ref="B32" r:id="rId94" display="https://jira.central1.com/browse/FIT-1017" xr:uid="{00000000-0004-0000-0600-00005D000000}"/>
    <hyperlink ref="E32" r:id="rId95" display="https://jira.central1.com/secure/ViewProfile.jspa?name=unassigned" xr:uid="{00000000-0004-0000-0600-00005E000000}"/>
    <hyperlink ref="F32" r:id="rId96" tooltip="Actions (Type . to access issue actions)" display="https://jira.central1.com/rest/api/1.0/issues/266496/ActionsAndOperations?atl_token=AHT6-MTMP-UBMO-MUYG_cd9c0f64329b81e62a74fcf0fe1854ac19d6211d_lin" xr:uid="{00000000-0004-0000-0600-00005F000000}"/>
    <hyperlink ref="B33" r:id="rId97" display="https://jira.central1.com/browse/FIT-1838" xr:uid="{00000000-0004-0000-0600-000060000000}"/>
    <hyperlink ref="E33" r:id="rId98" display="https://jira.central1.com/secure/ViewProfile.jspa?name=unassigned" xr:uid="{00000000-0004-0000-0600-000061000000}"/>
    <hyperlink ref="F33" r:id="rId99" tooltip="Actions (Type . to access issue actions)" display="https://jira.central1.com/rest/api/1.0/issues/270851/ActionsAndOperations?atl_token=AHT6-MTMP-UBMO-MUYG_cd9c0f64329b81e62a74fcf0fe1854ac19d6211d_lin" xr:uid="{00000000-0004-0000-0600-000062000000}"/>
    <hyperlink ref="B34" r:id="rId100" display="https://jira.central1.com/browse/FIT-1846" xr:uid="{00000000-0004-0000-0600-000063000000}"/>
    <hyperlink ref="E34" r:id="rId101" display="https://jira.central1.com/secure/ViewProfile.jspa?name=unassigned" xr:uid="{00000000-0004-0000-0600-000064000000}"/>
    <hyperlink ref="F34" r:id="rId102" tooltip="Actions (Type . to access issue actions)" display="https://jira.central1.com/rest/api/1.0/issues/270866/ActionsAndOperations?atl_token=AHT6-MTMP-UBMO-MUYG_cd9c0f64329b81e62a74fcf0fe1854ac19d6211d_lin" xr:uid="{00000000-0004-0000-0600-000065000000}"/>
    <hyperlink ref="B35" r:id="rId103" display="https://jira.central1.com/browse/FIT-1842" xr:uid="{00000000-0004-0000-0600-000066000000}"/>
    <hyperlink ref="E35" r:id="rId104" display="https://jira.central1.com/secure/ViewProfile.jspa?name=unassigned" xr:uid="{00000000-0004-0000-0600-000067000000}"/>
    <hyperlink ref="F35" r:id="rId105" tooltip="Actions (Type . to access issue actions)" display="https://jira.central1.com/rest/api/1.0/issues/270858/ActionsAndOperations?atl_token=AHT6-MTMP-UBMO-MUYG_cd9c0f64329b81e62a74fcf0fe1854ac19d6211d_lin" xr:uid="{00000000-0004-0000-0600-000068000000}"/>
    <hyperlink ref="B36" r:id="rId106" display="https://jira.central1.com/browse/FIT-1843" xr:uid="{00000000-0004-0000-0600-000069000000}"/>
    <hyperlink ref="E36" r:id="rId107" display="https://jira.central1.com/secure/ViewProfile.jspa?name=unassigned" xr:uid="{00000000-0004-0000-0600-00006A000000}"/>
    <hyperlink ref="F36" r:id="rId108" tooltip="Actions (Type . to access issue actions)" display="https://jira.central1.com/rest/api/1.0/issues/270859/ActionsAndOperations?atl_token=AHT6-MTMP-UBMO-MUYG_cd9c0f64329b81e62a74fcf0fe1854ac19d6211d_lin" xr:uid="{00000000-0004-0000-0600-00006B000000}"/>
    <hyperlink ref="B37" r:id="rId109" display="https://jira.central1.com/browse/FIT-1845" xr:uid="{00000000-0004-0000-0600-00006C000000}"/>
    <hyperlink ref="E37" r:id="rId110" display="https://jira.central1.com/secure/ViewProfile.jspa?name=unassigned" xr:uid="{00000000-0004-0000-0600-00006D000000}"/>
    <hyperlink ref="F37" r:id="rId111" tooltip="Actions (Type . to access issue actions)" display="https://jira.central1.com/rest/api/1.0/issues/270865/ActionsAndOperations?atl_token=AHT6-MTMP-UBMO-MUYG_cd9c0f64329b81e62a74fcf0fe1854ac19d6211d_lin" xr:uid="{00000000-0004-0000-0600-00006E000000}"/>
    <hyperlink ref="B38" r:id="rId112" display="https://jira.central1.com/browse/FIT-1851" xr:uid="{00000000-0004-0000-0600-00006F000000}"/>
    <hyperlink ref="E38" r:id="rId113" display="https://jira.central1.com/secure/ViewProfile.jspa?name=unassigned" xr:uid="{00000000-0004-0000-0600-000070000000}"/>
    <hyperlink ref="F38" r:id="rId114" tooltip="Actions (Type . to access issue actions)" display="https://jira.central1.com/rest/api/1.0/issues/270871/ActionsAndOperations?atl_token=AHT6-MTMP-UBMO-MUYG_cd9c0f64329b81e62a74fcf0fe1854ac19d6211d_lin" xr:uid="{00000000-0004-0000-0600-000071000000}"/>
    <hyperlink ref="B39" r:id="rId115" display="https://jira.central1.com/browse/FIT-1030" xr:uid="{00000000-0004-0000-0600-000072000000}"/>
    <hyperlink ref="E39" r:id="rId116" display="https://jira.central1.com/secure/ViewProfile.jspa?name=unassigned" xr:uid="{00000000-0004-0000-0600-000073000000}"/>
    <hyperlink ref="F39" r:id="rId117" tooltip="Actions (Type . to access issue actions)" display="https://jira.central1.com/rest/api/1.0/issues/266517/ActionsAndOperations?atl_token=AHT6-MTMP-UBMO-MUYG_cd9c0f64329b81e62a74fcf0fe1854ac19d6211d_lin" xr:uid="{00000000-0004-0000-0600-000074000000}"/>
    <hyperlink ref="B40" r:id="rId118" display="https://jira.central1.com/browse/FIT-1853" xr:uid="{00000000-0004-0000-0600-000075000000}"/>
    <hyperlink ref="E40" r:id="rId119" display="https://jira.central1.com/secure/ViewProfile.jspa?name=unassigned" xr:uid="{00000000-0004-0000-0600-000076000000}"/>
    <hyperlink ref="F40" r:id="rId120" tooltip="Actions (Type . to access issue actions)" display="https://jira.central1.com/rest/api/1.0/issues/270873/ActionsAndOperations?atl_token=AHT6-MTMP-UBMO-MUYG_cd9c0f64329b81e62a74fcf0fe1854ac19d6211d_lin" xr:uid="{00000000-0004-0000-0600-000077000000}"/>
    <hyperlink ref="B41" r:id="rId121" display="https://jira.central1.com/browse/FIT-1854" xr:uid="{00000000-0004-0000-0600-000078000000}"/>
    <hyperlink ref="E41" r:id="rId122" display="https://jira.central1.com/secure/ViewProfile.jspa?name=unassigned" xr:uid="{00000000-0004-0000-0600-000079000000}"/>
    <hyperlink ref="F41" r:id="rId123" tooltip="Actions (Type . to access issue actions)" display="https://jira.central1.com/rest/api/1.0/issues/270874/ActionsAndOperations?atl_token=AHT6-MTMP-UBMO-MUYG_cd9c0f64329b81e62a74fcf0fe1854ac19d6211d_lin" xr:uid="{00000000-0004-0000-0600-00007A000000}"/>
    <hyperlink ref="B42" r:id="rId124" display="https://jira.central1.com/browse/FIT-1855" xr:uid="{00000000-0004-0000-0600-00007B000000}"/>
    <hyperlink ref="E42" r:id="rId125" display="https://jira.central1.com/secure/ViewProfile.jspa?name=unassigned" xr:uid="{00000000-0004-0000-0600-00007C000000}"/>
    <hyperlink ref="F42" r:id="rId126" tooltip="Actions (Type . to access issue actions)" display="https://jira.central1.com/rest/api/1.0/issues/270875/ActionsAndOperations?atl_token=AHT6-MTMP-UBMO-MUYG_cd9c0f64329b81e62a74fcf0fe1854ac19d6211d_lin" xr:uid="{00000000-0004-0000-0600-00007D000000}"/>
    <hyperlink ref="B43" r:id="rId127" display="https://jira.central1.com/browse/FIT-1032" xr:uid="{00000000-0004-0000-0600-00007E000000}"/>
    <hyperlink ref="E43" r:id="rId128" display="https://jira.central1.com/secure/ViewProfile.jspa?name=unassigned" xr:uid="{00000000-0004-0000-0600-00007F000000}"/>
    <hyperlink ref="F43" r:id="rId129" tooltip="Actions (Type . to access issue actions)" display="https://jira.central1.com/rest/api/1.0/issues/266519/ActionsAndOperations?atl_token=AHT6-MTMP-UBMO-MUYG_cd9c0f64329b81e62a74fcf0fe1854ac19d6211d_lin" xr:uid="{00000000-0004-0000-0600-000080000000}"/>
    <hyperlink ref="B44" r:id="rId130" display="https://jira.central1.com/browse/FIT-9768" xr:uid="{00000000-0004-0000-0600-000081000000}"/>
    <hyperlink ref="E44" r:id="rId131" display="https://jira.central1.com/secure/ViewProfile.jspa?name=unassigned" xr:uid="{00000000-0004-0000-0600-000082000000}"/>
    <hyperlink ref="F44" r:id="rId132" tooltip="Actions (Type . to access issue actions)" display="https://jira.central1.com/rest/api/1.0/issues/296823/ActionsAndOperations?atl_token=AHT6-MTMP-UBMO-MUYG_cd9c0f64329b81e62a74fcf0fe1854ac19d6211d_lin" xr:uid="{00000000-0004-0000-0600-000083000000}"/>
    <hyperlink ref="B45" r:id="rId133" display="https://jira.central1.com/browse/FIT-1858" xr:uid="{00000000-0004-0000-0600-000084000000}"/>
    <hyperlink ref="E45" r:id="rId134" display="https://jira.central1.com/secure/ViewProfile.jspa?name=unassigned" xr:uid="{00000000-0004-0000-0600-000085000000}"/>
    <hyperlink ref="F45" r:id="rId135" tooltip="Actions (Type . to access issue actions)" display="https://jira.central1.com/rest/api/1.0/issues/270878/ActionsAndOperations?atl_token=AHT6-MTMP-UBMO-MUYG_cd9c0f64329b81e62a74fcf0fe1854ac19d6211d_lin" xr:uid="{00000000-0004-0000-0600-000086000000}"/>
    <hyperlink ref="B46" r:id="rId136" display="https://jira.central1.com/browse/FIT-14124" xr:uid="{00000000-0004-0000-0600-000087000000}"/>
    <hyperlink ref="E46" r:id="rId137" display="https://jira.central1.com/secure/ViewProfile.jspa?name=unassigned" xr:uid="{00000000-0004-0000-0600-000088000000}"/>
    <hyperlink ref="F46" r:id="rId138" tooltip="Actions (Type . to access issue actions)" display="https://jira.central1.com/rest/api/1.0/issues/310487/ActionsAndOperations?atl_token=AHT6-MTMP-UBMO-MUYG_cd9c0f64329b81e62a74fcf0fe1854ac19d6211d_lin" xr:uid="{00000000-0004-0000-0600-000089000000}"/>
    <hyperlink ref="B47" r:id="rId139" display="https://jira.central1.com/browse/FIT-1856" xr:uid="{00000000-0004-0000-0600-00008A000000}"/>
    <hyperlink ref="E47" r:id="rId140" display="https://jira.central1.com/secure/ViewProfile.jspa?name=unassigned" xr:uid="{00000000-0004-0000-0600-00008B000000}"/>
    <hyperlink ref="F47" r:id="rId141" tooltip="Actions (Type . to access issue actions)" display="https://jira.central1.com/rest/api/1.0/issues/270876/ActionsAndOperations?atl_token=AHT6-MTMP-UBMO-MUYG_cd9c0f64329b81e62a74fcf0fe1854ac19d6211d_lin" xr:uid="{00000000-0004-0000-0600-00008C000000}"/>
    <hyperlink ref="B48" r:id="rId142" display="https://jira.central1.com/browse/FIT-1860" xr:uid="{00000000-0004-0000-0600-00008D000000}"/>
    <hyperlink ref="E48" r:id="rId143" display="https://jira.central1.com/secure/ViewProfile.jspa?name=unassigned" xr:uid="{00000000-0004-0000-0600-00008E000000}"/>
    <hyperlink ref="F48" r:id="rId144" tooltip="Actions (Type . to access issue actions)" display="https://jira.central1.com/rest/api/1.0/issues/270880/ActionsAndOperations?atl_token=AHT6-MTMP-UBMO-MUYG_cd9c0f64329b81e62a74fcf0fe1854ac19d6211d_lin" xr:uid="{00000000-0004-0000-0600-00008F000000}"/>
    <hyperlink ref="B49" r:id="rId145" display="https://jira.central1.com/browse/FIT-1857" xr:uid="{00000000-0004-0000-0600-000090000000}"/>
    <hyperlink ref="E49" r:id="rId146" display="https://jira.central1.com/secure/ViewProfile.jspa?name=unassigned" xr:uid="{00000000-0004-0000-0600-000091000000}"/>
    <hyperlink ref="F49" r:id="rId147" tooltip="Actions (Type . to access issue actions)" display="https://jira.central1.com/rest/api/1.0/issues/270877/ActionsAndOperations?atl_token=AHT6-MTMP-UBMO-MUYG_cd9c0f64329b81e62a74fcf0fe1854ac19d6211d_lin" xr:uid="{00000000-0004-0000-0600-000092000000}"/>
    <hyperlink ref="B50" r:id="rId148" display="https://jira.central1.com/browse/FIT-1867" xr:uid="{00000000-0004-0000-0600-000093000000}"/>
    <hyperlink ref="E50" r:id="rId149" display="https://jira.central1.com/secure/ViewProfile.jspa?name=unassigned" xr:uid="{00000000-0004-0000-0600-000094000000}"/>
    <hyperlink ref="F50" r:id="rId150" tooltip="Actions (Type . to access issue actions)" display="https://jira.central1.com/rest/api/1.0/issues/270887/ActionsAndOperations?atl_token=AHT6-MTMP-UBMO-MUYG_cd9c0f64329b81e62a74fcf0fe1854ac19d6211d_lin" xr:uid="{00000000-0004-0000-0600-000095000000}"/>
    <hyperlink ref="B51" r:id="rId151" display="https://jira.central1.com/browse/FIT-1035" xr:uid="{00000000-0004-0000-0600-000096000000}"/>
    <hyperlink ref="E51" r:id="rId152" display="https://jira.central1.com/secure/ViewProfile.jspa?name=unassigned" xr:uid="{00000000-0004-0000-0600-000097000000}"/>
    <hyperlink ref="F51" r:id="rId153" tooltip="Actions (Type . to access issue actions)" display="https://jira.central1.com/rest/api/1.0/issues/266522/ActionsAndOperations?atl_token=AHT6-MTMP-UBMO-MUYG_cd9c0f64329b81e62a74fcf0fe1854ac19d6211d_lin" xr:uid="{00000000-0004-0000-0600-000098000000}"/>
    <hyperlink ref="B52" r:id="rId154" display="https://jira.central1.com/browse/FIT-1863" xr:uid="{00000000-0004-0000-0600-000099000000}"/>
    <hyperlink ref="E52" r:id="rId155" display="https://jira.central1.com/secure/ViewProfile.jspa?name=unassigned" xr:uid="{00000000-0004-0000-0600-00009A000000}"/>
    <hyperlink ref="F52" r:id="rId156" tooltip="Actions (Type . to access issue actions)" display="https://jira.central1.com/rest/api/1.0/issues/270883/ActionsAndOperations?atl_token=AHT6-MTMP-UBMO-MUYG_cd9c0f64329b81e62a74fcf0fe1854ac19d6211d_lin" xr:uid="{00000000-0004-0000-0600-00009B000000}"/>
    <hyperlink ref="B53" r:id="rId157" display="https://jira.central1.com/browse/FIT-1864" xr:uid="{00000000-0004-0000-0600-00009C000000}"/>
    <hyperlink ref="E53" r:id="rId158" display="https://jira.central1.com/secure/ViewProfile.jspa?name=unassigned" xr:uid="{00000000-0004-0000-0600-00009D000000}"/>
    <hyperlink ref="F53" r:id="rId159" tooltip="Actions (Type . to access issue actions)" display="https://jira.central1.com/rest/api/1.0/issues/270884/ActionsAndOperations?atl_token=AHT6-MTMP-UBMO-MUYG_cd9c0f64329b81e62a74fcf0fe1854ac19d6211d_lin" xr:uid="{00000000-0004-0000-0600-00009E000000}"/>
    <hyperlink ref="B54" r:id="rId160" display="https://jira.central1.com/browse/FIT-1036" xr:uid="{00000000-0004-0000-0600-00009F000000}"/>
    <hyperlink ref="E54" r:id="rId161" display="https://jira.central1.com/secure/ViewProfile.jspa?name=unassigned" xr:uid="{00000000-0004-0000-0600-0000A0000000}"/>
    <hyperlink ref="F54" r:id="rId162" tooltip="Actions (Type . to access issue actions)" display="https://jira.central1.com/rest/api/1.0/issues/266523/ActionsAndOperations?atl_token=AHT6-MTMP-UBMO-MUYG_cd9c0f64329b81e62a74fcf0fe1854ac19d6211d_lin" xr:uid="{00000000-0004-0000-0600-0000A1000000}"/>
    <hyperlink ref="B55" r:id="rId163" display="https://jira.central1.com/browse/FIT-1865" xr:uid="{00000000-0004-0000-0600-0000A2000000}"/>
    <hyperlink ref="E55" r:id="rId164" display="https://jira.central1.com/secure/ViewProfile.jspa?name=unassigned" xr:uid="{00000000-0004-0000-0600-0000A3000000}"/>
    <hyperlink ref="F55" r:id="rId165" tooltip="Actions (Type . to access issue actions)" display="https://jira.central1.com/rest/api/1.0/issues/270885/ActionsAndOperations?atl_token=AHT6-MTMP-UBMO-MUYG_cd9c0f64329b81e62a74fcf0fe1854ac19d6211d_lin" xr:uid="{00000000-0004-0000-0600-0000A4000000}"/>
    <hyperlink ref="B56" r:id="rId166" display="https://jira.central1.com/browse/FIT-1866" xr:uid="{00000000-0004-0000-0600-0000A5000000}"/>
    <hyperlink ref="E56" r:id="rId167" display="https://jira.central1.com/secure/ViewProfile.jspa?name=unassigned" xr:uid="{00000000-0004-0000-0600-0000A6000000}"/>
    <hyperlink ref="F56" r:id="rId168" tooltip="Actions (Type . to access issue actions)" display="https://jira.central1.com/rest/api/1.0/issues/270886/ActionsAndOperations?atl_token=AHT6-MTMP-UBMO-MUYG_cd9c0f64329b81e62a74fcf0fe1854ac19d6211d_lin" xr:uid="{00000000-0004-0000-0600-0000A7000000}"/>
    <hyperlink ref="B57" r:id="rId169" display="https://jira.central1.com/browse/FIT-1037" xr:uid="{00000000-0004-0000-0600-0000A8000000}"/>
    <hyperlink ref="E57" r:id="rId170" display="https://jira.central1.com/secure/ViewProfile.jspa?name=unassigned" xr:uid="{00000000-0004-0000-0600-0000A9000000}"/>
    <hyperlink ref="F57" r:id="rId171" tooltip="Actions (Type . to access issue actions)" display="https://jira.central1.com/rest/api/1.0/issues/266524/ActionsAndOperations?atl_token=AHT6-MTMP-UBMO-MUYG_cd9c0f64329b81e62a74fcf0fe1854ac19d6211d_lin" xr:uid="{00000000-0004-0000-0600-0000AA000000}"/>
    <hyperlink ref="B58" r:id="rId172" display="https://jira.central1.com/browse/FIT-10266" xr:uid="{00000000-0004-0000-0600-0000AB000000}"/>
    <hyperlink ref="E58" r:id="rId173" display="https://jira.central1.com/secure/ViewProfile.jspa?name=unassigned" xr:uid="{00000000-0004-0000-0600-0000AC000000}"/>
    <hyperlink ref="F58" r:id="rId174" tooltip="Actions (Type . to access issue actions)" display="https://jira.central1.com/rest/api/1.0/issues/299550/ActionsAndOperations?atl_token=AHT6-MTMP-UBMO-MUYG_cd9c0f64329b81e62a74fcf0fe1854ac19d6211d_lin" xr:uid="{00000000-0004-0000-0600-0000AD000000}"/>
    <hyperlink ref="B59" r:id="rId175" display="https://jira.central1.com/browse/FIT-10229" xr:uid="{00000000-0004-0000-0600-0000AE000000}"/>
    <hyperlink ref="E59" r:id="rId176" display="https://jira.central1.com/secure/ViewProfile.jspa?name=unassigned" xr:uid="{00000000-0004-0000-0600-0000AF000000}"/>
    <hyperlink ref="F59" r:id="rId177" tooltip="Actions (Type . to access issue actions)" display="https://jira.central1.com/rest/api/1.0/issues/299296/ActionsAndOperations?atl_token=AHT6-MTMP-UBMO-MUYG_cd9c0f64329b81e62a74fcf0fe1854ac19d6211d_lin" xr:uid="{00000000-0004-0000-0600-0000B0000000}"/>
    <hyperlink ref="B60" r:id="rId178" display="https://jira.central1.com/browse/FIT-13411" xr:uid="{00000000-0004-0000-0600-0000B1000000}"/>
    <hyperlink ref="E60" r:id="rId179" display="https://jira.central1.com/secure/ViewProfile.jspa?name=unassigned" xr:uid="{00000000-0004-0000-0600-0000B2000000}"/>
    <hyperlink ref="F60" r:id="rId180" tooltip="Actions (Type . to access issue actions)" display="https://jira.central1.com/rest/api/1.0/issues/308393/ActionsAndOperations?atl_token=AHT6-MTMP-UBMO-MUYG_cd9c0f64329b81e62a74fcf0fe1854ac19d6211d_lin" xr:uid="{00000000-0004-0000-0600-0000B3000000}"/>
    <hyperlink ref="B61" r:id="rId181" display="https://jira.central1.com/browse/FIT-14955" xr:uid="{00000000-0004-0000-0600-0000B4000000}"/>
    <hyperlink ref="E61" r:id="rId182" display="https://jira.central1.com/secure/ViewProfile.jspa?name=christina.chan" xr:uid="{00000000-0004-0000-0600-0000B5000000}"/>
    <hyperlink ref="F61" r:id="rId183" tooltip="Actions (Type . to access issue actions)" display="https://jira.central1.com/rest/api/1.0/issues/314805/ActionsAndOperations?atl_token=AHT6-MTMP-UBMO-MUYG_cd9c0f64329b81e62a74fcf0fe1854ac19d6211d_lin" xr:uid="{00000000-0004-0000-0600-0000B6000000}"/>
    <hyperlink ref="B62" r:id="rId184" display="https://jira.central1.com/browse/FIT-10259" xr:uid="{00000000-0004-0000-0600-0000B7000000}"/>
    <hyperlink ref="E62" r:id="rId185" display="https://jira.central1.com/secure/ViewProfile.jspa?name=unassigned" xr:uid="{00000000-0004-0000-0600-0000B8000000}"/>
    <hyperlink ref="F62" r:id="rId186" tooltip="Actions (Type . to access issue actions)" display="https://jira.central1.com/rest/api/1.0/issues/299542/ActionsAndOperations?atl_token=AHT6-MTMP-UBMO-MUYG_cd9c0f64329b81e62a74fcf0fe1854ac19d6211d_lin" xr:uid="{00000000-0004-0000-0600-0000B9000000}"/>
    <hyperlink ref="B63" r:id="rId187" display="https://jira.central1.com/browse/FIT-10261" xr:uid="{00000000-0004-0000-0600-0000BA000000}"/>
    <hyperlink ref="E63" r:id="rId188" display="https://jira.central1.com/secure/ViewProfile.jspa?name=unassigned" xr:uid="{00000000-0004-0000-0600-0000BB000000}"/>
    <hyperlink ref="F63" r:id="rId189" tooltip="Actions (Type . to access issue actions)" display="https://jira.central1.com/rest/api/1.0/issues/299544/ActionsAndOperations?atl_token=AHT6-MTMP-UBMO-MUYG_cd9c0f64329b81e62a74fcf0fe1854ac19d6211d_lin" xr:uid="{00000000-0004-0000-0600-0000BC000000}"/>
    <hyperlink ref="B64" r:id="rId190" display="https://jira.central1.com/browse/FIT-10290" xr:uid="{00000000-0004-0000-0600-0000BD000000}"/>
    <hyperlink ref="E64" r:id="rId191" display="https://jira.central1.com/secure/ViewProfile.jspa?name=unassigned" xr:uid="{00000000-0004-0000-0600-0000BE000000}"/>
    <hyperlink ref="F64" r:id="rId192" tooltip="Actions (Type . to access issue actions)" display="https://jira.central1.com/rest/api/1.0/issues/300036/ActionsAndOperations?atl_token=AHT6-MTMP-UBMO-MUYG_cd9c0f64329b81e62a74fcf0fe1854ac19d6211d_lin" xr:uid="{00000000-0004-0000-0600-0000BF000000}"/>
    <hyperlink ref="B65" r:id="rId193" display="https://jira.central1.com/browse/FIT-10291" xr:uid="{00000000-0004-0000-0600-0000C0000000}"/>
    <hyperlink ref="E65" r:id="rId194" display="https://jira.central1.com/secure/ViewProfile.jspa?name=unassigned" xr:uid="{00000000-0004-0000-0600-0000C1000000}"/>
    <hyperlink ref="F65" r:id="rId195" tooltip="Actions (Type . to access issue actions)" display="https://jira.central1.com/rest/api/1.0/issues/300037/ActionsAndOperations?atl_token=AHT6-MTMP-UBMO-MUYG_cd9c0f64329b81e62a74fcf0fe1854ac19d6211d_lin" xr:uid="{00000000-0004-0000-0600-0000C2000000}"/>
    <hyperlink ref="B66" r:id="rId196" display="https://jira.central1.com/browse/FIT-10316" xr:uid="{00000000-0004-0000-0600-0000C3000000}"/>
    <hyperlink ref="E66" r:id="rId197" display="https://jira.central1.com/secure/ViewProfile.jspa?name=unassigned" xr:uid="{00000000-0004-0000-0600-0000C4000000}"/>
    <hyperlink ref="F66" r:id="rId198" tooltip="Actions (Type . to access issue actions)" display="https://jira.central1.com/rest/api/1.0/issues/300067/ActionsAndOperations?atl_token=AHT6-MTMP-UBMO-MUYG_cd9c0f64329b81e62a74fcf0fe1854ac19d6211d_lin" xr:uid="{00000000-0004-0000-0600-0000C5000000}"/>
    <hyperlink ref="B67" r:id="rId199" display="https://jira.central1.com/browse/FIT-10317" xr:uid="{00000000-0004-0000-0600-0000C6000000}"/>
    <hyperlink ref="E67" r:id="rId200" display="https://jira.central1.com/secure/ViewProfile.jspa?name=unassigned" xr:uid="{00000000-0004-0000-0600-0000C7000000}"/>
    <hyperlink ref="F67" r:id="rId201" tooltip="Actions (Type . to access issue actions)" display="https://jira.central1.com/rest/api/1.0/issues/300069/ActionsAndOperations?atl_token=AHT6-MTMP-UBMO-MUYG_cd9c0f64329b81e62a74fcf0fe1854ac19d6211d_lin" xr:uid="{00000000-0004-0000-0600-0000C8000000}"/>
    <hyperlink ref="B68" r:id="rId202" display="https://jira.central1.com/browse/FIT-13566" xr:uid="{00000000-0004-0000-0600-0000C9000000}"/>
    <hyperlink ref="E68" r:id="rId203" display="https://jira.central1.com/secure/ViewProfile.jspa?name=ciara.whelan" xr:uid="{00000000-0004-0000-0600-0000CA000000}"/>
    <hyperlink ref="F68" r:id="rId204" tooltip="Actions (Type . to access issue actions)" display="https://jira.central1.com/rest/api/1.0/issues/309008/ActionsAndOperations?atl_token=AHT6-MTMP-UBMO-MUYG_cd9c0f64329b81e62a74fcf0fe1854ac19d6211d_lin" xr:uid="{00000000-0004-0000-0600-0000CB000000}"/>
    <hyperlink ref="B69" r:id="rId205" display="https://jira.central1.com/browse/FIT-10318" xr:uid="{00000000-0004-0000-0600-0000CC000000}"/>
    <hyperlink ref="E69" r:id="rId206" display="https://jira.central1.com/secure/ViewProfile.jspa?name=unassigned" xr:uid="{00000000-0004-0000-0600-0000CD000000}"/>
    <hyperlink ref="F69" r:id="rId207" tooltip="Actions (Type . to access issue actions)" display="https://jira.central1.com/rest/api/1.0/issues/300070/ActionsAndOperations?atl_token=AHT6-MTMP-UBMO-MUYG_cd9c0f64329b81e62a74fcf0fe1854ac19d6211d_lin" xr:uid="{00000000-0004-0000-0600-0000CE000000}"/>
    <hyperlink ref="B70" r:id="rId208" display="https://jira.central1.com/browse/FIT-10319" xr:uid="{00000000-0004-0000-0600-0000CF000000}"/>
    <hyperlink ref="E70" r:id="rId209" display="https://jira.central1.com/secure/ViewProfile.jspa?name=unassigned" xr:uid="{00000000-0004-0000-0600-0000D0000000}"/>
    <hyperlink ref="F70" r:id="rId210" tooltip="Actions (Type . to access issue actions)" display="https://jira.central1.com/rest/api/1.0/issues/300071/ActionsAndOperations?atl_token=AHT6-MTMP-UBMO-MUYG_cd9c0f64329b81e62a74fcf0fe1854ac19d6211d_lin" xr:uid="{00000000-0004-0000-0600-0000D1000000}"/>
    <hyperlink ref="B71" r:id="rId211" display="https://jira.central1.com/browse/FIT-10321" xr:uid="{00000000-0004-0000-0600-0000D2000000}"/>
    <hyperlink ref="E71" r:id="rId212" display="https://jira.central1.com/secure/ViewProfile.jspa?name=unassigned" xr:uid="{00000000-0004-0000-0600-0000D3000000}"/>
    <hyperlink ref="F71" r:id="rId213" tooltip="Actions (Type . to access issue actions)" display="https://jira.central1.com/rest/api/1.0/issues/300089/ActionsAndOperations?atl_token=AHT6-MTMP-UBMO-MUYG_cd9c0f64329b81e62a74fcf0fe1854ac19d6211d_lin" xr:uid="{00000000-0004-0000-0600-0000D4000000}"/>
    <hyperlink ref="B72" r:id="rId214" display="https://jira.central1.com/browse/FIT-10320" xr:uid="{00000000-0004-0000-0600-0000D5000000}"/>
    <hyperlink ref="E72" r:id="rId215" display="https://jira.central1.com/secure/ViewProfile.jspa?name=unassigned" xr:uid="{00000000-0004-0000-0600-0000D6000000}"/>
    <hyperlink ref="F72" r:id="rId216" tooltip="Actions (Type . to access issue actions)" display="https://jira.central1.com/rest/api/1.0/issues/300072/ActionsAndOperations?atl_token=AHT6-MTMP-UBMO-MUYG_cd9c0f64329b81e62a74fcf0fe1854ac19d6211d_lin" xr:uid="{00000000-0004-0000-0600-0000D7000000}"/>
    <hyperlink ref="B73" r:id="rId217" display="https://jira.central1.com/browse/FIT-10322" xr:uid="{00000000-0004-0000-0600-0000D8000000}"/>
    <hyperlink ref="E73" r:id="rId218" display="https://jira.central1.com/secure/ViewProfile.jspa?name=unassigned" xr:uid="{00000000-0004-0000-0600-0000D9000000}"/>
    <hyperlink ref="F73" r:id="rId219" tooltip="Actions (Type . to access issue actions)" display="https://jira.central1.com/rest/api/1.0/issues/300092/ActionsAndOperations?atl_token=AHT6-MTMP-UBMO-MUYG_cd9c0f64329b81e62a74fcf0fe1854ac19d6211d_lin" xr:uid="{00000000-0004-0000-0600-0000DA000000}"/>
    <hyperlink ref="B74" r:id="rId220" display="https://jira.central1.com/browse/FIT-14123" xr:uid="{00000000-0004-0000-0600-0000DB000000}"/>
    <hyperlink ref="E74" r:id="rId221" display="https://jira.central1.com/secure/ViewProfile.jspa?name=unassigned" xr:uid="{00000000-0004-0000-0600-0000DC000000}"/>
    <hyperlink ref="F74" r:id="rId222" tooltip="Actions (Type . to access issue actions)" display="https://jira.central1.com/rest/api/1.0/issues/310486/ActionsAndOperations?atl_token=AHT6-MTMP-UBMO-MUYG_cd9c0f64329b81e62a74fcf0fe1854ac19d6211d_lin" xr:uid="{00000000-0004-0000-0600-0000DD000000}"/>
    <hyperlink ref="B75" r:id="rId223" display="https://jira.central1.com/browse/FIT-10323" xr:uid="{00000000-0004-0000-0600-0000DE000000}"/>
    <hyperlink ref="E75" r:id="rId224" display="https://jira.central1.com/secure/ViewProfile.jspa?name=unassigned" xr:uid="{00000000-0004-0000-0600-0000DF000000}"/>
    <hyperlink ref="F75" r:id="rId225" tooltip="Actions (Type . to access issue actions)" display="https://jira.central1.com/rest/api/1.0/issues/300093/ActionsAndOperations?atl_token=AHT6-MTMP-UBMO-MUYG_cd9c0f64329b81e62a74fcf0fe1854ac19d6211d_lin" xr:uid="{00000000-0004-0000-0600-0000E0000000}"/>
    <hyperlink ref="B76" r:id="rId226" display="https://jira.central1.com/browse/FIT-10338" xr:uid="{00000000-0004-0000-0600-0000E1000000}"/>
    <hyperlink ref="E76" r:id="rId227" display="https://jira.central1.com/secure/ViewProfile.jspa?name=unassigned" xr:uid="{00000000-0004-0000-0600-0000E2000000}"/>
    <hyperlink ref="F76" r:id="rId228" tooltip="Actions (Type . to access issue actions)" display="https://jira.central1.com/rest/api/1.0/issues/300297/ActionsAndOperations?atl_token=AHT6-MTMP-UBMO-MUYG_cd9c0f64329b81e62a74fcf0fe1854ac19d6211d_lin" xr:uid="{00000000-0004-0000-0600-0000E3000000}"/>
    <hyperlink ref="B77" r:id="rId229" display="https://jira.central1.com/browse/FIT-10339" xr:uid="{00000000-0004-0000-0600-0000E4000000}"/>
    <hyperlink ref="E77" r:id="rId230" display="https://jira.central1.com/secure/ViewProfile.jspa?name=unassigned" xr:uid="{00000000-0004-0000-0600-0000E5000000}"/>
    <hyperlink ref="F77" r:id="rId231" tooltip="Actions (Type . to access issue actions)" display="https://jira.central1.com/rest/api/1.0/issues/300298/ActionsAndOperations?atl_token=AHT6-MTMP-UBMO-MUYG_cd9c0f64329b81e62a74fcf0fe1854ac19d6211d_lin" xr:uid="{00000000-0004-0000-0600-0000E6000000}"/>
    <hyperlink ref="B78" r:id="rId232" display="https://jira.central1.com/browse/FIT-10337" xr:uid="{00000000-0004-0000-0600-0000E7000000}"/>
    <hyperlink ref="E78" r:id="rId233" display="https://jira.central1.com/secure/ViewProfile.jspa?name=unassigned" xr:uid="{00000000-0004-0000-0600-0000E8000000}"/>
    <hyperlink ref="F78" r:id="rId234" tooltip="Actions (Type . to access issue actions)" display="https://jira.central1.com/rest/api/1.0/issues/300296/ActionsAndOperations?atl_token=AHT6-MTMP-UBMO-MUYG_cd9c0f64329b81e62a74fcf0fe1854ac19d6211d_lin" xr:uid="{00000000-0004-0000-0600-0000E9000000}"/>
    <hyperlink ref="B79" r:id="rId235" display="https://jira.central1.com/browse/FIT-10324" xr:uid="{00000000-0004-0000-0600-0000EA000000}"/>
    <hyperlink ref="E79" r:id="rId236" display="https://jira.central1.com/secure/ViewProfile.jspa?name=unassigned" xr:uid="{00000000-0004-0000-0600-0000EB000000}"/>
    <hyperlink ref="F79" r:id="rId237" tooltip="Actions (Type . to access issue actions)" display="https://jira.central1.com/rest/api/1.0/issues/300094/ActionsAndOperations?atl_token=AHT6-MTMP-UBMO-MUYG_cd9c0f64329b81e62a74fcf0fe1854ac19d6211d_lin" xr:uid="{00000000-0004-0000-0600-0000EC000000}"/>
    <hyperlink ref="B80" r:id="rId238" display="https://jira.central1.com/browse/FIT-10340" xr:uid="{00000000-0004-0000-0600-0000ED000000}"/>
    <hyperlink ref="E80" r:id="rId239" display="https://jira.central1.com/secure/ViewProfile.jspa?name=unassigned" xr:uid="{00000000-0004-0000-0600-0000EE000000}"/>
    <hyperlink ref="F80" r:id="rId240" tooltip="Actions (Type . to access issue actions)" display="https://jira.central1.com/rest/api/1.0/issues/300299/ActionsAndOperations?atl_token=AHT6-MTMP-UBMO-MUYG_cd9c0f64329b81e62a74fcf0fe1854ac19d6211d_lin" xr:uid="{00000000-0004-0000-0600-0000EF000000}"/>
    <hyperlink ref="B81" r:id="rId241" display="https://jira.central1.com/browse/FIT-10289" xr:uid="{00000000-0004-0000-0600-0000F0000000}"/>
    <hyperlink ref="E81" r:id="rId242" display="https://jira.central1.com/secure/ViewProfile.jspa?name=unassigned" xr:uid="{00000000-0004-0000-0600-0000F1000000}"/>
    <hyperlink ref="F81" r:id="rId243" tooltip="Actions (Type . to access issue actions)" display="https://jira.central1.com/rest/api/1.0/issues/300028/ActionsAndOperations?atl_token=AHT6-MTMP-UBMO-MUYG_cd9c0f64329b81e62a74fcf0fe1854ac19d6211d_lin" xr:uid="{00000000-0004-0000-0600-0000F2000000}"/>
    <hyperlink ref="B82" r:id="rId244" display="https://jira.central1.com/browse/FIT-10348" xr:uid="{00000000-0004-0000-0600-0000F3000000}"/>
    <hyperlink ref="E82" r:id="rId245" display="https://jira.central1.com/secure/ViewProfile.jspa?name=unassigned" xr:uid="{00000000-0004-0000-0600-0000F4000000}"/>
    <hyperlink ref="F82" r:id="rId246" tooltip="Actions (Type . to access issue actions)" display="https://jira.central1.com/rest/api/1.0/issues/300312/ActionsAndOperations?atl_token=AHT6-MTMP-UBMO-MUYG_cd9c0f64329b81e62a74fcf0fe1854ac19d6211d_lin" xr:uid="{00000000-0004-0000-0600-0000F5000000}"/>
    <hyperlink ref="B83" r:id="rId247" display="https://jira.central1.com/browse/FIT-10349" xr:uid="{00000000-0004-0000-0600-0000F6000000}"/>
    <hyperlink ref="E83" r:id="rId248" display="https://jira.central1.com/secure/ViewProfile.jspa?name=unassigned" xr:uid="{00000000-0004-0000-0600-0000F7000000}"/>
    <hyperlink ref="F83" r:id="rId249" tooltip="Actions (Type . to access issue actions)" display="https://jira.central1.com/rest/api/1.0/issues/300313/ActionsAndOperations?atl_token=AHT6-MTMP-UBMO-MUYG_cd9c0f64329b81e62a74fcf0fe1854ac19d6211d_lin" xr:uid="{00000000-0004-0000-0600-0000F8000000}"/>
    <hyperlink ref="B84" r:id="rId250" display="https://jira.central1.com/browse/FIT-10350" xr:uid="{00000000-0004-0000-0600-0000F9000000}"/>
    <hyperlink ref="E84" r:id="rId251" display="https://jira.central1.com/secure/ViewProfile.jspa?name=unassigned" xr:uid="{00000000-0004-0000-0600-0000FA000000}"/>
    <hyperlink ref="F84" r:id="rId252" tooltip="Actions (Type . to access issue actions)" display="https://jira.central1.com/rest/api/1.0/issues/300314/ActionsAndOperations?atl_token=AHT6-MTMP-UBMO-MUYG_cd9c0f64329b81e62a74fcf0fe1854ac19d6211d_lin" xr:uid="{00000000-0004-0000-0600-0000FB000000}"/>
    <hyperlink ref="B85" r:id="rId253" display="https://jira.central1.com/browse/FIT-13815" xr:uid="{00000000-0004-0000-0600-0000FC000000}"/>
    <hyperlink ref="E85" r:id="rId254" display="https://jira.central1.com/secure/ViewProfile.jspa?name=afadl" xr:uid="{00000000-0004-0000-0600-0000FD000000}"/>
    <hyperlink ref="F85" r:id="rId255" tooltip="Actions (Type . to access issue actions)" display="https://jira.central1.com/rest/api/1.0/issues/309461/ActionsAndOperations?atl_token=AHT6-MTMP-UBMO-MUYG_cd9c0f64329b81e62a74fcf0fe1854ac19d6211d_lin" xr:uid="{00000000-0004-0000-0600-0000FE000000}"/>
    <hyperlink ref="B86" r:id="rId256" display="https://jira.central1.com/browse/FIT-10351" xr:uid="{00000000-0004-0000-0600-0000FF000000}"/>
    <hyperlink ref="E86" r:id="rId257" display="https://jira.central1.com/secure/ViewProfile.jspa?name=unassigned" xr:uid="{00000000-0004-0000-0600-000000010000}"/>
    <hyperlink ref="F86" r:id="rId258" tooltip="Actions (Type . to access issue actions)" display="https://jira.central1.com/rest/api/1.0/issues/300315/ActionsAndOperations?atl_token=AHT6-MTMP-UBMO-MUYG_cd9c0f64329b81e62a74fcf0fe1854ac19d6211d_lin" xr:uid="{00000000-0004-0000-0600-000001010000}"/>
    <hyperlink ref="B87" r:id="rId259" display="https://jira.central1.com/browse/FIT-10352" xr:uid="{00000000-0004-0000-0600-000002010000}"/>
    <hyperlink ref="E87" r:id="rId260" display="https://jira.central1.com/secure/ViewProfile.jspa?name=unassigned" xr:uid="{00000000-0004-0000-0600-000003010000}"/>
    <hyperlink ref="F87" r:id="rId261" tooltip="Actions (Type . to access issue actions)" display="https://jira.central1.com/rest/api/1.0/issues/300316/ActionsAndOperations?atl_token=AHT6-MTMP-UBMO-MUYG_cd9c0f64329b81e62a74fcf0fe1854ac19d6211d_lin" xr:uid="{00000000-0004-0000-0600-000004010000}"/>
    <hyperlink ref="B88" r:id="rId262" display="https://jira.central1.com/browse/FIT-11342" xr:uid="{00000000-0004-0000-0600-000005010000}"/>
    <hyperlink ref="E88" r:id="rId263" display="https://jira.central1.com/secure/ViewProfile.jspa?name=unassigned" xr:uid="{00000000-0004-0000-0600-000006010000}"/>
    <hyperlink ref="F88" r:id="rId264" tooltip="Actions (Type . to access issue actions)" display="https://jira.central1.com/rest/api/1.0/issues/303488/ActionsAndOperations?atl_token=AHT6-MTMP-UBMO-MUYG_cd9c0f64329b81e62a74fcf0fe1854ac19d6211d_lin" xr:uid="{00000000-0004-0000-0600-000007010000}"/>
    <hyperlink ref="B89" r:id="rId265" display="https://jira.central1.com/browse/FIT-10397" xr:uid="{00000000-0004-0000-0600-000008010000}"/>
    <hyperlink ref="E89" r:id="rId266" display="https://jira.central1.com/secure/ViewProfile.jspa?name=unassigned" xr:uid="{00000000-0004-0000-0600-000009010000}"/>
    <hyperlink ref="F89" r:id="rId267" tooltip="Actions (Type . to access issue actions)" display="https://jira.central1.com/rest/api/1.0/issues/300529/ActionsAndOperations?atl_token=AHT6-MTMP-UBMO-MUYG_cd9c0f64329b81e62a74fcf0fe1854ac19d6211d_lin" xr:uid="{00000000-0004-0000-0600-00000A010000}"/>
    <hyperlink ref="B90" r:id="rId268" display="https://jira.central1.com/browse/FIT-10354" xr:uid="{00000000-0004-0000-0600-00000B010000}"/>
    <hyperlink ref="E90" r:id="rId269" display="https://jira.central1.com/secure/ViewProfile.jspa?name=unassigned" xr:uid="{00000000-0004-0000-0600-00000C010000}"/>
    <hyperlink ref="F90" r:id="rId270" tooltip="Actions (Type . to access issue actions)" display="https://jira.central1.com/rest/api/1.0/issues/300318/ActionsAndOperations?atl_token=AHT6-MTMP-UBMO-MUYG_cd9c0f64329b81e62a74fcf0fe1854ac19d6211d_lin" xr:uid="{00000000-0004-0000-0600-00000D010000}"/>
    <hyperlink ref="B91" r:id="rId271" display="https://jira.central1.com/browse/FIT-10355" xr:uid="{00000000-0004-0000-0600-00000E010000}"/>
    <hyperlink ref="E91" r:id="rId272" display="https://jira.central1.com/secure/ViewProfile.jspa?name=unassigned" xr:uid="{00000000-0004-0000-0600-00000F010000}"/>
    <hyperlink ref="F91" r:id="rId273" tooltip="Actions (Type . to access issue actions)" display="https://jira.central1.com/rest/api/1.0/issues/300319/ActionsAndOperations?atl_token=AHT6-MTMP-UBMO-MUYG_cd9c0f64329b81e62a74fcf0fe1854ac19d6211d_lin" xr:uid="{00000000-0004-0000-0600-000010010000}"/>
    <hyperlink ref="B92" r:id="rId274" display="https://jira.central1.com/browse/FIT-10356" xr:uid="{00000000-0004-0000-0600-000011010000}"/>
    <hyperlink ref="E92" r:id="rId275" display="https://jira.central1.com/secure/ViewProfile.jspa?name=unassigned" xr:uid="{00000000-0004-0000-0600-000012010000}"/>
    <hyperlink ref="F92" r:id="rId276" tooltip="Actions (Type . to access issue actions)" display="https://jira.central1.com/rest/api/1.0/issues/300320/ActionsAndOperations?atl_token=AHT6-MTMP-UBMO-MUYG_cd9c0f64329b81e62a74fcf0fe1854ac19d6211d_lin" xr:uid="{00000000-0004-0000-0600-000013010000}"/>
    <hyperlink ref="B93" r:id="rId277" display="https://jira.central1.com/browse/FIT-10364" xr:uid="{00000000-0004-0000-0600-000014010000}"/>
    <hyperlink ref="E93" r:id="rId278" display="https://jira.central1.com/secure/ViewProfile.jspa?name=unassigned" xr:uid="{00000000-0004-0000-0600-000015010000}"/>
    <hyperlink ref="F93" r:id="rId279" tooltip="Actions (Type . to access issue actions)" display="https://jira.central1.com/rest/api/1.0/issues/300328/ActionsAndOperations?atl_token=AHT6-MTMP-UBMO-MUYG_cd9c0f64329b81e62a74fcf0fe1854ac19d6211d_lin" xr:uid="{00000000-0004-0000-0600-000016010000}"/>
    <hyperlink ref="B94" r:id="rId280" display="https://jira.central1.com/browse/FIT-10365" xr:uid="{00000000-0004-0000-0600-000017010000}"/>
    <hyperlink ref="E94" r:id="rId281" display="https://jira.central1.com/secure/ViewProfile.jspa?name=unassigned" xr:uid="{00000000-0004-0000-0600-000018010000}"/>
    <hyperlink ref="F94" r:id="rId282" tooltip="Actions (Type . to access issue actions)" display="https://jira.central1.com/rest/api/1.0/issues/300329/ActionsAndOperations?atl_token=AHT6-MTMP-UBMO-MUYG_cd9c0f64329b81e62a74fcf0fe1854ac19d6211d_lin" xr:uid="{00000000-0004-0000-0600-000019010000}"/>
    <hyperlink ref="B95" r:id="rId283" display="https://jira.central1.com/browse/FIT-10359" xr:uid="{00000000-0004-0000-0600-00001A010000}"/>
    <hyperlink ref="E95" r:id="rId284" display="https://jira.central1.com/secure/ViewProfile.jspa?name=unassigned" xr:uid="{00000000-0004-0000-0600-00001B010000}"/>
    <hyperlink ref="F95" r:id="rId285" tooltip="Actions (Type . to access issue actions)" display="https://jira.central1.com/rest/api/1.0/issues/300323/ActionsAndOperations?atl_token=AHT6-MTMP-UBMO-MUYG_cd9c0f64329b81e62a74fcf0fe1854ac19d6211d_lin" xr:uid="{00000000-0004-0000-0600-00001C010000}"/>
    <hyperlink ref="B96" r:id="rId286" display="https://jira.central1.com/browse/FIT-10360" xr:uid="{00000000-0004-0000-0600-00001D010000}"/>
    <hyperlink ref="E96" r:id="rId287" display="https://jira.central1.com/secure/ViewProfile.jspa?name=unassigned" xr:uid="{00000000-0004-0000-0600-00001E010000}"/>
    <hyperlink ref="F96" r:id="rId288" tooltip="Actions (Type . to access issue actions)" display="https://jira.central1.com/rest/api/1.0/issues/300324/ActionsAndOperations?atl_token=AHT6-MTMP-UBMO-MUYG_cd9c0f64329b81e62a74fcf0fe1854ac19d6211d_lin" xr:uid="{00000000-0004-0000-0600-00001F010000}"/>
    <hyperlink ref="B97" r:id="rId289" display="https://jira.central1.com/browse/FIT-10398" xr:uid="{00000000-0004-0000-0600-000020010000}"/>
    <hyperlink ref="E97" r:id="rId290" display="https://jira.central1.com/secure/ViewProfile.jspa?name=unassigned" xr:uid="{00000000-0004-0000-0600-000021010000}"/>
    <hyperlink ref="F97" r:id="rId291" tooltip="Actions (Type . to access issue actions)" display="https://jira.central1.com/rest/api/1.0/issues/300530/ActionsAndOperations?atl_token=AHT6-MTMP-UBMO-MUYG_cd9c0f64329b81e62a74fcf0fe1854ac19d6211d_lin" xr:uid="{00000000-0004-0000-0600-000022010000}"/>
    <hyperlink ref="B98" r:id="rId292" display="https://jira.central1.com/browse/FIT-10362" xr:uid="{00000000-0004-0000-0600-000023010000}"/>
    <hyperlink ref="E98" r:id="rId293" display="https://jira.central1.com/secure/ViewProfile.jspa?name=unassigned" xr:uid="{00000000-0004-0000-0600-000024010000}"/>
    <hyperlink ref="F98" r:id="rId294" tooltip="Actions (Type . to access issue actions)" display="https://jira.central1.com/rest/api/1.0/issues/300326/ActionsAndOperations?atl_token=AHT6-MTMP-UBMO-MUYG_cd9c0f64329b81e62a74fcf0fe1854ac19d6211d_lin" xr:uid="{00000000-0004-0000-0600-000025010000}"/>
    <hyperlink ref="B99" r:id="rId295" display="https://jira.central1.com/browse/FIT-10363" xr:uid="{00000000-0004-0000-0600-000026010000}"/>
    <hyperlink ref="E99" r:id="rId296" display="https://jira.central1.com/secure/ViewProfile.jspa?name=unassigned" xr:uid="{00000000-0004-0000-0600-000027010000}"/>
    <hyperlink ref="F99" r:id="rId297" tooltip="Actions (Type . to access issue actions)" display="https://jira.central1.com/rest/api/1.0/issues/300327/ActionsAndOperations?atl_token=AHT6-MTMP-UBMO-MUYG_cd9c0f64329b81e62a74fcf0fe1854ac19d6211d_lin" xr:uid="{00000000-0004-0000-0600-000028010000}"/>
    <hyperlink ref="B100" r:id="rId298" display="https://jira.central1.com/browse/FIT-10357" xr:uid="{00000000-0004-0000-0600-000029010000}"/>
    <hyperlink ref="E100" r:id="rId299" display="https://jira.central1.com/secure/ViewProfile.jspa?name=unassigned" xr:uid="{00000000-0004-0000-0600-00002A010000}"/>
    <hyperlink ref="F100" r:id="rId300" tooltip="Actions (Type . to access issue actions)" display="https://jira.central1.com/rest/api/1.0/issues/300321/ActionsAndOperations?atl_token=AHT6-MTMP-UBMO-MUYG_cd9c0f64329b81e62a74fcf0fe1854ac19d6211d_lin" xr:uid="{00000000-0004-0000-0600-00002B010000}"/>
    <hyperlink ref="B101" r:id="rId301" display="https://jira.central1.com/browse/FIT-10358" xr:uid="{00000000-0004-0000-0600-00002C010000}"/>
    <hyperlink ref="E101" r:id="rId302" display="https://jira.central1.com/secure/ViewProfile.jspa?name=unassigned" xr:uid="{00000000-0004-0000-0600-00002D010000}"/>
    <hyperlink ref="F101" r:id="rId303" tooltip="Actions (Type . to access issue actions)" display="https://jira.central1.com/rest/api/1.0/issues/300322/ActionsAndOperations?atl_token=AHT6-MTMP-UBMO-MUYG_cd9c0f64329b81e62a74fcf0fe1854ac19d6211d_lin" xr:uid="{00000000-0004-0000-0600-00002E010000}"/>
    <hyperlink ref="B102" r:id="rId304" display="https://jira.central1.com/browse/FIT-10366" xr:uid="{00000000-0004-0000-0600-00002F010000}"/>
    <hyperlink ref="E102" r:id="rId305" display="https://jira.central1.com/secure/ViewProfile.jspa?name=unassigned" xr:uid="{00000000-0004-0000-0600-000030010000}"/>
    <hyperlink ref="F102" r:id="rId306" tooltip="Actions (Type . to access issue actions)" display="https://jira.central1.com/rest/api/1.0/issues/300330/ActionsAndOperations?atl_token=AHT6-MTMP-UBMO-MUYG_cd9c0f64329b81e62a74fcf0fe1854ac19d6211d_lin" xr:uid="{00000000-0004-0000-0600-000031010000}"/>
    <hyperlink ref="B103" r:id="rId307" display="https://jira.central1.com/browse/FIT-10367" xr:uid="{00000000-0004-0000-0600-000032010000}"/>
    <hyperlink ref="E103" r:id="rId308" display="https://jira.central1.com/secure/ViewProfile.jspa?name=unassigned" xr:uid="{00000000-0004-0000-0600-000033010000}"/>
    <hyperlink ref="F103" r:id="rId309" tooltip="Actions (Type . to access issue actions)" display="https://jira.central1.com/rest/api/1.0/issues/300331/ActionsAndOperations?atl_token=AHT6-MTMP-UBMO-MUYG_cd9c0f64329b81e62a74fcf0fe1854ac19d6211d_lin" xr:uid="{00000000-0004-0000-0600-000034010000}"/>
    <hyperlink ref="B104" r:id="rId310" display="https://jira.central1.com/browse/FIT-10368" xr:uid="{00000000-0004-0000-0600-000035010000}"/>
    <hyperlink ref="E104" r:id="rId311" display="https://jira.central1.com/secure/ViewProfile.jspa?name=unassigned" xr:uid="{00000000-0004-0000-0600-000036010000}"/>
  </hyperlinks>
  <pageMargins left="0.7" right="0.7" top="0.75" bottom="0.75" header="0.3" footer="0.3"/>
  <drawing r:id="rId31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pageSetUpPr fitToPage="1"/>
  </sheetPr>
  <dimension ref="A1:BQ220"/>
  <sheetViews>
    <sheetView showGridLines="0" showRuler="0" zoomScale="75" zoomScaleNormal="75" zoomScalePageLayoutView="70" workbookViewId="0">
      <pane ySplit="6" topLeftCell="A7" activePane="bottomLeft" state="frozen"/>
      <selection pane="bottomLeft" activeCell="B219" sqref="B219"/>
    </sheetView>
  </sheetViews>
  <sheetFormatPr defaultColWidth="8.88671875" defaultRowHeight="30" customHeight="1" x14ac:dyDescent="0.3"/>
  <cols>
    <col min="1" max="1" width="8.44140625" style="80" customWidth="1"/>
    <col min="2" max="2" width="55.109375" customWidth="1"/>
    <col min="3" max="3" width="69.44140625" bestFit="1" customWidth="1"/>
    <col min="4" max="4" width="7.44140625" bestFit="1" customWidth="1"/>
    <col min="5" max="5" width="15.44140625" bestFit="1" customWidth="1"/>
    <col min="6" max="6" width="9.44140625" customWidth="1"/>
    <col min="7" max="7" width="10.44140625" customWidth="1"/>
    <col min="8" max="8" width="10.44140625" style="3" customWidth="1"/>
    <col min="9" max="11" width="10.44140625" customWidth="1"/>
    <col min="12" max="12" width="2.44140625" customWidth="1"/>
    <col min="13" max="13" width="6.109375" hidden="1" customWidth="1"/>
    <col min="14" max="69" width="2.44140625" customWidth="1"/>
    <col min="74" max="75" width="10.44140625"/>
  </cols>
  <sheetData>
    <row r="1" spans="1:69" ht="30" hidden="1" customHeight="1" thickBot="1" x14ac:dyDescent="0.6">
      <c r="A1" s="79" t="s">
        <v>0</v>
      </c>
      <c r="B1" s="48" t="s">
        <v>1</v>
      </c>
      <c r="C1" s="48"/>
      <c r="D1" s="48"/>
      <c r="E1" s="71" t="s">
        <v>2</v>
      </c>
      <c r="F1" s="71"/>
      <c r="G1" s="72" t="s">
        <v>3</v>
      </c>
      <c r="H1" s="73" t="s">
        <v>4</v>
      </c>
      <c r="I1" s="74" t="s">
        <v>5</v>
      </c>
      <c r="J1" s="94"/>
      <c r="K1" s="94"/>
      <c r="M1" s="1"/>
      <c r="N1" s="12"/>
    </row>
    <row r="2" spans="1:69" ht="30" hidden="1" customHeight="1" x14ac:dyDescent="0.35">
      <c r="A2" s="80" t="s">
        <v>6</v>
      </c>
      <c r="B2" s="49" t="s">
        <v>7</v>
      </c>
      <c r="C2" s="49"/>
      <c r="D2" s="49"/>
      <c r="N2" s="46"/>
    </row>
    <row r="3" spans="1:69" ht="30" hidden="1" customHeight="1" x14ac:dyDescent="0.3">
      <c r="A3" s="80" t="s">
        <v>8</v>
      </c>
      <c r="B3" s="50"/>
      <c r="C3" s="50"/>
      <c r="D3" s="50"/>
      <c r="E3" s="549" t="s">
        <v>9</v>
      </c>
      <c r="F3" s="549"/>
      <c r="G3" s="550"/>
      <c r="H3" s="551">
        <v>43831</v>
      </c>
      <c r="I3" s="551"/>
      <c r="J3" s="108"/>
      <c r="K3" s="108"/>
    </row>
    <row r="4" spans="1:69" ht="30" customHeight="1" x14ac:dyDescent="0.3">
      <c r="A4" s="79" t="s">
        <v>10</v>
      </c>
      <c r="E4" s="549" t="s">
        <v>11</v>
      </c>
      <c r="F4" s="549"/>
      <c r="G4" s="550"/>
      <c r="H4" s="5">
        <v>1</v>
      </c>
      <c r="N4" s="545">
        <f>N5</f>
        <v>43829</v>
      </c>
      <c r="O4" s="546"/>
      <c r="P4" s="546"/>
      <c r="Q4" s="546"/>
      <c r="R4" s="546"/>
      <c r="S4" s="546"/>
      <c r="T4" s="547"/>
      <c r="U4" s="545">
        <f>U5</f>
        <v>43836</v>
      </c>
      <c r="V4" s="546"/>
      <c r="W4" s="546"/>
      <c r="X4" s="546"/>
      <c r="Y4" s="546"/>
      <c r="Z4" s="546"/>
      <c r="AA4" s="547"/>
      <c r="AB4" s="545">
        <f>AB5</f>
        <v>43843</v>
      </c>
      <c r="AC4" s="546"/>
      <c r="AD4" s="546"/>
      <c r="AE4" s="546"/>
      <c r="AF4" s="546"/>
      <c r="AG4" s="546"/>
      <c r="AH4" s="547"/>
      <c r="AI4" s="545">
        <f>AI5</f>
        <v>43850</v>
      </c>
      <c r="AJ4" s="546"/>
      <c r="AK4" s="546"/>
      <c r="AL4" s="546"/>
      <c r="AM4" s="546"/>
      <c r="AN4" s="546"/>
      <c r="AO4" s="547"/>
      <c r="AP4" s="545">
        <f>AP5</f>
        <v>43857</v>
      </c>
      <c r="AQ4" s="546"/>
      <c r="AR4" s="546"/>
      <c r="AS4" s="546"/>
      <c r="AT4" s="546"/>
      <c r="AU4" s="546"/>
      <c r="AV4" s="547"/>
      <c r="AW4" s="545">
        <f>AW5</f>
        <v>43864</v>
      </c>
      <c r="AX4" s="546"/>
      <c r="AY4" s="546"/>
      <c r="AZ4" s="546"/>
      <c r="BA4" s="546"/>
      <c r="BB4" s="546"/>
      <c r="BC4" s="547"/>
      <c r="BD4" s="545">
        <f>BD5</f>
        <v>43871</v>
      </c>
      <c r="BE4" s="546"/>
      <c r="BF4" s="546"/>
      <c r="BG4" s="546"/>
      <c r="BH4" s="546"/>
      <c r="BI4" s="546"/>
      <c r="BJ4" s="547"/>
      <c r="BK4" s="545">
        <f>BK5</f>
        <v>43878</v>
      </c>
      <c r="BL4" s="546"/>
      <c r="BM4" s="546"/>
      <c r="BN4" s="546"/>
      <c r="BO4" s="546"/>
      <c r="BP4" s="546"/>
      <c r="BQ4" s="547"/>
    </row>
    <row r="5" spans="1:69" ht="15" customHeight="1" x14ac:dyDescent="0.3">
      <c r="A5" s="79" t="s">
        <v>12</v>
      </c>
      <c r="B5" s="548"/>
      <c r="C5" s="548"/>
      <c r="D5" s="548"/>
      <c r="E5" s="548"/>
      <c r="F5" s="548"/>
      <c r="G5" s="548"/>
      <c r="H5" s="548"/>
      <c r="I5" s="548"/>
      <c r="J5" s="548"/>
      <c r="K5" s="548"/>
      <c r="L5" s="548"/>
      <c r="N5" s="9">
        <f>Project_Start-WEEKDAY(Project_Start,1)+2+7*(Display_Week-1)</f>
        <v>43829</v>
      </c>
      <c r="O5" s="8">
        <f>N5+1</f>
        <v>43830</v>
      </c>
      <c r="P5" s="8">
        <f t="shared" ref="P5:BC5" si="0">O5+1</f>
        <v>43831</v>
      </c>
      <c r="Q5" s="8">
        <f t="shared" si="0"/>
        <v>43832</v>
      </c>
      <c r="R5" s="8">
        <f t="shared" si="0"/>
        <v>43833</v>
      </c>
      <c r="S5" s="8">
        <f t="shared" si="0"/>
        <v>43834</v>
      </c>
      <c r="T5" s="10">
        <f t="shared" si="0"/>
        <v>43835</v>
      </c>
      <c r="U5" s="9">
        <f>T5+1</f>
        <v>43836</v>
      </c>
      <c r="V5" s="8">
        <f>U5+1</f>
        <v>43837</v>
      </c>
      <c r="W5" s="8">
        <f t="shared" si="0"/>
        <v>43838</v>
      </c>
      <c r="X5" s="8">
        <f t="shared" si="0"/>
        <v>43839</v>
      </c>
      <c r="Y5" s="8">
        <f t="shared" si="0"/>
        <v>43840</v>
      </c>
      <c r="Z5" s="8">
        <f t="shared" si="0"/>
        <v>43841</v>
      </c>
      <c r="AA5" s="10">
        <f t="shared" si="0"/>
        <v>43842</v>
      </c>
      <c r="AB5" s="9">
        <f>AA5+1</f>
        <v>43843</v>
      </c>
      <c r="AC5" s="8">
        <f>AB5+1</f>
        <v>43844</v>
      </c>
      <c r="AD5" s="8">
        <f t="shared" si="0"/>
        <v>43845</v>
      </c>
      <c r="AE5" s="8">
        <f t="shared" si="0"/>
        <v>43846</v>
      </c>
      <c r="AF5" s="8">
        <f t="shared" si="0"/>
        <v>43847</v>
      </c>
      <c r="AG5" s="8">
        <f t="shared" si="0"/>
        <v>43848</v>
      </c>
      <c r="AH5" s="10">
        <f t="shared" si="0"/>
        <v>43849</v>
      </c>
      <c r="AI5" s="9">
        <f>AH5+1</f>
        <v>43850</v>
      </c>
      <c r="AJ5" s="8">
        <f>AI5+1</f>
        <v>43851</v>
      </c>
      <c r="AK5" s="8">
        <f t="shared" si="0"/>
        <v>43852</v>
      </c>
      <c r="AL5" s="8">
        <f t="shared" si="0"/>
        <v>43853</v>
      </c>
      <c r="AM5" s="8">
        <f t="shared" si="0"/>
        <v>43854</v>
      </c>
      <c r="AN5" s="8">
        <f t="shared" si="0"/>
        <v>43855</v>
      </c>
      <c r="AO5" s="10">
        <f t="shared" si="0"/>
        <v>43856</v>
      </c>
      <c r="AP5" s="9">
        <f>AO5+1</f>
        <v>43857</v>
      </c>
      <c r="AQ5" s="8">
        <f>AP5+1</f>
        <v>43858</v>
      </c>
      <c r="AR5" s="8">
        <f t="shared" si="0"/>
        <v>43859</v>
      </c>
      <c r="AS5" s="8">
        <f t="shared" si="0"/>
        <v>43860</v>
      </c>
      <c r="AT5" s="8">
        <f t="shared" si="0"/>
        <v>43861</v>
      </c>
      <c r="AU5" s="8">
        <f t="shared" si="0"/>
        <v>43862</v>
      </c>
      <c r="AV5" s="10">
        <f t="shared" si="0"/>
        <v>43863</v>
      </c>
      <c r="AW5" s="9">
        <f>AV5+1</f>
        <v>43864</v>
      </c>
      <c r="AX5" s="8">
        <f>AW5+1</f>
        <v>43865</v>
      </c>
      <c r="AY5" s="8">
        <f t="shared" si="0"/>
        <v>43866</v>
      </c>
      <c r="AZ5" s="8">
        <f t="shared" si="0"/>
        <v>43867</v>
      </c>
      <c r="BA5" s="8">
        <f t="shared" si="0"/>
        <v>43868</v>
      </c>
      <c r="BB5" s="8">
        <f t="shared" si="0"/>
        <v>43869</v>
      </c>
      <c r="BC5" s="10">
        <f t="shared" si="0"/>
        <v>43870</v>
      </c>
      <c r="BD5" s="9">
        <f t="shared" ref="BD5:BQ5" si="1">BC5+1</f>
        <v>43871</v>
      </c>
      <c r="BE5" s="8">
        <f t="shared" si="1"/>
        <v>43872</v>
      </c>
      <c r="BF5" s="8">
        <f t="shared" si="1"/>
        <v>43873</v>
      </c>
      <c r="BG5" s="8">
        <f t="shared" si="1"/>
        <v>43874</v>
      </c>
      <c r="BH5" s="8">
        <f t="shared" si="1"/>
        <v>43875</v>
      </c>
      <c r="BI5" s="8">
        <f t="shared" si="1"/>
        <v>43876</v>
      </c>
      <c r="BJ5" s="10">
        <f t="shared" si="1"/>
        <v>43877</v>
      </c>
      <c r="BK5" s="9">
        <f t="shared" si="1"/>
        <v>43878</v>
      </c>
      <c r="BL5" s="8">
        <f t="shared" si="1"/>
        <v>43879</v>
      </c>
      <c r="BM5" s="8">
        <f t="shared" si="1"/>
        <v>43880</v>
      </c>
      <c r="BN5" s="8">
        <f t="shared" si="1"/>
        <v>43881</v>
      </c>
      <c r="BO5" s="8">
        <f t="shared" si="1"/>
        <v>43882</v>
      </c>
      <c r="BP5" s="8">
        <f t="shared" si="1"/>
        <v>43883</v>
      </c>
      <c r="BQ5" s="10">
        <f t="shared" si="1"/>
        <v>43884</v>
      </c>
    </row>
    <row r="6" spans="1:69" ht="30" customHeight="1" thickBot="1" x14ac:dyDescent="0.35">
      <c r="A6" s="78" t="s">
        <v>13</v>
      </c>
      <c r="B6" s="6" t="s">
        <v>14</v>
      </c>
      <c r="C6" s="6" t="s">
        <v>15</v>
      </c>
      <c r="D6" s="6" t="s">
        <v>16</v>
      </c>
      <c r="E6" s="7" t="s">
        <v>17</v>
      </c>
      <c r="F6" s="7" t="s">
        <v>18</v>
      </c>
      <c r="G6" s="7" t="s">
        <v>19</v>
      </c>
      <c r="H6" s="7" t="s">
        <v>20</v>
      </c>
      <c r="I6" s="7" t="s">
        <v>21</v>
      </c>
      <c r="J6" s="7" t="s">
        <v>22</v>
      </c>
      <c r="K6" s="7" t="s">
        <v>23</v>
      </c>
      <c r="L6" s="7"/>
      <c r="M6" s="7" t="s">
        <v>24</v>
      </c>
      <c r="N6" s="11" t="str">
        <f>LEFT(TEXT(N5,"ddd"),1)</f>
        <v>M</v>
      </c>
      <c r="O6" s="11" t="str">
        <f t="shared" ref="O6:AW6" si="2">LEFT(TEXT(O5,"ddd"),1)</f>
        <v>T</v>
      </c>
      <c r="P6" s="11" t="str">
        <f t="shared" si="2"/>
        <v>W</v>
      </c>
      <c r="Q6" s="11" t="str">
        <f t="shared" si="2"/>
        <v>T</v>
      </c>
      <c r="R6" s="11" t="str">
        <f t="shared" si="2"/>
        <v>F</v>
      </c>
      <c r="S6" s="11" t="str">
        <f t="shared" si="2"/>
        <v>S</v>
      </c>
      <c r="T6" s="11" t="str">
        <f t="shared" si="2"/>
        <v>S</v>
      </c>
      <c r="U6" s="11" t="str">
        <f t="shared" si="2"/>
        <v>M</v>
      </c>
      <c r="V6" s="11" t="str">
        <f t="shared" si="2"/>
        <v>T</v>
      </c>
      <c r="W6" s="11" t="str">
        <f t="shared" si="2"/>
        <v>W</v>
      </c>
      <c r="X6" s="11" t="str">
        <f t="shared" si="2"/>
        <v>T</v>
      </c>
      <c r="Y6" s="11" t="str">
        <f t="shared" si="2"/>
        <v>F</v>
      </c>
      <c r="Z6" s="11" t="str">
        <f t="shared" si="2"/>
        <v>S</v>
      </c>
      <c r="AA6" s="11" t="str">
        <f t="shared" si="2"/>
        <v>S</v>
      </c>
      <c r="AB6" s="11" t="str">
        <f t="shared" si="2"/>
        <v>M</v>
      </c>
      <c r="AC6" s="11" t="str">
        <f t="shared" si="2"/>
        <v>T</v>
      </c>
      <c r="AD6" s="11" t="str">
        <f t="shared" si="2"/>
        <v>W</v>
      </c>
      <c r="AE6" s="11" t="str">
        <f t="shared" si="2"/>
        <v>T</v>
      </c>
      <c r="AF6" s="11" t="str">
        <f t="shared" si="2"/>
        <v>F</v>
      </c>
      <c r="AG6" s="11" t="str">
        <f t="shared" si="2"/>
        <v>S</v>
      </c>
      <c r="AH6" s="11" t="str">
        <f t="shared" si="2"/>
        <v>S</v>
      </c>
      <c r="AI6" s="11" t="str">
        <f t="shared" si="2"/>
        <v>M</v>
      </c>
      <c r="AJ6" s="11" t="str">
        <f t="shared" si="2"/>
        <v>T</v>
      </c>
      <c r="AK6" s="11" t="str">
        <f t="shared" si="2"/>
        <v>W</v>
      </c>
      <c r="AL6" s="11" t="str">
        <f t="shared" si="2"/>
        <v>T</v>
      </c>
      <c r="AM6" s="11" t="str">
        <f t="shared" si="2"/>
        <v>F</v>
      </c>
      <c r="AN6" s="11" t="str">
        <f t="shared" si="2"/>
        <v>S</v>
      </c>
      <c r="AO6" s="11" t="str">
        <f t="shared" si="2"/>
        <v>S</v>
      </c>
      <c r="AP6" s="11" t="str">
        <f t="shared" si="2"/>
        <v>M</v>
      </c>
      <c r="AQ6" s="11" t="str">
        <f t="shared" si="2"/>
        <v>T</v>
      </c>
      <c r="AR6" s="11" t="str">
        <f t="shared" si="2"/>
        <v>W</v>
      </c>
      <c r="AS6" s="11" t="str">
        <f t="shared" si="2"/>
        <v>T</v>
      </c>
      <c r="AT6" s="11" t="str">
        <f t="shared" si="2"/>
        <v>F</v>
      </c>
      <c r="AU6" s="11" t="str">
        <f t="shared" si="2"/>
        <v>S</v>
      </c>
      <c r="AV6" s="11" t="str">
        <f t="shared" si="2"/>
        <v>S</v>
      </c>
      <c r="AW6" s="11" t="str">
        <f t="shared" si="2"/>
        <v>M</v>
      </c>
      <c r="AX6" s="11" t="str">
        <f t="shared" ref="AX6:BQ6" si="3">LEFT(TEXT(AX5,"ddd"),1)</f>
        <v>T</v>
      </c>
      <c r="AY6" s="11" t="str">
        <f t="shared" si="3"/>
        <v>W</v>
      </c>
      <c r="AZ6" s="11" t="str">
        <f t="shared" si="3"/>
        <v>T</v>
      </c>
      <c r="BA6" s="11" t="str">
        <f t="shared" si="3"/>
        <v>F</v>
      </c>
      <c r="BB6" s="11" t="str">
        <f t="shared" si="3"/>
        <v>S</v>
      </c>
      <c r="BC6" s="11" t="str">
        <f t="shared" si="3"/>
        <v>S</v>
      </c>
      <c r="BD6" s="11" t="str">
        <f t="shared" si="3"/>
        <v>M</v>
      </c>
      <c r="BE6" s="11" t="str">
        <f t="shared" si="3"/>
        <v>T</v>
      </c>
      <c r="BF6" s="11" t="str">
        <f t="shared" si="3"/>
        <v>W</v>
      </c>
      <c r="BG6" s="11" t="str">
        <f t="shared" si="3"/>
        <v>T</v>
      </c>
      <c r="BH6" s="11" t="str">
        <f t="shared" si="3"/>
        <v>F</v>
      </c>
      <c r="BI6" s="11" t="str">
        <f t="shared" si="3"/>
        <v>S</v>
      </c>
      <c r="BJ6" s="11" t="str">
        <f t="shared" si="3"/>
        <v>S</v>
      </c>
      <c r="BK6" s="11" t="str">
        <f t="shared" si="3"/>
        <v>M</v>
      </c>
      <c r="BL6" s="11" t="str">
        <f t="shared" si="3"/>
        <v>T</v>
      </c>
      <c r="BM6" s="11" t="str">
        <f t="shared" si="3"/>
        <v>W</v>
      </c>
      <c r="BN6" s="11" t="str">
        <f t="shared" si="3"/>
        <v>T</v>
      </c>
      <c r="BO6" s="11" t="str">
        <f t="shared" si="3"/>
        <v>F</v>
      </c>
      <c r="BP6" s="11" t="str">
        <f t="shared" si="3"/>
        <v>S</v>
      </c>
      <c r="BQ6" s="11" t="str">
        <f t="shared" si="3"/>
        <v>S</v>
      </c>
    </row>
    <row r="7" spans="1:69" ht="30" hidden="1" customHeight="1" thickBot="1" x14ac:dyDescent="0.35">
      <c r="A7" s="80" t="s">
        <v>25</v>
      </c>
      <c r="E7" s="47"/>
      <c r="F7" s="47"/>
      <c r="H7"/>
      <c r="M7" t="str">
        <f t="shared" ref="M7:M13" si="4">IF(OR(ISBLANK(task_start),ISBLANK(task_end)),"",task_end-task_start+1)</f>
        <v/>
      </c>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row>
    <row r="8" spans="1:69" s="2" customFormat="1" ht="15" customHeight="1" thickBot="1" x14ac:dyDescent="0.35">
      <c r="A8" s="71"/>
      <c r="B8" s="16" t="s">
        <v>26</v>
      </c>
      <c r="C8" s="16"/>
      <c r="D8" s="16"/>
      <c r="E8" s="56"/>
      <c r="F8" s="56"/>
      <c r="G8" s="17"/>
      <c r="H8" s="18"/>
      <c r="I8" s="19"/>
      <c r="J8" s="19"/>
      <c r="K8" s="19"/>
      <c r="L8" s="15"/>
      <c r="M8" s="15" t="str">
        <f t="shared" si="4"/>
        <v/>
      </c>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row>
    <row r="9" spans="1:69" s="2" customFormat="1" ht="15" customHeight="1" thickBot="1" x14ac:dyDescent="0.35">
      <c r="A9" s="70" t="s">
        <v>27</v>
      </c>
      <c r="B9" s="65" t="s">
        <v>28</v>
      </c>
      <c r="C9" s="65" t="s">
        <v>29</v>
      </c>
      <c r="D9" s="70" t="s">
        <v>30</v>
      </c>
      <c r="E9" s="57" t="s">
        <v>31</v>
      </c>
      <c r="F9" s="57">
        <v>1</v>
      </c>
      <c r="G9" s="20"/>
      <c r="H9" s="51"/>
      <c r="I9" s="51"/>
      <c r="J9" s="51"/>
      <c r="K9" s="51"/>
      <c r="L9" s="15"/>
      <c r="M9" s="15" t="str">
        <f t="shared" si="4"/>
        <v/>
      </c>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row>
    <row r="10" spans="1:69" s="2" customFormat="1" ht="15" customHeight="1" thickBot="1" x14ac:dyDescent="0.35">
      <c r="A10" s="70" t="s">
        <v>32</v>
      </c>
      <c r="B10" s="65" t="s">
        <v>33</v>
      </c>
      <c r="C10" s="65" t="s">
        <v>34</v>
      </c>
      <c r="D10" s="70" t="s">
        <v>30</v>
      </c>
      <c r="E10" s="57" t="s">
        <v>35</v>
      </c>
      <c r="F10" s="57">
        <v>1</v>
      </c>
      <c r="G10" s="20"/>
      <c r="H10" s="51"/>
      <c r="I10" s="51"/>
      <c r="J10" s="51"/>
      <c r="K10" s="51"/>
      <c r="L10" s="15"/>
      <c r="M10" s="15" t="str">
        <f t="shared" si="4"/>
        <v/>
      </c>
      <c r="N10" s="42"/>
      <c r="O10" s="42"/>
      <c r="P10" s="42"/>
      <c r="Q10" s="42"/>
      <c r="R10" s="42"/>
      <c r="S10" s="42"/>
      <c r="T10" s="42"/>
      <c r="U10" s="42"/>
      <c r="V10" s="42"/>
      <c r="W10" s="42"/>
      <c r="X10" s="42"/>
      <c r="Y10" s="42"/>
      <c r="Z10" s="43"/>
      <c r="AA10" s="43"/>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row>
    <row r="11" spans="1:69" s="2" customFormat="1" ht="15" customHeight="1" thickBot="1" x14ac:dyDescent="0.35">
      <c r="A11" s="70" t="s">
        <v>36</v>
      </c>
      <c r="B11" s="65" t="s">
        <v>37</v>
      </c>
      <c r="C11" s="65" t="s">
        <v>38</v>
      </c>
      <c r="D11" s="70" t="s">
        <v>30</v>
      </c>
      <c r="E11" s="57" t="s">
        <v>35</v>
      </c>
      <c r="F11" s="57">
        <v>1</v>
      </c>
      <c r="G11" s="20"/>
      <c r="H11" s="51"/>
      <c r="I11" s="51"/>
      <c r="J11" s="51"/>
      <c r="K11" s="51"/>
      <c r="L11" s="15"/>
      <c r="M11" s="15" t="str">
        <f t="shared" si="4"/>
        <v/>
      </c>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row>
    <row r="12" spans="1:69" s="2" customFormat="1" ht="29.4" thickBot="1" x14ac:dyDescent="0.35">
      <c r="A12" s="70" t="s">
        <v>39</v>
      </c>
      <c r="B12" s="81" t="s">
        <v>40</v>
      </c>
      <c r="C12" s="81" t="s">
        <v>41</v>
      </c>
      <c r="D12" s="70" t="s">
        <v>30</v>
      </c>
      <c r="E12" s="57" t="s">
        <v>31</v>
      </c>
      <c r="F12" s="57">
        <v>5</v>
      </c>
      <c r="G12" s="20"/>
      <c r="H12" s="51"/>
      <c r="I12" s="51"/>
      <c r="J12" s="51"/>
      <c r="K12" s="51"/>
      <c r="L12" s="15"/>
      <c r="M12" s="15" t="str">
        <f t="shared" si="4"/>
        <v/>
      </c>
      <c r="N12" s="42"/>
      <c r="O12" s="42"/>
      <c r="P12" s="42"/>
      <c r="Q12" s="42"/>
      <c r="R12" s="42"/>
      <c r="S12" s="42"/>
      <c r="T12" s="42"/>
      <c r="U12" s="42"/>
      <c r="V12" s="42"/>
      <c r="W12" s="42"/>
      <c r="X12" s="42"/>
      <c r="Y12" s="42"/>
      <c r="Z12" s="42"/>
      <c r="AA12" s="42"/>
      <c r="AB12" s="42"/>
      <c r="AC12" s="42"/>
      <c r="AD12" s="43"/>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row>
    <row r="13" spans="1:69" s="2" customFormat="1" ht="15" customHeight="1" thickBot="1" x14ac:dyDescent="0.35">
      <c r="A13" s="70" t="s">
        <v>42</v>
      </c>
      <c r="B13" s="65" t="s">
        <v>43</v>
      </c>
      <c r="C13" s="65" t="s">
        <v>44</v>
      </c>
      <c r="D13" s="70" t="s">
        <v>30</v>
      </c>
      <c r="E13" s="57" t="s">
        <v>31</v>
      </c>
      <c r="F13" s="57">
        <v>5</v>
      </c>
      <c r="G13" s="20"/>
      <c r="H13" s="51"/>
      <c r="I13" s="51"/>
      <c r="J13" s="51"/>
      <c r="K13" s="51"/>
      <c r="L13" s="15"/>
      <c r="M13" s="15" t="str">
        <f t="shared" si="4"/>
        <v/>
      </c>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row>
    <row r="14" spans="1:69" s="2" customFormat="1" ht="15" customHeight="1" thickBot="1" x14ac:dyDescent="0.35">
      <c r="A14" s="70" t="s">
        <v>45</v>
      </c>
      <c r="B14" s="65" t="s">
        <v>46</v>
      </c>
      <c r="C14" s="65" t="s">
        <v>47</v>
      </c>
      <c r="D14" s="70" t="s">
        <v>30</v>
      </c>
      <c r="E14" s="57" t="s">
        <v>35</v>
      </c>
      <c r="F14" s="57">
        <v>5</v>
      </c>
      <c r="G14" s="20"/>
      <c r="H14" s="51"/>
      <c r="I14" s="51"/>
      <c r="J14" s="51"/>
      <c r="K14" s="51"/>
      <c r="L14" s="15"/>
      <c r="M14" s="15"/>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row>
    <row r="15" spans="1:69" s="2" customFormat="1" ht="15" customHeight="1" thickBot="1" x14ac:dyDescent="0.35">
      <c r="A15" s="70" t="s">
        <v>48</v>
      </c>
      <c r="B15" s="65" t="s">
        <v>49</v>
      </c>
      <c r="C15" s="65" t="s">
        <v>50</v>
      </c>
      <c r="D15" s="70" t="s">
        <v>30</v>
      </c>
      <c r="E15" s="57" t="s">
        <v>51</v>
      </c>
      <c r="F15" s="57">
        <v>60</v>
      </c>
      <c r="G15" s="20"/>
      <c r="H15" s="51"/>
      <c r="I15" s="51"/>
      <c r="J15" s="51"/>
      <c r="K15" s="51"/>
      <c r="L15" s="15"/>
      <c r="M15" s="15"/>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row>
    <row r="16" spans="1:69" s="2" customFormat="1" ht="15" customHeight="1" thickBot="1" x14ac:dyDescent="0.35">
      <c r="A16" s="70" t="s">
        <v>52</v>
      </c>
      <c r="B16" s="65" t="s">
        <v>53</v>
      </c>
      <c r="C16" s="65" t="s">
        <v>54</v>
      </c>
      <c r="D16" s="70" t="s">
        <v>30</v>
      </c>
      <c r="E16" s="57" t="s">
        <v>31</v>
      </c>
      <c r="F16" s="57">
        <v>1</v>
      </c>
      <c r="G16" s="20"/>
      <c r="H16" s="51"/>
      <c r="I16" s="51"/>
      <c r="J16" s="51"/>
      <c r="K16" s="51"/>
      <c r="L16" s="15"/>
      <c r="M16" s="15"/>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row>
    <row r="17" spans="1:69" s="2" customFormat="1" ht="15" customHeight="1" thickBot="1" x14ac:dyDescent="0.35">
      <c r="A17" s="70" t="s">
        <v>55</v>
      </c>
      <c r="B17" s="65" t="s">
        <v>56</v>
      </c>
      <c r="C17" s="65" t="s">
        <v>57</v>
      </c>
      <c r="D17" s="70" t="s">
        <v>30</v>
      </c>
      <c r="E17" s="57" t="s">
        <v>31</v>
      </c>
      <c r="F17" s="57">
        <v>5</v>
      </c>
      <c r="G17" s="20"/>
      <c r="H17" s="51"/>
      <c r="I17" s="51"/>
      <c r="J17" s="51"/>
      <c r="K17" s="51"/>
      <c r="L17" s="15"/>
      <c r="M17" s="15"/>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row>
    <row r="18" spans="1:69" s="2" customFormat="1" ht="15" customHeight="1" thickBot="1" x14ac:dyDescent="0.35">
      <c r="A18" s="70" t="s">
        <v>58</v>
      </c>
      <c r="B18" s="65" t="s">
        <v>59</v>
      </c>
      <c r="C18" s="65" t="s">
        <v>60</v>
      </c>
      <c r="D18" s="70" t="s">
        <v>30</v>
      </c>
      <c r="E18" s="57" t="s">
        <v>61</v>
      </c>
      <c r="F18" s="57">
        <v>10</v>
      </c>
      <c r="G18" s="20"/>
      <c r="H18" s="51"/>
      <c r="I18" s="51"/>
      <c r="J18" s="51"/>
      <c r="K18" s="51"/>
      <c r="L18" s="15"/>
      <c r="M18" s="15"/>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row>
    <row r="19" spans="1:69" s="2" customFormat="1" ht="15" customHeight="1" thickBot="1" x14ac:dyDescent="0.35">
      <c r="A19" s="71"/>
      <c r="B19" s="16" t="s">
        <v>62</v>
      </c>
      <c r="C19" s="16"/>
      <c r="D19" s="16"/>
      <c r="E19" s="56"/>
      <c r="F19" s="56"/>
      <c r="G19" s="17"/>
      <c r="H19" s="18"/>
      <c r="I19" s="19"/>
      <c r="J19" s="19"/>
      <c r="K19" s="19"/>
      <c r="L19" s="15"/>
      <c r="M19" s="15"/>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row>
    <row r="20" spans="1:69" s="2" customFormat="1" ht="15" customHeight="1" thickBot="1" x14ac:dyDescent="0.35">
      <c r="A20" s="70" t="s">
        <v>63</v>
      </c>
      <c r="B20" s="65" t="s">
        <v>64</v>
      </c>
      <c r="C20" s="65" t="s">
        <v>65</v>
      </c>
      <c r="D20" s="70" t="s">
        <v>30</v>
      </c>
      <c r="E20" s="57" t="s">
        <v>61</v>
      </c>
      <c r="F20" s="57">
        <v>10</v>
      </c>
      <c r="G20" s="20"/>
      <c r="H20" s="51"/>
      <c r="I20" s="51"/>
      <c r="J20" s="51"/>
      <c r="K20" s="51"/>
      <c r="L20" s="15"/>
      <c r="M20" s="15"/>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row>
    <row r="21" spans="1:69" s="2" customFormat="1" ht="15" customHeight="1" thickBot="1" x14ac:dyDescent="0.35">
      <c r="A21" s="70" t="s">
        <v>66</v>
      </c>
      <c r="B21" s="65" t="s">
        <v>67</v>
      </c>
      <c r="C21" s="65" t="s">
        <v>68</v>
      </c>
      <c r="D21" s="70" t="s">
        <v>30</v>
      </c>
      <c r="E21" s="57" t="s">
        <v>61</v>
      </c>
      <c r="F21" s="57">
        <v>5</v>
      </c>
      <c r="G21" s="20"/>
      <c r="H21" s="51"/>
      <c r="I21" s="51"/>
      <c r="J21" s="51"/>
      <c r="K21" s="51"/>
      <c r="L21" s="15"/>
      <c r="M21" s="15"/>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row>
    <row r="22" spans="1:69" s="2" customFormat="1" ht="15" customHeight="1" thickBot="1" x14ac:dyDescent="0.35">
      <c r="A22" s="70" t="s">
        <v>69</v>
      </c>
      <c r="B22" s="65" t="s">
        <v>70</v>
      </c>
      <c r="C22" s="65" t="s">
        <v>71</v>
      </c>
      <c r="D22" s="70" t="s">
        <v>30</v>
      </c>
      <c r="E22" s="57" t="s">
        <v>31</v>
      </c>
      <c r="F22" s="57">
        <v>1</v>
      </c>
      <c r="G22" s="20"/>
      <c r="H22" s="51"/>
      <c r="I22" s="51"/>
      <c r="J22" s="51"/>
      <c r="K22" s="51"/>
      <c r="L22" s="15"/>
      <c r="M22" s="15"/>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row>
    <row r="23" spans="1:69" s="2" customFormat="1" ht="15" customHeight="1" thickBot="1" x14ac:dyDescent="0.35">
      <c r="A23" s="97"/>
      <c r="B23" s="98" t="s">
        <v>72</v>
      </c>
      <c r="C23" s="98"/>
      <c r="D23" s="97"/>
      <c r="E23" s="99"/>
      <c r="F23" s="99"/>
      <c r="G23" s="100"/>
      <c r="H23" s="101"/>
      <c r="I23" s="101"/>
      <c r="J23" s="101"/>
      <c r="K23" s="101"/>
      <c r="L23" s="15"/>
      <c r="M23" s="15"/>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row>
    <row r="24" spans="1:69" s="2" customFormat="1" ht="15" customHeight="1" thickBot="1" x14ac:dyDescent="0.35">
      <c r="A24" s="102" t="s">
        <v>73</v>
      </c>
      <c r="B24" s="103" t="s">
        <v>74</v>
      </c>
      <c r="C24" s="103" t="s">
        <v>75</v>
      </c>
      <c r="D24" s="102" t="s">
        <v>5</v>
      </c>
      <c r="E24" s="104" t="s">
        <v>35</v>
      </c>
      <c r="F24" s="104"/>
      <c r="G24" s="105"/>
      <c r="H24" s="106"/>
      <c r="I24" s="106"/>
      <c r="J24" s="106"/>
      <c r="K24" s="106"/>
      <c r="L24" s="15"/>
      <c r="M24" s="15"/>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row>
    <row r="25" spans="1:69" s="2" customFormat="1" ht="15" customHeight="1" thickBot="1" x14ac:dyDescent="0.35">
      <c r="A25" s="102" t="s">
        <v>76</v>
      </c>
      <c r="B25" s="103" t="s">
        <v>77</v>
      </c>
      <c r="C25" s="103" t="s">
        <v>78</v>
      </c>
      <c r="D25" s="102" t="s">
        <v>5</v>
      </c>
      <c r="E25" s="104" t="s">
        <v>35</v>
      </c>
      <c r="F25" s="104"/>
      <c r="G25" s="105"/>
      <c r="H25" s="106"/>
      <c r="I25" s="106"/>
      <c r="J25" s="106"/>
      <c r="K25" s="106"/>
      <c r="L25" s="15"/>
      <c r="M25" s="15"/>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row>
    <row r="26" spans="1:69" s="2" customFormat="1" ht="15" customHeight="1" thickBot="1" x14ac:dyDescent="0.35">
      <c r="A26" s="102" t="s">
        <v>79</v>
      </c>
      <c r="B26" s="103" t="s">
        <v>80</v>
      </c>
      <c r="C26" s="103" t="s">
        <v>81</v>
      </c>
      <c r="D26" s="102" t="s">
        <v>5</v>
      </c>
      <c r="E26" s="104" t="s">
        <v>35</v>
      </c>
      <c r="F26" s="104">
        <v>0.2</v>
      </c>
      <c r="G26" s="105"/>
      <c r="H26" s="106"/>
      <c r="I26" s="106"/>
      <c r="J26" s="106"/>
      <c r="K26" s="106"/>
      <c r="L26" s="15"/>
      <c r="M26" s="15"/>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row>
    <row r="27" spans="1:69" s="2" customFormat="1" ht="15" customHeight="1" thickBot="1" x14ac:dyDescent="0.35">
      <c r="A27" s="102" t="s">
        <v>82</v>
      </c>
      <c r="B27" s="103" t="s">
        <v>83</v>
      </c>
      <c r="C27" s="103" t="s">
        <v>84</v>
      </c>
      <c r="D27" s="102" t="s">
        <v>5</v>
      </c>
      <c r="E27" s="104" t="s">
        <v>35</v>
      </c>
      <c r="F27" s="104" t="s">
        <v>85</v>
      </c>
      <c r="G27" s="105"/>
      <c r="H27" s="106"/>
      <c r="I27" s="106"/>
      <c r="J27" s="106"/>
      <c r="K27" s="106"/>
      <c r="L27" s="15"/>
      <c r="M27" s="15"/>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row>
    <row r="28" spans="1:69" s="2" customFormat="1" ht="15" customHeight="1" thickBot="1" x14ac:dyDescent="0.35">
      <c r="A28" s="102" t="s">
        <v>86</v>
      </c>
      <c r="B28" s="103" t="s">
        <v>87</v>
      </c>
      <c r="C28" s="103" t="s">
        <v>88</v>
      </c>
      <c r="D28" s="102" t="s">
        <v>5</v>
      </c>
      <c r="E28" s="104" t="s">
        <v>35</v>
      </c>
      <c r="F28" s="104">
        <v>5</v>
      </c>
      <c r="G28" s="105"/>
      <c r="H28" s="106"/>
      <c r="I28" s="106"/>
      <c r="J28" s="106"/>
      <c r="K28" s="106"/>
      <c r="L28" s="15"/>
      <c r="M28" s="15"/>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row>
    <row r="29" spans="1:69" s="2" customFormat="1" ht="15" customHeight="1" thickBot="1" x14ac:dyDescent="0.35">
      <c r="A29" s="102" t="s">
        <v>89</v>
      </c>
      <c r="B29" s="103" t="s">
        <v>90</v>
      </c>
      <c r="C29" s="103" t="s">
        <v>91</v>
      </c>
      <c r="D29" s="102" t="s">
        <v>5</v>
      </c>
      <c r="E29" s="104" t="s">
        <v>35</v>
      </c>
      <c r="F29" s="104">
        <v>10</v>
      </c>
      <c r="G29" s="105"/>
      <c r="H29" s="106"/>
      <c r="I29" s="106"/>
      <c r="J29" s="106"/>
      <c r="K29" s="106"/>
      <c r="L29" s="15"/>
      <c r="M29" s="15"/>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row>
    <row r="30" spans="1:69" s="2" customFormat="1" ht="15" customHeight="1" thickBot="1" x14ac:dyDescent="0.35">
      <c r="A30" s="102" t="s">
        <v>92</v>
      </c>
      <c r="B30" s="103" t="s">
        <v>93</v>
      </c>
      <c r="C30" s="103" t="s">
        <v>94</v>
      </c>
      <c r="D30" s="102" t="s">
        <v>5</v>
      </c>
      <c r="E30" s="104" t="s">
        <v>35</v>
      </c>
      <c r="F30" s="104">
        <v>5</v>
      </c>
      <c r="G30" s="105"/>
      <c r="H30" s="106"/>
      <c r="I30" s="106"/>
      <c r="J30" s="106"/>
      <c r="K30" s="106"/>
      <c r="L30" s="15"/>
      <c r="M30" s="15"/>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row>
    <row r="31" spans="1:69" s="2" customFormat="1" ht="15" customHeight="1" thickBot="1" x14ac:dyDescent="0.35">
      <c r="A31" s="102" t="s">
        <v>95</v>
      </c>
      <c r="B31" s="103" t="s">
        <v>96</v>
      </c>
      <c r="C31" s="103" t="s">
        <v>97</v>
      </c>
      <c r="D31" s="102" t="s">
        <v>5</v>
      </c>
      <c r="E31" s="104" t="s">
        <v>98</v>
      </c>
      <c r="F31" s="104"/>
      <c r="G31" s="105"/>
      <c r="H31" s="106"/>
      <c r="I31" s="106"/>
      <c r="J31" s="106"/>
      <c r="K31" s="106"/>
      <c r="L31" s="15"/>
      <c r="M31" s="15"/>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row>
    <row r="32" spans="1:69" s="2" customFormat="1" ht="15" customHeight="1" thickBot="1" x14ac:dyDescent="0.35">
      <c r="A32" s="97"/>
      <c r="B32" s="98" t="s">
        <v>99</v>
      </c>
      <c r="C32" s="98"/>
      <c r="D32" s="97"/>
      <c r="E32" s="99"/>
      <c r="F32" s="99"/>
      <c r="G32" s="100"/>
      <c r="H32" s="101"/>
      <c r="I32" s="101"/>
      <c r="J32" s="101"/>
      <c r="K32" s="101"/>
      <c r="L32" s="15"/>
      <c r="M32" s="15"/>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row>
    <row r="33" spans="1:69" s="2" customFormat="1" ht="15" customHeight="1" thickBot="1" x14ac:dyDescent="0.35">
      <c r="A33" s="102" t="s">
        <v>100</v>
      </c>
      <c r="B33" s="103" t="s">
        <v>101</v>
      </c>
      <c r="C33" s="103" t="s">
        <v>102</v>
      </c>
      <c r="D33" s="102" t="s">
        <v>5</v>
      </c>
      <c r="E33" s="104" t="s">
        <v>35</v>
      </c>
      <c r="F33" s="104">
        <v>0.1</v>
      </c>
      <c r="G33" s="105"/>
      <c r="H33" s="106"/>
      <c r="I33" s="106"/>
      <c r="J33" s="106"/>
      <c r="K33" s="106"/>
      <c r="L33" s="15"/>
      <c r="M33" s="15"/>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row>
    <row r="34" spans="1:69" s="2" customFormat="1" ht="15" customHeight="1" thickBot="1" x14ac:dyDescent="0.35">
      <c r="A34" s="102" t="s">
        <v>103</v>
      </c>
      <c r="B34" s="103" t="s">
        <v>104</v>
      </c>
      <c r="C34" s="103" t="s">
        <v>105</v>
      </c>
      <c r="D34" s="102" t="s">
        <v>5</v>
      </c>
      <c r="E34" s="104" t="s">
        <v>35</v>
      </c>
      <c r="F34" s="104">
        <v>0.1</v>
      </c>
      <c r="G34" s="105"/>
      <c r="H34" s="106"/>
      <c r="I34" s="106"/>
      <c r="J34" s="106"/>
      <c r="K34" s="106"/>
      <c r="L34" s="15"/>
      <c r="M34" s="15"/>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row>
    <row r="35" spans="1:69" s="2" customFormat="1" ht="15" customHeight="1" thickBot="1" x14ac:dyDescent="0.35">
      <c r="A35" s="102" t="s">
        <v>106</v>
      </c>
      <c r="B35" s="103" t="s">
        <v>107</v>
      </c>
      <c r="C35" s="103" t="s">
        <v>108</v>
      </c>
      <c r="D35" s="102" t="s">
        <v>5</v>
      </c>
      <c r="E35" s="104" t="s">
        <v>35</v>
      </c>
      <c r="F35" s="104">
        <v>0.1</v>
      </c>
      <c r="G35" s="105"/>
      <c r="H35" s="106"/>
      <c r="I35" s="106"/>
      <c r="J35" s="106"/>
      <c r="K35" s="106"/>
      <c r="L35" s="15"/>
      <c r="M35" s="15"/>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row>
    <row r="36" spans="1:69" s="2" customFormat="1" ht="15" customHeight="1" thickBot="1" x14ac:dyDescent="0.35">
      <c r="A36" s="102" t="s">
        <v>109</v>
      </c>
      <c r="B36" s="103" t="s">
        <v>110</v>
      </c>
      <c r="C36" s="103" t="s">
        <v>111</v>
      </c>
      <c r="D36" s="102" t="s">
        <v>5</v>
      </c>
      <c r="E36" s="104" t="s">
        <v>35</v>
      </c>
      <c r="F36" s="104">
        <v>0.1</v>
      </c>
      <c r="G36" s="105"/>
      <c r="H36" s="106"/>
      <c r="I36" s="106"/>
      <c r="J36" s="106"/>
      <c r="K36" s="106"/>
      <c r="L36" s="15"/>
      <c r="M36" s="15"/>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row>
    <row r="37" spans="1:69" s="2" customFormat="1" ht="15" customHeight="1" thickBot="1" x14ac:dyDescent="0.35">
      <c r="A37" s="102" t="s">
        <v>112</v>
      </c>
      <c r="B37" s="103" t="s">
        <v>113</v>
      </c>
      <c r="C37" s="103" t="s">
        <v>114</v>
      </c>
      <c r="D37" s="102" t="s">
        <v>5</v>
      </c>
      <c r="E37" s="104" t="s">
        <v>115</v>
      </c>
      <c r="F37" s="104">
        <v>2</v>
      </c>
      <c r="G37" s="105"/>
      <c r="H37" s="106"/>
      <c r="I37" s="106"/>
      <c r="J37" s="106"/>
      <c r="K37" s="106"/>
      <c r="L37" s="15"/>
      <c r="M37" s="15"/>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row>
    <row r="38" spans="1:69" s="2" customFormat="1" ht="15" customHeight="1" thickBot="1" x14ac:dyDescent="0.35">
      <c r="A38" s="102" t="s">
        <v>116</v>
      </c>
      <c r="B38" s="103" t="s">
        <v>117</v>
      </c>
      <c r="C38" s="103" t="s">
        <v>118</v>
      </c>
      <c r="D38" s="102" t="s">
        <v>5</v>
      </c>
      <c r="E38" s="104" t="s">
        <v>119</v>
      </c>
      <c r="F38" s="104">
        <v>10</v>
      </c>
      <c r="G38" s="105"/>
      <c r="H38" s="106"/>
      <c r="I38" s="106"/>
      <c r="J38" s="106"/>
      <c r="K38" s="106"/>
      <c r="L38" s="15"/>
      <c r="M38" s="15"/>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row>
    <row r="39" spans="1:69" s="2" customFormat="1" ht="15" customHeight="1" thickBot="1" x14ac:dyDescent="0.35">
      <c r="A39" s="102" t="s">
        <v>120</v>
      </c>
      <c r="B39" s="103" t="s">
        <v>121</v>
      </c>
      <c r="C39" s="103" t="s">
        <v>122</v>
      </c>
      <c r="D39" s="102" t="s">
        <v>5</v>
      </c>
      <c r="E39" s="104" t="s">
        <v>35</v>
      </c>
      <c r="F39" s="104">
        <v>0.1</v>
      </c>
      <c r="G39" s="105"/>
      <c r="H39" s="106"/>
      <c r="I39" s="106"/>
      <c r="J39" s="106"/>
      <c r="K39" s="106"/>
      <c r="L39" s="15"/>
      <c r="M39" s="15"/>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row>
    <row r="40" spans="1:69" s="2" customFormat="1" ht="15" customHeight="1" thickBot="1" x14ac:dyDescent="0.35">
      <c r="A40" s="97"/>
      <c r="B40" s="98" t="s">
        <v>123</v>
      </c>
      <c r="C40" s="98"/>
      <c r="D40" s="97"/>
      <c r="E40" s="99"/>
      <c r="F40" s="99"/>
      <c r="G40" s="100"/>
      <c r="H40" s="101"/>
      <c r="I40" s="101"/>
      <c r="J40" s="101"/>
      <c r="K40" s="101"/>
      <c r="L40" s="15"/>
      <c r="M40" s="15"/>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row>
    <row r="41" spans="1:69" s="2" customFormat="1" ht="15" customHeight="1" thickBot="1" x14ac:dyDescent="0.35">
      <c r="A41" s="102" t="s">
        <v>124</v>
      </c>
      <c r="B41" s="103" t="s">
        <v>125</v>
      </c>
      <c r="C41" s="103"/>
      <c r="D41" s="102"/>
      <c r="E41" s="104"/>
      <c r="F41" s="104"/>
      <c r="G41" s="105"/>
      <c r="H41" s="106"/>
      <c r="I41" s="106"/>
      <c r="J41" s="106"/>
      <c r="K41" s="106"/>
      <c r="L41" s="15"/>
      <c r="M41" s="15"/>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row>
    <row r="42" spans="1:69" s="2" customFormat="1" ht="15" customHeight="1" thickBot="1" x14ac:dyDescent="0.35">
      <c r="A42" s="102" t="s">
        <v>126</v>
      </c>
      <c r="B42" s="107" t="s">
        <v>127</v>
      </c>
      <c r="C42" s="103" t="s">
        <v>128</v>
      </c>
      <c r="D42" s="102" t="s">
        <v>5</v>
      </c>
      <c r="E42" s="104" t="s">
        <v>35</v>
      </c>
      <c r="F42" s="104">
        <v>0.1</v>
      </c>
      <c r="G42" s="105"/>
      <c r="H42" s="106"/>
      <c r="I42" s="106"/>
      <c r="J42" s="106"/>
      <c r="K42" s="106"/>
      <c r="L42" s="15"/>
      <c r="M42" s="15"/>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row>
    <row r="43" spans="1:69" s="2" customFormat="1" ht="15" customHeight="1" thickBot="1" x14ac:dyDescent="0.35">
      <c r="A43" s="102" t="s">
        <v>129</v>
      </c>
      <c r="B43" s="107" t="s">
        <v>130</v>
      </c>
      <c r="C43" s="103" t="s">
        <v>131</v>
      </c>
      <c r="D43" s="102" t="s">
        <v>5</v>
      </c>
      <c r="E43" s="104" t="s">
        <v>35</v>
      </c>
      <c r="F43" s="104">
        <v>0.1</v>
      </c>
      <c r="G43" s="105"/>
      <c r="H43" s="106"/>
      <c r="I43" s="106"/>
      <c r="J43" s="106"/>
      <c r="K43" s="106"/>
      <c r="L43" s="15"/>
      <c r="M43" s="15"/>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row>
    <row r="44" spans="1:69" s="2" customFormat="1" ht="15" customHeight="1" thickBot="1" x14ac:dyDescent="0.35">
      <c r="A44" s="102" t="s">
        <v>132</v>
      </c>
      <c r="B44" s="107" t="s">
        <v>133</v>
      </c>
      <c r="C44" s="107"/>
      <c r="D44" s="102" t="s">
        <v>5</v>
      </c>
      <c r="E44" s="104" t="s">
        <v>35</v>
      </c>
      <c r="F44" s="104">
        <v>0.1</v>
      </c>
      <c r="G44" s="105"/>
      <c r="H44" s="106"/>
      <c r="I44" s="106"/>
      <c r="J44" s="106"/>
      <c r="K44" s="106"/>
      <c r="L44" s="15"/>
      <c r="M44" s="15"/>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row>
    <row r="45" spans="1:69" s="2" customFormat="1" ht="15" customHeight="1" thickBot="1" x14ac:dyDescent="0.35">
      <c r="A45" s="102" t="s">
        <v>134</v>
      </c>
      <c r="B45" s="103" t="s">
        <v>135</v>
      </c>
      <c r="C45" s="103" t="s">
        <v>136</v>
      </c>
      <c r="D45" s="102" t="s">
        <v>5</v>
      </c>
      <c r="E45" s="104" t="s">
        <v>35</v>
      </c>
      <c r="F45" s="104">
        <v>0.1</v>
      </c>
      <c r="G45" s="105"/>
      <c r="H45" s="106"/>
      <c r="I45" s="106"/>
      <c r="J45" s="106"/>
      <c r="K45" s="106"/>
      <c r="L45" s="15"/>
      <c r="M45" s="15"/>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row>
    <row r="46" spans="1:69" s="2" customFormat="1" ht="15" customHeight="1" thickBot="1" x14ac:dyDescent="0.35">
      <c r="A46" s="102" t="s">
        <v>137</v>
      </c>
      <c r="B46" s="103" t="s">
        <v>138</v>
      </c>
      <c r="C46" s="103" t="s">
        <v>139</v>
      </c>
      <c r="D46" s="102" t="s">
        <v>5</v>
      </c>
      <c r="E46" s="104" t="s">
        <v>35</v>
      </c>
      <c r="F46" s="104"/>
      <c r="G46" s="105"/>
      <c r="H46" s="106"/>
      <c r="I46" s="106"/>
      <c r="J46" s="106"/>
      <c r="K46" s="106"/>
      <c r="L46" s="15"/>
      <c r="M46" s="15"/>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row>
    <row r="47" spans="1:69" s="2" customFormat="1" ht="15" customHeight="1" thickBot="1" x14ac:dyDescent="0.35">
      <c r="A47" s="102" t="s">
        <v>140</v>
      </c>
      <c r="B47" s="103" t="s">
        <v>141</v>
      </c>
      <c r="C47" s="103" t="s">
        <v>142</v>
      </c>
      <c r="D47" s="102" t="s">
        <v>5</v>
      </c>
      <c r="E47" s="104" t="s">
        <v>35</v>
      </c>
      <c r="F47" s="104" t="s">
        <v>143</v>
      </c>
      <c r="G47" s="105"/>
      <c r="H47" s="106"/>
      <c r="I47" s="106"/>
      <c r="J47" s="106"/>
      <c r="K47" s="106"/>
      <c r="L47" s="15"/>
      <c r="M47" s="15"/>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row>
    <row r="48" spans="1:69" s="2" customFormat="1" ht="15" customHeight="1" thickBot="1" x14ac:dyDescent="0.35">
      <c r="A48" s="102" t="s">
        <v>144</v>
      </c>
      <c r="B48" s="103" t="s">
        <v>145</v>
      </c>
      <c r="C48" s="103" t="s">
        <v>146</v>
      </c>
      <c r="D48" s="102" t="s">
        <v>5</v>
      </c>
      <c r="E48" s="104" t="s">
        <v>35</v>
      </c>
      <c r="F48" s="104"/>
      <c r="G48" s="105"/>
      <c r="H48" s="106"/>
      <c r="I48" s="106"/>
      <c r="J48" s="106"/>
      <c r="K48" s="106"/>
      <c r="L48" s="15"/>
      <c r="M48" s="15"/>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row>
    <row r="49" spans="1:69" s="2" customFormat="1" ht="15" thickBot="1" x14ac:dyDescent="0.35">
      <c r="A49" s="102" t="s">
        <v>147</v>
      </c>
      <c r="B49" s="103" t="s">
        <v>148</v>
      </c>
      <c r="C49" s="103" t="s">
        <v>149</v>
      </c>
      <c r="D49" s="102" t="s">
        <v>5</v>
      </c>
      <c r="E49" s="104" t="s">
        <v>150</v>
      </c>
      <c r="F49" s="104"/>
      <c r="G49" s="105"/>
      <c r="H49" s="106"/>
      <c r="I49" s="106"/>
      <c r="J49" s="106"/>
      <c r="K49" s="106"/>
      <c r="L49" s="15"/>
      <c r="M49" s="15"/>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row>
    <row r="50" spans="1:69" s="2" customFormat="1" ht="15" customHeight="1" thickBot="1" x14ac:dyDescent="0.35">
      <c r="A50" s="102" t="s">
        <v>151</v>
      </c>
      <c r="B50" s="103" t="s">
        <v>152</v>
      </c>
      <c r="C50" s="103" t="s">
        <v>153</v>
      </c>
      <c r="D50" s="102" t="s">
        <v>5</v>
      </c>
      <c r="E50" s="104" t="s">
        <v>98</v>
      </c>
      <c r="F50" s="104" t="s">
        <v>154</v>
      </c>
      <c r="G50" s="105"/>
      <c r="H50" s="106"/>
      <c r="I50" s="106"/>
      <c r="J50" s="106"/>
      <c r="K50" s="106"/>
      <c r="L50" s="15"/>
      <c r="M50" s="15"/>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row>
    <row r="51" spans="1:69" s="2" customFormat="1" ht="15" customHeight="1" thickBot="1" x14ac:dyDescent="0.35">
      <c r="A51" s="102" t="s">
        <v>155</v>
      </c>
      <c r="B51" s="103" t="s">
        <v>121</v>
      </c>
      <c r="C51" s="103"/>
      <c r="D51" s="102" t="s">
        <v>5</v>
      </c>
      <c r="E51" s="104" t="s">
        <v>35</v>
      </c>
      <c r="F51" s="104">
        <v>0.1</v>
      </c>
      <c r="G51" s="105"/>
      <c r="H51" s="106"/>
      <c r="I51" s="106"/>
      <c r="J51" s="106"/>
      <c r="K51" s="106"/>
      <c r="L51" s="15"/>
      <c r="M51" s="15"/>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row>
    <row r="52" spans="1:69" s="2" customFormat="1" ht="15" customHeight="1" thickBot="1" x14ac:dyDescent="0.35">
      <c r="A52" s="97"/>
      <c r="B52" s="98" t="s">
        <v>156</v>
      </c>
      <c r="C52" s="98"/>
      <c r="D52" s="97"/>
      <c r="E52" s="99"/>
      <c r="F52" s="99"/>
      <c r="G52" s="100"/>
      <c r="H52" s="101"/>
      <c r="I52" s="101"/>
      <c r="J52" s="101"/>
      <c r="K52" s="101"/>
      <c r="L52" s="15"/>
      <c r="M52" s="15"/>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row>
    <row r="53" spans="1:69" s="2" customFormat="1" ht="15" customHeight="1" thickBot="1" x14ac:dyDescent="0.35">
      <c r="A53" s="102" t="s">
        <v>157</v>
      </c>
      <c r="B53" s="103" t="s">
        <v>158</v>
      </c>
      <c r="C53" s="103" t="s">
        <v>159</v>
      </c>
      <c r="D53" s="102" t="s">
        <v>5</v>
      </c>
      <c r="E53" s="104" t="s">
        <v>119</v>
      </c>
      <c r="F53" s="104" t="s">
        <v>160</v>
      </c>
      <c r="G53" s="105"/>
      <c r="H53" s="106"/>
      <c r="I53" s="106"/>
      <c r="J53" s="106"/>
      <c r="K53" s="106"/>
      <c r="L53" s="15"/>
      <c r="M53" s="15"/>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row>
    <row r="54" spans="1:69" s="2" customFormat="1" ht="15" customHeight="1" thickBot="1" x14ac:dyDescent="0.35">
      <c r="A54" s="102" t="s">
        <v>161</v>
      </c>
      <c r="B54" s="103" t="s">
        <v>162</v>
      </c>
      <c r="C54" s="103"/>
      <c r="D54" s="102" t="s">
        <v>5</v>
      </c>
      <c r="E54" s="104" t="s">
        <v>35</v>
      </c>
      <c r="F54" s="104">
        <v>0.1</v>
      </c>
      <c r="G54" s="105"/>
      <c r="H54" s="106"/>
      <c r="I54" s="106"/>
      <c r="J54" s="106"/>
      <c r="K54" s="106"/>
      <c r="L54" s="15"/>
      <c r="M54" s="15"/>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row>
    <row r="55" spans="1:69" s="2" customFormat="1" ht="15" customHeight="1" thickBot="1" x14ac:dyDescent="0.35">
      <c r="A55" s="102" t="s">
        <v>163</v>
      </c>
      <c r="B55" s="103" t="s">
        <v>164</v>
      </c>
      <c r="C55" s="103" t="s">
        <v>165</v>
      </c>
      <c r="D55" s="102" t="s">
        <v>5</v>
      </c>
      <c r="E55" s="104" t="s">
        <v>35</v>
      </c>
      <c r="F55" s="104">
        <v>0.1</v>
      </c>
      <c r="G55" s="105"/>
      <c r="H55" s="106"/>
      <c r="I55" s="106"/>
      <c r="J55" s="106"/>
      <c r="K55" s="106"/>
      <c r="L55" s="15"/>
      <c r="M55" s="15"/>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row>
    <row r="56" spans="1:69" s="2" customFormat="1" ht="15" customHeight="1" thickBot="1" x14ac:dyDescent="0.35">
      <c r="A56" s="102" t="s">
        <v>166</v>
      </c>
      <c r="B56" s="103" t="s">
        <v>167</v>
      </c>
      <c r="C56" s="103" t="s">
        <v>168</v>
      </c>
      <c r="D56" s="102" t="s">
        <v>5</v>
      </c>
      <c r="E56" s="104" t="s">
        <v>35</v>
      </c>
      <c r="F56" s="104" t="s">
        <v>169</v>
      </c>
      <c r="G56" s="105"/>
      <c r="H56" s="106"/>
      <c r="I56" s="106"/>
      <c r="J56" s="106"/>
      <c r="K56" s="106"/>
      <c r="L56" s="15"/>
      <c r="M56" s="15"/>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2"/>
      <c r="BK56" s="42"/>
      <c r="BL56" s="42"/>
      <c r="BM56" s="42"/>
      <c r="BN56" s="42"/>
      <c r="BO56" s="42"/>
      <c r="BP56" s="42"/>
      <c r="BQ56" s="42"/>
    </row>
    <row r="57" spans="1:69" s="2" customFormat="1" ht="15" customHeight="1" thickBot="1" x14ac:dyDescent="0.35">
      <c r="A57" s="102" t="s">
        <v>170</v>
      </c>
      <c r="B57" s="103" t="s">
        <v>171</v>
      </c>
      <c r="C57" s="103" t="s">
        <v>172</v>
      </c>
      <c r="D57" s="102" t="s">
        <v>5</v>
      </c>
      <c r="E57" s="104" t="s">
        <v>35</v>
      </c>
      <c r="F57" s="104">
        <v>5</v>
      </c>
      <c r="G57" s="105"/>
      <c r="H57" s="106"/>
      <c r="I57" s="106"/>
      <c r="J57" s="106"/>
      <c r="K57" s="106"/>
      <c r="L57" s="15"/>
      <c r="M57" s="15"/>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c r="BD57" s="42"/>
      <c r="BE57" s="42"/>
      <c r="BF57" s="42"/>
      <c r="BG57" s="42"/>
      <c r="BH57" s="42"/>
      <c r="BI57" s="42"/>
      <c r="BJ57" s="42"/>
      <c r="BK57" s="42"/>
      <c r="BL57" s="42"/>
      <c r="BM57" s="42"/>
      <c r="BN57" s="42"/>
      <c r="BO57" s="42"/>
      <c r="BP57" s="42"/>
      <c r="BQ57" s="42"/>
    </row>
    <row r="58" spans="1:69" s="2" customFormat="1" ht="15" customHeight="1" thickBot="1" x14ac:dyDescent="0.35">
      <c r="A58" s="102" t="s">
        <v>173</v>
      </c>
      <c r="B58" s="103" t="s">
        <v>174</v>
      </c>
      <c r="C58" s="103" t="s">
        <v>175</v>
      </c>
      <c r="D58" s="102" t="s">
        <v>5</v>
      </c>
      <c r="E58" s="104" t="s">
        <v>35</v>
      </c>
      <c r="F58" s="104">
        <v>0.1</v>
      </c>
      <c r="G58" s="105"/>
      <c r="H58" s="106"/>
      <c r="I58" s="106"/>
      <c r="J58" s="106"/>
      <c r="K58" s="106"/>
      <c r="L58" s="15"/>
      <c r="M58" s="15"/>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row>
    <row r="59" spans="1:69" s="2" customFormat="1" ht="15" customHeight="1" thickBot="1" x14ac:dyDescent="0.35">
      <c r="A59" s="102" t="s">
        <v>176</v>
      </c>
      <c r="B59" s="103" t="s">
        <v>177</v>
      </c>
      <c r="C59" s="103" t="s">
        <v>178</v>
      </c>
      <c r="D59" s="102" t="s">
        <v>5</v>
      </c>
      <c r="E59" s="104" t="s">
        <v>35</v>
      </c>
      <c r="F59" s="104">
        <v>0.1</v>
      </c>
      <c r="G59" s="105"/>
      <c r="H59" s="106"/>
      <c r="I59" s="106"/>
      <c r="J59" s="106"/>
      <c r="K59" s="106"/>
      <c r="L59" s="15"/>
      <c r="M59" s="15"/>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c r="BP59" s="42"/>
      <c r="BQ59" s="42"/>
    </row>
    <row r="60" spans="1:69" s="2" customFormat="1" ht="15" customHeight="1" thickBot="1" x14ac:dyDescent="0.35">
      <c r="A60" s="72"/>
      <c r="B60" s="21" t="s">
        <v>179</v>
      </c>
      <c r="C60" s="21"/>
      <c r="D60" s="21"/>
      <c r="E60" s="58"/>
      <c r="F60" s="58"/>
      <c r="G60" s="22"/>
      <c r="H60" s="23"/>
      <c r="I60" s="24"/>
      <c r="J60" s="24"/>
      <c r="K60" s="24"/>
      <c r="L60" s="15"/>
      <c r="M60" s="15" t="str">
        <f>IF(OR(ISBLANK(task_start),ISBLANK(task_end)),"",task_end-task_start+1)</f>
        <v/>
      </c>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2"/>
      <c r="BK60" s="42"/>
      <c r="BL60" s="42"/>
      <c r="BM60" s="42"/>
      <c r="BN60" s="42"/>
      <c r="BO60" s="42"/>
      <c r="BP60" s="42"/>
      <c r="BQ60" s="42"/>
    </row>
    <row r="61" spans="1:69" s="2" customFormat="1" ht="15" customHeight="1" thickBot="1" x14ac:dyDescent="0.35">
      <c r="A61" s="75" t="s">
        <v>180</v>
      </c>
      <c r="B61" s="66" t="s">
        <v>181</v>
      </c>
      <c r="C61" s="66" t="s">
        <v>182</v>
      </c>
      <c r="D61" s="75" t="s">
        <v>3</v>
      </c>
      <c r="E61" s="59" t="s">
        <v>61</v>
      </c>
      <c r="F61" s="59">
        <v>10</v>
      </c>
      <c r="G61" s="25"/>
      <c r="H61" s="52"/>
      <c r="I61" s="52"/>
      <c r="J61" s="52"/>
      <c r="K61" s="52"/>
      <c r="L61" s="15"/>
      <c r="M61" s="15" t="str">
        <f>IF(OR(ISBLANK(task_start),ISBLANK(task_end)),"",task_end-task_start+1)</f>
        <v/>
      </c>
      <c r="N61" s="42"/>
      <c r="O61" s="42"/>
      <c r="P61" s="42"/>
      <c r="Q61" s="42"/>
      <c r="R61" s="42"/>
      <c r="S61" s="42"/>
      <c r="T61" s="42"/>
      <c r="U61" s="42"/>
      <c r="V61" s="42"/>
      <c r="W61" s="42"/>
      <c r="X61" s="42"/>
      <c r="Y61" s="42"/>
      <c r="Z61" s="42"/>
      <c r="AA61" s="42"/>
      <c r="AB61" s="42"/>
      <c r="AC61" s="42"/>
      <c r="AD61" s="43"/>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42"/>
      <c r="BL61" s="42"/>
      <c r="BM61" s="42"/>
      <c r="BN61" s="42"/>
      <c r="BO61" s="42"/>
      <c r="BP61" s="42"/>
      <c r="BQ61" s="42"/>
    </row>
    <row r="62" spans="1:69" s="2" customFormat="1" ht="15" customHeight="1" thickBot="1" x14ac:dyDescent="0.35">
      <c r="A62" s="75" t="s">
        <v>183</v>
      </c>
      <c r="B62" s="66" t="s">
        <v>184</v>
      </c>
      <c r="C62" s="66" t="s">
        <v>185</v>
      </c>
      <c r="D62" s="75" t="s">
        <v>3</v>
      </c>
      <c r="E62" s="59" t="s">
        <v>61</v>
      </c>
      <c r="F62" s="59">
        <v>5</v>
      </c>
      <c r="G62" s="25"/>
      <c r="H62" s="52"/>
      <c r="I62" s="52"/>
      <c r="J62" s="52"/>
      <c r="K62" s="52"/>
      <c r="L62" s="15"/>
      <c r="M62" s="15"/>
      <c r="N62" s="42"/>
      <c r="O62" s="42"/>
      <c r="P62" s="42"/>
      <c r="Q62" s="42"/>
      <c r="R62" s="42"/>
      <c r="S62" s="42"/>
      <c r="T62" s="42"/>
      <c r="U62" s="42"/>
      <c r="V62" s="42"/>
      <c r="W62" s="42"/>
      <c r="X62" s="42"/>
      <c r="Y62" s="42"/>
      <c r="Z62" s="42"/>
      <c r="AA62" s="42"/>
      <c r="AB62" s="42"/>
      <c r="AC62" s="42"/>
      <c r="AD62" s="43"/>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row>
    <row r="63" spans="1:69" s="2" customFormat="1" ht="15" customHeight="1" thickBot="1" x14ac:dyDescent="0.35">
      <c r="A63" s="75" t="s">
        <v>186</v>
      </c>
      <c r="B63" s="66" t="s">
        <v>187</v>
      </c>
      <c r="C63" s="66" t="s">
        <v>188</v>
      </c>
      <c r="D63" s="75" t="s">
        <v>3</v>
      </c>
      <c r="E63" s="59" t="s">
        <v>61</v>
      </c>
      <c r="F63" s="59">
        <v>1</v>
      </c>
      <c r="G63" s="25"/>
      <c r="H63" s="52"/>
      <c r="I63" s="52"/>
      <c r="J63" s="52"/>
      <c r="K63" s="52"/>
      <c r="L63" s="15"/>
      <c r="M63" s="15"/>
      <c r="N63" s="42"/>
      <c r="O63" s="42"/>
      <c r="P63" s="42"/>
      <c r="Q63" s="42"/>
      <c r="R63" s="42"/>
      <c r="S63" s="42"/>
      <c r="T63" s="42"/>
      <c r="U63" s="42"/>
      <c r="V63" s="42"/>
      <c r="W63" s="42"/>
      <c r="X63" s="42"/>
      <c r="Y63" s="42"/>
      <c r="Z63" s="42"/>
      <c r="AA63" s="42"/>
      <c r="AB63" s="42"/>
      <c r="AC63" s="42"/>
      <c r="AD63" s="43"/>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row>
    <row r="64" spans="1:69" s="2" customFormat="1" ht="15" customHeight="1" thickBot="1" x14ac:dyDescent="0.35">
      <c r="A64" s="75" t="s">
        <v>189</v>
      </c>
      <c r="B64" s="66" t="s">
        <v>190</v>
      </c>
      <c r="C64" s="66" t="s">
        <v>191</v>
      </c>
      <c r="D64" s="75" t="s">
        <v>3</v>
      </c>
      <c r="E64" s="59" t="s">
        <v>35</v>
      </c>
      <c r="F64" s="59">
        <v>5</v>
      </c>
      <c r="G64" s="25"/>
      <c r="H64" s="52"/>
      <c r="I64" s="52"/>
      <c r="J64" s="52"/>
      <c r="K64" s="52"/>
      <c r="L64" s="15"/>
      <c r="M64" s="15"/>
      <c r="N64" s="42"/>
      <c r="O64" s="42"/>
      <c r="P64" s="42"/>
      <c r="Q64" s="42"/>
      <c r="R64" s="42"/>
      <c r="S64" s="42"/>
      <c r="T64" s="42"/>
      <c r="U64" s="42"/>
      <c r="V64" s="42"/>
      <c r="W64" s="42"/>
      <c r="X64" s="42"/>
      <c r="Y64" s="42"/>
      <c r="Z64" s="42"/>
      <c r="AA64" s="42"/>
      <c r="AB64" s="42"/>
      <c r="AC64" s="42"/>
      <c r="AD64" s="43"/>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row>
    <row r="65" spans="1:69" s="2" customFormat="1" ht="15" customHeight="1" thickBot="1" x14ac:dyDescent="0.35">
      <c r="A65" s="75" t="s">
        <v>192</v>
      </c>
      <c r="B65" s="66" t="s">
        <v>193</v>
      </c>
      <c r="C65" s="66" t="s">
        <v>194</v>
      </c>
      <c r="D65" s="75" t="s">
        <v>3</v>
      </c>
      <c r="E65" s="59" t="s">
        <v>61</v>
      </c>
      <c r="F65" s="59">
        <v>10</v>
      </c>
      <c r="G65" s="25"/>
      <c r="H65" s="52"/>
      <c r="I65" s="52"/>
      <c r="J65" s="52"/>
      <c r="K65" s="52"/>
      <c r="L65" s="15"/>
      <c r="M65" s="15"/>
      <c r="N65" s="42"/>
      <c r="O65" s="42"/>
      <c r="P65" s="42"/>
      <c r="Q65" s="42"/>
      <c r="R65" s="42"/>
      <c r="S65" s="42"/>
      <c r="T65" s="42"/>
      <c r="U65" s="42"/>
      <c r="V65" s="42"/>
      <c r="W65" s="42"/>
      <c r="X65" s="42"/>
      <c r="Y65" s="42"/>
      <c r="Z65" s="42"/>
      <c r="AA65" s="42"/>
      <c r="AB65" s="42"/>
      <c r="AC65" s="42"/>
      <c r="AD65" s="43"/>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row>
    <row r="66" spans="1:69" s="2" customFormat="1" ht="15" customHeight="1" thickBot="1" x14ac:dyDescent="0.35">
      <c r="A66" s="75" t="s">
        <v>195</v>
      </c>
      <c r="B66" s="66" t="s">
        <v>196</v>
      </c>
      <c r="C66" s="66" t="s">
        <v>197</v>
      </c>
      <c r="D66" s="75" t="s">
        <v>3</v>
      </c>
      <c r="E66" s="59" t="s">
        <v>61</v>
      </c>
      <c r="F66" s="59">
        <v>10</v>
      </c>
      <c r="G66" s="25"/>
      <c r="H66" s="52"/>
      <c r="I66" s="52"/>
      <c r="J66" s="52"/>
      <c r="K66" s="52"/>
      <c r="L66" s="15"/>
      <c r="M66" s="15"/>
      <c r="N66" s="42"/>
      <c r="O66" s="42"/>
      <c r="P66" s="42"/>
      <c r="Q66" s="42"/>
      <c r="R66" s="42"/>
      <c r="S66" s="42"/>
      <c r="T66" s="42"/>
      <c r="U66" s="42"/>
      <c r="V66" s="42"/>
      <c r="W66" s="42"/>
      <c r="X66" s="42"/>
      <c r="Y66" s="42"/>
      <c r="Z66" s="42"/>
      <c r="AA66" s="42"/>
      <c r="AB66" s="42"/>
      <c r="AC66" s="42"/>
      <c r="AD66" s="43"/>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row>
    <row r="67" spans="1:69" s="2" customFormat="1" ht="15" customHeight="1" thickBot="1" x14ac:dyDescent="0.35">
      <c r="A67" s="72"/>
      <c r="B67" s="21" t="s">
        <v>198</v>
      </c>
      <c r="C67" s="21"/>
      <c r="D67" s="21"/>
      <c r="E67" s="58"/>
      <c r="F67" s="58"/>
      <c r="G67" s="22"/>
      <c r="H67" s="23"/>
      <c r="I67" s="24"/>
      <c r="J67" s="24"/>
      <c r="K67" s="24"/>
      <c r="L67" s="15"/>
      <c r="M67" s="15"/>
      <c r="N67" s="42"/>
      <c r="O67" s="42"/>
      <c r="P67" s="42"/>
      <c r="Q67" s="42"/>
      <c r="R67" s="42"/>
      <c r="S67" s="42"/>
      <c r="T67" s="42"/>
      <c r="U67" s="42"/>
      <c r="V67" s="42"/>
      <c r="W67" s="42"/>
      <c r="X67" s="42"/>
      <c r="Y67" s="42"/>
      <c r="Z67" s="42"/>
      <c r="AA67" s="42"/>
      <c r="AB67" s="42"/>
      <c r="AC67" s="42"/>
      <c r="AD67" s="43"/>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42"/>
    </row>
    <row r="68" spans="1:69" s="2" customFormat="1" ht="15" customHeight="1" thickBot="1" x14ac:dyDescent="0.35">
      <c r="A68" s="75" t="s">
        <v>199</v>
      </c>
      <c r="B68" s="66" t="s">
        <v>200</v>
      </c>
      <c r="C68" s="66" t="s">
        <v>201</v>
      </c>
      <c r="D68" s="75" t="s">
        <v>3</v>
      </c>
      <c r="E68" s="59" t="s">
        <v>61</v>
      </c>
      <c r="F68" s="59">
        <v>15</v>
      </c>
      <c r="G68" s="25"/>
      <c r="H68" s="52"/>
      <c r="I68" s="52"/>
      <c r="J68" s="52"/>
      <c r="K68" s="52"/>
      <c r="L68" s="15"/>
      <c r="M68" s="15"/>
      <c r="N68" s="42"/>
      <c r="O68" s="42"/>
      <c r="P68" s="42"/>
      <c r="Q68" s="42"/>
      <c r="R68" s="42"/>
      <c r="S68" s="42"/>
      <c r="T68" s="42"/>
      <c r="U68" s="42"/>
      <c r="V68" s="42"/>
      <c r="W68" s="42"/>
      <c r="X68" s="42"/>
      <c r="Y68" s="42"/>
      <c r="Z68" s="42"/>
      <c r="AA68" s="42"/>
      <c r="AB68" s="42"/>
      <c r="AC68" s="42"/>
      <c r="AD68" s="43"/>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row>
    <row r="69" spans="1:69" s="2" customFormat="1" ht="15" customHeight="1" thickBot="1" x14ac:dyDescent="0.35">
      <c r="A69" s="75" t="s">
        <v>202</v>
      </c>
      <c r="B69" s="66" t="s">
        <v>203</v>
      </c>
      <c r="C69" s="66" t="s">
        <v>204</v>
      </c>
      <c r="D69" s="75" t="s">
        <v>3</v>
      </c>
      <c r="E69" s="59" t="s">
        <v>61</v>
      </c>
      <c r="F69" s="59">
        <v>45</v>
      </c>
      <c r="G69" s="25"/>
      <c r="H69" s="52"/>
      <c r="I69" s="52"/>
      <c r="J69" s="52"/>
      <c r="K69" s="52"/>
      <c r="L69" s="15"/>
      <c r="M69" s="15"/>
      <c r="N69" s="42"/>
      <c r="O69" s="42"/>
      <c r="P69" s="42"/>
      <c r="Q69" s="42"/>
      <c r="R69" s="42"/>
      <c r="S69" s="42"/>
      <c r="T69" s="42"/>
      <c r="U69" s="42"/>
      <c r="V69" s="42"/>
      <c r="W69" s="42"/>
      <c r="X69" s="42"/>
      <c r="Y69" s="42"/>
      <c r="Z69" s="42"/>
      <c r="AA69" s="42"/>
      <c r="AB69" s="42"/>
      <c r="AC69" s="42"/>
      <c r="AD69" s="43"/>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row>
    <row r="70" spans="1:69" s="2" customFormat="1" ht="15" customHeight="1" thickBot="1" x14ac:dyDescent="0.35">
      <c r="A70" s="75" t="s">
        <v>205</v>
      </c>
      <c r="B70" s="66" t="s">
        <v>206</v>
      </c>
      <c r="C70" s="66" t="s">
        <v>207</v>
      </c>
      <c r="D70" s="75" t="s">
        <v>3</v>
      </c>
      <c r="E70" s="59" t="s">
        <v>208</v>
      </c>
      <c r="F70" s="59">
        <v>10</v>
      </c>
      <c r="G70" s="25"/>
      <c r="H70" s="52"/>
      <c r="I70" s="52"/>
      <c r="J70" s="52"/>
      <c r="K70" s="52"/>
      <c r="L70" s="15"/>
      <c r="M70" s="15"/>
      <c r="N70" s="42"/>
      <c r="O70" s="42"/>
      <c r="P70" s="42"/>
      <c r="Q70" s="42"/>
      <c r="R70" s="42"/>
      <c r="S70" s="42"/>
      <c r="T70" s="42"/>
      <c r="U70" s="42"/>
      <c r="V70" s="42"/>
      <c r="W70" s="42"/>
      <c r="X70" s="42"/>
      <c r="Y70" s="42"/>
      <c r="Z70" s="42"/>
      <c r="AA70" s="42"/>
      <c r="AB70" s="42"/>
      <c r="AC70" s="42"/>
      <c r="AD70" s="43"/>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row>
    <row r="71" spans="1:69" s="2" customFormat="1" ht="15" customHeight="1" thickBot="1" x14ac:dyDescent="0.35">
      <c r="A71" s="75" t="s">
        <v>209</v>
      </c>
      <c r="B71" s="66" t="s">
        <v>210</v>
      </c>
      <c r="C71" s="66" t="s">
        <v>211</v>
      </c>
      <c r="D71" s="75" t="s">
        <v>3</v>
      </c>
      <c r="E71" s="59" t="s">
        <v>61</v>
      </c>
      <c r="F71" s="59">
        <v>5</v>
      </c>
      <c r="G71" s="25"/>
      <c r="H71" s="52"/>
      <c r="I71" s="52"/>
      <c r="J71" s="52"/>
      <c r="K71" s="52"/>
      <c r="L71" s="15"/>
      <c r="M71" s="15"/>
      <c r="N71" s="42"/>
      <c r="O71" s="42"/>
      <c r="P71" s="42"/>
      <c r="Q71" s="42"/>
      <c r="R71" s="42"/>
      <c r="S71" s="42"/>
      <c r="T71" s="42"/>
      <c r="U71" s="42"/>
      <c r="V71" s="42"/>
      <c r="W71" s="42"/>
      <c r="X71" s="42"/>
      <c r="Y71" s="42"/>
      <c r="Z71" s="42"/>
      <c r="AA71" s="42"/>
      <c r="AB71" s="42"/>
      <c r="AC71" s="42"/>
      <c r="AD71" s="43"/>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row>
    <row r="72" spans="1:69" s="2" customFormat="1" ht="15" customHeight="1" thickBot="1" x14ac:dyDescent="0.35">
      <c r="A72" s="75" t="s">
        <v>212</v>
      </c>
      <c r="B72" s="66" t="s">
        <v>213</v>
      </c>
      <c r="C72" s="66" t="s">
        <v>214</v>
      </c>
      <c r="D72" s="75" t="s">
        <v>3</v>
      </c>
      <c r="E72" s="59" t="s">
        <v>35</v>
      </c>
      <c r="F72" s="59">
        <v>1</v>
      </c>
      <c r="G72" s="25"/>
      <c r="H72" s="52"/>
      <c r="I72" s="52"/>
      <c r="J72" s="52"/>
      <c r="K72" s="52"/>
      <c r="L72" s="15"/>
      <c r="M72" s="15"/>
      <c r="N72" s="42"/>
      <c r="O72" s="42"/>
      <c r="P72" s="42"/>
      <c r="Q72" s="42"/>
      <c r="R72" s="42"/>
      <c r="S72" s="42"/>
      <c r="T72" s="42"/>
      <c r="U72" s="42"/>
      <c r="V72" s="42"/>
      <c r="W72" s="42"/>
      <c r="X72" s="42"/>
      <c r="Y72" s="42"/>
      <c r="Z72" s="42"/>
      <c r="AA72" s="42"/>
      <c r="AB72" s="42"/>
      <c r="AC72" s="42"/>
      <c r="AD72" s="43"/>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row>
    <row r="73" spans="1:69" s="2" customFormat="1" ht="15" customHeight="1" thickBot="1" x14ac:dyDescent="0.35">
      <c r="A73" s="75" t="s">
        <v>215</v>
      </c>
      <c r="B73" s="82" t="s">
        <v>216</v>
      </c>
      <c r="C73" s="82" t="s">
        <v>217</v>
      </c>
      <c r="D73" s="85" t="s">
        <v>3</v>
      </c>
      <c r="E73" s="86" t="s">
        <v>31</v>
      </c>
      <c r="F73" s="86">
        <v>1</v>
      </c>
      <c r="G73" s="87"/>
      <c r="H73" s="52"/>
      <c r="I73" s="52"/>
      <c r="J73" s="88"/>
      <c r="K73" s="88"/>
      <c r="L73" s="15"/>
      <c r="M73" s="15"/>
      <c r="N73" s="42"/>
      <c r="O73" s="42"/>
      <c r="P73" s="42"/>
      <c r="Q73" s="42"/>
      <c r="R73" s="42"/>
      <c r="S73" s="42"/>
      <c r="T73" s="42"/>
      <c r="U73" s="42"/>
      <c r="V73" s="42"/>
      <c r="W73" s="42"/>
      <c r="X73" s="42"/>
      <c r="Y73" s="42"/>
      <c r="Z73" s="42"/>
      <c r="AA73" s="42"/>
      <c r="AB73" s="42"/>
      <c r="AC73" s="42"/>
      <c r="AD73" s="43"/>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row>
    <row r="74" spans="1:69" s="2" customFormat="1" ht="15" customHeight="1" thickBot="1" x14ac:dyDescent="0.35">
      <c r="A74" s="75" t="s">
        <v>218</v>
      </c>
      <c r="B74" s="66" t="s">
        <v>219</v>
      </c>
      <c r="C74" s="66" t="s">
        <v>220</v>
      </c>
      <c r="D74" s="75" t="s">
        <v>3</v>
      </c>
      <c r="E74" s="59" t="s">
        <v>61</v>
      </c>
      <c r="F74" s="59">
        <v>20</v>
      </c>
      <c r="G74" s="25"/>
      <c r="H74" s="52"/>
      <c r="I74" s="52"/>
      <c r="J74" s="52"/>
      <c r="K74" s="52"/>
      <c r="L74" s="15"/>
      <c r="M74" s="15"/>
      <c r="N74" s="42"/>
      <c r="O74" s="42"/>
      <c r="P74" s="42"/>
      <c r="Q74" s="42"/>
      <c r="R74" s="42"/>
      <c r="S74" s="42"/>
      <c r="T74" s="42"/>
      <c r="U74" s="42"/>
      <c r="V74" s="42"/>
      <c r="W74" s="42"/>
      <c r="X74" s="42"/>
      <c r="Y74" s="42"/>
      <c r="Z74" s="42"/>
      <c r="AA74" s="42"/>
      <c r="AB74" s="42"/>
      <c r="AC74" s="42"/>
      <c r="AD74" s="43"/>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row>
    <row r="75" spans="1:69" s="2" customFormat="1" ht="15" customHeight="1" thickBot="1" x14ac:dyDescent="0.35">
      <c r="A75" s="75" t="s">
        <v>221</v>
      </c>
      <c r="B75" s="66" t="s">
        <v>222</v>
      </c>
      <c r="C75" s="66" t="s">
        <v>223</v>
      </c>
      <c r="D75" s="75" t="s">
        <v>3</v>
      </c>
      <c r="E75" s="59" t="s">
        <v>35</v>
      </c>
      <c r="F75" s="59"/>
      <c r="G75" s="25"/>
      <c r="H75" s="52"/>
      <c r="I75" s="52"/>
      <c r="J75" s="52"/>
      <c r="K75" s="52"/>
      <c r="L75" s="15"/>
      <c r="M75" s="15"/>
      <c r="N75" s="42"/>
      <c r="O75" s="42"/>
      <c r="P75" s="42"/>
      <c r="Q75" s="42"/>
      <c r="R75" s="42"/>
      <c r="S75" s="42"/>
      <c r="T75" s="42"/>
      <c r="U75" s="42"/>
      <c r="V75" s="42"/>
      <c r="W75" s="42"/>
      <c r="X75" s="42"/>
      <c r="Y75" s="42"/>
      <c r="Z75" s="42"/>
      <c r="AA75" s="42"/>
      <c r="AB75" s="42"/>
      <c r="AC75" s="42"/>
      <c r="AD75" s="43"/>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row>
    <row r="76" spans="1:69" s="2" customFormat="1" ht="15" customHeight="1" thickBot="1" x14ac:dyDescent="0.35">
      <c r="A76" s="75" t="s">
        <v>224</v>
      </c>
      <c r="B76" s="66" t="s">
        <v>225</v>
      </c>
      <c r="C76" s="66" t="s">
        <v>226</v>
      </c>
      <c r="D76" s="75" t="s">
        <v>3</v>
      </c>
      <c r="E76" s="59" t="s">
        <v>31</v>
      </c>
      <c r="F76" s="59">
        <v>1</v>
      </c>
      <c r="G76" s="25"/>
      <c r="H76" s="52"/>
      <c r="I76" s="52"/>
      <c r="J76" s="52"/>
      <c r="K76" s="52"/>
      <c r="L76" s="15"/>
      <c r="M76" s="15"/>
      <c r="N76" s="42"/>
      <c r="O76" s="42"/>
      <c r="P76" s="42"/>
      <c r="Q76" s="42"/>
      <c r="R76" s="42"/>
      <c r="S76" s="42"/>
      <c r="T76" s="42"/>
      <c r="U76" s="42"/>
      <c r="V76" s="42"/>
      <c r="W76" s="42"/>
      <c r="X76" s="42"/>
      <c r="Y76" s="42"/>
      <c r="Z76" s="42"/>
      <c r="AA76" s="42"/>
      <c r="AB76" s="42"/>
      <c r="AC76" s="42"/>
      <c r="AD76" s="43"/>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row>
    <row r="77" spans="1:69" s="2" customFormat="1" ht="15" customHeight="1" thickBot="1" x14ac:dyDescent="0.35">
      <c r="A77" s="75" t="s">
        <v>227</v>
      </c>
      <c r="B77" s="66" t="s">
        <v>228</v>
      </c>
      <c r="C77" s="66" t="s">
        <v>229</v>
      </c>
      <c r="D77" s="75" t="s">
        <v>3</v>
      </c>
      <c r="E77" s="59" t="s">
        <v>61</v>
      </c>
      <c r="F77" s="59">
        <v>1</v>
      </c>
      <c r="G77" s="25"/>
      <c r="H77" s="52"/>
      <c r="I77" s="52"/>
      <c r="J77" s="52"/>
      <c r="K77" s="52"/>
      <c r="L77" s="15"/>
      <c r="M77" s="15"/>
      <c r="N77" s="42"/>
      <c r="O77" s="42"/>
      <c r="P77" s="42"/>
      <c r="Q77" s="42"/>
      <c r="R77" s="42"/>
      <c r="S77" s="42"/>
      <c r="T77" s="42"/>
      <c r="U77" s="42"/>
      <c r="V77" s="42"/>
      <c r="W77" s="42"/>
      <c r="X77" s="42"/>
      <c r="Y77" s="42"/>
      <c r="Z77" s="42"/>
      <c r="AA77" s="42"/>
      <c r="AB77" s="42"/>
      <c r="AC77" s="42"/>
      <c r="AD77" s="43"/>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row>
    <row r="78" spans="1:69" s="2" customFormat="1" ht="15" customHeight="1" thickBot="1" x14ac:dyDescent="0.35">
      <c r="A78" s="75" t="s">
        <v>230</v>
      </c>
      <c r="B78" s="66" t="s">
        <v>231</v>
      </c>
      <c r="C78" s="66" t="s">
        <v>232</v>
      </c>
      <c r="D78" s="75" t="s">
        <v>3</v>
      </c>
      <c r="E78" s="59" t="s">
        <v>35</v>
      </c>
      <c r="F78" s="59">
        <v>1</v>
      </c>
      <c r="G78" s="25"/>
      <c r="H78" s="52"/>
      <c r="I78" s="52"/>
      <c r="J78" s="52"/>
      <c r="K78" s="52"/>
      <c r="L78" s="15"/>
      <c r="M78" s="15"/>
      <c r="N78" s="42"/>
      <c r="O78" s="42"/>
      <c r="P78" s="42"/>
      <c r="Q78" s="42"/>
      <c r="R78" s="42"/>
      <c r="S78" s="42"/>
      <c r="T78" s="42"/>
      <c r="U78" s="42"/>
      <c r="V78" s="42"/>
      <c r="W78" s="42"/>
      <c r="X78" s="42"/>
      <c r="Y78" s="42"/>
      <c r="Z78" s="42"/>
      <c r="AA78" s="42"/>
      <c r="AB78" s="42"/>
      <c r="AC78" s="42"/>
      <c r="AD78" s="43"/>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row>
    <row r="79" spans="1:69" s="2" customFormat="1" ht="15" customHeight="1" thickBot="1" x14ac:dyDescent="0.35">
      <c r="A79" s="75" t="s">
        <v>233</v>
      </c>
      <c r="B79" s="82" t="s">
        <v>234</v>
      </c>
      <c r="C79" s="82" t="s">
        <v>235</v>
      </c>
      <c r="D79" s="85" t="s">
        <v>3</v>
      </c>
      <c r="E79" s="86" t="s">
        <v>35</v>
      </c>
      <c r="F79" s="86">
        <v>1</v>
      </c>
      <c r="G79" s="87"/>
      <c r="H79" s="52"/>
      <c r="I79" s="52"/>
      <c r="J79" s="88"/>
      <c r="K79" s="88"/>
      <c r="L79" s="15"/>
      <c r="M79" s="15"/>
      <c r="N79" s="42"/>
      <c r="O79" s="42"/>
      <c r="P79" s="42"/>
      <c r="Q79" s="42"/>
      <c r="R79" s="42"/>
      <c r="S79" s="42"/>
      <c r="T79" s="42"/>
      <c r="U79" s="42"/>
      <c r="V79" s="42"/>
      <c r="W79" s="42"/>
      <c r="X79" s="42"/>
      <c r="Y79" s="42"/>
      <c r="Z79" s="42"/>
      <c r="AA79" s="42"/>
      <c r="AB79" s="42"/>
      <c r="AC79" s="42"/>
      <c r="AD79" s="43"/>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row>
    <row r="80" spans="1:69" s="2" customFormat="1" ht="15" customHeight="1" thickBot="1" x14ac:dyDescent="0.35">
      <c r="A80" s="75" t="s">
        <v>236</v>
      </c>
      <c r="B80" s="66" t="s">
        <v>237</v>
      </c>
      <c r="C80" s="66" t="s">
        <v>238</v>
      </c>
      <c r="D80" s="75" t="s">
        <v>3</v>
      </c>
      <c r="E80" s="59" t="s">
        <v>35</v>
      </c>
      <c r="F80" s="59">
        <v>10</v>
      </c>
      <c r="G80" s="25"/>
      <c r="H80" s="52"/>
      <c r="I80" s="52"/>
      <c r="J80" s="52"/>
      <c r="K80" s="52"/>
      <c r="L80" s="15"/>
      <c r="M80" s="15"/>
      <c r="N80" s="42"/>
      <c r="O80" s="42"/>
      <c r="P80" s="42"/>
      <c r="Q80" s="42"/>
      <c r="R80" s="42"/>
      <c r="S80" s="42"/>
      <c r="T80" s="42"/>
      <c r="U80" s="42"/>
      <c r="V80" s="42"/>
      <c r="W80" s="42"/>
      <c r="X80" s="42"/>
      <c r="Y80" s="42"/>
      <c r="Z80" s="42"/>
      <c r="AA80" s="42"/>
      <c r="AB80" s="42"/>
      <c r="AC80" s="42"/>
      <c r="AD80" s="43"/>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row>
    <row r="81" spans="1:69" s="2" customFormat="1" ht="15" customHeight="1" thickBot="1" x14ac:dyDescent="0.35">
      <c r="A81" s="73"/>
      <c r="B81" s="26" t="s">
        <v>239</v>
      </c>
      <c r="C81" s="26"/>
      <c r="D81" s="26"/>
      <c r="E81" s="60"/>
      <c r="F81" s="60"/>
      <c r="G81" s="27"/>
      <c r="H81" s="28"/>
      <c r="I81" s="29"/>
      <c r="J81" s="29"/>
      <c r="K81" s="29"/>
      <c r="L81" s="15"/>
      <c r="M81" s="15" t="str">
        <f>IF(OR(ISBLANK(task_start),ISBLANK(task_end)),"",task_end-task_start+1)</f>
        <v/>
      </c>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row>
    <row r="82" spans="1:69" s="2" customFormat="1" ht="15" customHeight="1" thickBot="1" x14ac:dyDescent="0.35">
      <c r="A82" s="76" t="s">
        <v>240</v>
      </c>
      <c r="B82" s="67" t="s">
        <v>241</v>
      </c>
      <c r="C82" s="67"/>
      <c r="D82" s="76" t="s">
        <v>4</v>
      </c>
      <c r="E82" s="61" t="s">
        <v>35</v>
      </c>
      <c r="F82" s="61">
        <v>15</v>
      </c>
      <c r="G82" s="30"/>
      <c r="H82" s="53"/>
      <c r="I82" s="53"/>
      <c r="J82" s="53"/>
      <c r="K82" s="53"/>
      <c r="L82" s="15"/>
      <c r="M82" s="15"/>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row>
    <row r="83" spans="1:69" s="2" customFormat="1" ht="15" customHeight="1" thickBot="1" x14ac:dyDescent="0.35">
      <c r="A83" s="76" t="s">
        <v>242</v>
      </c>
      <c r="B83" s="96" t="s">
        <v>243</v>
      </c>
      <c r="C83" s="96" t="s">
        <v>244</v>
      </c>
      <c r="D83" s="76" t="s">
        <v>4</v>
      </c>
      <c r="E83" s="61" t="s">
        <v>35</v>
      </c>
      <c r="F83" s="61"/>
      <c r="G83" s="30"/>
      <c r="H83" s="53"/>
      <c r="I83" s="53"/>
      <c r="J83" s="53"/>
      <c r="K83" s="53"/>
      <c r="L83" s="15"/>
      <c r="M83" s="15"/>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row>
    <row r="84" spans="1:69" s="2" customFormat="1" ht="15" customHeight="1" thickBot="1" x14ac:dyDescent="0.35">
      <c r="A84" s="76" t="s">
        <v>245</v>
      </c>
      <c r="B84" s="96" t="s">
        <v>246</v>
      </c>
      <c r="C84" s="96"/>
      <c r="D84" s="76" t="s">
        <v>4</v>
      </c>
      <c r="E84" s="61" t="s">
        <v>35</v>
      </c>
      <c r="F84" s="61"/>
      <c r="G84" s="30"/>
      <c r="H84" s="53"/>
      <c r="I84" s="53"/>
      <c r="J84" s="53"/>
      <c r="K84" s="53"/>
      <c r="L84" s="15"/>
      <c r="M84" s="15"/>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row>
    <row r="85" spans="1:69" s="2" customFormat="1" ht="15" customHeight="1" thickBot="1" x14ac:dyDescent="0.35">
      <c r="A85" s="76" t="s">
        <v>247</v>
      </c>
      <c r="B85" s="96" t="s">
        <v>248</v>
      </c>
      <c r="C85" s="96" t="s">
        <v>249</v>
      </c>
      <c r="D85" s="76" t="s">
        <v>4</v>
      </c>
      <c r="E85" s="61" t="s">
        <v>35</v>
      </c>
      <c r="F85" s="61"/>
      <c r="G85" s="30"/>
      <c r="H85" s="53"/>
      <c r="I85" s="53"/>
      <c r="J85" s="53"/>
      <c r="K85" s="53"/>
      <c r="L85" s="15"/>
      <c r="M85" s="15"/>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row>
    <row r="86" spans="1:69" s="2" customFormat="1" ht="15" customHeight="1" thickBot="1" x14ac:dyDescent="0.35">
      <c r="A86" s="76" t="s">
        <v>250</v>
      </c>
      <c r="B86" s="96" t="s">
        <v>251</v>
      </c>
      <c r="C86" s="96" t="s">
        <v>252</v>
      </c>
      <c r="D86" s="76" t="s">
        <v>4</v>
      </c>
      <c r="E86" s="61" t="s">
        <v>35</v>
      </c>
      <c r="F86" s="61"/>
      <c r="G86" s="30"/>
      <c r="H86" s="53"/>
      <c r="I86" s="53"/>
      <c r="J86" s="53"/>
      <c r="K86" s="53"/>
      <c r="L86" s="15"/>
      <c r="M86" s="15"/>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row>
    <row r="87" spans="1:69" s="2" customFormat="1" ht="15" customHeight="1" thickBot="1" x14ac:dyDescent="0.35">
      <c r="A87" s="76" t="s">
        <v>253</v>
      </c>
      <c r="B87" s="96" t="s">
        <v>254</v>
      </c>
      <c r="C87" s="96" t="s">
        <v>255</v>
      </c>
      <c r="D87" s="76" t="s">
        <v>4</v>
      </c>
      <c r="E87" s="61" t="s">
        <v>35</v>
      </c>
      <c r="F87" s="61"/>
      <c r="G87" s="30"/>
      <c r="H87" s="53"/>
      <c r="I87" s="53"/>
      <c r="J87" s="53"/>
      <c r="K87" s="53"/>
      <c r="L87" s="15"/>
      <c r="M87" s="15"/>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row>
    <row r="88" spans="1:69" s="2" customFormat="1" ht="15" customHeight="1" thickBot="1" x14ac:dyDescent="0.35">
      <c r="A88" s="76" t="s">
        <v>256</v>
      </c>
      <c r="B88" s="67" t="s">
        <v>257</v>
      </c>
      <c r="C88" s="67" t="s">
        <v>257</v>
      </c>
      <c r="D88" s="76" t="s">
        <v>4</v>
      </c>
      <c r="E88" s="61" t="s">
        <v>35</v>
      </c>
      <c r="F88" s="61">
        <v>10</v>
      </c>
      <c r="G88" s="30"/>
      <c r="H88" s="53"/>
      <c r="I88" s="53"/>
      <c r="J88" s="53"/>
      <c r="K88" s="53"/>
      <c r="L88" s="15"/>
      <c r="M88" s="15"/>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row>
    <row r="89" spans="1:69" s="2" customFormat="1" ht="15" customHeight="1" thickBot="1" x14ac:dyDescent="0.35">
      <c r="A89" s="76" t="s">
        <v>258</v>
      </c>
      <c r="B89" s="67" t="s">
        <v>259</v>
      </c>
      <c r="C89" s="67" t="s">
        <v>260</v>
      </c>
      <c r="D89" s="76" t="s">
        <v>4</v>
      </c>
      <c r="E89" s="61" t="s">
        <v>61</v>
      </c>
      <c r="F89" s="61">
        <f>6*4*5</f>
        <v>120</v>
      </c>
      <c r="G89" s="30"/>
      <c r="H89" s="53"/>
      <c r="I89" s="53"/>
      <c r="J89" s="53"/>
      <c r="K89" s="53"/>
      <c r="L89" s="15"/>
      <c r="M89" s="15"/>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row>
    <row r="90" spans="1:69" s="2" customFormat="1" ht="15" customHeight="1" thickBot="1" x14ac:dyDescent="0.35">
      <c r="A90" s="76" t="s">
        <v>261</v>
      </c>
      <c r="B90" s="67" t="s">
        <v>262</v>
      </c>
      <c r="C90" s="67" t="s">
        <v>263</v>
      </c>
      <c r="D90" s="76" t="s">
        <v>4</v>
      </c>
      <c r="E90" s="61" t="s">
        <v>35</v>
      </c>
      <c r="F90" s="61"/>
      <c r="G90" s="30"/>
      <c r="H90" s="53"/>
      <c r="I90" s="53"/>
      <c r="J90" s="53"/>
      <c r="K90" s="53"/>
      <c r="L90" s="15"/>
      <c r="M90" s="15"/>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row>
    <row r="91" spans="1:69" s="2" customFormat="1" ht="15" customHeight="1" thickBot="1" x14ac:dyDescent="0.35">
      <c r="A91" s="76" t="s">
        <v>264</v>
      </c>
      <c r="B91" s="67" t="s">
        <v>265</v>
      </c>
      <c r="C91" s="67" t="s">
        <v>266</v>
      </c>
      <c r="D91" s="76" t="s">
        <v>4</v>
      </c>
      <c r="E91" s="61" t="s">
        <v>31</v>
      </c>
      <c r="F91" s="61">
        <v>2</v>
      </c>
      <c r="G91" s="30"/>
      <c r="H91" s="53"/>
      <c r="I91" s="53"/>
      <c r="J91" s="53"/>
      <c r="K91" s="53"/>
      <c r="L91" s="15"/>
      <c r="M91" s="15"/>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row>
    <row r="92" spans="1:69" s="2" customFormat="1" ht="15" customHeight="1" thickBot="1" x14ac:dyDescent="0.35">
      <c r="A92" s="109" t="s">
        <v>503</v>
      </c>
      <c r="B92" s="67"/>
      <c r="C92" s="67"/>
      <c r="D92" s="76"/>
      <c r="E92" s="61"/>
      <c r="F92" s="61"/>
      <c r="G92" s="30"/>
      <c r="H92" s="53"/>
      <c r="I92" s="53"/>
      <c r="J92" s="53"/>
      <c r="K92" s="53"/>
      <c r="L92" s="15"/>
      <c r="M92" s="15"/>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row>
    <row r="93" spans="1:69" s="2" customFormat="1" ht="15" customHeight="1" thickBot="1" x14ac:dyDescent="0.35">
      <c r="A93" s="76"/>
      <c r="B93" s="67"/>
      <c r="C93" s="67"/>
      <c r="D93" s="76"/>
      <c r="E93" s="61"/>
      <c r="F93" s="61"/>
      <c r="G93" s="30"/>
      <c r="H93" s="53"/>
      <c r="I93" s="53"/>
      <c r="J93" s="53"/>
      <c r="K93" s="53"/>
      <c r="L93" s="15"/>
      <c r="M93" s="15"/>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row>
    <row r="94" spans="1:69" s="2" customFormat="1" ht="15" customHeight="1" thickBot="1" x14ac:dyDescent="0.35">
      <c r="A94" s="76"/>
      <c r="B94" s="67"/>
      <c r="C94" s="67"/>
      <c r="D94" s="76"/>
      <c r="E94" s="61"/>
      <c r="F94" s="61"/>
      <c r="G94" s="30"/>
      <c r="H94" s="53"/>
      <c r="I94" s="53"/>
      <c r="J94" s="53"/>
      <c r="K94" s="53"/>
      <c r="L94" s="15"/>
      <c r="M94" s="15"/>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row>
    <row r="95" spans="1:69" s="2" customFormat="1" ht="15" customHeight="1" thickBot="1" x14ac:dyDescent="0.35">
      <c r="A95" s="76"/>
      <c r="B95" s="67"/>
      <c r="C95" s="67"/>
      <c r="D95" s="76"/>
      <c r="E95" s="61"/>
      <c r="F95" s="61"/>
      <c r="G95" s="30"/>
      <c r="H95" s="53"/>
      <c r="I95" s="53"/>
      <c r="J95" s="53"/>
      <c r="K95" s="53"/>
      <c r="L95" s="15"/>
      <c r="M95" s="15"/>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row>
    <row r="96" spans="1:69" s="2" customFormat="1" ht="15" customHeight="1" thickBot="1" x14ac:dyDescent="0.35">
      <c r="A96" s="76"/>
      <c r="B96" s="67"/>
      <c r="C96" s="67"/>
      <c r="D96" s="76"/>
      <c r="E96" s="61"/>
      <c r="F96" s="61"/>
      <c r="G96" s="30"/>
      <c r="H96" s="53"/>
      <c r="I96" s="53"/>
      <c r="J96" s="53"/>
      <c r="K96" s="53"/>
      <c r="L96" s="15"/>
      <c r="M96" s="15"/>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row>
    <row r="97" spans="1:69" s="2" customFormat="1" ht="15" customHeight="1" thickBot="1" x14ac:dyDescent="0.35">
      <c r="A97" s="76"/>
      <c r="B97" s="67"/>
      <c r="C97" s="67"/>
      <c r="D97" s="76"/>
      <c r="E97" s="61"/>
      <c r="F97" s="61"/>
      <c r="G97" s="30"/>
      <c r="H97" s="53"/>
      <c r="I97" s="53"/>
      <c r="J97" s="53"/>
      <c r="K97" s="53"/>
      <c r="L97" s="15"/>
      <c r="M97" s="15"/>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row>
    <row r="98" spans="1:69" s="2" customFormat="1" ht="15" customHeight="1" thickBot="1" x14ac:dyDescent="0.35">
      <c r="A98" s="76"/>
      <c r="B98" s="67"/>
      <c r="C98" s="67"/>
      <c r="D98" s="76"/>
      <c r="E98" s="61"/>
      <c r="F98" s="61"/>
      <c r="G98" s="30"/>
      <c r="H98" s="53"/>
      <c r="I98" s="53"/>
      <c r="J98" s="53"/>
      <c r="K98" s="53"/>
      <c r="L98" s="15"/>
      <c r="M98" s="15"/>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row>
    <row r="99" spans="1:69" s="2" customFormat="1" ht="15" customHeight="1" thickBot="1" x14ac:dyDescent="0.35">
      <c r="A99" s="76"/>
      <c r="B99" s="67"/>
      <c r="C99" s="67"/>
      <c r="D99" s="76"/>
      <c r="E99" s="61"/>
      <c r="F99" s="61"/>
      <c r="G99" s="30"/>
      <c r="H99" s="53"/>
      <c r="I99" s="53"/>
      <c r="J99" s="53"/>
      <c r="K99" s="53"/>
      <c r="L99" s="15"/>
      <c r="M99" s="15"/>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row>
    <row r="100" spans="1:69" s="2" customFormat="1" ht="15" customHeight="1" thickBot="1" x14ac:dyDescent="0.35">
      <c r="A100" s="76"/>
      <c r="B100" s="67"/>
      <c r="C100" s="67"/>
      <c r="D100" s="76"/>
      <c r="E100" s="61"/>
      <c r="F100" s="61"/>
      <c r="G100" s="30"/>
      <c r="H100" s="53"/>
      <c r="I100" s="53"/>
      <c r="J100" s="53"/>
      <c r="K100" s="53"/>
      <c r="L100" s="15"/>
      <c r="M100" s="15"/>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row>
    <row r="101" spans="1:69" s="2" customFormat="1" ht="15" customHeight="1" thickBot="1" x14ac:dyDescent="0.35">
      <c r="A101" s="76" t="s">
        <v>267</v>
      </c>
      <c r="B101" s="67" t="s">
        <v>268</v>
      </c>
      <c r="C101" s="67"/>
      <c r="D101" s="76" t="s">
        <v>4</v>
      </c>
      <c r="E101" s="61" t="s">
        <v>35</v>
      </c>
      <c r="F101" s="61">
        <v>0.5</v>
      </c>
      <c r="G101" s="30"/>
      <c r="H101" s="53"/>
      <c r="I101" s="53"/>
      <c r="J101" s="53"/>
      <c r="K101" s="53"/>
      <c r="L101" s="15"/>
      <c r="M101" s="15"/>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row>
    <row r="102" spans="1:69" s="2" customFormat="1" ht="15" customHeight="1" thickBot="1" x14ac:dyDescent="0.35">
      <c r="A102" s="76" t="s">
        <v>269</v>
      </c>
      <c r="B102" s="67" t="s">
        <v>270</v>
      </c>
      <c r="C102" s="67" t="s">
        <v>271</v>
      </c>
      <c r="D102" s="76" t="s">
        <v>4</v>
      </c>
      <c r="E102" s="61" t="s">
        <v>35</v>
      </c>
      <c r="F102" s="61">
        <v>0.1</v>
      </c>
      <c r="G102" s="30"/>
      <c r="H102" s="53"/>
      <c r="I102" s="53"/>
      <c r="J102" s="53"/>
      <c r="K102" s="53"/>
      <c r="L102" s="15"/>
      <c r="M102" s="15"/>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row>
    <row r="103" spans="1:69" s="2" customFormat="1" ht="15" customHeight="1" thickBot="1" x14ac:dyDescent="0.35">
      <c r="A103" s="76" t="s">
        <v>272</v>
      </c>
      <c r="B103" s="67" t="s">
        <v>273</v>
      </c>
      <c r="C103" s="67" t="s">
        <v>274</v>
      </c>
      <c r="D103" s="76" t="s">
        <v>4</v>
      </c>
      <c r="E103" s="61" t="s">
        <v>35</v>
      </c>
      <c r="F103" s="61">
        <v>3</v>
      </c>
      <c r="G103" s="30"/>
      <c r="H103" s="53"/>
      <c r="I103" s="53"/>
      <c r="J103" s="53"/>
      <c r="K103" s="53"/>
      <c r="L103" s="15"/>
      <c r="M103" s="15"/>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row>
    <row r="104" spans="1:69" s="2" customFormat="1" ht="15" customHeight="1" thickBot="1" x14ac:dyDescent="0.35">
      <c r="A104" s="76" t="s">
        <v>275</v>
      </c>
      <c r="B104" s="67" t="s">
        <v>276</v>
      </c>
      <c r="C104" s="67"/>
      <c r="D104" s="76" t="s">
        <v>4</v>
      </c>
      <c r="E104" s="61" t="s">
        <v>35</v>
      </c>
      <c r="F104" s="61"/>
      <c r="G104" s="30"/>
      <c r="H104" s="53"/>
      <c r="I104" s="53"/>
      <c r="J104" s="53"/>
      <c r="K104" s="53"/>
      <c r="L104" s="15"/>
      <c r="M104" s="15"/>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row>
    <row r="105" spans="1:69" s="2" customFormat="1" ht="15" customHeight="1" thickBot="1" x14ac:dyDescent="0.35">
      <c r="A105" s="76" t="s">
        <v>277</v>
      </c>
      <c r="B105" s="67" t="s">
        <v>278</v>
      </c>
      <c r="C105" s="67"/>
      <c r="D105" s="76" t="s">
        <v>4</v>
      </c>
      <c r="E105" s="61" t="s">
        <v>35</v>
      </c>
      <c r="F105" s="61"/>
      <c r="G105" s="30"/>
      <c r="H105" s="53"/>
      <c r="I105" s="53"/>
      <c r="J105" s="53"/>
      <c r="K105" s="53"/>
      <c r="L105" s="15"/>
      <c r="M105" s="15"/>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row>
    <row r="106" spans="1:69" s="2" customFormat="1" ht="15" customHeight="1" thickBot="1" x14ac:dyDescent="0.35">
      <c r="A106" s="76" t="s">
        <v>279</v>
      </c>
      <c r="B106" s="67" t="s">
        <v>280</v>
      </c>
      <c r="C106" s="67"/>
      <c r="D106" s="76" t="s">
        <v>4</v>
      </c>
      <c r="E106" s="61" t="s">
        <v>35</v>
      </c>
      <c r="F106" s="61">
        <v>0.2</v>
      </c>
      <c r="G106" s="30"/>
      <c r="H106" s="53"/>
      <c r="I106" s="53"/>
      <c r="J106" s="53"/>
      <c r="K106" s="53"/>
      <c r="L106" s="15"/>
      <c r="M106" s="15"/>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row>
    <row r="107" spans="1:69" s="2" customFormat="1" ht="15" customHeight="1" thickBot="1" x14ac:dyDescent="0.35">
      <c r="A107" s="76" t="s">
        <v>281</v>
      </c>
      <c r="B107" s="96" t="s">
        <v>282</v>
      </c>
      <c r="C107" s="96"/>
      <c r="D107" s="76" t="s">
        <v>4</v>
      </c>
      <c r="E107" s="61" t="s">
        <v>35</v>
      </c>
      <c r="F107" s="61"/>
      <c r="G107" s="30"/>
      <c r="H107" s="53"/>
      <c r="I107" s="53"/>
      <c r="J107" s="53"/>
      <c r="K107" s="53"/>
      <c r="L107" s="15"/>
      <c r="M107" s="15"/>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row>
    <row r="108" spans="1:69" s="2" customFormat="1" ht="15" customHeight="1" thickBot="1" x14ac:dyDescent="0.35">
      <c r="A108" s="76" t="s">
        <v>283</v>
      </c>
      <c r="B108" s="96" t="s">
        <v>284</v>
      </c>
      <c r="C108" s="96"/>
      <c r="D108" s="76" t="s">
        <v>4</v>
      </c>
      <c r="E108" s="61" t="s">
        <v>35</v>
      </c>
      <c r="F108" s="61"/>
      <c r="G108" s="30"/>
      <c r="H108" s="53"/>
      <c r="I108" s="53"/>
      <c r="J108" s="53"/>
      <c r="K108" s="53"/>
      <c r="L108" s="15"/>
      <c r="M108" s="15"/>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row>
    <row r="109" spans="1:69" s="2" customFormat="1" ht="15" customHeight="1" thickBot="1" x14ac:dyDescent="0.35">
      <c r="A109" s="76" t="s">
        <v>285</v>
      </c>
      <c r="B109" s="96" t="s">
        <v>286</v>
      </c>
      <c r="C109" s="96"/>
      <c r="D109" s="76" t="s">
        <v>4</v>
      </c>
      <c r="E109" s="61" t="s">
        <v>35</v>
      </c>
      <c r="F109" s="61"/>
      <c r="G109" s="30"/>
      <c r="H109" s="53"/>
      <c r="I109" s="53"/>
      <c r="J109" s="53"/>
      <c r="K109" s="53"/>
      <c r="L109" s="15"/>
      <c r="M109" s="15"/>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row>
    <row r="110" spans="1:69" s="2" customFormat="1" ht="15" customHeight="1" thickBot="1" x14ac:dyDescent="0.35">
      <c r="A110" s="76" t="s">
        <v>287</v>
      </c>
      <c r="B110" s="96" t="s">
        <v>288</v>
      </c>
      <c r="C110" s="96"/>
      <c r="D110" s="76" t="s">
        <v>4</v>
      </c>
      <c r="E110" s="61" t="s">
        <v>35</v>
      </c>
      <c r="F110" s="61"/>
      <c r="G110" s="30"/>
      <c r="H110" s="53"/>
      <c r="I110" s="53"/>
      <c r="J110" s="53"/>
      <c r="K110" s="53"/>
      <c r="L110" s="15"/>
      <c r="M110" s="15"/>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row>
    <row r="111" spans="1:69" s="2" customFormat="1" ht="15" customHeight="1" thickBot="1" x14ac:dyDescent="0.35">
      <c r="A111" s="76" t="s">
        <v>289</v>
      </c>
      <c r="B111" s="96" t="s">
        <v>290</v>
      </c>
      <c r="C111" s="96"/>
      <c r="D111" s="76" t="s">
        <v>4</v>
      </c>
      <c r="E111" s="61" t="s">
        <v>35</v>
      </c>
      <c r="F111" s="61"/>
      <c r="G111" s="30"/>
      <c r="H111" s="53"/>
      <c r="I111" s="53"/>
      <c r="J111" s="53"/>
      <c r="K111" s="53"/>
      <c r="L111" s="15"/>
      <c r="M111" s="15"/>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row>
    <row r="112" spans="1:69" s="2" customFormat="1" ht="15" customHeight="1" thickBot="1" x14ac:dyDescent="0.35">
      <c r="A112" s="76" t="s">
        <v>291</v>
      </c>
      <c r="B112" s="96" t="s">
        <v>292</v>
      </c>
      <c r="C112" s="96"/>
      <c r="D112" s="76" t="s">
        <v>4</v>
      </c>
      <c r="E112" s="61" t="s">
        <v>35</v>
      </c>
      <c r="F112" s="61"/>
      <c r="G112" s="30"/>
      <c r="H112" s="53"/>
      <c r="I112" s="53"/>
      <c r="J112" s="53"/>
      <c r="K112" s="53"/>
      <c r="L112" s="15"/>
      <c r="M112" s="15"/>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row>
    <row r="113" spans="1:69" s="2" customFormat="1" ht="15" customHeight="1" thickBot="1" x14ac:dyDescent="0.35">
      <c r="A113" s="76" t="s">
        <v>293</v>
      </c>
      <c r="B113" s="96" t="s">
        <v>294</v>
      </c>
      <c r="C113" s="96"/>
      <c r="D113" s="76" t="s">
        <v>4</v>
      </c>
      <c r="E113" s="61" t="s">
        <v>35</v>
      </c>
      <c r="F113" s="61"/>
      <c r="G113" s="30"/>
      <c r="H113" s="53"/>
      <c r="I113" s="53"/>
      <c r="J113" s="53"/>
      <c r="K113" s="53"/>
      <c r="L113" s="15"/>
      <c r="M113" s="15"/>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row>
    <row r="114" spans="1:69" s="2" customFormat="1" ht="15" customHeight="1" thickBot="1" x14ac:dyDescent="0.35">
      <c r="A114" s="76" t="s">
        <v>295</v>
      </c>
      <c r="B114" s="96" t="s">
        <v>296</v>
      </c>
      <c r="C114" s="96"/>
      <c r="D114" s="76" t="s">
        <v>4</v>
      </c>
      <c r="E114" s="61" t="s">
        <v>35</v>
      </c>
      <c r="F114" s="61"/>
      <c r="G114" s="30"/>
      <c r="H114" s="53"/>
      <c r="I114" s="53"/>
      <c r="J114" s="53"/>
      <c r="K114" s="53"/>
      <c r="L114" s="15"/>
      <c r="M114" s="15"/>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row>
    <row r="115" spans="1:69" s="2" customFormat="1" ht="15" customHeight="1" thickBot="1" x14ac:dyDescent="0.35">
      <c r="A115" s="76" t="s">
        <v>297</v>
      </c>
      <c r="B115" s="96" t="s">
        <v>298</v>
      </c>
      <c r="C115" s="96"/>
      <c r="D115" s="76" t="s">
        <v>4</v>
      </c>
      <c r="E115" s="61" t="s">
        <v>35</v>
      </c>
      <c r="F115" s="61"/>
      <c r="G115" s="30"/>
      <c r="H115" s="53"/>
      <c r="I115" s="53"/>
      <c r="J115" s="53"/>
      <c r="K115" s="53"/>
      <c r="L115" s="15"/>
      <c r="M115" s="15"/>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row>
    <row r="116" spans="1:69" s="2" customFormat="1" ht="15" customHeight="1" thickBot="1" x14ac:dyDescent="0.35">
      <c r="A116" s="76" t="s">
        <v>299</v>
      </c>
      <c r="B116" s="96" t="s">
        <v>300</v>
      </c>
      <c r="C116" s="96"/>
      <c r="D116" s="76" t="s">
        <v>4</v>
      </c>
      <c r="E116" s="61" t="s">
        <v>35</v>
      </c>
      <c r="F116" s="61"/>
      <c r="G116" s="30"/>
      <c r="H116" s="53"/>
      <c r="I116" s="53"/>
      <c r="J116" s="53"/>
      <c r="K116" s="53"/>
      <c r="L116" s="15"/>
      <c r="M116" s="15"/>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row>
    <row r="117" spans="1:69" s="2" customFormat="1" ht="15" customHeight="1" thickBot="1" x14ac:dyDescent="0.35">
      <c r="A117" s="76" t="s">
        <v>301</v>
      </c>
      <c r="B117" s="67" t="s">
        <v>302</v>
      </c>
      <c r="C117" s="67"/>
      <c r="D117" s="76" t="s">
        <v>4</v>
      </c>
      <c r="E117" s="61" t="s">
        <v>35</v>
      </c>
      <c r="F117" s="61"/>
      <c r="G117" s="30"/>
      <c r="H117" s="53"/>
      <c r="I117" s="53"/>
      <c r="J117" s="53"/>
      <c r="K117" s="53"/>
      <c r="L117" s="15"/>
      <c r="M117" s="15"/>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row>
    <row r="118" spans="1:69" s="2" customFormat="1" ht="15" customHeight="1" thickBot="1" x14ac:dyDescent="0.35">
      <c r="A118" s="76" t="s">
        <v>303</v>
      </c>
      <c r="B118" s="67" t="s">
        <v>304</v>
      </c>
      <c r="C118" s="67"/>
      <c r="D118" s="76" t="s">
        <v>4</v>
      </c>
      <c r="E118" s="61" t="s">
        <v>35</v>
      </c>
      <c r="F118" s="61">
        <v>0.2</v>
      </c>
      <c r="G118" s="30"/>
      <c r="H118" s="53"/>
      <c r="I118" s="53"/>
      <c r="J118" s="53"/>
      <c r="K118" s="53"/>
      <c r="L118" s="15"/>
      <c r="M118" s="15"/>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row>
    <row r="119" spans="1:69" s="2" customFormat="1" ht="15" customHeight="1" thickBot="1" x14ac:dyDescent="0.35">
      <c r="A119" s="76" t="s">
        <v>305</v>
      </c>
      <c r="B119" s="67" t="s">
        <v>306</v>
      </c>
      <c r="C119" s="67"/>
      <c r="D119" s="76" t="s">
        <v>4</v>
      </c>
      <c r="E119" s="61" t="s">
        <v>35</v>
      </c>
      <c r="F119" s="61">
        <v>0.2</v>
      </c>
      <c r="G119" s="30"/>
      <c r="H119" s="53"/>
      <c r="I119" s="53"/>
      <c r="J119" s="53"/>
      <c r="K119" s="53"/>
      <c r="L119" s="15"/>
      <c r="M119" s="15"/>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row>
    <row r="120" spans="1:69" s="2" customFormat="1" ht="15" customHeight="1" thickBot="1" x14ac:dyDescent="0.35">
      <c r="A120" s="76" t="s">
        <v>307</v>
      </c>
      <c r="B120" s="67" t="s">
        <v>308</v>
      </c>
      <c r="C120" s="67" t="s">
        <v>308</v>
      </c>
      <c r="D120" s="76" t="s">
        <v>4</v>
      </c>
      <c r="E120" s="61" t="s">
        <v>35</v>
      </c>
      <c r="F120" s="61">
        <v>0.1</v>
      </c>
      <c r="G120" s="30"/>
      <c r="H120" s="53"/>
      <c r="I120" s="53"/>
      <c r="J120" s="53"/>
      <c r="K120" s="53"/>
      <c r="L120" s="15"/>
      <c r="M120" s="15"/>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row>
    <row r="121" spans="1:69" s="2" customFormat="1" ht="15" customHeight="1" thickBot="1" x14ac:dyDescent="0.35">
      <c r="A121" s="76" t="s">
        <v>309</v>
      </c>
      <c r="B121" s="67" t="s">
        <v>310</v>
      </c>
      <c r="C121" s="67" t="s">
        <v>311</v>
      </c>
      <c r="D121" s="76" t="s">
        <v>4</v>
      </c>
      <c r="E121" s="61" t="s">
        <v>35</v>
      </c>
      <c r="F121" s="61">
        <v>0.5</v>
      </c>
      <c r="G121" s="30"/>
      <c r="H121" s="53"/>
      <c r="I121" s="53"/>
      <c r="J121" s="53"/>
      <c r="K121" s="53"/>
      <c r="L121" s="15"/>
      <c r="M121" s="15"/>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row>
    <row r="122" spans="1:69" s="2" customFormat="1" ht="15" customHeight="1" thickBot="1" x14ac:dyDescent="0.35">
      <c r="A122" s="76" t="s">
        <v>312</v>
      </c>
      <c r="B122" s="67" t="s">
        <v>313</v>
      </c>
      <c r="C122" s="67" t="s">
        <v>314</v>
      </c>
      <c r="D122" s="76" t="s">
        <v>4</v>
      </c>
      <c r="E122" s="61" t="s">
        <v>35</v>
      </c>
      <c r="F122" s="61">
        <v>8</v>
      </c>
      <c r="G122" s="30"/>
      <c r="H122" s="53"/>
      <c r="I122" s="53"/>
      <c r="J122" s="53"/>
      <c r="K122" s="53"/>
      <c r="L122" s="15"/>
      <c r="M122" s="15"/>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row>
    <row r="123" spans="1:69" s="2" customFormat="1" ht="15" customHeight="1" thickBot="1" x14ac:dyDescent="0.35">
      <c r="A123" s="76" t="s">
        <v>315</v>
      </c>
      <c r="B123" s="67" t="s">
        <v>316</v>
      </c>
      <c r="C123" s="67" t="s">
        <v>317</v>
      </c>
      <c r="D123" s="76" t="s">
        <v>4</v>
      </c>
      <c r="E123" s="61" t="s">
        <v>35</v>
      </c>
      <c r="F123" s="61">
        <v>3</v>
      </c>
      <c r="G123" s="30"/>
      <c r="H123" s="53"/>
      <c r="I123" s="53"/>
      <c r="J123" s="53"/>
      <c r="K123" s="53"/>
      <c r="L123" s="15"/>
      <c r="M123" s="15"/>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row>
    <row r="124" spans="1:69" s="2" customFormat="1" ht="15" customHeight="1" thickBot="1" x14ac:dyDescent="0.35">
      <c r="A124" s="76" t="s">
        <v>318</v>
      </c>
      <c r="B124" s="67" t="s">
        <v>319</v>
      </c>
      <c r="C124" s="67" t="s">
        <v>320</v>
      </c>
      <c r="D124" s="76" t="s">
        <v>4</v>
      </c>
      <c r="E124" s="61" t="s">
        <v>35</v>
      </c>
      <c r="F124" s="61">
        <v>1</v>
      </c>
      <c r="G124" s="30"/>
      <c r="H124" s="53"/>
      <c r="I124" s="53"/>
      <c r="J124" s="53"/>
      <c r="K124" s="53"/>
      <c r="L124" s="15"/>
      <c r="M124" s="15"/>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row>
    <row r="125" spans="1:69" s="2" customFormat="1" ht="15" thickBot="1" x14ac:dyDescent="0.35">
      <c r="A125" s="76" t="s">
        <v>321</v>
      </c>
      <c r="B125" s="84" t="s">
        <v>322</v>
      </c>
      <c r="C125" s="84"/>
      <c r="D125" s="76" t="s">
        <v>4</v>
      </c>
      <c r="E125" s="61" t="s">
        <v>35</v>
      </c>
      <c r="F125" s="89">
        <v>15</v>
      </c>
      <c r="G125" s="90"/>
      <c r="H125" s="53"/>
      <c r="I125" s="53"/>
      <c r="J125" s="91"/>
      <c r="K125" s="91"/>
      <c r="L125" s="15"/>
      <c r="M125" s="15"/>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row>
    <row r="126" spans="1:69" s="2" customFormat="1" ht="15" thickBot="1" x14ac:dyDescent="0.35">
      <c r="A126" s="76" t="s">
        <v>323</v>
      </c>
      <c r="B126" s="84" t="s">
        <v>324</v>
      </c>
      <c r="C126" s="84" t="s">
        <v>325</v>
      </c>
      <c r="D126" s="76" t="s">
        <v>4</v>
      </c>
      <c r="E126" s="61" t="s">
        <v>35</v>
      </c>
      <c r="F126" s="89">
        <v>1</v>
      </c>
      <c r="G126" s="90"/>
      <c r="H126" s="53"/>
      <c r="I126" s="53"/>
      <c r="J126" s="91"/>
      <c r="K126" s="91"/>
      <c r="L126" s="15"/>
      <c r="M126" s="15"/>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row>
    <row r="127" spans="1:69" s="2" customFormat="1" ht="15" thickBot="1" x14ac:dyDescent="0.35">
      <c r="A127" s="76" t="s">
        <v>326</v>
      </c>
      <c r="B127" s="67" t="s">
        <v>327</v>
      </c>
      <c r="C127" s="67" t="s">
        <v>328</v>
      </c>
      <c r="D127" s="76" t="s">
        <v>4</v>
      </c>
      <c r="E127" s="61" t="s">
        <v>31</v>
      </c>
      <c r="F127" s="61">
        <v>5</v>
      </c>
      <c r="G127" s="30"/>
      <c r="H127" s="53"/>
      <c r="I127" s="53"/>
      <c r="J127" s="53"/>
      <c r="K127" s="53"/>
      <c r="L127" s="15"/>
      <c r="M127" s="15"/>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row>
    <row r="128" spans="1:69" s="2" customFormat="1" ht="15" thickBot="1" x14ac:dyDescent="0.35">
      <c r="A128" s="76" t="s">
        <v>329</v>
      </c>
      <c r="B128" s="67" t="s">
        <v>330</v>
      </c>
      <c r="C128" s="67" t="s">
        <v>331</v>
      </c>
      <c r="D128" s="76" t="s">
        <v>4</v>
      </c>
      <c r="E128" s="61" t="s">
        <v>31</v>
      </c>
      <c r="F128" s="61">
        <v>5</v>
      </c>
      <c r="G128" s="30"/>
      <c r="H128" s="53"/>
      <c r="I128" s="53"/>
      <c r="J128" s="53"/>
      <c r="K128" s="53"/>
      <c r="L128" s="15"/>
      <c r="M128" s="15"/>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row>
    <row r="129" spans="1:69" s="2" customFormat="1" ht="15" thickBot="1" x14ac:dyDescent="0.35">
      <c r="A129" s="76" t="s">
        <v>332</v>
      </c>
      <c r="B129" s="67" t="s">
        <v>333</v>
      </c>
      <c r="C129" s="67" t="s">
        <v>334</v>
      </c>
      <c r="D129" s="76" t="s">
        <v>4</v>
      </c>
      <c r="E129" s="61" t="s">
        <v>35</v>
      </c>
      <c r="F129" s="61">
        <v>1</v>
      </c>
      <c r="G129" s="30"/>
      <c r="H129" s="53"/>
      <c r="I129" s="53"/>
      <c r="J129" s="53"/>
      <c r="K129" s="53"/>
      <c r="L129" s="15"/>
      <c r="M129" s="15"/>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row>
    <row r="130" spans="1:69" s="2" customFormat="1" ht="15" thickBot="1" x14ac:dyDescent="0.35">
      <c r="A130" s="76" t="s">
        <v>335</v>
      </c>
      <c r="B130" s="67" t="s">
        <v>336</v>
      </c>
      <c r="C130" s="67" t="s">
        <v>337</v>
      </c>
      <c r="D130" s="76" t="s">
        <v>4</v>
      </c>
      <c r="E130" s="61" t="s">
        <v>35</v>
      </c>
      <c r="F130" s="61">
        <v>0.2</v>
      </c>
      <c r="G130" s="30"/>
      <c r="H130" s="53"/>
      <c r="I130" s="53"/>
      <c r="J130" s="53"/>
      <c r="K130" s="53"/>
      <c r="L130" s="15"/>
      <c r="M130" s="15"/>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row>
    <row r="131" spans="1:69" s="2" customFormat="1" ht="15" thickBot="1" x14ac:dyDescent="0.35">
      <c r="A131" s="76" t="s">
        <v>338</v>
      </c>
      <c r="B131" s="67" t="s">
        <v>339</v>
      </c>
      <c r="C131" s="67" t="s">
        <v>340</v>
      </c>
      <c r="D131" s="76" t="s">
        <v>4</v>
      </c>
      <c r="E131" s="61" t="s">
        <v>61</v>
      </c>
      <c r="F131" s="61">
        <v>10</v>
      </c>
      <c r="G131" s="30"/>
      <c r="H131" s="53"/>
      <c r="I131" s="53"/>
      <c r="J131" s="53"/>
      <c r="K131" s="53"/>
      <c r="L131" s="15"/>
      <c r="M131" s="15"/>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row>
    <row r="132" spans="1:69" s="2" customFormat="1" ht="15" thickBot="1" x14ac:dyDescent="0.35">
      <c r="A132" s="76" t="s">
        <v>341</v>
      </c>
      <c r="B132" s="67" t="s">
        <v>342</v>
      </c>
      <c r="C132" s="67" t="s">
        <v>343</v>
      </c>
      <c r="D132" s="76" t="s">
        <v>4</v>
      </c>
      <c r="E132" s="61" t="s">
        <v>61</v>
      </c>
      <c r="F132" s="61">
        <v>10</v>
      </c>
      <c r="G132" s="30"/>
      <c r="H132" s="53"/>
      <c r="I132" s="53"/>
      <c r="J132" s="53"/>
      <c r="K132" s="53"/>
      <c r="L132" s="15"/>
      <c r="M132" s="15"/>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row>
    <row r="133" spans="1:69" s="2" customFormat="1" ht="15" thickBot="1" x14ac:dyDescent="0.35">
      <c r="A133" s="76" t="s">
        <v>344</v>
      </c>
      <c r="B133" s="67" t="s">
        <v>345</v>
      </c>
      <c r="C133" s="67" t="s">
        <v>346</v>
      </c>
      <c r="D133" s="76" t="s">
        <v>4</v>
      </c>
      <c r="E133" s="61" t="s">
        <v>35</v>
      </c>
      <c r="F133" s="61">
        <v>5</v>
      </c>
      <c r="G133" s="30"/>
      <c r="H133" s="53"/>
      <c r="I133" s="53"/>
      <c r="J133" s="53"/>
      <c r="K133" s="53"/>
      <c r="L133" s="15"/>
      <c r="M133" s="15"/>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row>
    <row r="134" spans="1:69" s="2" customFormat="1" ht="15" thickBot="1" x14ac:dyDescent="0.35">
      <c r="A134" s="76" t="s">
        <v>347</v>
      </c>
      <c r="B134" s="67" t="s">
        <v>348</v>
      </c>
      <c r="C134" s="67" t="s">
        <v>349</v>
      </c>
      <c r="D134" s="76" t="s">
        <v>4</v>
      </c>
      <c r="E134" s="61" t="s">
        <v>35</v>
      </c>
      <c r="F134" s="61">
        <v>0.2</v>
      </c>
      <c r="G134" s="30"/>
      <c r="H134" s="53"/>
      <c r="I134" s="53"/>
      <c r="J134" s="53"/>
      <c r="K134" s="53"/>
      <c r="L134" s="15"/>
      <c r="M134" s="15"/>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row>
    <row r="135" spans="1:69" s="2" customFormat="1" ht="15" thickBot="1" x14ac:dyDescent="0.35">
      <c r="A135" s="76" t="s">
        <v>350</v>
      </c>
      <c r="B135" s="67" t="s">
        <v>351</v>
      </c>
      <c r="C135" s="67"/>
      <c r="D135" s="76" t="s">
        <v>4</v>
      </c>
      <c r="E135" s="61" t="s">
        <v>35</v>
      </c>
      <c r="F135" s="61"/>
      <c r="G135" s="30"/>
      <c r="H135" s="53"/>
      <c r="I135" s="53"/>
      <c r="J135" s="53"/>
      <c r="K135" s="53"/>
      <c r="L135" s="15"/>
      <c r="M135" s="15"/>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row>
    <row r="136" spans="1:69" s="2" customFormat="1" ht="15" thickBot="1" x14ac:dyDescent="0.35">
      <c r="A136" s="76" t="s">
        <v>352</v>
      </c>
      <c r="B136" s="67" t="s">
        <v>353</v>
      </c>
      <c r="C136" s="67"/>
      <c r="D136" s="76" t="s">
        <v>4</v>
      </c>
      <c r="E136" s="61" t="s">
        <v>35</v>
      </c>
      <c r="F136" s="61">
        <v>5</v>
      </c>
      <c r="G136" s="30"/>
      <c r="H136" s="53"/>
      <c r="I136" s="53"/>
      <c r="J136" s="53"/>
      <c r="K136" s="53"/>
      <c r="L136" s="15"/>
      <c r="M136" s="15"/>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row>
    <row r="137" spans="1:69" s="2" customFormat="1" ht="15" thickBot="1" x14ac:dyDescent="0.35">
      <c r="A137" s="76" t="s">
        <v>354</v>
      </c>
      <c r="B137" s="67" t="s">
        <v>355</v>
      </c>
      <c r="C137" s="67"/>
      <c r="D137" s="76" t="s">
        <v>4</v>
      </c>
      <c r="E137" s="61" t="s">
        <v>35</v>
      </c>
      <c r="F137" s="61"/>
      <c r="G137" s="30"/>
      <c r="H137" s="53"/>
      <c r="I137" s="53"/>
      <c r="J137" s="53"/>
      <c r="K137" s="53"/>
      <c r="L137" s="15"/>
      <c r="M137" s="15"/>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row>
    <row r="138" spans="1:69" s="2" customFormat="1" ht="15" thickBot="1" x14ac:dyDescent="0.35">
      <c r="A138" s="76" t="s">
        <v>356</v>
      </c>
      <c r="B138" s="67" t="s">
        <v>357</v>
      </c>
      <c r="C138" s="67" t="s">
        <v>217</v>
      </c>
      <c r="D138" s="76" t="s">
        <v>4</v>
      </c>
      <c r="E138" s="61" t="s">
        <v>31</v>
      </c>
      <c r="F138" s="61">
        <v>1</v>
      </c>
      <c r="G138" s="30"/>
      <c r="H138" s="53"/>
      <c r="I138" s="53"/>
      <c r="J138" s="53"/>
      <c r="K138" s="53"/>
      <c r="L138" s="15"/>
      <c r="M138" s="15"/>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row>
    <row r="139" spans="1:69" s="2" customFormat="1" ht="15" thickBot="1" x14ac:dyDescent="0.35">
      <c r="A139" s="76" t="s">
        <v>358</v>
      </c>
      <c r="B139" s="67" t="s">
        <v>359</v>
      </c>
      <c r="C139" s="67" t="s">
        <v>360</v>
      </c>
      <c r="D139" s="76" t="s">
        <v>4</v>
      </c>
      <c r="E139" s="61" t="s">
        <v>35</v>
      </c>
      <c r="F139" s="61">
        <v>20</v>
      </c>
      <c r="G139" s="30"/>
      <c r="H139" s="53"/>
      <c r="I139" s="53"/>
      <c r="J139" s="53"/>
      <c r="K139" s="53"/>
      <c r="L139" s="15"/>
      <c r="M139" s="15"/>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row>
    <row r="140" spans="1:69" s="2" customFormat="1" ht="15" thickBot="1" x14ac:dyDescent="0.35">
      <c r="A140" s="76" t="s">
        <v>361</v>
      </c>
      <c r="B140" s="67" t="s">
        <v>322</v>
      </c>
      <c r="C140" s="67" t="s">
        <v>362</v>
      </c>
      <c r="D140" s="76" t="s">
        <v>4</v>
      </c>
      <c r="E140" s="61" t="s">
        <v>35</v>
      </c>
      <c r="F140" s="61">
        <v>5</v>
      </c>
      <c r="G140" s="30"/>
      <c r="H140" s="53"/>
      <c r="I140" s="53"/>
      <c r="J140" s="53"/>
      <c r="K140" s="53"/>
      <c r="L140" s="15"/>
      <c r="M140" s="15"/>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row>
    <row r="141" spans="1:69" s="2" customFormat="1" ht="15" customHeight="1" thickBot="1" x14ac:dyDescent="0.35">
      <c r="A141" s="76" t="s">
        <v>363</v>
      </c>
      <c r="B141" s="67" t="s">
        <v>364</v>
      </c>
      <c r="C141" s="67" t="s">
        <v>365</v>
      </c>
      <c r="D141" s="76" t="s">
        <v>4</v>
      </c>
      <c r="E141" s="61" t="s">
        <v>35</v>
      </c>
      <c r="F141" s="61" t="s">
        <v>366</v>
      </c>
      <c r="G141" s="30"/>
      <c r="H141" s="53"/>
      <c r="I141" s="53"/>
      <c r="J141" s="53"/>
      <c r="K141" s="53"/>
      <c r="L141" s="15"/>
      <c r="M141" s="15"/>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row>
    <row r="142" spans="1:69" s="2" customFormat="1" ht="15" customHeight="1" thickBot="1" x14ac:dyDescent="0.35">
      <c r="A142" s="76" t="s">
        <v>367</v>
      </c>
      <c r="B142" s="67" t="s">
        <v>225</v>
      </c>
      <c r="C142" s="67" t="s">
        <v>368</v>
      </c>
      <c r="D142" s="76" t="s">
        <v>4</v>
      </c>
      <c r="E142" s="61" t="s">
        <v>35</v>
      </c>
      <c r="F142" s="61">
        <v>1</v>
      </c>
      <c r="G142" s="30"/>
      <c r="H142" s="53"/>
      <c r="I142" s="53"/>
      <c r="J142" s="53"/>
      <c r="K142" s="53"/>
      <c r="L142" s="15"/>
      <c r="M142" s="15"/>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row>
    <row r="143" spans="1:69" s="2" customFormat="1" ht="15" customHeight="1" thickBot="1" x14ac:dyDescent="0.35">
      <c r="A143" s="76" t="s">
        <v>369</v>
      </c>
      <c r="B143" s="67" t="s">
        <v>231</v>
      </c>
      <c r="C143" s="67" t="s">
        <v>370</v>
      </c>
      <c r="D143" s="76" t="s">
        <v>4</v>
      </c>
      <c r="E143" s="61" t="s">
        <v>31</v>
      </c>
      <c r="F143" s="61">
        <v>1</v>
      </c>
      <c r="G143" s="30"/>
      <c r="H143" s="53"/>
      <c r="I143" s="53"/>
      <c r="J143" s="53"/>
      <c r="K143" s="53"/>
      <c r="L143" s="15"/>
      <c r="M143" s="15"/>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row>
    <row r="144" spans="1:69" s="2" customFormat="1" ht="15" thickBot="1" x14ac:dyDescent="0.35">
      <c r="A144" s="76" t="s">
        <v>371</v>
      </c>
      <c r="B144" s="67" t="s">
        <v>372</v>
      </c>
      <c r="C144" s="67" t="s">
        <v>360</v>
      </c>
      <c r="D144" s="76" t="s">
        <v>4</v>
      </c>
      <c r="E144" s="61" t="s">
        <v>35</v>
      </c>
      <c r="F144" s="61">
        <v>3</v>
      </c>
      <c r="G144" s="30"/>
      <c r="H144" s="53"/>
      <c r="I144" s="53"/>
      <c r="J144" s="53"/>
      <c r="K144" s="53"/>
      <c r="L144" s="15"/>
      <c r="M144" s="15"/>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row>
    <row r="145" spans="1:69" s="2" customFormat="1" ht="15" customHeight="1" thickBot="1" x14ac:dyDescent="0.35">
      <c r="A145" s="76" t="s">
        <v>373</v>
      </c>
      <c r="B145" s="84" t="s">
        <v>374</v>
      </c>
      <c r="C145" s="84" t="s">
        <v>368</v>
      </c>
      <c r="D145" s="76" t="s">
        <v>4</v>
      </c>
      <c r="E145" s="89" t="s">
        <v>35</v>
      </c>
      <c r="F145" s="89">
        <v>1</v>
      </c>
      <c r="G145" s="90"/>
      <c r="H145" s="91"/>
      <c r="I145" s="91"/>
      <c r="J145" s="91"/>
      <c r="K145" s="91"/>
      <c r="L145" s="15"/>
      <c r="M145" s="15"/>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row>
    <row r="146" spans="1:69" s="2" customFormat="1" ht="15" customHeight="1" thickBot="1" x14ac:dyDescent="0.35">
      <c r="A146" s="76" t="s">
        <v>375</v>
      </c>
      <c r="B146" s="67" t="s">
        <v>237</v>
      </c>
      <c r="C146" s="67" t="s">
        <v>238</v>
      </c>
      <c r="D146" s="76" t="s">
        <v>4</v>
      </c>
      <c r="E146" s="61" t="s">
        <v>35</v>
      </c>
      <c r="F146" s="61">
        <v>1</v>
      </c>
      <c r="G146" s="30"/>
      <c r="H146" s="53"/>
      <c r="I146" s="53"/>
      <c r="J146" s="53"/>
      <c r="K146" s="53"/>
      <c r="L146" s="15"/>
      <c r="M146" s="15"/>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row>
    <row r="147" spans="1:69" s="2" customFormat="1" ht="15" customHeight="1" thickBot="1" x14ac:dyDescent="0.35">
      <c r="A147" s="76" t="s">
        <v>376</v>
      </c>
      <c r="B147" s="67" t="s">
        <v>377</v>
      </c>
      <c r="C147" s="67" t="s">
        <v>378</v>
      </c>
      <c r="D147" s="76" t="s">
        <v>4</v>
      </c>
      <c r="E147" s="61" t="s">
        <v>61</v>
      </c>
      <c r="F147" s="61">
        <v>1</v>
      </c>
      <c r="G147" s="30"/>
      <c r="H147" s="53"/>
      <c r="I147" s="53"/>
      <c r="J147" s="53"/>
      <c r="K147" s="53"/>
      <c r="L147" s="15"/>
      <c r="M147" s="15"/>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row>
    <row r="148" spans="1:69" s="2" customFormat="1" ht="15" customHeight="1" thickBot="1" x14ac:dyDescent="0.35">
      <c r="A148" s="76" t="s">
        <v>379</v>
      </c>
      <c r="B148" s="67" t="s">
        <v>380</v>
      </c>
      <c r="C148" s="67"/>
      <c r="D148" s="76" t="s">
        <v>4</v>
      </c>
      <c r="E148" s="61" t="s">
        <v>31</v>
      </c>
      <c r="F148" s="61"/>
      <c r="G148" s="30"/>
      <c r="H148" s="53"/>
      <c r="I148" s="53"/>
      <c r="J148" s="53"/>
      <c r="K148" s="53"/>
      <c r="L148" s="15"/>
      <c r="M148" s="15"/>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row>
    <row r="149" spans="1:69" s="2" customFormat="1" ht="15" customHeight="1" thickBot="1" x14ac:dyDescent="0.35">
      <c r="A149" s="74"/>
      <c r="B149" s="31" t="s">
        <v>381</v>
      </c>
      <c r="C149" s="31"/>
      <c r="D149" s="31"/>
      <c r="E149" s="62"/>
      <c r="F149" s="62"/>
      <c r="G149" s="32"/>
      <c r="H149" s="33"/>
      <c r="I149" s="34"/>
      <c r="J149" s="34"/>
      <c r="K149" s="34"/>
      <c r="L149" s="15"/>
      <c r="M149" s="15" t="str">
        <f>IF(OR(ISBLANK(task_start),ISBLANK(task_end)),"",task_end-task_start+1)</f>
        <v/>
      </c>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row>
    <row r="150" spans="1:69" s="2" customFormat="1" ht="15" customHeight="1" thickBot="1" x14ac:dyDescent="0.35">
      <c r="A150" s="77" t="s">
        <v>382</v>
      </c>
      <c r="B150" s="68" t="s">
        <v>383</v>
      </c>
      <c r="C150" s="68" t="s">
        <v>384</v>
      </c>
      <c r="D150" s="77" t="s">
        <v>5</v>
      </c>
      <c r="E150" s="63" t="s">
        <v>35</v>
      </c>
      <c r="F150" s="63">
        <v>0.1</v>
      </c>
      <c r="G150" s="35"/>
      <c r="H150" s="54"/>
      <c r="I150" s="54"/>
      <c r="J150" s="54"/>
      <c r="K150" s="54"/>
      <c r="L150" s="15"/>
      <c r="M150" s="15"/>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row>
    <row r="151" spans="1:69" s="2" customFormat="1" ht="15" customHeight="1" thickBot="1" x14ac:dyDescent="0.35">
      <c r="A151" s="77" t="s">
        <v>385</v>
      </c>
      <c r="B151" s="68" t="s">
        <v>241</v>
      </c>
      <c r="C151" s="68"/>
      <c r="D151" s="77" t="s">
        <v>5</v>
      </c>
      <c r="E151" s="63" t="s">
        <v>35</v>
      </c>
      <c r="F151" s="63">
        <v>15</v>
      </c>
      <c r="G151" s="35"/>
      <c r="H151" s="54"/>
      <c r="I151" s="54"/>
      <c r="J151" s="54"/>
      <c r="K151" s="54"/>
      <c r="L151" s="15"/>
      <c r="M151" s="15"/>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row>
    <row r="152" spans="1:69" s="2" customFormat="1" ht="15" customHeight="1" thickBot="1" x14ac:dyDescent="0.35">
      <c r="A152" s="77" t="s">
        <v>386</v>
      </c>
      <c r="B152" s="95" t="s">
        <v>387</v>
      </c>
      <c r="C152" s="95" t="s">
        <v>244</v>
      </c>
      <c r="D152" s="77" t="s">
        <v>5</v>
      </c>
      <c r="E152" s="63" t="s">
        <v>35</v>
      </c>
      <c r="F152" s="63"/>
      <c r="G152" s="35"/>
      <c r="H152" s="54"/>
      <c r="I152" s="54"/>
      <c r="J152" s="54"/>
      <c r="K152" s="54"/>
      <c r="L152" s="15"/>
      <c r="M152" s="15"/>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row>
    <row r="153" spans="1:69" s="2" customFormat="1" ht="15" customHeight="1" thickBot="1" x14ac:dyDescent="0.35">
      <c r="A153" s="77" t="s">
        <v>388</v>
      </c>
      <c r="B153" s="95" t="s">
        <v>389</v>
      </c>
      <c r="C153" s="95"/>
      <c r="D153" s="77" t="s">
        <v>5</v>
      </c>
      <c r="E153" s="63" t="s">
        <v>35</v>
      </c>
      <c r="F153" s="63"/>
      <c r="G153" s="35"/>
      <c r="H153" s="54"/>
      <c r="I153" s="54"/>
      <c r="J153" s="54"/>
      <c r="K153" s="54"/>
      <c r="L153" s="15"/>
      <c r="M153" s="15"/>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row>
    <row r="154" spans="1:69" s="2" customFormat="1" ht="15" customHeight="1" thickBot="1" x14ac:dyDescent="0.35">
      <c r="A154" s="77" t="s">
        <v>390</v>
      </c>
      <c r="B154" s="95" t="s">
        <v>391</v>
      </c>
      <c r="C154" s="95" t="s">
        <v>249</v>
      </c>
      <c r="D154" s="77" t="s">
        <v>5</v>
      </c>
      <c r="E154" s="63" t="s">
        <v>35</v>
      </c>
      <c r="F154" s="63"/>
      <c r="G154" s="35"/>
      <c r="H154" s="54"/>
      <c r="I154" s="54"/>
      <c r="J154" s="54"/>
      <c r="K154" s="54"/>
      <c r="L154" s="15"/>
      <c r="M154" s="15"/>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row>
    <row r="155" spans="1:69" s="2" customFormat="1" ht="15" customHeight="1" thickBot="1" x14ac:dyDescent="0.35">
      <c r="A155" s="77" t="s">
        <v>392</v>
      </c>
      <c r="B155" s="95" t="s">
        <v>393</v>
      </c>
      <c r="C155" s="95" t="s">
        <v>252</v>
      </c>
      <c r="D155" s="77" t="s">
        <v>5</v>
      </c>
      <c r="E155" s="63" t="s">
        <v>35</v>
      </c>
      <c r="F155" s="63"/>
      <c r="G155" s="35"/>
      <c r="H155" s="54"/>
      <c r="I155" s="54"/>
      <c r="J155" s="54"/>
      <c r="K155" s="54"/>
      <c r="L155" s="15"/>
      <c r="M155" s="15"/>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row>
    <row r="156" spans="1:69" s="2" customFormat="1" ht="15" customHeight="1" thickBot="1" x14ac:dyDescent="0.35">
      <c r="A156" s="77" t="s">
        <v>394</v>
      </c>
      <c r="B156" s="95" t="s">
        <v>395</v>
      </c>
      <c r="C156" s="95" t="s">
        <v>255</v>
      </c>
      <c r="D156" s="77" t="s">
        <v>5</v>
      </c>
      <c r="E156" s="63" t="s">
        <v>35</v>
      </c>
      <c r="F156" s="63"/>
      <c r="G156" s="35"/>
      <c r="H156" s="54"/>
      <c r="I156" s="54"/>
      <c r="J156" s="54"/>
      <c r="K156" s="54"/>
      <c r="L156" s="15"/>
      <c r="M156" s="15"/>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row>
    <row r="157" spans="1:69" s="2" customFormat="1" ht="15" customHeight="1" thickBot="1" x14ac:dyDescent="0.35">
      <c r="A157" s="77" t="s">
        <v>396</v>
      </c>
      <c r="B157" s="68" t="s">
        <v>257</v>
      </c>
      <c r="C157" s="68" t="s">
        <v>257</v>
      </c>
      <c r="D157" s="77" t="s">
        <v>5</v>
      </c>
      <c r="E157" s="63" t="s">
        <v>35</v>
      </c>
      <c r="F157" s="63">
        <v>15</v>
      </c>
      <c r="G157" s="35"/>
      <c r="H157" s="54"/>
      <c r="I157" s="54"/>
      <c r="J157" s="54"/>
      <c r="K157" s="54"/>
      <c r="L157" s="15"/>
      <c r="M157" s="15"/>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row>
    <row r="158" spans="1:69" s="2" customFormat="1" ht="15" customHeight="1" thickBot="1" x14ac:dyDescent="0.35">
      <c r="A158" s="77" t="s">
        <v>397</v>
      </c>
      <c r="B158" s="68" t="s">
        <v>259</v>
      </c>
      <c r="C158" s="68" t="s">
        <v>260</v>
      </c>
      <c r="D158" s="77" t="s">
        <v>5</v>
      </c>
      <c r="E158" s="63" t="s">
        <v>61</v>
      </c>
      <c r="F158" s="63">
        <f>4*5*6</f>
        <v>120</v>
      </c>
      <c r="G158" s="35"/>
      <c r="H158" s="54"/>
      <c r="I158" s="54"/>
      <c r="J158" s="54"/>
      <c r="K158" s="54"/>
      <c r="L158" s="15"/>
      <c r="M158" s="15"/>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row>
    <row r="159" spans="1:69" s="2" customFormat="1" ht="15" customHeight="1" thickBot="1" x14ac:dyDescent="0.35">
      <c r="A159" s="77" t="s">
        <v>398</v>
      </c>
      <c r="B159" s="68" t="s">
        <v>262</v>
      </c>
      <c r="C159" s="68" t="s">
        <v>263</v>
      </c>
      <c r="D159" s="77" t="s">
        <v>5</v>
      </c>
      <c r="E159" s="63" t="s">
        <v>35</v>
      </c>
      <c r="F159" s="63">
        <v>2</v>
      </c>
      <c r="G159" s="35"/>
      <c r="H159" s="54"/>
      <c r="I159" s="54"/>
      <c r="J159" s="54"/>
      <c r="K159" s="54"/>
      <c r="L159" s="15"/>
      <c r="M159" s="15"/>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row>
    <row r="160" spans="1:69" s="2" customFormat="1" ht="15" customHeight="1" thickBot="1" x14ac:dyDescent="0.35">
      <c r="A160" s="77" t="s">
        <v>399</v>
      </c>
      <c r="B160" s="68" t="s">
        <v>265</v>
      </c>
      <c r="C160" s="68" t="s">
        <v>266</v>
      </c>
      <c r="D160" s="77" t="s">
        <v>5</v>
      </c>
      <c r="E160" s="63" t="s">
        <v>31</v>
      </c>
      <c r="F160" s="63">
        <v>2</v>
      </c>
      <c r="G160" s="35"/>
      <c r="H160" s="54"/>
      <c r="I160" s="54"/>
      <c r="J160" s="54"/>
      <c r="K160" s="54"/>
      <c r="L160" s="15"/>
      <c r="M160" s="15"/>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row>
    <row r="161" spans="1:69" s="2" customFormat="1" ht="15" customHeight="1" thickBot="1" x14ac:dyDescent="0.35">
      <c r="A161" s="77" t="s">
        <v>400</v>
      </c>
      <c r="B161" s="68" t="s">
        <v>268</v>
      </c>
      <c r="C161" s="68"/>
      <c r="D161" s="77" t="s">
        <v>5</v>
      </c>
      <c r="E161" s="63" t="s">
        <v>35</v>
      </c>
      <c r="F161" s="63">
        <v>0.5</v>
      </c>
      <c r="G161" s="35"/>
      <c r="H161" s="54"/>
      <c r="I161" s="54"/>
      <c r="J161" s="54"/>
      <c r="K161" s="54"/>
      <c r="L161" s="15"/>
      <c r="M161" s="15"/>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row>
    <row r="162" spans="1:69" s="2" customFormat="1" ht="15" customHeight="1" thickBot="1" x14ac:dyDescent="0.35">
      <c r="A162" s="77" t="s">
        <v>401</v>
      </c>
      <c r="B162" s="68" t="s">
        <v>270</v>
      </c>
      <c r="C162" s="68" t="s">
        <v>271</v>
      </c>
      <c r="D162" s="77" t="s">
        <v>5</v>
      </c>
      <c r="E162" s="63" t="s">
        <v>35</v>
      </c>
      <c r="F162" s="63">
        <v>0.5</v>
      </c>
      <c r="G162" s="35"/>
      <c r="H162" s="54"/>
      <c r="I162" s="54"/>
      <c r="J162" s="54"/>
      <c r="K162" s="54"/>
      <c r="L162" s="15"/>
      <c r="M162" s="15"/>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row>
    <row r="163" spans="1:69" s="2" customFormat="1" ht="15" customHeight="1" thickBot="1" x14ac:dyDescent="0.35">
      <c r="A163" s="77" t="s">
        <v>402</v>
      </c>
      <c r="B163" s="68" t="s">
        <v>403</v>
      </c>
      <c r="C163" s="68"/>
      <c r="D163" s="77" t="s">
        <v>5</v>
      </c>
      <c r="E163" s="63" t="s">
        <v>35</v>
      </c>
      <c r="F163" s="63">
        <v>3</v>
      </c>
      <c r="G163" s="35"/>
      <c r="H163" s="54"/>
      <c r="I163" s="54"/>
      <c r="J163" s="54"/>
      <c r="K163" s="54"/>
      <c r="L163" s="15"/>
      <c r="M163" s="15"/>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row>
    <row r="164" spans="1:69" s="2" customFormat="1" ht="15" customHeight="1" thickBot="1" x14ac:dyDescent="0.35">
      <c r="A164" s="77" t="s">
        <v>404</v>
      </c>
      <c r="B164" s="68" t="s">
        <v>405</v>
      </c>
      <c r="C164" s="68"/>
      <c r="D164" s="77" t="s">
        <v>5</v>
      </c>
      <c r="E164" s="63" t="s">
        <v>35</v>
      </c>
      <c r="F164" s="63">
        <v>0.1</v>
      </c>
      <c r="G164" s="35"/>
      <c r="H164" s="54"/>
      <c r="I164" s="54"/>
      <c r="J164" s="54"/>
      <c r="K164" s="54"/>
      <c r="L164" s="15"/>
      <c r="M164" s="15"/>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2"/>
      <c r="BP164" s="42"/>
      <c r="BQ164" s="42"/>
    </row>
    <row r="165" spans="1:69" s="2" customFormat="1" ht="15" customHeight="1" thickBot="1" x14ac:dyDescent="0.35">
      <c r="A165" s="77" t="s">
        <v>406</v>
      </c>
      <c r="B165" s="68" t="s">
        <v>407</v>
      </c>
      <c r="C165" s="68" t="s">
        <v>274</v>
      </c>
      <c r="D165" s="77" t="s">
        <v>5</v>
      </c>
      <c r="E165" s="63" t="s">
        <v>35</v>
      </c>
      <c r="F165" s="63">
        <v>2</v>
      </c>
      <c r="G165" s="35"/>
      <c r="H165" s="54"/>
      <c r="I165" s="54"/>
      <c r="J165" s="54"/>
      <c r="K165" s="54"/>
      <c r="L165" s="15"/>
      <c r="M165" s="15"/>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row>
    <row r="166" spans="1:69" s="2" customFormat="1" ht="15" customHeight="1" thickBot="1" x14ac:dyDescent="0.35">
      <c r="A166" s="77" t="s">
        <v>408</v>
      </c>
      <c r="B166" s="68" t="s">
        <v>276</v>
      </c>
      <c r="C166" s="68"/>
      <c r="D166" s="77" t="s">
        <v>5</v>
      </c>
      <c r="E166" s="63" t="s">
        <v>35</v>
      </c>
      <c r="F166" s="63"/>
      <c r="G166" s="35"/>
      <c r="H166" s="54"/>
      <c r="I166" s="54"/>
      <c r="J166" s="54"/>
      <c r="K166" s="54"/>
      <c r="L166" s="15"/>
      <c r="M166" s="15"/>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2"/>
      <c r="BP166" s="42"/>
      <c r="BQ166" s="42"/>
    </row>
    <row r="167" spans="1:69" s="2" customFormat="1" ht="15" customHeight="1" thickBot="1" x14ac:dyDescent="0.35">
      <c r="A167" s="77" t="s">
        <v>409</v>
      </c>
      <c r="B167" s="68" t="s">
        <v>278</v>
      </c>
      <c r="C167" s="68"/>
      <c r="D167" s="77" t="s">
        <v>5</v>
      </c>
      <c r="E167" s="63" t="s">
        <v>35</v>
      </c>
      <c r="F167" s="63"/>
      <c r="G167" s="35"/>
      <c r="H167" s="54"/>
      <c r="I167" s="54"/>
      <c r="J167" s="54"/>
      <c r="K167" s="54"/>
      <c r="L167" s="15"/>
      <c r="M167" s="15"/>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row>
    <row r="168" spans="1:69" s="2" customFormat="1" ht="15" customHeight="1" thickBot="1" x14ac:dyDescent="0.35">
      <c r="A168" s="77" t="s">
        <v>410</v>
      </c>
      <c r="B168" s="68" t="s">
        <v>280</v>
      </c>
      <c r="C168" s="68"/>
      <c r="D168" s="77" t="s">
        <v>5</v>
      </c>
      <c r="E168" s="63" t="s">
        <v>35</v>
      </c>
      <c r="F168" s="63">
        <v>0.3</v>
      </c>
      <c r="G168" s="35"/>
      <c r="H168" s="54"/>
      <c r="I168" s="54"/>
      <c r="J168" s="54"/>
      <c r="K168" s="54"/>
      <c r="L168" s="15"/>
      <c r="M168" s="15"/>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2"/>
      <c r="BP168" s="42"/>
      <c r="BQ168" s="42"/>
    </row>
    <row r="169" spans="1:69" s="2" customFormat="1" ht="15" customHeight="1" thickBot="1" x14ac:dyDescent="0.35">
      <c r="A169" s="77" t="s">
        <v>411</v>
      </c>
      <c r="B169" s="95" t="s">
        <v>412</v>
      </c>
      <c r="C169" s="95"/>
      <c r="D169" s="77" t="s">
        <v>5</v>
      </c>
      <c r="E169" s="63" t="s">
        <v>35</v>
      </c>
      <c r="F169" s="63"/>
      <c r="G169" s="35"/>
      <c r="H169" s="54"/>
      <c r="I169" s="54"/>
      <c r="J169" s="54"/>
      <c r="K169" s="54"/>
      <c r="L169" s="15"/>
      <c r="M169" s="15"/>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row>
    <row r="170" spans="1:69" s="2" customFormat="1" ht="15" customHeight="1" thickBot="1" x14ac:dyDescent="0.35">
      <c r="A170" s="77" t="s">
        <v>413</v>
      </c>
      <c r="B170" s="95" t="s">
        <v>284</v>
      </c>
      <c r="C170" s="95"/>
      <c r="D170" s="77" t="s">
        <v>5</v>
      </c>
      <c r="E170" s="63" t="s">
        <v>35</v>
      </c>
      <c r="F170" s="63"/>
      <c r="G170" s="35"/>
      <c r="H170" s="54"/>
      <c r="I170" s="54"/>
      <c r="J170" s="54"/>
      <c r="K170" s="54"/>
      <c r="L170" s="15"/>
      <c r="M170" s="15"/>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42"/>
      <c r="BH170" s="42"/>
      <c r="BI170" s="42"/>
      <c r="BJ170" s="42"/>
      <c r="BK170" s="42"/>
      <c r="BL170" s="42"/>
      <c r="BM170" s="42"/>
      <c r="BN170" s="42"/>
      <c r="BO170" s="42"/>
      <c r="BP170" s="42"/>
      <c r="BQ170" s="42"/>
    </row>
    <row r="171" spans="1:69" s="2" customFormat="1" ht="15" customHeight="1" thickBot="1" x14ac:dyDescent="0.35">
      <c r="A171" s="77" t="s">
        <v>414</v>
      </c>
      <c r="B171" s="95" t="s">
        <v>286</v>
      </c>
      <c r="C171" s="95"/>
      <c r="D171" s="77" t="s">
        <v>5</v>
      </c>
      <c r="E171" s="63" t="s">
        <v>35</v>
      </c>
      <c r="F171" s="63"/>
      <c r="G171" s="35"/>
      <c r="H171" s="54"/>
      <c r="I171" s="54"/>
      <c r="J171" s="54"/>
      <c r="K171" s="54"/>
      <c r="L171" s="15"/>
      <c r="M171" s="15"/>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row>
    <row r="172" spans="1:69" s="2" customFormat="1" ht="15" customHeight="1" thickBot="1" x14ac:dyDescent="0.35">
      <c r="A172" s="77" t="s">
        <v>415</v>
      </c>
      <c r="B172" s="95" t="s">
        <v>288</v>
      </c>
      <c r="C172" s="95"/>
      <c r="D172" s="77" t="s">
        <v>5</v>
      </c>
      <c r="E172" s="63" t="s">
        <v>35</v>
      </c>
      <c r="F172" s="63"/>
      <c r="G172" s="35"/>
      <c r="H172" s="54"/>
      <c r="I172" s="54"/>
      <c r="J172" s="54"/>
      <c r="K172" s="54"/>
      <c r="L172" s="15"/>
      <c r="M172" s="15"/>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42"/>
      <c r="BN172" s="42"/>
      <c r="BO172" s="42"/>
      <c r="BP172" s="42"/>
      <c r="BQ172" s="42"/>
    </row>
    <row r="173" spans="1:69" s="2" customFormat="1" ht="15" customHeight="1" thickBot="1" x14ac:dyDescent="0.35">
      <c r="A173" s="77" t="s">
        <v>416</v>
      </c>
      <c r="B173" s="95" t="s">
        <v>290</v>
      </c>
      <c r="C173" s="95"/>
      <c r="D173" s="77" t="s">
        <v>5</v>
      </c>
      <c r="E173" s="63" t="s">
        <v>35</v>
      </c>
      <c r="F173" s="63"/>
      <c r="G173" s="35"/>
      <c r="H173" s="54"/>
      <c r="I173" s="54"/>
      <c r="J173" s="54"/>
      <c r="K173" s="54"/>
      <c r="L173" s="15"/>
      <c r="M173" s="15"/>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2"/>
      <c r="BJ173" s="42"/>
      <c r="BK173" s="42"/>
      <c r="BL173" s="42"/>
      <c r="BM173" s="42"/>
      <c r="BN173" s="42"/>
      <c r="BO173" s="42"/>
      <c r="BP173" s="42"/>
      <c r="BQ173" s="42"/>
    </row>
    <row r="174" spans="1:69" s="2" customFormat="1" ht="15" customHeight="1" thickBot="1" x14ac:dyDescent="0.35">
      <c r="A174" s="77" t="s">
        <v>417</v>
      </c>
      <c r="B174" s="95" t="s">
        <v>292</v>
      </c>
      <c r="C174" s="95"/>
      <c r="D174" s="77" t="s">
        <v>5</v>
      </c>
      <c r="E174" s="63" t="s">
        <v>35</v>
      </c>
      <c r="F174" s="63"/>
      <c r="G174" s="35"/>
      <c r="H174" s="54"/>
      <c r="I174" s="54"/>
      <c r="J174" s="54"/>
      <c r="K174" s="54"/>
      <c r="L174" s="15"/>
      <c r="M174" s="15"/>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c r="BD174" s="42"/>
      <c r="BE174" s="42"/>
      <c r="BF174" s="42"/>
      <c r="BG174" s="42"/>
      <c r="BH174" s="42"/>
      <c r="BI174" s="42"/>
      <c r="BJ174" s="42"/>
      <c r="BK174" s="42"/>
      <c r="BL174" s="42"/>
      <c r="BM174" s="42"/>
      <c r="BN174" s="42"/>
      <c r="BO174" s="42"/>
      <c r="BP174" s="42"/>
      <c r="BQ174" s="42"/>
    </row>
    <row r="175" spans="1:69" s="2" customFormat="1" ht="15" customHeight="1" thickBot="1" x14ac:dyDescent="0.35">
      <c r="A175" s="77" t="s">
        <v>418</v>
      </c>
      <c r="B175" s="95" t="s">
        <v>294</v>
      </c>
      <c r="C175" s="95"/>
      <c r="D175" s="77" t="s">
        <v>5</v>
      </c>
      <c r="E175" s="63" t="s">
        <v>35</v>
      </c>
      <c r="F175" s="63"/>
      <c r="G175" s="35"/>
      <c r="H175" s="54"/>
      <c r="I175" s="54"/>
      <c r="J175" s="54"/>
      <c r="K175" s="54"/>
      <c r="L175" s="15"/>
      <c r="M175" s="15"/>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2"/>
      <c r="BH175" s="42"/>
      <c r="BI175" s="42"/>
      <c r="BJ175" s="42"/>
      <c r="BK175" s="42"/>
      <c r="BL175" s="42"/>
      <c r="BM175" s="42"/>
      <c r="BN175" s="42"/>
      <c r="BO175" s="42"/>
      <c r="BP175" s="42"/>
      <c r="BQ175" s="42"/>
    </row>
    <row r="176" spans="1:69" s="2" customFormat="1" ht="15" customHeight="1" thickBot="1" x14ac:dyDescent="0.35">
      <c r="A176" s="77" t="s">
        <v>419</v>
      </c>
      <c r="B176" s="95" t="s">
        <v>296</v>
      </c>
      <c r="C176" s="95"/>
      <c r="D176" s="77" t="s">
        <v>5</v>
      </c>
      <c r="E176" s="63" t="s">
        <v>35</v>
      </c>
      <c r="F176" s="63"/>
      <c r="G176" s="35"/>
      <c r="H176" s="54"/>
      <c r="I176" s="54"/>
      <c r="J176" s="54"/>
      <c r="K176" s="54"/>
      <c r="L176" s="15"/>
      <c r="M176" s="15"/>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2"/>
      <c r="BP176" s="42"/>
      <c r="BQ176" s="42"/>
    </row>
    <row r="177" spans="1:69" s="2" customFormat="1" ht="15" customHeight="1" thickBot="1" x14ac:dyDescent="0.35">
      <c r="A177" s="77" t="s">
        <v>420</v>
      </c>
      <c r="B177" s="68" t="s">
        <v>302</v>
      </c>
      <c r="C177" s="68"/>
      <c r="D177" s="77" t="s">
        <v>5</v>
      </c>
      <c r="E177" s="63" t="s">
        <v>35</v>
      </c>
      <c r="F177" s="63"/>
      <c r="G177" s="35"/>
      <c r="H177" s="54"/>
      <c r="I177" s="54"/>
      <c r="J177" s="54"/>
      <c r="K177" s="54"/>
      <c r="L177" s="15"/>
      <c r="M177" s="15"/>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row>
    <row r="178" spans="1:69" s="2" customFormat="1" ht="15" customHeight="1" thickBot="1" x14ac:dyDescent="0.35">
      <c r="A178" s="77" t="s">
        <v>421</v>
      </c>
      <c r="B178" s="68" t="s">
        <v>304</v>
      </c>
      <c r="C178" s="68"/>
      <c r="D178" s="77" t="s">
        <v>5</v>
      </c>
      <c r="E178" s="63" t="s">
        <v>35</v>
      </c>
      <c r="F178" s="63">
        <v>0.3</v>
      </c>
      <c r="G178" s="35"/>
      <c r="H178" s="54"/>
      <c r="I178" s="54"/>
      <c r="J178" s="54"/>
      <c r="K178" s="54"/>
      <c r="L178" s="15"/>
      <c r="M178" s="15"/>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c r="BD178" s="42"/>
      <c r="BE178" s="42"/>
      <c r="BF178" s="42"/>
      <c r="BG178" s="42"/>
      <c r="BH178" s="42"/>
      <c r="BI178" s="42"/>
      <c r="BJ178" s="42"/>
      <c r="BK178" s="42"/>
      <c r="BL178" s="42"/>
      <c r="BM178" s="42"/>
      <c r="BN178" s="42"/>
      <c r="BO178" s="42"/>
      <c r="BP178" s="42"/>
      <c r="BQ178" s="42"/>
    </row>
    <row r="179" spans="1:69" s="2" customFormat="1" ht="15" customHeight="1" thickBot="1" x14ac:dyDescent="0.35">
      <c r="A179" s="77" t="s">
        <v>422</v>
      </c>
      <c r="B179" s="68" t="s">
        <v>306</v>
      </c>
      <c r="C179" s="68"/>
      <c r="D179" s="77" t="s">
        <v>5</v>
      </c>
      <c r="E179" s="63" t="s">
        <v>35</v>
      </c>
      <c r="F179" s="63">
        <v>0.3</v>
      </c>
      <c r="G179" s="35"/>
      <c r="H179" s="54"/>
      <c r="I179" s="54"/>
      <c r="J179" s="54"/>
      <c r="K179" s="54"/>
      <c r="L179" s="15"/>
      <c r="M179" s="15"/>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2"/>
      <c r="BH179" s="42"/>
      <c r="BI179" s="42"/>
      <c r="BJ179" s="42"/>
      <c r="BK179" s="42"/>
      <c r="BL179" s="42"/>
      <c r="BM179" s="42"/>
      <c r="BN179" s="42"/>
      <c r="BO179" s="42"/>
      <c r="BP179" s="42"/>
      <c r="BQ179" s="42"/>
    </row>
    <row r="180" spans="1:69" s="2" customFormat="1" ht="15" customHeight="1" thickBot="1" x14ac:dyDescent="0.35">
      <c r="A180" s="77" t="s">
        <v>423</v>
      </c>
      <c r="B180" s="68" t="s">
        <v>424</v>
      </c>
      <c r="C180" s="68" t="s">
        <v>425</v>
      </c>
      <c r="D180" s="77" t="s">
        <v>5</v>
      </c>
      <c r="E180" s="63" t="s">
        <v>35</v>
      </c>
      <c r="F180" s="63">
        <v>0.1</v>
      </c>
      <c r="G180" s="35"/>
      <c r="H180" s="54"/>
      <c r="I180" s="54"/>
      <c r="J180" s="54"/>
      <c r="K180" s="54"/>
      <c r="L180" s="15"/>
      <c r="M180" s="15"/>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2"/>
      <c r="BP180" s="42"/>
      <c r="BQ180" s="42"/>
    </row>
    <row r="181" spans="1:69" s="2" customFormat="1" ht="15" customHeight="1" thickBot="1" x14ac:dyDescent="0.35">
      <c r="A181" s="77" t="s">
        <v>426</v>
      </c>
      <c r="B181" s="68" t="s">
        <v>427</v>
      </c>
      <c r="C181" s="68"/>
      <c r="D181" s="77" t="s">
        <v>5</v>
      </c>
      <c r="E181" s="63" t="s">
        <v>35</v>
      </c>
      <c r="F181" s="63">
        <v>0.5</v>
      </c>
      <c r="G181" s="35"/>
      <c r="H181" s="54"/>
      <c r="I181" s="54"/>
      <c r="J181" s="54"/>
      <c r="K181" s="54"/>
      <c r="L181" s="15"/>
      <c r="M181" s="15"/>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42"/>
      <c r="BH181" s="42"/>
      <c r="BI181" s="42"/>
      <c r="BJ181" s="42"/>
      <c r="BK181" s="42"/>
      <c r="BL181" s="42"/>
      <c r="BM181" s="42"/>
      <c r="BN181" s="42"/>
      <c r="BO181" s="42"/>
      <c r="BP181" s="42"/>
      <c r="BQ181" s="42"/>
    </row>
    <row r="182" spans="1:69" s="2" customFormat="1" ht="15" customHeight="1" thickBot="1" x14ac:dyDescent="0.35">
      <c r="A182" s="77" t="s">
        <v>428</v>
      </c>
      <c r="B182" s="68" t="s">
        <v>429</v>
      </c>
      <c r="C182" s="68"/>
      <c r="D182" s="77" t="s">
        <v>5</v>
      </c>
      <c r="E182" s="63" t="s">
        <v>35</v>
      </c>
      <c r="F182" s="63"/>
      <c r="G182" s="35"/>
      <c r="H182" s="54"/>
      <c r="I182" s="54"/>
      <c r="J182" s="54"/>
      <c r="K182" s="54"/>
      <c r="L182" s="15"/>
      <c r="M182" s="15"/>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42"/>
      <c r="BB182" s="42"/>
      <c r="BC182" s="42"/>
      <c r="BD182" s="42"/>
      <c r="BE182" s="42"/>
      <c r="BF182" s="42"/>
      <c r="BG182" s="42"/>
      <c r="BH182" s="42"/>
      <c r="BI182" s="42"/>
      <c r="BJ182" s="42"/>
      <c r="BK182" s="42"/>
      <c r="BL182" s="42"/>
      <c r="BM182" s="42"/>
      <c r="BN182" s="42"/>
      <c r="BO182" s="42"/>
      <c r="BP182" s="42"/>
      <c r="BQ182" s="42"/>
    </row>
    <row r="183" spans="1:69" s="2" customFormat="1" ht="15" customHeight="1" thickBot="1" x14ac:dyDescent="0.35">
      <c r="A183" s="77" t="s">
        <v>430</v>
      </c>
      <c r="B183" s="68" t="s">
        <v>431</v>
      </c>
      <c r="C183" s="68"/>
      <c r="D183" s="77" t="s">
        <v>5</v>
      </c>
      <c r="E183" s="63" t="s">
        <v>35</v>
      </c>
      <c r="F183" s="63"/>
      <c r="G183" s="35"/>
      <c r="H183" s="54"/>
      <c r="I183" s="54"/>
      <c r="J183" s="54"/>
      <c r="K183" s="54"/>
      <c r="L183" s="15"/>
      <c r="M183" s="15"/>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row>
    <row r="184" spans="1:69" s="2" customFormat="1" ht="15" customHeight="1" thickBot="1" x14ac:dyDescent="0.35">
      <c r="A184" s="77" t="s">
        <v>432</v>
      </c>
      <c r="B184" s="68" t="s">
        <v>433</v>
      </c>
      <c r="C184" s="68"/>
      <c r="D184" s="77" t="s">
        <v>5</v>
      </c>
      <c r="E184" s="63" t="s">
        <v>35</v>
      </c>
      <c r="F184" s="63">
        <v>0.3</v>
      </c>
      <c r="G184" s="35"/>
      <c r="H184" s="54"/>
      <c r="I184" s="54"/>
      <c r="J184" s="54"/>
      <c r="K184" s="54"/>
      <c r="L184" s="15"/>
      <c r="M184" s="15"/>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2"/>
      <c r="BH184" s="42"/>
      <c r="BI184" s="42"/>
      <c r="BJ184" s="42"/>
      <c r="BK184" s="42"/>
      <c r="BL184" s="42"/>
      <c r="BM184" s="42"/>
      <c r="BN184" s="42"/>
      <c r="BO184" s="42"/>
      <c r="BP184" s="42"/>
      <c r="BQ184" s="42"/>
    </row>
    <row r="185" spans="1:69" s="2" customFormat="1" ht="15" customHeight="1" thickBot="1" x14ac:dyDescent="0.35">
      <c r="A185" s="77" t="s">
        <v>434</v>
      </c>
      <c r="B185" s="68" t="s">
        <v>435</v>
      </c>
      <c r="C185" s="68"/>
      <c r="D185" s="77" t="s">
        <v>5</v>
      </c>
      <c r="E185" s="63" t="s">
        <v>35</v>
      </c>
      <c r="F185" s="63"/>
      <c r="G185" s="35"/>
      <c r="H185" s="54"/>
      <c r="I185" s="54"/>
      <c r="J185" s="54"/>
      <c r="K185" s="54"/>
      <c r="L185" s="15"/>
      <c r="M185" s="15"/>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row>
    <row r="186" spans="1:69" s="2" customFormat="1" ht="15" customHeight="1" thickBot="1" x14ac:dyDescent="0.35">
      <c r="A186" s="77" t="s">
        <v>436</v>
      </c>
      <c r="B186" s="68" t="s">
        <v>437</v>
      </c>
      <c r="C186" s="68"/>
      <c r="D186" s="77" t="s">
        <v>5</v>
      </c>
      <c r="E186" s="63" t="s">
        <v>35</v>
      </c>
      <c r="F186" s="63">
        <v>0.1</v>
      </c>
      <c r="G186" s="35"/>
      <c r="H186" s="54"/>
      <c r="I186" s="54"/>
      <c r="J186" s="54"/>
      <c r="K186" s="54"/>
      <c r="L186" s="15"/>
      <c r="M186" s="15"/>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2"/>
      <c r="BP186" s="42"/>
      <c r="BQ186" s="42"/>
    </row>
    <row r="187" spans="1:69" s="2" customFormat="1" ht="15" customHeight="1" thickBot="1" x14ac:dyDescent="0.35">
      <c r="A187" s="77" t="s">
        <v>438</v>
      </c>
      <c r="B187" s="68" t="s">
        <v>439</v>
      </c>
      <c r="C187" s="68"/>
      <c r="D187" s="77" t="s">
        <v>5</v>
      </c>
      <c r="E187" s="63" t="s">
        <v>35</v>
      </c>
      <c r="F187" s="63">
        <v>0.2</v>
      </c>
      <c r="G187" s="35"/>
      <c r="H187" s="54"/>
      <c r="I187" s="54"/>
      <c r="J187" s="54"/>
      <c r="K187" s="54"/>
      <c r="L187" s="15"/>
      <c r="M187" s="15"/>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2"/>
      <c r="BP187" s="42"/>
      <c r="BQ187" s="42"/>
    </row>
    <row r="188" spans="1:69" s="2" customFormat="1" ht="15" customHeight="1" thickBot="1" x14ac:dyDescent="0.35">
      <c r="A188" s="77" t="s">
        <v>440</v>
      </c>
      <c r="B188" s="68" t="s">
        <v>441</v>
      </c>
      <c r="C188" s="68"/>
      <c r="D188" s="77" t="s">
        <v>5</v>
      </c>
      <c r="E188" s="63" t="s">
        <v>35</v>
      </c>
      <c r="F188" s="63">
        <v>5</v>
      </c>
      <c r="G188" s="35"/>
      <c r="H188" s="54"/>
      <c r="I188" s="54"/>
      <c r="J188" s="54"/>
      <c r="K188" s="54"/>
      <c r="L188" s="15"/>
      <c r="M188" s="15"/>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2"/>
      <c r="BP188" s="42"/>
      <c r="BQ188" s="42"/>
    </row>
    <row r="189" spans="1:69" s="2" customFormat="1" ht="15" customHeight="1" thickBot="1" x14ac:dyDescent="0.35">
      <c r="A189" s="77" t="s">
        <v>442</v>
      </c>
      <c r="B189" s="68" t="s">
        <v>443</v>
      </c>
      <c r="C189" s="68"/>
      <c r="D189" s="77" t="s">
        <v>5</v>
      </c>
      <c r="E189" s="63" t="s">
        <v>35</v>
      </c>
      <c r="F189" s="63">
        <v>0.1</v>
      </c>
      <c r="G189" s="35"/>
      <c r="H189" s="54"/>
      <c r="I189" s="54"/>
      <c r="J189" s="54"/>
      <c r="K189" s="54"/>
      <c r="L189" s="15"/>
      <c r="M189" s="15"/>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row>
    <row r="190" spans="1:69" s="2" customFormat="1" ht="15" customHeight="1" thickBot="1" x14ac:dyDescent="0.35">
      <c r="A190" s="77" t="s">
        <v>444</v>
      </c>
      <c r="B190" s="68" t="s">
        <v>445</v>
      </c>
      <c r="C190" s="68"/>
      <c r="D190" s="77" t="s">
        <v>5</v>
      </c>
      <c r="E190" s="63" t="s">
        <v>35</v>
      </c>
      <c r="F190" s="63">
        <v>0.1</v>
      </c>
      <c r="G190" s="35"/>
      <c r="H190" s="54"/>
      <c r="I190" s="54"/>
      <c r="J190" s="54"/>
      <c r="K190" s="54"/>
      <c r="L190" s="15"/>
      <c r="M190" s="15"/>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42"/>
      <c r="BH190" s="42"/>
      <c r="BI190" s="42"/>
      <c r="BJ190" s="42"/>
      <c r="BK190" s="42"/>
      <c r="BL190" s="42"/>
      <c r="BM190" s="42"/>
      <c r="BN190" s="42"/>
      <c r="BO190" s="42"/>
      <c r="BP190" s="42"/>
      <c r="BQ190" s="42"/>
    </row>
    <row r="191" spans="1:69" s="2" customFormat="1" ht="15" customHeight="1" thickBot="1" x14ac:dyDescent="0.35">
      <c r="A191" s="77" t="s">
        <v>446</v>
      </c>
      <c r="B191" s="68" t="s">
        <v>447</v>
      </c>
      <c r="C191" s="68" t="s">
        <v>448</v>
      </c>
      <c r="D191" s="77" t="s">
        <v>5</v>
      </c>
      <c r="E191" s="63" t="s">
        <v>35</v>
      </c>
      <c r="F191" s="63">
        <v>0.1</v>
      </c>
      <c r="G191" s="35"/>
      <c r="H191" s="54"/>
      <c r="I191" s="54"/>
      <c r="J191" s="54"/>
      <c r="K191" s="54"/>
      <c r="L191" s="15"/>
      <c r="M191" s="15"/>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42"/>
      <c r="BH191" s="42"/>
      <c r="BI191" s="42"/>
      <c r="BJ191" s="42"/>
      <c r="BK191" s="42"/>
      <c r="BL191" s="42"/>
      <c r="BM191" s="42"/>
      <c r="BN191" s="42"/>
      <c r="BO191" s="42"/>
      <c r="BP191" s="42"/>
      <c r="BQ191" s="42"/>
    </row>
    <row r="192" spans="1:69" s="2" customFormat="1" ht="15" customHeight="1" thickBot="1" x14ac:dyDescent="0.35">
      <c r="A192" s="77" t="s">
        <v>449</v>
      </c>
      <c r="B192" s="68" t="s">
        <v>450</v>
      </c>
      <c r="C192" s="68" t="s">
        <v>451</v>
      </c>
      <c r="D192" s="77" t="s">
        <v>5</v>
      </c>
      <c r="E192" s="63" t="s">
        <v>35</v>
      </c>
      <c r="F192" s="63">
        <v>1.5</v>
      </c>
      <c r="G192" s="35"/>
      <c r="H192" s="54"/>
      <c r="I192" s="54"/>
      <c r="J192" s="54"/>
      <c r="K192" s="54"/>
      <c r="L192" s="15"/>
      <c r="M192" s="15"/>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row>
    <row r="193" spans="1:69" s="2" customFormat="1" ht="15" customHeight="1" thickBot="1" x14ac:dyDescent="0.35">
      <c r="A193" s="77" t="s">
        <v>452</v>
      </c>
      <c r="B193" s="68" t="s">
        <v>453</v>
      </c>
      <c r="C193" s="68" t="s">
        <v>454</v>
      </c>
      <c r="D193" s="77" t="s">
        <v>5</v>
      </c>
      <c r="E193" s="63" t="s">
        <v>31</v>
      </c>
      <c r="F193" s="63">
        <v>15</v>
      </c>
      <c r="G193" s="35"/>
      <c r="H193" s="54"/>
      <c r="I193" s="54"/>
      <c r="J193" s="54"/>
      <c r="K193" s="54"/>
      <c r="L193" s="15"/>
      <c r="M193" s="15"/>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42"/>
      <c r="BH193" s="42"/>
      <c r="BI193" s="42"/>
      <c r="BJ193" s="42"/>
      <c r="BK193" s="42"/>
      <c r="BL193" s="42"/>
      <c r="BM193" s="42"/>
      <c r="BN193" s="42"/>
      <c r="BO193" s="42"/>
      <c r="BP193" s="42"/>
      <c r="BQ193" s="42"/>
    </row>
    <row r="194" spans="1:69" s="2" customFormat="1" ht="15" customHeight="1" thickBot="1" x14ac:dyDescent="0.35">
      <c r="A194" s="77" t="s">
        <v>455</v>
      </c>
      <c r="B194" s="68" t="s">
        <v>456</v>
      </c>
      <c r="C194" s="68" t="s">
        <v>457</v>
      </c>
      <c r="D194" s="77" t="s">
        <v>5</v>
      </c>
      <c r="E194" s="63" t="s">
        <v>35</v>
      </c>
      <c r="F194" s="63">
        <v>0.5</v>
      </c>
      <c r="G194" s="35"/>
      <c r="H194" s="54"/>
      <c r="I194" s="54"/>
      <c r="J194" s="54"/>
      <c r="K194" s="54"/>
      <c r="L194" s="15"/>
      <c r="M194" s="15"/>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42"/>
      <c r="BH194" s="42"/>
      <c r="BI194" s="42"/>
      <c r="BJ194" s="42"/>
      <c r="BK194" s="42"/>
      <c r="BL194" s="42"/>
      <c r="BM194" s="42"/>
      <c r="BN194" s="42"/>
      <c r="BO194" s="42"/>
      <c r="BP194" s="42"/>
      <c r="BQ194" s="42"/>
    </row>
    <row r="195" spans="1:69" s="2" customFormat="1" ht="15" customHeight="1" thickBot="1" x14ac:dyDescent="0.35">
      <c r="A195" s="77" t="s">
        <v>458</v>
      </c>
      <c r="B195" s="68" t="s">
        <v>324</v>
      </c>
      <c r="C195" s="68" t="s">
        <v>459</v>
      </c>
      <c r="D195" s="77" t="s">
        <v>5</v>
      </c>
      <c r="E195" s="63" t="s">
        <v>35</v>
      </c>
      <c r="F195" s="63">
        <v>0.1</v>
      </c>
      <c r="G195" s="35"/>
      <c r="H195" s="54"/>
      <c r="I195" s="54"/>
      <c r="J195" s="54"/>
      <c r="K195" s="54"/>
      <c r="L195" s="15"/>
      <c r="M195" s="15"/>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42"/>
      <c r="BH195" s="42"/>
      <c r="BI195" s="42"/>
      <c r="BJ195" s="42"/>
      <c r="BK195" s="42"/>
      <c r="BL195" s="42"/>
      <c r="BM195" s="42"/>
      <c r="BN195" s="42"/>
      <c r="BO195" s="42"/>
      <c r="BP195" s="42"/>
      <c r="BQ195" s="42"/>
    </row>
    <row r="196" spans="1:69" s="2" customFormat="1" ht="15" customHeight="1" thickBot="1" x14ac:dyDescent="0.35">
      <c r="A196" s="77" t="s">
        <v>460</v>
      </c>
      <c r="B196" s="68" t="s">
        <v>461</v>
      </c>
      <c r="C196" s="68" t="s">
        <v>462</v>
      </c>
      <c r="D196" s="77" t="s">
        <v>5</v>
      </c>
      <c r="E196" s="63" t="s">
        <v>35</v>
      </c>
      <c r="F196" s="63">
        <v>1</v>
      </c>
      <c r="G196" s="35"/>
      <c r="H196" s="54"/>
      <c r="I196" s="54"/>
      <c r="J196" s="54"/>
      <c r="K196" s="54"/>
      <c r="L196" s="15"/>
      <c r="M196" s="15"/>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2"/>
      <c r="BP196" s="42"/>
      <c r="BQ196" s="42"/>
    </row>
    <row r="197" spans="1:69" s="2" customFormat="1" ht="15" customHeight="1" thickBot="1" x14ac:dyDescent="0.35">
      <c r="A197" s="77" t="s">
        <v>463</v>
      </c>
      <c r="B197" s="68" t="s">
        <v>464</v>
      </c>
      <c r="C197" s="68" t="s">
        <v>465</v>
      </c>
      <c r="D197" s="77" t="s">
        <v>5</v>
      </c>
      <c r="E197" s="63" t="s">
        <v>35</v>
      </c>
      <c r="F197" s="63">
        <v>0.2</v>
      </c>
      <c r="G197" s="35"/>
      <c r="H197" s="54"/>
      <c r="I197" s="54"/>
      <c r="J197" s="54"/>
      <c r="K197" s="54"/>
      <c r="L197" s="15"/>
      <c r="M197" s="15"/>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row>
    <row r="198" spans="1:69" s="2" customFormat="1" ht="15" customHeight="1" thickBot="1" x14ac:dyDescent="0.35">
      <c r="A198" s="77" t="s">
        <v>466</v>
      </c>
      <c r="B198" s="68" t="s">
        <v>339</v>
      </c>
      <c r="C198" s="68" t="s">
        <v>340</v>
      </c>
      <c r="D198" s="77" t="s">
        <v>5</v>
      </c>
      <c r="E198" s="63" t="s">
        <v>61</v>
      </c>
      <c r="F198" s="63">
        <v>10</v>
      </c>
      <c r="G198" s="35"/>
      <c r="H198" s="54"/>
      <c r="I198" s="54"/>
      <c r="J198" s="54"/>
      <c r="K198" s="54"/>
      <c r="L198" s="15"/>
      <c r="M198" s="15"/>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2"/>
      <c r="BP198" s="42"/>
      <c r="BQ198" s="42"/>
    </row>
    <row r="199" spans="1:69" s="2" customFormat="1" ht="15" customHeight="1" thickBot="1" x14ac:dyDescent="0.35">
      <c r="A199" s="77" t="s">
        <v>467</v>
      </c>
      <c r="B199" s="68" t="s">
        <v>342</v>
      </c>
      <c r="C199" s="68" t="s">
        <v>468</v>
      </c>
      <c r="D199" s="77" t="s">
        <v>5</v>
      </c>
      <c r="E199" s="63" t="s">
        <v>61</v>
      </c>
      <c r="F199" s="63">
        <v>10</v>
      </c>
      <c r="G199" s="35"/>
      <c r="H199" s="54"/>
      <c r="I199" s="54"/>
      <c r="J199" s="54"/>
      <c r="K199" s="54"/>
      <c r="L199" s="15"/>
      <c r="M199" s="15"/>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42"/>
      <c r="BH199" s="42"/>
      <c r="BI199" s="42"/>
      <c r="BJ199" s="42"/>
      <c r="BK199" s="42"/>
      <c r="BL199" s="42"/>
      <c r="BM199" s="42"/>
      <c r="BN199" s="42"/>
      <c r="BO199" s="42"/>
      <c r="BP199" s="42"/>
      <c r="BQ199" s="42"/>
    </row>
    <row r="200" spans="1:69" s="2" customFormat="1" ht="15" customHeight="1" thickBot="1" x14ac:dyDescent="0.35">
      <c r="A200" s="77" t="s">
        <v>469</v>
      </c>
      <c r="B200" s="68" t="s">
        <v>470</v>
      </c>
      <c r="C200" s="68" t="s">
        <v>471</v>
      </c>
      <c r="D200" s="77" t="s">
        <v>5</v>
      </c>
      <c r="E200" s="63" t="s">
        <v>61</v>
      </c>
      <c r="F200" s="63">
        <v>0.3</v>
      </c>
      <c r="G200" s="35"/>
      <c r="H200" s="54"/>
      <c r="I200" s="54"/>
      <c r="J200" s="54"/>
      <c r="K200" s="54"/>
      <c r="L200" s="15"/>
      <c r="M200" s="15"/>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42"/>
      <c r="BB200" s="42"/>
      <c r="BC200" s="42"/>
      <c r="BD200" s="42"/>
      <c r="BE200" s="42"/>
      <c r="BF200" s="42"/>
      <c r="BG200" s="42"/>
      <c r="BH200" s="42"/>
      <c r="BI200" s="42"/>
      <c r="BJ200" s="42"/>
      <c r="BK200" s="42"/>
      <c r="BL200" s="42"/>
      <c r="BM200" s="42"/>
      <c r="BN200" s="42"/>
      <c r="BO200" s="42"/>
      <c r="BP200" s="42"/>
      <c r="BQ200" s="42"/>
    </row>
    <row r="201" spans="1:69" s="2" customFormat="1" ht="15" customHeight="1" thickBot="1" x14ac:dyDescent="0.35">
      <c r="A201" s="77" t="s">
        <v>472</v>
      </c>
      <c r="B201" s="68" t="s">
        <v>473</v>
      </c>
      <c r="C201" s="68" t="s">
        <v>474</v>
      </c>
      <c r="D201" s="77" t="s">
        <v>5</v>
      </c>
      <c r="E201" s="63" t="s">
        <v>35</v>
      </c>
      <c r="F201" s="63">
        <v>0.1</v>
      </c>
      <c r="G201" s="35"/>
      <c r="H201" s="54"/>
      <c r="I201" s="54"/>
      <c r="J201" s="54"/>
      <c r="K201" s="54"/>
      <c r="L201" s="15"/>
      <c r="M201" s="15"/>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42"/>
      <c r="BH201" s="42"/>
      <c r="BI201" s="42"/>
      <c r="BJ201" s="42"/>
      <c r="BK201" s="42"/>
      <c r="BL201" s="42"/>
      <c r="BM201" s="42"/>
      <c r="BN201" s="42"/>
      <c r="BO201" s="42"/>
      <c r="BP201" s="42"/>
      <c r="BQ201" s="42"/>
    </row>
    <row r="202" spans="1:69" s="2" customFormat="1" ht="15" customHeight="1" thickBot="1" x14ac:dyDescent="0.35">
      <c r="A202" s="77" t="s">
        <v>475</v>
      </c>
      <c r="B202" s="68" t="s">
        <v>476</v>
      </c>
      <c r="C202" s="68" t="s">
        <v>477</v>
      </c>
      <c r="D202" s="77" t="s">
        <v>5</v>
      </c>
      <c r="E202" s="63" t="s">
        <v>35</v>
      </c>
      <c r="F202" s="63">
        <v>0.1</v>
      </c>
      <c r="G202" s="35"/>
      <c r="H202" s="54"/>
      <c r="I202" s="54"/>
      <c r="J202" s="54"/>
      <c r="K202" s="54"/>
      <c r="L202" s="15"/>
      <c r="M202" s="15"/>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2"/>
      <c r="BG202" s="42"/>
      <c r="BH202" s="42"/>
      <c r="BI202" s="42"/>
      <c r="BJ202" s="42"/>
      <c r="BK202" s="42"/>
      <c r="BL202" s="42"/>
      <c r="BM202" s="42"/>
      <c r="BN202" s="42"/>
      <c r="BO202" s="42"/>
      <c r="BP202" s="42"/>
      <c r="BQ202" s="42"/>
    </row>
    <row r="203" spans="1:69" s="2" customFormat="1" ht="15" customHeight="1" thickBot="1" x14ac:dyDescent="0.35">
      <c r="A203" s="77" t="s">
        <v>478</v>
      </c>
      <c r="B203" s="68" t="s">
        <v>479</v>
      </c>
      <c r="C203" s="68"/>
      <c r="D203" s="77" t="s">
        <v>5</v>
      </c>
      <c r="E203" s="63" t="s">
        <v>31</v>
      </c>
      <c r="F203" s="63">
        <v>1</v>
      </c>
      <c r="G203" s="35"/>
      <c r="H203" s="54"/>
      <c r="I203" s="54"/>
      <c r="J203" s="54"/>
      <c r="K203" s="54"/>
      <c r="L203" s="15"/>
      <c r="M203" s="15"/>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42"/>
      <c r="BH203" s="42"/>
      <c r="BI203" s="42"/>
      <c r="BJ203" s="42"/>
      <c r="BK203" s="42"/>
      <c r="BL203" s="42"/>
      <c r="BM203" s="42"/>
      <c r="BN203" s="42"/>
      <c r="BO203" s="42"/>
      <c r="BP203" s="42"/>
      <c r="BQ203" s="42"/>
    </row>
    <row r="204" spans="1:69" s="2" customFormat="1" ht="15" thickBot="1" x14ac:dyDescent="0.35">
      <c r="A204" s="77" t="s">
        <v>480</v>
      </c>
      <c r="B204" s="83" t="s">
        <v>481</v>
      </c>
      <c r="C204" s="83" t="s">
        <v>482</v>
      </c>
      <c r="D204" s="77" t="s">
        <v>5</v>
      </c>
      <c r="E204" s="93" t="s">
        <v>31</v>
      </c>
      <c r="F204" s="93">
        <v>1</v>
      </c>
      <c r="G204" s="35"/>
      <c r="H204" s="54"/>
      <c r="I204" s="54"/>
      <c r="J204" s="54"/>
      <c r="K204" s="54"/>
      <c r="L204" s="15"/>
      <c r="M204" s="15"/>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c r="BD204" s="42"/>
      <c r="BE204" s="42"/>
      <c r="BF204" s="42"/>
      <c r="BG204" s="42"/>
      <c r="BH204" s="42"/>
      <c r="BI204" s="42"/>
      <c r="BJ204" s="42"/>
      <c r="BK204" s="42"/>
      <c r="BL204" s="42"/>
      <c r="BM204" s="42"/>
      <c r="BN204" s="42"/>
      <c r="BO204" s="42"/>
      <c r="BP204" s="42"/>
      <c r="BQ204" s="42"/>
    </row>
    <row r="205" spans="1:69" s="2" customFormat="1" ht="15" customHeight="1" thickBot="1" x14ac:dyDescent="0.35">
      <c r="A205" s="77" t="s">
        <v>483</v>
      </c>
      <c r="B205" s="68" t="s">
        <v>219</v>
      </c>
      <c r="C205" s="68" t="s">
        <v>484</v>
      </c>
      <c r="D205" s="77" t="s">
        <v>5</v>
      </c>
      <c r="E205" s="63" t="s">
        <v>31</v>
      </c>
      <c r="F205" s="63">
        <v>20</v>
      </c>
      <c r="G205" s="35"/>
      <c r="H205" s="54"/>
      <c r="I205" s="54"/>
      <c r="J205" s="54"/>
      <c r="K205" s="54"/>
      <c r="L205" s="15"/>
      <c r="M205" s="15"/>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row>
    <row r="206" spans="1:69" s="2" customFormat="1" ht="15" customHeight="1" thickBot="1" x14ac:dyDescent="0.35">
      <c r="A206" s="77" t="s">
        <v>485</v>
      </c>
      <c r="B206" s="68" t="s">
        <v>486</v>
      </c>
      <c r="C206" s="68" t="s">
        <v>487</v>
      </c>
      <c r="D206" s="77" t="s">
        <v>5</v>
      </c>
      <c r="E206" s="63" t="s">
        <v>61</v>
      </c>
      <c r="F206" s="63">
        <v>5</v>
      </c>
      <c r="G206" s="35"/>
      <c r="H206" s="54"/>
      <c r="I206" s="54"/>
      <c r="J206" s="54"/>
      <c r="K206" s="54"/>
      <c r="L206" s="15"/>
      <c r="M206" s="15"/>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2"/>
      <c r="BP206" s="42"/>
      <c r="BQ206" s="42"/>
    </row>
    <row r="207" spans="1:69" s="2" customFormat="1" ht="15" customHeight="1" thickBot="1" x14ac:dyDescent="0.35">
      <c r="A207" s="77" t="s">
        <v>488</v>
      </c>
      <c r="B207" s="68" t="s">
        <v>231</v>
      </c>
      <c r="C207" s="68" t="s">
        <v>370</v>
      </c>
      <c r="D207" s="77" t="s">
        <v>5</v>
      </c>
      <c r="E207" s="63" t="s">
        <v>31</v>
      </c>
      <c r="F207" s="63">
        <v>1</v>
      </c>
      <c r="G207" s="35"/>
      <c r="H207" s="54"/>
      <c r="I207" s="54"/>
      <c r="J207" s="54"/>
      <c r="K207" s="54"/>
      <c r="L207" s="15"/>
      <c r="M207" s="15"/>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row>
    <row r="208" spans="1:69" s="2" customFormat="1" ht="15" customHeight="1" thickBot="1" x14ac:dyDescent="0.35">
      <c r="A208" s="77" t="s">
        <v>489</v>
      </c>
      <c r="B208" s="68" t="s">
        <v>372</v>
      </c>
      <c r="C208" s="68" t="s">
        <v>490</v>
      </c>
      <c r="D208" s="77" t="s">
        <v>5</v>
      </c>
      <c r="E208" s="63" t="s">
        <v>61</v>
      </c>
      <c r="F208" s="63">
        <v>3</v>
      </c>
      <c r="G208" s="35"/>
      <c r="H208" s="54"/>
      <c r="I208" s="54"/>
      <c r="J208" s="54"/>
      <c r="K208" s="54"/>
      <c r="L208" s="15"/>
      <c r="M208" s="15"/>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2"/>
      <c r="BP208" s="42"/>
      <c r="BQ208" s="42"/>
    </row>
    <row r="209" spans="1:69" s="2" customFormat="1" ht="15" customHeight="1" thickBot="1" x14ac:dyDescent="0.35">
      <c r="A209" s="77" t="s">
        <v>491</v>
      </c>
      <c r="B209" s="68" t="s">
        <v>364</v>
      </c>
      <c r="C209" s="68"/>
      <c r="D209" s="77" t="s">
        <v>5</v>
      </c>
      <c r="E209" s="63" t="s">
        <v>35</v>
      </c>
      <c r="F209" s="63" t="s">
        <v>366</v>
      </c>
      <c r="G209" s="35"/>
      <c r="H209" s="54"/>
      <c r="I209" s="54"/>
      <c r="J209" s="54"/>
      <c r="K209" s="54"/>
      <c r="L209" s="15"/>
      <c r="M209" s="15"/>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2"/>
      <c r="BH209" s="42"/>
      <c r="BI209" s="42"/>
      <c r="BJ209" s="42"/>
      <c r="BK209" s="42"/>
      <c r="BL209" s="42"/>
      <c r="BM209" s="42"/>
      <c r="BN209" s="42"/>
      <c r="BO209" s="42"/>
      <c r="BP209" s="42"/>
      <c r="BQ209" s="42"/>
    </row>
    <row r="210" spans="1:69" s="2" customFormat="1" ht="15" customHeight="1" thickBot="1" x14ac:dyDescent="0.35">
      <c r="A210" s="77" t="s">
        <v>492</v>
      </c>
      <c r="B210" s="68" t="s">
        <v>225</v>
      </c>
      <c r="C210" s="68"/>
      <c r="D210" s="77" t="s">
        <v>5</v>
      </c>
      <c r="E210" s="63" t="s">
        <v>35</v>
      </c>
      <c r="F210" s="63">
        <v>1</v>
      </c>
      <c r="G210" s="35"/>
      <c r="H210" s="54"/>
      <c r="I210" s="54"/>
      <c r="J210" s="54"/>
      <c r="K210" s="54"/>
      <c r="L210" s="15"/>
      <c r="M210" s="15"/>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2"/>
      <c r="BH210" s="42"/>
      <c r="BI210" s="42"/>
      <c r="BJ210" s="42"/>
      <c r="BK210" s="42"/>
      <c r="BL210" s="42"/>
      <c r="BM210" s="42"/>
      <c r="BN210" s="42"/>
      <c r="BO210" s="42"/>
      <c r="BP210" s="42"/>
      <c r="BQ210" s="42"/>
    </row>
    <row r="211" spans="1:69" s="2" customFormat="1" ht="15" customHeight="1" thickBot="1" x14ac:dyDescent="0.35">
      <c r="A211" s="77" t="s">
        <v>493</v>
      </c>
      <c r="B211" s="68" t="s">
        <v>494</v>
      </c>
      <c r="C211" s="68"/>
      <c r="D211" s="77" t="s">
        <v>5</v>
      </c>
      <c r="E211" s="63" t="s">
        <v>35</v>
      </c>
      <c r="F211" s="63">
        <v>1</v>
      </c>
      <c r="G211" s="35"/>
      <c r="H211" s="54"/>
      <c r="I211" s="54"/>
      <c r="J211" s="54"/>
      <c r="K211" s="54"/>
      <c r="L211" s="15"/>
      <c r="M211" s="15"/>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2"/>
      <c r="BH211" s="42"/>
      <c r="BI211" s="42"/>
      <c r="BJ211" s="42"/>
      <c r="BK211" s="42"/>
      <c r="BL211" s="42"/>
      <c r="BM211" s="42"/>
      <c r="BN211" s="42"/>
      <c r="BO211" s="42"/>
      <c r="BP211" s="42"/>
      <c r="BQ211" s="42"/>
    </row>
    <row r="212" spans="1:69" s="2" customFormat="1" ht="15" customHeight="1" thickBot="1" x14ac:dyDescent="0.35">
      <c r="A212" s="77" t="s">
        <v>495</v>
      </c>
      <c r="B212" s="83" t="s">
        <v>496</v>
      </c>
      <c r="C212" s="83"/>
      <c r="D212" s="92" t="s">
        <v>5</v>
      </c>
      <c r="E212" s="93" t="s">
        <v>35</v>
      </c>
      <c r="F212" s="93">
        <v>5</v>
      </c>
      <c r="G212" s="35"/>
      <c r="H212" s="54"/>
      <c r="I212" s="54"/>
      <c r="J212" s="54"/>
      <c r="K212" s="54"/>
      <c r="L212" s="15"/>
      <c r="M212" s="15"/>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c r="BD212" s="42"/>
      <c r="BE212" s="42"/>
      <c r="BF212" s="42"/>
      <c r="BG212" s="42"/>
      <c r="BH212" s="42"/>
      <c r="BI212" s="42"/>
      <c r="BJ212" s="42"/>
      <c r="BK212" s="42"/>
      <c r="BL212" s="42"/>
      <c r="BM212" s="42"/>
      <c r="BN212" s="42"/>
      <c r="BO212" s="42"/>
      <c r="BP212" s="42"/>
      <c r="BQ212" s="42"/>
    </row>
    <row r="213" spans="1:69" s="2" customFormat="1" ht="15" customHeight="1" thickBot="1" x14ac:dyDescent="0.35">
      <c r="A213" s="77" t="s">
        <v>497</v>
      </c>
      <c r="B213" s="68" t="s">
        <v>237</v>
      </c>
      <c r="C213" s="68"/>
      <c r="D213" s="77" t="s">
        <v>5</v>
      </c>
      <c r="E213" s="63" t="s">
        <v>35</v>
      </c>
      <c r="F213" s="63">
        <v>1</v>
      </c>
      <c r="G213" s="35"/>
      <c r="H213" s="54"/>
      <c r="I213" s="54"/>
      <c r="J213" s="54"/>
      <c r="K213" s="54"/>
      <c r="L213" s="15"/>
      <c r="M213" s="15" t="str">
        <f>IF(OR(ISBLANK(task_start),ISBLANK(task_end)),"",task_end-task_start+1)</f>
        <v/>
      </c>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c r="BC213" s="42"/>
      <c r="BD213" s="42"/>
      <c r="BE213" s="42"/>
      <c r="BF213" s="42"/>
      <c r="BG213" s="42"/>
      <c r="BH213" s="42"/>
      <c r="BI213" s="42"/>
      <c r="BJ213" s="42"/>
      <c r="BK213" s="42"/>
      <c r="BL213" s="42"/>
      <c r="BM213" s="42"/>
      <c r="BN213" s="42"/>
      <c r="BO213" s="42"/>
      <c r="BP213" s="42"/>
      <c r="BQ213" s="42"/>
    </row>
    <row r="214" spans="1:69" s="2" customFormat="1" ht="15" customHeight="1" thickBot="1" x14ac:dyDescent="0.35">
      <c r="A214" s="77" t="s">
        <v>498</v>
      </c>
      <c r="B214" s="68" t="s">
        <v>499</v>
      </c>
      <c r="C214" s="68"/>
      <c r="D214" s="77" t="s">
        <v>5</v>
      </c>
      <c r="E214" s="63" t="s">
        <v>61</v>
      </c>
      <c r="F214" s="63">
        <v>1</v>
      </c>
      <c r="G214" s="35"/>
      <c r="H214" s="54"/>
      <c r="I214" s="54"/>
      <c r="J214" s="54"/>
      <c r="K214" s="54"/>
      <c r="L214" s="15"/>
      <c r="M214" s="15" t="str">
        <f>IF(OR(ISBLANK(task_start),ISBLANK(task_end)),"",task_end-task_start+1)</f>
        <v/>
      </c>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42"/>
      <c r="BH214" s="42"/>
      <c r="BI214" s="42"/>
      <c r="BJ214" s="42"/>
      <c r="BK214" s="42"/>
      <c r="BL214" s="42"/>
      <c r="BM214" s="42"/>
      <c r="BN214" s="42"/>
      <c r="BO214" s="42"/>
      <c r="BP214" s="42"/>
      <c r="BQ214" s="42"/>
    </row>
    <row r="215" spans="1:69" s="2" customFormat="1" ht="15" customHeight="1" thickBot="1" x14ac:dyDescent="0.35">
      <c r="A215" s="77" t="s">
        <v>500</v>
      </c>
      <c r="B215" s="68" t="s">
        <v>501</v>
      </c>
      <c r="C215" s="68"/>
      <c r="D215" s="77" t="s">
        <v>5</v>
      </c>
      <c r="E215" s="63" t="s">
        <v>31</v>
      </c>
      <c r="F215" s="63">
        <v>1</v>
      </c>
      <c r="G215" s="35"/>
      <c r="H215" s="54"/>
      <c r="I215" s="54"/>
      <c r="J215" s="54"/>
      <c r="K215" s="54"/>
      <c r="L215" s="15"/>
      <c r="M215" s="15" t="str">
        <f>IF(OR(ISBLANK(task_start),ISBLANK(task_end)),"",task_end-task_start+1)</f>
        <v/>
      </c>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c r="BC215" s="42"/>
      <c r="BD215" s="42"/>
      <c r="BE215" s="42"/>
      <c r="BF215" s="42"/>
      <c r="BG215" s="42"/>
      <c r="BH215" s="42"/>
      <c r="BI215" s="42"/>
      <c r="BJ215" s="42"/>
      <c r="BK215" s="42"/>
      <c r="BL215" s="42"/>
      <c r="BM215" s="42"/>
      <c r="BN215" s="42"/>
      <c r="BO215" s="42"/>
      <c r="BP215" s="42"/>
      <c r="BQ215" s="42"/>
    </row>
    <row r="216" spans="1:69" s="2" customFormat="1" ht="15" customHeight="1" thickBot="1" x14ac:dyDescent="0.35">
      <c r="A216" s="77"/>
      <c r="B216" s="69"/>
      <c r="C216" s="69"/>
      <c r="D216" s="69"/>
      <c r="E216" s="64"/>
      <c r="F216" s="64"/>
      <c r="G216" s="14"/>
      <c r="H216" s="55"/>
      <c r="I216" s="55"/>
      <c r="J216" s="55"/>
      <c r="K216" s="55"/>
      <c r="L216" s="15"/>
      <c r="M216" s="15" t="str">
        <f>IF(OR(ISBLANK(task_start),ISBLANK(task_end)),"",task_end-task_start+1)</f>
        <v/>
      </c>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42"/>
      <c r="BB216" s="42"/>
      <c r="BC216" s="42"/>
      <c r="BD216" s="42"/>
      <c r="BE216" s="42"/>
      <c r="BF216" s="42"/>
      <c r="BG216" s="42"/>
      <c r="BH216" s="42"/>
      <c r="BI216" s="42"/>
      <c r="BJ216" s="42"/>
      <c r="BK216" s="42"/>
      <c r="BL216" s="42"/>
      <c r="BM216" s="42"/>
      <c r="BN216" s="42"/>
      <c r="BO216" s="42"/>
      <c r="BP216" s="42"/>
      <c r="BQ216" s="42"/>
    </row>
    <row r="217" spans="1:69" s="2" customFormat="1" ht="15" customHeight="1" thickBot="1" x14ac:dyDescent="0.35">
      <c r="A217" s="77"/>
      <c r="B217" s="36" t="s">
        <v>502</v>
      </c>
      <c r="C217" s="36"/>
      <c r="D217" s="36"/>
      <c r="E217" s="37"/>
      <c r="F217" s="37"/>
      <c r="G217" s="38"/>
      <c r="H217" s="39"/>
      <c r="I217" s="40"/>
      <c r="J217" s="40"/>
      <c r="K217" s="40"/>
      <c r="L217" s="41"/>
      <c r="M217" s="41" t="str">
        <f>IF(OR(ISBLANK(task_start),ISBLANK(task_end)),"",task_end-task_start+1)</f>
        <v/>
      </c>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4"/>
      <c r="BC217" s="44"/>
      <c r="BD217" s="44"/>
      <c r="BE217" s="44"/>
      <c r="BF217" s="44"/>
      <c r="BG217" s="44"/>
      <c r="BH217" s="44"/>
      <c r="BI217" s="44"/>
      <c r="BJ217" s="44"/>
      <c r="BK217" s="44"/>
      <c r="BL217" s="44"/>
      <c r="BM217" s="44"/>
      <c r="BN217" s="44"/>
      <c r="BO217" s="44"/>
      <c r="BP217" s="44"/>
      <c r="BQ217" s="44"/>
    </row>
    <row r="218" spans="1:69" ht="30" customHeight="1" x14ac:dyDescent="0.3">
      <c r="L218" s="4"/>
    </row>
    <row r="219" spans="1:69" ht="30" customHeight="1" x14ac:dyDescent="0.3">
      <c r="B219" t="s">
        <v>504</v>
      </c>
      <c r="E219" s="12"/>
      <c r="F219" s="12"/>
      <c r="I219" s="45"/>
      <c r="J219" s="45"/>
      <c r="K219" s="45"/>
    </row>
    <row r="220" spans="1:69" ht="30" customHeight="1" x14ac:dyDescent="0.3">
      <c r="B220" t="s">
        <v>505</v>
      </c>
      <c r="E220" s="13"/>
      <c r="F220" s="13"/>
    </row>
  </sheetData>
  <mergeCells count="12">
    <mergeCell ref="E3:G3"/>
    <mergeCell ref="E4:G4"/>
    <mergeCell ref="B5:L5"/>
    <mergeCell ref="AP4:AV4"/>
    <mergeCell ref="AW4:BC4"/>
    <mergeCell ref="BD4:BJ4"/>
    <mergeCell ref="BK4:BQ4"/>
    <mergeCell ref="H3:I3"/>
    <mergeCell ref="N4:T4"/>
    <mergeCell ref="U4:AA4"/>
    <mergeCell ref="AB4:AH4"/>
    <mergeCell ref="AI4:AO4"/>
  </mergeCells>
  <phoneticPr fontId="18" type="noConversion"/>
  <conditionalFormatting sqref="G60:G66 G7:G18 G68:G109 G111:G143 G145:G202 G206:G217 G41:G51">
    <cfRule type="dataBar" priority="38">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N111:BQ143 N145:BQ204 N206:BQ217 N5:BQ109">
    <cfRule type="expression" dxfId="11" priority="57">
      <formula>AND(TODAY()&gt;=N$5,TODAY()&lt;O$5)</formula>
    </cfRule>
  </conditionalFormatting>
  <conditionalFormatting sqref="N111:BQ143 N145:BQ204 N206:BQ217 N7:BQ109">
    <cfRule type="expression" dxfId="10" priority="51">
      <formula>AND(task_start&lt;=N$5,ROUNDDOWN((task_end-task_start+1)*task_progress,0)+task_start-1&gt;=N$5)</formula>
    </cfRule>
    <cfRule type="expression" dxfId="9" priority="52" stopIfTrue="1">
      <formula>AND(task_end&gt;=N$5,task_start&lt;O$5)</formula>
    </cfRule>
  </conditionalFormatting>
  <conditionalFormatting sqref="G19">
    <cfRule type="dataBar" priority="23">
      <dataBar>
        <cfvo type="num" val="0"/>
        <cfvo type="num" val="1"/>
        <color theme="0" tint="-0.249977111117893"/>
      </dataBar>
      <extLst>
        <ext xmlns:x14="http://schemas.microsoft.com/office/spreadsheetml/2009/9/main" uri="{B025F937-C7B1-47D3-B67F-A62EFF666E3E}">
          <x14:id>{9D896DD0-55D6-4874-9A49-E205E9612718}</x14:id>
        </ext>
      </extLst>
    </cfRule>
  </conditionalFormatting>
  <conditionalFormatting sqref="G20:G31 G33:G39 G53:G59">
    <cfRule type="dataBar" priority="22">
      <dataBar>
        <cfvo type="num" val="0"/>
        <cfvo type="num" val="1"/>
        <color theme="0" tint="-0.249977111117893"/>
      </dataBar>
      <extLst>
        <ext xmlns:x14="http://schemas.microsoft.com/office/spreadsheetml/2009/9/main" uri="{B025F937-C7B1-47D3-B67F-A62EFF666E3E}">
          <x14:id>{FB183143-6147-43DE-96E2-DFEADD1D0D0B}</x14:id>
        </ext>
      </extLst>
    </cfRule>
  </conditionalFormatting>
  <conditionalFormatting sqref="G67">
    <cfRule type="dataBar" priority="21">
      <dataBar>
        <cfvo type="num" val="0"/>
        <cfvo type="num" val="1"/>
        <color theme="0" tint="-0.249977111117893"/>
      </dataBar>
      <extLst>
        <ext xmlns:x14="http://schemas.microsoft.com/office/spreadsheetml/2009/9/main" uri="{B025F937-C7B1-47D3-B67F-A62EFF666E3E}">
          <x14:id>{B3CC5D7A-2866-4B97-8ABF-88A04B2936F7}</x14:id>
        </ext>
      </extLst>
    </cfRule>
  </conditionalFormatting>
  <conditionalFormatting sqref="G203:G204">
    <cfRule type="dataBar" priority="20">
      <dataBar>
        <cfvo type="num" val="0"/>
        <cfvo type="num" val="1"/>
        <color theme="0" tint="-0.249977111117893"/>
      </dataBar>
      <extLst>
        <ext xmlns:x14="http://schemas.microsoft.com/office/spreadsheetml/2009/9/main" uri="{B025F937-C7B1-47D3-B67F-A62EFF666E3E}">
          <x14:id>{2DF74890-9574-4FBB-B00E-8E7B5D284CBC}</x14:id>
        </ext>
      </extLst>
    </cfRule>
  </conditionalFormatting>
  <conditionalFormatting sqref="G110">
    <cfRule type="dataBar" priority="16">
      <dataBar>
        <cfvo type="num" val="0"/>
        <cfvo type="num" val="1"/>
        <color theme="0" tint="-0.249977111117893"/>
      </dataBar>
      <extLst>
        <ext xmlns:x14="http://schemas.microsoft.com/office/spreadsheetml/2009/9/main" uri="{B025F937-C7B1-47D3-B67F-A62EFF666E3E}">
          <x14:id>{97B241B6-A705-43F2-BA56-2148C6AC63AA}</x14:id>
        </ext>
      </extLst>
    </cfRule>
  </conditionalFormatting>
  <conditionalFormatting sqref="N110:BQ110">
    <cfRule type="expression" dxfId="8" priority="19">
      <formula>AND(TODAY()&gt;=N$5,TODAY()&lt;O$5)</formula>
    </cfRule>
  </conditionalFormatting>
  <conditionalFormatting sqref="N110:BQ110">
    <cfRule type="expression" dxfId="7" priority="17">
      <formula>AND(task_start&lt;=N$5,ROUNDDOWN((task_end-task_start+1)*task_progress,0)+task_start-1&gt;=N$5)</formula>
    </cfRule>
    <cfRule type="expression" dxfId="6" priority="18" stopIfTrue="1">
      <formula>AND(task_end&gt;=N$5,task_start&lt;O$5)</formula>
    </cfRule>
  </conditionalFormatting>
  <conditionalFormatting sqref="G32">
    <cfRule type="dataBar" priority="15">
      <dataBar>
        <cfvo type="num" val="0"/>
        <cfvo type="num" val="1"/>
        <color theme="0" tint="-0.249977111117893"/>
      </dataBar>
      <extLst>
        <ext xmlns:x14="http://schemas.microsoft.com/office/spreadsheetml/2009/9/main" uri="{B025F937-C7B1-47D3-B67F-A62EFF666E3E}">
          <x14:id>{FE2F4608-2315-4835-A478-516CBA92C1D6}</x14:id>
        </ext>
      </extLst>
    </cfRule>
  </conditionalFormatting>
  <conditionalFormatting sqref="G40">
    <cfRule type="dataBar" priority="14">
      <dataBar>
        <cfvo type="num" val="0"/>
        <cfvo type="num" val="1"/>
        <color theme="0" tint="-0.249977111117893"/>
      </dataBar>
      <extLst>
        <ext xmlns:x14="http://schemas.microsoft.com/office/spreadsheetml/2009/9/main" uri="{B025F937-C7B1-47D3-B67F-A62EFF666E3E}">
          <x14:id>{0F079A4A-AD4F-4F03-AA24-D7262255AF1A}</x14:id>
        </ext>
      </extLst>
    </cfRule>
  </conditionalFormatting>
  <conditionalFormatting sqref="G52">
    <cfRule type="dataBar" priority="13">
      <dataBar>
        <cfvo type="num" val="0"/>
        <cfvo type="num" val="1"/>
        <color theme="0" tint="-0.249977111117893"/>
      </dataBar>
      <extLst>
        <ext xmlns:x14="http://schemas.microsoft.com/office/spreadsheetml/2009/9/main" uri="{B025F937-C7B1-47D3-B67F-A62EFF666E3E}">
          <x14:id>{5CD421AC-E866-4770-BDDB-09D623F9D3D5}</x14:id>
        </ext>
      </extLst>
    </cfRule>
  </conditionalFormatting>
  <conditionalFormatting sqref="G144">
    <cfRule type="dataBar" priority="5">
      <dataBar>
        <cfvo type="num" val="0"/>
        <cfvo type="num" val="1"/>
        <color theme="0" tint="-0.249977111117893"/>
      </dataBar>
      <extLst>
        <ext xmlns:x14="http://schemas.microsoft.com/office/spreadsheetml/2009/9/main" uri="{B025F937-C7B1-47D3-B67F-A62EFF666E3E}">
          <x14:id>{C9BE6042-3C89-4F17-95FB-197608E24770}</x14:id>
        </ext>
      </extLst>
    </cfRule>
  </conditionalFormatting>
  <conditionalFormatting sqref="N144:BQ144">
    <cfRule type="expression" dxfId="5" priority="8">
      <formula>AND(TODAY()&gt;=N$5,TODAY()&lt;O$5)</formula>
    </cfRule>
  </conditionalFormatting>
  <conditionalFormatting sqref="N144:BQ144">
    <cfRule type="expression" dxfId="4" priority="6">
      <formula>AND(task_start&lt;=N$5,ROUNDDOWN((task_end-task_start+1)*task_progress,0)+task_start-1&gt;=N$5)</formula>
    </cfRule>
    <cfRule type="expression" dxfId="3" priority="7" stopIfTrue="1">
      <formula>AND(task_end&gt;=N$5,task_start&lt;O$5)</formula>
    </cfRule>
  </conditionalFormatting>
  <conditionalFormatting sqref="N205:BQ205">
    <cfRule type="expression" dxfId="2" priority="4">
      <formula>AND(TODAY()&gt;=N$5,TODAY()&lt;O$5)</formula>
    </cfRule>
  </conditionalFormatting>
  <conditionalFormatting sqref="N205:BQ205">
    <cfRule type="expression" dxfId="1" priority="2">
      <formula>AND(task_start&lt;=N$5,ROUNDDOWN((task_end-task_start+1)*task_progress,0)+task_start-1&gt;=N$5)</formula>
    </cfRule>
    <cfRule type="expression" dxfId="0" priority="3" stopIfTrue="1">
      <formula>AND(task_end&gt;=N$5,task_start&lt;O$5)</formula>
    </cfRule>
  </conditionalFormatting>
  <conditionalFormatting sqref="G205">
    <cfRule type="dataBar" priority="1">
      <dataBar>
        <cfvo type="num" val="0"/>
        <cfvo type="num" val="1"/>
        <color theme="0" tint="-0.249977111117893"/>
      </dataBar>
      <extLst>
        <ext xmlns:x14="http://schemas.microsoft.com/office/spreadsheetml/2009/9/main" uri="{B025F937-C7B1-47D3-B67F-A62EFF666E3E}">
          <x14:id>{4F55AFC5-3838-43F5-BD5B-BA024EB26B5F}</x14:id>
        </ext>
      </extLst>
    </cfRule>
  </conditionalFormatting>
  <dataValidations disablePrompts="1" count="1">
    <dataValidation type="whole" operator="greaterThanOrEqual" allowBlank="1" showInputMessage="1" promptTitle="Display Week" prompt="Changing this number will scroll the Gantt Chart view." sqref="H4" xr:uid="{00000000-0002-0000-07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G60:G66 G7:G18 G68:G109 G111:G143 G145:G202 G206:G217 G41:G51</xm:sqref>
        </x14:conditionalFormatting>
        <x14:conditionalFormatting xmlns:xm="http://schemas.microsoft.com/office/excel/2006/main">
          <x14:cfRule type="dataBar" id="{9D896DD0-55D6-4874-9A49-E205E9612718}">
            <x14:dataBar minLength="0" maxLength="100" gradient="0">
              <x14:cfvo type="num">
                <xm:f>0</xm:f>
              </x14:cfvo>
              <x14:cfvo type="num">
                <xm:f>1</xm:f>
              </x14:cfvo>
              <x14:negativeFillColor rgb="FFFF0000"/>
              <x14:axisColor rgb="FF000000"/>
            </x14:dataBar>
          </x14:cfRule>
          <xm:sqref>G19</xm:sqref>
        </x14:conditionalFormatting>
        <x14:conditionalFormatting xmlns:xm="http://schemas.microsoft.com/office/excel/2006/main">
          <x14:cfRule type="dataBar" id="{FB183143-6147-43DE-96E2-DFEADD1D0D0B}">
            <x14:dataBar minLength="0" maxLength="100" gradient="0">
              <x14:cfvo type="num">
                <xm:f>0</xm:f>
              </x14:cfvo>
              <x14:cfvo type="num">
                <xm:f>1</xm:f>
              </x14:cfvo>
              <x14:negativeFillColor rgb="FFFF0000"/>
              <x14:axisColor rgb="FF000000"/>
            </x14:dataBar>
          </x14:cfRule>
          <xm:sqref>G20:G31 G33:G39 G53:G59</xm:sqref>
        </x14:conditionalFormatting>
        <x14:conditionalFormatting xmlns:xm="http://schemas.microsoft.com/office/excel/2006/main">
          <x14:cfRule type="dataBar" id="{B3CC5D7A-2866-4B97-8ABF-88A04B2936F7}">
            <x14:dataBar minLength="0" maxLength="100" gradient="0">
              <x14:cfvo type="num">
                <xm:f>0</xm:f>
              </x14:cfvo>
              <x14:cfvo type="num">
                <xm:f>1</xm:f>
              </x14:cfvo>
              <x14:negativeFillColor rgb="FFFF0000"/>
              <x14:axisColor rgb="FF000000"/>
            </x14:dataBar>
          </x14:cfRule>
          <xm:sqref>G67</xm:sqref>
        </x14:conditionalFormatting>
        <x14:conditionalFormatting xmlns:xm="http://schemas.microsoft.com/office/excel/2006/main">
          <x14:cfRule type="dataBar" id="{2DF74890-9574-4FBB-B00E-8E7B5D284CBC}">
            <x14:dataBar minLength="0" maxLength="100" gradient="0">
              <x14:cfvo type="num">
                <xm:f>0</xm:f>
              </x14:cfvo>
              <x14:cfvo type="num">
                <xm:f>1</xm:f>
              </x14:cfvo>
              <x14:negativeFillColor rgb="FFFF0000"/>
              <x14:axisColor rgb="FF000000"/>
            </x14:dataBar>
          </x14:cfRule>
          <xm:sqref>G203:G204</xm:sqref>
        </x14:conditionalFormatting>
        <x14:conditionalFormatting xmlns:xm="http://schemas.microsoft.com/office/excel/2006/main">
          <x14:cfRule type="dataBar" id="{97B241B6-A705-43F2-BA56-2148C6AC63AA}">
            <x14:dataBar minLength="0" maxLength="100" gradient="0">
              <x14:cfvo type="num">
                <xm:f>0</xm:f>
              </x14:cfvo>
              <x14:cfvo type="num">
                <xm:f>1</xm:f>
              </x14:cfvo>
              <x14:negativeFillColor rgb="FFFF0000"/>
              <x14:axisColor rgb="FF000000"/>
            </x14:dataBar>
          </x14:cfRule>
          <xm:sqref>G110</xm:sqref>
        </x14:conditionalFormatting>
        <x14:conditionalFormatting xmlns:xm="http://schemas.microsoft.com/office/excel/2006/main">
          <x14:cfRule type="dataBar" id="{FE2F4608-2315-4835-A478-516CBA92C1D6}">
            <x14:dataBar minLength="0" maxLength="100" gradient="0">
              <x14:cfvo type="num">
                <xm:f>0</xm:f>
              </x14:cfvo>
              <x14:cfvo type="num">
                <xm:f>1</xm:f>
              </x14:cfvo>
              <x14:negativeFillColor rgb="FFFF0000"/>
              <x14:axisColor rgb="FF000000"/>
            </x14:dataBar>
          </x14:cfRule>
          <xm:sqref>G32</xm:sqref>
        </x14:conditionalFormatting>
        <x14:conditionalFormatting xmlns:xm="http://schemas.microsoft.com/office/excel/2006/main">
          <x14:cfRule type="dataBar" id="{0F079A4A-AD4F-4F03-AA24-D7262255AF1A}">
            <x14:dataBar minLength="0" maxLength="100" gradient="0">
              <x14:cfvo type="num">
                <xm:f>0</xm:f>
              </x14:cfvo>
              <x14:cfvo type="num">
                <xm:f>1</xm:f>
              </x14:cfvo>
              <x14:negativeFillColor rgb="FFFF0000"/>
              <x14:axisColor rgb="FF000000"/>
            </x14:dataBar>
          </x14:cfRule>
          <xm:sqref>G40</xm:sqref>
        </x14:conditionalFormatting>
        <x14:conditionalFormatting xmlns:xm="http://schemas.microsoft.com/office/excel/2006/main">
          <x14:cfRule type="dataBar" id="{5CD421AC-E866-4770-BDDB-09D623F9D3D5}">
            <x14:dataBar minLength="0" maxLength="100" gradient="0">
              <x14:cfvo type="num">
                <xm:f>0</xm:f>
              </x14:cfvo>
              <x14:cfvo type="num">
                <xm:f>1</xm:f>
              </x14:cfvo>
              <x14:negativeFillColor rgb="FFFF0000"/>
              <x14:axisColor rgb="FF000000"/>
            </x14:dataBar>
          </x14:cfRule>
          <xm:sqref>G52</xm:sqref>
        </x14:conditionalFormatting>
        <x14:conditionalFormatting xmlns:xm="http://schemas.microsoft.com/office/excel/2006/main">
          <x14:cfRule type="dataBar" id="{C9BE6042-3C89-4F17-95FB-197608E24770}">
            <x14:dataBar minLength="0" maxLength="100" gradient="0">
              <x14:cfvo type="num">
                <xm:f>0</xm:f>
              </x14:cfvo>
              <x14:cfvo type="num">
                <xm:f>1</xm:f>
              </x14:cfvo>
              <x14:negativeFillColor rgb="FFFF0000"/>
              <x14:axisColor rgb="FF000000"/>
            </x14:dataBar>
          </x14:cfRule>
          <xm:sqref>G144</xm:sqref>
        </x14:conditionalFormatting>
        <x14:conditionalFormatting xmlns:xm="http://schemas.microsoft.com/office/excel/2006/main">
          <x14:cfRule type="dataBar" id="{4F55AFC5-3838-43F5-BD5B-BA024EB26B5F}">
            <x14:dataBar minLength="0" maxLength="100" gradient="0">
              <x14:cfvo type="num">
                <xm:f>0</xm:f>
              </x14:cfvo>
              <x14:cfvo type="num">
                <xm:f>1</xm:f>
              </x14:cfvo>
              <x14:negativeFillColor rgb="FFFF0000"/>
              <x14:axisColor rgb="FF000000"/>
            </x14:dataBar>
          </x14:cfRule>
          <xm:sqref>G205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FC6E1B5C-EF58-4337-B24E-EC62744EBF13}">
  <ds:schemaRefs>
    <ds:schemaRef ds:uri="http://schemas.microsoft.com/sharepoint/v3/contenttype/forms"/>
  </ds:schemaRefs>
</ds:datastoreItem>
</file>

<file path=customXml/itemProps2.xml><?xml version="1.0" encoding="utf-8"?>
<ds:datastoreItem xmlns:ds="http://schemas.openxmlformats.org/officeDocument/2006/customXml" ds:itemID="{5BEC85A4-3D05-4E7F-9422-BDFBC7D7B69B}"/>
</file>

<file path=customXml/itemProps3.xml><?xml version="1.0" encoding="utf-8"?>
<ds:datastoreItem xmlns:ds="http://schemas.openxmlformats.org/officeDocument/2006/customXml" ds:itemID="{0F25948D-56EA-49E3-B586-311636355049}">
  <ds:schemaRefs>
    <ds:schemaRef ds:uri="http://purl.org/dc/terms/"/>
    <ds:schemaRef ds:uri="http://www.w3.org/XML/1998/namespace"/>
    <ds:schemaRef ds:uri="http://purl.org/dc/elements/1.1/"/>
    <ds:schemaRef ds:uri="http://purl.org/dc/dcmitype/"/>
    <ds:schemaRef ds:uri="http://schemas.microsoft.com/sharepoint/v4"/>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34</vt:i4>
      </vt:variant>
    </vt:vector>
  </HeadingPairs>
  <TitlesOfParts>
    <vt:vector size="44" baseType="lpstr">
      <vt:lpstr>CWB Deployment Plan VCOO</vt:lpstr>
      <vt:lpstr>RollBackActivities</vt:lpstr>
      <vt:lpstr>Apps list</vt:lpstr>
      <vt:lpstr>Contact list</vt:lpstr>
      <vt:lpstr>Indicative Timeline</vt:lpstr>
      <vt:lpstr>Project Readiness</vt:lpstr>
      <vt:lpstr>Infinity OLB &amp; Mob App</vt:lpstr>
      <vt:lpstr>CWB Deployment Plan</vt:lpstr>
      <vt:lpstr>Sheet2</vt:lpstr>
      <vt:lpstr>OLB &amp; Mob App (OLD)</vt:lpstr>
      <vt:lpstr>ColumnTitle1</vt:lpstr>
      <vt:lpstr>'CWB Deployment Plan'!Display_Week</vt:lpstr>
      <vt:lpstr>'CWB Deployment Plan VCOO'!Display_Week</vt:lpstr>
      <vt:lpstr>'Infinity OLB &amp; Mob App'!Display_Week</vt:lpstr>
      <vt:lpstr>'Project Readiness'!Display_Week</vt:lpstr>
      <vt:lpstr>Display_Week</vt:lpstr>
      <vt:lpstr>'Contact list'!Print_Titles</vt:lpstr>
      <vt:lpstr>'CWB Deployment Plan'!Print_Titles</vt:lpstr>
      <vt:lpstr>'CWB Deployment Plan VCOO'!Print_Titles</vt:lpstr>
      <vt:lpstr>'Infinity OLB &amp; Mob App'!Print_Titles</vt:lpstr>
      <vt:lpstr>'OLB &amp; Mob App (OLD)'!Print_Titles</vt:lpstr>
      <vt:lpstr>'Project Readiness'!Print_Titles</vt:lpstr>
      <vt:lpstr>'CWB Deployment Plan'!Project_Start</vt:lpstr>
      <vt:lpstr>'CWB Deployment Plan VCOO'!Project_Start</vt:lpstr>
      <vt:lpstr>'Infinity OLB &amp; Mob App'!Project_Start</vt:lpstr>
      <vt:lpstr>'Project Readiness'!Project_Start</vt:lpstr>
      <vt:lpstr>Project_Start</vt:lpstr>
      <vt:lpstr>'CWB Deployment Plan'!task_end</vt:lpstr>
      <vt:lpstr>'CWB Deployment Plan VCOO'!task_end</vt:lpstr>
      <vt:lpstr>'Infinity OLB &amp; Mob App'!task_end</vt:lpstr>
      <vt:lpstr>'OLB &amp; Mob App (OLD)'!task_end</vt:lpstr>
      <vt:lpstr>'Project Readiness'!task_end</vt:lpstr>
      <vt:lpstr>'Indicative Timeline'!Task_End_Main</vt:lpstr>
      <vt:lpstr>'CWB Deployment Plan'!task_progress</vt:lpstr>
      <vt:lpstr>'CWB Deployment Plan VCOO'!task_progress</vt:lpstr>
      <vt:lpstr>'Infinity OLB &amp; Mob App'!task_progress</vt:lpstr>
      <vt:lpstr>'OLB &amp; Mob App (OLD)'!task_progress</vt:lpstr>
      <vt:lpstr>'Project Readiness'!task_progress</vt:lpstr>
      <vt:lpstr>'CWB Deployment Plan'!task_start</vt:lpstr>
      <vt:lpstr>'CWB Deployment Plan VCOO'!task_start</vt:lpstr>
      <vt:lpstr>'Infinity OLB &amp; Mob App'!task_start</vt:lpstr>
      <vt:lpstr>'OLB &amp; Mob App (OLD)'!task_start</vt:lpstr>
      <vt:lpstr>'Project Readiness'!task_start</vt:lpstr>
      <vt:lpstr>'Indicative Timeline'!Task_Start_Main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2019-03-19T17:17:03Z</dcterms:created>
  <dcterms:modified xsi:type="dcterms:W3CDTF">2022-08-05T20:00:00Z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WorkbookGuid">
    <vt:lpwstr>06309a43-2dac-45b5-a3a2-29cdbc7bc96c</vt:lpwstr>
  </property>
  <property fmtid="{D5CDD505-2E9C-101B-9397-08002B2CF9AE}" pid="4" name="Order">
    <vt:r8>1056300</vt:r8>
  </property>
  <property fmtid="{D5CDD505-2E9C-101B-9397-08002B2CF9AE}" pid="5" name="URL">
    <vt:lpwstr/>
  </property>
  <property fmtid="{D5CDD505-2E9C-101B-9397-08002B2CF9AE}" pid="6" name="MediaServiceImageTags">
    <vt:lpwstr/>
  </property>
</Properties>
</file>