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Projects\XAI\"/>
    </mc:Choice>
  </mc:AlternateContent>
  <xr:revisionPtr revIDLastSave="0" documentId="13_ncr:1_{04A5F297-D6DB-4299-825B-871397380CC6}" xr6:coauthVersionLast="47" xr6:coauthVersionMax="47" xr10:uidLastSave="{00000000-0000-0000-0000-000000000000}"/>
  <bookViews>
    <workbookView xWindow="-120" yWindow="-120" windowWidth="29040" windowHeight="15525" activeTab="4" xr2:uid="{1681E8E5-6564-4C3A-A2EE-9BB093BDE000}"/>
  </bookViews>
  <sheets>
    <sheet name="Criteria" sheetId="3" r:id="rId1"/>
    <sheet name="Master KPIs" sheetId="1" r:id="rId2"/>
    <sheet name="Rules" sheetId="2" r:id="rId3"/>
    <sheet name="XAI Model" sheetId="4" r:id="rId4"/>
    <sheet name="Example" sheetId="5" r:id="rId5"/>
  </sheets>
  <definedNames>
    <definedName name="_xlnm._FilterDatabase" localSheetId="1" hidden="1">'Master KPIs'!$A$1:$L$1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5" l="1"/>
  <c r="G39" i="5"/>
  <c r="G38" i="5"/>
  <c r="G37" i="5"/>
  <c r="G36" i="5"/>
  <c r="G35" i="5"/>
  <c r="H40" i="5"/>
  <c r="H39" i="5"/>
  <c r="H38" i="5"/>
  <c r="D40" i="5"/>
  <c r="D39" i="5"/>
  <c r="D38" i="5"/>
  <c r="D37" i="5"/>
  <c r="E40" i="5" s="1"/>
  <c r="D36" i="5"/>
  <c r="E39" i="5" s="1"/>
  <c r="D35" i="5"/>
  <c r="E38" i="5" s="1"/>
  <c r="D34" i="5"/>
  <c r="E37" i="5" s="1"/>
  <c r="D33" i="5"/>
  <c r="E36" i="5" s="1"/>
  <c r="F39" i="5" s="1"/>
  <c r="D32" i="5"/>
  <c r="E35" i="5" s="1"/>
  <c r="D20" i="5"/>
  <c r="D21" i="5"/>
  <c r="D22" i="5"/>
  <c r="D17" i="5"/>
  <c r="D18" i="5"/>
  <c r="D19" i="5"/>
  <c r="D16" i="5"/>
  <c r="D15" i="5"/>
  <c r="D14" i="5"/>
  <c r="C8" i="5"/>
  <c r="F40" i="5" l="1"/>
  <c r="I40" i="5" s="1"/>
  <c r="F38" i="5"/>
  <c r="I39" i="5"/>
  <c r="F22" i="5"/>
  <c r="E18" i="5"/>
  <c r="F21" i="5" s="1"/>
  <c r="E19" i="5"/>
  <c r="G19" i="5" s="1"/>
  <c r="E20" i="5"/>
  <c r="G20" i="5" s="1"/>
  <c r="E21" i="5"/>
  <c r="G21" i="5" s="1"/>
  <c r="E22" i="5"/>
  <c r="G22" i="5" s="1"/>
  <c r="E17" i="5"/>
  <c r="S18" i="4"/>
  <c r="N3" i="4"/>
  <c r="O3" i="4" s="1"/>
  <c r="P3" i="4" s="1"/>
  <c r="N4" i="4"/>
  <c r="O4" i="4" s="1"/>
  <c r="P4" i="4" s="1"/>
  <c r="N5" i="4"/>
  <c r="O5" i="4" s="1"/>
  <c r="P5" i="4" s="1"/>
  <c r="N6" i="4"/>
  <c r="O6" i="4" s="1"/>
  <c r="P6" i="4" s="1"/>
  <c r="N7" i="4"/>
  <c r="O7" i="4" s="1"/>
  <c r="P7" i="4" s="1"/>
  <c r="N8" i="4"/>
  <c r="O8" i="4" s="1"/>
  <c r="P8" i="4" s="1"/>
  <c r="N9" i="4"/>
  <c r="O9" i="4" s="1"/>
  <c r="P9" i="4" s="1"/>
  <c r="N10" i="4"/>
  <c r="O10" i="4" s="1"/>
  <c r="P10" i="4" s="1"/>
  <c r="N11" i="4"/>
  <c r="O11" i="4" s="1"/>
  <c r="P11" i="4" s="1"/>
  <c r="N12" i="4"/>
  <c r="O12" i="4" s="1"/>
  <c r="P12" i="4" s="1"/>
  <c r="N13" i="4"/>
  <c r="O13" i="4" s="1"/>
  <c r="P13" i="4" s="1"/>
  <c r="N14" i="4"/>
  <c r="O14" i="4" s="1"/>
  <c r="P14" i="4" s="1"/>
  <c r="N15" i="4"/>
  <c r="O15" i="4" s="1"/>
  <c r="P15" i="4" s="1"/>
  <c r="N2" i="4"/>
  <c r="O2" i="4" s="1"/>
  <c r="P2" i="4" s="1"/>
  <c r="F20" i="5" l="1"/>
  <c r="H20" i="5" s="1"/>
  <c r="I20" i="5" s="1"/>
  <c r="G17" i="5"/>
  <c r="I38" i="5"/>
  <c r="H21" i="5"/>
  <c r="I21" i="5" s="1"/>
  <c r="H22" i="5"/>
  <c r="G18" i="5"/>
  <c r="I22" i="5"/>
  <c r="N7" i="3"/>
  <c r="N22" i="3" l="1"/>
  <c r="N21" i="3"/>
  <c r="N20" i="3"/>
  <c r="N18" i="3"/>
  <c r="N19" i="3"/>
  <c r="M8" i="3"/>
  <c r="N8" i="3"/>
  <c r="N24" i="4"/>
  <c r="N25" i="4"/>
  <c r="N26" i="4"/>
  <c r="N27" i="4"/>
  <c r="N23" i="4"/>
  <c r="S5" i="4"/>
  <c r="S10" i="4" s="1"/>
  <c r="S4" i="4"/>
  <c r="S6" i="4" s="1"/>
  <c r="S7" i="4" s="1"/>
  <c r="N12" i="3"/>
  <c r="N5" i="3"/>
  <c r="N13" i="3"/>
  <c r="T10" i="4" l="1"/>
  <c r="S11" i="4" s="1"/>
  <c r="T11" i="4" s="1"/>
  <c r="S12" i="4" s="1"/>
  <c r="T12" i="4" s="1"/>
  <c r="S13" i="4" s="1"/>
  <c r="T13" i="4" s="1"/>
  <c r="S14" i="4" s="1"/>
  <c r="T14" i="4" s="1"/>
  <c r="N15" i="3"/>
  <c r="N14" i="3"/>
  <c r="N9" i="3"/>
  <c r="J13" i="2"/>
  <c r="J6" i="2"/>
  <c r="M9" i="3"/>
  <c r="M5" i="3"/>
  <c r="N10" i="3"/>
  <c r="M10" i="3"/>
  <c r="N6" i="3"/>
  <c r="M6" i="3"/>
  <c r="M13" i="3"/>
  <c r="N17" i="3"/>
  <c r="M17" i="3"/>
  <c r="M18" i="3"/>
  <c r="M19" i="3"/>
  <c r="N26" i="3"/>
  <c r="M26" i="3"/>
  <c r="N29" i="3"/>
  <c r="M29" i="3"/>
  <c r="N30" i="3"/>
  <c r="M30" i="3"/>
  <c r="P47" i="3"/>
  <c r="H13" i="2"/>
  <c r="H6" i="2"/>
  <c r="M47" i="3" l="1"/>
  <c r="N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tc={F393E582-E1A0-4A6D-9E41-6220958C0829}</author>
    <author>tc={C9739134-0339-40BC-A013-ECADB1ECC30A}</author>
  </authors>
  <commentList>
    <comment ref="I11" authorId="0" shapeId="0" xr:uid="{F393E582-E1A0-4A6D-9E41-6220958C082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starting value is zero that mean the new value must be &lt;=1</t>
      </text>
    </comment>
    <comment ref="D15" authorId="1" shapeId="0" xr:uid="{C9739134-0339-40BC-A013-ECADB1ECC3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be negative too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tc={1071B942-71CF-47BA-B8C4-546601172B01}</author>
    <author>tc={D5A916B4-C4D3-4DB0-8372-01C277E441D5}</author>
    <author>tc={5E5EC24F-7980-4B52-A24B-5924A49C4AA8}</author>
    <author>tc={DC1FCD25-2775-469E-B9B7-39FCAF4FABC7}</author>
    <author>tc={2507F0E6-C9E6-4E74-B272-AC205C8147DD}</author>
    <author>tc={D4B0A29A-3D5C-4274-A42C-6CE216896C9B}</author>
    <author>tc={50A67C75-7244-4000-BAA4-CD8B92F44F6D}</author>
    <author>tc={34C4E16E-129F-4EB7-AA2B-33D343CA7895}</author>
  </authors>
  <commentList>
    <comment ref="D9" authorId="0" shapeId="0" xr:uid="{1071B942-71CF-47BA-B8C4-546601172B0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Quarter most recently passed</t>
      </text>
    </comment>
    <comment ref="F9" authorId="1" shapeId="0" xr:uid="{D5A916B4-C4D3-4DB0-8372-01C277E441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quarter in the farthest past</t>
      </text>
    </comment>
    <comment ref="B11" authorId="2" shapeId="0" xr:uid="{5E5EC24F-7980-4B52-A24B-5924A49C4A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Reversed the order of months to indicate the correct order. 
The formula to calculate % change is = (New Q - Old Q)/Old Q</t>
      </text>
    </comment>
    <comment ref="D14" authorId="3" shapeId="0" xr:uid="{DC1FCD25-2775-469E-B9B7-39FCAF4FABC7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the formula to calculate quarter numbers. This applies to all the subsequent cells</t>
      </text>
    </comment>
    <comment ref="C29" authorId="4" shapeId="0" xr:uid="{2507F0E6-C9E6-4E74-B272-AC205C8147D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number will be provided by the XAI Cashflow model</t>
      </text>
    </comment>
    <comment ref="C30" authorId="5" shapeId="0" xr:uid="{D4B0A29A-3D5C-4274-A42C-6CE21689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number will be provided by the XAI Cashflow model.</t>
      </text>
    </comment>
    <comment ref="C31" authorId="6" shapeId="0" xr:uid="{50A67C75-7244-4000-BAA4-CD8B92F44F6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number will be provided by the XAI Cashflow model.</t>
      </text>
    </comment>
    <comment ref="D32" authorId="7" shapeId="0" xr:uid="{34C4E16E-129F-4EB7-AA2B-33D343CA7895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using the XAI provided numbers</t>
      </text>
    </comment>
  </commentList>
</comments>
</file>

<file path=xl/sharedStrings.xml><?xml version="1.0" encoding="utf-8"?>
<sst xmlns="http://schemas.openxmlformats.org/spreadsheetml/2006/main" count="674" uniqueCount="317">
  <si>
    <t>KPI</t>
  </si>
  <si>
    <t>Description</t>
  </si>
  <si>
    <t>Formula</t>
  </si>
  <si>
    <t>Cash flow forecast</t>
  </si>
  <si>
    <t>Gross Profit</t>
  </si>
  <si>
    <t>Source</t>
  </si>
  <si>
    <t>Revenue</t>
  </si>
  <si>
    <t>Expense</t>
  </si>
  <si>
    <t>Income statement</t>
  </si>
  <si>
    <t>Income statement(Revenue - COGS)</t>
  </si>
  <si>
    <t>Net profit</t>
  </si>
  <si>
    <t>Operating profit</t>
  </si>
  <si>
    <t>GP-Operating Expense</t>
  </si>
  <si>
    <t>OP-Interest Expense</t>
  </si>
  <si>
    <t>Current Assets</t>
  </si>
  <si>
    <t>Balance Sheet</t>
  </si>
  <si>
    <t>Cash and Equivalent</t>
  </si>
  <si>
    <t>Receivables</t>
  </si>
  <si>
    <t>Inventory</t>
  </si>
  <si>
    <t>Current Liabilities</t>
  </si>
  <si>
    <t>Short term loan payments</t>
  </si>
  <si>
    <t>Payables</t>
  </si>
  <si>
    <t>Accrued payments</t>
  </si>
  <si>
    <t>Retained Earnings</t>
  </si>
  <si>
    <t>Net Cashflows</t>
  </si>
  <si>
    <t>CF from Operations</t>
  </si>
  <si>
    <t>CF from Investments</t>
  </si>
  <si>
    <t>CF from Financing</t>
  </si>
  <si>
    <t>Formula/Source</t>
  </si>
  <si>
    <t>Cashflow statement</t>
  </si>
  <si>
    <t># of customers</t>
  </si>
  <si>
    <t># of suppliers</t>
  </si>
  <si>
    <t>Count(Customer IDs)</t>
  </si>
  <si>
    <t>Count(Supplier IDs)</t>
  </si>
  <si>
    <t>Inventory Turnover</t>
  </si>
  <si>
    <t>Marketing spend per customer</t>
  </si>
  <si>
    <t>Gross profit as % of sales</t>
  </si>
  <si>
    <t>COGS/Total inventory</t>
  </si>
  <si>
    <t>Higher turnover is better</t>
  </si>
  <si>
    <t>Customre acquisition cost</t>
  </si>
  <si>
    <t>TOtal marketing expense/# new customers</t>
  </si>
  <si>
    <t>Total marketing expense/# customers</t>
  </si>
  <si>
    <t>Ac payable turnover</t>
  </si>
  <si>
    <t>Sum(all purchases)/avg ac payable</t>
  </si>
  <si>
    <t>Working Capital</t>
  </si>
  <si>
    <t>Current Assets-Current Liabilities</t>
  </si>
  <si>
    <t>Profit Margin</t>
  </si>
  <si>
    <t>(Revenue-Expense)/Revenue</t>
  </si>
  <si>
    <t>(Revenue-COGS)/Revenue</t>
  </si>
  <si>
    <t>Quick Ratio</t>
  </si>
  <si>
    <t>Working Capital Ratio</t>
  </si>
  <si>
    <t>Current Assets/Current Liabilities</t>
  </si>
  <si>
    <t>(Current Assets-Inventory)/Current liability</t>
  </si>
  <si>
    <t>The higher the better- close to 1 is risky</t>
  </si>
  <si>
    <t>The more liquid the company the better</t>
  </si>
  <si>
    <t>Cash Runway</t>
  </si>
  <si>
    <t>Cash balance/Monthly burn rate</t>
  </si>
  <si>
    <t>Debt to Equity Ratio</t>
  </si>
  <si>
    <t>Liabilities/(Assets - Liabilities)</t>
  </si>
  <si>
    <t>Return on Equity</t>
  </si>
  <si>
    <t>Net income/Equity</t>
  </si>
  <si>
    <t>Cash flow to debt</t>
  </si>
  <si>
    <t>Cash flow /Debt</t>
  </si>
  <si>
    <t>Indicate the business's ability to make interest payments on time</t>
  </si>
  <si>
    <t>Ac receivable turnover</t>
  </si>
  <si>
    <t>Revenue/avg ac receivable</t>
  </si>
  <si>
    <t>The larger the better- Indicate how good the company is for collecting from its customers.</t>
  </si>
  <si>
    <t xml:space="preserve">Indicate how good the company is in paying its suppliers- </t>
  </si>
  <si>
    <t>Use</t>
  </si>
  <si>
    <t>The larger the better</t>
  </si>
  <si>
    <t>The longer the better</t>
  </si>
  <si>
    <t>Compare with Peers</t>
  </si>
  <si>
    <t>Increasing trend is bad while decreasing is better</t>
  </si>
  <si>
    <t>The larger the better- Lower than 1 is risky
Compare with Peers</t>
  </si>
  <si>
    <t>Ability to pay in the next months</t>
  </si>
  <si>
    <t>Cashflow model</t>
  </si>
  <si>
    <t>Problem if its going lower then last Financial period</t>
  </si>
  <si>
    <t>Agree on a financial period to work with - month, quarter, year</t>
  </si>
  <si>
    <t>Find all these numbers for that period for the business</t>
  </si>
  <si>
    <t>Find all these numbers for the last period for the business</t>
  </si>
  <si>
    <t xml:space="preserve">Find all these numbers for last perod for the peer group </t>
  </si>
  <si>
    <t xml:space="preserve">Find all these numbers for same period for the peer group </t>
  </si>
  <si>
    <t>Compare period over period trends for the peers with the period over period trend for the business</t>
  </si>
  <si>
    <t>The healthscore will be based on the performance of the business relative to the peers</t>
  </si>
  <si>
    <t>Ratio</t>
  </si>
  <si>
    <t>Basic</t>
  </si>
  <si>
    <t>Ability to pay interest</t>
  </si>
  <si>
    <t>Ability to pay suppliers</t>
  </si>
  <si>
    <t>Ability to collect from customers</t>
  </si>
  <si>
    <t>Indicate what is the overall profitability margins for the business</t>
  </si>
  <si>
    <t>Indicate the the optimization of direct costs</t>
  </si>
  <si>
    <t>Priority</t>
  </si>
  <si>
    <t>Advanced</t>
  </si>
  <si>
    <t>vs Peer</t>
  </si>
  <si>
    <t xml:space="preserve">e.g. </t>
  </si>
  <si>
    <t>in 90th percentile</t>
  </si>
  <si>
    <t>Score</t>
  </si>
  <si>
    <t>Calculate by multiplying the relative position (in percentile) with the impact of that particular item</t>
  </si>
  <si>
    <t>(new value-old value)/Old value</t>
  </si>
  <si>
    <t>No Change</t>
  </si>
  <si>
    <t>Full Impact</t>
  </si>
  <si>
    <t>80%  of Impact</t>
  </si>
  <si>
    <t>60%  of Impact</t>
  </si>
  <si>
    <t>30%  of Impact</t>
  </si>
  <si>
    <t>10%  of Impact</t>
  </si>
  <si>
    <t>e.g.</t>
  </si>
  <si>
    <t>ROE</t>
  </si>
  <si>
    <t>Single digit growth</t>
  </si>
  <si>
    <t>Double digit growth</t>
  </si>
  <si>
    <t>Single digit decline</t>
  </si>
  <si>
    <t>Double digit decline</t>
  </si>
  <si>
    <t>Total</t>
  </si>
  <si>
    <t>Low</t>
  </si>
  <si>
    <t>High</t>
  </si>
  <si>
    <t>Ability to Grow</t>
  </si>
  <si>
    <t>Efficiency</t>
  </si>
  <si>
    <t>AC Receivables turnover</t>
  </si>
  <si>
    <t>From Customers</t>
  </si>
  <si>
    <t>Ability to Collect</t>
  </si>
  <si>
    <t>Medium</t>
  </si>
  <si>
    <t>Working capital ratio</t>
  </si>
  <si>
    <t>Cashflow to debt ratio</t>
  </si>
  <si>
    <t>Ability to Pay</t>
  </si>
  <si>
    <t>vs Peers(80%)</t>
  </si>
  <si>
    <t>Subcriteria</t>
  </si>
  <si>
    <t>Scoring Criteria</t>
  </si>
  <si>
    <t>Availability</t>
  </si>
  <si>
    <t>KPI Type</t>
  </si>
  <si>
    <t>Impact(H/L/M)</t>
  </si>
  <si>
    <t>Impact (Numeric)</t>
  </si>
  <si>
    <t>Deliver value to customers</t>
  </si>
  <si>
    <t>Deliver value to shareholders</t>
  </si>
  <si>
    <t>HR</t>
  </si>
  <si>
    <t>Strategic</t>
  </si>
  <si>
    <t>Digital</t>
  </si>
  <si>
    <t># of employee</t>
  </si>
  <si>
    <t>Employee retention/turnover</t>
  </si>
  <si>
    <t>Number of customers</t>
  </si>
  <si>
    <t>Number of suppliers</t>
  </si>
  <si>
    <t>Number of products</t>
  </si>
  <si>
    <t>Geographic outreach</t>
  </si>
  <si>
    <t>Market share</t>
  </si>
  <si>
    <t>Recurring business</t>
  </si>
  <si>
    <t>Social Sensing/Engagement</t>
  </si>
  <si>
    <t>NPS</t>
  </si>
  <si>
    <t>Website traffic</t>
  </si>
  <si>
    <t>Funnel drop off rate</t>
  </si>
  <si>
    <t>Return on Equity(ROE)</t>
  </si>
  <si>
    <t>vs Past Selves(20%)</t>
  </si>
  <si>
    <t>Indicator (KPI)</t>
  </si>
  <si>
    <t>Its suppliers</t>
  </si>
  <si>
    <t>AC payable turnver</t>
  </si>
  <si>
    <t>Customers</t>
  </si>
  <si>
    <t>Suppliers</t>
  </si>
  <si>
    <t>vs Past Selves</t>
  </si>
  <si>
    <t>Liabilities(Short term)</t>
  </si>
  <si>
    <t>Liabilities(Long term)</t>
  </si>
  <si>
    <t>Debt</t>
  </si>
  <si>
    <t>We can also use debt/assets</t>
  </si>
  <si>
    <t>Rule</t>
  </si>
  <si>
    <t>Compare KPIs with Peers</t>
  </si>
  <si>
    <t>Impact (vs Peer)</t>
  </si>
  <si>
    <t>Impact (vs Past Selves)</t>
  </si>
  <si>
    <t>Performance</t>
  </si>
  <si>
    <t>in 10th percentile</t>
  </si>
  <si>
    <t>Total ROE</t>
  </si>
  <si>
    <t>Out of 10</t>
  </si>
  <si>
    <t>vs Future Goals(x%)</t>
  </si>
  <si>
    <t>Employee satisfaction</t>
  </si>
  <si>
    <t>Glassdoor and Social</t>
  </si>
  <si>
    <t>Twitter/Instagram/Trustpilot</t>
  </si>
  <si>
    <t>Social Media sentiments/engagement</t>
  </si>
  <si>
    <t>Age of business</t>
  </si>
  <si>
    <t>Core Banking</t>
  </si>
  <si>
    <t>Startup funding (family or formal)</t>
  </si>
  <si>
    <t>Core banking (inflow of cash meta data)</t>
  </si>
  <si>
    <t>Family lineage/business background</t>
  </si>
  <si>
    <t>Nice to have</t>
  </si>
  <si>
    <t>Age of banking relationship with CWB</t>
  </si>
  <si>
    <t>Digital presence(Search trends)</t>
  </si>
  <si>
    <t>Industry news trends</t>
  </si>
  <si>
    <t>Bloomberg/Reuters</t>
  </si>
  <si>
    <t>Tax filing discipline</t>
  </si>
  <si>
    <t>CRA/Accounting software</t>
  </si>
  <si>
    <t>Court Judgements</t>
  </si>
  <si>
    <t>Public info(but not sure)</t>
  </si>
  <si>
    <t>Legal structure of the business(subsidary/franchise)</t>
  </si>
  <si>
    <t>Ability to Find Capital</t>
  </si>
  <si>
    <t>Ability to Innovate</t>
  </si>
  <si>
    <t>Geographic advantage</t>
  </si>
  <si>
    <t xml:space="preserve">Address from Core banking </t>
  </si>
  <si>
    <t>CODAT</t>
  </si>
  <si>
    <t>Feasibility (Data)</t>
  </si>
  <si>
    <t>Yes</t>
  </si>
  <si>
    <t xml:space="preserve">Small </t>
  </si>
  <si>
    <t>Large</t>
  </si>
  <si>
    <t>Direct/Inverse</t>
  </si>
  <si>
    <t>Direct</t>
  </si>
  <si>
    <t>Inverse</t>
  </si>
  <si>
    <t>Tentative</t>
  </si>
  <si>
    <t>Base (Value)</t>
  </si>
  <si>
    <t>COGS/Total Inventory</t>
  </si>
  <si>
    <t>The higher the better for turnover</t>
  </si>
  <si>
    <t>Check please</t>
  </si>
  <si>
    <t>Debt/Asset</t>
  </si>
  <si>
    <t>Liabilities/(Assets)</t>
  </si>
  <si>
    <t>&gt;20%</t>
  </si>
  <si>
    <t>Single Digit Growth</t>
  </si>
  <si>
    <t>1M/(2,000+1000)/2</t>
  </si>
  <si>
    <t>Receivables Aging</t>
  </si>
  <si>
    <t>Cash conversion cycle</t>
  </si>
  <si>
    <t>Time it takes to convert cash from inventory to cash flow from customer</t>
  </si>
  <si>
    <t>Current Balance</t>
  </si>
  <si>
    <t>AC Receivable Turnover/Number of days in the period</t>
  </si>
  <si>
    <t>% change in expense?</t>
  </si>
  <si>
    <t>Check with CODAT</t>
  </si>
  <si>
    <t>Number of days on average it takes to recover your receivables;
Do we need to normalize it on a per dollar basis.</t>
  </si>
  <si>
    <t>Check with Mark/Kalin</t>
  </si>
  <si>
    <t>Duplicate</t>
  </si>
  <si>
    <t>Not important</t>
  </si>
  <si>
    <t>&gt;-10%
&lt;10%</t>
  </si>
  <si>
    <t>&lt;-20%</t>
  </si>
  <si>
    <t>&gt;-20%
&lt;20%</t>
  </si>
  <si>
    <t>&gt;-7%
&lt;7%</t>
  </si>
  <si>
    <t>&lt;-7%
&gt;7%</t>
  </si>
  <si>
    <t>&lt;-15%
&gt;15%</t>
  </si>
  <si>
    <t>&gt;-15%
&lt;15%</t>
  </si>
  <si>
    <t>Indicate the business's ability to make interest payments on time
Operating Cash Flow = Operating Income + Depreciation – Taxes + Change in Working Capital</t>
  </si>
  <si>
    <t>Operating Cash flow /Debt</t>
  </si>
  <si>
    <t>Operating Cash flow Can be negative</t>
  </si>
  <si>
    <t>Return on shareholder equity
Net income = Sales-COGS
COGS = Beginning Inventory-Ending inventory + All Purchases</t>
  </si>
  <si>
    <t>Net income may be negative when sales&lt;COGS</t>
  </si>
  <si>
    <t>* Past two cycles only for calculating the % change</t>
  </si>
  <si>
    <t>** 75% of all clients should fall in the medium category while 
top 12.5% and bottom 12.5% should define large and small</t>
  </si>
  <si>
    <t>&lt;2</t>
  </si>
  <si>
    <t>&lt;5
&gt;2</t>
  </si>
  <si>
    <t>% change in Revenue?</t>
  </si>
  <si>
    <t>Yes?</t>
  </si>
  <si>
    <t>&gt;-5%
&lt;5%</t>
  </si>
  <si>
    <t>Range</t>
  </si>
  <si>
    <t>Relationship</t>
  </si>
  <si>
    <t>Impact</t>
  </si>
  <si>
    <t>Max Impact</t>
  </si>
  <si>
    <t>Min Impact</t>
  </si>
  <si>
    <t>Dominance</t>
  </si>
  <si>
    <t xml:space="preserve">Range </t>
  </si>
  <si>
    <t xml:space="preserve">Step </t>
  </si>
  <si>
    <t xml:space="preserve">Dominance </t>
  </si>
  <si>
    <t>Min (Incl)</t>
  </si>
  <si>
    <t>Max (Excl)</t>
  </si>
  <si>
    <t>Dominance Calculation</t>
  </si>
  <si>
    <t>Cashflow to debt ratio (% Change)</t>
  </si>
  <si>
    <t>A/C Payable Turnover (% Change)</t>
  </si>
  <si>
    <t>Debt Asset Ratio (% Change)</t>
  </si>
  <si>
    <t xml:space="preserve"> Expense (% Change)</t>
  </si>
  <si>
    <t>A/C Receivable Turnover (% Change)</t>
  </si>
  <si>
    <t>Revenue (% Change)</t>
  </si>
  <si>
    <t>Profit Margin (% Change)</t>
  </si>
  <si>
    <t>ROE (% Change)</t>
  </si>
  <si>
    <t>Inventory Turniover (% Change)</t>
  </si>
  <si>
    <t>Num Customers (% Change)</t>
  </si>
  <si>
    <t>Num Suppliers (% Change)</t>
  </si>
  <si>
    <t>Feature (XAI)</t>
  </si>
  <si>
    <t>Calculation</t>
  </si>
  <si>
    <t>Rules</t>
  </si>
  <si>
    <t>Antecedent</t>
  </si>
  <si>
    <t>WCR is Low</t>
  </si>
  <si>
    <t>Result (HealthScore)</t>
  </si>
  <si>
    <t>Bad</t>
  </si>
  <si>
    <t>WCR is High</t>
  </si>
  <si>
    <t>Good</t>
  </si>
  <si>
    <t>Age of Business</t>
  </si>
  <si>
    <t>Can be Negative</t>
  </si>
  <si>
    <t>Profit Margin is Medium</t>
  </si>
  <si>
    <t>(Final - start)*100/abs(start) : Start (0) Maps to Min or Max</t>
  </si>
  <si>
    <t>Age of Business (Years)</t>
  </si>
  <si>
    <t>Age in Years (int(Year))</t>
  </si>
  <si>
    <t xml:space="preserve">Working Capital Ratio (% Change) - </t>
  </si>
  <si>
    <t xml:space="preserve">forecasted % change in your cash balance </t>
  </si>
  <si>
    <t>Change in cashflow</t>
  </si>
  <si>
    <t>XAI Model</t>
  </si>
  <si>
    <t>&lt;-50%</t>
  </si>
  <si>
    <t>&gt;50%</t>
  </si>
  <si>
    <t>&lt;-80%</t>
  </si>
  <si>
    <t>&gt;80%</t>
  </si>
  <si>
    <t>&gt;30%</t>
  </si>
  <si>
    <t>&lt;-30%</t>
  </si>
  <si>
    <t>&gt;10</t>
  </si>
  <si>
    <t>Cashflow (% Change)</t>
  </si>
  <si>
    <t>Lower Bound</t>
  </si>
  <si>
    <t>Upper Bound</t>
  </si>
  <si>
    <t>Example: To help firming up pre-processing pipeline for HealthScore</t>
  </si>
  <si>
    <t>Month</t>
  </si>
  <si>
    <t>NA</t>
  </si>
  <si>
    <t>Profit Margin Upper Bound</t>
  </si>
  <si>
    <t>Profit Margin Lower Bound</t>
  </si>
  <si>
    <t>Q(-1)</t>
  </si>
  <si>
    <t>Q(-2)</t>
  </si>
  <si>
    <t>Q(-3)</t>
  </si>
  <si>
    <t>Recent</t>
  </si>
  <si>
    <t>Oldest</t>
  </si>
  <si>
    <t>Old</t>
  </si>
  <si>
    <t>Can be a Negative value?</t>
  </si>
  <si>
    <t>No</t>
  </si>
  <si>
    <t>Cash Balance</t>
  </si>
  <si>
    <t>Cash Balance (% Change)</t>
  </si>
  <si>
    <t>Q(+1)</t>
  </si>
  <si>
    <t>Future Quarter</t>
  </si>
  <si>
    <t>Last Quarter</t>
  </si>
  <si>
    <t>Old Quarter</t>
  </si>
  <si>
    <t>%Change(Q-2)</t>
  </si>
  <si>
    <t>%Change (Q-1)</t>
  </si>
  <si>
    <t>%Change (Q+1)</t>
  </si>
  <si>
    <t>%Change(Q-1)</t>
  </si>
  <si>
    <t>Today</t>
  </si>
  <si>
    <t>Cash Balance Upper Bound</t>
  </si>
  <si>
    <t>Cash Balance 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</si>
</sst>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trike/>
      <sz val="9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</cellStyleXfs>
  <cellXfs count="135">
    <xf numFmtId="0" fontId="0" fillId="0" borderId="0" xfId="0"/>
    <xf numFmtId="0" fontId="0" fillId="0" borderId="0" xfId="0" applyAlignment="1">
      <alignment wrapText="1"/>
    </xf>
    <xf numFmtId="0" fontId="5" fillId="2" borderId="0" xfId="3"/>
    <xf numFmtId="0" fontId="5" fillId="2" borderId="0" xfId="3" applyAlignment="1">
      <alignment wrapText="1"/>
    </xf>
    <xf numFmtId="0" fontId="0" fillId="6" borderId="0" xfId="0" applyFill="1" applyAlignment="1">
      <alignment wrapText="1"/>
    </xf>
    <xf numFmtId="9" fontId="0" fillId="0" borderId="0" xfId="2" applyFont="1"/>
    <xf numFmtId="43" fontId="0" fillId="0" borderId="0" xfId="1" applyFont="1"/>
    <xf numFmtId="0" fontId="6" fillId="3" borderId="0" xfId="4"/>
    <xf numFmtId="43" fontId="0" fillId="0" borderId="0" xfId="0" applyNumberFormat="1"/>
    <xf numFmtId="10" fontId="9" fillId="0" borderId="0" xfId="0" applyNumberFormat="1" applyFont="1"/>
    <xf numFmtId="0" fontId="9" fillId="0" borderId="0" xfId="0" applyFont="1"/>
    <xf numFmtId="0" fontId="0" fillId="7" borderId="0" xfId="0" applyFill="1"/>
    <xf numFmtId="10" fontId="9" fillId="0" borderId="0" xfId="2" applyNumberFormat="1" applyFont="1"/>
    <xf numFmtId="0" fontId="0" fillId="0" borderId="0" xfId="0" applyAlignment="1">
      <alignment vertical="top"/>
    </xf>
    <xf numFmtId="0" fontId="7" fillId="4" borderId="0" xfId="5" applyFont="1" applyAlignment="1">
      <alignment horizontal="center" vertical="center" wrapText="1"/>
    </xf>
    <xf numFmtId="0" fontId="7" fillId="4" borderId="0" xfId="5" applyFont="1" applyAlignment="1">
      <alignment horizontal="center" vertical="center" wrapText="1"/>
    </xf>
    <xf numFmtId="0" fontId="10" fillId="0" borderId="0" xfId="0" applyFont="1"/>
    <xf numFmtId="0" fontId="0" fillId="8" borderId="0" xfId="0" applyFill="1" applyAlignment="1">
      <alignment wrapText="1"/>
    </xf>
    <xf numFmtId="0" fontId="9" fillId="8" borderId="0" xfId="0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11" fillId="8" borderId="0" xfId="0" applyFont="1" applyFill="1" applyAlignment="1">
      <alignment wrapText="1"/>
    </xf>
    <xf numFmtId="0" fontId="7" fillId="4" borderId="4" xfId="5" applyFont="1" applyBorder="1" applyAlignment="1">
      <alignment horizontal="center" vertical="center" wrapText="1"/>
    </xf>
    <xf numFmtId="0" fontId="7" fillId="4" borderId="0" xfId="5" applyFont="1" applyBorder="1" applyAlignment="1">
      <alignment horizontal="center" vertical="center" wrapText="1"/>
    </xf>
    <xf numFmtId="0" fontId="7" fillId="4" borderId="5" xfId="5" applyFont="1" applyBorder="1" applyAlignment="1">
      <alignment horizontal="center" vertical="center" wrapText="1"/>
    </xf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9" fillId="0" borderId="4" xfId="0" applyFont="1" applyBorder="1"/>
    <xf numFmtId="0" fontId="9" fillId="0" borderId="0" xfId="0" quotePrefix="1" applyFont="1" applyBorder="1" applyAlignment="1">
      <alignment wrapText="1"/>
    </xf>
    <xf numFmtId="0" fontId="9" fillId="0" borderId="5" xfId="0" applyFont="1" applyBorder="1"/>
    <xf numFmtId="9" fontId="9" fillId="0" borderId="5" xfId="0" applyNumberFormat="1" applyFont="1" applyBorder="1"/>
    <xf numFmtId="0" fontId="9" fillId="0" borderId="0" xfId="0" applyFont="1" applyBorder="1"/>
    <xf numFmtId="0" fontId="11" fillId="0" borderId="4" xfId="0" applyFont="1" applyBorder="1"/>
    <xf numFmtId="0" fontId="11" fillId="0" borderId="0" xfId="0" applyFont="1" applyBorder="1"/>
    <xf numFmtId="0" fontId="11" fillId="0" borderId="5" xfId="0" applyFont="1" applyBorder="1"/>
    <xf numFmtId="0" fontId="9" fillId="0" borderId="0" xfId="0" applyFont="1" applyBorder="1" applyAlignment="1">
      <alignment wrapText="1"/>
    </xf>
    <xf numFmtId="0" fontId="9" fillId="0" borderId="7" xfId="0" applyFont="1" applyBorder="1" applyAlignment="1">
      <alignment wrapText="1"/>
    </xf>
    <xf numFmtId="9" fontId="0" fillId="0" borderId="4" xfId="2" applyFont="1" applyBorder="1"/>
    <xf numFmtId="9" fontId="0" fillId="0" borderId="0" xfId="2" applyFont="1" applyBorder="1"/>
    <xf numFmtId="0" fontId="0" fillId="0" borderId="5" xfId="0" applyBorder="1"/>
    <xf numFmtId="10" fontId="0" fillId="7" borderId="4" xfId="0" applyNumberFormat="1" applyFill="1" applyBorder="1"/>
    <xf numFmtId="10" fontId="0" fillId="7" borderId="0" xfId="0" applyNumberFormat="1" applyFill="1" applyBorder="1"/>
    <xf numFmtId="10" fontId="0" fillId="7" borderId="5" xfId="2" applyNumberFormat="1" applyFont="1" applyFill="1" applyBorder="1"/>
    <xf numFmtId="10" fontId="9" fillId="0" borderId="4" xfId="0" applyNumberFormat="1" applyFont="1" applyBorder="1"/>
    <xf numFmtId="10" fontId="9" fillId="0" borderId="0" xfId="0" applyNumberFormat="1" applyFont="1" applyBorder="1"/>
    <xf numFmtId="10" fontId="9" fillId="0" borderId="5" xfId="2" applyNumberFormat="1" applyFont="1" applyBorder="1"/>
    <xf numFmtId="0" fontId="0" fillId="0" borderId="0" xfId="0" applyBorder="1"/>
    <xf numFmtId="10" fontId="9" fillId="0" borderId="5" xfId="0" applyNumberFormat="1" applyFont="1" applyBorder="1"/>
    <xf numFmtId="10" fontId="9" fillId="0" borderId="4" xfId="2" applyNumberFormat="1" applyFont="1" applyBorder="1"/>
    <xf numFmtId="10" fontId="9" fillId="0" borderId="0" xfId="2" applyNumberFormat="1" applyFont="1" applyBorder="1"/>
    <xf numFmtId="9" fontId="9" fillId="0" borderId="4" xfId="2" applyFont="1" applyBorder="1"/>
    <xf numFmtId="9" fontId="10" fillId="0" borderId="4" xfId="2" applyFont="1" applyBorder="1"/>
    <xf numFmtId="10" fontId="10" fillId="0" borderId="0" xfId="0" applyNumberFormat="1" applyFont="1" applyBorder="1"/>
    <xf numFmtId="0" fontId="10" fillId="0" borderId="0" xfId="0" applyFont="1" applyBorder="1"/>
    <xf numFmtId="10" fontId="10" fillId="0" borderId="5" xfId="2" applyNumberFormat="1" applyFont="1" applyBorder="1"/>
    <xf numFmtId="10" fontId="0" fillId="0" borderId="5" xfId="2" applyNumberFormat="1" applyFont="1" applyBorder="1"/>
    <xf numFmtId="10" fontId="9" fillId="0" borderId="6" xfId="0" applyNumberFormat="1" applyFont="1" applyBorder="1"/>
    <xf numFmtId="10" fontId="9" fillId="0" borderId="7" xfId="0" applyNumberFormat="1" applyFont="1" applyBorder="1"/>
    <xf numFmtId="10" fontId="9" fillId="0" borderId="8" xfId="2" applyNumberFormat="1" applyFont="1" applyBorder="1"/>
    <xf numFmtId="0" fontId="3" fillId="0" borderId="0" xfId="0" applyFont="1"/>
    <xf numFmtId="10" fontId="3" fillId="0" borderId="0" xfId="0" applyNumberFormat="1" applyFont="1" applyBorder="1"/>
    <xf numFmtId="0" fontId="3" fillId="0" borderId="0" xfId="0" applyFont="1" applyBorder="1"/>
    <xf numFmtId="0" fontId="3" fillId="7" borderId="0" xfId="0" applyFont="1" applyFill="1"/>
    <xf numFmtId="0" fontId="3" fillId="7" borderId="0" xfId="0" applyFont="1" applyFill="1" applyBorder="1"/>
    <xf numFmtId="10" fontId="3" fillId="7" borderId="0" xfId="0" applyNumberFormat="1" applyFont="1" applyFill="1" applyBorder="1"/>
    <xf numFmtId="10" fontId="3" fillId="0" borderId="0" xfId="2" applyNumberFormat="1" applyFont="1" applyBorder="1"/>
    <xf numFmtId="0" fontId="3" fillId="8" borderId="0" xfId="0" applyFont="1" applyFill="1"/>
    <xf numFmtId="10" fontId="0" fillId="0" borderId="0" xfId="0" applyNumberFormat="1"/>
    <xf numFmtId="0" fontId="13" fillId="0" borderId="0" xfId="0" applyFont="1"/>
    <xf numFmtId="10" fontId="13" fillId="0" borderId="0" xfId="0" applyNumberFormat="1" applyFont="1"/>
    <xf numFmtId="0" fontId="3" fillId="0" borderId="0" xfId="0" applyFont="1" applyFill="1" applyBorder="1"/>
    <xf numFmtId="0" fontId="12" fillId="0" borderId="0" xfId="0" applyFont="1" applyFill="1" applyBorder="1"/>
    <xf numFmtId="0" fontId="13" fillId="0" borderId="0" xfId="0" applyFont="1" applyAlignment="1">
      <alignment horizontal="center"/>
    </xf>
    <xf numFmtId="10" fontId="3" fillId="7" borderId="0" xfId="2" applyNumberFormat="1" applyFont="1" applyFill="1" applyBorder="1"/>
    <xf numFmtId="0" fontId="3" fillId="8" borderId="0" xfId="0" applyFont="1" applyFill="1" applyBorder="1"/>
    <xf numFmtId="1" fontId="3" fillId="10" borderId="0" xfId="0" applyNumberFormat="1" applyFont="1" applyFill="1" applyBorder="1"/>
    <xf numFmtId="1" fontId="3" fillId="10" borderId="0" xfId="2" applyNumberFormat="1" applyFont="1" applyFill="1" applyBorder="1"/>
    <xf numFmtId="0" fontId="3" fillId="0" borderId="0" xfId="0" applyFont="1" applyFill="1"/>
    <xf numFmtId="0" fontId="0" fillId="0" borderId="0" xfId="0" applyFill="1"/>
    <xf numFmtId="0" fontId="12" fillId="11" borderId="0" xfId="0" applyFont="1" applyFill="1"/>
    <xf numFmtId="0" fontId="13" fillId="11" borderId="0" xfId="0" applyFont="1" applyFill="1"/>
    <xf numFmtId="0" fontId="9" fillId="0" borderId="0" xfId="0" applyFont="1" applyFill="1"/>
    <xf numFmtId="0" fontId="9" fillId="12" borderId="0" xfId="0" applyFont="1" applyFill="1"/>
    <xf numFmtId="0" fontId="0" fillId="12" borderId="0" xfId="0" applyFill="1" applyAlignment="1">
      <alignment wrapText="1"/>
    </xf>
    <xf numFmtId="10" fontId="11" fillId="0" borderId="5" xfId="2" applyNumberFormat="1" applyFont="1" applyBorder="1"/>
    <xf numFmtId="0" fontId="2" fillId="7" borderId="0" xfId="0" applyFont="1" applyFill="1"/>
    <xf numFmtId="0" fontId="2" fillId="0" borderId="0" xfId="0" applyFont="1"/>
    <xf numFmtId="1" fontId="2" fillId="10" borderId="0" xfId="0" applyNumberFormat="1" applyFont="1" applyFill="1" applyBorder="1"/>
    <xf numFmtId="16" fontId="0" fillId="0" borderId="0" xfId="0" applyNumberFormat="1"/>
    <xf numFmtId="2" fontId="3" fillId="0" borderId="0" xfId="0" applyNumberFormat="1" applyFont="1" applyBorder="1"/>
    <xf numFmtId="10" fontId="2" fillId="7" borderId="0" xfId="0" applyNumberFormat="1" applyFont="1" applyFill="1" applyBorder="1"/>
    <xf numFmtId="0" fontId="3" fillId="13" borderId="0" xfId="0" applyFont="1" applyFill="1" applyBorder="1"/>
    <xf numFmtId="0" fontId="1" fillId="13" borderId="0" xfId="0" applyFont="1" applyFill="1" applyBorder="1"/>
    <xf numFmtId="0" fontId="1" fillId="13" borderId="0" xfId="0" quotePrefix="1" applyFont="1" applyFill="1" applyBorder="1" applyAlignment="1">
      <alignment wrapText="1"/>
    </xf>
    <xf numFmtId="9" fontId="1" fillId="13" borderId="0" xfId="0" applyNumberFormat="1" applyFont="1" applyFill="1" applyBorder="1"/>
    <xf numFmtId="0" fontId="1" fillId="13" borderId="0" xfId="0" applyFont="1" applyFill="1" applyBorder="1" applyAlignment="1">
      <alignment wrapText="1"/>
    </xf>
    <xf numFmtId="0" fontId="13" fillId="0" borderId="0" xfId="0" applyFont="1" applyFill="1"/>
    <xf numFmtId="0" fontId="9" fillId="0" borderId="0" xfId="0" quotePrefix="1" applyFont="1" applyFill="1" applyBorder="1" applyAlignment="1">
      <alignment wrapText="1"/>
    </xf>
    <xf numFmtId="0" fontId="0" fillId="0" borderId="0" xfId="0" applyFill="1" applyBorder="1"/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/>
    <xf numFmtId="0" fontId="13" fillId="0" borderId="0" xfId="0" applyFont="1" applyFill="1" applyBorder="1"/>
    <xf numFmtId="0" fontId="14" fillId="10" borderId="0" xfId="0" applyFont="1" applyFill="1" applyBorder="1"/>
    <xf numFmtId="0" fontId="12" fillId="14" borderId="9" xfId="0" applyFont="1" applyFill="1" applyBorder="1"/>
    <xf numFmtId="10" fontId="12" fillId="14" borderId="9" xfId="0" applyNumberFormat="1" applyFont="1" applyFill="1" applyBorder="1"/>
    <xf numFmtId="17" fontId="1" fillId="14" borderId="9" xfId="0" applyNumberFormat="1" applyFont="1" applyFill="1" applyBorder="1"/>
    <xf numFmtId="0" fontId="1" fillId="14" borderId="9" xfId="0" applyFont="1" applyFill="1" applyBorder="1"/>
    <xf numFmtId="0" fontId="1" fillId="14" borderId="9" xfId="0" quotePrefix="1" applyFont="1" applyFill="1" applyBorder="1" applyAlignment="1">
      <alignment wrapText="1"/>
    </xf>
    <xf numFmtId="0" fontId="1" fillId="14" borderId="9" xfId="0" applyFont="1" applyFill="1" applyBorder="1" applyAlignment="1">
      <alignment wrapText="1"/>
    </xf>
    <xf numFmtId="0" fontId="1" fillId="8" borderId="9" xfId="0" applyFont="1" applyFill="1" applyBorder="1" applyAlignment="1">
      <alignment wrapText="1"/>
    </xf>
    <xf numFmtId="0" fontId="1" fillId="13" borderId="0" xfId="0" applyFont="1" applyFill="1" applyBorder="1"/>
    <xf numFmtId="0" fontId="0" fillId="0" borderId="0" xfId="0"/>
    <xf numFmtId="0" fontId="11" fillId="0" borderId="0" xfId="0" applyFont="1"/>
    <xf numFmtId="0" fontId="9" fillId="0" borderId="0" xfId="0" applyFont="1" applyAlignment="1">
      <alignment horizontal="left" wrapText="1"/>
    </xf>
    <xf numFmtId="0" fontId="4" fillId="9" borderId="1" xfId="7" applyBorder="1" applyAlignment="1">
      <alignment horizontal="center" vertical="center" wrapText="1"/>
    </xf>
    <xf numFmtId="0" fontId="4" fillId="9" borderId="2" xfId="7" applyBorder="1" applyAlignment="1">
      <alignment horizontal="center" vertical="center" wrapText="1"/>
    </xf>
    <xf numFmtId="0" fontId="4" fillId="9" borderId="3" xfId="7" applyBorder="1" applyAlignment="1">
      <alignment horizontal="center" vertical="center" wrapText="1"/>
    </xf>
    <xf numFmtId="10" fontId="0" fillId="7" borderId="0" xfId="0" applyNumberFormat="1" applyFill="1" applyBorder="1" applyAlignment="1">
      <alignment horizontal="right"/>
    </xf>
    <xf numFmtId="10" fontId="0" fillId="7" borderId="5" xfId="2" applyNumberFormat="1" applyFont="1" applyFill="1" applyBorder="1" applyAlignment="1">
      <alignment horizontal="right"/>
    </xf>
    <xf numFmtId="0" fontId="4" fillId="5" borderId="1" xfId="6" applyBorder="1" applyAlignment="1">
      <alignment horizontal="center" vertical="center"/>
    </xf>
    <xf numFmtId="0" fontId="4" fillId="5" borderId="2" xfId="6" applyBorder="1" applyAlignment="1">
      <alignment horizontal="center" vertical="center"/>
    </xf>
    <xf numFmtId="0" fontId="4" fillId="5" borderId="3" xfId="6" applyBorder="1" applyAlignment="1">
      <alignment horizontal="center" vertical="center"/>
    </xf>
    <xf numFmtId="0" fontId="7" fillId="4" borderId="0" xfId="5" applyFont="1" applyAlignment="1">
      <alignment horizontal="center" vertical="center" wrapText="1"/>
    </xf>
    <xf numFmtId="0" fontId="7" fillId="4" borderId="0" xfId="5" applyFont="1" applyAlignment="1">
      <alignment horizontal="center" vertical="center"/>
    </xf>
    <xf numFmtId="0" fontId="6" fillId="3" borderId="0" xfId="4" applyAlignment="1">
      <alignment horizontal="left"/>
    </xf>
    <xf numFmtId="0" fontId="0" fillId="0" borderId="0" xfId="0" applyAlignment="1">
      <alignment horizontal="left" vertical="top" wrapText="1"/>
    </xf>
    <xf numFmtId="0" fontId="13" fillId="7" borderId="0" xfId="0" applyFont="1" applyFill="1" applyAlignment="1">
      <alignment horizontal="center"/>
    </xf>
    <xf numFmtId="0" fontId="1" fillId="6" borderId="9" xfId="0" applyFont="1" applyFill="1" applyBorder="1" applyAlignment="1">
      <alignment wrapText="1"/>
    </xf>
    <xf numFmtId="17" fontId="1" fillId="6" borderId="9" xfId="0" applyNumberFormat="1" applyFont="1" applyFill="1" applyBorder="1"/>
    <xf numFmtId="0" fontId="9" fillId="6" borderId="0" xfId="0" quotePrefix="1" applyFont="1" applyFill="1" applyBorder="1" applyAlignment="1">
      <alignment wrapText="1"/>
    </xf>
    <xf numFmtId="0" fontId="1" fillId="6" borderId="9" xfId="0" applyFont="1" applyFill="1" applyBorder="1"/>
    <xf numFmtId="0" fontId="1" fillId="6" borderId="9" xfId="0" quotePrefix="1" applyFont="1" applyFill="1" applyBorder="1" applyAlignment="1">
      <alignment wrapText="1"/>
    </xf>
    <xf numFmtId="0" fontId="0" fillId="6" borderId="0" xfId="0" applyFill="1" applyBorder="1"/>
    <xf numFmtId="0" fontId="0" fillId="6" borderId="0" xfId="0" applyFill="1"/>
  </cellXfs>
  <cellStyles count="8">
    <cellStyle name="60% - Accent4" xfId="7" builtinId="44"/>
    <cellStyle name="60% - Accent5" xfId="6" builtinId="48"/>
    <cellStyle name="Accent1" xfId="5" builtinId="29"/>
    <cellStyle name="Bad" xfId="4" builtinId="27"/>
    <cellStyle name="Comma" xfId="1" builtinId="3"/>
    <cellStyle name="Good" xfId="3" builtinId="26"/>
    <cellStyle name="Normal" xfId="0" builtinId="0"/>
    <cellStyle name="Percent" xfId="2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293843</xdr:colOff>
      <xdr:row>2</xdr:row>
      <xdr:rowOff>145370</xdr:rowOff>
    </xdr:from>
    <xdr:to>
      <xdr:col>16</xdr:col>
      <xdr:colOff>671558</xdr:colOff>
      <xdr:row>17</xdr:row>
      <xdr:rowOff>10769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72C73-F258-FD4B-85EE-8D548EDA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6167" y="526370"/>
          <a:ext cx="5711715" cy="28125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izan Ahmed" id="{809863A4-3997-4C82-8749-5AFD3AB7383D}" userId="S::faizan.ahmed@cwbank.com::27c8550a-dfc2-473a-8bc7-493b992772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425A6-90C4-7448-B247-2E84ABD0F8D3}" name="Table1" displayName="Table1" ref="R9:T14" totalsRowShown="0" headerRowDxfId="5">
  <autoFilter ref="R9:T14" xr:uid="{6D4798F0-EF6C-F34B-9A27-811ACD50A641}"/>
  <tableColumns count="3">
    <tableColumn id="1" xr3:uid="{17AC13CB-B29F-7A43-8B80-5C3BFA5364D7}" name="Dominance " dataDxfId="4"/>
    <tableColumn id="2" xr3:uid="{0B32657D-0AA5-C74E-8911-90F378ED5675}" name="Min (Incl)" dataDxfId="3">
      <calculatedColumnFormula>T9</calculatedColumnFormula>
    </tableColumn>
    <tableColumn id="3" xr3:uid="{4AF38AAF-3091-A948-B757-46079B39EB4D}" name="Max (Excl)" dataDxfId="2">
      <calculatedColumnFormula>S10+$S$7</calculatedColumnFormula>
    </tableColumn>
  </tableColumns>
  <tableStyleInfo name="TableStyleMedium13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" dT="2021-06-18T14:53:36.97" personId="{809863A4-3997-4C82-8749-5AFD3AB7383D}" id="{F393E582-E1A0-4A6D-9E41-6220958C0829}">
    <text>If starting value is zero that mean the new value must be &lt;=1</text>
  </threadedComment>
  <threadedComment ref="D15" dT="2021-06-18T19:33:21.74" personId="{809863A4-3997-4C82-8749-5AFD3AB7383D}" id="{C9739134-0339-40BC-A013-ECADB1ECC30A}">
    <text>This can be negative too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" dT="2021-07-09T04:06:33.27" personId="{809863A4-3997-4C82-8749-5AFD3AB7383D}" id="{1071B942-71CF-47BA-B8C4-546601172B01}">
    <text>This is the Quarter most recently passed</text>
  </threadedComment>
  <threadedComment ref="F9" dT="2021-07-09T04:06:59.46" personId="{809863A4-3997-4C82-8749-5AFD3AB7383D}" id="{D5A916B4-C4D3-4DB0-8372-01C277E441D5}">
    <text>This is the quarter in the farthest past</text>
  </threadedComment>
  <threadedComment ref="B11" dT="2021-07-09T04:05:37.66" personId="{809863A4-3997-4C82-8749-5AFD3AB7383D}" id="{5E5EC24F-7980-4B52-A24B-5924A49C4AA8}">
    <text>Reversed the order of months to indicate the correct order. 
The formula to calculate % change is = (New Q - Old Q)/Old Q</text>
  </threadedComment>
  <threadedComment ref="D14" dT="2021-06-17T22:25:55.81" personId="{809863A4-3997-4C82-8749-5AFD3AB7383D}" id="{DC1FCD25-2775-469E-B9B7-39FCAF4FABC7}">
    <text>Changed the formula to calculate quarter numbers. This applies to all the subsequent cells</text>
  </threadedComment>
  <threadedComment ref="C29" dT="2021-07-09T04:13:06.51" personId="{809863A4-3997-4C82-8749-5AFD3AB7383D}" id="{2507F0E6-C9E6-4E74-B272-AC205C8147DD}">
    <text>This number will be provided by the XAI Cashflow model</text>
  </threadedComment>
  <threadedComment ref="C30" dT="2021-07-09T04:13:24.59" personId="{809863A4-3997-4C82-8749-5AFD3AB7383D}" id="{D4B0A29A-3D5C-4274-A42C-6CE216896C9B}">
    <text>This number will be provided by the XAI Cashflow model.</text>
  </threadedComment>
  <threadedComment ref="C31" dT="2021-07-09T04:13:28.99" personId="{809863A4-3997-4C82-8749-5AFD3AB7383D}" id="{50A67C75-7244-4000-BAA4-CD8B92F44F6D}">
    <text>This number will be provided by the XAI Cashflow model.</text>
  </threadedComment>
  <threadedComment ref="D32" dT="2021-06-17T22:25:55.81" personId="{809863A4-3997-4C82-8749-5AFD3AB7383D}" id="{34C4E16E-129F-4EB7-AA2B-33D343CA7895}">
    <text>Calculated using the XAI provided numbers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0923-8E52-4608-9012-DB2B4ABB580F}">
  <dimension ref="A1:S67"/>
  <sheetViews>
    <sheetView zoomScale="115" zoomScaleNormal="115" workbookViewId="0">
      <pane xSplit="4" ySplit="5" topLeftCell="J6" activePane="bottomRight" state="frozen"/>
      <selection pane="topRight" activeCell="E1" sqref="E1"/>
      <selection pane="bottomLeft" activeCell="A6" sqref="A6"/>
      <selection pane="bottomRight" activeCell="J7" sqref="J7"/>
    </sheetView>
  </sheetViews>
  <sheetFormatPr defaultColWidth="8.85546875" defaultRowHeight="15" x14ac:dyDescent="0.25"/>
  <cols>
    <col min="1" max="1" width="12.85546875" customWidth="1"/>
    <col min="2" max="2" width="18.140625" hidden="1" customWidth="1"/>
    <col min="3" max="3" width="16.7109375" customWidth="1"/>
    <col min="4" max="4" width="19.7109375" customWidth="1"/>
    <col min="5" max="5" width="13.42578125" hidden="1" customWidth="1"/>
    <col min="6" max="6" width="15.85546875" hidden="1" customWidth="1"/>
    <col min="7" max="7" width="7.42578125" hidden="1" customWidth="1"/>
    <col min="8" max="8" width="12.28515625" hidden="1" customWidth="1"/>
    <col min="9" max="9" width="7.42578125" hidden="1" customWidth="1"/>
    <col min="10" max="10" width="5.85546875" bestFit="1" customWidth="1"/>
    <col min="11" max="11" width="8.42578125" bestFit="1" customWidth="1"/>
    <col min="12" max="12" width="8.42578125" customWidth="1"/>
    <col min="13" max="13" width="13.42578125" hidden="1" customWidth="1"/>
    <col min="14" max="14" width="14.28515625" customWidth="1"/>
    <col min="15" max="15" width="18.85546875" hidden="1" customWidth="1"/>
    <col min="16" max="16" width="13.28515625" customWidth="1"/>
    <col min="17" max="17" width="35.7109375" customWidth="1"/>
    <col min="18" max="18" width="65" customWidth="1"/>
    <col min="19" max="19" width="57.140625" customWidth="1"/>
  </cols>
  <sheetData>
    <row r="1" spans="1:19" ht="42" customHeight="1" thickBot="1" x14ac:dyDescent="0.3">
      <c r="A1" s="10"/>
      <c r="D1" s="10"/>
      <c r="H1" s="114" t="s">
        <v>233</v>
      </c>
      <c r="I1" s="114"/>
      <c r="J1" s="114"/>
      <c r="K1" s="114"/>
      <c r="L1" s="114"/>
      <c r="N1" s="10" t="s">
        <v>232</v>
      </c>
    </row>
    <row r="2" spans="1:19" ht="17.25" customHeight="1" x14ac:dyDescent="0.25">
      <c r="A2" s="123" t="s">
        <v>125</v>
      </c>
      <c r="B2" s="124" t="s">
        <v>124</v>
      </c>
      <c r="C2" s="124" t="s">
        <v>128</v>
      </c>
      <c r="D2" s="124" t="s">
        <v>149</v>
      </c>
      <c r="E2" s="123" t="s">
        <v>5</v>
      </c>
      <c r="F2" s="14"/>
      <c r="G2" s="15"/>
      <c r="H2" s="14"/>
      <c r="I2" s="14"/>
      <c r="J2" s="115" t="s">
        <v>239</v>
      </c>
      <c r="K2" s="116"/>
      <c r="L2" s="117"/>
      <c r="M2" s="120" t="s">
        <v>129</v>
      </c>
      <c r="N2" s="121"/>
      <c r="O2" s="121"/>
      <c r="P2" s="122"/>
      <c r="Q2" s="1" t="s">
        <v>2</v>
      </c>
    </row>
    <row r="3" spans="1:19" s="1" customFormat="1" ht="45" x14ac:dyDescent="0.25">
      <c r="A3" s="123"/>
      <c r="B3" s="124"/>
      <c r="C3" s="124"/>
      <c r="D3" s="124"/>
      <c r="E3" s="123"/>
      <c r="F3" s="15" t="s">
        <v>192</v>
      </c>
      <c r="G3" s="15" t="s">
        <v>191</v>
      </c>
      <c r="H3" s="15" t="s">
        <v>196</v>
      </c>
      <c r="I3" s="15" t="s">
        <v>200</v>
      </c>
      <c r="J3" s="22" t="s">
        <v>194</v>
      </c>
      <c r="K3" s="23" t="s">
        <v>119</v>
      </c>
      <c r="L3" s="24" t="s">
        <v>195</v>
      </c>
      <c r="M3" s="22" t="s">
        <v>123</v>
      </c>
      <c r="N3" s="23" t="s">
        <v>148</v>
      </c>
      <c r="O3" s="23" t="s">
        <v>167</v>
      </c>
      <c r="P3" s="24" t="s">
        <v>111</v>
      </c>
    </row>
    <row r="4" spans="1:19" hidden="1" x14ac:dyDescent="0.25">
      <c r="E4" s="123"/>
      <c r="F4" s="14"/>
      <c r="G4" s="15"/>
      <c r="H4" s="14"/>
      <c r="I4" s="14"/>
      <c r="J4" s="22"/>
      <c r="K4" s="23"/>
      <c r="L4" s="24"/>
      <c r="M4" s="38">
        <v>0.8</v>
      </c>
      <c r="N4" s="39">
        <v>1</v>
      </c>
      <c r="O4" s="39"/>
      <c r="P4" s="40"/>
    </row>
    <row r="5" spans="1:19" x14ac:dyDescent="0.25">
      <c r="A5" s="11" t="s">
        <v>122</v>
      </c>
      <c r="B5" s="11"/>
      <c r="C5" s="11"/>
      <c r="D5" s="11"/>
      <c r="E5" s="11"/>
      <c r="F5" s="11"/>
      <c r="G5" s="11"/>
      <c r="H5" s="11"/>
      <c r="I5" s="11"/>
      <c r="J5" s="25"/>
      <c r="K5" s="26"/>
      <c r="L5" s="27"/>
      <c r="M5" s="41">
        <f>$P5*M$4</f>
        <v>0.36800000000000005</v>
      </c>
      <c r="N5" s="42">
        <f t="shared" ref="N5" si="0">P5*N$4</f>
        <v>0.46</v>
      </c>
      <c r="O5" s="42"/>
      <c r="P5" s="43">
        <v>0.46</v>
      </c>
      <c r="S5" s="112" t="s">
        <v>302</v>
      </c>
    </row>
    <row r="6" spans="1:19" ht="24.75" x14ac:dyDescent="0.25">
      <c r="B6" s="10" t="s">
        <v>155</v>
      </c>
      <c r="C6" s="10" t="s">
        <v>113</v>
      </c>
      <c r="D6" s="10" t="s">
        <v>120</v>
      </c>
      <c r="E6" s="10" t="s">
        <v>191</v>
      </c>
      <c r="F6" s="10" t="s">
        <v>193</v>
      </c>
      <c r="G6" s="10"/>
      <c r="H6" s="10" t="s">
        <v>197</v>
      </c>
      <c r="I6" s="10"/>
      <c r="J6" s="28" t="s">
        <v>283</v>
      </c>
      <c r="K6" s="29" t="s">
        <v>220</v>
      </c>
      <c r="L6" s="30" t="s">
        <v>284</v>
      </c>
      <c r="M6" s="44">
        <f>$P6*M$4</f>
        <v>8.8000000000000009E-2</v>
      </c>
      <c r="N6" s="45">
        <f>P6*N$4</f>
        <v>0.11</v>
      </c>
      <c r="O6" s="45"/>
      <c r="P6" s="46">
        <v>0.11</v>
      </c>
      <c r="Q6" s="1" t="s">
        <v>51</v>
      </c>
      <c r="R6" s="1" t="s">
        <v>53</v>
      </c>
      <c r="S6" s="112" t="s">
        <v>303</v>
      </c>
    </row>
    <row r="7" spans="1:19" ht="24.75" x14ac:dyDescent="0.25">
      <c r="B7" s="10"/>
      <c r="C7" s="10" t="s">
        <v>119</v>
      </c>
      <c r="D7" s="83" t="s">
        <v>279</v>
      </c>
      <c r="E7" s="10" t="s">
        <v>280</v>
      </c>
      <c r="F7" s="10" t="s">
        <v>193</v>
      </c>
      <c r="G7" s="10"/>
      <c r="H7" s="10" t="s">
        <v>197</v>
      </c>
      <c r="I7" s="10"/>
      <c r="J7" s="28" t="s">
        <v>281</v>
      </c>
      <c r="K7" s="29" t="s">
        <v>220</v>
      </c>
      <c r="L7" s="30" t="s">
        <v>282</v>
      </c>
      <c r="M7" s="44"/>
      <c r="N7" s="45">
        <f>P7*N$4</f>
        <v>7.0000000000000007E-2</v>
      </c>
      <c r="O7" s="45"/>
      <c r="P7" s="46">
        <v>7.0000000000000007E-2</v>
      </c>
      <c r="Q7" s="1"/>
      <c r="R7" s="84" t="s">
        <v>278</v>
      </c>
      <c r="S7" s="112" t="s">
        <v>193</v>
      </c>
    </row>
    <row r="8" spans="1:19" ht="45" x14ac:dyDescent="0.25">
      <c r="B8" s="10" t="s">
        <v>157</v>
      </c>
      <c r="C8" s="10" t="s">
        <v>119</v>
      </c>
      <c r="D8" s="10" t="s">
        <v>121</v>
      </c>
      <c r="E8" s="10" t="s">
        <v>191</v>
      </c>
      <c r="F8" s="10" t="s">
        <v>193</v>
      </c>
      <c r="G8" s="10"/>
      <c r="H8" s="10" t="s">
        <v>197</v>
      </c>
      <c r="I8" s="10" t="s">
        <v>193</v>
      </c>
      <c r="J8" s="28" t="s">
        <v>281</v>
      </c>
      <c r="K8" s="29" t="s">
        <v>220</v>
      </c>
      <c r="L8" s="30" t="s">
        <v>282</v>
      </c>
      <c r="M8" s="44">
        <f>$P8*M$4</f>
        <v>6.4000000000000001E-2</v>
      </c>
      <c r="N8" s="45">
        <f>P8*N$4</f>
        <v>0.08</v>
      </c>
      <c r="O8" s="45"/>
      <c r="P8" s="46">
        <v>0.08</v>
      </c>
      <c r="Q8" s="1" t="s">
        <v>228</v>
      </c>
      <c r="R8" s="1" t="s">
        <v>227</v>
      </c>
      <c r="S8" s="112" t="s">
        <v>229</v>
      </c>
    </row>
    <row r="9" spans="1:19" ht="24.75" x14ac:dyDescent="0.25">
      <c r="B9" s="10" t="s">
        <v>150</v>
      </c>
      <c r="C9" s="10" t="s">
        <v>119</v>
      </c>
      <c r="D9" s="10" t="s">
        <v>151</v>
      </c>
      <c r="E9" s="10" t="s">
        <v>191</v>
      </c>
      <c r="F9" s="10" t="s">
        <v>193</v>
      </c>
      <c r="G9" s="10"/>
      <c r="H9" s="10" t="s">
        <v>197</v>
      </c>
      <c r="I9" s="10"/>
      <c r="J9" s="28" t="s">
        <v>281</v>
      </c>
      <c r="K9" s="29" t="s">
        <v>222</v>
      </c>
      <c r="L9" s="31" t="s">
        <v>282</v>
      </c>
      <c r="M9" s="44">
        <f>$P9*M$4</f>
        <v>6.4000000000000001E-2</v>
      </c>
      <c r="N9" s="45">
        <f>P9*N$4</f>
        <v>0.08</v>
      </c>
      <c r="O9" s="45"/>
      <c r="P9" s="46">
        <v>0.08</v>
      </c>
      <c r="Q9" s="1" t="s">
        <v>43</v>
      </c>
      <c r="R9" s="1" t="s">
        <v>67</v>
      </c>
      <c r="S9" s="112" t="s">
        <v>303</v>
      </c>
    </row>
    <row r="10" spans="1:19" ht="24.75" x14ac:dyDescent="0.25">
      <c r="B10" s="10" t="s">
        <v>156</v>
      </c>
      <c r="C10" s="10" t="s">
        <v>112</v>
      </c>
      <c r="D10" s="10" t="s">
        <v>204</v>
      </c>
      <c r="E10" s="10" t="s">
        <v>191</v>
      </c>
      <c r="F10" s="10" t="s">
        <v>193</v>
      </c>
      <c r="G10" s="10"/>
      <c r="H10" s="10" t="s">
        <v>198</v>
      </c>
      <c r="I10" s="10"/>
      <c r="J10" s="28" t="s">
        <v>285</v>
      </c>
      <c r="K10" s="29" t="s">
        <v>224</v>
      </c>
      <c r="L10" s="30" t="s">
        <v>286</v>
      </c>
      <c r="M10" s="44">
        <f>$P10*M$4</f>
        <v>3.2000000000000001E-2</v>
      </c>
      <c r="N10" s="45">
        <f>P10*N$4</f>
        <v>0.04</v>
      </c>
      <c r="O10" s="45"/>
      <c r="P10" s="46">
        <v>0.04</v>
      </c>
      <c r="Q10" s="1" t="s">
        <v>205</v>
      </c>
      <c r="R10" s="1" t="s">
        <v>158</v>
      </c>
      <c r="S10" s="112" t="s">
        <v>303</v>
      </c>
    </row>
    <row r="11" spans="1:19" x14ac:dyDescent="0.25">
      <c r="B11" s="10"/>
      <c r="C11" s="16" t="s">
        <v>219</v>
      </c>
      <c r="D11" s="16" t="s">
        <v>212</v>
      </c>
      <c r="E11" s="16" t="s">
        <v>191</v>
      </c>
      <c r="F11" s="16" t="s">
        <v>193</v>
      </c>
      <c r="G11" s="16"/>
      <c r="H11" s="16" t="s">
        <v>197</v>
      </c>
      <c r="I11" s="16"/>
      <c r="J11" s="28"/>
      <c r="K11" s="32"/>
      <c r="L11" s="30"/>
      <c r="M11" s="44"/>
      <c r="N11" s="45"/>
      <c r="O11" s="45"/>
      <c r="P11" s="46"/>
      <c r="Q11" s="1"/>
      <c r="R11" s="1"/>
      <c r="S11" s="112"/>
    </row>
    <row r="12" spans="1:19" ht="24.75" x14ac:dyDescent="0.25">
      <c r="C12" s="10" t="s">
        <v>119</v>
      </c>
      <c r="D12" s="10" t="s">
        <v>7</v>
      </c>
      <c r="E12" s="10" t="s">
        <v>191</v>
      </c>
      <c r="F12" s="10" t="s">
        <v>193</v>
      </c>
      <c r="G12" s="10"/>
      <c r="H12" s="10" t="s">
        <v>198</v>
      </c>
      <c r="J12" s="28" t="s">
        <v>282</v>
      </c>
      <c r="K12" s="29" t="s">
        <v>225</v>
      </c>
      <c r="L12" s="30" t="s">
        <v>281</v>
      </c>
      <c r="M12" s="38"/>
      <c r="N12" s="45">
        <f>P12*N$4</f>
        <v>0.08</v>
      </c>
      <c r="O12" s="47"/>
      <c r="P12" s="48">
        <v>0.08</v>
      </c>
      <c r="R12" s="17" t="s">
        <v>214</v>
      </c>
      <c r="S12" s="112" t="s">
        <v>303</v>
      </c>
    </row>
    <row r="13" spans="1:19" x14ac:dyDescent="0.25">
      <c r="A13" s="11" t="s">
        <v>118</v>
      </c>
      <c r="B13" s="11"/>
      <c r="C13" s="11"/>
      <c r="D13" s="11"/>
      <c r="E13" s="11"/>
      <c r="F13" s="11"/>
      <c r="G13" s="11"/>
      <c r="H13" s="11"/>
      <c r="I13" s="11"/>
      <c r="J13" s="25"/>
      <c r="K13" s="26"/>
      <c r="L13" s="27"/>
      <c r="M13" s="41">
        <f>$P13*M$4</f>
        <v>0.17600000000000002</v>
      </c>
      <c r="N13" s="42">
        <f t="shared" ref="N13:N22" si="1">P13*N$4</f>
        <v>0.22</v>
      </c>
      <c r="O13" s="42"/>
      <c r="P13" s="43">
        <v>0.22</v>
      </c>
      <c r="S13" s="112"/>
    </row>
    <row r="14" spans="1:19" ht="30" x14ac:dyDescent="0.25">
      <c r="B14" s="10" t="s">
        <v>117</v>
      </c>
      <c r="C14" s="10" t="s">
        <v>113</v>
      </c>
      <c r="D14" s="10" t="s">
        <v>116</v>
      </c>
      <c r="E14" s="10" t="s">
        <v>191</v>
      </c>
      <c r="F14" s="10" t="s">
        <v>193</v>
      </c>
      <c r="G14" s="10"/>
      <c r="H14" s="10" t="s">
        <v>197</v>
      </c>
      <c r="I14" s="10"/>
      <c r="J14" s="28" t="s">
        <v>283</v>
      </c>
      <c r="K14" s="29" t="s">
        <v>222</v>
      </c>
      <c r="L14" s="30" t="s">
        <v>284</v>
      </c>
      <c r="M14" s="49">
        <v>0.08</v>
      </c>
      <c r="N14" s="45">
        <f t="shared" si="1"/>
        <v>0.13</v>
      </c>
      <c r="O14" s="50"/>
      <c r="P14" s="46">
        <v>0.13</v>
      </c>
      <c r="Q14" s="1" t="s">
        <v>65</v>
      </c>
      <c r="R14" s="1" t="s">
        <v>66</v>
      </c>
      <c r="S14" s="112" t="s">
        <v>303</v>
      </c>
    </row>
    <row r="15" spans="1:19" ht="24.75" x14ac:dyDescent="0.25">
      <c r="C15" s="10" t="s">
        <v>119</v>
      </c>
      <c r="D15" s="10" t="s">
        <v>6</v>
      </c>
      <c r="E15" s="10" t="s">
        <v>191</v>
      </c>
      <c r="F15" s="10" t="s">
        <v>193</v>
      </c>
      <c r="G15" s="10"/>
      <c r="H15" s="10" t="s">
        <v>197</v>
      </c>
      <c r="J15" s="28" t="s">
        <v>281</v>
      </c>
      <c r="K15" s="29" t="s">
        <v>226</v>
      </c>
      <c r="L15" s="30" t="s">
        <v>282</v>
      </c>
      <c r="M15" s="51"/>
      <c r="N15" s="45">
        <f t="shared" si="1"/>
        <v>0.09</v>
      </c>
      <c r="O15" s="32"/>
      <c r="P15" s="46">
        <v>0.09</v>
      </c>
      <c r="Q15" s="1" t="s">
        <v>208</v>
      </c>
      <c r="R15" s="17" t="s">
        <v>236</v>
      </c>
      <c r="S15" s="112" t="s">
        <v>303</v>
      </c>
    </row>
    <row r="16" spans="1:19" s="19" customFormat="1" ht="30" x14ac:dyDescent="0.25">
      <c r="C16" s="16" t="s">
        <v>218</v>
      </c>
      <c r="D16" s="16" t="s">
        <v>209</v>
      </c>
      <c r="E16" s="16" t="s">
        <v>191</v>
      </c>
      <c r="F16" s="16" t="s">
        <v>215</v>
      </c>
      <c r="G16" s="16"/>
      <c r="H16" s="16" t="s">
        <v>198</v>
      </c>
      <c r="J16" s="33"/>
      <c r="K16" s="34"/>
      <c r="L16" s="35"/>
      <c r="M16" s="52"/>
      <c r="N16" s="53">
        <v>0.1</v>
      </c>
      <c r="O16" s="54"/>
      <c r="P16" s="55">
        <v>0.05</v>
      </c>
      <c r="Q16" s="20" t="s">
        <v>213</v>
      </c>
      <c r="R16" s="21" t="s">
        <v>216</v>
      </c>
      <c r="S16" s="113"/>
    </row>
    <row r="17" spans="1:19" x14ac:dyDescent="0.25">
      <c r="A17" s="11" t="s">
        <v>115</v>
      </c>
      <c r="B17" s="11"/>
      <c r="C17" s="11"/>
      <c r="D17" s="11"/>
      <c r="E17" s="11"/>
      <c r="F17" s="11"/>
      <c r="G17" s="11"/>
      <c r="H17" s="11"/>
      <c r="I17" s="11"/>
      <c r="J17" s="25"/>
      <c r="K17" s="26"/>
      <c r="L17" s="27"/>
      <c r="M17" s="41">
        <f>$P17*M$4</f>
        <v>0.17600000000000002</v>
      </c>
      <c r="N17" s="42">
        <f t="shared" si="1"/>
        <v>0.22</v>
      </c>
      <c r="O17" s="42"/>
      <c r="P17" s="43">
        <v>0.22</v>
      </c>
      <c r="S17" s="112"/>
    </row>
    <row r="18" spans="1:19" ht="24.75" x14ac:dyDescent="0.25">
      <c r="B18" s="10" t="s">
        <v>130</v>
      </c>
      <c r="C18" s="10" t="s">
        <v>113</v>
      </c>
      <c r="D18" s="10" t="s">
        <v>46</v>
      </c>
      <c r="E18" s="10" t="s">
        <v>191</v>
      </c>
      <c r="F18" s="10" t="s">
        <v>193</v>
      </c>
      <c r="G18" s="10"/>
      <c r="H18" s="10" t="s">
        <v>197</v>
      </c>
      <c r="I18" s="10" t="s">
        <v>193</v>
      </c>
      <c r="J18" s="28" t="s">
        <v>283</v>
      </c>
      <c r="K18" s="29" t="s">
        <v>223</v>
      </c>
      <c r="L18" s="30" t="s">
        <v>284</v>
      </c>
      <c r="M18" s="44">
        <f>$P18*M$4</f>
        <v>8.8000000000000009E-2</v>
      </c>
      <c r="N18" s="45">
        <f t="shared" si="1"/>
        <v>0.11</v>
      </c>
      <c r="O18" s="45"/>
      <c r="P18" s="46">
        <v>0.11</v>
      </c>
      <c r="Q18" s="1" t="s">
        <v>47</v>
      </c>
      <c r="R18" s="1" t="s">
        <v>89</v>
      </c>
      <c r="S18" s="112" t="s">
        <v>193</v>
      </c>
    </row>
    <row r="19" spans="1:19" ht="45" x14ac:dyDescent="0.25">
      <c r="B19" s="10" t="s">
        <v>131</v>
      </c>
      <c r="C19" s="10" t="s">
        <v>112</v>
      </c>
      <c r="D19" s="82" t="s">
        <v>147</v>
      </c>
      <c r="E19" s="10" t="s">
        <v>191</v>
      </c>
      <c r="F19" s="10" t="s">
        <v>193</v>
      </c>
      <c r="G19" s="10"/>
      <c r="H19" s="10" t="s">
        <v>197</v>
      </c>
      <c r="I19" s="10" t="s">
        <v>193</v>
      </c>
      <c r="J19" s="28" t="s">
        <v>221</v>
      </c>
      <c r="K19" s="29" t="s">
        <v>222</v>
      </c>
      <c r="L19" s="31" t="s">
        <v>206</v>
      </c>
      <c r="M19" s="44">
        <f>$P19*M$4</f>
        <v>2.4E-2</v>
      </c>
      <c r="N19" s="45">
        <f t="shared" si="1"/>
        <v>0.03</v>
      </c>
      <c r="O19" s="45"/>
      <c r="P19" s="46">
        <v>0.03</v>
      </c>
      <c r="Q19" s="1" t="s">
        <v>60</v>
      </c>
      <c r="R19" s="1" t="s">
        <v>230</v>
      </c>
      <c r="S19" s="112" t="s">
        <v>231</v>
      </c>
    </row>
    <row r="20" spans="1:19" ht="24.75" x14ac:dyDescent="0.25">
      <c r="C20" s="10" t="s">
        <v>112</v>
      </c>
      <c r="D20" s="82" t="s">
        <v>172</v>
      </c>
      <c r="E20" s="10" t="s">
        <v>173</v>
      </c>
      <c r="F20" s="10" t="s">
        <v>203</v>
      </c>
      <c r="G20" s="10"/>
      <c r="H20" s="10" t="s">
        <v>197</v>
      </c>
      <c r="I20" s="10"/>
      <c r="J20" s="28" t="s">
        <v>234</v>
      </c>
      <c r="K20" s="36" t="s">
        <v>235</v>
      </c>
      <c r="L20" s="30" t="s">
        <v>287</v>
      </c>
      <c r="M20" s="38"/>
      <c r="N20" s="45">
        <f t="shared" si="1"/>
        <v>0.03</v>
      </c>
      <c r="O20" s="47"/>
      <c r="P20" s="56">
        <v>0.03</v>
      </c>
      <c r="R20" t="s">
        <v>217</v>
      </c>
      <c r="S20" s="112" t="s">
        <v>303</v>
      </c>
    </row>
    <row r="21" spans="1:19" x14ac:dyDescent="0.25">
      <c r="C21" s="10"/>
      <c r="D21" s="16" t="s">
        <v>178</v>
      </c>
      <c r="E21" s="10" t="s">
        <v>173</v>
      </c>
      <c r="F21" s="10" t="s">
        <v>199</v>
      </c>
      <c r="G21" s="10"/>
      <c r="H21" s="10" t="s">
        <v>197</v>
      </c>
      <c r="I21" s="10"/>
      <c r="J21" s="28"/>
      <c r="K21" s="32"/>
      <c r="L21" s="30"/>
      <c r="M21" s="38"/>
      <c r="N21" s="53">
        <f t="shared" si="1"/>
        <v>0.01</v>
      </c>
      <c r="O21" s="34"/>
      <c r="P21" s="85">
        <v>0.01</v>
      </c>
      <c r="S21" s="112"/>
    </row>
    <row r="22" spans="1:19" ht="24.75" x14ac:dyDescent="0.25">
      <c r="C22" s="10" t="s">
        <v>119</v>
      </c>
      <c r="D22" s="10" t="s">
        <v>34</v>
      </c>
      <c r="E22" s="10" t="s">
        <v>191</v>
      </c>
      <c r="F22" s="10" t="s">
        <v>193</v>
      </c>
      <c r="G22" s="10"/>
      <c r="H22" t="s">
        <v>197</v>
      </c>
      <c r="J22" s="28" t="s">
        <v>281</v>
      </c>
      <c r="K22" s="29" t="s">
        <v>222</v>
      </c>
      <c r="L22" s="30" t="s">
        <v>282</v>
      </c>
      <c r="M22" s="38"/>
      <c r="N22" s="45">
        <f t="shared" si="1"/>
        <v>0.05</v>
      </c>
      <c r="O22" s="47"/>
      <c r="P22" s="56">
        <v>0.05</v>
      </c>
      <c r="Q22" t="s">
        <v>201</v>
      </c>
      <c r="R22" t="s">
        <v>202</v>
      </c>
      <c r="S22" s="112" t="s">
        <v>303</v>
      </c>
    </row>
    <row r="23" spans="1:19" hidden="1" x14ac:dyDescent="0.25">
      <c r="B23" s="10"/>
      <c r="C23" s="10"/>
      <c r="D23" s="10" t="s">
        <v>168</v>
      </c>
      <c r="E23" s="10" t="s">
        <v>169</v>
      </c>
      <c r="F23" s="10"/>
      <c r="G23" s="10"/>
      <c r="H23" s="10"/>
      <c r="I23" s="10"/>
      <c r="J23" s="28"/>
      <c r="K23" s="32"/>
      <c r="L23" s="30"/>
      <c r="M23" s="44"/>
      <c r="N23" s="45"/>
      <c r="O23" s="45"/>
      <c r="P23" s="46"/>
      <c r="Q23" s="1"/>
      <c r="S23" s="112"/>
    </row>
    <row r="24" spans="1:19" hidden="1" x14ac:dyDescent="0.25">
      <c r="D24" s="10" t="s">
        <v>184</v>
      </c>
      <c r="E24" s="10" t="s">
        <v>185</v>
      </c>
      <c r="F24" s="10"/>
      <c r="G24" s="10"/>
      <c r="H24" s="10"/>
      <c r="I24" s="10"/>
      <c r="J24" s="28"/>
      <c r="K24" s="32"/>
      <c r="L24" s="30"/>
      <c r="M24" s="38"/>
      <c r="N24" s="47"/>
      <c r="O24" s="47"/>
      <c r="P24" s="56"/>
      <c r="S24" s="112"/>
    </row>
    <row r="25" spans="1:19" hidden="1" x14ac:dyDescent="0.25">
      <c r="D25" s="10" t="s">
        <v>186</v>
      </c>
      <c r="E25" s="10" t="s">
        <v>173</v>
      </c>
      <c r="F25" s="10"/>
      <c r="G25" s="10"/>
      <c r="H25" s="10"/>
      <c r="I25" s="10"/>
      <c r="J25" s="28"/>
      <c r="K25" s="32"/>
      <c r="L25" s="30"/>
      <c r="M25" s="38"/>
      <c r="N25" s="47"/>
      <c r="O25" s="47"/>
      <c r="P25" s="56"/>
      <c r="S25" s="112"/>
    </row>
    <row r="26" spans="1:19" x14ac:dyDescent="0.25">
      <c r="A26" s="11" t="s">
        <v>114</v>
      </c>
      <c r="B26" s="11"/>
      <c r="C26" s="11"/>
      <c r="D26" s="11"/>
      <c r="E26" s="11"/>
      <c r="F26" s="11"/>
      <c r="G26" s="11"/>
      <c r="H26" s="11"/>
      <c r="I26" s="11"/>
      <c r="J26" s="25"/>
      <c r="K26" s="26"/>
      <c r="L26" s="27"/>
      <c r="M26" s="41">
        <f>$P26*M$4</f>
        <v>8.0000000000000016E-2</v>
      </c>
      <c r="N26" s="118">
        <f>P26*N$4</f>
        <v>0.1</v>
      </c>
      <c r="O26" s="42"/>
      <c r="P26" s="119">
        <v>0.1</v>
      </c>
      <c r="S26" s="112"/>
    </row>
    <row r="27" spans="1:19" x14ac:dyDescent="0.25">
      <c r="A27" s="11" t="s">
        <v>187</v>
      </c>
      <c r="B27" s="11"/>
      <c r="C27" s="11"/>
      <c r="D27" s="11"/>
      <c r="E27" s="11"/>
      <c r="F27" s="11"/>
      <c r="G27" s="11"/>
      <c r="H27" s="11"/>
      <c r="I27" s="11"/>
      <c r="J27" s="25"/>
      <c r="K27" s="26"/>
      <c r="L27" s="27"/>
      <c r="M27" s="25"/>
      <c r="N27" s="118"/>
      <c r="O27" s="26"/>
      <c r="P27" s="119"/>
      <c r="Q27" s="1"/>
      <c r="S27" s="112"/>
    </row>
    <row r="28" spans="1:19" x14ac:dyDescent="0.25">
      <c r="A28" s="11" t="s">
        <v>188</v>
      </c>
      <c r="B28" s="11"/>
      <c r="C28" s="11"/>
      <c r="D28" s="11"/>
      <c r="E28" s="11"/>
      <c r="F28" s="11"/>
      <c r="G28" s="11"/>
      <c r="H28" s="11"/>
      <c r="I28" s="11"/>
      <c r="J28" s="25"/>
      <c r="K28" s="26"/>
      <c r="L28" s="27"/>
      <c r="M28" s="25"/>
      <c r="N28" s="118"/>
      <c r="O28" s="26"/>
      <c r="P28" s="119"/>
      <c r="Q28" s="1"/>
      <c r="S28" s="112"/>
    </row>
    <row r="29" spans="1:19" ht="24.75" x14ac:dyDescent="0.25">
      <c r="B29" s="10" t="s">
        <v>152</v>
      </c>
      <c r="C29" s="10" t="s">
        <v>113</v>
      </c>
      <c r="D29" s="10" t="s">
        <v>30</v>
      </c>
      <c r="E29" s="10" t="s">
        <v>191</v>
      </c>
      <c r="F29" s="10" t="s">
        <v>193</v>
      </c>
      <c r="G29" s="10"/>
      <c r="H29" s="10" t="s">
        <v>197</v>
      </c>
      <c r="I29" s="18" t="s">
        <v>237</v>
      </c>
      <c r="J29" s="28" t="s">
        <v>283</v>
      </c>
      <c r="K29" s="36" t="s">
        <v>220</v>
      </c>
      <c r="L29" s="30" t="s">
        <v>284</v>
      </c>
      <c r="M29" s="44">
        <f>$P29*M$4</f>
        <v>5.6000000000000008E-2</v>
      </c>
      <c r="N29" s="45">
        <f>P29*N$4</f>
        <v>7.0000000000000007E-2</v>
      </c>
      <c r="O29" s="45"/>
      <c r="P29" s="46">
        <v>7.0000000000000007E-2</v>
      </c>
      <c r="Q29" s="1" t="s">
        <v>32</v>
      </c>
      <c r="S29" s="112" t="s">
        <v>303</v>
      </c>
    </row>
    <row r="30" spans="1:19" ht="25.5" thickBot="1" x14ac:dyDescent="0.3">
      <c r="B30" s="10" t="s">
        <v>153</v>
      </c>
      <c r="C30" s="10" t="s">
        <v>112</v>
      </c>
      <c r="D30" s="10" t="s">
        <v>31</v>
      </c>
      <c r="E30" s="10" t="s">
        <v>191</v>
      </c>
      <c r="F30" s="10" t="s">
        <v>193</v>
      </c>
      <c r="G30" s="10"/>
      <c r="H30" s="10" t="s">
        <v>197</v>
      </c>
      <c r="I30" s="18" t="s">
        <v>237</v>
      </c>
      <c r="J30" s="30" t="s">
        <v>286</v>
      </c>
      <c r="K30" s="37" t="s">
        <v>238</v>
      </c>
      <c r="L30" s="28" t="s">
        <v>285</v>
      </c>
      <c r="M30" s="57">
        <f>$P30*M$4</f>
        <v>2.4E-2</v>
      </c>
      <c r="N30" s="58">
        <f>P30*N$4</f>
        <v>0.03</v>
      </c>
      <c r="O30" s="58"/>
      <c r="P30" s="59">
        <v>0.03</v>
      </c>
      <c r="Q30" s="1" t="s">
        <v>33</v>
      </c>
      <c r="S30" s="112" t="s">
        <v>303</v>
      </c>
    </row>
    <row r="31" spans="1:19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9"/>
      <c r="N31" s="9"/>
      <c r="O31" s="9"/>
      <c r="P31" s="12"/>
      <c r="Q31" s="1"/>
    </row>
    <row r="32" spans="1:19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9"/>
      <c r="N32" s="9"/>
      <c r="O32" s="9"/>
      <c r="P32" s="12"/>
      <c r="Q32" s="1"/>
    </row>
    <row r="33" spans="1:17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9"/>
      <c r="N33" s="9"/>
      <c r="O33" s="9"/>
      <c r="P33" s="12"/>
      <c r="Q33" s="1"/>
    </row>
    <row r="34" spans="1:17" x14ac:dyDescent="0.25">
      <c r="B34" s="10"/>
      <c r="C34" s="10"/>
      <c r="D34" s="10" t="s">
        <v>171</v>
      </c>
      <c r="E34" s="10" t="s">
        <v>170</v>
      </c>
      <c r="F34" s="10"/>
      <c r="G34" s="10"/>
      <c r="H34" s="10"/>
      <c r="I34" s="10"/>
      <c r="J34" s="10"/>
      <c r="K34" s="10"/>
      <c r="L34" s="10"/>
      <c r="M34" s="9"/>
      <c r="N34" s="9"/>
      <c r="O34" s="9"/>
      <c r="P34" s="12"/>
      <c r="Q34" s="1"/>
    </row>
    <row r="35" spans="1:17" x14ac:dyDescent="0.25">
      <c r="B35" s="10"/>
      <c r="C35" s="10"/>
      <c r="D35" s="10" t="s">
        <v>174</v>
      </c>
      <c r="E35" s="10" t="s">
        <v>175</v>
      </c>
      <c r="F35" s="10"/>
      <c r="G35" s="10"/>
      <c r="H35" s="10"/>
      <c r="I35" s="10"/>
      <c r="J35" s="10"/>
      <c r="K35" s="10"/>
      <c r="L35" s="10"/>
      <c r="M35" s="9"/>
      <c r="N35" s="9"/>
      <c r="O35" s="9"/>
      <c r="P35" s="12"/>
      <c r="Q35" s="1"/>
    </row>
    <row r="36" spans="1:17" x14ac:dyDescent="0.25">
      <c r="A36" t="s">
        <v>177</v>
      </c>
      <c r="B36" s="10"/>
      <c r="C36" s="10"/>
      <c r="D36" s="10" t="s">
        <v>176</v>
      </c>
      <c r="E36" s="10"/>
      <c r="F36" s="10"/>
      <c r="G36" s="10"/>
      <c r="H36" s="10"/>
      <c r="I36" s="10"/>
      <c r="J36" s="10"/>
      <c r="K36" s="10"/>
      <c r="L36" s="10"/>
      <c r="M36" s="9"/>
      <c r="N36" s="9"/>
      <c r="O36" s="9"/>
      <c r="P36" s="12"/>
      <c r="Q36" s="1"/>
    </row>
    <row r="37" spans="1:17" x14ac:dyDescent="0.25">
      <c r="B37" s="10"/>
      <c r="C37" s="10"/>
      <c r="D37" s="10" t="s">
        <v>179</v>
      </c>
      <c r="E37" s="10"/>
      <c r="F37" s="10"/>
      <c r="G37" s="10"/>
      <c r="H37" s="10"/>
      <c r="I37" s="10"/>
      <c r="J37" s="10"/>
      <c r="K37" s="10"/>
      <c r="L37" s="10"/>
      <c r="M37" s="9"/>
      <c r="N37" s="9"/>
      <c r="O37" s="9"/>
      <c r="P37" s="12"/>
      <c r="Q37" s="1"/>
    </row>
    <row r="38" spans="1:17" x14ac:dyDescent="0.25">
      <c r="B38" s="10"/>
      <c r="C38" s="10"/>
      <c r="D38" s="10" t="s">
        <v>180</v>
      </c>
      <c r="E38" s="10" t="s">
        <v>181</v>
      </c>
      <c r="F38" s="10"/>
      <c r="G38" s="10"/>
      <c r="H38" s="10"/>
      <c r="I38" s="10"/>
      <c r="J38" s="10"/>
      <c r="K38" s="10"/>
      <c r="L38" s="10"/>
      <c r="M38" s="9"/>
      <c r="N38" s="9"/>
      <c r="O38" s="9"/>
      <c r="P38" s="12"/>
      <c r="Q38" s="1"/>
    </row>
    <row r="39" spans="1:17" x14ac:dyDescent="0.25">
      <c r="A39" t="s">
        <v>177</v>
      </c>
      <c r="B39" s="10"/>
      <c r="C39" s="10"/>
      <c r="D39" s="10" t="s">
        <v>182</v>
      </c>
      <c r="E39" s="10" t="s">
        <v>183</v>
      </c>
      <c r="F39" s="10"/>
      <c r="G39" s="10"/>
      <c r="H39" s="10"/>
      <c r="I39" s="10"/>
      <c r="J39" s="10"/>
      <c r="K39" s="10"/>
      <c r="L39" s="10"/>
      <c r="M39" s="9"/>
      <c r="N39" s="9"/>
      <c r="O39" s="9"/>
      <c r="P39" s="12"/>
      <c r="Q39" s="1"/>
    </row>
    <row r="40" spans="1:17" x14ac:dyDescent="0.25">
      <c r="B40" s="10"/>
      <c r="C40" s="10"/>
      <c r="D40" s="10" t="s">
        <v>189</v>
      </c>
      <c r="E40" s="10" t="s">
        <v>190</v>
      </c>
      <c r="F40" s="10"/>
      <c r="G40" s="10"/>
      <c r="H40" s="10"/>
      <c r="I40" s="10"/>
      <c r="J40" s="10"/>
      <c r="K40" s="10"/>
      <c r="L40" s="10"/>
      <c r="M40" s="9"/>
      <c r="N40" s="9"/>
      <c r="O40" s="9"/>
      <c r="P40" s="12"/>
      <c r="Q40" s="1"/>
    </row>
    <row r="41" spans="1:17" x14ac:dyDescent="0.2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9"/>
      <c r="N41" s="9"/>
      <c r="O41" s="9"/>
      <c r="P41" s="12"/>
      <c r="Q41" s="1"/>
    </row>
    <row r="42" spans="1:17" x14ac:dyDescent="0.2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9"/>
      <c r="N42" s="9"/>
      <c r="O42" s="9"/>
      <c r="P42" s="12"/>
      <c r="Q42" s="1"/>
    </row>
    <row r="43" spans="1:17" x14ac:dyDescent="0.2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9"/>
      <c r="N43" s="9"/>
      <c r="O43" s="9"/>
      <c r="P43" s="12"/>
      <c r="Q43" s="1"/>
    </row>
    <row r="44" spans="1:17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9"/>
      <c r="N44" s="9"/>
      <c r="O44" s="9"/>
      <c r="P44" s="12"/>
      <c r="Q44" s="1"/>
    </row>
    <row r="45" spans="1:17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9"/>
      <c r="N45" s="9"/>
      <c r="O45" s="9"/>
      <c r="P45" s="12"/>
      <c r="Q45" s="1"/>
    </row>
    <row r="46" spans="1:17" x14ac:dyDescent="0.2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9"/>
      <c r="N46" s="9"/>
      <c r="O46" s="9"/>
      <c r="P46" s="12"/>
      <c r="Q46" s="1"/>
    </row>
    <row r="47" spans="1:17" x14ac:dyDescent="0.25">
      <c r="D47" t="s">
        <v>111</v>
      </c>
      <c r="M47" s="5">
        <f>SUM(M5,M13,M17,M26)</f>
        <v>0.8</v>
      </c>
      <c r="N47" s="5">
        <f>SUM(N5,N13,N17,N26)</f>
        <v>1</v>
      </c>
      <c r="O47" s="5"/>
      <c r="P47" s="5">
        <f>SUM(P5,P13,P17,P26)</f>
        <v>1</v>
      </c>
    </row>
    <row r="51" spans="1:2" x14ac:dyDescent="0.25">
      <c r="A51" t="s">
        <v>132</v>
      </c>
    </row>
    <row r="52" spans="1:2" x14ac:dyDescent="0.25">
      <c r="B52" s="10" t="s">
        <v>135</v>
      </c>
    </row>
    <row r="53" spans="1:2" x14ac:dyDescent="0.25">
      <c r="B53" s="10" t="s">
        <v>136</v>
      </c>
    </row>
    <row r="54" spans="1:2" x14ac:dyDescent="0.25">
      <c r="B54" s="10"/>
    </row>
    <row r="55" spans="1:2" x14ac:dyDescent="0.25">
      <c r="A55" t="s">
        <v>133</v>
      </c>
    </row>
    <row r="56" spans="1:2" x14ac:dyDescent="0.25">
      <c r="B56" s="10" t="s">
        <v>137</v>
      </c>
    </row>
    <row r="57" spans="1:2" x14ac:dyDescent="0.25">
      <c r="B57" s="10" t="s">
        <v>138</v>
      </c>
    </row>
    <row r="58" spans="1:2" x14ac:dyDescent="0.25">
      <c r="B58" s="10" t="s">
        <v>139</v>
      </c>
    </row>
    <row r="59" spans="1:2" x14ac:dyDescent="0.25">
      <c r="B59" s="10" t="s">
        <v>140</v>
      </c>
    </row>
    <row r="60" spans="1:2" x14ac:dyDescent="0.25">
      <c r="B60" s="10" t="s">
        <v>141</v>
      </c>
    </row>
    <row r="61" spans="1:2" x14ac:dyDescent="0.25">
      <c r="B61" s="10" t="s">
        <v>142</v>
      </c>
    </row>
    <row r="62" spans="1:2" x14ac:dyDescent="0.25">
      <c r="B62" s="10"/>
    </row>
    <row r="63" spans="1:2" x14ac:dyDescent="0.25">
      <c r="A63" t="s">
        <v>134</v>
      </c>
    </row>
    <row r="64" spans="1:2" x14ac:dyDescent="0.25">
      <c r="B64" s="10" t="s">
        <v>143</v>
      </c>
    </row>
    <row r="65" spans="2:2" x14ac:dyDescent="0.25">
      <c r="B65" s="10" t="s">
        <v>144</v>
      </c>
    </row>
    <row r="66" spans="2:2" x14ac:dyDescent="0.25">
      <c r="B66" s="10" t="s">
        <v>145</v>
      </c>
    </row>
    <row r="67" spans="2:2" x14ac:dyDescent="0.25">
      <c r="B67" s="10" t="s">
        <v>146</v>
      </c>
    </row>
  </sheetData>
  <mergeCells count="10">
    <mergeCell ref="A2:A3"/>
    <mergeCell ref="B2:B3"/>
    <mergeCell ref="C2:C3"/>
    <mergeCell ref="D2:D3"/>
    <mergeCell ref="E2:E4"/>
    <mergeCell ref="H1:L1"/>
    <mergeCell ref="J2:L2"/>
    <mergeCell ref="N26:N28"/>
    <mergeCell ref="P26:P28"/>
    <mergeCell ref="M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DBC4-1533-41EF-9773-170D3B2CB250}">
  <dimension ref="A1:L37"/>
  <sheetViews>
    <sheetView zoomScale="85" zoomScaleNormal="85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37" sqref="D37"/>
    </sheetView>
  </sheetViews>
  <sheetFormatPr defaultColWidth="8.85546875" defaultRowHeight="15" x14ac:dyDescent="0.25"/>
  <cols>
    <col min="1" max="1" width="8.28515625" customWidth="1"/>
    <col min="2" max="2" width="13.42578125" customWidth="1"/>
    <col min="3" max="3" width="14.140625" customWidth="1"/>
    <col min="4" max="4" width="21" style="1" customWidth="1"/>
    <col min="5" max="5" width="31" style="1" customWidth="1"/>
    <col min="6" max="6" width="40.42578125" style="1" customWidth="1"/>
    <col min="7" max="7" width="33.42578125" customWidth="1"/>
  </cols>
  <sheetData>
    <row r="1" spans="1:12" x14ac:dyDescent="0.25">
      <c r="A1" s="2" t="s">
        <v>91</v>
      </c>
      <c r="B1" s="2" t="s">
        <v>126</v>
      </c>
      <c r="C1" s="2" t="s">
        <v>127</v>
      </c>
      <c r="D1" s="3" t="s">
        <v>0</v>
      </c>
      <c r="E1" s="3" t="s">
        <v>28</v>
      </c>
      <c r="F1" s="3" t="s">
        <v>1</v>
      </c>
      <c r="G1" s="3" t="s">
        <v>68</v>
      </c>
    </row>
    <row r="2" spans="1:12" ht="30" x14ac:dyDescent="0.25">
      <c r="B2" t="s">
        <v>85</v>
      </c>
      <c r="D2" s="1" t="s">
        <v>3</v>
      </c>
      <c r="E2" s="1" t="s">
        <v>75</v>
      </c>
      <c r="F2" s="1" t="s">
        <v>74</v>
      </c>
      <c r="G2" s="1" t="s">
        <v>76</v>
      </c>
      <c r="L2" t="s">
        <v>77</v>
      </c>
    </row>
    <row r="3" spans="1:12" x14ac:dyDescent="0.25">
      <c r="B3" t="s">
        <v>85</v>
      </c>
      <c r="D3" s="1" t="s">
        <v>6</v>
      </c>
      <c r="E3" s="1" t="s">
        <v>8</v>
      </c>
      <c r="L3" t="s">
        <v>78</v>
      </c>
    </row>
    <row r="4" spans="1:12" x14ac:dyDescent="0.25">
      <c r="B4" t="s">
        <v>85</v>
      </c>
      <c r="D4" s="1" t="s">
        <v>7</v>
      </c>
      <c r="E4" s="1" t="s">
        <v>8</v>
      </c>
      <c r="L4" t="s">
        <v>81</v>
      </c>
    </row>
    <row r="5" spans="1:12" ht="30" x14ac:dyDescent="0.25">
      <c r="B5" t="s">
        <v>85</v>
      </c>
      <c r="D5" s="1" t="s">
        <v>4</v>
      </c>
      <c r="E5" s="1" t="s">
        <v>9</v>
      </c>
      <c r="L5" t="s">
        <v>79</v>
      </c>
    </row>
    <row r="6" spans="1:12" x14ac:dyDescent="0.25">
      <c r="B6" t="s">
        <v>85</v>
      </c>
      <c r="D6" s="1" t="s">
        <v>11</v>
      </c>
      <c r="E6" s="1" t="s">
        <v>12</v>
      </c>
      <c r="L6" t="s">
        <v>80</v>
      </c>
    </row>
    <row r="7" spans="1:12" x14ac:dyDescent="0.25">
      <c r="B7" t="s">
        <v>85</v>
      </c>
      <c r="D7" s="1" t="s">
        <v>10</v>
      </c>
      <c r="E7" s="1" t="s">
        <v>13</v>
      </c>
    </row>
    <row r="8" spans="1:12" x14ac:dyDescent="0.25">
      <c r="B8" t="s">
        <v>85</v>
      </c>
      <c r="D8" s="1" t="s">
        <v>14</v>
      </c>
      <c r="E8" s="1" t="s">
        <v>15</v>
      </c>
      <c r="L8" t="s">
        <v>82</v>
      </c>
    </row>
    <row r="9" spans="1:12" x14ac:dyDescent="0.25">
      <c r="B9" t="s">
        <v>85</v>
      </c>
      <c r="D9" s="1" t="s">
        <v>16</v>
      </c>
      <c r="E9" s="1" t="s">
        <v>15</v>
      </c>
    </row>
    <row r="10" spans="1:12" x14ac:dyDescent="0.25">
      <c r="B10" t="s">
        <v>85</v>
      </c>
      <c r="D10" s="1" t="s">
        <v>17</v>
      </c>
      <c r="E10" s="1" t="s">
        <v>15</v>
      </c>
      <c r="L10" t="s">
        <v>83</v>
      </c>
    </row>
    <row r="11" spans="1:12" x14ac:dyDescent="0.25">
      <c r="B11" t="s">
        <v>85</v>
      </c>
      <c r="D11" s="1" t="s">
        <v>19</v>
      </c>
      <c r="E11" s="1" t="s">
        <v>15</v>
      </c>
    </row>
    <row r="12" spans="1:12" ht="30" x14ac:dyDescent="0.25">
      <c r="B12" t="s">
        <v>85</v>
      </c>
      <c r="D12" s="1" t="s">
        <v>20</v>
      </c>
      <c r="E12" s="1" t="s">
        <v>15</v>
      </c>
    </row>
    <row r="13" spans="1:12" x14ac:dyDescent="0.25">
      <c r="B13" t="s">
        <v>85</v>
      </c>
      <c r="D13" s="1" t="s">
        <v>21</v>
      </c>
      <c r="E13" s="1" t="s">
        <v>15</v>
      </c>
    </row>
    <row r="14" spans="1:12" x14ac:dyDescent="0.25">
      <c r="B14" t="s">
        <v>85</v>
      </c>
      <c r="D14" s="1" t="s">
        <v>24</v>
      </c>
      <c r="E14" s="1" t="s">
        <v>29</v>
      </c>
      <c r="L14" t="s">
        <v>86</v>
      </c>
    </row>
    <row r="15" spans="1:12" x14ac:dyDescent="0.25">
      <c r="B15" t="s">
        <v>85</v>
      </c>
      <c r="D15" s="4" t="s">
        <v>30</v>
      </c>
      <c r="E15" s="1" t="s">
        <v>32</v>
      </c>
      <c r="L15" t="s">
        <v>87</v>
      </c>
    </row>
    <row r="16" spans="1:12" x14ac:dyDescent="0.25">
      <c r="B16" t="s">
        <v>85</v>
      </c>
      <c r="D16" s="4" t="s">
        <v>31</v>
      </c>
      <c r="E16" s="1" t="s">
        <v>33</v>
      </c>
      <c r="L16" t="s">
        <v>88</v>
      </c>
    </row>
    <row r="17" spans="2:7" ht="30" x14ac:dyDescent="0.25">
      <c r="B17" t="s">
        <v>85</v>
      </c>
      <c r="C17" t="s">
        <v>84</v>
      </c>
      <c r="D17" s="4" t="s">
        <v>46</v>
      </c>
      <c r="E17" s="1" t="s">
        <v>47</v>
      </c>
      <c r="F17" s="1" t="s">
        <v>89</v>
      </c>
    </row>
    <row r="18" spans="2:7" ht="30" x14ac:dyDescent="0.25">
      <c r="B18" t="s">
        <v>85</v>
      </c>
      <c r="C18" t="s">
        <v>84</v>
      </c>
      <c r="D18" s="4" t="s">
        <v>42</v>
      </c>
      <c r="E18" s="1" t="s">
        <v>43</v>
      </c>
      <c r="F18" s="1" t="s">
        <v>67</v>
      </c>
      <c r="G18" s="1" t="s">
        <v>72</v>
      </c>
    </row>
    <row r="19" spans="2:7" ht="45" x14ac:dyDescent="0.25">
      <c r="B19" t="s">
        <v>85</v>
      </c>
      <c r="C19" t="s">
        <v>84</v>
      </c>
      <c r="D19" s="4" t="s">
        <v>64</v>
      </c>
      <c r="E19" s="1" t="s">
        <v>65</v>
      </c>
      <c r="F19" s="1" t="s">
        <v>66</v>
      </c>
    </row>
    <row r="20" spans="2:7" ht="30" x14ac:dyDescent="0.25">
      <c r="B20" t="s">
        <v>85</v>
      </c>
      <c r="C20" t="s">
        <v>84</v>
      </c>
      <c r="D20" s="4" t="s">
        <v>50</v>
      </c>
      <c r="E20" s="1" t="s">
        <v>51</v>
      </c>
      <c r="G20" s="1" t="s">
        <v>53</v>
      </c>
    </row>
    <row r="21" spans="2:7" x14ac:dyDescent="0.25">
      <c r="B21" t="s">
        <v>85</v>
      </c>
      <c r="D21" s="1" t="s">
        <v>44</v>
      </c>
      <c r="E21" s="1" t="s">
        <v>45</v>
      </c>
      <c r="F21" s="1" t="s">
        <v>54</v>
      </c>
      <c r="G21" s="1" t="s">
        <v>69</v>
      </c>
    </row>
    <row r="22" spans="2:7" x14ac:dyDescent="0.25">
      <c r="B22" t="s">
        <v>85</v>
      </c>
      <c r="C22" t="s">
        <v>84</v>
      </c>
      <c r="D22" s="4" t="s">
        <v>57</v>
      </c>
      <c r="E22" s="1" t="s">
        <v>58</v>
      </c>
      <c r="G22" t="s">
        <v>71</v>
      </c>
    </row>
    <row r="23" spans="2:7" x14ac:dyDescent="0.25">
      <c r="B23" t="s">
        <v>85</v>
      </c>
      <c r="C23" t="s">
        <v>84</v>
      </c>
      <c r="D23" s="4" t="s">
        <v>59</v>
      </c>
      <c r="E23" s="1" t="s">
        <v>60</v>
      </c>
    </row>
    <row r="24" spans="2:7" ht="30" x14ac:dyDescent="0.25">
      <c r="B24" t="s">
        <v>85</v>
      </c>
      <c r="C24" t="s">
        <v>84</v>
      </c>
      <c r="D24" s="4" t="s">
        <v>61</v>
      </c>
      <c r="E24" s="1" t="s">
        <v>62</v>
      </c>
      <c r="F24" s="1" t="s">
        <v>63</v>
      </c>
    </row>
    <row r="25" spans="2:7" ht="45" x14ac:dyDescent="0.25">
      <c r="B25" t="s">
        <v>92</v>
      </c>
      <c r="C25" t="s">
        <v>84</v>
      </c>
      <c r="D25" s="1" t="s">
        <v>49</v>
      </c>
      <c r="E25" s="1" t="s">
        <v>52</v>
      </c>
      <c r="G25" s="1" t="s">
        <v>73</v>
      </c>
    </row>
    <row r="26" spans="2:7" x14ac:dyDescent="0.25">
      <c r="B26" t="s">
        <v>92</v>
      </c>
      <c r="C26" t="s">
        <v>84</v>
      </c>
      <c r="D26" s="1" t="s">
        <v>55</v>
      </c>
      <c r="E26" s="1" t="s">
        <v>56</v>
      </c>
      <c r="G26" t="s">
        <v>70</v>
      </c>
    </row>
    <row r="27" spans="2:7" x14ac:dyDescent="0.25">
      <c r="B27" t="s">
        <v>92</v>
      </c>
      <c r="D27" s="1" t="s">
        <v>18</v>
      </c>
      <c r="E27" s="1" t="s">
        <v>15</v>
      </c>
    </row>
    <row r="28" spans="2:7" x14ac:dyDescent="0.25">
      <c r="B28" t="s">
        <v>92</v>
      </c>
      <c r="D28" s="1" t="s">
        <v>22</v>
      </c>
      <c r="E28" s="1" t="s">
        <v>15</v>
      </c>
    </row>
    <row r="29" spans="2:7" x14ac:dyDescent="0.25">
      <c r="B29" t="s">
        <v>92</v>
      </c>
      <c r="D29" s="1" t="s">
        <v>23</v>
      </c>
      <c r="E29" s="1" t="s">
        <v>15</v>
      </c>
    </row>
    <row r="30" spans="2:7" x14ac:dyDescent="0.25">
      <c r="B30" t="s">
        <v>92</v>
      </c>
      <c r="D30" s="1" t="s">
        <v>25</v>
      </c>
      <c r="E30" s="1" t="s">
        <v>29</v>
      </c>
    </row>
    <row r="31" spans="2:7" x14ac:dyDescent="0.25">
      <c r="B31" t="s">
        <v>92</v>
      </c>
      <c r="D31" s="1" t="s">
        <v>26</v>
      </c>
      <c r="E31" s="1" t="s">
        <v>29</v>
      </c>
    </row>
    <row r="32" spans="2:7" x14ac:dyDescent="0.25">
      <c r="B32" t="s">
        <v>92</v>
      </c>
      <c r="D32" s="1" t="s">
        <v>27</v>
      </c>
      <c r="E32" s="1" t="s">
        <v>29</v>
      </c>
    </row>
    <row r="33" spans="2:6" x14ac:dyDescent="0.25">
      <c r="B33" t="s">
        <v>92</v>
      </c>
      <c r="C33" t="s">
        <v>84</v>
      </c>
      <c r="D33" s="1" t="s">
        <v>34</v>
      </c>
      <c r="E33" s="1" t="s">
        <v>37</v>
      </c>
      <c r="F33" s="1" t="s">
        <v>38</v>
      </c>
    </row>
    <row r="34" spans="2:6" ht="30" x14ac:dyDescent="0.25">
      <c r="B34" t="s">
        <v>92</v>
      </c>
      <c r="C34" t="s">
        <v>84</v>
      </c>
      <c r="D34" s="1" t="s">
        <v>35</v>
      </c>
      <c r="E34" s="1" t="s">
        <v>41</v>
      </c>
    </row>
    <row r="35" spans="2:6" ht="30" x14ac:dyDescent="0.25">
      <c r="B35" t="s">
        <v>92</v>
      </c>
      <c r="C35" t="s">
        <v>84</v>
      </c>
      <c r="D35" s="1" t="s">
        <v>39</v>
      </c>
      <c r="E35" s="1" t="s">
        <v>40</v>
      </c>
    </row>
    <row r="36" spans="2:6" ht="30" x14ac:dyDescent="0.25">
      <c r="B36" t="s">
        <v>92</v>
      </c>
      <c r="C36" t="s">
        <v>84</v>
      </c>
      <c r="D36" s="1" t="s">
        <v>36</v>
      </c>
      <c r="E36" s="1" t="s">
        <v>48</v>
      </c>
      <c r="F36" s="1" t="s">
        <v>90</v>
      </c>
    </row>
    <row r="37" spans="2:6" ht="30" x14ac:dyDescent="0.25">
      <c r="D37" s="1" t="s">
        <v>210</v>
      </c>
      <c r="F37" s="1" t="s">
        <v>211</v>
      </c>
    </row>
  </sheetData>
  <autoFilter ref="A1:L1" xr:uid="{E3F01F9F-6F6E-4232-8DA3-194486D77DAB}">
    <sortState xmlns:xlrd2="http://schemas.microsoft.com/office/spreadsheetml/2017/richdata2" ref="A2:L36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4AAF-6DC3-44A5-A593-922E6CBF4A37}">
  <dimension ref="B2:J16"/>
  <sheetViews>
    <sheetView topLeftCell="B1" zoomScale="85" zoomScaleNormal="85" workbookViewId="0">
      <selection activeCell="C12" sqref="C12"/>
    </sheetView>
  </sheetViews>
  <sheetFormatPr defaultColWidth="8.85546875" defaultRowHeight="15" x14ac:dyDescent="0.25"/>
  <cols>
    <col min="2" max="2" width="32.28515625" customWidth="1"/>
    <col min="3" max="3" width="21.28515625" customWidth="1"/>
    <col min="4" max="4" width="23.7109375" customWidth="1"/>
    <col min="6" max="6" width="22.140625" customWidth="1"/>
    <col min="7" max="7" width="18.42578125" customWidth="1"/>
    <col min="9" max="9" width="17.42578125" customWidth="1"/>
  </cols>
  <sheetData>
    <row r="2" spans="2:10" x14ac:dyDescent="0.25">
      <c r="B2" s="7" t="s">
        <v>93</v>
      </c>
      <c r="C2" s="125" t="s">
        <v>159</v>
      </c>
      <c r="D2" s="125"/>
      <c r="F2" t="s">
        <v>94</v>
      </c>
    </row>
    <row r="3" spans="2:10" ht="30.75" customHeight="1" x14ac:dyDescent="0.25">
      <c r="B3" s="13" t="s">
        <v>160</v>
      </c>
      <c r="C3" s="126" t="s">
        <v>97</v>
      </c>
      <c r="D3" s="126"/>
      <c r="F3" t="s">
        <v>0</v>
      </c>
      <c r="H3" t="s">
        <v>106</v>
      </c>
    </row>
    <row r="4" spans="2:10" x14ac:dyDescent="0.25">
      <c r="F4" t="s">
        <v>161</v>
      </c>
      <c r="H4" s="6">
        <v>8</v>
      </c>
    </row>
    <row r="5" spans="2:10" x14ac:dyDescent="0.25">
      <c r="F5" t="s">
        <v>163</v>
      </c>
      <c r="G5" t="s">
        <v>95</v>
      </c>
      <c r="H5" s="5">
        <v>0.9</v>
      </c>
      <c r="I5" t="s">
        <v>164</v>
      </c>
      <c r="J5" s="5">
        <v>0.1</v>
      </c>
    </row>
    <row r="6" spans="2:10" x14ac:dyDescent="0.25">
      <c r="F6" t="s">
        <v>96</v>
      </c>
      <c r="H6" s="6">
        <f>H5*H4</f>
        <v>7.2</v>
      </c>
      <c r="J6" s="6">
        <f>J5*$H$4</f>
        <v>0.8</v>
      </c>
    </row>
    <row r="9" spans="2:10" x14ac:dyDescent="0.25">
      <c r="B9" s="7" t="s">
        <v>154</v>
      </c>
      <c r="C9" s="125" t="s">
        <v>159</v>
      </c>
      <c r="D9" s="125"/>
      <c r="F9" t="s">
        <v>105</v>
      </c>
    </row>
    <row r="10" spans="2:10" x14ac:dyDescent="0.25">
      <c r="B10" t="s">
        <v>98</v>
      </c>
      <c r="C10" t="s">
        <v>108</v>
      </c>
      <c r="D10" t="s">
        <v>100</v>
      </c>
      <c r="F10" t="s">
        <v>0</v>
      </c>
      <c r="H10" t="s">
        <v>106</v>
      </c>
    </row>
    <row r="11" spans="2:10" x14ac:dyDescent="0.25">
      <c r="C11" t="s">
        <v>107</v>
      </c>
      <c r="D11" t="s">
        <v>101</v>
      </c>
      <c r="F11" t="s">
        <v>162</v>
      </c>
      <c r="H11" s="6">
        <v>2</v>
      </c>
    </row>
    <row r="12" spans="2:10" x14ac:dyDescent="0.25">
      <c r="C12" t="s">
        <v>99</v>
      </c>
      <c r="D12" t="s">
        <v>102</v>
      </c>
      <c r="F12" t="s">
        <v>163</v>
      </c>
      <c r="G12" t="s">
        <v>207</v>
      </c>
      <c r="H12" s="5">
        <v>0.8</v>
      </c>
      <c r="I12" t="s">
        <v>110</v>
      </c>
      <c r="J12" s="5">
        <v>0.1</v>
      </c>
    </row>
    <row r="13" spans="2:10" x14ac:dyDescent="0.25">
      <c r="C13" t="s">
        <v>109</v>
      </c>
      <c r="D13" t="s">
        <v>103</v>
      </c>
      <c r="F13" t="s">
        <v>96</v>
      </c>
      <c r="H13" s="8">
        <f>H11*H12</f>
        <v>1.6</v>
      </c>
      <c r="J13" s="8">
        <f>$H$11*J12</f>
        <v>0.2</v>
      </c>
    </row>
    <row r="14" spans="2:10" x14ac:dyDescent="0.25">
      <c r="C14" t="s">
        <v>110</v>
      </c>
      <c r="D14" t="s">
        <v>104</v>
      </c>
    </row>
    <row r="15" spans="2:10" x14ac:dyDescent="0.25">
      <c r="H15" s="5"/>
    </row>
    <row r="16" spans="2:10" x14ac:dyDescent="0.25">
      <c r="F16" t="s">
        <v>165</v>
      </c>
      <c r="G16" t="s">
        <v>166</v>
      </c>
      <c r="H16" s="8">
        <v>8.8000000000000007</v>
      </c>
      <c r="J16">
        <v>1</v>
      </c>
    </row>
  </sheetData>
  <mergeCells count="3">
    <mergeCell ref="C9:D9"/>
    <mergeCell ref="C3:D3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7E58-A189-704E-A0FA-DB91A8B0CF7B}">
  <dimension ref="A1:T35"/>
  <sheetViews>
    <sheetView zoomScale="85" zoomScaleNormal="85" workbookViewId="0">
      <selection activeCell="L3" sqref="L3"/>
    </sheetView>
  </sheetViews>
  <sheetFormatPr defaultColWidth="11.42578125" defaultRowHeight="15" x14ac:dyDescent="0.25"/>
  <cols>
    <col min="1" max="1" width="33.85546875" bestFit="1" customWidth="1"/>
    <col min="2" max="2" width="16.42578125" bestFit="1" customWidth="1"/>
    <col min="4" max="5" width="13.42578125" customWidth="1"/>
    <col min="6" max="6" width="11.42578125" customWidth="1"/>
    <col min="7" max="7" width="11.85546875" customWidth="1"/>
    <col min="8" max="9" width="11.42578125" customWidth="1"/>
    <col min="12" max="12" width="31.42578125" bestFit="1" customWidth="1"/>
    <col min="13" max="13" width="51.28515625" bestFit="1" customWidth="1"/>
    <col min="14" max="14" width="23.140625" customWidth="1"/>
    <col min="18" max="18" width="12.28515625" customWidth="1"/>
    <col min="19" max="19" width="13" customWidth="1"/>
    <col min="20" max="20" width="15.85546875" customWidth="1"/>
  </cols>
  <sheetData>
    <row r="1" spans="1:20" x14ac:dyDescent="0.25">
      <c r="A1" s="69" t="s">
        <v>0</v>
      </c>
      <c r="B1" s="69"/>
      <c r="C1" s="69" t="s">
        <v>240</v>
      </c>
      <c r="D1" s="69" t="s">
        <v>272</v>
      </c>
      <c r="E1" s="97" t="s">
        <v>289</v>
      </c>
      <c r="F1" s="97" t="s">
        <v>112</v>
      </c>
      <c r="G1" s="97" t="s">
        <v>119</v>
      </c>
      <c r="H1" s="97" t="s">
        <v>113</v>
      </c>
      <c r="I1" s="97" t="s">
        <v>290</v>
      </c>
      <c r="J1" s="69" t="s">
        <v>241</v>
      </c>
      <c r="K1" s="69" t="s">
        <v>244</v>
      </c>
      <c r="L1" s="69" t="s">
        <v>262</v>
      </c>
      <c r="M1" s="69" t="s">
        <v>263</v>
      </c>
    </row>
    <row r="2" spans="1:20" ht="31.5" x14ac:dyDescent="0.25">
      <c r="A2" s="63" t="s">
        <v>120</v>
      </c>
      <c r="B2" s="60"/>
      <c r="C2" s="60" t="s">
        <v>197</v>
      </c>
      <c r="D2" s="60"/>
      <c r="E2" s="111">
        <v>-100</v>
      </c>
      <c r="F2" s="93" t="s">
        <v>283</v>
      </c>
      <c r="G2" s="94" t="s">
        <v>220</v>
      </c>
      <c r="H2" s="93" t="s">
        <v>284</v>
      </c>
      <c r="I2" s="92">
        <v>100</v>
      </c>
      <c r="J2" s="68">
        <v>0.11</v>
      </c>
      <c r="K2" s="76">
        <v>5</v>
      </c>
      <c r="L2" s="65" t="s">
        <v>277</v>
      </c>
      <c r="M2" s="61" t="s">
        <v>274</v>
      </c>
      <c r="N2" s="90">
        <f>J2/SUM($J$2:$J$15)</f>
        <v>0.10999999999999997</v>
      </c>
      <c r="O2" s="61">
        <f>N2/2.6</f>
        <v>4.2307692307692296E-2</v>
      </c>
      <c r="P2" s="61">
        <f>ROUND(O2,2)</f>
        <v>0.04</v>
      </c>
      <c r="Q2" s="61"/>
    </row>
    <row r="3" spans="1:20" ht="31.5" x14ac:dyDescent="0.25">
      <c r="A3" s="63" t="s">
        <v>121</v>
      </c>
      <c r="B3" s="60"/>
      <c r="C3" s="60" t="s">
        <v>197</v>
      </c>
      <c r="D3" s="60" t="s">
        <v>193</v>
      </c>
      <c r="E3" s="111">
        <v>-200</v>
      </c>
      <c r="F3" s="93" t="s">
        <v>281</v>
      </c>
      <c r="G3" s="94" t="s">
        <v>220</v>
      </c>
      <c r="H3" s="93" t="s">
        <v>282</v>
      </c>
      <c r="I3" s="92">
        <v>200</v>
      </c>
      <c r="J3" s="68">
        <v>0.08</v>
      </c>
      <c r="K3" s="76">
        <v>3</v>
      </c>
      <c r="L3" s="63" t="s">
        <v>251</v>
      </c>
      <c r="M3" s="61" t="s">
        <v>274</v>
      </c>
      <c r="N3" s="90">
        <f t="shared" ref="N3:N15" si="0">J3/SUM($J$2:$J$15)</f>
        <v>7.9999999999999988E-2</v>
      </c>
      <c r="O3" s="61">
        <f t="shared" ref="O3:O15" si="1">N3/2.6</f>
        <v>3.0769230769230764E-2</v>
      </c>
      <c r="P3" s="61">
        <f t="shared" ref="P3:P15" si="2">ROUND(O3,2)</f>
        <v>0.03</v>
      </c>
      <c r="Q3" s="61"/>
      <c r="R3" s="127" t="s">
        <v>250</v>
      </c>
      <c r="S3" s="127"/>
      <c r="T3" s="127"/>
    </row>
    <row r="4" spans="1:20" ht="31.5" x14ac:dyDescent="0.25">
      <c r="A4" s="63" t="s">
        <v>151</v>
      </c>
      <c r="B4" s="60"/>
      <c r="C4" s="60" t="s">
        <v>197</v>
      </c>
      <c r="D4" s="60"/>
      <c r="E4" s="111">
        <v>-100</v>
      </c>
      <c r="F4" s="93" t="s">
        <v>281</v>
      </c>
      <c r="G4" s="94" t="s">
        <v>222</v>
      </c>
      <c r="H4" s="95" t="s">
        <v>282</v>
      </c>
      <c r="I4" s="92">
        <v>100</v>
      </c>
      <c r="J4" s="68">
        <v>0.08</v>
      </c>
      <c r="K4" s="76">
        <v>3</v>
      </c>
      <c r="L4" s="65" t="s">
        <v>252</v>
      </c>
      <c r="M4" s="61" t="s">
        <v>274</v>
      </c>
      <c r="N4" s="90">
        <f t="shared" si="0"/>
        <v>7.9999999999999988E-2</v>
      </c>
      <c r="O4" s="61">
        <f t="shared" si="1"/>
        <v>3.0769230769230764E-2</v>
      </c>
      <c r="P4" s="61">
        <f t="shared" si="2"/>
        <v>0.03</v>
      </c>
      <c r="Q4" s="61"/>
      <c r="R4" s="69" t="s">
        <v>242</v>
      </c>
      <c r="S4" s="70">
        <f>MAX(J2:J13)</f>
        <v>0.13</v>
      </c>
    </row>
    <row r="5" spans="1:20" ht="31.5" x14ac:dyDescent="0.25">
      <c r="A5" s="63" t="s">
        <v>204</v>
      </c>
      <c r="B5" s="60"/>
      <c r="C5" s="60" t="s">
        <v>198</v>
      </c>
      <c r="D5" s="60"/>
      <c r="E5" s="111">
        <v>-100</v>
      </c>
      <c r="F5" s="93" t="s">
        <v>285</v>
      </c>
      <c r="G5" s="94" t="s">
        <v>224</v>
      </c>
      <c r="H5" s="93" t="s">
        <v>286</v>
      </c>
      <c r="I5" s="92">
        <v>100</v>
      </c>
      <c r="J5" s="68">
        <v>0.04</v>
      </c>
      <c r="K5" s="76">
        <v>1</v>
      </c>
      <c r="L5" s="65" t="s">
        <v>253</v>
      </c>
      <c r="M5" s="61" t="s">
        <v>274</v>
      </c>
      <c r="N5" s="90">
        <f t="shared" si="0"/>
        <v>3.9999999999999994E-2</v>
      </c>
      <c r="O5" s="61">
        <f t="shared" si="1"/>
        <v>1.5384615384615382E-2</v>
      </c>
      <c r="P5" s="61">
        <f t="shared" si="2"/>
        <v>0.02</v>
      </c>
      <c r="Q5" s="61"/>
      <c r="R5" s="69" t="s">
        <v>243</v>
      </c>
      <c r="S5" s="70">
        <f>MIN(J2:J13)</f>
        <v>0.03</v>
      </c>
    </row>
    <row r="6" spans="1:20" ht="31.5" x14ac:dyDescent="0.25">
      <c r="A6" s="67" t="s">
        <v>7</v>
      </c>
      <c r="B6" s="60"/>
      <c r="C6" s="60" t="s">
        <v>198</v>
      </c>
      <c r="D6" s="60"/>
      <c r="E6" s="111">
        <v>-100</v>
      </c>
      <c r="F6" s="93" t="s">
        <v>282</v>
      </c>
      <c r="G6" s="94" t="s">
        <v>225</v>
      </c>
      <c r="H6" s="93" t="s">
        <v>281</v>
      </c>
      <c r="I6" s="92">
        <v>100</v>
      </c>
      <c r="J6" s="68">
        <v>0.08</v>
      </c>
      <c r="K6" s="76">
        <v>3</v>
      </c>
      <c r="L6" s="75" t="s">
        <v>254</v>
      </c>
      <c r="M6" s="61" t="s">
        <v>274</v>
      </c>
      <c r="N6" s="90">
        <f t="shared" si="0"/>
        <v>7.9999999999999988E-2</v>
      </c>
      <c r="O6" s="61">
        <f t="shared" si="1"/>
        <v>3.0769230769230764E-2</v>
      </c>
      <c r="P6" s="61">
        <f t="shared" si="2"/>
        <v>0.03</v>
      </c>
      <c r="Q6" s="62"/>
      <c r="R6" s="69" t="s">
        <v>245</v>
      </c>
      <c r="S6" s="70">
        <f>S4-S5</f>
        <v>0.1</v>
      </c>
    </row>
    <row r="7" spans="1:20" ht="31.5" x14ac:dyDescent="0.25">
      <c r="A7" s="63" t="s">
        <v>116</v>
      </c>
      <c r="B7" s="60"/>
      <c r="C7" s="60" t="s">
        <v>197</v>
      </c>
      <c r="D7" s="60"/>
      <c r="E7" s="111">
        <v>-100</v>
      </c>
      <c r="F7" s="93" t="s">
        <v>283</v>
      </c>
      <c r="G7" s="94" t="s">
        <v>222</v>
      </c>
      <c r="H7" s="93" t="s">
        <v>284</v>
      </c>
      <c r="I7" s="92">
        <v>100</v>
      </c>
      <c r="J7" s="68">
        <v>0.13</v>
      </c>
      <c r="K7" s="77">
        <v>5</v>
      </c>
      <c r="L7" s="74" t="s">
        <v>255</v>
      </c>
      <c r="M7" s="61" t="s">
        <v>274</v>
      </c>
      <c r="N7" s="90">
        <f t="shared" si="0"/>
        <v>0.12999999999999998</v>
      </c>
      <c r="O7" s="61">
        <f t="shared" si="1"/>
        <v>4.9999999999999989E-2</v>
      </c>
      <c r="P7" s="61">
        <f t="shared" si="2"/>
        <v>0.05</v>
      </c>
      <c r="Q7" s="66"/>
      <c r="R7" s="69" t="s">
        <v>246</v>
      </c>
      <c r="S7" s="70">
        <f>S6/5</f>
        <v>0.02</v>
      </c>
    </row>
    <row r="8" spans="1:20" ht="31.5" x14ac:dyDescent="0.25">
      <c r="A8" s="67" t="s">
        <v>6</v>
      </c>
      <c r="B8" s="60"/>
      <c r="C8" s="60" t="s">
        <v>197</v>
      </c>
      <c r="D8" s="60"/>
      <c r="E8" s="111">
        <v>-100</v>
      </c>
      <c r="F8" s="93" t="s">
        <v>281</v>
      </c>
      <c r="G8" s="94" t="s">
        <v>226</v>
      </c>
      <c r="H8" s="93" t="s">
        <v>282</v>
      </c>
      <c r="I8" s="92">
        <v>100</v>
      </c>
      <c r="J8" s="68">
        <v>0.09</v>
      </c>
      <c r="K8" s="76">
        <v>4</v>
      </c>
      <c r="L8" s="75" t="s">
        <v>256</v>
      </c>
      <c r="M8" s="61" t="s">
        <v>274</v>
      </c>
      <c r="N8" s="90">
        <f t="shared" si="0"/>
        <v>8.9999999999999983E-2</v>
      </c>
      <c r="O8" s="61">
        <f t="shared" si="1"/>
        <v>3.461538461538461E-2</v>
      </c>
      <c r="P8" s="61">
        <f t="shared" si="2"/>
        <v>0.03</v>
      </c>
      <c r="Q8" s="62"/>
    </row>
    <row r="9" spans="1:20" ht="31.5" x14ac:dyDescent="0.25">
      <c r="A9" s="63" t="s">
        <v>46</v>
      </c>
      <c r="B9" s="60"/>
      <c r="C9" s="60" t="s">
        <v>197</v>
      </c>
      <c r="D9" s="60" t="s">
        <v>193</v>
      </c>
      <c r="E9" s="111">
        <v>-200</v>
      </c>
      <c r="F9" s="93" t="s">
        <v>283</v>
      </c>
      <c r="G9" s="94" t="s">
        <v>223</v>
      </c>
      <c r="H9" s="93" t="s">
        <v>284</v>
      </c>
      <c r="I9" s="92">
        <v>200</v>
      </c>
      <c r="J9" s="68">
        <v>0.11</v>
      </c>
      <c r="K9" s="76">
        <v>5</v>
      </c>
      <c r="L9" s="65" t="s">
        <v>257</v>
      </c>
      <c r="M9" s="61" t="s">
        <v>274</v>
      </c>
      <c r="N9" s="90">
        <f t="shared" si="0"/>
        <v>0.10999999999999997</v>
      </c>
      <c r="O9" s="61">
        <f t="shared" si="1"/>
        <v>4.2307692307692296E-2</v>
      </c>
      <c r="P9" s="61">
        <f t="shared" si="2"/>
        <v>0.04</v>
      </c>
      <c r="Q9" s="61"/>
      <c r="R9" s="72" t="s">
        <v>247</v>
      </c>
      <c r="S9" s="72" t="s">
        <v>248</v>
      </c>
      <c r="T9" s="72" t="s">
        <v>249</v>
      </c>
    </row>
    <row r="10" spans="1:20" ht="31.5" x14ac:dyDescent="0.25">
      <c r="A10" s="63" t="s">
        <v>147</v>
      </c>
      <c r="B10" s="60"/>
      <c r="C10" s="60" t="s">
        <v>197</v>
      </c>
      <c r="D10" s="60" t="s">
        <v>193</v>
      </c>
      <c r="E10" s="111">
        <v>-200</v>
      </c>
      <c r="F10" s="93" t="s">
        <v>221</v>
      </c>
      <c r="G10" s="94" t="s">
        <v>222</v>
      </c>
      <c r="H10" s="95" t="s">
        <v>206</v>
      </c>
      <c r="I10" s="92">
        <v>200</v>
      </c>
      <c r="J10" s="68">
        <v>0.03</v>
      </c>
      <c r="K10" s="76">
        <v>1</v>
      </c>
      <c r="L10" s="65" t="s">
        <v>258</v>
      </c>
      <c r="M10" s="61" t="s">
        <v>274</v>
      </c>
      <c r="N10" s="90">
        <f t="shared" si="0"/>
        <v>2.9999999999999992E-2</v>
      </c>
      <c r="O10" s="61">
        <f t="shared" si="1"/>
        <v>1.1538461538461536E-2</v>
      </c>
      <c r="P10" s="61">
        <f t="shared" si="2"/>
        <v>0.01</v>
      </c>
      <c r="Q10" s="61"/>
      <c r="R10" s="73">
        <v>1</v>
      </c>
      <c r="S10" s="70">
        <f>S5</f>
        <v>0.03</v>
      </c>
      <c r="T10" s="70">
        <f>S10+$S$7</f>
        <v>0.05</v>
      </c>
    </row>
    <row r="11" spans="1:20" ht="31.5" x14ac:dyDescent="0.25">
      <c r="A11" s="63" t="s">
        <v>271</v>
      </c>
      <c r="B11" s="60"/>
      <c r="C11" s="60" t="s">
        <v>197</v>
      </c>
      <c r="D11" s="60"/>
      <c r="E11" s="111">
        <v>0</v>
      </c>
      <c r="F11" s="93" t="s">
        <v>234</v>
      </c>
      <c r="G11" s="96" t="s">
        <v>235</v>
      </c>
      <c r="H11" s="93" t="s">
        <v>287</v>
      </c>
      <c r="I11" s="92">
        <v>1</v>
      </c>
      <c r="J11" s="68">
        <v>0.03</v>
      </c>
      <c r="K11" s="76">
        <v>1</v>
      </c>
      <c r="L11" s="65" t="s">
        <v>275</v>
      </c>
      <c r="M11" s="61" t="s">
        <v>276</v>
      </c>
      <c r="N11" s="90">
        <f t="shared" si="0"/>
        <v>2.9999999999999992E-2</v>
      </c>
      <c r="O11" s="61">
        <f t="shared" si="1"/>
        <v>1.1538461538461536E-2</v>
      </c>
      <c r="P11" s="61">
        <f t="shared" si="2"/>
        <v>0.01</v>
      </c>
      <c r="Q11" s="62"/>
      <c r="R11" s="73">
        <v>2</v>
      </c>
      <c r="S11" s="70">
        <f>T10</f>
        <v>0.05</v>
      </c>
      <c r="T11" s="70">
        <f>S11+$S$7</f>
        <v>7.0000000000000007E-2</v>
      </c>
    </row>
    <row r="12" spans="1:20" ht="31.5" x14ac:dyDescent="0.25">
      <c r="A12" s="63" t="s">
        <v>34</v>
      </c>
      <c r="B12" s="60"/>
      <c r="C12" s="60" t="s">
        <v>197</v>
      </c>
      <c r="D12" s="67"/>
      <c r="E12" s="111">
        <v>-100</v>
      </c>
      <c r="F12" s="93" t="s">
        <v>281</v>
      </c>
      <c r="G12" s="94" t="s">
        <v>222</v>
      </c>
      <c r="H12" s="93" t="s">
        <v>282</v>
      </c>
      <c r="I12" s="92">
        <v>100</v>
      </c>
      <c r="J12" s="68">
        <v>0.05</v>
      </c>
      <c r="K12" s="76">
        <v>2</v>
      </c>
      <c r="L12" s="64" t="s">
        <v>259</v>
      </c>
      <c r="M12" s="61" t="s">
        <v>274</v>
      </c>
      <c r="N12" s="90">
        <f t="shared" si="0"/>
        <v>4.9999999999999989E-2</v>
      </c>
      <c r="O12" s="61">
        <f t="shared" si="1"/>
        <v>1.9230769230769225E-2</v>
      </c>
      <c r="P12" s="61">
        <f t="shared" si="2"/>
        <v>0.02</v>
      </c>
      <c r="Q12" s="61"/>
      <c r="R12" s="73">
        <v>3</v>
      </c>
      <c r="S12" s="70">
        <f t="shared" ref="S12:S14" si="3">T11</f>
        <v>7.0000000000000007E-2</v>
      </c>
      <c r="T12" s="70">
        <f>S12+$S$7</f>
        <v>9.0000000000000011E-2</v>
      </c>
    </row>
    <row r="13" spans="1:20" ht="31.5" x14ac:dyDescent="0.25">
      <c r="A13" s="63" t="s">
        <v>30</v>
      </c>
      <c r="B13" s="60"/>
      <c r="C13" s="60" t="s">
        <v>197</v>
      </c>
      <c r="D13" s="67"/>
      <c r="E13" s="111">
        <v>-100</v>
      </c>
      <c r="F13" s="93" t="s">
        <v>283</v>
      </c>
      <c r="G13" s="96" t="s">
        <v>220</v>
      </c>
      <c r="H13" s="93" t="s">
        <v>284</v>
      </c>
      <c r="I13" s="92">
        <v>100</v>
      </c>
      <c r="J13" s="68">
        <v>7.0000000000000007E-2</v>
      </c>
      <c r="K13" s="76">
        <v>3</v>
      </c>
      <c r="L13" s="65" t="s">
        <v>260</v>
      </c>
      <c r="M13" s="61" t="s">
        <v>274</v>
      </c>
      <c r="N13" s="90">
        <f t="shared" si="0"/>
        <v>6.9999999999999993E-2</v>
      </c>
      <c r="O13" s="61">
        <f t="shared" si="1"/>
        <v>2.6923076923076921E-2</v>
      </c>
      <c r="P13" s="61">
        <f t="shared" si="2"/>
        <v>0.03</v>
      </c>
      <c r="Q13" s="61"/>
      <c r="R13" s="73">
        <v>4</v>
      </c>
      <c r="S13" s="70">
        <f t="shared" si="3"/>
        <v>9.0000000000000011E-2</v>
      </c>
      <c r="T13" s="70">
        <f>S13+$S$7</f>
        <v>0.11000000000000001</v>
      </c>
    </row>
    <row r="14" spans="1:20" ht="30.95" customHeight="1" x14ac:dyDescent="0.25">
      <c r="A14" s="63" t="s">
        <v>31</v>
      </c>
      <c r="C14" s="60" t="s">
        <v>197</v>
      </c>
      <c r="E14" s="111">
        <v>-100</v>
      </c>
      <c r="F14" s="93" t="s">
        <v>286</v>
      </c>
      <c r="G14" s="96" t="s">
        <v>238</v>
      </c>
      <c r="H14" s="93" t="s">
        <v>285</v>
      </c>
      <c r="I14" s="92">
        <v>100</v>
      </c>
      <c r="J14" s="68">
        <v>0.03</v>
      </c>
      <c r="K14" s="76">
        <v>1</v>
      </c>
      <c r="L14" s="65" t="s">
        <v>261</v>
      </c>
      <c r="M14" s="61" t="s">
        <v>274</v>
      </c>
      <c r="N14" s="90">
        <f t="shared" si="0"/>
        <v>2.9999999999999992E-2</v>
      </c>
      <c r="O14" s="61">
        <f t="shared" si="1"/>
        <v>1.1538461538461536E-2</v>
      </c>
      <c r="P14" s="61">
        <f t="shared" si="2"/>
        <v>0.01</v>
      </c>
      <c r="R14" s="73">
        <v>5</v>
      </c>
      <c r="S14" s="70">
        <f t="shared" si="3"/>
        <v>0.11000000000000001</v>
      </c>
      <c r="T14" s="70">
        <f>S14+$S$7</f>
        <v>0.13</v>
      </c>
    </row>
    <row r="15" spans="1:20" ht="24.95" customHeight="1" x14ac:dyDescent="0.25">
      <c r="A15" s="86" t="s">
        <v>288</v>
      </c>
      <c r="C15" s="87" t="s">
        <v>197</v>
      </c>
      <c r="D15" t="s">
        <v>193</v>
      </c>
      <c r="E15" s="111">
        <v>-150</v>
      </c>
      <c r="F15" s="93" t="s">
        <v>281</v>
      </c>
      <c r="G15" s="94" t="s">
        <v>220</v>
      </c>
      <c r="H15" s="93" t="s">
        <v>282</v>
      </c>
      <c r="I15" s="92">
        <v>150</v>
      </c>
      <c r="J15" s="68">
        <v>7.0000000000000007E-2</v>
      </c>
      <c r="K15" s="88">
        <v>3</v>
      </c>
      <c r="L15" s="91" t="s">
        <v>288</v>
      </c>
      <c r="N15" s="90">
        <f t="shared" si="0"/>
        <v>6.9999999999999993E-2</v>
      </c>
      <c r="O15" s="61">
        <f t="shared" si="1"/>
        <v>2.6923076923076921E-2</v>
      </c>
      <c r="P15" s="61">
        <f t="shared" si="2"/>
        <v>0.03</v>
      </c>
    </row>
    <row r="16" spans="1:20" ht="24.95" customHeight="1" x14ac:dyDescent="0.25">
      <c r="A16" s="78" t="s">
        <v>264</v>
      </c>
      <c r="B16" s="81" t="s">
        <v>267</v>
      </c>
      <c r="C16" s="80" t="s">
        <v>244</v>
      </c>
      <c r="H16" s="71"/>
      <c r="O16" s="61"/>
      <c r="P16" s="61"/>
      <c r="S16">
        <v>13</v>
      </c>
    </row>
    <row r="17" spans="1:19" ht="24.95" customHeight="1" x14ac:dyDescent="0.25">
      <c r="A17" s="80" t="s">
        <v>265</v>
      </c>
      <c r="N17" s="89"/>
      <c r="O17" s="61"/>
      <c r="P17" s="61"/>
      <c r="S17">
        <v>5</v>
      </c>
    </row>
    <row r="18" spans="1:19" ht="24.95" customHeight="1" x14ac:dyDescent="0.25">
      <c r="A18" s="79" t="s">
        <v>266</v>
      </c>
      <c r="B18" t="s">
        <v>268</v>
      </c>
      <c r="C18">
        <v>4</v>
      </c>
      <c r="O18" s="61"/>
      <c r="P18" s="61"/>
      <c r="S18">
        <f>S16/S17</f>
        <v>2.6</v>
      </c>
    </row>
    <row r="19" spans="1:19" ht="24.95" customHeight="1" x14ac:dyDescent="0.25">
      <c r="A19" t="s">
        <v>269</v>
      </c>
      <c r="B19" t="s">
        <v>270</v>
      </c>
      <c r="C19">
        <v>4</v>
      </c>
      <c r="O19" s="61"/>
      <c r="P19" s="61"/>
    </row>
    <row r="20" spans="1:19" ht="24.95" customHeight="1" x14ac:dyDescent="0.25"/>
    <row r="21" spans="1:19" ht="24.95" customHeight="1" x14ac:dyDescent="0.25">
      <c r="A21" t="s">
        <v>273</v>
      </c>
      <c r="B21" t="s">
        <v>270</v>
      </c>
      <c r="C21">
        <v>1</v>
      </c>
    </row>
    <row r="22" spans="1:19" ht="24.95" customHeight="1" x14ac:dyDescent="0.25"/>
    <row r="23" spans="1:19" ht="24.95" customHeight="1" x14ac:dyDescent="0.25">
      <c r="N23" t="e">
        <f>(L23-K23)/(K23+L23)</f>
        <v>#DIV/0!</v>
      </c>
    </row>
    <row r="24" spans="1:19" ht="24.95" customHeight="1" x14ac:dyDescent="0.25">
      <c r="N24" t="e">
        <f t="shared" ref="N24:N27" si="4">(L24-K24)/(K24+L24)</f>
        <v>#DIV/0!</v>
      </c>
    </row>
    <row r="25" spans="1:19" ht="24.95" customHeight="1" x14ac:dyDescent="0.25">
      <c r="N25" t="e">
        <f t="shared" si="4"/>
        <v>#DIV/0!</v>
      </c>
    </row>
    <row r="26" spans="1:19" ht="24.95" customHeight="1" x14ac:dyDescent="0.25">
      <c r="N26" t="e">
        <f t="shared" si="4"/>
        <v>#DIV/0!</v>
      </c>
    </row>
    <row r="27" spans="1:19" ht="24.95" customHeight="1" x14ac:dyDescent="0.25">
      <c r="N27" t="e">
        <f t="shared" si="4"/>
        <v>#DIV/0!</v>
      </c>
    </row>
    <row r="28" spans="1:19" ht="24.95" customHeight="1" x14ac:dyDescent="0.25"/>
    <row r="29" spans="1:19" ht="24.95" customHeight="1" x14ac:dyDescent="0.25"/>
    <row r="30" spans="1:19" ht="24.95" customHeight="1" x14ac:dyDescent="0.25"/>
    <row r="31" spans="1:19" ht="24.95" customHeight="1" x14ac:dyDescent="0.25"/>
    <row r="32" spans="1:19" ht="24.95" customHeight="1" x14ac:dyDescent="0.25"/>
    <row r="33" ht="24.95" customHeight="1" x14ac:dyDescent="0.25"/>
    <row r="34" ht="24.95" customHeight="1" x14ac:dyDescent="0.25"/>
    <row r="35" ht="24.95" customHeight="1" x14ac:dyDescent="0.25"/>
  </sheetData>
  <mergeCells count="1">
    <mergeCell ref="R3:T3"/>
  </mergeCells>
  <conditionalFormatting sqref="C2:C16">
    <cfRule type="containsText" dxfId="1" priority="1" operator="containsText" text="Inverse">
      <formula>NOT(ISERROR(SEARCH("Inverse",C2)))</formula>
    </cfRule>
    <cfRule type="containsText" dxfId="0" priority="2" operator="containsText" text="Direct">
      <formula>NOT(ISERROR(SEARCH("Direct",C2)))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0EDF-0353-DD42-98C3-720545EDCCEF}">
  <dimension ref="A1:J40"/>
  <sheetViews>
    <sheetView tabSelected="1" zoomScale="85" zoomScaleNormal="85" workbookViewId="0">
      <selection activeCell="G39" sqref="G39"/>
    </sheetView>
  </sheetViews>
  <sheetFormatPr defaultColWidth="11.42578125" defaultRowHeight="15" x14ac:dyDescent="0.25"/>
  <cols>
    <col min="1" max="1" width="33.28515625" customWidth="1"/>
    <col min="3" max="3" width="13.7109375" customWidth="1"/>
    <col min="4" max="4" width="12" customWidth="1"/>
    <col min="5" max="5" width="13.140625" bestFit="1" customWidth="1"/>
    <col min="6" max="6" width="13.140625" customWidth="1"/>
    <col min="7" max="7" width="16.85546875" customWidth="1"/>
    <col min="8" max="8" width="15.7109375" customWidth="1"/>
    <col min="9" max="9" width="28.5703125" customWidth="1"/>
  </cols>
  <sheetData>
    <row r="1" spans="1:10" x14ac:dyDescent="0.25">
      <c r="A1" s="102" t="s">
        <v>291</v>
      </c>
      <c r="B1" s="101"/>
      <c r="C1" s="98"/>
      <c r="D1" s="98"/>
      <c r="E1" s="98"/>
      <c r="F1" s="98"/>
      <c r="G1" s="98"/>
      <c r="H1" s="98"/>
      <c r="I1" s="101"/>
      <c r="J1" s="99"/>
    </row>
    <row r="2" spans="1:10" x14ac:dyDescent="0.25">
      <c r="A2" s="102"/>
      <c r="B2" s="101"/>
      <c r="C2" s="98"/>
      <c r="D2" s="98"/>
      <c r="E2" s="98"/>
      <c r="F2" s="98"/>
      <c r="G2" s="98"/>
      <c r="H2" s="98"/>
      <c r="I2" s="101"/>
      <c r="J2" s="99"/>
    </row>
    <row r="3" spans="1:10" x14ac:dyDescent="0.25">
      <c r="A3" s="102"/>
      <c r="B3" s="101"/>
      <c r="C3" s="98"/>
      <c r="D3" s="98"/>
      <c r="E3" s="98"/>
      <c r="F3" s="98"/>
      <c r="G3" s="98"/>
      <c r="H3" s="98"/>
      <c r="I3" s="101"/>
      <c r="J3" s="99"/>
    </row>
    <row r="4" spans="1:10" x14ac:dyDescent="0.25">
      <c r="A4" s="102" t="s">
        <v>294</v>
      </c>
      <c r="B4" s="103">
        <v>200</v>
      </c>
      <c r="C4" s="98"/>
      <c r="D4" s="98"/>
      <c r="E4" s="98"/>
      <c r="F4" s="98"/>
      <c r="G4" s="98"/>
      <c r="H4" s="98"/>
      <c r="I4" s="101"/>
      <c r="J4" s="99"/>
    </row>
    <row r="5" spans="1:10" x14ac:dyDescent="0.25">
      <c r="A5" s="102" t="s">
        <v>295</v>
      </c>
      <c r="B5" s="103">
        <v>-200</v>
      </c>
      <c r="C5" s="98"/>
      <c r="D5" s="98"/>
      <c r="E5" s="98"/>
      <c r="F5" s="98"/>
      <c r="G5" s="98"/>
      <c r="H5" s="98"/>
      <c r="I5" s="101"/>
      <c r="J5" s="99"/>
    </row>
    <row r="6" spans="1:10" x14ac:dyDescent="0.25">
      <c r="A6" s="102"/>
      <c r="B6" s="101"/>
      <c r="C6" s="98"/>
      <c r="D6" s="98"/>
      <c r="E6" s="98"/>
      <c r="F6" s="98"/>
      <c r="G6" s="98"/>
      <c r="H6" s="98"/>
      <c r="I6" s="101"/>
      <c r="J6" s="99"/>
    </row>
    <row r="7" spans="1:10" x14ac:dyDescent="0.25">
      <c r="A7" s="102"/>
      <c r="B7" s="101"/>
      <c r="C7" s="98"/>
      <c r="D7" s="98"/>
      <c r="E7" s="98"/>
      <c r="F7" s="98"/>
      <c r="G7" s="98"/>
      <c r="H7" s="98"/>
      <c r="I7" s="101"/>
      <c r="J7" s="99"/>
    </row>
    <row r="8" spans="1:10" x14ac:dyDescent="0.25">
      <c r="A8" s="102"/>
      <c r="B8" s="101"/>
      <c r="C8" s="98">
        <f ca="1">SUM(OFFSET(C$11,3*ROWS(C$11:C11)-3,,3))</f>
        <v>5.0999999999999996</v>
      </c>
      <c r="D8" s="98"/>
      <c r="E8" s="98"/>
      <c r="F8" s="98"/>
      <c r="G8" s="98"/>
      <c r="H8" s="98"/>
      <c r="I8" s="101"/>
      <c r="J8" s="99"/>
    </row>
    <row r="9" spans="1:10" x14ac:dyDescent="0.25">
      <c r="A9" s="99"/>
      <c r="B9" s="101"/>
      <c r="C9" s="98"/>
      <c r="D9" s="130" t="s">
        <v>299</v>
      </c>
      <c r="E9" s="130" t="s">
        <v>301</v>
      </c>
      <c r="F9" s="130" t="s">
        <v>300</v>
      </c>
      <c r="G9" s="98"/>
      <c r="H9" s="98"/>
      <c r="I9" s="101"/>
      <c r="J9" s="99"/>
    </row>
    <row r="10" spans="1:10" ht="15.75" x14ac:dyDescent="0.25">
      <c r="A10" s="99"/>
      <c r="B10" s="104" t="s">
        <v>292</v>
      </c>
      <c r="C10" s="104" t="s">
        <v>46</v>
      </c>
      <c r="D10" s="104" t="s">
        <v>296</v>
      </c>
      <c r="E10" s="104" t="s">
        <v>297</v>
      </c>
      <c r="F10" s="104" t="s">
        <v>298</v>
      </c>
      <c r="G10" s="104" t="s">
        <v>311</v>
      </c>
      <c r="H10" s="104" t="s">
        <v>310</v>
      </c>
      <c r="I10" s="105" t="s">
        <v>257</v>
      </c>
      <c r="J10" s="99"/>
    </row>
    <row r="11" spans="1:10" ht="15.75" x14ac:dyDescent="0.25">
      <c r="A11" s="133" t="s">
        <v>314</v>
      </c>
      <c r="B11" s="129">
        <v>43800</v>
      </c>
      <c r="C11" s="107">
        <v>1.9</v>
      </c>
      <c r="D11" s="107" t="s">
        <v>293</v>
      </c>
      <c r="E11" s="107" t="s">
        <v>293</v>
      </c>
      <c r="F11" s="107" t="s">
        <v>293</v>
      </c>
      <c r="G11" s="107" t="s">
        <v>293</v>
      </c>
      <c r="H11" s="107" t="s">
        <v>293</v>
      </c>
      <c r="I11" s="107" t="s">
        <v>293</v>
      </c>
      <c r="J11" s="99"/>
    </row>
    <row r="12" spans="1:10" ht="15.75" x14ac:dyDescent="0.25">
      <c r="A12" s="99"/>
      <c r="B12" s="129">
        <v>43770</v>
      </c>
      <c r="C12" s="108">
        <v>2.4</v>
      </c>
      <c r="D12" s="108" t="s">
        <v>293</v>
      </c>
      <c r="E12" s="108" t="s">
        <v>293</v>
      </c>
      <c r="F12" s="107" t="s">
        <v>293</v>
      </c>
      <c r="G12" s="107" t="s">
        <v>293</v>
      </c>
      <c r="H12" s="107" t="s">
        <v>293</v>
      </c>
      <c r="I12" s="107" t="s">
        <v>293</v>
      </c>
      <c r="J12" s="99"/>
    </row>
    <row r="13" spans="1:10" ht="15.75" x14ac:dyDescent="0.25">
      <c r="A13" s="99"/>
      <c r="B13" s="129">
        <v>43739</v>
      </c>
      <c r="C13" s="108">
        <v>0.8</v>
      </c>
      <c r="D13" s="108" t="s">
        <v>293</v>
      </c>
      <c r="E13" s="107" t="s">
        <v>293</v>
      </c>
      <c r="F13" s="107" t="s">
        <v>293</v>
      </c>
      <c r="G13" s="107" t="s">
        <v>293</v>
      </c>
      <c r="H13" s="107" t="s">
        <v>293</v>
      </c>
      <c r="I13" s="107" t="s">
        <v>293</v>
      </c>
      <c r="J13" s="99"/>
    </row>
    <row r="14" spans="1:10" ht="15.75" x14ac:dyDescent="0.25">
      <c r="A14" s="99"/>
      <c r="B14" s="129">
        <v>43709</v>
      </c>
      <c r="C14" s="109">
        <v>-1.7</v>
      </c>
      <c r="D14" s="110">
        <f>(C13+C12+C11)/3</f>
        <v>1.7</v>
      </c>
      <c r="E14" s="108" t="s">
        <v>293</v>
      </c>
      <c r="F14" s="107" t="s">
        <v>293</v>
      </c>
      <c r="G14" s="107" t="s">
        <v>293</v>
      </c>
      <c r="H14" s="107" t="s">
        <v>293</v>
      </c>
      <c r="I14" s="107" t="s">
        <v>293</v>
      </c>
      <c r="J14" s="99"/>
    </row>
    <row r="15" spans="1:10" ht="15.75" x14ac:dyDescent="0.25">
      <c r="A15" s="99"/>
      <c r="B15" s="129">
        <v>43678</v>
      </c>
      <c r="C15" s="107">
        <v>-0.8</v>
      </c>
      <c r="D15" s="110">
        <f>(C14+C13+C12)/3</f>
        <v>0.5</v>
      </c>
      <c r="E15" s="107" t="s">
        <v>293</v>
      </c>
      <c r="F15" s="107" t="s">
        <v>293</v>
      </c>
      <c r="G15" s="107" t="s">
        <v>293</v>
      </c>
      <c r="H15" s="107" t="s">
        <v>293</v>
      </c>
      <c r="I15" s="107" t="s">
        <v>293</v>
      </c>
      <c r="J15" s="99"/>
    </row>
    <row r="16" spans="1:10" ht="15.75" x14ac:dyDescent="0.25">
      <c r="A16" s="99"/>
      <c r="B16" s="129">
        <v>43647</v>
      </c>
      <c r="C16" s="108">
        <v>1</v>
      </c>
      <c r="D16" s="109">
        <f>(C15+C14+C13)/3</f>
        <v>-0.56666666666666665</v>
      </c>
      <c r="E16" s="108" t="s">
        <v>293</v>
      </c>
      <c r="F16" s="107" t="s">
        <v>293</v>
      </c>
      <c r="G16" s="107" t="s">
        <v>293</v>
      </c>
      <c r="H16" s="107" t="s">
        <v>293</v>
      </c>
      <c r="I16" s="107" t="s">
        <v>293</v>
      </c>
      <c r="J16" s="99"/>
    </row>
    <row r="17" spans="1:10" ht="15.75" x14ac:dyDescent="0.25">
      <c r="A17" s="99"/>
      <c r="B17" s="129">
        <v>43617</v>
      </c>
      <c r="C17" s="107">
        <v>2.1</v>
      </c>
      <c r="D17" s="109">
        <f t="shared" ref="D17:D22" si="0">(C16+C15+C14)/3</f>
        <v>-0.5</v>
      </c>
      <c r="E17" s="107">
        <f>D14</f>
        <v>1.7</v>
      </c>
      <c r="F17" s="107" t="s">
        <v>293</v>
      </c>
      <c r="G17" s="107">
        <f>IF(E17&lt;&gt;0,100*(D17-E17)/ABS(E17),IF(D17&gt;0,$B$4,$B$5))</f>
        <v>-129.41176470588238</v>
      </c>
      <c r="H17" s="107" t="s">
        <v>293</v>
      </c>
      <c r="I17" s="107" t="s">
        <v>293</v>
      </c>
      <c r="J17" s="99"/>
    </row>
    <row r="18" spans="1:10" ht="15.75" x14ac:dyDescent="0.25">
      <c r="A18" s="99"/>
      <c r="B18" s="129">
        <v>43586</v>
      </c>
      <c r="C18" s="107">
        <v>1.2</v>
      </c>
      <c r="D18" s="109">
        <f t="shared" si="0"/>
        <v>0.76666666666666661</v>
      </c>
      <c r="E18" s="107">
        <f t="shared" ref="E18:F22" si="1">D15</f>
        <v>0.5</v>
      </c>
      <c r="F18" s="107" t="s">
        <v>293</v>
      </c>
      <c r="G18" s="107">
        <f t="shared" ref="G18:G22" si="2">IF(E18&lt;&gt;0,100*(D18-E18)/ABS(E18),IF(D18&gt;0,$B$4,$B$5))</f>
        <v>53.333333333333321</v>
      </c>
      <c r="H18" s="107" t="s">
        <v>293</v>
      </c>
      <c r="I18" s="107" t="s">
        <v>293</v>
      </c>
      <c r="J18" s="99"/>
    </row>
    <row r="19" spans="1:10" ht="15.75" x14ac:dyDescent="0.25">
      <c r="A19" s="99"/>
      <c r="B19" s="129">
        <v>43556</v>
      </c>
      <c r="C19" s="107">
        <v>-2.1</v>
      </c>
      <c r="D19" s="109">
        <f t="shared" si="0"/>
        <v>1.4333333333333333</v>
      </c>
      <c r="E19" s="107">
        <f t="shared" si="1"/>
        <v>-0.56666666666666665</v>
      </c>
      <c r="F19" s="107" t="s">
        <v>293</v>
      </c>
      <c r="G19" s="107">
        <f t="shared" si="2"/>
        <v>352.94117647058823</v>
      </c>
      <c r="H19" s="107" t="s">
        <v>293</v>
      </c>
      <c r="I19" s="107" t="s">
        <v>293</v>
      </c>
      <c r="J19" s="99"/>
    </row>
    <row r="20" spans="1:10" ht="15.75" x14ac:dyDescent="0.25">
      <c r="A20" s="99"/>
      <c r="B20" s="129">
        <v>43525</v>
      </c>
      <c r="C20" s="107">
        <v>-1.2</v>
      </c>
      <c r="D20" s="109">
        <f t="shared" si="0"/>
        <v>0.39999999999999997</v>
      </c>
      <c r="E20" s="107">
        <f t="shared" si="1"/>
        <v>-0.5</v>
      </c>
      <c r="F20" s="107">
        <f>E17</f>
        <v>1.7</v>
      </c>
      <c r="G20" s="107">
        <f>IF(E20&lt;&gt;0,100*(D20-E20)/ABS(E20),IF(D20&gt;0,$B$4,$B$5))</f>
        <v>179.99999999999997</v>
      </c>
      <c r="H20" s="107">
        <f>IF(F20&lt;&gt;0,100*(E20-F20)/ABS(F20),IF(E20&gt;0,$B$4,$B$5))</f>
        <v>-129.41176470588238</v>
      </c>
      <c r="I20" s="107">
        <f t="shared" ref="I20:I22" si="3">(G20+H20)/2</f>
        <v>25.294117647058798</v>
      </c>
      <c r="J20" s="99"/>
    </row>
    <row r="21" spans="1:10" ht="15.75" x14ac:dyDescent="0.25">
      <c r="A21" s="99"/>
      <c r="B21" s="129">
        <v>43497</v>
      </c>
      <c r="C21" s="107">
        <v>0.9</v>
      </c>
      <c r="D21" s="109">
        <f t="shared" si="0"/>
        <v>-0.69999999999999984</v>
      </c>
      <c r="E21" s="107">
        <f t="shared" si="1"/>
        <v>0.76666666666666661</v>
      </c>
      <c r="F21" s="107">
        <f t="shared" si="1"/>
        <v>0.5</v>
      </c>
      <c r="G21" s="107">
        <f t="shared" si="2"/>
        <v>-191.30434782608691</v>
      </c>
      <c r="H21" s="107">
        <f t="shared" ref="H21:H22" si="4">IF(F21&lt;&gt;0,100*(E21-F21)/ABS(F21),IF(E21&gt;0,$B$4,$B$5))</f>
        <v>53.333333333333321</v>
      </c>
      <c r="I21" s="107">
        <f t="shared" si="3"/>
        <v>-68.985507246376798</v>
      </c>
      <c r="J21" s="99"/>
    </row>
    <row r="22" spans="1:10" ht="15.75" x14ac:dyDescent="0.25">
      <c r="A22" s="99"/>
      <c r="B22" s="129">
        <v>43466</v>
      </c>
      <c r="C22" s="107">
        <v>1.2</v>
      </c>
      <c r="D22" s="109">
        <f t="shared" si="0"/>
        <v>-0.79999999999999993</v>
      </c>
      <c r="E22" s="107">
        <f t="shared" si="1"/>
        <v>1.4333333333333333</v>
      </c>
      <c r="F22" s="107">
        <f t="shared" si="1"/>
        <v>-0.56666666666666665</v>
      </c>
      <c r="G22" s="107">
        <f t="shared" si="2"/>
        <v>-155.81395348837211</v>
      </c>
      <c r="H22" s="107">
        <f t="shared" si="4"/>
        <v>352.94117647058823</v>
      </c>
      <c r="I22" s="107">
        <f t="shared" si="3"/>
        <v>98.563611491108063</v>
      </c>
      <c r="J22" s="99"/>
    </row>
    <row r="23" spans="1:10" x14ac:dyDescent="0.25">
      <c r="A23" s="99"/>
      <c r="B23" s="101"/>
      <c r="C23" s="100"/>
      <c r="D23" s="100"/>
      <c r="E23" s="100"/>
      <c r="F23" s="100"/>
      <c r="G23" s="100"/>
      <c r="H23" s="100"/>
      <c r="I23" s="101"/>
      <c r="J23" s="99"/>
    </row>
    <row r="24" spans="1:10" x14ac:dyDescent="0.25">
      <c r="A24" s="102" t="s">
        <v>315</v>
      </c>
      <c r="B24" s="103">
        <v>150</v>
      </c>
      <c r="C24" s="99"/>
      <c r="D24" s="99"/>
      <c r="E24" s="99"/>
      <c r="F24" s="99"/>
      <c r="G24" s="99"/>
      <c r="H24" s="99"/>
      <c r="I24" s="99"/>
      <c r="J24" s="99"/>
    </row>
    <row r="25" spans="1:10" x14ac:dyDescent="0.25">
      <c r="A25" s="102" t="s">
        <v>316</v>
      </c>
      <c r="B25" s="103">
        <v>-150</v>
      </c>
      <c r="C25" s="99"/>
      <c r="D25" s="99"/>
      <c r="E25" s="99"/>
      <c r="F25" s="99"/>
      <c r="G25" s="99"/>
      <c r="H25" s="99"/>
      <c r="I25" s="99"/>
      <c r="J25" s="99"/>
    </row>
    <row r="27" spans="1:10" x14ac:dyDescent="0.25">
      <c r="D27" t="s">
        <v>307</v>
      </c>
      <c r="E27" t="s">
        <v>308</v>
      </c>
      <c r="F27" t="s">
        <v>309</v>
      </c>
    </row>
    <row r="28" spans="1:10" ht="15.75" x14ac:dyDescent="0.25">
      <c r="B28" s="104" t="s">
        <v>292</v>
      </c>
      <c r="C28" s="104" t="s">
        <v>304</v>
      </c>
      <c r="D28" s="104" t="s">
        <v>306</v>
      </c>
      <c r="E28" s="104" t="s">
        <v>296</v>
      </c>
      <c r="F28" s="104" t="s">
        <v>297</v>
      </c>
      <c r="G28" s="104" t="s">
        <v>312</v>
      </c>
      <c r="H28" s="104" t="s">
        <v>313</v>
      </c>
      <c r="I28" s="105" t="s">
        <v>305</v>
      </c>
    </row>
    <row r="29" spans="1:10" ht="15.75" x14ac:dyDescent="0.25">
      <c r="B29" s="106">
        <v>43891</v>
      </c>
      <c r="C29" s="131">
        <v>2000</v>
      </c>
      <c r="D29" s="107" t="s">
        <v>293</v>
      </c>
      <c r="E29" s="107" t="s">
        <v>293</v>
      </c>
      <c r="F29" s="107" t="s">
        <v>293</v>
      </c>
      <c r="G29" s="107" t="s">
        <v>293</v>
      </c>
      <c r="H29" s="107" t="s">
        <v>293</v>
      </c>
      <c r="I29" s="107" t="s">
        <v>293</v>
      </c>
    </row>
    <row r="30" spans="1:10" ht="15.75" x14ac:dyDescent="0.25">
      <c r="B30" s="106">
        <v>43862</v>
      </c>
      <c r="C30" s="132">
        <v>2400</v>
      </c>
      <c r="D30" s="108" t="s">
        <v>293</v>
      </c>
      <c r="E30" s="108" t="s">
        <v>293</v>
      </c>
      <c r="F30" s="107" t="s">
        <v>293</v>
      </c>
      <c r="G30" s="107" t="s">
        <v>293</v>
      </c>
      <c r="H30" s="107" t="s">
        <v>293</v>
      </c>
      <c r="I30" s="107" t="s">
        <v>293</v>
      </c>
    </row>
    <row r="31" spans="1:10" ht="15.75" x14ac:dyDescent="0.25">
      <c r="B31" s="106">
        <v>43831</v>
      </c>
      <c r="C31" s="132">
        <v>1900</v>
      </c>
      <c r="D31" s="108" t="s">
        <v>293</v>
      </c>
      <c r="E31" s="107" t="s">
        <v>293</v>
      </c>
      <c r="F31" s="107" t="s">
        <v>293</v>
      </c>
      <c r="G31" s="107" t="s">
        <v>293</v>
      </c>
      <c r="H31" s="107" t="s">
        <v>293</v>
      </c>
      <c r="I31" s="107" t="s">
        <v>293</v>
      </c>
    </row>
    <row r="32" spans="1:10" ht="15.75" x14ac:dyDescent="0.25">
      <c r="A32" s="134" t="s">
        <v>314</v>
      </c>
      <c r="B32" s="106">
        <v>43800</v>
      </c>
      <c r="C32" s="109">
        <v>2100</v>
      </c>
      <c r="D32" s="128">
        <f>(C31+C30+C29)/3</f>
        <v>2100</v>
      </c>
      <c r="E32" s="108" t="s">
        <v>293</v>
      </c>
      <c r="F32" s="107" t="s">
        <v>293</v>
      </c>
      <c r="G32" s="107" t="s">
        <v>293</v>
      </c>
      <c r="H32" s="107" t="s">
        <v>293</v>
      </c>
      <c r="I32" s="107" t="s">
        <v>293</v>
      </c>
    </row>
    <row r="33" spans="2:9" ht="15.75" x14ac:dyDescent="0.25">
      <c r="B33" s="106">
        <v>43770</v>
      </c>
      <c r="C33" s="107">
        <v>2200</v>
      </c>
      <c r="D33" s="107">
        <f>(C32+C31+C30)/3</f>
        <v>2133.3333333333335</v>
      </c>
      <c r="E33" s="107" t="s">
        <v>293</v>
      </c>
      <c r="F33" s="107" t="s">
        <v>293</v>
      </c>
      <c r="G33" s="107" t="s">
        <v>293</v>
      </c>
      <c r="H33" s="107" t="s">
        <v>293</v>
      </c>
      <c r="I33" s="107" t="s">
        <v>293</v>
      </c>
    </row>
    <row r="34" spans="2:9" ht="15.75" x14ac:dyDescent="0.25">
      <c r="B34" s="106">
        <v>43739</v>
      </c>
      <c r="C34" s="108">
        <v>2300</v>
      </c>
      <c r="D34" s="109">
        <f>(C33+C32+C31)/3</f>
        <v>2066.6666666666665</v>
      </c>
      <c r="E34" s="108" t="s">
        <v>293</v>
      </c>
      <c r="F34" s="107" t="s">
        <v>293</v>
      </c>
      <c r="G34" s="107" t="s">
        <v>293</v>
      </c>
      <c r="H34" s="107" t="s">
        <v>293</v>
      </c>
      <c r="I34" s="107" t="s">
        <v>293</v>
      </c>
    </row>
    <row r="35" spans="2:9" ht="15.75" x14ac:dyDescent="0.25">
      <c r="B35" s="106">
        <v>43709</v>
      </c>
      <c r="C35" s="107">
        <v>2200</v>
      </c>
      <c r="D35" s="109">
        <f t="shared" ref="D35:D40" si="5">(C34+C33+C32)/3</f>
        <v>2200</v>
      </c>
      <c r="E35" s="107">
        <f>D32</f>
        <v>2100</v>
      </c>
      <c r="F35" s="107" t="s">
        <v>293</v>
      </c>
      <c r="G35" s="107">
        <f>IF(E35&lt;&gt;0,100*(D35-E35)/ABS(E35),IF(D35&gt;0,$B$24,$B$25))</f>
        <v>4.7619047619047619</v>
      </c>
      <c r="H35" s="107" t="s">
        <v>293</v>
      </c>
      <c r="I35" s="107" t="s">
        <v>293</v>
      </c>
    </row>
    <row r="36" spans="2:9" ht="15.75" x14ac:dyDescent="0.25">
      <c r="B36" s="106">
        <v>43678</v>
      </c>
      <c r="C36" s="107">
        <v>2300</v>
      </c>
      <c r="D36" s="109">
        <f t="shared" si="5"/>
        <v>2233.3333333333335</v>
      </c>
      <c r="E36" s="107">
        <f t="shared" ref="E36:E40" si="6">D33</f>
        <v>2133.3333333333335</v>
      </c>
      <c r="F36" s="107" t="s">
        <v>293</v>
      </c>
      <c r="G36" s="107">
        <f>IF(E36&lt;&gt;0,100*(D36-E36)/ABS(E36),IF(D36&gt;0,$B$24,$B$25))</f>
        <v>4.6875</v>
      </c>
      <c r="H36" s="107" t="s">
        <v>293</v>
      </c>
      <c r="I36" s="107" t="s">
        <v>293</v>
      </c>
    </row>
    <row r="37" spans="2:9" ht="15.75" x14ac:dyDescent="0.25">
      <c r="B37" s="106">
        <v>43647</v>
      </c>
      <c r="C37" s="107">
        <v>2500</v>
      </c>
      <c r="D37" s="109">
        <f t="shared" si="5"/>
        <v>2266.6666666666665</v>
      </c>
      <c r="E37" s="107">
        <f t="shared" si="6"/>
        <v>2066.6666666666665</v>
      </c>
      <c r="F37" s="107" t="s">
        <v>293</v>
      </c>
      <c r="G37" s="107">
        <f>IF(E37&lt;&gt;0,100*(D37-E37)/ABS(E37),IF(D37&gt;0,$B$24,$B$25))</f>
        <v>9.67741935483871</v>
      </c>
      <c r="H37" s="107" t="s">
        <v>293</v>
      </c>
      <c r="I37" s="107" t="s">
        <v>293</v>
      </c>
    </row>
    <row r="38" spans="2:9" ht="15.75" x14ac:dyDescent="0.25">
      <c r="B38" s="106">
        <v>43617</v>
      </c>
      <c r="C38" s="107">
        <v>2600</v>
      </c>
      <c r="D38" s="109">
        <f t="shared" si="5"/>
        <v>2333.3333333333335</v>
      </c>
      <c r="E38" s="107">
        <f t="shared" si="6"/>
        <v>2200</v>
      </c>
      <c r="F38" s="107">
        <f>E35</f>
        <v>2100</v>
      </c>
      <c r="G38" s="107">
        <f>IF(E38&lt;&gt;0,100*(D38-E38)/ABS(E38),IF(D38&gt;0,$B$24,$B$25))</f>
        <v>6.0606060606060677</v>
      </c>
      <c r="H38" s="107">
        <f>IF(F38&lt;&gt;0,100*(E38-F38)/ABS(F38),IF(E38&gt;0,$B$24,$B$25))</f>
        <v>4.7619047619047619</v>
      </c>
      <c r="I38" s="107">
        <f t="shared" ref="I38:I40" si="7">(G38+H38)/2</f>
        <v>5.4112554112554143</v>
      </c>
    </row>
    <row r="39" spans="2:9" ht="15.75" x14ac:dyDescent="0.25">
      <c r="B39" s="106">
        <v>43586</v>
      </c>
      <c r="C39" s="107">
        <v>2500</v>
      </c>
      <c r="D39" s="109">
        <f t="shared" si="5"/>
        <v>2466.6666666666665</v>
      </c>
      <c r="E39" s="107">
        <f t="shared" si="6"/>
        <v>2233.3333333333335</v>
      </c>
      <c r="F39" s="107">
        <f t="shared" ref="F39:F40" si="8">E36</f>
        <v>2133.3333333333335</v>
      </c>
      <c r="G39" s="107">
        <f>IF(E39&lt;&gt;0,100*(D39-E39)/ABS(E39),IF(D39&gt;0,$B$24,$B$25))</f>
        <v>10.447761194029836</v>
      </c>
      <c r="H39" s="107">
        <f>IF(F39&lt;&gt;0,100*(E39-F39)/ABS(F39),IF(E39&gt;0,$B$24,$B$25))</f>
        <v>4.6875</v>
      </c>
      <c r="I39" s="107">
        <f t="shared" si="7"/>
        <v>7.5676305970149178</v>
      </c>
    </row>
    <row r="40" spans="2:9" ht="15.75" x14ac:dyDescent="0.25">
      <c r="B40" s="106">
        <v>43556</v>
      </c>
      <c r="C40" s="107">
        <v>2400</v>
      </c>
      <c r="D40" s="109">
        <f t="shared" si="5"/>
        <v>2533.3333333333335</v>
      </c>
      <c r="E40" s="107">
        <f t="shared" si="6"/>
        <v>2266.6666666666665</v>
      </c>
      <c r="F40" s="107">
        <f t="shared" si="8"/>
        <v>2066.6666666666665</v>
      </c>
      <c r="G40" s="107">
        <f>IF(E40&lt;&gt;0,100*(D40-E40)/ABS(E40),IF(D40&gt;0,$B$24,$B$25))</f>
        <v>11.764705882352956</v>
      </c>
      <c r="H40" s="107">
        <f>IF(F40&lt;&gt;0,100*(E40-F40)/ABS(F40),IF(E40&gt;0,$B$24,$B$25))</f>
        <v>9.67741935483871</v>
      </c>
      <c r="I40" s="107">
        <f t="shared" si="7"/>
        <v>10.721062618595834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361A53FD-693C-47FF-B3AD-C2B44718B20F}"/>
</file>

<file path=customXml/itemProps2.xml><?xml version="1.0" encoding="utf-8"?>
<ds:datastoreItem xmlns:ds="http://schemas.openxmlformats.org/officeDocument/2006/customXml" ds:itemID="{8CF90DBE-D177-4C4D-A368-C1576DCB9530}"/>
</file>

<file path=customXml/itemProps3.xml><?xml version="1.0" encoding="utf-8"?>
<ds:datastoreItem xmlns:ds="http://schemas.openxmlformats.org/officeDocument/2006/customXml" ds:itemID="{B810CDF7-F2F8-4EF7-B1B6-C0D39D4FE2D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Criteria</vt:lpstr>
      <vt:lpstr>Master KPIs</vt:lpstr>
      <vt:lpstr>Rules</vt:lpstr>
      <vt:lpstr>XAI Model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Faizan Ahmed</dc:creator>
  <cp:lastModifiedBy>Faizan Ahmed</cp:lastModifiedBy>
  <dcterms:created xsi:type="dcterms:W3CDTF">2021-05-06T20:56:55Z</dcterms:created>
  <dcterms:modified xsi:type="dcterms:W3CDTF">2021-07-09T04:18:48Z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700500</vt:r8>
  </property>
  <property fmtid="{D5CDD505-2E9C-101B-9397-08002B2CF9AE}" pid="4" name="URL">
    <vt:lpwstr/>
  </property>
</Properties>
</file>