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cksi\Documents\Small Business DCO\"/>
    </mc:Choice>
  </mc:AlternateContent>
  <bookViews>
    <workbookView xWindow="0" yWindow="0" windowWidth="2880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1" l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B35" i="1"/>
  <c r="C35" i="1"/>
  <c r="C4" i="1" l="1"/>
  <c r="C13" i="1" s="1"/>
  <c r="B4" i="1"/>
  <c r="B13" i="1" s="1"/>
  <c r="D12" i="1" s="1"/>
  <c r="D3" i="1" l="1"/>
  <c r="D9" i="1"/>
  <c r="D5" i="1"/>
  <c r="D10" i="1"/>
  <c r="E8" i="1"/>
  <c r="E6" i="1"/>
  <c r="E7" i="1"/>
  <c r="E12" i="1"/>
  <c r="D6" i="1"/>
  <c r="D11" i="1"/>
  <c r="E3" i="1"/>
  <c r="E9" i="1"/>
  <c r="D4" i="1"/>
  <c r="D8" i="1"/>
  <c r="E5" i="1"/>
  <c r="E10" i="1"/>
  <c r="E4" i="1"/>
  <c r="E11" i="1"/>
  <c r="D7" i="1"/>
</calcChain>
</file>

<file path=xl/sharedStrings.xml><?xml version="1.0" encoding="utf-8"?>
<sst xmlns="http://schemas.openxmlformats.org/spreadsheetml/2006/main" count="45" uniqueCount="26">
  <si>
    <t>Corporation</t>
  </si>
  <si>
    <t>Partnership general</t>
  </si>
  <si>
    <t>Partnership limited</t>
  </si>
  <si>
    <t>Partnership limited liability</t>
  </si>
  <si>
    <t>Joint venture</t>
  </si>
  <si>
    <t>Co-operative</t>
  </si>
  <si>
    <t>Formal trust</t>
  </si>
  <si>
    <t>Family trust</t>
  </si>
  <si>
    <t>Government</t>
  </si>
  <si>
    <t>Accounts</t>
  </si>
  <si>
    <t>CIFs</t>
  </si>
  <si>
    <t>Lending broker</t>
  </si>
  <si>
    <t>Bank branches</t>
  </si>
  <si>
    <t>% of accounts</t>
  </si>
  <si>
    <t>% of CIFs</t>
  </si>
  <si>
    <t>Non-personal demand accounts by customer sector</t>
  </si>
  <si>
    <t>Sector/type</t>
  </si>
  <si>
    <t>*one account &amp; CIF with this classification but no $</t>
  </si>
  <si>
    <t>Bank*</t>
  </si>
  <si>
    <t>All partnerships (General + Limited + Limited Liability)</t>
  </si>
  <si>
    <t>Breakdown of Partnership entities</t>
  </si>
  <si>
    <t>Unincorporated society (non-profit)</t>
  </si>
  <si>
    <t>Incorporated society (non-profit)</t>
  </si>
  <si>
    <t>Sole Proprietorship</t>
  </si>
  <si>
    <t>EXCLUDING lending brokers and bank branches</t>
  </si>
  <si>
    <t>INCLUDING lending brokers and bank branches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</si>
</sst>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0" fontId="0" fillId="0" borderId="0" xfId="0" applyNumberFormat="1"/>
    <xf numFmtId="0" fontId="1" fillId="0" borderId="0" xfId="0" applyFont="1"/>
    <xf numFmtId="0" fontId="2" fillId="0" borderId="0" xfId="0" applyFont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workbookViewId="0">
      <selection activeCell="A22" sqref="A22"/>
    </sheetView>
  </sheetViews>
  <sheetFormatPr defaultRowHeight="14.5" x14ac:dyDescent="0.35"/>
  <cols>
    <col min="1" max="1" width="45.08984375" customWidth="1"/>
    <col min="2" max="2" width="9.36328125" customWidth="1"/>
    <col min="3" max="3" width="10.81640625" customWidth="1"/>
    <col min="4" max="4" width="12.7265625" customWidth="1"/>
    <col min="5" max="5" width="12.6328125" customWidth="1"/>
    <col min="8" max="8" width="14.26953125" customWidth="1"/>
  </cols>
  <sheetData>
    <row r="1" spans="1:11" ht="18.5" x14ac:dyDescent="0.45">
      <c r="A1" s="4" t="s">
        <v>15</v>
      </c>
    </row>
    <row r="2" spans="1:11" x14ac:dyDescent="0.35">
      <c r="A2" s="3" t="s">
        <v>16</v>
      </c>
      <c r="B2" s="3" t="s">
        <v>9</v>
      </c>
      <c r="C2" s="3" t="s">
        <v>10</v>
      </c>
      <c r="D2" s="3" t="s">
        <v>13</v>
      </c>
      <c r="E2" s="3" t="s">
        <v>14</v>
      </c>
      <c r="F2" s="13" t="s">
        <v>24</v>
      </c>
    </row>
    <row r="3" spans="1:11" x14ac:dyDescent="0.35">
      <c r="A3" t="s">
        <v>0</v>
      </c>
      <c r="B3">
        <v>23165</v>
      </c>
      <c r="C3">
        <v>14690</v>
      </c>
      <c r="D3" s="2">
        <f>B3/B13</f>
        <v>0.83876457382866243</v>
      </c>
      <c r="E3" s="2">
        <f>C3/C13</f>
        <v>0.83262483704585388</v>
      </c>
    </row>
    <row r="4" spans="1:11" x14ac:dyDescent="0.35">
      <c r="A4" t="s">
        <v>19</v>
      </c>
      <c r="B4">
        <f>SUM(J10:J12)</f>
        <v>1332</v>
      </c>
      <c r="C4">
        <f>SUM(K10:K12)</f>
        <v>1004</v>
      </c>
      <c r="D4" s="2">
        <f>B4/B13</f>
        <v>4.8229415598522701E-2</v>
      </c>
      <c r="E4" s="2">
        <f>C4/C13</f>
        <v>5.6906421810349717E-2</v>
      </c>
    </row>
    <row r="5" spans="1:11" x14ac:dyDescent="0.35">
      <c r="A5" t="s">
        <v>21</v>
      </c>
      <c r="B5">
        <v>937</v>
      </c>
      <c r="C5">
        <v>499</v>
      </c>
      <c r="D5" s="2">
        <f>B5/B13</f>
        <v>3.3927148960822655E-2</v>
      </c>
      <c r="E5" s="2">
        <f>C5/C13</f>
        <v>2.8283171796179788E-2</v>
      </c>
    </row>
    <row r="6" spans="1:11" x14ac:dyDescent="0.35">
      <c r="A6" t="s">
        <v>22</v>
      </c>
      <c r="B6">
        <v>797</v>
      </c>
      <c r="C6">
        <v>330</v>
      </c>
      <c r="D6" s="2">
        <f>B6/B13</f>
        <v>2.8857991165182128E-2</v>
      </c>
      <c r="E6" s="2">
        <f>C6/C13</f>
        <v>1.8704301989457574E-2</v>
      </c>
    </row>
    <row r="7" spans="1:11" x14ac:dyDescent="0.35">
      <c r="A7" t="s">
        <v>23</v>
      </c>
      <c r="B7">
        <v>533</v>
      </c>
      <c r="C7">
        <v>439</v>
      </c>
      <c r="D7" s="2">
        <f>B7/B13</f>
        <v>1.9299007893402852E-2</v>
      </c>
      <c r="E7" s="2">
        <f>C7/C13</f>
        <v>2.4882389616278412E-2</v>
      </c>
    </row>
    <row r="8" spans="1:11" x14ac:dyDescent="0.35">
      <c r="A8" t="s">
        <v>6</v>
      </c>
      <c r="B8">
        <v>524</v>
      </c>
      <c r="C8">
        <v>446</v>
      </c>
      <c r="D8" s="2">
        <f>B8/B13</f>
        <v>1.8973133463683105E-2</v>
      </c>
      <c r="E8" s="2">
        <f>C8/C13</f>
        <v>2.5279147537266906E-2</v>
      </c>
      <c r="H8" s="5" t="s">
        <v>20</v>
      </c>
      <c r="I8" s="6"/>
      <c r="J8" s="6"/>
      <c r="K8" s="7"/>
    </row>
    <row r="9" spans="1:11" x14ac:dyDescent="0.35">
      <c r="A9" t="s">
        <v>7</v>
      </c>
      <c r="B9">
        <v>154</v>
      </c>
      <c r="C9">
        <v>132</v>
      </c>
      <c r="D9" s="2">
        <f>B9/B13</f>
        <v>5.5760735752045766E-3</v>
      </c>
      <c r="E9" s="2">
        <f>C9/C13</f>
        <v>7.4817207957830305E-3</v>
      </c>
      <c r="H9" s="8"/>
      <c r="I9" s="9"/>
      <c r="J9" s="9" t="s">
        <v>9</v>
      </c>
      <c r="K9" s="10" t="s">
        <v>10</v>
      </c>
    </row>
    <row r="10" spans="1:11" x14ac:dyDescent="0.35">
      <c r="A10" t="s">
        <v>4</v>
      </c>
      <c r="B10">
        <v>113</v>
      </c>
      <c r="C10">
        <v>67</v>
      </c>
      <c r="D10" s="2">
        <f>B10/B13</f>
        <v>4.0915345064812805E-3</v>
      </c>
      <c r="E10" s="2">
        <f>C10/C13</f>
        <v>3.7975401008898714E-3</v>
      </c>
      <c r="H10" s="8" t="s">
        <v>2</v>
      </c>
      <c r="I10" s="9"/>
      <c r="J10" s="9">
        <v>530</v>
      </c>
      <c r="K10" s="10">
        <v>354</v>
      </c>
    </row>
    <row r="11" spans="1:11" x14ac:dyDescent="0.35">
      <c r="A11" t="s">
        <v>5</v>
      </c>
      <c r="B11">
        <v>33</v>
      </c>
      <c r="C11">
        <v>18</v>
      </c>
      <c r="D11" s="2">
        <f>B11/B13</f>
        <v>1.1948729089724093E-3</v>
      </c>
      <c r="E11" s="2">
        <f>C11/C13</f>
        <v>1.0202346539704133E-3</v>
      </c>
      <c r="H11" s="8" t="s">
        <v>1</v>
      </c>
      <c r="I11" s="9"/>
      <c r="J11" s="9">
        <v>410</v>
      </c>
      <c r="K11" s="10">
        <v>300</v>
      </c>
    </row>
    <row r="12" spans="1:11" x14ac:dyDescent="0.35">
      <c r="A12" t="s">
        <v>8</v>
      </c>
      <c r="B12" s="1">
        <v>30</v>
      </c>
      <c r="C12" s="1">
        <v>18</v>
      </c>
      <c r="D12" s="2">
        <f>B12/B13</f>
        <v>1.0862480990658267E-3</v>
      </c>
      <c r="E12" s="2">
        <f>C12/C13</f>
        <v>1.0202346539704133E-3</v>
      </c>
      <c r="H12" s="11" t="s">
        <v>3</v>
      </c>
      <c r="I12" s="1"/>
      <c r="J12" s="1">
        <v>392</v>
      </c>
      <c r="K12" s="12">
        <v>350</v>
      </c>
    </row>
    <row r="13" spans="1:11" x14ac:dyDescent="0.35">
      <c r="B13">
        <f>SUM(B3:B12)</f>
        <v>27618</v>
      </c>
      <c r="C13">
        <f>SUM(C3:C12)</f>
        <v>17643</v>
      </c>
      <c r="D13" s="2"/>
    </row>
    <row r="15" spans="1:11" x14ac:dyDescent="0.35">
      <c r="A15" t="s">
        <v>11</v>
      </c>
      <c r="B15">
        <v>47</v>
      </c>
      <c r="C15">
        <v>36</v>
      </c>
    </row>
    <row r="16" spans="1:11" x14ac:dyDescent="0.35">
      <c r="A16" t="s">
        <v>12</v>
      </c>
      <c r="B16">
        <v>595</v>
      </c>
      <c r="C16">
        <v>57</v>
      </c>
    </row>
    <row r="17" spans="1:5" x14ac:dyDescent="0.35">
      <c r="A17" t="s">
        <v>18</v>
      </c>
      <c r="B17">
        <v>1</v>
      </c>
      <c r="C17">
        <v>1</v>
      </c>
      <c r="D17" t="s">
        <v>17</v>
      </c>
    </row>
    <row r="21" spans="1:5" x14ac:dyDescent="0.35">
      <c r="A21" t="s">
        <v>25</v>
      </c>
    </row>
    <row r="22" spans="1:5" x14ac:dyDescent="0.35">
      <c r="A22" s="3" t="s">
        <v>16</v>
      </c>
      <c r="B22" s="3" t="s">
        <v>9</v>
      </c>
      <c r="C22" s="3" t="s">
        <v>10</v>
      </c>
      <c r="D22" s="3" t="s">
        <v>13</v>
      </c>
      <c r="E22" s="3" t="s">
        <v>14</v>
      </c>
    </row>
    <row r="23" spans="1:5" x14ac:dyDescent="0.35">
      <c r="A23" t="s">
        <v>0</v>
      </c>
      <c r="B23">
        <v>23165</v>
      </c>
      <c r="C23">
        <v>14690</v>
      </c>
      <c r="D23" s="2">
        <f>B23/B35</f>
        <v>0.81970983722576074</v>
      </c>
      <c r="E23" s="2">
        <f>C23/C35</f>
        <v>0.82825890843482186</v>
      </c>
    </row>
    <row r="24" spans="1:5" x14ac:dyDescent="0.35">
      <c r="A24" t="s">
        <v>19</v>
      </c>
      <c r="B24">
        <v>1332</v>
      </c>
      <c r="C24">
        <v>1004</v>
      </c>
      <c r="D24" s="2">
        <f>B24/B35</f>
        <v>4.7133757961783443E-2</v>
      </c>
      <c r="E24" s="2">
        <f>C24/C35</f>
        <v>5.6608028867839423E-2</v>
      </c>
    </row>
    <row r="25" spans="1:5" x14ac:dyDescent="0.35">
      <c r="A25" t="s">
        <v>21</v>
      </c>
      <c r="B25">
        <v>937</v>
      </c>
      <c r="C25">
        <v>499</v>
      </c>
      <c r="D25" s="2">
        <f>B25/B35</f>
        <v>3.315640481245577E-2</v>
      </c>
      <c r="E25" s="2">
        <f>C25/C35</f>
        <v>2.8134866937302661E-2</v>
      </c>
    </row>
    <row r="26" spans="1:5" x14ac:dyDescent="0.35">
      <c r="A26" t="s">
        <v>22</v>
      </c>
      <c r="B26">
        <v>797</v>
      </c>
      <c r="C26">
        <v>330</v>
      </c>
      <c r="D26" s="2">
        <f>B26/B35</f>
        <v>2.8202406227883933E-2</v>
      </c>
      <c r="E26" s="2">
        <f>C26/C35</f>
        <v>1.8606224627875506E-2</v>
      </c>
    </row>
    <row r="27" spans="1:5" x14ac:dyDescent="0.35">
      <c r="A27" t="s">
        <v>12</v>
      </c>
      <c r="B27">
        <v>595</v>
      </c>
      <c r="C27">
        <v>57</v>
      </c>
      <c r="D27" s="2">
        <f>B27/B35</f>
        <v>2.1054493984430291E-2</v>
      </c>
      <c r="E27" s="2">
        <f>C27/C35</f>
        <v>3.2138024357239513E-3</v>
      </c>
    </row>
    <row r="28" spans="1:5" x14ac:dyDescent="0.35">
      <c r="A28" t="s">
        <v>23</v>
      </c>
      <c r="B28">
        <v>533</v>
      </c>
      <c r="C28">
        <v>439</v>
      </c>
      <c r="D28" s="2">
        <f>B28/B35</f>
        <v>1.8860580325548479E-2</v>
      </c>
      <c r="E28" s="2">
        <f>C28/C35</f>
        <v>2.4751917004961661E-2</v>
      </c>
    </row>
    <row r="29" spans="1:5" x14ac:dyDescent="0.35">
      <c r="A29" t="s">
        <v>6</v>
      </c>
      <c r="B29">
        <v>524</v>
      </c>
      <c r="C29">
        <v>446</v>
      </c>
      <c r="D29" s="2">
        <f>B29/B35</f>
        <v>1.8542108987968861E-2</v>
      </c>
      <c r="E29" s="2">
        <f>C29/C35</f>
        <v>2.514659449706811E-2</v>
      </c>
    </row>
    <row r="30" spans="1:5" x14ac:dyDescent="0.35">
      <c r="A30" t="s">
        <v>7</v>
      </c>
      <c r="B30">
        <v>154</v>
      </c>
      <c r="C30">
        <v>132</v>
      </c>
    </row>
    <row r="31" spans="1:5" x14ac:dyDescent="0.35">
      <c r="A31" t="s">
        <v>4</v>
      </c>
      <c r="B31">
        <v>113</v>
      </c>
      <c r="C31">
        <v>67</v>
      </c>
    </row>
    <row r="32" spans="1:5" x14ac:dyDescent="0.35">
      <c r="A32" t="s">
        <v>11</v>
      </c>
      <c r="B32">
        <v>47</v>
      </c>
      <c r="C32">
        <v>36</v>
      </c>
    </row>
    <row r="33" spans="1:3" x14ac:dyDescent="0.35">
      <c r="A33" t="s">
        <v>5</v>
      </c>
      <c r="B33">
        <v>33</v>
      </c>
      <c r="C33">
        <v>18</v>
      </c>
    </row>
    <row r="34" spans="1:3" x14ac:dyDescent="0.35">
      <c r="A34" t="s">
        <v>8</v>
      </c>
      <c r="B34" s="1">
        <v>30</v>
      </c>
      <c r="C34" s="1">
        <v>18</v>
      </c>
    </row>
    <row r="35" spans="1:3" x14ac:dyDescent="0.35">
      <c r="B35">
        <f>SUM(B23:B34)</f>
        <v>28260</v>
      </c>
      <c r="C35">
        <f>SUM(C23:C34)</f>
        <v>17736</v>
      </c>
    </row>
  </sheetData>
  <sortState ref="A3:C14">
    <sortCondition descending="1" ref="B3:B14"/>
  </sortState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7E5AE521-1A6B-40FE-A0E1-C6E2606134F3}"/>
</file>

<file path=customXml/itemProps2.xml><?xml version="1.0" encoding="utf-8"?>
<ds:datastoreItem xmlns:ds="http://schemas.openxmlformats.org/officeDocument/2006/customXml" ds:itemID="{F3FD47EE-8177-4C7F-89F0-5D9EE0B5FB4D}"/>
</file>

<file path=customXml/itemProps3.xml><?xml version="1.0" encoding="utf-8"?>
<ds:datastoreItem xmlns:ds="http://schemas.openxmlformats.org/officeDocument/2006/customXml" ds:itemID="{E4A26FF2-DDBF-467B-881F-EC3C61B0632E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Ian Hicks</dc:creator>
  <cp:lastModifiedBy>Ian Hicks</cp:lastModifiedBy>
  <dcterms:created xsi:type="dcterms:W3CDTF">2020-06-02T17:19:34Z</dcterms:created>
  <dcterms:modified xsi:type="dcterms:W3CDTF">2020-06-03T16:43:46Z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191600</vt:r8>
  </property>
  <property fmtid="{D5CDD505-2E9C-101B-9397-08002B2CF9AE}" pid="4" name="URL">
    <vt:lpwstr/>
  </property>
</Properties>
</file>