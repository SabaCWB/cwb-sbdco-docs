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Product Selector\"/>
    </mc:Choice>
  </mc:AlternateContent>
  <bookViews>
    <workbookView xWindow="0" yWindow="0" windowWidth="28800" windowHeight="12450" activeTab="2"/>
  </bookViews>
  <sheets>
    <sheet name="Accounts" sheetId="1" r:id="rId1"/>
    <sheet name="Fee calcs" sheetId="4" r:id="rId2"/>
    <sheet name="Cash Mgmt Products" sheetId="2" r:id="rId3"/>
    <sheet name="Attribution DCO+COME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4" l="1"/>
  <c r="J14" i="4"/>
  <c r="L14" i="4" s="1"/>
  <c r="F14" i="4"/>
  <c r="I13" i="4"/>
  <c r="F13" i="4"/>
  <c r="J13" i="4" s="1"/>
  <c r="L13" i="4" s="1"/>
  <c r="I10" i="4"/>
  <c r="F10" i="4"/>
  <c r="J10" i="4" s="1"/>
  <c r="L10" i="4" s="1"/>
  <c r="I9" i="4"/>
  <c r="F9" i="4"/>
  <c r="I6" i="4"/>
  <c r="F6" i="4"/>
  <c r="J6" i="4" s="1"/>
  <c r="L6" i="4" s="1"/>
  <c r="F5" i="4"/>
  <c r="I5" i="4"/>
  <c r="J9" i="4" l="1"/>
  <c r="L9" i="4" s="1"/>
  <c r="J5" i="4"/>
  <c r="L5" i="4" s="1"/>
  <c r="I2" i="4"/>
  <c r="F2" i="4"/>
  <c r="J2" i="4" s="1"/>
  <c r="L2" i="4" s="1"/>
  <c r="I8" i="4"/>
  <c r="I4" i="4"/>
  <c r="I12" i="4"/>
  <c r="I16" i="4"/>
  <c r="F8" i="4"/>
  <c r="F16" i="4"/>
  <c r="F4" i="4"/>
  <c r="F12" i="4"/>
  <c r="J4" i="4" l="1"/>
  <c r="L4" i="4" s="1"/>
  <c r="J16" i="4"/>
  <c r="J12" i="4"/>
  <c r="L12" i="4" s="1"/>
  <c r="J8" i="4"/>
  <c r="L8" i="4" s="1"/>
</calcChain>
</file>

<file path=xl/sharedStrings.xml><?xml version="1.0" encoding="utf-8"?>
<sst xmlns="http://schemas.openxmlformats.org/spreadsheetml/2006/main" count="280" uniqueCount="191">
  <si>
    <t xml:space="preserve">Account Name: </t>
  </si>
  <si>
    <t>Account Type:</t>
  </si>
  <si>
    <t>“Upgrade to”:</t>
  </si>
  <si>
    <t>Complementary Account:</t>
  </si>
  <si>
    <t>Complementary CM Service:</t>
  </si>
  <si>
    <t>Business Current Account</t>
  </si>
  <si>
    <t>Operating/Chequing</t>
  </si>
  <si>
    <t>Cash Management Account</t>
  </si>
  <si>
    <t>Business Savings Account</t>
  </si>
  <si>
    <t>Cash Management Account (Sm)</t>
  </si>
  <si>
    <t>Cash Management Account (St)</t>
  </si>
  <si>
    <t>Cash Management Account (L)</t>
  </si>
  <si>
    <t>Cash Management Account (XL)</t>
  </si>
  <si>
    <t>N/A</t>
  </si>
  <si>
    <t>Savings</t>
  </si>
  <si>
    <t>Cash Management Account*</t>
  </si>
  <si>
    <t xml:space="preserve">*size will depend on transaction volume </t>
  </si>
  <si>
    <t>**tailored recommendation can be provided based on a client’s answers to the guided questions (transaction volume, payment types, etc.).</t>
  </si>
  <si>
    <t>Accounts</t>
  </si>
  <si>
    <t>Complementary Products/Services</t>
  </si>
  <si>
    <t xml:space="preserve">i. Onboarding through branch (high-touch): </t>
  </si>
  <si>
    <t xml:space="preserve">Cash Management Service: </t>
  </si>
  <si>
    <t>Current Vendor:</t>
  </si>
  <si>
    <t>In CM Bundle?</t>
  </si>
  <si>
    <t>Notes</t>
  </si>
  <si>
    <t>EFT (CAFT)</t>
  </si>
  <si>
    <t>Yes</t>
  </si>
  <si>
    <t>COMET</t>
  </si>
  <si>
    <t>CWB Wire Service</t>
  </si>
  <si>
    <t>Western Union</t>
  </si>
  <si>
    <t>Business Credit Card</t>
  </si>
  <si>
    <t>Collabria</t>
  </si>
  <si>
    <t xml:space="preserve">Remote Deposit Capture </t>
  </si>
  <si>
    <t>Central 1; PayStation</t>
  </si>
  <si>
    <t>No</t>
  </si>
  <si>
    <t>COMET; Branch refers client to PayStation to purchase the scanner</t>
  </si>
  <si>
    <t>Depository Services</t>
  </si>
  <si>
    <t xml:space="preserve">Safe Deposit Box; Day and night service (disposable night bags purchased through branch). Clients sign up for both services through the branch </t>
  </si>
  <si>
    <t>Cheques</t>
  </si>
  <si>
    <t>D&amp;H</t>
  </si>
  <si>
    <t>Debit cards</t>
  </si>
  <si>
    <t xml:space="preserve">If possible, should be offered through the DCO process </t>
  </si>
  <si>
    <t xml:space="preserve">ii. Onboarding by referral (client is directed to 3rd party vendor) (low-touch): </t>
  </si>
  <si>
    <t>Foreign exchange solutions</t>
  </si>
  <si>
    <t>Branches complete and submit a referral form on the client’s behalf; Onboarding done through Western Union</t>
  </si>
  <si>
    <t>Card processing (Merchant services)</t>
  </si>
  <si>
    <t>Payfirma</t>
  </si>
  <si>
    <t>Payroll and HR solutions</t>
  </si>
  <si>
    <t>Ceridian</t>
  </si>
  <si>
    <t>Branches complete and submit a referral form on the client’s behalf; Onboarding done through Ceridian</t>
  </si>
  <si>
    <t>iii. No onboarding required (services available through online and/or mobile banking) (no-touch):</t>
  </si>
  <si>
    <t xml:space="preserve">Deposit Anywhere (mobile RDC) </t>
  </si>
  <si>
    <t>Interac eTransfer and auto-deposit</t>
  </si>
  <si>
    <t>Interac</t>
  </si>
  <si>
    <t>Tax and Bill Payments</t>
  </si>
  <si>
    <t>Clients can file federal and provincial taxes and sign up for CRA direct deposit</t>
  </si>
  <si>
    <t>Transfers to CWB accounts</t>
  </si>
  <si>
    <t xml:space="preserve">Clients can transfer funds to other CWB accounts through online banking or mobile app </t>
  </si>
  <si>
    <t xml:space="preserve">Branches can order cheques on clients’ behalf (through D&amp;H portal). 
If possible, should be offered through the DCO process and/or online and mobile banking. </t>
  </si>
  <si>
    <t>Clients can deposit cheques by uploading an image of the cheque using their mobile device;
Available through mobile app only</t>
  </si>
  <si>
    <t>Clients can send and receive eTransfers through online banking or mobile app
Not available to clients on the CWBdirect Business Online Banking platform</t>
  </si>
  <si>
    <t>“A low-cost account with competitive transaction fees”</t>
  </si>
  <si>
    <t>“A business savings account with competitive, tiered interest paid monthly”</t>
  </si>
  <si>
    <t>“Transfer funds within Canada or internationally from anywhere with internet access”</t>
  </si>
  <si>
    <t>“Scan and deposit CAD or USD cheques from the comfort of your workplace, all on your own time”</t>
  </si>
  <si>
    <t>“Scan and deposit CAD cheques easily using your mobile device through CWB’s mobile app”</t>
  </si>
  <si>
    <t>“Improve your cash flow while keeping cash deposits safe and accounted for”</t>
  </si>
  <si>
    <t>“Accept debit and credit cards on mobile devices, online and in-stores with leading Canadian merchant services partner Payfirma. An intuitive payments platform gives you the data to run your business and let customers pay the way they want.”</t>
  </si>
  <si>
    <t>“In partnership with Western Union, protect your business from currency risk with tailored foreign exchange solutions”</t>
  </si>
  <si>
    <t>“Save on customized business cheques”</t>
  </si>
  <si>
    <t>“In partnership with Ceridian, a leading human capital management software provider, your business can take advantage of exclusive pricing on payroll and HR solutions”</t>
  </si>
  <si>
    <t xml:space="preserve">“Transfer money quickly and securely anytime using Interac e-Transfer through CWB online or mobile banking” </t>
  </si>
  <si>
    <t>“Process tax and bill payments and sign up for CRA direct deposit easily and securely through online or mobile banking”</t>
  </si>
  <si>
    <t>“An automated payment management system for electronic deposits and pre-authorized payments” or
“Validate bank transits and pre-authorize payment collections. Removes cheques, envelopes and mail costs with an automated payment management system”</t>
  </si>
  <si>
    <t>“Simplify your spending and reward your business with CWB VISA Business Cards”
or
“Choose from three different credit card types to suit your business’ needs”</t>
  </si>
  <si>
    <t xml:space="preserve">“An account that fits the daily cash flow requirements for your business”
or
“A business operating account to meet your cash flow needs, with a flat monthly fee and competitive interest rates” </t>
  </si>
  <si>
    <t>General recommendation**:  
CAFT; Wires; Business VISA; Card Processing</t>
  </si>
  <si>
    <t>General recommendation**:  
Products in the CM Bundle
CAFT; Wires; Business VISA; Card Processing</t>
  </si>
  <si>
    <t>Marketing description</t>
  </si>
  <si>
    <t>The only smart account you need to run a smart business. You'll pay fees on just the bank services used each month. The perfect pay-as-you-go solution for customers that are operating accounts with fluctuating balances or low transaction volumes.</t>
  </si>
  <si>
    <t>Cash Management Account (general description)</t>
  </si>
  <si>
    <t>Manage daily cash flow with this all-in-one account. 
Enjoy competitive interest rates, no transaction fees and a flat monthly fee. Opt for a Cash Management Bundle for additional benefits.</t>
  </si>
  <si>
    <t>Pay $18 a month and enjoy 22 free transactions with standard cash management account benefits. Unlock more benefits, pay less and save more when you upgrade to a cash management bundle.</t>
  </si>
  <si>
    <t>Pay $40 a month and enjoy 50 free transactions with standard cash management account benefits. Unlock more benefits, pay less and save more when you upgrade to a cash management bundle.</t>
  </si>
  <si>
    <t>Pay $75 a month and enjoy 100 free transactions with standard cash management account benefits. Unlock more benefits, pay less and save more when you upgrade to a cash management bundle.</t>
  </si>
  <si>
    <t>Pay $150 a month and enjoy 250 free transactions with standard cash management account benefits. Unlock more benefits, pay less and save more when you upgrade to a cash management bundle.</t>
  </si>
  <si>
    <t xml:space="preserve">Earn competitive interest rates that allow you to earn more on the surplus cash flow in your account. </t>
  </si>
  <si>
    <t>Included as a complementary cash management bundle product, you can eliminate transaction costs and reconcile payments with this easy-to-use and straightforward automated payment management system.</t>
  </si>
  <si>
    <t xml:space="preserve">Send fast and secure payments online at your convenience. Add the CWB Wire Service option to a Cash Management Bundle and enjoy free wire transfers ($0 fees) during the first three months. </t>
  </si>
  <si>
    <t>Opt for a credit card to efficiently manage cash flow and business expenses.  Redeem qualifying rewards on transactions and pay fewer fees when adding a business credit card to a cash management bundle package.</t>
  </si>
  <si>
    <t xml:space="preserve">Save time spent on branch visits to deposit cheques. Scan and deposit USD and CAD cheques securely and conveniently using a 24/7 electronic deposit service. </t>
  </si>
  <si>
    <t>Also known as Deposit Anywhere™,  conveniently deposit cheques from mobile or tablet devices when using the CWB Mobile App.</t>
  </si>
  <si>
    <t xml:space="preserve">Work with a dedicated Western Union foreign exchange specialist to find the right solution for your foreign currency needs. In partnership with Western Union Business Solutions, take advantage of a risk management solution that offers better control of cash flow and improved financial forecasting. </t>
  </si>
  <si>
    <t>Spend less time managing payroll and other human resource demands in your business. Choose a payroll solution that offers added control of cash flow and access to exclusive membership rates through our Ceridian partnership.</t>
  </si>
  <si>
    <t>Business tax and bill payments can be made simple, all in one place. Effectively manage any tax transaction 24/7 using your CWB Direct Online Banking Access.</t>
  </si>
  <si>
    <t xml:space="preserve">Two options:
1. Branches complete and submit a referral form on the client’s behalf and onboarding is done through Payfirma; or
2. The client submits a form to Payfirma (there is a link on our website that takes the client to the Payfirma site) and onboarding is done through Payfirma  </t>
  </si>
  <si>
    <t>Description text (Product/MK)</t>
  </si>
  <si>
    <t>Description Text (Product/MK)</t>
  </si>
  <si>
    <t xml:space="preserve">DCO vs COMET attribution </t>
  </si>
  <si>
    <t>Business Visa card</t>
  </si>
  <si>
    <t>Remote Deposit Capture (RDC)</t>
  </si>
  <si>
    <t>Customer Automated Funds Transfer (CAFT/EFT)</t>
  </si>
  <si>
    <t>CWBDirect Business Online Banking</t>
  </si>
  <si>
    <t>Attribute</t>
  </si>
  <si>
    <t>Collected via DCO</t>
  </si>
  <si>
    <t>In COMET form</t>
  </si>
  <si>
    <t>Business general info</t>
  </si>
  <si>
    <t>Business legal name</t>
  </si>
  <si>
    <t>Business operating/trading name</t>
  </si>
  <si>
    <t>Mailing address</t>
  </si>
  <si>
    <t>(Physical) Registered address</t>
  </si>
  <si>
    <t>Phone</t>
  </si>
  <si>
    <t>Fax</t>
  </si>
  <si>
    <t>Nature of business</t>
  </si>
  <si>
    <t>Type of business</t>
  </si>
  <si>
    <t>CIF</t>
  </si>
  <si>
    <t>Branch name</t>
  </si>
  <si>
    <t>Branch transit</t>
  </si>
  <si>
    <t>Is there a promotion?</t>
  </si>
  <si>
    <t>Y</t>
  </si>
  <si>
    <t>N</t>
  </si>
  <si>
    <t>Assume this corresponds to industry/NAICS</t>
  </si>
  <si>
    <t>Assume this corresponds to entity type (corporation etc.)</t>
  </si>
  <si>
    <t>Generated via DCO process</t>
  </si>
  <si>
    <t>Individual user info</t>
  </si>
  <si>
    <t>First name+last name</t>
  </si>
  <si>
    <t>Product selection</t>
  </si>
  <si>
    <t>Collected in DCO via Product Selector</t>
  </si>
  <si>
    <t>Address (home)</t>
  </si>
  <si>
    <t>Phone (home)</t>
  </si>
  <si>
    <t>Y*</t>
  </si>
  <si>
    <t>*DCO - all authorized signers, directors, owners, partners</t>
  </si>
  <si>
    <t>*DCO - all authorized signers, owners, partners</t>
  </si>
  <si>
    <t>*DCO - all authorized signers, beneficial owners, partners (may be mobile#)</t>
  </si>
  <si>
    <t>DOB</t>
  </si>
  <si>
    <t>*DCO - all authorized signers, beneficial owners, partners</t>
  </si>
  <si>
    <t>Mother's maiden name</t>
  </si>
  <si>
    <t>Product specific attributes</t>
  </si>
  <si>
    <t>Action (CAFT)</t>
  </si>
  <si>
    <t>New User</t>
  </si>
  <si>
    <t>User level (CAFT)</t>
  </si>
  <si>
    <t>Only new user would be applicable for DCO</t>
  </si>
  <si>
    <t>A, D, R, S, U</t>
  </si>
  <si>
    <t>Existing user ID (CAFT)</t>
  </si>
  <si>
    <t>Card limit (Visa)</t>
  </si>
  <si>
    <t>$ amount</t>
  </si>
  <si>
    <t>Card type (Visa)</t>
  </si>
  <si>
    <t>No Fee Cashback
Low Rate
Infinite</t>
  </si>
  <si>
    <t>Only new user would be applicable - would need to default for DCO</t>
  </si>
  <si>
    <t>Authorize, Data Entry, Read Only, Super, Upload Only 
Not sure if feasible to collect in DCO - may need to default</t>
  </si>
  <si>
    <t>Allow entry of requested amount, range or default?</t>
  </si>
  <si>
    <t>Allow selection (request)</t>
  </si>
  <si>
    <t>Monthly fee</t>
  </si>
  <si>
    <t>#Free txns</t>
  </si>
  <si>
    <t>Txn fee (paper)</t>
  </si>
  <si>
    <t>Txn fee (electronic)</t>
  </si>
  <si>
    <t>$5 (minimum)</t>
  </si>
  <si>
    <t>Interest rate</t>
  </si>
  <si>
    <t>0 (&lt;$100,000)
0.2%
(&gt;$100,000)</t>
  </si>
  <si>
    <t>0.6% 
(up to $250k)
0.75% 
($250k-$15mm)
0.9%
(&gt;$15mm)</t>
  </si>
  <si>
    <t>Fees</t>
  </si>
  <si>
    <t>$75.00 set up
WAIVED with CM bundle</t>
  </si>
  <si>
    <t>$25.00 annual fee (Low Rate Visa)
WAIVED with CM bundle</t>
  </si>
  <si>
    <t>Preferred pricing with CM bundle</t>
  </si>
  <si>
    <t>$24.00 annual fee WAIVED with CM bundle</t>
  </si>
  <si>
    <t>Per wire fees
WAIVED for 3 months with CM bundle</t>
  </si>
  <si>
    <t>CWBdirect Business Online Banking</t>
  </si>
  <si>
    <t>$25.00 monthly fee WAIVED with CM bundle</t>
  </si>
  <si>
    <t>Free transfers with CM bundle - see fees</t>
  </si>
  <si>
    <t>0*</t>
  </si>
  <si>
    <t>$5.00 (debit)
$1.00 (credit)
*Unlimited free transfers in, 4 free transfers out/month with CM bundle</t>
  </si>
  <si>
    <t>&gt;200</t>
  </si>
  <si>
    <t>75% electronic</t>
  </si>
  <si>
    <t>50/50</t>
  </si>
  <si>
    <t>Any mixture</t>
  </si>
  <si>
    <t>22-50</t>
  </si>
  <si>
    <t>75% paper</t>
  </si>
  <si>
    <t>RANGE</t>
  </si>
  <si>
    <t>50-90</t>
  </si>
  <si>
    <t>90-200</t>
  </si>
  <si>
    <t>Free</t>
  </si>
  <si>
    <t>Additional electronic</t>
  </si>
  <si>
    <t>Additional paper</t>
  </si>
  <si>
    <t>Total fees</t>
  </si>
  <si>
    <t>=&lt;22</t>
  </si>
  <si>
    <t>Defaulted by DCO process (repurposed VB 97)</t>
  </si>
  <si>
    <t>But DCO will create Contact Log in T24 with security questions</t>
  </si>
  <si>
    <t>COMET 
DBX looking at using WU API instead of referring to portal: API requirements to be confirmed</t>
  </si>
  <si>
    <t>Lending application (in-branch; done through WAVE)
DCO will capture new attributes for business' Annual Revenue and # of Employees, which would be part of lending application.
COMET (once lending app approved; setting up cardholders)</t>
  </si>
  <si>
    <t>CUPS
New vendor/product is pending</t>
  </si>
  <si>
    <t>Central 1 - to be replaced by new DBX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</si>
</sst>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2" borderId="1" xfId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4" xfId="0" applyFont="1" applyBorder="1"/>
    <xf numFmtId="0" fontId="3" fillId="0" borderId="4" xfId="0" applyFont="1" applyBorder="1"/>
    <xf numFmtId="0" fontId="2" fillId="0" borderId="0" xfId="0" applyFont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1" fontId="0" fillId="0" borderId="1" xfId="0" applyNumberFormat="1" applyBorder="1" applyAlignment="1">
      <alignment horizontal="center" vertical="center"/>
    </xf>
    <xf numFmtId="8" fontId="0" fillId="0" borderId="0" xfId="0" applyNumberFormat="1"/>
    <xf numFmtId="0" fontId="0" fillId="0" borderId="2" xfId="0" applyBorder="1" applyAlignment="1">
      <alignment vertical="center"/>
    </xf>
    <xf numFmtId="6" fontId="0" fillId="0" borderId="2" xfId="0" applyNumberFormat="1" applyBorder="1" applyAlignment="1">
      <alignment horizontal="center" vertical="center"/>
    </xf>
    <xf numFmtId="6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8" fontId="0" fillId="0" borderId="0" xfId="0" applyNumberFormat="1" applyBorder="1"/>
    <xf numFmtId="6" fontId="0" fillId="0" borderId="0" xfId="0" applyNumberFormat="1"/>
    <xf numFmtId="0" fontId="0" fillId="0" borderId="0" xfId="0" quotePrefix="1"/>
    <xf numFmtId="8" fontId="0" fillId="0" borderId="1" xfId="0" applyNumberFormat="1" applyBorder="1"/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9" sqref="E9:F9"/>
    </sheetView>
  </sheetViews>
  <sheetFormatPr defaultRowHeight="14.5" x14ac:dyDescent="0.35"/>
  <cols>
    <col min="1" max="1" width="39.08984375" customWidth="1"/>
    <col min="2" max="2" width="21.453125" customWidth="1"/>
    <col min="3" max="3" width="11.36328125" customWidth="1"/>
    <col min="4" max="5" width="9.81640625" customWidth="1"/>
    <col min="6" max="6" width="11.08984375" customWidth="1"/>
    <col min="7" max="7" width="14.453125" customWidth="1"/>
    <col min="8" max="8" width="42.54296875" customWidth="1"/>
    <col min="9" max="9" width="52.7265625" customWidth="1"/>
    <col min="10" max="10" width="28.81640625" customWidth="1"/>
    <col min="11" max="11" width="24.6328125" customWidth="1"/>
    <col min="12" max="12" width="39.08984375" customWidth="1"/>
  </cols>
  <sheetData>
    <row r="1" spans="1:12" ht="18.5" x14ac:dyDescent="0.45">
      <c r="A1" s="10" t="s">
        <v>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9.5" thickBot="1" x14ac:dyDescent="0.4">
      <c r="A2" s="20" t="s">
        <v>0</v>
      </c>
      <c r="B2" s="20" t="s">
        <v>1</v>
      </c>
      <c r="C2" s="34" t="s">
        <v>152</v>
      </c>
      <c r="D2" s="34" t="s">
        <v>153</v>
      </c>
      <c r="E2" s="34" t="s">
        <v>154</v>
      </c>
      <c r="F2" s="34" t="s">
        <v>155</v>
      </c>
      <c r="G2" s="34" t="s">
        <v>157</v>
      </c>
      <c r="H2" s="20" t="s">
        <v>96</v>
      </c>
      <c r="I2" s="20" t="s">
        <v>78</v>
      </c>
      <c r="J2" s="20" t="s">
        <v>2</v>
      </c>
      <c r="K2" s="20" t="s">
        <v>3</v>
      </c>
      <c r="L2" s="20" t="s">
        <v>4</v>
      </c>
    </row>
    <row r="3" spans="1:12" ht="72.5" x14ac:dyDescent="0.35">
      <c r="A3" s="23" t="s">
        <v>5</v>
      </c>
      <c r="B3" s="23" t="s">
        <v>6</v>
      </c>
      <c r="C3" s="31" t="s">
        <v>156</v>
      </c>
      <c r="D3" s="27">
        <v>0</v>
      </c>
      <c r="E3" s="29">
        <v>0.9</v>
      </c>
      <c r="F3" s="29">
        <v>0.75</v>
      </c>
      <c r="G3" s="32">
        <v>0</v>
      </c>
      <c r="H3" s="33" t="s">
        <v>61</v>
      </c>
      <c r="I3" s="33" t="s">
        <v>79</v>
      </c>
      <c r="J3" s="23" t="s">
        <v>7</v>
      </c>
      <c r="K3" s="23" t="s">
        <v>8</v>
      </c>
      <c r="L3" s="33" t="s">
        <v>76</v>
      </c>
    </row>
    <row r="4" spans="1:12" ht="87" x14ac:dyDescent="0.35">
      <c r="A4" s="8" t="s">
        <v>80</v>
      </c>
      <c r="B4" s="8"/>
      <c r="C4" s="25"/>
      <c r="D4" s="25"/>
      <c r="E4" s="25"/>
      <c r="F4" s="25"/>
      <c r="G4" s="25"/>
      <c r="H4" s="15" t="s">
        <v>75</v>
      </c>
      <c r="I4" s="9" t="s">
        <v>81</v>
      </c>
      <c r="J4" s="8"/>
      <c r="K4" s="8"/>
      <c r="L4" s="9"/>
    </row>
    <row r="5" spans="1:12" ht="68.5" customHeight="1" x14ac:dyDescent="0.35">
      <c r="A5" s="8" t="s">
        <v>9</v>
      </c>
      <c r="B5" s="8" t="s">
        <v>6</v>
      </c>
      <c r="C5" s="26">
        <v>18</v>
      </c>
      <c r="D5" s="24">
        <v>22</v>
      </c>
      <c r="E5" s="28">
        <v>0.9</v>
      </c>
      <c r="F5" s="28">
        <v>0.75</v>
      </c>
      <c r="G5" s="30" t="s">
        <v>158</v>
      </c>
      <c r="H5" s="9"/>
      <c r="I5" s="14" t="s">
        <v>82</v>
      </c>
      <c r="J5" s="8" t="s">
        <v>10</v>
      </c>
      <c r="K5" s="8" t="s">
        <v>8</v>
      </c>
      <c r="L5" s="9" t="s">
        <v>77</v>
      </c>
    </row>
    <row r="6" spans="1:12" ht="68" customHeight="1" x14ac:dyDescent="0.35">
      <c r="A6" s="8" t="s">
        <v>10</v>
      </c>
      <c r="B6" s="8" t="s">
        <v>6</v>
      </c>
      <c r="C6" s="26">
        <v>40</v>
      </c>
      <c r="D6" s="24">
        <v>50</v>
      </c>
      <c r="E6" s="28">
        <v>0.9</v>
      </c>
      <c r="F6" s="28">
        <v>0.75</v>
      </c>
      <c r="G6" s="30" t="s">
        <v>158</v>
      </c>
      <c r="H6" s="9"/>
      <c r="I6" s="14" t="s">
        <v>83</v>
      </c>
      <c r="J6" s="8" t="s">
        <v>11</v>
      </c>
      <c r="K6" s="8" t="s">
        <v>8</v>
      </c>
      <c r="L6" s="9" t="s">
        <v>76</v>
      </c>
    </row>
    <row r="7" spans="1:12" ht="58" x14ac:dyDescent="0.35">
      <c r="A7" s="8" t="s">
        <v>11</v>
      </c>
      <c r="B7" s="8" t="s">
        <v>6</v>
      </c>
      <c r="C7" s="26">
        <v>75</v>
      </c>
      <c r="D7" s="24">
        <v>100</v>
      </c>
      <c r="E7" s="28">
        <v>0.85</v>
      </c>
      <c r="F7" s="28">
        <v>0.7</v>
      </c>
      <c r="G7" s="30" t="s">
        <v>158</v>
      </c>
      <c r="H7" s="9"/>
      <c r="I7" s="14" t="s">
        <v>84</v>
      </c>
      <c r="J7" s="8" t="s">
        <v>12</v>
      </c>
      <c r="K7" s="8" t="s">
        <v>8</v>
      </c>
      <c r="L7" s="9" t="s">
        <v>76</v>
      </c>
    </row>
    <row r="8" spans="1:12" ht="58" x14ac:dyDescent="0.35">
      <c r="A8" s="8" t="s">
        <v>12</v>
      </c>
      <c r="B8" s="8" t="s">
        <v>6</v>
      </c>
      <c r="C8" s="26">
        <v>150</v>
      </c>
      <c r="D8" s="24">
        <v>250</v>
      </c>
      <c r="E8" s="28">
        <v>0.85</v>
      </c>
      <c r="F8" s="28">
        <v>0.7</v>
      </c>
      <c r="G8" s="30" t="s">
        <v>158</v>
      </c>
      <c r="H8" s="9"/>
      <c r="I8" s="14" t="s">
        <v>85</v>
      </c>
      <c r="J8" s="8" t="s">
        <v>13</v>
      </c>
      <c r="K8" s="8" t="s">
        <v>8</v>
      </c>
      <c r="L8" s="9" t="s">
        <v>76</v>
      </c>
    </row>
    <row r="9" spans="1:12" ht="87" x14ac:dyDescent="0.35">
      <c r="A9" s="8" t="s">
        <v>8</v>
      </c>
      <c r="B9" s="8" t="s">
        <v>14</v>
      </c>
      <c r="C9" s="26">
        <v>0</v>
      </c>
      <c r="D9" s="24" t="s">
        <v>169</v>
      </c>
      <c r="E9" s="54" t="s">
        <v>170</v>
      </c>
      <c r="F9" s="55"/>
      <c r="G9" s="13" t="s">
        <v>159</v>
      </c>
      <c r="H9" s="9" t="s">
        <v>62</v>
      </c>
      <c r="I9" s="9" t="s">
        <v>86</v>
      </c>
      <c r="J9" s="8" t="s">
        <v>13</v>
      </c>
      <c r="K9" s="8" t="s">
        <v>15</v>
      </c>
      <c r="L9" s="9" t="s">
        <v>168</v>
      </c>
    </row>
    <row r="10" spans="1:12" x14ac:dyDescent="0.35">
      <c r="A10" t="s">
        <v>16</v>
      </c>
      <c r="H10" s="4"/>
      <c r="I10" s="4"/>
    </row>
    <row r="11" spans="1:12" x14ac:dyDescent="0.35">
      <c r="A11" t="s">
        <v>17</v>
      </c>
      <c r="H11" s="4"/>
      <c r="I11" s="4"/>
    </row>
  </sheetData>
  <mergeCells count="1">
    <mergeCell ref="E9:F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16" sqref="A16"/>
    </sheetView>
  </sheetViews>
  <sheetFormatPr defaultRowHeight="14.5" x14ac:dyDescent="0.35"/>
  <cols>
    <col min="1" max="1" width="32.08984375" customWidth="1"/>
    <col min="2" max="2" width="14.7265625" customWidth="1"/>
    <col min="11" max="11" width="2.453125" customWidth="1"/>
    <col min="13" max="13" width="14.81640625" customWidth="1"/>
  </cols>
  <sheetData>
    <row r="1" spans="1:14" x14ac:dyDescent="0.35">
      <c r="C1" t="s">
        <v>180</v>
      </c>
      <c r="D1" t="s">
        <v>182</v>
      </c>
      <c r="G1" t="s">
        <v>181</v>
      </c>
      <c r="L1" t="s">
        <v>183</v>
      </c>
      <c r="N1" t="s">
        <v>177</v>
      </c>
    </row>
    <row r="2" spans="1:14" x14ac:dyDescent="0.35">
      <c r="A2" s="46" t="s">
        <v>5</v>
      </c>
      <c r="B2" s="13" t="s">
        <v>156</v>
      </c>
      <c r="C2" s="24">
        <v>0</v>
      </c>
      <c r="D2" s="24">
        <v>6</v>
      </c>
      <c r="E2" s="28">
        <v>0.9</v>
      </c>
      <c r="F2" s="28">
        <f>D2*E2</f>
        <v>5.4</v>
      </c>
      <c r="G2" s="35">
        <v>16</v>
      </c>
      <c r="H2" s="28">
        <v>0.75</v>
      </c>
      <c r="I2" s="28">
        <f>G2*H2</f>
        <v>12</v>
      </c>
      <c r="J2" s="51">
        <f>SUM(F2,I2)</f>
        <v>17.399999999999999</v>
      </c>
      <c r="L2" s="36">
        <f>J2</f>
        <v>17.399999999999999</v>
      </c>
      <c r="M2" t="s">
        <v>174</v>
      </c>
      <c r="N2" s="50" t="s">
        <v>184</v>
      </c>
    </row>
    <row r="3" spans="1:14" x14ac:dyDescent="0.35">
      <c r="A3" s="41"/>
      <c r="B3" s="47"/>
      <c r="C3" s="43"/>
      <c r="D3" s="43"/>
      <c r="E3" s="45"/>
      <c r="F3" s="45"/>
      <c r="G3" s="44"/>
      <c r="H3" s="45"/>
      <c r="I3" s="45"/>
      <c r="J3" s="48"/>
    </row>
    <row r="4" spans="1:14" x14ac:dyDescent="0.35">
      <c r="A4" s="23" t="s">
        <v>9</v>
      </c>
      <c r="B4" s="26">
        <v>18</v>
      </c>
      <c r="C4" s="24">
        <v>22</v>
      </c>
      <c r="D4" s="35">
        <v>7</v>
      </c>
      <c r="E4" s="28">
        <v>0.9</v>
      </c>
      <c r="F4" s="28">
        <f>D4*E4</f>
        <v>6.3</v>
      </c>
      <c r="G4" s="35">
        <v>21</v>
      </c>
      <c r="H4" s="28">
        <v>0.75</v>
      </c>
      <c r="I4" s="28">
        <f>G4*H4</f>
        <v>15.75</v>
      </c>
      <c r="J4" s="51">
        <f>SUM(F4,I4)</f>
        <v>22.05</v>
      </c>
      <c r="L4" s="49">
        <f>B4+J4</f>
        <v>40.049999999999997</v>
      </c>
      <c r="M4" t="s">
        <v>172</v>
      </c>
      <c r="N4" t="s">
        <v>175</v>
      </c>
    </row>
    <row r="5" spans="1:14" x14ac:dyDescent="0.35">
      <c r="A5" s="8"/>
      <c r="B5" s="39"/>
      <c r="C5" s="27"/>
      <c r="D5" s="35">
        <v>14</v>
      </c>
      <c r="E5" s="28">
        <v>0.9</v>
      </c>
      <c r="F5" s="28">
        <f>D5*E5</f>
        <v>12.6</v>
      </c>
      <c r="G5" s="35">
        <v>14</v>
      </c>
      <c r="H5" s="28">
        <v>0.75</v>
      </c>
      <c r="I5" s="28">
        <f>G5*H5</f>
        <v>10.5</v>
      </c>
      <c r="J5" s="51">
        <f>F5+I5</f>
        <v>23.1</v>
      </c>
      <c r="L5" s="36">
        <f>B4+J5</f>
        <v>41.1</v>
      </c>
      <c r="M5" t="s">
        <v>173</v>
      </c>
    </row>
    <row r="6" spans="1:14" x14ac:dyDescent="0.35">
      <c r="A6" s="37"/>
      <c r="B6" s="38"/>
      <c r="C6" s="25"/>
      <c r="D6" s="35">
        <v>21</v>
      </c>
      <c r="E6" s="28">
        <v>0.9</v>
      </c>
      <c r="F6" s="28">
        <f>D6*E6</f>
        <v>18.900000000000002</v>
      </c>
      <c r="G6" s="35">
        <v>7</v>
      </c>
      <c r="H6" s="28">
        <v>0.75</v>
      </c>
      <c r="I6" s="28">
        <f>G6*H6</f>
        <v>5.25</v>
      </c>
      <c r="J6" s="51">
        <f>F6+I6</f>
        <v>24.150000000000002</v>
      </c>
      <c r="L6" s="36">
        <f>B4+J6</f>
        <v>42.150000000000006</v>
      </c>
      <c r="M6" t="s">
        <v>176</v>
      </c>
    </row>
    <row r="7" spans="1:14" x14ac:dyDescent="0.35">
      <c r="A7" s="41"/>
      <c r="B7" s="42"/>
      <c r="C7" s="43"/>
      <c r="D7" s="44"/>
      <c r="E7" s="45"/>
      <c r="F7" s="45"/>
      <c r="G7" s="44"/>
      <c r="H7" s="45"/>
      <c r="I7" s="45"/>
      <c r="J7" s="36"/>
    </row>
    <row r="8" spans="1:14" x14ac:dyDescent="0.35">
      <c r="A8" s="23" t="s">
        <v>10</v>
      </c>
      <c r="B8" s="26">
        <v>40</v>
      </c>
      <c r="C8" s="24">
        <v>50</v>
      </c>
      <c r="D8" s="35">
        <v>10</v>
      </c>
      <c r="E8" s="28">
        <v>0.9</v>
      </c>
      <c r="F8" s="28">
        <f t="shared" ref="F8:F16" si="0">D8*E8</f>
        <v>9</v>
      </c>
      <c r="G8" s="35">
        <v>30</v>
      </c>
      <c r="H8" s="28">
        <v>0.75</v>
      </c>
      <c r="I8" s="28">
        <f t="shared" ref="I8:I16" si="1">G8*H8</f>
        <v>22.5</v>
      </c>
      <c r="J8" s="51">
        <f t="shared" ref="J8:J16" si="2">SUM(F8,I8)</f>
        <v>31.5</v>
      </c>
      <c r="L8" s="36">
        <f>B8+J8</f>
        <v>71.5</v>
      </c>
      <c r="M8" t="s">
        <v>172</v>
      </c>
      <c r="N8" t="s">
        <v>178</v>
      </c>
    </row>
    <row r="9" spans="1:14" x14ac:dyDescent="0.35">
      <c r="A9" s="23"/>
      <c r="B9" s="39"/>
      <c r="C9" s="27"/>
      <c r="D9" s="35">
        <v>20</v>
      </c>
      <c r="E9" s="28">
        <v>0.9</v>
      </c>
      <c r="F9" s="28">
        <f t="shared" si="0"/>
        <v>18</v>
      </c>
      <c r="G9" s="35">
        <v>20</v>
      </c>
      <c r="H9" s="28">
        <v>0.75</v>
      </c>
      <c r="I9" s="28">
        <f t="shared" si="1"/>
        <v>15</v>
      </c>
      <c r="J9" s="51">
        <f t="shared" si="2"/>
        <v>33</v>
      </c>
      <c r="L9" s="36">
        <f>B8+J9</f>
        <v>73</v>
      </c>
      <c r="M9" t="s">
        <v>173</v>
      </c>
    </row>
    <row r="10" spans="1:14" x14ac:dyDescent="0.35">
      <c r="A10" s="37"/>
      <c r="B10" s="38"/>
      <c r="C10" s="25"/>
      <c r="D10" s="35">
        <v>30</v>
      </c>
      <c r="E10" s="28">
        <v>0.9</v>
      </c>
      <c r="F10" s="28">
        <f t="shared" si="0"/>
        <v>27</v>
      </c>
      <c r="G10" s="35">
        <v>10</v>
      </c>
      <c r="H10" s="28">
        <v>0.75</v>
      </c>
      <c r="I10" s="28">
        <f t="shared" si="1"/>
        <v>7.5</v>
      </c>
      <c r="J10" s="51">
        <f t="shared" si="2"/>
        <v>34.5</v>
      </c>
      <c r="L10" s="36">
        <f>B8+J10</f>
        <v>74.5</v>
      </c>
      <c r="M10" t="s">
        <v>176</v>
      </c>
    </row>
    <row r="11" spans="1:14" x14ac:dyDescent="0.35">
      <c r="A11" s="41"/>
      <c r="B11" s="42"/>
      <c r="C11" s="43"/>
      <c r="D11" s="44"/>
      <c r="E11" s="45"/>
      <c r="F11" s="45"/>
      <c r="G11" s="44"/>
      <c r="H11" s="45"/>
      <c r="I11" s="45"/>
      <c r="J11" s="36"/>
    </row>
    <row r="12" spans="1:14" x14ac:dyDescent="0.35">
      <c r="A12" s="23" t="s">
        <v>11</v>
      </c>
      <c r="B12" s="26">
        <v>75</v>
      </c>
      <c r="C12" s="24">
        <v>100</v>
      </c>
      <c r="D12" s="35">
        <v>25</v>
      </c>
      <c r="E12" s="28">
        <v>0.85</v>
      </c>
      <c r="F12" s="28">
        <f t="shared" si="0"/>
        <v>21.25</v>
      </c>
      <c r="G12" s="35">
        <v>75</v>
      </c>
      <c r="H12" s="28">
        <v>0.7</v>
      </c>
      <c r="I12" s="28">
        <f t="shared" si="1"/>
        <v>52.5</v>
      </c>
      <c r="J12" s="51">
        <f t="shared" si="2"/>
        <v>73.75</v>
      </c>
      <c r="L12" s="36">
        <f>B12+J12</f>
        <v>148.75</v>
      </c>
      <c r="M12" t="s">
        <v>172</v>
      </c>
      <c r="N12" t="s">
        <v>179</v>
      </c>
    </row>
    <row r="13" spans="1:14" x14ac:dyDescent="0.35">
      <c r="A13" s="23"/>
      <c r="B13" s="39"/>
      <c r="C13" s="27"/>
      <c r="D13" s="35">
        <v>50</v>
      </c>
      <c r="E13" s="28">
        <v>0.85</v>
      </c>
      <c r="F13" s="28">
        <f t="shared" si="0"/>
        <v>42.5</v>
      </c>
      <c r="G13" s="35">
        <v>50</v>
      </c>
      <c r="H13" s="28">
        <v>0.7</v>
      </c>
      <c r="I13" s="28">
        <f t="shared" si="1"/>
        <v>35</v>
      </c>
      <c r="J13" s="51">
        <f t="shared" si="2"/>
        <v>77.5</v>
      </c>
      <c r="L13" s="36">
        <f>B12+J13</f>
        <v>152.5</v>
      </c>
      <c r="M13" t="s">
        <v>173</v>
      </c>
    </row>
    <row r="14" spans="1:14" x14ac:dyDescent="0.35">
      <c r="A14" s="8"/>
      <c r="B14" s="26"/>
      <c r="C14" s="24"/>
      <c r="D14" s="35">
        <v>75</v>
      </c>
      <c r="E14" s="28">
        <v>0.85</v>
      </c>
      <c r="F14" s="28">
        <f t="shared" si="0"/>
        <v>63.75</v>
      </c>
      <c r="G14" s="35">
        <v>25</v>
      </c>
      <c r="H14" s="28">
        <v>0.7</v>
      </c>
      <c r="I14" s="28">
        <f t="shared" si="1"/>
        <v>17.5</v>
      </c>
      <c r="J14" s="51">
        <f t="shared" si="2"/>
        <v>81.25</v>
      </c>
      <c r="L14" s="36">
        <f>B12+J14</f>
        <v>156.25</v>
      </c>
      <c r="M14" t="s">
        <v>176</v>
      </c>
    </row>
    <row r="15" spans="1:14" x14ac:dyDescent="0.35">
      <c r="A15" s="8"/>
      <c r="B15" s="26"/>
      <c r="C15" s="24"/>
      <c r="D15" s="40"/>
      <c r="E15" s="29"/>
      <c r="F15" s="29"/>
      <c r="G15" s="40"/>
      <c r="H15" s="29"/>
      <c r="I15" s="29"/>
      <c r="J15" s="36"/>
    </row>
    <row r="16" spans="1:14" x14ac:dyDescent="0.35">
      <c r="A16" s="8" t="s">
        <v>12</v>
      </c>
      <c r="B16" s="26">
        <v>150</v>
      </c>
      <c r="C16" s="24">
        <v>250</v>
      </c>
      <c r="D16" s="35"/>
      <c r="E16" s="28">
        <v>0.85</v>
      </c>
      <c r="F16" s="28">
        <f t="shared" si="0"/>
        <v>0</v>
      </c>
      <c r="G16" s="35"/>
      <c r="H16" s="28">
        <v>0.7</v>
      </c>
      <c r="I16" s="28">
        <f t="shared" si="1"/>
        <v>0</v>
      </c>
      <c r="J16" s="36">
        <f t="shared" si="2"/>
        <v>0</v>
      </c>
      <c r="M16" t="s">
        <v>174</v>
      </c>
      <c r="N16" t="s">
        <v>171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zoomScale="80" zoomScaleNormal="80" workbookViewId="0">
      <pane ySplit="2" topLeftCell="A3" activePane="bottomLeft" state="frozen"/>
      <selection pane="bottomLeft" activeCell="E21" sqref="E21"/>
    </sheetView>
  </sheetViews>
  <sheetFormatPr defaultRowHeight="14.5" x14ac:dyDescent="0.35"/>
  <cols>
    <col min="1" max="1" width="39.08984375" customWidth="1"/>
    <col min="2" max="3" width="22.453125" customWidth="1"/>
    <col min="4" max="4" width="42.54296875" customWidth="1"/>
    <col min="5" max="5" width="49.453125" customWidth="1"/>
    <col min="6" max="6" width="14.1796875" customWidth="1"/>
    <col min="7" max="7" width="60.54296875" customWidth="1"/>
  </cols>
  <sheetData>
    <row r="1" spans="1:7" ht="18.5" x14ac:dyDescent="0.45">
      <c r="A1" s="10" t="s">
        <v>19</v>
      </c>
      <c r="B1" s="11"/>
      <c r="C1" s="11"/>
      <c r="D1" s="12"/>
      <c r="E1" s="12"/>
      <c r="F1" s="11"/>
      <c r="G1" s="11"/>
    </row>
    <row r="2" spans="1:7" x14ac:dyDescent="0.35">
      <c r="A2" s="6" t="s">
        <v>21</v>
      </c>
      <c r="B2" s="6" t="s">
        <v>22</v>
      </c>
      <c r="C2" s="6" t="s">
        <v>160</v>
      </c>
      <c r="D2" s="7" t="s">
        <v>97</v>
      </c>
      <c r="E2" s="7" t="s">
        <v>78</v>
      </c>
      <c r="F2" s="6" t="s">
        <v>23</v>
      </c>
      <c r="G2" s="2" t="s">
        <v>24</v>
      </c>
    </row>
    <row r="3" spans="1:7" x14ac:dyDescent="0.35">
      <c r="A3" s="2" t="s">
        <v>20</v>
      </c>
      <c r="D3" s="4"/>
      <c r="E3" s="4"/>
    </row>
    <row r="4" spans="1:7" ht="101.5" x14ac:dyDescent="0.35">
      <c r="A4" s="9" t="s">
        <v>25</v>
      </c>
      <c r="B4" s="53" t="s">
        <v>189</v>
      </c>
      <c r="C4" s="9" t="s">
        <v>161</v>
      </c>
      <c r="D4" s="9" t="s">
        <v>73</v>
      </c>
      <c r="E4" s="9" t="s">
        <v>87</v>
      </c>
      <c r="F4" s="16" t="s">
        <v>26</v>
      </c>
      <c r="G4" s="9" t="s">
        <v>27</v>
      </c>
    </row>
    <row r="5" spans="1:7" ht="58" x14ac:dyDescent="0.35">
      <c r="A5" s="9" t="s">
        <v>28</v>
      </c>
      <c r="B5" s="9" t="s">
        <v>29</v>
      </c>
      <c r="C5" s="9" t="s">
        <v>165</v>
      </c>
      <c r="D5" s="9" t="s">
        <v>63</v>
      </c>
      <c r="E5" s="9" t="s">
        <v>88</v>
      </c>
      <c r="F5" s="16" t="s">
        <v>26</v>
      </c>
      <c r="G5" s="53" t="s">
        <v>187</v>
      </c>
    </row>
    <row r="6" spans="1:7" ht="72.5" x14ac:dyDescent="0.35">
      <c r="A6" s="9" t="s">
        <v>30</v>
      </c>
      <c r="B6" s="9" t="s">
        <v>31</v>
      </c>
      <c r="C6" s="9" t="s">
        <v>162</v>
      </c>
      <c r="D6" s="9" t="s">
        <v>74</v>
      </c>
      <c r="E6" s="9" t="s">
        <v>89</v>
      </c>
      <c r="F6" s="16" t="s">
        <v>26</v>
      </c>
      <c r="G6" s="53" t="s">
        <v>188</v>
      </c>
    </row>
    <row r="7" spans="1:7" ht="43.5" x14ac:dyDescent="0.35">
      <c r="A7" s="9" t="s">
        <v>32</v>
      </c>
      <c r="B7" s="9" t="s">
        <v>33</v>
      </c>
      <c r="C7" s="9"/>
      <c r="D7" s="9" t="s">
        <v>64</v>
      </c>
      <c r="E7" s="9" t="s">
        <v>90</v>
      </c>
      <c r="F7" s="9" t="s">
        <v>34</v>
      </c>
      <c r="G7" s="9" t="s">
        <v>35</v>
      </c>
    </row>
    <row r="8" spans="1:7" ht="43.5" x14ac:dyDescent="0.35">
      <c r="A8" s="9" t="s">
        <v>36</v>
      </c>
      <c r="B8" s="9"/>
      <c r="C8" s="9" t="s">
        <v>164</v>
      </c>
      <c r="D8" s="9" t="s">
        <v>66</v>
      </c>
      <c r="E8" s="9"/>
      <c r="F8" s="16" t="s">
        <v>26</v>
      </c>
      <c r="G8" s="9" t="s">
        <v>37</v>
      </c>
    </row>
    <row r="9" spans="1:7" ht="43.5" x14ac:dyDescent="0.35">
      <c r="A9" s="9" t="s">
        <v>38</v>
      </c>
      <c r="B9" s="9" t="s">
        <v>39</v>
      </c>
      <c r="C9" s="9"/>
      <c r="D9" s="9" t="s">
        <v>69</v>
      </c>
      <c r="E9" s="9"/>
      <c r="F9" s="9" t="s">
        <v>34</v>
      </c>
      <c r="G9" s="9" t="s">
        <v>58</v>
      </c>
    </row>
    <row r="10" spans="1:7" x14ac:dyDescent="0.35">
      <c r="A10" s="9" t="s">
        <v>40</v>
      </c>
      <c r="B10" s="9"/>
      <c r="C10" s="9"/>
      <c r="D10" s="9"/>
      <c r="E10" s="9"/>
      <c r="F10" s="9" t="s">
        <v>34</v>
      </c>
      <c r="G10" s="9" t="s">
        <v>41</v>
      </c>
    </row>
    <row r="11" spans="1:7" ht="29" x14ac:dyDescent="0.35">
      <c r="A11" s="9" t="s">
        <v>166</v>
      </c>
      <c r="B11" s="9"/>
      <c r="C11" s="9" t="s">
        <v>167</v>
      </c>
      <c r="D11" s="9"/>
      <c r="E11" s="9"/>
      <c r="F11" s="16" t="s">
        <v>26</v>
      </c>
      <c r="G11" s="9" t="s">
        <v>27</v>
      </c>
    </row>
    <row r="12" spans="1:7" x14ac:dyDescent="0.35">
      <c r="A12" s="5"/>
      <c r="B12" s="5"/>
      <c r="C12" s="5"/>
      <c r="D12" s="4"/>
      <c r="E12" s="4"/>
      <c r="F12" s="5"/>
      <c r="G12" s="4"/>
    </row>
    <row r="13" spans="1:7" x14ac:dyDescent="0.35">
      <c r="A13" s="6" t="s">
        <v>42</v>
      </c>
      <c r="B13" s="5"/>
      <c r="C13" s="5"/>
      <c r="D13" s="4"/>
      <c r="E13" s="4"/>
      <c r="F13" s="5"/>
      <c r="G13" s="4"/>
    </row>
    <row r="14" spans="1:7" ht="87" x14ac:dyDescent="0.35">
      <c r="A14" s="9" t="s">
        <v>43</v>
      </c>
      <c r="B14" s="9" t="s">
        <v>29</v>
      </c>
      <c r="C14" s="9"/>
      <c r="D14" s="9" t="s">
        <v>68</v>
      </c>
      <c r="E14" s="9" t="s">
        <v>92</v>
      </c>
      <c r="F14" s="9" t="s">
        <v>34</v>
      </c>
      <c r="G14" s="9" t="s">
        <v>44</v>
      </c>
    </row>
    <row r="15" spans="1:7" ht="87" x14ac:dyDescent="0.35">
      <c r="A15" s="9" t="s">
        <v>45</v>
      </c>
      <c r="B15" s="9" t="s">
        <v>46</v>
      </c>
      <c r="C15" s="9" t="s">
        <v>163</v>
      </c>
      <c r="D15" s="9" t="s">
        <v>67</v>
      </c>
      <c r="E15" s="9"/>
      <c r="F15" s="16" t="s">
        <v>26</v>
      </c>
      <c r="G15" s="9" t="s">
        <v>95</v>
      </c>
    </row>
    <row r="16" spans="1:7" ht="72.5" x14ac:dyDescent="0.35">
      <c r="A16" s="9" t="s">
        <v>47</v>
      </c>
      <c r="B16" s="9" t="s">
        <v>48</v>
      </c>
      <c r="C16" s="9"/>
      <c r="D16" s="9" t="s">
        <v>70</v>
      </c>
      <c r="E16" s="9" t="s">
        <v>93</v>
      </c>
      <c r="F16" s="9" t="s">
        <v>34</v>
      </c>
      <c r="G16" s="9" t="s">
        <v>49</v>
      </c>
    </row>
    <row r="17" spans="1:7" x14ac:dyDescent="0.35">
      <c r="A17" s="5"/>
      <c r="B17" s="5"/>
      <c r="C17" s="5"/>
      <c r="D17" s="4"/>
      <c r="E17" s="4"/>
      <c r="F17" s="5"/>
      <c r="G17" s="4"/>
    </row>
    <row r="18" spans="1:7" x14ac:dyDescent="0.35">
      <c r="A18" s="6" t="s">
        <v>50</v>
      </c>
      <c r="B18" s="5"/>
      <c r="C18" s="5"/>
      <c r="D18" s="4"/>
      <c r="E18" s="4"/>
      <c r="F18" s="5"/>
      <c r="G18" s="4"/>
    </row>
    <row r="19" spans="1:7" ht="43.5" x14ac:dyDescent="0.35">
      <c r="A19" s="9" t="s">
        <v>51</v>
      </c>
      <c r="B19" s="53" t="s">
        <v>190</v>
      </c>
      <c r="C19" s="9"/>
      <c r="D19" s="9" t="s">
        <v>65</v>
      </c>
      <c r="E19" s="9" t="s">
        <v>91</v>
      </c>
      <c r="F19" s="9" t="s">
        <v>34</v>
      </c>
      <c r="G19" s="9" t="s">
        <v>59</v>
      </c>
    </row>
    <row r="20" spans="1:7" ht="58" x14ac:dyDescent="0.35">
      <c r="A20" s="9" t="s">
        <v>52</v>
      </c>
      <c r="B20" s="9" t="s">
        <v>53</v>
      </c>
      <c r="C20" s="9"/>
      <c r="D20" s="9" t="s">
        <v>71</v>
      </c>
      <c r="E20" s="9"/>
      <c r="F20" s="9" t="s">
        <v>34</v>
      </c>
      <c r="G20" s="9" t="s">
        <v>60</v>
      </c>
    </row>
    <row r="21" spans="1:7" ht="43.5" x14ac:dyDescent="0.35">
      <c r="A21" s="9" t="s">
        <v>54</v>
      </c>
      <c r="B21" s="53" t="s">
        <v>190</v>
      </c>
      <c r="C21" s="9"/>
      <c r="D21" s="9" t="s">
        <v>72</v>
      </c>
      <c r="E21" s="9" t="s">
        <v>94</v>
      </c>
      <c r="F21" s="9" t="s">
        <v>34</v>
      </c>
      <c r="G21" s="9" t="s">
        <v>55</v>
      </c>
    </row>
    <row r="22" spans="1:7" ht="29" x14ac:dyDescent="0.35">
      <c r="A22" s="9" t="s">
        <v>56</v>
      </c>
      <c r="B22" s="53" t="s">
        <v>190</v>
      </c>
      <c r="C22" s="9"/>
      <c r="D22" s="9"/>
      <c r="E22" s="9"/>
      <c r="F22" s="9" t="s">
        <v>34</v>
      </c>
      <c r="G22" s="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7" topLeftCell="A8" activePane="bottomLeft" state="frozen"/>
      <selection pane="bottomLeft" activeCell="D33" sqref="D33"/>
    </sheetView>
  </sheetViews>
  <sheetFormatPr defaultRowHeight="14.5" x14ac:dyDescent="0.35"/>
  <cols>
    <col min="1" max="1" width="40.81640625" customWidth="1"/>
    <col min="2" max="2" width="18.08984375" customWidth="1"/>
    <col min="3" max="3" width="15.81640625" customWidth="1"/>
    <col min="4" max="4" width="65.1796875" customWidth="1"/>
  </cols>
  <sheetData>
    <row r="1" spans="1:4" ht="18.5" x14ac:dyDescent="0.45">
      <c r="A1" s="10" t="s">
        <v>98</v>
      </c>
      <c r="B1" s="11"/>
      <c r="C1" s="11"/>
      <c r="D1" s="11"/>
    </row>
    <row r="2" spans="1:4" x14ac:dyDescent="0.35">
      <c r="A2" t="s">
        <v>99</v>
      </c>
    </row>
    <row r="3" spans="1:4" x14ac:dyDescent="0.35">
      <c r="A3" t="s">
        <v>100</v>
      </c>
    </row>
    <row r="4" spans="1:4" x14ac:dyDescent="0.35">
      <c r="A4" t="s">
        <v>28</v>
      </c>
    </row>
    <row r="5" spans="1:4" x14ac:dyDescent="0.35">
      <c r="A5" t="s">
        <v>101</v>
      </c>
    </row>
    <row r="6" spans="1:4" x14ac:dyDescent="0.35">
      <c r="A6" t="s">
        <v>102</v>
      </c>
    </row>
    <row r="7" spans="1:4" ht="16" thickBot="1" x14ac:dyDescent="0.4">
      <c r="A7" s="21" t="s">
        <v>103</v>
      </c>
      <c r="B7" s="21" t="s">
        <v>104</v>
      </c>
      <c r="C7" s="21" t="s">
        <v>105</v>
      </c>
      <c r="D7" s="21" t="s">
        <v>24</v>
      </c>
    </row>
    <row r="8" spans="1:4" x14ac:dyDescent="0.35">
      <c r="A8" s="2" t="s">
        <v>106</v>
      </c>
    </row>
    <row r="9" spans="1:4" x14ac:dyDescent="0.35">
      <c r="A9" s="18" t="s">
        <v>107</v>
      </c>
      <c r="B9" s="17" t="s">
        <v>119</v>
      </c>
      <c r="C9" s="17" t="s">
        <v>119</v>
      </c>
      <c r="D9" s="19"/>
    </row>
    <row r="10" spans="1:4" x14ac:dyDescent="0.35">
      <c r="A10" s="18" t="s">
        <v>108</v>
      </c>
      <c r="B10" s="17" t="s">
        <v>119</v>
      </c>
      <c r="C10" s="17" t="s">
        <v>119</v>
      </c>
      <c r="D10" s="19"/>
    </row>
    <row r="11" spans="1:4" x14ac:dyDescent="0.35">
      <c r="A11" s="18" t="s">
        <v>110</v>
      </c>
      <c r="B11" s="17" t="s">
        <v>119</v>
      </c>
      <c r="C11" s="17" t="s">
        <v>119</v>
      </c>
      <c r="D11" s="19"/>
    </row>
    <row r="12" spans="1:4" x14ac:dyDescent="0.35">
      <c r="A12" s="18" t="s">
        <v>109</v>
      </c>
      <c r="B12" s="17" t="s">
        <v>119</v>
      </c>
      <c r="C12" s="17" t="s">
        <v>119</v>
      </c>
      <c r="D12" s="19"/>
    </row>
    <row r="13" spans="1:4" x14ac:dyDescent="0.35">
      <c r="A13" s="18" t="s">
        <v>111</v>
      </c>
      <c r="B13" s="17" t="s">
        <v>119</v>
      </c>
      <c r="C13" s="17" t="s">
        <v>119</v>
      </c>
      <c r="D13" s="19"/>
    </row>
    <row r="14" spans="1:4" x14ac:dyDescent="0.35">
      <c r="A14" s="18" t="s">
        <v>112</v>
      </c>
      <c r="B14" s="52" t="s">
        <v>120</v>
      </c>
      <c r="C14" s="52" t="s">
        <v>119</v>
      </c>
      <c r="D14" s="19"/>
    </row>
    <row r="15" spans="1:4" x14ac:dyDescent="0.35">
      <c r="A15" s="18" t="s">
        <v>113</v>
      </c>
      <c r="B15" s="17" t="s">
        <v>119</v>
      </c>
      <c r="C15" s="17" t="s">
        <v>119</v>
      </c>
      <c r="D15" s="19" t="s">
        <v>121</v>
      </c>
    </row>
    <row r="16" spans="1:4" x14ac:dyDescent="0.35">
      <c r="A16" s="18" t="s">
        <v>114</v>
      </c>
      <c r="B16" s="17" t="s">
        <v>119</v>
      </c>
      <c r="C16" s="17" t="s">
        <v>119</v>
      </c>
      <c r="D16" s="19" t="s">
        <v>122</v>
      </c>
    </row>
    <row r="17" spans="1:4" x14ac:dyDescent="0.35">
      <c r="A17" s="18" t="s">
        <v>115</v>
      </c>
      <c r="B17" s="17" t="s">
        <v>120</v>
      </c>
      <c r="C17" s="17" t="s">
        <v>119</v>
      </c>
      <c r="D17" s="19" t="s">
        <v>123</v>
      </c>
    </row>
    <row r="18" spans="1:4" x14ac:dyDescent="0.35">
      <c r="A18" s="18" t="s">
        <v>116</v>
      </c>
      <c r="B18" s="17" t="s">
        <v>120</v>
      </c>
      <c r="C18" s="17" t="s">
        <v>119</v>
      </c>
      <c r="D18" s="19" t="s">
        <v>185</v>
      </c>
    </row>
    <row r="19" spans="1:4" x14ac:dyDescent="0.35">
      <c r="A19" s="18" t="s">
        <v>117</v>
      </c>
      <c r="B19" s="17" t="s">
        <v>120</v>
      </c>
      <c r="C19" s="17" t="s">
        <v>119</v>
      </c>
      <c r="D19" s="19" t="s">
        <v>185</v>
      </c>
    </row>
    <row r="20" spans="1:4" x14ac:dyDescent="0.35">
      <c r="A20" s="18" t="s">
        <v>118</v>
      </c>
      <c r="B20" s="52" t="s">
        <v>120</v>
      </c>
      <c r="C20" s="52" t="s">
        <v>119</v>
      </c>
      <c r="D20" s="19"/>
    </row>
    <row r="22" spans="1:4" x14ac:dyDescent="0.35">
      <c r="A22" s="22" t="s">
        <v>124</v>
      </c>
    </row>
    <row r="23" spans="1:4" x14ac:dyDescent="0.35">
      <c r="A23" s="18" t="s">
        <v>125</v>
      </c>
      <c r="B23" s="17" t="s">
        <v>130</v>
      </c>
      <c r="C23" s="17" t="s">
        <v>119</v>
      </c>
      <c r="D23" s="1" t="s">
        <v>131</v>
      </c>
    </row>
    <row r="24" spans="1:4" x14ac:dyDescent="0.35">
      <c r="A24" s="18" t="s">
        <v>126</v>
      </c>
      <c r="B24" s="17" t="s">
        <v>119</v>
      </c>
      <c r="C24" s="17" t="s">
        <v>119</v>
      </c>
      <c r="D24" s="1" t="s">
        <v>127</v>
      </c>
    </row>
    <row r="25" spans="1:4" x14ac:dyDescent="0.35">
      <c r="A25" s="18" t="s">
        <v>128</v>
      </c>
      <c r="B25" s="17" t="s">
        <v>130</v>
      </c>
      <c r="C25" s="17" t="s">
        <v>119</v>
      </c>
      <c r="D25" s="1" t="s">
        <v>132</v>
      </c>
    </row>
    <row r="26" spans="1:4" x14ac:dyDescent="0.35">
      <c r="A26" s="18" t="s">
        <v>129</v>
      </c>
      <c r="B26" s="17" t="s">
        <v>130</v>
      </c>
      <c r="C26" s="17" t="s">
        <v>119</v>
      </c>
      <c r="D26" s="1" t="s">
        <v>133</v>
      </c>
    </row>
    <row r="27" spans="1:4" x14ac:dyDescent="0.35">
      <c r="A27" s="18" t="s">
        <v>134</v>
      </c>
      <c r="B27" s="17" t="s">
        <v>130</v>
      </c>
      <c r="C27" s="17" t="s">
        <v>119</v>
      </c>
      <c r="D27" s="1" t="s">
        <v>135</v>
      </c>
    </row>
    <row r="28" spans="1:4" x14ac:dyDescent="0.35">
      <c r="A28" s="18" t="s">
        <v>136</v>
      </c>
      <c r="B28" s="52" t="s">
        <v>120</v>
      </c>
      <c r="C28" s="52" t="s">
        <v>119</v>
      </c>
      <c r="D28" s="1" t="s">
        <v>186</v>
      </c>
    </row>
    <row r="30" spans="1:4" x14ac:dyDescent="0.35">
      <c r="A30" s="22" t="s">
        <v>137</v>
      </c>
      <c r="B30" s="52" t="s">
        <v>120</v>
      </c>
      <c r="C30" s="52" t="s">
        <v>119</v>
      </c>
    </row>
    <row r="31" spans="1:4" x14ac:dyDescent="0.35">
      <c r="A31" s="18" t="s">
        <v>138</v>
      </c>
      <c r="B31" s="17"/>
      <c r="C31" s="3" t="s">
        <v>139</v>
      </c>
      <c r="D31" t="s">
        <v>148</v>
      </c>
    </row>
    <row r="32" spans="1:4" ht="29" x14ac:dyDescent="0.35">
      <c r="A32" s="18" t="s">
        <v>140</v>
      </c>
      <c r="B32" s="17"/>
      <c r="C32" s="1" t="s">
        <v>142</v>
      </c>
      <c r="D32" s="3" t="s">
        <v>149</v>
      </c>
    </row>
    <row r="33" spans="1:4" x14ac:dyDescent="0.35">
      <c r="A33" s="18" t="s">
        <v>143</v>
      </c>
      <c r="B33" s="17"/>
      <c r="C33" t="s">
        <v>34</v>
      </c>
      <c r="D33" t="s">
        <v>141</v>
      </c>
    </row>
    <row r="34" spans="1:4" x14ac:dyDescent="0.35">
      <c r="A34" s="18" t="s">
        <v>144</v>
      </c>
      <c r="B34" s="17"/>
      <c r="C34" t="s">
        <v>145</v>
      </c>
      <c r="D34" t="s">
        <v>150</v>
      </c>
    </row>
    <row r="35" spans="1:4" ht="43.5" x14ac:dyDescent="0.35">
      <c r="A35" s="18" t="s">
        <v>146</v>
      </c>
      <c r="B35" s="17"/>
      <c r="C35" s="3" t="s">
        <v>147</v>
      </c>
      <c r="D35" s="1" t="s">
        <v>151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A34C668-B2F2-42B2-BE3A-29D1BD3A422C}"/>
</file>

<file path=customXml/itemProps2.xml><?xml version="1.0" encoding="utf-8"?>
<ds:datastoreItem xmlns:ds="http://schemas.openxmlformats.org/officeDocument/2006/customXml" ds:itemID="{649D4A38-11D3-4282-A6D4-953F8CAD20EC}"/>
</file>

<file path=customXml/itemProps3.xml><?xml version="1.0" encoding="utf-8"?>
<ds:datastoreItem xmlns:ds="http://schemas.openxmlformats.org/officeDocument/2006/customXml" ds:itemID="{58801594-A2CD-4DE6-8516-91980AE2479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Fee calcs</vt:lpstr>
      <vt:lpstr>Cash Mgmt Products</vt:lpstr>
      <vt:lpstr>Attribution DCO+COMET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2020-08-05T14:25:33Z</dcterms:created>
  <dcterms:modified xsi:type="dcterms:W3CDTF">2020-11-03T19:03:11Z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