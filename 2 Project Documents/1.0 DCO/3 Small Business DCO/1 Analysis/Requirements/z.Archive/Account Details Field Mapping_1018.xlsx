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xl/calcChain.xml" ContentType="application/vnd.openxmlformats-officedocument.spreadsheetml.calcChain+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F:\Projects\Digital\Account Details Mapping\"/>
    </mc:Choice>
  </mc:AlternateContent>
  <bookViews>
    <workbookView xWindow="0" yWindow="0" windowWidth="20430" windowHeight="7260"/>
  </bookViews>
  <sheets>
    <sheet name="Sheet1" sheetId="1" r:id="rId1"/>
  </sheets>
  <definedNames>
    <definedName name="_xlnm._FilterDatabase" localSheetId="0" hidden="1">Sheet1!$A$1:$O$84</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3" i="1" l="1"/>
  <c r="A4" i="1" s="1"/>
  <c r="A5" i="1" s="1"/>
  <c r="A6" i="1" s="1"/>
  <c r="A7" i="1" s="1"/>
  <c r="A8" i="1" s="1"/>
  <c r="A9" i="1" s="1"/>
  <c r="A10" i="1" l="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alcChain>
</file>

<file path=xl/sharedStrings.xml><?xml version="1.0" encoding="utf-8"?>
<sst xmlns="http://schemas.openxmlformats.org/spreadsheetml/2006/main" count="1030" uniqueCount="271">
  <si>
    <t>Account Type</t>
  </si>
  <si>
    <t>Mortgage</t>
  </si>
  <si>
    <t>Required in Infinity?</t>
  </si>
  <si>
    <t>Mulesoft Value</t>
  </si>
  <si>
    <t>ISO Element</t>
  </si>
  <si>
    <t>ISO Name</t>
  </si>
  <si>
    <t>Infinity Field Label</t>
  </si>
  <si>
    <t>TBD</t>
  </si>
  <si>
    <t>Comments</t>
  </si>
  <si>
    <t>Open Date</t>
  </si>
  <si>
    <t xml:space="preserve">T24 Field </t>
  </si>
  <si>
    <t>Central One Account Detail Field Label</t>
  </si>
  <si>
    <t>Date that the mortgage was funded (money given to client)</t>
  </si>
  <si>
    <t>AB0511</t>
  </si>
  <si>
    <t>Line of Credit</t>
  </si>
  <si>
    <t>Start Date</t>
  </si>
  <si>
    <t>Started On</t>
  </si>
  <si>
    <t>startedon</t>
  </si>
  <si>
    <t>Disbursement Date</t>
  </si>
  <si>
    <t xml:space="preserve">How is the field being populated in current state? What is the purpose in current state? </t>
  </si>
  <si>
    <t xml:space="preserve">Viewable in C1 in the additional details section; This is supposed to show the customer the date the loan was 'opened' (not funded, but the date the arrangement is created). </t>
  </si>
  <si>
    <t>Field Purpose - for future state</t>
  </si>
  <si>
    <t>The date the loan was opened (same purpose in future state)</t>
  </si>
  <si>
    <t xml:space="preserve">The date on which the loan is funded and the funds are available to the customer. Pulled from 'startdate' - which is date the funds are drawn upon (one time). If the funds are never drawn upon, this field would be blank (rare edge case). </t>
  </si>
  <si>
    <t>disbursementdate</t>
  </si>
  <si>
    <t>AB0518</t>
  </si>
  <si>
    <t xml:space="preserve">Does Product want this in future state? Adam will follow up. </t>
  </si>
  <si>
    <r>
      <t xml:space="preserve">Show the last date of the draw on the line of credit </t>
    </r>
    <r>
      <rPr>
        <sz val="12"/>
        <color rgb="FFFF0000"/>
        <rFont val="Calibri (Body)"/>
      </rPr>
      <t xml:space="preserve">which is </t>
    </r>
    <r>
      <rPr>
        <b/>
        <sz val="12"/>
        <color rgb="FFFF0000"/>
        <rFont val="Calibri (Body)"/>
      </rPr>
      <t>not</t>
    </r>
    <r>
      <rPr>
        <sz val="12"/>
        <color rgb="FFFF0000"/>
        <rFont val="Calibri (Body)"/>
      </rPr>
      <t xml:space="preserve"> the intent of the start date</t>
    </r>
    <r>
      <rPr>
        <sz val="12"/>
        <color theme="1"/>
        <rFont val="Calibri"/>
        <family val="2"/>
        <scheme val="minor"/>
      </rPr>
      <t xml:space="preserve"> - </t>
    </r>
    <r>
      <rPr>
        <sz val="12"/>
        <color rgb="FFFF0000"/>
        <rFont val="Calibri (Body)"/>
      </rPr>
      <t xml:space="preserve">field mapping may need to be updated. OR don't display this field. </t>
    </r>
  </si>
  <si>
    <t>Need to confirm with Sutheesh which one this is being mapped to. Charlotte will follow up. Once confirmed, Adam will follow up with product team to determine if required in R1</t>
  </si>
  <si>
    <r>
      <t xml:space="preserve">Contract Date (this is the date the mortgage is secured - If the value date is backdated, the contract date will be updated as well) or Value Date (this is the effective date and can be backdated). Contract Date and Value Date will </t>
    </r>
    <r>
      <rPr>
        <b/>
        <sz val="12"/>
        <color theme="1"/>
        <rFont val="Calibri"/>
        <family val="2"/>
        <scheme val="minor"/>
      </rPr>
      <t>always</t>
    </r>
    <r>
      <rPr>
        <sz val="12"/>
        <color theme="1"/>
        <rFont val="Calibri"/>
        <family val="2"/>
        <scheme val="minor"/>
      </rPr>
      <t xml:space="preserve"> show the same date. </t>
    </r>
  </si>
  <si>
    <t>Renewal Date</t>
  </si>
  <si>
    <t>Maturity Date</t>
  </si>
  <si>
    <t xml:space="preserve">Would be the next date that the Mortgage would renew. </t>
  </si>
  <si>
    <t>renewalDate</t>
  </si>
  <si>
    <t>Payment Due Date</t>
  </si>
  <si>
    <t>Current Balance</t>
  </si>
  <si>
    <t>Current Amount Due</t>
  </si>
  <si>
    <t>Original Amount</t>
  </si>
  <si>
    <t>Length of Current Term</t>
  </si>
  <si>
    <t>Payment Schedule</t>
  </si>
  <si>
    <t>Repayment Type</t>
  </si>
  <si>
    <t>Interest Rate</t>
  </si>
  <si>
    <t>Interest Amount Paid for Previous Period</t>
  </si>
  <si>
    <t>AB0512</t>
  </si>
  <si>
    <t>Available Balance</t>
  </si>
  <si>
    <t>Credit Limit</t>
  </si>
  <si>
    <t>Loan</t>
  </si>
  <si>
    <t>Lease</t>
  </si>
  <si>
    <t>Non Registered Deposit</t>
  </si>
  <si>
    <t>Principal Investment</t>
  </si>
  <si>
    <t>Original Deposit</t>
  </si>
  <si>
    <t>Maturity Amount</t>
  </si>
  <si>
    <t>Maturity Option</t>
  </si>
  <si>
    <t>Registered Term Deposit</t>
  </si>
  <si>
    <t>Contract Number</t>
  </si>
  <si>
    <t xml:space="preserve">Registered Savings </t>
  </si>
  <si>
    <t>Chequing</t>
  </si>
  <si>
    <t>Overdraft Limit</t>
  </si>
  <si>
    <t>Savings</t>
  </si>
  <si>
    <t>Currently on Central 1</t>
  </si>
  <si>
    <t xml:space="preserve">Would be the next date that the Mortgage, Loan or Lease would renew. Maps to renewal date in T24 today. </t>
  </si>
  <si>
    <t>Maturity Date CHANGE TO Renewal Date</t>
  </si>
  <si>
    <t>maturityDate CHANGE TO renewalDate</t>
  </si>
  <si>
    <t>Maturing On</t>
  </si>
  <si>
    <t>Mapping to maturity date of term deposit; date signifies the date the deposit account could be paid out to something else or renew it into a different product</t>
  </si>
  <si>
    <t>Next Payment Date</t>
  </si>
  <si>
    <t xml:space="preserve">Advise the customer of when their upcoming payment is due. Coming from a field next.date, table aa.scheduled.activity. </t>
  </si>
  <si>
    <t xml:space="preserve">Currently next payment date is incorrect in Central One. The date field always shows the day following the current date. So if today is 10/14, the date that would populate is 10/15. </t>
  </si>
  <si>
    <t>Display the next payment date where a payment is due</t>
  </si>
  <si>
    <t>paymentduedate</t>
  </si>
  <si>
    <t>Next Due</t>
  </si>
  <si>
    <t>AB0505</t>
  </si>
  <si>
    <t>Next Date</t>
  </si>
  <si>
    <t xml:space="preserve">Charlotte will research what the mapping is for current state; doesn't appear to be coming from Next Date since value on UI is inaccurate. </t>
  </si>
  <si>
    <t>currentbalance</t>
  </si>
  <si>
    <t>AB0504</t>
  </si>
  <si>
    <t>Balance</t>
  </si>
  <si>
    <t>Charlotte will research what the mapping is for current state; there could be calculations that are being done at the T24 layer, pulling from multiple fields. New development may be needed to surface this balance type.</t>
  </si>
  <si>
    <t>Account Detail or Dashboard?</t>
  </si>
  <si>
    <t>Detail</t>
  </si>
  <si>
    <t>Doesn't display on the LoC account type today, displays as part of the calculated balance on a term loan (revolving loan)</t>
  </si>
  <si>
    <t>N/A</t>
  </si>
  <si>
    <t xml:space="preserve">Display what is available to draw on the LoC </t>
  </si>
  <si>
    <t>Display what the balance is that is owed on the LoC; shows as a negative value</t>
  </si>
  <si>
    <t>Display what the balance is that is owed on the Mortgage; shows as a negative value</t>
  </si>
  <si>
    <t>Display what the balance is that is owed on the Loan; shows as a negative value</t>
  </si>
  <si>
    <t>Display what the balance is that is owed on the Lease; shows as a negative value</t>
  </si>
  <si>
    <r>
      <t xml:space="preserve">Charlotte will research what the mapping is for current state; there could be calculations that are being done at the T24 layer, pulling from multiple fields. New development may be needed to surface this balance type.
Currently, there is also an available balance for LoC that is included in the available balance for revolving (term) loans. Should this display? </t>
    </r>
    <r>
      <rPr>
        <b/>
        <sz val="12"/>
        <color theme="1"/>
        <rFont val="Calibri"/>
        <family val="2"/>
        <scheme val="minor"/>
      </rPr>
      <t xml:space="preserve">Product question. </t>
    </r>
    <r>
      <rPr>
        <sz val="12"/>
        <color theme="1"/>
        <rFont val="Calibri"/>
        <family val="2"/>
        <scheme val="minor"/>
      </rPr>
      <t xml:space="preserve"> This account type is for term loans. Is there a calculation, where is that done?  </t>
    </r>
  </si>
  <si>
    <t>availablebalance</t>
  </si>
  <si>
    <t>Does not exist - calculated from 
AB0526 - (minus) AB0504</t>
  </si>
  <si>
    <t>Does not exist - calculated from Original Deposit Amount - Balance</t>
  </si>
  <si>
    <r>
      <t xml:space="preserve">Calculated as Credit Limit - (minus) Current Balance - </t>
    </r>
    <r>
      <rPr>
        <sz val="12"/>
        <color rgb="FFFF0000"/>
        <rFont val="Calibri (Body)"/>
      </rPr>
      <t>being done in Mulesoft</t>
    </r>
    <r>
      <rPr>
        <sz val="12"/>
        <color theme="1"/>
        <rFont val="Calibri"/>
        <family val="2"/>
        <scheme val="minor"/>
      </rPr>
      <t xml:space="preserve"> - current ISO doesn't have a value for this. Does the ISO messaging need to be developed to pull the T24 field so that Mule is not doing a calculation?</t>
    </r>
  </si>
  <si>
    <t>Yes</t>
  </si>
  <si>
    <t>Dashboard</t>
  </si>
  <si>
    <t>Term Loan</t>
  </si>
  <si>
    <t>currentamountdue</t>
  </si>
  <si>
    <t>Display what is owned under the schedule</t>
  </si>
  <si>
    <t>Amount due in the next payment cycle, includes creditor insurances, GST , and PST</t>
  </si>
  <si>
    <r>
      <t>Current Amount Due (</t>
    </r>
    <r>
      <rPr>
        <sz val="12"/>
        <color rgb="FFFF0000"/>
        <rFont val="Calibri"/>
        <family val="2"/>
        <scheme val="minor"/>
      </rPr>
      <t>change to Payment Schedule Amount?)</t>
    </r>
  </si>
  <si>
    <t>AB0510</t>
  </si>
  <si>
    <t>Payment</t>
  </si>
  <si>
    <t xml:space="preserve">recurrence type should be in a separate field (an Infintiy field  </t>
  </si>
  <si>
    <t xml:space="preserve">Follow Up </t>
  </si>
  <si>
    <t>Sutheesh on T24 Field</t>
  </si>
  <si>
    <t>Original Loan</t>
  </si>
  <si>
    <t>The Original Mortgage Amount</t>
  </si>
  <si>
    <t>Display the original moartgage amount</t>
  </si>
  <si>
    <t>originalamount</t>
  </si>
  <si>
    <t>AB0526</t>
  </si>
  <si>
    <t xml:space="preserve">Not in Current state - </t>
  </si>
  <si>
    <t>The length of the current mortage term</t>
  </si>
  <si>
    <t>how often the loan is payed (weekly,monthly)</t>
  </si>
  <si>
    <t>Payment Schedule (combined with line 0)</t>
  </si>
  <si>
    <t>paymentschedule</t>
  </si>
  <si>
    <t>AB0517</t>
  </si>
  <si>
    <t>PayFrequency</t>
  </si>
  <si>
    <t>ID whether the mortgage is open or closed</t>
  </si>
  <si>
    <t>repaymentType</t>
  </si>
  <si>
    <t>AB0509</t>
  </si>
  <si>
    <t>PayType</t>
  </si>
  <si>
    <t>Display the current rate charged on the product</t>
  </si>
  <si>
    <t>InterestRate</t>
  </si>
  <si>
    <t>AB0507</t>
  </si>
  <si>
    <t>Rate</t>
  </si>
  <si>
    <t>Interest Charged Previous Period</t>
  </si>
  <si>
    <t>Interest Charged The Previous Payment  Period</t>
  </si>
  <si>
    <t>a current error on this item on C1</t>
  </si>
  <si>
    <t>Sutheesh neds to validate the current error</t>
  </si>
  <si>
    <t xml:space="preserve">Current state error </t>
  </si>
  <si>
    <t>interestamountPaidforPreviousPeriod</t>
  </si>
  <si>
    <t>AB0560</t>
  </si>
  <si>
    <t>InterestPreviousPeriod</t>
  </si>
  <si>
    <t xml:space="preserve">Original Loan </t>
  </si>
  <si>
    <t>The credit limit on the LOC</t>
  </si>
  <si>
    <t>creditlimit</t>
  </si>
  <si>
    <t>originaldepositamount</t>
  </si>
  <si>
    <t>EB.CONTRACT.BALANCES. - TOTCOMMITMENT</t>
  </si>
  <si>
    <t>CWB created this field</t>
  </si>
  <si>
    <t xml:space="preserve"> CURCOMMITMENT</t>
  </si>
  <si>
    <t>TBD (is workingfor LOC not with Mortgage)</t>
  </si>
  <si>
    <t>Product open or closed?</t>
  </si>
  <si>
    <t>Need Product to validate needs</t>
  </si>
  <si>
    <t>Inerest Rate</t>
  </si>
  <si>
    <t>Interest Rate on the product</t>
  </si>
  <si>
    <t>The amount of interest charged during previous payment period</t>
  </si>
  <si>
    <t>Current account balance</t>
  </si>
  <si>
    <t>currentBalance</t>
  </si>
  <si>
    <t>AB0309</t>
  </si>
  <si>
    <t>Available Funds</t>
  </si>
  <si>
    <t>Current Account Balance + Credit Limit (minus any locked funds ex: pending cleared deposits)</t>
  </si>
  <si>
    <t>availableBalance</t>
  </si>
  <si>
    <t>AB0309+AB0305-AB0310</t>
  </si>
  <si>
    <t>Balance+LOC Limit-Held Balance</t>
  </si>
  <si>
    <t>Sam or Charlottle to follow up with Sutheesh</t>
  </si>
  <si>
    <t>LOC</t>
  </si>
  <si>
    <t>Sam or Charlottle to follow up with Sutheesh, 
Sam need to review the C1 field</t>
  </si>
  <si>
    <t>Current overdraft limit</t>
  </si>
  <si>
    <t>overdraftlimit</t>
  </si>
  <si>
    <t>AB0305</t>
  </si>
  <si>
    <t>LOCLimit</t>
  </si>
  <si>
    <t xml:space="preserve">Currnt Interest Rate on Account </t>
  </si>
  <si>
    <t>interestRate'</t>
  </si>
  <si>
    <t>Current Interest Rate</t>
  </si>
  <si>
    <t>Detail (from get accounts call)</t>
  </si>
  <si>
    <t>Form00001</t>
  </si>
  <si>
    <t>need to validate curent values (what is calculate)</t>
  </si>
  <si>
    <t>Form00001 Balance</t>
  </si>
  <si>
    <t>what is mapping in current state?</t>
  </si>
  <si>
    <t>DE123</t>
  </si>
  <si>
    <t>Display the current balance on the product</t>
  </si>
  <si>
    <t>AB0408</t>
  </si>
  <si>
    <t>Mapping to maturity date of term deposit; date signifies the date the deposit account could be paid out to something else or renew it into a different product (pulling from renewal date)</t>
  </si>
  <si>
    <t xml:space="preserve">maturityDate </t>
  </si>
  <si>
    <t>AB0420</t>
  </si>
  <si>
    <t>Sutheesh to follow up</t>
  </si>
  <si>
    <t>Amount of oriningal amount investement +any interest that has been capitalized and re-invested</t>
  </si>
  <si>
    <t>Principal</t>
  </si>
  <si>
    <t>AB0407</t>
  </si>
  <si>
    <t>maturityOption</t>
  </si>
  <si>
    <t>Day the account was opened (not a renewal date)</t>
  </si>
  <si>
    <t>AB0414</t>
  </si>
  <si>
    <t>startDate</t>
  </si>
  <si>
    <t>Amount of original depost when account was opened</t>
  </si>
  <si>
    <t>AB0409</t>
  </si>
  <si>
    <t>Original Deposit Amount</t>
  </si>
  <si>
    <t>N/A in C1</t>
  </si>
  <si>
    <t>N/A in C2</t>
  </si>
  <si>
    <t>principalAmount</t>
  </si>
  <si>
    <t>Total amount at end of term (principal+interest)</t>
  </si>
  <si>
    <t>may require developmnt (ex: current state values come from BI not T24</t>
  </si>
  <si>
    <t>interestrate</t>
  </si>
  <si>
    <t>AB0411</t>
  </si>
  <si>
    <t>field available</t>
  </si>
  <si>
    <t>AB0430</t>
  </si>
  <si>
    <t>Maturity To Indicator</t>
  </si>
  <si>
    <t xml:space="preserve">Current Balance </t>
  </si>
  <si>
    <t>The current balance of the product</t>
  </si>
  <si>
    <t>RRSP Contract (example)</t>
  </si>
  <si>
    <t xml:space="preserve">contract number of the registered plan the account the plan is registered </t>
  </si>
  <si>
    <t>AB0433</t>
  </si>
  <si>
    <t>RRSP number</t>
  </si>
  <si>
    <t>contractNumber</t>
  </si>
  <si>
    <t>same as non registered</t>
  </si>
  <si>
    <t>Under contract number in C1 9this is a hyperlink that opens a new window with total values under the contract number).  Is this available in Infintiy</t>
  </si>
  <si>
    <t>same as loan</t>
  </si>
  <si>
    <t>The frequency of the payment (Monthly, Weekly, etc.)</t>
  </si>
  <si>
    <r>
      <t xml:space="preserve">Maturity Date </t>
    </r>
    <r>
      <rPr>
        <sz val="12"/>
        <color rgb="FFFF0000"/>
        <rFont val="Calibri"/>
        <family val="2"/>
        <scheme val="minor"/>
      </rPr>
      <t>CHANGE TO Renewal Date?</t>
    </r>
  </si>
  <si>
    <t>The Original Loan Amount</t>
  </si>
  <si>
    <t>Display the original Loan amount</t>
  </si>
  <si>
    <t>Not In current State</t>
  </si>
  <si>
    <t>static text as in C1</t>
  </si>
  <si>
    <t>ABF0430</t>
  </si>
  <si>
    <t>Calculated by BI</t>
  </si>
  <si>
    <t>N/A C1</t>
  </si>
  <si>
    <t>calculation in Mule (could this be done in T24). Need na assesment of what is possible</t>
  </si>
  <si>
    <t>interest rate (interest rate comes from get all accounts call)</t>
  </si>
  <si>
    <t>Form00001Rate</t>
  </si>
  <si>
    <t>Adam to follow up with Product, pending info from Charolotte</t>
  </si>
  <si>
    <t>Sam and Sutheesh</t>
  </si>
  <si>
    <t>Charlotte</t>
  </si>
  <si>
    <t>Sam</t>
  </si>
  <si>
    <t>Item #</t>
  </si>
  <si>
    <t>Assigned To</t>
  </si>
  <si>
    <t xml:space="preserve">Charlotte and Sutheesh </t>
  </si>
  <si>
    <t>Adam follow up with product team</t>
  </si>
  <si>
    <t>Charlotte research current state mapping from t24</t>
  </si>
  <si>
    <t>Charlotte will research what the mapping is for current state;</t>
  </si>
  <si>
    <t>Sam to validate with Sutheesh</t>
  </si>
  <si>
    <t>Need to confirm with Sutheesh which one this is being mapped to. Charlotte will follow up. Once confirmed, Adam will follow up with product team to determine if required in R1
 Conformed by Product : Display as Started On</t>
  </si>
  <si>
    <r>
      <t xml:space="preserve">The way this is mapped will not show the latest disbursement date so this would be misleading to a customer for this account type. Need to know from Product how to proceed with this field. Options: 
1. Either relabel for LoC (Original Disbursement) 
2. Don't show this field for LoC 
 </t>
    </r>
    <r>
      <rPr>
        <b/>
        <sz val="12"/>
        <color theme="1"/>
        <rFont val="Calibri"/>
        <family val="2"/>
        <scheme val="minor"/>
      </rPr>
      <t xml:space="preserve">There is NOT a field in T24 that captures the last date the user drew funds from this account. </t>
    </r>
    <r>
      <rPr>
        <sz val="12"/>
        <color theme="1"/>
        <rFont val="Calibri"/>
        <family val="2"/>
        <scheme val="minor"/>
      </rPr>
      <t xml:space="preserve"> </t>
    </r>
    <r>
      <rPr>
        <b/>
        <sz val="12"/>
        <color theme="1"/>
        <rFont val="Calibri"/>
        <family val="2"/>
        <scheme val="minor"/>
      </rPr>
      <t>Adam will follow up with Product. 
Decision to Display The Disbursement Field</t>
    </r>
  </si>
  <si>
    <t>Decision</t>
  </si>
  <si>
    <t xml:space="preserve">  "Started On"</t>
  </si>
  <si>
    <t>Decision to Not Display The Disbursement Field for LOC</t>
  </si>
  <si>
    <t>Approved Renwal Date</t>
  </si>
  <si>
    <t>pedning feedback from Charlotte</t>
  </si>
  <si>
    <t>Separate field in Infinity for Amount due and Schedule</t>
  </si>
  <si>
    <t>n/a</t>
  </si>
  <si>
    <t>Product needs to make this decision
Decion pendingon what is availablein T24</t>
  </si>
  <si>
    <t>Not Required</t>
  </si>
  <si>
    <t>Split into two fields - Current amount due and Payment Schedule</t>
  </si>
  <si>
    <t>It is a defect in C1, once it is fixed. Reflect the correct Next Payment Due date</t>
  </si>
  <si>
    <t>Not required as LoC is always Open</t>
  </si>
  <si>
    <t xml:space="preserve">Yes, Display the field </t>
  </si>
  <si>
    <t xml:space="preserve">  Maturity Date CHANGE TO Renewal Date?</t>
  </si>
  <si>
    <t xml:space="preserve">The current amount due = Monthly payment based on payment schedule + any charges (If the info for late charges are no available then display Monthly payments due based on schedule) </t>
  </si>
  <si>
    <t xml:space="preserve">Neil Comment - based on decision from Product, is the </t>
  </si>
  <si>
    <t>monthly payment + any addiotnal charges incurred for that payment period (late chards)</t>
  </si>
  <si>
    <t>Charlotte - Is the date availabe in one filed or is a calc needed)</t>
  </si>
  <si>
    <t>Need further investigation</t>
  </si>
  <si>
    <t>Need further investigation from T24, but useful to display</t>
  </si>
  <si>
    <t>Ryan/Brian/Charloote</t>
  </si>
  <si>
    <t>Need to determine if Mule field and Iso field are available .  What is available in T24</t>
  </si>
  <si>
    <t>Does not provide much value to client. Is that a decion to remove?</t>
  </si>
  <si>
    <t>Does not provide much value to client and will see what comes out of T24  pending info from Charolotte</t>
  </si>
  <si>
    <r>
      <t xml:space="preserve">maturityDate </t>
    </r>
    <r>
      <rPr>
        <sz val="12"/>
        <color rgb="FFFF0000"/>
        <rFont val="Calibri"/>
        <family val="2"/>
        <scheme val="minor"/>
      </rPr>
      <t>CHANGE TO renewalDate</t>
    </r>
  </si>
  <si>
    <r>
      <t xml:space="preserve">Payment Due Date - </t>
    </r>
    <r>
      <rPr>
        <sz val="12"/>
        <color rgb="FFFF0000"/>
        <rFont val="Calibri"/>
        <family val="2"/>
        <scheme val="minor"/>
      </rPr>
      <t>Need as Next Payment Date</t>
    </r>
  </si>
  <si>
    <t>Yes need as Next Payment Date - do  we need to change the field label?</t>
  </si>
  <si>
    <t xml:space="preserve">Date when the lease was funded. Yes, required. Leases are in the same bucket as Terms Loan or other products. So Sam needs to analyse if it is possible to display on one product and not on other. 
</t>
  </si>
  <si>
    <t xml:space="preserve">. So Sam needs to analyse if it is possible to display on one product and not on other. 
</t>
  </si>
  <si>
    <t>Display if possibleas per comments field</t>
  </si>
  <si>
    <t>Need MuleField,ISO Field(s), T24 field(s)</t>
  </si>
  <si>
    <t>Yes Display this Field</t>
  </si>
  <si>
    <t>Confimred as a requirment</t>
  </si>
  <si>
    <t xml:space="preserve">fields may be available in ISO, length and freq is avail, equires testimg to validate how this shows
Adam: This would need to be addressed through an enhancement to the API. This is available in the ISO messaging, but T24 is not sending an actual value. This will require a decision from Christina. </t>
  </si>
  <si>
    <t>It would be nice to have : requireds decision from CM</t>
  </si>
  <si>
    <t>T24 Field</t>
  </si>
  <si>
    <t xml:space="preserve">Yes  Display this field </t>
  </si>
  <si>
    <t>Charlotte - confirmwhich field
Adam follow up with product team once confirms</t>
  </si>
  <si>
    <t>Charlotte/Adam</t>
  </si>
  <si>
    <t>The described time period for when the product time period is to be paid off or renewed (ex 60 months,  or 5Years)</t>
  </si>
  <si>
    <t xml:space="preserve">Sutheesh on T24 Field
Need MuleField,ISO Field(s), T24 field(s)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</si>
</sst>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2"/>
      <color theme="1"/>
      <name val="Calibri"/>
      <family val="2"/>
      <scheme val="minor"/>
    </font>
    <font>
      <sz val="12"/>
      <color rgb="FFFF0000"/>
      <name val="Calibri"/>
      <family val="2"/>
      <scheme val="minor"/>
    </font>
    <font>
      <b/>
      <sz val="12"/>
      <color theme="1"/>
      <name val="Calibri"/>
      <family val="2"/>
      <scheme val="minor"/>
    </font>
    <font>
      <sz val="12"/>
      <color rgb="FFFF0000"/>
      <name val="Calibri (Body)"/>
    </font>
    <font>
      <b/>
      <sz val="12"/>
      <color rgb="FFFF0000"/>
      <name val="Calibri (Body)"/>
    </font>
    <font>
      <sz val="11"/>
      <color rgb="FF091E42"/>
      <name val="Segoe UI"/>
      <family val="2"/>
    </font>
    <font>
      <strike/>
      <sz val="12"/>
      <color theme="1"/>
      <name val="Calibri"/>
      <family val="2"/>
      <scheme val="minor"/>
    </font>
    <font>
      <sz val="12"/>
      <color rgb="FF002060"/>
      <name val="Calibri"/>
      <family val="2"/>
      <scheme val="minor"/>
    </font>
  </fonts>
  <fills count="5">
    <fill>
      <patternFill patternType="none"/>
    </fill>
    <fill>
      <patternFill patternType="gray125"/>
    </fill>
    <fill>
      <patternFill patternType="solid">
        <fgColor rgb="FF92D050"/>
        <bgColor indexed="64"/>
      </patternFill>
    </fill>
    <fill>
      <patternFill patternType="solid">
        <fgColor theme="0" tint="-0.14999847407452621"/>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49">
    <xf numFmtId="0" fontId="0" fillId="0" borderId="0" xfId="0"/>
    <xf numFmtId="0" fontId="0" fillId="2" borderId="0" xfId="0" applyFill="1" applyAlignment="1">
      <alignment wrapText="1"/>
    </xf>
    <xf numFmtId="0" fontId="0" fillId="0" borderId="0" xfId="0" applyAlignment="1">
      <alignment wrapText="1"/>
    </xf>
    <xf numFmtId="0" fontId="0" fillId="0" borderId="0" xfId="0" applyAlignment="1">
      <alignment horizontal="center"/>
    </xf>
    <xf numFmtId="0" fontId="0" fillId="2" borderId="0" xfId="0" applyFill="1" applyAlignment="1">
      <alignment horizontal="center"/>
    </xf>
    <xf numFmtId="0" fontId="1" fillId="0" borderId="0" xfId="0" applyFont="1" applyAlignment="1">
      <alignment horizontal="center"/>
    </xf>
    <xf numFmtId="0" fontId="0" fillId="2" borderId="0" xfId="0" applyFill="1" applyAlignment="1">
      <alignment horizontal="center" wrapText="1"/>
    </xf>
    <xf numFmtId="0" fontId="0" fillId="0" borderId="0" xfId="0" applyAlignment="1">
      <alignment horizontal="center" wrapText="1"/>
    </xf>
    <xf numFmtId="0" fontId="1" fillId="0" borderId="0" xfId="0" applyFont="1" applyAlignment="1">
      <alignment horizontal="center" wrapText="1"/>
    </xf>
    <xf numFmtId="0" fontId="0" fillId="0" borderId="0" xfId="0" applyFont="1" applyAlignment="1">
      <alignment horizontal="center" wrapText="1"/>
    </xf>
    <xf numFmtId="0" fontId="1" fillId="2" borderId="0" xfId="0" applyFont="1" applyFill="1" applyAlignment="1">
      <alignment horizontal="center" wrapText="1"/>
    </xf>
    <xf numFmtId="0" fontId="0" fillId="0" borderId="0" xfId="0" quotePrefix="1" applyAlignment="1">
      <alignment horizontal="center"/>
    </xf>
    <xf numFmtId="0" fontId="5" fillId="0" borderId="0" xfId="0" applyFont="1"/>
    <xf numFmtId="0" fontId="0" fillId="0" borderId="0" xfId="0" applyFill="1" applyAlignment="1">
      <alignment wrapText="1"/>
    </xf>
    <xf numFmtId="0" fontId="0" fillId="0" borderId="0" xfId="0" applyFill="1"/>
    <xf numFmtId="0" fontId="0" fillId="0" borderId="0" xfId="0" applyFill="1" applyAlignment="1">
      <alignment horizontal="center"/>
    </xf>
    <xf numFmtId="0" fontId="0" fillId="0" borderId="0" xfId="0" applyFill="1" applyAlignment="1">
      <alignment horizontal="center" wrapText="1"/>
    </xf>
    <xf numFmtId="0" fontId="1" fillId="0" borderId="0" xfId="0" applyFont="1" applyAlignment="1">
      <alignment wrapText="1"/>
    </xf>
    <xf numFmtId="0" fontId="1" fillId="0" borderId="0" xfId="0" applyFont="1"/>
    <xf numFmtId="0" fontId="0" fillId="3" borderId="0" xfId="0" applyFill="1" applyAlignment="1">
      <alignment wrapText="1"/>
    </xf>
    <xf numFmtId="0" fontId="0" fillId="3" borderId="0" xfId="0" applyFill="1"/>
    <xf numFmtId="0" fontId="0" fillId="3" borderId="0" xfId="0" applyFill="1" applyAlignment="1">
      <alignment horizontal="center"/>
    </xf>
    <xf numFmtId="0" fontId="0" fillId="3" borderId="0" xfId="0" applyFill="1" applyAlignment="1">
      <alignment horizontal="center" wrapText="1"/>
    </xf>
    <xf numFmtId="0" fontId="0" fillId="0" borderId="0" xfId="0" quotePrefix="1" applyFill="1" applyAlignment="1">
      <alignment horizontal="center"/>
    </xf>
    <xf numFmtId="0" fontId="1" fillId="0" borderId="0" xfId="0" applyFont="1" applyFill="1" applyAlignment="1">
      <alignment horizontal="center"/>
    </xf>
    <xf numFmtId="0" fontId="1" fillId="0" borderId="0" xfId="0" applyFont="1" applyFill="1" applyAlignment="1">
      <alignment horizontal="center" wrapText="1"/>
    </xf>
    <xf numFmtId="0" fontId="0" fillId="0" borderId="0" xfId="0" applyFont="1" applyFill="1" applyAlignment="1">
      <alignment horizontal="center" wrapText="1"/>
    </xf>
    <xf numFmtId="0" fontId="1" fillId="0" borderId="0" xfId="0" applyFont="1" applyFill="1"/>
    <xf numFmtId="0" fontId="1" fillId="0" borderId="0" xfId="0" applyFont="1" applyFill="1" applyAlignment="1">
      <alignment wrapText="1"/>
    </xf>
    <xf numFmtId="1" fontId="0" fillId="0" borderId="0" xfId="0" applyNumberFormat="1" applyAlignment="1">
      <alignment horizontal="center"/>
    </xf>
    <xf numFmtId="0" fontId="6" fillId="0" borderId="0" xfId="0" applyFont="1"/>
    <xf numFmtId="1" fontId="0" fillId="4" borderId="0" xfId="0" applyNumberFormat="1" applyFill="1" applyAlignment="1">
      <alignment horizontal="center"/>
    </xf>
    <xf numFmtId="0" fontId="0" fillId="4" borderId="0" xfId="0" applyFill="1" applyAlignment="1">
      <alignment wrapText="1"/>
    </xf>
    <xf numFmtId="0" fontId="0" fillId="4" borderId="0" xfId="0" applyFill="1"/>
    <xf numFmtId="0" fontId="0" fillId="4" borderId="0" xfId="0" applyFill="1" applyAlignment="1">
      <alignment horizontal="center"/>
    </xf>
    <xf numFmtId="0" fontId="0" fillId="4" borderId="0" xfId="0" applyFill="1" applyAlignment="1">
      <alignment horizontal="center" wrapText="1"/>
    </xf>
    <xf numFmtId="0" fontId="0" fillId="4" borderId="0" xfId="0" quotePrefix="1" applyFill="1" applyAlignment="1">
      <alignment horizontal="center"/>
    </xf>
    <xf numFmtId="1" fontId="0" fillId="0" borderId="0" xfId="0" applyNumberFormat="1" applyFill="1" applyAlignment="1">
      <alignment horizontal="center"/>
    </xf>
    <xf numFmtId="0" fontId="2" fillId="0" borderId="0" xfId="0" applyFont="1" applyFill="1" applyAlignment="1">
      <alignment wrapText="1"/>
    </xf>
    <xf numFmtId="0" fontId="2" fillId="0" borderId="0" xfId="0" applyFont="1" applyAlignment="1">
      <alignment wrapText="1"/>
    </xf>
    <xf numFmtId="0" fontId="2" fillId="4" borderId="0" xfId="0" applyFont="1" applyFill="1" applyAlignment="1">
      <alignment wrapText="1"/>
    </xf>
    <xf numFmtId="0" fontId="1" fillId="4" borderId="0" xfId="0" applyFont="1" applyFill="1" applyAlignment="1">
      <alignment horizontal="center" wrapText="1"/>
    </xf>
    <xf numFmtId="0" fontId="1" fillId="4" borderId="0" xfId="0" applyFont="1" applyFill="1" applyAlignment="1">
      <alignment horizontal="center"/>
    </xf>
    <xf numFmtId="0" fontId="7" fillId="4" borderId="0" xfId="0" applyFont="1" applyFill="1" applyAlignment="1">
      <alignment vertical="top" wrapText="1"/>
    </xf>
    <xf numFmtId="1" fontId="0" fillId="4" borderId="0" xfId="0" applyNumberFormat="1" applyFont="1" applyFill="1" applyAlignment="1">
      <alignment horizontal="center"/>
    </xf>
    <xf numFmtId="0" fontId="0" fillId="4" borderId="0" xfId="0" applyFont="1" applyFill="1" applyAlignment="1">
      <alignment wrapText="1"/>
    </xf>
    <xf numFmtId="0" fontId="0" fillId="4" borderId="0" xfId="0" applyFont="1" applyFill="1"/>
    <xf numFmtId="0" fontId="0" fillId="4" borderId="0" xfId="0" applyFont="1" applyFill="1" applyAlignment="1">
      <alignment horizontal="center"/>
    </xf>
    <xf numFmtId="0" fontId="0" fillId="4"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P85"/>
  <sheetViews>
    <sheetView tabSelected="1" topLeftCell="B1" zoomScale="70" zoomScaleNormal="70" workbookViewId="0">
      <pane ySplit="1" topLeftCell="A16" activePane="bottomLeft" state="frozen"/>
      <selection pane="bottomLeft" activeCell="P1" sqref="P1"/>
    </sheetView>
  </sheetViews>
  <sheetFormatPr defaultColWidth="11" defaultRowHeight="15.75"/>
  <cols>
    <col min="1" max="1" width="11" style="29"/>
    <col min="2" max="2" width="15.375" style="2" customWidth="1"/>
    <col min="3" max="3" width="23" customWidth="1"/>
    <col min="4" max="4" width="33.125" customWidth="1"/>
    <col min="5" max="5" width="31" style="2" customWidth="1"/>
    <col min="6" max="6" width="13.875" style="3" hidden="1" customWidth="1"/>
    <col min="7" max="7" width="15.625" style="3" hidden="1" customWidth="1"/>
    <col min="8" max="8" width="18.625" style="7" customWidth="1"/>
    <col min="9" max="9" width="18.875" style="3" customWidth="1"/>
    <col min="10" max="10" width="15" style="3" customWidth="1"/>
    <col min="11" max="11" width="15" style="7" customWidth="1"/>
    <col min="12" max="12" width="24.125" style="3" customWidth="1"/>
    <col min="13" max="13" width="47.625" style="2" customWidth="1"/>
    <col min="14" max="14" width="41.75" style="2" customWidth="1"/>
    <col min="15" max="15" width="22.25" customWidth="1"/>
    <col min="16" max="16" width="26.375" style="2" customWidth="1"/>
  </cols>
  <sheetData>
    <row r="1" spans="1:16" ht="47.25">
      <c r="A1" s="29" t="s">
        <v>221</v>
      </c>
      <c r="B1" s="1" t="s">
        <v>0</v>
      </c>
      <c r="C1" s="1" t="s">
        <v>11</v>
      </c>
      <c r="D1" s="1" t="s">
        <v>19</v>
      </c>
      <c r="E1" s="1" t="s">
        <v>21</v>
      </c>
      <c r="F1" s="10" t="s">
        <v>2</v>
      </c>
      <c r="G1" s="10" t="s">
        <v>78</v>
      </c>
      <c r="H1" s="10" t="s">
        <v>6</v>
      </c>
      <c r="I1" s="6" t="s">
        <v>3</v>
      </c>
      <c r="J1" s="4" t="s">
        <v>4</v>
      </c>
      <c r="K1" s="6" t="s">
        <v>5</v>
      </c>
      <c r="L1" s="4" t="s">
        <v>10</v>
      </c>
      <c r="M1" s="1" t="s">
        <v>8</v>
      </c>
      <c r="N1" s="1" t="s">
        <v>102</v>
      </c>
      <c r="O1" s="1" t="s">
        <v>222</v>
      </c>
      <c r="P1" s="1" t="s">
        <v>230</v>
      </c>
    </row>
    <row r="2" spans="1:16" ht="173.25" hidden="1">
      <c r="A2" s="29">
        <v>1</v>
      </c>
      <c r="B2" s="2" t="s">
        <v>1</v>
      </c>
      <c r="C2" t="s">
        <v>16</v>
      </c>
      <c r="D2" s="2" t="s">
        <v>20</v>
      </c>
      <c r="E2" s="2" t="s">
        <v>22</v>
      </c>
      <c r="F2" s="3" t="s">
        <v>7</v>
      </c>
      <c r="G2" s="3" t="s">
        <v>79</v>
      </c>
      <c r="H2" s="7" t="s">
        <v>16</v>
      </c>
      <c r="I2" s="3" t="s">
        <v>17</v>
      </c>
      <c r="J2" s="3" t="s">
        <v>13</v>
      </c>
      <c r="K2" s="7" t="s">
        <v>9</v>
      </c>
      <c r="L2" s="9" t="s">
        <v>29</v>
      </c>
      <c r="M2" s="2" t="s">
        <v>228</v>
      </c>
      <c r="N2" s="2" t="s">
        <v>224</v>
      </c>
      <c r="P2" s="2" t="s">
        <v>231</v>
      </c>
    </row>
    <row r="3" spans="1:16" ht="173.25">
      <c r="A3" s="29">
        <f t="shared" ref="A3:A9" si="0">SUM(A2+1)</f>
        <v>2</v>
      </c>
      <c r="B3" s="2" t="s">
        <v>14</v>
      </c>
      <c r="C3" t="s">
        <v>16</v>
      </c>
      <c r="D3" s="2" t="s">
        <v>20</v>
      </c>
      <c r="E3" s="2" t="s">
        <v>22</v>
      </c>
      <c r="F3" s="3" t="s">
        <v>7</v>
      </c>
      <c r="G3" s="3" t="s">
        <v>79</v>
      </c>
      <c r="H3" s="7" t="s">
        <v>16</v>
      </c>
      <c r="I3" s="3" t="s">
        <v>17</v>
      </c>
      <c r="J3" s="3" t="s">
        <v>13</v>
      </c>
      <c r="K3" s="9" t="s">
        <v>9</v>
      </c>
      <c r="L3" s="9" t="s">
        <v>29</v>
      </c>
      <c r="M3" s="2" t="s">
        <v>28</v>
      </c>
      <c r="N3" s="2" t="s">
        <v>267</v>
      </c>
      <c r="O3" t="s">
        <v>268</v>
      </c>
      <c r="P3" s="39" t="s">
        <v>266</v>
      </c>
    </row>
    <row r="4" spans="1:16" ht="125.1" customHeight="1">
      <c r="A4" s="29">
        <f t="shared" si="0"/>
        <v>3</v>
      </c>
      <c r="B4" s="2" t="s">
        <v>1</v>
      </c>
      <c r="C4" t="s">
        <v>18</v>
      </c>
      <c r="D4" s="2" t="s">
        <v>23</v>
      </c>
      <c r="E4" s="2" t="s">
        <v>12</v>
      </c>
      <c r="F4" s="3" t="s">
        <v>7</v>
      </c>
      <c r="G4" s="3" t="s">
        <v>79</v>
      </c>
      <c r="H4" s="7" t="s">
        <v>18</v>
      </c>
      <c r="I4" s="3" t="s">
        <v>24</v>
      </c>
      <c r="J4" s="3" t="s">
        <v>25</v>
      </c>
      <c r="K4" s="7" t="s">
        <v>18</v>
      </c>
      <c r="L4" s="3" t="s">
        <v>15</v>
      </c>
      <c r="M4" s="2" t="s">
        <v>26</v>
      </c>
      <c r="N4" s="2" t="s">
        <v>224</v>
      </c>
      <c r="O4" t="s">
        <v>265</v>
      </c>
      <c r="P4" s="39" t="s">
        <v>262</v>
      </c>
    </row>
    <row r="5" spans="1:16" ht="157.5" hidden="1">
      <c r="A5" s="29">
        <f t="shared" si="0"/>
        <v>4</v>
      </c>
      <c r="B5" s="2" t="s">
        <v>14</v>
      </c>
      <c r="C5" s="30" t="s">
        <v>18</v>
      </c>
      <c r="D5" s="2" t="s">
        <v>23</v>
      </c>
      <c r="E5" s="2" t="s">
        <v>27</v>
      </c>
      <c r="F5" s="3" t="s">
        <v>7</v>
      </c>
      <c r="G5" s="3" t="s">
        <v>79</v>
      </c>
      <c r="H5" s="7" t="s">
        <v>18</v>
      </c>
      <c r="I5" s="3" t="s">
        <v>24</v>
      </c>
      <c r="J5" s="3" t="s">
        <v>25</v>
      </c>
      <c r="K5" s="7" t="s">
        <v>18</v>
      </c>
      <c r="L5" s="3" t="s">
        <v>15</v>
      </c>
      <c r="M5" s="2" t="s">
        <v>229</v>
      </c>
      <c r="N5" s="2" t="s">
        <v>224</v>
      </c>
      <c r="P5" s="39" t="s">
        <v>232</v>
      </c>
    </row>
    <row r="6" spans="1:16" ht="47.25" hidden="1">
      <c r="A6" s="29">
        <f t="shared" si="0"/>
        <v>5</v>
      </c>
      <c r="B6" s="2" t="s">
        <v>1</v>
      </c>
      <c r="C6" t="s">
        <v>31</v>
      </c>
      <c r="D6" s="2" t="s">
        <v>60</v>
      </c>
      <c r="E6" s="2" t="s">
        <v>32</v>
      </c>
      <c r="F6" s="3" t="s">
        <v>7</v>
      </c>
      <c r="G6" s="3" t="s">
        <v>79</v>
      </c>
      <c r="H6" s="8" t="s">
        <v>30</v>
      </c>
      <c r="I6" s="3" t="s">
        <v>33</v>
      </c>
      <c r="J6" s="3" t="s">
        <v>43</v>
      </c>
      <c r="K6" s="7" t="s">
        <v>31</v>
      </c>
      <c r="L6" s="3" t="s">
        <v>30</v>
      </c>
      <c r="M6" s="2" t="s">
        <v>59</v>
      </c>
      <c r="P6" s="39" t="s">
        <v>233</v>
      </c>
    </row>
    <row r="7" spans="1:16" ht="63" hidden="1">
      <c r="A7" s="29">
        <f t="shared" si="0"/>
        <v>6</v>
      </c>
      <c r="B7" s="2" t="s">
        <v>1</v>
      </c>
      <c r="C7" t="s">
        <v>65</v>
      </c>
      <c r="D7" s="2" t="s">
        <v>66</v>
      </c>
      <c r="E7" s="2" t="s">
        <v>68</v>
      </c>
      <c r="F7" s="3" t="s">
        <v>7</v>
      </c>
      <c r="G7" s="3" t="s">
        <v>79</v>
      </c>
      <c r="H7" s="7" t="s">
        <v>34</v>
      </c>
      <c r="I7" s="3" t="s">
        <v>69</v>
      </c>
      <c r="J7" s="3" t="s">
        <v>71</v>
      </c>
      <c r="K7" s="7" t="s">
        <v>70</v>
      </c>
      <c r="L7" s="3" t="s">
        <v>72</v>
      </c>
    </row>
    <row r="8" spans="1:16" s="33" customFormat="1" ht="78.75">
      <c r="A8" s="31">
        <f t="shared" si="0"/>
        <v>7</v>
      </c>
      <c r="B8" s="32" t="s">
        <v>1</v>
      </c>
      <c r="C8" s="33" t="s">
        <v>35</v>
      </c>
      <c r="E8" s="32" t="s">
        <v>84</v>
      </c>
      <c r="F8" s="34" t="s">
        <v>7</v>
      </c>
      <c r="G8" s="34" t="s">
        <v>79</v>
      </c>
      <c r="H8" s="35" t="s">
        <v>35</v>
      </c>
      <c r="I8" s="34" t="s">
        <v>74</v>
      </c>
      <c r="J8" s="34" t="s">
        <v>75</v>
      </c>
      <c r="K8" s="35" t="s">
        <v>76</v>
      </c>
      <c r="L8" s="34" t="s">
        <v>7</v>
      </c>
      <c r="M8" s="32" t="s">
        <v>77</v>
      </c>
      <c r="N8" s="32"/>
      <c r="O8" s="33" t="s">
        <v>219</v>
      </c>
      <c r="P8" s="40" t="s">
        <v>234</v>
      </c>
    </row>
    <row r="9" spans="1:16" ht="47.25" hidden="1">
      <c r="A9" s="29">
        <f t="shared" si="0"/>
        <v>8</v>
      </c>
      <c r="B9" s="2" t="s">
        <v>1</v>
      </c>
      <c r="C9" t="s">
        <v>39</v>
      </c>
      <c r="D9" s="2" t="s">
        <v>97</v>
      </c>
      <c r="E9" s="2" t="s">
        <v>96</v>
      </c>
      <c r="F9" s="3" t="s">
        <v>7</v>
      </c>
      <c r="G9" s="3" t="s">
        <v>79</v>
      </c>
      <c r="H9" s="7" t="s">
        <v>98</v>
      </c>
      <c r="I9" s="11" t="s">
        <v>95</v>
      </c>
      <c r="J9" s="3" t="s">
        <v>99</v>
      </c>
      <c r="K9" s="7" t="s">
        <v>100</v>
      </c>
      <c r="L9" s="3" t="s">
        <v>7</v>
      </c>
      <c r="M9" s="2" t="s">
        <v>101</v>
      </c>
      <c r="N9" s="2" t="s">
        <v>103</v>
      </c>
      <c r="P9" s="38" t="s">
        <v>235</v>
      </c>
    </row>
    <row r="10" spans="1:16" ht="31.5" hidden="1">
      <c r="A10" s="29">
        <f>SUM(A9+1)</f>
        <v>9</v>
      </c>
      <c r="B10" s="2" t="s">
        <v>1</v>
      </c>
      <c r="C10" t="s">
        <v>104</v>
      </c>
      <c r="D10" s="2" t="s">
        <v>105</v>
      </c>
      <c r="E10" s="2" t="s">
        <v>106</v>
      </c>
      <c r="F10" s="3" t="s">
        <v>7</v>
      </c>
      <c r="G10" s="3" t="s">
        <v>79</v>
      </c>
      <c r="H10" s="7" t="s">
        <v>37</v>
      </c>
      <c r="I10" s="3" t="s">
        <v>107</v>
      </c>
      <c r="J10" s="3" t="s">
        <v>108</v>
      </c>
      <c r="K10" s="7" t="s">
        <v>37</v>
      </c>
      <c r="L10" s="3" t="s">
        <v>7</v>
      </c>
      <c r="N10" s="2" t="s">
        <v>103</v>
      </c>
    </row>
    <row r="11" spans="1:16" s="33" customFormat="1" ht="110.25">
      <c r="A11" s="31">
        <f t="shared" ref="A11:A74" si="1">SUM(A10+1)</f>
        <v>10</v>
      </c>
      <c r="B11" s="32" t="s">
        <v>1</v>
      </c>
      <c r="C11" s="33" t="s">
        <v>236</v>
      </c>
      <c r="D11" s="32" t="s">
        <v>109</v>
      </c>
      <c r="E11" s="32" t="s">
        <v>110</v>
      </c>
      <c r="F11" s="34" t="s">
        <v>7</v>
      </c>
      <c r="G11" s="34" t="s">
        <v>79</v>
      </c>
      <c r="H11" s="35" t="s">
        <v>38</v>
      </c>
      <c r="I11" s="34"/>
      <c r="J11" s="34"/>
      <c r="K11" s="35"/>
      <c r="L11" s="34"/>
      <c r="M11" s="32" t="s">
        <v>263</v>
      </c>
      <c r="N11" s="32" t="s">
        <v>237</v>
      </c>
      <c r="O11" s="33" t="s">
        <v>219</v>
      </c>
      <c r="P11" s="40" t="s">
        <v>264</v>
      </c>
    </row>
    <row r="12" spans="1:16" s="14" customFormat="1" ht="31.5" hidden="1">
      <c r="A12" s="37">
        <f t="shared" si="1"/>
        <v>11</v>
      </c>
      <c r="B12" s="13" t="s">
        <v>1</v>
      </c>
      <c r="C12" s="14" t="s">
        <v>112</v>
      </c>
      <c r="D12" s="13" t="s">
        <v>111</v>
      </c>
      <c r="E12" s="13"/>
      <c r="F12" s="15" t="s">
        <v>7</v>
      </c>
      <c r="G12" s="15" t="s">
        <v>79</v>
      </c>
      <c r="H12" s="16" t="s">
        <v>39</v>
      </c>
      <c r="I12" s="23" t="s">
        <v>113</v>
      </c>
      <c r="J12" s="15" t="s">
        <v>114</v>
      </c>
      <c r="K12" s="16" t="s">
        <v>115</v>
      </c>
      <c r="L12" s="15" t="s">
        <v>7</v>
      </c>
      <c r="M12" s="13"/>
      <c r="N12" s="13" t="s">
        <v>103</v>
      </c>
      <c r="P12" s="38" t="s">
        <v>235</v>
      </c>
    </row>
    <row r="13" spans="1:16" ht="31.5" hidden="1">
      <c r="A13" s="29">
        <f t="shared" si="1"/>
        <v>12</v>
      </c>
      <c r="B13" s="2" t="s">
        <v>1</v>
      </c>
      <c r="C13" t="s">
        <v>40</v>
      </c>
      <c r="D13" s="2" t="s">
        <v>116</v>
      </c>
      <c r="E13" s="2" t="s">
        <v>116</v>
      </c>
      <c r="F13" s="3" t="s">
        <v>7</v>
      </c>
      <c r="G13" s="3" t="s">
        <v>79</v>
      </c>
      <c r="H13" s="7" t="s">
        <v>40</v>
      </c>
      <c r="I13" s="3" t="s">
        <v>117</v>
      </c>
      <c r="J13" s="3" t="s">
        <v>118</v>
      </c>
      <c r="K13" s="7" t="s">
        <v>119</v>
      </c>
      <c r="L13" s="3" t="s">
        <v>7</v>
      </c>
      <c r="N13" s="2" t="s">
        <v>103</v>
      </c>
    </row>
    <row r="14" spans="1:16" ht="31.5" hidden="1">
      <c r="A14" s="29">
        <f t="shared" si="1"/>
        <v>13</v>
      </c>
      <c r="B14" s="2" t="s">
        <v>1</v>
      </c>
      <c r="C14" t="s">
        <v>41</v>
      </c>
      <c r="D14" s="2" t="s">
        <v>120</v>
      </c>
      <c r="E14" s="2" t="s">
        <v>120</v>
      </c>
      <c r="F14" s="3" t="s">
        <v>7</v>
      </c>
      <c r="G14" s="3" t="s">
        <v>79</v>
      </c>
      <c r="H14" s="7" t="s">
        <v>41</v>
      </c>
      <c r="I14" s="3" t="s">
        <v>121</v>
      </c>
      <c r="J14" s="3" t="s">
        <v>122</v>
      </c>
      <c r="K14" s="7" t="s">
        <v>123</v>
      </c>
      <c r="L14" s="3" t="s">
        <v>7</v>
      </c>
      <c r="N14" s="2" t="s">
        <v>103</v>
      </c>
      <c r="P14" s="39" t="s">
        <v>238</v>
      </c>
    </row>
    <row r="15" spans="1:16" ht="31.5">
      <c r="A15" s="29">
        <f t="shared" si="1"/>
        <v>14</v>
      </c>
      <c r="B15" s="2" t="s">
        <v>1</v>
      </c>
      <c r="C15" s="2" t="s">
        <v>124</v>
      </c>
      <c r="D15" s="2" t="s">
        <v>128</v>
      </c>
      <c r="E15" s="2" t="s">
        <v>125</v>
      </c>
      <c r="F15" s="3" t="s">
        <v>7</v>
      </c>
      <c r="G15" s="3" t="s">
        <v>79</v>
      </c>
      <c r="H15" s="7" t="s">
        <v>42</v>
      </c>
      <c r="I15" s="7" t="s">
        <v>129</v>
      </c>
      <c r="J15" s="3" t="s">
        <v>130</v>
      </c>
      <c r="K15" s="7" t="s">
        <v>131</v>
      </c>
      <c r="L15" s="3" t="s">
        <v>7</v>
      </c>
      <c r="M15" s="2" t="s">
        <v>126</v>
      </c>
      <c r="N15" s="2" t="s">
        <v>127</v>
      </c>
      <c r="O15" t="s">
        <v>223</v>
      </c>
    </row>
    <row r="16" spans="1:16" ht="78.75">
      <c r="A16" s="29">
        <f t="shared" si="1"/>
        <v>15</v>
      </c>
      <c r="B16" s="2" t="s">
        <v>14</v>
      </c>
      <c r="C16" t="s">
        <v>35</v>
      </c>
      <c r="E16" s="2" t="s">
        <v>83</v>
      </c>
      <c r="F16" s="3" t="s">
        <v>7</v>
      </c>
      <c r="G16" s="3" t="s">
        <v>79</v>
      </c>
      <c r="H16" s="7" t="s">
        <v>35</v>
      </c>
      <c r="I16" s="3" t="s">
        <v>74</v>
      </c>
      <c r="J16" s="3" t="s">
        <v>75</v>
      </c>
      <c r="K16" s="7" t="s">
        <v>76</v>
      </c>
      <c r="L16" s="3" t="s">
        <v>7</v>
      </c>
      <c r="M16" s="2" t="s">
        <v>77</v>
      </c>
      <c r="N16" s="2" t="s">
        <v>225</v>
      </c>
      <c r="O16" t="s">
        <v>219</v>
      </c>
    </row>
    <row r="17" spans="1:16" s="33" customFormat="1" ht="78.75">
      <c r="A17" s="31">
        <f t="shared" si="1"/>
        <v>16</v>
      </c>
      <c r="B17" s="32" t="s">
        <v>14</v>
      </c>
      <c r="C17" s="33" t="s">
        <v>81</v>
      </c>
      <c r="D17" s="32" t="s">
        <v>80</v>
      </c>
      <c r="E17" s="32" t="s">
        <v>82</v>
      </c>
      <c r="F17" s="34" t="s">
        <v>7</v>
      </c>
      <c r="G17" s="34" t="s">
        <v>79</v>
      </c>
      <c r="H17" s="35" t="s">
        <v>44</v>
      </c>
      <c r="I17" s="34" t="s">
        <v>88</v>
      </c>
      <c r="J17" s="41" t="s">
        <v>89</v>
      </c>
      <c r="K17" s="41" t="s">
        <v>90</v>
      </c>
      <c r="L17" s="42" t="s">
        <v>138</v>
      </c>
      <c r="M17" s="32" t="s">
        <v>91</v>
      </c>
      <c r="N17" s="32" t="s">
        <v>227</v>
      </c>
      <c r="O17" s="33" t="s">
        <v>218</v>
      </c>
      <c r="P17" s="32"/>
    </row>
    <row r="18" spans="1:16" s="14" customFormat="1" ht="47.25" hidden="1">
      <c r="A18" s="29">
        <f t="shared" si="1"/>
        <v>17</v>
      </c>
      <c r="B18" s="13" t="s">
        <v>14</v>
      </c>
      <c r="C18" s="14" t="s">
        <v>39</v>
      </c>
      <c r="D18" s="13" t="s">
        <v>205</v>
      </c>
      <c r="E18" s="13"/>
      <c r="F18" s="15" t="s">
        <v>7</v>
      </c>
      <c r="G18" s="15" t="s">
        <v>79</v>
      </c>
      <c r="H18" s="16" t="s">
        <v>36</v>
      </c>
      <c r="I18" s="23" t="s">
        <v>113</v>
      </c>
      <c r="J18" s="15" t="s">
        <v>114</v>
      </c>
      <c r="K18" s="16" t="s">
        <v>115</v>
      </c>
      <c r="L18" s="15" t="s">
        <v>7</v>
      </c>
      <c r="M18" s="13"/>
      <c r="N18" s="13"/>
      <c r="P18" s="38" t="s">
        <v>239</v>
      </c>
    </row>
    <row r="19" spans="1:16" ht="78.75">
      <c r="A19" s="29">
        <f t="shared" si="1"/>
        <v>18</v>
      </c>
      <c r="B19" s="2" t="s">
        <v>14</v>
      </c>
      <c r="C19" t="s">
        <v>65</v>
      </c>
      <c r="D19" s="2" t="s">
        <v>67</v>
      </c>
      <c r="E19" s="2" t="s">
        <v>68</v>
      </c>
      <c r="F19" s="3" t="s">
        <v>7</v>
      </c>
      <c r="G19" s="3" t="s">
        <v>79</v>
      </c>
      <c r="H19" s="7" t="s">
        <v>34</v>
      </c>
      <c r="I19" s="3" t="s">
        <v>69</v>
      </c>
      <c r="J19" s="3" t="s">
        <v>71</v>
      </c>
      <c r="K19" s="7" t="s">
        <v>70</v>
      </c>
      <c r="L19" s="5" t="s">
        <v>7</v>
      </c>
      <c r="M19" s="2" t="s">
        <v>73</v>
      </c>
      <c r="N19" s="2" t="s">
        <v>226</v>
      </c>
      <c r="O19" t="s">
        <v>219</v>
      </c>
      <c r="P19" s="39" t="s">
        <v>240</v>
      </c>
    </row>
    <row r="20" spans="1:16" ht="31.5">
      <c r="A20" s="29">
        <f t="shared" si="1"/>
        <v>19</v>
      </c>
      <c r="B20" s="2" t="s">
        <v>14</v>
      </c>
      <c r="C20" t="s">
        <v>132</v>
      </c>
      <c r="D20" t="s">
        <v>133</v>
      </c>
      <c r="E20" t="s">
        <v>133</v>
      </c>
      <c r="F20" s="3" t="s">
        <v>7</v>
      </c>
      <c r="G20" s="3" t="s">
        <v>79</v>
      </c>
      <c r="H20" s="7" t="s">
        <v>45</v>
      </c>
      <c r="I20" s="3" t="s">
        <v>134</v>
      </c>
      <c r="J20" s="3" t="s">
        <v>108</v>
      </c>
      <c r="K20" s="7" t="s">
        <v>37</v>
      </c>
      <c r="L20" s="8" t="s">
        <v>136</v>
      </c>
      <c r="M20" s="2" t="s">
        <v>137</v>
      </c>
      <c r="N20" s="2" t="s">
        <v>227</v>
      </c>
      <c r="O20" t="s">
        <v>218</v>
      </c>
    </row>
    <row r="21" spans="1:16" ht="47.25" hidden="1">
      <c r="A21" s="29">
        <f t="shared" si="1"/>
        <v>20</v>
      </c>
      <c r="B21" s="2" t="s">
        <v>14</v>
      </c>
      <c r="C21" t="s">
        <v>39</v>
      </c>
      <c r="D21" s="2" t="s">
        <v>205</v>
      </c>
      <c r="E21" s="2" t="s">
        <v>141</v>
      </c>
      <c r="F21" s="3" t="s">
        <v>7</v>
      </c>
      <c r="G21" s="3" t="s">
        <v>79</v>
      </c>
      <c r="H21" s="7" t="s">
        <v>39</v>
      </c>
      <c r="I21" s="11" t="s">
        <v>113</v>
      </c>
      <c r="J21" s="3" t="s">
        <v>114</v>
      </c>
      <c r="K21" s="7" t="s">
        <v>115</v>
      </c>
      <c r="L21" s="3" t="s">
        <v>7</v>
      </c>
      <c r="N21" s="2" t="s">
        <v>103</v>
      </c>
      <c r="P21" s="38" t="s">
        <v>239</v>
      </c>
    </row>
    <row r="22" spans="1:16" ht="31.5" hidden="1">
      <c r="A22" s="29">
        <f t="shared" si="1"/>
        <v>21</v>
      </c>
      <c r="B22" s="2" t="s">
        <v>14</v>
      </c>
      <c r="C22" t="s">
        <v>40</v>
      </c>
      <c r="D22" t="s">
        <v>140</v>
      </c>
      <c r="E22" t="s">
        <v>140</v>
      </c>
      <c r="F22" s="3" t="s">
        <v>7</v>
      </c>
      <c r="G22" s="3" t="s">
        <v>79</v>
      </c>
      <c r="H22" s="7" t="s">
        <v>40</v>
      </c>
      <c r="I22" s="3" t="s">
        <v>117</v>
      </c>
      <c r="J22" s="3" t="s">
        <v>118</v>
      </c>
      <c r="K22" s="7" t="s">
        <v>119</v>
      </c>
      <c r="L22" s="3" t="s">
        <v>7</v>
      </c>
      <c r="N22" s="2" t="s">
        <v>103</v>
      </c>
      <c r="P22" s="39" t="s">
        <v>241</v>
      </c>
    </row>
    <row r="23" spans="1:16" hidden="1">
      <c r="A23" s="29">
        <f t="shared" si="1"/>
        <v>22</v>
      </c>
      <c r="B23" s="2" t="s">
        <v>14</v>
      </c>
      <c r="C23" t="s">
        <v>142</v>
      </c>
      <c r="D23" t="s">
        <v>143</v>
      </c>
      <c r="E23" t="s">
        <v>143</v>
      </c>
      <c r="F23" s="3" t="s">
        <v>7</v>
      </c>
      <c r="G23" s="3" t="s">
        <v>79</v>
      </c>
      <c r="H23" s="7" t="s">
        <v>41</v>
      </c>
      <c r="I23" s="3" t="s">
        <v>121</v>
      </c>
      <c r="J23" s="3" t="s">
        <v>122</v>
      </c>
      <c r="K23" s="7" t="s">
        <v>123</v>
      </c>
      <c r="L23" s="3" t="s">
        <v>7</v>
      </c>
      <c r="N23" s="2" t="s">
        <v>103</v>
      </c>
    </row>
    <row r="24" spans="1:16" ht="31.5" hidden="1">
      <c r="A24" s="29">
        <f t="shared" si="1"/>
        <v>23</v>
      </c>
      <c r="B24" s="2" t="s">
        <v>14</v>
      </c>
      <c r="C24" s="2" t="s">
        <v>124</v>
      </c>
      <c r="D24" s="2" t="s">
        <v>144</v>
      </c>
      <c r="F24" s="3" t="s">
        <v>7</v>
      </c>
      <c r="G24" s="3" t="s">
        <v>79</v>
      </c>
      <c r="H24" s="7" t="s">
        <v>42</v>
      </c>
      <c r="I24" s="7" t="s">
        <v>129</v>
      </c>
      <c r="J24" s="3" t="s">
        <v>130</v>
      </c>
      <c r="K24" s="7" t="s">
        <v>131</v>
      </c>
      <c r="L24" s="3" t="s">
        <v>139</v>
      </c>
      <c r="N24" s="2" t="s">
        <v>103</v>
      </c>
      <c r="P24" s="39" t="s">
        <v>242</v>
      </c>
    </row>
    <row r="25" spans="1:16" ht="182.25" customHeight="1">
      <c r="A25" s="29">
        <f t="shared" si="1"/>
        <v>24</v>
      </c>
      <c r="B25" s="2" t="s">
        <v>46</v>
      </c>
      <c r="C25" t="s">
        <v>35</v>
      </c>
      <c r="E25" s="2" t="s">
        <v>85</v>
      </c>
      <c r="F25" s="3" t="s">
        <v>7</v>
      </c>
      <c r="G25" s="3" t="s">
        <v>79</v>
      </c>
      <c r="H25" s="7" t="s">
        <v>35</v>
      </c>
      <c r="I25" s="3" t="s">
        <v>74</v>
      </c>
      <c r="J25" s="3" t="s">
        <v>75</v>
      </c>
      <c r="K25" s="7" t="s">
        <v>76</v>
      </c>
      <c r="L25" s="3" t="s">
        <v>7</v>
      </c>
      <c r="M25" s="2" t="s">
        <v>87</v>
      </c>
      <c r="N25" s="2" t="s">
        <v>226</v>
      </c>
      <c r="O25" t="s">
        <v>219</v>
      </c>
    </row>
    <row r="26" spans="1:16" ht="47.25" hidden="1">
      <c r="A26" s="29">
        <f t="shared" si="1"/>
        <v>25</v>
      </c>
      <c r="B26" s="2" t="s">
        <v>46</v>
      </c>
      <c r="C26" t="s">
        <v>31</v>
      </c>
      <c r="D26" s="2" t="s">
        <v>60</v>
      </c>
      <c r="E26" s="2" t="s">
        <v>32</v>
      </c>
      <c r="F26" s="3" t="s">
        <v>7</v>
      </c>
      <c r="G26" s="3" t="s">
        <v>79</v>
      </c>
      <c r="H26" s="7" t="s">
        <v>206</v>
      </c>
      <c r="I26" s="7" t="s">
        <v>62</v>
      </c>
      <c r="J26" s="3" t="s">
        <v>43</v>
      </c>
      <c r="K26" s="7" t="s">
        <v>31</v>
      </c>
      <c r="L26" s="3" t="s">
        <v>30</v>
      </c>
      <c r="P26" s="39" t="s">
        <v>243</v>
      </c>
    </row>
    <row r="27" spans="1:16" s="33" customFormat="1" ht="126">
      <c r="A27" s="31">
        <f t="shared" si="1"/>
        <v>26</v>
      </c>
      <c r="B27" s="32" t="s">
        <v>46</v>
      </c>
      <c r="C27" s="33" t="s">
        <v>39</v>
      </c>
      <c r="D27" s="32" t="s">
        <v>205</v>
      </c>
      <c r="E27" s="32" t="s">
        <v>246</v>
      </c>
      <c r="F27" s="34" t="s">
        <v>7</v>
      </c>
      <c r="G27" s="34" t="s">
        <v>79</v>
      </c>
      <c r="H27" s="35" t="s">
        <v>36</v>
      </c>
      <c r="I27" s="36" t="s">
        <v>113</v>
      </c>
      <c r="J27" s="34" t="s">
        <v>114</v>
      </c>
      <c r="K27" s="35" t="s">
        <v>115</v>
      </c>
      <c r="L27" s="34" t="s">
        <v>7</v>
      </c>
      <c r="M27" s="32" t="s">
        <v>245</v>
      </c>
      <c r="N27" s="32" t="s">
        <v>103</v>
      </c>
      <c r="O27" s="32" t="s">
        <v>247</v>
      </c>
      <c r="P27" s="40" t="s">
        <v>244</v>
      </c>
    </row>
    <row r="28" spans="1:16" s="2" customFormat="1" ht="63" hidden="1">
      <c r="A28" s="29">
        <f t="shared" si="1"/>
        <v>27</v>
      </c>
      <c r="B28" s="2" t="s">
        <v>46</v>
      </c>
      <c r="C28" s="2" t="s">
        <v>65</v>
      </c>
      <c r="D28" s="2" t="s">
        <v>66</v>
      </c>
      <c r="E28" s="2" t="s">
        <v>68</v>
      </c>
      <c r="F28" s="2" t="s">
        <v>7</v>
      </c>
      <c r="G28" s="2" t="s">
        <v>79</v>
      </c>
      <c r="H28" s="2" t="s">
        <v>34</v>
      </c>
      <c r="I28" s="2" t="s">
        <v>69</v>
      </c>
      <c r="J28" s="2" t="s">
        <v>71</v>
      </c>
      <c r="K28" s="2" t="s">
        <v>70</v>
      </c>
      <c r="L28" s="2" t="s">
        <v>7</v>
      </c>
    </row>
    <row r="29" spans="1:16" s="32" customFormat="1" ht="110.25" hidden="1">
      <c r="A29" s="32">
        <f t="shared" si="1"/>
        <v>28</v>
      </c>
      <c r="B29" s="32" t="s">
        <v>46</v>
      </c>
      <c r="C29" s="32" t="s">
        <v>18</v>
      </c>
      <c r="D29" s="32" t="s">
        <v>23</v>
      </c>
      <c r="E29" s="32" t="s">
        <v>12</v>
      </c>
      <c r="F29" s="32" t="s">
        <v>7</v>
      </c>
      <c r="G29" s="32" t="s">
        <v>79</v>
      </c>
      <c r="H29" s="32" t="s">
        <v>18</v>
      </c>
      <c r="I29" s="32" t="s">
        <v>24</v>
      </c>
      <c r="J29" s="32" t="s">
        <v>25</v>
      </c>
      <c r="K29" s="32" t="s">
        <v>18</v>
      </c>
      <c r="L29" s="32" t="s">
        <v>15</v>
      </c>
      <c r="M29" s="32" t="s">
        <v>26</v>
      </c>
      <c r="N29" s="32" t="s">
        <v>103</v>
      </c>
      <c r="P29" s="40" t="s">
        <v>252</v>
      </c>
    </row>
    <row r="30" spans="1:16" s="32" customFormat="1" ht="173.25">
      <c r="A30" s="31">
        <f t="shared" si="1"/>
        <v>29</v>
      </c>
      <c r="B30" s="32" t="s">
        <v>46</v>
      </c>
      <c r="C30" s="32" t="s">
        <v>16</v>
      </c>
      <c r="D30" s="32" t="s">
        <v>20</v>
      </c>
      <c r="E30" s="32" t="s">
        <v>22</v>
      </c>
      <c r="F30" s="32" t="s">
        <v>7</v>
      </c>
      <c r="G30" s="32" t="s">
        <v>79</v>
      </c>
      <c r="H30" s="32" t="s">
        <v>16</v>
      </c>
      <c r="I30" s="32" t="s">
        <v>17</v>
      </c>
      <c r="J30" s="32" t="s">
        <v>13</v>
      </c>
      <c r="K30" s="32" t="s">
        <v>9</v>
      </c>
      <c r="L30" s="32" t="s">
        <v>29</v>
      </c>
      <c r="M30" s="32" t="s">
        <v>28</v>
      </c>
      <c r="N30" s="32" t="s">
        <v>253</v>
      </c>
      <c r="O30" s="33" t="s">
        <v>219</v>
      </c>
      <c r="P30" s="40"/>
    </row>
    <row r="31" spans="1:16" s="32" customFormat="1">
      <c r="A31" s="31">
        <f t="shared" si="1"/>
        <v>30</v>
      </c>
      <c r="B31" s="32" t="s">
        <v>46</v>
      </c>
      <c r="C31" s="32" t="s">
        <v>104</v>
      </c>
      <c r="D31" s="32" t="s">
        <v>207</v>
      </c>
      <c r="E31" s="32" t="s">
        <v>208</v>
      </c>
      <c r="F31" s="32" t="s">
        <v>7</v>
      </c>
      <c r="G31" s="32" t="s">
        <v>79</v>
      </c>
      <c r="H31" s="32" t="s">
        <v>37</v>
      </c>
      <c r="I31" s="32" t="s">
        <v>107</v>
      </c>
      <c r="J31" s="32" t="s">
        <v>108</v>
      </c>
      <c r="K31" s="32" t="s">
        <v>37</v>
      </c>
      <c r="L31" s="32" t="s">
        <v>7</v>
      </c>
      <c r="N31" s="32" t="s">
        <v>103</v>
      </c>
      <c r="O31" s="32" t="s">
        <v>219</v>
      </c>
      <c r="P31" s="43" t="s">
        <v>248</v>
      </c>
    </row>
    <row r="32" spans="1:16" s="32" customFormat="1" ht="63">
      <c r="A32" s="31">
        <f t="shared" si="1"/>
        <v>31</v>
      </c>
      <c r="B32" s="32" t="s">
        <v>46</v>
      </c>
      <c r="C32" s="32" t="s">
        <v>209</v>
      </c>
      <c r="E32" s="32" t="s">
        <v>269</v>
      </c>
      <c r="F32" s="32" t="s">
        <v>7</v>
      </c>
      <c r="G32" s="32" t="s">
        <v>79</v>
      </c>
      <c r="H32" s="32" t="s">
        <v>38</v>
      </c>
      <c r="M32" s="32" t="s">
        <v>251</v>
      </c>
      <c r="N32" s="32" t="s">
        <v>270</v>
      </c>
      <c r="O32" s="32" t="s">
        <v>250</v>
      </c>
      <c r="P32" s="43" t="s">
        <v>249</v>
      </c>
    </row>
    <row r="33" spans="1:16" s="14" customFormat="1" ht="31.5" hidden="1">
      <c r="A33" s="29">
        <f t="shared" si="1"/>
        <v>32</v>
      </c>
      <c r="B33" s="13" t="s">
        <v>46</v>
      </c>
      <c r="C33" s="14" t="s">
        <v>39</v>
      </c>
      <c r="D33" s="13" t="s">
        <v>205</v>
      </c>
      <c r="E33" s="13" t="s">
        <v>205</v>
      </c>
      <c r="F33" s="15" t="s">
        <v>7</v>
      </c>
      <c r="G33" s="15" t="s">
        <v>79</v>
      </c>
      <c r="H33" s="16" t="s">
        <v>39</v>
      </c>
      <c r="I33" s="23" t="s">
        <v>113</v>
      </c>
      <c r="J33" s="15" t="s">
        <v>114</v>
      </c>
      <c r="K33" s="16" t="s">
        <v>115</v>
      </c>
      <c r="L33" s="15" t="s">
        <v>7</v>
      </c>
      <c r="M33" s="13"/>
      <c r="N33" s="2" t="s">
        <v>103</v>
      </c>
      <c r="P33" s="13"/>
    </row>
    <row r="34" spans="1:16" s="14" customFormat="1" hidden="1">
      <c r="A34" s="29">
        <f t="shared" si="1"/>
        <v>33</v>
      </c>
      <c r="B34" s="13" t="s">
        <v>46</v>
      </c>
      <c r="C34" s="14" t="s">
        <v>40</v>
      </c>
      <c r="D34" s="14" t="s">
        <v>140</v>
      </c>
      <c r="E34" s="14" t="s">
        <v>140</v>
      </c>
      <c r="F34" s="15" t="s">
        <v>7</v>
      </c>
      <c r="G34" s="15" t="s">
        <v>79</v>
      </c>
      <c r="H34" s="16" t="s">
        <v>40</v>
      </c>
      <c r="I34" s="15" t="s">
        <v>117</v>
      </c>
      <c r="J34" s="15" t="s">
        <v>118</v>
      </c>
      <c r="K34" s="16" t="s">
        <v>119</v>
      </c>
      <c r="L34" s="15" t="s">
        <v>7</v>
      </c>
      <c r="M34" s="13"/>
      <c r="N34" s="2" t="s">
        <v>103</v>
      </c>
      <c r="P34" s="13"/>
    </row>
    <row r="35" spans="1:16" s="14" customFormat="1" hidden="1">
      <c r="A35" s="29">
        <f t="shared" si="1"/>
        <v>34</v>
      </c>
      <c r="B35" s="13" t="s">
        <v>46</v>
      </c>
      <c r="C35" s="14" t="s">
        <v>142</v>
      </c>
      <c r="D35" s="14" t="s">
        <v>143</v>
      </c>
      <c r="E35" s="14" t="s">
        <v>143</v>
      </c>
      <c r="F35" s="15" t="s">
        <v>7</v>
      </c>
      <c r="G35" s="15" t="s">
        <v>79</v>
      </c>
      <c r="H35" s="16" t="s">
        <v>41</v>
      </c>
      <c r="I35" s="15" t="s">
        <v>121</v>
      </c>
      <c r="J35" s="15" t="s">
        <v>122</v>
      </c>
      <c r="K35" s="16" t="s">
        <v>123</v>
      </c>
      <c r="L35" s="15" t="s">
        <v>7</v>
      </c>
      <c r="M35" s="13"/>
      <c r="N35" s="2" t="s">
        <v>103</v>
      </c>
      <c r="P35" s="13"/>
    </row>
    <row r="36" spans="1:16" s="14" customFormat="1" ht="31.5" hidden="1">
      <c r="A36" s="29">
        <f t="shared" si="1"/>
        <v>35</v>
      </c>
      <c r="B36" s="13" t="s">
        <v>46</v>
      </c>
      <c r="C36" s="13" t="s">
        <v>124</v>
      </c>
      <c r="D36" s="13" t="s">
        <v>144</v>
      </c>
      <c r="E36" s="13"/>
      <c r="F36" s="15" t="s">
        <v>7</v>
      </c>
      <c r="G36" s="15" t="s">
        <v>79</v>
      </c>
      <c r="H36" s="16" t="s">
        <v>42</v>
      </c>
      <c r="I36" s="16" t="s">
        <v>129</v>
      </c>
      <c r="J36" s="15" t="s">
        <v>130</v>
      </c>
      <c r="K36" s="16" t="s">
        <v>131</v>
      </c>
      <c r="L36" s="15" t="s">
        <v>139</v>
      </c>
      <c r="M36" s="13"/>
      <c r="N36" s="2" t="s">
        <v>103</v>
      </c>
      <c r="P36" s="13"/>
    </row>
    <row r="37" spans="1:16" s="14" customFormat="1" ht="78.75" hidden="1">
      <c r="A37" s="29">
        <f t="shared" si="1"/>
        <v>36</v>
      </c>
      <c r="B37" s="13" t="s">
        <v>47</v>
      </c>
      <c r="C37" s="14" t="s">
        <v>35</v>
      </c>
      <c r="D37" s="14" t="s">
        <v>204</v>
      </c>
      <c r="E37" s="13" t="s">
        <v>86</v>
      </c>
      <c r="F37" s="15" t="s">
        <v>7</v>
      </c>
      <c r="G37" s="15" t="s">
        <v>79</v>
      </c>
      <c r="H37" s="16" t="s">
        <v>35</v>
      </c>
      <c r="I37" s="15" t="s">
        <v>74</v>
      </c>
      <c r="J37" s="15" t="s">
        <v>75</v>
      </c>
      <c r="K37" s="16" t="s">
        <v>76</v>
      </c>
      <c r="L37" s="15" t="s">
        <v>7</v>
      </c>
      <c r="M37" s="13" t="s">
        <v>77</v>
      </c>
      <c r="N37" s="2" t="s">
        <v>103</v>
      </c>
      <c r="P37" s="13"/>
    </row>
    <row r="38" spans="1:16" s="14" customFormat="1" ht="47.25" hidden="1">
      <c r="A38" s="29">
        <f t="shared" si="1"/>
        <v>37</v>
      </c>
      <c r="B38" s="13" t="s">
        <v>47</v>
      </c>
      <c r="C38" s="14" t="s">
        <v>31</v>
      </c>
      <c r="D38" s="13" t="s">
        <v>60</v>
      </c>
      <c r="E38" s="13" t="s">
        <v>32</v>
      </c>
      <c r="F38" s="15" t="s">
        <v>7</v>
      </c>
      <c r="G38" s="15" t="s">
        <v>79</v>
      </c>
      <c r="H38" s="16" t="s">
        <v>61</v>
      </c>
      <c r="I38" s="16" t="s">
        <v>254</v>
      </c>
      <c r="J38" s="15" t="s">
        <v>43</v>
      </c>
      <c r="K38" s="16" t="s">
        <v>31</v>
      </c>
      <c r="L38" s="15" t="s">
        <v>30</v>
      </c>
      <c r="M38" s="13"/>
      <c r="N38" s="2" t="s">
        <v>103</v>
      </c>
      <c r="P38" s="38" t="s">
        <v>61</v>
      </c>
    </row>
    <row r="39" spans="1:16" s="14" customFormat="1" hidden="1">
      <c r="A39" s="37">
        <f t="shared" si="1"/>
        <v>38</v>
      </c>
      <c r="B39" s="13" t="s">
        <v>47</v>
      </c>
      <c r="E39" s="13"/>
      <c r="F39" s="15" t="s">
        <v>7</v>
      </c>
      <c r="G39" s="15" t="s">
        <v>79</v>
      </c>
      <c r="H39" s="16" t="s">
        <v>36</v>
      </c>
      <c r="I39" s="23" t="s">
        <v>113</v>
      </c>
      <c r="J39" s="15" t="s">
        <v>114</v>
      </c>
      <c r="K39" s="16" t="s">
        <v>115</v>
      </c>
      <c r="L39" s="15"/>
      <c r="M39" s="13"/>
      <c r="N39" s="13" t="s">
        <v>103</v>
      </c>
      <c r="P39" s="13"/>
    </row>
    <row r="40" spans="1:16" s="14" customFormat="1" ht="63" hidden="1">
      <c r="A40" s="29">
        <f t="shared" si="1"/>
        <v>39</v>
      </c>
      <c r="B40" s="13" t="s">
        <v>47</v>
      </c>
      <c r="C40" s="14" t="s">
        <v>65</v>
      </c>
      <c r="D40" s="13" t="s">
        <v>66</v>
      </c>
      <c r="E40" s="13" t="s">
        <v>68</v>
      </c>
      <c r="F40" s="15" t="s">
        <v>7</v>
      </c>
      <c r="G40" s="15" t="s">
        <v>79</v>
      </c>
      <c r="H40" s="16" t="s">
        <v>255</v>
      </c>
      <c r="I40" s="15" t="s">
        <v>69</v>
      </c>
      <c r="J40" s="15" t="s">
        <v>71</v>
      </c>
      <c r="K40" s="16" t="s">
        <v>70</v>
      </c>
      <c r="L40" s="15" t="s">
        <v>72</v>
      </c>
      <c r="M40" s="13"/>
      <c r="N40" s="2" t="s">
        <v>103</v>
      </c>
      <c r="P40" s="38" t="s">
        <v>256</v>
      </c>
    </row>
    <row r="41" spans="1:16" s="46" customFormat="1" ht="126">
      <c r="A41" s="44">
        <f t="shared" si="1"/>
        <v>40</v>
      </c>
      <c r="B41" s="45" t="s">
        <v>47</v>
      </c>
      <c r="C41" s="45" t="s">
        <v>46</v>
      </c>
      <c r="D41" s="46" t="s">
        <v>18</v>
      </c>
      <c r="E41" s="45" t="s">
        <v>23</v>
      </c>
      <c r="F41" s="45" t="s">
        <v>12</v>
      </c>
      <c r="G41" s="47" t="s">
        <v>7</v>
      </c>
      <c r="H41" s="47" t="s">
        <v>79</v>
      </c>
      <c r="I41" s="48" t="s">
        <v>18</v>
      </c>
      <c r="J41" s="47" t="s">
        <v>24</v>
      </c>
      <c r="K41" s="47" t="s">
        <v>25</v>
      </c>
      <c r="L41" s="48" t="s">
        <v>18</v>
      </c>
      <c r="M41" s="45" t="s">
        <v>257</v>
      </c>
      <c r="N41" s="45" t="s">
        <v>258</v>
      </c>
      <c r="O41" s="46" t="s">
        <v>220</v>
      </c>
      <c r="P41" s="45" t="s">
        <v>259</v>
      </c>
    </row>
    <row r="42" spans="1:16" s="14" customFormat="1" ht="173.25">
      <c r="A42" s="29">
        <f t="shared" si="1"/>
        <v>41</v>
      </c>
      <c r="B42" s="13" t="s">
        <v>47</v>
      </c>
      <c r="C42" s="13" t="s">
        <v>16</v>
      </c>
      <c r="D42" s="13" t="s">
        <v>20</v>
      </c>
      <c r="E42" s="13" t="s">
        <v>22</v>
      </c>
      <c r="F42" s="13" t="s">
        <v>7</v>
      </c>
      <c r="G42" s="13" t="s">
        <v>79</v>
      </c>
      <c r="H42" s="13" t="s">
        <v>16</v>
      </c>
      <c r="I42" s="13" t="s">
        <v>17</v>
      </c>
      <c r="J42" s="13" t="s">
        <v>13</v>
      </c>
      <c r="K42" s="13" t="s">
        <v>9</v>
      </c>
      <c r="L42" s="13" t="s">
        <v>29</v>
      </c>
      <c r="M42" s="13" t="s">
        <v>28</v>
      </c>
      <c r="N42" s="13" t="s">
        <v>217</v>
      </c>
      <c r="O42" t="s">
        <v>219</v>
      </c>
      <c r="P42" s="38" t="s">
        <v>242</v>
      </c>
    </row>
    <row r="43" spans="1:16" s="14" customFormat="1" hidden="1">
      <c r="A43" s="29">
        <f t="shared" si="1"/>
        <v>42</v>
      </c>
      <c r="B43" s="13" t="s">
        <v>47</v>
      </c>
      <c r="C43" s="13" t="s">
        <v>104</v>
      </c>
      <c r="D43" s="13" t="s">
        <v>207</v>
      </c>
      <c r="E43" s="13" t="s">
        <v>208</v>
      </c>
      <c r="F43" s="13" t="s">
        <v>7</v>
      </c>
      <c r="G43" s="13" t="s">
        <v>79</v>
      </c>
      <c r="H43" s="13" t="s">
        <v>37</v>
      </c>
      <c r="I43" s="13" t="s">
        <v>107</v>
      </c>
      <c r="J43" s="13" t="s">
        <v>108</v>
      </c>
      <c r="K43" s="13" t="s">
        <v>37</v>
      </c>
      <c r="L43" s="13" t="s">
        <v>7</v>
      </c>
      <c r="M43" s="13"/>
      <c r="N43" s="13"/>
      <c r="P43" s="38" t="s">
        <v>242</v>
      </c>
    </row>
    <row r="44" spans="1:16" s="33" customFormat="1" ht="63">
      <c r="A44" s="31">
        <f t="shared" si="1"/>
        <v>43</v>
      </c>
      <c r="B44" s="32" t="s">
        <v>47</v>
      </c>
      <c r="C44" s="32" t="s">
        <v>209</v>
      </c>
      <c r="D44" s="32"/>
      <c r="E44" s="32" t="s">
        <v>269</v>
      </c>
      <c r="F44" s="32" t="s">
        <v>7</v>
      </c>
      <c r="G44" s="32" t="s">
        <v>79</v>
      </c>
      <c r="H44" s="32" t="s">
        <v>38</v>
      </c>
      <c r="I44" s="32"/>
      <c r="J44" s="32"/>
      <c r="K44" s="32"/>
      <c r="L44" s="32"/>
      <c r="M44" s="32" t="s">
        <v>251</v>
      </c>
      <c r="N44" s="32" t="s">
        <v>260</v>
      </c>
      <c r="O44" s="33" t="s">
        <v>250</v>
      </c>
      <c r="P44" s="40" t="s">
        <v>242</v>
      </c>
    </row>
    <row r="45" spans="1:16" s="14" customFormat="1" ht="31.5" hidden="1">
      <c r="A45" s="29">
        <f t="shared" si="1"/>
        <v>44</v>
      </c>
      <c r="B45" s="13" t="s">
        <v>47</v>
      </c>
      <c r="C45" s="14" t="s">
        <v>39</v>
      </c>
      <c r="D45" s="13" t="s">
        <v>205</v>
      </c>
      <c r="E45" s="13" t="s">
        <v>205</v>
      </c>
      <c r="F45" s="15" t="s">
        <v>7</v>
      </c>
      <c r="G45" s="15" t="s">
        <v>79</v>
      </c>
      <c r="H45" s="16" t="s">
        <v>39</v>
      </c>
      <c r="I45" s="23" t="s">
        <v>113</v>
      </c>
      <c r="J45" s="15" t="s">
        <v>114</v>
      </c>
      <c r="K45" s="16" t="s">
        <v>115</v>
      </c>
      <c r="L45" s="15" t="s">
        <v>7</v>
      </c>
      <c r="M45" s="13"/>
      <c r="N45" s="7" t="s">
        <v>174</v>
      </c>
      <c r="P45" s="39" t="s">
        <v>242</v>
      </c>
    </row>
    <row r="46" spans="1:16" s="14" customFormat="1" hidden="1">
      <c r="A46" s="29">
        <f t="shared" si="1"/>
        <v>45</v>
      </c>
      <c r="B46" s="13" t="s">
        <v>47</v>
      </c>
      <c r="C46" s="14" t="s">
        <v>40</v>
      </c>
      <c r="D46" s="14" t="s">
        <v>140</v>
      </c>
      <c r="E46" s="14" t="s">
        <v>140</v>
      </c>
      <c r="F46" s="15" t="s">
        <v>7</v>
      </c>
      <c r="G46" s="15" t="s">
        <v>79</v>
      </c>
      <c r="H46" s="16" t="s">
        <v>40</v>
      </c>
      <c r="I46" s="15" t="s">
        <v>117</v>
      </c>
      <c r="J46" s="15" t="s">
        <v>118</v>
      </c>
      <c r="K46" s="16" t="s">
        <v>119</v>
      </c>
      <c r="L46" s="15" t="s">
        <v>7</v>
      </c>
      <c r="M46" s="13"/>
      <c r="N46" s="7" t="s">
        <v>174</v>
      </c>
      <c r="P46" s="39" t="s">
        <v>242</v>
      </c>
    </row>
    <row r="47" spans="1:16" s="14" customFormat="1" hidden="1">
      <c r="A47" s="29">
        <f t="shared" si="1"/>
        <v>46</v>
      </c>
      <c r="B47" s="13" t="s">
        <v>47</v>
      </c>
      <c r="C47" s="14" t="s">
        <v>142</v>
      </c>
      <c r="D47" s="14" t="s">
        <v>143</v>
      </c>
      <c r="E47" s="14" t="s">
        <v>143</v>
      </c>
      <c r="F47" s="15" t="s">
        <v>7</v>
      </c>
      <c r="G47" s="15" t="s">
        <v>79</v>
      </c>
      <c r="H47" s="16" t="s">
        <v>41</v>
      </c>
      <c r="I47" s="15" t="s">
        <v>121</v>
      </c>
      <c r="J47" s="15" t="s">
        <v>122</v>
      </c>
      <c r="K47" s="16" t="s">
        <v>123</v>
      </c>
      <c r="L47" s="15" t="s">
        <v>7</v>
      </c>
      <c r="M47" s="13"/>
      <c r="N47" s="7" t="s">
        <v>174</v>
      </c>
      <c r="P47" s="39" t="s">
        <v>242</v>
      </c>
    </row>
    <row r="48" spans="1:16" s="14" customFormat="1" ht="31.5" hidden="1">
      <c r="A48" s="29">
        <f t="shared" si="1"/>
        <v>47</v>
      </c>
      <c r="B48" s="13" t="s">
        <v>47</v>
      </c>
      <c r="C48" s="13" t="s">
        <v>124</v>
      </c>
      <c r="D48" s="13" t="s">
        <v>144</v>
      </c>
      <c r="E48" s="13"/>
      <c r="F48" s="15" t="s">
        <v>7</v>
      </c>
      <c r="G48" s="15" t="s">
        <v>79</v>
      </c>
      <c r="H48" s="16" t="s">
        <v>42</v>
      </c>
      <c r="I48" s="16" t="s">
        <v>129</v>
      </c>
      <c r="J48" s="15" t="s">
        <v>130</v>
      </c>
      <c r="K48" s="16" t="s">
        <v>131</v>
      </c>
      <c r="L48" s="15" t="s">
        <v>7</v>
      </c>
      <c r="M48" s="13"/>
      <c r="N48" s="7" t="s">
        <v>174</v>
      </c>
      <c r="P48" s="39" t="s">
        <v>242</v>
      </c>
    </row>
    <row r="49" spans="1:16" ht="31.5" hidden="1">
      <c r="A49" s="29">
        <f t="shared" si="1"/>
        <v>48</v>
      </c>
      <c r="B49" s="2" t="s">
        <v>48</v>
      </c>
      <c r="C49" t="s">
        <v>35</v>
      </c>
      <c r="D49" s="2" t="s">
        <v>169</v>
      </c>
      <c r="E49" s="2" t="s">
        <v>169</v>
      </c>
      <c r="F49" s="3" t="s">
        <v>7</v>
      </c>
      <c r="G49" s="3" t="s">
        <v>79</v>
      </c>
      <c r="H49" s="7" t="s">
        <v>35</v>
      </c>
      <c r="I49" s="3" t="s">
        <v>146</v>
      </c>
      <c r="J49" s="3" t="s">
        <v>170</v>
      </c>
      <c r="K49" s="7" t="s">
        <v>76</v>
      </c>
      <c r="L49" s="3" t="s">
        <v>7</v>
      </c>
      <c r="N49" s="7" t="s">
        <v>174</v>
      </c>
    </row>
    <row r="50" spans="1:16" ht="94.5" hidden="1">
      <c r="A50" s="29">
        <f t="shared" si="1"/>
        <v>49</v>
      </c>
      <c r="B50" s="2" t="s">
        <v>48</v>
      </c>
      <c r="C50" t="s">
        <v>63</v>
      </c>
      <c r="D50" s="2" t="s">
        <v>171</v>
      </c>
      <c r="E50" s="2" t="s">
        <v>64</v>
      </c>
      <c r="F50" s="3" t="s">
        <v>7</v>
      </c>
      <c r="G50" s="3" t="s">
        <v>79</v>
      </c>
      <c r="H50" s="7" t="s">
        <v>31</v>
      </c>
      <c r="I50" s="3" t="s">
        <v>172</v>
      </c>
      <c r="J50" s="3" t="s">
        <v>173</v>
      </c>
      <c r="K50" s="7" t="s">
        <v>31</v>
      </c>
      <c r="L50" s="3" t="s">
        <v>7</v>
      </c>
      <c r="N50" s="7" t="s">
        <v>174</v>
      </c>
    </row>
    <row r="51" spans="1:16" ht="47.25" hidden="1">
      <c r="A51" s="29">
        <f t="shared" si="1"/>
        <v>50</v>
      </c>
      <c r="B51" s="2" t="s">
        <v>48</v>
      </c>
      <c r="C51" t="s">
        <v>49</v>
      </c>
      <c r="D51" s="2" t="s">
        <v>175</v>
      </c>
      <c r="E51" s="2" t="s">
        <v>175</v>
      </c>
      <c r="F51" s="3" t="s">
        <v>7</v>
      </c>
      <c r="G51" s="3" t="s">
        <v>79</v>
      </c>
      <c r="H51" s="7" t="s">
        <v>49</v>
      </c>
      <c r="I51" s="3" t="s">
        <v>187</v>
      </c>
      <c r="J51" s="3" t="s">
        <v>177</v>
      </c>
      <c r="K51" s="7" t="s">
        <v>176</v>
      </c>
      <c r="L51" s="3" t="s">
        <v>7</v>
      </c>
      <c r="N51" s="7" t="s">
        <v>174</v>
      </c>
    </row>
    <row r="52" spans="1:16" ht="31.5" hidden="1">
      <c r="A52" s="29">
        <f t="shared" si="1"/>
        <v>51</v>
      </c>
      <c r="B52" s="2" t="s">
        <v>48</v>
      </c>
      <c r="C52" t="s">
        <v>16</v>
      </c>
      <c r="D52" s="2" t="s">
        <v>179</v>
      </c>
      <c r="E52" s="2" t="s">
        <v>179</v>
      </c>
      <c r="F52" s="3" t="s">
        <v>7</v>
      </c>
      <c r="G52" s="3" t="s">
        <v>79</v>
      </c>
      <c r="H52" s="7" t="s">
        <v>16</v>
      </c>
      <c r="I52" s="3" t="s">
        <v>181</v>
      </c>
      <c r="J52" s="3" t="s">
        <v>180</v>
      </c>
      <c r="K52" s="7" t="s">
        <v>15</v>
      </c>
      <c r="L52" s="3" t="s">
        <v>7</v>
      </c>
      <c r="N52" s="7" t="s">
        <v>174</v>
      </c>
    </row>
    <row r="53" spans="1:16" ht="31.5" hidden="1">
      <c r="A53" s="29">
        <f t="shared" si="1"/>
        <v>52</v>
      </c>
      <c r="B53" s="2" t="s">
        <v>48</v>
      </c>
      <c r="C53" t="s">
        <v>50</v>
      </c>
      <c r="D53" s="2" t="s">
        <v>182</v>
      </c>
      <c r="E53" s="2" t="s">
        <v>182</v>
      </c>
      <c r="F53" s="3" t="s">
        <v>7</v>
      </c>
      <c r="G53" s="3" t="s">
        <v>79</v>
      </c>
      <c r="H53" s="7" t="s">
        <v>50</v>
      </c>
      <c r="I53" s="3" t="s">
        <v>135</v>
      </c>
      <c r="J53" s="3" t="s">
        <v>183</v>
      </c>
      <c r="K53" s="7" t="s">
        <v>184</v>
      </c>
      <c r="L53" s="3" t="s">
        <v>7</v>
      </c>
      <c r="N53" s="7" t="s">
        <v>174</v>
      </c>
    </row>
    <row r="54" spans="1:16" ht="31.5" hidden="1">
      <c r="A54" s="29">
        <f t="shared" si="1"/>
        <v>53</v>
      </c>
      <c r="B54" s="2" t="s">
        <v>48</v>
      </c>
      <c r="C54" t="s">
        <v>41</v>
      </c>
      <c r="D54" s="2" t="s">
        <v>143</v>
      </c>
      <c r="E54" s="2" t="s">
        <v>143</v>
      </c>
      <c r="F54" s="3" t="s">
        <v>7</v>
      </c>
      <c r="G54" s="3" t="s">
        <v>79</v>
      </c>
      <c r="H54" s="7" t="s">
        <v>41</v>
      </c>
      <c r="I54" s="3" t="s">
        <v>190</v>
      </c>
      <c r="J54" s="3" t="s">
        <v>191</v>
      </c>
      <c r="K54" s="7" t="s">
        <v>123</v>
      </c>
      <c r="L54" s="3" t="s">
        <v>7</v>
      </c>
      <c r="N54" s="7" t="s">
        <v>174</v>
      </c>
    </row>
    <row r="55" spans="1:16" ht="31.5">
      <c r="A55" s="29">
        <f t="shared" si="1"/>
        <v>54</v>
      </c>
      <c r="B55" s="2" t="s">
        <v>48</v>
      </c>
      <c r="C55" t="s">
        <v>185</v>
      </c>
      <c r="E55" s="2" t="s">
        <v>188</v>
      </c>
      <c r="F55" s="3" t="s">
        <v>7</v>
      </c>
      <c r="G55" s="3" t="s">
        <v>79</v>
      </c>
      <c r="H55" s="7" t="s">
        <v>51</v>
      </c>
      <c r="J55" s="3" t="s">
        <v>192</v>
      </c>
      <c r="L55" s="3" t="s">
        <v>7</v>
      </c>
      <c r="M55" s="2" t="s">
        <v>212</v>
      </c>
      <c r="N55" s="2" t="s">
        <v>189</v>
      </c>
      <c r="O55" t="s">
        <v>219</v>
      </c>
    </row>
    <row r="56" spans="1:16" ht="31.5" hidden="1">
      <c r="A56" s="29">
        <f t="shared" si="1"/>
        <v>55</v>
      </c>
      <c r="B56" s="2" t="s">
        <v>48</v>
      </c>
      <c r="C56" t="s">
        <v>186</v>
      </c>
      <c r="F56" s="3" t="s">
        <v>7</v>
      </c>
      <c r="G56" s="3" t="s">
        <v>79</v>
      </c>
      <c r="H56" s="7" t="s">
        <v>52</v>
      </c>
      <c r="I56" s="3" t="s">
        <v>178</v>
      </c>
      <c r="J56" s="3" t="s">
        <v>193</v>
      </c>
      <c r="K56" s="7" t="s">
        <v>194</v>
      </c>
      <c r="L56" s="3" t="s">
        <v>7</v>
      </c>
      <c r="N56" s="2" t="s">
        <v>153</v>
      </c>
    </row>
    <row r="57" spans="1:16" ht="31.5" hidden="1">
      <c r="A57" s="29">
        <f t="shared" si="1"/>
        <v>56</v>
      </c>
      <c r="B57" s="2" t="s">
        <v>53</v>
      </c>
      <c r="C57" t="s">
        <v>195</v>
      </c>
      <c r="D57" s="2" t="s">
        <v>196</v>
      </c>
      <c r="E57" s="2" t="s">
        <v>196</v>
      </c>
      <c r="F57" s="3" t="s">
        <v>7</v>
      </c>
      <c r="G57" s="3" t="s">
        <v>79</v>
      </c>
      <c r="H57" s="7" t="s">
        <v>35</v>
      </c>
      <c r="I57" s="3" t="s">
        <v>146</v>
      </c>
      <c r="J57" s="3" t="s">
        <v>170</v>
      </c>
      <c r="K57" s="7" t="s">
        <v>76</v>
      </c>
      <c r="L57" s="3" t="s">
        <v>7</v>
      </c>
      <c r="N57" s="2" t="s">
        <v>153</v>
      </c>
    </row>
    <row r="58" spans="1:16" ht="94.5" hidden="1">
      <c r="A58" s="29">
        <f t="shared" si="1"/>
        <v>57</v>
      </c>
      <c r="B58" s="2" t="s">
        <v>53</v>
      </c>
      <c r="C58" t="s">
        <v>63</v>
      </c>
      <c r="D58" s="2" t="s">
        <v>171</v>
      </c>
      <c r="F58" s="3" t="s">
        <v>7</v>
      </c>
      <c r="G58" s="3" t="s">
        <v>79</v>
      </c>
      <c r="H58" s="7" t="s">
        <v>31</v>
      </c>
      <c r="I58" s="3" t="s">
        <v>172</v>
      </c>
      <c r="J58" s="3" t="s">
        <v>173</v>
      </c>
      <c r="K58" s="7" t="s">
        <v>31</v>
      </c>
      <c r="L58" s="3" t="s">
        <v>7</v>
      </c>
      <c r="N58" s="2" t="s">
        <v>153</v>
      </c>
    </row>
    <row r="59" spans="1:16" s="14" customFormat="1" ht="47.25" hidden="1">
      <c r="A59" s="29">
        <f t="shared" si="1"/>
        <v>58</v>
      </c>
      <c r="B59" s="13" t="s">
        <v>53</v>
      </c>
      <c r="C59" s="14" t="s">
        <v>202</v>
      </c>
      <c r="D59" s="13" t="s">
        <v>175</v>
      </c>
      <c r="E59" s="13" t="s">
        <v>175</v>
      </c>
      <c r="F59" s="15" t="s">
        <v>7</v>
      </c>
      <c r="G59" s="15" t="s">
        <v>79</v>
      </c>
      <c r="H59" s="16" t="s">
        <v>49</v>
      </c>
      <c r="I59" s="15" t="s">
        <v>187</v>
      </c>
      <c r="J59" s="15" t="s">
        <v>177</v>
      </c>
      <c r="K59" s="16" t="s">
        <v>176</v>
      </c>
      <c r="L59" s="3" t="s">
        <v>7</v>
      </c>
      <c r="M59" s="13"/>
      <c r="N59" s="2" t="s">
        <v>153</v>
      </c>
      <c r="P59" s="13"/>
    </row>
    <row r="60" spans="1:16" s="14" customFormat="1" ht="31.5" hidden="1">
      <c r="A60" s="29">
        <f t="shared" si="1"/>
        <v>59</v>
      </c>
      <c r="B60" s="13" t="s">
        <v>53</v>
      </c>
      <c r="D60" s="13" t="s">
        <v>179</v>
      </c>
      <c r="E60" s="13"/>
      <c r="F60" s="15" t="s">
        <v>7</v>
      </c>
      <c r="G60" s="15" t="s">
        <v>79</v>
      </c>
      <c r="H60" s="16" t="s">
        <v>16</v>
      </c>
      <c r="I60" s="15" t="s">
        <v>181</v>
      </c>
      <c r="J60" s="15" t="s">
        <v>180</v>
      </c>
      <c r="K60" s="16" t="s">
        <v>15</v>
      </c>
      <c r="L60" s="3" t="s">
        <v>7</v>
      </c>
      <c r="M60" s="13"/>
      <c r="N60" s="2" t="s">
        <v>153</v>
      </c>
      <c r="P60" s="13"/>
    </row>
    <row r="61" spans="1:16" s="14" customFormat="1" ht="31.5" hidden="1">
      <c r="A61" s="29">
        <f t="shared" si="1"/>
        <v>60</v>
      </c>
      <c r="B61" s="13" t="s">
        <v>53</v>
      </c>
      <c r="D61" s="13" t="s">
        <v>182</v>
      </c>
      <c r="E61" s="13" t="s">
        <v>182</v>
      </c>
      <c r="F61" s="15" t="s">
        <v>7</v>
      </c>
      <c r="G61" s="15" t="s">
        <v>79</v>
      </c>
      <c r="H61" s="16" t="s">
        <v>50</v>
      </c>
      <c r="I61" s="15" t="s">
        <v>135</v>
      </c>
      <c r="J61" s="15" t="s">
        <v>183</v>
      </c>
      <c r="K61" s="16" t="s">
        <v>184</v>
      </c>
      <c r="L61" s="3" t="s">
        <v>7</v>
      </c>
      <c r="M61" s="13"/>
      <c r="N61" s="2" t="s">
        <v>153</v>
      </c>
      <c r="P61" s="13"/>
    </row>
    <row r="62" spans="1:16" ht="47.25" hidden="1">
      <c r="A62" s="29">
        <f t="shared" si="1"/>
        <v>61</v>
      </c>
      <c r="B62" s="2" t="s">
        <v>53</v>
      </c>
      <c r="C62" t="s">
        <v>197</v>
      </c>
      <c r="D62" s="2" t="s">
        <v>198</v>
      </c>
      <c r="E62" s="2" t="s">
        <v>198</v>
      </c>
      <c r="F62" s="3" t="s">
        <v>7</v>
      </c>
      <c r="G62" s="3" t="s">
        <v>79</v>
      </c>
      <c r="H62" s="7" t="s">
        <v>54</v>
      </c>
      <c r="I62" s="3" t="s">
        <v>201</v>
      </c>
      <c r="J62" s="3" t="s">
        <v>199</v>
      </c>
      <c r="K62" s="7" t="s">
        <v>200</v>
      </c>
      <c r="L62" s="3" t="s">
        <v>7</v>
      </c>
      <c r="N62" s="2" t="s">
        <v>153</v>
      </c>
    </row>
    <row r="63" spans="1:16" s="14" customFormat="1" ht="31.5" hidden="1">
      <c r="A63" s="29">
        <f t="shared" si="1"/>
        <v>62</v>
      </c>
      <c r="B63" s="13" t="s">
        <v>53</v>
      </c>
      <c r="C63" s="14" t="s">
        <v>185</v>
      </c>
      <c r="E63" s="13" t="s">
        <v>188</v>
      </c>
      <c r="F63" s="15" t="s">
        <v>7</v>
      </c>
      <c r="G63" s="15" t="s">
        <v>79</v>
      </c>
      <c r="H63" s="16" t="s">
        <v>51</v>
      </c>
      <c r="I63" s="15"/>
      <c r="J63" s="15"/>
      <c r="K63" s="16"/>
      <c r="L63" s="3" t="s">
        <v>7</v>
      </c>
      <c r="M63" s="13"/>
      <c r="N63" s="2" t="s">
        <v>153</v>
      </c>
      <c r="P63" s="13"/>
    </row>
    <row r="64" spans="1:16" s="14" customFormat="1" ht="47.25" hidden="1">
      <c r="A64" s="29">
        <f t="shared" si="1"/>
        <v>63</v>
      </c>
      <c r="B64" s="13" t="s">
        <v>53</v>
      </c>
      <c r="C64" s="14" t="s">
        <v>186</v>
      </c>
      <c r="D64" s="14" t="s">
        <v>210</v>
      </c>
      <c r="E64" s="13"/>
      <c r="F64" s="15" t="s">
        <v>7</v>
      </c>
      <c r="G64" s="15" t="s">
        <v>79</v>
      </c>
      <c r="H64" s="16" t="s">
        <v>52</v>
      </c>
      <c r="I64" s="15" t="s">
        <v>178</v>
      </c>
      <c r="J64" s="15" t="s">
        <v>211</v>
      </c>
      <c r="K64" s="16" t="s">
        <v>194</v>
      </c>
      <c r="L64" s="3" t="s">
        <v>7</v>
      </c>
      <c r="M64" s="13" t="s">
        <v>203</v>
      </c>
      <c r="N64" s="2" t="s">
        <v>153</v>
      </c>
      <c r="P64" s="13"/>
    </row>
    <row r="65" spans="1:16" s="14" customFormat="1" ht="30.75" hidden="1" customHeight="1">
      <c r="A65" s="29">
        <f t="shared" si="1"/>
        <v>64</v>
      </c>
      <c r="B65" s="13" t="s">
        <v>55</v>
      </c>
      <c r="C65" s="14" t="s">
        <v>195</v>
      </c>
      <c r="D65" s="13" t="s">
        <v>196</v>
      </c>
      <c r="E65" s="13" t="s">
        <v>196</v>
      </c>
      <c r="F65" s="15" t="s">
        <v>7</v>
      </c>
      <c r="G65" s="15" t="s">
        <v>79</v>
      </c>
      <c r="H65" s="16" t="s">
        <v>35</v>
      </c>
      <c r="I65" s="15" t="s">
        <v>146</v>
      </c>
      <c r="J65" s="15" t="s">
        <v>170</v>
      </c>
      <c r="K65" s="16" t="s">
        <v>76</v>
      </c>
      <c r="L65" s="3" t="s">
        <v>7</v>
      </c>
      <c r="M65" s="13"/>
      <c r="N65" s="2" t="s">
        <v>153</v>
      </c>
      <c r="P65" s="13"/>
    </row>
    <row r="66" spans="1:16" s="14" customFormat="1" ht="31.5" hidden="1">
      <c r="A66" s="29">
        <f t="shared" si="1"/>
        <v>65</v>
      </c>
      <c r="B66" s="13" t="s">
        <v>55</v>
      </c>
      <c r="C66" s="14" t="s">
        <v>213</v>
      </c>
      <c r="D66" s="13" t="s">
        <v>179</v>
      </c>
      <c r="E66" s="13"/>
      <c r="F66" s="15" t="s">
        <v>7</v>
      </c>
      <c r="G66" s="15" t="s">
        <v>79</v>
      </c>
      <c r="H66" s="16" t="s">
        <v>16</v>
      </c>
      <c r="I66" s="15" t="s">
        <v>181</v>
      </c>
      <c r="J66" s="15" t="s">
        <v>180</v>
      </c>
      <c r="K66" s="16" t="s">
        <v>15</v>
      </c>
      <c r="L66" s="3" t="s">
        <v>7</v>
      </c>
      <c r="M66" s="13"/>
      <c r="N66" s="2" t="s">
        <v>153</v>
      </c>
      <c r="P66" s="13"/>
    </row>
    <row r="67" spans="1:16" s="14" customFormat="1" ht="47.25" hidden="1">
      <c r="A67" s="29">
        <f t="shared" si="1"/>
        <v>66</v>
      </c>
      <c r="B67" s="13" t="s">
        <v>55</v>
      </c>
      <c r="C67" s="14" t="s">
        <v>197</v>
      </c>
      <c r="D67" s="13" t="s">
        <v>198</v>
      </c>
      <c r="E67" s="13" t="s">
        <v>198</v>
      </c>
      <c r="F67" s="15" t="s">
        <v>7</v>
      </c>
      <c r="G67" s="15" t="s">
        <v>79</v>
      </c>
      <c r="H67" s="16" t="s">
        <v>54</v>
      </c>
      <c r="I67" s="15" t="s">
        <v>201</v>
      </c>
      <c r="J67" s="15" t="s">
        <v>199</v>
      </c>
      <c r="K67" s="16" t="s">
        <v>200</v>
      </c>
      <c r="L67" s="15" t="s">
        <v>7</v>
      </c>
      <c r="M67" s="13"/>
      <c r="N67" s="2" t="s">
        <v>153</v>
      </c>
      <c r="P67" s="13"/>
    </row>
    <row r="68" spans="1:16" s="14" customFormat="1" ht="47.25" hidden="1">
      <c r="A68" s="29">
        <f t="shared" si="1"/>
        <v>67</v>
      </c>
      <c r="B68" s="13" t="s">
        <v>55</v>
      </c>
      <c r="C68" s="14" t="s">
        <v>162</v>
      </c>
      <c r="D68" s="14" t="s">
        <v>143</v>
      </c>
      <c r="E68" s="14" t="s">
        <v>143</v>
      </c>
      <c r="F68" s="15" t="s">
        <v>7</v>
      </c>
      <c r="G68" s="15" t="s">
        <v>79</v>
      </c>
      <c r="H68" s="16" t="s">
        <v>41</v>
      </c>
      <c r="I68" s="26" t="s">
        <v>215</v>
      </c>
      <c r="J68" s="15" t="s">
        <v>168</v>
      </c>
      <c r="K68" s="16" t="s">
        <v>216</v>
      </c>
      <c r="L68" s="15"/>
      <c r="M68" s="13"/>
      <c r="N68" s="2" t="s">
        <v>153</v>
      </c>
      <c r="P68" s="13"/>
    </row>
    <row r="69" spans="1:16" ht="16.5" hidden="1">
      <c r="A69" s="29">
        <f t="shared" si="1"/>
        <v>68</v>
      </c>
      <c r="B69" s="2" t="s">
        <v>56</v>
      </c>
      <c r="C69" t="s">
        <v>35</v>
      </c>
      <c r="D69" t="s">
        <v>145</v>
      </c>
      <c r="E69" t="s">
        <v>145</v>
      </c>
      <c r="F69" s="3" t="s">
        <v>7</v>
      </c>
      <c r="G69" s="3" t="s">
        <v>79</v>
      </c>
      <c r="H69" s="7" t="s">
        <v>35</v>
      </c>
      <c r="I69" s="12" t="s">
        <v>146</v>
      </c>
      <c r="J69" s="3" t="s">
        <v>147</v>
      </c>
      <c r="K69" s="7" t="s">
        <v>76</v>
      </c>
      <c r="L69" s="3" t="s">
        <v>7</v>
      </c>
      <c r="N69" s="2" t="s">
        <v>153</v>
      </c>
    </row>
    <row r="70" spans="1:16" ht="47.25" hidden="1">
      <c r="A70" s="29">
        <f t="shared" si="1"/>
        <v>69</v>
      </c>
      <c r="B70" s="2" t="s">
        <v>56</v>
      </c>
      <c r="C70" t="s">
        <v>148</v>
      </c>
      <c r="D70" s="2" t="s">
        <v>149</v>
      </c>
      <c r="E70" s="2" t="s">
        <v>149</v>
      </c>
      <c r="F70" s="3" t="s">
        <v>7</v>
      </c>
      <c r="G70" s="3" t="s">
        <v>79</v>
      </c>
      <c r="H70" s="7" t="s">
        <v>44</v>
      </c>
      <c r="I70" s="3" t="s">
        <v>150</v>
      </c>
      <c r="J70" s="7" t="s">
        <v>151</v>
      </c>
      <c r="K70" s="7" t="s">
        <v>152</v>
      </c>
      <c r="L70" s="3" t="s">
        <v>7</v>
      </c>
      <c r="M70" s="2" t="s">
        <v>214</v>
      </c>
      <c r="N70" s="2" t="s">
        <v>153</v>
      </c>
    </row>
    <row r="71" spans="1:16" s="18" customFormat="1" ht="31.5">
      <c r="A71" s="29">
        <f t="shared" si="1"/>
        <v>70</v>
      </c>
      <c r="B71" s="17" t="s">
        <v>56</v>
      </c>
      <c r="C71" s="18" t="s">
        <v>154</v>
      </c>
      <c r="D71" s="18" t="s">
        <v>156</v>
      </c>
      <c r="E71" s="18" t="s">
        <v>156</v>
      </c>
      <c r="F71" s="5" t="s">
        <v>7</v>
      </c>
      <c r="G71" s="5" t="s">
        <v>79</v>
      </c>
      <c r="H71" s="8" t="s">
        <v>57</v>
      </c>
      <c r="I71" s="5" t="s">
        <v>157</v>
      </c>
      <c r="J71" s="5" t="s">
        <v>158</v>
      </c>
      <c r="K71" s="8" t="s">
        <v>159</v>
      </c>
      <c r="L71" s="5" t="s">
        <v>7</v>
      </c>
      <c r="M71" s="17"/>
      <c r="N71" s="17" t="s">
        <v>155</v>
      </c>
      <c r="O71" s="18" t="s">
        <v>220</v>
      </c>
      <c r="P71" s="17"/>
    </row>
    <row r="72" spans="1:16" ht="31.5" hidden="1">
      <c r="A72" s="29">
        <f t="shared" si="1"/>
        <v>71</v>
      </c>
      <c r="B72" s="2" t="s">
        <v>56</v>
      </c>
      <c r="C72" t="s">
        <v>162</v>
      </c>
      <c r="D72" t="s">
        <v>160</v>
      </c>
      <c r="E72" t="s">
        <v>160</v>
      </c>
      <c r="F72" s="3" t="s">
        <v>7</v>
      </c>
      <c r="G72" s="7" t="s">
        <v>163</v>
      </c>
      <c r="H72" s="7" t="s">
        <v>41</v>
      </c>
      <c r="I72" s="3" t="s">
        <v>161</v>
      </c>
      <c r="J72" s="3" t="s">
        <v>164</v>
      </c>
      <c r="K72" s="7" t="s">
        <v>123</v>
      </c>
      <c r="L72" s="3" t="s">
        <v>7</v>
      </c>
      <c r="N72" s="2" t="s">
        <v>153</v>
      </c>
    </row>
    <row r="73" spans="1:16" s="14" customFormat="1" ht="47.25" hidden="1">
      <c r="A73" s="29">
        <f t="shared" si="1"/>
        <v>72</v>
      </c>
      <c r="B73" s="13" t="s">
        <v>58</v>
      </c>
      <c r="C73" s="14" t="s">
        <v>148</v>
      </c>
      <c r="D73" s="13" t="s">
        <v>149</v>
      </c>
      <c r="E73" s="13" t="s">
        <v>149</v>
      </c>
      <c r="F73" s="15" t="s">
        <v>7</v>
      </c>
      <c r="G73" s="15" t="s">
        <v>79</v>
      </c>
      <c r="H73" s="16" t="s">
        <v>44</v>
      </c>
      <c r="I73" s="15" t="s">
        <v>150</v>
      </c>
      <c r="J73" s="16" t="s">
        <v>151</v>
      </c>
      <c r="K73" s="16" t="s">
        <v>152</v>
      </c>
      <c r="L73" s="15" t="s">
        <v>7</v>
      </c>
      <c r="M73" s="13" t="s">
        <v>214</v>
      </c>
      <c r="N73" s="13" t="s">
        <v>153</v>
      </c>
      <c r="P73" s="13"/>
    </row>
    <row r="74" spans="1:16" s="14" customFormat="1" hidden="1">
      <c r="A74" s="29">
        <f t="shared" si="1"/>
        <v>73</v>
      </c>
      <c r="B74" s="13" t="s">
        <v>58</v>
      </c>
      <c r="C74" s="27" t="s">
        <v>154</v>
      </c>
      <c r="D74" s="27" t="s">
        <v>156</v>
      </c>
      <c r="E74" s="27" t="s">
        <v>156</v>
      </c>
      <c r="F74" s="24" t="s">
        <v>7</v>
      </c>
      <c r="G74" s="24" t="s">
        <v>79</v>
      </c>
      <c r="H74" s="25" t="s">
        <v>57</v>
      </c>
      <c r="I74" s="24" t="s">
        <v>157</v>
      </c>
      <c r="J74" s="24" t="s">
        <v>158</v>
      </c>
      <c r="K74" s="25" t="s">
        <v>159</v>
      </c>
      <c r="L74" s="24" t="s">
        <v>7</v>
      </c>
      <c r="M74" s="28"/>
      <c r="N74" s="13" t="s">
        <v>153</v>
      </c>
      <c r="P74" s="13"/>
    </row>
    <row r="75" spans="1:16" s="14" customFormat="1" ht="31.5" hidden="1">
      <c r="A75" s="29">
        <f t="shared" ref="A75:A84" si="2">SUM(A74+1)</f>
        <v>74</v>
      </c>
      <c r="B75" s="13" t="s">
        <v>58</v>
      </c>
      <c r="C75" s="14" t="s">
        <v>162</v>
      </c>
      <c r="D75" s="14" t="s">
        <v>160</v>
      </c>
      <c r="E75" s="14" t="s">
        <v>160</v>
      </c>
      <c r="F75" s="15" t="s">
        <v>7</v>
      </c>
      <c r="G75" s="16" t="s">
        <v>163</v>
      </c>
      <c r="H75" s="16" t="s">
        <v>41</v>
      </c>
      <c r="I75" s="15" t="s">
        <v>161</v>
      </c>
      <c r="J75" s="15" t="s">
        <v>164</v>
      </c>
      <c r="K75" s="16" t="s">
        <v>123</v>
      </c>
      <c r="L75" s="15" t="s">
        <v>7</v>
      </c>
      <c r="M75" s="13"/>
      <c r="N75" s="13" t="s">
        <v>153</v>
      </c>
      <c r="P75" s="13"/>
    </row>
    <row r="76" spans="1:16" s="20" customFormat="1" ht="31.5" hidden="1">
      <c r="A76" s="29">
        <f t="shared" si="2"/>
        <v>75</v>
      </c>
      <c r="B76" s="19" t="s">
        <v>56</v>
      </c>
      <c r="C76" s="20" t="s">
        <v>76</v>
      </c>
      <c r="E76" s="19"/>
      <c r="F76" s="21" t="s">
        <v>92</v>
      </c>
      <c r="G76" s="21" t="s">
        <v>93</v>
      </c>
      <c r="H76" s="22" t="s">
        <v>44</v>
      </c>
      <c r="I76" s="21" t="s">
        <v>76</v>
      </c>
      <c r="J76" s="21" t="s">
        <v>168</v>
      </c>
      <c r="K76" s="22" t="s">
        <v>166</v>
      </c>
      <c r="L76" s="21" t="s">
        <v>7</v>
      </c>
      <c r="M76" s="19" t="s">
        <v>167</v>
      </c>
      <c r="N76" s="19" t="s">
        <v>153</v>
      </c>
      <c r="P76" s="19"/>
    </row>
    <row r="77" spans="1:16" s="20" customFormat="1" ht="31.5" hidden="1">
      <c r="A77" s="29">
        <f t="shared" si="2"/>
        <v>76</v>
      </c>
      <c r="B77" s="19" t="s">
        <v>58</v>
      </c>
      <c r="C77" s="20" t="s">
        <v>76</v>
      </c>
      <c r="E77" s="19"/>
      <c r="F77" s="21" t="s">
        <v>92</v>
      </c>
      <c r="G77" s="21" t="s">
        <v>93</v>
      </c>
      <c r="H77" s="22" t="s">
        <v>44</v>
      </c>
      <c r="I77" s="21" t="s">
        <v>76</v>
      </c>
      <c r="J77" s="21" t="s">
        <v>168</v>
      </c>
      <c r="K77" s="22" t="s">
        <v>166</v>
      </c>
      <c r="L77" s="21" t="s">
        <v>7</v>
      </c>
      <c r="M77" s="19" t="s">
        <v>167</v>
      </c>
      <c r="N77" s="19" t="s">
        <v>153</v>
      </c>
      <c r="P77" s="19"/>
    </row>
    <row r="78" spans="1:16" s="20" customFormat="1" ht="31.5" hidden="1">
      <c r="A78" s="29">
        <f t="shared" si="2"/>
        <v>77</v>
      </c>
      <c r="B78" s="19" t="s">
        <v>14</v>
      </c>
      <c r="C78" s="20" t="s">
        <v>76</v>
      </c>
      <c r="E78" s="19"/>
      <c r="F78" s="21" t="s">
        <v>92</v>
      </c>
      <c r="G78" s="21" t="s">
        <v>93</v>
      </c>
      <c r="H78" s="22" t="s">
        <v>35</v>
      </c>
      <c r="I78" s="21" t="s">
        <v>76</v>
      </c>
      <c r="J78" s="21" t="s">
        <v>168</v>
      </c>
      <c r="K78" s="22" t="s">
        <v>166</v>
      </c>
      <c r="L78" s="21" t="s">
        <v>7</v>
      </c>
      <c r="M78" s="19" t="s">
        <v>165</v>
      </c>
      <c r="N78" s="19" t="s">
        <v>153</v>
      </c>
      <c r="P78" s="19"/>
    </row>
    <row r="79" spans="1:16" ht="31.5" hidden="1">
      <c r="A79" s="29">
        <f t="shared" si="2"/>
        <v>78</v>
      </c>
      <c r="B79" s="2" t="s">
        <v>1</v>
      </c>
      <c r="C79" t="s">
        <v>76</v>
      </c>
      <c r="F79" s="3" t="s">
        <v>92</v>
      </c>
      <c r="G79" s="3" t="s">
        <v>93</v>
      </c>
      <c r="H79" s="7" t="s">
        <v>35</v>
      </c>
      <c r="I79" s="3" t="s">
        <v>76</v>
      </c>
      <c r="J79" s="21" t="s">
        <v>168</v>
      </c>
      <c r="K79" s="22" t="s">
        <v>166</v>
      </c>
      <c r="L79" s="3" t="s">
        <v>7</v>
      </c>
      <c r="M79" s="19" t="s">
        <v>167</v>
      </c>
      <c r="N79" s="2" t="s">
        <v>153</v>
      </c>
    </row>
    <row r="80" spans="1:16" ht="31.5" hidden="1">
      <c r="A80" s="29">
        <f t="shared" si="2"/>
        <v>79</v>
      </c>
      <c r="B80" s="2" t="s">
        <v>94</v>
      </c>
      <c r="C80" t="s">
        <v>76</v>
      </c>
      <c r="F80" s="3" t="s">
        <v>92</v>
      </c>
      <c r="G80" s="3" t="s">
        <v>93</v>
      </c>
      <c r="H80" s="7" t="s">
        <v>35</v>
      </c>
      <c r="I80" s="3" t="s">
        <v>76</v>
      </c>
      <c r="J80" s="21" t="s">
        <v>168</v>
      </c>
      <c r="K80" s="22" t="s">
        <v>166</v>
      </c>
      <c r="L80" s="3" t="s">
        <v>7</v>
      </c>
      <c r="M80" s="19" t="s">
        <v>167</v>
      </c>
      <c r="N80" s="2" t="s">
        <v>153</v>
      </c>
    </row>
    <row r="81" spans="1:16" ht="31.5" hidden="1">
      <c r="A81" s="29">
        <f t="shared" si="2"/>
        <v>80</v>
      </c>
      <c r="B81" s="2" t="s">
        <v>47</v>
      </c>
      <c r="C81" t="s">
        <v>76</v>
      </c>
      <c r="F81" s="3" t="s">
        <v>92</v>
      </c>
      <c r="G81" s="3" t="s">
        <v>93</v>
      </c>
      <c r="H81" s="7" t="s">
        <v>35</v>
      </c>
      <c r="I81" s="3" t="s">
        <v>76</v>
      </c>
      <c r="J81" s="21" t="s">
        <v>168</v>
      </c>
      <c r="K81" s="22" t="s">
        <v>166</v>
      </c>
      <c r="L81" s="3" t="s">
        <v>7</v>
      </c>
      <c r="M81" s="19" t="s">
        <v>167</v>
      </c>
      <c r="N81" s="2" t="s">
        <v>153</v>
      </c>
      <c r="P81" s="2" t="s">
        <v>261</v>
      </c>
    </row>
    <row r="82" spans="1:16" ht="31.5" hidden="1">
      <c r="A82" s="29">
        <f t="shared" si="2"/>
        <v>81</v>
      </c>
      <c r="B82" s="2" t="s">
        <v>48</v>
      </c>
      <c r="C82" t="s">
        <v>76</v>
      </c>
      <c r="F82" s="3" t="s">
        <v>92</v>
      </c>
      <c r="G82" s="3" t="s">
        <v>93</v>
      </c>
      <c r="H82" s="7" t="s">
        <v>49</v>
      </c>
      <c r="I82" s="3" t="s">
        <v>76</v>
      </c>
      <c r="J82" s="21" t="s">
        <v>168</v>
      </c>
      <c r="K82" s="22" t="s">
        <v>166</v>
      </c>
      <c r="L82" s="3" t="s">
        <v>7</v>
      </c>
      <c r="M82" s="19" t="s">
        <v>167</v>
      </c>
      <c r="N82" s="2" t="s">
        <v>153</v>
      </c>
    </row>
    <row r="83" spans="1:16" ht="31.5" hidden="1">
      <c r="A83" s="29">
        <f t="shared" si="2"/>
        <v>82</v>
      </c>
      <c r="B83" s="2" t="s">
        <v>53</v>
      </c>
      <c r="C83" t="s">
        <v>76</v>
      </c>
      <c r="F83" s="3" t="s">
        <v>92</v>
      </c>
      <c r="G83" s="3" t="s">
        <v>93</v>
      </c>
      <c r="H83" s="7" t="s">
        <v>49</v>
      </c>
      <c r="I83" s="3" t="s">
        <v>76</v>
      </c>
      <c r="J83" s="21" t="s">
        <v>168</v>
      </c>
      <c r="K83" s="22" t="s">
        <v>166</v>
      </c>
      <c r="L83" s="3" t="s">
        <v>7</v>
      </c>
      <c r="M83" s="19" t="s">
        <v>167</v>
      </c>
      <c r="N83" s="2" t="s">
        <v>153</v>
      </c>
    </row>
    <row r="84" spans="1:16" ht="31.5" hidden="1">
      <c r="A84" s="29">
        <f t="shared" si="2"/>
        <v>83</v>
      </c>
      <c r="B84" s="2" t="s">
        <v>55</v>
      </c>
      <c r="C84" t="s">
        <v>76</v>
      </c>
      <c r="F84" s="3" t="s">
        <v>92</v>
      </c>
      <c r="G84" s="3" t="s">
        <v>93</v>
      </c>
      <c r="H84" s="7" t="s">
        <v>35</v>
      </c>
      <c r="I84" s="3" t="s">
        <v>76</v>
      </c>
      <c r="J84" s="21" t="s">
        <v>168</v>
      </c>
      <c r="K84" s="22" t="s">
        <v>166</v>
      </c>
      <c r="L84" s="3" t="s">
        <v>7</v>
      </c>
      <c r="M84" s="19" t="s">
        <v>167</v>
      </c>
      <c r="N84" s="2" t="s">
        <v>153</v>
      </c>
    </row>
    <row r="85" spans="1:16">
      <c r="J85" s="21"/>
      <c r="K85" s="22"/>
      <c r="M85" s="19"/>
    </row>
  </sheetData>
  <autoFilter ref="A1:O84">
    <filterColumn colId="14">
      <customFilters>
        <customFilter operator="notEqual" val=" "/>
      </customFilters>
    </filterColumn>
  </autoFilter>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C5AB62C6-92E6-4E19-AF74-151BE12A5926}"/>
</file>

<file path=customXml/itemProps2.xml><?xml version="1.0" encoding="utf-8"?>
<ds:datastoreItem xmlns:ds="http://schemas.openxmlformats.org/officeDocument/2006/customXml" ds:itemID="{ACFE0F25-4ABA-4EA0-868A-9872F68561B2}"/>
</file>

<file path=customXml/itemProps3.xml><?xml version="1.0" encoding="utf-8"?>
<ds:datastoreItem xmlns:ds="http://schemas.openxmlformats.org/officeDocument/2006/customXml" ds:itemID="{81760CCF-2F01-42BE-BF83-54998318226E}"/>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Microsoft Office User</dc:creator>
  <cp:lastModifiedBy>Neil Cory</cp:lastModifiedBy>
  <dcterms:created xsi:type="dcterms:W3CDTF">2020-10-14T16:05:34Z</dcterms:created>
  <dcterms:modified xsi:type="dcterms:W3CDTF">2020-10-18T17:56:44Z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Order">
    <vt:r8>387200</vt:r8>
  </property>
  <property fmtid="{D5CDD505-2E9C-101B-9397-08002B2CF9AE}" pid="4" name="URL">
    <vt:lpwstr/>
  </property>
</Properties>
</file>