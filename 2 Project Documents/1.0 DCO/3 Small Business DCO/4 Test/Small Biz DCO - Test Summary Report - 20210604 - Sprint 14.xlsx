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GITAL\Test Summary Reporting\Small Biz DCO\"/>
    </mc:Choice>
  </mc:AlternateContent>
  <xr:revisionPtr revIDLastSave="0" documentId="13_ncr:1_{6DEE6048-2302-4C9D-9FFB-998BDCBA013D}" xr6:coauthVersionLast="47" xr6:coauthVersionMax="47" xr10:uidLastSave="{00000000-0000-0000-0000-000000000000}"/>
  <bookViews>
    <workbookView xWindow="-120" yWindow="-120" windowWidth="29040" windowHeight="15840" tabRatio="516" activeTab="1" xr2:uid="{00000000-000D-0000-FFFF-FFFF00000000}"/>
  </bookViews>
  <sheets>
    <sheet name="Small Biz DCO - Test Summary" sheetId="1" r:id="rId1"/>
    <sheet name="Defects Status" sheetId="6" r:id="rId2"/>
    <sheet name="Defect Summary Report" sheetId="74" r:id="rId3"/>
    <sheet name="Sprint Report" sheetId="29" r:id="rId4"/>
  </sheets>
  <definedNames>
    <definedName name="_xlnm._FilterDatabase" localSheetId="2" hidden="1">'Defect Summary Report'!$B$3:$K$76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AH8" i="6"/>
  <c r="AH18" i="6"/>
  <c r="C9" i="1"/>
  <c r="E13" i="1" s="1"/>
  <c r="E11" i="1" l="1"/>
  <c r="E10" i="1" l="1"/>
</calcChain>
</file>

<file path=xl/sharedStrings.xml><?xml version="1.0" encoding="utf-8"?>
<sst xmlns="http://schemas.openxmlformats.org/spreadsheetml/2006/main" count="699" uniqueCount="278">
  <si>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</si>
  <si>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</si>
  <si>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</si>
  <si>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</si>
  <si>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</si>
  <si>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</si>
  <si>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</si>
  <si>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</si>
  <si>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</si>
  <si>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</si>
  <si>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</si>
  <si>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</si>
  <si>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</si>
  <si>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</si>
  <si>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</si>
  <si>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</si>
  <si>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</si>
  <si>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</si>
  <si>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</si>
  <si>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</si>
  <si>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</si>
  <si>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</si>
  <si>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</si>
  <si>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</si>
  <si>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</si>
  <si>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</si>
  <si>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</si>
  <si>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</si>
  <si>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</si>
  <si>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</si>
  <si>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</si>
  <si>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</si>
  <si>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</si>
  <si>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</si>
  <si>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</si>
  <si>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</si>
  <si>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</si>
  <si>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</si>
  <si>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</si>
  <si>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</si>
  <si>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</si>
  <si>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</si>
  <si>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</si>
  <si>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</si>
  <si>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</si>
  <si>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</si>
  <si>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</si>
  <si>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</si>
  <si>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</si>
  <si>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</si>
  <si>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</si>
  <si>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</si>
  <si>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</si>
  <si>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</si>
  <si>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</si>
  <si>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</si>
  <si>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</si>
  <si>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</si>
  <si>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</si>
  <si>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</si>
  <si>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</si>
  <si>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</si>
  <si>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</si>
  <si>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</si>
  <si>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</si>
  <si>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</si>
  <si>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</si>
  <si>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</si>
  <si>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</si>
  <si>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</si>
  <si>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</si>
  <si>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</si>
  <si>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</si>
  <si>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</si>
  <si>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</si>
  <si>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</si>
  <si>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</si>
  <si>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</si>
  <si>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</si>
  <si>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</si>
  <si>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</si>
  <si>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</si>
  <si>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</si>
  <si>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</si>
  <si>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</si>
  <si>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</si>
  <si>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</si>
  <si>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</si>
  <si>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</si>
  <si>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</si>
  <si>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</si>
  <si>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</si>
  <si>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</si>
  <si>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</si>
  <si>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</si>
  <si>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CWBSB-620</t>
  </si>
  <si>
    <t>SBDCO - Applicant - Not Qualified Info Page - Email address field is accepting invalid formats.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</si>
  <si>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</si>
  <si>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</si>
  <si>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</si>
  <si>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</si>
  <si>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</si>
  <si>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</si>
  <si>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</si>
  <si>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</si>
  <si>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</si>
  <si>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</si>
  <si>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</si>
  <si>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</si>
  <si>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CWBSB-705</t>
  </si>
  <si>
    <t>UX/UI: Email-spacing issue on top and bottom edge, top bar length</t>
  </si>
  <si>
    <t>CWBSB-702</t>
  </si>
  <si>
    <t>UX/UI: Card Alignment display</t>
  </si>
  <si>
    <t>gem.adelaja@cwbank.com</t>
  </si>
  <si>
    <t>CWBSB-701</t>
  </si>
  <si>
    <t>UX/UI: Funding Page - Funding UI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</si>
  <si>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</si>
  <si>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</si>
  <si>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</si>
  <si>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</si>
  <si>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</si>
  <si>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</si>
  <si>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</si>
  <si>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</si>
  <si>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</si>
  <si>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</si>
  <si>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</si>
  <si>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</si>
  <si>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</si>
  <si>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</si>
  <si>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</si>
  <si>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</si>
  <si>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</si>
  <si>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</si>
  <si>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</si>
  <si>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CWBSB-724</t>
  </si>
  <si>
    <t>SBDCO - Applicant - Your Business Page - Use this as my business mailing address radio button group should be mandatory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</si>
  <si>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</si>
  <si>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</si>
  <si>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</si>
  <si>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</si>
  <si>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</si>
  <si>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</si>
  <si>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</si>
  <si>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</si>
  <si>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</si>
  <si>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</si>
  <si>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</si>
  <si>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</si>
  <si>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</si>
  <si>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</si>
  <si>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</si>
  <si>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</si>
  <si>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</si>
  <si>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</si>
  <si>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</si>
  <si>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</si>
  <si>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</si>
  <si>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</si>
  <si>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</si>
  <si>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</si>
  <si>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</si>
  <si>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</si>
  <si>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</si>
  <si>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</si>
  <si>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</si>
  <si>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</si>
  <si>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CWBSB-839</t>
  </si>
  <si>
    <t>SBDCO - Business Account Options - UX/UI - Section (accordion with Open all/Close all) is missing</t>
  </si>
  <si>
    <t>kendyl.bachelor</t>
  </si>
  <si>
    <t>CWBSB-852</t>
  </si>
  <si>
    <t>SBDCO â€“ Performance â€“ More About Your Business â€“ selecting from the Industry dropdowns is slow</t>
  </si>
  <si>
    <t>Venkata.Cherukuri@cwbank.com</t>
  </si>
  <si>
    <t>CWBSB-849</t>
  </si>
  <si>
    <t>SBDCO - Account Selection â€“ Displays Monthly Free Transactions when value = 0, should not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</si>
  <si>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</si>
  <si>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</si>
  <si>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</si>
  <si>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</si>
  <si>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</si>
  <si>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</si>
  <si>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</si>
  <si>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</si>
  <si>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</si>
  <si>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</si>
  <si>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</si>
  <si>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</si>
  <si>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</si>
  <si>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</si>
  <si>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</si>
  <si>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</si>
  <si>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</si>
  <si>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</si>
  <si>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</si>
  <si>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</si>
  <si>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</si>
  <si>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</si>
  <si>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About your Application- Product descriptions are missing when user clicked continue in the timeout modal popup</t>
  </si>
  <si>
    <t>CWBSB-929</t>
  </si>
  <si>
    <t>SBDCO - Applicant - Page freezes once a GP is on Business Disclosures and Signature Page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</si>
  <si>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</si>
  <si>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</si>
  <si>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</si>
  <si>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</si>
  <si>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</si>
  <si>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CWBSB-944</t>
  </si>
  <si>
    <t>SBDCO - Method Selection page - MAC Safari - Overlapping between Motive Financial Image and Text</t>
  </si>
  <si>
    <t>CWBSB-954</t>
  </si>
  <si>
    <t>SBDCO - E2E - Corp â€“ Non-Signer not displayed in T24 for Small Business â€“ Basic Details, should be</t>
  </si>
  <si>
    <t>CWBSB-953</t>
  </si>
  <si>
    <t>Codat page-Images of the accounting packages are not loading, when user clicked continue in the timeout modal popup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</si>
  <si>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</si>
  <si>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</si>
  <si>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</si>
  <si>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</si>
  <si>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</si>
  <si>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</si>
  <si>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</si>
  <si>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</si>
  <si>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</si>
  <si>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</si>
  <si>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</si>
  <si>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</si>
  <si>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</si>
  <si>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</si>
  <si>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</si>
  <si>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</si>
  <si>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</si>
  <si>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CWBSB-960</t>
  </si>
  <si>
    <t xml:space="preserve">SBDCO - Applicant - A GP/CORP applicant at 100% ownership is taken to the Ownership structure page. </t>
  </si>
  <si>
    <t>CWBSB-959</t>
  </si>
  <si>
    <t>SBDCO - Owners, Directors, Signers - Cannot Save application from Options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</si>
  <si>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</si>
  <si>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</si>
  <si>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</si>
  <si>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</si>
  <si>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Project Name:  Digital Program - Small Biz DCO - SIT Phase - Sprint 14</t>
  </si>
  <si>
    <t>Test Execution for Sprint 14</t>
  </si>
  <si>
    <t>Defects logged from Sprint 14</t>
  </si>
  <si>
    <t>CWBSB-984</t>
  </si>
  <si>
    <t>SBDCO_ Applicant_ Login to CODAT page static text missing.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</si>
  <si>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</si>
  <si>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</si>
  <si>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</si>
  <si>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</si>
  <si>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</si>
  <si>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CWBSB-989</t>
  </si>
  <si>
    <t>SMBDCO - Footer link for 'Careers' does not align with the links above</t>
  </si>
  <si>
    <t>CWBSB-988</t>
  </si>
  <si>
    <t>SBDCO - Back Navigation - Modal does not display as per Figma</t>
  </si>
  <si>
    <t>CWBSB-987</t>
  </si>
  <si>
    <t>SBDCO - Applicant - IDScan Page Modal - Spec not updated with latest verbiage</t>
  </si>
  <si>
    <t>CWBSB-986</t>
  </si>
  <si>
    <t xml:space="preserve"> SBDCO - Landing page of Auth-signer -Online and Mobile Banking text should be displayed as 'Digital Banking' as per the spec v1.7</t>
  </si>
  <si>
    <t>CWBSB-994</t>
  </si>
  <si>
    <t>SBDCO - Online Banking &amp; Delegates Page - Delete button does not appear to the right side of the page</t>
  </si>
  <si>
    <t>CWBSB-991</t>
  </si>
  <si>
    <t>SBDCO - Workspaces - Claim and Decision where MISMATCH, returns with error</t>
  </si>
  <si>
    <t>CWBSB-990</t>
  </si>
  <si>
    <t>SBDCO - Applicant - Save application page - incorrect verbiage</t>
  </si>
  <si>
    <t>CWBSB-999</t>
  </si>
  <si>
    <t>SBDCO_Applicant_ Product summary page_Remove button is not working for Complementary Business Products</t>
  </si>
  <si>
    <t>CWBSB-998</t>
  </si>
  <si>
    <t>SBDCO - Mobile - Android - Await Authorized Signer - Text on button for Proceed to next step is not centered</t>
  </si>
  <si>
    <t>Low</t>
  </si>
  <si>
    <t>smatharu</t>
  </si>
  <si>
    <t>CWBSB-1007</t>
  </si>
  <si>
    <t>To complete your Application Model page- Product descriptions is missing the updated phone number according to ( Spec V1.7)</t>
  </si>
  <si>
    <t>CWBSB-1005</t>
  </si>
  <si>
    <t>SBDCO - Mobile - Save Confirmation' Email - Resume button cleanup</t>
  </si>
  <si>
    <t>Approved</t>
  </si>
  <si>
    <t>none logged today</t>
  </si>
  <si>
    <t>As of Jun 4, 2021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</si>
  <si>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8 of test execution -</t>
    </r>
    <r>
      <rPr>
        <b/>
        <sz val="11"/>
        <rFont val="Calibri"/>
        <family val="2"/>
        <scheme val="minor"/>
      </rPr>
      <t xml:space="preserve"> 88.1%</t>
    </r>
    <r>
      <rPr>
        <sz val="11"/>
        <rFont val="Calibri"/>
        <family val="2"/>
        <scheme val="minor"/>
      </rPr>
      <t xml:space="preserve">
2. Sprint 14 package includes:
     a. 8 stories: 5 will be validated, 3 will be validated during E2E
     b. 2 change requests
     c.  8 defect fixes – for defects logged by CWB QA Team
     d. 16 defect fixes – for defects logged by Temenos (excluded from CWB testing)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</si>
  <si>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In Test</t>
  </si>
  <si>
    <t>Status of Defects logged by CWB QA Team - as of Jun 4, 2021</t>
  </si>
  <si>
    <t>Summary of Outstanding Defects - logged by CWB QA Team - as of Jun 4</t>
  </si>
  <si>
    <t>2 closed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</si>
</sst>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8">
    <xf numFmtId="0" fontId="0" fillId="0" borderId="0"/>
    <xf numFmtId="0" fontId="64" fillId="0" borderId="0"/>
    <xf numFmtId="0" fontId="63" fillId="0" borderId="0"/>
    <xf numFmtId="0" fontId="62" fillId="0" borderId="0"/>
    <xf numFmtId="0" fontId="62" fillId="0" borderId="0"/>
    <xf numFmtId="0" fontId="61" fillId="0" borderId="0"/>
    <xf numFmtId="0" fontId="61" fillId="0" borderId="0"/>
    <xf numFmtId="0" fontId="60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1">
    <xf numFmtId="0" fontId="0" fillId="0" borderId="0" xfId="0"/>
    <xf numFmtId="0" fontId="0" fillId="0" borderId="0" xfId="0" applyAlignment="1">
      <alignment vertical="top"/>
    </xf>
    <xf numFmtId="0" fontId="77" fillId="0" borderId="0" xfId="0" applyFont="1"/>
    <xf numFmtId="0" fontId="0" fillId="0" borderId="0" xfId="0" applyAlignment="1">
      <alignment vertical="center"/>
    </xf>
    <xf numFmtId="0" fontId="70" fillId="4" borderId="0" xfId="0" applyFont="1" applyFill="1"/>
    <xf numFmtId="0" fontId="0" fillId="4" borderId="0" xfId="0" applyFill="1"/>
    <xf numFmtId="0" fontId="68" fillId="4" borderId="0" xfId="0" quotePrefix="1" applyFont="1" applyFill="1"/>
    <xf numFmtId="0" fontId="76" fillId="4" borderId="0" xfId="0" applyFont="1" applyFill="1"/>
    <xf numFmtId="0" fontId="74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70" fillId="4" borderId="0" xfId="0" applyNumberFormat="1" applyFont="1" applyFill="1" applyBorder="1" applyAlignment="1">
      <alignment horizontal="left"/>
    </xf>
    <xf numFmtId="0" fontId="65" fillId="4" borderId="0" xfId="0" applyFont="1" applyFill="1" applyBorder="1" applyAlignment="1">
      <alignment horizontal="center"/>
    </xf>
    <xf numFmtId="0" fontId="77" fillId="4" borderId="0" xfId="0" applyFont="1" applyFill="1" applyBorder="1" applyAlignment="1">
      <alignment horizontal="center"/>
    </xf>
    <xf numFmtId="0" fontId="0" fillId="4" borderId="0" xfId="0" applyFill="1" applyBorder="1"/>
    <xf numFmtId="0" fontId="77" fillId="4" borderId="0" xfId="0" applyFont="1" applyFill="1" applyBorder="1"/>
    <xf numFmtId="0" fontId="67" fillId="4" borderId="0" xfId="0" applyFont="1" applyFill="1" applyBorder="1" applyAlignment="1">
      <alignment horizontal="center" vertical="center"/>
    </xf>
    <xf numFmtId="0" fontId="70" fillId="4" borderId="0" xfId="0" applyFont="1" applyFill="1" applyBorder="1" applyAlignment="1">
      <alignment horizontal="left" vertical="top"/>
    </xf>
    <xf numFmtId="0" fontId="77" fillId="4" borderId="0" xfId="0" applyFont="1" applyFill="1"/>
    <xf numFmtId="0" fontId="65" fillId="4" borderId="5" xfId="0" applyFont="1" applyFill="1" applyBorder="1" applyAlignment="1">
      <alignment horizontal="left" vertical="top"/>
    </xf>
    <xf numFmtId="0" fontId="65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76" fillId="4" borderId="0" xfId="0" applyFont="1" applyFill="1" applyAlignment="1">
      <alignment vertical="top" wrapText="1"/>
    </xf>
    <xf numFmtId="0" fontId="74" fillId="4" borderId="0" xfId="0" applyFont="1" applyFill="1" applyAlignment="1">
      <alignment horizontal="right"/>
    </xf>
    <xf numFmtId="0" fontId="75" fillId="4" borderId="0" xfId="0" applyFont="1" applyFill="1" applyAlignment="1">
      <alignment horizontal="left"/>
    </xf>
    <xf numFmtId="0" fontId="74" fillId="4" borderId="0" xfId="0" applyFont="1" applyFill="1" applyAlignment="1">
      <alignment horizontal="right" vertical="top"/>
    </xf>
    <xf numFmtId="0" fontId="60" fillId="0" borderId="0" xfId="8" applyAlignment="1">
      <alignment horizontal="left" vertical="top"/>
    </xf>
    <xf numFmtId="0" fontId="60" fillId="0" borderId="0" xfId="8" applyAlignment="1">
      <alignment horizontal="left" vertical="top" wrapText="1"/>
    </xf>
    <xf numFmtId="0" fontId="60" fillId="0" borderId="0" xfId="8" applyFill="1" applyAlignment="1">
      <alignment horizontal="left" vertical="top"/>
    </xf>
    <xf numFmtId="0" fontId="73" fillId="0" borderId="1" xfId="8" applyFont="1" applyBorder="1" applyAlignment="1">
      <alignment horizontal="center" vertical="center"/>
    </xf>
    <xf numFmtId="0" fontId="73" fillId="5" borderId="1" xfId="8" applyFont="1" applyFill="1" applyBorder="1" applyAlignment="1">
      <alignment horizontal="center" vertical="center"/>
    </xf>
    <xf numFmtId="0" fontId="73" fillId="0" borderId="0" xfId="8" applyFont="1" applyAlignment="1">
      <alignment horizontal="center" vertical="center"/>
    </xf>
    <xf numFmtId="0" fontId="0" fillId="4" borderId="0" xfId="0" quotePrefix="1" applyFill="1"/>
    <xf numFmtId="0" fontId="65" fillId="4" borderId="0" xfId="0" applyFont="1" applyFill="1"/>
    <xf numFmtId="0" fontId="70" fillId="0" borderId="0" xfId="7" applyFont="1" applyFill="1" applyBorder="1" applyAlignment="1">
      <alignment horizontal="left" vertical="top"/>
    </xf>
    <xf numFmtId="0" fontId="69" fillId="4" borderId="0" xfId="0" applyFont="1" applyFill="1" applyBorder="1" applyAlignment="1">
      <alignment vertical="top" wrapText="1"/>
    </xf>
    <xf numFmtId="0" fontId="66" fillId="4" borderId="0" xfId="0" applyFont="1" applyFill="1" applyBorder="1" applyAlignment="1">
      <alignment horizontal="left" vertical="center"/>
    </xf>
    <xf numFmtId="0" fontId="65" fillId="4" borderId="5" xfId="0" applyFont="1" applyFill="1" applyBorder="1" applyAlignment="1">
      <alignment horizontal="left" vertical="top"/>
    </xf>
    <xf numFmtId="0" fontId="65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76" fillId="0" borderId="0" xfId="0" applyFont="1" applyFill="1"/>
    <xf numFmtId="0" fontId="0" fillId="0" borderId="0" xfId="0" applyFill="1"/>
    <xf numFmtId="0" fontId="65" fillId="0" borderId="0" xfId="0" applyFont="1" applyFill="1" applyAlignment="1"/>
    <xf numFmtId="164" fontId="81" fillId="0" borderId="18" xfId="0" applyNumberFormat="1" applyFont="1" applyBorder="1" applyAlignment="1">
      <alignment horizontal="center" vertical="center"/>
    </xf>
    <xf numFmtId="0" fontId="80" fillId="4" borderId="0" xfId="0" applyFont="1" applyFill="1" applyAlignment="1">
      <alignment horizontal="left" vertical="center" indent="8"/>
    </xf>
    <xf numFmtId="0" fontId="83" fillId="4" borderId="17" xfId="0" applyFont="1" applyFill="1" applyBorder="1" applyAlignment="1">
      <alignment horizontal="left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8" xfId="0" applyFont="1" applyFill="1" applyBorder="1"/>
    <xf numFmtId="0" fontId="83" fillId="4" borderId="20" xfId="0" applyFont="1" applyFill="1" applyBorder="1" applyAlignment="1">
      <alignment horizontal="left" vertical="top"/>
    </xf>
    <xf numFmtId="0" fontId="84" fillId="4" borderId="22" xfId="0" applyFont="1" applyFill="1" applyBorder="1"/>
    <xf numFmtId="0" fontId="83" fillId="4" borderId="0" xfId="0" applyFont="1" applyFill="1" applyBorder="1" applyAlignment="1">
      <alignment horizontal="center"/>
    </xf>
    <xf numFmtId="0" fontId="83" fillId="4" borderId="0" xfId="0" applyFont="1" applyFill="1" applyBorder="1" applyAlignment="1">
      <alignment horizontal="center" vertical="center"/>
    </xf>
    <xf numFmtId="0" fontId="84" fillId="4" borderId="0" xfId="0" applyFont="1" applyFill="1" applyBorder="1"/>
    <xf numFmtId="0" fontId="84" fillId="4" borderId="22" xfId="0" applyFont="1" applyFill="1" applyBorder="1" applyAlignment="1">
      <alignment wrapText="1"/>
    </xf>
    <xf numFmtId="0" fontId="83" fillId="4" borderId="0" xfId="0" applyFont="1" applyFill="1" applyBorder="1" applyAlignment="1">
      <alignment horizontal="left" vertical="top"/>
    </xf>
    <xf numFmtId="0" fontId="84" fillId="4" borderId="0" xfId="0" applyFont="1" applyFill="1" applyAlignment="1">
      <alignment vertical="center"/>
    </xf>
    <xf numFmtId="0" fontId="84" fillId="4" borderId="0" xfId="0" applyFont="1" applyFill="1" applyAlignment="1">
      <alignment vertical="top"/>
    </xf>
    <xf numFmtId="0" fontId="84" fillId="4" borderId="0" xfId="0" applyFont="1" applyFill="1"/>
    <xf numFmtId="0" fontId="84" fillId="4" borderId="1" xfId="0" applyFont="1" applyFill="1" applyBorder="1"/>
    <xf numFmtId="164" fontId="85" fillId="4" borderId="18" xfId="0" applyNumberFormat="1" applyFont="1" applyFill="1" applyBorder="1" applyAlignment="1">
      <alignment horizontal="center" vertical="center"/>
    </xf>
    <xf numFmtId="1" fontId="85" fillId="4" borderId="2" xfId="0" quotePrefix="1" applyNumberFormat="1" applyFont="1" applyFill="1" applyBorder="1" applyAlignment="1">
      <alignment horizontal="center" vertical="center"/>
    </xf>
    <xf numFmtId="0" fontId="83" fillId="4" borderId="17" xfId="0" applyFont="1" applyFill="1" applyBorder="1" applyAlignment="1"/>
    <xf numFmtId="1" fontId="83" fillId="4" borderId="1" xfId="0" applyNumberFormat="1" applyFont="1" applyFill="1" applyBorder="1" applyAlignment="1">
      <alignment horizontal="center" vertical="center"/>
    </xf>
    <xf numFmtId="0" fontId="84" fillId="4" borderId="19" xfId="0" applyFont="1" applyFill="1" applyBorder="1"/>
    <xf numFmtId="1" fontId="84" fillId="4" borderId="2" xfId="0" applyNumberFormat="1" applyFont="1" applyFill="1" applyBorder="1" applyAlignment="1">
      <alignment horizontal="center" vertical="center"/>
    </xf>
    <xf numFmtId="164" fontId="84" fillId="4" borderId="18" xfId="0" applyNumberFormat="1" applyFont="1" applyFill="1" applyBorder="1" applyAlignment="1">
      <alignment horizontal="center" vertical="center"/>
    </xf>
    <xf numFmtId="0" fontId="84" fillId="4" borderId="20" xfId="0" applyFont="1" applyFill="1" applyBorder="1"/>
    <xf numFmtId="1" fontId="84" fillId="4" borderId="21" xfId="0" applyNumberFormat="1" applyFont="1" applyFill="1" applyBorder="1" applyAlignment="1">
      <alignment horizontal="center" vertical="center"/>
    </xf>
    <xf numFmtId="0" fontId="84" fillId="4" borderId="21" xfId="0" applyFont="1" applyFill="1" applyBorder="1"/>
    <xf numFmtId="164" fontId="84" fillId="4" borderId="22" xfId="0" applyNumberFormat="1" applyFont="1" applyFill="1" applyBorder="1" applyAlignment="1">
      <alignment horizontal="center" vertical="center"/>
    </xf>
    <xf numFmtId="164" fontId="84" fillId="4" borderId="0" xfId="0" applyNumberFormat="1" applyFont="1" applyFill="1" applyBorder="1" applyAlignment="1">
      <alignment horizontal="center" vertical="center"/>
    </xf>
    <xf numFmtId="164" fontId="85" fillId="4" borderId="0" xfId="0" applyNumberFormat="1" applyFont="1" applyFill="1" applyBorder="1" applyAlignment="1">
      <alignment horizontal="center" vertical="center"/>
    </xf>
    <xf numFmtId="0" fontId="86" fillId="4" borderId="0" xfId="0" applyFont="1" applyFill="1" applyBorder="1" applyAlignment="1">
      <alignment horizontal="left" vertical="center"/>
    </xf>
    <xf numFmtId="0" fontId="84" fillId="0" borderId="1" xfId="0" applyFont="1" applyBorder="1"/>
    <xf numFmtId="0" fontId="84" fillId="0" borderId="1" xfId="0" applyFont="1" applyFill="1" applyBorder="1"/>
    <xf numFmtId="1" fontId="84" fillId="0" borderId="1" xfId="0" applyNumberFormat="1" applyFont="1" applyFill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2" fillId="0" borderId="1" xfId="0" quotePrefix="1" applyFont="1" applyBorder="1" applyAlignment="1">
      <alignment horizontal="center" vertical="top"/>
    </xf>
    <xf numFmtId="1" fontId="84" fillId="0" borderId="1" xfId="0" applyNumberFormat="1" applyFont="1" applyBorder="1" applyAlignment="1">
      <alignment horizontal="center" vertical="center"/>
    </xf>
    <xf numFmtId="1" fontId="81" fillId="0" borderId="1" xfId="0" quotePrefix="1" applyNumberFormat="1" applyFont="1" applyBorder="1" applyAlignment="1">
      <alignment horizontal="center" vertical="center"/>
    </xf>
    <xf numFmtId="1" fontId="81" fillId="0" borderId="1" xfId="0" applyNumberFormat="1" applyFont="1" applyBorder="1" applyAlignment="1">
      <alignment horizontal="center" vertical="center"/>
    </xf>
    <xf numFmtId="0" fontId="84" fillId="0" borderId="17" xfId="0" applyFont="1" applyBorder="1" applyAlignment="1"/>
    <xf numFmtId="0" fontId="84" fillId="0" borderId="17" xfId="0" applyFont="1" applyBorder="1"/>
    <xf numFmtId="164" fontId="84" fillId="0" borderId="18" xfId="0" applyNumberFormat="1" applyFont="1" applyBorder="1" applyAlignment="1">
      <alignment horizontal="center" vertical="center"/>
    </xf>
    <xf numFmtId="0" fontId="84" fillId="0" borderId="17" xfId="0" applyFont="1" applyFill="1" applyBorder="1"/>
    <xf numFmtId="0" fontId="84" fillId="0" borderId="17" xfId="0" applyFont="1" applyBorder="1" applyAlignment="1">
      <alignment horizontal="left" vertical="center"/>
    </xf>
    <xf numFmtId="0" fontId="84" fillId="0" borderId="18" xfId="0" applyFont="1" applyFill="1" applyBorder="1" applyAlignment="1">
      <alignment horizontal="center" vertical="center"/>
    </xf>
    <xf numFmtId="0" fontId="84" fillId="0" borderId="17" xfId="0" applyFont="1" applyBorder="1" applyAlignment="1">
      <alignment horizontal="right" vertical="center"/>
    </xf>
    <xf numFmtId="0" fontId="84" fillId="0" borderId="18" xfId="0" applyFont="1" applyFill="1" applyBorder="1" applyAlignment="1"/>
    <xf numFmtId="0" fontId="84" fillId="0" borderId="20" xfId="0" applyFont="1" applyBorder="1" applyAlignment="1">
      <alignment horizontal="right" vertical="center"/>
    </xf>
    <xf numFmtId="0" fontId="82" fillId="4" borderId="21" xfId="0" applyFont="1" applyFill="1" applyBorder="1" applyAlignment="1">
      <alignment horizontal="center" vertical="center"/>
    </xf>
    <xf numFmtId="16" fontId="70" fillId="4" borderId="0" xfId="0" applyNumberFormat="1" applyFont="1" applyFill="1" applyBorder="1" applyAlignment="1">
      <alignment horizontal="left" vertical="top"/>
    </xf>
    <xf numFmtId="0" fontId="87" fillId="4" borderId="21" xfId="0" applyFont="1" applyFill="1" applyBorder="1" applyAlignment="1">
      <alignment horizontal="center" vertical="center"/>
    </xf>
    <xf numFmtId="0" fontId="84" fillId="4" borderId="21" xfId="0" applyFont="1" applyFill="1" applyBorder="1" applyAlignment="1">
      <alignment horizontal="center" vertical="center"/>
    </xf>
    <xf numFmtId="0" fontId="83" fillId="4" borderId="1" xfId="0" applyFont="1" applyFill="1" applyBorder="1" applyAlignment="1">
      <alignment horizontal="center" vertical="center" wrapText="1"/>
    </xf>
    <xf numFmtId="0" fontId="83" fillId="4" borderId="1" xfId="0" applyFont="1" applyFill="1" applyBorder="1" applyAlignment="1">
      <alignment horizontal="center" vertical="center"/>
    </xf>
    <xf numFmtId="0" fontId="83" fillId="4" borderId="18" xfId="0" applyFont="1" applyFill="1" applyBorder="1" applyAlignment="1">
      <alignment horizontal="center" vertical="center"/>
    </xf>
    <xf numFmtId="0" fontId="65" fillId="4" borderId="0" xfId="0" applyFont="1" applyFill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65" fillId="4" borderId="0" xfId="0" applyFont="1" applyFill="1" applyAlignment="1">
      <alignment horizontal="center" vertical="center"/>
    </xf>
    <xf numFmtId="0" fontId="65" fillId="4" borderId="0" xfId="0" quotePrefix="1" applyFont="1" applyFill="1" applyAlignment="1">
      <alignment horizontal="center" vertical="center"/>
    </xf>
    <xf numFmtId="0" fontId="74" fillId="4" borderId="0" xfId="0" quotePrefix="1" applyFont="1" applyFill="1" applyAlignment="1">
      <alignment vertical="top"/>
    </xf>
    <xf numFmtId="0" fontId="75" fillId="4" borderId="0" xfId="0" applyFont="1" applyFill="1" applyAlignment="1">
      <alignment horizontal="left" vertical="top"/>
    </xf>
    <xf numFmtId="0" fontId="87" fillId="4" borderId="1" xfId="0" applyFont="1" applyFill="1" applyBorder="1" applyAlignment="1">
      <alignment horizontal="center" vertical="center"/>
    </xf>
    <xf numFmtId="0" fontId="73" fillId="5" borderId="1" xfId="8" applyFont="1" applyFill="1" applyBorder="1" applyAlignment="1">
      <alignment horizontal="left" vertical="top" wrapText="1"/>
    </xf>
    <xf numFmtId="0" fontId="69" fillId="3" borderId="8" xfId="0" applyFont="1" applyFill="1" applyBorder="1" applyAlignment="1">
      <alignment horizontal="left" vertical="top" wrapText="1"/>
    </xf>
    <xf numFmtId="0" fontId="69" fillId="3" borderId="9" xfId="0" applyFont="1" applyFill="1" applyBorder="1" applyAlignment="1">
      <alignment horizontal="left" vertical="top" wrapText="1"/>
    </xf>
    <xf numFmtId="0" fontId="69" fillId="3" borderId="10" xfId="0" applyFont="1" applyFill="1" applyBorder="1" applyAlignment="1">
      <alignment horizontal="left" vertical="top" wrapText="1"/>
    </xf>
    <xf numFmtId="0" fontId="69" fillId="3" borderId="11" xfId="0" applyFont="1" applyFill="1" applyBorder="1" applyAlignment="1">
      <alignment horizontal="left" vertical="top" wrapText="1"/>
    </xf>
    <xf numFmtId="0" fontId="69" fillId="3" borderId="0" xfId="0" applyFont="1" applyFill="1" applyBorder="1" applyAlignment="1">
      <alignment horizontal="left" vertical="top" wrapText="1"/>
    </xf>
    <xf numFmtId="0" fontId="69" fillId="3" borderId="12" xfId="0" applyFont="1" applyFill="1" applyBorder="1" applyAlignment="1">
      <alignment horizontal="left" vertical="top" wrapText="1"/>
    </xf>
    <xf numFmtId="0" fontId="69" fillId="3" borderId="4" xfId="0" applyFont="1" applyFill="1" applyBorder="1" applyAlignment="1">
      <alignment horizontal="left" vertical="top" wrapText="1"/>
    </xf>
    <xf numFmtId="0" fontId="69" fillId="3" borderId="13" xfId="0" applyFont="1" applyFill="1" applyBorder="1" applyAlignment="1">
      <alignment horizontal="left" vertical="top" wrapText="1"/>
    </xf>
    <xf numFmtId="0" fontId="69" fillId="3" borderId="3" xfId="0" applyFont="1" applyFill="1" applyBorder="1" applyAlignment="1">
      <alignment horizontal="left" vertical="top" wrapText="1"/>
    </xf>
    <xf numFmtId="0" fontId="67" fillId="2" borderId="1" xfId="0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left" vertical="center"/>
    </xf>
    <xf numFmtId="0" fontId="86" fillId="0" borderId="14" xfId="0" applyFont="1" applyFill="1" applyBorder="1" applyAlignment="1">
      <alignment horizontal="center" vertical="center"/>
    </xf>
    <xf numFmtId="0" fontId="86" fillId="0" borderId="15" xfId="0" applyFont="1" applyFill="1" applyBorder="1" applyAlignment="1">
      <alignment horizontal="center" vertical="center"/>
    </xf>
    <xf numFmtId="0" fontId="86" fillId="0" borderId="16" xfId="0" applyFont="1" applyFill="1" applyBorder="1" applyAlignment="1">
      <alignment horizontal="center" vertical="center"/>
    </xf>
    <xf numFmtId="0" fontId="84" fillId="4" borderId="0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center"/>
    </xf>
    <xf numFmtId="0" fontId="84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65" fillId="4" borderId="5" xfId="0" applyFont="1" applyFill="1" applyBorder="1" applyAlignment="1">
      <alignment horizontal="left" vertical="top"/>
    </xf>
    <xf numFmtId="0" fontId="65" fillId="4" borderId="7" xfId="0" applyFont="1" applyFill="1" applyBorder="1" applyAlignment="1">
      <alignment horizontal="left" vertical="top"/>
    </xf>
    <xf numFmtId="0" fontId="73" fillId="5" borderId="2" xfId="8" applyFont="1" applyFill="1" applyBorder="1" applyAlignment="1">
      <alignment horizontal="left" vertical="top"/>
    </xf>
    <xf numFmtId="0" fontId="83" fillId="4" borderId="1" xfId="0" applyFont="1" applyFill="1" applyBorder="1" applyAlignment="1">
      <alignment horizontal="center"/>
    </xf>
    <xf numFmtId="0" fontId="83" fillId="4" borderId="18" xfId="0" applyFont="1" applyFill="1" applyBorder="1" applyAlignment="1">
      <alignment horizontal="center"/>
    </xf>
    <xf numFmtId="0" fontId="83" fillId="4" borderId="14" xfId="0" applyFont="1" applyFill="1" applyBorder="1" applyAlignment="1">
      <alignment horizontal="center"/>
    </xf>
    <xf numFmtId="0" fontId="83" fillId="4" borderId="15" xfId="0" applyFont="1" applyFill="1" applyBorder="1" applyAlignment="1">
      <alignment horizontal="center"/>
    </xf>
    <xf numFmtId="0" fontId="83" fillId="4" borderId="16" xfId="0" applyFont="1" applyFill="1" applyBorder="1" applyAlignment="1">
      <alignment horizontal="center"/>
    </xf>
    <xf numFmtId="0" fontId="1" fillId="0" borderId="0" xfId="67" applyAlignment="1">
      <alignment horizontal="left" vertical="top"/>
    </xf>
    <xf numFmtId="0" fontId="1" fillId="0" borderId="0" xfId="67" applyAlignment="1">
      <alignment horizontal="left" vertical="top" wrapText="1"/>
    </xf>
    <xf numFmtId="22" fontId="1" fillId="0" borderId="0" xfId="67" applyNumberFormat="1" applyAlignment="1">
      <alignment horizontal="left" vertical="top"/>
    </xf>
    <xf numFmtId="0" fontId="1" fillId="0" borderId="0" xfId="67" applyAlignment="1">
      <alignment horizontal="center" vertical="center"/>
    </xf>
  </cellXfs>
  <cellStyles count="68">
    <cellStyle name="Normal" xfId="0" builtinId="0"/>
    <cellStyle name="Normal 10" xfId="14" xr:uid="{00000000-0005-0000-0000-000001000000}"/>
    <cellStyle name="Normal 11" xfId="15" xr:uid="{00000000-0005-0000-0000-000002000000}"/>
    <cellStyle name="Normal 12" xfId="16" xr:uid="{00000000-0005-0000-0000-000003000000}"/>
    <cellStyle name="Normal 13" xfId="17" xr:uid="{00000000-0005-0000-0000-000004000000}"/>
    <cellStyle name="Normal 14" xfId="18" xr:uid="{00000000-0005-0000-0000-000005000000}"/>
    <cellStyle name="Normal 15" xfId="19" xr:uid="{00000000-0005-0000-0000-000006000000}"/>
    <cellStyle name="Normal 16" xfId="20" xr:uid="{00000000-0005-0000-0000-000007000000}"/>
    <cellStyle name="Normal 17" xfId="21" xr:uid="{00000000-0005-0000-0000-000008000000}"/>
    <cellStyle name="Normal 18" xfId="22" xr:uid="{00000000-0005-0000-0000-000009000000}"/>
    <cellStyle name="Normal 19" xfId="23" xr:uid="{00000000-0005-0000-0000-00000A000000}"/>
    <cellStyle name="Normal 2" xfId="1" xr:uid="{00000000-0005-0000-0000-00000B000000}"/>
    <cellStyle name="Normal 20" xfId="24" xr:uid="{00000000-0005-0000-0000-00000C000000}"/>
    <cellStyle name="Normal 21" xfId="25" xr:uid="{00000000-0005-0000-0000-00000D000000}"/>
    <cellStyle name="Normal 22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0" xfId="34" xr:uid="{00000000-0005-0000-0000-00001A000000}"/>
    <cellStyle name="Normal 31" xfId="35" xr:uid="{00000000-0005-0000-0000-00001B000000}"/>
    <cellStyle name="Normal 32" xfId="36" xr:uid="{00000000-0005-0000-0000-00001C000000}"/>
    <cellStyle name="Normal 33" xfId="37" xr:uid="{00000000-0005-0000-0000-00001D000000}"/>
    <cellStyle name="Normal 34" xfId="38" xr:uid="{00000000-0005-0000-0000-00001E000000}"/>
    <cellStyle name="Normal 35" xfId="39" xr:uid="{00000000-0005-0000-0000-00001F000000}"/>
    <cellStyle name="Normal 36" xfId="40" xr:uid="{00000000-0005-0000-0000-000020000000}"/>
    <cellStyle name="Normal 37" xfId="41" xr:uid="{00000000-0005-0000-0000-000021000000}"/>
    <cellStyle name="Normal 38" xfId="42" xr:uid="{00000000-0005-0000-0000-000022000000}"/>
    <cellStyle name="Normal 39" xfId="43" xr:uid="{00000000-0005-0000-0000-000023000000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0" xfId="44" xr:uid="{00000000-0005-0000-0000-000027000000}"/>
    <cellStyle name="Normal 41" xfId="45" xr:uid="{00000000-0005-0000-0000-000028000000}"/>
    <cellStyle name="Normal 42" xfId="46" xr:uid="{2103B674-6EF2-4382-8935-517A04496B30}"/>
    <cellStyle name="Normal 43" xfId="47" xr:uid="{EB1F1ECA-7016-406C-9C9A-6F4D74812E56}"/>
    <cellStyle name="Normal 44" xfId="48" xr:uid="{327B0BFF-8D10-40AE-B6E8-84A8E5194761}"/>
    <cellStyle name="Normal 45" xfId="49" xr:uid="{719062FF-8835-4835-A7A6-4D0FBCBD12A8}"/>
    <cellStyle name="Normal 46" xfId="50" xr:uid="{D6AC1990-E346-4935-BC10-DD41D5463DF8}"/>
    <cellStyle name="Normal 47" xfId="51" xr:uid="{0F802213-C082-4D2F-87CA-7EE776A1E30D}"/>
    <cellStyle name="Normal 48" xfId="52" xr:uid="{28108449-A60B-4928-AF4F-CD47B5BF8A0F}"/>
    <cellStyle name="Normal 49" xfId="53" xr:uid="{E6E9A691-5918-41C2-B51C-60F8C940A1AA}"/>
    <cellStyle name="Normal 5" xfId="9" xr:uid="{00000000-0005-0000-0000-000029000000}"/>
    <cellStyle name="Normal 50" xfId="54" xr:uid="{4A87BD86-DF07-4463-BF2F-A50FF0DD0889}"/>
    <cellStyle name="Normal 51" xfId="55" xr:uid="{FC196B6B-C10E-4453-95B8-B9F2A74F6E28}"/>
    <cellStyle name="Normal 52" xfId="56" xr:uid="{2FE919CA-AEC7-4E84-8E8B-A3F5838EF456}"/>
    <cellStyle name="Normal 53" xfId="57" xr:uid="{8E7342AA-87AD-440F-96E3-43984D84D532}"/>
    <cellStyle name="Normal 54" xfId="58" xr:uid="{8550D7C1-038D-43BA-92B0-DEF41BBE6E28}"/>
    <cellStyle name="Normal 55" xfId="59" xr:uid="{C5A75BC8-0605-4048-93DF-AA3A62CBFEBF}"/>
    <cellStyle name="Normal 56" xfId="60" xr:uid="{3338C384-0CE3-4809-9585-8684DB09C999}"/>
    <cellStyle name="Normal 57" xfId="61" xr:uid="{4E97A000-CED5-4578-96B2-724A4CE2C078}"/>
    <cellStyle name="Normal 58" xfId="62" xr:uid="{7EE40023-8D9A-4374-8EF4-1EEC07A88916}"/>
    <cellStyle name="Normal 59" xfId="63" xr:uid="{73F00B7C-99B2-4B6A-962F-D2C7CB83F353}"/>
    <cellStyle name="Normal 6" xfId="10" xr:uid="{00000000-0005-0000-0000-00002A000000}"/>
    <cellStyle name="Normal 60" xfId="64" xr:uid="{BEBB0ED2-939F-4270-A48D-7A4FD398C1AA}"/>
    <cellStyle name="Normal 61" xfId="65" xr:uid="{92801E27-4F0A-4F0A-9D81-FF4D9CB086A8}"/>
    <cellStyle name="Normal 62" xfId="66" xr:uid="{7421C125-9D9E-433E-BDBF-CB8799B8B1D1}"/>
    <cellStyle name="Normal 63" xfId="67" xr:uid="{41726420-6CBF-4468-9196-6F8DB2F65FA3}"/>
    <cellStyle name="Normal 7" xfId="11" xr:uid="{00000000-0005-0000-0000-00002B000000}"/>
    <cellStyle name="Normal 8" xfId="12" xr:uid="{00000000-0005-0000-0000-00002C000000}"/>
    <cellStyle name="Normal 9" xfId="13" xr:uid="{00000000-0005-0000-0000-00002D000000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d56340e1-96de-490a-a220-3c005734b5ea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514350</xdr:colOff>
      <xdr:row>6</xdr:row>
      <xdr:rowOff>57150</xdr:rowOff>
    </xdr:from>
    <xdr:to>
      <xdr:col>7</xdr:col>
      <xdr:colOff>209550</xdr:colOff>
      <xdr:row>17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579786-3E1C-45E4-9DF5-B7E0302C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314450"/>
          <a:ext cx="137160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180975</xdr:rowOff>
    </xdr:from>
    <xdr:to>
      <xdr:col>33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0</xdr:colOff>
      <xdr:row>4</xdr:row>
      <xdr:rowOff>171450</xdr:rowOff>
    </xdr:from>
    <xdr:to>
      <xdr:col>33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142875</xdr:colOff>
      <xdr:row>3</xdr:row>
      <xdr:rowOff>119323</xdr:rowOff>
    </xdr:from>
    <xdr:to>
      <xdr:col>15</xdr:col>
      <xdr:colOff>19696</xdr:colOff>
      <xdr:row>29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DF3EB7-6BCC-481A-A053-E462B8D5A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3698"/>
          <a:ext cx="7868296" cy="5405177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3</xdr:row>
      <xdr:rowOff>133350</xdr:rowOff>
    </xdr:from>
    <xdr:to>
      <xdr:col>31</xdr:col>
      <xdr:colOff>408614</xdr:colOff>
      <xdr:row>35</xdr:row>
      <xdr:rowOff>122998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5610C2-3B26-4A96-B179-6894C2EE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847725"/>
          <a:ext cx="7685714" cy="6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180642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zoomScaleNormal="100" workbookViewId="0">
      <selection activeCell="B5" sqref="B5:I5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16" t="s">
        <v>23</v>
      </c>
      <c r="C1" s="116"/>
      <c r="D1" s="116"/>
      <c r="E1" s="116"/>
      <c r="F1" s="116"/>
      <c r="G1" s="116"/>
      <c r="H1" s="116"/>
      <c r="I1" s="116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3" t="s">
        <v>272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17" t="s">
        <v>236</v>
      </c>
      <c r="C5" s="117"/>
      <c r="D5" s="117"/>
      <c r="E5" s="117"/>
      <c r="F5" s="117"/>
      <c r="G5" s="117"/>
      <c r="H5" s="117"/>
      <c r="I5" s="1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6"/>
      <c r="C6" s="36"/>
      <c r="D6" s="36"/>
      <c r="E6" s="36"/>
      <c r="F6" s="36"/>
      <c r="G6" s="36"/>
      <c r="H6" s="36"/>
      <c r="I6" s="36"/>
    </row>
    <row r="7" spans="1:21" s="9" customFormat="1" ht="7.5" customHeight="1" thickBot="1" x14ac:dyDescent="0.3">
      <c r="A7" s="57"/>
      <c r="B7" s="74"/>
      <c r="C7" s="74"/>
      <c r="D7" s="74"/>
      <c r="E7" s="74"/>
      <c r="F7" s="74"/>
      <c r="G7" s="74"/>
      <c r="H7" s="74"/>
      <c r="I7" s="74"/>
    </row>
    <row r="8" spans="1:21" s="1" customFormat="1" ht="26.25" customHeight="1" x14ac:dyDescent="0.25">
      <c r="A8" s="58"/>
      <c r="B8" s="118" t="s">
        <v>237</v>
      </c>
      <c r="C8" s="119"/>
      <c r="D8" s="119"/>
      <c r="E8" s="120"/>
      <c r="F8" s="121"/>
      <c r="G8" s="121"/>
      <c r="H8" s="121"/>
      <c r="I8" s="121"/>
      <c r="J8" s="10"/>
      <c r="K8" s="107" t="s">
        <v>273</v>
      </c>
      <c r="L8" s="108"/>
      <c r="M8" s="108"/>
      <c r="N8" s="108"/>
      <c r="O8" s="108"/>
      <c r="P8" s="108"/>
      <c r="Q8" s="109"/>
      <c r="R8" s="10"/>
      <c r="S8" s="10"/>
      <c r="T8" s="10"/>
      <c r="U8" s="10"/>
    </row>
    <row r="9" spans="1:21" s="1" customFormat="1" ht="19.5" customHeight="1" x14ac:dyDescent="0.25">
      <c r="A9" s="58"/>
      <c r="B9" s="83" t="s">
        <v>200</v>
      </c>
      <c r="C9" s="80">
        <f>SUM(C10:C13)</f>
        <v>327</v>
      </c>
      <c r="D9" s="122" t="s">
        <v>10</v>
      </c>
      <c r="E9" s="123"/>
      <c r="F9" s="121"/>
      <c r="G9" s="121"/>
      <c r="H9" s="121"/>
      <c r="I9" s="121"/>
      <c r="J9" s="10"/>
      <c r="K9" s="110"/>
      <c r="L9" s="111"/>
      <c r="M9" s="111"/>
      <c r="N9" s="111"/>
      <c r="O9" s="111"/>
      <c r="P9" s="111"/>
      <c r="Q9" s="112"/>
      <c r="R9" s="10"/>
      <c r="S9" s="10"/>
      <c r="T9" s="10"/>
      <c r="U9" s="10"/>
    </row>
    <row r="10" spans="1:21" s="1" customFormat="1" ht="21.75" customHeight="1" x14ac:dyDescent="0.25">
      <c r="A10" s="58"/>
      <c r="B10" s="84" t="s">
        <v>1</v>
      </c>
      <c r="C10" s="80">
        <v>138</v>
      </c>
      <c r="D10" s="75" t="s">
        <v>4</v>
      </c>
      <c r="E10" s="85">
        <f>C10/C9*100</f>
        <v>42.201834862385326</v>
      </c>
      <c r="F10" s="121"/>
      <c r="G10" s="121"/>
      <c r="H10" s="121"/>
      <c r="I10" s="121"/>
      <c r="J10" s="10"/>
      <c r="K10" s="110"/>
      <c r="L10" s="111"/>
      <c r="M10" s="111"/>
      <c r="N10" s="111"/>
      <c r="O10" s="111"/>
      <c r="P10" s="111"/>
      <c r="Q10" s="112"/>
      <c r="R10" s="10"/>
      <c r="S10" s="10"/>
      <c r="T10" s="10"/>
      <c r="U10" s="10"/>
    </row>
    <row r="11" spans="1:21" ht="21.75" customHeight="1" x14ac:dyDescent="0.25">
      <c r="A11" s="59"/>
      <c r="B11" s="84" t="s">
        <v>2</v>
      </c>
      <c r="C11" s="81">
        <v>93</v>
      </c>
      <c r="D11" s="75" t="s">
        <v>0</v>
      </c>
      <c r="E11" s="45">
        <f>C11/C9*100</f>
        <v>28.440366972477065</v>
      </c>
      <c r="F11" s="121"/>
      <c r="G11" s="121"/>
      <c r="H11" s="121"/>
      <c r="I11" s="121"/>
      <c r="K11" s="110"/>
      <c r="L11" s="111"/>
      <c r="M11" s="111"/>
      <c r="N11" s="111"/>
      <c r="O11" s="111"/>
      <c r="P11" s="111"/>
      <c r="Q11" s="112"/>
    </row>
    <row r="12" spans="1:21" ht="21" customHeight="1" x14ac:dyDescent="0.25">
      <c r="A12" s="59"/>
      <c r="B12" s="84" t="s">
        <v>3</v>
      </c>
      <c r="C12" s="82">
        <v>57</v>
      </c>
      <c r="D12" s="75" t="s">
        <v>5</v>
      </c>
      <c r="E12" s="45">
        <f>C12/C9*100</f>
        <v>17.431192660550458</v>
      </c>
      <c r="F12" s="121"/>
      <c r="G12" s="121"/>
      <c r="H12" s="121"/>
      <c r="I12" s="121"/>
      <c r="K12" s="110"/>
      <c r="L12" s="111"/>
      <c r="M12" s="111"/>
      <c r="N12" s="111"/>
      <c r="O12" s="111"/>
      <c r="P12" s="111"/>
      <c r="Q12" s="112"/>
    </row>
    <row r="13" spans="1:21" ht="21" customHeight="1" x14ac:dyDescent="0.25">
      <c r="A13" s="59"/>
      <c r="B13" s="86" t="s">
        <v>9</v>
      </c>
      <c r="C13" s="77">
        <v>39</v>
      </c>
      <c r="D13" s="76" t="s">
        <v>8</v>
      </c>
      <c r="E13" s="85">
        <f>C13/C9*100</f>
        <v>11.926605504587156</v>
      </c>
      <c r="F13" s="121"/>
      <c r="G13" s="121"/>
      <c r="H13" s="121"/>
      <c r="I13" s="121"/>
      <c r="K13" s="110"/>
      <c r="L13" s="111"/>
      <c r="M13" s="111"/>
      <c r="N13" s="111"/>
      <c r="O13" s="111"/>
      <c r="P13" s="111"/>
      <c r="Q13" s="112"/>
    </row>
    <row r="14" spans="1:21" ht="22.5" customHeight="1" x14ac:dyDescent="0.25">
      <c r="A14" s="59"/>
      <c r="B14" s="87" t="s">
        <v>78</v>
      </c>
      <c r="C14" s="78">
        <v>73</v>
      </c>
      <c r="D14" s="75"/>
      <c r="E14" s="88"/>
      <c r="F14" s="121"/>
      <c r="G14" s="121"/>
      <c r="H14" s="121"/>
      <c r="I14" s="121"/>
      <c r="K14" s="110"/>
      <c r="L14" s="111"/>
      <c r="M14" s="111"/>
      <c r="N14" s="111"/>
      <c r="O14" s="111"/>
      <c r="P14" s="111"/>
      <c r="Q14" s="112"/>
    </row>
    <row r="15" spans="1:21" ht="21.75" customHeight="1" x14ac:dyDescent="0.25">
      <c r="A15" s="59"/>
      <c r="B15" s="89" t="s">
        <v>238</v>
      </c>
      <c r="C15" s="79">
        <v>12</v>
      </c>
      <c r="D15" s="105" t="s">
        <v>271</v>
      </c>
      <c r="E15" s="90"/>
      <c r="F15" s="121"/>
      <c r="G15" s="121"/>
      <c r="H15" s="121"/>
      <c r="I15" s="121"/>
      <c r="K15" s="110"/>
      <c r="L15" s="111"/>
      <c r="M15" s="111"/>
      <c r="N15" s="111"/>
      <c r="O15" s="111"/>
      <c r="P15" s="111"/>
      <c r="Q15" s="112"/>
    </row>
    <row r="16" spans="1:21" s="5" customFormat="1" ht="20.25" customHeight="1" thickBot="1" x14ac:dyDescent="0.3">
      <c r="A16" s="59"/>
      <c r="B16" s="91" t="s">
        <v>77</v>
      </c>
      <c r="C16" s="92">
        <v>61</v>
      </c>
      <c r="D16" s="94" t="s">
        <v>277</v>
      </c>
      <c r="E16" s="51"/>
      <c r="F16" s="54"/>
      <c r="G16" s="54"/>
      <c r="I16" s="54"/>
      <c r="K16" s="110"/>
      <c r="L16" s="111"/>
      <c r="M16" s="111"/>
      <c r="N16" s="111"/>
      <c r="O16" s="111"/>
      <c r="P16" s="111"/>
      <c r="Q16" s="112"/>
    </row>
    <row r="17" spans="1:17" s="5" customFormat="1" ht="15.75" customHeight="1" x14ac:dyDescent="0.25">
      <c r="A17" s="59"/>
      <c r="B17" s="54"/>
      <c r="C17" s="54"/>
      <c r="D17" s="54"/>
      <c r="E17" s="54"/>
      <c r="F17" s="54"/>
      <c r="G17" s="54"/>
      <c r="H17" s="54"/>
      <c r="I17" s="54"/>
      <c r="K17" s="110"/>
      <c r="L17" s="111"/>
      <c r="M17" s="111"/>
      <c r="N17" s="111"/>
      <c r="O17" s="111"/>
      <c r="P17" s="111"/>
      <c r="Q17" s="112"/>
    </row>
    <row r="18" spans="1:17" s="5" customFormat="1" ht="15.75" customHeight="1" x14ac:dyDescent="0.25">
      <c r="A18" s="59"/>
      <c r="B18" s="54"/>
      <c r="C18" s="54"/>
      <c r="D18" s="54"/>
      <c r="E18" s="54"/>
      <c r="F18" s="54"/>
      <c r="G18" s="54"/>
      <c r="H18" s="54"/>
      <c r="I18" s="54"/>
      <c r="K18" s="110"/>
      <c r="L18" s="111"/>
      <c r="M18" s="111"/>
      <c r="N18" s="111"/>
      <c r="O18" s="111"/>
      <c r="P18" s="111"/>
      <c r="Q18" s="112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13"/>
      <c r="L19" s="114"/>
      <c r="M19" s="114"/>
      <c r="N19" s="114"/>
      <c r="O19" s="114"/>
      <c r="P19" s="114"/>
      <c r="Q19" s="115"/>
    </row>
    <row r="20" spans="1:17" s="5" customFormat="1" ht="16.5" customHeight="1" x14ac:dyDescent="0.25">
      <c r="E20" s="18"/>
      <c r="K20" s="35"/>
      <c r="L20" s="35"/>
      <c r="M20" s="35"/>
      <c r="N20" s="35"/>
      <c r="O20" s="35"/>
      <c r="P20" s="35"/>
      <c r="Q20" s="35"/>
    </row>
    <row r="21" spans="1:17" s="5" customFormat="1" ht="15.75" customHeight="1" x14ac:dyDescent="0.25">
      <c r="E21"/>
      <c r="K21" s="35"/>
      <c r="L21" s="35"/>
      <c r="M21" s="35"/>
      <c r="N21" s="35"/>
      <c r="O21" s="35"/>
      <c r="P21" s="35"/>
      <c r="Q21" s="35"/>
    </row>
    <row r="22" spans="1:17" s="5" customFormat="1" ht="15.75" customHeight="1" x14ac:dyDescent="0.25">
      <c r="E22" s="18"/>
      <c r="K22" s="35"/>
      <c r="L22" s="35"/>
      <c r="M22" s="35"/>
      <c r="N22" s="35"/>
      <c r="O22" s="35"/>
      <c r="P22" s="35"/>
      <c r="Q22" s="35"/>
    </row>
    <row r="23" spans="1:17" s="5" customFormat="1" ht="15.75" customHeight="1" x14ac:dyDescent="0.25">
      <c r="E23" s="18"/>
      <c r="K23" s="35"/>
      <c r="L23" s="35"/>
      <c r="M23" s="35"/>
      <c r="N23" s="35"/>
      <c r="O23" s="35"/>
      <c r="P23" s="35"/>
      <c r="Q23" s="35"/>
    </row>
    <row r="24" spans="1:17" s="5" customFormat="1" x14ac:dyDescent="0.25">
      <c r="E24" s="18"/>
      <c r="H24" s="14"/>
    </row>
    <row r="25" spans="1:17" s="5" customFormat="1" x14ac:dyDescent="0.25">
      <c r="E25" s="18"/>
      <c r="G25" s="14"/>
    </row>
    <row r="26" spans="1:17" s="5" customFormat="1" x14ac:dyDescent="0.25">
      <c r="E26" s="18"/>
      <c r="H26"/>
    </row>
    <row r="27" spans="1:17" s="5" customFormat="1" x14ac:dyDescent="0.25">
      <c r="E27" s="18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38"/>
  <sheetViews>
    <sheetView tabSelected="1" zoomScaleNormal="100" workbookViewId="0"/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2" width="5.625" style="5" customWidth="1"/>
    <col min="33" max="33" width="3.125" style="5" customWidth="1"/>
    <col min="34" max="34" width="5.375" style="5" customWidth="1"/>
    <col min="35" max="35" width="18.375" style="5" customWidth="1"/>
    <col min="36" max="36" width="4" style="5" customWidth="1"/>
    <col min="37" max="37" width="13.25" style="5" customWidth="1"/>
    <col min="38" max="38" width="3.75" style="5" customWidth="1"/>
    <col min="39" max="39" width="4" style="5" customWidth="1"/>
    <col min="40" max="40" width="5.125" style="5" customWidth="1"/>
    <col min="41" max="41" width="9" style="5"/>
    <col min="42" max="42" width="8.25" style="5" customWidth="1"/>
    <col min="43" max="43" width="4.375" style="5" customWidth="1"/>
    <col min="44" max="16384" width="9" style="5"/>
  </cols>
  <sheetData>
    <row r="1" spans="1:48" ht="18.75" x14ac:dyDescent="0.3">
      <c r="A1" s="4" t="s">
        <v>275</v>
      </c>
      <c r="B1" s="4"/>
    </row>
    <row r="2" spans="1:48" ht="18.75" x14ac:dyDescent="0.3">
      <c r="W2" s="6"/>
      <c r="X2" s="6"/>
      <c r="AI2" s="99"/>
    </row>
    <row r="3" spans="1:48" ht="18.75" x14ac:dyDescent="0.3">
      <c r="B3" s="4" t="s">
        <v>189</v>
      </c>
      <c r="Q3" s="4" t="s">
        <v>87</v>
      </c>
      <c r="U3" s="4"/>
      <c r="V3" s="4"/>
    </row>
    <row r="5" spans="1:48" x14ac:dyDescent="0.25">
      <c r="AI5" s="100" t="s">
        <v>221</v>
      </c>
      <c r="AJ5" s="101">
        <v>146</v>
      </c>
    </row>
    <row r="6" spans="1:48" x14ac:dyDescent="0.25">
      <c r="AI6" s="100" t="s">
        <v>220</v>
      </c>
      <c r="AJ6" s="101">
        <v>84</v>
      </c>
    </row>
    <row r="7" spans="1:48" s="33" customFormat="1" x14ac:dyDescent="0.25">
      <c r="AI7" s="99" t="s">
        <v>222</v>
      </c>
      <c r="AJ7" s="101">
        <v>73</v>
      </c>
      <c r="AK7" s="33" t="s">
        <v>223</v>
      </c>
      <c r="AL7" s="101">
        <v>11</v>
      </c>
      <c r="AM7" s="33" t="s">
        <v>224</v>
      </c>
    </row>
    <row r="8" spans="1:48" x14ac:dyDescent="0.25">
      <c r="AH8" s="33">
        <f>AN8-AQ8</f>
        <v>73</v>
      </c>
      <c r="AI8" s="5" t="s">
        <v>225</v>
      </c>
      <c r="AN8" s="102">
        <v>146</v>
      </c>
      <c r="AO8" s="5" t="s">
        <v>226</v>
      </c>
      <c r="AQ8" s="101">
        <v>73</v>
      </c>
      <c r="AR8" s="5" t="s">
        <v>227</v>
      </c>
    </row>
    <row r="9" spans="1:48" x14ac:dyDescent="0.25">
      <c r="AI9" s="32"/>
    </row>
    <row r="10" spans="1:48" s="43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2" t="s">
        <v>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H11" s="8">
        <v>31</v>
      </c>
      <c r="AI11" s="8" t="s">
        <v>13</v>
      </c>
    </row>
    <row r="12" spans="1:48" x14ac:dyDescent="0.25">
      <c r="AH12" s="8">
        <v>6</v>
      </c>
      <c r="AI12" s="8" t="s">
        <v>101</v>
      </c>
    </row>
    <row r="13" spans="1:48" x14ac:dyDescent="0.25">
      <c r="AH13" s="8">
        <v>25</v>
      </c>
      <c r="AI13" s="8" t="s">
        <v>21</v>
      </c>
    </row>
    <row r="14" spans="1:48" x14ac:dyDescent="0.25">
      <c r="AH14" s="8">
        <v>3</v>
      </c>
      <c r="AI14" s="8" t="s">
        <v>11</v>
      </c>
      <c r="AJ14" s="22"/>
      <c r="AK14" s="22"/>
      <c r="AL14" s="22"/>
    </row>
    <row r="15" spans="1:48" x14ac:dyDescent="0.25">
      <c r="AH15" s="8">
        <v>2</v>
      </c>
      <c r="AI15" s="8" t="s">
        <v>6</v>
      </c>
    </row>
    <row r="16" spans="1:48" x14ac:dyDescent="0.25">
      <c r="AH16" s="8">
        <v>6</v>
      </c>
      <c r="AI16" s="8" t="s">
        <v>12</v>
      </c>
    </row>
    <row r="17" spans="2:37" x14ac:dyDescent="0.25">
      <c r="AH17" s="8">
        <v>0</v>
      </c>
      <c r="AI17" s="8" t="s">
        <v>22</v>
      </c>
      <c r="AJ17" s="21"/>
      <c r="AK17" s="21"/>
    </row>
    <row r="18" spans="2:37" x14ac:dyDescent="0.25">
      <c r="AH18" s="7">
        <f>SUM(AH11:AH17)</f>
        <v>73</v>
      </c>
      <c r="AI18" s="7" t="s">
        <v>80</v>
      </c>
      <c r="AJ18" s="21"/>
      <c r="AK18" s="21"/>
    </row>
    <row r="19" spans="2:37" x14ac:dyDescent="0.25">
      <c r="AJ19" s="21"/>
      <c r="AK19" s="21"/>
    </row>
    <row r="20" spans="2:37" x14ac:dyDescent="0.25">
      <c r="AH20" s="42" t="s">
        <v>102</v>
      </c>
      <c r="AI20" s="43"/>
      <c r="AJ20" s="21"/>
      <c r="AK20" s="21"/>
    </row>
    <row r="21" spans="2:37" x14ac:dyDescent="0.25">
      <c r="AH21" s="23">
        <v>32</v>
      </c>
      <c r="AI21" s="24" t="s">
        <v>155</v>
      </c>
      <c r="AJ21" s="21"/>
      <c r="AK21" s="21"/>
    </row>
    <row r="22" spans="2:37" ht="18.75" customHeight="1" x14ac:dyDescent="0.25">
      <c r="AH22" s="25">
        <v>41</v>
      </c>
      <c r="AI22" s="104" t="s">
        <v>235</v>
      </c>
      <c r="AJ22" s="21"/>
      <c r="AK22" s="21"/>
    </row>
    <row r="23" spans="2:37" x14ac:dyDescent="0.25">
      <c r="AH23" s="21"/>
      <c r="AI23" s="103"/>
      <c r="AJ23" s="21"/>
      <c r="AK23" s="21"/>
    </row>
    <row r="24" spans="2:37" x14ac:dyDescent="0.25">
      <c r="AH24" s="21"/>
      <c r="AI24" s="21"/>
      <c r="AJ24" s="21"/>
      <c r="AK24" s="21"/>
    </row>
    <row r="25" spans="2:37" x14ac:dyDescent="0.25">
      <c r="AH25" s="44" t="s">
        <v>103</v>
      </c>
      <c r="AI25" s="43"/>
    </row>
    <row r="26" spans="2:37" ht="30.75" customHeight="1" x14ac:dyDescent="0.25">
      <c r="AH26" s="21"/>
      <c r="AI26" s="21"/>
      <c r="AJ26" s="21"/>
      <c r="AK26" s="21"/>
    </row>
    <row r="31" spans="2:37" x14ac:dyDescent="0.25">
      <c r="B31" s="129" t="s">
        <v>14</v>
      </c>
      <c r="C31" s="130"/>
      <c r="D31" s="127" t="s">
        <v>20</v>
      </c>
      <c r="E31" s="127"/>
      <c r="F31" s="127"/>
      <c r="G31" s="127"/>
      <c r="H31" s="127"/>
      <c r="I31" s="127"/>
      <c r="J31" s="127"/>
      <c r="K31" s="127"/>
    </row>
    <row r="32" spans="2:37" x14ac:dyDescent="0.25">
      <c r="B32" s="129" t="s">
        <v>15</v>
      </c>
      <c r="C32" s="130"/>
      <c r="D32" s="124" t="s">
        <v>19</v>
      </c>
      <c r="E32" s="125"/>
      <c r="F32" s="125"/>
      <c r="G32" s="125"/>
      <c r="H32" s="125"/>
      <c r="I32" s="125"/>
      <c r="J32" s="125"/>
      <c r="K32" s="126"/>
    </row>
    <row r="33" spans="2:11" x14ac:dyDescent="0.25">
      <c r="B33" s="19" t="s">
        <v>79</v>
      </c>
      <c r="C33" s="20"/>
      <c r="D33" s="124" t="s">
        <v>106</v>
      </c>
      <c r="E33" s="125"/>
      <c r="F33" s="125"/>
      <c r="G33" s="125"/>
      <c r="H33" s="125"/>
      <c r="I33" s="125"/>
      <c r="J33" s="125"/>
      <c r="K33" s="126"/>
    </row>
    <row r="34" spans="2:11" x14ac:dyDescent="0.25">
      <c r="B34" s="37" t="s">
        <v>105</v>
      </c>
      <c r="C34" s="38"/>
      <c r="D34" s="39" t="s">
        <v>107</v>
      </c>
      <c r="E34" s="40"/>
      <c r="F34" s="40"/>
      <c r="G34" s="40"/>
      <c r="H34" s="40"/>
      <c r="I34" s="40"/>
      <c r="J34" s="40"/>
      <c r="K34" s="41"/>
    </row>
    <row r="35" spans="2:11" x14ac:dyDescent="0.25">
      <c r="B35" s="129" t="s">
        <v>16</v>
      </c>
      <c r="C35" s="130"/>
      <c r="D35" s="128" t="s">
        <v>24</v>
      </c>
      <c r="E35" s="128"/>
      <c r="F35" s="128"/>
      <c r="G35" s="128"/>
      <c r="H35" s="128"/>
      <c r="I35" s="128"/>
      <c r="J35" s="128"/>
      <c r="K35" s="128"/>
    </row>
    <row r="36" spans="2:11" x14ac:dyDescent="0.25">
      <c r="B36" s="129" t="s">
        <v>17</v>
      </c>
      <c r="C36" s="130"/>
      <c r="D36" s="124" t="s">
        <v>18</v>
      </c>
      <c r="E36" s="125"/>
      <c r="F36" s="125"/>
      <c r="G36" s="125"/>
      <c r="H36" s="125"/>
      <c r="I36" s="125"/>
      <c r="J36" s="125"/>
      <c r="K36" s="126"/>
    </row>
    <row r="37" spans="2:11" x14ac:dyDescent="0.25">
      <c r="B37" s="129" t="s">
        <v>63</v>
      </c>
      <c r="C37" s="130"/>
      <c r="D37" s="124" t="s">
        <v>64</v>
      </c>
      <c r="E37" s="125"/>
      <c r="F37" s="125"/>
      <c r="G37" s="125"/>
      <c r="H37" s="125"/>
      <c r="I37" s="125"/>
      <c r="J37" s="125"/>
      <c r="K37" s="126"/>
    </row>
    <row r="38" spans="2:11" x14ac:dyDescent="0.25">
      <c r="B38" s="129" t="s">
        <v>85</v>
      </c>
      <c r="C38" s="130"/>
      <c r="D38" s="124" t="s">
        <v>86</v>
      </c>
      <c r="E38" s="125"/>
      <c r="F38" s="125"/>
      <c r="G38" s="125"/>
      <c r="H38" s="125"/>
      <c r="I38" s="125"/>
      <c r="J38" s="125"/>
      <c r="K38" s="126"/>
    </row>
  </sheetData>
  <mergeCells count="13">
    <mergeCell ref="B38:C38"/>
    <mergeCell ref="D38:K38"/>
    <mergeCell ref="B37:C37"/>
    <mergeCell ref="D37:K37"/>
    <mergeCell ref="B36:C36"/>
    <mergeCell ref="D32:K32"/>
    <mergeCell ref="D36:K36"/>
    <mergeCell ref="D31:K31"/>
    <mergeCell ref="D35:K35"/>
    <mergeCell ref="B31:C31"/>
    <mergeCell ref="B32:C32"/>
    <mergeCell ref="B35:C35"/>
    <mergeCell ref="D33:K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5483-4472-434F-938A-CBF093CADD0F}">
  <dimension ref="A1:K76"/>
  <sheetViews>
    <sheetView workbookViewId="0"/>
  </sheetViews>
  <sheetFormatPr defaultRowHeight="15" x14ac:dyDescent="0.25"/>
  <cols>
    <col min="1" max="1" width="3.25" style="137" customWidth="1"/>
    <col min="2" max="2" width="10.5" style="137" bestFit="1" customWidth="1"/>
    <col min="3" max="3" width="35.125" style="138" customWidth="1"/>
    <col min="4" max="4" width="9" style="137"/>
    <col min="5" max="5" width="13.875" style="137" bestFit="1" customWidth="1"/>
    <col min="6" max="6" width="32" style="137" bestFit="1" customWidth="1"/>
    <col min="7" max="7" width="9" style="137"/>
    <col min="8" max="8" width="32" style="137" bestFit="1" customWidth="1"/>
    <col min="9" max="9" width="28.75" style="137" customWidth="1"/>
    <col min="10" max="10" width="18.75" style="137" bestFit="1" customWidth="1"/>
    <col min="11" max="11" width="17.125" style="137" bestFit="1" customWidth="1"/>
    <col min="12" max="16384" width="9" style="137"/>
  </cols>
  <sheetData>
    <row r="1" spans="1:11" s="26" customFormat="1" ht="18.75" x14ac:dyDescent="0.25">
      <c r="A1" s="34" t="s">
        <v>276</v>
      </c>
      <c r="C1" s="27"/>
    </row>
    <row r="2" spans="1:11" s="26" customFormat="1" x14ac:dyDescent="0.25">
      <c r="B2" s="28"/>
      <c r="C2" s="27"/>
      <c r="H2" s="131" t="s">
        <v>25</v>
      </c>
      <c r="I2" s="131"/>
    </row>
    <row r="3" spans="1:11" s="31" customFormat="1" x14ac:dyDescent="0.25">
      <c r="A3" s="29"/>
      <c r="B3" s="30" t="s">
        <v>26</v>
      </c>
      <c r="C3" s="106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65</v>
      </c>
    </row>
    <row r="4" spans="1:11" ht="60" x14ac:dyDescent="0.25">
      <c r="A4" s="140">
        <v>1</v>
      </c>
      <c r="B4" s="137" t="s">
        <v>266</v>
      </c>
      <c r="C4" s="138" t="s">
        <v>267</v>
      </c>
      <c r="D4" s="137" t="s">
        <v>37</v>
      </c>
      <c r="E4" s="139">
        <v>44349.304166666669</v>
      </c>
      <c r="F4" s="137" t="s">
        <v>172</v>
      </c>
      <c r="G4" s="137" t="s">
        <v>14</v>
      </c>
      <c r="H4" s="137" t="s">
        <v>84</v>
      </c>
      <c r="J4" s="137" t="s">
        <v>97</v>
      </c>
      <c r="K4" s="137" t="s">
        <v>70</v>
      </c>
    </row>
    <row r="5" spans="1:11" ht="30" x14ac:dyDescent="0.25">
      <c r="A5" s="140">
        <v>2</v>
      </c>
      <c r="B5" s="137" t="s">
        <v>268</v>
      </c>
      <c r="C5" s="138" t="s">
        <v>269</v>
      </c>
      <c r="D5" s="137" t="s">
        <v>37</v>
      </c>
      <c r="E5" s="139">
        <v>44349.169444444444</v>
      </c>
      <c r="F5" s="137" t="s">
        <v>39</v>
      </c>
      <c r="G5" s="137" t="s">
        <v>270</v>
      </c>
      <c r="I5" s="137" t="s">
        <v>183</v>
      </c>
      <c r="J5" s="137" t="s">
        <v>97</v>
      </c>
      <c r="K5" s="137" t="s">
        <v>71</v>
      </c>
    </row>
    <row r="6" spans="1:11" ht="45" x14ac:dyDescent="0.25">
      <c r="A6" s="140">
        <v>3</v>
      </c>
      <c r="B6" s="137" t="s">
        <v>260</v>
      </c>
      <c r="C6" s="138" t="s">
        <v>261</v>
      </c>
      <c r="D6" s="137" t="s">
        <v>37</v>
      </c>
      <c r="E6" s="139">
        <v>44348.347916666666</v>
      </c>
      <c r="F6" s="137" t="s">
        <v>108</v>
      </c>
      <c r="G6" s="137" t="s">
        <v>14</v>
      </c>
      <c r="H6" s="137" t="s">
        <v>84</v>
      </c>
      <c r="K6" s="137" t="s">
        <v>66</v>
      </c>
    </row>
    <row r="7" spans="1:11" ht="45" x14ac:dyDescent="0.25">
      <c r="A7" s="140">
        <v>4</v>
      </c>
      <c r="B7" s="137" t="s">
        <v>262</v>
      </c>
      <c r="C7" s="138" t="s">
        <v>263</v>
      </c>
      <c r="D7" s="137" t="s">
        <v>37</v>
      </c>
      <c r="E7" s="139">
        <v>44348.262499999997</v>
      </c>
      <c r="F7" s="137" t="s">
        <v>39</v>
      </c>
      <c r="G7" s="137" t="s">
        <v>274</v>
      </c>
      <c r="I7" s="137" t="s">
        <v>50</v>
      </c>
      <c r="J7" s="137" t="s">
        <v>97</v>
      </c>
      <c r="K7" s="137" t="s">
        <v>71</v>
      </c>
    </row>
    <row r="8" spans="1:11" ht="45" x14ac:dyDescent="0.25">
      <c r="A8" s="140">
        <v>5</v>
      </c>
      <c r="B8" s="137" t="s">
        <v>254</v>
      </c>
      <c r="C8" s="138" t="s">
        <v>255</v>
      </c>
      <c r="D8" s="137" t="s">
        <v>37</v>
      </c>
      <c r="E8" s="139">
        <v>44345.271527777775</v>
      </c>
      <c r="F8" s="137" t="s">
        <v>132</v>
      </c>
      <c r="G8" s="137" t="s">
        <v>14</v>
      </c>
      <c r="H8" s="137" t="s">
        <v>132</v>
      </c>
      <c r="K8" s="137" t="s">
        <v>71</v>
      </c>
    </row>
    <row r="9" spans="1:11" ht="30" x14ac:dyDescent="0.25">
      <c r="A9" s="140">
        <v>6</v>
      </c>
      <c r="B9" s="137" t="s">
        <v>256</v>
      </c>
      <c r="C9" s="138" t="s">
        <v>257</v>
      </c>
      <c r="D9" s="137" t="s">
        <v>37</v>
      </c>
      <c r="E9" s="139">
        <v>44345.226388888892</v>
      </c>
      <c r="F9" s="137" t="s">
        <v>39</v>
      </c>
      <c r="G9" s="137" t="s">
        <v>14</v>
      </c>
      <c r="H9" s="137" t="s">
        <v>39</v>
      </c>
      <c r="K9" s="137" t="s">
        <v>66</v>
      </c>
    </row>
    <row r="10" spans="1:11" ht="30" x14ac:dyDescent="0.25">
      <c r="A10" s="140">
        <v>7</v>
      </c>
      <c r="B10" s="137" t="s">
        <v>258</v>
      </c>
      <c r="C10" s="138" t="s">
        <v>259</v>
      </c>
      <c r="D10" s="137" t="s">
        <v>37</v>
      </c>
      <c r="E10" s="139">
        <v>44345.106944444444</v>
      </c>
      <c r="F10" s="137" t="s">
        <v>132</v>
      </c>
      <c r="G10" s="137" t="s">
        <v>14</v>
      </c>
      <c r="H10" s="137" t="s">
        <v>132</v>
      </c>
      <c r="K10" s="137" t="s">
        <v>70</v>
      </c>
    </row>
    <row r="11" spans="1:11" ht="30" x14ac:dyDescent="0.25">
      <c r="A11" s="140">
        <v>8</v>
      </c>
      <c r="B11" s="137" t="s">
        <v>246</v>
      </c>
      <c r="C11" s="138" t="s">
        <v>247</v>
      </c>
      <c r="D11" s="137" t="s">
        <v>264</v>
      </c>
      <c r="E11" s="139">
        <v>44344.32916666667</v>
      </c>
      <c r="F11" s="137" t="s">
        <v>132</v>
      </c>
      <c r="G11" s="137" t="s">
        <v>15</v>
      </c>
      <c r="H11" s="137" t="s">
        <v>132</v>
      </c>
      <c r="J11" s="137" t="s">
        <v>97</v>
      </c>
      <c r="K11" s="137" t="s">
        <v>71</v>
      </c>
    </row>
    <row r="12" spans="1:11" ht="30" x14ac:dyDescent="0.25">
      <c r="A12" s="140">
        <v>9</v>
      </c>
      <c r="B12" s="137" t="s">
        <v>248</v>
      </c>
      <c r="C12" s="138" t="s">
        <v>249</v>
      </c>
      <c r="D12" s="137" t="s">
        <v>37</v>
      </c>
      <c r="E12" s="139">
        <v>44344.206944444442</v>
      </c>
      <c r="F12" s="137" t="s">
        <v>39</v>
      </c>
      <c r="G12" s="137" t="s">
        <v>79</v>
      </c>
      <c r="I12" s="137" t="s">
        <v>153</v>
      </c>
      <c r="J12" s="137" t="s">
        <v>97</v>
      </c>
      <c r="K12" s="137" t="s">
        <v>71</v>
      </c>
    </row>
    <row r="13" spans="1:11" ht="30" x14ac:dyDescent="0.25">
      <c r="A13" s="140">
        <v>10</v>
      </c>
      <c r="B13" s="137" t="s">
        <v>250</v>
      </c>
      <c r="C13" s="138" t="s">
        <v>251</v>
      </c>
      <c r="D13" s="137" t="s">
        <v>37</v>
      </c>
      <c r="E13" s="139">
        <v>44344.198611111111</v>
      </c>
      <c r="F13" s="137" t="s">
        <v>132</v>
      </c>
      <c r="G13" s="137" t="s">
        <v>14</v>
      </c>
      <c r="H13" s="137" t="s">
        <v>104</v>
      </c>
      <c r="K13" s="137" t="s">
        <v>70</v>
      </c>
    </row>
    <row r="14" spans="1:11" ht="60" x14ac:dyDescent="0.25">
      <c r="A14" s="140">
        <v>11</v>
      </c>
      <c r="B14" s="137" t="s">
        <v>252</v>
      </c>
      <c r="C14" s="138" t="s">
        <v>253</v>
      </c>
      <c r="D14" s="137" t="s">
        <v>37</v>
      </c>
      <c r="E14" s="139">
        <v>44344.125</v>
      </c>
      <c r="F14" s="137" t="s">
        <v>172</v>
      </c>
      <c r="G14" s="137" t="s">
        <v>14</v>
      </c>
      <c r="H14" s="137" t="s">
        <v>84</v>
      </c>
      <c r="K14" s="137" t="s">
        <v>70</v>
      </c>
    </row>
    <row r="15" spans="1:11" ht="30" x14ac:dyDescent="0.25">
      <c r="A15" s="140">
        <v>12</v>
      </c>
      <c r="B15" s="137" t="s">
        <v>239</v>
      </c>
      <c r="C15" s="138" t="s">
        <v>240</v>
      </c>
      <c r="D15" s="137" t="s">
        <v>37</v>
      </c>
      <c r="E15" s="139">
        <v>44343.369444444441</v>
      </c>
      <c r="F15" s="137" t="s">
        <v>108</v>
      </c>
      <c r="G15" s="137" t="s">
        <v>14</v>
      </c>
      <c r="H15" s="137" t="s">
        <v>84</v>
      </c>
      <c r="K15" s="137" t="s">
        <v>70</v>
      </c>
    </row>
    <row r="16" spans="1:11" ht="30" x14ac:dyDescent="0.25">
      <c r="A16" s="140">
        <v>13</v>
      </c>
      <c r="B16" s="137" t="s">
        <v>233</v>
      </c>
      <c r="C16" s="138" t="s">
        <v>234</v>
      </c>
      <c r="D16" s="137" t="s">
        <v>37</v>
      </c>
      <c r="E16" s="139">
        <v>44335.307638888888</v>
      </c>
      <c r="F16" s="137" t="s">
        <v>39</v>
      </c>
      <c r="G16" s="137" t="s">
        <v>69</v>
      </c>
      <c r="I16" s="137" t="s">
        <v>50</v>
      </c>
      <c r="J16" s="137" t="s">
        <v>97</v>
      </c>
      <c r="K16" s="137" t="s">
        <v>66</v>
      </c>
    </row>
    <row r="17" spans="1:11" ht="45" x14ac:dyDescent="0.25">
      <c r="A17" s="140">
        <v>14</v>
      </c>
      <c r="B17" s="137" t="s">
        <v>228</v>
      </c>
      <c r="C17" s="138" t="s">
        <v>229</v>
      </c>
      <c r="D17" s="137" t="s">
        <v>37</v>
      </c>
      <c r="E17" s="139">
        <v>44331.378472222219</v>
      </c>
      <c r="F17" s="137" t="s">
        <v>132</v>
      </c>
      <c r="G17" s="137" t="s">
        <v>270</v>
      </c>
      <c r="I17" s="137" t="s">
        <v>153</v>
      </c>
      <c r="J17" s="137" t="s">
        <v>97</v>
      </c>
      <c r="K17" s="137" t="s">
        <v>71</v>
      </c>
    </row>
    <row r="18" spans="1:11" ht="30" x14ac:dyDescent="0.25">
      <c r="A18" s="140">
        <v>15</v>
      </c>
      <c r="B18" s="137" t="s">
        <v>230</v>
      </c>
      <c r="C18" s="138" t="s">
        <v>231</v>
      </c>
      <c r="D18" s="137" t="s">
        <v>37</v>
      </c>
      <c r="E18" s="139">
        <v>44331.352083333331</v>
      </c>
      <c r="F18" s="137" t="s">
        <v>39</v>
      </c>
      <c r="G18" s="137" t="s">
        <v>15</v>
      </c>
      <c r="H18" s="137" t="s">
        <v>39</v>
      </c>
      <c r="J18" s="137" t="s">
        <v>97</v>
      </c>
      <c r="K18" s="137" t="s">
        <v>66</v>
      </c>
    </row>
    <row r="19" spans="1:11" ht="45" x14ac:dyDescent="0.25">
      <c r="A19" s="140">
        <v>16</v>
      </c>
      <c r="B19" s="137" t="s">
        <v>207</v>
      </c>
      <c r="C19" s="138" t="s">
        <v>208</v>
      </c>
      <c r="D19" s="137" t="s">
        <v>37</v>
      </c>
      <c r="E19" s="139">
        <v>44330.327777777777</v>
      </c>
      <c r="F19" s="137" t="s">
        <v>39</v>
      </c>
      <c r="G19" s="137" t="s">
        <v>16</v>
      </c>
      <c r="I19" s="137" t="s">
        <v>50</v>
      </c>
      <c r="J19" s="137" t="s">
        <v>97</v>
      </c>
      <c r="K19" s="137" t="s">
        <v>66</v>
      </c>
    </row>
    <row r="20" spans="1:11" ht="60" x14ac:dyDescent="0.25">
      <c r="A20" s="140">
        <v>17</v>
      </c>
      <c r="B20" s="137" t="s">
        <v>209</v>
      </c>
      <c r="C20" s="138" t="s">
        <v>210</v>
      </c>
      <c r="D20" s="137" t="s">
        <v>37</v>
      </c>
      <c r="E20" s="139">
        <v>44330.24722222222</v>
      </c>
      <c r="F20" s="137" t="s">
        <v>172</v>
      </c>
      <c r="G20" s="137" t="s">
        <v>14</v>
      </c>
      <c r="H20" s="137" t="s">
        <v>172</v>
      </c>
      <c r="K20" s="137" t="s">
        <v>66</v>
      </c>
    </row>
    <row r="21" spans="1:11" ht="45" x14ac:dyDescent="0.25">
      <c r="A21" s="140">
        <v>18</v>
      </c>
      <c r="B21" s="137" t="s">
        <v>205</v>
      </c>
      <c r="C21" s="138" t="s">
        <v>206</v>
      </c>
      <c r="D21" s="137" t="s">
        <v>37</v>
      </c>
      <c r="E21" s="139">
        <v>44328.176388888889</v>
      </c>
      <c r="F21" s="137" t="s">
        <v>132</v>
      </c>
      <c r="G21" s="137" t="s">
        <v>69</v>
      </c>
      <c r="H21" s="137" t="s">
        <v>132</v>
      </c>
      <c r="J21" s="137" t="s">
        <v>97</v>
      </c>
      <c r="K21" s="137" t="s">
        <v>71</v>
      </c>
    </row>
    <row r="22" spans="1:11" ht="30" x14ac:dyDescent="0.25">
      <c r="A22" s="140">
        <v>19</v>
      </c>
      <c r="B22" s="137" t="s">
        <v>201</v>
      </c>
      <c r="C22" s="138" t="s">
        <v>202</v>
      </c>
      <c r="D22" s="137" t="s">
        <v>37</v>
      </c>
      <c r="E22" s="139">
        <v>44327.345138888886</v>
      </c>
      <c r="F22" s="137" t="s">
        <v>132</v>
      </c>
      <c r="G22" s="137" t="s">
        <v>14</v>
      </c>
      <c r="H22" s="137" t="s">
        <v>132</v>
      </c>
      <c r="K22" s="137" t="s">
        <v>66</v>
      </c>
    </row>
    <row r="23" spans="1:11" ht="30" x14ac:dyDescent="0.25">
      <c r="A23" s="140">
        <v>20</v>
      </c>
      <c r="B23" s="137" t="s">
        <v>203</v>
      </c>
      <c r="C23" s="138" t="s">
        <v>204</v>
      </c>
      <c r="D23" s="137" t="s">
        <v>37</v>
      </c>
      <c r="E23" s="139">
        <v>44327.304861111108</v>
      </c>
      <c r="F23" s="137" t="s">
        <v>39</v>
      </c>
      <c r="G23" s="137" t="s">
        <v>14</v>
      </c>
      <c r="I23" s="137" t="s">
        <v>50</v>
      </c>
      <c r="J23" s="137" t="s">
        <v>97</v>
      </c>
      <c r="K23" s="137" t="s">
        <v>66</v>
      </c>
    </row>
    <row r="24" spans="1:11" ht="45" x14ac:dyDescent="0.25">
      <c r="A24" s="140">
        <v>21</v>
      </c>
      <c r="B24" s="137" t="s">
        <v>196</v>
      </c>
      <c r="C24" s="138" t="s">
        <v>197</v>
      </c>
      <c r="D24" s="137" t="s">
        <v>37</v>
      </c>
      <c r="E24" s="139">
        <v>44321.211805555555</v>
      </c>
      <c r="F24" s="137" t="s">
        <v>172</v>
      </c>
      <c r="G24" s="137" t="s">
        <v>14</v>
      </c>
      <c r="I24" s="137" t="s">
        <v>81</v>
      </c>
      <c r="J24" s="137" t="s">
        <v>97</v>
      </c>
      <c r="K24" s="137" t="s">
        <v>66</v>
      </c>
    </row>
    <row r="25" spans="1:11" ht="45" x14ac:dyDescent="0.25">
      <c r="A25" s="140">
        <v>22</v>
      </c>
      <c r="B25" s="137" t="s">
        <v>198</v>
      </c>
      <c r="C25" s="138" t="s">
        <v>199</v>
      </c>
      <c r="D25" s="137" t="s">
        <v>37</v>
      </c>
      <c r="E25" s="139">
        <v>44321.15347222222</v>
      </c>
      <c r="F25" s="137" t="s">
        <v>132</v>
      </c>
      <c r="G25" s="137" t="s">
        <v>274</v>
      </c>
      <c r="I25" s="137" t="s">
        <v>50</v>
      </c>
      <c r="J25" s="137" t="s">
        <v>97</v>
      </c>
      <c r="K25" s="137" t="s">
        <v>71</v>
      </c>
    </row>
    <row r="26" spans="1:11" ht="30" x14ac:dyDescent="0.25">
      <c r="A26" s="140">
        <v>23</v>
      </c>
      <c r="B26" s="137" t="s">
        <v>190</v>
      </c>
      <c r="C26" s="138" t="s">
        <v>191</v>
      </c>
      <c r="D26" s="137" t="s">
        <v>37</v>
      </c>
      <c r="E26" s="139">
        <v>44320.20416666667</v>
      </c>
      <c r="F26" s="137" t="s">
        <v>132</v>
      </c>
      <c r="G26" s="137" t="s">
        <v>69</v>
      </c>
      <c r="H26" s="137" t="s">
        <v>132</v>
      </c>
      <c r="K26" s="137" t="s">
        <v>71</v>
      </c>
    </row>
    <row r="27" spans="1:11" ht="30" x14ac:dyDescent="0.25">
      <c r="A27" s="140">
        <v>24</v>
      </c>
      <c r="B27" s="137" t="s">
        <v>192</v>
      </c>
      <c r="C27" s="138" t="s">
        <v>193</v>
      </c>
      <c r="D27" s="137" t="s">
        <v>37</v>
      </c>
      <c r="E27" s="139">
        <v>44320.134722222225</v>
      </c>
      <c r="F27" s="137" t="s">
        <v>132</v>
      </c>
      <c r="G27" s="137" t="s">
        <v>14</v>
      </c>
      <c r="I27" s="137" t="s">
        <v>50</v>
      </c>
      <c r="J27" s="137" t="s">
        <v>97</v>
      </c>
      <c r="K27" s="137" t="s">
        <v>66</v>
      </c>
    </row>
    <row r="28" spans="1:11" ht="45" x14ac:dyDescent="0.25">
      <c r="A28" s="140">
        <v>25</v>
      </c>
      <c r="B28" s="137" t="s">
        <v>194</v>
      </c>
      <c r="C28" s="138" t="s">
        <v>195</v>
      </c>
      <c r="D28" s="137" t="s">
        <v>37</v>
      </c>
      <c r="E28" s="139">
        <v>44320.094444444447</v>
      </c>
      <c r="F28" s="137" t="s">
        <v>39</v>
      </c>
      <c r="G28" s="137" t="s">
        <v>15</v>
      </c>
      <c r="H28" s="137" t="s">
        <v>39</v>
      </c>
      <c r="J28" s="137" t="s">
        <v>97</v>
      </c>
      <c r="K28" s="137" t="s">
        <v>66</v>
      </c>
    </row>
    <row r="29" spans="1:11" ht="45" x14ac:dyDescent="0.25">
      <c r="A29" s="140">
        <v>26</v>
      </c>
      <c r="B29" s="137" t="s">
        <v>186</v>
      </c>
      <c r="C29" s="138" t="s">
        <v>187</v>
      </c>
      <c r="D29" s="137" t="s">
        <v>37</v>
      </c>
      <c r="E29" s="139">
        <v>44317.350694444445</v>
      </c>
      <c r="F29" s="137" t="s">
        <v>188</v>
      </c>
      <c r="G29" s="137" t="s">
        <v>14</v>
      </c>
      <c r="I29" s="137" t="s">
        <v>188</v>
      </c>
      <c r="K29" s="137" t="s">
        <v>66</v>
      </c>
    </row>
    <row r="30" spans="1:11" ht="30" x14ac:dyDescent="0.25">
      <c r="A30" s="140">
        <v>27</v>
      </c>
      <c r="B30" s="137" t="s">
        <v>181</v>
      </c>
      <c r="C30" s="138" t="s">
        <v>182</v>
      </c>
      <c r="D30" s="137" t="s">
        <v>37</v>
      </c>
      <c r="E30" s="139">
        <v>44308.051388888889</v>
      </c>
      <c r="F30" s="137" t="s">
        <v>39</v>
      </c>
      <c r="G30" s="137" t="s">
        <v>14</v>
      </c>
      <c r="I30" s="137" t="s">
        <v>183</v>
      </c>
      <c r="K30" s="137" t="s">
        <v>66</v>
      </c>
    </row>
    <row r="31" spans="1:11" ht="45" x14ac:dyDescent="0.25">
      <c r="A31" s="140">
        <v>28</v>
      </c>
      <c r="B31" s="137" t="s">
        <v>175</v>
      </c>
      <c r="C31" s="138" t="s">
        <v>176</v>
      </c>
      <c r="D31" s="137" t="s">
        <v>37</v>
      </c>
      <c r="E31" s="139">
        <v>44303.318749999999</v>
      </c>
      <c r="F31" s="137" t="s">
        <v>39</v>
      </c>
      <c r="G31" s="137" t="s">
        <v>69</v>
      </c>
      <c r="I31" s="137" t="s">
        <v>50</v>
      </c>
      <c r="K31" s="137" t="s">
        <v>66</v>
      </c>
    </row>
    <row r="32" spans="1:11" ht="45" x14ac:dyDescent="0.25">
      <c r="A32" s="140">
        <v>29</v>
      </c>
      <c r="B32" s="137" t="s">
        <v>177</v>
      </c>
      <c r="C32" s="138" t="s">
        <v>178</v>
      </c>
      <c r="D32" s="137" t="s">
        <v>37</v>
      </c>
      <c r="E32" s="139">
        <v>44303.256249999999</v>
      </c>
      <c r="F32" s="137" t="s">
        <v>132</v>
      </c>
      <c r="G32" s="137" t="s">
        <v>14</v>
      </c>
      <c r="I32" s="137" t="s">
        <v>50</v>
      </c>
      <c r="J32" s="137" t="s">
        <v>97</v>
      </c>
      <c r="K32" s="137" t="s">
        <v>66</v>
      </c>
    </row>
    <row r="33" spans="1:11" ht="30" x14ac:dyDescent="0.25">
      <c r="A33" s="140">
        <v>30</v>
      </c>
      <c r="B33" s="137" t="s">
        <v>179</v>
      </c>
      <c r="C33" s="138" t="s">
        <v>180</v>
      </c>
      <c r="D33" s="137" t="s">
        <v>37</v>
      </c>
      <c r="E33" s="139">
        <v>44303.203472222223</v>
      </c>
      <c r="F33" s="137" t="s">
        <v>172</v>
      </c>
      <c r="G33" s="137" t="s">
        <v>14</v>
      </c>
      <c r="H33" s="137" t="s">
        <v>132</v>
      </c>
      <c r="K33" s="137" t="s">
        <v>66</v>
      </c>
    </row>
    <row r="34" spans="1:11" ht="45" x14ac:dyDescent="0.25">
      <c r="A34" s="140">
        <v>31</v>
      </c>
      <c r="B34" s="137" t="s">
        <v>170</v>
      </c>
      <c r="C34" s="138" t="s">
        <v>171</v>
      </c>
      <c r="D34" s="137" t="s">
        <v>37</v>
      </c>
      <c r="E34" s="139">
        <v>44302.359722222223</v>
      </c>
      <c r="F34" s="137" t="s">
        <v>39</v>
      </c>
      <c r="G34" s="137" t="s">
        <v>14</v>
      </c>
      <c r="H34" s="137" t="s">
        <v>39</v>
      </c>
      <c r="K34" s="137" t="s">
        <v>66</v>
      </c>
    </row>
    <row r="35" spans="1:11" ht="45" x14ac:dyDescent="0.25">
      <c r="A35" s="140">
        <v>32</v>
      </c>
      <c r="B35" s="137" t="s">
        <v>173</v>
      </c>
      <c r="C35" s="138" t="s">
        <v>174</v>
      </c>
      <c r="D35" s="137" t="s">
        <v>37</v>
      </c>
      <c r="E35" s="139">
        <v>44302.09652777778</v>
      </c>
      <c r="F35" s="137" t="s">
        <v>39</v>
      </c>
      <c r="G35" s="137" t="s">
        <v>14</v>
      </c>
      <c r="I35" s="137" t="s">
        <v>153</v>
      </c>
      <c r="K35" s="137" t="s">
        <v>66</v>
      </c>
    </row>
    <row r="36" spans="1:11" ht="45" x14ac:dyDescent="0.25">
      <c r="A36" s="140">
        <v>33</v>
      </c>
      <c r="B36" s="137" t="s">
        <v>167</v>
      </c>
      <c r="C36" s="138" t="s">
        <v>168</v>
      </c>
      <c r="D36" s="137" t="s">
        <v>37</v>
      </c>
      <c r="E36" s="139">
        <v>44301.052777777775</v>
      </c>
      <c r="F36" s="137" t="s">
        <v>39</v>
      </c>
      <c r="G36" s="137" t="s">
        <v>16</v>
      </c>
      <c r="I36" s="137" t="s">
        <v>50</v>
      </c>
      <c r="J36" s="137" t="s">
        <v>97</v>
      </c>
      <c r="K36" s="137" t="s">
        <v>71</v>
      </c>
    </row>
    <row r="37" spans="1:11" ht="45" x14ac:dyDescent="0.25">
      <c r="A37" s="140">
        <v>34</v>
      </c>
      <c r="B37" s="137" t="s">
        <v>161</v>
      </c>
      <c r="C37" s="138" t="s">
        <v>162</v>
      </c>
      <c r="D37" s="137" t="s">
        <v>37</v>
      </c>
      <c r="E37" s="139">
        <v>44296.186805555553</v>
      </c>
      <c r="F37" s="137" t="s">
        <v>132</v>
      </c>
      <c r="G37" s="137" t="s">
        <v>14</v>
      </c>
      <c r="H37" s="137" t="s">
        <v>132</v>
      </c>
      <c r="K37" s="137" t="s">
        <v>71</v>
      </c>
    </row>
    <row r="38" spans="1:11" ht="45" x14ac:dyDescent="0.25">
      <c r="A38" s="140">
        <v>35</v>
      </c>
      <c r="B38" s="137" t="s">
        <v>163</v>
      </c>
      <c r="C38" s="138" t="s">
        <v>164</v>
      </c>
      <c r="D38" s="137" t="s">
        <v>37</v>
      </c>
      <c r="E38" s="139">
        <v>44296.116666666669</v>
      </c>
      <c r="F38" s="137" t="s">
        <v>132</v>
      </c>
      <c r="G38" s="137" t="s">
        <v>14</v>
      </c>
      <c r="I38" s="137" t="s">
        <v>50</v>
      </c>
      <c r="J38" s="137" t="s">
        <v>97</v>
      </c>
      <c r="K38" s="137" t="s">
        <v>66</v>
      </c>
    </row>
    <row r="39" spans="1:11" ht="30" x14ac:dyDescent="0.25">
      <c r="A39" s="140">
        <v>36</v>
      </c>
      <c r="B39" s="137" t="s">
        <v>165</v>
      </c>
      <c r="C39" s="138" t="s">
        <v>166</v>
      </c>
      <c r="D39" s="137" t="s">
        <v>37</v>
      </c>
      <c r="E39" s="139">
        <v>44296.105555555558</v>
      </c>
      <c r="F39" s="137" t="s">
        <v>39</v>
      </c>
      <c r="G39" s="137" t="s">
        <v>14</v>
      </c>
      <c r="I39" s="137" t="s">
        <v>50</v>
      </c>
      <c r="J39" s="137" t="s">
        <v>97</v>
      </c>
      <c r="K39" s="137" t="s">
        <v>66</v>
      </c>
    </row>
    <row r="40" spans="1:11" ht="30" x14ac:dyDescent="0.25">
      <c r="A40" s="140">
        <v>37</v>
      </c>
      <c r="B40" s="137" t="s">
        <v>158</v>
      </c>
      <c r="C40" s="138" t="s">
        <v>159</v>
      </c>
      <c r="D40" s="137" t="s">
        <v>37</v>
      </c>
      <c r="E40" s="139">
        <v>44295.149305555555</v>
      </c>
      <c r="F40" s="137" t="s">
        <v>38</v>
      </c>
      <c r="G40" s="137" t="s">
        <v>14</v>
      </c>
      <c r="H40" s="137" t="s">
        <v>38</v>
      </c>
      <c r="K40" s="137" t="s">
        <v>66</v>
      </c>
    </row>
    <row r="41" spans="1:11" ht="45" x14ac:dyDescent="0.25">
      <c r="A41" s="140">
        <v>38</v>
      </c>
      <c r="B41" s="137" t="s">
        <v>156</v>
      </c>
      <c r="C41" s="138" t="s">
        <v>157</v>
      </c>
      <c r="D41" s="137" t="s">
        <v>37</v>
      </c>
      <c r="E41" s="139">
        <v>44294.120833333334</v>
      </c>
      <c r="F41" s="137" t="s">
        <v>39</v>
      </c>
      <c r="G41" s="137" t="s">
        <v>69</v>
      </c>
      <c r="I41" s="137" t="s">
        <v>50</v>
      </c>
      <c r="K41" s="137" t="s">
        <v>70</v>
      </c>
    </row>
    <row r="42" spans="1:11" ht="60" x14ac:dyDescent="0.25">
      <c r="A42" s="140">
        <v>39</v>
      </c>
      <c r="B42" s="137" t="s">
        <v>138</v>
      </c>
      <c r="C42" s="138" t="s">
        <v>139</v>
      </c>
      <c r="D42" s="137" t="s">
        <v>37</v>
      </c>
      <c r="E42" s="139">
        <v>44282.46875</v>
      </c>
      <c r="F42" s="137" t="s">
        <v>38</v>
      </c>
      <c r="G42" s="137" t="s">
        <v>14</v>
      </c>
      <c r="I42" s="137" t="s">
        <v>153</v>
      </c>
      <c r="J42" s="137" t="s">
        <v>97</v>
      </c>
      <c r="K42" s="137" t="s">
        <v>66</v>
      </c>
    </row>
    <row r="43" spans="1:11" ht="30" x14ac:dyDescent="0.25">
      <c r="A43" s="140">
        <v>40</v>
      </c>
      <c r="B43" s="137" t="s">
        <v>140</v>
      </c>
      <c r="C43" s="138" t="s">
        <v>141</v>
      </c>
      <c r="D43" s="137" t="s">
        <v>37</v>
      </c>
      <c r="E43" s="139">
        <v>44282.205555555556</v>
      </c>
      <c r="F43" s="137" t="s">
        <v>38</v>
      </c>
      <c r="G43" s="137" t="s">
        <v>14</v>
      </c>
      <c r="H43" s="137" t="s">
        <v>38</v>
      </c>
      <c r="K43" s="137" t="s">
        <v>66</v>
      </c>
    </row>
    <row r="44" spans="1:11" ht="45" x14ac:dyDescent="0.25">
      <c r="A44" s="140">
        <v>41</v>
      </c>
      <c r="B44" s="137" t="s">
        <v>133</v>
      </c>
      <c r="C44" s="138" t="s">
        <v>134</v>
      </c>
      <c r="D44" s="137" t="s">
        <v>37</v>
      </c>
      <c r="E44" s="139">
        <v>44280.244444444441</v>
      </c>
      <c r="F44" s="137" t="s">
        <v>39</v>
      </c>
      <c r="G44" s="137" t="s">
        <v>14</v>
      </c>
      <c r="I44" s="137" t="s">
        <v>153</v>
      </c>
      <c r="J44" s="137" t="s">
        <v>97</v>
      </c>
      <c r="K44" s="137" t="s">
        <v>71</v>
      </c>
    </row>
    <row r="45" spans="1:11" ht="45" x14ac:dyDescent="0.25">
      <c r="A45" s="140">
        <v>42</v>
      </c>
      <c r="B45" s="137" t="s">
        <v>135</v>
      </c>
      <c r="C45" s="138" t="s">
        <v>136</v>
      </c>
      <c r="D45" s="137" t="s">
        <v>37</v>
      </c>
      <c r="E45" s="139">
        <v>44280.134722222225</v>
      </c>
      <c r="F45" s="137" t="s">
        <v>38</v>
      </c>
      <c r="G45" s="137" t="s">
        <v>14</v>
      </c>
      <c r="H45" s="137" t="s">
        <v>38</v>
      </c>
      <c r="K45" s="137" t="s">
        <v>68</v>
      </c>
    </row>
    <row r="46" spans="1:11" ht="45" x14ac:dyDescent="0.25">
      <c r="A46" s="140">
        <v>43</v>
      </c>
      <c r="B46" s="137" t="s">
        <v>130</v>
      </c>
      <c r="C46" s="138" t="s">
        <v>131</v>
      </c>
      <c r="D46" s="137" t="s">
        <v>37</v>
      </c>
      <c r="E46" s="139">
        <v>44278.368750000001</v>
      </c>
      <c r="F46" s="137" t="s">
        <v>132</v>
      </c>
      <c r="G46" s="137" t="s">
        <v>14</v>
      </c>
      <c r="I46" s="137" t="s">
        <v>81</v>
      </c>
      <c r="J46" s="137" t="s">
        <v>97</v>
      </c>
      <c r="K46" s="137" t="s">
        <v>71</v>
      </c>
    </row>
    <row r="47" spans="1:11" ht="45" x14ac:dyDescent="0.25">
      <c r="A47" s="140">
        <v>44</v>
      </c>
      <c r="B47" s="137" t="s">
        <v>128</v>
      </c>
      <c r="C47" s="138" t="s">
        <v>129</v>
      </c>
      <c r="D47" s="137" t="s">
        <v>37</v>
      </c>
      <c r="E47" s="139">
        <v>44275.30972222222</v>
      </c>
      <c r="F47" s="137" t="s">
        <v>39</v>
      </c>
      <c r="G47" s="137" t="s">
        <v>160</v>
      </c>
      <c r="I47" s="137" t="s">
        <v>232</v>
      </c>
      <c r="J47" s="137" t="s">
        <v>97</v>
      </c>
      <c r="K47" s="137" t="s">
        <v>71</v>
      </c>
    </row>
    <row r="48" spans="1:11" ht="30" x14ac:dyDescent="0.25">
      <c r="A48" s="140">
        <v>45</v>
      </c>
      <c r="B48" s="137" t="s">
        <v>109</v>
      </c>
      <c r="C48" s="138" t="s">
        <v>110</v>
      </c>
      <c r="D48" s="137" t="s">
        <v>37</v>
      </c>
      <c r="E48" s="139">
        <v>44274.355555555558</v>
      </c>
      <c r="F48" s="137" t="s">
        <v>108</v>
      </c>
      <c r="G48" s="137" t="s">
        <v>14</v>
      </c>
      <c r="H48" s="137" t="s">
        <v>108</v>
      </c>
      <c r="J48" s="137" t="s">
        <v>97</v>
      </c>
      <c r="K48" s="137" t="s">
        <v>71</v>
      </c>
    </row>
    <row r="49" spans="1:11" x14ac:dyDescent="0.25">
      <c r="A49" s="140">
        <v>46</v>
      </c>
      <c r="B49" s="137" t="s">
        <v>111</v>
      </c>
      <c r="C49" s="138" t="s">
        <v>112</v>
      </c>
      <c r="D49" s="137" t="s">
        <v>37</v>
      </c>
      <c r="E49" s="139">
        <v>44274.253472222219</v>
      </c>
      <c r="F49" s="137" t="s">
        <v>113</v>
      </c>
      <c r="G49" s="137" t="s">
        <v>14</v>
      </c>
      <c r="H49" s="137" t="s">
        <v>113</v>
      </c>
      <c r="K49" s="137" t="s">
        <v>71</v>
      </c>
    </row>
    <row r="50" spans="1:11" x14ac:dyDescent="0.25">
      <c r="A50" s="140">
        <v>47</v>
      </c>
      <c r="B50" s="137" t="s">
        <v>114</v>
      </c>
      <c r="C50" s="138" t="s">
        <v>115</v>
      </c>
      <c r="D50" s="137" t="s">
        <v>37</v>
      </c>
      <c r="E50" s="139">
        <v>44274.228472222225</v>
      </c>
      <c r="F50" s="137" t="s">
        <v>113</v>
      </c>
      <c r="G50" s="137" t="s">
        <v>14</v>
      </c>
      <c r="H50" s="137" t="s">
        <v>113</v>
      </c>
      <c r="K50" s="137" t="s">
        <v>71</v>
      </c>
    </row>
    <row r="51" spans="1:11" ht="30" x14ac:dyDescent="0.25">
      <c r="A51" s="140">
        <v>48</v>
      </c>
      <c r="B51" s="137" t="s">
        <v>117</v>
      </c>
      <c r="C51" s="138" t="s">
        <v>118</v>
      </c>
      <c r="D51" s="137" t="s">
        <v>37</v>
      </c>
      <c r="E51" s="139">
        <v>44274.213194444441</v>
      </c>
      <c r="F51" s="137" t="s">
        <v>116</v>
      </c>
      <c r="G51" s="137" t="s">
        <v>14</v>
      </c>
      <c r="H51" s="137" t="s">
        <v>116</v>
      </c>
      <c r="K51" s="137" t="s">
        <v>71</v>
      </c>
    </row>
    <row r="52" spans="1:11" x14ac:dyDescent="0.25">
      <c r="A52" s="140">
        <v>49</v>
      </c>
      <c r="B52" s="137" t="s">
        <v>119</v>
      </c>
      <c r="C52" s="138" t="s">
        <v>120</v>
      </c>
      <c r="D52" s="137" t="s">
        <v>37</v>
      </c>
      <c r="E52" s="139">
        <v>44274.211111111108</v>
      </c>
      <c r="F52" s="137" t="s">
        <v>116</v>
      </c>
      <c r="G52" s="137" t="s">
        <v>14</v>
      </c>
      <c r="H52" s="137" t="s">
        <v>116</v>
      </c>
      <c r="K52" s="137" t="s">
        <v>71</v>
      </c>
    </row>
    <row r="53" spans="1:11" ht="30" x14ac:dyDescent="0.25">
      <c r="A53" s="140">
        <v>50</v>
      </c>
      <c r="B53" s="137" t="s">
        <v>121</v>
      </c>
      <c r="C53" s="138" t="s">
        <v>122</v>
      </c>
      <c r="D53" s="137" t="s">
        <v>37</v>
      </c>
      <c r="E53" s="139">
        <v>44274.190972222219</v>
      </c>
      <c r="F53" s="137" t="s">
        <v>113</v>
      </c>
      <c r="G53" s="137" t="s">
        <v>14</v>
      </c>
      <c r="H53" s="137" t="s">
        <v>113</v>
      </c>
      <c r="K53" s="137" t="s">
        <v>71</v>
      </c>
    </row>
    <row r="54" spans="1:11" ht="30" x14ac:dyDescent="0.25">
      <c r="A54" s="140">
        <v>51</v>
      </c>
      <c r="B54" s="137" t="s">
        <v>123</v>
      </c>
      <c r="C54" s="138" t="s">
        <v>124</v>
      </c>
      <c r="D54" s="137" t="s">
        <v>37</v>
      </c>
      <c r="E54" s="139">
        <v>44274.177083333336</v>
      </c>
      <c r="F54" s="137" t="s">
        <v>113</v>
      </c>
      <c r="G54" s="137" t="s">
        <v>14</v>
      </c>
      <c r="H54" s="137" t="s">
        <v>113</v>
      </c>
      <c r="K54" s="137" t="s">
        <v>71</v>
      </c>
    </row>
    <row r="55" spans="1:11" ht="30" x14ac:dyDescent="0.25">
      <c r="A55" s="140">
        <v>52</v>
      </c>
      <c r="B55" s="137" t="s">
        <v>125</v>
      </c>
      <c r="C55" s="138" t="s">
        <v>126</v>
      </c>
      <c r="D55" s="137" t="s">
        <v>37</v>
      </c>
      <c r="E55" s="139">
        <v>44274.125</v>
      </c>
      <c r="F55" s="137" t="s">
        <v>84</v>
      </c>
      <c r="G55" s="137" t="s">
        <v>14</v>
      </c>
      <c r="H55" s="137" t="s">
        <v>132</v>
      </c>
      <c r="K55" s="137" t="s">
        <v>71</v>
      </c>
    </row>
    <row r="56" spans="1:11" ht="30" x14ac:dyDescent="0.25">
      <c r="A56" s="140">
        <v>53</v>
      </c>
      <c r="B56" s="137" t="s">
        <v>98</v>
      </c>
      <c r="C56" s="138" t="s">
        <v>99</v>
      </c>
      <c r="D56" s="137" t="s">
        <v>37</v>
      </c>
      <c r="E56" s="139">
        <v>44265.433333333334</v>
      </c>
      <c r="F56" s="137" t="s">
        <v>39</v>
      </c>
      <c r="G56" s="137" t="s">
        <v>105</v>
      </c>
      <c r="I56" s="137" t="s">
        <v>265</v>
      </c>
      <c r="J56" s="137" t="s">
        <v>97</v>
      </c>
      <c r="K56" s="137" t="s">
        <v>71</v>
      </c>
    </row>
    <row r="57" spans="1:11" ht="45" x14ac:dyDescent="0.25">
      <c r="A57" s="140">
        <v>54</v>
      </c>
      <c r="B57" s="137" t="s">
        <v>95</v>
      </c>
      <c r="C57" s="138" t="s">
        <v>96</v>
      </c>
      <c r="D57" s="137" t="s">
        <v>37</v>
      </c>
      <c r="E57" s="139">
        <v>44260.179166666669</v>
      </c>
      <c r="F57" s="137" t="s">
        <v>38</v>
      </c>
      <c r="G57" s="137" t="s">
        <v>14</v>
      </c>
      <c r="H57" s="137" t="s">
        <v>38</v>
      </c>
      <c r="K57" s="137" t="s">
        <v>66</v>
      </c>
    </row>
    <row r="58" spans="1:11" ht="30" x14ac:dyDescent="0.25">
      <c r="A58" s="140">
        <v>55</v>
      </c>
      <c r="B58" s="137" t="s">
        <v>91</v>
      </c>
      <c r="C58" s="138" t="s">
        <v>92</v>
      </c>
      <c r="D58" s="137" t="s">
        <v>37</v>
      </c>
      <c r="E58" s="139">
        <v>44252.148611111108</v>
      </c>
      <c r="F58" s="137" t="s">
        <v>38</v>
      </c>
      <c r="G58" s="137" t="s">
        <v>14</v>
      </c>
      <c r="H58" s="137" t="s">
        <v>84</v>
      </c>
      <c r="J58" s="137" t="s">
        <v>97</v>
      </c>
      <c r="K58" s="137" t="s">
        <v>66</v>
      </c>
    </row>
    <row r="59" spans="1:11" ht="60" x14ac:dyDescent="0.25">
      <c r="A59" s="140">
        <v>56</v>
      </c>
      <c r="B59" s="137" t="s">
        <v>88</v>
      </c>
      <c r="C59" s="138" t="s">
        <v>127</v>
      </c>
      <c r="D59" s="137" t="s">
        <v>37</v>
      </c>
      <c r="E59" s="139">
        <v>44251.509027777778</v>
      </c>
      <c r="F59" s="137" t="s">
        <v>39</v>
      </c>
      <c r="G59" s="137" t="s">
        <v>14</v>
      </c>
      <c r="H59" s="137" t="s">
        <v>39</v>
      </c>
      <c r="J59" s="137" t="s">
        <v>97</v>
      </c>
      <c r="K59" s="137" t="s">
        <v>66</v>
      </c>
    </row>
    <row r="60" spans="1:11" ht="45" x14ac:dyDescent="0.25">
      <c r="A60" s="140">
        <v>57</v>
      </c>
      <c r="B60" s="137" t="s">
        <v>89</v>
      </c>
      <c r="C60" s="138" t="s">
        <v>90</v>
      </c>
      <c r="D60" s="137" t="s">
        <v>37</v>
      </c>
      <c r="E60" s="139">
        <v>44251.28125</v>
      </c>
      <c r="F60" s="137" t="s">
        <v>38</v>
      </c>
      <c r="G60" s="137" t="s">
        <v>69</v>
      </c>
      <c r="H60" s="137" t="s">
        <v>104</v>
      </c>
      <c r="K60" s="137" t="s">
        <v>100</v>
      </c>
    </row>
    <row r="61" spans="1:11" ht="45" x14ac:dyDescent="0.25">
      <c r="A61" s="140">
        <v>58</v>
      </c>
      <c r="B61" s="137" t="s">
        <v>82</v>
      </c>
      <c r="C61" s="138" t="s">
        <v>83</v>
      </c>
      <c r="D61" s="137" t="s">
        <v>37</v>
      </c>
      <c r="E61" s="139">
        <v>44250.474305555559</v>
      </c>
      <c r="F61" s="137" t="s">
        <v>38</v>
      </c>
      <c r="G61" s="137" t="s">
        <v>14</v>
      </c>
      <c r="I61" s="137" t="s">
        <v>81</v>
      </c>
      <c r="K61" s="137" t="s">
        <v>100</v>
      </c>
    </row>
    <row r="62" spans="1:11" ht="45" x14ac:dyDescent="0.25">
      <c r="A62" s="140">
        <v>59</v>
      </c>
      <c r="B62" s="137" t="s">
        <v>75</v>
      </c>
      <c r="C62" s="138" t="s">
        <v>76</v>
      </c>
      <c r="D62" s="137" t="s">
        <v>37</v>
      </c>
      <c r="E62" s="139">
        <v>44246.507638888892</v>
      </c>
      <c r="F62" s="137" t="s">
        <v>38</v>
      </c>
      <c r="G62" s="137" t="s">
        <v>69</v>
      </c>
      <c r="I62" s="137" t="s">
        <v>50</v>
      </c>
      <c r="K62" s="137" t="s">
        <v>66</v>
      </c>
    </row>
    <row r="63" spans="1:11" ht="45" x14ac:dyDescent="0.25">
      <c r="A63" s="140">
        <v>60</v>
      </c>
      <c r="B63" s="137" t="s">
        <v>73</v>
      </c>
      <c r="C63" s="138" t="s">
        <v>74</v>
      </c>
      <c r="D63" s="137" t="s">
        <v>37</v>
      </c>
      <c r="E63" s="139">
        <v>44246.238194444442</v>
      </c>
      <c r="F63" s="137" t="s">
        <v>38</v>
      </c>
      <c r="G63" s="137" t="s">
        <v>69</v>
      </c>
      <c r="I63" s="137" t="s">
        <v>50</v>
      </c>
      <c r="J63" s="137" t="s">
        <v>97</v>
      </c>
      <c r="K63" s="137" t="s">
        <v>71</v>
      </c>
    </row>
    <row r="64" spans="1:11" ht="45" x14ac:dyDescent="0.25">
      <c r="A64" s="140">
        <v>61</v>
      </c>
      <c r="B64" s="137" t="s">
        <v>35</v>
      </c>
      <c r="C64" s="138" t="s">
        <v>36</v>
      </c>
      <c r="D64" s="137" t="s">
        <v>37</v>
      </c>
      <c r="E64" s="139">
        <v>44238.337500000001</v>
      </c>
      <c r="F64" s="137" t="s">
        <v>38</v>
      </c>
      <c r="G64" s="137" t="s">
        <v>16</v>
      </c>
      <c r="H64" s="137" t="s">
        <v>38</v>
      </c>
      <c r="K64" s="137" t="s">
        <v>100</v>
      </c>
    </row>
    <row r="65" spans="1:11" ht="45" x14ac:dyDescent="0.25">
      <c r="A65" s="140">
        <v>62</v>
      </c>
      <c r="B65" s="137" t="s">
        <v>40</v>
      </c>
      <c r="C65" s="138" t="s">
        <v>41</v>
      </c>
      <c r="D65" s="137" t="s">
        <v>37</v>
      </c>
      <c r="E65" s="139">
        <v>44238.286111111112</v>
      </c>
      <c r="F65" s="137" t="s">
        <v>38</v>
      </c>
      <c r="G65" s="137" t="s">
        <v>14</v>
      </c>
      <c r="H65" s="137" t="s">
        <v>38</v>
      </c>
      <c r="K65" s="137" t="s">
        <v>100</v>
      </c>
    </row>
    <row r="66" spans="1:11" ht="45" x14ac:dyDescent="0.25">
      <c r="A66" s="140">
        <v>63</v>
      </c>
      <c r="B66" s="137" t="s">
        <v>42</v>
      </c>
      <c r="C66" s="138" t="s">
        <v>72</v>
      </c>
      <c r="D66" s="137" t="s">
        <v>37</v>
      </c>
      <c r="E66" s="139">
        <v>44237.490277777775</v>
      </c>
      <c r="F66" s="137" t="s">
        <v>38</v>
      </c>
      <c r="G66" s="137" t="s">
        <v>69</v>
      </c>
      <c r="H66" s="137" t="s">
        <v>38</v>
      </c>
      <c r="K66" s="137" t="s">
        <v>100</v>
      </c>
    </row>
    <row r="67" spans="1:11" ht="30" x14ac:dyDescent="0.25">
      <c r="A67" s="140">
        <v>64</v>
      </c>
      <c r="B67" s="137" t="s">
        <v>43</v>
      </c>
      <c r="C67" s="138" t="s">
        <v>44</v>
      </c>
      <c r="D67" s="137" t="s">
        <v>37</v>
      </c>
      <c r="E67" s="139">
        <v>44237.463888888888</v>
      </c>
      <c r="F67" s="137" t="s">
        <v>38</v>
      </c>
      <c r="G67" s="137" t="s">
        <v>14</v>
      </c>
      <c r="H67" s="137" t="s">
        <v>38</v>
      </c>
      <c r="J67" s="137" t="s">
        <v>97</v>
      </c>
      <c r="K67" s="137" t="s">
        <v>71</v>
      </c>
    </row>
    <row r="68" spans="1:11" ht="30" x14ac:dyDescent="0.25">
      <c r="A68" s="140">
        <v>65</v>
      </c>
      <c r="B68" s="137" t="s">
        <v>46</v>
      </c>
      <c r="C68" s="138" t="s">
        <v>47</v>
      </c>
      <c r="D68" s="137" t="s">
        <v>37</v>
      </c>
      <c r="E68" s="139">
        <v>44233.45416666667</v>
      </c>
      <c r="F68" s="137" t="s">
        <v>38</v>
      </c>
      <c r="G68" s="137" t="s">
        <v>14</v>
      </c>
      <c r="H68" s="137" t="s">
        <v>38</v>
      </c>
      <c r="K68" s="137" t="s">
        <v>67</v>
      </c>
    </row>
    <row r="69" spans="1:11" ht="45" x14ac:dyDescent="0.25">
      <c r="A69" s="140">
        <v>66</v>
      </c>
      <c r="B69" s="137" t="s">
        <v>48</v>
      </c>
      <c r="C69" s="138" t="s">
        <v>49</v>
      </c>
      <c r="D69" s="137" t="s">
        <v>37</v>
      </c>
      <c r="E69" s="139">
        <v>44233.393750000003</v>
      </c>
      <c r="F69" s="137" t="s">
        <v>38</v>
      </c>
      <c r="G69" s="137" t="s">
        <v>14</v>
      </c>
      <c r="H69" s="137" t="s">
        <v>38</v>
      </c>
      <c r="J69" s="137" t="s">
        <v>97</v>
      </c>
      <c r="K69" s="137" t="s">
        <v>66</v>
      </c>
    </row>
    <row r="70" spans="1:11" ht="45" x14ac:dyDescent="0.25">
      <c r="A70" s="140">
        <v>67</v>
      </c>
      <c r="B70" s="137" t="s">
        <v>51</v>
      </c>
      <c r="C70" s="138" t="s">
        <v>52</v>
      </c>
      <c r="D70" s="137" t="s">
        <v>37</v>
      </c>
      <c r="E70" s="139">
        <v>44233.282638888886</v>
      </c>
      <c r="F70" s="137" t="s">
        <v>45</v>
      </c>
      <c r="G70" s="137" t="s">
        <v>14</v>
      </c>
      <c r="H70" s="137" t="s">
        <v>132</v>
      </c>
      <c r="J70" s="137" t="s">
        <v>97</v>
      </c>
      <c r="K70" s="137" t="s">
        <v>68</v>
      </c>
    </row>
    <row r="71" spans="1:11" ht="45" x14ac:dyDescent="0.25">
      <c r="A71" s="140">
        <v>68</v>
      </c>
      <c r="B71" s="137" t="s">
        <v>53</v>
      </c>
      <c r="C71" s="138" t="s">
        <v>54</v>
      </c>
      <c r="D71" s="137" t="s">
        <v>37</v>
      </c>
      <c r="E71" s="139">
        <v>44233.215277777781</v>
      </c>
      <c r="F71" s="137" t="s">
        <v>38</v>
      </c>
      <c r="G71" s="137" t="s">
        <v>14</v>
      </c>
      <c r="H71" s="137" t="s">
        <v>38</v>
      </c>
      <c r="K71" s="137" t="s">
        <v>68</v>
      </c>
    </row>
    <row r="72" spans="1:11" ht="30" x14ac:dyDescent="0.25">
      <c r="A72" s="140">
        <v>69</v>
      </c>
      <c r="B72" s="137" t="s">
        <v>55</v>
      </c>
      <c r="C72" s="138" t="s">
        <v>56</v>
      </c>
      <c r="D72" s="137" t="s">
        <v>37</v>
      </c>
      <c r="E72" s="139">
        <v>44232.114583333336</v>
      </c>
      <c r="F72" s="137" t="s">
        <v>38</v>
      </c>
      <c r="G72" s="137" t="s">
        <v>14</v>
      </c>
      <c r="I72" s="137" t="s">
        <v>50</v>
      </c>
      <c r="J72" s="137" t="s">
        <v>97</v>
      </c>
      <c r="K72" s="137" t="s">
        <v>66</v>
      </c>
    </row>
    <row r="73" spans="1:11" ht="45" x14ac:dyDescent="0.25">
      <c r="A73" s="140">
        <v>70</v>
      </c>
      <c r="B73" s="137" t="s">
        <v>57</v>
      </c>
      <c r="C73" s="138" t="s">
        <v>93</v>
      </c>
      <c r="D73" s="137" t="s">
        <v>37</v>
      </c>
      <c r="E73" s="139">
        <v>44225.497916666667</v>
      </c>
      <c r="F73" s="137" t="s">
        <v>38</v>
      </c>
      <c r="G73" s="137" t="s">
        <v>69</v>
      </c>
      <c r="I73" s="137" t="s">
        <v>50</v>
      </c>
      <c r="J73" s="137" t="s">
        <v>97</v>
      </c>
      <c r="K73" s="137" t="s">
        <v>66</v>
      </c>
    </row>
    <row r="74" spans="1:11" ht="45" x14ac:dyDescent="0.25">
      <c r="A74" s="140">
        <v>71</v>
      </c>
      <c r="B74" s="137" t="s">
        <v>58</v>
      </c>
      <c r="C74" s="138" t="s">
        <v>59</v>
      </c>
      <c r="D74" s="137" t="s">
        <v>37</v>
      </c>
      <c r="E74" s="139">
        <v>44223.324999999997</v>
      </c>
      <c r="F74" s="137" t="s">
        <v>38</v>
      </c>
      <c r="G74" s="137" t="s">
        <v>69</v>
      </c>
      <c r="I74" s="137" t="s">
        <v>50</v>
      </c>
      <c r="K74" s="137" t="s">
        <v>100</v>
      </c>
    </row>
    <row r="75" spans="1:11" ht="30" x14ac:dyDescent="0.25">
      <c r="A75" s="140">
        <v>72</v>
      </c>
      <c r="B75" s="137" t="s">
        <v>60</v>
      </c>
      <c r="C75" s="138" t="s">
        <v>94</v>
      </c>
      <c r="D75" s="137" t="s">
        <v>37</v>
      </c>
      <c r="E75" s="139">
        <v>44218.313194444447</v>
      </c>
      <c r="F75" s="137" t="s">
        <v>38</v>
      </c>
      <c r="G75" s="137" t="s">
        <v>14</v>
      </c>
      <c r="I75" s="137" t="s">
        <v>81</v>
      </c>
      <c r="J75" s="137" t="s">
        <v>97</v>
      </c>
      <c r="K75" s="137" t="s">
        <v>66</v>
      </c>
    </row>
    <row r="76" spans="1:11" ht="45" x14ac:dyDescent="0.25">
      <c r="A76" s="140">
        <v>73</v>
      </c>
      <c r="B76" s="137" t="s">
        <v>61</v>
      </c>
      <c r="C76" s="138" t="s">
        <v>62</v>
      </c>
      <c r="D76" s="137" t="s">
        <v>37</v>
      </c>
      <c r="E76" s="139">
        <v>44218.227083333331</v>
      </c>
      <c r="F76" s="137" t="s">
        <v>45</v>
      </c>
      <c r="G76" s="137" t="s">
        <v>14</v>
      </c>
      <c r="I76" s="137" t="s">
        <v>169</v>
      </c>
      <c r="J76" s="137" t="s">
        <v>97</v>
      </c>
      <c r="K76" s="137" t="s">
        <v>67</v>
      </c>
    </row>
  </sheetData>
  <autoFilter ref="B3:K76" xr:uid="{092E5483-4472-434F-938A-CBF093CADD0F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21"/>
  <sheetViews>
    <sheetView topLeftCell="A2" workbookViewId="0">
      <selection activeCell="B2" sqref="B2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3" t="s">
        <v>185</v>
      </c>
    </row>
    <row r="3" spans="2:16" ht="16.5" thickBot="1" x14ac:dyDescent="0.3"/>
    <row r="4" spans="2:16" x14ac:dyDescent="0.25">
      <c r="B4" s="134" t="s">
        <v>146</v>
      </c>
      <c r="C4" s="135"/>
      <c r="D4" s="135"/>
      <c r="E4" s="136"/>
      <c r="F4" s="52"/>
      <c r="I4" s="134" t="s">
        <v>184</v>
      </c>
      <c r="J4" s="135"/>
      <c r="K4" s="135"/>
      <c r="L4" s="135"/>
      <c r="M4" s="135"/>
      <c r="N4" s="136"/>
      <c r="O4" s="52"/>
    </row>
    <row r="5" spans="2:16" ht="31.5" x14ac:dyDescent="0.25">
      <c r="B5" s="63" t="s">
        <v>145</v>
      </c>
      <c r="C5" s="64" t="s">
        <v>137</v>
      </c>
      <c r="D5" s="132" t="s">
        <v>10</v>
      </c>
      <c r="E5" s="133"/>
      <c r="F5" s="52"/>
      <c r="I5" s="47"/>
      <c r="J5" s="96" t="s">
        <v>143</v>
      </c>
      <c r="K5" s="96" t="s">
        <v>142</v>
      </c>
      <c r="L5" s="97" t="s">
        <v>148</v>
      </c>
      <c r="M5" s="96" t="s">
        <v>213</v>
      </c>
      <c r="N5" s="98" t="s">
        <v>144</v>
      </c>
      <c r="O5" s="53"/>
      <c r="P5" s="46"/>
    </row>
    <row r="6" spans="2:16" x14ac:dyDescent="0.25">
      <c r="B6" s="65" t="s">
        <v>1</v>
      </c>
      <c r="C6" s="66" t="s">
        <v>154</v>
      </c>
      <c r="D6" s="60" t="s">
        <v>4</v>
      </c>
      <c r="E6" s="67" t="s">
        <v>154</v>
      </c>
      <c r="F6" s="72"/>
      <c r="I6" s="47" t="s">
        <v>149</v>
      </c>
      <c r="J6" s="48" t="s">
        <v>211</v>
      </c>
      <c r="K6" s="48">
        <v>12</v>
      </c>
      <c r="L6" s="48">
        <v>5</v>
      </c>
      <c r="M6" s="48">
        <v>7</v>
      </c>
      <c r="N6" s="49" t="s">
        <v>216</v>
      </c>
      <c r="O6" s="54"/>
      <c r="P6" s="46"/>
    </row>
    <row r="7" spans="2:16" x14ac:dyDescent="0.25">
      <c r="B7" s="65" t="s">
        <v>2</v>
      </c>
      <c r="C7" s="62" t="s">
        <v>154</v>
      </c>
      <c r="D7" s="60" t="s">
        <v>0</v>
      </c>
      <c r="E7" s="61" t="s">
        <v>154</v>
      </c>
      <c r="F7" s="73"/>
      <c r="I7" s="47" t="s">
        <v>150</v>
      </c>
      <c r="J7" s="48">
        <v>3</v>
      </c>
      <c r="K7" s="48">
        <v>3</v>
      </c>
      <c r="L7" s="48">
        <v>3</v>
      </c>
      <c r="M7" s="48" t="s">
        <v>154</v>
      </c>
      <c r="N7" s="49" t="s">
        <v>215</v>
      </c>
      <c r="O7" s="54"/>
      <c r="P7" s="46"/>
    </row>
    <row r="8" spans="2:16" x14ac:dyDescent="0.25">
      <c r="B8" s="65" t="s">
        <v>3</v>
      </c>
      <c r="C8" s="66" t="s">
        <v>154</v>
      </c>
      <c r="D8" s="60" t="s">
        <v>5</v>
      </c>
      <c r="E8" s="67" t="s">
        <v>154</v>
      </c>
      <c r="F8" s="72"/>
      <c r="I8" s="47" t="s">
        <v>151</v>
      </c>
      <c r="J8" s="48">
        <v>2</v>
      </c>
      <c r="K8" s="48">
        <v>2</v>
      </c>
      <c r="L8" s="48">
        <v>1</v>
      </c>
      <c r="M8" s="48">
        <v>1</v>
      </c>
      <c r="N8" s="49" t="s">
        <v>214</v>
      </c>
      <c r="O8" s="54"/>
    </row>
    <row r="9" spans="2:16" ht="15.75" customHeight="1" thickBot="1" x14ac:dyDescent="0.3">
      <c r="B9" s="68" t="s">
        <v>9</v>
      </c>
      <c r="C9" s="69" t="s">
        <v>154</v>
      </c>
      <c r="D9" s="70" t="s">
        <v>8</v>
      </c>
      <c r="E9" s="71" t="s">
        <v>154</v>
      </c>
      <c r="F9" s="72"/>
      <c r="I9" s="50" t="s">
        <v>152</v>
      </c>
      <c r="J9" s="95">
        <v>8</v>
      </c>
      <c r="K9" s="95" t="s">
        <v>212</v>
      </c>
      <c r="L9" s="95" t="s">
        <v>212</v>
      </c>
      <c r="M9" s="95" t="s">
        <v>212</v>
      </c>
      <c r="N9" s="55" t="s">
        <v>217</v>
      </c>
      <c r="O9" s="54"/>
    </row>
    <row r="10" spans="2:16" x14ac:dyDescent="0.25">
      <c r="I10" s="56" t="s">
        <v>147</v>
      </c>
    </row>
    <row r="13" spans="2:16" x14ac:dyDescent="0.25">
      <c r="B13" s="33" t="s">
        <v>218</v>
      </c>
    </row>
    <row r="14" spans="2:16" ht="16.5" thickBot="1" x14ac:dyDescent="0.3"/>
    <row r="15" spans="2:16" x14ac:dyDescent="0.25">
      <c r="B15" s="134" t="s">
        <v>146</v>
      </c>
      <c r="C15" s="135"/>
      <c r="D15" s="135"/>
      <c r="E15" s="136"/>
      <c r="F15" s="52"/>
      <c r="I15" s="134" t="s">
        <v>219</v>
      </c>
      <c r="J15" s="135"/>
      <c r="K15" s="135"/>
      <c r="L15" s="135"/>
      <c r="M15" s="135"/>
      <c r="N15" s="136"/>
    </row>
    <row r="16" spans="2:16" ht="31.5" x14ac:dyDescent="0.25">
      <c r="B16" s="63" t="s">
        <v>145</v>
      </c>
      <c r="C16" s="64" t="s">
        <v>137</v>
      </c>
      <c r="D16" s="132" t="s">
        <v>10</v>
      </c>
      <c r="E16" s="133"/>
      <c r="F16" s="52"/>
      <c r="I16" s="47"/>
      <c r="J16" s="96" t="s">
        <v>143</v>
      </c>
      <c r="K16" s="96" t="s">
        <v>142</v>
      </c>
      <c r="L16" s="97" t="s">
        <v>148</v>
      </c>
      <c r="M16" s="96" t="s">
        <v>213</v>
      </c>
      <c r="N16" s="98" t="s">
        <v>144</v>
      </c>
    </row>
    <row r="17" spans="2:14" x14ac:dyDescent="0.25">
      <c r="B17" s="65" t="s">
        <v>1</v>
      </c>
      <c r="C17" s="66" t="s">
        <v>154</v>
      </c>
      <c r="D17" s="60" t="s">
        <v>4</v>
      </c>
      <c r="E17" s="67" t="s">
        <v>154</v>
      </c>
      <c r="F17" s="72"/>
      <c r="I17" s="47" t="s">
        <v>149</v>
      </c>
      <c r="J17" s="48" t="s">
        <v>244</v>
      </c>
      <c r="K17" s="48">
        <v>0</v>
      </c>
      <c r="L17" s="48">
        <v>0</v>
      </c>
      <c r="M17" s="48">
        <v>1</v>
      </c>
      <c r="N17" s="49" t="s">
        <v>241</v>
      </c>
    </row>
    <row r="18" spans="2:14" x14ac:dyDescent="0.25">
      <c r="B18" s="65" t="s">
        <v>2</v>
      </c>
      <c r="C18" s="62" t="s">
        <v>154</v>
      </c>
      <c r="D18" s="60" t="s">
        <v>0</v>
      </c>
      <c r="E18" s="61" t="s">
        <v>154</v>
      </c>
      <c r="F18" s="73"/>
      <c r="I18" s="47" t="s">
        <v>150</v>
      </c>
      <c r="J18" s="48">
        <v>1</v>
      </c>
      <c r="K18" s="48">
        <v>0</v>
      </c>
      <c r="L18" s="48">
        <v>0</v>
      </c>
      <c r="M18" s="48">
        <v>1</v>
      </c>
      <c r="N18" s="49" t="s">
        <v>242</v>
      </c>
    </row>
    <row r="19" spans="2:14" x14ac:dyDescent="0.25">
      <c r="B19" s="65" t="s">
        <v>3</v>
      </c>
      <c r="C19" s="66" t="s">
        <v>154</v>
      </c>
      <c r="D19" s="60" t="s">
        <v>5</v>
      </c>
      <c r="E19" s="67" t="s">
        <v>154</v>
      </c>
      <c r="F19" s="72"/>
      <c r="I19" s="47" t="s">
        <v>151</v>
      </c>
      <c r="J19" s="48">
        <v>8</v>
      </c>
      <c r="K19" s="48">
        <v>7</v>
      </c>
      <c r="L19" s="48">
        <v>7</v>
      </c>
      <c r="M19" s="48">
        <v>1</v>
      </c>
      <c r="N19" s="49" t="s">
        <v>243</v>
      </c>
    </row>
    <row r="20" spans="2:14" ht="16.5" thickBot="1" x14ac:dyDescent="0.3">
      <c r="B20" s="68" t="s">
        <v>9</v>
      </c>
      <c r="C20" s="69" t="s">
        <v>154</v>
      </c>
      <c r="D20" s="70" t="s">
        <v>8</v>
      </c>
      <c r="E20" s="71" t="s">
        <v>154</v>
      </c>
      <c r="F20" s="72"/>
      <c r="I20" s="50" t="s">
        <v>152</v>
      </c>
      <c r="J20" s="95">
        <v>11</v>
      </c>
      <c r="K20" s="95" t="s">
        <v>212</v>
      </c>
      <c r="L20" s="95" t="s">
        <v>212</v>
      </c>
      <c r="M20" s="95" t="s">
        <v>212</v>
      </c>
      <c r="N20" s="55" t="s">
        <v>217</v>
      </c>
    </row>
    <row r="21" spans="2:14" x14ac:dyDescent="0.25">
      <c r="I21" s="56" t="s">
        <v>245</v>
      </c>
    </row>
  </sheetData>
  <mergeCells count="6">
    <mergeCell ref="D16:E16"/>
    <mergeCell ref="D5:E5"/>
    <mergeCell ref="B4:E4"/>
    <mergeCell ref="I4:N4"/>
    <mergeCell ref="B15:E15"/>
    <mergeCell ref="I15:N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595954-E598-4469-8490-B07A64AD361E}"/>
</file>

<file path=customXml/itemProps3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2021-06-05T01:07:30Z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