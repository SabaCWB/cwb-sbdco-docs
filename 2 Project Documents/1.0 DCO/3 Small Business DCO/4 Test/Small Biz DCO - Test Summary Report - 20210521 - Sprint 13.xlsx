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F:\DIGITAL\Test Summary Reporting\Small Biz DCO\"/>
    </mc:Choice>
  </mc:AlternateContent>
  <xr:revisionPtr revIDLastSave="0" documentId="13_ncr:1_{80D93799-734A-4200-809E-4FCCF830FEA0}" xr6:coauthVersionLast="46" xr6:coauthVersionMax="46" xr10:uidLastSave="{00000000-0000-0000-0000-000000000000}"/>
  <bookViews>
    <workbookView xWindow="-120" yWindow="-120" windowWidth="29040" windowHeight="15840" tabRatio="516" xr2:uid="{00000000-000D-0000-FFFF-FFFF00000000}"/>
  </bookViews>
  <sheets>
    <sheet name="Small Biz DCO - Test Summary" sheetId="1" r:id="rId1"/>
    <sheet name="Defects Status" sheetId="6" r:id="rId2"/>
    <sheet name="Defect Summary Report" sheetId="67" r:id="rId3"/>
    <sheet name="Sprint Report" sheetId="29" r:id="rId4"/>
  </sheets>
  <definedNames>
    <definedName name="_xlnm._FilterDatabase" localSheetId="2" hidden="1">'Defect Summary Report'!$B$3:$K$70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8" i="6" l="1"/>
  <c r="AI18" i="6"/>
  <c r="C9" i="1"/>
  <c r="E12" i="1" l="1"/>
  <c r="E11" i="1"/>
  <c r="E13" i="1"/>
  <c r="E10" i="1" l="1"/>
</calcChain>
</file>

<file path=xl/sharedStrings.xml><?xml version="1.0" encoding="utf-8"?>
<sst xmlns="http://schemas.openxmlformats.org/spreadsheetml/2006/main" count="648" uniqueCount="260">
  <si>
    <t>% Failed</t>
  </si>
  <si>
    <t>Passed Tests</t>
  </si>
  <si>
    <t>Failed Tests</t>
  </si>
  <si>
    <t>Blocked Tests</t>
  </si>
  <si>
    <t>% Passed</t>
  </si>
  <si>
    <t>% Blocked</t>
  </si>
  <si>
    <t>Intermittent (intermittent issues, cannot reproduce, etc.)</t>
  </si>
  <si>
    <t>Count by Defect Category</t>
  </si>
  <si>
    <t>% Unexecuted</t>
  </si>
  <si>
    <t>Active/Unexecuted</t>
  </si>
  <si>
    <t>%</t>
  </si>
  <si>
    <t>Requirement-Defect (issue with functional specs that need to be corrected)</t>
  </si>
  <si>
    <t>Bug-Text (issue with text: misspelling, different from what is in the functional specs)</t>
  </si>
  <si>
    <t>Bug (functional issue - not working as specified)</t>
  </si>
  <si>
    <t>Backlog</t>
  </si>
  <si>
    <t>Ready for UAT</t>
  </si>
  <si>
    <t>Blocked</t>
  </si>
  <si>
    <t xml:space="preserve">In Test </t>
  </si>
  <si>
    <t>- with Temenos for their testing</t>
  </si>
  <si>
    <t>- defects have been fixed, CWB QA Team needs to validate</t>
  </si>
  <si>
    <t>- defects logged, need to be reviewed by CWB or by Temenos, work is in flight</t>
  </si>
  <si>
    <t>Bug-UI (formatting or layout issues)</t>
  </si>
  <si>
    <t xml:space="preserve">Change type </t>
  </si>
  <si>
    <t xml:space="preserve">CWB QA Team - Test Status Report </t>
  </si>
  <si>
    <t>- waiting for questions/for confirmation, clarification of requirements, 
   other issues impacting work to progress</t>
  </si>
  <si>
    <t>Assignee</t>
  </si>
  <si>
    <t>Issue key</t>
  </si>
  <si>
    <t>Summary</t>
  </si>
  <si>
    <t>Priority</t>
  </si>
  <si>
    <t>Created</t>
  </si>
  <si>
    <t>Reporter</t>
  </si>
  <si>
    <t>Status</t>
  </si>
  <si>
    <t>CWB</t>
  </si>
  <si>
    <t>Temenos</t>
  </si>
  <si>
    <t>Fix Version/s</t>
  </si>
  <si>
    <t>CWBSB-509</t>
  </si>
  <si>
    <t>SBDCO - Authorized Signer - Invitation Email - Content in the email received is quite different than in Field Spec.</t>
  </si>
  <si>
    <t>Medium</t>
  </si>
  <si>
    <t>priya.chodha@cwbank.com</t>
  </si>
  <si>
    <t>cheryl.kirchmaier@cwbank.com</t>
  </si>
  <si>
    <t>CWBSB-503</t>
  </si>
  <si>
    <t>SBDCO - No Validation Message given in Field Spec but App displays the validation message</t>
  </si>
  <si>
    <t>CWBSB-496</t>
  </si>
  <si>
    <t>CWBSB-494</t>
  </si>
  <si>
    <t>SBDCO - Alternate IDV page - Radio button selection and Color issue.</t>
  </si>
  <si>
    <t>mary.pele@cwbank.com</t>
  </si>
  <si>
    <t>CWBSB-474</t>
  </si>
  <si>
    <t>SBDCO - Authorized Signer - IDScan Page - Issue with ID Upload</t>
  </si>
  <si>
    <t>CWBSB-472</t>
  </si>
  <si>
    <t>SBDCO - Auth Signer - Name &amp; Address Page -Radio buttons are default to yes when ID is uploaded in IDScan page</t>
  </si>
  <si>
    <t>angela.ahn@accutive.com</t>
  </si>
  <si>
    <t>CWBSB-470</t>
  </si>
  <si>
    <t>SBDCO- Disclosures - Tax Residency page- Validation Message Needs Verbiage change</t>
  </si>
  <si>
    <t>CWBSB-468</t>
  </si>
  <si>
    <t>SBDCO- Authorized Signer - Entry Page - Progress bar is not displayed in the app but is specified in field Spec.</t>
  </si>
  <si>
    <t>CWBSB-460</t>
  </si>
  <si>
    <t>SBDCO - Existing Customer page - Updates required for the form Values</t>
  </si>
  <si>
    <t>CWBSB-424</t>
  </si>
  <si>
    <t>CWBSB-412</t>
  </si>
  <si>
    <t>SBDCO -Name and Address Page -Issue with Special Characters allowed in the fields</t>
  </si>
  <si>
    <t>CWBSB-395</t>
  </si>
  <si>
    <t>CWBSB-394</t>
  </si>
  <si>
    <t>SBDCO - Qualifying questions page- Next and back button appearing twice when clicked</t>
  </si>
  <si>
    <t xml:space="preserve">In UAT </t>
  </si>
  <si>
    <t>- with CWB for their testing</t>
  </si>
  <si>
    <t>Category</t>
  </si>
  <si>
    <t>Bug</t>
  </si>
  <si>
    <t>Intermittent</t>
  </si>
  <si>
    <t>Requirement-Defect</t>
  </si>
  <si>
    <t>In UAT</t>
  </si>
  <si>
    <t>Bug-Text</t>
  </si>
  <si>
    <t>Bug-UI</t>
  </si>
  <si>
    <t>SBDCO - Authorized Signer - Birthday &amp; Sin Page - Next and back button is navigating to different Pages.</t>
  </si>
  <si>
    <t>CWBSB-547</t>
  </si>
  <si>
    <t>SBDCO - Your Business Page - Validation message not aligned with the message given in field spec</t>
  </si>
  <si>
    <t>CWBSB-550</t>
  </si>
  <si>
    <t>SBDCO - Security questions Page - Special character â€˜ is not accepted in security answer field.</t>
  </si>
  <si>
    <t>Defects logged from previous sprints</t>
  </si>
  <si>
    <t>Total # of defects logged (outstanding)</t>
  </si>
  <si>
    <t>Ready for Review</t>
  </si>
  <si>
    <t xml:space="preserve">Total matches count for outstanding defects </t>
  </si>
  <si>
    <t>balaji.vasudevan@accutive.com</t>
  </si>
  <si>
    <t>CWBSB-565</t>
  </si>
  <si>
    <t>SBDCO - Authorized Signer &amp; Applicant - Contact Info Page - Issue with Mobile Number field.</t>
  </si>
  <si>
    <t>Chix.DelaLuna@cwbank.com</t>
  </si>
  <si>
    <t>Done</t>
  </si>
  <si>
    <t>- fix for defect has been validated working, issue is resolved, defect is closed</t>
  </si>
  <si>
    <t>Created vs. Resolved chart (Open/Closed rate)</t>
  </si>
  <si>
    <t>CWBSB-569</t>
  </si>
  <si>
    <t>CWBSB-567</t>
  </si>
  <si>
    <t>SBDCO - Applicant and Authorized Signer - Security Question Page - Progressive Reveal and Fields behavior on navigation</t>
  </si>
  <si>
    <t>CWBSB-570</t>
  </si>
  <si>
    <t>SBDCO - Applicant &amp; Authorized Signer - Flinks Page - Business Application Time Out</t>
  </si>
  <si>
    <t>SBDCO- Applicant - Issue with Radio button selection when the ID is deleted in IDScan Page</t>
  </si>
  <si>
    <t>SBDCO- Contact Info Page - Auto Fill and Recaptcha Issue (Edge Browser)</t>
  </si>
  <si>
    <t>CWBSB-620</t>
  </si>
  <si>
    <t>SBDCO - Applicant - Not Qualified Info Page - Email address field is accepting invalid formats.</t>
  </si>
  <si>
    <t>Small Biz DCO R1 (F&amp;F)</t>
  </si>
  <si>
    <t>CWBSB-637</t>
  </si>
  <si>
    <t>SBDCO - Security Question - Mobile - Display of two line question</t>
  </si>
  <si>
    <t>CWB-BA-QA-Review</t>
  </si>
  <si>
    <t>CWB-BA-QA-Review (to review and confirm with CWB BA or QA)</t>
  </si>
  <si>
    <t>Count by Defect Assignee</t>
  </si>
  <si>
    <r>
      <t>Refer to</t>
    </r>
    <r>
      <rPr>
        <b/>
        <u/>
        <sz val="12"/>
        <color theme="1"/>
        <rFont val="Calibri"/>
        <family val="2"/>
        <scheme val="minor"/>
      </rPr>
      <t xml:space="preserve"> Defect Summary tab</t>
    </r>
    <r>
      <rPr>
        <b/>
        <sz val="12"/>
        <color theme="1"/>
        <rFont val="Calibri"/>
        <family val="2"/>
        <scheme val="minor"/>
      </rPr>
      <t xml:space="preserve"> for info on OUTSTANDING defects for more info on defect breakdown</t>
    </r>
  </si>
  <si>
    <t>Ian.Hicks@cwbank.com</t>
  </si>
  <si>
    <t>In Development</t>
  </si>
  <si>
    <t>- defect is ready for Temenos review</t>
  </si>
  <si>
    <t>- solution for defect is in development</t>
  </si>
  <si>
    <t>CWBSB-640</t>
  </si>
  <si>
    <t>karthik.padumati@cwbank.com</t>
  </si>
  <si>
    <t>CWBSB-705</t>
  </si>
  <si>
    <t>UX/UI: Email-spacing issue on top and bottom edge, top bar length</t>
  </si>
  <si>
    <t>CWBSB-702</t>
  </si>
  <si>
    <t>UX/UI: Card Alignment display</t>
  </si>
  <si>
    <t>gem.adelaja@cwbank.com</t>
  </si>
  <si>
    <t>CWBSB-701</t>
  </si>
  <si>
    <t>UX/UI: Funding Page - Funding UI spacing</t>
  </si>
  <si>
    <t>venayak.rajahrajaswaran@cwbank.com</t>
  </si>
  <si>
    <t>CWBSB-699</t>
  </si>
  <si>
    <t>UX/UI: Step 6 - Our Fine Print - Control Placement</t>
  </si>
  <si>
    <t>CWBSB-698</t>
  </si>
  <si>
    <t xml:space="preserve">UX/UI: Funding - UI Spacing </t>
  </si>
  <si>
    <t>CWBSB-697</t>
  </si>
  <si>
    <t>UX/UI: Step 1 - Let's get started - Horizontal radio buttons and selection</t>
  </si>
  <si>
    <t>CWBSB-696</t>
  </si>
  <si>
    <t>UX/UI: Access to Digital Banking Page - Missing and incorrect format</t>
  </si>
  <si>
    <t>CWBSB-694</t>
  </si>
  <si>
    <t>UX/UI: Step 13 - Funding Page - UI spacing issue</t>
  </si>
  <si>
    <t>SBDCO â€“U/X  Mobile â€“ Authorized Signer â€“ Submission Complete and Cancel - Footer</t>
  </si>
  <si>
    <t>SBDCO â€“ Authorized Signer â€“ Name &amp; Address page â€“ Error message is displayed regarding dropdown (After Time Out)</t>
  </si>
  <si>
    <t>CWBSB-716</t>
  </si>
  <si>
    <t xml:space="preserve">SBDCO â€“ Mobile â€“ Pages for small business - Next button is displayed highlighted </t>
  </si>
  <si>
    <t>CWBSB-721</t>
  </si>
  <si>
    <t xml:space="preserve">SBDCO - Applicant - Birthday &amp; SIN page - on all iPhone devices for Safari - multiple inline messages stay open </t>
  </si>
  <si>
    <t>Yigal.Shinderman@cwbank.com</t>
  </si>
  <si>
    <t>CWBSB-722</t>
  </si>
  <si>
    <t>SBDCO â€“ Mobile â€“ Non-signing owners - The inline help and icon are displayed off screen</t>
  </si>
  <si>
    <t>CWBSB-727</t>
  </si>
  <si>
    <t>SBDCO â€“ Mobile â€“ Authorised Signer eConsent â€“ No error message header displayed</t>
  </si>
  <si>
    <t>CWBSB-724</t>
  </si>
  <si>
    <t>SBDCO - Applicant - Your Business Page - Use this as my business mailing address radio button group should be mandatory</t>
  </si>
  <si>
    <t>smatharu</t>
  </si>
  <si>
    <t>TBD</t>
  </si>
  <si>
    <t>CWBSB-736</t>
  </si>
  <si>
    <t>SBDCO - Applicant - Non-Signer Owners Page - Validation message is displayed when quebec address is selected, but FS do not state any message for qc selection</t>
  </si>
  <si>
    <t>CWBSB-735</t>
  </si>
  <si>
    <t>SBDCO - Authorized Signer - Qualifying question page - Validation message</t>
  </si>
  <si>
    <t>Tested</t>
  </si>
  <si>
    <t>Planned/Delivered</t>
  </si>
  <si>
    <t>Notes</t>
  </si>
  <si>
    <t>Total Regression Test Cases To Date</t>
  </si>
  <si>
    <t>Regression Testing Completed</t>
  </si>
  <si>
    <t>** Testing the rest of the stories will be covered during E2E</t>
  </si>
  <si>
    <t>Passed</t>
  </si>
  <si>
    <t>Number of Stories</t>
  </si>
  <si>
    <t>Number of Changes</t>
  </si>
  <si>
    <t>Number of Defects logged by CWB</t>
  </si>
  <si>
    <t>Number Defects logged by Temenos</t>
  </si>
  <si>
    <t>lucyliuxin</t>
  </si>
  <si>
    <t>-</t>
  </si>
  <si>
    <t>Assigned to Temenos/BIG to address</t>
  </si>
  <si>
    <t>CWBSB-790</t>
  </si>
  <si>
    <t>SBDCO - Owners, Directors and Signers - Mandatory msg and caption for phone number does not match FS 2.7</t>
  </si>
  <si>
    <t>CWBSB-804</t>
  </si>
  <si>
    <t>SBDCO_Applicant_IDScan Page_The title of the ID uploaded is repeating</t>
  </si>
  <si>
    <t>Awaiting Information</t>
  </si>
  <si>
    <t>CWBSB-813</t>
  </si>
  <si>
    <t xml:space="preserve">SBDCO - Applicant - Application Time Out Page - alignment issue with the Continue button </t>
  </si>
  <si>
    <t>CWBSB-812</t>
  </si>
  <si>
    <t>SBDCO - Owners, Directors and Signers Page - The word Delete is not fully displayed - MAC Safari</t>
  </si>
  <si>
    <t>CWBSB-811</t>
  </si>
  <si>
    <t>SBDCO â€“ Business Account Options â€“ More Options â€“ Cannot Save application</t>
  </si>
  <si>
    <t>CWBSB-839</t>
  </si>
  <si>
    <t>SBDCO - Business Account Options - UX/UI - Section (accordion with Open all/Close all) is missing</t>
  </si>
  <si>
    <t>kendyl.bachelor</t>
  </si>
  <si>
    <t>CWBSB-852</t>
  </si>
  <si>
    <t>SBDCO â€“ Performance â€“ More About Your Business â€“ selecting from the Industry dropdowns is slow</t>
  </si>
  <si>
    <t>CWBSB-851</t>
  </si>
  <si>
    <t>SBDCO-Choose your account(s) page-2 scroll bars are displayed in the page</t>
  </si>
  <si>
    <t>Venkata.Cherukuri@cwbank.com</t>
  </si>
  <si>
    <t>CWBSB-849</t>
  </si>
  <si>
    <t>SBDCO - Account Selection â€“ Displays Monthly Free Transactions when value = 0, should not</t>
  </si>
  <si>
    <t>CWBSB-864</t>
  </si>
  <si>
    <t>SBDCO - Account Selection - Back button â€“ Displays Something Went Wrong _ No modal message</t>
  </si>
  <si>
    <t>CWBSB-862</t>
  </si>
  <si>
    <t>SBDCO- A Convenient option page - Flinks Capital does not accept username or password - iPhone 11 Safari Browser</t>
  </si>
  <si>
    <t>CWBSB-860</t>
  </si>
  <si>
    <t>SBDCO-More Options- Help URL is showing page not found error</t>
  </si>
  <si>
    <t>CWBSB-878</t>
  </si>
  <si>
    <t>SBDCO -  Samsung Tab S6 Lite - Portrait - Multiple issues on multiple pages</t>
  </si>
  <si>
    <t>llaurent</t>
  </si>
  <si>
    <t>Sprint Report - Sprint 12</t>
  </si>
  <si>
    <t>Sprint 12 - Started Apr 28 - to complete May 11</t>
  </si>
  <si>
    <t>CWBSB-923</t>
  </si>
  <si>
    <t>SBDCO - What you've Selected Page: Quantity number is missing inside the product card</t>
  </si>
  <si>
    <t>Sanju.Bhandoria@cwbank.com</t>
  </si>
  <si>
    <t>CWBSB-918</t>
  </si>
  <si>
    <t>SBDCO - Account Selection -  Back button is not displayed</t>
  </si>
  <si>
    <t>Defects</t>
  </si>
  <si>
    <t>CWBSB-927</t>
  </si>
  <si>
    <t>SBDCO - Dynamic Finish page - Cheque - Spacing, Font, Buttons and Verbiage issues</t>
  </si>
  <si>
    <t>CWBSB-926</t>
  </si>
  <si>
    <t>SBDCO - Applicant - App - eConsent page - Hyperlink redirects user to google</t>
  </si>
  <si>
    <t>CWBSB-924</t>
  </si>
  <si>
    <t>SBDCO - Business Disclosures and Signature - Sole Prop - Back button â€“ Goes to App-Flinks page, should not</t>
  </si>
  <si>
    <t>CWBSB-930</t>
  </si>
  <si>
    <t>About your Application- Product descriptions are missing when user clicked continue in the timeout modal popup</t>
  </si>
  <si>
    <t>CWBSB-929</t>
  </si>
  <si>
    <t>SBDCO - Applicant - Page freezes once a GP is on Business Disclosures and Signature Page</t>
  </si>
  <si>
    <t>Total Tests Cases Developed</t>
  </si>
  <si>
    <t>CWBSB-935</t>
  </si>
  <si>
    <t>SBDCO - Email - Cancel - Authorized Signer initiates - The link for here is not the same color as applicant</t>
  </si>
  <si>
    <t>CWBSB-940</t>
  </si>
  <si>
    <t>SBDCO - Application Approval Email - HTML coding in the email</t>
  </si>
  <si>
    <t>CWBSB-939</t>
  </si>
  <si>
    <t>SBDCO - Dynamic Finish - Cheque - Motive Financial incorrect, should be CWB</t>
  </si>
  <si>
    <t>CWBSB-944</t>
  </si>
  <si>
    <t>SBDCO - Method Selection page - MAC Safari - Overlapping between Motive Financial Image and Text</t>
  </si>
  <si>
    <t>Project Name:  Digital Program - Small Biz DCO - SIT Phase - Sprint 13</t>
  </si>
  <si>
    <t>Test Execution for Sprint 13</t>
  </si>
  <si>
    <t>CWBSB-954</t>
  </si>
  <si>
    <t>SBDCO - E2E - Corp â€“ Non-Signer not displayed in T24 for Small Business â€“ Basic Details, should be</t>
  </si>
  <si>
    <t>CWBSB-953</t>
  </si>
  <si>
    <t>Codat page-Images of the accounting packages are not loading, when user clicked continue in the timeout modal popup</t>
  </si>
  <si>
    <t>Approved</t>
  </si>
  <si>
    <t>18**</t>
  </si>
  <si>
    <t>N/A</t>
  </si>
  <si>
    <t>Failed/
Not Tested</t>
  </si>
  <si>
    <t>CWBSB-848 was taken out of Sprint 12</t>
  </si>
  <si>
    <t>All passed</t>
  </si>
  <si>
    <t>Defects logged</t>
  </si>
  <si>
    <t>CWB QA Team does not test defects logged by Temenos</t>
  </si>
  <si>
    <t>Sprint 13 - Started May 12 - to complete May 25</t>
  </si>
  <si>
    <t>Sprint Report - Sprint 13</t>
  </si>
  <si>
    <r>
      <rPr>
        <b/>
        <sz val="11"/>
        <color theme="1"/>
        <rFont val="Calibri"/>
        <family val="2"/>
        <scheme val="minor"/>
      </rPr>
      <t>Resolved</t>
    </r>
    <r>
      <rPr>
        <sz val="11"/>
        <color theme="1"/>
        <rFont val="Calibri"/>
        <family val="2"/>
        <scheme val="minor"/>
      </rPr>
      <t xml:space="preserve"> defects = </t>
    </r>
  </si>
  <si>
    <r>
      <rPr>
        <b/>
        <sz val="11"/>
        <color theme="1"/>
        <rFont val="Calibri"/>
        <family val="2"/>
        <scheme val="minor"/>
      </rPr>
      <t xml:space="preserve">Created </t>
    </r>
    <r>
      <rPr>
        <sz val="11"/>
        <color theme="1"/>
        <rFont val="Calibri"/>
        <family val="2"/>
        <scheme val="minor"/>
      </rPr>
      <t xml:space="preserve">defects   = </t>
    </r>
  </si>
  <si>
    <t xml:space="preserve">JIRA counts "Done" = </t>
  </si>
  <si>
    <t xml:space="preserve">and "In UAT" = </t>
  </si>
  <si>
    <t>as resolved</t>
  </si>
  <si>
    <t xml:space="preserve">outstanding defects* (defects not in "done" status) = </t>
  </si>
  <si>
    <t xml:space="preserve">created defects less </t>
  </si>
  <si>
    <t>defects in "done" status</t>
  </si>
  <si>
    <t>CWBSB-960</t>
  </si>
  <si>
    <t xml:space="preserve">SBDCO - Applicant - A GP/CORP applicant at 100% ownership is taken to the Ownership structure page. </t>
  </si>
  <si>
    <t>CWBSB-959</t>
  </si>
  <si>
    <t>SBDCO - Owners, Directors, Signers - Cannot Save application from Options</t>
  </si>
  <si>
    <t>Defects logged from Sprint 13</t>
  </si>
  <si>
    <t>CWBSB-962</t>
  </si>
  <si>
    <t>SBDCO - Applicant - Business Accounts Options Page - Open All/Close All accordion is way too close to the right side of the page</t>
  </si>
  <si>
    <t>rcurran</t>
  </si>
  <si>
    <t>CWBSB-964</t>
  </si>
  <si>
    <t>SBDCO - CODAT - prefill - receiving generic error message 'Something went wrong'</t>
  </si>
  <si>
    <t>Assigned to CWB to address, for retesting, field specs or requirement issue, to review, questions, investigate further, etc</t>
  </si>
  <si>
    <t>none logged today</t>
  </si>
  <si>
    <t>As of May 21, 2021</t>
  </si>
  <si>
    <t>Status of Defects logged by CWB QA Team - as of May 21, 2021</t>
  </si>
  <si>
    <t>Summary of Outstanding Defects - logged by CWB QA Team - as of May 21</t>
  </si>
  <si>
    <r>
      <rPr>
        <b/>
        <u/>
        <sz val="16"/>
        <color theme="1"/>
        <rFont val="Calibri"/>
        <family val="2"/>
        <scheme val="minor"/>
      </rPr>
      <t xml:space="preserve">Notes:
</t>
    </r>
    <r>
      <rPr>
        <sz val="11"/>
        <rFont val="Calibri"/>
        <family val="2"/>
        <scheme val="minor"/>
      </rPr>
      <t>1. Day 8 of test execution -</t>
    </r>
    <r>
      <rPr>
        <b/>
        <sz val="11"/>
        <rFont val="Calibri"/>
        <family val="2"/>
        <scheme val="minor"/>
      </rPr>
      <t xml:space="preserve"> 100%  complete</t>
    </r>
    <r>
      <rPr>
        <sz val="11"/>
        <rFont val="Calibri"/>
        <family val="2"/>
        <scheme val="minor"/>
      </rPr>
      <t xml:space="preserve">
2. Sprint 13 package includes:
     a. 3 stories: 2 will be validated, 1 will be validated during E2E
     b. 1 change request
     c.  8 defect fixes – for defects logged by CWB QA Team
     d. 11 defect fixes – for defects logged by Temenos (excluded from CWB testing)
</t>
    </r>
    <r>
      <rPr>
        <sz val="11"/>
        <color theme="1"/>
        <rFont val="Calibri"/>
        <family val="2"/>
        <scheme val="minor"/>
      </rPr>
      <t xml:space="preserve">3. Refer to Defect Summary Report tab for information on defects
</t>
    </r>
  </si>
  <si>
    <t>In Test</t>
  </si>
  <si>
    <t>2 closed today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</si>
</sst>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1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color rgb="FF1F4E79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sz val="12"/>
      <color theme="8" tint="-0.49998474074526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8" tint="-0.499984740745262"/>
      <name val="Arial"/>
      <family val="2"/>
    </font>
    <font>
      <sz val="10"/>
      <color theme="8" tint="-0.49998474074526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1">
    <xf numFmtId="0" fontId="0" fillId="0" borderId="0"/>
    <xf numFmtId="0" fontId="57" fillId="0" borderId="0"/>
    <xf numFmtId="0" fontId="56" fillId="0" borderId="0"/>
    <xf numFmtId="0" fontId="55" fillId="0" borderId="0"/>
    <xf numFmtId="0" fontId="55" fillId="0" borderId="0"/>
    <xf numFmtId="0" fontId="54" fillId="0" borderId="0"/>
    <xf numFmtId="0" fontId="54" fillId="0" borderId="0"/>
    <xf numFmtId="0" fontId="53" fillId="0" borderId="0"/>
    <xf numFmtId="0" fontId="53" fillId="0" borderId="0"/>
    <xf numFmtId="0" fontId="52" fillId="0" borderId="0"/>
    <xf numFmtId="0" fontId="51" fillId="0" borderId="0"/>
    <xf numFmtId="0" fontId="50" fillId="0" borderId="0"/>
    <xf numFmtId="0" fontId="49" fillId="0" borderId="0"/>
    <xf numFmtId="0" fontId="48" fillId="0" borderId="0"/>
    <xf numFmtId="0" fontId="47" fillId="0" borderId="0"/>
    <xf numFmtId="0" fontId="46" fillId="0" borderId="0"/>
    <xf numFmtId="0" fontId="45" fillId="0" borderId="0"/>
    <xf numFmtId="0" fontId="44" fillId="0" borderId="0"/>
    <xf numFmtId="0" fontId="43" fillId="0" borderId="0"/>
    <xf numFmtId="0" fontId="42" fillId="0" borderId="0"/>
    <xf numFmtId="0" fontId="41" fillId="0" borderId="0"/>
    <xf numFmtId="0" fontId="40" fillId="0" borderId="0"/>
    <xf numFmtId="0" fontId="39" fillId="0" borderId="0"/>
    <xf numFmtId="0" fontId="38" fillId="0" borderId="0"/>
    <xf numFmtId="0" fontId="37" fillId="0" borderId="0"/>
    <xf numFmtId="0" fontId="36" fillId="0" borderId="0"/>
    <xf numFmtId="0" fontId="35" fillId="0" borderId="0"/>
    <xf numFmtId="0" fontId="34" fillId="0" borderId="0"/>
    <xf numFmtId="0" fontId="33" fillId="0" borderId="0"/>
    <xf numFmtId="0" fontId="32" fillId="0" borderId="0"/>
    <xf numFmtId="0" fontId="31" fillId="0" borderId="0"/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149">
    <xf numFmtId="0" fontId="0" fillId="0" borderId="0" xfId="0"/>
    <xf numFmtId="0" fontId="0" fillId="0" borderId="0" xfId="0" applyAlignment="1">
      <alignment vertical="top"/>
    </xf>
    <xf numFmtId="0" fontId="70" fillId="0" borderId="0" xfId="0" applyFont="1"/>
    <xf numFmtId="0" fontId="0" fillId="0" borderId="0" xfId="0" applyAlignment="1">
      <alignment vertical="center"/>
    </xf>
    <xf numFmtId="0" fontId="63" fillId="4" borderId="0" xfId="0" applyFont="1" applyFill="1"/>
    <xf numFmtId="0" fontId="0" fillId="4" borderId="0" xfId="0" applyFill="1"/>
    <xf numFmtId="0" fontId="61" fillId="4" borderId="0" xfId="0" quotePrefix="1" applyFont="1" applyFill="1"/>
    <xf numFmtId="0" fontId="69" fillId="4" borderId="0" xfId="0" applyFont="1" applyFill="1"/>
    <xf numFmtId="0" fontId="67" fillId="4" borderId="0" xfId="0" applyFont="1" applyFill="1"/>
    <xf numFmtId="0" fontId="0" fillId="4" borderId="0" xfId="0" applyFill="1" applyAlignment="1">
      <alignment vertical="center"/>
    </xf>
    <xf numFmtId="0" fontId="0" fillId="4" borderId="0" xfId="0" applyFill="1" applyAlignment="1">
      <alignment vertical="top"/>
    </xf>
    <xf numFmtId="15" fontId="63" fillId="4" borderId="0" xfId="0" applyNumberFormat="1" applyFont="1" applyFill="1" applyBorder="1" applyAlignment="1">
      <alignment horizontal="left"/>
    </xf>
    <xf numFmtId="0" fontId="58" fillId="4" borderId="0" xfId="0" applyFont="1" applyFill="1" applyBorder="1" applyAlignment="1">
      <alignment horizontal="center"/>
    </xf>
    <xf numFmtId="0" fontId="70" fillId="4" borderId="0" xfId="0" applyFont="1" applyFill="1" applyBorder="1" applyAlignment="1">
      <alignment horizontal="center"/>
    </xf>
    <xf numFmtId="0" fontId="0" fillId="4" borderId="0" xfId="0" applyFill="1" applyBorder="1"/>
    <xf numFmtId="0" fontId="70" fillId="4" borderId="0" xfId="0" applyFont="1" applyFill="1" applyBorder="1"/>
    <xf numFmtId="0" fontId="60" fillId="4" borderId="0" xfId="0" applyFont="1" applyFill="1" applyBorder="1" applyAlignment="1">
      <alignment horizontal="center" vertical="center"/>
    </xf>
    <xf numFmtId="0" fontId="63" fillId="4" borderId="0" xfId="0" applyFont="1" applyFill="1" applyBorder="1" applyAlignment="1">
      <alignment horizontal="left" vertical="top"/>
    </xf>
    <xf numFmtId="0" fontId="70" fillId="4" borderId="0" xfId="0" applyFont="1" applyFill="1"/>
    <xf numFmtId="0" fontId="58" fillId="4" borderId="5" xfId="0" applyFont="1" applyFill="1" applyBorder="1" applyAlignment="1">
      <alignment horizontal="left" vertical="top"/>
    </xf>
    <xf numFmtId="0" fontId="58" fillId="4" borderId="7" xfId="0" applyFont="1" applyFill="1" applyBorder="1" applyAlignment="1">
      <alignment horizontal="left" vertical="top"/>
    </xf>
    <xf numFmtId="0" fontId="0" fillId="4" borderId="0" xfId="0" applyFill="1" applyAlignment="1">
      <alignment vertical="top" wrapText="1"/>
    </xf>
    <xf numFmtId="0" fontId="69" fillId="4" borderId="0" xfId="0" applyFont="1" applyFill="1" applyAlignment="1">
      <alignment vertical="top" wrapText="1"/>
    </xf>
    <xf numFmtId="0" fontId="67" fillId="4" borderId="0" xfId="0" applyFont="1" applyFill="1" applyAlignment="1">
      <alignment horizontal="right"/>
    </xf>
    <xf numFmtId="0" fontId="68" fillId="4" borderId="0" xfId="0" applyFont="1" applyFill="1" applyAlignment="1">
      <alignment horizontal="left"/>
    </xf>
    <xf numFmtId="0" fontId="67" fillId="4" borderId="0" xfId="0" applyFont="1" applyFill="1" applyAlignment="1">
      <alignment horizontal="right" vertical="top"/>
    </xf>
    <xf numFmtId="0" fontId="53" fillId="0" borderId="0" xfId="8" applyAlignment="1">
      <alignment horizontal="left" vertical="top"/>
    </xf>
    <xf numFmtId="0" fontId="53" fillId="0" borderId="0" xfId="8" applyAlignment="1">
      <alignment horizontal="left" vertical="top" wrapText="1"/>
    </xf>
    <xf numFmtId="0" fontId="53" fillId="0" borderId="0" xfId="8" applyFill="1" applyAlignment="1">
      <alignment horizontal="left" vertical="top"/>
    </xf>
    <xf numFmtId="0" fontId="66" fillId="0" borderId="1" xfId="8" applyFont="1" applyBorder="1" applyAlignment="1">
      <alignment horizontal="center" vertical="center"/>
    </xf>
    <xf numFmtId="0" fontId="66" fillId="5" borderId="1" xfId="8" applyFont="1" applyFill="1" applyBorder="1" applyAlignment="1">
      <alignment horizontal="center" vertical="center"/>
    </xf>
    <xf numFmtId="0" fontId="66" fillId="5" borderId="1" xfId="8" applyFont="1" applyFill="1" applyBorder="1" applyAlignment="1">
      <alignment horizontal="center" vertical="center" wrapText="1"/>
    </xf>
    <xf numFmtId="0" fontId="66" fillId="0" borderId="0" xfId="8" applyFont="1" applyAlignment="1">
      <alignment horizontal="center" vertical="center"/>
    </xf>
    <xf numFmtId="0" fontId="0" fillId="4" borderId="0" xfId="0" quotePrefix="1" applyFill="1"/>
    <xf numFmtId="0" fontId="58" fillId="4" borderId="0" xfId="0" applyFont="1" applyFill="1"/>
    <xf numFmtId="0" fontId="63" fillId="0" borderId="0" xfId="7" applyFont="1" applyFill="1" applyBorder="1" applyAlignment="1">
      <alignment horizontal="left" vertical="top"/>
    </xf>
    <xf numFmtId="0" fontId="62" fillId="4" borderId="0" xfId="0" applyFont="1" applyFill="1" applyBorder="1" applyAlignment="1">
      <alignment vertical="top" wrapText="1"/>
    </xf>
    <xf numFmtId="0" fontId="59" fillId="4" borderId="0" xfId="0" applyFont="1" applyFill="1" applyBorder="1" applyAlignment="1">
      <alignment horizontal="left" vertical="center"/>
    </xf>
    <xf numFmtId="0" fontId="58" fillId="4" borderId="5" xfId="0" applyFont="1" applyFill="1" applyBorder="1" applyAlignment="1">
      <alignment horizontal="left" vertical="top"/>
    </xf>
    <xf numFmtId="0" fontId="58" fillId="4" borderId="7" xfId="0" applyFont="1" applyFill="1" applyBorder="1" applyAlignment="1">
      <alignment horizontal="left" vertical="top"/>
    </xf>
    <xf numFmtId="0" fontId="0" fillId="4" borderId="5" xfId="0" quotePrefix="1" applyFill="1" applyBorder="1" applyAlignment="1">
      <alignment horizontal="left" vertical="top"/>
    </xf>
    <xf numFmtId="0" fontId="0" fillId="4" borderId="6" xfId="0" quotePrefix="1" applyFill="1" applyBorder="1" applyAlignment="1">
      <alignment horizontal="left" vertical="top"/>
    </xf>
    <xf numFmtId="0" fontId="0" fillId="4" borderId="7" xfId="0" quotePrefix="1" applyFill="1" applyBorder="1" applyAlignment="1">
      <alignment horizontal="left" vertical="top"/>
    </xf>
    <xf numFmtId="0" fontId="69" fillId="0" borderId="0" xfId="0" applyFont="1" applyFill="1"/>
    <xf numFmtId="0" fontId="0" fillId="0" borderId="0" xfId="0" applyFill="1"/>
    <xf numFmtId="0" fontId="58" fillId="0" borderId="0" xfId="0" applyFont="1" applyFill="1" applyAlignment="1"/>
    <xf numFmtId="164" fontId="74" fillId="0" borderId="18" xfId="0" applyNumberFormat="1" applyFont="1" applyBorder="1" applyAlignment="1">
      <alignment horizontal="center" vertical="center"/>
    </xf>
    <xf numFmtId="0" fontId="73" fillId="4" borderId="0" xfId="0" applyFont="1" applyFill="1" applyAlignment="1">
      <alignment horizontal="left" vertical="center" indent="8"/>
    </xf>
    <xf numFmtId="0" fontId="76" fillId="4" borderId="17" xfId="0" applyFont="1" applyFill="1" applyBorder="1" applyAlignment="1">
      <alignment horizontal="left" vertical="top"/>
    </xf>
    <xf numFmtId="0" fontId="77" fillId="4" borderId="1" xfId="0" applyFont="1" applyFill="1" applyBorder="1" applyAlignment="1">
      <alignment horizontal="center" vertical="center"/>
    </xf>
    <xf numFmtId="0" fontId="77" fillId="4" borderId="18" xfId="0" applyFont="1" applyFill="1" applyBorder="1"/>
    <xf numFmtId="0" fontId="76" fillId="4" borderId="20" xfId="0" applyFont="1" applyFill="1" applyBorder="1" applyAlignment="1">
      <alignment horizontal="left" vertical="top"/>
    </xf>
    <xf numFmtId="0" fontId="77" fillId="4" borderId="22" xfId="0" applyFont="1" applyFill="1" applyBorder="1"/>
    <xf numFmtId="0" fontId="76" fillId="4" borderId="0" xfId="0" applyFont="1" applyFill="1" applyBorder="1" applyAlignment="1">
      <alignment horizontal="center"/>
    </xf>
    <xf numFmtId="0" fontId="76" fillId="4" borderId="0" xfId="0" applyFont="1" applyFill="1" applyBorder="1" applyAlignment="1">
      <alignment horizontal="center" vertical="center"/>
    </xf>
    <xf numFmtId="0" fontId="77" fillId="4" borderId="0" xfId="0" applyFont="1" applyFill="1" applyBorder="1"/>
    <xf numFmtId="0" fontId="76" fillId="4" borderId="23" xfId="0" applyFont="1" applyFill="1" applyBorder="1" applyAlignment="1">
      <alignment horizontal="left" vertical="top"/>
    </xf>
    <xf numFmtId="0" fontId="76" fillId="4" borderId="24" xfId="0" applyFont="1" applyFill="1" applyBorder="1" applyAlignment="1">
      <alignment horizontal="center" vertical="center" wrapText="1"/>
    </xf>
    <xf numFmtId="0" fontId="76" fillId="4" borderId="25" xfId="0" applyFont="1" applyFill="1" applyBorder="1" applyAlignment="1">
      <alignment horizontal="center" vertical="center"/>
    </xf>
    <xf numFmtId="0" fontId="77" fillId="4" borderId="22" xfId="0" applyFont="1" applyFill="1" applyBorder="1" applyAlignment="1">
      <alignment wrapText="1"/>
    </xf>
    <xf numFmtId="0" fontId="76" fillId="4" borderId="0" xfId="0" applyFont="1" applyFill="1" applyBorder="1" applyAlignment="1">
      <alignment horizontal="left" vertical="top"/>
    </xf>
    <xf numFmtId="0" fontId="77" fillId="4" borderId="0" xfId="0" applyFont="1" applyFill="1" applyAlignment="1">
      <alignment vertical="center"/>
    </xf>
    <xf numFmtId="0" fontId="77" fillId="4" borderId="0" xfId="0" applyFont="1" applyFill="1" applyAlignment="1">
      <alignment vertical="top"/>
    </xf>
    <xf numFmtId="0" fontId="77" fillId="4" borderId="0" xfId="0" applyFont="1" applyFill="1"/>
    <xf numFmtId="0" fontId="77" fillId="4" borderId="1" xfId="0" applyFont="1" applyFill="1" applyBorder="1"/>
    <xf numFmtId="164" fontId="78" fillId="4" borderId="18" xfId="0" applyNumberFormat="1" applyFont="1" applyFill="1" applyBorder="1" applyAlignment="1">
      <alignment horizontal="center" vertical="center"/>
    </xf>
    <xf numFmtId="1" fontId="78" fillId="4" borderId="2" xfId="0" quotePrefix="1" applyNumberFormat="1" applyFont="1" applyFill="1" applyBorder="1" applyAlignment="1">
      <alignment horizontal="center" vertical="center"/>
    </xf>
    <xf numFmtId="0" fontId="76" fillId="4" borderId="17" xfId="0" applyFont="1" applyFill="1" applyBorder="1" applyAlignment="1"/>
    <xf numFmtId="1" fontId="76" fillId="4" borderId="1" xfId="0" applyNumberFormat="1" applyFont="1" applyFill="1" applyBorder="1" applyAlignment="1">
      <alignment horizontal="center" vertical="center"/>
    </xf>
    <xf numFmtId="0" fontId="77" fillId="4" borderId="19" xfId="0" applyFont="1" applyFill="1" applyBorder="1"/>
    <xf numFmtId="1" fontId="77" fillId="4" borderId="2" xfId="0" applyNumberFormat="1" applyFont="1" applyFill="1" applyBorder="1" applyAlignment="1">
      <alignment horizontal="center" vertical="center"/>
    </xf>
    <xf numFmtId="164" fontId="77" fillId="4" borderId="18" xfId="0" applyNumberFormat="1" applyFont="1" applyFill="1" applyBorder="1" applyAlignment="1">
      <alignment horizontal="center" vertical="center"/>
    </xf>
    <xf numFmtId="0" fontId="77" fillId="4" borderId="20" xfId="0" applyFont="1" applyFill="1" applyBorder="1"/>
    <xf numFmtId="1" fontId="77" fillId="4" borderId="21" xfId="0" applyNumberFormat="1" applyFont="1" applyFill="1" applyBorder="1" applyAlignment="1">
      <alignment horizontal="center" vertical="center"/>
    </xf>
    <xf numFmtId="0" fontId="77" fillId="4" borderId="21" xfId="0" applyFont="1" applyFill="1" applyBorder="1"/>
    <xf numFmtId="164" fontId="77" fillId="4" borderId="22" xfId="0" applyNumberFormat="1" applyFont="1" applyFill="1" applyBorder="1" applyAlignment="1">
      <alignment horizontal="center" vertical="center"/>
    </xf>
    <xf numFmtId="164" fontId="77" fillId="4" borderId="0" xfId="0" applyNumberFormat="1" applyFont="1" applyFill="1" applyBorder="1" applyAlignment="1">
      <alignment horizontal="center" vertical="center"/>
    </xf>
    <xf numFmtId="164" fontId="78" fillId="4" borderId="0" xfId="0" applyNumberFormat="1" applyFont="1" applyFill="1" applyBorder="1" applyAlignment="1">
      <alignment horizontal="center" vertical="center"/>
    </xf>
    <xf numFmtId="0" fontId="79" fillId="4" borderId="0" xfId="0" applyFont="1" applyFill="1" applyBorder="1" applyAlignment="1">
      <alignment horizontal="left" vertical="center"/>
    </xf>
    <xf numFmtId="0" fontId="77" fillId="0" borderId="1" xfId="0" applyFont="1" applyBorder="1"/>
    <xf numFmtId="0" fontId="77" fillId="0" borderId="1" xfId="0" applyFont="1" applyFill="1" applyBorder="1"/>
    <xf numFmtId="1" fontId="77" fillId="0" borderId="1" xfId="0" applyNumberFormat="1" applyFont="1" applyFill="1" applyBorder="1" applyAlignment="1">
      <alignment horizontal="center" vertical="center"/>
    </xf>
    <xf numFmtId="0" fontId="75" fillId="0" borderId="1" xfId="0" applyFont="1" applyBorder="1" applyAlignment="1">
      <alignment horizontal="center" vertical="center"/>
    </xf>
    <xf numFmtId="0" fontId="75" fillId="0" borderId="1" xfId="0" quotePrefix="1" applyFont="1" applyBorder="1" applyAlignment="1">
      <alignment horizontal="center" vertical="top"/>
    </xf>
    <xf numFmtId="1" fontId="77" fillId="0" borderId="1" xfId="0" applyNumberFormat="1" applyFont="1" applyBorder="1" applyAlignment="1">
      <alignment horizontal="center" vertical="center"/>
    </xf>
    <xf numFmtId="1" fontId="74" fillId="0" borderId="1" xfId="0" quotePrefix="1" applyNumberFormat="1" applyFont="1" applyBorder="1" applyAlignment="1">
      <alignment horizontal="center" vertical="center"/>
    </xf>
    <xf numFmtId="1" fontId="74" fillId="0" borderId="1" xfId="0" applyNumberFormat="1" applyFont="1" applyBorder="1" applyAlignment="1">
      <alignment horizontal="center" vertical="center"/>
    </xf>
    <xf numFmtId="0" fontId="77" fillId="0" borderId="17" xfId="0" applyFont="1" applyBorder="1" applyAlignment="1"/>
    <xf numFmtId="0" fontId="77" fillId="0" borderId="17" xfId="0" applyFont="1" applyBorder="1"/>
    <xf numFmtId="164" fontId="77" fillId="0" borderId="18" xfId="0" applyNumberFormat="1" applyFont="1" applyBorder="1" applyAlignment="1">
      <alignment horizontal="center" vertical="center"/>
    </xf>
    <xf numFmtId="0" fontId="77" fillId="0" borderId="17" xfId="0" applyFont="1" applyFill="1" applyBorder="1"/>
    <xf numFmtId="0" fontId="77" fillId="0" borderId="17" xfId="0" applyFont="1" applyBorder="1" applyAlignment="1">
      <alignment horizontal="left" vertical="center"/>
    </xf>
    <xf numFmtId="0" fontId="77" fillId="0" borderId="18" xfId="0" applyFont="1" applyFill="1" applyBorder="1" applyAlignment="1">
      <alignment horizontal="center" vertical="center"/>
    </xf>
    <xf numFmtId="0" fontId="77" fillId="0" borderId="17" xfId="0" applyFont="1" applyBorder="1" applyAlignment="1">
      <alignment horizontal="right" vertical="center"/>
    </xf>
    <xf numFmtId="0" fontId="77" fillId="0" borderId="18" xfId="0" applyFont="1" applyFill="1" applyBorder="1" applyAlignment="1"/>
    <xf numFmtId="0" fontId="77" fillId="0" borderId="20" xfId="0" applyFont="1" applyBorder="1" applyAlignment="1">
      <alignment horizontal="right" vertical="center"/>
    </xf>
    <xf numFmtId="0" fontId="75" fillId="4" borderId="21" xfId="0" applyFont="1" applyFill="1" applyBorder="1" applyAlignment="1">
      <alignment horizontal="center" vertical="center"/>
    </xf>
    <xf numFmtId="16" fontId="63" fillId="4" borderId="0" xfId="0" applyNumberFormat="1" applyFont="1" applyFill="1" applyBorder="1" applyAlignment="1">
      <alignment horizontal="left" vertical="top"/>
    </xf>
    <xf numFmtId="0" fontId="80" fillId="4" borderId="21" xfId="0" applyFont="1" applyFill="1" applyBorder="1" applyAlignment="1">
      <alignment horizontal="center" vertical="center"/>
    </xf>
    <xf numFmtId="0" fontId="76" fillId="4" borderId="25" xfId="0" applyFont="1" applyFill="1" applyBorder="1" applyAlignment="1">
      <alignment horizontal="center" vertical="center" wrapText="1"/>
    </xf>
    <xf numFmtId="0" fontId="77" fillId="4" borderId="21" xfId="0" applyFont="1" applyFill="1" applyBorder="1" applyAlignment="1">
      <alignment horizontal="center" vertical="center"/>
    </xf>
    <xf numFmtId="0" fontId="76" fillId="4" borderId="1" xfId="0" applyFont="1" applyFill="1" applyBorder="1" applyAlignment="1">
      <alignment horizontal="center" vertical="center" wrapText="1"/>
    </xf>
    <xf numFmtId="0" fontId="76" fillId="4" borderId="1" xfId="0" applyFont="1" applyFill="1" applyBorder="1" applyAlignment="1">
      <alignment horizontal="center" vertical="center"/>
    </xf>
    <xf numFmtId="0" fontId="76" fillId="4" borderId="18" xfId="0" applyFont="1" applyFill="1" applyBorder="1" applyAlignment="1">
      <alignment horizontal="center" vertical="center"/>
    </xf>
    <xf numFmtId="0" fontId="58" fillId="4" borderId="0" xfId="0" applyFont="1" applyFill="1" applyAlignment="1">
      <alignment horizontal="left" vertical="top"/>
    </xf>
    <xf numFmtId="0" fontId="6" fillId="4" borderId="0" xfId="0" applyFont="1" applyFill="1" applyAlignment="1">
      <alignment horizontal="left" vertical="top"/>
    </xf>
    <xf numFmtId="0" fontId="58" fillId="4" borderId="0" xfId="0" applyFont="1" applyFill="1" applyAlignment="1">
      <alignment horizontal="center" vertical="center"/>
    </xf>
    <xf numFmtId="0" fontId="58" fillId="4" borderId="0" xfId="0" quotePrefix="1" applyFont="1" applyFill="1" applyAlignment="1">
      <alignment horizontal="center" vertical="center"/>
    </xf>
    <xf numFmtId="0" fontId="67" fillId="4" borderId="0" xfId="0" quotePrefix="1" applyFont="1" applyFill="1" applyAlignment="1">
      <alignment vertical="top"/>
    </xf>
    <xf numFmtId="0" fontId="68" fillId="4" borderId="0" xfId="0" applyFont="1" applyFill="1" applyAlignment="1">
      <alignment horizontal="left" vertical="top"/>
    </xf>
    <xf numFmtId="0" fontId="62" fillId="3" borderId="8" xfId="0" applyFont="1" applyFill="1" applyBorder="1" applyAlignment="1">
      <alignment horizontal="left" vertical="top" wrapText="1"/>
    </xf>
    <xf numFmtId="0" fontId="62" fillId="3" borderId="9" xfId="0" applyFont="1" applyFill="1" applyBorder="1" applyAlignment="1">
      <alignment horizontal="left" vertical="top" wrapText="1"/>
    </xf>
    <xf numFmtId="0" fontId="62" fillId="3" borderId="10" xfId="0" applyFont="1" applyFill="1" applyBorder="1" applyAlignment="1">
      <alignment horizontal="left" vertical="top" wrapText="1"/>
    </xf>
    <xf numFmtId="0" fontId="62" fillId="3" borderId="11" xfId="0" applyFont="1" applyFill="1" applyBorder="1" applyAlignment="1">
      <alignment horizontal="left" vertical="top" wrapText="1"/>
    </xf>
    <xf numFmtId="0" fontId="62" fillId="3" borderId="0" xfId="0" applyFont="1" applyFill="1" applyBorder="1" applyAlignment="1">
      <alignment horizontal="left" vertical="top" wrapText="1"/>
    </xf>
    <xf numFmtId="0" fontId="62" fillId="3" borderId="12" xfId="0" applyFont="1" applyFill="1" applyBorder="1" applyAlignment="1">
      <alignment horizontal="left" vertical="top" wrapText="1"/>
    </xf>
    <xf numFmtId="0" fontId="62" fillId="3" borderId="4" xfId="0" applyFont="1" applyFill="1" applyBorder="1" applyAlignment="1">
      <alignment horizontal="left" vertical="top" wrapText="1"/>
    </xf>
    <xf numFmtId="0" fontId="62" fillId="3" borderId="13" xfId="0" applyFont="1" applyFill="1" applyBorder="1" applyAlignment="1">
      <alignment horizontal="left" vertical="top" wrapText="1"/>
    </xf>
    <xf numFmtId="0" fontId="62" fillId="3" borderId="3" xfId="0" applyFont="1" applyFill="1" applyBorder="1" applyAlignment="1">
      <alignment horizontal="left" vertical="top" wrapText="1"/>
    </xf>
    <xf numFmtId="0" fontId="60" fillId="2" borderId="1" xfId="0" applyFont="1" applyFill="1" applyBorder="1" applyAlignment="1">
      <alignment horizontal="center" vertical="center"/>
    </xf>
    <xf numFmtId="0" fontId="59" fillId="0" borderId="1" xfId="0" applyFont="1" applyFill="1" applyBorder="1" applyAlignment="1">
      <alignment horizontal="left" vertical="center"/>
    </xf>
    <xf numFmtId="0" fontId="79" fillId="0" borderId="14" xfId="0" applyFont="1" applyFill="1" applyBorder="1" applyAlignment="1">
      <alignment horizontal="center" vertical="center"/>
    </xf>
    <xf numFmtId="0" fontId="79" fillId="0" borderId="15" xfId="0" applyFont="1" applyFill="1" applyBorder="1" applyAlignment="1">
      <alignment horizontal="center" vertical="center"/>
    </xf>
    <xf numFmtId="0" fontId="79" fillId="0" borderId="16" xfId="0" applyFont="1" applyFill="1" applyBorder="1" applyAlignment="1">
      <alignment horizontal="center" vertical="center"/>
    </xf>
    <xf numFmtId="0" fontId="77" fillId="4" borderId="0" xfId="0" applyFont="1" applyFill="1" applyBorder="1" applyAlignment="1">
      <alignment horizontal="center"/>
    </xf>
    <xf numFmtId="0" fontId="77" fillId="0" borderId="1" xfId="0" applyFont="1" applyFill="1" applyBorder="1" applyAlignment="1">
      <alignment horizontal="center"/>
    </xf>
    <xf numFmtId="0" fontId="77" fillId="0" borderId="18" xfId="0" applyFont="1" applyFill="1" applyBorder="1" applyAlignment="1">
      <alignment horizontal="center"/>
    </xf>
    <xf numFmtId="0" fontId="0" fillId="4" borderId="5" xfId="0" quotePrefix="1" applyFill="1" applyBorder="1" applyAlignment="1">
      <alignment horizontal="left" vertical="top"/>
    </xf>
    <xf numFmtId="0" fontId="0" fillId="4" borderId="6" xfId="0" quotePrefix="1" applyFill="1" applyBorder="1" applyAlignment="1">
      <alignment horizontal="left" vertical="top"/>
    </xf>
    <xf numFmtId="0" fontId="0" fillId="4" borderId="7" xfId="0" quotePrefix="1" applyFill="1" applyBorder="1" applyAlignment="1">
      <alignment horizontal="left" vertical="top"/>
    </xf>
    <xf numFmtId="0" fontId="0" fillId="4" borderId="1" xfId="0" quotePrefix="1" applyFill="1" applyBorder="1" applyAlignment="1">
      <alignment horizontal="left" vertical="top"/>
    </xf>
    <xf numFmtId="0" fontId="0" fillId="4" borderId="1" xfId="0" quotePrefix="1" applyFill="1" applyBorder="1" applyAlignment="1">
      <alignment horizontal="left" vertical="top" wrapText="1"/>
    </xf>
    <xf numFmtId="0" fontId="58" fillId="4" borderId="5" xfId="0" applyFont="1" applyFill="1" applyBorder="1" applyAlignment="1">
      <alignment horizontal="left" vertical="top"/>
    </xf>
    <xf numFmtId="0" fontId="58" fillId="4" borderId="7" xfId="0" applyFont="1" applyFill="1" applyBorder="1" applyAlignment="1">
      <alignment horizontal="left" vertical="top"/>
    </xf>
    <xf numFmtId="0" fontId="66" fillId="5" borderId="2" xfId="8" applyFont="1" applyFill="1" applyBorder="1" applyAlignment="1">
      <alignment horizontal="left" vertical="top"/>
    </xf>
    <xf numFmtId="0" fontId="76" fillId="4" borderId="1" xfId="0" applyFont="1" applyFill="1" applyBorder="1" applyAlignment="1">
      <alignment horizontal="center"/>
    </xf>
    <xf numFmtId="0" fontId="76" fillId="4" borderId="18" xfId="0" applyFont="1" applyFill="1" applyBorder="1" applyAlignment="1">
      <alignment horizontal="center"/>
    </xf>
    <xf numFmtId="0" fontId="76" fillId="4" borderId="14" xfId="0" applyFont="1" applyFill="1" applyBorder="1" applyAlignment="1">
      <alignment horizontal="center"/>
    </xf>
    <xf numFmtId="0" fontId="76" fillId="4" borderId="15" xfId="0" applyFont="1" applyFill="1" applyBorder="1" applyAlignment="1">
      <alignment horizontal="center"/>
    </xf>
    <xf numFmtId="0" fontId="76" fillId="4" borderId="16" xfId="0" applyFont="1" applyFill="1" applyBorder="1" applyAlignment="1">
      <alignment horizontal="center"/>
    </xf>
    <xf numFmtId="0" fontId="76" fillId="4" borderId="26" xfId="0" applyFont="1" applyFill="1" applyBorder="1" applyAlignment="1">
      <alignment horizontal="center"/>
    </xf>
    <xf numFmtId="0" fontId="76" fillId="4" borderId="27" xfId="0" applyFont="1" applyFill="1" applyBorder="1" applyAlignment="1">
      <alignment horizontal="center"/>
    </xf>
    <xf numFmtId="0" fontId="76" fillId="4" borderId="28" xfId="0" applyFont="1" applyFill="1" applyBorder="1" applyAlignment="1">
      <alignment horizontal="center"/>
    </xf>
    <xf numFmtId="0" fontId="1" fillId="0" borderId="0" xfId="60" applyAlignment="1">
      <alignment horizontal="left" vertical="top"/>
    </xf>
    <xf numFmtId="0" fontId="1" fillId="0" borderId="0" xfId="60" applyAlignment="1">
      <alignment horizontal="left" vertical="top" wrapText="1"/>
    </xf>
    <xf numFmtId="0" fontId="1" fillId="0" borderId="1" xfId="60" applyBorder="1" applyAlignment="1">
      <alignment horizontal="center" vertical="center"/>
    </xf>
    <xf numFmtId="0" fontId="1" fillId="0" borderId="1" xfId="60" applyBorder="1" applyAlignment="1">
      <alignment horizontal="left" vertical="top"/>
    </xf>
    <xf numFmtId="0" fontId="1" fillId="0" borderId="1" xfId="60" applyBorder="1" applyAlignment="1">
      <alignment horizontal="left" vertical="top" wrapText="1"/>
    </xf>
    <xf numFmtId="22" fontId="1" fillId="0" borderId="1" xfId="60" applyNumberFormat="1" applyBorder="1" applyAlignment="1">
      <alignment horizontal="left" vertical="top"/>
    </xf>
  </cellXfs>
  <cellStyles count="61">
    <cellStyle name="Normal" xfId="0" builtinId="0"/>
    <cellStyle name="Normal 10" xfId="14" xr:uid="{00000000-0005-0000-0000-000001000000}"/>
    <cellStyle name="Normal 11" xfId="15" xr:uid="{00000000-0005-0000-0000-000002000000}"/>
    <cellStyle name="Normal 12" xfId="16" xr:uid="{00000000-0005-0000-0000-000003000000}"/>
    <cellStyle name="Normal 13" xfId="17" xr:uid="{00000000-0005-0000-0000-000004000000}"/>
    <cellStyle name="Normal 14" xfId="18" xr:uid="{00000000-0005-0000-0000-000005000000}"/>
    <cellStyle name="Normal 15" xfId="19" xr:uid="{00000000-0005-0000-0000-000006000000}"/>
    <cellStyle name="Normal 16" xfId="20" xr:uid="{00000000-0005-0000-0000-000007000000}"/>
    <cellStyle name="Normal 17" xfId="21" xr:uid="{00000000-0005-0000-0000-000008000000}"/>
    <cellStyle name="Normal 18" xfId="22" xr:uid="{00000000-0005-0000-0000-000009000000}"/>
    <cellStyle name="Normal 19" xfId="23" xr:uid="{00000000-0005-0000-0000-00000A000000}"/>
    <cellStyle name="Normal 2" xfId="1" xr:uid="{00000000-0005-0000-0000-00000B000000}"/>
    <cellStyle name="Normal 20" xfId="24" xr:uid="{00000000-0005-0000-0000-00000C000000}"/>
    <cellStyle name="Normal 21" xfId="25" xr:uid="{00000000-0005-0000-0000-00000D000000}"/>
    <cellStyle name="Normal 22" xfId="26" xr:uid="{00000000-0005-0000-0000-00000E000000}"/>
    <cellStyle name="Normal 23" xfId="27" xr:uid="{00000000-0005-0000-0000-00000F000000}"/>
    <cellStyle name="Normal 24" xfId="28" xr:uid="{00000000-0005-0000-0000-000010000000}"/>
    <cellStyle name="Normal 25" xfId="29" xr:uid="{00000000-0005-0000-0000-000011000000}"/>
    <cellStyle name="Normal 26" xfId="30" xr:uid="{00000000-0005-0000-0000-000012000000}"/>
    <cellStyle name="Normal 27" xfId="31" xr:uid="{00000000-0005-0000-0000-000013000000}"/>
    <cellStyle name="Normal 28" xfId="32" xr:uid="{00000000-0005-0000-0000-000014000000}"/>
    <cellStyle name="Normal 29" xfId="33" xr:uid="{00000000-0005-0000-0000-000015000000}"/>
    <cellStyle name="Normal 3" xfId="2" xr:uid="{00000000-0005-0000-0000-000016000000}"/>
    <cellStyle name="Normal 3 2" xfId="4" xr:uid="{00000000-0005-0000-0000-000017000000}"/>
    <cellStyle name="Normal 3 2 2" xfId="6" xr:uid="{00000000-0005-0000-0000-000018000000}"/>
    <cellStyle name="Normal 3 2 2 2" xfId="8" xr:uid="{00000000-0005-0000-0000-000019000000}"/>
    <cellStyle name="Normal 30" xfId="34" xr:uid="{00000000-0005-0000-0000-00001A000000}"/>
    <cellStyle name="Normal 31" xfId="35" xr:uid="{00000000-0005-0000-0000-00001B000000}"/>
    <cellStyle name="Normal 32" xfId="36" xr:uid="{00000000-0005-0000-0000-00001C000000}"/>
    <cellStyle name="Normal 33" xfId="37" xr:uid="{00000000-0005-0000-0000-00001D000000}"/>
    <cellStyle name="Normal 34" xfId="38" xr:uid="{00000000-0005-0000-0000-00001E000000}"/>
    <cellStyle name="Normal 35" xfId="39" xr:uid="{00000000-0005-0000-0000-00001F000000}"/>
    <cellStyle name="Normal 36" xfId="40" xr:uid="{00000000-0005-0000-0000-000020000000}"/>
    <cellStyle name="Normal 37" xfId="41" xr:uid="{00000000-0005-0000-0000-000021000000}"/>
    <cellStyle name="Normal 38" xfId="42" xr:uid="{00000000-0005-0000-0000-000022000000}"/>
    <cellStyle name="Normal 39" xfId="43" xr:uid="{00000000-0005-0000-0000-000023000000}"/>
    <cellStyle name="Normal 4" xfId="3" xr:uid="{00000000-0005-0000-0000-000024000000}"/>
    <cellStyle name="Normal 4 2" xfId="5" xr:uid="{00000000-0005-0000-0000-000025000000}"/>
    <cellStyle name="Normal 4 2 2" xfId="7" xr:uid="{00000000-0005-0000-0000-000026000000}"/>
    <cellStyle name="Normal 40" xfId="44" xr:uid="{00000000-0005-0000-0000-000027000000}"/>
    <cellStyle name="Normal 41" xfId="45" xr:uid="{00000000-0005-0000-0000-000028000000}"/>
    <cellStyle name="Normal 42" xfId="46" xr:uid="{2103B674-6EF2-4382-8935-517A04496B30}"/>
    <cellStyle name="Normal 43" xfId="47" xr:uid="{EB1F1ECA-7016-406C-9C9A-6F4D74812E56}"/>
    <cellStyle name="Normal 44" xfId="48" xr:uid="{327B0BFF-8D10-40AE-B6E8-84A8E5194761}"/>
    <cellStyle name="Normal 45" xfId="49" xr:uid="{719062FF-8835-4835-A7A6-4D0FBCBD12A8}"/>
    <cellStyle name="Normal 46" xfId="50" xr:uid="{D6AC1990-E346-4935-BC10-DD41D5463DF8}"/>
    <cellStyle name="Normal 47" xfId="51" xr:uid="{0F802213-C082-4D2F-87CA-7EE776A1E30D}"/>
    <cellStyle name="Normal 48" xfId="52" xr:uid="{28108449-A60B-4928-AF4F-CD47B5BF8A0F}"/>
    <cellStyle name="Normal 49" xfId="53" xr:uid="{E6E9A691-5918-41C2-B51C-60F8C940A1AA}"/>
    <cellStyle name="Normal 5" xfId="9" xr:uid="{00000000-0005-0000-0000-000029000000}"/>
    <cellStyle name="Normal 50" xfId="54" xr:uid="{4A87BD86-DF07-4463-BF2F-A50FF0DD0889}"/>
    <cellStyle name="Normal 51" xfId="55" xr:uid="{FC196B6B-C10E-4453-95B8-B9F2A74F6E28}"/>
    <cellStyle name="Normal 52" xfId="56" xr:uid="{2FE919CA-AEC7-4E84-8E8B-A3F5838EF456}"/>
    <cellStyle name="Normal 53" xfId="57" xr:uid="{8E7342AA-87AD-440F-96E3-43984D84D532}"/>
    <cellStyle name="Normal 54" xfId="58" xr:uid="{8550D7C1-038D-43BA-92B0-DEF41BBE6E28}"/>
    <cellStyle name="Normal 55" xfId="59" xr:uid="{C5A75BC8-0605-4048-93DF-AA3A62CBFEBF}"/>
    <cellStyle name="Normal 56" xfId="60" xr:uid="{3338C384-0CE3-4809-9585-8684DB09C999}"/>
    <cellStyle name="Normal 6" xfId="10" xr:uid="{00000000-0005-0000-0000-00002A000000}"/>
    <cellStyle name="Normal 7" xfId="11" xr:uid="{00000000-0005-0000-0000-00002B000000}"/>
    <cellStyle name="Normal 8" xfId="12" xr:uid="{00000000-0005-0000-0000-00002C000000}"/>
    <cellStyle name="Normal 9" xfId="13" xr:uid="{00000000-0005-0000-0000-00002D000000}"/>
  </cellStyles>
  <dxfs count="0"/>
  <tableStyles count="0" defaultTableStyle="TableStyleMedium2" defaultPivotStyle="PivotStyleLight16"/>
  <colors>
    <mruColors>
      <color rgb="FF00FFFF"/>
      <color rgb="FF73FE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6ae63d76-a2fe-4123-adc3-0c9a5cdcf4be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26</xdr:row>
      <xdr:rowOff>0</xdr:rowOff>
    </xdr:from>
    <xdr:to>
      <xdr:col>8</xdr:col>
      <xdr:colOff>304800</xdr:colOff>
      <xdr:row>27</xdr:row>
      <xdr:rowOff>104775</xdr:rowOff>
    </xdr:to>
    <xdr:sp macro="" textlink="">
      <xdr:nvSpPr>
        <xdr:cNvPr id="1027" name="AutoShape 3" descr="data:image/jpeg;base64,/9j/4AAQSkZJRgABAQEAYABgAAD/2wBDAAgGBgcGBQgHBwcJCQgKDBQNDAsLDBkSEw8UHRofHh0aHBwgJC4nICIsIxwcKDcpLDAxNDQ0Hyc5PTgyPC4zNDL/2wBDAQkJCQwLDBgNDRgyIRwhMjIyMjIyMjIyMjIyMjIyMjIyMjIyMjIyMjIyMjIyMjIyMjIyMjIyMjIyMjIyMjIyMjL/wAARCAE5Ag4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3xed2SeDgU7A9/wA6RQRuz3OadQAmB7/nRge/50tFACYHv+dGB7/nS0UAJge/50YHv+dLRQAmB7/nRge/50tFACYHv+dGB7/nS0UAJge/50YHv+dLRQAmB7/nRge/50tFACYHv+dGB7/nS0UAJge/50YHv+dLRQAmB7/nRge/50tFACYHv+dLjFFFABRRUF410lpI1lDDNcgfJHNKYkY+7BWI/wC+TQBPRXIeE/GN34g0+91PUNPsdM060llhkmOoGQho2wxIMSAJ1Od34Vsf8JV4d/s3+0v7f0v7D5vk/aftkfleZjO3dnG7HOM5oA16K52w8b6Dqfii48PWd9FLeQwpNlJEKSBsnahDZYgDJwOARWBrvxIutH1fX7aPRIbi00P7KbiU3xSWQTgY8uPyyCRk8Fhnt1ppX/r5Aeg0VnTa/o9rfwWFzqllb31wFMVrNOqSvuOBhCcnJ46VGfE/h8T3EB13TBNbtsnjN3HuibdtwwzkHcQMHvxSDzNWiua1zxnY6Pf6bao1vc/ab8WVwy3Kj7IdjPlxg9h0OODmpfDvjPRvFOl3WoaZP5kVrI6SLlS42k/NtUnhgCVz1FK6s32/4H+Ydbf1/Wh0FFch4Y8ay+IdLGuS2lhZ6E0ckguzqIZ4trAASoUCoSMk4dsY5rem1/RrZZGn1ewiESJJIXuUXYjnCMcngMeh79qewXNGisa38XeGrueKC28Q6TNNM/lxRx3sbM7ccKAeTyOB60kvi/wzBPJBL4j0iOaMsHje9jDKVzuBG7jGDn0xQBtUVkzeKfD1vbW1xPr2lxQXQJt5XvI1WbBwdhJw2D6Ul54r8OafeSWd74g0q2uo/vwzXkaOvGeVJyOOaANeiq8N/Z3NxNbwXcEs8AUyxxyBmj3DK7gORkcjPWrFABRRRQAUUUUAFFFFABRRRQAUUUUAFFFFABRRRQAUUUUAFFFFABRRRQAUUUUAFFFFABRRRQAUUUUAFFFFABRRRQAUUUUAFFFFABRRRQAUUUUAFFFFABRRRQAUUUUAFFFFABRRRQB5q3w61WT4cat4dN9bRXlzqMl7E6M5jYGUSKjkAMM4AJHTqM1X1D4d6jcWM1xY6faWOuNcCaK+XxBdyyRuqbQ5kkiYvnJUpgDb39PUqKFpt5fhb/IOt/X8f+HOP0fw1q+meNp9auLm2vIr3ToLe6lLGOQTRg5ZUClSGyD94Y54NYmufDbUNS8S+I9etbm0t9RuDaS6RdZbzLeSJNrBzt4VuhAzkdRxivS6Kd+39a3BdfP+v0PMZ/h7qt74h1G/1OCxv7fVGtpp4jqt1AtvJGAGUIi7ZlGAVLbT61Uu/hv4ilttXtLG7s7LTZ5orm1017yS4iE6zCRm3GJWiUgfdG7lifSvWaKSbW39bf5A1dNPqeZ2/gLXpPEKatePpsRbXl1R4oZ5H2xiHy9oJjXLZ9gMenSuh8GeHtT8L6Jf6ZIbSQC6nmtJlkY7w7sw8xdo2kZGcFu9dXRQtFZf1t/kg63/AK6/5s8uufhvqOo32tXi22j6G2oaVLZPDp80kqXErnPmSZjQLj2Uk5JJqte/DjxJqttqQu20iGS5s7C1RI7iSRf9HkDMSTGOo6DB9PevWqKFo0+3/B/zYPX+vT/JHml78OtUudR1a5SaxAu9dtNSi3M2ViiA3A/L97rgDjnqKLf4dapFf2E7TWBWDxHcatIAzZMTjCgfL98ce3vXpdFC0t/W1v8AJA9f69f82eP3Xw18XnwsNBt9TsBZOl35lut1LCvmSSMyOWWPLqFbBQ4XP96te18EJpNt4un1+7sItP1Sxt7czeYR5Qjh8tixYAAbuRz+Vek0Ure60u1h396/zOC+EmmXdp4NTUNS3G/1FhM7MpBMaqI4+vbYoP8AwKu9ooq5S5nclKysFFFFSMKKKKACiiigAooooAKKKKACiiigAooooAKKKKACiiigAooooAKKKKACiiigAooooAKKKKACiiigAooooAKKKKACiiigAooooAKKKKACiiigAooooAKKKKACiiigAooooAKKKQkDGT1oAWgnFRyzxwLukbavqTWLe+JrSL5bdfPOeWBG0fj61UISm7QWpMpxitTcDgtt5zTXmjjGXcL25NcXca/eTH5JNi/3QOn41Qku55Tl5S3sTXbDAzfxaHPLFRWx3zX1soyZk/OhdQtWOBMn5156ZXPUj86BIw6EfnWn9nr+Yj60+x6MlzDI2EkVjjOAak3DOBzXmwmfPLEY9GxVyHWLyDG24ZlH8LColgJfZZUcUuqO9zzilrmbLxQm/F1GQuPvL61vW99bXa7oJVk+hrjnSqU/iR0QqRnsWKKTIzjv1xS1mWFFFFABRRRQAUUUUAFFFFABRRRQAUUUUAFFFFABRRRQAUUUUAFFFFABRRRQAUUUUAFFFFABRRRQAUUUUAFFFFABRRRQAUUUUAFFFFABRRRQAUUUUAFFFFABRRRQAUUUUAFFFFABRRSZoAR22LnBPsKzNV1u202Ib8tM33UGMj3PtVXxHr8emQeREwa4fqAR8oOea8+nnkuJ/NeRnbGMtXbhsG6i5pbHLXxKh7sdzUvdVub+UtNKdmeEHSqm8DhAFX0FU9zetG5vWvWjBRVonnOpJ7lzzD60eYfWqe5vWjc3rVWFzMueYfWjzD61T3N60bm9aLBzMueYfWjzD61T3N60bm9aLBzMub89e3b1qSK7lgkEsDmJh/Cp4rP3N60bm9aTjdWYKclsd/o/ieC4KQXZKTngOcYb2+tdEHBbA64zXj6vh1Zhnacg+hrrfDPiQiUWV84w33JCe/oa8zEYLlXPA76GJ5vdmdrRSZpa847QooooAKKKKACiiigAooooAKKKKACiiigAooooAKKKKACiiigAooooAKKKKACiiigAooooAKKKKACiiigAooooAKKKKACiiigAooooAKKKKACiiigAooooAKKKKACiiigArK13WI9FsfPYBpHO2JCfvN/hWozBVLEgKOSSegrx/wAU64dX1d3D/wCjx/JEvsO/411YPD+2qWey3OfEVvZxutyGe+kubqSW4Ys7sSxx/L2qLzV96pK/HFL5nt+tfQqKWh5HM9y6JwBjFL9oX0qj5nt+tHme360+RCuy99oX0o+0L6VR8z2/WjzPb9aORBdl77QvpR9oX0qj5nt+tHme360ciC7L32hfSj7QvpVHzPb9aPM9v1o5EF2XvtC+lH2hfSqPme360eZ7frRyILsveeppPtHPH6VS8z2/WjzPb9aOVBdnpfhDxD9viNhcsftEYzGxP3l9PqK6wV4bbXstpcx3ER2yRsGUivZtJ1KLVtNhvIejj5l/ut3FeFj8N7OfPHZnqYStzx5Xui7RSClrgOxBRRRQAUUUUAFFFFABRRRQAUUUUAFFFFABRRRQAUUUUAFFFFABRRRQAUUUUAFFJmjNAri0UmaM0BdC0UmRRkUDuLRSZFGRQFxaKTIoyKAuLRSZFGRQFxaKM0UAFFFFABRSZFGRQFxaKTIoyKAuLRRmigAooooA5nxxqp0vw/IEfbLcN5SnB6d+nt/OvIvO3Nnr7iuq+JN+Z/EMVoD8lvEMjOcluf8ACuN3DsuK+jy+jyUVLq9TxMZNzqWWyLfmLnrR5qev6VTLE9TSV3cpzal3zU9f0o81PX9KpUUcoF3zU9f0o81PX9KpUUrIC75qev6Ueanr+lUqKLIC75qev6Ueanr+lUqKLIC75qev6Ueanr+lUqKfKBd81PX9KQyLjg8/SqdFHKGpb8wkYru/hxq0gup9MkYlHXzYwT0I6gfXP6V5zV/RL9tN1uzuxj93KCdw4weD+hNYYqiqtJxNaFT2dRSPfRjtS0xGDcjoRnOafXyp74UUUmRQAtFJkUZFAXFopMijIoC4tFGaKACiiigAooooAKKKKACiiigAooooAKKKKACiiigBD0FJSnoKSmQwooooAKKKKACiiigAooooAKKKKACiiigAooooEFFFFAwooooAKKKKBBRRTWbapPpQB4X4nuReeJtQmO//AFzKM+gOP6VldhVi+y1/csccytn86r19dSSjBI8Ges2wooorQkKKKKAClpKWpe4BRSgZOMgfWn+RP5e8wSBc4BI6/Sk9Nxq72I6KkFvOf+WEgHqVpTbzD/lk5/4Canmj3Cz7EVJUhgmx/qpB/wABpPInPSJz/wABqlOPcOWXYZRT/s1x/wA8ZPyo+zzjrC4/4DRzx7j5ZdmMop/kTnpE5/4DS/Zrk9IJP++afPHug5Zdj3fQrg3uhWN0ThpIFJ+uOf1rSrn/AAXIzeErBXUhlQg5+prer5KorTaXc96MrxTFNJRRUDYUUUUCCiiigApcmkooGLk0ZNJRQFxcmjJpKKAuLk0ZNJRQFxcmjJpKKAuLmjNJRQF2LmjNJRQF2LmjNJRQF2FFFFABRRRQIKKKKACiiigAooooAKKKKACiiigAooooAKKKKACiiigApKWkoAKbIMxsPY06kPahhufP15xe3Kkc+a386grT8Q2zWmvXcLAZRznHQ55rMr62GsFLyPCqK02gpKWkrREBRRRTAKWkpanqAjDO1cH5jjiu98MahHf6X5U6qJIW2KcA8VwgYryOtXtHvPsd/Fy212wcetcmYYd4ig4rda/caU5yg7xZ3bW7MWaGYcHBV1GKoXM13CPki3nPO1BUjXoDttJ600374wCAK+I9o31PQoZ1VpPlnFS/AzH1tozif5Pqg60wa9AxwSCPdRV6c29wmJIEY5zk1nSaPaPloWMb/Tilzvue9hM9y+qlGouV/gSf25AeiA/hS/23F2UD/gINZFxpl2PuHzlH8KdR71nMBG5WQOjDsRT5n3PoqUcJWV6TT+46j+3Iu4z/AMBAoGuxLkqg6c8CuXXaxwC1KUOV4bGefek5feavC019k9v8MOJNBtJFwAyE4/GtmszQbQ2Wi2cBxuWLnHvzWnXpR2R8XW/iOwUUUUzIKKKKACiiigAooooAKKKKACiiigAooooAKKKKACiiigAooooAKKKKBhSE4FLSN900ALRTAxFG/wBqdgsPopm/2o3+1FgsPopu/wBqNx/umlYLDqKbuP8AdNG4/wB00WCw6im7j/dNG4/3TRYLDqKQEntiloAKO1FIehoAbv8Aajf7UmD6GjB9DVWQ7IXf7Ub/AGpMH0NGD6GiyCyHBs9qWmqDnpTqRLCg0UE4pMDyf4i2f2fXY5wAFulyCOxHrXGhsswwflOM16/450n+0dAMqqDLbfPn2weleQLuEaZxgjJ9c19HgK3PQS7HkYuPLV9RaSlpK7kcwUUUUwClpKWpYBRhvvIQGXkZopQcU0+gzahumltUcE5HDZ9acbh1GSazrCULcbGztYYH1q1IrCRskYBxXxOcYX6vibx+GWqPOxd4yuupL9qb3pDdP2JqCivLORTkiz9q453Z9jQ10GXDIsg9GHSq1FNSaNaWJq0pc1N8r8hGt7WQszb0wM4UVY0zSHn1e0iSRXSRxwSeOe9RIFY4f7tdn4B0wmWW+kUMgBVM9Qcj/Crpe9USPqct4jzGdT2LlzRa69Dv0XZ8o6KABT6aOXz7U6vVO57hRSE4FN3+1FgsPopm/wBqN/tTsFh9FM3+1G/2osFh9FM3+1G/2osFh9FM3+1G/wBqLBYfRTN/tRv9qLBYfRTN/tS7+elFgsOopCcU3f7UrBYfRTN/tRv9qdgsPopm/wBqN/tRYLD6KZv9qN/tRYLD6Rvumk3Y7UhbIxRYLDetO2e9IDg5pd/tTdxu4bPejZ70b/ajf7UtQ1HBcHrS0zf7Ub/aizFZj6KZv9qN/tRYLD6KZv8Aajf7UWCw+imbjRvPtRYLD6KZvPtRvNFgsPopm/2o3+1FgsPopm/2o3+1FgsOJwKTcKQtntSUtQtoO3CkJzSUUaiV7jJEEiFGUMjAhge4rxnxZox0bW3QACCY7oz2Hsfevac1jeJdBi1/S3hZVFwvzREnHODj+ddeCxHsKl3sY4qg6sPd3PEc84xRU1zaXNpcNb3KbJYiUde4NQg5r6ZWaujxdnZhRRRTAKWkpalgFFFFC3ATLDDJ1BzWs0iy28cq8j7p+tZRz0HQ8H6VbsmHmCAHEZ6Z9a87NsL9Yw7jHdamdan7SDiWcfLmkpWVldg3GDjFJXwydzxmrBRzkADJJxQOacEGMljuH3VXqTQ9gSb2H21tLeXkVrGh3yOE+nufavYdKsk06wjtEXBQfMfU1zfg3w61nbjULkA3Eg+UHsOK7LII6c969HD0uVczR9VlWDdGHPLd/kC9afUecUu8+1dNj1WhX6UylLE0lUhoKKKKYBRRRQAUUUUAFFFFABRRRQAUUUUAGaKKKACiil49T+VIBKKXj1P5UlABRRRTAU9aSjqaKQBRRRTAKKKKACiiigAooooAKKKKACiiigAooooAKKKKACiiigAooooAKKKKACnbhjpTaKQWOa8WeFYddi+0wKseoRrhX6CQf3T/AENeR3UE1rcvBcRPFKhwysMGvoGsPxB4Ys9dhJdRHdAYSYD8s+or0MHjnR9yesfyOLE4RVPfhv8AmeK0Vra14fv9FlImhLRZx5yAlaylG5dykFOm7tmvehKM1eLueXOEoaSVhKWkyu7aGBPtS0PcQUUUUhBQGKsGXO4HINFIzbRz0PFNK4Gs7ecqTZBONrY9aaeKh09wCYc/JjIJ9auWthd3s5W3hMik7dwHAr4fM8K6OJcYqyeqPNxFBqd4rciTBfac7iPk9z6V23hfwp5hjvdQiKMOVRupq94e8F21gy3N2plmxwp+6p45+tdbg7gewGBWVChb3pHs5flbh+8rb9gUYGMAAcKB6UtFFd6Pd2CkpaSmIKKKKACiiigAooooAKKKKACiiigAooooAKKKKACiiigAooooAKKKKACiiigAH3jS0g+8aWpT0GFFFFO6AKKKKLoApKWkoEFFFFMAooooAKKKKACiiigAooooAKKKKACiiigApaSloGFFFFIAo5oopaARyRCRPLcK8Z6q4zXJat8PNNvnaWzJtZW/u9DXY01hkdAcHucVdOrOm/cZE6caitJHj194G1vT8qIvtKZ4aPmsKW0uYJCkttMjD+9Ga9+IOM8lvTeQKRo0kXEsSMPRuf6V6EMzqL4lc45YCF9HY+fSCOoI+oxScdyB+v8AKveX0jTpTmSzgb2KCkXRdLQ5SwtwfaMCtv7Vj/KZvAPozwpYpHIEcbuT2VTWtZ+F9cutvk2ToH43uOBXs6W0MX+rt4U9woqTGeCAB/sms5ZtP7KsVHAK/vM4LSvhsInik1O6Z2U7tsR4J9K7e2sbayTZbQrGvtU4AUYUcepPNLXnVasqrvN3OynQhT+FDQDu3M2T6U6iiosjUKKKKLgFJS0lMQUUUUAFFFFABRRRQAUUUUAFFFFABRRRQAUUUUAFFFFABRRRQAUUUUAFFFFAAPvGlpO5pam2gwooopWYBRRRRZgFJRRVLYQUUUUwCiiigAooooAKKKKACiiigAooooAKKKKAClpKWgYUdwPWikYFlwv3j0zUvcALANt7+gFKMk4Ct+WK4bxrrtxpGoW3kNIN8ZztbHesnQvFl5f63a2sk0oEj4G+TIJrpjg6kqXtVsYSxEIz5HuenE4ZVwTuOMgHFJvGFPPzZ7Vy3jO6vLOA3Frqt7avGN22K0Z4sDli74wigZJYkYx64ByNT8Walaa5JLGyrY2+l3rhAARLPAsZZ0/vAGQp65VuMDJ5De53/mpjOeMZyfbr+VLvBAZQXB5yorkvDV1qEeqXOmaldG/H2S2u45WTYwaVpFdQCAdoMefpTm1vUU8XIqu39li4+weX5XWUrv3AjqAFZfr2707tAdZycYBP07UBgehz68dK5HVfGE0OmaxcaXpd7cR2gYi7BiWPcn31wzh+Oc/LjipYvFkKXkP25LyGSWKEyRFYykfmNtVztcnBYY/EUtw/r8v80dVSMwUZP865PV/iJo2inFylxk3D26cxoHKEB2Uu6ghSVB5zz064uatrZex0z7BL5Z1KbykmEiYj/du4yeRzsxxnrQ72C5vGVN20EMxGVAIJYe1HmLlgMkqQDxjqcV574b1zU9X1W5tZdSuUkmtGl3TRoY0YPtEluyjDx7Q2WzgFkB5OBt+GL3Ur22ug959tgWbZZ3xiB3L/ABE44PzDHWjzQHTPKqLuOSo3ZIHTA5pfNUOyEEMM7Rj72ADx+YrjbG91+88I3h+0yT6nFqE0KzRwpG2yOfDBQxC8hWA3EA5GcUmm+ILpnNlqOpw2dwocIjyRCW5ZzmMr820nGV+UkZBGelO4Ha59j7+3tS1jeG9Sk1LTf37Fp7eWa3lOOrRytGeemcofwIrZoW4BSUtJViCiiigAooooAKKKKACiiigAooooAKKKKQBRRRTAKKKKACiiigAooooAKKKKACiiikAUUUUwCiiigAooooAKKKKACiiigAooooAKKKKACiiigAooooAKKKKQBS0lLTGFIc5UjsaWik0BynirwnceIbm3eK4iiWJCCWBJJ+mKzdG8AXWlaxa3rX0DpE+XQR8sMdK72it4YqtGn7JPQxlQpylztamJrPh3+2WaObUrxLKRSk9mjLsmU9VJILAEf3SD74zVJvAehy6sNQksLZJjC6StBEsfmu4+ZyFA+bryST8xrqKK57W2Neph6X4d/sx5pXu5r2edBE0ty2XVAT8ob0G5uPXFZ7fDvw80cn/EvthcNMZxd/ZofOVzIJMh9meuR1PH6dWWAIz3PUnpQrblDYIz0zUjOY/4Q/Ntf2x1O8WzvkmWW0HlbI2kGGZWEQbPsTjmpB4RgKXazXM8oubSOzO5x8qRl9rAhR8w35+oFdJR29famrB/X5f5I5o+DoRa6fFb6jfW0thAbdJ4mRmkQkF929GHzMqkkDOVHPWreraTdXdjZm3kR72ynjnhacjaxBwwbCcZUsMgZzjpWyWAXOQfpTVfcwCqTnvSlqJKxzMfgmFLGSzGq6l5QiaG1JkRjaIWDEISmWOFUZkLkDIBAJzZj8N3EVlBbLrl+wgfdHIyW4YDay7PlhA2ncCeM5UVvK4YAjvn8KdVJDWhz+jeG5dDiu47fVLqZbiWSb98Iso7szErtjGDkjrkdeKrnwbDDLDLaXlxF9nRFEalALjaS4MrFGOdxPK447V1FFJoRmaFp8+nabHFcshmYtLKEO4CWR2eTDYGRubjIBrToooSGFJRRViCiiigAooooAKKKKACiiigAooooAKKKKQBRRRTAKKKKVwCiiigAooopgFFFFABRSUVPMMWikoo5gFopKKOYBaKSijmAWikoo5gFopKKOYBaKSijmAWikoo5gFopKKOYBaKSijmAWikoo5gFopKKOYBaKSlx6kCjmA53xBrjaTdxx+aUV49wA29cnPUfSqGn+KJb3Ure2WfPmSKpHyHIzz0FHi3Qb7XL63NmqHykIYM2M81naN4S1TTdXtby5jjWOKQMcPkmuSTq+102PJqyxaxVor3Lr7tLm14p1zUdG1GxSKWCz06SKRri+uNOmuY42DIFVjG6iMEMx3McDbUjazfR+MLfTY73Tby3mLebaQRMLi0TyyyyO/mEFSwA5Vc7xgnHNvX9K1LXLWSxi1K3tdNuYzFdJ9lLzMh4YI+8KuRxyjYzmojoV9c6zZXV9f2r2dhK0tpBDaskgYoUG+QyNuG1myAq5OD2wepM9Z/1/X9fMyvE/iDV9O1PUFsjam207To7543t2eSUs8gIDbgAMR+nU9R33V8QWMeoW9jMJoricff8iTydwUsQJNuwcKxxuzVa78KWOoeJ31u9t7S6YWscEMU1ur+WVZ2LBmBxnf2H8PXmsq58D3Fz4l/tg3lnvE3nK09n50y/ugmzzNy5jyWO3GOh6ihu4Pf+uxrHxlo/wBmjnBvSsrlIlNhOrSkKW+RWQFxgdVBHI55qb/hKNI/teLTftDm73BWQRNiNihYK7EbVYjopOT6Vz7+Br99HubIahp6edJ5ixfZJWhgOxlzGpmyjZYcqwA5+XmrEHgb7Nr7aqLmzuZJDG8rXtl50wZFCgxybwE6d1Y9eaQne2hNZeNLbUfElnp2nnzLaS1lleR4Xj3MpT7m5RuXDE5XI6c0zXfE2pWcGuXOnQ2pi0qAvKLhyuWClyFwDk7RnBx95fwTSvCF7YX2my3OqRXFvpto9nawpbbGVGVFy77juOIx0AHPSjU/D+qXj+ILC0mjtLfVlEjXLxmQA+WsLLgOpBKInPP8XHSmF9S34g1fVrDRm1Kwl08i2i3yxSKXE7jH7tCrAgsSADg8/wAJzUfjTxHN4es7Odbi00+GYv5t3fQvNHGVQsE2oy/M2Dg7v4cAEkCorrw54gurmwnk1rTH+xAlI5tNlkQyZOJMfaB8wHAznByfTFi98Patdakt/DrNuk8QdIY57DzYkjdEDjaHUk7k3AluASOaT2aQ49GyrfeJNYtJ9Olms1t7WS2inukNpLLtyf3o85SEi8tfm+cHf0GDWhLquo2lnYXt1DCkU90sU0O0h4klYJHznG4Fl3duTjpzLD4dFrpGkaVHcs1nYKiurLzNsA2ZxjADANgegHSsC28GXOnLHZQtA8FzcwPcS21uIFVIW8zdIC5MkrkBS469wMc6Jq9ul/wJV7HcUUEAdDn8KKQwooopgFFFJSuAtFJRSugFoozRmndAFFGaM0XQBRRmjNF0AUUZozRdAFFGaM0XQBRSUUroBaKSlp3QBRRRRdAFFFFF0AlFFFQMKKKKACiiigAooooAKKKKACiiigAooooAKKKKACiiigAooooAKKKKACiiigBR1oZQ2M5wDnigdaGJ4x0J5+lACE/PkL8uOpApCc8Ap+Qrntf8R/2PdxQELskQupZc9Kpaf4xW6v4YFETGRtpwuDUucU7XOiOGqyp+0S0OuChDliAfQmgyKADzz2HJFYniTWr7RrCe/tbGK6traMyz7pzG4VQSdmFbcxwAFOASeoqnaeK5p9ZSJrTbptzdyWcd0ZzvWaMMWUpsGFPlvghicgZAzxS12Oc6cyIuMk5PQbSacThc4P0xzXN3WtalH4mk0ixsLR44oI53kmupFdldnUFQkbd0Oc4HI5qxceIdPjF1b2+oWL6laIzyWz3I3x7fvFgPm2477fSgLG4rBs7eR644NLwASTgCuetfFFmLjVjqElvYWumyxwtPLcBY/nVWyWbA6so+tO1jxbpWlaQ981zAxNs1zbozgeeqgkle5GO/T5l55oBam4zNjgFc9B13ChcAnahB9jwfpmsq71NrSytJxb+beXUiRxxqxwGbr/wEKGY+y9Kr6X4hW/8AE2o6R9mKR2aoySliQwYkHGf9pSv1FAf1+hvZ7FWB9x/XpRXL2viqW48SJpn2KNYXkeLcLovMjLGJAzR4wEKsuDuzllGOah0fxt/a++OKzt3uC8axR2935oG7JZZTsHlyIqksvzYyoySwFO2lxXOupcms+y1P7TqN9p8sXkz2pVlAbcJI3B2vnAxyGBHYr3GDV+gYUUUUgCiiigAooooAKKKKACiiigAooooAKKKKACiiigAooooAKKKKACiiigAooooAKKKKACiiigAooooAKKKKACiiigAooopsAooopAFFFFABRRRQAUUUUAFFFFABRRRQAUUUUAKOtB5IHv8A0oHWhs44xz60AcH470e/1K8tjbWckqxoQStYvh7w7qtnr1pcyadKscb5Yn0xXqmDjb+8I+lKAR03j3xWbpJy5juhmFSFD6ukrfjqc34j03XLy9slsYLCexiPnSQ3F3JAWlBBXJSNtyjup68elVLXwvqMWsW4ka1XTLbUbjUY2WZmlZ5VbKMCoG0NLIc56BffHXqCONwI9+tOrRaHDY5y58LWt/4tk1fULKyu4/skEcImG8xyxvKdwUjHSQYOc9a5+XwXrtzdag9zPZv59nc26S/aZPmMhGwtHs2rjBGQTwa9Doo6WHfW5wN/4I1GaSW4ikt3kW9huY4ftc9v5gWERMDLFhozyWBAboARzxBf+B9Te0vobG00hRqOnGznW4nkdomAkCyCQoWkY+ZyWweB1r0Wih6iWisc3r1lNBY6XcQJJM+mzxyYjKhmGx42+8pzw59PqKydL8F6hoV3ezaVqbOXsBDAt4UysmSQW2RgkDJbqeSeO9dw67125wD1+lAXB3HljwTQ9Q6W/rR3OMsvCepQ+J4tRmGnjbczXEt7FI4nnV1IELLt27B8nUn/AFS8Z5FrXNB1TUZnu4pEaRZQkUC3stqDBjkebGpdGL7WO0YIRV966o0lHSwutzm9AsrxdWvLi6812itLaxMzxlDcSR7y8gBHIJkwD3wcetdIOBzRRTbvqFtbhRRRSGFFFFABRRRQAUUUUAFFFFABRRRQAUUUUAFFFFABRRRQAUUUUAFFFFABRRRQAUUUUAFFFFABRRRQAUUUUAFFFFABRRRQAUUUUAFFFFABRRRQAUUUUAFFFFABRRRQAUUUUAKOtI7BVJOfwpRSN8ykU0Bl32sNp9wscyqysu4fNtqBPEK3EqRRqqsxxnzM/wA6w/G8csl5brGrt8mfkGcc1iaJaTDWrTfHIF8wAl0OBXj1sbXhifZRjpfc9elgqEsH7Zy96z09Du7rxBZafqtjp0qXDXN5J5SFYzsB2s3LHHZT0zUms66mjRWjfYbu8kup1giitgm4sVZsneygDCnvWP4nj1NtW0WSz0i+vorW9FzK8M0Cqq+XImAHkU7suD0xjvnil8a6Xdaja6SbewuL5bW+jmmhtpkjk2BJBkF2UdWXvXr9V6/geT/l+Ni9p3iyy1K4s7dLe6imuRN8kqqDE0TKrK2GIzlsjGeAa2VuI2BIZSqkhiGBCkdjzxXnUfhXX3063hijW3mWw1COLzXU+S0zI0auQTk8HLLu6HrxT28PanNp+qPY6NJpiSwQr9imnjZp3SVnkOUdlwykKMsOc5wOSLbXf/gidru39as7R9ds49WtNNO4z3ULzRkFduFKgjOevzDgZ6H0q804U7Skm7jICE45A6jjvnr0rzzV/DF7qX9lvpmiPptpBHc/arCRoh5wLxssZCuy/MFY5O4AjkDORF/wiV3L4wW+l069ihby3tHtUsgLH5CpRmP7wYJz+7JH1qrITO9k1i2i1OzsCspkvLeW4iYL8u2PZnPOQf3gwMdjVLU/FNppt09sbW7ubgbQscCqTI7MwCLlh82FZuccD8K5bwz4b1Cy1vTbiXQhYyW1jLBeXXmwYu5z5Y8wiP5mzhjub5vUDNT6jZ3Y8TahJDbm4uYL+DU7e2V1Uzw/Z/JYKWIGQ7OTzgZXJ+alpoGtn/X9anVWeuQ3+mNewW1yxUPut9q+YHVipTGcbtykdccdaz18XRPbuF0rUft6XX2RtPPkiYPs8zqZPLxs+bO/9eKpWMWu6Fo7vbaMb26nW4uvK8+NfKkklMgiJJweZDyDj5DzyMvsdN8/wxeQal4dlu7qSQzSw6oLd/tUxxhsI7qqggAA/dCjGcUtbP8Arr/kHX5v7un6GpF4jtriylu7W2urmGK2S5cxICQGG4LgkfOFwxX0I7kA60E0d1bxXEDiSGVA6OvRlIyCPwrio11bwzezS3Usv9jRK0s8hEAt3Bjy2B/rRIZeAv3NuAOcV03hq2msfC2k2l0u2eG0iSRCfukKAR+HSq01a/rcNUaVFFFSMKKKKACiiigAooooAKKKKACiiigAooooAKKKKACiiigAooooAKKKKACiiigAooooAKKKKACiiigAooooAKKKKACiiigAooooAKKKKACiiigAooooAKKKKACiiigAooooAKKKKACiiigAooooAXNIST3oop3AKBx0oopAB5OaO+eRRRQKwUUUUDAdeaQqMYAAGeMUtFO4BRRRSAKKKKACiiigAooooAKKKKACiiigAooooAKKKKACiiigAooooAKKKKACiiigAooooAKKKKACiiigAooooAKKKKACiiigAooooAKKKKACiiigAooooAKKKKACiiigAooooAKKKKACiiigAooooAKKKKACiiigAooooAKKKKACiiigAooooAKKKKACiiigAooooAKKKKACiiigAooooAKKKKACiiigAooooAKKKKACiiigAooooA//2Q==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>
          <a:spLocks noChangeAspect="1" noChangeArrowheads="1"/>
        </xdr:cNvSpPr>
      </xdr:nvSpPr>
      <xdr:spPr bwMode="auto">
        <a:xfrm>
          <a:off x="8410575" y="584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542925</xdr:colOff>
      <xdr:row>6</xdr:row>
      <xdr:rowOff>0</xdr:rowOff>
    </xdr:from>
    <xdr:to>
      <xdr:col>7</xdr:col>
      <xdr:colOff>419100</xdr:colOff>
      <xdr:row>16</xdr:row>
      <xdr:rowOff>114300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24004C7-1FEC-478E-9A9A-1F41A651A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38900" y="1257300"/>
          <a:ext cx="1552575" cy="2695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3</xdr:row>
      <xdr:rowOff>180975</xdr:rowOff>
    </xdr:from>
    <xdr:to>
      <xdr:col>34</xdr:col>
      <xdr:colOff>333375</xdr:colOff>
      <xdr:row>5</xdr:row>
      <xdr:rowOff>19050</xdr:rowOff>
    </xdr:to>
    <xdr:sp macro="" textlink="">
      <xdr:nvSpPr>
        <xdr:cNvPr id="2" name="Minus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14258925" y="895350"/>
          <a:ext cx="333375" cy="238125"/>
        </a:xfrm>
        <a:prstGeom prst="mathMinus">
          <a:avLst/>
        </a:prstGeom>
        <a:solidFill>
          <a:srgbClr val="FF3300"/>
        </a:solidFill>
        <a:ln>
          <a:solidFill>
            <a:srgbClr val="FF33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34</xdr:col>
      <xdr:colOff>0</xdr:colOff>
      <xdr:row>4</xdr:row>
      <xdr:rowOff>171450</xdr:rowOff>
    </xdr:from>
    <xdr:to>
      <xdr:col>34</xdr:col>
      <xdr:colOff>333375</xdr:colOff>
      <xdr:row>6</xdr:row>
      <xdr:rowOff>9525</xdr:rowOff>
    </xdr:to>
    <xdr:sp macro="" textlink="">
      <xdr:nvSpPr>
        <xdr:cNvPr id="3" name="Minus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4258925" y="1085850"/>
          <a:ext cx="333375" cy="238125"/>
        </a:xfrm>
        <a:prstGeom prst="mathMinus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 editAs="oneCell">
    <xdr:from>
      <xdr:col>0</xdr:col>
      <xdr:colOff>95250</xdr:colOff>
      <xdr:row>3</xdr:row>
      <xdr:rowOff>94155</xdr:rowOff>
    </xdr:from>
    <xdr:to>
      <xdr:col>19</xdr:col>
      <xdr:colOff>19050</xdr:colOff>
      <xdr:row>29</xdr:row>
      <xdr:rowOff>75313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85E2889-A227-4C85-9ADF-386CF776F4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808530"/>
          <a:ext cx="8315325" cy="5410408"/>
        </a:xfrm>
        <a:prstGeom prst="rect">
          <a:avLst/>
        </a:prstGeom>
      </xdr:spPr>
    </xdr:pic>
    <xdr:clientData/>
  </xdr:twoCellAnchor>
  <xdr:twoCellAnchor editAs="oneCell">
    <xdr:from>
      <xdr:col>19</xdr:col>
      <xdr:colOff>95250</xdr:colOff>
      <xdr:row>3</xdr:row>
      <xdr:rowOff>95250</xdr:rowOff>
    </xdr:from>
    <xdr:to>
      <xdr:col>33</xdr:col>
      <xdr:colOff>189542</xdr:colOff>
      <xdr:row>35</xdr:row>
      <xdr:rowOff>84898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5C8A445-3743-4C32-97B9-F77951463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86775" y="809625"/>
          <a:ext cx="7666667" cy="661904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542925</xdr:colOff>
      <xdr:row>19</xdr:row>
      <xdr:rowOff>123825</xdr:rowOff>
    </xdr:from>
    <xdr:to>
      <xdr:col>21</xdr:col>
      <xdr:colOff>114011</xdr:colOff>
      <xdr:row>32</xdr:row>
      <xdr:rowOff>180642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59250" y="4524375"/>
          <a:ext cx="2314286" cy="26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U49"/>
  <sheetViews>
    <sheetView tabSelected="1" zoomScaleNormal="100" workbookViewId="0">
      <selection activeCell="B5" sqref="B5:I5"/>
    </sheetView>
  </sheetViews>
  <sheetFormatPr defaultColWidth="11" defaultRowHeight="15.75" x14ac:dyDescent="0.25"/>
  <cols>
    <col min="1" max="1" width="1.625" customWidth="1"/>
    <col min="2" max="2" width="37.875" customWidth="1"/>
    <col min="3" max="3" width="12.125" customWidth="1"/>
    <col min="4" max="4" width="14.75" customWidth="1"/>
    <col min="5" max="5" width="11" style="2" customWidth="1"/>
    <col min="9" max="9" width="10.875" customWidth="1"/>
    <col min="10" max="10" width="2.625" style="5" customWidth="1"/>
    <col min="17" max="17" width="33.125" customWidth="1"/>
    <col min="18" max="21" width="11" style="5"/>
  </cols>
  <sheetData>
    <row r="1" spans="1:21" ht="20.25" x14ac:dyDescent="0.25">
      <c r="A1" s="5"/>
      <c r="B1" s="119" t="s">
        <v>23</v>
      </c>
      <c r="C1" s="119"/>
      <c r="D1" s="119"/>
      <c r="E1" s="119"/>
      <c r="F1" s="119"/>
      <c r="G1" s="119"/>
      <c r="H1" s="119"/>
      <c r="I1" s="119"/>
      <c r="K1" s="5"/>
      <c r="L1" s="5"/>
      <c r="M1" s="5"/>
      <c r="N1" s="5"/>
      <c r="O1" s="5"/>
      <c r="P1" s="5"/>
      <c r="Q1" s="5"/>
    </row>
    <row r="2" spans="1:21" s="5" customFormat="1" ht="11.25" customHeight="1" x14ac:dyDescent="0.25">
      <c r="B2" s="16"/>
      <c r="C2" s="16"/>
      <c r="D2" s="16"/>
      <c r="E2" s="16"/>
      <c r="F2" s="16"/>
      <c r="G2" s="16"/>
      <c r="H2" s="16"/>
      <c r="I2" s="16"/>
    </row>
    <row r="3" spans="1:21" ht="21.75" customHeight="1" x14ac:dyDescent="0.3">
      <c r="A3" s="5"/>
      <c r="B3" s="97" t="s">
        <v>254</v>
      </c>
      <c r="C3" s="11"/>
      <c r="D3" s="12"/>
      <c r="E3" s="13"/>
      <c r="F3" s="12"/>
      <c r="G3" s="12"/>
      <c r="H3" s="12"/>
      <c r="I3" s="12"/>
      <c r="K3" s="5"/>
      <c r="L3" s="5"/>
      <c r="M3" s="5"/>
      <c r="N3" s="5"/>
      <c r="O3" s="5"/>
      <c r="P3" s="5"/>
      <c r="Q3" s="5"/>
    </row>
    <row r="4" spans="1:21" ht="8.25" customHeight="1" x14ac:dyDescent="0.3">
      <c r="A4" s="5"/>
      <c r="B4" s="17"/>
      <c r="C4" s="11"/>
      <c r="D4" s="12"/>
      <c r="E4" s="13"/>
      <c r="F4" s="12"/>
      <c r="G4" s="12"/>
      <c r="H4" s="12"/>
      <c r="I4" s="12"/>
      <c r="K4" s="5"/>
      <c r="L4" s="5"/>
      <c r="M4" s="5"/>
      <c r="N4" s="5"/>
      <c r="O4" s="5"/>
      <c r="P4" s="5"/>
      <c r="Q4" s="5"/>
    </row>
    <row r="5" spans="1:21" s="3" customFormat="1" ht="22.5" customHeight="1" x14ac:dyDescent="0.25">
      <c r="A5" s="9"/>
      <c r="B5" s="120" t="s">
        <v>218</v>
      </c>
      <c r="C5" s="120"/>
      <c r="D5" s="120"/>
      <c r="E5" s="120"/>
      <c r="F5" s="120"/>
      <c r="G5" s="120"/>
      <c r="H5" s="120"/>
      <c r="I5" s="120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 spans="1:21" s="9" customFormat="1" ht="15" customHeight="1" x14ac:dyDescent="0.25">
      <c r="B6" s="37"/>
      <c r="C6" s="37"/>
      <c r="D6" s="37"/>
      <c r="E6" s="37"/>
      <c r="F6" s="37"/>
      <c r="G6" s="37"/>
      <c r="H6" s="37"/>
      <c r="I6" s="37"/>
    </row>
    <row r="7" spans="1:21" s="9" customFormat="1" ht="7.5" customHeight="1" thickBot="1" x14ac:dyDescent="0.3">
      <c r="A7" s="61"/>
      <c r="B7" s="78"/>
      <c r="C7" s="78"/>
      <c r="D7" s="78"/>
      <c r="E7" s="78"/>
      <c r="F7" s="78"/>
      <c r="G7" s="78"/>
      <c r="H7" s="78"/>
      <c r="I7" s="78"/>
    </row>
    <row r="8" spans="1:21" s="1" customFormat="1" ht="26.25" customHeight="1" x14ac:dyDescent="0.25">
      <c r="A8" s="62"/>
      <c r="B8" s="121" t="s">
        <v>219</v>
      </c>
      <c r="C8" s="122"/>
      <c r="D8" s="122"/>
      <c r="E8" s="123"/>
      <c r="F8" s="124"/>
      <c r="G8" s="124"/>
      <c r="H8" s="124"/>
      <c r="I8" s="124"/>
      <c r="J8" s="10"/>
      <c r="K8" s="110" t="s">
        <v>257</v>
      </c>
      <c r="L8" s="111"/>
      <c r="M8" s="111"/>
      <c r="N8" s="111"/>
      <c r="O8" s="111"/>
      <c r="P8" s="111"/>
      <c r="Q8" s="112"/>
      <c r="R8" s="10"/>
      <c r="S8" s="10"/>
      <c r="T8" s="10"/>
      <c r="U8" s="10"/>
    </row>
    <row r="9" spans="1:21" s="1" customFormat="1" ht="19.5" customHeight="1" x14ac:dyDescent="0.25">
      <c r="A9" s="62"/>
      <c r="B9" s="87" t="s">
        <v>209</v>
      </c>
      <c r="C9" s="84">
        <f>SUM(C10:C13)</f>
        <v>253</v>
      </c>
      <c r="D9" s="125" t="s">
        <v>10</v>
      </c>
      <c r="E9" s="126"/>
      <c r="F9" s="124"/>
      <c r="G9" s="124"/>
      <c r="H9" s="124"/>
      <c r="I9" s="124"/>
      <c r="J9" s="10"/>
      <c r="K9" s="113"/>
      <c r="L9" s="114"/>
      <c r="M9" s="114"/>
      <c r="N9" s="114"/>
      <c r="O9" s="114"/>
      <c r="P9" s="114"/>
      <c r="Q9" s="115"/>
      <c r="R9" s="10"/>
      <c r="S9" s="10"/>
      <c r="T9" s="10"/>
      <c r="U9" s="10"/>
    </row>
    <row r="10" spans="1:21" s="1" customFormat="1" ht="21.75" customHeight="1" x14ac:dyDescent="0.25">
      <c r="A10" s="62"/>
      <c r="B10" s="88" t="s">
        <v>1</v>
      </c>
      <c r="C10" s="84">
        <v>101</v>
      </c>
      <c r="D10" s="79" t="s">
        <v>4</v>
      </c>
      <c r="E10" s="89">
        <f>C10/C9*100</f>
        <v>39.920948616600796</v>
      </c>
      <c r="F10" s="124"/>
      <c r="G10" s="124"/>
      <c r="H10" s="124"/>
      <c r="I10" s="124"/>
      <c r="J10" s="10"/>
      <c r="K10" s="113"/>
      <c r="L10" s="114"/>
      <c r="M10" s="114"/>
      <c r="N10" s="114"/>
      <c r="O10" s="114"/>
      <c r="P10" s="114"/>
      <c r="Q10" s="115"/>
      <c r="R10" s="10"/>
      <c r="S10" s="10"/>
      <c r="T10" s="10"/>
      <c r="U10" s="10"/>
    </row>
    <row r="11" spans="1:21" ht="21.75" customHeight="1" x14ac:dyDescent="0.25">
      <c r="A11" s="63"/>
      <c r="B11" s="88" t="s">
        <v>2</v>
      </c>
      <c r="C11" s="85">
        <v>40</v>
      </c>
      <c r="D11" s="79" t="s">
        <v>0</v>
      </c>
      <c r="E11" s="46">
        <f>C11/C9*100</f>
        <v>15.810276679841898</v>
      </c>
      <c r="F11" s="124"/>
      <c r="G11" s="124"/>
      <c r="H11" s="124"/>
      <c r="I11" s="124"/>
      <c r="K11" s="113"/>
      <c r="L11" s="114"/>
      <c r="M11" s="114"/>
      <c r="N11" s="114"/>
      <c r="O11" s="114"/>
      <c r="P11" s="114"/>
      <c r="Q11" s="115"/>
    </row>
    <row r="12" spans="1:21" ht="21" customHeight="1" x14ac:dyDescent="0.25">
      <c r="A12" s="63"/>
      <c r="B12" s="88" t="s">
        <v>3</v>
      </c>
      <c r="C12" s="86">
        <v>112</v>
      </c>
      <c r="D12" s="79" t="s">
        <v>5</v>
      </c>
      <c r="E12" s="46">
        <f>C12/C9*100</f>
        <v>44.268774703557312</v>
      </c>
      <c r="F12" s="124"/>
      <c r="G12" s="124"/>
      <c r="H12" s="124"/>
      <c r="I12" s="124"/>
      <c r="K12" s="113"/>
      <c r="L12" s="114"/>
      <c r="M12" s="114"/>
      <c r="N12" s="114"/>
      <c r="O12" s="114"/>
      <c r="P12" s="114"/>
      <c r="Q12" s="115"/>
    </row>
    <row r="13" spans="1:21" ht="21" customHeight="1" x14ac:dyDescent="0.25">
      <c r="A13" s="63"/>
      <c r="B13" s="90" t="s">
        <v>9</v>
      </c>
      <c r="C13" s="81"/>
      <c r="D13" s="80" t="s">
        <v>8</v>
      </c>
      <c r="E13" s="89">
        <f>C13/C9*100</f>
        <v>0</v>
      </c>
      <c r="F13" s="124"/>
      <c r="G13" s="124"/>
      <c r="H13" s="124"/>
      <c r="I13" s="124"/>
      <c r="K13" s="113"/>
      <c r="L13" s="114"/>
      <c r="M13" s="114"/>
      <c r="N13" s="114"/>
      <c r="O13" s="114"/>
      <c r="P13" s="114"/>
      <c r="Q13" s="115"/>
    </row>
    <row r="14" spans="1:21" ht="22.5" customHeight="1" x14ac:dyDescent="0.25">
      <c r="A14" s="63"/>
      <c r="B14" s="91" t="s">
        <v>78</v>
      </c>
      <c r="C14" s="82">
        <v>67</v>
      </c>
      <c r="D14" s="79"/>
      <c r="E14" s="92"/>
      <c r="F14" s="124"/>
      <c r="G14" s="124"/>
      <c r="H14" s="124"/>
      <c r="I14" s="124"/>
      <c r="K14" s="113"/>
      <c r="L14" s="114"/>
      <c r="M14" s="114"/>
      <c r="N14" s="114"/>
      <c r="O14" s="114"/>
      <c r="P14" s="114"/>
      <c r="Q14" s="115"/>
    </row>
    <row r="15" spans="1:21" ht="21.75" customHeight="1" thickBot="1" x14ac:dyDescent="0.3">
      <c r="A15" s="63"/>
      <c r="B15" s="93" t="s">
        <v>246</v>
      </c>
      <c r="C15" s="83">
        <v>7</v>
      </c>
      <c r="D15" s="98" t="s">
        <v>253</v>
      </c>
      <c r="E15" s="94"/>
      <c r="F15" s="124"/>
      <c r="G15" s="124"/>
      <c r="H15" s="124"/>
      <c r="I15" s="124"/>
      <c r="K15" s="113"/>
      <c r="L15" s="114"/>
      <c r="M15" s="114"/>
      <c r="N15" s="114"/>
      <c r="O15" s="114"/>
      <c r="P15" s="114"/>
      <c r="Q15" s="115"/>
    </row>
    <row r="16" spans="1:21" s="5" customFormat="1" ht="20.25" customHeight="1" thickBot="1" x14ac:dyDescent="0.3">
      <c r="A16" s="63"/>
      <c r="B16" s="95" t="s">
        <v>77</v>
      </c>
      <c r="C16" s="96">
        <v>60</v>
      </c>
      <c r="D16" s="98" t="s">
        <v>259</v>
      </c>
      <c r="E16" s="52"/>
      <c r="F16" s="55"/>
      <c r="G16" s="55"/>
      <c r="I16" s="55"/>
      <c r="K16" s="113"/>
      <c r="L16" s="114"/>
      <c r="M16" s="114"/>
      <c r="N16" s="114"/>
      <c r="O16" s="114"/>
      <c r="P16" s="114"/>
      <c r="Q16" s="115"/>
    </row>
    <row r="17" spans="1:17" s="5" customFormat="1" ht="15.75" customHeight="1" x14ac:dyDescent="0.25">
      <c r="A17" s="63"/>
      <c r="B17" s="55"/>
      <c r="C17" s="55"/>
      <c r="D17" s="55"/>
      <c r="E17" s="55"/>
      <c r="F17" s="55"/>
      <c r="G17" s="55"/>
      <c r="H17" s="55"/>
      <c r="I17" s="55"/>
      <c r="K17" s="113"/>
      <c r="L17" s="114"/>
      <c r="M17" s="114"/>
      <c r="N17" s="114"/>
      <c r="O17" s="114"/>
      <c r="P17" s="114"/>
      <c r="Q17" s="115"/>
    </row>
    <row r="18" spans="1:17" s="5" customFormat="1" ht="15.75" customHeight="1" x14ac:dyDescent="0.25">
      <c r="A18" s="63"/>
      <c r="B18" s="55"/>
      <c r="C18" s="55"/>
      <c r="D18" s="55"/>
      <c r="E18" s="55"/>
      <c r="F18" s="55"/>
      <c r="G18" s="55"/>
      <c r="H18" s="55"/>
      <c r="I18" s="55"/>
      <c r="K18" s="113"/>
      <c r="L18" s="114"/>
      <c r="M18" s="114"/>
      <c r="N18" s="114"/>
      <c r="O18" s="114"/>
      <c r="P18" s="114"/>
      <c r="Q18" s="115"/>
    </row>
    <row r="19" spans="1:17" s="5" customFormat="1" ht="15.75" customHeight="1" x14ac:dyDescent="0.25">
      <c r="B19" s="14"/>
      <c r="C19" s="14"/>
      <c r="D19" s="14"/>
      <c r="E19" s="15"/>
      <c r="F19" s="14"/>
      <c r="G19" s="14"/>
      <c r="H19" s="14"/>
      <c r="I19" s="14"/>
      <c r="K19" s="116"/>
      <c r="L19" s="117"/>
      <c r="M19" s="117"/>
      <c r="N19" s="117"/>
      <c r="O19" s="117"/>
      <c r="P19" s="117"/>
      <c r="Q19" s="118"/>
    </row>
    <row r="20" spans="1:17" s="5" customFormat="1" ht="16.5" customHeight="1" x14ac:dyDescent="0.25">
      <c r="E20" s="18"/>
      <c r="K20" s="36"/>
      <c r="L20" s="36"/>
      <c r="M20" s="36"/>
      <c r="N20" s="36"/>
      <c r="O20" s="36"/>
      <c r="P20" s="36"/>
      <c r="Q20" s="36"/>
    </row>
    <row r="21" spans="1:17" s="5" customFormat="1" ht="15.75" customHeight="1" x14ac:dyDescent="0.25">
      <c r="E21"/>
      <c r="K21" s="36"/>
      <c r="L21" s="36"/>
      <c r="M21" s="36"/>
      <c r="N21" s="36"/>
      <c r="O21" s="36"/>
      <c r="P21" s="36"/>
      <c r="Q21" s="36"/>
    </row>
    <row r="22" spans="1:17" s="5" customFormat="1" ht="15.75" customHeight="1" x14ac:dyDescent="0.25">
      <c r="E22" s="18"/>
      <c r="K22" s="36"/>
      <c r="L22" s="36"/>
      <c r="M22" s="36"/>
      <c r="N22" s="36"/>
      <c r="O22" s="36"/>
      <c r="P22" s="36"/>
      <c r="Q22" s="36"/>
    </row>
    <row r="23" spans="1:17" s="5" customFormat="1" ht="15.75" customHeight="1" x14ac:dyDescent="0.25">
      <c r="E23" s="18"/>
      <c r="F23" s="14"/>
      <c r="H23" s="14"/>
      <c r="K23" s="36"/>
      <c r="L23" s="36"/>
      <c r="M23" s="36"/>
      <c r="N23" s="36"/>
      <c r="O23" s="36"/>
      <c r="P23" s="36"/>
      <c r="Q23" s="36"/>
    </row>
    <row r="24" spans="1:17" s="5" customFormat="1" x14ac:dyDescent="0.25">
      <c r="E24" s="18"/>
      <c r="F24"/>
      <c r="H24" s="14"/>
    </row>
    <row r="25" spans="1:17" s="5" customFormat="1" x14ac:dyDescent="0.25">
      <c r="E25" s="18"/>
      <c r="G25" s="14"/>
    </row>
    <row r="26" spans="1:17" s="5" customFormat="1" x14ac:dyDescent="0.25">
      <c r="E26" s="18"/>
    </row>
    <row r="27" spans="1:17" s="5" customFormat="1" x14ac:dyDescent="0.25">
      <c r="E27" s="18"/>
    </row>
    <row r="28" spans="1:17" s="5" customFormat="1" x14ac:dyDescent="0.25">
      <c r="E28" s="18"/>
    </row>
    <row r="29" spans="1:17" s="5" customFormat="1" x14ac:dyDescent="0.25">
      <c r="E29" s="18"/>
    </row>
    <row r="30" spans="1:17" s="5" customFormat="1" x14ac:dyDescent="0.25">
      <c r="E30" s="18"/>
    </row>
    <row r="31" spans="1:17" s="5" customFormat="1" x14ac:dyDescent="0.25">
      <c r="E31" s="18"/>
    </row>
    <row r="32" spans="1:17" s="5" customFormat="1" x14ac:dyDescent="0.25">
      <c r="E32" s="18"/>
    </row>
    <row r="33" spans="5:5" s="5" customFormat="1" x14ac:dyDescent="0.25">
      <c r="E33" s="18"/>
    </row>
    <row r="34" spans="5:5" s="5" customFormat="1" x14ac:dyDescent="0.25">
      <c r="E34" s="18"/>
    </row>
    <row r="35" spans="5:5" s="5" customFormat="1" x14ac:dyDescent="0.25">
      <c r="E35" s="18"/>
    </row>
    <row r="36" spans="5:5" s="5" customFormat="1" x14ac:dyDescent="0.25">
      <c r="E36" s="18"/>
    </row>
    <row r="37" spans="5:5" s="5" customFormat="1" x14ac:dyDescent="0.25">
      <c r="E37" s="18"/>
    </row>
    <row r="38" spans="5:5" s="5" customFormat="1" x14ac:dyDescent="0.25">
      <c r="E38" s="18"/>
    </row>
    <row r="39" spans="5:5" s="5" customFormat="1" x14ac:dyDescent="0.25">
      <c r="E39" s="18"/>
    </row>
    <row r="40" spans="5:5" s="5" customFormat="1" x14ac:dyDescent="0.25">
      <c r="E40" s="18"/>
    </row>
    <row r="41" spans="5:5" s="5" customFormat="1" x14ac:dyDescent="0.25">
      <c r="E41" s="18"/>
    </row>
    <row r="42" spans="5:5" s="5" customFormat="1" x14ac:dyDescent="0.25">
      <c r="E42" s="18"/>
    </row>
    <row r="43" spans="5:5" s="5" customFormat="1" x14ac:dyDescent="0.25">
      <c r="E43" s="18"/>
    </row>
    <row r="44" spans="5:5" s="5" customFormat="1" x14ac:dyDescent="0.25">
      <c r="E44" s="18"/>
    </row>
    <row r="45" spans="5:5" s="5" customFormat="1" x14ac:dyDescent="0.25">
      <c r="E45" s="18"/>
    </row>
    <row r="46" spans="5:5" s="5" customFormat="1" x14ac:dyDescent="0.25">
      <c r="E46" s="18"/>
    </row>
    <row r="47" spans="5:5" s="5" customFormat="1" x14ac:dyDescent="0.25">
      <c r="E47" s="18"/>
    </row>
    <row r="48" spans="5:5" s="5" customFormat="1" x14ac:dyDescent="0.25">
      <c r="E48" s="18"/>
    </row>
    <row r="49" spans="5:5" s="5" customFormat="1" x14ac:dyDescent="0.25">
      <c r="E49" s="18"/>
    </row>
  </sheetData>
  <mergeCells count="6">
    <mergeCell ref="K8:Q19"/>
    <mergeCell ref="B1:I1"/>
    <mergeCell ref="B5:I5"/>
    <mergeCell ref="B8:E8"/>
    <mergeCell ref="F8:I15"/>
    <mergeCell ref="D9:E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W40"/>
  <sheetViews>
    <sheetView zoomScaleNormal="100" workbookViewId="0"/>
  </sheetViews>
  <sheetFormatPr defaultRowHeight="15.75" x14ac:dyDescent="0.25"/>
  <cols>
    <col min="1" max="2" width="2.5" style="5" customWidth="1"/>
    <col min="3" max="3" width="9" style="5"/>
    <col min="4" max="4" width="7.125" style="5" customWidth="1"/>
    <col min="5" max="11" width="9" style="5"/>
    <col min="12" max="12" width="7.875" style="5" customWidth="1"/>
    <col min="13" max="13" width="3.875" style="5" customWidth="1"/>
    <col min="14" max="22" width="2.375" style="5" customWidth="1"/>
    <col min="23" max="24" width="9" style="5" customWidth="1"/>
    <col min="25" max="31" width="9" style="5"/>
    <col min="32" max="33" width="5.625" style="5" customWidth="1"/>
    <col min="34" max="34" width="3.125" style="5" customWidth="1"/>
    <col min="35" max="35" width="5.375" style="5" customWidth="1"/>
    <col min="36" max="36" width="18.375" style="5" customWidth="1"/>
    <col min="37" max="37" width="4" style="5" customWidth="1"/>
    <col min="38" max="38" width="13.25" style="5" customWidth="1"/>
    <col min="39" max="39" width="3.75" style="5" customWidth="1"/>
    <col min="40" max="40" width="4" style="5" customWidth="1"/>
    <col min="41" max="41" width="5.125" style="5" customWidth="1"/>
    <col min="42" max="42" width="9" style="5"/>
    <col min="43" max="43" width="8.25" style="5" customWidth="1"/>
    <col min="44" max="44" width="4.375" style="5" customWidth="1"/>
    <col min="45" max="16384" width="9" style="5"/>
  </cols>
  <sheetData>
    <row r="1" spans="1:49" ht="18.75" x14ac:dyDescent="0.3">
      <c r="A1" s="4" t="s">
        <v>255</v>
      </c>
      <c r="B1" s="4"/>
    </row>
    <row r="2" spans="1:49" ht="18.75" x14ac:dyDescent="0.3">
      <c r="W2" s="6"/>
      <c r="X2" s="6"/>
      <c r="AJ2" s="104"/>
    </row>
    <row r="3" spans="1:49" ht="18.75" x14ac:dyDescent="0.3">
      <c r="B3" s="4" t="s">
        <v>198</v>
      </c>
      <c r="T3" s="4" t="s">
        <v>87</v>
      </c>
      <c r="U3" s="4"/>
      <c r="V3" s="4"/>
    </row>
    <row r="5" spans="1:49" x14ac:dyDescent="0.25">
      <c r="AJ5" s="105" t="s">
        <v>235</v>
      </c>
      <c r="AK5" s="106">
        <v>133</v>
      </c>
    </row>
    <row r="6" spans="1:49" x14ac:dyDescent="0.25">
      <c r="AJ6" s="105" t="s">
        <v>234</v>
      </c>
      <c r="AK6" s="106">
        <v>75</v>
      </c>
    </row>
    <row r="7" spans="1:49" s="34" customFormat="1" x14ac:dyDescent="0.25">
      <c r="AJ7" s="104" t="s">
        <v>236</v>
      </c>
      <c r="AK7" s="106">
        <v>66</v>
      </c>
      <c r="AL7" s="34" t="s">
        <v>237</v>
      </c>
      <c r="AM7" s="106">
        <v>9</v>
      </c>
      <c r="AN7" s="34" t="s">
        <v>238</v>
      </c>
    </row>
    <row r="8" spans="1:49" x14ac:dyDescent="0.25">
      <c r="AI8" s="34">
        <f>AO8-AR8</f>
        <v>67</v>
      </c>
      <c r="AJ8" s="5" t="s">
        <v>239</v>
      </c>
      <c r="AO8" s="107">
        <v>133</v>
      </c>
      <c r="AP8" s="5" t="s">
        <v>240</v>
      </c>
      <c r="AR8" s="106">
        <v>66</v>
      </c>
      <c r="AS8" s="5" t="s">
        <v>241</v>
      </c>
    </row>
    <row r="9" spans="1:49" x14ac:dyDescent="0.25">
      <c r="AJ9" s="33"/>
    </row>
    <row r="10" spans="1:49" s="44" customFormat="1" x14ac:dyDescent="0.25"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43" t="s">
        <v>7</v>
      </c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</row>
    <row r="11" spans="1:49" x14ac:dyDescent="0.25">
      <c r="AI11" s="8">
        <v>30</v>
      </c>
      <c r="AJ11" s="8" t="s">
        <v>13</v>
      </c>
    </row>
    <row r="12" spans="1:49" x14ac:dyDescent="0.25">
      <c r="AI12" s="8">
        <v>6</v>
      </c>
      <c r="AJ12" s="8" t="s">
        <v>101</v>
      </c>
    </row>
    <row r="13" spans="1:49" x14ac:dyDescent="0.25">
      <c r="AI13" s="8">
        <v>25</v>
      </c>
      <c r="AJ13" s="8" t="s">
        <v>21</v>
      </c>
    </row>
    <row r="14" spans="1:49" x14ac:dyDescent="0.25">
      <c r="AI14" s="8">
        <v>3</v>
      </c>
      <c r="AJ14" s="8" t="s">
        <v>11</v>
      </c>
      <c r="AK14" s="22"/>
      <c r="AL14" s="22"/>
      <c r="AM14" s="22"/>
    </row>
    <row r="15" spans="1:49" x14ac:dyDescent="0.25">
      <c r="AI15" s="8">
        <v>2</v>
      </c>
      <c r="AJ15" s="8" t="s">
        <v>6</v>
      </c>
    </row>
    <row r="16" spans="1:49" x14ac:dyDescent="0.25">
      <c r="AI16" s="8">
        <v>1</v>
      </c>
      <c r="AJ16" s="8" t="s">
        <v>12</v>
      </c>
    </row>
    <row r="17" spans="35:38" x14ac:dyDescent="0.25">
      <c r="AI17" s="8">
        <v>0</v>
      </c>
      <c r="AJ17" s="8" t="s">
        <v>22</v>
      </c>
      <c r="AK17" s="21"/>
      <c r="AL17" s="21"/>
    </row>
    <row r="18" spans="35:38" x14ac:dyDescent="0.25">
      <c r="AI18" s="7">
        <f>SUM(AI11:AI17)</f>
        <v>67</v>
      </c>
      <c r="AJ18" s="7" t="s">
        <v>80</v>
      </c>
      <c r="AK18" s="21"/>
      <c r="AL18" s="21"/>
    </row>
    <row r="19" spans="35:38" x14ac:dyDescent="0.25">
      <c r="AK19" s="21"/>
      <c r="AL19" s="21"/>
    </row>
    <row r="20" spans="35:38" x14ac:dyDescent="0.25">
      <c r="AI20" s="43" t="s">
        <v>102</v>
      </c>
      <c r="AJ20" s="44"/>
      <c r="AK20" s="21"/>
      <c r="AL20" s="21"/>
    </row>
    <row r="21" spans="35:38" x14ac:dyDescent="0.25">
      <c r="AI21" s="23">
        <v>31</v>
      </c>
      <c r="AJ21" s="24" t="s">
        <v>160</v>
      </c>
      <c r="AK21" s="21"/>
      <c r="AL21" s="21"/>
    </row>
    <row r="22" spans="35:38" ht="18.75" customHeight="1" x14ac:dyDescent="0.25">
      <c r="AI22" s="25">
        <v>36</v>
      </c>
      <c r="AJ22" s="109" t="s">
        <v>252</v>
      </c>
      <c r="AK22" s="21"/>
      <c r="AL22" s="21"/>
    </row>
    <row r="23" spans="35:38" x14ac:dyDescent="0.25">
      <c r="AI23" s="21"/>
      <c r="AJ23" s="108"/>
      <c r="AK23" s="21"/>
      <c r="AL23" s="21"/>
    </row>
    <row r="24" spans="35:38" x14ac:dyDescent="0.25">
      <c r="AI24" s="21"/>
      <c r="AJ24" s="21"/>
      <c r="AK24" s="21"/>
      <c r="AL24" s="21"/>
    </row>
    <row r="25" spans="35:38" x14ac:dyDescent="0.25">
      <c r="AI25" s="45" t="s">
        <v>103</v>
      </c>
      <c r="AJ25" s="44"/>
    </row>
    <row r="26" spans="35:38" ht="30.75" customHeight="1" x14ac:dyDescent="0.25">
      <c r="AI26" s="21"/>
      <c r="AJ26" s="21"/>
      <c r="AK26" s="21"/>
      <c r="AL26" s="21"/>
    </row>
    <row r="33" spans="2:11" x14ac:dyDescent="0.25">
      <c r="B33" s="132" t="s">
        <v>14</v>
      </c>
      <c r="C33" s="133"/>
      <c r="D33" s="130" t="s">
        <v>20</v>
      </c>
      <c r="E33" s="130"/>
      <c r="F33" s="130"/>
      <c r="G33" s="130"/>
      <c r="H33" s="130"/>
      <c r="I33" s="130"/>
      <c r="J33" s="130"/>
      <c r="K33" s="130"/>
    </row>
    <row r="34" spans="2:11" x14ac:dyDescent="0.25">
      <c r="B34" s="132" t="s">
        <v>15</v>
      </c>
      <c r="C34" s="133"/>
      <c r="D34" s="127" t="s">
        <v>19</v>
      </c>
      <c r="E34" s="128"/>
      <c r="F34" s="128"/>
      <c r="G34" s="128"/>
      <c r="H34" s="128"/>
      <c r="I34" s="128"/>
      <c r="J34" s="128"/>
      <c r="K34" s="129"/>
    </row>
    <row r="35" spans="2:11" x14ac:dyDescent="0.25">
      <c r="B35" s="19" t="s">
        <v>79</v>
      </c>
      <c r="C35" s="20"/>
      <c r="D35" s="127" t="s">
        <v>106</v>
      </c>
      <c r="E35" s="128"/>
      <c r="F35" s="128"/>
      <c r="G35" s="128"/>
      <c r="H35" s="128"/>
      <c r="I35" s="128"/>
      <c r="J35" s="128"/>
      <c r="K35" s="129"/>
    </row>
    <row r="36" spans="2:11" x14ac:dyDescent="0.25">
      <c r="B36" s="38" t="s">
        <v>105</v>
      </c>
      <c r="C36" s="39"/>
      <c r="D36" s="40" t="s">
        <v>107</v>
      </c>
      <c r="E36" s="41"/>
      <c r="F36" s="41"/>
      <c r="G36" s="41"/>
      <c r="H36" s="41"/>
      <c r="I36" s="41"/>
      <c r="J36" s="41"/>
      <c r="K36" s="42"/>
    </row>
    <row r="37" spans="2:11" x14ac:dyDescent="0.25">
      <c r="B37" s="132" t="s">
        <v>16</v>
      </c>
      <c r="C37" s="133"/>
      <c r="D37" s="131" t="s">
        <v>24</v>
      </c>
      <c r="E37" s="131"/>
      <c r="F37" s="131"/>
      <c r="G37" s="131"/>
      <c r="H37" s="131"/>
      <c r="I37" s="131"/>
      <c r="J37" s="131"/>
      <c r="K37" s="131"/>
    </row>
    <row r="38" spans="2:11" x14ac:dyDescent="0.25">
      <c r="B38" s="132" t="s">
        <v>17</v>
      </c>
      <c r="C38" s="133"/>
      <c r="D38" s="127" t="s">
        <v>18</v>
      </c>
      <c r="E38" s="128"/>
      <c r="F38" s="128"/>
      <c r="G38" s="128"/>
      <c r="H38" s="128"/>
      <c r="I38" s="128"/>
      <c r="J38" s="128"/>
      <c r="K38" s="129"/>
    </row>
    <row r="39" spans="2:11" x14ac:dyDescent="0.25">
      <c r="B39" s="132" t="s">
        <v>63</v>
      </c>
      <c r="C39" s="133"/>
      <c r="D39" s="127" t="s">
        <v>64</v>
      </c>
      <c r="E39" s="128"/>
      <c r="F39" s="128"/>
      <c r="G39" s="128"/>
      <c r="H39" s="128"/>
      <c r="I39" s="128"/>
      <c r="J39" s="128"/>
      <c r="K39" s="129"/>
    </row>
    <row r="40" spans="2:11" x14ac:dyDescent="0.25">
      <c r="B40" s="132" t="s">
        <v>85</v>
      </c>
      <c r="C40" s="133"/>
      <c r="D40" s="127" t="s">
        <v>86</v>
      </c>
      <c r="E40" s="128"/>
      <c r="F40" s="128"/>
      <c r="G40" s="128"/>
      <c r="H40" s="128"/>
      <c r="I40" s="128"/>
      <c r="J40" s="128"/>
      <c r="K40" s="129"/>
    </row>
  </sheetData>
  <mergeCells count="13">
    <mergeCell ref="B40:C40"/>
    <mergeCell ref="D40:K40"/>
    <mergeCell ref="B39:C39"/>
    <mergeCell ref="D39:K39"/>
    <mergeCell ref="B38:C38"/>
    <mergeCell ref="D34:K34"/>
    <mergeCell ref="D38:K38"/>
    <mergeCell ref="D33:K33"/>
    <mergeCell ref="D37:K37"/>
    <mergeCell ref="B33:C33"/>
    <mergeCell ref="B34:C34"/>
    <mergeCell ref="B37:C37"/>
    <mergeCell ref="D35:K35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AB24A-6583-445E-B927-BEA486EA8E16}">
  <dimension ref="A1:K70"/>
  <sheetViews>
    <sheetView workbookViewId="0"/>
  </sheetViews>
  <sheetFormatPr defaultRowHeight="15" x14ac:dyDescent="0.25"/>
  <cols>
    <col min="1" max="1" width="2.875" style="143" customWidth="1"/>
    <col min="2" max="2" width="9.625" style="143" bestFit="1" customWidth="1"/>
    <col min="3" max="3" width="58" style="144" customWidth="1"/>
    <col min="4" max="4" width="9" style="143"/>
    <col min="5" max="5" width="13.875" style="143" bestFit="1" customWidth="1"/>
    <col min="6" max="6" width="32" style="143" bestFit="1" customWidth="1"/>
    <col min="7" max="7" width="17.625" style="143" bestFit="1" customWidth="1"/>
    <col min="8" max="8" width="32" style="143" bestFit="1" customWidth="1"/>
    <col min="9" max="9" width="30.625" style="143" customWidth="1"/>
    <col min="10" max="10" width="18.75" style="143" bestFit="1" customWidth="1"/>
    <col min="11" max="11" width="17.125" style="143" bestFit="1" customWidth="1"/>
    <col min="12" max="16384" width="9" style="143"/>
  </cols>
  <sheetData>
    <row r="1" spans="1:11" s="26" customFormat="1" ht="18.75" x14ac:dyDescent="0.25">
      <c r="A1" s="35" t="s">
        <v>256</v>
      </c>
      <c r="C1" s="27"/>
    </row>
    <row r="2" spans="1:11" s="26" customFormat="1" x14ac:dyDescent="0.25">
      <c r="B2" s="28"/>
      <c r="C2" s="27"/>
      <c r="H2" s="134" t="s">
        <v>25</v>
      </c>
      <c r="I2" s="134"/>
    </row>
    <row r="3" spans="1:11" s="32" customFormat="1" x14ac:dyDescent="0.25">
      <c r="A3" s="29"/>
      <c r="B3" s="30" t="s">
        <v>26</v>
      </c>
      <c r="C3" s="31" t="s">
        <v>27</v>
      </c>
      <c r="D3" s="30" t="s">
        <v>28</v>
      </c>
      <c r="E3" s="30" t="s">
        <v>29</v>
      </c>
      <c r="F3" s="30" t="s">
        <v>30</v>
      </c>
      <c r="G3" s="30" t="s">
        <v>31</v>
      </c>
      <c r="H3" s="30" t="s">
        <v>32</v>
      </c>
      <c r="I3" s="30" t="s">
        <v>33</v>
      </c>
      <c r="J3" s="30" t="s">
        <v>34</v>
      </c>
      <c r="K3" s="30" t="s">
        <v>65</v>
      </c>
    </row>
    <row r="4" spans="1:11" ht="30" x14ac:dyDescent="0.25">
      <c r="A4" s="145">
        <v>1</v>
      </c>
      <c r="B4" s="146" t="s">
        <v>250</v>
      </c>
      <c r="C4" s="147" t="s">
        <v>251</v>
      </c>
      <c r="D4" s="146" t="s">
        <v>37</v>
      </c>
      <c r="E4" s="148">
        <v>44335.307638888888</v>
      </c>
      <c r="F4" s="146" t="s">
        <v>39</v>
      </c>
      <c r="G4" s="146" t="s">
        <v>258</v>
      </c>
      <c r="H4" s="146"/>
      <c r="I4" s="146" t="s">
        <v>50</v>
      </c>
      <c r="J4" s="146"/>
      <c r="K4" s="146" t="s">
        <v>66</v>
      </c>
    </row>
    <row r="5" spans="1:11" ht="30" x14ac:dyDescent="0.25">
      <c r="A5" s="145">
        <v>2</v>
      </c>
      <c r="B5" s="146" t="s">
        <v>247</v>
      </c>
      <c r="C5" s="147" t="s">
        <v>248</v>
      </c>
      <c r="D5" s="146" t="s">
        <v>37</v>
      </c>
      <c r="E5" s="148">
        <v>44334.300694444442</v>
      </c>
      <c r="F5" s="146" t="s">
        <v>134</v>
      </c>
      <c r="G5" s="146" t="s">
        <v>14</v>
      </c>
      <c r="H5" s="146" t="s">
        <v>134</v>
      </c>
      <c r="I5" s="146"/>
      <c r="J5" s="146"/>
      <c r="K5" s="146" t="s">
        <v>71</v>
      </c>
    </row>
    <row r="6" spans="1:11" ht="30" x14ac:dyDescent="0.25">
      <c r="A6" s="145">
        <v>3</v>
      </c>
      <c r="B6" s="146" t="s">
        <v>242</v>
      </c>
      <c r="C6" s="147" t="s">
        <v>243</v>
      </c>
      <c r="D6" s="146" t="s">
        <v>37</v>
      </c>
      <c r="E6" s="148">
        <v>44331.378472222219</v>
      </c>
      <c r="F6" s="146" t="s">
        <v>134</v>
      </c>
      <c r="G6" s="146" t="s">
        <v>14</v>
      </c>
      <c r="H6" s="146"/>
      <c r="I6" s="146" t="s">
        <v>50</v>
      </c>
      <c r="J6" s="146"/>
      <c r="K6" s="146" t="s">
        <v>71</v>
      </c>
    </row>
    <row r="7" spans="1:11" ht="30" x14ac:dyDescent="0.25">
      <c r="A7" s="145">
        <v>4</v>
      </c>
      <c r="B7" s="146" t="s">
        <v>244</v>
      </c>
      <c r="C7" s="147" t="s">
        <v>245</v>
      </c>
      <c r="D7" s="146" t="s">
        <v>37</v>
      </c>
      <c r="E7" s="148">
        <v>44331.352083333331</v>
      </c>
      <c r="F7" s="146" t="s">
        <v>39</v>
      </c>
      <c r="G7" s="146" t="s">
        <v>14</v>
      </c>
      <c r="H7" s="146"/>
      <c r="I7" s="146" t="s">
        <v>50</v>
      </c>
      <c r="J7" s="146"/>
      <c r="K7" s="146" t="s">
        <v>66</v>
      </c>
    </row>
    <row r="8" spans="1:11" ht="30" x14ac:dyDescent="0.25">
      <c r="A8" s="145">
        <v>5</v>
      </c>
      <c r="B8" s="146" t="s">
        <v>220</v>
      </c>
      <c r="C8" s="147" t="s">
        <v>221</v>
      </c>
      <c r="D8" s="146" t="s">
        <v>37</v>
      </c>
      <c r="E8" s="148">
        <v>44330.327777777777</v>
      </c>
      <c r="F8" s="146" t="s">
        <v>39</v>
      </c>
      <c r="G8" s="146" t="s">
        <v>224</v>
      </c>
      <c r="H8" s="146" t="s">
        <v>104</v>
      </c>
      <c r="I8" s="146"/>
      <c r="J8" s="146"/>
      <c r="K8" s="146" t="s">
        <v>66</v>
      </c>
    </row>
    <row r="9" spans="1:11" ht="30" x14ac:dyDescent="0.25">
      <c r="A9" s="145">
        <v>6</v>
      </c>
      <c r="B9" s="146" t="s">
        <v>222</v>
      </c>
      <c r="C9" s="147" t="s">
        <v>223</v>
      </c>
      <c r="D9" s="146" t="s">
        <v>37</v>
      </c>
      <c r="E9" s="148">
        <v>44330.24722222222</v>
      </c>
      <c r="F9" s="146" t="s">
        <v>179</v>
      </c>
      <c r="G9" s="146" t="s">
        <v>14</v>
      </c>
      <c r="H9" s="146" t="s">
        <v>179</v>
      </c>
      <c r="I9" s="146"/>
      <c r="J9" s="146"/>
      <c r="K9" s="146" t="s">
        <v>66</v>
      </c>
    </row>
    <row r="10" spans="1:11" ht="30" x14ac:dyDescent="0.25">
      <c r="A10" s="145">
        <v>7</v>
      </c>
      <c r="B10" s="146" t="s">
        <v>216</v>
      </c>
      <c r="C10" s="147" t="s">
        <v>217</v>
      </c>
      <c r="D10" s="146" t="s">
        <v>37</v>
      </c>
      <c r="E10" s="148">
        <v>44328.176388888889</v>
      </c>
      <c r="F10" s="146" t="s">
        <v>134</v>
      </c>
      <c r="G10" s="146" t="s">
        <v>105</v>
      </c>
      <c r="H10" s="146"/>
      <c r="I10" s="146" t="s">
        <v>158</v>
      </c>
      <c r="J10" s="146"/>
      <c r="K10" s="146" t="s">
        <v>71</v>
      </c>
    </row>
    <row r="11" spans="1:11" x14ac:dyDescent="0.25">
      <c r="A11" s="145">
        <v>8</v>
      </c>
      <c r="B11" s="146" t="s">
        <v>212</v>
      </c>
      <c r="C11" s="147" t="s">
        <v>213</v>
      </c>
      <c r="D11" s="146" t="s">
        <v>37</v>
      </c>
      <c r="E11" s="148">
        <v>44327.345138888886</v>
      </c>
      <c r="F11" s="146" t="s">
        <v>134</v>
      </c>
      <c r="G11" s="146" t="s">
        <v>14</v>
      </c>
      <c r="H11" s="146" t="s">
        <v>134</v>
      </c>
      <c r="I11" s="146"/>
      <c r="J11" s="146"/>
      <c r="K11" s="146" t="s">
        <v>66</v>
      </c>
    </row>
    <row r="12" spans="1:11" ht="30" x14ac:dyDescent="0.25">
      <c r="A12" s="145">
        <v>9</v>
      </c>
      <c r="B12" s="146" t="s">
        <v>214</v>
      </c>
      <c r="C12" s="147" t="s">
        <v>215</v>
      </c>
      <c r="D12" s="146" t="s">
        <v>37</v>
      </c>
      <c r="E12" s="148">
        <v>44327.304861111108</v>
      </c>
      <c r="F12" s="146" t="s">
        <v>39</v>
      </c>
      <c r="G12" s="146" t="s">
        <v>14</v>
      </c>
      <c r="H12" s="146"/>
      <c r="I12" s="146" t="s">
        <v>50</v>
      </c>
      <c r="J12" s="146"/>
      <c r="K12" s="146" t="s">
        <v>66</v>
      </c>
    </row>
    <row r="13" spans="1:11" ht="30" x14ac:dyDescent="0.25">
      <c r="A13" s="145">
        <v>10</v>
      </c>
      <c r="B13" s="146" t="s">
        <v>210</v>
      </c>
      <c r="C13" s="147" t="s">
        <v>211</v>
      </c>
      <c r="D13" s="146" t="s">
        <v>37</v>
      </c>
      <c r="E13" s="148">
        <v>44324.188888888886</v>
      </c>
      <c r="F13" s="146" t="s">
        <v>39</v>
      </c>
      <c r="G13" s="146" t="s">
        <v>15</v>
      </c>
      <c r="H13" s="146" t="s">
        <v>39</v>
      </c>
      <c r="I13" s="146"/>
      <c r="J13" s="146"/>
      <c r="K13" s="146" t="s">
        <v>71</v>
      </c>
    </row>
    <row r="14" spans="1:11" ht="30" x14ac:dyDescent="0.25">
      <c r="A14" s="145">
        <v>11</v>
      </c>
      <c r="B14" s="146" t="s">
        <v>205</v>
      </c>
      <c r="C14" s="147" t="s">
        <v>206</v>
      </c>
      <c r="D14" s="146" t="s">
        <v>37</v>
      </c>
      <c r="E14" s="148">
        <v>44321.211805555555</v>
      </c>
      <c r="F14" s="146" t="s">
        <v>179</v>
      </c>
      <c r="G14" s="146" t="s">
        <v>14</v>
      </c>
      <c r="H14" s="146"/>
      <c r="I14" s="146" t="s">
        <v>81</v>
      </c>
      <c r="J14" s="146" t="s">
        <v>97</v>
      </c>
      <c r="K14" s="146" t="s">
        <v>66</v>
      </c>
    </row>
    <row r="15" spans="1:11" ht="30" x14ac:dyDescent="0.25">
      <c r="A15" s="145">
        <v>12</v>
      </c>
      <c r="B15" s="146" t="s">
        <v>207</v>
      </c>
      <c r="C15" s="147" t="s">
        <v>208</v>
      </c>
      <c r="D15" s="146" t="s">
        <v>37</v>
      </c>
      <c r="E15" s="148">
        <v>44321.15347222222</v>
      </c>
      <c r="F15" s="146" t="s">
        <v>134</v>
      </c>
      <c r="G15" s="146" t="s">
        <v>14</v>
      </c>
      <c r="H15" s="146"/>
      <c r="I15" s="146" t="s">
        <v>158</v>
      </c>
      <c r="J15" s="146"/>
      <c r="K15" s="146" t="s">
        <v>71</v>
      </c>
    </row>
    <row r="16" spans="1:11" ht="30" x14ac:dyDescent="0.25">
      <c r="A16" s="145">
        <v>13</v>
      </c>
      <c r="B16" s="146" t="s">
        <v>199</v>
      </c>
      <c r="C16" s="147" t="s">
        <v>200</v>
      </c>
      <c r="D16" s="146" t="s">
        <v>37</v>
      </c>
      <c r="E16" s="148">
        <v>44320.20416666667</v>
      </c>
      <c r="F16" s="146" t="s">
        <v>134</v>
      </c>
      <c r="G16" s="146" t="s">
        <v>69</v>
      </c>
      <c r="H16" s="146" t="s">
        <v>134</v>
      </c>
      <c r="I16" s="146"/>
      <c r="J16" s="146"/>
      <c r="K16" s="146" t="s">
        <v>71</v>
      </c>
    </row>
    <row r="17" spans="1:11" ht="30" x14ac:dyDescent="0.25">
      <c r="A17" s="145">
        <v>14</v>
      </c>
      <c r="B17" s="146" t="s">
        <v>201</v>
      </c>
      <c r="C17" s="147" t="s">
        <v>202</v>
      </c>
      <c r="D17" s="146" t="s">
        <v>37</v>
      </c>
      <c r="E17" s="148">
        <v>44320.134722222225</v>
      </c>
      <c r="F17" s="146" t="s">
        <v>134</v>
      </c>
      <c r="G17" s="146" t="s">
        <v>14</v>
      </c>
      <c r="H17" s="146"/>
      <c r="I17" s="146" t="s">
        <v>50</v>
      </c>
      <c r="J17" s="146"/>
      <c r="K17" s="146" t="s">
        <v>66</v>
      </c>
    </row>
    <row r="18" spans="1:11" ht="30" x14ac:dyDescent="0.25">
      <c r="A18" s="145">
        <v>15</v>
      </c>
      <c r="B18" s="146" t="s">
        <v>203</v>
      </c>
      <c r="C18" s="147" t="s">
        <v>204</v>
      </c>
      <c r="D18" s="146" t="s">
        <v>37</v>
      </c>
      <c r="E18" s="148">
        <v>44320.094444444447</v>
      </c>
      <c r="F18" s="146" t="s">
        <v>39</v>
      </c>
      <c r="G18" s="146" t="s">
        <v>16</v>
      </c>
      <c r="H18" s="146"/>
      <c r="I18" s="146" t="s">
        <v>50</v>
      </c>
      <c r="J18" s="146"/>
      <c r="K18" s="146" t="s">
        <v>66</v>
      </c>
    </row>
    <row r="19" spans="1:11" ht="30" x14ac:dyDescent="0.25">
      <c r="A19" s="145">
        <v>16</v>
      </c>
      <c r="B19" s="146" t="s">
        <v>193</v>
      </c>
      <c r="C19" s="147" t="s">
        <v>194</v>
      </c>
      <c r="D19" s="146" t="s">
        <v>37</v>
      </c>
      <c r="E19" s="148">
        <v>44317.350694444445</v>
      </c>
      <c r="F19" s="146" t="s">
        <v>195</v>
      </c>
      <c r="G19" s="146" t="s">
        <v>14</v>
      </c>
      <c r="H19" s="146" t="s">
        <v>195</v>
      </c>
      <c r="J19" s="146"/>
      <c r="K19" s="146" t="s">
        <v>66</v>
      </c>
    </row>
    <row r="20" spans="1:11" x14ac:dyDescent="0.25">
      <c r="A20" s="145">
        <v>17</v>
      </c>
      <c r="B20" s="146" t="s">
        <v>196</v>
      </c>
      <c r="C20" s="147" t="s">
        <v>197</v>
      </c>
      <c r="D20" s="146" t="s">
        <v>37</v>
      </c>
      <c r="E20" s="148">
        <v>44317.041666666664</v>
      </c>
      <c r="F20" s="146" t="s">
        <v>39</v>
      </c>
      <c r="G20" s="146" t="s">
        <v>15</v>
      </c>
      <c r="H20" s="146" t="s">
        <v>39</v>
      </c>
      <c r="I20" s="146"/>
      <c r="J20" s="146"/>
      <c r="K20" s="146" t="s">
        <v>66</v>
      </c>
    </row>
    <row r="21" spans="1:11" ht="30" x14ac:dyDescent="0.25">
      <c r="A21" s="145">
        <v>18</v>
      </c>
      <c r="B21" s="146" t="s">
        <v>188</v>
      </c>
      <c r="C21" s="147" t="s">
        <v>189</v>
      </c>
      <c r="D21" s="146" t="s">
        <v>37</v>
      </c>
      <c r="E21" s="148">
        <v>44308.051388888889</v>
      </c>
      <c r="F21" s="146" t="s">
        <v>39</v>
      </c>
      <c r="G21" s="146" t="s">
        <v>14</v>
      </c>
      <c r="H21" s="146"/>
      <c r="I21" s="146" t="s">
        <v>190</v>
      </c>
      <c r="J21" s="146"/>
      <c r="K21" s="146" t="s">
        <v>66</v>
      </c>
    </row>
    <row r="22" spans="1:11" ht="30" x14ac:dyDescent="0.25">
      <c r="A22" s="145">
        <v>19</v>
      </c>
      <c r="B22" s="146" t="s">
        <v>182</v>
      </c>
      <c r="C22" s="147" t="s">
        <v>183</v>
      </c>
      <c r="D22" s="146" t="s">
        <v>37</v>
      </c>
      <c r="E22" s="148">
        <v>44303.318749999999</v>
      </c>
      <c r="F22" s="146" t="s">
        <v>39</v>
      </c>
      <c r="G22" s="146" t="s">
        <v>69</v>
      </c>
      <c r="H22" s="146" t="s">
        <v>39</v>
      </c>
      <c r="I22" s="146"/>
      <c r="J22" s="146"/>
      <c r="K22" s="146" t="s">
        <v>66</v>
      </c>
    </row>
    <row r="23" spans="1:11" ht="30" x14ac:dyDescent="0.25">
      <c r="A23" s="145">
        <v>20</v>
      </c>
      <c r="B23" s="146" t="s">
        <v>184</v>
      </c>
      <c r="C23" s="147" t="s">
        <v>185</v>
      </c>
      <c r="D23" s="146" t="s">
        <v>37</v>
      </c>
      <c r="E23" s="148">
        <v>44303.256249999999</v>
      </c>
      <c r="F23" s="146" t="s">
        <v>134</v>
      </c>
      <c r="G23" s="146" t="s">
        <v>14</v>
      </c>
      <c r="H23" s="146"/>
      <c r="I23" s="146" t="s">
        <v>50</v>
      </c>
      <c r="J23" s="146"/>
      <c r="K23" s="146" t="s">
        <v>66</v>
      </c>
    </row>
    <row r="24" spans="1:11" x14ac:dyDescent="0.25">
      <c r="A24" s="145">
        <v>21</v>
      </c>
      <c r="B24" s="146" t="s">
        <v>186</v>
      </c>
      <c r="C24" s="147" t="s">
        <v>187</v>
      </c>
      <c r="D24" s="146" t="s">
        <v>37</v>
      </c>
      <c r="E24" s="148">
        <v>44303.203472222223</v>
      </c>
      <c r="F24" s="146" t="s">
        <v>179</v>
      </c>
      <c r="G24" s="146" t="s">
        <v>14</v>
      </c>
      <c r="H24" s="146" t="s">
        <v>134</v>
      </c>
      <c r="I24" s="146"/>
      <c r="J24" s="146"/>
      <c r="K24" s="146" t="s">
        <v>66</v>
      </c>
    </row>
    <row r="25" spans="1:11" ht="30" x14ac:dyDescent="0.25">
      <c r="A25" s="145">
        <v>22</v>
      </c>
      <c r="B25" s="146" t="s">
        <v>175</v>
      </c>
      <c r="C25" s="147" t="s">
        <v>176</v>
      </c>
      <c r="D25" s="146" t="s">
        <v>37</v>
      </c>
      <c r="E25" s="148">
        <v>44302.359722222223</v>
      </c>
      <c r="F25" s="146" t="s">
        <v>39</v>
      </c>
      <c r="G25" s="146" t="s">
        <v>14</v>
      </c>
      <c r="H25" s="146" t="s">
        <v>39</v>
      </c>
      <c r="I25" s="146"/>
      <c r="J25" s="146"/>
      <c r="K25" s="146" t="s">
        <v>66</v>
      </c>
    </row>
    <row r="26" spans="1:11" ht="30" x14ac:dyDescent="0.25">
      <c r="A26" s="145">
        <v>23</v>
      </c>
      <c r="B26" s="146" t="s">
        <v>177</v>
      </c>
      <c r="C26" s="147" t="s">
        <v>178</v>
      </c>
      <c r="D26" s="146" t="s">
        <v>37</v>
      </c>
      <c r="E26" s="148">
        <v>44302.249305555553</v>
      </c>
      <c r="F26" s="146" t="s">
        <v>179</v>
      </c>
      <c r="G26" s="146" t="s">
        <v>15</v>
      </c>
      <c r="H26" s="146" t="s">
        <v>179</v>
      </c>
      <c r="I26" s="146"/>
      <c r="J26" s="146"/>
      <c r="K26" s="146" t="s">
        <v>71</v>
      </c>
    </row>
    <row r="27" spans="1:11" ht="30" x14ac:dyDescent="0.25">
      <c r="A27" s="145">
        <v>24</v>
      </c>
      <c r="B27" s="146" t="s">
        <v>180</v>
      </c>
      <c r="C27" s="147" t="s">
        <v>181</v>
      </c>
      <c r="D27" s="146" t="s">
        <v>37</v>
      </c>
      <c r="E27" s="148">
        <v>44302.09652777778</v>
      </c>
      <c r="F27" s="146" t="s">
        <v>39</v>
      </c>
      <c r="G27" s="146" t="s">
        <v>14</v>
      </c>
      <c r="H27" s="146"/>
      <c r="I27" s="146" t="s">
        <v>158</v>
      </c>
      <c r="J27" s="146"/>
      <c r="K27" s="146" t="s">
        <v>66</v>
      </c>
    </row>
    <row r="28" spans="1:11" ht="30" x14ac:dyDescent="0.25">
      <c r="A28" s="145">
        <v>25</v>
      </c>
      <c r="B28" s="146" t="s">
        <v>172</v>
      </c>
      <c r="C28" s="147" t="s">
        <v>173</v>
      </c>
      <c r="D28" s="146" t="s">
        <v>37</v>
      </c>
      <c r="E28" s="148">
        <v>44301.052777777775</v>
      </c>
      <c r="F28" s="146" t="s">
        <v>39</v>
      </c>
      <c r="G28" s="146" t="s">
        <v>16</v>
      </c>
      <c r="H28" s="146"/>
      <c r="I28" s="146" t="s">
        <v>50</v>
      </c>
      <c r="J28" s="146"/>
      <c r="K28" s="146" t="s">
        <v>71</v>
      </c>
    </row>
    <row r="29" spans="1:11" ht="30" x14ac:dyDescent="0.25">
      <c r="A29" s="145">
        <v>26</v>
      </c>
      <c r="B29" s="146" t="s">
        <v>166</v>
      </c>
      <c r="C29" s="147" t="s">
        <v>167</v>
      </c>
      <c r="D29" s="146" t="s">
        <v>37</v>
      </c>
      <c r="E29" s="148">
        <v>44296.186805555553</v>
      </c>
      <c r="F29" s="146" t="s">
        <v>134</v>
      </c>
      <c r="G29" s="146" t="s">
        <v>14</v>
      </c>
      <c r="H29" s="146" t="s">
        <v>134</v>
      </c>
      <c r="I29" s="146"/>
      <c r="J29" s="146"/>
      <c r="K29" s="146" t="s">
        <v>71</v>
      </c>
    </row>
    <row r="30" spans="1:11" ht="30" x14ac:dyDescent="0.25">
      <c r="A30" s="145">
        <v>27</v>
      </c>
      <c r="B30" s="146" t="s">
        <v>168</v>
      </c>
      <c r="C30" s="147" t="s">
        <v>169</v>
      </c>
      <c r="D30" s="146" t="s">
        <v>37</v>
      </c>
      <c r="E30" s="148">
        <v>44296.116666666669</v>
      </c>
      <c r="F30" s="146" t="s">
        <v>134</v>
      </c>
      <c r="G30" s="146" t="s">
        <v>14</v>
      </c>
      <c r="H30" s="146"/>
      <c r="I30" s="146" t="s">
        <v>50</v>
      </c>
      <c r="J30" s="146"/>
      <c r="K30" s="146" t="s">
        <v>66</v>
      </c>
    </row>
    <row r="31" spans="1:11" ht="30" x14ac:dyDescent="0.25">
      <c r="A31" s="145">
        <v>28</v>
      </c>
      <c r="B31" s="146" t="s">
        <v>170</v>
      </c>
      <c r="C31" s="147" t="s">
        <v>171</v>
      </c>
      <c r="D31" s="146" t="s">
        <v>37</v>
      </c>
      <c r="E31" s="148">
        <v>44296.105555555558</v>
      </c>
      <c r="F31" s="146" t="s">
        <v>39</v>
      </c>
      <c r="G31" s="146" t="s">
        <v>14</v>
      </c>
      <c r="H31" s="146"/>
      <c r="I31" s="146" t="s">
        <v>50</v>
      </c>
      <c r="J31" s="146"/>
      <c r="K31" s="146" t="s">
        <v>66</v>
      </c>
    </row>
    <row r="32" spans="1:11" x14ac:dyDescent="0.25">
      <c r="A32" s="145">
        <v>29</v>
      </c>
      <c r="B32" s="146" t="s">
        <v>163</v>
      </c>
      <c r="C32" s="147" t="s">
        <v>164</v>
      </c>
      <c r="D32" s="146" t="s">
        <v>37</v>
      </c>
      <c r="E32" s="148">
        <v>44295.149305555555</v>
      </c>
      <c r="F32" s="146" t="s">
        <v>38</v>
      </c>
      <c r="G32" s="146" t="s">
        <v>14</v>
      </c>
      <c r="H32" s="146" t="s">
        <v>38</v>
      </c>
      <c r="I32" s="146"/>
      <c r="J32" s="146"/>
      <c r="K32" s="146" t="s">
        <v>66</v>
      </c>
    </row>
    <row r="33" spans="1:11" ht="30" x14ac:dyDescent="0.25">
      <c r="A33" s="145">
        <v>30</v>
      </c>
      <c r="B33" s="146" t="s">
        <v>161</v>
      </c>
      <c r="C33" s="147" t="s">
        <v>162</v>
      </c>
      <c r="D33" s="146" t="s">
        <v>37</v>
      </c>
      <c r="E33" s="148">
        <v>44294.120833333334</v>
      </c>
      <c r="F33" s="146" t="s">
        <v>39</v>
      </c>
      <c r="G33" s="146" t="s">
        <v>69</v>
      </c>
      <c r="H33" s="146"/>
      <c r="I33" s="146" t="s">
        <v>50</v>
      </c>
      <c r="J33" s="146"/>
      <c r="K33" s="146" t="s">
        <v>70</v>
      </c>
    </row>
    <row r="34" spans="1:11" ht="45" x14ac:dyDescent="0.25">
      <c r="A34" s="145">
        <v>31</v>
      </c>
      <c r="B34" s="146" t="s">
        <v>143</v>
      </c>
      <c r="C34" s="147" t="s">
        <v>144</v>
      </c>
      <c r="D34" s="146" t="s">
        <v>37</v>
      </c>
      <c r="E34" s="148">
        <v>44282.46875</v>
      </c>
      <c r="F34" s="146" t="s">
        <v>38</v>
      </c>
      <c r="G34" s="146" t="s">
        <v>14</v>
      </c>
      <c r="H34" s="146"/>
      <c r="I34" s="146" t="s">
        <v>158</v>
      </c>
      <c r="J34" s="146"/>
      <c r="K34" s="146" t="s">
        <v>66</v>
      </c>
    </row>
    <row r="35" spans="1:11" ht="30" x14ac:dyDescent="0.25">
      <c r="A35" s="145">
        <v>32</v>
      </c>
      <c r="B35" s="146" t="s">
        <v>145</v>
      </c>
      <c r="C35" s="147" t="s">
        <v>146</v>
      </c>
      <c r="D35" s="146" t="s">
        <v>37</v>
      </c>
      <c r="E35" s="148">
        <v>44282.205555555556</v>
      </c>
      <c r="F35" s="146" t="s">
        <v>38</v>
      </c>
      <c r="G35" s="146" t="s">
        <v>14</v>
      </c>
      <c r="H35" s="146" t="s">
        <v>38</v>
      </c>
      <c r="I35" s="146"/>
      <c r="J35" s="146"/>
      <c r="K35" s="146" t="s">
        <v>66</v>
      </c>
    </row>
    <row r="36" spans="1:11" ht="30" x14ac:dyDescent="0.25">
      <c r="A36" s="145">
        <v>33</v>
      </c>
      <c r="B36" s="146" t="s">
        <v>137</v>
      </c>
      <c r="C36" s="147" t="s">
        <v>138</v>
      </c>
      <c r="D36" s="146" t="s">
        <v>37</v>
      </c>
      <c r="E36" s="148">
        <v>44280.244444444441</v>
      </c>
      <c r="F36" s="146" t="s">
        <v>39</v>
      </c>
      <c r="G36" s="146" t="s">
        <v>14</v>
      </c>
      <c r="H36" s="146"/>
      <c r="I36" s="146" t="s">
        <v>158</v>
      </c>
      <c r="J36" s="146" t="s">
        <v>97</v>
      </c>
      <c r="K36" s="146" t="s">
        <v>71</v>
      </c>
    </row>
    <row r="37" spans="1:11" ht="30" x14ac:dyDescent="0.25">
      <c r="A37" s="145">
        <v>34</v>
      </c>
      <c r="B37" s="146" t="s">
        <v>139</v>
      </c>
      <c r="C37" s="147" t="s">
        <v>140</v>
      </c>
      <c r="D37" s="146" t="s">
        <v>37</v>
      </c>
      <c r="E37" s="148">
        <v>44280.134722222225</v>
      </c>
      <c r="F37" s="146" t="s">
        <v>38</v>
      </c>
      <c r="G37" s="146" t="s">
        <v>14</v>
      </c>
      <c r="H37" s="146" t="s">
        <v>38</v>
      </c>
      <c r="I37" s="146"/>
      <c r="J37" s="146"/>
      <c r="K37" s="146" t="s">
        <v>68</v>
      </c>
    </row>
    <row r="38" spans="1:11" ht="30" x14ac:dyDescent="0.25">
      <c r="A38" s="145">
        <v>35</v>
      </c>
      <c r="B38" s="146" t="s">
        <v>135</v>
      </c>
      <c r="C38" s="147" t="s">
        <v>136</v>
      </c>
      <c r="D38" s="146" t="s">
        <v>37</v>
      </c>
      <c r="E38" s="148">
        <v>44278.418749999997</v>
      </c>
      <c r="F38" s="146" t="s">
        <v>39</v>
      </c>
      <c r="G38" s="146" t="s">
        <v>258</v>
      </c>
      <c r="H38" s="146"/>
      <c r="I38" s="146" t="s">
        <v>50</v>
      </c>
      <c r="J38" s="146" t="s">
        <v>97</v>
      </c>
      <c r="K38" s="146" t="s">
        <v>71</v>
      </c>
    </row>
    <row r="39" spans="1:11" ht="30" x14ac:dyDescent="0.25">
      <c r="A39" s="145">
        <v>36</v>
      </c>
      <c r="B39" s="146" t="s">
        <v>132</v>
      </c>
      <c r="C39" s="147" t="s">
        <v>133</v>
      </c>
      <c r="D39" s="146" t="s">
        <v>37</v>
      </c>
      <c r="E39" s="148">
        <v>44278.368750000001</v>
      </c>
      <c r="F39" s="146" t="s">
        <v>134</v>
      </c>
      <c r="G39" s="146" t="s">
        <v>14</v>
      </c>
      <c r="H39" s="146"/>
      <c r="I39" s="146" t="s">
        <v>81</v>
      </c>
      <c r="J39" s="146" t="s">
        <v>97</v>
      </c>
      <c r="K39" s="146" t="s">
        <v>71</v>
      </c>
    </row>
    <row r="40" spans="1:11" ht="30" x14ac:dyDescent="0.25">
      <c r="A40" s="145">
        <v>37</v>
      </c>
      <c r="B40" s="146" t="s">
        <v>130</v>
      </c>
      <c r="C40" s="147" t="s">
        <v>131</v>
      </c>
      <c r="D40" s="146" t="s">
        <v>37</v>
      </c>
      <c r="E40" s="148">
        <v>44275.30972222222</v>
      </c>
      <c r="F40" s="146" t="s">
        <v>39</v>
      </c>
      <c r="G40" s="146" t="s">
        <v>165</v>
      </c>
      <c r="H40" s="146"/>
      <c r="I40" s="146" t="s">
        <v>249</v>
      </c>
      <c r="J40" s="146" t="s">
        <v>97</v>
      </c>
      <c r="K40" s="146" t="s">
        <v>71</v>
      </c>
    </row>
    <row r="41" spans="1:11" x14ac:dyDescent="0.25">
      <c r="A41" s="145">
        <v>38</v>
      </c>
      <c r="B41" s="146" t="s">
        <v>110</v>
      </c>
      <c r="C41" s="147" t="s">
        <v>111</v>
      </c>
      <c r="D41" s="146" t="s">
        <v>37</v>
      </c>
      <c r="E41" s="148">
        <v>44274.355555555558</v>
      </c>
      <c r="F41" s="146" t="s">
        <v>109</v>
      </c>
      <c r="G41" s="146" t="s">
        <v>14</v>
      </c>
      <c r="H41" s="146" t="s">
        <v>109</v>
      </c>
      <c r="I41" s="146"/>
      <c r="J41" s="146" t="s">
        <v>97</v>
      </c>
      <c r="K41" s="146" t="s">
        <v>71</v>
      </c>
    </row>
    <row r="42" spans="1:11" x14ac:dyDescent="0.25">
      <c r="A42" s="145">
        <v>39</v>
      </c>
      <c r="B42" s="146" t="s">
        <v>112</v>
      </c>
      <c r="C42" s="147" t="s">
        <v>113</v>
      </c>
      <c r="D42" s="146" t="s">
        <v>37</v>
      </c>
      <c r="E42" s="148">
        <v>44274.253472222219</v>
      </c>
      <c r="F42" s="146" t="s">
        <v>114</v>
      </c>
      <c r="G42" s="146" t="s">
        <v>14</v>
      </c>
      <c r="H42" s="146" t="s">
        <v>114</v>
      </c>
      <c r="I42" s="146"/>
      <c r="J42" s="146"/>
      <c r="K42" s="146" t="s">
        <v>71</v>
      </c>
    </row>
    <row r="43" spans="1:11" x14ac:dyDescent="0.25">
      <c r="A43" s="145">
        <v>40</v>
      </c>
      <c r="B43" s="146" t="s">
        <v>115</v>
      </c>
      <c r="C43" s="147" t="s">
        <v>116</v>
      </c>
      <c r="D43" s="146" t="s">
        <v>37</v>
      </c>
      <c r="E43" s="148">
        <v>44274.228472222225</v>
      </c>
      <c r="F43" s="146" t="s">
        <v>114</v>
      </c>
      <c r="G43" s="146" t="s">
        <v>14</v>
      </c>
      <c r="H43" s="146" t="s">
        <v>114</v>
      </c>
      <c r="I43" s="146"/>
      <c r="J43" s="146"/>
      <c r="K43" s="146" t="s">
        <v>71</v>
      </c>
    </row>
    <row r="44" spans="1:11" x14ac:dyDescent="0.25">
      <c r="A44" s="145">
        <v>41</v>
      </c>
      <c r="B44" s="146" t="s">
        <v>118</v>
      </c>
      <c r="C44" s="147" t="s">
        <v>119</v>
      </c>
      <c r="D44" s="146" t="s">
        <v>37</v>
      </c>
      <c r="E44" s="148">
        <v>44274.213194444441</v>
      </c>
      <c r="F44" s="146" t="s">
        <v>117</v>
      </c>
      <c r="G44" s="146" t="s">
        <v>14</v>
      </c>
      <c r="H44" s="146" t="s">
        <v>117</v>
      </c>
      <c r="I44" s="146"/>
      <c r="J44" s="146"/>
      <c r="K44" s="146" t="s">
        <v>71</v>
      </c>
    </row>
    <row r="45" spans="1:11" x14ac:dyDescent="0.25">
      <c r="A45" s="145">
        <v>42</v>
      </c>
      <c r="B45" s="146" t="s">
        <v>120</v>
      </c>
      <c r="C45" s="147" t="s">
        <v>121</v>
      </c>
      <c r="D45" s="146" t="s">
        <v>37</v>
      </c>
      <c r="E45" s="148">
        <v>44274.211111111108</v>
      </c>
      <c r="F45" s="146" t="s">
        <v>117</v>
      </c>
      <c r="G45" s="146" t="s">
        <v>14</v>
      </c>
      <c r="H45" s="146" t="s">
        <v>117</v>
      </c>
      <c r="I45" s="146"/>
      <c r="J45" s="146"/>
      <c r="K45" s="146" t="s">
        <v>71</v>
      </c>
    </row>
    <row r="46" spans="1:11" x14ac:dyDescent="0.25">
      <c r="A46" s="145">
        <v>43</v>
      </c>
      <c r="B46" s="146" t="s">
        <v>122</v>
      </c>
      <c r="C46" s="147" t="s">
        <v>123</v>
      </c>
      <c r="D46" s="146" t="s">
        <v>37</v>
      </c>
      <c r="E46" s="148">
        <v>44274.190972222219</v>
      </c>
      <c r="F46" s="146" t="s">
        <v>114</v>
      </c>
      <c r="G46" s="146" t="s">
        <v>14</v>
      </c>
      <c r="H46" s="146" t="s">
        <v>114</v>
      </c>
      <c r="I46" s="146"/>
      <c r="J46" s="146"/>
      <c r="K46" s="146" t="s">
        <v>71</v>
      </c>
    </row>
    <row r="47" spans="1:11" x14ac:dyDescent="0.25">
      <c r="A47" s="145">
        <v>44</v>
      </c>
      <c r="B47" s="146" t="s">
        <v>124</v>
      </c>
      <c r="C47" s="147" t="s">
        <v>125</v>
      </c>
      <c r="D47" s="146" t="s">
        <v>37</v>
      </c>
      <c r="E47" s="148">
        <v>44274.177083333336</v>
      </c>
      <c r="F47" s="146" t="s">
        <v>114</v>
      </c>
      <c r="G47" s="146" t="s">
        <v>14</v>
      </c>
      <c r="H47" s="146" t="s">
        <v>114</v>
      </c>
      <c r="I47" s="146"/>
      <c r="J47" s="146"/>
      <c r="K47" s="146" t="s">
        <v>71</v>
      </c>
    </row>
    <row r="48" spans="1:11" x14ac:dyDescent="0.25">
      <c r="A48" s="145">
        <v>45</v>
      </c>
      <c r="B48" s="146" t="s">
        <v>126</v>
      </c>
      <c r="C48" s="147" t="s">
        <v>127</v>
      </c>
      <c r="D48" s="146" t="s">
        <v>37</v>
      </c>
      <c r="E48" s="148">
        <v>44274.125</v>
      </c>
      <c r="F48" s="146" t="s">
        <v>84</v>
      </c>
      <c r="G48" s="146" t="s">
        <v>14</v>
      </c>
      <c r="H48" s="146" t="s">
        <v>134</v>
      </c>
      <c r="I48" s="146"/>
      <c r="J48" s="146"/>
      <c r="K48" s="146" t="s">
        <v>71</v>
      </c>
    </row>
    <row r="49" spans="1:11" ht="30" x14ac:dyDescent="0.25">
      <c r="A49" s="145">
        <v>46</v>
      </c>
      <c r="B49" s="146" t="s">
        <v>108</v>
      </c>
      <c r="C49" s="147" t="s">
        <v>128</v>
      </c>
      <c r="D49" s="146" t="s">
        <v>37</v>
      </c>
      <c r="E49" s="148">
        <v>44267.116666666669</v>
      </c>
      <c r="F49" s="146" t="s">
        <v>39</v>
      </c>
      <c r="G49" s="146" t="s">
        <v>79</v>
      </c>
      <c r="H49" s="146"/>
      <c r="I49" s="146" t="s">
        <v>50</v>
      </c>
      <c r="J49" s="146" t="s">
        <v>97</v>
      </c>
      <c r="K49" s="146" t="s">
        <v>71</v>
      </c>
    </row>
    <row r="50" spans="1:11" x14ac:dyDescent="0.25">
      <c r="A50" s="145">
        <v>47</v>
      </c>
      <c r="B50" s="146" t="s">
        <v>98</v>
      </c>
      <c r="C50" s="147" t="s">
        <v>99</v>
      </c>
      <c r="D50" s="146" t="s">
        <v>37</v>
      </c>
      <c r="E50" s="148">
        <v>44265.433333333334</v>
      </c>
      <c r="F50" s="146" t="s">
        <v>39</v>
      </c>
      <c r="G50" s="146" t="s">
        <v>14</v>
      </c>
      <c r="H50" s="146"/>
      <c r="I50" s="146" t="s">
        <v>141</v>
      </c>
      <c r="J50" s="146" t="s">
        <v>97</v>
      </c>
      <c r="K50" s="146" t="s">
        <v>71</v>
      </c>
    </row>
    <row r="51" spans="1:11" ht="30" x14ac:dyDescent="0.25">
      <c r="A51" s="145">
        <v>48</v>
      </c>
      <c r="B51" s="146" t="s">
        <v>95</v>
      </c>
      <c r="C51" s="147" t="s">
        <v>96</v>
      </c>
      <c r="D51" s="146" t="s">
        <v>37</v>
      </c>
      <c r="E51" s="148">
        <v>44260.179166666669</v>
      </c>
      <c r="F51" s="146" t="s">
        <v>38</v>
      </c>
      <c r="G51" s="146" t="s">
        <v>14</v>
      </c>
      <c r="H51" s="146" t="s">
        <v>38</v>
      </c>
      <c r="I51" s="146"/>
      <c r="J51" s="146"/>
      <c r="K51" s="146" t="s">
        <v>66</v>
      </c>
    </row>
    <row r="52" spans="1:11" ht="30" x14ac:dyDescent="0.25">
      <c r="A52" s="145">
        <v>49</v>
      </c>
      <c r="B52" s="146" t="s">
        <v>91</v>
      </c>
      <c r="C52" s="147" t="s">
        <v>92</v>
      </c>
      <c r="D52" s="146" t="s">
        <v>37</v>
      </c>
      <c r="E52" s="148">
        <v>44252.148611111108</v>
      </c>
      <c r="F52" s="146" t="s">
        <v>38</v>
      </c>
      <c r="G52" s="146" t="s">
        <v>14</v>
      </c>
      <c r="H52" s="146" t="s">
        <v>39</v>
      </c>
      <c r="I52" s="146"/>
      <c r="J52" s="146" t="s">
        <v>97</v>
      </c>
      <c r="K52" s="146" t="s">
        <v>66</v>
      </c>
    </row>
    <row r="53" spans="1:11" ht="30" x14ac:dyDescent="0.25">
      <c r="A53" s="145">
        <v>50</v>
      </c>
      <c r="B53" s="146" t="s">
        <v>88</v>
      </c>
      <c r="C53" s="147" t="s">
        <v>129</v>
      </c>
      <c r="D53" s="146" t="s">
        <v>37</v>
      </c>
      <c r="E53" s="148">
        <v>44251.509027777778</v>
      </c>
      <c r="F53" s="146" t="s">
        <v>39</v>
      </c>
      <c r="G53" s="146" t="s">
        <v>14</v>
      </c>
      <c r="H53" s="146" t="s">
        <v>39</v>
      </c>
      <c r="I53" s="146"/>
      <c r="J53" s="146" t="s">
        <v>97</v>
      </c>
      <c r="K53" s="146" t="s">
        <v>66</v>
      </c>
    </row>
    <row r="54" spans="1:11" ht="30" x14ac:dyDescent="0.25">
      <c r="A54" s="145">
        <v>51</v>
      </c>
      <c r="B54" s="146" t="s">
        <v>89</v>
      </c>
      <c r="C54" s="147" t="s">
        <v>90</v>
      </c>
      <c r="D54" s="146" t="s">
        <v>37</v>
      </c>
      <c r="E54" s="148">
        <v>44251.28125</v>
      </c>
      <c r="F54" s="146" t="s">
        <v>38</v>
      </c>
      <c r="G54" s="146" t="s">
        <v>69</v>
      </c>
      <c r="H54" s="146" t="s">
        <v>104</v>
      </c>
      <c r="I54" s="146"/>
      <c r="J54" s="146"/>
      <c r="K54" s="146" t="s">
        <v>100</v>
      </c>
    </row>
    <row r="55" spans="1:11" ht="30" x14ac:dyDescent="0.25">
      <c r="A55" s="145">
        <v>52</v>
      </c>
      <c r="B55" s="146" t="s">
        <v>82</v>
      </c>
      <c r="C55" s="147" t="s">
        <v>83</v>
      </c>
      <c r="D55" s="146" t="s">
        <v>37</v>
      </c>
      <c r="E55" s="148">
        <v>44250.474305555559</v>
      </c>
      <c r="F55" s="146" t="s">
        <v>38</v>
      </c>
      <c r="G55" s="146" t="s">
        <v>14</v>
      </c>
      <c r="H55" s="146"/>
      <c r="I55" s="146" t="s">
        <v>81</v>
      </c>
      <c r="J55" s="146"/>
      <c r="K55" s="146" t="s">
        <v>100</v>
      </c>
    </row>
    <row r="56" spans="1:11" ht="30" x14ac:dyDescent="0.25">
      <c r="A56" s="145">
        <v>53</v>
      </c>
      <c r="B56" s="146" t="s">
        <v>75</v>
      </c>
      <c r="C56" s="147" t="s">
        <v>76</v>
      </c>
      <c r="D56" s="146" t="s">
        <v>37</v>
      </c>
      <c r="E56" s="148">
        <v>44246.507638888892</v>
      </c>
      <c r="F56" s="146" t="s">
        <v>38</v>
      </c>
      <c r="G56" s="146" t="s">
        <v>69</v>
      </c>
      <c r="H56" s="146"/>
      <c r="I56" s="146" t="s">
        <v>50</v>
      </c>
      <c r="J56" s="146"/>
      <c r="K56" s="146" t="s">
        <v>66</v>
      </c>
    </row>
    <row r="57" spans="1:11" ht="30" x14ac:dyDescent="0.25">
      <c r="A57" s="145">
        <v>54</v>
      </c>
      <c r="B57" s="146" t="s">
        <v>73</v>
      </c>
      <c r="C57" s="147" t="s">
        <v>74</v>
      </c>
      <c r="D57" s="146" t="s">
        <v>37</v>
      </c>
      <c r="E57" s="148">
        <v>44246.238194444442</v>
      </c>
      <c r="F57" s="146" t="s">
        <v>38</v>
      </c>
      <c r="G57" s="146" t="s">
        <v>69</v>
      </c>
      <c r="H57" s="146"/>
      <c r="I57" s="146" t="s">
        <v>50</v>
      </c>
      <c r="J57" s="146" t="s">
        <v>97</v>
      </c>
      <c r="K57" s="146" t="s">
        <v>71</v>
      </c>
    </row>
    <row r="58" spans="1:11" ht="30" x14ac:dyDescent="0.25">
      <c r="A58" s="145">
        <v>55</v>
      </c>
      <c r="B58" s="146" t="s">
        <v>35</v>
      </c>
      <c r="C58" s="147" t="s">
        <v>36</v>
      </c>
      <c r="D58" s="146" t="s">
        <v>37</v>
      </c>
      <c r="E58" s="148">
        <v>44238.337500000001</v>
      </c>
      <c r="F58" s="146" t="s">
        <v>38</v>
      </c>
      <c r="G58" s="146" t="s">
        <v>16</v>
      </c>
      <c r="H58" s="146" t="s">
        <v>38</v>
      </c>
      <c r="I58" s="146"/>
      <c r="J58" s="146"/>
      <c r="K58" s="146" t="s">
        <v>100</v>
      </c>
    </row>
    <row r="59" spans="1:11" ht="30" x14ac:dyDescent="0.25">
      <c r="A59" s="145">
        <v>56</v>
      </c>
      <c r="B59" s="146" t="s">
        <v>40</v>
      </c>
      <c r="C59" s="147" t="s">
        <v>41</v>
      </c>
      <c r="D59" s="146" t="s">
        <v>37</v>
      </c>
      <c r="E59" s="148">
        <v>44238.286111111112</v>
      </c>
      <c r="F59" s="146" t="s">
        <v>38</v>
      </c>
      <c r="G59" s="146" t="s">
        <v>14</v>
      </c>
      <c r="H59" s="146" t="s">
        <v>38</v>
      </c>
      <c r="I59" s="146"/>
      <c r="J59" s="146"/>
      <c r="K59" s="146" t="s">
        <v>100</v>
      </c>
    </row>
    <row r="60" spans="1:11" ht="30" x14ac:dyDescent="0.25">
      <c r="A60" s="145">
        <v>57</v>
      </c>
      <c r="B60" s="146" t="s">
        <v>42</v>
      </c>
      <c r="C60" s="147" t="s">
        <v>72</v>
      </c>
      <c r="D60" s="146" t="s">
        <v>37</v>
      </c>
      <c r="E60" s="148">
        <v>44237.490277777775</v>
      </c>
      <c r="F60" s="146" t="s">
        <v>38</v>
      </c>
      <c r="G60" s="146" t="s">
        <v>69</v>
      </c>
      <c r="H60" s="146" t="s">
        <v>38</v>
      </c>
      <c r="I60" s="146"/>
      <c r="J60" s="146"/>
      <c r="K60" s="146" t="s">
        <v>100</v>
      </c>
    </row>
    <row r="61" spans="1:11" x14ac:dyDescent="0.25">
      <c r="A61" s="145">
        <v>58</v>
      </c>
      <c r="B61" s="146" t="s">
        <v>43</v>
      </c>
      <c r="C61" s="147" t="s">
        <v>44</v>
      </c>
      <c r="D61" s="146" t="s">
        <v>37</v>
      </c>
      <c r="E61" s="148">
        <v>44237.463888888888</v>
      </c>
      <c r="F61" s="146" t="s">
        <v>38</v>
      </c>
      <c r="G61" s="146" t="s">
        <v>14</v>
      </c>
      <c r="H61" s="146" t="s">
        <v>38</v>
      </c>
      <c r="I61" s="146"/>
      <c r="J61" s="146" t="s">
        <v>97</v>
      </c>
      <c r="K61" s="146" t="s">
        <v>71</v>
      </c>
    </row>
    <row r="62" spans="1:11" x14ac:dyDescent="0.25">
      <c r="A62" s="145">
        <v>59</v>
      </c>
      <c r="B62" s="146" t="s">
        <v>46</v>
      </c>
      <c r="C62" s="147" t="s">
        <v>47</v>
      </c>
      <c r="D62" s="146" t="s">
        <v>37</v>
      </c>
      <c r="E62" s="148">
        <v>44233.45416666667</v>
      </c>
      <c r="F62" s="146" t="s">
        <v>38</v>
      </c>
      <c r="G62" s="146" t="s">
        <v>14</v>
      </c>
      <c r="H62" s="146" t="s">
        <v>38</v>
      </c>
      <c r="I62" s="146"/>
      <c r="J62" s="146"/>
      <c r="K62" s="146" t="s">
        <v>67</v>
      </c>
    </row>
    <row r="63" spans="1:11" ht="30" x14ac:dyDescent="0.25">
      <c r="A63" s="145">
        <v>60</v>
      </c>
      <c r="B63" s="146" t="s">
        <v>48</v>
      </c>
      <c r="C63" s="147" t="s">
        <v>49</v>
      </c>
      <c r="D63" s="146" t="s">
        <v>37</v>
      </c>
      <c r="E63" s="148">
        <v>44233.393750000003</v>
      </c>
      <c r="F63" s="146" t="s">
        <v>38</v>
      </c>
      <c r="G63" s="146" t="s">
        <v>14</v>
      </c>
      <c r="H63" s="146" t="s">
        <v>38</v>
      </c>
      <c r="I63" s="146"/>
      <c r="J63" s="146" t="s">
        <v>97</v>
      </c>
      <c r="K63" s="146" t="s">
        <v>66</v>
      </c>
    </row>
    <row r="64" spans="1:11" ht="30" x14ac:dyDescent="0.25">
      <c r="A64" s="145">
        <v>61</v>
      </c>
      <c r="B64" s="146" t="s">
        <v>51</v>
      </c>
      <c r="C64" s="147" t="s">
        <v>52</v>
      </c>
      <c r="D64" s="146" t="s">
        <v>37</v>
      </c>
      <c r="E64" s="148">
        <v>44233.282638888886</v>
      </c>
      <c r="F64" s="146" t="s">
        <v>45</v>
      </c>
      <c r="G64" s="146" t="s">
        <v>14</v>
      </c>
      <c r="H64" s="146" t="s">
        <v>134</v>
      </c>
      <c r="I64" s="146"/>
      <c r="J64" s="146" t="s">
        <v>97</v>
      </c>
      <c r="K64" s="146" t="s">
        <v>68</v>
      </c>
    </row>
    <row r="65" spans="1:11" ht="30" x14ac:dyDescent="0.25">
      <c r="A65" s="145">
        <v>62</v>
      </c>
      <c r="B65" s="146" t="s">
        <v>53</v>
      </c>
      <c r="C65" s="147" t="s">
        <v>54</v>
      </c>
      <c r="D65" s="146" t="s">
        <v>37</v>
      </c>
      <c r="E65" s="148">
        <v>44233.215277777781</v>
      </c>
      <c r="F65" s="146" t="s">
        <v>38</v>
      </c>
      <c r="G65" s="146" t="s">
        <v>14</v>
      </c>
      <c r="H65" s="146" t="s">
        <v>38</v>
      </c>
      <c r="I65" s="146"/>
      <c r="J65" s="146"/>
      <c r="K65" s="146" t="s">
        <v>68</v>
      </c>
    </row>
    <row r="66" spans="1:11" x14ac:dyDescent="0.25">
      <c r="A66" s="145">
        <v>63</v>
      </c>
      <c r="B66" s="146" t="s">
        <v>55</v>
      </c>
      <c r="C66" s="147" t="s">
        <v>56</v>
      </c>
      <c r="D66" s="146" t="s">
        <v>37</v>
      </c>
      <c r="E66" s="148">
        <v>44232.114583333336</v>
      </c>
      <c r="F66" s="146" t="s">
        <v>38</v>
      </c>
      <c r="G66" s="146" t="s">
        <v>14</v>
      </c>
      <c r="H66" s="146"/>
      <c r="I66" s="146" t="s">
        <v>50</v>
      </c>
      <c r="J66" s="146" t="s">
        <v>97</v>
      </c>
      <c r="K66" s="146" t="s">
        <v>66</v>
      </c>
    </row>
    <row r="67" spans="1:11" ht="30" x14ac:dyDescent="0.25">
      <c r="A67" s="145">
        <v>64</v>
      </c>
      <c r="B67" s="146" t="s">
        <v>57</v>
      </c>
      <c r="C67" s="147" t="s">
        <v>93</v>
      </c>
      <c r="D67" s="146" t="s">
        <v>37</v>
      </c>
      <c r="E67" s="148">
        <v>44225.497916666667</v>
      </c>
      <c r="F67" s="146" t="s">
        <v>38</v>
      </c>
      <c r="G67" s="146" t="s">
        <v>69</v>
      </c>
      <c r="H67" s="146"/>
      <c r="I67" s="146" t="s">
        <v>50</v>
      </c>
      <c r="J67" s="146" t="s">
        <v>97</v>
      </c>
      <c r="K67" s="146" t="s">
        <v>66</v>
      </c>
    </row>
    <row r="68" spans="1:11" ht="30" x14ac:dyDescent="0.25">
      <c r="A68" s="145">
        <v>65</v>
      </c>
      <c r="B68" s="146" t="s">
        <v>58</v>
      </c>
      <c r="C68" s="147" t="s">
        <v>59</v>
      </c>
      <c r="D68" s="146" t="s">
        <v>37</v>
      </c>
      <c r="E68" s="148">
        <v>44223.324999999997</v>
      </c>
      <c r="F68" s="146" t="s">
        <v>38</v>
      </c>
      <c r="G68" s="146" t="s">
        <v>69</v>
      </c>
      <c r="H68" s="146"/>
      <c r="I68" s="146" t="s">
        <v>50</v>
      </c>
      <c r="J68" s="146"/>
      <c r="K68" s="146" t="s">
        <v>100</v>
      </c>
    </row>
    <row r="69" spans="1:11" x14ac:dyDescent="0.25">
      <c r="A69" s="145">
        <v>66</v>
      </c>
      <c r="B69" s="146" t="s">
        <v>60</v>
      </c>
      <c r="C69" s="147" t="s">
        <v>94</v>
      </c>
      <c r="D69" s="146" t="s">
        <v>37</v>
      </c>
      <c r="E69" s="148">
        <v>44218.313194444447</v>
      </c>
      <c r="F69" s="146" t="s">
        <v>38</v>
      </c>
      <c r="G69" s="146" t="s">
        <v>14</v>
      </c>
      <c r="H69" s="146"/>
      <c r="I69" s="146" t="s">
        <v>81</v>
      </c>
      <c r="J69" s="146" t="s">
        <v>97</v>
      </c>
      <c r="K69" s="146" t="s">
        <v>66</v>
      </c>
    </row>
    <row r="70" spans="1:11" ht="30" x14ac:dyDescent="0.25">
      <c r="A70" s="145">
        <v>67</v>
      </c>
      <c r="B70" s="146" t="s">
        <v>61</v>
      </c>
      <c r="C70" s="147" t="s">
        <v>62</v>
      </c>
      <c r="D70" s="146" t="s">
        <v>37</v>
      </c>
      <c r="E70" s="148">
        <v>44218.227083333331</v>
      </c>
      <c r="F70" s="146" t="s">
        <v>45</v>
      </c>
      <c r="G70" s="146" t="s">
        <v>14</v>
      </c>
      <c r="H70" s="146"/>
      <c r="I70" s="146" t="s">
        <v>174</v>
      </c>
      <c r="J70" s="146" t="s">
        <v>97</v>
      </c>
      <c r="K70" s="146" t="s">
        <v>67</v>
      </c>
    </row>
  </sheetData>
  <autoFilter ref="B3:K70" xr:uid="{EA08422E-C465-419E-A003-FA45D9FC2D53}"/>
  <mergeCells count="1">
    <mergeCell ref="H2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B2:P21"/>
  <sheetViews>
    <sheetView topLeftCell="A2" workbookViewId="0">
      <selection activeCell="B2" sqref="B2"/>
    </sheetView>
  </sheetViews>
  <sheetFormatPr defaultRowHeight="15.75" x14ac:dyDescent="0.25"/>
  <cols>
    <col min="1" max="1" width="2.625" style="5" customWidth="1"/>
    <col min="2" max="2" width="37.625" style="5" customWidth="1"/>
    <col min="3" max="3" width="9" style="5"/>
    <col min="4" max="4" width="14.875" style="5" bestFit="1" customWidth="1"/>
    <col min="5" max="5" width="9" style="5"/>
    <col min="6" max="6" width="3.125" style="5" customWidth="1"/>
    <col min="7" max="7" width="9" style="5"/>
    <col min="8" max="8" width="1.5" style="5" customWidth="1"/>
    <col min="9" max="9" width="31.5" style="5" customWidth="1"/>
    <col min="10" max="10" width="17.125" style="5" customWidth="1"/>
    <col min="11" max="11" width="10.25" style="5" customWidth="1"/>
    <col min="12" max="13" width="13" style="5" customWidth="1"/>
    <col min="14" max="14" width="48.375" style="5" bestFit="1" customWidth="1"/>
    <col min="15" max="15" width="2.375" style="5" customWidth="1"/>
    <col min="16" max="16" width="86.625" style="5" bestFit="1" customWidth="1"/>
    <col min="17" max="16384" width="9" style="5"/>
  </cols>
  <sheetData>
    <row r="2" spans="2:16" x14ac:dyDescent="0.25">
      <c r="B2" s="34" t="s">
        <v>192</v>
      </c>
    </row>
    <row r="3" spans="2:16" ht="16.5" thickBot="1" x14ac:dyDescent="0.3"/>
    <row r="4" spans="2:16" x14ac:dyDescent="0.25">
      <c r="B4" s="137" t="s">
        <v>151</v>
      </c>
      <c r="C4" s="138"/>
      <c r="D4" s="138"/>
      <c r="E4" s="139"/>
      <c r="F4" s="53"/>
      <c r="I4" s="137" t="s">
        <v>191</v>
      </c>
      <c r="J4" s="138"/>
      <c r="K4" s="138"/>
      <c r="L4" s="138"/>
      <c r="M4" s="138"/>
      <c r="N4" s="139"/>
      <c r="O4" s="53"/>
    </row>
    <row r="5" spans="2:16" ht="31.5" x14ac:dyDescent="0.25">
      <c r="B5" s="67" t="s">
        <v>150</v>
      </c>
      <c r="C5" s="68" t="s">
        <v>142</v>
      </c>
      <c r="D5" s="135" t="s">
        <v>10</v>
      </c>
      <c r="E5" s="136"/>
      <c r="F5" s="53"/>
      <c r="I5" s="48"/>
      <c r="J5" s="101" t="s">
        <v>148</v>
      </c>
      <c r="K5" s="101" t="s">
        <v>147</v>
      </c>
      <c r="L5" s="102" t="s">
        <v>153</v>
      </c>
      <c r="M5" s="101" t="s">
        <v>227</v>
      </c>
      <c r="N5" s="103" t="s">
        <v>149</v>
      </c>
      <c r="O5" s="54"/>
      <c r="P5" s="47"/>
    </row>
    <row r="6" spans="2:16" x14ac:dyDescent="0.25">
      <c r="B6" s="69" t="s">
        <v>1</v>
      </c>
      <c r="C6" s="70" t="s">
        <v>159</v>
      </c>
      <c r="D6" s="64" t="s">
        <v>4</v>
      </c>
      <c r="E6" s="71" t="s">
        <v>159</v>
      </c>
      <c r="F6" s="76"/>
      <c r="I6" s="48" t="s">
        <v>154</v>
      </c>
      <c r="J6" s="49" t="s">
        <v>225</v>
      </c>
      <c r="K6" s="49">
        <v>12</v>
      </c>
      <c r="L6" s="49">
        <v>5</v>
      </c>
      <c r="M6" s="49">
        <v>7</v>
      </c>
      <c r="N6" s="50" t="s">
        <v>230</v>
      </c>
      <c r="O6" s="55"/>
      <c r="P6" s="47"/>
    </row>
    <row r="7" spans="2:16" x14ac:dyDescent="0.25">
      <c r="B7" s="69" t="s">
        <v>2</v>
      </c>
      <c r="C7" s="66" t="s">
        <v>159</v>
      </c>
      <c r="D7" s="64" t="s">
        <v>0</v>
      </c>
      <c r="E7" s="65" t="s">
        <v>159</v>
      </c>
      <c r="F7" s="77"/>
      <c r="I7" s="48" t="s">
        <v>155</v>
      </c>
      <c r="J7" s="49">
        <v>3</v>
      </c>
      <c r="K7" s="49">
        <v>3</v>
      </c>
      <c r="L7" s="49">
        <v>3</v>
      </c>
      <c r="M7" s="49" t="s">
        <v>159</v>
      </c>
      <c r="N7" s="50" t="s">
        <v>229</v>
      </c>
      <c r="O7" s="55"/>
      <c r="P7" s="47"/>
    </row>
    <row r="8" spans="2:16" x14ac:dyDescent="0.25">
      <c r="B8" s="69" t="s">
        <v>3</v>
      </c>
      <c r="C8" s="70" t="s">
        <v>159</v>
      </c>
      <c r="D8" s="64" t="s">
        <v>5</v>
      </c>
      <c r="E8" s="71" t="s">
        <v>159</v>
      </c>
      <c r="F8" s="76"/>
      <c r="I8" s="48" t="s">
        <v>156</v>
      </c>
      <c r="J8" s="49">
        <v>2</v>
      </c>
      <c r="K8" s="49">
        <v>2</v>
      </c>
      <c r="L8" s="49">
        <v>1</v>
      </c>
      <c r="M8" s="49">
        <v>1</v>
      </c>
      <c r="N8" s="50" t="s">
        <v>228</v>
      </c>
      <c r="O8" s="55"/>
    </row>
    <row r="9" spans="2:16" ht="15.75" customHeight="1" thickBot="1" x14ac:dyDescent="0.3">
      <c r="B9" s="72" t="s">
        <v>9</v>
      </c>
      <c r="C9" s="73" t="s">
        <v>159</v>
      </c>
      <c r="D9" s="74" t="s">
        <v>8</v>
      </c>
      <c r="E9" s="75" t="s">
        <v>159</v>
      </c>
      <c r="F9" s="76"/>
      <c r="I9" s="51" t="s">
        <v>157</v>
      </c>
      <c r="J9" s="100">
        <v>8</v>
      </c>
      <c r="K9" s="100" t="s">
        <v>226</v>
      </c>
      <c r="L9" s="100" t="s">
        <v>226</v>
      </c>
      <c r="M9" s="100" t="s">
        <v>226</v>
      </c>
      <c r="N9" s="59" t="s">
        <v>231</v>
      </c>
      <c r="O9" s="55"/>
    </row>
    <row r="10" spans="2:16" x14ac:dyDescent="0.25">
      <c r="I10" s="60" t="s">
        <v>152</v>
      </c>
    </row>
    <row r="13" spans="2:16" x14ac:dyDescent="0.25">
      <c r="B13" s="34" t="s">
        <v>232</v>
      </c>
    </row>
    <row r="14" spans="2:16" ht="16.5" thickBot="1" x14ac:dyDescent="0.3"/>
    <row r="15" spans="2:16" ht="16.5" thickBot="1" x14ac:dyDescent="0.3">
      <c r="B15" s="137" t="s">
        <v>151</v>
      </c>
      <c r="C15" s="138"/>
      <c r="D15" s="138"/>
      <c r="E15" s="139"/>
      <c r="F15" s="53"/>
      <c r="I15" s="140" t="s">
        <v>233</v>
      </c>
      <c r="J15" s="141"/>
      <c r="K15" s="141"/>
      <c r="L15" s="141"/>
      <c r="M15" s="141"/>
      <c r="N15" s="142"/>
    </row>
    <row r="16" spans="2:16" ht="31.5" x14ac:dyDescent="0.25">
      <c r="B16" s="67" t="s">
        <v>150</v>
      </c>
      <c r="C16" s="68" t="s">
        <v>142</v>
      </c>
      <c r="D16" s="135" t="s">
        <v>10</v>
      </c>
      <c r="E16" s="136"/>
      <c r="F16" s="53"/>
      <c r="I16" s="56"/>
      <c r="J16" s="57" t="s">
        <v>148</v>
      </c>
      <c r="K16" s="57" t="s">
        <v>147</v>
      </c>
      <c r="L16" s="58" t="s">
        <v>153</v>
      </c>
      <c r="M16" s="99" t="s">
        <v>227</v>
      </c>
      <c r="N16" s="58" t="s">
        <v>149</v>
      </c>
    </row>
    <row r="17" spans="2:14" x14ac:dyDescent="0.25">
      <c r="B17" s="69" t="s">
        <v>1</v>
      </c>
      <c r="C17" s="70" t="s">
        <v>159</v>
      </c>
      <c r="D17" s="64" t="s">
        <v>4</v>
      </c>
      <c r="E17" s="71" t="s">
        <v>159</v>
      </c>
      <c r="F17" s="76"/>
      <c r="I17" s="48" t="s">
        <v>154</v>
      </c>
      <c r="J17" s="49" t="s">
        <v>142</v>
      </c>
      <c r="K17" s="49" t="s">
        <v>142</v>
      </c>
      <c r="L17" s="49" t="s">
        <v>142</v>
      </c>
      <c r="M17" s="49" t="s">
        <v>142</v>
      </c>
      <c r="N17" s="50"/>
    </row>
    <row r="18" spans="2:14" x14ac:dyDescent="0.25">
      <c r="B18" s="69" t="s">
        <v>2</v>
      </c>
      <c r="C18" s="66" t="s">
        <v>159</v>
      </c>
      <c r="D18" s="64" t="s">
        <v>0</v>
      </c>
      <c r="E18" s="65" t="s">
        <v>159</v>
      </c>
      <c r="F18" s="77"/>
      <c r="I18" s="48" t="s">
        <v>155</v>
      </c>
      <c r="J18" s="49" t="s">
        <v>142</v>
      </c>
      <c r="K18" s="49" t="s">
        <v>142</v>
      </c>
      <c r="L18" s="49" t="s">
        <v>142</v>
      </c>
      <c r="M18" s="49" t="s">
        <v>142</v>
      </c>
      <c r="N18" s="50"/>
    </row>
    <row r="19" spans="2:14" ht="16.5" thickBot="1" x14ac:dyDescent="0.3">
      <c r="B19" s="69" t="s">
        <v>3</v>
      </c>
      <c r="C19" s="70" t="s">
        <v>159</v>
      </c>
      <c r="D19" s="64" t="s">
        <v>5</v>
      </c>
      <c r="E19" s="71" t="s">
        <v>159</v>
      </c>
      <c r="F19" s="76"/>
      <c r="I19" s="51" t="s">
        <v>156</v>
      </c>
      <c r="J19" s="49" t="s">
        <v>142</v>
      </c>
      <c r="K19" s="49" t="s">
        <v>142</v>
      </c>
      <c r="L19" s="49" t="s">
        <v>142</v>
      </c>
      <c r="M19" s="49" t="s">
        <v>142</v>
      </c>
      <c r="N19" s="50"/>
    </row>
    <row r="20" spans="2:14" ht="16.5" thickBot="1" x14ac:dyDescent="0.3">
      <c r="B20" s="72" t="s">
        <v>9</v>
      </c>
      <c r="C20" s="73" t="s">
        <v>159</v>
      </c>
      <c r="D20" s="74" t="s">
        <v>8</v>
      </c>
      <c r="E20" s="75" t="s">
        <v>159</v>
      </c>
      <c r="F20" s="76"/>
      <c r="I20" s="51" t="s">
        <v>157</v>
      </c>
      <c r="J20" s="49" t="s">
        <v>142</v>
      </c>
      <c r="K20" s="49" t="s">
        <v>142</v>
      </c>
      <c r="L20" s="49" t="s">
        <v>142</v>
      </c>
      <c r="M20" s="49" t="s">
        <v>142</v>
      </c>
      <c r="N20" s="50"/>
    </row>
    <row r="21" spans="2:14" x14ac:dyDescent="0.25">
      <c r="I21" s="60" t="s">
        <v>152</v>
      </c>
    </row>
  </sheetData>
  <mergeCells count="6">
    <mergeCell ref="D16:E16"/>
    <mergeCell ref="D5:E5"/>
    <mergeCell ref="B4:E4"/>
    <mergeCell ref="I4:N4"/>
    <mergeCell ref="B15:E15"/>
    <mergeCell ref="I15:N15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conOverlay xmlns="http://schemas.microsoft.com/sharepoint/v4" xsi:nil="true"/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AF80FE2-F37A-4E5B-8BDB-9DF3513A4FAD}"/>
</file>

<file path=customXml/itemProps2.xml><?xml version="1.0" encoding="utf-8"?>
<ds:datastoreItem xmlns:ds="http://schemas.openxmlformats.org/officeDocument/2006/customXml" ds:itemID="{4EEDC712-570D-48F8-9C39-BB3BBAE77DD1}">
  <ds:schemaRefs>
    <ds:schemaRef ds:uri="http://purl.org/dc/elements/1.1/"/>
    <ds:schemaRef ds:uri="http://purl.org/dc/terms/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A48D0AF-1F8B-4F80-896F-5A2393262684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Small Biz DCO - Test Summary</vt:lpstr>
      <vt:lpstr>Defects Status</vt:lpstr>
      <vt:lpstr>Defect Summary Report</vt:lpstr>
      <vt:lpstr>Sprint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Joanne Klausner</dc:creator>
  <cp:lastModifiedBy>Chix Dela Luna</cp:lastModifiedBy>
  <dcterms:created xsi:type="dcterms:W3CDTF">2019-08-28T17:18:17Z</dcterms:created>
  <dcterms:modified xsi:type="dcterms:W3CDTF">2021-05-22T00:27:20Z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</Properties>
</file>