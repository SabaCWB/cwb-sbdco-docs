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 /><Relationship Id="rId2" Type="http://schemas.openxmlformats.org/package/2006/relationships/metadata/thumbnail" Target="docProps/thumbnail.wmf" /><Relationship Id="rId1" Type="http://schemas.openxmlformats.org/officeDocument/2006/relationships/officeDocument" Target="xl/workbook.xml" /><Relationship Id="rId5" Type="http://schemas.openxmlformats.org/officeDocument/2006/relationships/custom-properties" Target="docProps/custom.xml" /><Relationship Id="rId4" Type="http://schemas.openxmlformats.org/officeDocument/2006/relationships/extended-properties" Target="docProps/app.xml" /><Relationship Id="rId6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cwb.local\shared\UsersMyDocs\lunac\Documents\DIGITAL\Test Summary Reporting\Small Biz DCO\"/>
    </mc:Choice>
  </mc:AlternateContent>
  <bookViews>
    <workbookView xWindow="0" yWindow="0" windowWidth="28800" windowHeight="12300" tabRatio="516"/>
  </bookViews>
  <sheets>
    <sheet name="Small Biz DCO - Test Summary" sheetId="1" r:id="rId1"/>
    <sheet name="Defects Status" sheetId="6" r:id="rId2"/>
    <sheet name="Defect Summary Report" sheetId="28" r:id="rId3"/>
    <sheet name="Sprint Report" sheetId="29" r:id="rId4"/>
  </sheets>
  <definedNames>
    <definedName name="_xlnm._FilterDatabase" localSheetId="2" hidden="1">'Defect Summary Report'!$B$3:$K$63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5" i="29" l="1"/>
  <c r="E9" i="29" s="1"/>
  <c r="E6" i="29" l="1"/>
  <c r="E7" i="29"/>
  <c r="E8" i="29"/>
  <c r="E12" i="1" l="1"/>
  <c r="E11" i="1"/>
  <c r="E13" i="1"/>
  <c r="Y19" i="6"/>
  <c r="E10" i="1" l="1"/>
</calcChain>
</file>

<file path=xl/comments1.xml><?xml version="1.0" encoding="utf-8"?>
<comments xmlns="http://schemas.openxmlformats.org/spreadsheetml/2006/main">
  <authors>
    <author>Chix Dela Luna</author>
  </authors>
  <commentList>
    <comment ref="B15" authorId="0" shapeId="0">
      <text>
        <r>
          <rPr>
            <b/>
            <sz val="9"/>
            <color indexed="81"/>
            <rFont val="Tahoma"/>
            <family val="2"/>
          </rPr>
          <t>Chix Dela Luna:</t>
        </r>
        <r>
          <rPr>
            <sz val="9"/>
            <color indexed="81"/>
            <rFont val="Tahoma"/>
            <family val="2"/>
          </rPr>
          <t xml:space="preserve">
From Feb 19 (JIRA date)</t>
        </r>
      </text>
    </comment>
    <comment ref="B16" authorId="0" shapeId="0">
      <text>
        <r>
          <rPr>
            <b/>
            <sz val="9"/>
            <color indexed="81"/>
            <rFont val="Tahoma"/>
            <family val="2"/>
          </rPr>
          <t>Chix Dela Luna:</t>
        </r>
        <r>
          <rPr>
            <sz val="9"/>
            <color indexed="81"/>
            <rFont val="Tahoma"/>
            <family val="2"/>
          </rPr>
          <t xml:space="preserve">
From Feb 19 (JIRA date)</t>
        </r>
      </text>
    </comment>
  </commentList>
</comments>
</file>

<file path=xl/sharedStrings.xml><?xml version="1.0" encoding="utf-8"?>
<sst xmlns="http://schemas.openxmlformats.org/spreadsheetml/2006/main" count="537" uniqueCount="236">
  <si>
    <t>% Failed</t>
  </si>
  <si>
    <t>Passed Tests</t>
  </si>
  <si>
    <t>Failed Tests</t>
  </si>
  <si>
    <t>Blocked Tests</t>
  </si>
  <si>
    <t>% Passed</t>
  </si>
  <si>
    <t>% Blocked</t>
  </si>
  <si>
    <t>Intermittent (intermittent issues, cannot reproduce, etc.)</t>
  </si>
  <si>
    <t>Count by Defect Category</t>
  </si>
  <si>
    <t>% Unexecuted</t>
  </si>
  <si>
    <t>Active/Unexecuted</t>
  </si>
  <si>
    <t>%</t>
  </si>
  <si>
    <t>Requirement-Defect (issue with functional specs that need to be corrected)</t>
  </si>
  <si>
    <t>Bug-Text (issue with text: misspelling, different from what is in the functional specs)</t>
  </si>
  <si>
    <t>Bug (functional issue - not working as specified)</t>
  </si>
  <si>
    <t>Backlog</t>
  </si>
  <si>
    <t>Ready for UAT</t>
  </si>
  <si>
    <t>Blocked</t>
  </si>
  <si>
    <t xml:space="preserve">In Test </t>
  </si>
  <si>
    <t>- with Temenos for their testing</t>
  </si>
  <si>
    <t>- defects have been fixed, CWB QA Team needs to validate</t>
  </si>
  <si>
    <t>- defects logged, need to be reviewed by CWB or by Temenos, work is in flight</t>
  </si>
  <si>
    <t>Bug-UI (formatting or layout issues)</t>
  </si>
  <si>
    <t xml:space="preserve">Change type </t>
  </si>
  <si>
    <t xml:space="preserve">CWB QA Team - Test Status Report </t>
  </si>
  <si>
    <t>- waiting for questions/for confirmation, clarification of requirements, 
   other issues impacting work to progress</t>
  </si>
  <si>
    <t>Assignee</t>
  </si>
  <si>
    <t>Issue key</t>
  </si>
  <si>
    <t>Summary</t>
  </si>
  <si>
    <t>Priority</t>
  </si>
  <si>
    <t>Created</t>
  </si>
  <si>
    <t>Reporter</t>
  </si>
  <si>
    <t>Status</t>
  </si>
  <si>
    <t>CWB</t>
  </si>
  <si>
    <t>Temenos</t>
  </si>
  <si>
    <t>Fix Version/s</t>
  </si>
  <si>
    <t>CWBSB-509</t>
  </si>
  <si>
    <t>SBDCO - Authorized Signer - Invitation Email - Content in the email received is quite different than in Field Spec.</t>
  </si>
  <si>
    <t>Medium</t>
  </si>
  <si>
    <t>priya.chodha@cwbank.com</t>
  </si>
  <si>
    <t>cheryl.kirchmaier@cwbank.com</t>
  </si>
  <si>
    <t>CWBSB-503</t>
  </si>
  <si>
    <t>SBDCO - No Validation Message given in Field Spec but App displays the validation message</t>
  </si>
  <si>
    <t>CWBSB-497</t>
  </si>
  <si>
    <t>SBDCO - Authorized Signer - Decline Page - Page layout is not correct in mobile device</t>
  </si>
  <si>
    <t>CWBSB-496</t>
  </si>
  <si>
    <t>CWBSB-495</t>
  </si>
  <si>
    <t>SBDCO -Authorized Signer - Entry Page -Validation message with lots of space</t>
  </si>
  <si>
    <t>CWBSB-494</t>
  </si>
  <si>
    <t>SBDCO - Alternate IDV page - Radio button selection and Color issue.</t>
  </si>
  <si>
    <t>CWBSB-487</t>
  </si>
  <si>
    <t>SBDCO - Applicant - More About Your Business page - Applicant can select same province</t>
  </si>
  <si>
    <t>mary.pele@cwbank.com</t>
  </si>
  <si>
    <t>kendyl.bachelor</t>
  </si>
  <si>
    <t>CWBSB-474</t>
  </si>
  <si>
    <t>SBDCO - Authorized Signer - IDScan Page - Issue with ID Upload</t>
  </si>
  <si>
    <t>CWBSB-472</t>
  </si>
  <si>
    <t>SBDCO - Auth Signer - Name &amp; Address Page -Radio buttons are default to yes when ID is uploaded in IDScan page</t>
  </si>
  <si>
    <t>angela.ahn@accutive.com</t>
  </si>
  <si>
    <t>CWBSB-470</t>
  </si>
  <si>
    <t>SBDCO- Disclosures - Tax Residency page- Validation Message Needs Verbiage change</t>
  </si>
  <si>
    <t>CWBSB-469</t>
  </si>
  <si>
    <t>SBDCO - Authorized Signer - Entry Page - Validation message is not displayed when invalid token is entered.</t>
  </si>
  <si>
    <t>CWBSB-468</t>
  </si>
  <si>
    <t>SBDCO- Authorized Signer - Entry Page - Progress bar is not displayed in the app but is specified in field Spec.</t>
  </si>
  <si>
    <t>CWBSB-460</t>
  </si>
  <si>
    <t>SBDCO - Existing Customer page - Updates required for the form Values</t>
  </si>
  <si>
    <t>CWBSB-424</t>
  </si>
  <si>
    <t>CWBSB-412</t>
  </si>
  <si>
    <t>SBDCO -Name and Address Page -Issue with Special Characters allowed in the fields</t>
  </si>
  <si>
    <t>CWBSB-395</t>
  </si>
  <si>
    <t>CWBSB-394</t>
  </si>
  <si>
    <t>SBDCO - Qualifying questions page- Next and back button appearing twice when clicked</t>
  </si>
  <si>
    <t xml:space="preserve">In UAT </t>
  </si>
  <si>
    <t>- with CWB for their testing</t>
  </si>
  <si>
    <t>Category</t>
  </si>
  <si>
    <t>Bug</t>
  </si>
  <si>
    <t>Intermittent</t>
  </si>
  <si>
    <t>Requirement-Defect</t>
  </si>
  <si>
    <t>In UAT</t>
  </si>
  <si>
    <t>Bug-Text</t>
  </si>
  <si>
    <t>Change</t>
  </si>
  <si>
    <t>Bug-UI</t>
  </si>
  <si>
    <t>SBDCO - Authorized Signer - Birthday &amp; Sin Page - Next and back button is navigating to different Pages.</t>
  </si>
  <si>
    <t>CWBSB-547</t>
  </si>
  <si>
    <t>SBDCO - Your Business Page - Validation message not aligned with the message given in field spec</t>
  </si>
  <si>
    <t>CWBSB-548</t>
  </si>
  <si>
    <t>CWBSB-550</t>
  </si>
  <si>
    <t>SBDCO - Security questions Page - Special character â€˜ is not accepted in security answer field.</t>
  </si>
  <si>
    <t>CWBSB-552</t>
  </si>
  <si>
    <t>SBDCO - Security Questions page - Next and Back buttons are navigating to different pages, not aligned with info given in FS.</t>
  </si>
  <si>
    <t>Defects logged from previous sprints</t>
  </si>
  <si>
    <t>Total # of defects logged (outstanding)</t>
  </si>
  <si>
    <t>Ready for Review</t>
  </si>
  <si>
    <t xml:space="preserve">Total matches count for outstanding defects </t>
  </si>
  <si>
    <t>Assigned to Temenos to address</t>
  </si>
  <si>
    <t>balaji.vasudevan@accutive.com</t>
  </si>
  <si>
    <t>CWBSB-565</t>
  </si>
  <si>
    <t>SBDCO - Authorized Signer &amp; Applicant - Contact Info Page - Issue with Mobile Number field.</t>
  </si>
  <si>
    <t>Chix.DelaLuna@cwbank.com</t>
  </si>
  <si>
    <t>Done</t>
  </si>
  <si>
    <t>- fix for defect has been validated working, issue is resolved, defect is closed</t>
  </si>
  <si>
    <t>Defects - by Status</t>
  </si>
  <si>
    <t>outstanding defects* (defects not in "done" status)</t>
  </si>
  <si>
    <t>Created vs. Resolved chart (Open/Closed rate)</t>
  </si>
  <si>
    <t>CWBSB-569</t>
  </si>
  <si>
    <t>CWBSB-568</t>
  </si>
  <si>
    <t>SBDCO - Authorized Signer - Landing Page -Authorized Signer First and Last name is missing in landing page</t>
  </si>
  <si>
    <t>CWBSB-567</t>
  </si>
  <si>
    <t>SBDCO - Applicant and Authorized Signer - Security Question Page - Progressive Reveal and Fields behavior on navigation</t>
  </si>
  <si>
    <t>CWBSB-566</t>
  </si>
  <si>
    <t>SBDCO - Authorized Signer - Manual IDV Page -Discrepency with the content given in Fs and the app, email address hyperlink Issue.</t>
  </si>
  <si>
    <t>CWBSB-570</t>
  </si>
  <si>
    <t>SBDCO - Applicant &amp; Authorized Signer - Flinks Page - Business Application Time Out</t>
  </si>
  <si>
    <t>SBDCO- Applicant - Issue with Radio button selection when the ID is deleted in IDScan Page</t>
  </si>
  <si>
    <t>SBDCO- Contact Info Page - Auto Fill and Recaptcha Issue (Edge Browser)</t>
  </si>
  <si>
    <t>CWBSB-623</t>
  </si>
  <si>
    <t>SBDCO - More About your Business Page - Validation message not correct for fields</t>
  </si>
  <si>
    <t>CWBSB-622</t>
  </si>
  <si>
    <t>SBDCO - More About your Business Page - Inline help for Province/Territory field is not correct as given in the field Spec.</t>
  </si>
  <si>
    <t>CWBSB-621</t>
  </si>
  <si>
    <t>SBDCO - Account Selection Page â€“ Quantity is not saved when toggling Chequing and Savings</t>
  </si>
  <si>
    <t>CWBSB-620</t>
  </si>
  <si>
    <t>SBDCO - Applicant - Not Qualified Info Page - Email address field is accepting invalid formats.</t>
  </si>
  <si>
    <t>CWBSB-619</t>
  </si>
  <si>
    <t>SBDCO- Not Qualified Information Page â€“ Page does not move focus to error message</t>
  </si>
  <si>
    <t>Small Biz DCO R1 (F&amp;F)</t>
  </si>
  <si>
    <t>CWBSB-625</t>
  </si>
  <si>
    <t>SBDCO - Owners, Directors, Signers - First and Last name fields accept \ special character</t>
  </si>
  <si>
    <t>In Test</t>
  </si>
  <si>
    <t>CWBSB-632</t>
  </si>
  <si>
    <t>SBDCO - More about your Business page - Validation message is not displayed for additional province/terriotory of registration field when value is same as other field.</t>
  </si>
  <si>
    <t>SBDCO - Desktop: Submission Completed Page -Center (Please See Latest Comment)</t>
  </si>
  <si>
    <t>CWBSB-637</t>
  </si>
  <si>
    <t>SBDCO - Security Question - Mobile - Display of two line question</t>
  </si>
  <si>
    <t>CWBSB-634</t>
  </si>
  <si>
    <t>SBDCO - Authorized Signer - E-Consent Page - Inline help for do you need business debit card question is misplaced.</t>
  </si>
  <si>
    <t>CWBSB-633</t>
  </si>
  <si>
    <t xml:space="preserve">SBDCO - Disclosures - Tax Residency - Mobile - Text overlaps for long business name </t>
  </si>
  <si>
    <t>CWB-BA-QA-Review</t>
  </si>
  <si>
    <t>CWB-BA-QA-Review (to review and confirm with CWB BA or QA)</t>
  </si>
  <si>
    <t>Count by Defect Assignee</t>
  </si>
  <si>
    <t>- for retesting, field specs or requirement issue, to review, questions, investigate further, etc</t>
  </si>
  <si>
    <t xml:space="preserve">Assigned to CWB to address </t>
  </si>
  <si>
    <r>
      <t>Refer to</t>
    </r>
    <r>
      <rPr>
        <b/>
        <u/>
        <sz val="12"/>
        <color theme="1"/>
        <rFont val="Calibri"/>
        <family val="2"/>
        <scheme val="minor"/>
      </rPr>
      <t xml:space="preserve"> Defect Summary tab</t>
    </r>
    <r>
      <rPr>
        <b/>
        <sz val="12"/>
        <color theme="1"/>
        <rFont val="Calibri"/>
        <family val="2"/>
        <scheme val="minor"/>
      </rPr>
      <t xml:space="preserve"> for info on OUTSTANDING defects for more info on defect breakdown</t>
    </r>
  </si>
  <si>
    <t>Ian.Hicks@cwbank.com</t>
  </si>
  <si>
    <t>In Development</t>
  </si>
  <si>
    <t>- defect is ready for Temenos review</t>
  </si>
  <si>
    <t>- solution for defect is in development</t>
  </si>
  <si>
    <t>CWBSB-640</t>
  </si>
  <si>
    <t>Project Name:  Digital Program - Small Biz DCO - SIT Phase - Sprint 9</t>
  </si>
  <si>
    <t>Test Execution for Sprint 9</t>
  </si>
  <si>
    <r>
      <rPr>
        <b/>
        <sz val="11"/>
        <color theme="1"/>
        <rFont val="Calibri"/>
        <family val="2"/>
        <scheme val="minor"/>
      </rPr>
      <t>Resolved</t>
    </r>
    <r>
      <rPr>
        <sz val="11"/>
        <color theme="1"/>
        <rFont val="Calibri"/>
        <family val="2"/>
        <scheme val="minor"/>
      </rPr>
      <t xml:space="preserve"> defects (37)</t>
    </r>
  </si>
  <si>
    <t>CWBSB-706</t>
  </si>
  <si>
    <t>UX/UI: Business form length difference</t>
  </si>
  <si>
    <t>karthik.padumati@cwbank.com</t>
  </si>
  <si>
    <t>CWBSB-705</t>
  </si>
  <si>
    <t>UX/UI: Email-spacing issue on top and bottom edge, top bar length</t>
  </si>
  <si>
    <t>manish.varia@accutive.com</t>
  </si>
  <si>
    <t>CWBSB-702</t>
  </si>
  <si>
    <t>UX/UI: Card Alignment display</t>
  </si>
  <si>
    <t>gem.adelaja@cwbank.com</t>
  </si>
  <si>
    <t>CWBSB-701</t>
  </si>
  <si>
    <t>UX/UI: Funding Page - Funding UI spacing</t>
  </si>
  <si>
    <t>CWBSB-700</t>
  </si>
  <si>
    <t>UX/UI: Business Type Selection - Radio Button Spacing</t>
  </si>
  <si>
    <t>venayak.rajahrajaswaran@cwbank.com</t>
  </si>
  <si>
    <t>CWBSB-699</t>
  </si>
  <si>
    <t>UX/UI: Step 6 - Our Fine Print - Control Placement</t>
  </si>
  <si>
    <t>CWBSB-698</t>
  </si>
  <si>
    <t xml:space="preserve">UX/UI: Funding - UI Spacing </t>
  </si>
  <si>
    <t>CWBSB-697</t>
  </si>
  <si>
    <t>UX/UI: Step 1 - Let's get started - Horizontal radio buttons and selection</t>
  </si>
  <si>
    <t>CWBSB-696</t>
  </si>
  <si>
    <t>UX/UI: Access to Digital Banking Page - Missing and incorrect format</t>
  </si>
  <si>
    <t>CWBSB-694</t>
  </si>
  <si>
    <t>UX/UI: Step 13 - Funding Page - UI spacing issue</t>
  </si>
  <si>
    <t>SBDCO â€“U/X  Mobile â€“ Authorized Signer â€“ Submission Complete and Cancel - Footer</t>
  </si>
  <si>
    <t>SBDCO â€“ Authorized Signer â€“ Name &amp; Address page â€“ Error message is displayed regarding dropdown (After Time Out)</t>
  </si>
  <si>
    <t>Defects logged from Sprint 9</t>
  </si>
  <si>
    <t>CWBSB-716</t>
  </si>
  <si>
    <t xml:space="preserve">SBDCO â€“ Mobile â€“ Pages for small business - Next button is displayed highlighted </t>
  </si>
  <si>
    <t>dan.riberdy</t>
  </si>
  <si>
    <t>CWBSB-721</t>
  </si>
  <si>
    <t xml:space="preserve">SBDCO - Applicant - Birthday &amp; SIN page - on all iPhone devices for Safari - multiple inline messages stay open </t>
  </si>
  <si>
    <t>Yigal.Shinderman@cwbank.com</t>
  </si>
  <si>
    <t>CWBSB-720</t>
  </si>
  <si>
    <t>SBDCO â€“ Non-signer Owners â€“ Corporation â€“ Director â€“ not displayed, should be</t>
  </si>
  <si>
    <t>CWBSB-719</t>
  </si>
  <si>
    <t>SBDCO - Non-Signing Owners - Address -  Issues with characters allowed, error message incorrect</t>
  </si>
  <si>
    <t>CWBSB-718</t>
  </si>
  <si>
    <t>SBDCO - Applicant - Contact Info Page - Mobile verification Page is not displayed when mobile number is changed.</t>
  </si>
  <si>
    <t>CWBSB-722</t>
  </si>
  <si>
    <t>SBDCO â€“ Mobile â€“ Non-signing owners - The inline help and icon are displayed off screen</t>
  </si>
  <si>
    <t>CWBSB-727</t>
  </si>
  <si>
    <t>SBDCO â€“ Mobile â€“ Authorised Signer eConsent â€“ No error message header displayed</t>
  </si>
  <si>
    <t>CWBSB-726</t>
  </si>
  <si>
    <t>SBDCO - The Back button on a mobile browser causes the application to be lost</t>
  </si>
  <si>
    <t>CWBSB-725</t>
  </si>
  <si>
    <t>SBDCO - Authorized Signer - Name and Address - header for What's your address?</t>
  </si>
  <si>
    <t>CWBSB-724</t>
  </si>
  <si>
    <t>SBDCO - Applicant - Your Business Page - Use this as my business mailing address radio button group should be mandatory</t>
  </si>
  <si>
    <t>smatharu</t>
  </si>
  <si>
    <t>TBD</t>
  </si>
  <si>
    <t>As of Mar 26, 2021</t>
  </si>
  <si>
    <r>
      <rPr>
        <b/>
        <u/>
        <sz val="16"/>
        <color theme="1"/>
        <rFont val="Calibri"/>
        <family val="2"/>
        <scheme val="minor"/>
      </rPr>
      <t xml:space="preserve">Notes:
</t>
    </r>
    <r>
      <rPr>
        <sz val="11"/>
        <rFont val="Calibri"/>
        <family val="2"/>
        <scheme val="minor"/>
      </rPr>
      <t xml:space="preserve">1. Day 7 of test execution - </t>
    </r>
    <r>
      <rPr>
        <b/>
        <sz val="11"/>
        <rFont val="Calibri"/>
        <family val="2"/>
        <scheme val="minor"/>
      </rPr>
      <t>100%  complete</t>
    </r>
    <r>
      <rPr>
        <sz val="11"/>
        <rFont val="Calibri"/>
        <family val="2"/>
        <scheme val="minor"/>
      </rPr>
      <t xml:space="preserve">
2. Sprint 9 package includes:
     a. 22 stories. Only 7 will be validated during SIT, 15 will be validated during E2E
     b. 5 change requests. Only 3 will be validated during SIT, 2 will be validated during E2E
     c. 5 defect fixes – for defects logged by CWB QA Team
     d. 17 defects fixes – for defects logged by Temenos
</t>
    </r>
    <r>
      <rPr>
        <sz val="11"/>
        <color theme="1"/>
        <rFont val="Calibri"/>
        <family val="2"/>
        <scheme val="minor"/>
      </rPr>
      <t xml:space="preserve">3. Refer to Defect Summary Report tab for information on defects
</t>
    </r>
    <r>
      <rPr>
        <b/>
        <u/>
        <sz val="16"/>
        <color theme="1"/>
        <rFont val="Calibri"/>
        <family val="2"/>
        <scheme val="minor"/>
      </rPr>
      <t xml:space="preserve">Issues:
</t>
    </r>
    <r>
      <rPr>
        <sz val="11"/>
        <rFont val="Calibri"/>
        <family val="2"/>
        <scheme val="minor"/>
      </rPr>
      <t xml:space="preserve">1. Testing coverage for different devices and browser
- Chix to inform Business Team of IE (desktop) and Safari (desktop/Macbook/iPad) browser testing
- Currently not in scope for our testing 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FF0000"/>
        <rFont val="Calibri"/>
        <family val="2"/>
        <scheme val="minor"/>
      </rPr>
      <t/>
    </r>
  </si>
  <si>
    <t>Status of Defects logged by CWB QA Team - as of Mar 26, 2021</t>
  </si>
  <si>
    <r>
      <rPr>
        <b/>
        <sz val="11"/>
        <color theme="1"/>
        <rFont val="Calibri"/>
        <family val="2"/>
        <scheme val="minor"/>
      </rPr>
      <t xml:space="preserve">Created </t>
    </r>
    <r>
      <rPr>
        <sz val="11"/>
        <color theme="1"/>
        <rFont val="Calibri"/>
        <family val="2"/>
        <scheme val="minor"/>
      </rPr>
      <t>defects (89)</t>
    </r>
  </si>
  <si>
    <t>JIRA counts "Done" (29) and "In UAT" (8)  as resolved</t>
  </si>
  <si>
    <t>= 89 created defects - 29 defects in "done" status</t>
  </si>
  <si>
    <t>CWBSB-736</t>
  </si>
  <si>
    <t>SBDCO - Applicant - Non-Signer Owners Page - Validation message is displayed when quebec address is selected, but FS do not state any message for qc selection</t>
  </si>
  <si>
    <t>CWBSB-735</t>
  </si>
  <si>
    <t>SBDCO - Authorized Signer - Qualifying question page - Validation message</t>
  </si>
  <si>
    <t>Summary of Outstanding Defects - logged by CWB QA Team - as of Mar 26</t>
  </si>
  <si>
    <t>Tested</t>
  </si>
  <si>
    <t>Planned/Delivered</t>
  </si>
  <si>
    <t>Notes</t>
  </si>
  <si>
    <t>Total Regression Test Cases To Date</t>
  </si>
  <si>
    <t>Regression Testing Completed</t>
  </si>
  <si>
    <t>Total Tests Cases Developed*</t>
  </si>
  <si>
    <t>*includes regression test cases</t>
  </si>
  <si>
    <t>** Testing the rest of the stories will be covered during E2E</t>
  </si>
  <si>
    <t>N/A</t>
  </si>
  <si>
    <r>
      <t>7</t>
    </r>
    <r>
      <rPr>
        <b/>
        <sz val="12"/>
        <color theme="8" tint="-0.499984740745262"/>
        <rFont val="Calibri"/>
        <family val="2"/>
        <scheme val="minor"/>
      </rPr>
      <t>**</t>
    </r>
  </si>
  <si>
    <r>
      <t>3</t>
    </r>
    <r>
      <rPr>
        <b/>
        <sz val="12"/>
        <color theme="8" tint="-0.499984740745262"/>
        <rFont val="Calibri"/>
        <family val="2"/>
        <scheme val="minor"/>
      </rPr>
      <t>**</t>
    </r>
  </si>
  <si>
    <t>Passed</t>
  </si>
  <si>
    <t>Failed</t>
  </si>
  <si>
    <t>Defects have been logged</t>
  </si>
  <si>
    <t>One defect reopened</t>
  </si>
  <si>
    <t xml:space="preserve">CWB QA Team does not test defects logged by Temenos. 
Temenos' QA testers confirms fixes for these. </t>
  </si>
  <si>
    <t>Number of Stories</t>
  </si>
  <si>
    <t>Number of Changes</t>
  </si>
  <si>
    <t>Number of Defects logged by CWB</t>
  </si>
  <si>
    <t>Number Defects logged by Temenos</t>
  </si>
  <si>
    <t>Sprint Report</t>
  </si>
  <si>
    <t>Sprint 9 - March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</si>
</sst>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color rgb="FF1F4E79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sz val="12"/>
      <color theme="8" tint="-0.499984740745262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8" tint="-0.49998474074526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6">
    <xf numFmtId="0" fontId="0" fillId="0" borderId="0"/>
    <xf numFmtId="0" fontId="23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147">
    <xf numFmtId="0" fontId="0" fillId="0" borderId="0" xfId="0"/>
    <xf numFmtId="0" fontId="0" fillId="0" borderId="0" xfId="0" applyAlignment="1">
      <alignment vertical="top"/>
    </xf>
    <xf numFmtId="0" fontId="37" fillId="0" borderId="0" xfId="0" applyFont="1"/>
    <xf numFmtId="0" fontId="0" fillId="0" borderId="0" xfId="0" applyAlignment="1">
      <alignment vertical="center"/>
    </xf>
    <xf numFmtId="0" fontId="29" fillId="4" borderId="0" xfId="0" applyFont="1" applyFill="1"/>
    <xf numFmtId="0" fontId="0" fillId="4" borderId="0" xfId="0" applyFill="1"/>
    <xf numFmtId="0" fontId="27" fillId="4" borderId="0" xfId="0" quotePrefix="1" applyFont="1" applyFill="1"/>
    <xf numFmtId="0" fontId="22" fillId="4" borderId="0" xfId="0" applyFont="1" applyFill="1" applyAlignment="1">
      <alignment horizontal="left" vertical="top"/>
    </xf>
    <xf numFmtId="0" fontId="36" fillId="4" borderId="0" xfId="0" applyFont="1" applyFill="1"/>
    <xf numFmtId="0" fontId="34" fillId="4" borderId="0" xfId="0" applyFont="1" applyFill="1"/>
    <xf numFmtId="0" fontId="0" fillId="4" borderId="0" xfId="0" applyFill="1" applyAlignment="1">
      <alignment vertical="center"/>
    </xf>
    <xf numFmtId="0" fontId="0" fillId="4" borderId="0" xfId="0" applyFill="1" applyAlignment="1">
      <alignment vertical="top"/>
    </xf>
    <xf numFmtId="15" fontId="29" fillId="4" borderId="0" xfId="0" applyNumberFormat="1" applyFont="1" applyFill="1" applyBorder="1" applyAlignment="1">
      <alignment horizontal="left"/>
    </xf>
    <xf numFmtId="0" fontId="24" fillId="4" borderId="0" xfId="0" applyFont="1" applyFill="1" applyBorder="1" applyAlignment="1">
      <alignment horizontal="center"/>
    </xf>
    <xf numFmtId="0" fontId="37" fillId="4" borderId="0" xfId="0" applyFont="1" applyFill="1" applyBorder="1" applyAlignment="1">
      <alignment horizontal="center"/>
    </xf>
    <xf numFmtId="0" fontId="0" fillId="4" borderId="0" xfId="0" applyFill="1" applyBorder="1"/>
    <xf numFmtId="0" fontId="37" fillId="4" borderId="0" xfId="0" applyFont="1" applyFill="1" applyBorder="1"/>
    <xf numFmtId="0" fontId="26" fillId="4" borderId="0" xfId="0" applyFont="1" applyFill="1" applyBorder="1" applyAlignment="1">
      <alignment horizontal="center" vertical="center"/>
    </xf>
    <xf numFmtId="0" fontId="29" fillId="4" borderId="0" xfId="0" applyFont="1" applyFill="1" applyBorder="1" applyAlignment="1">
      <alignment horizontal="left" vertical="top"/>
    </xf>
    <xf numFmtId="0" fontId="37" fillId="4" borderId="0" xfId="0" applyFont="1" applyFill="1"/>
    <xf numFmtId="0" fontId="24" fillId="4" borderId="5" xfId="0" applyFont="1" applyFill="1" applyBorder="1" applyAlignment="1">
      <alignment horizontal="left" vertical="top"/>
    </xf>
    <xf numFmtId="0" fontId="24" fillId="4" borderId="7" xfId="0" applyFont="1" applyFill="1" applyBorder="1" applyAlignment="1">
      <alignment horizontal="left" vertical="top"/>
    </xf>
    <xf numFmtId="0" fontId="0" fillId="4" borderId="0" xfId="0" applyFill="1" applyAlignment="1">
      <alignment vertical="top" wrapText="1"/>
    </xf>
    <xf numFmtId="0" fontId="36" fillId="4" borderId="0" xfId="0" applyFont="1" applyFill="1" applyAlignment="1">
      <alignment vertical="top" wrapText="1"/>
    </xf>
    <xf numFmtId="0" fontId="34" fillId="4" borderId="0" xfId="0" applyFont="1" applyFill="1" applyAlignment="1">
      <alignment horizontal="right"/>
    </xf>
    <xf numFmtId="0" fontId="35" fillId="4" borderId="0" xfId="0" applyFont="1" applyFill="1" applyAlignment="1">
      <alignment horizontal="left"/>
    </xf>
    <xf numFmtId="0" fontId="34" fillId="4" borderId="0" xfId="0" applyFont="1" applyFill="1" applyAlignment="1">
      <alignment horizontal="right" vertical="top"/>
    </xf>
    <xf numFmtId="0" fontId="18" fillId="0" borderId="0" xfId="8" applyAlignment="1">
      <alignment horizontal="left" vertical="top"/>
    </xf>
    <xf numFmtId="0" fontId="18" fillId="0" borderId="0" xfId="8" applyAlignment="1">
      <alignment horizontal="left" vertical="top" wrapText="1"/>
    </xf>
    <xf numFmtId="0" fontId="18" fillId="0" borderId="0" xfId="8" applyFill="1" applyAlignment="1">
      <alignment horizontal="left" vertical="top"/>
    </xf>
    <xf numFmtId="0" fontId="33" fillId="0" borderId="1" xfId="8" applyFont="1" applyBorder="1" applyAlignment="1">
      <alignment horizontal="center" vertical="center"/>
    </xf>
    <xf numFmtId="0" fontId="33" fillId="5" borderId="1" xfId="8" applyFont="1" applyFill="1" applyBorder="1" applyAlignment="1">
      <alignment horizontal="center" vertical="center"/>
    </xf>
    <xf numFmtId="0" fontId="33" fillId="5" borderId="1" xfId="8" applyFont="1" applyFill="1" applyBorder="1" applyAlignment="1">
      <alignment horizontal="center" vertical="center" wrapText="1"/>
    </xf>
    <xf numFmtId="0" fontId="33" fillId="0" borderId="0" xfId="8" applyFont="1" applyAlignment="1">
      <alignment horizontal="center" vertical="center"/>
    </xf>
    <xf numFmtId="0" fontId="0" fillId="4" borderId="0" xfId="0" quotePrefix="1" applyFill="1"/>
    <xf numFmtId="0" fontId="24" fillId="4" borderId="0" xfId="0" applyFont="1" applyFill="1" applyAlignment="1">
      <alignment horizontal="left" vertical="top" wrapText="1"/>
    </xf>
    <xf numFmtId="0" fontId="24" fillId="4" borderId="0" xfId="0" applyFont="1" applyFill="1"/>
    <xf numFmtId="0" fontId="35" fillId="4" borderId="0" xfId="0" applyFont="1" applyFill="1" applyAlignment="1">
      <alignment horizontal="left" vertical="top" wrapText="1"/>
    </xf>
    <xf numFmtId="0" fontId="18" fillId="0" borderId="0" xfId="8" applyAlignment="1">
      <alignment horizontal="center" vertical="center"/>
    </xf>
    <xf numFmtId="0" fontId="29" fillId="0" borderId="0" xfId="7" applyFont="1" applyFill="1" applyBorder="1" applyAlignment="1">
      <alignment horizontal="left" vertical="top"/>
    </xf>
    <xf numFmtId="0" fontId="28" fillId="4" borderId="0" xfId="0" applyFont="1" applyFill="1" applyBorder="1" applyAlignment="1">
      <alignment vertical="top" wrapText="1"/>
    </xf>
    <xf numFmtId="0" fontId="25" fillId="4" borderId="0" xfId="0" applyFont="1" applyFill="1" applyBorder="1" applyAlignment="1">
      <alignment horizontal="left" vertical="center"/>
    </xf>
    <xf numFmtId="0" fontId="34" fillId="4" borderId="0" xfId="0" quotePrefix="1" applyFont="1" applyFill="1" applyAlignment="1">
      <alignment vertical="top" wrapText="1"/>
    </xf>
    <xf numFmtId="0" fontId="24" fillId="4" borderId="5" xfId="0" applyFont="1" applyFill="1" applyBorder="1" applyAlignment="1">
      <alignment horizontal="left" vertical="top"/>
    </xf>
    <xf numFmtId="0" fontId="24" fillId="4" borderId="7" xfId="0" applyFont="1" applyFill="1" applyBorder="1" applyAlignment="1">
      <alignment horizontal="left" vertical="top"/>
    </xf>
    <xf numFmtId="0" fontId="0" fillId="4" borderId="5" xfId="0" quotePrefix="1" applyFill="1" applyBorder="1" applyAlignment="1">
      <alignment horizontal="left" vertical="top"/>
    </xf>
    <xf numFmtId="0" fontId="0" fillId="4" borderId="6" xfId="0" quotePrefix="1" applyFill="1" applyBorder="1" applyAlignment="1">
      <alignment horizontal="left" vertical="top"/>
    </xf>
    <xf numFmtId="0" fontId="0" fillId="4" borderId="7" xfId="0" quotePrefix="1" applyFill="1" applyBorder="1" applyAlignment="1">
      <alignment horizontal="left" vertical="top"/>
    </xf>
    <xf numFmtId="0" fontId="36" fillId="0" borderId="0" xfId="0" applyFont="1" applyFill="1"/>
    <xf numFmtId="0" fontId="0" fillId="0" borderId="0" xfId="0" applyFill="1"/>
    <xf numFmtId="0" fontId="24" fillId="0" borderId="0" xfId="0" applyFont="1" applyFill="1" applyAlignment="1"/>
    <xf numFmtId="0" fontId="6" fillId="4" borderId="0" xfId="0" applyFont="1" applyFill="1" applyAlignment="1">
      <alignment horizontal="left" vertical="top"/>
    </xf>
    <xf numFmtId="0" fontId="28" fillId="3" borderId="8" xfId="0" applyFont="1" applyFill="1" applyBorder="1" applyAlignment="1">
      <alignment horizontal="left" vertical="top" wrapText="1"/>
    </xf>
    <xf numFmtId="0" fontId="28" fillId="3" borderId="9" xfId="0" applyFont="1" applyFill="1" applyBorder="1" applyAlignment="1">
      <alignment horizontal="left" vertical="top" wrapText="1"/>
    </xf>
    <xf numFmtId="0" fontId="28" fillId="3" borderId="10" xfId="0" applyFont="1" applyFill="1" applyBorder="1" applyAlignment="1">
      <alignment horizontal="left" vertical="top" wrapText="1"/>
    </xf>
    <xf numFmtId="0" fontId="28" fillId="3" borderId="11" xfId="0" applyFont="1" applyFill="1" applyBorder="1" applyAlignment="1">
      <alignment horizontal="left" vertical="top" wrapText="1"/>
    </xf>
    <xf numFmtId="0" fontId="28" fillId="3" borderId="0" xfId="0" applyFont="1" applyFill="1" applyBorder="1" applyAlignment="1">
      <alignment horizontal="left" vertical="top" wrapText="1"/>
    </xf>
    <xf numFmtId="0" fontId="28" fillId="3" borderId="12" xfId="0" applyFont="1" applyFill="1" applyBorder="1" applyAlignment="1">
      <alignment horizontal="left" vertical="top" wrapText="1"/>
    </xf>
    <xf numFmtId="0" fontId="28" fillId="3" borderId="4" xfId="0" applyFont="1" applyFill="1" applyBorder="1" applyAlignment="1">
      <alignment horizontal="left" vertical="top" wrapText="1"/>
    </xf>
    <xf numFmtId="0" fontId="28" fillId="3" borderId="13" xfId="0" applyFont="1" applyFill="1" applyBorder="1" applyAlignment="1">
      <alignment horizontal="left" vertical="top" wrapText="1"/>
    </xf>
    <xf numFmtId="0" fontId="28" fillId="3" borderId="3" xfId="0" applyFont="1" applyFill="1" applyBorder="1" applyAlignment="1">
      <alignment horizontal="left" vertical="top" wrapText="1"/>
    </xf>
    <xf numFmtId="0" fontId="26" fillId="2" borderId="1" xfId="0" applyFont="1" applyFill="1" applyBorder="1" applyAlignment="1">
      <alignment horizontal="center" vertical="center"/>
    </xf>
    <xf numFmtId="0" fontId="25" fillId="0" borderId="1" xfId="0" applyFont="1" applyFill="1" applyBorder="1" applyAlignment="1">
      <alignment horizontal="left" vertical="center"/>
    </xf>
    <xf numFmtId="0" fontId="24" fillId="4" borderId="5" xfId="0" applyFont="1" applyFill="1" applyBorder="1" applyAlignment="1">
      <alignment horizontal="left" vertical="top"/>
    </xf>
    <xf numFmtId="0" fontId="24" fillId="4" borderId="7" xfId="0" applyFont="1" applyFill="1" applyBorder="1" applyAlignment="1">
      <alignment horizontal="left" vertical="top"/>
    </xf>
    <xf numFmtId="0" fontId="0" fillId="4" borderId="5" xfId="0" quotePrefix="1" applyFill="1" applyBorder="1" applyAlignment="1">
      <alignment horizontal="left" vertical="top"/>
    </xf>
    <xf numFmtId="0" fontId="0" fillId="4" borderId="6" xfId="0" quotePrefix="1" applyFill="1" applyBorder="1" applyAlignment="1">
      <alignment horizontal="left" vertical="top"/>
    </xf>
    <xf numFmtId="0" fontId="0" fillId="4" borderId="7" xfId="0" quotePrefix="1" applyFill="1" applyBorder="1" applyAlignment="1">
      <alignment horizontal="left" vertical="top"/>
    </xf>
    <xf numFmtId="0" fontId="0" fillId="4" borderId="1" xfId="0" quotePrefix="1" applyFill="1" applyBorder="1" applyAlignment="1">
      <alignment horizontal="left" vertical="top"/>
    </xf>
    <xf numFmtId="0" fontId="0" fillId="4" borderId="1" xfId="0" quotePrefix="1" applyFill="1" applyBorder="1" applyAlignment="1">
      <alignment horizontal="left" vertical="top" wrapText="1"/>
    </xf>
    <xf numFmtId="0" fontId="33" fillId="5" borderId="2" xfId="8" applyFont="1" applyFill="1" applyBorder="1" applyAlignment="1">
      <alignment horizontal="center" vertical="top"/>
    </xf>
    <xf numFmtId="0" fontId="1" fillId="4" borderId="0" xfId="0" applyFont="1" applyFill="1" applyAlignment="1">
      <alignment horizontal="left" vertical="top"/>
    </xf>
    <xf numFmtId="0" fontId="1" fillId="0" borderId="0" xfId="25" applyAlignment="1">
      <alignment horizontal="left" vertical="top"/>
    </xf>
    <xf numFmtId="0" fontId="1" fillId="0" borderId="0" xfId="25" applyAlignment="1">
      <alignment horizontal="left" vertical="top" wrapText="1"/>
    </xf>
    <xf numFmtId="0" fontId="1" fillId="0" borderId="1" xfId="25" applyBorder="1" applyAlignment="1">
      <alignment horizontal="center" vertical="center"/>
    </xf>
    <xf numFmtId="0" fontId="1" fillId="0" borderId="1" xfId="25" applyBorder="1" applyAlignment="1">
      <alignment horizontal="left" vertical="top"/>
    </xf>
    <xf numFmtId="0" fontId="1" fillId="0" borderId="1" xfId="25" applyBorder="1" applyAlignment="1">
      <alignment horizontal="left" vertical="top" wrapText="1"/>
    </xf>
    <xf numFmtId="22" fontId="1" fillId="0" borderId="1" xfId="25" applyNumberFormat="1" applyBorder="1" applyAlignment="1">
      <alignment horizontal="left" vertical="top"/>
    </xf>
    <xf numFmtId="164" fontId="43" fillId="0" borderId="18" xfId="0" applyNumberFormat="1" applyFont="1" applyBorder="1" applyAlignment="1">
      <alignment horizontal="center" vertical="center"/>
    </xf>
    <xf numFmtId="0" fontId="42" fillId="4" borderId="0" xfId="0" applyFont="1" applyFill="1" applyAlignment="1">
      <alignment horizontal="left" vertical="center" indent="8"/>
    </xf>
    <xf numFmtId="0" fontId="45" fillId="4" borderId="17" xfId="0" applyFont="1" applyFill="1" applyBorder="1" applyAlignment="1">
      <alignment horizontal="left" vertical="top"/>
    </xf>
    <xf numFmtId="0" fontId="46" fillId="4" borderId="1" xfId="0" applyFont="1" applyFill="1" applyBorder="1" applyAlignment="1">
      <alignment horizontal="center" vertical="center"/>
    </xf>
    <xf numFmtId="0" fontId="46" fillId="4" borderId="18" xfId="0" applyFont="1" applyFill="1" applyBorder="1"/>
    <xf numFmtId="0" fontId="45" fillId="4" borderId="20" xfId="0" applyFont="1" applyFill="1" applyBorder="1" applyAlignment="1">
      <alignment horizontal="left" vertical="top"/>
    </xf>
    <xf numFmtId="0" fontId="46" fillId="4" borderId="21" xfId="0" applyFont="1" applyFill="1" applyBorder="1" applyAlignment="1">
      <alignment horizontal="center" vertical="center"/>
    </xf>
    <xf numFmtId="0" fontId="46" fillId="4" borderId="22" xfId="0" applyFont="1" applyFill="1" applyBorder="1"/>
    <xf numFmtId="0" fontId="45" fillId="4" borderId="14" xfId="0" applyFont="1" applyFill="1" applyBorder="1" applyAlignment="1">
      <alignment horizontal="center"/>
    </xf>
    <xf numFmtId="0" fontId="45" fillId="4" borderId="15" xfId="0" applyFont="1" applyFill="1" applyBorder="1" applyAlignment="1">
      <alignment horizontal="center"/>
    </xf>
    <xf numFmtId="0" fontId="45" fillId="4" borderId="16" xfId="0" applyFont="1" applyFill="1" applyBorder="1" applyAlignment="1">
      <alignment horizontal="center"/>
    </xf>
    <xf numFmtId="0" fontId="45" fillId="4" borderId="0" xfId="0" applyFont="1" applyFill="1" applyBorder="1" applyAlignment="1">
      <alignment horizontal="center"/>
    </xf>
    <xf numFmtId="0" fontId="45" fillId="4" borderId="0" xfId="0" applyFont="1" applyFill="1" applyBorder="1" applyAlignment="1">
      <alignment horizontal="center" vertical="center"/>
    </xf>
    <xf numFmtId="0" fontId="46" fillId="4" borderId="0" xfId="0" applyFont="1" applyFill="1" applyBorder="1"/>
    <xf numFmtId="0" fontId="45" fillId="4" borderId="23" xfId="0" applyFont="1" applyFill="1" applyBorder="1" applyAlignment="1">
      <alignment horizontal="left" vertical="top"/>
    </xf>
    <xf numFmtId="0" fontId="45" fillId="4" borderId="24" xfId="0" applyFont="1" applyFill="1" applyBorder="1" applyAlignment="1">
      <alignment horizontal="center" vertical="center" wrapText="1"/>
    </xf>
    <xf numFmtId="0" fontId="45" fillId="4" borderId="25" xfId="0" applyFont="1" applyFill="1" applyBorder="1" applyAlignment="1">
      <alignment horizontal="center" vertical="center"/>
    </xf>
    <xf numFmtId="0" fontId="45" fillId="4" borderId="26" xfId="0" applyFont="1" applyFill="1" applyBorder="1" applyAlignment="1">
      <alignment horizontal="center"/>
    </xf>
    <xf numFmtId="0" fontId="45" fillId="4" borderId="27" xfId="0" applyFont="1" applyFill="1" applyBorder="1" applyAlignment="1">
      <alignment horizontal="center"/>
    </xf>
    <xf numFmtId="0" fontId="45" fillId="4" borderId="28" xfId="0" applyFont="1" applyFill="1" applyBorder="1" applyAlignment="1">
      <alignment horizontal="center"/>
    </xf>
    <xf numFmtId="0" fontId="46" fillId="4" borderId="18" xfId="0" applyFont="1" applyFill="1" applyBorder="1" applyAlignment="1">
      <alignment horizontal="center" vertical="center"/>
    </xf>
    <xf numFmtId="0" fontId="46" fillId="4" borderId="22" xfId="0" applyFont="1" applyFill="1" applyBorder="1" applyAlignment="1">
      <alignment horizontal="center" vertical="center"/>
    </xf>
    <xf numFmtId="0" fontId="46" fillId="4" borderId="22" xfId="0" applyFont="1" applyFill="1" applyBorder="1" applyAlignment="1">
      <alignment wrapText="1"/>
    </xf>
    <xf numFmtId="0" fontId="45" fillId="4" borderId="0" xfId="0" applyFont="1" applyFill="1" applyBorder="1" applyAlignment="1">
      <alignment horizontal="left" vertical="top"/>
    </xf>
    <xf numFmtId="0" fontId="46" fillId="4" borderId="0" xfId="0" applyFont="1" applyFill="1" applyAlignment="1">
      <alignment vertical="center"/>
    </xf>
    <xf numFmtId="0" fontId="46" fillId="4" borderId="0" xfId="0" applyFont="1" applyFill="1" applyAlignment="1">
      <alignment vertical="top"/>
    </xf>
    <xf numFmtId="0" fontId="46" fillId="0" borderId="0" xfId="0" applyFont="1" applyBorder="1" applyAlignment="1">
      <alignment horizontal="center"/>
    </xf>
    <xf numFmtId="0" fontId="46" fillId="4" borderId="0" xfId="0" applyFont="1" applyFill="1"/>
    <xf numFmtId="0" fontId="46" fillId="0" borderId="1" xfId="0" applyFont="1" applyFill="1" applyBorder="1" applyAlignment="1">
      <alignment horizontal="center" vertical="center"/>
    </xf>
    <xf numFmtId="0" fontId="46" fillId="4" borderId="1" xfId="0" applyFont="1" applyFill="1" applyBorder="1"/>
    <xf numFmtId="164" fontId="47" fillId="4" borderId="18" xfId="0" applyNumberFormat="1" applyFont="1" applyFill="1" applyBorder="1" applyAlignment="1">
      <alignment horizontal="center" vertical="center"/>
    </xf>
    <xf numFmtId="1" fontId="47" fillId="4" borderId="2" xfId="0" quotePrefix="1" applyNumberFormat="1" applyFont="1" applyFill="1" applyBorder="1" applyAlignment="1">
      <alignment horizontal="center" vertical="center"/>
    </xf>
    <xf numFmtId="0" fontId="45" fillId="4" borderId="17" xfId="0" applyFont="1" applyFill="1" applyBorder="1" applyAlignment="1"/>
    <xf numFmtId="1" fontId="45" fillId="4" borderId="1" xfId="0" applyNumberFormat="1" applyFont="1" applyFill="1" applyBorder="1" applyAlignment="1">
      <alignment horizontal="center" vertical="center"/>
    </xf>
    <xf numFmtId="0" fontId="45" fillId="4" borderId="1" xfId="0" applyFont="1" applyFill="1" applyBorder="1" applyAlignment="1">
      <alignment horizontal="center"/>
    </xf>
    <xf numFmtId="0" fontId="45" fillId="4" borderId="18" xfId="0" applyFont="1" applyFill="1" applyBorder="1" applyAlignment="1">
      <alignment horizontal="center"/>
    </xf>
    <xf numFmtId="0" fontId="46" fillId="4" borderId="19" xfId="0" applyFont="1" applyFill="1" applyBorder="1"/>
    <xf numFmtId="1" fontId="46" fillId="4" borderId="2" xfId="0" applyNumberFormat="1" applyFont="1" applyFill="1" applyBorder="1" applyAlignment="1">
      <alignment horizontal="center" vertical="center"/>
    </xf>
    <xf numFmtId="164" fontId="46" fillId="4" borderId="18" xfId="0" applyNumberFormat="1" applyFont="1" applyFill="1" applyBorder="1" applyAlignment="1">
      <alignment horizontal="center" vertical="center"/>
    </xf>
    <xf numFmtId="0" fontId="46" fillId="4" borderId="20" xfId="0" applyFont="1" applyFill="1" applyBorder="1"/>
    <xf numFmtId="1" fontId="46" fillId="4" borderId="21" xfId="0" applyNumberFormat="1" applyFont="1" applyFill="1" applyBorder="1" applyAlignment="1">
      <alignment horizontal="center" vertical="center"/>
    </xf>
    <xf numFmtId="0" fontId="46" fillId="4" borderId="21" xfId="0" applyFont="1" applyFill="1" applyBorder="1"/>
    <xf numFmtId="164" fontId="46" fillId="4" borderId="22" xfId="0" applyNumberFormat="1" applyFont="1" applyFill="1" applyBorder="1" applyAlignment="1">
      <alignment horizontal="center" vertical="center"/>
    </xf>
    <xf numFmtId="164" fontId="46" fillId="4" borderId="0" xfId="0" applyNumberFormat="1" applyFont="1" applyFill="1" applyBorder="1" applyAlignment="1">
      <alignment horizontal="center" vertical="center"/>
    </xf>
    <xf numFmtId="164" fontId="47" fillId="4" borderId="0" xfId="0" applyNumberFormat="1" applyFont="1" applyFill="1" applyBorder="1" applyAlignment="1">
      <alignment horizontal="center" vertical="center"/>
    </xf>
    <xf numFmtId="0" fontId="48" fillId="4" borderId="0" xfId="0" applyFont="1" applyFill="1" applyBorder="1" applyAlignment="1">
      <alignment horizontal="left" vertical="center"/>
    </xf>
    <xf numFmtId="0" fontId="46" fillId="0" borderId="1" xfId="0" applyFont="1" applyBorder="1"/>
    <xf numFmtId="0" fontId="46" fillId="0" borderId="1" xfId="0" applyFont="1" applyFill="1" applyBorder="1"/>
    <xf numFmtId="1" fontId="46" fillId="0" borderId="1" xfId="0" applyNumberFormat="1" applyFont="1" applyFill="1" applyBorder="1" applyAlignment="1">
      <alignment horizontal="center" vertical="center"/>
    </xf>
    <xf numFmtId="0" fontId="44" fillId="0" borderId="1" xfId="0" applyFont="1" applyBorder="1" applyAlignment="1">
      <alignment horizontal="center" vertical="center"/>
    </xf>
    <xf numFmtId="0" fontId="44" fillId="0" borderId="1" xfId="0" quotePrefix="1" applyFont="1" applyBorder="1" applyAlignment="1">
      <alignment horizontal="center" vertical="top"/>
    </xf>
    <xf numFmtId="1" fontId="46" fillId="0" borderId="1" xfId="0" applyNumberFormat="1" applyFont="1" applyBorder="1" applyAlignment="1">
      <alignment horizontal="center" vertical="center"/>
    </xf>
    <xf numFmtId="0" fontId="46" fillId="0" borderId="1" xfId="0" applyFont="1" applyFill="1" applyBorder="1" applyAlignment="1">
      <alignment horizontal="center"/>
    </xf>
    <xf numFmtId="1" fontId="43" fillId="0" borderId="1" xfId="0" quotePrefix="1" applyNumberFormat="1" applyFont="1" applyBorder="1" applyAlignment="1">
      <alignment horizontal="center" vertical="center"/>
    </xf>
    <xf numFmtId="1" fontId="43" fillId="0" borderId="1" xfId="0" applyNumberFormat="1" applyFont="1" applyBorder="1" applyAlignment="1">
      <alignment horizontal="center" vertical="center"/>
    </xf>
    <xf numFmtId="0" fontId="48" fillId="0" borderId="14" xfId="0" applyFont="1" applyFill="1" applyBorder="1" applyAlignment="1">
      <alignment horizontal="center" vertical="center"/>
    </xf>
    <xf numFmtId="0" fontId="48" fillId="0" borderId="15" xfId="0" applyFont="1" applyFill="1" applyBorder="1" applyAlignment="1">
      <alignment horizontal="center" vertical="center"/>
    </xf>
    <xf numFmtId="0" fontId="48" fillId="0" borderId="16" xfId="0" applyFont="1" applyFill="1" applyBorder="1" applyAlignment="1">
      <alignment horizontal="center" vertical="center"/>
    </xf>
    <xf numFmtId="0" fontId="46" fillId="0" borderId="17" xfId="0" applyFont="1" applyBorder="1" applyAlignment="1"/>
    <xf numFmtId="0" fontId="46" fillId="0" borderId="18" xfId="0" applyFont="1" applyFill="1" applyBorder="1" applyAlignment="1">
      <alignment horizontal="center"/>
    </xf>
    <xf numFmtId="0" fontId="46" fillId="0" borderId="17" xfId="0" applyFont="1" applyBorder="1"/>
    <xf numFmtId="164" fontId="46" fillId="0" borderId="18" xfId="0" applyNumberFormat="1" applyFont="1" applyBorder="1" applyAlignment="1">
      <alignment horizontal="center" vertical="center"/>
    </xf>
    <xf numFmtId="0" fontId="46" fillId="0" borderId="17" xfId="0" applyFont="1" applyFill="1" applyBorder="1"/>
    <xf numFmtId="0" fontId="46" fillId="0" borderId="17" xfId="0" applyFont="1" applyBorder="1" applyAlignment="1">
      <alignment horizontal="left" vertical="center"/>
    </xf>
    <xf numFmtId="0" fontId="46" fillId="0" borderId="18" xfId="0" applyFont="1" applyFill="1" applyBorder="1" applyAlignment="1">
      <alignment horizontal="center" vertical="center"/>
    </xf>
    <xf numFmtId="0" fontId="46" fillId="0" borderId="17" xfId="0" applyFont="1" applyBorder="1" applyAlignment="1">
      <alignment horizontal="right" vertical="center"/>
    </xf>
    <xf numFmtId="0" fontId="46" fillId="0" borderId="18" xfId="0" applyFont="1" applyFill="1" applyBorder="1" applyAlignment="1"/>
    <xf numFmtId="0" fontId="46" fillId="0" borderId="20" xfId="0" applyFont="1" applyBorder="1" applyAlignment="1">
      <alignment horizontal="right" vertical="center"/>
    </xf>
    <xf numFmtId="0" fontId="44" fillId="4" borderId="21" xfId="0" applyFont="1" applyFill="1" applyBorder="1" applyAlignment="1">
      <alignment horizontal="center" vertical="center"/>
    </xf>
  </cellXfs>
  <cellStyles count="26">
    <cellStyle name="Normal" xfId="0" builtinId="0"/>
    <cellStyle name="Normal 10" xfId="14"/>
    <cellStyle name="Normal 11" xfId="15"/>
    <cellStyle name="Normal 12" xfId="16"/>
    <cellStyle name="Normal 13" xfId="17"/>
    <cellStyle name="Normal 14" xfId="18"/>
    <cellStyle name="Normal 15" xfId="19"/>
    <cellStyle name="Normal 16" xfId="20"/>
    <cellStyle name="Normal 17" xfId="21"/>
    <cellStyle name="Normal 18" xfId="22"/>
    <cellStyle name="Normal 19" xfId="23"/>
    <cellStyle name="Normal 2" xfId="1"/>
    <cellStyle name="Normal 20" xfId="24"/>
    <cellStyle name="Normal 21" xfId="25"/>
    <cellStyle name="Normal 3" xfId="2"/>
    <cellStyle name="Normal 3 2" xfId="4"/>
    <cellStyle name="Normal 3 2 2" xfId="6"/>
    <cellStyle name="Normal 3 2 2 2" xfId="8"/>
    <cellStyle name="Normal 4" xfId="3"/>
    <cellStyle name="Normal 4 2" xfId="5"/>
    <cellStyle name="Normal 4 2 2" xfId="7"/>
    <cellStyle name="Normal 5" xfId="9"/>
    <cellStyle name="Normal 6" xfId="10"/>
    <cellStyle name="Normal 7" xfId="11"/>
    <cellStyle name="Normal 8" xfId="12"/>
    <cellStyle name="Normal 9" xfId="13"/>
  </cellStyles>
  <dxfs count="0"/>
  <tableStyles count="0" defaultTableStyle="TableStyleMedium2" defaultPivotStyle="PivotStyleLight16"/>
  <colors>
    <mruColors>
      <color rgb="FF00FFFF"/>
      <color rgb="FF73FE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561975</xdr:colOff>
      <xdr:row>6</xdr:row>
      <xdr:rowOff>47625</xdr:rowOff>
    </xdr:from>
    <xdr:to>
      <xdr:col>8</xdr:col>
      <xdr:colOff>361950</xdr:colOff>
      <xdr:row>17</xdr:row>
      <xdr:rowOff>128545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57925" y="1304925"/>
          <a:ext cx="2314575" cy="28622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3</xdr:row>
      <xdr:rowOff>180975</xdr:rowOff>
    </xdr:from>
    <xdr:to>
      <xdr:col>24</xdr:col>
      <xdr:colOff>333375</xdr:colOff>
      <xdr:row>5</xdr:row>
      <xdr:rowOff>19050</xdr:rowOff>
    </xdr:to>
    <xdr:sp macro="" textlink="">
      <xdr:nvSpPr>
        <xdr:cNvPr id="2" name="Minus 1"/>
        <xdr:cNvSpPr/>
      </xdr:nvSpPr>
      <xdr:spPr>
        <a:xfrm>
          <a:off x="14258925" y="895350"/>
          <a:ext cx="333375" cy="238125"/>
        </a:xfrm>
        <a:prstGeom prst="mathMinus">
          <a:avLst/>
        </a:prstGeom>
        <a:solidFill>
          <a:srgbClr val="FF3300"/>
        </a:solidFill>
        <a:ln>
          <a:solidFill>
            <a:srgbClr val="FF33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24</xdr:col>
      <xdr:colOff>0</xdr:colOff>
      <xdr:row>4</xdr:row>
      <xdr:rowOff>171450</xdr:rowOff>
    </xdr:from>
    <xdr:to>
      <xdr:col>24</xdr:col>
      <xdr:colOff>333375</xdr:colOff>
      <xdr:row>6</xdr:row>
      <xdr:rowOff>9525</xdr:rowOff>
    </xdr:to>
    <xdr:sp macro="" textlink="">
      <xdr:nvSpPr>
        <xdr:cNvPr id="3" name="Minus 2"/>
        <xdr:cNvSpPr/>
      </xdr:nvSpPr>
      <xdr:spPr>
        <a:xfrm>
          <a:off x="14258925" y="1085850"/>
          <a:ext cx="333375" cy="238125"/>
        </a:xfrm>
        <a:prstGeom prst="mathMinus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 editAs="oneCell">
    <xdr:from>
      <xdr:col>0</xdr:col>
      <xdr:colOff>19050</xdr:colOff>
      <xdr:row>3</xdr:row>
      <xdr:rowOff>95250</xdr:rowOff>
    </xdr:from>
    <xdr:to>
      <xdr:col>11</xdr:col>
      <xdr:colOff>110067</xdr:colOff>
      <xdr:row>30</xdr:row>
      <xdr:rowOff>75407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809625"/>
          <a:ext cx="6872817" cy="5609432"/>
        </a:xfrm>
        <a:prstGeom prst="rect">
          <a:avLst/>
        </a:prstGeom>
      </xdr:spPr>
    </xdr:pic>
    <xdr:clientData/>
  </xdr:twoCellAnchor>
  <xdr:twoCellAnchor editAs="oneCell">
    <xdr:from>
      <xdr:col>11</xdr:col>
      <xdr:colOff>209550</xdr:colOff>
      <xdr:row>3</xdr:row>
      <xdr:rowOff>104775</xdr:rowOff>
    </xdr:from>
    <xdr:to>
      <xdr:col>23</xdr:col>
      <xdr:colOff>160188</xdr:colOff>
      <xdr:row>29</xdr:row>
      <xdr:rowOff>199209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91350" y="819150"/>
          <a:ext cx="6580038" cy="552368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542925</xdr:colOff>
      <xdr:row>19</xdr:row>
      <xdr:rowOff>123825</xdr:rowOff>
    </xdr:from>
    <xdr:to>
      <xdr:col>21</xdr:col>
      <xdr:colOff>114011</xdr:colOff>
      <xdr:row>32</xdr:row>
      <xdr:rowOff>190167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59250" y="4524375"/>
          <a:ext cx="2314286" cy="26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U49"/>
  <sheetViews>
    <sheetView tabSelected="1" zoomScaleNormal="100" workbookViewId="0">
      <selection activeCell="B8" sqref="B8:E8"/>
    </sheetView>
  </sheetViews>
  <sheetFormatPr defaultColWidth="11" defaultRowHeight="15.75" x14ac:dyDescent="0.25"/>
  <cols>
    <col min="1" max="1" width="1.625" customWidth="1"/>
    <col min="2" max="2" width="37.875" customWidth="1"/>
    <col min="3" max="3" width="12.125" customWidth="1"/>
    <col min="4" max="4" width="14.75" customWidth="1"/>
    <col min="5" max="5" width="11" style="2" customWidth="1"/>
    <col min="9" max="9" width="10.875" customWidth="1"/>
    <col min="10" max="10" width="2.625" style="5" customWidth="1"/>
    <col min="17" max="17" width="33.125" customWidth="1"/>
    <col min="18" max="21" width="11" style="5"/>
  </cols>
  <sheetData>
    <row r="1" spans="1:21" ht="20.25" x14ac:dyDescent="0.25">
      <c r="A1" s="5"/>
      <c r="B1" s="61" t="s">
        <v>23</v>
      </c>
      <c r="C1" s="61"/>
      <c r="D1" s="61"/>
      <c r="E1" s="61"/>
      <c r="F1" s="61"/>
      <c r="G1" s="61"/>
      <c r="H1" s="61"/>
      <c r="I1" s="61"/>
      <c r="K1" s="5"/>
      <c r="L1" s="5"/>
      <c r="M1" s="5"/>
      <c r="N1" s="5"/>
      <c r="O1" s="5"/>
      <c r="P1" s="5"/>
      <c r="Q1" s="5"/>
    </row>
    <row r="2" spans="1:21" s="5" customFormat="1" ht="11.25" customHeight="1" x14ac:dyDescent="0.25">
      <c r="B2" s="17"/>
      <c r="C2" s="17"/>
      <c r="D2" s="17"/>
      <c r="E2" s="17"/>
      <c r="F2" s="17"/>
      <c r="G2" s="17"/>
      <c r="H2" s="17"/>
      <c r="I2" s="17"/>
    </row>
    <row r="3" spans="1:21" ht="21.75" customHeight="1" x14ac:dyDescent="0.3">
      <c r="A3" s="5"/>
      <c r="B3" s="18" t="s">
        <v>203</v>
      </c>
      <c r="C3" s="12"/>
      <c r="D3" s="13"/>
      <c r="E3" s="14"/>
      <c r="F3" s="13"/>
      <c r="G3" s="13"/>
      <c r="H3" s="13"/>
      <c r="I3" s="13"/>
      <c r="K3" s="5"/>
      <c r="L3" s="5"/>
      <c r="M3" s="5"/>
      <c r="N3" s="5"/>
      <c r="O3" s="5"/>
      <c r="P3" s="5"/>
      <c r="Q3" s="5"/>
    </row>
    <row r="4" spans="1:21" ht="8.25" customHeight="1" x14ac:dyDescent="0.3">
      <c r="A4" s="5"/>
      <c r="B4" s="18"/>
      <c r="C4" s="12"/>
      <c r="D4" s="13"/>
      <c r="E4" s="14"/>
      <c r="F4" s="13"/>
      <c r="G4" s="13"/>
      <c r="H4" s="13"/>
      <c r="I4" s="13"/>
      <c r="K4" s="5"/>
      <c r="L4" s="5"/>
      <c r="M4" s="5"/>
      <c r="N4" s="5"/>
      <c r="O4" s="5"/>
      <c r="P4" s="5"/>
      <c r="Q4" s="5"/>
    </row>
    <row r="5" spans="1:21" s="3" customFormat="1" ht="22.5" customHeight="1" x14ac:dyDescent="0.25">
      <c r="A5" s="10"/>
      <c r="B5" s="62" t="s">
        <v>149</v>
      </c>
      <c r="C5" s="62"/>
      <c r="D5" s="62"/>
      <c r="E5" s="62"/>
      <c r="F5" s="62"/>
      <c r="G5" s="62"/>
      <c r="H5" s="62"/>
      <c r="I5" s="62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spans="1:21" s="10" customFormat="1" ht="15" customHeight="1" x14ac:dyDescent="0.25">
      <c r="B6" s="41"/>
      <c r="C6" s="41"/>
      <c r="D6" s="41"/>
      <c r="E6" s="41"/>
      <c r="F6" s="41"/>
      <c r="G6" s="41"/>
      <c r="H6" s="41"/>
      <c r="I6" s="41"/>
    </row>
    <row r="7" spans="1:21" s="10" customFormat="1" ht="7.5" customHeight="1" thickBot="1" x14ac:dyDescent="0.3">
      <c r="A7" s="102"/>
      <c r="B7" s="123"/>
      <c r="C7" s="123"/>
      <c r="D7" s="123"/>
      <c r="E7" s="123"/>
      <c r="F7" s="123"/>
      <c r="G7" s="123"/>
      <c r="H7" s="123"/>
      <c r="I7" s="123"/>
    </row>
    <row r="8" spans="1:21" s="1" customFormat="1" ht="26.25" customHeight="1" x14ac:dyDescent="0.25">
      <c r="A8" s="103"/>
      <c r="B8" s="133" t="s">
        <v>150</v>
      </c>
      <c r="C8" s="134"/>
      <c r="D8" s="134"/>
      <c r="E8" s="135"/>
      <c r="F8" s="104"/>
      <c r="G8" s="104"/>
      <c r="H8" s="104"/>
      <c r="I8" s="104"/>
      <c r="J8" s="11"/>
      <c r="K8" s="52" t="s">
        <v>204</v>
      </c>
      <c r="L8" s="53"/>
      <c r="M8" s="53"/>
      <c r="N8" s="53"/>
      <c r="O8" s="53"/>
      <c r="P8" s="53"/>
      <c r="Q8" s="54"/>
      <c r="R8" s="11"/>
      <c r="S8" s="11"/>
      <c r="T8" s="11"/>
      <c r="U8" s="11"/>
    </row>
    <row r="9" spans="1:21" s="1" customFormat="1" ht="19.5" customHeight="1" x14ac:dyDescent="0.25">
      <c r="A9" s="103"/>
      <c r="B9" s="136" t="s">
        <v>219</v>
      </c>
      <c r="C9" s="129">
        <v>477</v>
      </c>
      <c r="D9" s="130" t="s">
        <v>10</v>
      </c>
      <c r="E9" s="137"/>
      <c r="F9" s="104"/>
      <c r="G9" s="104"/>
      <c r="H9" s="104"/>
      <c r="I9" s="104"/>
      <c r="J9" s="11"/>
      <c r="K9" s="55"/>
      <c r="L9" s="56"/>
      <c r="M9" s="56"/>
      <c r="N9" s="56"/>
      <c r="O9" s="56"/>
      <c r="P9" s="56"/>
      <c r="Q9" s="57"/>
      <c r="R9" s="11"/>
      <c r="S9" s="11"/>
      <c r="T9" s="11"/>
      <c r="U9" s="11"/>
    </row>
    <row r="10" spans="1:21" s="1" customFormat="1" ht="21.75" customHeight="1" x14ac:dyDescent="0.25">
      <c r="A10" s="103"/>
      <c r="B10" s="138" t="s">
        <v>1</v>
      </c>
      <c r="C10" s="129">
        <v>403</v>
      </c>
      <c r="D10" s="124" t="s">
        <v>4</v>
      </c>
      <c r="E10" s="139">
        <f>C10/C9*100</f>
        <v>84.486373165618446</v>
      </c>
      <c r="F10" s="104"/>
      <c r="G10" s="104"/>
      <c r="H10" s="104"/>
      <c r="I10" s="104"/>
      <c r="J10" s="11"/>
      <c r="K10" s="55"/>
      <c r="L10" s="56"/>
      <c r="M10" s="56"/>
      <c r="N10" s="56"/>
      <c r="O10" s="56"/>
      <c r="P10" s="56"/>
      <c r="Q10" s="57"/>
      <c r="R10" s="11"/>
      <c r="S10" s="11"/>
      <c r="T10" s="11"/>
      <c r="U10" s="11"/>
    </row>
    <row r="11" spans="1:21" ht="21.75" customHeight="1" x14ac:dyDescent="0.25">
      <c r="A11" s="105"/>
      <c r="B11" s="138" t="s">
        <v>2</v>
      </c>
      <c r="C11" s="131">
        <v>40</v>
      </c>
      <c r="D11" s="124" t="s">
        <v>0</v>
      </c>
      <c r="E11" s="78">
        <f>C11/C9*100</f>
        <v>8.3857442348008391</v>
      </c>
      <c r="F11" s="104"/>
      <c r="G11" s="104"/>
      <c r="H11" s="104"/>
      <c r="I11" s="104"/>
      <c r="K11" s="55"/>
      <c r="L11" s="56"/>
      <c r="M11" s="56"/>
      <c r="N11" s="56"/>
      <c r="O11" s="56"/>
      <c r="P11" s="56"/>
      <c r="Q11" s="57"/>
    </row>
    <row r="12" spans="1:21" ht="21" customHeight="1" x14ac:dyDescent="0.25">
      <c r="A12" s="105"/>
      <c r="B12" s="138" t="s">
        <v>3</v>
      </c>
      <c r="C12" s="132">
        <v>34</v>
      </c>
      <c r="D12" s="124" t="s">
        <v>5</v>
      </c>
      <c r="E12" s="78">
        <f>C12/C9*100</f>
        <v>7.1278825995807118</v>
      </c>
      <c r="F12" s="104"/>
      <c r="G12" s="104"/>
      <c r="H12" s="104"/>
      <c r="I12" s="104"/>
      <c r="K12" s="55"/>
      <c r="L12" s="56"/>
      <c r="M12" s="56"/>
      <c r="N12" s="56"/>
      <c r="O12" s="56"/>
      <c r="P12" s="56"/>
      <c r="Q12" s="57"/>
    </row>
    <row r="13" spans="1:21" ht="21" customHeight="1" x14ac:dyDescent="0.25">
      <c r="A13" s="105"/>
      <c r="B13" s="140" t="s">
        <v>9</v>
      </c>
      <c r="C13" s="126">
        <v>0</v>
      </c>
      <c r="D13" s="125" t="s">
        <v>8</v>
      </c>
      <c r="E13" s="139">
        <f>C13/C9*100</f>
        <v>0</v>
      </c>
      <c r="F13" s="104"/>
      <c r="G13" s="104"/>
      <c r="H13" s="104"/>
      <c r="I13" s="104"/>
      <c r="K13" s="55"/>
      <c r="L13" s="56"/>
      <c r="M13" s="56"/>
      <c r="N13" s="56"/>
      <c r="O13" s="56"/>
      <c r="P13" s="56"/>
      <c r="Q13" s="57"/>
    </row>
    <row r="14" spans="1:21" ht="22.5" customHeight="1" x14ac:dyDescent="0.25">
      <c r="A14" s="105"/>
      <c r="B14" s="141" t="s">
        <v>91</v>
      </c>
      <c r="C14" s="127">
        <v>60</v>
      </c>
      <c r="D14" s="124"/>
      <c r="E14" s="142"/>
      <c r="F14" s="104"/>
      <c r="G14" s="104"/>
      <c r="H14" s="104"/>
      <c r="I14" s="104"/>
      <c r="K14" s="55"/>
      <c r="L14" s="56"/>
      <c r="M14" s="56"/>
      <c r="N14" s="56"/>
      <c r="O14" s="56"/>
      <c r="P14" s="56"/>
      <c r="Q14" s="57"/>
    </row>
    <row r="15" spans="1:21" ht="21.75" customHeight="1" x14ac:dyDescent="0.25">
      <c r="A15" s="105"/>
      <c r="B15" s="143" t="s">
        <v>178</v>
      </c>
      <c r="C15" s="128">
        <v>22</v>
      </c>
      <c r="D15" s="106"/>
      <c r="E15" s="144"/>
      <c r="F15" s="104"/>
      <c r="G15" s="104"/>
      <c r="H15" s="104"/>
      <c r="I15" s="104"/>
      <c r="K15" s="55"/>
      <c r="L15" s="56"/>
      <c r="M15" s="56"/>
      <c r="N15" s="56"/>
      <c r="O15" s="56"/>
      <c r="P15" s="56"/>
      <c r="Q15" s="57"/>
    </row>
    <row r="16" spans="1:21" s="5" customFormat="1" ht="20.25" customHeight="1" thickBot="1" x14ac:dyDescent="0.3">
      <c r="A16" s="105"/>
      <c r="B16" s="145" t="s">
        <v>90</v>
      </c>
      <c r="C16" s="146">
        <v>38</v>
      </c>
      <c r="D16" s="119"/>
      <c r="E16" s="85"/>
      <c r="F16" s="91"/>
      <c r="G16" s="91"/>
      <c r="H16" s="91"/>
      <c r="I16" s="91"/>
      <c r="K16" s="55"/>
      <c r="L16" s="56"/>
      <c r="M16" s="56"/>
      <c r="N16" s="56"/>
      <c r="O16" s="56"/>
      <c r="P16" s="56"/>
      <c r="Q16" s="57"/>
    </row>
    <row r="17" spans="1:17" s="5" customFormat="1" ht="15.75" customHeight="1" x14ac:dyDescent="0.25">
      <c r="A17" s="105"/>
      <c r="B17" s="91" t="s">
        <v>220</v>
      </c>
      <c r="C17" s="91"/>
      <c r="D17" s="91"/>
      <c r="E17" s="91"/>
      <c r="F17" s="91"/>
      <c r="G17" s="91"/>
      <c r="H17" s="91"/>
      <c r="I17" s="91"/>
      <c r="K17" s="55"/>
      <c r="L17" s="56"/>
      <c r="M17" s="56"/>
      <c r="N17" s="56"/>
      <c r="O17" s="56"/>
      <c r="P17" s="56"/>
      <c r="Q17" s="57"/>
    </row>
    <row r="18" spans="1:17" s="5" customFormat="1" ht="15.75" customHeight="1" x14ac:dyDescent="0.25">
      <c r="A18" s="105"/>
      <c r="B18" s="91"/>
      <c r="C18" s="91"/>
      <c r="D18" s="91"/>
      <c r="E18" s="91"/>
      <c r="F18" s="91"/>
      <c r="G18" s="91"/>
      <c r="H18" s="91"/>
      <c r="I18" s="91"/>
      <c r="K18" s="55"/>
      <c r="L18" s="56"/>
      <c r="M18" s="56"/>
      <c r="N18" s="56"/>
      <c r="O18" s="56"/>
      <c r="P18" s="56"/>
      <c r="Q18" s="57"/>
    </row>
    <row r="19" spans="1:17" s="5" customFormat="1" ht="15.75" customHeight="1" x14ac:dyDescent="0.25">
      <c r="B19" s="15"/>
      <c r="C19" s="15"/>
      <c r="D19" s="15"/>
      <c r="E19" s="16"/>
      <c r="F19" s="15"/>
      <c r="G19" s="15"/>
      <c r="H19" s="15"/>
      <c r="I19" s="15"/>
      <c r="K19" s="58"/>
      <c r="L19" s="59"/>
      <c r="M19" s="59"/>
      <c r="N19" s="59"/>
      <c r="O19" s="59"/>
      <c r="P19" s="59"/>
      <c r="Q19" s="60"/>
    </row>
    <row r="20" spans="1:17" s="5" customFormat="1" ht="16.5" customHeight="1" x14ac:dyDescent="0.25">
      <c r="E20" s="19"/>
      <c r="K20" s="40"/>
      <c r="L20" s="40"/>
      <c r="M20" s="40"/>
      <c r="N20" s="40"/>
      <c r="O20" s="40"/>
      <c r="P20" s="40"/>
      <c r="Q20" s="40"/>
    </row>
    <row r="21" spans="1:17" s="5" customFormat="1" ht="15.75" customHeight="1" x14ac:dyDescent="0.25">
      <c r="E21" s="19"/>
      <c r="K21" s="40"/>
      <c r="L21" s="40"/>
      <c r="M21" s="40"/>
      <c r="N21" s="40"/>
      <c r="O21" s="40"/>
      <c r="P21" s="40"/>
      <c r="Q21" s="40"/>
    </row>
    <row r="22" spans="1:17" s="5" customFormat="1" ht="15.75" customHeight="1" x14ac:dyDescent="0.25">
      <c r="E22" s="19"/>
      <c r="K22" s="40"/>
      <c r="L22" s="40"/>
      <c r="M22" s="40"/>
      <c r="N22" s="40"/>
      <c r="O22" s="40"/>
      <c r="P22" s="40"/>
      <c r="Q22" s="40"/>
    </row>
    <row r="23" spans="1:17" s="5" customFormat="1" ht="15.75" customHeight="1" x14ac:dyDescent="0.25">
      <c r="E23" s="19"/>
      <c r="K23" s="40"/>
      <c r="L23" s="40"/>
      <c r="M23" s="40"/>
      <c r="N23" s="40"/>
      <c r="O23" s="40"/>
      <c r="P23" s="40"/>
      <c r="Q23" s="40"/>
    </row>
    <row r="24" spans="1:17" s="5" customFormat="1" x14ac:dyDescent="0.25">
      <c r="E24" s="19"/>
    </row>
    <row r="25" spans="1:17" s="5" customFormat="1" x14ac:dyDescent="0.25">
      <c r="E25" s="19"/>
    </row>
    <row r="26" spans="1:17" s="5" customFormat="1" x14ac:dyDescent="0.25">
      <c r="E26" s="19"/>
    </row>
    <row r="27" spans="1:17" s="5" customFormat="1" x14ac:dyDescent="0.25">
      <c r="E27" s="19"/>
    </row>
    <row r="28" spans="1:17" s="5" customFormat="1" x14ac:dyDescent="0.25">
      <c r="E28" s="19"/>
    </row>
    <row r="29" spans="1:17" s="5" customFormat="1" x14ac:dyDescent="0.25">
      <c r="E29" s="19"/>
    </row>
    <row r="30" spans="1:17" s="5" customFormat="1" x14ac:dyDescent="0.25">
      <c r="E30" s="19"/>
    </row>
    <row r="31" spans="1:17" s="5" customFormat="1" x14ac:dyDescent="0.25">
      <c r="E31" s="19"/>
    </row>
    <row r="32" spans="1:17" s="5" customFormat="1" x14ac:dyDescent="0.25">
      <c r="E32" s="19"/>
    </row>
    <row r="33" spans="5:5" s="5" customFormat="1" x14ac:dyDescent="0.25">
      <c r="E33" s="19"/>
    </row>
    <row r="34" spans="5:5" s="5" customFormat="1" x14ac:dyDescent="0.25">
      <c r="E34" s="19"/>
    </row>
    <row r="35" spans="5:5" s="5" customFormat="1" x14ac:dyDescent="0.25">
      <c r="E35" s="19"/>
    </row>
    <row r="36" spans="5:5" s="5" customFormat="1" x14ac:dyDescent="0.25">
      <c r="E36" s="19"/>
    </row>
    <row r="37" spans="5:5" s="5" customFormat="1" x14ac:dyDescent="0.25">
      <c r="E37" s="19"/>
    </row>
    <row r="38" spans="5:5" s="5" customFormat="1" x14ac:dyDescent="0.25">
      <c r="E38" s="19"/>
    </row>
    <row r="39" spans="5:5" s="5" customFormat="1" x14ac:dyDescent="0.25">
      <c r="E39" s="19"/>
    </row>
    <row r="40" spans="5:5" s="5" customFormat="1" x14ac:dyDescent="0.25">
      <c r="E40" s="19"/>
    </row>
    <row r="41" spans="5:5" s="5" customFormat="1" x14ac:dyDescent="0.25">
      <c r="E41" s="19"/>
    </row>
    <row r="42" spans="5:5" s="5" customFormat="1" x14ac:dyDescent="0.25">
      <c r="E42" s="19"/>
    </row>
    <row r="43" spans="5:5" s="5" customFormat="1" x14ac:dyDescent="0.25">
      <c r="E43" s="19"/>
    </row>
    <row r="44" spans="5:5" s="5" customFormat="1" x14ac:dyDescent="0.25">
      <c r="E44" s="19"/>
    </row>
    <row r="45" spans="5:5" s="5" customFormat="1" x14ac:dyDescent="0.25">
      <c r="E45" s="19"/>
    </row>
    <row r="46" spans="5:5" s="5" customFormat="1" x14ac:dyDescent="0.25">
      <c r="E46" s="19"/>
    </row>
    <row r="47" spans="5:5" s="5" customFormat="1" x14ac:dyDescent="0.25">
      <c r="E47" s="19"/>
    </row>
    <row r="48" spans="5:5" s="5" customFormat="1" x14ac:dyDescent="0.25">
      <c r="E48" s="19"/>
    </row>
    <row r="49" spans="5:5" s="5" customFormat="1" x14ac:dyDescent="0.25">
      <c r="E49" s="19"/>
    </row>
  </sheetData>
  <mergeCells count="6">
    <mergeCell ref="K8:Q19"/>
    <mergeCell ref="B1:I1"/>
    <mergeCell ref="B5:I5"/>
    <mergeCell ref="B8:E8"/>
    <mergeCell ref="F8:I15"/>
    <mergeCell ref="D9:E9"/>
  </mergeCells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C39"/>
  <sheetViews>
    <sheetView zoomScaleNormal="100" workbookViewId="0"/>
  </sheetViews>
  <sheetFormatPr defaultRowHeight="15.75" x14ac:dyDescent="0.25"/>
  <cols>
    <col min="1" max="1" width="2" style="5" customWidth="1"/>
    <col min="2" max="2" width="9" style="5"/>
    <col min="3" max="3" width="7.125" style="5" customWidth="1"/>
    <col min="4" max="10" width="9" style="5"/>
    <col min="11" max="11" width="7.875" style="5" customWidth="1"/>
    <col min="12" max="12" width="3.875" style="5" customWidth="1"/>
    <col min="13" max="13" width="2.375" style="5" customWidth="1"/>
    <col min="14" max="14" width="9" style="5" customWidth="1"/>
    <col min="15" max="21" width="9" style="5"/>
    <col min="22" max="22" width="5.625" style="5" customWidth="1"/>
    <col min="23" max="24" width="3.125" style="5" customWidth="1"/>
    <col min="25" max="25" width="5.375" style="5" customWidth="1"/>
    <col min="26" max="26" width="80.75" style="5" customWidth="1"/>
    <col min="27" max="27" width="92.125" style="5" customWidth="1"/>
    <col min="28" max="28" width="3" style="5" customWidth="1"/>
    <col min="29" max="16384" width="9" style="5"/>
  </cols>
  <sheetData>
    <row r="1" spans="1:29" ht="18.75" x14ac:dyDescent="0.3">
      <c r="A1" s="4" t="s">
        <v>205</v>
      </c>
    </row>
    <row r="2" spans="1:29" ht="18.75" x14ac:dyDescent="0.3">
      <c r="N2" s="6"/>
    </row>
    <row r="3" spans="1:29" ht="18.75" x14ac:dyDescent="0.3">
      <c r="B3" s="4" t="s">
        <v>101</v>
      </c>
      <c r="M3" s="4" t="s">
        <v>103</v>
      </c>
    </row>
    <row r="5" spans="1:29" x14ac:dyDescent="0.25">
      <c r="Z5" s="71" t="s">
        <v>206</v>
      </c>
    </row>
    <row r="6" spans="1:29" x14ac:dyDescent="0.25">
      <c r="Z6" s="51" t="s">
        <v>151</v>
      </c>
    </row>
    <row r="7" spans="1:29" x14ac:dyDescent="0.25">
      <c r="Z7" s="35" t="s">
        <v>207</v>
      </c>
      <c r="AA7" s="7"/>
    </row>
    <row r="8" spans="1:29" x14ac:dyDescent="0.25">
      <c r="Y8" s="36">
        <v>60</v>
      </c>
      <c r="Z8" s="5" t="s">
        <v>102</v>
      </c>
    </row>
    <row r="9" spans="1:29" x14ac:dyDescent="0.25">
      <c r="Z9" s="34" t="s">
        <v>208</v>
      </c>
    </row>
    <row r="11" spans="1:29" s="49" customFormat="1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48" t="s">
        <v>7</v>
      </c>
    </row>
    <row r="12" spans="1:29" x14ac:dyDescent="0.25">
      <c r="Y12" s="9">
        <v>21</v>
      </c>
      <c r="Z12" s="9" t="s">
        <v>13</v>
      </c>
    </row>
    <row r="13" spans="1:29" x14ac:dyDescent="0.25">
      <c r="Y13" s="9">
        <v>9</v>
      </c>
      <c r="Z13" s="9" t="s">
        <v>139</v>
      </c>
    </row>
    <row r="14" spans="1:29" x14ac:dyDescent="0.25">
      <c r="Y14" s="9">
        <v>23</v>
      </c>
      <c r="Z14" s="9" t="s">
        <v>21</v>
      </c>
    </row>
    <row r="15" spans="1:29" x14ac:dyDescent="0.25">
      <c r="Y15" s="9">
        <v>3</v>
      </c>
      <c r="Z15" s="9" t="s">
        <v>11</v>
      </c>
      <c r="AA15" s="23"/>
      <c r="AB15" s="23"/>
      <c r="AC15" s="23"/>
    </row>
    <row r="16" spans="1:29" x14ac:dyDescent="0.25">
      <c r="Y16" s="9">
        <v>2</v>
      </c>
      <c r="Z16" s="9" t="s">
        <v>6</v>
      </c>
    </row>
    <row r="17" spans="2:28" x14ac:dyDescent="0.25">
      <c r="Y17" s="9">
        <v>1</v>
      </c>
      <c r="Z17" s="9" t="s">
        <v>12</v>
      </c>
    </row>
    <row r="18" spans="2:28" x14ac:dyDescent="0.25">
      <c r="Y18" s="9">
        <v>1</v>
      </c>
      <c r="Z18" s="9" t="s">
        <v>22</v>
      </c>
      <c r="AA18" s="22"/>
      <c r="AB18" s="22"/>
    </row>
    <row r="19" spans="2:28" x14ac:dyDescent="0.25">
      <c r="Y19" s="8">
        <f>SUM(Y12:Y18)</f>
        <v>60</v>
      </c>
      <c r="Z19" s="8" t="s">
        <v>93</v>
      </c>
      <c r="AA19" s="22"/>
      <c r="AB19" s="22"/>
    </row>
    <row r="20" spans="2:28" x14ac:dyDescent="0.25">
      <c r="AA20" s="22"/>
      <c r="AB20" s="22"/>
    </row>
    <row r="21" spans="2:28" x14ac:dyDescent="0.25">
      <c r="Y21" s="48" t="s">
        <v>140</v>
      </c>
      <c r="Z21" s="49"/>
      <c r="AA21" s="22"/>
      <c r="AB21" s="22"/>
    </row>
    <row r="22" spans="2:28" x14ac:dyDescent="0.25">
      <c r="Y22" s="24">
        <v>23</v>
      </c>
      <c r="Z22" s="25" t="s">
        <v>94</v>
      </c>
      <c r="AA22" s="22"/>
      <c r="AB22" s="22"/>
    </row>
    <row r="23" spans="2:28" ht="18.75" customHeight="1" x14ac:dyDescent="0.25">
      <c r="Y23" s="26">
        <v>37</v>
      </c>
      <c r="Z23" s="37" t="s">
        <v>142</v>
      </c>
      <c r="AA23" s="22"/>
      <c r="AB23" s="22"/>
    </row>
    <row r="24" spans="2:28" x14ac:dyDescent="0.25">
      <c r="Y24" s="22"/>
      <c r="Z24" s="42" t="s">
        <v>141</v>
      </c>
      <c r="AA24" s="22"/>
      <c r="AB24" s="22"/>
    </row>
    <row r="25" spans="2:28" x14ac:dyDescent="0.25">
      <c r="Y25" s="22"/>
      <c r="Z25" s="22"/>
      <c r="AA25" s="22"/>
      <c r="AB25" s="22"/>
    </row>
    <row r="26" spans="2:28" x14ac:dyDescent="0.25">
      <c r="Y26" s="50" t="s">
        <v>143</v>
      </c>
      <c r="Z26" s="49"/>
    </row>
    <row r="27" spans="2:28" ht="30.75" customHeight="1" x14ac:dyDescent="0.25">
      <c r="Y27" s="22"/>
      <c r="Z27" s="22"/>
      <c r="AA27" s="22"/>
      <c r="AB27" s="22"/>
    </row>
    <row r="32" spans="2:28" x14ac:dyDescent="0.25">
      <c r="B32" s="63" t="s">
        <v>14</v>
      </c>
      <c r="C32" s="64"/>
      <c r="D32" s="68" t="s">
        <v>20</v>
      </c>
      <c r="E32" s="68"/>
      <c r="F32" s="68"/>
      <c r="G32" s="68"/>
      <c r="H32" s="68"/>
      <c r="I32" s="68"/>
      <c r="J32" s="68"/>
      <c r="K32" s="68"/>
    </row>
    <row r="33" spans="2:11" x14ac:dyDescent="0.25">
      <c r="B33" s="63" t="s">
        <v>15</v>
      </c>
      <c r="C33" s="64"/>
      <c r="D33" s="65" t="s">
        <v>19</v>
      </c>
      <c r="E33" s="66"/>
      <c r="F33" s="66"/>
      <c r="G33" s="66"/>
      <c r="H33" s="66"/>
      <c r="I33" s="66"/>
      <c r="J33" s="66"/>
      <c r="K33" s="67"/>
    </row>
    <row r="34" spans="2:11" x14ac:dyDescent="0.25">
      <c r="B34" s="20" t="s">
        <v>92</v>
      </c>
      <c r="C34" s="21"/>
      <c r="D34" s="65" t="s">
        <v>146</v>
      </c>
      <c r="E34" s="66"/>
      <c r="F34" s="66"/>
      <c r="G34" s="66"/>
      <c r="H34" s="66"/>
      <c r="I34" s="66"/>
      <c r="J34" s="66"/>
      <c r="K34" s="67"/>
    </row>
    <row r="35" spans="2:11" x14ac:dyDescent="0.25">
      <c r="B35" s="43" t="s">
        <v>145</v>
      </c>
      <c r="C35" s="44"/>
      <c r="D35" s="45" t="s">
        <v>147</v>
      </c>
      <c r="E35" s="46"/>
      <c r="F35" s="46"/>
      <c r="G35" s="46"/>
      <c r="H35" s="46"/>
      <c r="I35" s="46"/>
      <c r="J35" s="46"/>
      <c r="K35" s="47"/>
    </row>
    <row r="36" spans="2:11" x14ac:dyDescent="0.25">
      <c r="B36" s="63" t="s">
        <v>16</v>
      </c>
      <c r="C36" s="64"/>
      <c r="D36" s="69" t="s">
        <v>24</v>
      </c>
      <c r="E36" s="69"/>
      <c r="F36" s="69"/>
      <c r="G36" s="69"/>
      <c r="H36" s="69"/>
      <c r="I36" s="69"/>
      <c r="J36" s="69"/>
      <c r="K36" s="69"/>
    </row>
    <row r="37" spans="2:11" x14ac:dyDescent="0.25">
      <c r="B37" s="63" t="s">
        <v>17</v>
      </c>
      <c r="C37" s="64"/>
      <c r="D37" s="65" t="s">
        <v>18</v>
      </c>
      <c r="E37" s="66"/>
      <c r="F37" s="66"/>
      <c r="G37" s="66"/>
      <c r="H37" s="66"/>
      <c r="I37" s="66"/>
      <c r="J37" s="66"/>
      <c r="K37" s="67"/>
    </row>
    <row r="38" spans="2:11" x14ac:dyDescent="0.25">
      <c r="B38" s="63" t="s">
        <v>72</v>
      </c>
      <c r="C38" s="64"/>
      <c r="D38" s="65" t="s">
        <v>73</v>
      </c>
      <c r="E38" s="66"/>
      <c r="F38" s="66"/>
      <c r="G38" s="66"/>
      <c r="H38" s="66"/>
      <c r="I38" s="66"/>
      <c r="J38" s="66"/>
      <c r="K38" s="67"/>
    </row>
    <row r="39" spans="2:11" x14ac:dyDescent="0.25">
      <c r="B39" s="63" t="s">
        <v>99</v>
      </c>
      <c r="C39" s="64"/>
      <c r="D39" s="65" t="s">
        <v>100</v>
      </c>
      <c r="E39" s="66"/>
      <c r="F39" s="66"/>
      <c r="G39" s="66"/>
      <c r="H39" s="66"/>
      <c r="I39" s="66"/>
      <c r="J39" s="66"/>
      <c r="K39" s="67"/>
    </row>
  </sheetData>
  <mergeCells count="13">
    <mergeCell ref="D33:K33"/>
    <mergeCell ref="D37:K37"/>
    <mergeCell ref="D32:K32"/>
    <mergeCell ref="D36:K36"/>
    <mergeCell ref="B32:C32"/>
    <mergeCell ref="B33:C33"/>
    <mergeCell ref="B36:C36"/>
    <mergeCell ref="D34:K34"/>
    <mergeCell ref="B39:C39"/>
    <mergeCell ref="D39:K39"/>
    <mergeCell ref="B38:C38"/>
    <mergeCell ref="D38:K38"/>
    <mergeCell ref="B37:C37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workbookViewId="0"/>
  </sheetViews>
  <sheetFormatPr defaultRowHeight="15" x14ac:dyDescent="0.25"/>
  <cols>
    <col min="1" max="1" width="4" style="72" customWidth="1"/>
    <col min="2" max="2" width="9.625" style="72" bestFit="1" customWidth="1"/>
    <col min="3" max="3" width="47.625" style="73" customWidth="1"/>
    <col min="4" max="4" width="9" style="72"/>
    <col min="5" max="5" width="13.875" style="72" bestFit="1" customWidth="1"/>
    <col min="6" max="6" width="31.875" style="72" bestFit="1" customWidth="1"/>
    <col min="7" max="7" width="11.75" style="72" bestFit="1" customWidth="1"/>
    <col min="8" max="8" width="31.875" style="72" bestFit="1" customWidth="1"/>
    <col min="9" max="9" width="33.125" style="72" customWidth="1"/>
    <col min="10" max="10" width="18.625" style="72" bestFit="1" customWidth="1"/>
    <col min="11" max="11" width="17.125" style="72" bestFit="1" customWidth="1"/>
    <col min="12" max="16384" width="9" style="72"/>
  </cols>
  <sheetData>
    <row r="1" spans="1:11" s="27" customFormat="1" ht="18.75" x14ac:dyDescent="0.25">
      <c r="A1" s="39" t="s">
        <v>213</v>
      </c>
      <c r="C1" s="28"/>
    </row>
    <row r="2" spans="1:11" s="27" customFormat="1" x14ac:dyDescent="0.25">
      <c r="A2" s="38"/>
      <c r="B2" s="29"/>
      <c r="C2" s="28"/>
      <c r="H2" s="70" t="s">
        <v>25</v>
      </c>
      <c r="I2" s="70"/>
    </row>
    <row r="3" spans="1:11" s="33" customFormat="1" x14ac:dyDescent="0.25">
      <c r="A3" s="30"/>
      <c r="B3" s="31" t="s">
        <v>26</v>
      </c>
      <c r="C3" s="32" t="s">
        <v>27</v>
      </c>
      <c r="D3" s="31" t="s">
        <v>28</v>
      </c>
      <c r="E3" s="31" t="s">
        <v>29</v>
      </c>
      <c r="F3" s="31" t="s">
        <v>30</v>
      </c>
      <c r="G3" s="31" t="s">
        <v>31</v>
      </c>
      <c r="H3" s="31" t="s">
        <v>32</v>
      </c>
      <c r="I3" s="31" t="s">
        <v>33</v>
      </c>
      <c r="J3" s="31" t="s">
        <v>34</v>
      </c>
      <c r="K3" s="31" t="s">
        <v>74</v>
      </c>
    </row>
    <row r="4" spans="1:11" ht="45" x14ac:dyDescent="0.25">
      <c r="A4" s="74">
        <v>1</v>
      </c>
      <c r="B4" s="75" t="s">
        <v>209</v>
      </c>
      <c r="C4" s="76" t="s">
        <v>210</v>
      </c>
      <c r="D4" s="75" t="s">
        <v>37</v>
      </c>
      <c r="E4" s="77">
        <v>44282.46875</v>
      </c>
      <c r="F4" s="75" t="s">
        <v>38</v>
      </c>
      <c r="G4" s="75" t="s">
        <v>14</v>
      </c>
      <c r="H4" s="75"/>
      <c r="I4" s="75" t="s">
        <v>57</v>
      </c>
      <c r="J4" s="75"/>
      <c r="K4" s="75" t="s">
        <v>75</v>
      </c>
    </row>
    <row r="5" spans="1:11" ht="30" x14ac:dyDescent="0.25">
      <c r="A5" s="74">
        <v>2</v>
      </c>
      <c r="B5" s="75" t="s">
        <v>211</v>
      </c>
      <c r="C5" s="76" t="s">
        <v>212</v>
      </c>
      <c r="D5" s="75" t="s">
        <v>37</v>
      </c>
      <c r="E5" s="77">
        <v>44282.205555555556</v>
      </c>
      <c r="F5" s="75" t="s">
        <v>38</v>
      </c>
      <c r="G5" s="75" t="s">
        <v>14</v>
      </c>
      <c r="H5" s="75"/>
      <c r="I5" s="75" t="s">
        <v>57</v>
      </c>
      <c r="J5" s="75"/>
      <c r="K5" s="75" t="s">
        <v>75</v>
      </c>
    </row>
    <row r="6" spans="1:11" ht="30" x14ac:dyDescent="0.25">
      <c r="A6" s="74">
        <v>3</v>
      </c>
      <c r="B6" s="75" t="s">
        <v>193</v>
      </c>
      <c r="C6" s="76" t="s">
        <v>194</v>
      </c>
      <c r="D6" s="75" t="s">
        <v>37</v>
      </c>
      <c r="E6" s="77">
        <v>44280.244444444441</v>
      </c>
      <c r="F6" s="75" t="s">
        <v>39</v>
      </c>
      <c r="G6" s="75" t="s">
        <v>14</v>
      </c>
      <c r="H6" s="75"/>
      <c r="I6" s="75" t="s">
        <v>57</v>
      </c>
      <c r="J6" s="75"/>
      <c r="K6" s="75" t="s">
        <v>81</v>
      </c>
    </row>
    <row r="7" spans="1:11" ht="30" x14ac:dyDescent="0.25">
      <c r="A7" s="74">
        <v>4</v>
      </c>
      <c r="B7" s="75" t="s">
        <v>195</v>
      </c>
      <c r="C7" s="76" t="s">
        <v>196</v>
      </c>
      <c r="D7" s="75" t="s">
        <v>37</v>
      </c>
      <c r="E7" s="77">
        <v>44280.162499999999</v>
      </c>
      <c r="F7" s="75" t="s">
        <v>184</v>
      </c>
      <c r="G7" s="75" t="s">
        <v>14</v>
      </c>
      <c r="H7" s="75" t="s">
        <v>144</v>
      </c>
      <c r="I7" s="75"/>
      <c r="J7" s="75"/>
      <c r="K7" s="75" t="s">
        <v>138</v>
      </c>
    </row>
    <row r="8" spans="1:11" ht="30" x14ac:dyDescent="0.25">
      <c r="A8" s="74">
        <v>5</v>
      </c>
      <c r="B8" s="75" t="s">
        <v>197</v>
      </c>
      <c r="C8" s="76" t="s">
        <v>198</v>
      </c>
      <c r="D8" s="75" t="s">
        <v>37</v>
      </c>
      <c r="E8" s="77">
        <v>44280.145833333336</v>
      </c>
      <c r="F8" s="75" t="s">
        <v>39</v>
      </c>
      <c r="G8" s="75" t="s">
        <v>14</v>
      </c>
      <c r="H8" s="75" t="s">
        <v>144</v>
      </c>
      <c r="I8" s="75"/>
      <c r="J8" s="75"/>
      <c r="K8" s="75" t="s">
        <v>138</v>
      </c>
    </row>
    <row r="9" spans="1:11" ht="45" x14ac:dyDescent="0.25">
      <c r="A9" s="74">
        <v>6</v>
      </c>
      <c r="B9" s="75" t="s">
        <v>199</v>
      </c>
      <c r="C9" s="76" t="s">
        <v>200</v>
      </c>
      <c r="D9" s="75" t="s">
        <v>37</v>
      </c>
      <c r="E9" s="77">
        <v>44280.134722222225</v>
      </c>
      <c r="F9" s="75" t="s">
        <v>38</v>
      </c>
      <c r="G9" s="75" t="s">
        <v>14</v>
      </c>
      <c r="H9" s="75"/>
      <c r="I9" s="75" t="s">
        <v>57</v>
      </c>
      <c r="J9" s="75"/>
      <c r="K9" s="75" t="s">
        <v>77</v>
      </c>
    </row>
    <row r="10" spans="1:11" ht="30" x14ac:dyDescent="0.25">
      <c r="A10" s="74">
        <v>7</v>
      </c>
      <c r="B10" s="75" t="s">
        <v>191</v>
      </c>
      <c r="C10" s="76" t="s">
        <v>192</v>
      </c>
      <c r="D10" s="75" t="s">
        <v>37</v>
      </c>
      <c r="E10" s="77">
        <v>44278.418749999997</v>
      </c>
      <c r="F10" s="75" t="s">
        <v>39</v>
      </c>
      <c r="G10" s="75" t="s">
        <v>14</v>
      </c>
      <c r="H10" s="75"/>
      <c r="I10" s="75" t="s">
        <v>201</v>
      </c>
      <c r="J10" s="75"/>
      <c r="K10" s="75" t="s">
        <v>81</v>
      </c>
    </row>
    <row r="11" spans="1:11" ht="30" x14ac:dyDescent="0.25">
      <c r="A11" s="74">
        <v>8</v>
      </c>
      <c r="B11" s="75" t="s">
        <v>182</v>
      </c>
      <c r="C11" s="76" t="s">
        <v>183</v>
      </c>
      <c r="D11" s="75" t="s">
        <v>37</v>
      </c>
      <c r="E11" s="77">
        <v>44278.368750000001</v>
      </c>
      <c r="F11" s="75" t="s">
        <v>184</v>
      </c>
      <c r="G11" s="75" t="s">
        <v>14</v>
      </c>
      <c r="H11" s="75"/>
      <c r="I11" s="75" t="s">
        <v>95</v>
      </c>
      <c r="J11" s="75"/>
      <c r="K11" s="75" t="s">
        <v>81</v>
      </c>
    </row>
    <row r="12" spans="1:11" ht="30" x14ac:dyDescent="0.25">
      <c r="A12" s="74">
        <v>9</v>
      </c>
      <c r="B12" s="75" t="s">
        <v>185</v>
      </c>
      <c r="C12" s="76" t="s">
        <v>186</v>
      </c>
      <c r="D12" s="75" t="s">
        <v>37</v>
      </c>
      <c r="E12" s="77">
        <v>44278.288888888892</v>
      </c>
      <c r="F12" s="75" t="s">
        <v>39</v>
      </c>
      <c r="G12" s="75" t="s">
        <v>14</v>
      </c>
      <c r="H12" s="75" t="s">
        <v>39</v>
      </c>
      <c r="I12" s="75"/>
      <c r="J12" s="75"/>
      <c r="K12" s="75" t="s">
        <v>75</v>
      </c>
    </row>
    <row r="13" spans="1:11" ht="30" x14ac:dyDescent="0.25">
      <c r="A13" s="74">
        <v>10</v>
      </c>
      <c r="B13" s="75" t="s">
        <v>187</v>
      </c>
      <c r="C13" s="76" t="s">
        <v>188</v>
      </c>
      <c r="D13" s="75" t="s">
        <v>37</v>
      </c>
      <c r="E13" s="77">
        <v>44278.231249999997</v>
      </c>
      <c r="F13" s="75" t="s">
        <v>39</v>
      </c>
      <c r="G13" s="75" t="s">
        <v>14</v>
      </c>
      <c r="H13" s="75"/>
      <c r="I13" s="75" t="s">
        <v>95</v>
      </c>
      <c r="J13" s="75"/>
      <c r="K13" s="75" t="s">
        <v>81</v>
      </c>
    </row>
    <row r="14" spans="1:11" ht="30" x14ac:dyDescent="0.25">
      <c r="A14" s="74">
        <v>11</v>
      </c>
      <c r="B14" s="75" t="s">
        <v>189</v>
      </c>
      <c r="C14" s="76" t="s">
        <v>190</v>
      </c>
      <c r="D14" s="75" t="s">
        <v>37</v>
      </c>
      <c r="E14" s="77">
        <v>44278.191666666666</v>
      </c>
      <c r="F14" s="75" t="s">
        <v>38</v>
      </c>
      <c r="G14" s="75" t="s">
        <v>14</v>
      </c>
      <c r="H14" s="75"/>
      <c r="I14" s="75" t="s">
        <v>181</v>
      </c>
      <c r="J14" s="75"/>
      <c r="K14" s="75" t="s">
        <v>75</v>
      </c>
    </row>
    <row r="15" spans="1:11" ht="30" x14ac:dyDescent="0.25">
      <c r="A15" s="74">
        <v>12</v>
      </c>
      <c r="B15" s="75" t="s">
        <v>179</v>
      </c>
      <c r="C15" s="76" t="s">
        <v>180</v>
      </c>
      <c r="D15" s="75" t="s">
        <v>37</v>
      </c>
      <c r="E15" s="77">
        <v>44275.30972222222</v>
      </c>
      <c r="F15" s="75" t="s">
        <v>39</v>
      </c>
      <c r="G15" s="75" t="s">
        <v>14</v>
      </c>
      <c r="H15" s="75"/>
      <c r="I15" s="75" t="s">
        <v>95</v>
      </c>
      <c r="J15" s="75"/>
      <c r="K15" s="75" t="s">
        <v>81</v>
      </c>
    </row>
    <row r="16" spans="1:11" x14ac:dyDescent="0.25">
      <c r="A16" s="74">
        <v>13</v>
      </c>
      <c r="B16" s="75" t="s">
        <v>152</v>
      </c>
      <c r="C16" s="76" t="s">
        <v>153</v>
      </c>
      <c r="D16" s="75" t="s">
        <v>37</v>
      </c>
      <c r="E16" s="77">
        <v>44274.363194444442</v>
      </c>
      <c r="F16" s="75" t="s">
        <v>154</v>
      </c>
      <c r="G16" s="75" t="s">
        <v>14</v>
      </c>
      <c r="H16" s="75" t="s">
        <v>154</v>
      </c>
      <c r="I16" s="75"/>
      <c r="J16" s="75"/>
      <c r="K16" s="75" t="s">
        <v>81</v>
      </c>
    </row>
    <row r="17" spans="1:11" ht="30" x14ac:dyDescent="0.25">
      <c r="A17" s="74">
        <v>14</v>
      </c>
      <c r="B17" s="75" t="s">
        <v>155</v>
      </c>
      <c r="C17" s="76" t="s">
        <v>156</v>
      </c>
      <c r="D17" s="75" t="s">
        <v>37</v>
      </c>
      <c r="E17" s="77">
        <v>44274.355555555558</v>
      </c>
      <c r="F17" s="75" t="s">
        <v>154</v>
      </c>
      <c r="G17" s="75" t="s">
        <v>14</v>
      </c>
      <c r="H17" s="75"/>
      <c r="I17" s="75" t="s">
        <v>95</v>
      </c>
      <c r="J17" s="75"/>
      <c r="K17" s="75" t="s">
        <v>81</v>
      </c>
    </row>
    <row r="18" spans="1:11" x14ac:dyDescent="0.25">
      <c r="A18" s="74">
        <v>15</v>
      </c>
      <c r="B18" s="75" t="s">
        <v>158</v>
      </c>
      <c r="C18" s="76" t="s">
        <v>159</v>
      </c>
      <c r="D18" s="75" t="s">
        <v>37</v>
      </c>
      <c r="E18" s="77">
        <v>44274.253472222219</v>
      </c>
      <c r="F18" s="75" t="s">
        <v>160</v>
      </c>
      <c r="G18" s="75" t="s">
        <v>14</v>
      </c>
      <c r="H18" s="75" t="s">
        <v>160</v>
      </c>
      <c r="I18" s="75"/>
      <c r="J18" s="75"/>
      <c r="K18" s="75" t="s">
        <v>81</v>
      </c>
    </row>
    <row r="19" spans="1:11" x14ac:dyDescent="0.25">
      <c r="A19" s="74">
        <v>16</v>
      </c>
      <c r="B19" s="75" t="s">
        <v>161</v>
      </c>
      <c r="C19" s="76" t="s">
        <v>162</v>
      </c>
      <c r="D19" s="75" t="s">
        <v>37</v>
      </c>
      <c r="E19" s="77">
        <v>44274.228472222225</v>
      </c>
      <c r="F19" s="75" t="s">
        <v>160</v>
      </c>
      <c r="G19" s="75" t="s">
        <v>14</v>
      </c>
      <c r="H19" s="75" t="s">
        <v>160</v>
      </c>
      <c r="I19" s="75"/>
      <c r="J19" s="75"/>
      <c r="K19" s="75" t="s">
        <v>81</v>
      </c>
    </row>
    <row r="20" spans="1:11" x14ac:dyDescent="0.25">
      <c r="A20" s="74">
        <v>17</v>
      </c>
      <c r="B20" s="75" t="s">
        <v>163</v>
      </c>
      <c r="C20" s="76" t="s">
        <v>164</v>
      </c>
      <c r="D20" s="75" t="s">
        <v>37</v>
      </c>
      <c r="E20" s="77">
        <v>44274.214583333334</v>
      </c>
      <c r="F20" s="75" t="s">
        <v>165</v>
      </c>
      <c r="G20" s="75" t="s">
        <v>14</v>
      </c>
      <c r="H20" s="75"/>
      <c r="I20" s="75" t="s">
        <v>52</v>
      </c>
      <c r="J20" s="75"/>
      <c r="K20" s="75" t="s">
        <v>81</v>
      </c>
    </row>
    <row r="21" spans="1:11" x14ac:dyDescent="0.25">
      <c r="A21" s="74">
        <v>18</v>
      </c>
      <c r="B21" s="75" t="s">
        <v>166</v>
      </c>
      <c r="C21" s="76" t="s">
        <v>167</v>
      </c>
      <c r="D21" s="75" t="s">
        <v>37</v>
      </c>
      <c r="E21" s="77">
        <v>44274.213194444441</v>
      </c>
      <c r="F21" s="75" t="s">
        <v>165</v>
      </c>
      <c r="G21" s="75" t="s">
        <v>14</v>
      </c>
      <c r="H21" s="75" t="s">
        <v>165</v>
      </c>
      <c r="I21" s="75"/>
      <c r="J21" s="75"/>
      <c r="K21" s="75" t="s">
        <v>81</v>
      </c>
    </row>
    <row r="22" spans="1:11" x14ac:dyDescent="0.25">
      <c r="A22" s="74">
        <v>19</v>
      </c>
      <c r="B22" s="75" t="s">
        <v>168</v>
      </c>
      <c r="C22" s="76" t="s">
        <v>169</v>
      </c>
      <c r="D22" s="75" t="s">
        <v>37</v>
      </c>
      <c r="E22" s="77">
        <v>44274.211111111108</v>
      </c>
      <c r="F22" s="75" t="s">
        <v>165</v>
      </c>
      <c r="G22" s="75" t="s">
        <v>14</v>
      </c>
      <c r="H22" s="75" t="s">
        <v>165</v>
      </c>
      <c r="I22" s="75"/>
      <c r="J22" s="75"/>
      <c r="K22" s="75" t="s">
        <v>81</v>
      </c>
    </row>
    <row r="23" spans="1:11" ht="30" x14ac:dyDescent="0.25">
      <c r="A23" s="74">
        <v>20</v>
      </c>
      <c r="B23" s="75" t="s">
        <v>170</v>
      </c>
      <c r="C23" s="76" t="s">
        <v>171</v>
      </c>
      <c r="D23" s="75" t="s">
        <v>37</v>
      </c>
      <c r="E23" s="77">
        <v>44274.190972222219</v>
      </c>
      <c r="F23" s="75" t="s">
        <v>160</v>
      </c>
      <c r="G23" s="75" t="s">
        <v>14</v>
      </c>
      <c r="H23" s="75" t="s">
        <v>160</v>
      </c>
      <c r="I23" s="75"/>
      <c r="J23" s="75"/>
      <c r="K23" s="75" t="s">
        <v>81</v>
      </c>
    </row>
    <row r="24" spans="1:11" ht="30" x14ac:dyDescent="0.25">
      <c r="A24" s="74">
        <v>21</v>
      </c>
      <c r="B24" s="75" t="s">
        <v>172</v>
      </c>
      <c r="C24" s="76" t="s">
        <v>173</v>
      </c>
      <c r="D24" s="75" t="s">
        <v>37</v>
      </c>
      <c r="E24" s="77">
        <v>44274.177083333336</v>
      </c>
      <c r="F24" s="75" t="s">
        <v>160</v>
      </c>
      <c r="G24" s="75" t="s">
        <v>14</v>
      </c>
      <c r="H24" s="75" t="s">
        <v>160</v>
      </c>
      <c r="I24" s="75"/>
      <c r="J24" s="75"/>
      <c r="K24" s="75" t="s">
        <v>81</v>
      </c>
    </row>
    <row r="25" spans="1:11" x14ac:dyDescent="0.25">
      <c r="A25" s="74">
        <v>22</v>
      </c>
      <c r="B25" s="75" t="s">
        <v>174</v>
      </c>
      <c r="C25" s="76" t="s">
        <v>175</v>
      </c>
      <c r="D25" s="75" t="s">
        <v>37</v>
      </c>
      <c r="E25" s="77">
        <v>44274.125</v>
      </c>
      <c r="F25" s="75" t="s">
        <v>98</v>
      </c>
      <c r="G25" s="75" t="s">
        <v>14</v>
      </c>
      <c r="H25" s="75" t="s">
        <v>98</v>
      </c>
      <c r="I25" s="75"/>
      <c r="J25" s="75"/>
      <c r="K25" s="75" t="s">
        <v>81</v>
      </c>
    </row>
    <row r="26" spans="1:11" ht="30" x14ac:dyDescent="0.25">
      <c r="A26" s="74">
        <v>23</v>
      </c>
      <c r="B26" s="75" t="s">
        <v>148</v>
      </c>
      <c r="C26" s="76" t="s">
        <v>176</v>
      </c>
      <c r="D26" s="75" t="s">
        <v>37</v>
      </c>
      <c r="E26" s="77">
        <v>44267.116666666669</v>
      </c>
      <c r="F26" s="75" t="s">
        <v>39</v>
      </c>
      <c r="G26" s="75" t="s">
        <v>14</v>
      </c>
      <c r="H26" s="75"/>
      <c r="I26" s="75" t="s">
        <v>157</v>
      </c>
      <c r="J26" s="75" t="s">
        <v>125</v>
      </c>
      <c r="K26" s="75" t="s">
        <v>81</v>
      </c>
    </row>
    <row r="27" spans="1:11" ht="30" x14ac:dyDescent="0.25">
      <c r="A27" s="74">
        <v>24</v>
      </c>
      <c r="B27" s="75" t="s">
        <v>132</v>
      </c>
      <c r="C27" s="76" t="s">
        <v>133</v>
      </c>
      <c r="D27" s="75" t="s">
        <v>37</v>
      </c>
      <c r="E27" s="77">
        <v>44265.433333333334</v>
      </c>
      <c r="F27" s="75" t="s">
        <v>39</v>
      </c>
      <c r="G27" s="75" t="s">
        <v>14</v>
      </c>
      <c r="H27" s="75" t="s">
        <v>52</v>
      </c>
      <c r="I27" s="75"/>
      <c r="J27" s="75"/>
      <c r="K27" s="75" t="s">
        <v>81</v>
      </c>
    </row>
    <row r="28" spans="1:11" ht="30" x14ac:dyDescent="0.25">
      <c r="A28" s="74">
        <v>25</v>
      </c>
      <c r="B28" s="75" t="s">
        <v>134</v>
      </c>
      <c r="C28" s="76" t="s">
        <v>135</v>
      </c>
      <c r="D28" s="75" t="s">
        <v>37</v>
      </c>
      <c r="E28" s="77">
        <v>44265.386111111111</v>
      </c>
      <c r="F28" s="75" t="s">
        <v>38</v>
      </c>
      <c r="G28" s="75" t="s">
        <v>15</v>
      </c>
      <c r="H28" s="75" t="s">
        <v>38</v>
      </c>
      <c r="I28" s="75"/>
      <c r="J28" s="75" t="s">
        <v>125</v>
      </c>
      <c r="K28" s="75" t="s">
        <v>81</v>
      </c>
    </row>
    <row r="29" spans="1:11" ht="30" x14ac:dyDescent="0.25">
      <c r="A29" s="74">
        <v>26</v>
      </c>
      <c r="B29" s="75" t="s">
        <v>136</v>
      </c>
      <c r="C29" s="76" t="s">
        <v>137</v>
      </c>
      <c r="D29" s="75" t="s">
        <v>37</v>
      </c>
      <c r="E29" s="77">
        <v>44265.282638888886</v>
      </c>
      <c r="F29" s="75" t="s">
        <v>39</v>
      </c>
      <c r="G29" s="75" t="s">
        <v>14</v>
      </c>
      <c r="H29" s="75" t="s">
        <v>39</v>
      </c>
      <c r="I29" s="75"/>
      <c r="J29" s="75"/>
      <c r="K29" s="75" t="s">
        <v>81</v>
      </c>
    </row>
    <row r="30" spans="1:11" ht="45" x14ac:dyDescent="0.25">
      <c r="A30" s="74">
        <v>27</v>
      </c>
      <c r="B30" s="75" t="s">
        <v>129</v>
      </c>
      <c r="C30" s="76" t="s">
        <v>130</v>
      </c>
      <c r="D30" s="75" t="s">
        <v>37</v>
      </c>
      <c r="E30" s="77">
        <v>44264.251388888886</v>
      </c>
      <c r="F30" s="75" t="s">
        <v>38</v>
      </c>
      <c r="G30" s="75" t="s">
        <v>14</v>
      </c>
      <c r="H30" s="75" t="s">
        <v>38</v>
      </c>
      <c r="I30" s="75"/>
      <c r="J30" s="75"/>
      <c r="K30" s="75" t="s">
        <v>75</v>
      </c>
    </row>
    <row r="31" spans="1:11" ht="30" x14ac:dyDescent="0.25">
      <c r="A31" s="74">
        <v>28</v>
      </c>
      <c r="B31" s="75" t="s">
        <v>126</v>
      </c>
      <c r="C31" s="76" t="s">
        <v>127</v>
      </c>
      <c r="D31" s="75" t="s">
        <v>37</v>
      </c>
      <c r="E31" s="77">
        <v>44260.664583333331</v>
      </c>
      <c r="F31" s="75" t="s">
        <v>39</v>
      </c>
      <c r="G31" s="75" t="s">
        <v>128</v>
      </c>
      <c r="H31" s="75" t="s">
        <v>39</v>
      </c>
      <c r="I31" s="75"/>
      <c r="J31" s="75"/>
      <c r="K31" s="75" t="s">
        <v>75</v>
      </c>
    </row>
    <row r="32" spans="1:11" ht="30" x14ac:dyDescent="0.25">
      <c r="A32" s="74">
        <v>29</v>
      </c>
      <c r="B32" s="75" t="s">
        <v>115</v>
      </c>
      <c r="C32" s="76" t="s">
        <v>116</v>
      </c>
      <c r="D32" s="75" t="s">
        <v>37</v>
      </c>
      <c r="E32" s="77">
        <v>44260.474305555559</v>
      </c>
      <c r="F32" s="75" t="s">
        <v>38</v>
      </c>
      <c r="G32" s="75" t="s">
        <v>14</v>
      </c>
      <c r="H32" s="75" t="s">
        <v>38</v>
      </c>
      <c r="I32" s="75"/>
      <c r="J32" s="75"/>
      <c r="K32" s="75" t="s">
        <v>75</v>
      </c>
    </row>
    <row r="33" spans="1:11" ht="45" x14ac:dyDescent="0.25">
      <c r="A33" s="74">
        <v>30</v>
      </c>
      <c r="B33" s="75" t="s">
        <v>117</v>
      </c>
      <c r="C33" s="76" t="s">
        <v>118</v>
      </c>
      <c r="D33" s="75" t="s">
        <v>37</v>
      </c>
      <c r="E33" s="77">
        <v>44260.433333333334</v>
      </c>
      <c r="F33" s="75" t="s">
        <v>38</v>
      </c>
      <c r="G33" s="75" t="s">
        <v>14</v>
      </c>
      <c r="H33" s="75" t="s">
        <v>38</v>
      </c>
      <c r="I33" s="75"/>
      <c r="J33" s="75"/>
      <c r="K33" s="75" t="s">
        <v>75</v>
      </c>
    </row>
    <row r="34" spans="1:11" ht="30" x14ac:dyDescent="0.25">
      <c r="A34" s="74">
        <v>31</v>
      </c>
      <c r="B34" s="75" t="s">
        <v>119</v>
      </c>
      <c r="C34" s="76" t="s">
        <v>120</v>
      </c>
      <c r="D34" s="75" t="s">
        <v>37</v>
      </c>
      <c r="E34" s="77">
        <v>44260.302777777775</v>
      </c>
      <c r="F34" s="75" t="s">
        <v>39</v>
      </c>
      <c r="G34" s="75" t="s">
        <v>16</v>
      </c>
      <c r="H34" s="75" t="s">
        <v>39</v>
      </c>
      <c r="I34" s="75"/>
      <c r="J34" s="75"/>
      <c r="K34" s="75" t="s">
        <v>75</v>
      </c>
    </row>
    <row r="35" spans="1:11" ht="30" x14ac:dyDescent="0.25">
      <c r="A35" s="74">
        <v>32</v>
      </c>
      <c r="B35" s="75" t="s">
        <v>121</v>
      </c>
      <c r="C35" s="76" t="s">
        <v>122</v>
      </c>
      <c r="D35" s="75" t="s">
        <v>37</v>
      </c>
      <c r="E35" s="77">
        <v>44260.179166666669</v>
      </c>
      <c r="F35" s="75" t="s">
        <v>38</v>
      </c>
      <c r="G35" s="75" t="s">
        <v>14</v>
      </c>
      <c r="H35" s="75" t="s">
        <v>38</v>
      </c>
      <c r="I35" s="75"/>
      <c r="J35" s="75"/>
      <c r="K35" s="75" t="s">
        <v>75</v>
      </c>
    </row>
    <row r="36" spans="1:11" ht="30" x14ac:dyDescent="0.25">
      <c r="A36" s="74">
        <v>33</v>
      </c>
      <c r="B36" s="75" t="s">
        <v>123</v>
      </c>
      <c r="C36" s="76" t="s">
        <v>124</v>
      </c>
      <c r="D36" s="75" t="s">
        <v>37</v>
      </c>
      <c r="E36" s="77">
        <v>44260.148611111108</v>
      </c>
      <c r="F36" s="75" t="s">
        <v>39</v>
      </c>
      <c r="G36" s="75" t="s">
        <v>14</v>
      </c>
      <c r="H36" s="75"/>
      <c r="I36" s="75" t="s">
        <v>95</v>
      </c>
      <c r="J36" s="75" t="s">
        <v>125</v>
      </c>
      <c r="K36" s="75" t="s">
        <v>81</v>
      </c>
    </row>
    <row r="37" spans="1:11" ht="30" x14ac:dyDescent="0.25">
      <c r="A37" s="74">
        <v>34</v>
      </c>
      <c r="B37" s="75" t="s">
        <v>111</v>
      </c>
      <c r="C37" s="76" t="s">
        <v>112</v>
      </c>
      <c r="D37" s="75" t="s">
        <v>37</v>
      </c>
      <c r="E37" s="77">
        <v>44252.148611111108</v>
      </c>
      <c r="F37" s="75" t="s">
        <v>38</v>
      </c>
      <c r="G37" s="75" t="s">
        <v>14</v>
      </c>
      <c r="H37" s="75" t="s">
        <v>39</v>
      </c>
      <c r="I37" s="75"/>
      <c r="J37" s="75" t="s">
        <v>125</v>
      </c>
      <c r="K37" s="75" t="s">
        <v>75</v>
      </c>
    </row>
    <row r="38" spans="1:11" ht="45" x14ac:dyDescent="0.25">
      <c r="A38" s="74">
        <v>35</v>
      </c>
      <c r="B38" s="75" t="s">
        <v>104</v>
      </c>
      <c r="C38" s="76" t="s">
        <v>177</v>
      </c>
      <c r="D38" s="75" t="s">
        <v>37</v>
      </c>
      <c r="E38" s="77">
        <v>44251.509027777778</v>
      </c>
      <c r="F38" s="75" t="s">
        <v>39</v>
      </c>
      <c r="G38" s="75" t="s">
        <v>14</v>
      </c>
      <c r="H38" s="75"/>
      <c r="I38" s="75" t="s">
        <v>181</v>
      </c>
      <c r="J38" s="75" t="s">
        <v>125</v>
      </c>
      <c r="K38" s="75" t="s">
        <v>75</v>
      </c>
    </row>
    <row r="39" spans="1:11" ht="30" x14ac:dyDescent="0.25">
      <c r="A39" s="74">
        <v>36</v>
      </c>
      <c r="B39" s="75" t="s">
        <v>105</v>
      </c>
      <c r="C39" s="76" t="s">
        <v>106</v>
      </c>
      <c r="D39" s="75" t="s">
        <v>37</v>
      </c>
      <c r="E39" s="77">
        <v>44251.310416666667</v>
      </c>
      <c r="F39" s="75" t="s">
        <v>38</v>
      </c>
      <c r="G39" s="75" t="s">
        <v>14</v>
      </c>
      <c r="H39" s="75" t="s">
        <v>38</v>
      </c>
      <c r="I39" s="75"/>
      <c r="J39" s="75"/>
      <c r="K39" s="75" t="s">
        <v>138</v>
      </c>
    </row>
    <row r="40" spans="1:11" ht="45" x14ac:dyDescent="0.25">
      <c r="A40" s="74">
        <v>37</v>
      </c>
      <c r="B40" s="75" t="s">
        <v>107</v>
      </c>
      <c r="C40" s="76" t="s">
        <v>108</v>
      </c>
      <c r="D40" s="75" t="s">
        <v>37</v>
      </c>
      <c r="E40" s="77">
        <v>44251.28125</v>
      </c>
      <c r="F40" s="75" t="s">
        <v>38</v>
      </c>
      <c r="G40" s="75" t="s">
        <v>78</v>
      </c>
      <c r="H40" s="75" t="s">
        <v>144</v>
      </c>
      <c r="I40" s="75"/>
      <c r="J40" s="75"/>
      <c r="K40" s="75" t="s">
        <v>138</v>
      </c>
    </row>
    <row r="41" spans="1:11" ht="45" x14ac:dyDescent="0.25">
      <c r="A41" s="74">
        <v>38</v>
      </c>
      <c r="B41" s="75" t="s">
        <v>109</v>
      </c>
      <c r="C41" s="76" t="s">
        <v>110</v>
      </c>
      <c r="D41" s="75" t="s">
        <v>37</v>
      </c>
      <c r="E41" s="77">
        <v>44251.146527777775</v>
      </c>
      <c r="F41" s="75" t="s">
        <v>38</v>
      </c>
      <c r="G41" s="75" t="s">
        <v>78</v>
      </c>
      <c r="H41" s="75" t="s">
        <v>38</v>
      </c>
      <c r="I41" s="75"/>
      <c r="J41" s="75"/>
      <c r="K41" s="75" t="s">
        <v>75</v>
      </c>
    </row>
    <row r="42" spans="1:11" ht="30" x14ac:dyDescent="0.25">
      <c r="A42" s="74">
        <v>39</v>
      </c>
      <c r="B42" s="75" t="s">
        <v>96</v>
      </c>
      <c r="C42" s="76" t="s">
        <v>97</v>
      </c>
      <c r="D42" s="75" t="s">
        <v>37</v>
      </c>
      <c r="E42" s="77">
        <v>44250.474305555559</v>
      </c>
      <c r="F42" s="75" t="s">
        <v>38</v>
      </c>
      <c r="G42" s="75" t="s">
        <v>14</v>
      </c>
      <c r="H42" s="75" t="s">
        <v>98</v>
      </c>
      <c r="I42" s="75"/>
      <c r="J42" s="75"/>
      <c r="K42" s="75" t="s">
        <v>202</v>
      </c>
    </row>
    <row r="43" spans="1:11" ht="45" x14ac:dyDescent="0.25">
      <c r="A43" s="74">
        <v>40</v>
      </c>
      <c r="B43" s="75" t="s">
        <v>88</v>
      </c>
      <c r="C43" s="76" t="s">
        <v>89</v>
      </c>
      <c r="D43" s="75" t="s">
        <v>37</v>
      </c>
      <c r="E43" s="77">
        <v>44246.529166666667</v>
      </c>
      <c r="F43" s="75" t="s">
        <v>38</v>
      </c>
      <c r="G43" s="75" t="s">
        <v>14</v>
      </c>
      <c r="H43" s="75" t="s">
        <v>38</v>
      </c>
      <c r="I43" s="75"/>
      <c r="J43" s="75"/>
      <c r="K43" s="75" t="s">
        <v>75</v>
      </c>
    </row>
    <row r="44" spans="1:11" ht="30" x14ac:dyDescent="0.25">
      <c r="A44" s="74">
        <v>41</v>
      </c>
      <c r="B44" s="75" t="s">
        <v>86</v>
      </c>
      <c r="C44" s="76" t="s">
        <v>87</v>
      </c>
      <c r="D44" s="75" t="s">
        <v>37</v>
      </c>
      <c r="E44" s="77">
        <v>44246.507638888892</v>
      </c>
      <c r="F44" s="75" t="s">
        <v>38</v>
      </c>
      <c r="G44" s="75" t="s">
        <v>78</v>
      </c>
      <c r="H44" s="75"/>
      <c r="I44" s="75" t="s">
        <v>57</v>
      </c>
      <c r="J44" s="75"/>
      <c r="K44" s="75" t="s">
        <v>75</v>
      </c>
    </row>
    <row r="45" spans="1:11" ht="30" x14ac:dyDescent="0.25">
      <c r="A45" s="74">
        <v>42</v>
      </c>
      <c r="B45" s="75" t="s">
        <v>85</v>
      </c>
      <c r="C45" s="76" t="s">
        <v>131</v>
      </c>
      <c r="D45" s="75" t="s">
        <v>37</v>
      </c>
      <c r="E45" s="77">
        <v>44246.321527777778</v>
      </c>
      <c r="F45" s="75" t="s">
        <v>39</v>
      </c>
      <c r="G45" s="75" t="s">
        <v>16</v>
      </c>
      <c r="H45" s="75"/>
      <c r="I45" s="75" t="s">
        <v>52</v>
      </c>
      <c r="J45" s="75" t="s">
        <v>125</v>
      </c>
      <c r="K45" s="75" t="s">
        <v>75</v>
      </c>
    </row>
    <row r="46" spans="1:11" ht="30" x14ac:dyDescent="0.25">
      <c r="A46" s="74">
        <v>43</v>
      </c>
      <c r="B46" s="75" t="s">
        <v>83</v>
      </c>
      <c r="C46" s="76" t="s">
        <v>84</v>
      </c>
      <c r="D46" s="75" t="s">
        <v>37</v>
      </c>
      <c r="E46" s="77">
        <v>44246.238194444442</v>
      </c>
      <c r="F46" s="75" t="s">
        <v>38</v>
      </c>
      <c r="G46" s="75" t="s">
        <v>78</v>
      </c>
      <c r="H46" s="75"/>
      <c r="I46" s="75" t="s">
        <v>57</v>
      </c>
      <c r="J46" s="75" t="s">
        <v>125</v>
      </c>
      <c r="K46" s="75" t="s">
        <v>81</v>
      </c>
    </row>
    <row r="47" spans="1:11" ht="30" x14ac:dyDescent="0.25">
      <c r="A47" s="74">
        <v>44</v>
      </c>
      <c r="B47" s="75" t="s">
        <v>35</v>
      </c>
      <c r="C47" s="76" t="s">
        <v>36</v>
      </c>
      <c r="D47" s="75" t="s">
        <v>37</v>
      </c>
      <c r="E47" s="77">
        <v>44238.337500000001</v>
      </c>
      <c r="F47" s="75" t="s">
        <v>38</v>
      </c>
      <c r="G47" s="75" t="s">
        <v>16</v>
      </c>
      <c r="H47" s="75" t="s">
        <v>38</v>
      </c>
      <c r="I47" s="75"/>
      <c r="J47" s="75"/>
      <c r="K47" s="75" t="s">
        <v>138</v>
      </c>
    </row>
    <row r="48" spans="1:11" ht="30" x14ac:dyDescent="0.25">
      <c r="A48" s="74">
        <v>45</v>
      </c>
      <c r="B48" s="75" t="s">
        <v>40</v>
      </c>
      <c r="C48" s="76" t="s">
        <v>41</v>
      </c>
      <c r="D48" s="75" t="s">
        <v>37</v>
      </c>
      <c r="E48" s="77">
        <v>44238.286111111112</v>
      </c>
      <c r="F48" s="75" t="s">
        <v>38</v>
      </c>
      <c r="G48" s="75" t="s">
        <v>14</v>
      </c>
      <c r="H48" s="75" t="s">
        <v>38</v>
      </c>
      <c r="I48" s="75"/>
      <c r="J48" s="75"/>
      <c r="K48" s="75" t="s">
        <v>138</v>
      </c>
    </row>
    <row r="49" spans="1:11" ht="30" x14ac:dyDescent="0.25">
      <c r="A49" s="74">
        <v>46</v>
      </c>
      <c r="B49" s="75" t="s">
        <v>42</v>
      </c>
      <c r="C49" s="76" t="s">
        <v>43</v>
      </c>
      <c r="D49" s="75" t="s">
        <v>37</v>
      </c>
      <c r="E49" s="77">
        <v>44237.496527777781</v>
      </c>
      <c r="F49" s="75" t="s">
        <v>38</v>
      </c>
      <c r="G49" s="75" t="s">
        <v>128</v>
      </c>
      <c r="H49" s="75"/>
      <c r="I49" s="75" t="s">
        <v>181</v>
      </c>
      <c r="J49" s="75" t="s">
        <v>125</v>
      </c>
      <c r="K49" s="75" t="s">
        <v>81</v>
      </c>
    </row>
    <row r="50" spans="1:11" ht="30" x14ac:dyDescent="0.25">
      <c r="A50" s="74">
        <v>47</v>
      </c>
      <c r="B50" s="75" t="s">
        <v>44</v>
      </c>
      <c r="C50" s="76" t="s">
        <v>82</v>
      </c>
      <c r="D50" s="75" t="s">
        <v>37</v>
      </c>
      <c r="E50" s="77">
        <v>44237.490277777775</v>
      </c>
      <c r="F50" s="75" t="s">
        <v>38</v>
      </c>
      <c r="G50" s="75" t="s">
        <v>78</v>
      </c>
      <c r="H50" s="75" t="s">
        <v>38</v>
      </c>
      <c r="I50" s="75"/>
      <c r="J50" s="75"/>
      <c r="K50" s="75" t="s">
        <v>138</v>
      </c>
    </row>
    <row r="51" spans="1:11" ht="30" x14ac:dyDescent="0.25">
      <c r="A51" s="74">
        <v>48</v>
      </c>
      <c r="B51" s="75" t="s">
        <v>45</v>
      </c>
      <c r="C51" s="76" t="s">
        <v>46</v>
      </c>
      <c r="D51" s="75" t="s">
        <v>37</v>
      </c>
      <c r="E51" s="77">
        <v>44237.474999999999</v>
      </c>
      <c r="F51" s="75" t="s">
        <v>38</v>
      </c>
      <c r="G51" s="75" t="s">
        <v>14</v>
      </c>
      <c r="H51" s="75" t="s">
        <v>38</v>
      </c>
      <c r="I51" s="75"/>
      <c r="J51" s="75"/>
      <c r="K51" s="75" t="s">
        <v>79</v>
      </c>
    </row>
    <row r="52" spans="1:11" ht="30" x14ac:dyDescent="0.25">
      <c r="A52" s="74">
        <v>49</v>
      </c>
      <c r="B52" s="75" t="s">
        <v>47</v>
      </c>
      <c r="C52" s="76" t="s">
        <v>48</v>
      </c>
      <c r="D52" s="75" t="s">
        <v>37</v>
      </c>
      <c r="E52" s="77">
        <v>44237.463888888888</v>
      </c>
      <c r="F52" s="75" t="s">
        <v>38</v>
      </c>
      <c r="G52" s="75" t="s">
        <v>78</v>
      </c>
      <c r="H52" s="75"/>
      <c r="I52" s="75" t="s">
        <v>57</v>
      </c>
      <c r="J52" s="75" t="s">
        <v>125</v>
      </c>
      <c r="K52" s="75" t="s">
        <v>81</v>
      </c>
    </row>
    <row r="53" spans="1:11" ht="30" x14ac:dyDescent="0.25">
      <c r="A53" s="74">
        <v>50</v>
      </c>
      <c r="B53" s="75" t="s">
        <v>49</v>
      </c>
      <c r="C53" s="76" t="s">
        <v>50</v>
      </c>
      <c r="D53" s="75" t="s">
        <v>37</v>
      </c>
      <c r="E53" s="77">
        <v>44236.469444444447</v>
      </c>
      <c r="F53" s="75" t="s">
        <v>51</v>
      </c>
      <c r="G53" s="75" t="s">
        <v>15</v>
      </c>
      <c r="H53" s="75" t="s">
        <v>98</v>
      </c>
      <c r="I53" s="75"/>
      <c r="J53" s="75" t="s">
        <v>125</v>
      </c>
      <c r="K53" s="75" t="s">
        <v>80</v>
      </c>
    </row>
    <row r="54" spans="1:11" ht="30" x14ac:dyDescent="0.25">
      <c r="A54" s="74">
        <v>51</v>
      </c>
      <c r="B54" s="75" t="s">
        <v>53</v>
      </c>
      <c r="C54" s="76" t="s">
        <v>54</v>
      </c>
      <c r="D54" s="75" t="s">
        <v>37</v>
      </c>
      <c r="E54" s="77">
        <v>44233.45416666667</v>
      </c>
      <c r="F54" s="75" t="s">
        <v>38</v>
      </c>
      <c r="G54" s="75" t="s">
        <v>14</v>
      </c>
      <c r="H54" s="75" t="s">
        <v>38</v>
      </c>
      <c r="I54" s="75"/>
      <c r="J54" s="75"/>
      <c r="K54" s="75" t="s">
        <v>76</v>
      </c>
    </row>
    <row r="55" spans="1:11" ht="45" x14ac:dyDescent="0.25">
      <c r="A55" s="74">
        <v>52</v>
      </c>
      <c r="B55" s="75" t="s">
        <v>55</v>
      </c>
      <c r="C55" s="76" t="s">
        <v>56</v>
      </c>
      <c r="D55" s="75" t="s">
        <v>37</v>
      </c>
      <c r="E55" s="77">
        <v>44233.393750000003</v>
      </c>
      <c r="F55" s="75" t="s">
        <v>38</v>
      </c>
      <c r="G55" s="75" t="s">
        <v>14</v>
      </c>
      <c r="H55" s="75" t="s">
        <v>38</v>
      </c>
      <c r="I55" s="75"/>
      <c r="J55" s="75" t="s">
        <v>125</v>
      </c>
      <c r="K55" s="75" t="s">
        <v>75</v>
      </c>
    </row>
    <row r="56" spans="1:11" ht="30" x14ac:dyDescent="0.25">
      <c r="A56" s="74">
        <v>53</v>
      </c>
      <c r="B56" s="75" t="s">
        <v>58</v>
      </c>
      <c r="C56" s="76" t="s">
        <v>59</v>
      </c>
      <c r="D56" s="75" t="s">
        <v>37</v>
      </c>
      <c r="E56" s="77">
        <v>44233.282638888886</v>
      </c>
      <c r="F56" s="75" t="s">
        <v>51</v>
      </c>
      <c r="G56" s="75" t="s">
        <v>14</v>
      </c>
      <c r="H56" s="75" t="s">
        <v>98</v>
      </c>
      <c r="I56" s="75"/>
      <c r="J56" s="75" t="s">
        <v>125</v>
      </c>
      <c r="K56" s="75" t="s">
        <v>77</v>
      </c>
    </row>
    <row r="57" spans="1:11" ht="30" x14ac:dyDescent="0.25">
      <c r="A57" s="74">
        <v>54</v>
      </c>
      <c r="B57" s="75" t="s">
        <v>60</v>
      </c>
      <c r="C57" s="76" t="s">
        <v>61</v>
      </c>
      <c r="D57" s="75" t="s">
        <v>37</v>
      </c>
      <c r="E57" s="77">
        <v>44233.270833333336</v>
      </c>
      <c r="F57" s="75" t="s">
        <v>38</v>
      </c>
      <c r="G57" s="75" t="s">
        <v>14</v>
      </c>
      <c r="H57" s="75" t="s">
        <v>38</v>
      </c>
      <c r="I57" s="75"/>
      <c r="J57" s="75"/>
      <c r="K57" s="75" t="s">
        <v>75</v>
      </c>
    </row>
    <row r="58" spans="1:11" ht="30" x14ac:dyDescent="0.25">
      <c r="A58" s="74">
        <v>55</v>
      </c>
      <c r="B58" s="75" t="s">
        <v>62</v>
      </c>
      <c r="C58" s="76" t="s">
        <v>63</v>
      </c>
      <c r="D58" s="75" t="s">
        <v>37</v>
      </c>
      <c r="E58" s="77">
        <v>44233.215277777781</v>
      </c>
      <c r="F58" s="75" t="s">
        <v>38</v>
      </c>
      <c r="G58" s="75" t="s">
        <v>14</v>
      </c>
      <c r="H58" s="75" t="s">
        <v>38</v>
      </c>
      <c r="I58" s="75"/>
      <c r="J58" s="75"/>
      <c r="K58" s="75" t="s">
        <v>77</v>
      </c>
    </row>
    <row r="59" spans="1:11" ht="30" x14ac:dyDescent="0.25">
      <c r="A59" s="74">
        <v>56</v>
      </c>
      <c r="B59" s="75" t="s">
        <v>64</v>
      </c>
      <c r="C59" s="76" t="s">
        <v>65</v>
      </c>
      <c r="D59" s="75" t="s">
        <v>37</v>
      </c>
      <c r="E59" s="77">
        <v>44232.114583333336</v>
      </c>
      <c r="F59" s="75" t="s">
        <v>38</v>
      </c>
      <c r="G59" s="75" t="s">
        <v>14</v>
      </c>
      <c r="H59" s="75"/>
      <c r="I59" s="75" t="s">
        <v>57</v>
      </c>
      <c r="J59" s="75" t="s">
        <v>125</v>
      </c>
      <c r="K59" s="75" t="s">
        <v>75</v>
      </c>
    </row>
    <row r="60" spans="1:11" ht="30" x14ac:dyDescent="0.25">
      <c r="A60" s="74">
        <v>57</v>
      </c>
      <c r="B60" s="75" t="s">
        <v>66</v>
      </c>
      <c r="C60" s="76" t="s">
        <v>113</v>
      </c>
      <c r="D60" s="75" t="s">
        <v>37</v>
      </c>
      <c r="E60" s="77">
        <v>44225.497916666667</v>
      </c>
      <c r="F60" s="75" t="s">
        <v>38</v>
      </c>
      <c r="G60" s="75" t="s">
        <v>78</v>
      </c>
      <c r="H60" s="75"/>
      <c r="I60" s="75" t="s">
        <v>57</v>
      </c>
      <c r="J60" s="75" t="s">
        <v>125</v>
      </c>
      <c r="K60" s="75" t="s">
        <v>75</v>
      </c>
    </row>
    <row r="61" spans="1:11" ht="30" x14ac:dyDescent="0.25">
      <c r="A61" s="74">
        <v>58</v>
      </c>
      <c r="B61" s="75" t="s">
        <v>67</v>
      </c>
      <c r="C61" s="76" t="s">
        <v>68</v>
      </c>
      <c r="D61" s="75" t="s">
        <v>37</v>
      </c>
      <c r="E61" s="77">
        <v>44223.324999999997</v>
      </c>
      <c r="F61" s="75" t="s">
        <v>38</v>
      </c>
      <c r="G61" s="75" t="s">
        <v>78</v>
      </c>
      <c r="H61" s="75"/>
      <c r="I61" s="75" t="s">
        <v>57</v>
      </c>
      <c r="J61" s="75"/>
      <c r="K61" s="75" t="s">
        <v>138</v>
      </c>
    </row>
    <row r="62" spans="1:11" ht="30" x14ac:dyDescent="0.25">
      <c r="A62" s="74">
        <v>59</v>
      </c>
      <c r="B62" s="75" t="s">
        <v>69</v>
      </c>
      <c r="C62" s="76" t="s">
        <v>114</v>
      </c>
      <c r="D62" s="75" t="s">
        <v>37</v>
      </c>
      <c r="E62" s="77">
        <v>44218.313194444447</v>
      </c>
      <c r="F62" s="75" t="s">
        <v>38</v>
      </c>
      <c r="G62" s="75" t="s">
        <v>14</v>
      </c>
      <c r="H62" s="75"/>
      <c r="I62" s="75" t="s">
        <v>95</v>
      </c>
      <c r="J62" s="75" t="s">
        <v>125</v>
      </c>
      <c r="K62" s="75" t="s">
        <v>75</v>
      </c>
    </row>
    <row r="63" spans="1:11" ht="30" x14ac:dyDescent="0.25">
      <c r="A63" s="74">
        <v>60</v>
      </c>
      <c r="B63" s="75" t="s">
        <v>70</v>
      </c>
      <c r="C63" s="76" t="s">
        <v>71</v>
      </c>
      <c r="D63" s="75" t="s">
        <v>37</v>
      </c>
      <c r="E63" s="77">
        <v>44218.227083333331</v>
      </c>
      <c r="F63" s="75" t="s">
        <v>51</v>
      </c>
      <c r="G63" s="75" t="s">
        <v>14</v>
      </c>
      <c r="H63" s="75" t="s">
        <v>98</v>
      </c>
      <c r="I63" s="75"/>
      <c r="J63" s="75" t="s">
        <v>125</v>
      </c>
      <c r="K63" s="75" t="s">
        <v>76</v>
      </c>
    </row>
  </sheetData>
  <autoFilter ref="B3:K63"/>
  <mergeCells count="1">
    <mergeCell ref="H2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10"/>
  <sheetViews>
    <sheetView workbookViewId="0">
      <selection activeCell="B2" sqref="B2"/>
    </sheetView>
  </sheetViews>
  <sheetFormatPr defaultRowHeight="15.75" x14ac:dyDescent="0.25"/>
  <cols>
    <col min="1" max="1" width="2.625" style="5" customWidth="1"/>
    <col min="2" max="2" width="37.625" style="5" customWidth="1"/>
    <col min="3" max="3" width="9" style="5"/>
    <col min="4" max="4" width="14.875" style="5" bestFit="1" customWidth="1"/>
    <col min="5" max="5" width="9" style="5"/>
    <col min="6" max="6" width="3.125" style="5" customWidth="1"/>
    <col min="7" max="7" width="9" style="5"/>
    <col min="8" max="8" width="1.5" style="5" customWidth="1"/>
    <col min="9" max="9" width="31.5" style="5" customWidth="1"/>
    <col min="10" max="10" width="17.125" style="5" customWidth="1"/>
    <col min="11" max="11" width="10.25" style="5" customWidth="1"/>
    <col min="12" max="13" width="13" style="5" customWidth="1"/>
    <col min="14" max="14" width="48.375" style="5" bestFit="1" customWidth="1"/>
    <col min="15" max="15" width="2.375" style="5" customWidth="1"/>
    <col min="16" max="16" width="86.625" style="5" bestFit="1" customWidth="1"/>
    <col min="17" max="16384" width="9" style="5"/>
  </cols>
  <sheetData>
    <row r="2" spans="2:16" x14ac:dyDescent="0.25">
      <c r="B2" s="36" t="s">
        <v>235</v>
      </c>
    </row>
    <row r="3" spans="2:16" ht="16.5" thickBot="1" x14ac:dyDescent="0.3"/>
    <row r="4" spans="2:16" ht="16.5" thickBot="1" x14ac:dyDescent="0.3">
      <c r="B4" s="86" t="s">
        <v>218</v>
      </c>
      <c r="C4" s="87"/>
      <c r="D4" s="87"/>
      <c r="E4" s="88"/>
      <c r="F4" s="89"/>
      <c r="I4" s="95" t="s">
        <v>234</v>
      </c>
      <c r="J4" s="96"/>
      <c r="K4" s="96"/>
      <c r="L4" s="96"/>
      <c r="M4" s="96"/>
      <c r="N4" s="97"/>
      <c r="O4" s="89"/>
    </row>
    <row r="5" spans="2:16" x14ac:dyDescent="0.25">
      <c r="B5" s="110" t="s">
        <v>217</v>
      </c>
      <c r="C5" s="111">
        <f>SUM(C6:C8)</f>
        <v>213</v>
      </c>
      <c r="D5" s="112" t="s">
        <v>10</v>
      </c>
      <c r="E5" s="113"/>
      <c r="F5" s="89"/>
      <c r="I5" s="92"/>
      <c r="J5" s="93" t="s">
        <v>215</v>
      </c>
      <c r="K5" s="93" t="s">
        <v>214</v>
      </c>
      <c r="L5" s="94" t="s">
        <v>225</v>
      </c>
      <c r="M5" s="94" t="s">
        <v>226</v>
      </c>
      <c r="N5" s="94" t="s">
        <v>216</v>
      </c>
      <c r="O5" s="90"/>
      <c r="P5" s="79"/>
    </row>
    <row r="6" spans="2:16" x14ac:dyDescent="0.25">
      <c r="B6" s="114" t="s">
        <v>1</v>
      </c>
      <c r="C6" s="115">
        <v>180</v>
      </c>
      <c r="D6" s="107" t="s">
        <v>4</v>
      </c>
      <c r="E6" s="116">
        <f>C6/C5*100</f>
        <v>84.507042253521121</v>
      </c>
      <c r="F6" s="121"/>
      <c r="I6" s="80" t="s">
        <v>230</v>
      </c>
      <c r="J6" s="81">
        <v>22</v>
      </c>
      <c r="K6" s="81" t="s">
        <v>223</v>
      </c>
      <c r="L6" s="98">
        <v>4</v>
      </c>
      <c r="M6" s="98">
        <v>3</v>
      </c>
      <c r="N6" s="82" t="s">
        <v>227</v>
      </c>
      <c r="O6" s="91"/>
      <c r="P6" s="79"/>
    </row>
    <row r="7" spans="2:16" x14ac:dyDescent="0.25">
      <c r="B7" s="114" t="s">
        <v>2</v>
      </c>
      <c r="C7" s="109">
        <v>18</v>
      </c>
      <c r="D7" s="107" t="s">
        <v>0</v>
      </c>
      <c r="E7" s="108">
        <f>C7/C5*100</f>
        <v>8.4507042253521121</v>
      </c>
      <c r="F7" s="122"/>
      <c r="I7" s="80" t="s">
        <v>231</v>
      </c>
      <c r="J7" s="81">
        <v>5</v>
      </c>
      <c r="K7" s="81" t="s">
        <v>224</v>
      </c>
      <c r="L7" s="98">
        <v>2</v>
      </c>
      <c r="M7" s="98">
        <v>3</v>
      </c>
      <c r="N7" s="82" t="s">
        <v>227</v>
      </c>
      <c r="O7" s="91"/>
      <c r="P7" s="79"/>
    </row>
    <row r="8" spans="2:16" ht="16.5" thickBot="1" x14ac:dyDescent="0.3">
      <c r="B8" s="114" t="s">
        <v>3</v>
      </c>
      <c r="C8" s="115">
        <v>15</v>
      </c>
      <c r="D8" s="107" t="s">
        <v>5</v>
      </c>
      <c r="E8" s="116">
        <f>C8/C5*100</f>
        <v>7.042253521126761</v>
      </c>
      <c r="F8" s="121"/>
      <c r="I8" s="83" t="s">
        <v>232</v>
      </c>
      <c r="J8" s="84">
        <v>5</v>
      </c>
      <c r="K8" s="84">
        <v>5</v>
      </c>
      <c r="L8" s="99">
        <v>4</v>
      </c>
      <c r="M8" s="99">
        <v>1</v>
      </c>
      <c r="N8" s="85" t="s">
        <v>228</v>
      </c>
      <c r="O8" s="91"/>
    </row>
    <row r="9" spans="2:16" ht="15.75" customHeight="1" thickBot="1" x14ac:dyDescent="0.3">
      <c r="B9" s="117" t="s">
        <v>9</v>
      </c>
      <c r="C9" s="118">
        <v>0</v>
      </c>
      <c r="D9" s="119" t="s">
        <v>8</v>
      </c>
      <c r="E9" s="120">
        <f>C9/C5*100</f>
        <v>0</v>
      </c>
      <c r="F9" s="121"/>
      <c r="I9" s="83" t="s">
        <v>233</v>
      </c>
      <c r="J9" s="84">
        <v>17</v>
      </c>
      <c r="K9" s="84" t="s">
        <v>222</v>
      </c>
      <c r="L9" s="99" t="s">
        <v>222</v>
      </c>
      <c r="M9" s="99" t="s">
        <v>222</v>
      </c>
      <c r="N9" s="100" t="s">
        <v>229</v>
      </c>
      <c r="O9" s="91"/>
    </row>
    <row r="10" spans="2:16" x14ac:dyDescent="0.25">
      <c r="I10" s="101" t="s">
        <v>221</v>
      </c>
    </row>
  </sheetData>
  <mergeCells count="3">
    <mergeCell ref="D5:E5"/>
    <mergeCell ref="B4:E4"/>
    <mergeCell ref="I4:N4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conOverlay xmlns="http://schemas.microsoft.com/sharepoint/v4" xsi:nil="true"/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EEDC712-570D-48F8-9C39-BB3BBAE77DD1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4D1A43E-BEEA-4159-BC69-76712BAEDEE9}"/>
</file>

<file path=customXml/itemProps3.xml><?xml version="1.0" encoding="utf-8"?>
<ds:datastoreItem xmlns:ds="http://schemas.openxmlformats.org/officeDocument/2006/customXml" ds:itemID="{EA48D0AF-1F8B-4F80-896F-5A2393262684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Small Biz DCO - Test Summary</vt:lpstr>
      <vt:lpstr>Defects Status</vt:lpstr>
      <vt:lpstr>Defect Summary Report</vt:lpstr>
      <vt:lpstr>Sprint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Joanne Klausner</dc:creator>
  <cp:lastModifiedBy>Chix Dela Luna</cp:lastModifiedBy>
  <dcterms:created xsi:type="dcterms:W3CDTF">2019-08-28T17:18:17Z</dcterms:created>
  <dcterms:modified xsi:type="dcterms:W3CDTF">2021-03-27T19:49:31Z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</Properties>
</file>