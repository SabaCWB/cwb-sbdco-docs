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Small Biz DCO\"/>
    </mc:Choice>
  </mc:AlternateContent>
  <bookViews>
    <workbookView xWindow="0" yWindow="0" windowWidth="28800" windowHeight="12300" tabRatio="516"/>
  </bookViews>
  <sheets>
    <sheet name="Small Biz DCO - Test Summary" sheetId="1" r:id="rId1"/>
    <sheet name="Defects Status" sheetId="6" r:id="rId2"/>
    <sheet name="Defect Summary Report" sheetId="48" r:id="rId3"/>
    <sheet name="Sprint Report" sheetId="29" r:id="rId4"/>
  </sheets>
  <definedNames>
    <definedName name="_xlnm._FilterDatabase" localSheetId="2" hidden="1">'Defect Summary Report'!$B$3:$K$63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" i="1" l="1"/>
  <c r="E12" i="1" l="1"/>
  <c r="E11" i="1"/>
  <c r="E13" i="1"/>
  <c r="Z19" i="6"/>
  <c r="E10" i="1" l="1"/>
</calcChain>
</file>

<file path=xl/comments1.xml><?xml version="1.0" encoding="utf-8"?>
<comments xmlns="http://schemas.openxmlformats.org/spreadsheetml/2006/main">
  <authors>
    <author>Chix Dela Luna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</commentList>
</comments>
</file>

<file path=xl/sharedStrings.xml><?xml version="1.0" encoding="utf-8"?>
<sst xmlns="http://schemas.openxmlformats.org/spreadsheetml/2006/main" count="549" uniqueCount="244">
  <si>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</si>
  <si>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</si>
  <si>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</si>
  <si>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</si>
  <si>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</si>
  <si>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</si>
  <si>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</si>
  <si>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</si>
  <si>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</si>
  <si>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</si>
  <si>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</si>
  <si>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</si>
  <si>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</si>
  <si>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</si>
  <si>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</si>
  <si>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</si>
  <si>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</si>
  <si>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</si>
  <si>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</si>
  <si>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</si>
  <si>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</si>
  <si>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</si>
  <si>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</si>
  <si>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</si>
  <si>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</si>
  <si>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</si>
  <si>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</si>
  <si>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</si>
  <si>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</si>
  <si>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</si>
  <si>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</si>
  <si>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</si>
  <si>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</si>
  <si>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</si>
  <si>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</si>
  <si>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</si>
  <si>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</si>
  <si>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</si>
  <si>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</si>
  <si>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</si>
  <si>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</si>
  <si>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</si>
  <si>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CWBSB-496</t>
  </si>
  <si>
    <t>CWBSB-494</t>
  </si>
  <si>
    <t>SBDCO - Alternate IDV page - Radio button selection and Color issue.</t>
  </si>
  <si>
    <t>mary.pele@cwbank.com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</si>
  <si>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</si>
  <si>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</si>
  <si>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</si>
  <si>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</si>
  <si>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</si>
  <si>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</si>
  <si>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</si>
  <si>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</si>
  <si>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</si>
  <si>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</si>
  <si>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</si>
  <si>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</si>
  <si>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</si>
  <si>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</si>
  <si>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</si>
  <si>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</si>
  <si>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</si>
  <si>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</si>
  <si>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</si>
  <si>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</si>
  <si>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</si>
  <si>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</si>
  <si>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</si>
  <si>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</si>
  <si>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</si>
  <si>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</si>
  <si>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</si>
  <si>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</si>
  <si>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</si>
  <si>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</si>
  <si>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</si>
  <si>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</si>
  <si>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</si>
  <si>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</si>
  <si>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</si>
  <si>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</si>
  <si>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</si>
  <si>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</si>
  <si>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</si>
  <si>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</si>
  <si>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</si>
  <si>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Defects - by Status</t>
  </si>
  <si>
    <t>outstanding defects* (defects not in "done" status)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</si>
  <si>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</si>
  <si>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</si>
  <si>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</si>
  <si>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</si>
  <si>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</si>
  <si>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</si>
  <si>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</si>
  <si>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</si>
  <si>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CWBSB-620</t>
  </si>
  <si>
    <t>SBDCO - Applicant - Not Qualified Info Page - Email address field is accepting invalid formats.</t>
  </si>
  <si>
    <t>Small Biz DCO R1 (F&amp;F)</t>
  </si>
  <si>
    <t>CWBSB-637</t>
  </si>
  <si>
    <t>SBDCO - Security Question - Mobile - Display of two line question</t>
  </si>
  <si>
    <t>CWB-BA-QA-Review</t>
  </si>
  <si>
    <t>CWB-BA-QA-Review (to review and confirm with CWB BA or QA)</t>
  </si>
  <si>
    <t>Count by Defect Assignee</t>
  </si>
  <si>
    <t>- for retesting, field specs or requirement issue, to review, questions, investigate further, etc</t>
  </si>
  <si>
    <t xml:space="preserve">Assigned to CWB to address 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</si>
  <si>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</si>
  <si>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</si>
  <si>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</si>
  <si>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</si>
  <si>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</si>
  <si>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CWBSB-640</t>
  </si>
  <si>
    <t>karthik.padumati@cwbank.com</t>
  </si>
  <si>
    <t>CWBSB-705</t>
  </si>
  <si>
    <t>UX/UI: Email-spacing issue on top and bottom edge, top bar length</t>
  </si>
  <si>
    <t>manish.varia@accutive.com</t>
  </si>
  <si>
    <t>CWBSB-702</t>
  </si>
  <si>
    <t>UX/UI: Card Alignment display</t>
  </si>
  <si>
    <t>gem.adelaja@cwbank.com</t>
  </si>
  <si>
    <t>CWBSB-701</t>
  </si>
  <si>
    <t>UX/UI: Funding Page - Funding UI spacing</t>
  </si>
  <si>
    <t>CWBSB-700</t>
  </si>
  <si>
    <t>UX/UI: Business Type Selection - Radio Button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</si>
  <si>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</si>
  <si>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</si>
  <si>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</si>
  <si>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</si>
  <si>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</si>
  <si>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</si>
  <si>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</si>
  <si>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</si>
  <si>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</si>
  <si>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</si>
  <si>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</si>
  <si>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â€“U/X  Mobile â€“ Authorized Signer â€“ Submission Complete and Cancel - Footer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</si>
  <si>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</si>
  <si>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</si>
  <si>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</si>
  <si>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</si>
  <si>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</si>
  <si>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</si>
  <si>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CWBSB-722</t>
  </si>
  <si>
    <t>SBDCO â€“ Mobile â€“ Non-signing owners - The inline help and icon are displayed off screen</t>
  </si>
  <si>
    <t>CWBSB-727</t>
  </si>
  <si>
    <t>SBDCO â€“ Mobile â€“ Authorised Signer eConsent â€“ No error message header displayed</t>
  </si>
  <si>
    <t>CWBSB-726</t>
  </si>
  <si>
    <t>SBDCO - The Back button on a mobile browser causes the application to be lost</t>
  </si>
  <si>
    <t>CWBSB-724</t>
  </si>
  <si>
    <t>SBDCO - Applicant - Your Business Page - Use this as my business mailing address radio button group should be mandatory</t>
  </si>
  <si>
    <t>smatharu</t>
  </si>
  <si>
    <t>TBD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</si>
  <si>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</si>
  <si>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</si>
  <si>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</si>
  <si>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</si>
  <si>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Tested</t>
  </si>
  <si>
    <t>Planned/Delivered</t>
  </si>
  <si>
    <t>Notes</t>
  </si>
  <si>
    <t>Total Regression Test Cases To Date</t>
  </si>
  <si>
    <t>Regression Testing Completed</t>
  </si>
  <si>
    <t>Total Tests Cases Developed*</t>
  </si>
  <si>
    <t>*includes regression test cases</t>
  </si>
  <si>
    <t>** Testing the rest of the stories will be covered during E2E</t>
  </si>
  <si>
    <t>N/A</t>
  </si>
  <si>
    <t>Passed</t>
  </si>
  <si>
    <t>Failed</t>
  </si>
  <si>
    <t xml:space="preserve">CWB QA Team does not test defects logged by Temenos. 
Temenos' QA testers confirms fixes for these. </t>
  </si>
  <si>
    <t>Number of Stories</t>
  </si>
  <si>
    <t>Number of Changes</t>
  </si>
  <si>
    <t>Number of Defects logged by CWB</t>
  </si>
  <si>
    <t>Number Defects logged by Temenos</t>
  </si>
  <si>
    <t>CWBSB-751</t>
  </si>
  <si>
    <t>SBDCO - E2E - No CIF is created - JM - Create customer - "Message":"400:Bad Request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</si>
  <si>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</si>
  <si>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</si>
  <si>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</si>
  <si>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</si>
  <si>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</si>
  <si>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</si>
  <si>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</si>
  <si>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</si>
  <si>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CWBSB-814</t>
  </si>
  <si>
    <t>SBDCO -  Business Account Options - Desktop and Mobile - -Display of inline help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</si>
  <si>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</si>
  <si>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</si>
  <si>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</si>
  <si>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</si>
  <si>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</si>
  <si>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</si>
  <si>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CWBSB-828</t>
  </si>
  <si>
    <t>SBDCO - Owners and Directors Page - Issue on resizing the page</t>
  </si>
  <si>
    <t>CWBSB-827</t>
  </si>
  <si>
    <t>SBDCO_ Applicant_ Your Business page_ Business (legal and mailing) address field accepting more than 35 characters</t>
  </si>
  <si>
    <t>Blocker</t>
  </si>
  <si>
    <t>Kelvin.Fernando@cwbank.com</t>
  </si>
  <si>
    <t>Project Name:  Digital Program - Small Biz DCO - SIT Phase - Sprint 11</t>
  </si>
  <si>
    <t>Test Execution for Sprint 11</t>
  </si>
  <si>
    <t>Defects logged from Sprint 11</t>
  </si>
  <si>
    <t>CWBSB-839</t>
  </si>
  <si>
    <t>SBDCO - Business Account Options - UX/UI - Section (accordion with Open all/Close all) is missing</t>
  </si>
  <si>
    <t>Keith.King@cwbank.com</t>
  </si>
  <si>
    <t>kendyl.bachelor</t>
  </si>
  <si>
    <t>Defects logged</t>
  </si>
  <si>
    <t>All passed</t>
  </si>
  <si>
    <t>CWBSB-852</t>
  </si>
  <si>
    <t>SBDCO â€“ Performance â€“ More About Your Business â€“ selecting from the Industry dropdowns is slow</t>
  </si>
  <si>
    <t>CWBSB-851</t>
  </si>
  <si>
    <t>SBDCO-Choose your account(s) page-2 scroll bars are displayed in the page</t>
  </si>
  <si>
    <t>Venkata.Cherukuri@cwbank.com</t>
  </si>
  <si>
    <t>CWBSB-849</t>
  </si>
  <si>
    <t>SBDCO - Account Selection â€“ Displays Monthly Free Transactions when value = 0, should not</t>
  </si>
  <si>
    <t>CWBSB-848</t>
  </si>
  <si>
    <t xml:space="preserve">SBDCO - Submission Complete Model - Alignment is not appropriate </t>
  </si>
  <si>
    <t>sampada.deshpande@accutive.com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</si>
  <si>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</si>
  <si>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</si>
  <si>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</si>
  <si>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</si>
  <si>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</si>
  <si>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</si>
  <si>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CWBSB-867</t>
  </si>
  <si>
    <t>SBDCO â€“ Owners,Directors,Signers â€“ Email address validation not as per FS when characters entered</t>
  </si>
  <si>
    <t>Low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</si>
  <si>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(61)</t>
    </r>
  </si>
  <si>
    <t>CWBSB-872</t>
  </si>
  <si>
    <t>SBDCO â€“ Owners, Directors, Signers â€“ 100% Ownership â€“ Non-signing Owners page is displayed, should not be</t>
  </si>
  <si>
    <t>CWBSB-871</t>
  </si>
  <si>
    <t>SBDCO â€“ Owners, Directors, Signers â€“ Validation message for % Ownership field not as per FS 2.8</t>
  </si>
  <si>
    <t>CWBSB-878</t>
  </si>
  <si>
    <t>SBDCO -  Samsung Tab S6 Lite - Portrait - Multiple issues on multiple pages</t>
  </si>
  <si>
    <t>llaurent</t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</si>
  <si>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>defects (114)</t>
    </r>
  </si>
  <si>
    <t>none logged today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</si>
  <si>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9 of test execution -</t>
    </r>
    <r>
      <rPr>
        <b/>
        <sz val="11"/>
        <rFont val="Calibri"/>
        <family val="2"/>
        <scheme val="minor"/>
      </rPr>
      <t xml:space="preserve"> 100%  complete</t>
    </r>
    <r>
      <rPr>
        <sz val="11"/>
        <rFont val="Calibri"/>
        <family val="2"/>
        <scheme val="minor"/>
      </rPr>
      <t xml:space="preserve">
2. Sprint 11 package includes:
     a. 12 stories, will only test 7 stories, 5 will be validated during E2E
     b. 5 change requests
     c. 7 defect fixes – for defects logged by CWB QA Team
     d. 28 defects fixes – for defects logged by Temenos (excluded from CWB testing)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  <r>
      <rPr>
        <sz val="11"/>
        <color rgb="FFFF0000"/>
        <rFont val="Calibri"/>
        <family val="2"/>
        <scheme val="minor"/>
      </rPr>
      <t/>
    </r>
  </si>
  <si>
    <t>Sprint 11 - Started Apr 14 - to complete Apr 26</t>
  </si>
  <si>
    <t>7**</t>
  </si>
  <si>
    <t>Sprint Report - Sprint 11</t>
  </si>
  <si>
    <t>Status of Defects logged by CWB QA Team - as of Apr 27, 2021</t>
  </si>
  <si>
    <t>JIRA counts "Done" (54) and "In UAT" (7)  as resolved</t>
  </si>
  <si>
    <t>= 114 created defects - 54 defects in "done" status</t>
  </si>
  <si>
    <t>Summary of Outstanding Defects - logged by CWB QA Team - as of Apr 27</t>
  </si>
  <si>
    <t>3 closed today</t>
  </si>
  <si>
    <t>As of Apri 27,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</si>
</sst>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41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149">
    <xf numFmtId="0" fontId="0" fillId="0" borderId="0" xfId="0"/>
    <xf numFmtId="0" fontId="0" fillId="0" borderId="0" xfId="0" applyAlignment="1">
      <alignment vertical="top"/>
    </xf>
    <xf numFmtId="0" fontId="55" fillId="0" borderId="0" xfId="0" applyFont="1"/>
    <xf numFmtId="0" fontId="0" fillId="0" borderId="0" xfId="0" applyAlignment="1">
      <alignment vertical="center"/>
    </xf>
    <xf numFmtId="0" fontId="47" fillId="4" borderId="0" xfId="0" applyFont="1" applyFill="1"/>
    <xf numFmtId="0" fontId="0" fillId="4" borderId="0" xfId="0" applyFill="1"/>
    <xf numFmtId="0" fontId="45" fillId="4" borderId="0" xfId="0" quotePrefix="1" applyFont="1" applyFill="1"/>
    <xf numFmtId="0" fontId="40" fillId="4" borderId="0" xfId="0" applyFont="1" applyFill="1" applyAlignment="1">
      <alignment horizontal="left" vertical="top"/>
    </xf>
    <xf numFmtId="0" fontId="54" fillId="4" borderId="0" xfId="0" applyFont="1" applyFill="1"/>
    <xf numFmtId="0" fontId="52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47" fillId="4" borderId="0" xfId="0" applyNumberFormat="1" applyFont="1" applyFill="1" applyBorder="1" applyAlignment="1">
      <alignment horizontal="left"/>
    </xf>
    <xf numFmtId="0" fontId="42" fillId="4" borderId="0" xfId="0" applyFont="1" applyFill="1" applyBorder="1" applyAlignment="1">
      <alignment horizontal="center"/>
    </xf>
    <xf numFmtId="0" fontId="55" fillId="4" borderId="0" xfId="0" applyFont="1" applyFill="1" applyBorder="1" applyAlignment="1">
      <alignment horizontal="center"/>
    </xf>
    <xf numFmtId="0" fontId="0" fillId="4" borderId="0" xfId="0" applyFill="1" applyBorder="1"/>
    <xf numFmtId="0" fontId="55" fillId="4" borderId="0" xfId="0" applyFont="1" applyFill="1" applyBorder="1"/>
    <xf numFmtId="0" fontId="44" fillId="4" borderId="0" xfId="0" applyFont="1" applyFill="1" applyBorder="1" applyAlignment="1">
      <alignment horizontal="center" vertical="center"/>
    </xf>
    <xf numFmtId="0" fontId="47" fillId="4" borderId="0" xfId="0" applyFont="1" applyFill="1" applyBorder="1" applyAlignment="1">
      <alignment horizontal="left" vertical="top"/>
    </xf>
    <xf numFmtId="0" fontId="55" fillId="4" borderId="0" xfId="0" applyFont="1" applyFill="1"/>
    <xf numFmtId="0" fontId="42" fillId="4" borderId="5" xfId="0" applyFont="1" applyFill="1" applyBorder="1" applyAlignment="1">
      <alignment horizontal="left" vertical="top"/>
    </xf>
    <xf numFmtId="0" fontId="42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54" fillId="4" borderId="0" xfId="0" applyFont="1" applyFill="1" applyAlignment="1">
      <alignment vertical="top" wrapText="1"/>
    </xf>
    <xf numFmtId="0" fontId="52" fillId="4" borderId="0" xfId="0" applyFont="1" applyFill="1" applyAlignment="1">
      <alignment horizontal="right"/>
    </xf>
    <xf numFmtId="0" fontId="53" fillId="4" borderId="0" xfId="0" applyFont="1" applyFill="1" applyAlignment="1">
      <alignment horizontal="left"/>
    </xf>
    <xf numFmtId="0" fontId="52" fillId="4" borderId="0" xfId="0" applyFont="1" applyFill="1" applyAlignment="1">
      <alignment horizontal="right" vertical="top"/>
    </xf>
    <xf numFmtId="0" fontId="36" fillId="0" borderId="0" xfId="8" applyAlignment="1">
      <alignment horizontal="left" vertical="top"/>
    </xf>
    <xf numFmtId="0" fontId="36" fillId="0" borderId="0" xfId="8" applyAlignment="1">
      <alignment horizontal="left" vertical="top" wrapText="1"/>
    </xf>
    <xf numFmtId="0" fontId="36" fillId="0" borderId="0" xfId="8" applyFill="1" applyAlignment="1">
      <alignment horizontal="left" vertical="top"/>
    </xf>
    <xf numFmtId="0" fontId="51" fillId="0" borderId="1" xfId="8" applyFont="1" applyBorder="1" applyAlignment="1">
      <alignment horizontal="center" vertical="center"/>
    </xf>
    <xf numFmtId="0" fontId="51" fillId="5" borderId="1" xfId="8" applyFont="1" applyFill="1" applyBorder="1" applyAlignment="1">
      <alignment horizontal="center" vertical="center"/>
    </xf>
    <xf numFmtId="0" fontId="51" fillId="5" borderId="1" xfId="8" applyFont="1" applyFill="1" applyBorder="1" applyAlignment="1">
      <alignment horizontal="center" vertical="center" wrapText="1"/>
    </xf>
    <xf numFmtId="0" fontId="51" fillId="0" borderId="0" xfId="8" applyFont="1" applyAlignment="1">
      <alignment horizontal="center" vertical="center"/>
    </xf>
    <xf numFmtId="0" fontId="0" fillId="4" borderId="0" xfId="0" quotePrefix="1" applyFill="1"/>
    <xf numFmtId="0" fontId="42" fillId="4" borderId="0" xfId="0" applyFont="1" applyFill="1" applyAlignment="1">
      <alignment horizontal="left" vertical="top" wrapText="1"/>
    </xf>
    <xf numFmtId="0" fontId="42" fillId="4" borderId="0" xfId="0" applyFont="1" applyFill="1"/>
    <xf numFmtId="0" fontId="53" fillId="4" borderId="0" xfId="0" applyFont="1" applyFill="1" applyAlignment="1">
      <alignment horizontal="left" vertical="top" wrapText="1"/>
    </xf>
    <xf numFmtId="0" fontId="36" fillId="0" borderId="0" xfId="8" applyAlignment="1">
      <alignment horizontal="center" vertical="center"/>
    </xf>
    <xf numFmtId="0" fontId="47" fillId="0" borderId="0" xfId="7" applyFont="1" applyFill="1" applyBorder="1" applyAlignment="1">
      <alignment horizontal="left" vertical="top"/>
    </xf>
    <xf numFmtId="0" fontId="46" fillId="4" borderId="0" xfId="0" applyFont="1" applyFill="1" applyBorder="1" applyAlignment="1">
      <alignment vertical="top" wrapText="1"/>
    </xf>
    <xf numFmtId="0" fontId="43" fillId="4" borderId="0" xfId="0" applyFont="1" applyFill="1" applyBorder="1" applyAlignment="1">
      <alignment horizontal="left" vertical="center"/>
    </xf>
    <xf numFmtId="0" fontId="52" fillId="4" borderId="0" xfId="0" quotePrefix="1" applyFont="1" applyFill="1" applyAlignment="1">
      <alignment vertical="top" wrapText="1"/>
    </xf>
    <xf numFmtId="0" fontId="42" fillId="4" borderId="5" xfId="0" applyFont="1" applyFill="1" applyBorder="1" applyAlignment="1">
      <alignment horizontal="left" vertical="top"/>
    </xf>
    <xf numFmtId="0" fontId="42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54" fillId="0" borderId="0" xfId="0" applyFont="1" applyFill="1"/>
    <xf numFmtId="0" fontId="0" fillId="0" borderId="0" xfId="0" applyFill="1"/>
    <xf numFmtId="0" fontId="42" fillId="0" borderId="0" xfId="0" applyFont="1" applyFill="1" applyAlignment="1"/>
    <xf numFmtId="164" fontId="61" fillId="0" borderId="18" xfId="0" applyNumberFormat="1" applyFont="1" applyBorder="1" applyAlignment="1">
      <alignment horizontal="center" vertical="center"/>
    </xf>
    <xf numFmtId="0" fontId="60" fillId="4" borderId="0" xfId="0" applyFont="1" applyFill="1" applyAlignment="1">
      <alignment horizontal="left" vertical="center" indent="8"/>
    </xf>
    <xf numFmtId="0" fontId="63" fillId="4" borderId="17" xfId="0" applyFont="1" applyFill="1" applyBorder="1" applyAlignment="1">
      <alignment horizontal="left" vertical="top"/>
    </xf>
    <xf numFmtId="0" fontId="64" fillId="4" borderId="1" xfId="0" applyFont="1" applyFill="1" applyBorder="1" applyAlignment="1">
      <alignment horizontal="center" vertical="center"/>
    </xf>
    <xf numFmtId="0" fontId="64" fillId="4" borderId="18" xfId="0" applyFont="1" applyFill="1" applyBorder="1"/>
    <xf numFmtId="0" fontId="63" fillId="4" borderId="20" xfId="0" applyFont="1" applyFill="1" applyBorder="1" applyAlignment="1">
      <alignment horizontal="left" vertical="top"/>
    </xf>
    <xf numFmtId="0" fontId="64" fillId="4" borderId="21" xfId="0" applyFont="1" applyFill="1" applyBorder="1" applyAlignment="1">
      <alignment horizontal="center" vertical="center"/>
    </xf>
    <xf numFmtId="0" fontId="64" fillId="4" borderId="22" xfId="0" applyFont="1" applyFill="1" applyBorder="1"/>
    <xf numFmtId="0" fontId="63" fillId="4" borderId="0" xfId="0" applyFont="1" applyFill="1" applyBorder="1" applyAlignment="1">
      <alignment horizontal="center"/>
    </xf>
    <xf numFmtId="0" fontId="63" fillId="4" borderId="0" xfId="0" applyFont="1" applyFill="1" applyBorder="1" applyAlignment="1">
      <alignment horizontal="center" vertical="center"/>
    </xf>
    <xf numFmtId="0" fontId="64" fillId="4" borderId="0" xfId="0" applyFont="1" applyFill="1" applyBorder="1"/>
    <xf numFmtId="0" fontId="63" fillId="4" borderId="23" xfId="0" applyFont="1" applyFill="1" applyBorder="1" applyAlignment="1">
      <alignment horizontal="left" vertical="top"/>
    </xf>
    <xf numFmtId="0" fontId="63" fillId="4" borderId="24" xfId="0" applyFont="1" applyFill="1" applyBorder="1" applyAlignment="1">
      <alignment horizontal="center" vertical="center" wrapText="1"/>
    </xf>
    <xf numFmtId="0" fontId="63" fillId="4" borderId="25" xfId="0" applyFont="1" applyFill="1" applyBorder="1" applyAlignment="1">
      <alignment horizontal="center" vertical="center"/>
    </xf>
    <xf numFmtId="0" fontId="64" fillId="4" borderId="18" xfId="0" applyFont="1" applyFill="1" applyBorder="1" applyAlignment="1">
      <alignment horizontal="center" vertical="center"/>
    </xf>
    <xf numFmtId="0" fontId="64" fillId="4" borderId="22" xfId="0" applyFont="1" applyFill="1" applyBorder="1" applyAlignment="1">
      <alignment horizontal="center" vertical="center"/>
    </xf>
    <xf numFmtId="0" fontId="64" fillId="4" borderId="22" xfId="0" applyFont="1" applyFill="1" applyBorder="1" applyAlignment="1">
      <alignment wrapText="1"/>
    </xf>
    <xf numFmtId="0" fontId="63" fillId="4" borderId="0" xfId="0" applyFont="1" applyFill="1" applyBorder="1" applyAlignment="1">
      <alignment horizontal="left" vertical="top"/>
    </xf>
    <xf numFmtId="0" fontId="64" fillId="4" borderId="0" xfId="0" applyFont="1" applyFill="1" applyAlignment="1">
      <alignment vertical="center"/>
    </xf>
    <xf numFmtId="0" fontId="64" fillId="4" borderId="0" xfId="0" applyFont="1" applyFill="1" applyAlignment="1">
      <alignment vertical="top"/>
    </xf>
    <xf numFmtId="0" fontId="64" fillId="4" borderId="0" xfId="0" applyFont="1" applyFill="1"/>
    <xf numFmtId="0" fontId="64" fillId="4" borderId="1" xfId="0" applyFont="1" applyFill="1" applyBorder="1"/>
    <xf numFmtId="164" fontId="65" fillId="4" borderId="18" xfId="0" applyNumberFormat="1" applyFont="1" applyFill="1" applyBorder="1" applyAlignment="1">
      <alignment horizontal="center" vertical="center"/>
    </xf>
    <xf numFmtId="1" fontId="65" fillId="4" borderId="2" xfId="0" quotePrefix="1" applyNumberFormat="1" applyFont="1" applyFill="1" applyBorder="1" applyAlignment="1">
      <alignment horizontal="center" vertical="center"/>
    </xf>
    <xf numFmtId="0" fontId="63" fillId="4" borderId="17" xfId="0" applyFont="1" applyFill="1" applyBorder="1" applyAlignment="1"/>
    <xf numFmtId="1" fontId="63" fillId="4" borderId="1" xfId="0" applyNumberFormat="1" applyFont="1" applyFill="1" applyBorder="1" applyAlignment="1">
      <alignment horizontal="center" vertical="center"/>
    </xf>
    <xf numFmtId="0" fontId="64" fillId="4" borderId="19" xfId="0" applyFont="1" applyFill="1" applyBorder="1"/>
    <xf numFmtId="1" fontId="64" fillId="4" borderId="2" xfId="0" applyNumberFormat="1" applyFont="1" applyFill="1" applyBorder="1" applyAlignment="1">
      <alignment horizontal="center" vertical="center"/>
    </xf>
    <xf numFmtId="164" fontId="64" fillId="4" borderId="18" xfId="0" applyNumberFormat="1" applyFont="1" applyFill="1" applyBorder="1" applyAlignment="1">
      <alignment horizontal="center" vertical="center"/>
    </xf>
    <xf numFmtId="0" fontId="64" fillId="4" borderId="20" xfId="0" applyFont="1" applyFill="1" applyBorder="1"/>
    <xf numFmtId="1" fontId="64" fillId="4" borderId="21" xfId="0" applyNumberFormat="1" applyFont="1" applyFill="1" applyBorder="1" applyAlignment="1">
      <alignment horizontal="center" vertical="center"/>
    </xf>
    <xf numFmtId="0" fontId="64" fillId="4" borderId="21" xfId="0" applyFont="1" applyFill="1" applyBorder="1"/>
    <xf numFmtId="164" fontId="64" fillId="4" borderId="22" xfId="0" applyNumberFormat="1" applyFont="1" applyFill="1" applyBorder="1" applyAlignment="1">
      <alignment horizontal="center" vertical="center"/>
    </xf>
    <xf numFmtId="164" fontId="64" fillId="4" borderId="0" xfId="0" applyNumberFormat="1" applyFont="1" applyFill="1" applyBorder="1" applyAlignment="1">
      <alignment horizontal="center" vertical="center"/>
    </xf>
    <xf numFmtId="164" fontId="65" fillId="4" borderId="0" xfId="0" applyNumberFormat="1" applyFont="1" applyFill="1" applyBorder="1" applyAlignment="1">
      <alignment horizontal="center" vertical="center"/>
    </xf>
    <xf numFmtId="0" fontId="66" fillId="4" borderId="0" xfId="0" applyFont="1" applyFill="1" applyBorder="1" applyAlignment="1">
      <alignment horizontal="left" vertical="center"/>
    </xf>
    <xf numFmtId="0" fontId="64" fillId="0" borderId="1" xfId="0" applyFont="1" applyBorder="1"/>
    <xf numFmtId="0" fontId="64" fillId="0" borderId="1" xfId="0" applyFont="1" applyFill="1" applyBorder="1"/>
    <xf numFmtId="1" fontId="64" fillId="0" borderId="1" xfId="0" applyNumberFormat="1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2" fillId="0" borderId="1" xfId="0" quotePrefix="1" applyFont="1" applyBorder="1" applyAlignment="1">
      <alignment horizontal="center" vertical="top"/>
    </xf>
    <xf numFmtId="1" fontId="64" fillId="0" borderId="1" xfId="0" applyNumberFormat="1" applyFont="1" applyBorder="1" applyAlignment="1">
      <alignment horizontal="center" vertical="center"/>
    </xf>
    <xf numFmtId="1" fontId="61" fillId="0" borderId="1" xfId="0" quotePrefix="1" applyNumberFormat="1" applyFont="1" applyBorder="1" applyAlignment="1">
      <alignment horizontal="center" vertical="center"/>
    </xf>
    <xf numFmtId="1" fontId="61" fillId="0" borderId="1" xfId="0" applyNumberFormat="1" applyFont="1" applyBorder="1" applyAlignment="1">
      <alignment horizontal="center" vertical="center"/>
    </xf>
    <xf numFmtId="0" fontId="64" fillId="0" borderId="17" xfId="0" applyFont="1" applyBorder="1" applyAlignment="1"/>
    <xf numFmtId="0" fontId="64" fillId="0" borderId="17" xfId="0" applyFont="1" applyBorder="1"/>
    <xf numFmtId="164" fontId="64" fillId="0" borderId="18" xfId="0" applyNumberFormat="1" applyFont="1" applyBorder="1" applyAlignment="1">
      <alignment horizontal="center" vertical="center"/>
    </xf>
    <xf numFmtId="0" fontId="64" fillId="0" borderId="17" xfId="0" applyFont="1" applyFill="1" applyBorder="1"/>
    <xf numFmtId="0" fontId="64" fillId="0" borderId="17" xfId="0" applyFont="1" applyBorder="1" applyAlignment="1">
      <alignment horizontal="left" vertical="center"/>
    </xf>
    <xf numFmtId="0" fontId="64" fillId="0" borderId="18" xfId="0" applyFont="1" applyFill="1" applyBorder="1" applyAlignment="1">
      <alignment horizontal="center" vertical="center"/>
    </xf>
    <xf numFmtId="0" fontId="64" fillId="0" borderId="17" xfId="0" applyFont="1" applyBorder="1" applyAlignment="1">
      <alignment horizontal="right" vertical="center"/>
    </xf>
    <xf numFmtId="0" fontId="64" fillId="0" borderId="18" xfId="0" applyFont="1" applyFill="1" applyBorder="1" applyAlignment="1"/>
    <xf numFmtId="0" fontId="64" fillId="0" borderId="20" xfId="0" applyFont="1" applyBorder="1" applyAlignment="1">
      <alignment horizontal="right" vertical="center"/>
    </xf>
    <xf numFmtId="0" fontId="62" fillId="4" borderId="2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top"/>
    </xf>
    <xf numFmtId="16" fontId="47" fillId="4" borderId="0" xfId="0" applyNumberFormat="1" applyFont="1" applyFill="1" applyBorder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7" fillId="4" borderId="21" xfId="0" applyFont="1" applyFill="1" applyBorder="1" applyAlignment="1">
      <alignment horizontal="center" vertical="center"/>
    </xf>
    <xf numFmtId="0" fontId="2" fillId="0" borderId="0" xfId="42" applyAlignment="1">
      <alignment horizontal="left" vertical="top"/>
    </xf>
    <xf numFmtId="0" fontId="2" fillId="0" borderId="0" xfId="42" applyAlignment="1">
      <alignment horizontal="left" vertical="top" wrapText="1"/>
    </xf>
    <xf numFmtId="0" fontId="2" fillId="0" borderId="1" xfId="42" applyBorder="1" applyAlignment="1">
      <alignment horizontal="center" vertical="center"/>
    </xf>
    <xf numFmtId="0" fontId="2" fillId="0" borderId="1" xfId="42" applyBorder="1" applyAlignment="1">
      <alignment horizontal="left" vertical="top"/>
    </xf>
    <xf numFmtId="0" fontId="2" fillId="0" borderId="1" xfId="42" applyBorder="1" applyAlignment="1">
      <alignment horizontal="left" vertical="top" wrapText="1"/>
    </xf>
    <xf numFmtId="22" fontId="2" fillId="0" borderId="1" xfId="42" applyNumberFormat="1" applyBorder="1" applyAlignment="1">
      <alignment horizontal="left" vertical="top"/>
    </xf>
    <xf numFmtId="0" fontId="0" fillId="4" borderId="11" xfId="0" applyFill="1" applyBorder="1"/>
    <xf numFmtId="0" fontId="46" fillId="3" borderId="8" xfId="0" applyFont="1" applyFill="1" applyBorder="1" applyAlignment="1">
      <alignment horizontal="left" vertical="top" wrapText="1"/>
    </xf>
    <xf numFmtId="0" fontId="46" fillId="3" borderId="9" xfId="0" applyFont="1" applyFill="1" applyBorder="1" applyAlignment="1">
      <alignment horizontal="left" vertical="top" wrapText="1"/>
    </xf>
    <xf numFmtId="0" fontId="46" fillId="3" borderId="10" xfId="0" applyFont="1" applyFill="1" applyBorder="1" applyAlignment="1">
      <alignment horizontal="left" vertical="top" wrapText="1"/>
    </xf>
    <xf numFmtId="0" fontId="46" fillId="3" borderId="11" xfId="0" applyFont="1" applyFill="1" applyBorder="1" applyAlignment="1">
      <alignment horizontal="left" vertical="top" wrapText="1"/>
    </xf>
    <xf numFmtId="0" fontId="46" fillId="3" borderId="0" xfId="0" applyFont="1" applyFill="1" applyBorder="1" applyAlignment="1">
      <alignment horizontal="left" vertical="top" wrapText="1"/>
    </xf>
    <xf numFmtId="0" fontId="46" fillId="3" borderId="12" xfId="0" applyFont="1" applyFill="1" applyBorder="1" applyAlignment="1">
      <alignment horizontal="left" vertical="top" wrapText="1"/>
    </xf>
    <xf numFmtId="0" fontId="46" fillId="3" borderId="4" xfId="0" applyFont="1" applyFill="1" applyBorder="1" applyAlignment="1">
      <alignment horizontal="left" vertical="top" wrapText="1"/>
    </xf>
    <xf numFmtId="0" fontId="46" fillId="3" borderId="13" xfId="0" applyFont="1" applyFill="1" applyBorder="1" applyAlignment="1">
      <alignment horizontal="left" vertical="top" wrapText="1"/>
    </xf>
    <xf numFmtId="0" fontId="46" fillId="3" borderId="3" xfId="0" applyFont="1" applyFill="1" applyBorder="1" applyAlignment="1">
      <alignment horizontal="left" vertical="top" wrapText="1"/>
    </xf>
    <xf numFmtId="0" fontId="44" fillId="2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left" vertical="center"/>
    </xf>
    <xf numFmtId="0" fontId="66" fillId="0" borderId="14" xfId="0" applyFont="1" applyFill="1" applyBorder="1" applyAlignment="1">
      <alignment horizontal="center" vertical="center"/>
    </xf>
    <xf numFmtId="0" fontId="66" fillId="0" borderId="15" xfId="0" applyFont="1" applyFill="1" applyBorder="1" applyAlignment="1">
      <alignment horizontal="center" vertical="center"/>
    </xf>
    <xf numFmtId="0" fontId="66" fillId="0" borderId="16" xfId="0" applyFont="1" applyFill="1" applyBorder="1" applyAlignment="1">
      <alignment horizontal="center" vertical="center"/>
    </xf>
    <xf numFmtId="0" fontId="64" fillId="0" borderId="0" xfId="0" applyFont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4" fillId="0" borderId="18" xfId="0" applyFont="1" applyFill="1" applyBorder="1" applyAlignment="1">
      <alignment horizontal="center"/>
    </xf>
    <xf numFmtId="0" fontId="42" fillId="4" borderId="5" xfId="0" applyFont="1" applyFill="1" applyBorder="1" applyAlignment="1">
      <alignment horizontal="left" vertical="top"/>
    </xf>
    <xf numFmtId="0" fontId="42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51" fillId="5" borderId="2" xfId="8" applyFont="1" applyFill="1" applyBorder="1" applyAlignment="1">
      <alignment horizontal="center" vertical="top"/>
    </xf>
    <xf numFmtId="0" fontId="63" fillId="4" borderId="1" xfId="0" applyFont="1" applyFill="1" applyBorder="1" applyAlignment="1">
      <alignment horizontal="center"/>
    </xf>
    <xf numFmtId="0" fontId="63" fillId="4" borderId="18" xfId="0" applyFont="1" applyFill="1" applyBorder="1" applyAlignment="1">
      <alignment horizontal="center"/>
    </xf>
    <xf numFmtId="0" fontId="63" fillId="4" borderId="14" xfId="0" applyFont="1" applyFill="1" applyBorder="1" applyAlignment="1">
      <alignment horizontal="center"/>
    </xf>
    <xf numFmtId="0" fontId="63" fillId="4" borderId="15" xfId="0" applyFont="1" applyFill="1" applyBorder="1" applyAlignment="1">
      <alignment horizontal="center"/>
    </xf>
    <xf numFmtId="0" fontId="63" fillId="4" borderId="16" xfId="0" applyFont="1" applyFill="1" applyBorder="1" applyAlignment="1">
      <alignment horizontal="center"/>
    </xf>
    <xf numFmtId="0" fontId="63" fillId="4" borderId="26" xfId="0" applyFont="1" applyFill="1" applyBorder="1" applyAlignment="1">
      <alignment horizontal="center"/>
    </xf>
    <xf numFmtId="0" fontId="63" fillId="4" borderId="27" xfId="0" applyFont="1" applyFill="1" applyBorder="1" applyAlignment="1">
      <alignment horizontal="center"/>
    </xf>
    <xf numFmtId="0" fontId="63" fillId="4" borderId="28" xfId="0" applyFont="1" applyFill="1" applyBorder="1" applyAlignment="1">
      <alignment horizontal="center"/>
    </xf>
  </cellXfs>
  <cellStyles count="43">
    <cellStyle name="Normal" xfId="0" builtinId="0"/>
    <cellStyle name="Normal 10" xfId="14"/>
    <cellStyle name="Normal 11" xfId="15"/>
    <cellStyle name="Normal 12" xfId="16"/>
    <cellStyle name="Normal 13" xfId="17"/>
    <cellStyle name="Normal 14" xfId="18"/>
    <cellStyle name="Normal 15" xfId="19"/>
    <cellStyle name="Normal 16" xfId="20"/>
    <cellStyle name="Normal 17" xfId="21"/>
    <cellStyle name="Normal 18" xfId="22"/>
    <cellStyle name="Normal 19" xfId="23"/>
    <cellStyle name="Normal 2" xfId="1"/>
    <cellStyle name="Normal 20" xfId="24"/>
    <cellStyle name="Normal 21" xfId="25"/>
    <cellStyle name="Normal 22" xfId="26"/>
    <cellStyle name="Normal 23" xfId="27"/>
    <cellStyle name="Normal 24" xfId="28"/>
    <cellStyle name="Normal 25" xfId="29"/>
    <cellStyle name="Normal 26" xfId="30"/>
    <cellStyle name="Normal 27" xfId="31"/>
    <cellStyle name="Normal 28" xfId="32"/>
    <cellStyle name="Normal 29" xfId="33"/>
    <cellStyle name="Normal 3" xfId="2"/>
    <cellStyle name="Normal 3 2" xfId="4"/>
    <cellStyle name="Normal 3 2 2" xfId="6"/>
    <cellStyle name="Normal 3 2 2 2" xfId="8"/>
    <cellStyle name="Normal 30" xfId="34"/>
    <cellStyle name="Normal 31" xfId="35"/>
    <cellStyle name="Normal 32" xfId="36"/>
    <cellStyle name="Normal 33" xfId="37"/>
    <cellStyle name="Normal 34" xfId="38"/>
    <cellStyle name="Normal 35" xfId="39"/>
    <cellStyle name="Normal 36" xfId="40"/>
    <cellStyle name="Normal 37" xfId="41"/>
    <cellStyle name="Normal 38" xfId="42"/>
    <cellStyle name="Normal 4" xfId="3"/>
    <cellStyle name="Normal 4 2" xfId="5"/>
    <cellStyle name="Normal 4 2 2" xfId="7"/>
    <cellStyle name="Normal 5" xfId="9"/>
    <cellStyle name="Normal 6" xfId="10"/>
    <cellStyle name="Normal 7" xfId="11"/>
    <cellStyle name="Normal 8" xfId="12"/>
    <cellStyle name="Normal 9" xfId="13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6</xdr:row>
      <xdr:rowOff>66675</xdr:rowOff>
    </xdr:from>
    <xdr:to>
      <xdr:col>8</xdr:col>
      <xdr:colOff>266396</xdr:colOff>
      <xdr:row>16</xdr:row>
      <xdr:rowOff>152067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1323975"/>
          <a:ext cx="2428571" cy="2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3</xdr:row>
      <xdr:rowOff>180975</xdr:rowOff>
    </xdr:from>
    <xdr:to>
      <xdr:col>25</xdr:col>
      <xdr:colOff>333375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25</xdr:col>
      <xdr:colOff>0</xdr:colOff>
      <xdr:row>4</xdr:row>
      <xdr:rowOff>171450</xdr:rowOff>
    </xdr:from>
    <xdr:to>
      <xdr:col>25</xdr:col>
      <xdr:colOff>333375</xdr:colOff>
      <xdr:row>6</xdr:row>
      <xdr:rowOff>9525</xdr:rowOff>
    </xdr:to>
    <xdr:sp macro="" textlink="">
      <xdr:nvSpPr>
        <xdr:cNvPr id="3" name="Minus 2"/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57150</xdr:colOff>
      <xdr:row>3</xdr:row>
      <xdr:rowOff>104775</xdr:rowOff>
    </xdr:from>
    <xdr:to>
      <xdr:col>12</xdr:col>
      <xdr:colOff>129611</xdr:colOff>
      <xdr:row>30</xdr:row>
      <xdr:rowOff>27788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19150"/>
          <a:ext cx="6854261" cy="5552288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3</xdr:row>
      <xdr:rowOff>104775</xdr:rowOff>
    </xdr:from>
    <xdr:to>
      <xdr:col>24</xdr:col>
      <xdr:colOff>125891</xdr:colOff>
      <xdr:row>29</xdr:row>
      <xdr:rowOff>161107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819150"/>
          <a:ext cx="6507641" cy="5485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32</xdr:row>
      <xdr:rowOff>190167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49"/>
  <sheetViews>
    <sheetView tabSelected="1" zoomScaleNormal="100" workbookViewId="0">
      <selection activeCell="B1" sqref="B1:I1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25" t="s">
        <v>23</v>
      </c>
      <c r="C1" s="125"/>
      <c r="D1" s="125"/>
      <c r="E1" s="125"/>
      <c r="F1" s="125"/>
      <c r="G1" s="125"/>
      <c r="H1" s="125"/>
      <c r="I1" s="125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7"/>
      <c r="C2" s="17"/>
      <c r="D2" s="17"/>
      <c r="E2" s="17"/>
      <c r="F2" s="17"/>
      <c r="G2" s="17"/>
      <c r="H2" s="17"/>
      <c r="I2" s="17"/>
    </row>
    <row r="3" spans="1:21" ht="21.75" customHeight="1" x14ac:dyDescent="0.3">
      <c r="A3" s="5"/>
      <c r="B3" s="106" t="s">
        <v>243</v>
      </c>
      <c r="C3" s="12"/>
      <c r="D3" s="13"/>
      <c r="E3" s="14"/>
      <c r="F3" s="13"/>
      <c r="G3" s="13"/>
      <c r="H3" s="13"/>
      <c r="I3" s="13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8"/>
      <c r="C4" s="12"/>
      <c r="D4" s="13"/>
      <c r="E4" s="14"/>
      <c r="F4" s="13"/>
      <c r="G4" s="13"/>
      <c r="H4" s="13"/>
      <c r="I4" s="13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10"/>
      <c r="B5" s="126" t="s">
        <v>196</v>
      </c>
      <c r="C5" s="126"/>
      <c r="D5" s="126"/>
      <c r="E5" s="126"/>
      <c r="F5" s="126"/>
      <c r="G5" s="126"/>
      <c r="H5" s="126"/>
      <c r="I5" s="12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s="10" customFormat="1" ht="15" customHeight="1" x14ac:dyDescent="0.25">
      <c r="B6" s="41"/>
      <c r="C6" s="41"/>
      <c r="D6" s="41"/>
      <c r="E6" s="41"/>
      <c r="F6" s="41"/>
      <c r="G6" s="41"/>
      <c r="H6" s="41"/>
      <c r="I6" s="41"/>
    </row>
    <row r="7" spans="1:21" s="10" customFormat="1" ht="7.5" customHeight="1" thickBot="1" x14ac:dyDescent="0.3">
      <c r="A7" s="69"/>
      <c r="B7" s="86"/>
      <c r="C7" s="86"/>
      <c r="D7" s="86"/>
      <c r="E7" s="86"/>
      <c r="F7" s="86"/>
      <c r="G7" s="86"/>
      <c r="H7" s="86"/>
      <c r="I7" s="86"/>
    </row>
    <row r="8" spans="1:21" s="1" customFormat="1" ht="26.25" customHeight="1" x14ac:dyDescent="0.25">
      <c r="A8" s="70"/>
      <c r="B8" s="127" t="s">
        <v>197</v>
      </c>
      <c r="C8" s="128"/>
      <c r="D8" s="128"/>
      <c r="E8" s="129"/>
      <c r="F8" s="130"/>
      <c r="G8" s="130"/>
      <c r="H8" s="130"/>
      <c r="I8" s="130"/>
      <c r="J8" s="11"/>
      <c r="K8" s="116" t="s">
        <v>234</v>
      </c>
      <c r="L8" s="117"/>
      <c r="M8" s="117"/>
      <c r="N8" s="117"/>
      <c r="O8" s="117"/>
      <c r="P8" s="117"/>
      <c r="Q8" s="118"/>
      <c r="R8" s="11"/>
      <c r="S8" s="11"/>
      <c r="T8" s="11"/>
      <c r="U8" s="11"/>
    </row>
    <row r="9" spans="1:21" s="1" customFormat="1" ht="19.5" customHeight="1" x14ac:dyDescent="0.25">
      <c r="A9" s="70"/>
      <c r="B9" s="95" t="s">
        <v>161</v>
      </c>
      <c r="C9" s="92">
        <f>SUM(C10:C13)</f>
        <v>807</v>
      </c>
      <c r="D9" s="131" t="s">
        <v>10</v>
      </c>
      <c r="E9" s="132"/>
      <c r="F9" s="130"/>
      <c r="G9" s="130"/>
      <c r="H9" s="130"/>
      <c r="I9" s="130"/>
      <c r="J9" s="11"/>
      <c r="K9" s="119"/>
      <c r="L9" s="120"/>
      <c r="M9" s="120"/>
      <c r="N9" s="120"/>
      <c r="O9" s="120"/>
      <c r="P9" s="120"/>
      <c r="Q9" s="121"/>
      <c r="R9" s="11"/>
      <c r="S9" s="11"/>
      <c r="T9" s="11"/>
      <c r="U9" s="11"/>
    </row>
    <row r="10" spans="1:21" s="1" customFormat="1" ht="21.75" customHeight="1" x14ac:dyDescent="0.25">
      <c r="A10" s="70"/>
      <c r="B10" s="96" t="s">
        <v>1</v>
      </c>
      <c r="C10" s="92">
        <v>689</v>
      </c>
      <c r="D10" s="87" t="s">
        <v>4</v>
      </c>
      <c r="E10" s="97">
        <f>C10/C9*100</f>
        <v>85.377942998760844</v>
      </c>
      <c r="F10" s="130"/>
      <c r="G10" s="130"/>
      <c r="H10" s="130"/>
      <c r="I10" s="130"/>
      <c r="J10" s="11"/>
      <c r="K10" s="119"/>
      <c r="L10" s="120"/>
      <c r="M10" s="120"/>
      <c r="N10" s="120"/>
      <c r="O10" s="120"/>
      <c r="P10" s="120"/>
      <c r="Q10" s="121"/>
      <c r="R10" s="11"/>
      <c r="S10" s="11"/>
      <c r="T10" s="11"/>
      <c r="U10" s="11"/>
    </row>
    <row r="11" spans="1:21" ht="21.75" customHeight="1" x14ac:dyDescent="0.25">
      <c r="A11" s="71"/>
      <c r="B11" s="96" t="s">
        <v>2</v>
      </c>
      <c r="C11" s="93">
        <v>91</v>
      </c>
      <c r="D11" s="87" t="s">
        <v>0</v>
      </c>
      <c r="E11" s="51">
        <f>C11/C9*100</f>
        <v>11.276332094175959</v>
      </c>
      <c r="F11" s="130"/>
      <c r="G11" s="130"/>
      <c r="H11" s="130"/>
      <c r="I11" s="130"/>
      <c r="K11" s="119"/>
      <c r="L11" s="120"/>
      <c r="M11" s="120"/>
      <c r="N11" s="120"/>
      <c r="O11" s="120"/>
      <c r="P11" s="120"/>
      <c r="Q11" s="121"/>
    </row>
    <row r="12" spans="1:21" ht="21" customHeight="1" x14ac:dyDescent="0.25">
      <c r="A12" s="71"/>
      <c r="B12" s="96" t="s">
        <v>3</v>
      </c>
      <c r="C12" s="94">
        <v>27</v>
      </c>
      <c r="D12" s="87" t="s">
        <v>5</v>
      </c>
      <c r="E12" s="51">
        <f>C12/C9*100</f>
        <v>3.3457249070631967</v>
      </c>
      <c r="F12" s="130"/>
      <c r="G12" s="130"/>
      <c r="H12" s="130"/>
      <c r="I12" s="130"/>
      <c r="K12" s="119"/>
      <c r="L12" s="120"/>
      <c r="M12" s="120"/>
      <c r="N12" s="120"/>
      <c r="O12" s="120"/>
      <c r="P12" s="120"/>
      <c r="Q12" s="121"/>
    </row>
    <row r="13" spans="1:21" ht="21" customHeight="1" x14ac:dyDescent="0.25">
      <c r="A13" s="71"/>
      <c r="B13" s="98" t="s">
        <v>9</v>
      </c>
      <c r="C13" s="89">
        <v>0</v>
      </c>
      <c r="D13" s="88" t="s">
        <v>8</v>
      </c>
      <c r="E13" s="97">
        <f>C13/C9*100</f>
        <v>0</v>
      </c>
      <c r="F13" s="130"/>
      <c r="G13" s="130"/>
      <c r="H13" s="130"/>
      <c r="I13" s="130"/>
      <c r="K13" s="119"/>
      <c r="L13" s="120"/>
      <c r="M13" s="120"/>
      <c r="N13" s="120"/>
      <c r="O13" s="120"/>
      <c r="P13" s="120"/>
      <c r="Q13" s="121"/>
    </row>
    <row r="14" spans="1:21" ht="22.5" customHeight="1" x14ac:dyDescent="0.25">
      <c r="A14" s="71"/>
      <c r="B14" s="99" t="s">
        <v>78</v>
      </c>
      <c r="C14" s="90">
        <v>60</v>
      </c>
      <c r="D14" s="87"/>
      <c r="E14" s="100"/>
      <c r="F14" s="130"/>
      <c r="G14" s="130"/>
      <c r="H14" s="130"/>
      <c r="I14" s="130"/>
      <c r="K14" s="119"/>
      <c r="L14" s="120"/>
      <c r="M14" s="120"/>
      <c r="N14" s="120"/>
      <c r="O14" s="120"/>
      <c r="P14" s="120"/>
      <c r="Q14" s="121"/>
    </row>
    <row r="15" spans="1:21" ht="21.75" customHeight="1" thickBot="1" x14ac:dyDescent="0.3">
      <c r="A15" s="71"/>
      <c r="B15" s="101" t="s">
        <v>198</v>
      </c>
      <c r="C15" s="91">
        <v>12</v>
      </c>
      <c r="D15" s="108" t="s">
        <v>233</v>
      </c>
      <c r="E15" s="102"/>
      <c r="F15" s="130"/>
      <c r="G15" s="130"/>
      <c r="H15" s="130"/>
      <c r="I15" s="130"/>
      <c r="K15" s="119"/>
      <c r="L15" s="120"/>
      <c r="M15" s="120"/>
      <c r="N15" s="120"/>
      <c r="O15" s="120"/>
      <c r="P15" s="120"/>
      <c r="Q15" s="121"/>
    </row>
    <row r="16" spans="1:21" s="5" customFormat="1" ht="20.25" customHeight="1" thickBot="1" x14ac:dyDescent="0.3">
      <c r="A16" s="71"/>
      <c r="B16" s="103" t="s">
        <v>77</v>
      </c>
      <c r="C16" s="104">
        <v>48</v>
      </c>
      <c r="D16" s="108" t="s">
        <v>242</v>
      </c>
      <c r="E16" s="58"/>
      <c r="F16" s="61"/>
      <c r="G16" s="61"/>
      <c r="H16" s="61"/>
      <c r="I16" s="61"/>
      <c r="K16" s="119"/>
      <c r="L16" s="120"/>
      <c r="M16" s="120"/>
      <c r="N16" s="120"/>
      <c r="O16" s="120"/>
      <c r="P16" s="120"/>
      <c r="Q16" s="121"/>
    </row>
    <row r="17" spans="1:17" s="5" customFormat="1" ht="15.75" customHeight="1" x14ac:dyDescent="0.25">
      <c r="A17" s="71"/>
      <c r="B17" s="61" t="s">
        <v>162</v>
      </c>
      <c r="C17" s="61"/>
      <c r="D17" s="61"/>
      <c r="E17" s="61"/>
      <c r="F17" s="61"/>
      <c r="G17" s="61"/>
      <c r="H17" s="61"/>
      <c r="I17" s="61"/>
      <c r="K17" s="119"/>
      <c r="L17" s="120"/>
      <c r="M17" s="120"/>
      <c r="N17" s="120"/>
      <c r="O17" s="120"/>
      <c r="P17" s="120"/>
      <c r="Q17" s="121"/>
    </row>
    <row r="18" spans="1:17" s="5" customFormat="1" ht="15.75" customHeight="1" x14ac:dyDescent="0.25">
      <c r="A18" s="71"/>
      <c r="B18" s="61"/>
      <c r="C18" s="61"/>
      <c r="D18" s="61"/>
      <c r="E18" s="61"/>
      <c r="F18" s="61"/>
      <c r="G18" s="61"/>
      <c r="H18" s="61"/>
      <c r="I18" s="61"/>
      <c r="K18" s="119"/>
      <c r="L18" s="120"/>
      <c r="M18" s="120"/>
      <c r="N18" s="120"/>
      <c r="O18" s="120"/>
      <c r="P18" s="120"/>
      <c r="Q18" s="121"/>
    </row>
    <row r="19" spans="1:17" s="5" customFormat="1" ht="15.75" customHeight="1" x14ac:dyDescent="0.25">
      <c r="B19" s="15"/>
      <c r="C19" s="15"/>
      <c r="D19" s="15"/>
      <c r="E19" s="16"/>
      <c r="F19" s="15"/>
      <c r="G19" s="15"/>
      <c r="H19" s="15"/>
      <c r="I19" s="15"/>
      <c r="K19" s="122"/>
      <c r="L19" s="123"/>
      <c r="M19" s="123"/>
      <c r="N19" s="123"/>
      <c r="O19" s="123"/>
      <c r="P19" s="123"/>
      <c r="Q19" s="124"/>
    </row>
    <row r="20" spans="1:17" s="5" customFormat="1" ht="16.5" customHeight="1" x14ac:dyDescent="0.25">
      <c r="E20" s="19"/>
      <c r="K20" s="40"/>
      <c r="L20" s="40"/>
      <c r="M20" s="40"/>
      <c r="N20" s="40"/>
      <c r="O20" s="40"/>
      <c r="P20" s="40"/>
      <c r="Q20" s="40"/>
    </row>
    <row r="21" spans="1:17" s="5" customFormat="1" ht="15.75" customHeight="1" x14ac:dyDescent="0.25">
      <c r="E21" s="19"/>
      <c r="K21" s="40"/>
      <c r="L21" s="40"/>
      <c r="M21" s="40"/>
      <c r="N21" s="40"/>
      <c r="O21" s="40"/>
      <c r="P21" s="40"/>
      <c r="Q21" s="40"/>
    </row>
    <row r="22" spans="1:17" s="5" customFormat="1" ht="15.75" customHeight="1" x14ac:dyDescent="0.25">
      <c r="E22" s="19"/>
      <c r="K22" s="40"/>
      <c r="L22" s="40"/>
      <c r="M22" s="40"/>
      <c r="N22" s="40"/>
      <c r="O22" s="40"/>
      <c r="P22" s="40"/>
      <c r="Q22" s="40"/>
    </row>
    <row r="23" spans="1:17" s="5" customFormat="1" ht="15.75" customHeight="1" x14ac:dyDescent="0.25">
      <c r="E23" s="19"/>
      <c r="K23" s="40"/>
      <c r="L23" s="40"/>
      <c r="M23" s="40"/>
      <c r="N23" s="40"/>
      <c r="O23" s="40"/>
      <c r="P23" s="40"/>
      <c r="Q23" s="40"/>
    </row>
    <row r="24" spans="1:17" s="5" customFormat="1" x14ac:dyDescent="0.25">
      <c r="E24" s="19"/>
    </row>
    <row r="25" spans="1:17" s="5" customFormat="1" x14ac:dyDescent="0.25">
      <c r="E25" s="19"/>
    </row>
    <row r="26" spans="1:17" s="5" customFormat="1" x14ac:dyDescent="0.25">
      <c r="E26" s="19"/>
    </row>
    <row r="27" spans="1:17" s="5" customFormat="1" x14ac:dyDescent="0.25">
      <c r="E27" s="19"/>
    </row>
    <row r="28" spans="1:17" s="5" customFormat="1" x14ac:dyDescent="0.25">
      <c r="E28" s="19"/>
    </row>
    <row r="29" spans="1:17" s="5" customFormat="1" x14ac:dyDescent="0.25">
      <c r="E29" s="19"/>
    </row>
    <row r="30" spans="1:17" s="5" customFormat="1" x14ac:dyDescent="0.25">
      <c r="E30" s="19"/>
    </row>
    <row r="31" spans="1:17" s="5" customFormat="1" x14ac:dyDescent="0.25">
      <c r="E31" s="19"/>
    </row>
    <row r="32" spans="1:17" s="5" customFormat="1" x14ac:dyDescent="0.25">
      <c r="E32" s="19"/>
    </row>
    <row r="33" spans="5:5" s="5" customFormat="1" x14ac:dyDescent="0.25">
      <c r="E33" s="19"/>
    </row>
    <row r="34" spans="5:5" s="5" customFormat="1" x14ac:dyDescent="0.25">
      <c r="E34" s="19"/>
    </row>
    <row r="35" spans="5:5" s="5" customFormat="1" x14ac:dyDescent="0.25">
      <c r="E35" s="19"/>
    </row>
    <row r="36" spans="5:5" s="5" customFormat="1" x14ac:dyDescent="0.25">
      <c r="E36" s="19"/>
    </row>
    <row r="37" spans="5:5" s="5" customFormat="1" x14ac:dyDescent="0.25">
      <c r="E37" s="19"/>
    </row>
    <row r="38" spans="5:5" s="5" customFormat="1" x14ac:dyDescent="0.25">
      <c r="E38" s="19"/>
    </row>
    <row r="39" spans="5:5" s="5" customFormat="1" x14ac:dyDescent="0.25">
      <c r="E39" s="19"/>
    </row>
    <row r="40" spans="5:5" s="5" customFormat="1" x14ac:dyDescent="0.25">
      <c r="E40" s="19"/>
    </row>
    <row r="41" spans="5:5" s="5" customFormat="1" x14ac:dyDescent="0.25">
      <c r="E41" s="19"/>
    </row>
    <row r="42" spans="5:5" s="5" customFormat="1" x14ac:dyDescent="0.25">
      <c r="E42" s="19"/>
    </row>
    <row r="43" spans="5:5" s="5" customFormat="1" x14ac:dyDescent="0.25">
      <c r="E43" s="19"/>
    </row>
    <row r="44" spans="5:5" s="5" customFormat="1" x14ac:dyDescent="0.25">
      <c r="E44" s="19"/>
    </row>
    <row r="45" spans="5:5" s="5" customFormat="1" x14ac:dyDescent="0.25">
      <c r="E45" s="19"/>
    </row>
    <row r="46" spans="5:5" s="5" customFormat="1" x14ac:dyDescent="0.25">
      <c r="E46" s="19"/>
    </row>
    <row r="47" spans="5:5" s="5" customFormat="1" x14ac:dyDescent="0.25">
      <c r="E47" s="19"/>
    </row>
    <row r="48" spans="5:5" s="5" customFormat="1" x14ac:dyDescent="0.25">
      <c r="E48" s="19"/>
    </row>
    <row r="49" spans="5:5" s="5" customFormat="1" x14ac:dyDescent="0.25">
      <c r="E49" s="19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39"/>
  <sheetViews>
    <sheetView zoomScaleNormal="100" workbookViewId="0"/>
  </sheetViews>
  <sheetFormatPr defaultRowHeight="15.75" x14ac:dyDescent="0.25"/>
  <cols>
    <col min="1" max="1" width="9" style="5"/>
    <col min="2" max="2" width="2" style="5" customWidth="1"/>
    <col min="3" max="3" width="9" style="5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14" width="2.375" style="5" customWidth="1"/>
    <col min="15" max="15" width="9" style="5" customWidth="1"/>
    <col min="16" max="22" width="9" style="5"/>
    <col min="23" max="23" width="5.625" style="5" customWidth="1"/>
    <col min="24" max="25" width="3.125" style="5" customWidth="1"/>
    <col min="26" max="26" width="5.375" style="5" customWidth="1"/>
    <col min="27" max="27" width="80.75" style="5" customWidth="1"/>
    <col min="28" max="28" width="92.125" style="5" customWidth="1"/>
    <col min="29" max="29" width="3" style="5" customWidth="1"/>
    <col min="30" max="16384" width="9" style="5"/>
  </cols>
  <sheetData>
    <row r="1" spans="1:30" ht="18.75" x14ac:dyDescent="0.3">
      <c r="A1" s="4" t="s">
        <v>238</v>
      </c>
    </row>
    <row r="2" spans="1:30" ht="18.75" x14ac:dyDescent="0.3">
      <c r="O2" s="6"/>
    </row>
    <row r="3" spans="1:30" ht="18.75" x14ac:dyDescent="0.3">
      <c r="C3" s="4" t="s">
        <v>87</v>
      </c>
      <c r="N3" s="4" t="s">
        <v>89</v>
      </c>
    </row>
    <row r="5" spans="1:30" x14ac:dyDescent="0.25">
      <c r="AA5" s="107" t="s">
        <v>232</v>
      </c>
    </row>
    <row r="6" spans="1:30" x14ac:dyDescent="0.25">
      <c r="AA6" s="105" t="s">
        <v>224</v>
      </c>
    </row>
    <row r="7" spans="1:30" x14ac:dyDescent="0.25">
      <c r="AA7" s="35" t="s">
        <v>239</v>
      </c>
      <c r="AB7" s="7"/>
    </row>
    <row r="8" spans="1:30" x14ac:dyDescent="0.25">
      <c r="Z8" s="36">
        <v>60</v>
      </c>
      <c r="AA8" s="5" t="s">
        <v>88</v>
      </c>
    </row>
    <row r="9" spans="1:30" x14ac:dyDescent="0.25">
      <c r="AA9" s="34" t="s">
        <v>240</v>
      </c>
    </row>
    <row r="11" spans="1:30" s="49" customForma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8" t="s">
        <v>7</v>
      </c>
    </row>
    <row r="12" spans="1:30" x14ac:dyDescent="0.25">
      <c r="Z12" s="9">
        <v>25</v>
      </c>
      <c r="AA12" s="9" t="s">
        <v>13</v>
      </c>
    </row>
    <row r="13" spans="1:30" x14ac:dyDescent="0.25">
      <c r="Z13" s="9">
        <v>7</v>
      </c>
      <c r="AA13" s="9" t="s">
        <v>103</v>
      </c>
    </row>
    <row r="14" spans="1:30" x14ac:dyDescent="0.25">
      <c r="Z14" s="9">
        <v>22</v>
      </c>
      <c r="AA14" s="9" t="s">
        <v>21</v>
      </c>
    </row>
    <row r="15" spans="1:30" x14ac:dyDescent="0.25">
      <c r="Z15" s="9">
        <v>3</v>
      </c>
      <c r="AA15" s="9" t="s">
        <v>11</v>
      </c>
      <c r="AB15" s="23"/>
      <c r="AC15" s="23"/>
      <c r="AD15" s="23"/>
    </row>
    <row r="16" spans="1:30" x14ac:dyDescent="0.25">
      <c r="Z16" s="9">
        <v>2</v>
      </c>
      <c r="AA16" s="9" t="s">
        <v>6</v>
      </c>
    </row>
    <row r="17" spans="3:29" x14ac:dyDescent="0.25">
      <c r="Z17" s="9">
        <v>1</v>
      </c>
      <c r="AA17" s="9" t="s">
        <v>12</v>
      </c>
    </row>
    <row r="18" spans="3:29" x14ac:dyDescent="0.25">
      <c r="Z18" s="9">
        <v>0</v>
      </c>
      <c r="AA18" s="9" t="s">
        <v>22</v>
      </c>
      <c r="AB18" s="22"/>
      <c r="AC18" s="22"/>
    </row>
    <row r="19" spans="3:29" x14ac:dyDescent="0.25">
      <c r="Z19" s="8">
        <f>SUM(Z12:Z18)</f>
        <v>60</v>
      </c>
      <c r="AA19" s="8" t="s">
        <v>80</v>
      </c>
      <c r="AB19" s="22"/>
      <c r="AC19" s="22"/>
    </row>
    <row r="20" spans="3:29" x14ac:dyDescent="0.25">
      <c r="AB20" s="22"/>
      <c r="AC20" s="22"/>
    </row>
    <row r="21" spans="3:29" x14ac:dyDescent="0.25">
      <c r="Z21" s="48" t="s">
        <v>104</v>
      </c>
      <c r="AA21" s="49"/>
      <c r="AB21" s="22"/>
      <c r="AC21" s="22"/>
    </row>
    <row r="22" spans="3:29" x14ac:dyDescent="0.25">
      <c r="Z22" s="24">
        <v>28</v>
      </c>
      <c r="AA22" s="25" t="s">
        <v>176</v>
      </c>
      <c r="AB22" s="22"/>
      <c r="AC22" s="22"/>
    </row>
    <row r="23" spans="3:29" ht="18.75" customHeight="1" x14ac:dyDescent="0.25">
      <c r="Z23" s="26">
        <v>32</v>
      </c>
      <c r="AA23" s="37" t="s">
        <v>106</v>
      </c>
      <c r="AB23" s="22"/>
      <c r="AC23" s="22"/>
    </row>
    <row r="24" spans="3:29" x14ac:dyDescent="0.25">
      <c r="Z24" s="22"/>
      <c r="AA24" s="42" t="s">
        <v>105</v>
      </c>
      <c r="AB24" s="22"/>
      <c r="AC24" s="22"/>
    </row>
    <row r="25" spans="3:29" x14ac:dyDescent="0.25">
      <c r="Z25" s="22"/>
      <c r="AA25" s="22"/>
      <c r="AB25" s="22"/>
      <c r="AC25" s="22"/>
    </row>
    <row r="26" spans="3:29" x14ac:dyDescent="0.25">
      <c r="Z26" s="50" t="s">
        <v>107</v>
      </c>
      <c r="AA26" s="49"/>
    </row>
    <row r="27" spans="3:29" ht="30.75" customHeight="1" x14ac:dyDescent="0.25">
      <c r="Z27" s="22"/>
      <c r="AA27" s="22"/>
      <c r="AB27" s="22"/>
      <c r="AC27" s="22"/>
    </row>
    <row r="32" spans="3:29" x14ac:dyDescent="0.25">
      <c r="C32" s="133" t="s">
        <v>14</v>
      </c>
      <c r="D32" s="134"/>
      <c r="E32" s="138" t="s">
        <v>20</v>
      </c>
      <c r="F32" s="138"/>
      <c r="G32" s="138"/>
      <c r="H32" s="138"/>
      <c r="I32" s="138"/>
      <c r="J32" s="138"/>
      <c r="K32" s="138"/>
      <c r="L32" s="138"/>
    </row>
    <row r="33" spans="3:12" x14ac:dyDescent="0.25">
      <c r="C33" s="133" t="s">
        <v>15</v>
      </c>
      <c r="D33" s="134"/>
      <c r="E33" s="135" t="s">
        <v>19</v>
      </c>
      <c r="F33" s="136"/>
      <c r="G33" s="136"/>
      <c r="H33" s="136"/>
      <c r="I33" s="136"/>
      <c r="J33" s="136"/>
      <c r="K33" s="136"/>
      <c r="L33" s="137"/>
    </row>
    <row r="34" spans="3:12" x14ac:dyDescent="0.25">
      <c r="C34" s="20" t="s">
        <v>79</v>
      </c>
      <c r="D34" s="21"/>
      <c r="E34" s="135" t="s">
        <v>110</v>
      </c>
      <c r="F34" s="136"/>
      <c r="G34" s="136"/>
      <c r="H34" s="136"/>
      <c r="I34" s="136"/>
      <c r="J34" s="136"/>
      <c r="K34" s="136"/>
      <c r="L34" s="137"/>
    </row>
    <row r="35" spans="3:12" x14ac:dyDescent="0.25">
      <c r="C35" s="43" t="s">
        <v>109</v>
      </c>
      <c r="D35" s="44"/>
      <c r="E35" s="45" t="s">
        <v>111</v>
      </c>
      <c r="F35" s="46"/>
      <c r="G35" s="46"/>
      <c r="H35" s="46"/>
      <c r="I35" s="46"/>
      <c r="J35" s="46"/>
      <c r="K35" s="46"/>
      <c r="L35" s="47"/>
    </row>
    <row r="36" spans="3:12" x14ac:dyDescent="0.25">
      <c r="C36" s="133" t="s">
        <v>16</v>
      </c>
      <c r="D36" s="134"/>
      <c r="E36" s="139" t="s">
        <v>24</v>
      </c>
      <c r="F36" s="139"/>
      <c r="G36" s="139"/>
      <c r="H36" s="139"/>
      <c r="I36" s="139"/>
      <c r="J36" s="139"/>
      <c r="K36" s="139"/>
      <c r="L36" s="139"/>
    </row>
    <row r="37" spans="3:12" x14ac:dyDescent="0.25">
      <c r="C37" s="133" t="s">
        <v>17</v>
      </c>
      <c r="D37" s="134"/>
      <c r="E37" s="135" t="s">
        <v>18</v>
      </c>
      <c r="F37" s="136"/>
      <c r="G37" s="136"/>
      <c r="H37" s="136"/>
      <c r="I37" s="136"/>
      <c r="J37" s="136"/>
      <c r="K37" s="136"/>
      <c r="L37" s="137"/>
    </row>
    <row r="38" spans="3:12" x14ac:dyDescent="0.25">
      <c r="C38" s="133" t="s">
        <v>63</v>
      </c>
      <c r="D38" s="134"/>
      <c r="E38" s="135" t="s">
        <v>64</v>
      </c>
      <c r="F38" s="136"/>
      <c r="G38" s="136"/>
      <c r="H38" s="136"/>
      <c r="I38" s="136"/>
      <c r="J38" s="136"/>
      <c r="K38" s="136"/>
      <c r="L38" s="137"/>
    </row>
    <row r="39" spans="3:12" x14ac:dyDescent="0.25">
      <c r="C39" s="133" t="s">
        <v>85</v>
      </c>
      <c r="D39" s="134"/>
      <c r="E39" s="135" t="s">
        <v>86</v>
      </c>
      <c r="F39" s="136"/>
      <c r="G39" s="136"/>
      <c r="H39" s="136"/>
      <c r="I39" s="136"/>
      <c r="J39" s="136"/>
      <c r="K39" s="136"/>
      <c r="L39" s="137"/>
    </row>
  </sheetData>
  <mergeCells count="13">
    <mergeCell ref="E33:L33"/>
    <mergeCell ref="E37:L37"/>
    <mergeCell ref="E32:L32"/>
    <mergeCell ref="E36:L36"/>
    <mergeCell ref="C32:D32"/>
    <mergeCell ref="C33:D33"/>
    <mergeCell ref="C36:D36"/>
    <mergeCell ref="E34:L34"/>
    <mergeCell ref="C39:D39"/>
    <mergeCell ref="E39:L39"/>
    <mergeCell ref="C38:D38"/>
    <mergeCell ref="E38:L38"/>
    <mergeCell ref="C37:D3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/>
  </sheetViews>
  <sheetFormatPr defaultRowHeight="15" x14ac:dyDescent="0.25"/>
  <cols>
    <col min="1" max="1" width="3.25" style="109" customWidth="1"/>
    <col min="2" max="2" width="9" style="109"/>
    <col min="3" max="3" width="57.75" style="110" customWidth="1"/>
    <col min="4" max="4" width="7.375" style="109" bestFit="1" customWidth="1"/>
    <col min="5" max="5" width="13.875" style="109" bestFit="1" customWidth="1"/>
    <col min="6" max="6" width="31.875" style="109" bestFit="1" customWidth="1"/>
    <col min="7" max="7" width="17.625" style="109" bestFit="1" customWidth="1"/>
    <col min="8" max="8" width="31.875" style="109" bestFit="1" customWidth="1"/>
    <col min="9" max="9" width="29.125" style="109" bestFit="1" customWidth="1"/>
    <col min="10" max="10" width="18.625" style="109" bestFit="1" customWidth="1"/>
    <col min="11" max="11" width="17.125" style="109" bestFit="1" customWidth="1"/>
    <col min="12" max="16384" width="9" style="109"/>
  </cols>
  <sheetData>
    <row r="1" spans="1:11" s="27" customFormat="1" ht="18.75" x14ac:dyDescent="0.25">
      <c r="A1" s="39" t="s">
        <v>241</v>
      </c>
      <c r="C1" s="28"/>
    </row>
    <row r="2" spans="1:11" s="27" customFormat="1" x14ac:dyDescent="0.25">
      <c r="A2" s="38"/>
      <c r="B2" s="29"/>
      <c r="C2" s="28"/>
      <c r="H2" s="140" t="s">
        <v>25</v>
      </c>
      <c r="I2" s="140"/>
    </row>
    <row r="3" spans="1:11" s="33" customFormat="1" x14ac:dyDescent="0.25">
      <c r="A3" s="30"/>
      <c r="B3" s="31" t="s">
        <v>26</v>
      </c>
      <c r="C3" s="32" t="s">
        <v>27</v>
      </c>
      <c r="D3" s="31" t="s">
        <v>28</v>
      </c>
      <c r="E3" s="31" t="s">
        <v>29</v>
      </c>
      <c r="F3" s="31" t="s">
        <v>30</v>
      </c>
      <c r="G3" s="31" t="s">
        <v>31</v>
      </c>
      <c r="H3" s="31" t="s">
        <v>32</v>
      </c>
      <c r="I3" s="31" t="s">
        <v>33</v>
      </c>
      <c r="J3" s="31" t="s">
        <v>34</v>
      </c>
      <c r="K3" s="31" t="s">
        <v>65</v>
      </c>
    </row>
    <row r="4" spans="1:11" ht="30" x14ac:dyDescent="0.25">
      <c r="A4" s="111">
        <v>1</v>
      </c>
      <c r="B4" s="112" t="s">
        <v>229</v>
      </c>
      <c r="C4" s="113" t="s">
        <v>230</v>
      </c>
      <c r="D4" s="112" t="s">
        <v>37</v>
      </c>
      <c r="E4" s="114">
        <v>44308.051388888889</v>
      </c>
      <c r="F4" s="112" t="s">
        <v>39</v>
      </c>
      <c r="G4" s="112" t="s">
        <v>14</v>
      </c>
      <c r="H4" s="112"/>
      <c r="I4" s="112" t="s">
        <v>231</v>
      </c>
      <c r="J4" s="112"/>
      <c r="K4" s="112" t="s">
        <v>66</v>
      </c>
    </row>
    <row r="5" spans="1:11" ht="30" x14ac:dyDescent="0.25">
      <c r="A5" s="111">
        <v>2</v>
      </c>
      <c r="B5" s="112" t="s">
        <v>225</v>
      </c>
      <c r="C5" s="113" t="s">
        <v>226</v>
      </c>
      <c r="D5" s="112" t="s">
        <v>37</v>
      </c>
      <c r="E5" s="114">
        <v>44307.208333333336</v>
      </c>
      <c r="F5" s="112" t="s">
        <v>39</v>
      </c>
      <c r="G5" s="112" t="s">
        <v>16</v>
      </c>
      <c r="H5" s="112"/>
      <c r="I5" s="112" t="s">
        <v>50</v>
      </c>
      <c r="J5" s="112"/>
      <c r="K5" s="112" t="s">
        <v>66</v>
      </c>
    </row>
    <row r="6" spans="1:11" ht="30" x14ac:dyDescent="0.25">
      <c r="A6" s="111">
        <v>3</v>
      </c>
      <c r="B6" s="112" t="s">
        <v>227</v>
      </c>
      <c r="C6" s="113" t="s">
        <v>228</v>
      </c>
      <c r="D6" s="112" t="s">
        <v>37</v>
      </c>
      <c r="E6" s="114">
        <v>44307.195138888892</v>
      </c>
      <c r="F6" s="112" t="s">
        <v>39</v>
      </c>
      <c r="G6" s="112" t="s">
        <v>14</v>
      </c>
      <c r="H6" s="112"/>
      <c r="I6" s="112" t="s">
        <v>174</v>
      </c>
      <c r="J6" s="112"/>
      <c r="K6" s="112" t="s">
        <v>66</v>
      </c>
    </row>
    <row r="7" spans="1:11" ht="30" x14ac:dyDescent="0.25">
      <c r="A7" s="111">
        <v>4</v>
      </c>
      <c r="B7" s="112" t="s">
        <v>221</v>
      </c>
      <c r="C7" s="113" t="s">
        <v>222</v>
      </c>
      <c r="D7" s="112" t="s">
        <v>37</v>
      </c>
      <c r="E7" s="114">
        <v>44306.381944444445</v>
      </c>
      <c r="F7" s="112" t="s">
        <v>39</v>
      </c>
      <c r="G7" s="112" t="s">
        <v>14</v>
      </c>
      <c r="H7" s="112"/>
      <c r="I7" s="112" t="s">
        <v>174</v>
      </c>
      <c r="J7" s="112"/>
      <c r="K7" s="112" t="s">
        <v>66</v>
      </c>
    </row>
    <row r="8" spans="1:11" ht="30" x14ac:dyDescent="0.25">
      <c r="A8" s="111">
        <v>5</v>
      </c>
      <c r="B8" s="112" t="s">
        <v>215</v>
      </c>
      <c r="C8" s="113" t="s">
        <v>216</v>
      </c>
      <c r="D8" s="112" t="s">
        <v>37</v>
      </c>
      <c r="E8" s="114">
        <v>44303.318749999999</v>
      </c>
      <c r="F8" s="112" t="s">
        <v>39</v>
      </c>
      <c r="G8" s="112" t="s">
        <v>15</v>
      </c>
      <c r="H8" s="112" t="s">
        <v>39</v>
      </c>
      <c r="I8" s="112"/>
      <c r="J8" s="112"/>
      <c r="K8" s="112" t="s">
        <v>66</v>
      </c>
    </row>
    <row r="9" spans="1:11" ht="30" x14ac:dyDescent="0.25">
      <c r="A9" s="111">
        <v>6</v>
      </c>
      <c r="B9" s="112" t="s">
        <v>217</v>
      </c>
      <c r="C9" s="113" t="s">
        <v>218</v>
      </c>
      <c r="D9" s="112" t="s">
        <v>37</v>
      </c>
      <c r="E9" s="114">
        <v>44303.256249999999</v>
      </c>
      <c r="F9" s="112" t="s">
        <v>141</v>
      </c>
      <c r="G9" s="112" t="s">
        <v>14</v>
      </c>
      <c r="H9" s="112" t="s">
        <v>84</v>
      </c>
      <c r="I9" s="112"/>
      <c r="J9" s="112"/>
      <c r="K9" s="112" t="s">
        <v>66</v>
      </c>
    </row>
    <row r="10" spans="1:11" x14ac:dyDescent="0.25">
      <c r="A10" s="111">
        <v>7</v>
      </c>
      <c r="B10" s="112" t="s">
        <v>219</v>
      </c>
      <c r="C10" s="113" t="s">
        <v>220</v>
      </c>
      <c r="D10" s="112" t="s">
        <v>37</v>
      </c>
      <c r="E10" s="114">
        <v>44303.203472222223</v>
      </c>
      <c r="F10" s="112" t="s">
        <v>209</v>
      </c>
      <c r="G10" s="112" t="s">
        <v>14</v>
      </c>
      <c r="H10" s="112" t="s">
        <v>84</v>
      </c>
      <c r="I10" s="112"/>
      <c r="J10" s="112"/>
      <c r="K10" s="112" t="s">
        <v>66</v>
      </c>
    </row>
    <row r="11" spans="1:11" ht="30" x14ac:dyDescent="0.25">
      <c r="A11" s="111">
        <v>8</v>
      </c>
      <c r="B11" s="112" t="s">
        <v>205</v>
      </c>
      <c r="C11" s="113" t="s">
        <v>206</v>
      </c>
      <c r="D11" s="112" t="s">
        <v>37</v>
      </c>
      <c r="E11" s="114">
        <v>44302.359722222223</v>
      </c>
      <c r="F11" s="112" t="s">
        <v>39</v>
      </c>
      <c r="G11" s="112" t="s">
        <v>14</v>
      </c>
      <c r="H11" s="112" t="s">
        <v>39</v>
      </c>
      <c r="I11" s="112"/>
      <c r="J11" s="112"/>
      <c r="K11" s="112" t="s">
        <v>66</v>
      </c>
    </row>
    <row r="12" spans="1:11" ht="30" x14ac:dyDescent="0.25">
      <c r="A12" s="111">
        <v>9</v>
      </c>
      <c r="B12" s="112" t="s">
        <v>207</v>
      </c>
      <c r="C12" s="113" t="s">
        <v>208</v>
      </c>
      <c r="D12" s="112" t="s">
        <v>37</v>
      </c>
      <c r="E12" s="114">
        <v>44302.249305555553</v>
      </c>
      <c r="F12" s="112" t="s">
        <v>209</v>
      </c>
      <c r="G12" s="112" t="s">
        <v>14</v>
      </c>
      <c r="H12" s="112" t="s">
        <v>209</v>
      </c>
      <c r="I12" s="112"/>
      <c r="J12" s="112"/>
      <c r="K12" s="112" t="s">
        <v>71</v>
      </c>
    </row>
    <row r="13" spans="1:11" ht="30" x14ac:dyDescent="0.25">
      <c r="A13" s="111">
        <v>10</v>
      </c>
      <c r="B13" s="112" t="s">
        <v>210</v>
      </c>
      <c r="C13" s="113" t="s">
        <v>211</v>
      </c>
      <c r="D13" s="112" t="s">
        <v>37</v>
      </c>
      <c r="E13" s="114">
        <v>44302.09652777778</v>
      </c>
      <c r="F13" s="112" t="s">
        <v>39</v>
      </c>
      <c r="G13" s="112" t="s">
        <v>14</v>
      </c>
      <c r="H13" s="112"/>
      <c r="I13" s="112" t="s">
        <v>174</v>
      </c>
      <c r="J13" s="112"/>
      <c r="K13" s="112" t="s">
        <v>66</v>
      </c>
    </row>
    <row r="14" spans="1:11" x14ac:dyDescent="0.25">
      <c r="A14" s="111">
        <v>11</v>
      </c>
      <c r="B14" s="112" t="s">
        <v>212</v>
      </c>
      <c r="C14" s="113" t="s">
        <v>213</v>
      </c>
      <c r="D14" s="112" t="s">
        <v>37</v>
      </c>
      <c r="E14" s="114">
        <v>44302.064583333333</v>
      </c>
      <c r="F14" s="112" t="s">
        <v>209</v>
      </c>
      <c r="G14" s="112" t="s">
        <v>15</v>
      </c>
      <c r="H14" s="112" t="s">
        <v>209</v>
      </c>
      <c r="I14" s="112"/>
      <c r="J14" s="112"/>
      <c r="K14" s="112" t="s">
        <v>71</v>
      </c>
    </row>
    <row r="15" spans="1:11" ht="30" x14ac:dyDescent="0.25">
      <c r="A15" s="111">
        <v>12</v>
      </c>
      <c r="B15" s="112" t="s">
        <v>199</v>
      </c>
      <c r="C15" s="113" t="s">
        <v>200</v>
      </c>
      <c r="D15" s="112" t="s">
        <v>37</v>
      </c>
      <c r="E15" s="114">
        <v>44301.052777777775</v>
      </c>
      <c r="F15" s="112" t="s">
        <v>39</v>
      </c>
      <c r="G15" s="112" t="s">
        <v>14</v>
      </c>
      <c r="H15" s="112"/>
      <c r="I15" s="112" t="s">
        <v>81</v>
      </c>
      <c r="J15" s="112"/>
      <c r="K15" s="112" t="s">
        <v>71</v>
      </c>
    </row>
    <row r="16" spans="1:11" x14ac:dyDescent="0.25">
      <c r="A16" s="111">
        <v>13</v>
      </c>
      <c r="B16" s="112" t="s">
        <v>190</v>
      </c>
      <c r="C16" s="113" t="s">
        <v>191</v>
      </c>
      <c r="D16" s="112" t="s">
        <v>37</v>
      </c>
      <c r="E16" s="114">
        <v>44299.318055555559</v>
      </c>
      <c r="F16" s="112" t="s">
        <v>38</v>
      </c>
      <c r="G16" s="112" t="s">
        <v>14</v>
      </c>
      <c r="H16" s="112"/>
      <c r="I16" s="112" t="s">
        <v>174</v>
      </c>
      <c r="J16" s="112"/>
      <c r="K16" s="112" t="s">
        <v>71</v>
      </c>
    </row>
    <row r="17" spans="1:11" ht="30" x14ac:dyDescent="0.25">
      <c r="A17" s="111">
        <v>14</v>
      </c>
      <c r="B17" s="112" t="s">
        <v>192</v>
      </c>
      <c r="C17" s="113" t="s">
        <v>193</v>
      </c>
      <c r="D17" s="112" t="s">
        <v>37</v>
      </c>
      <c r="E17" s="114">
        <v>44299.237500000003</v>
      </c>
      <c r="F17" s="112" t="s">
        <v>113</v>
      </c>
      <c r="G17" s="112" t="s">
        <v>14</v>
      </c>
      <c r="H17" s="112"/>
      <c r="I17" s="112" t="s">
        <v>174</v>
      </c>
      <c r="J17" s="112"/>
      <c r="K17" s="112" t="s">
        <v>66</v>
      </c>
    </row>
    <row r="18" spans="1:11" ht="30" x14ac:dyDescent="0.25">
      <c r="A18" s="111">
        <v>15</v>
      </c>
      <c r="B18" s="112" t="s">
        <v>182</v>
      </c>
      <c r="C18" s="113" t="s">
        <v>183</v>
      </c>
      <c r="D18" s="112" t="s">
        <v>37</v>
      </c>
      <c r="E18" s="114">
        <v>44296.228472222225</v>
      </c>
      <c r="F18" s="112" t="s">
        <v>39</v>
      </c>
      <c r="G18" s="112" t="s">
        <v>14</v>
      </c>
      <c r="H18" s="112"/>
      <c r="I18" s="112" t="s">
        <v>214</v>
      </c>
      <c r="J18" s="112"/>
      <c r="K18" s="112" t="s">
        <v>66</v>
      </c>
    </row>
    <row r="19" spans="1:11" ht="30" x14ac:dyDescent="0.25">
      <c r="A19" s="111">
        <v>16</v>
      </c>
      <c r="B19" s="112" t="s">
        <v>184</v>
      </c>
      <c r="C19" s="113" t="s">
        <v>185</v>
      </c>
      <c r="D19" s="112" t="s">
        <v>37</v>
      </c>
      <c r="E19" s="114">
        <v>44296.186805555553</v>
      </c>
      <c r="F19" s="112" t="s">
        <v>141</v>
      </c>
      <c r="G19" s="112" t="s">
        <v>14</v>
      </c>
      <c r="H19" s="112"/>
      <c r="I19" s="112" t="s">
        <v>50</v>
      </c>
      <c r="J19" s="112"/>
      <c r="K19" s="112" t="s">
        <v>71</v>
      </c>
    </row>
    <row r="20" spans="1:11" ht="30" x14ac:dyDescent="0.25">
      <c r="A20" s="111">
        <v>17</v>
      </c>
      <c r="B20" s="112" t="s">
        <v>186</v>
      </c>
      <c r="C20" s="113" t="s">
        <v>187</v>
      </c>
      <c r="D20" s="112" t="s">
        <v>37</v>
      </c>
      <c r="E20" s="114">
        <v>44296.116666666669</v>
      </c>
      <c r="F20" s="112" t="s">
        <v>141</v>
      </c>
      <c r="G20" s="112" t="s">
        <v>14</v>
      </c>
      <c r="H20" s="112"/>
      <c r="I20" s="112" t="s">
        <v>50</v>
      </c>
      <c r="J20" s="112"/>
      <c r="K20" s="112" t="s">
        <v>66</v>
      </c>
    </row>
    <row r="21" spans="1:11" ht="30" x14ac:dyDescent="0.25">
      <c r="A21" s="111">
        <v>18</v>
      </c>
      <c r="B21" s="112" t="s">
        <v>188</v>
      </c>
      <c r="C21" s="113" t="s">
        <v>189</v>
      </c>
      <c r="D21" s="112" t="s">
        <v>37</v>
      </c>
      <c r="E21" s="114">
        <v>44296.105555555558</v>
      </c>
      <c r="F21" s="112" t="s">
        <v>39</v>
      </c>
      <c r="G21" s="112" t="s">
        <v>14</v>
      </c>
      <c r="H21" s="112"/>
      <c r="I21" s="112" t="s">
        <v>50</v>
      </c>
      <c r="J21" s="112"/>
      <c r="K21" s="112" t="s">
        <v>66</v>
      </c>
    </row>
    <row r="22" spans="1:11" x14ac:dyDescent="0.25">
      <c r="A22" s="111">
        <v>19</v>
      </c>
      <c r="B22" s="112" t="s">
        <v>179</v>
      </c>
      <c r="C22" s="113" t="s">
        <v>180</v>
      </c>
      <c r="D22" s="112" t="s">
        <v>37</v>
      </c>
      <c r="E22" s="114">
        <v>44295.149305555555</v>
      </c>
      <c r="F22" s="112" t="s">
        <v>38</v>
      </c>
      <c r="G22" s="112" t="s">
        <v>14</v>
      </c>
      <c r="H22" s="112" t="s">
        <v>38</v>
      </c>
      <c r="I22" s="112"/>
      <c r="J22" s="112"/>
      <c r="K22" s="112" t="s">
        <v>66</v>
      </c>
    </row>
    <row r="23" spans="1:11" ht="30" x14ac:dyDescent="0.25">
      <c r="A23" s="111">
        <v>20</v>
      </c>
      <c r="B23" s="112" t="s">
        <v>177</v>
      </c>
      <c r="C23" s="113" t="s">
        <v>178</v>
      </c>
      <c r="D23" s="112" t="s">
        <v>37</v>
      </c>
      <c r="E23" s="114">
        <v>44294.120833333334</v>
      </c>
      <c r="F23" s="112" t="s">
        <v>39</v>
      </c>
      <c r="G23" s="112" t="s">
        <v>69</v>
      </c>
      <c r="H23" s="112"/>
      <c r="I23" s="112" t="s">
        <v>50</v>
      </c>
      <c r="J23" s="112"/>
      <c r="K23" s="112" t="s">
        <v>70</v>
      </c>
    </row>
    <row r="24" spans="1:11" ht="30" x14ac:dyDescent="0.25">
      <c r="A24" s="111">
        <v>21</v>
      </c>
      <c r="B24" s="112" t="s">
        <v>172</v>
      </c>
      <c r="C24" s="113" t="s">
        <v>173</v>
      </c>
      <c r="D24" s="112" t="s">
        <v>194</v>
      </c>
      <c r="E24" s="114">
        <v>44286.071527777778</v>
      </c>
      <c r="F24" s="112" t="s">
        <v>39</v>
      </c>
      <c r="G24" s="112" t="s">
        <v>16</v>
      </c>
      <c r="H24" s="112" t="s">
        <v>201</v>
      </c>
      <c r="I24" s="112"/>
      <c r="J24" s="112"/>
      <c r="K24" s="112" t="s">
        <v>66</v>
      </c>
    </row>
    <row r="25" spans="1:11" ht="45" x14ac:dyDescent="0.25">
      <c r="A25" s="111">
        <v>22</v>
      </c>
      <c r="B25" s="112" t="s">
        <v>152</v>
      </c>
      <c r="C25" s="113" t="s">
        <v>153</v>
      </c>
      <c r="D25" s="112" t="s">
        <v>37</v>
      </c>
      <c r="E25" s="114">
        <v>44282.46875</v>
      </c>
      <c r="F25" s="112" t="s">
        <v>38</v>
      </c>
      <c r="G25" s="112" t="s">
        <v>14</v>
      </c>
      <c r="H25" s="112"/>
      <c r="I25" s="112" t="s">
        <v>174</v>
      </c>
      <c r="J25" s="112"/>
      <c r="K25" s="112" t="s">
        <v>66</v>
      </c>
    </row>
    <row r="26" spans="1:11" ht="30" x14ac:dyDescent="0.25">
      <c r="A26" s="111">
        <v>23</v>
      </c>
      <c r="B26" s="112" t="s">
        <v>154</v>
      </c>
      <c r="C26" s="113" t="s">
        <v>155</v>
      </c>
      <c r="D26" s="112" t="s">
        <v>37</v>
      </c>
      <c r="E26" s="114">
        <v>44282.205555555556</v>
      </c>
      <c r="F26" s="112" t="s">
        <v>38</v>
      </c>
      <c r="G26" s="112" t="s">
        <v>14</v>
      </c>
      <c r="H26" s="112" t="s">
        <v>38</v>
      </c>
      <c r="I26" s="112"/>
      <c r="J26" s="112"/>
      <c r="K26" s="112" t="s">
        <v>66</v>
      </c>
    </row>
    <row r="27" spans="1:11" ht="30" x14ac:dyDescent="0.25">
      <c r="A27" s="111">
        <v>24</v>
      </c>
      <c r="B27" s="112" t="s">
        <v>144</v>
      </c>
      <c r="C27" s="113" t="s">
        <v>145</v>
      </c>
      <c r="D27" s="112" t="s">
        <v>37</v>
      </c>
      <c r="E27" s="114">
        <v>44280.244444444441</v>
      </c>
      <c r="F27" s="112" t="s">
        <v>39</v>
      </c>
      <c r="G27" s="112" t="s">
        <v>14</v>
      </c>
      <c r="H27" s="112"/>
      <c r="I27" s="112" t="s">
        <v>174</v>
      </c>
      <c r="J27" s="112" t="s">
        <v>99</v>
      </c>
      <c r="K27" s="112" t="s">
        <v>71</v>
      </c>
    </row>
    <row r="28" spans="1:11" ht="30" x14ac:dyDescent="0.25">
      <c r="A28" s="111">
        <v>25</v>
      </c>
      <c r="B28" s="112" t="s">
        <v>146</v>
      </c>
      <c r="C28" s="113" t="s">
        <v>147</v>
      </c>
      <c r="D28" s="112" t="s">
        <v>37</v>
      </c>
      <c r="E28" s="114">
        <v>44280.162499999999</v>
      </c>
      <c r="F28" s="112" t="s">
        <v>141</v>
      </c>
      <c r="G28" s="112" t="s">
        <v>14</v>
      </c>
      <c r="H28" s="112"/>
      <c r="I28" s="112" t="s">
        <v>81</v>
      </c>
      <c r="J28" s="112"/>
      <c r="K28" s="112" t="s">
        <v>102</v>
      </c>
    </row>
    <row r="29" spans="1:11" ht="30" x14ac:dyDescent="0.25">
      <c r="A29" s="111">
        <v>26</v>
      </c>
      <c r="B29" s="112" t="s">
        <v>148</v>
      </c>
      <c r="C29" s="113" t="s">
        <v>149</v>
      </c>
      <c r="D29" s="112" t="s">
        <v>37</v>
      </c>
      <c r="E29" s="114">
        <v>44280.134722222225</v>
      </c>
      <c r="F29" s="112" t="s">
        <v>38</v>
      </c>
      <c r="G29" s="112" t="s">
        <v>14</v>
      </c>
      <c r="H29" s="112" t="s">
        <v>38</v>
      </c>
      <c r="I29" s="112"/>
      <c r="J29" s="112"/>
      <c r="K29" s="112" t="s">
        <v>68</v>
      </c>
    </row>
    <row r="30" spans="1:11" ht="30" x14ac:dyDescent="0.25">
      <c r="A30" s="111">
        <v>27</v>
      </c>
      <c r="B30" s="112" t="s">
        <v>142</v>
      </c>
      <c r="C30" s="113" t="s">
        <v>143</v>
      </c>
      <c r="D30" s="112" t="s">
        <v>37</v>
      </c>
      <c r="E30" s="114">
        <v>44278.418749999997</v>
      </c>
      <c r="F30" s="112" t="s">
        <v>39</v>
      </c>
      <c r="G30" s="112" t="s">
        <v>14</v>
      </c>
      <c r="H30" s="112"/>
      <c r="I30" s="112" t="s">
        <v>150</v>
      </c>
      <c r="J30" s="112" t="s">
        <v>99</v>
      </c>
      <c r="K30" s="112" t="s">
        <v>71</v>
      </c>
    </row>
    <row r="31" spans="1:11" ht="30" x14ac:dyDescent="0.25">
      <c r="A31" s="111">
        <v>28</v>
      </c>
      <c r="B31" s="112" t="s">
        <v>139</v>
      </c>
      <c r="C31" s="113" t="s">
        <v>140</v>
      </c>
      <c r="D31" s="112" t="s">
        <v>37</v>
      </c>
      <c r="E31" s="114">
        <v>44278.368750000001</v>
      </c>
      <c r="F31" s="112" t="s">
        <v>141</v>
      </c>
      <c r="G31" s="112" t="s">
        <v>14</v>
      </c>
      <c r="H31" s="112"/>
      <c r="I31" s="112" t="s">
        <v>150</v>
      </c>
      <c r="J31" s="112" t="s">
        <v>99</v>
      </c>
      <c r="K31" s="112" t="s">
        <v>71</v>
      </c>
    </row>
    <row r="32" spans="1:11" ht="30" x14ac:dyDescent="0.25">
      <c r="A32" s="111">
        <v>29</v>
      </c>
      <c r="B32" s="112" t="s">
        <v>137</v>
      </c>
      <c r="C32" s="113" t="s">
        <v>138</v>
      </c>
      <c r="D32" s="112" t="s">
        <v>37</v>
      </c>
      <c r="E32" s="114">
        <v>44275.30972222222</v>
      </c>
      <c r="F32" s="112" t="s">
        <v>39</v>
      </c>
      <c r="G32" s="112" t="s">
        <v>14</v>
      </c>
      <c r="H32" s="112" t="s">
        <v>202</v>
      </c>
      <c r="I32" s="112"/>
      <c r="J32" s="112" t="s">
        <v>99</v>
      </c>
      <c r="K32" s="112" t="s">
        <v>71</v>
      </c>
    </row>
    <row r="33" spans="1:11" x14ac:dyDescent="0.25">
      <c r="A33" s="111">
        <v>30</v>
      </c>
      <c r="B33" s="112" t="s">
        <v>114</v>
      </c>
      <c r="C33" s="113" t="s">
        <v>115</v>
      </c>
      <c r="D33" s="112" t="s">
        <v>37</v>
      </c>
      <c r="E33" s="114">
        <v>44274.355555555558</v>
      </c>
      <c r="F33" s="112" t="s">
        <v>113</v>
      </c>
      <c r="G33" s="112" t="s">
        <v>14</v>
      </c>
      <c r="H33" s="112" t="s">
        <v>113</v>
      </c>
      <c r="I33" s="112"/>
      <c r="J33" s="112" t="s">
        <v>99</v>
      </c>
      <c r="K33" s="112" t="s">
        <v>71</v>
      </c>
    </row>
    <row r="34" spans="1:11" x14ac:dyDescent="0.25">
      <c r="A34" s="111">
        <v>31</v>
      </c>
      <c r="B34" s="112" t="s">
        <v>117</v>
      </c>
      <c r="C34" s="113" t="s">
        <v>118</v>
      </c>
      <c r="D34" s="112" t="s">
        <v>37</v>
      </c>
      <c r="E34" s="114">
        <v>44274.253472222219</v>
      </c>
      <c r="F34" s="112" t="s">
        <v>119</v>
      </c>
      <c r="G34" s="112" t="s">
        <v>14</v>
      </c>
      <c r="H34" s="112" t="s">
        <v>119</v>
      </c>
      <c r="I34" s="112"/>
      <c r="J34" s="112"/>
      <c r="K34" s="112" t="s">
        <v>71</v>
      </c>
    </row>
    <row r="35" spans="1:11" x14ac:dyDescent="0.25">
      <c r="A35" s="111">
        <v>32</v>
      </c>
      <c r="B35" s="112" t="s">
        <v>120</v>
      </c>
      <c r="C35" s="113" t="s">
        <v>121</v>
      </c>
      <c r="D35" s="112" t="s">
        <v>37</v>
      </c>
      <c r="E35" s="114">
        <v>44274.228472222225</v>
      </c>
      <c r="F35" s="112" t="s">
        <v>119</v>
      </c>
      <c r="G35" s="112" t="s">
        <v>14</v>
      </c>
      <c r="H35" s="112" t="s">
        <v>119</v>
      </c>
      <c r="I35" s="112"/>
      <c r="J35" s="112"/>
      <c r="K35" s="112" t="s">
        <v>71</v>
      </c>
    </row>
    <row r="36" spans="1:11" x14ac:dyDescent="0.25">
      <c r="A36" s="111">
        <v>33</v>
      </c>
      <c r="B36" s="112" t="s">
        <v>122</v>
      </c>
      <c r="C36" s="113" t="s">
        <v>123</v>
      </c>
      <c r="D36" s="112" t="s">
        <v>223</v>
      </c>
      <c r="E36" s="114">
        <v>44274.214583333334</v>
      </c>
      <c r="F36" s="112" t="s">
        <v>124</v>
      </c>
      <c r="G36" s="112" t="s">
        <v>14</v>
      </c>
      <c r="H36" s="112"/>
      <c r="I36" s="112" t="s">
        <v>150</v>
      </c>
      <c r="J36" s="112" t="s">
        <v>99</v>
      </c>
      <c r="K36" s="112" t="s">
        <v>71</v>
      </c>
    </row>
    <row r="37" spans="1:11" x14ac:dyDescent="0.25">
      <c r="A37" s="111">
        <v>34</v>
      </c>
      <c r="B37" s="112" t="s">
        <v>125</v>
      </c>
      <c r="C37" s="113" t="s">
        <v>126</v>
      </c>
      <c r="D37" s="112" t="s">
        <v>37</v>
      </c>
      <c r="E37" s="114">
        <v>44274.213194444441</v>
      </c>
      <c r="F37" s="112" t="s">
        <v>124</v>
      </c>
      <c r="G37" s="112" t="s">
        <v>14</v>
      </c>
      <c r="H37" s="112" t="s">
        <v>124</v>
      </c>
      <c r="I37" s="112"/>
      <c r="J37" s="112"/>
      <c r="K37" s="112" t="s">
        <v>71</v>
      </c>
    </row>
    <row r="38" spans="1:11" x14ac:dyDescent="0.25">
      <c r="A38" s="111">
        <v>35</v>
      </c>
      <c r="B38" s="112" t="s">
        <v>127</v>
      </c>
      <c r="C38" s="113" t="s">
        <v>128</v>
      </c>
      <c r="D38" s="112" t="s">
        <v>37</v>
      </c>
      <c r="E38" s="114">
        <v>44274.211111111108</v>
      </c>
      <c r="F38" s="112" t="s">
        <v>124</v>
      </c>
      <c r="G38" s="112" t="s">
        <v>14</v>
      </c>
      <c r="H38" s="112" t="s">
        <v>124</v>
      </c>
      <c r="I38" s="112"/>
      <c r="J38" s="112"/>
      <c r="K38" s="112" t="s">
        <v>71</v>
      </c>
    </row>
    <row r="39" spans="1:11" x14ac:dyDescent="0.25">
      <c r="A39" s="111">
        <v>36</v>
      </c>
      <c r="B39" s="112" t="s">
        <v>129</v>
      </c>
      <c r="C39" s="113" t="s">
        <v>130</v>
      </c>
      <c r="D39" s="112" t="s">
        <v>37</v>
      </c>
      <c r="E39" s="114">
        <v>44274.190972222219</v>
      </c>
      <c r="F39" s="112" t="s">
        <v>119</v>
      </c>
      <c r="G39" s="112" t="s">
        <v>14</v>
      </c>
      <c r="H39" s="112" t="s">
        <v>119</v>
      </c>
      <c r="I39" s="112"/>
      <c r="J39" s="112"/>
      <c r="K39" s="112" t="s">
        <v>71</v>
      </c>
    </row>
    <row r="40" spans="1:11" x14ac:dyDescent="0.25">
      <c r="A40" s="111">
        <v>37</v>
      </c>
      <c r="B40" s="112" t="s">
        <v>131</v>
      </c>
      <c r="C40" s="113" t="s">
        <v>132</v>
      </c>
      <c r="D40" s="112" t="s">
        <v>37</v>
      </c>
      <c r="E40" s="114">
        <v>44274.177083333336</v>
      </c>
      <c r="F40" s="112" t="s">
        <v>119</v>
      </c>
      <c r="G40" s="112" t="s">
        <v>14</v>
      </c>
      <c r="H40" s="112" t="s">
        <v>119</v>
      </c>
      <c r="I40" s="112"/>
      <c r="J40" s="112"/>
      <c r="K40" s="112" t="s">
        <v>71</v>
      </c>
    </row>
    <row r="41" spans="1:11" x14ac:dyDescent="0.25">
      <c r="A41" s="111">
        <v>38</v>
      </c>
      <c r="B41" s="112" t="s">
        <v>133</v>
      </c>
      <c r="C41" s="113" t="s">
        <v>134</v>
      </c>
      <c r="D41" s="112" t="s">
        <v>37</v>
      </c>
      <c r="E41" s="114">
        <v>44274.125</v>
      </c>
      <c r="F41" s="112" t="s">
        <v>84</v>
      </c>
      <c r="G41" s="112" t="s">
        <v>14</v>
      </c>
      <c r="H41" s="112" t="s">
        <v>84</v>
      </c>
      <c r="I41" s="112"/>
      <c r="J41" s="112"/>
      <c r="K41" s="112" t="s">
        <v>71</v>
      </c>
    </row>
    <row r="42" spans="1:11" ht="30" x14ac:dyDescent="0.25">
      <c r="A42" s="111">
        <v>39</v>
      </c>
      <c r="B42" s="112" t="s">
        <v>112</v>
      </c>
      <c r="C42" s="113" t="s">
        <v>135</v>
      </c>
      <c r="D42" s="112" t="s">
        <v>37</v>
      </c>
      <c r="E42" s="114">
        <v>44267.116666666669</v>
      </c>
      <c r="F42" s="112" t="s">
        <v>39</v>
      </c>
      <c r="G42" s="112" t="s">
        <v>14</v>
      </c>
      <c r="H42" s="112"/>
      <c r="I42" s="112" t="s">
        <v>116</v>
      </c>
      <c r="J42" s="112" t="s">
        <v>99</v>
      </c>
      <c r="K42" s="112" t="s">
        <v>71</v>
      </c>
    </row>
    <row r="43" spans="1:11" x14ac:dyDescent="0.25">
      <c r="A43" s="111">
        <v>40</v>
      </c>
      <c r="B43" s="112" t="s">
        <v>100</v>
      </c>
      <c r="C43" s="113" t="s">
        <v>101</v>
      </c>
      <c r="D43" s="112" t="s">
        <v>37</v>
      </c>
      <c r="E43" s="114">
        <v>44265.433333333334</v>
      </c>
      <c r="F43" s="112" t="s">
        <v>39</v>
      </c>
      <c r="G43" s="112" t="s">
        <v>181</v>
      </c>
      <c r="H43" s="112" t="s">
        <v>195</v>
      </c>
      <c r="I43" s="112"/>
      <c r="J43" s="112" t="s">
        <v>99</v>
      </c>
      <c r="K43" s="112" t="s">
        <v>71</v>
      </c>
    </row>
    <row r="44" spans="1:11" ht="30" x14ac:dyDescent="0.25">
      <c r="A44" s="111">
        <v>41</v>
      </c>
      <c r="B44" s="112" t="s">
        <v>97</v>
      </c>
      <c r="C44" s="113" t="s">
        <v>98</v>
      </c>
      <c r="D44" s="112" t="s">
        <v>37</v>
      </c>
      <c r="E44" s="114">
        <v>44260.179166666669</v>
      </c>
      <c r="F44" s="112" t="s">
        <v>38</v>
      </c>
      <c r="G44" s="112" t="s">
        <v>14</v>
      </c>
      <c r="H44" s="112" t="s">
        <v>38</v>
      </c>
      <c r="I44" s="112"/>
      <c r="J44" s="112"/>
      <c r="K44" s="112" t="s">
        <v>66</v>
      </c>
    </row>
    <row r="45" spans="1:11" ht="30" x14ac:dyDescent="0.25">
      <c r="A45" s="111">
        <v>42</v>
      </c>
      <c r="B45" s="112" t="s">
        <v>93</v>
      </c>
      <c r="C45" s="113" t="s">
        <v>94</v>
      </c>
      <c r="D45" s="112" t="s">
        <v>37</v>
      </c>
      <c r="E45" s="114">
        <v>44252.148611111108</v>
      </c>
      <c r="F45" s="112" t="s">
        <v>38</v>
      </c>
      <c r="G45" s="112" t="s">
        <v>14</v>
      </c>
      <c r="H45" s="112" t="s">
        <v>39</v>
      </c>
      <c r="I45" s="112"/>
      <c r="J45" s="112" t="s">
        <v>99</v>
      </c>
      <c r="K45" s="112" t="s">
        <v>66</v>
      </c>
    </row>
    <row r="46" spans="1:11" ht="30" x14ac:dyDescent="0.25">
      <c r="A46" s="111">
        <v>43</v>
      </c>
      <c r="B46" s="112" t="s">
        <v>90</v>
      </c>
      <c r="C46" s="113" t="s">
        <v>136</v>
      </c>
      <c r="D46" s="112" t="s">
        <v>37</v>
      </c>
      <c r="E46" s="114">
        <v>44251.509027777778</v>
      </c>
      <c r="F46" s="112" t="s">
        <v>39</v>
      </c>
      <c r="G46" s="112" t="s">
        <v>14</v>
      </c>
      <c r="H46" s="112" t="s">
        <v>39</v>
      </c>
      <c r="I46" s="112"/>
      <c r="J46" s="112" t="s">
        <v>99</v>
      </c>
      <c r="K46" s="112" t="s">
        <v>66</v>
      </c>
    </row>
    <row r="47" spans="1:11" ht="30" x14ac:dyDescent="0.25">
      <c r="A47" s="111">
        <v>44</v>
      </c>
      <c r="B47" s="112" t="s">
        <v>91</v>
      </c>
      <c r="C47" s="113" t="s">
        <v>92</v>
      </c>
      <c r="D47" s="112" t="s">
        <v>37</v>
      </c>
      <c r="E47" s="114">
        <v>44251.28125</v>
      </c>
      <c r="F47" s="112" t="s">
        <v>38</v>
      </c>
      <c r="G47" s="112" t="s">
        <v>69</v>
      </c>
      <c r="H47" s="112" t="s">
        <v>108</v>
      </c>
      <c r="I47" s="112"/>
      <c r="J47" s="112"/>
      <c r="K47" s="112" t="s">
        <v>102</v>
      </c>
    </row>
    <row r="48" spans="1:11" ht="30" x14ac:dyDescent="0.25">
      <c r="A48" s="111">
        <v>45</v>
      </c>
      <c r="B48" s="112" t="s">
        <v>82</v>
      </c>
      <c r="C48" s="113" t="s">
        <v>83</v>
      </c>
      <c r="D48" s="112" t="s">
        <v>37</v>
      </c>
      <c r="E48" s="114">
        <v>44250.474305555559</v>
      </c>
      <c r="F48" s="112" t="s">
        <v>38</v>
      </c>
      <c r="G48" s="112" t="s">
        <v>14</v>
      </c>
      <c r="H48" s="112" t="s">
        <v>84</v>
      </c>
      <c r="I48" s="112"/>
      <c r="J48" s="112"/>
      <c r="K48" s="112" t="s">
        <v>102</v>
      </c>
    </row>
    <row r="49" spans="1:11" ht="30" x14ac:dyDescent="0.25">
      <c r="A49" s="111">
        <v>46</v>
      </c>
      <c r="B49" s="112" t="s">
        <v>75</v>
      </c>
      <c r="C49" s="113" t="s">
        <v>76</v>
      </c>
      <c r="D49" s="112" t="s">
        <v>37</v>
      </c>
      <c r="E49" s="114">
        <v>44246.507638888892</v>
      </c>
      <c r="F49" s="112" t="s">
        <v>38</v>
      </c>
      <c r="G49" s="112" t="s">
        <v>69</v>
      </c>
      <c r="H49" s="112"/>
      <c r="I49" s="112" t="s">
        <v>50</v>
      </c>
      <c r="J49" s="112"/>
      <c r="K49" s="112" t="s">
        <v>66</v>
      </c>
    </row>
    <row r="50" spans="1:11" ht="30" x14ac:dyDescent="0.25">
      <c r="A50" s="111">
        <v>47</v>
      </c>
      <c r="B50" s="112" t="s">
        <v>73</v>
      </c>
      <c r="C50" s="113" t="s">
        <v>74</v>
      </c>
      <c r="D50" s="112" t="s">
        <v>37</v>
      </c>
      <c r="E50" s="114">
        <v>44246.238194444442</v>
      </c>
      <c r="F50" s="112" t="s">
        <v>38</v>
      </c>
      <c r="G50" s="112" t="s">
        <v>69</v>
      </c>
      <c r="H50" s="112"/>
      <c r="I50" s="112" t="s">
        <v>50</v>
      </c>
      <c r="J50" s="112" t="s">
        <v>99</v>
      </c>
      <c r="K50" s="112" t="s">
        <v>71</v>
      </c>
    </row>
    <row r="51" spans="1:11" ht="30" x14ac:dyDescent="0.25">
      <c r="A51" s="111">
        <v>48</v>
      </c>
      <c r="B51" s="112" t="s">
        <v>35</v>
      </c>
      <c r="C51" s="113" t="s">
        <v>36</v>
      </c>
      <c r="D51" s="112" t="s">
        <v>37</v>
      </c>
      <c r="E51" s="114">
        <v>44238.337500000001</v>
      </c>
      <c r="F51" s="112" t="s">
        <v>38</v>
      </c>
      <c r="G51" s="112" t="s">
        <v>16</v>
      </c>
      <c r="H51" s="112" t="s">
        <v>38</v>
      </c>
      <c r="I51" s="112"/>
      <c r="J51" s="112"/>
      <c r="K51" s="112" t="s">
        <v>102</v>
      </c>
    </row>
    <row r="52" spans="1:11" ht="30" x14ac:dyDescent="0.25">
      <c r="A52" s="111">
        <v>49</v>
      </c>
      <c r="B52" s="112" t="s">
        <v>40</v>
      </c>
      <c r="C52" s="113" t="s">
        <v>41</v>
      </c>
      <c r="D52" s="112" t="s">
        <v>37</v>
      </c>
      <c r="E52" s="114">
        <v>44238.286111111112</v>
      </c>
      <c r="F52" s="112" t="s">
        <v>38</v>
      </c>
      <c r="G52" s="112" t="s">
        <v>14</v>
      </c>
      <c r="H52" s="112" t="s">
        <v>38</v>
      </c>
      <c r="I52" s="112"/>
      <c r="J52" s="112"/>
      <c r="K52" s="112" t="s">
        <v>102</v>
      </c>
    </row>
    <row r="53" spans="1:11" ht="30" x14ac:dyDescent="0.25">
      <c r="A53" s="111">
        <v>50</v>
      </c>
      <c r="B53" s="112" t="s">
        <v>42</v>
      </c>
      <c r="C53" s="113" t="s">
        <v>72</v>
      </c>
      <c r="D53" s="112" t="s">
        <v>37</v>
      </c>
      <c r="E53" s="114">
        <v>44237.490277777775</v>
      </c>
      <c r="F53" s="112" t="s">
        <v>38</v>
      </c>
      <c r="G53" s="112" t="s">
        <v>69</v>
      </c>
      <c r="H53" s="112" t="s">
        <v>38</v>
      </c>
      <c r="I53" s="112"/>
      <c r="J53" s="112"/>
      <c r="K53" s="112" t="s">
        <v>102</v>
      </c>
    </row>
    <row r="54" spans="1:11" x14ac:dyDescent="0.25">
      <c r="A54" s="111">
        <v>51</v>
      </c>
      <c r="B54" s="112" t="s">
        <v>43</v>
      </c>
      <c r="C54" s="113" t="s">
        <v>44</v>
      </c>
      <c r="D54" s="112" t="s">
        <v>37</v>
      </c>
      <c r="E54" s="114">
        <v>44237.463888888888</v>
      </c>
      <c r="F54" s="112" t="s">
        <v>38</v>
      </c>
      <c r="G54" s="112" t="s">
        <v>14</v>
      </c>
      <c r="H54" s="112"/>
      <c r="I54" s="112" t="s">
        <v>202</v>
      </c>
      <c r="J54" s="112" t="s">
        <v>99</v>
      </c>
      <c r="K54" s="112" t="s">
        <v>71</v>
      </c>
    </row>
    <row r="55" spans="1:11" x14ac:dyDescent="0.25">
      <c r="A55" s="111">
        <v>52</v>
      </c>
      <c r="B55" s="112" t="s">
        <v>46</v>
      </c>
      <c r="C55" s="113" t="s">
        <v>47</v>
      </c>
      <c r="D55" s="112" t="s">
        <v>37</v>
      </c>
      <c r="E55" s="114">
        <v>44233.45416666667</v>
      </c>
      <c r="F55" s="112" t="s">
        <v>38</v>
      </c>
      <c r="G55" s="112" t="s">
        <v>14</v>
      </c>
      <c r="H55" s="112" t="s">
        <v>38</v>
      </c>
      <c r="I55" s="112"/>
      <c r="J55" s="112"/>
      <c r="K55" s="112" t="s">
        <v>67</v>
      </c>
    </row>
    <row r="56" spans="1:11" ht="30" x14ac:dyDescent="0.25">
      <c r="A56" s="111">
        <v>53</v>
      </c>
      <c r="B56" s="112" t="s">
        <v>48</v>
      </c>
      <c r="C56" s="113" t="s">
        <v>49</v>
      </c>
      <c r="D56" s="112" t="s">
        <v>37</v>
      </c>
      <c r="E56" s="114">
        <v>44233.393750000003</v>
      </c>
      <c r="F56" s="112" t="s">
        <v>38</v>
      </c>
      <c r="G56" s="112" t="s">
        <v>14</v>
      </c>
      <c r="H56" s="112" t="s">
        <v>38</v>
      </c>
      <c r="I56" s="112"/>
      <c r="J56" s="112" t="s">
        <v>99</v>
      </c>
      <c r="K56" s="112" t="s">
        <v>66</v>
      </c>
    </row>
    <row r="57" spans="1:11" ht="30" x14ac:dyDescent="0.25">
      <c r="A57" s="111">
        <v>54</v>
      </c>
      <c r="B57" s="112" t="s">
        <v>51</v>
      </c>
      <c r="C57" s="113" t="s">
        <v>52</v>
      </c>
      <c r="D57" s="112" t="s">
        <v>37</v>
      </c>
      <c r="E57" s="114">
        <v>44233.282638888886</v>
      </c>
      <c r="F57" s="112" t="s">
        <v>45</v>
      </c>
      <c r="G57" s="112" t="s">
        <v>14</v>
      </c>
      <c r="H57" s="112" t="s">
        <v>84</v>
      </c>
      <c r="I57" s="112"/>
      <c r="J57" s="112" t="s">
        <v>99</v>
      </c>
      <c r="K57" s="112" t="s">
        <v>68</v>
      </c>
    </row>
    <row r="58" spans="1:11" ht="30" x14ac:dyDescent="0.25">
      <c r="A58" s="111">
        <v>55</v>
      </c>
      <c r="B58" s="112" t="s">
        <v>53</v>
      </c>
      <c r="C58" s="113" t="s">
        <v>54</v>
      </c>
      <c r="D58" s="112" t="s">
        <v>37</v>
      </c>
      <c r="E58" s="114">
        <v>44233.215277777781</v>
      </c>
      <c r="F58" s="112" t="s">
        <v>38</v>
      </c>
      <c r="G58" s="112" t="s">
        <v>14</v>
      </c>
      <c r="H58" s="112" t="s">
        <v>38</v>
      </c>
      <c r="I58" s="112"/>
      <c r="J58" s="112"/>
      <c r="K58" s="112" t="s">
        <v>68</v>
      </c>
    </row>
    <row r="59" spans="1:11" x14ac:dyDescent="0.25">
      <c r="A59" s="111">
        <v>56</v>
      </c>
      <c r="B59" s="112" t="s">
        <v>55</v>
      </c>
      <c r="C59" s="113" t="s">
        <v>56</v>
      </c>
      <c r="D59" s="112" t="s">
        <v>37</v>
      </c>
      <c r="E59" s="114">
        <v>44232.114583333336</v>
      </c>
      <c r="F59" s="112" t="s">
        <v>38</v>
      </c>
      <c r="G59" s="112" t="s">
        <v>14</v>
      </c>
      <c r="H59" s="112"/>
      <c r="I59" s="112" t="s">
        <v>50</v>
      </c>
      <c r="J59" s="112" t="s">
        <v>99</v>
      </c>
      <c r="K59" s="112" t="s">
        <v>66</v>
      </c>
    </row>
    <row r="60" spans="1:11" ht="30" x14ac:dyDescent="0.25">
      <c r="A60" s="111">
        <v>57</v>
      </c>
      <c r="B60" s="112" t="s">
        <v>57</v>
      </c>
      <c r="C60" s="113" t="s">
        <v>95</v>
      </c>
      <c r="D60" s="112" t="s">
        <v>37</v>
      </c>
      <c r="E60" s="114">
        <v>44225.497916666667</v>
      </c>
      <c r="F60" s="112" t="s">
        <v>38</v>
      </c>
      <c r="G60" s="112" t="s">
        <v>69</v>
      </c>
      <c r="H60" s="112"/>
      <c r="I60" s="112" t="s">
        <v>50</v>
      </c>
      <c r="J60" s="112" t="s">
        <v>99</v>
      </c>
      <c r="K60" s="112" t="s">
        <v>66</v>
      </c>
    </row>
    <row r="61" spans="1:11" ht="30" x14ac:dyDescent="0.25">
      <c r="A61" s="111">
        <v>58</v>
      </c>
      <c r="B61" s="112" t="s">
        <v>58</v>
      </c>
      <c r="C61" s="113" t="s">
        <v>59</v>
      </c>
      <c r="D61" s="112" t="s">
        <v>37</v>
      </c>
      <c r="E61" s="114">
        <v>44223.324999999997</v>
      </c>
      <c r="F61" s="112" t="s">
        <v>38</v>
      </c>
      <c r="G61" s="112" t="s">
        <v>69</v>
      </c>
      <c r="H61" s="112"/>
      <c r="I61" s="112" t="s">
        <v>50</v>
      </c>
      <c r="J61" s="112"/>
      <c r="K61" s="112" t="s">
        <v>102</v>
      </c>
    </row>
    <row r="62" spans="1:11" ht="30" x14ac:dyDescent="0.25">
      <c r="A62" s="111">
        <v>59</v>
      </c>
      <c r="B62" s="112" t="s">
        <v>60</v>
      </c>
      <c r="C62" s="113" t="s">
        <v>96</v>
      </c>
      <c r="D62" s="112" t="s">
        <v>37</v>
      </c>
      <c r="E62" s="114">
        <v>44218.313194444447</v>
      </c>
      <c r="F62" s="112" t="s">
        <v>38</v>
      </c>
      <c r="G62" s="112" t="s">
        <v>14</v>
      </c>
      <c r="H62" s="112"/>
      <c r="I62" s="112" t="s">
        <v>81</v>
      </c>
      <c r="J62" s="112" t="s">
        <v>99</v>
      </c>
      <c r="K62" s="112" t="s">
        <v>66</v>
      </c>
    </row>
    <row r="63" spans="1:11" ht="30" x14ac:dyDescent="0.25">
      <c r="A63" s="111">
        <v>60</v>
      </c>
      <c r="B63" s="112" t="s">
        <v>61</v>
      </c>
      <c r="C63" s="113" t="s">
        <v>62</v>
      </c>
      <c r="D63" s="112" t="s">
        <v>37</v>
      </c>
      <c r="E63" s="114">
        <v>44218.227083333331</v>
      </c>
      <c r="F63" s="112" t="s">
        <v>45</v>
      </c>
      <c r="G63" s="112" t="s">
        <v>14</v>
      </c>
      <c r="H63" s="112"/>
      <c r="I63" s="112" t="s">
        <v>202</v>
      </c>
      <c r="J63" s="112" t="s">
        <v>99</v>
      </c>
      <c r="K63" s="112" t="s">
        <v>67</v>
      </c>
    </row>
  </sheetData>
  <autoFilter ref="B3:K63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P16"/>
  <sheetViews>
    <sheetView workbookViewId="0">
      <selection activeCell="I4" sqref="I4:N4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48.375" style="5" bestFit="1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6" t="s">
        <v>235</v>
      </c>
    </row>
    <row r="3" spans="2:16" ht="16.5" thickBot="1" x14ac:dyDescent="0.3"/>
    <row r="4" spans="2:16" ht="16.5" thickBot="1" x14ac:dyDescent="0.3">
      <c r="B4" s="143" t="s">
        <v>160</v>
      </c>
      <c r="C4" s="144"/>
      <c r="D4" s="144"/>
      <c r="E4" s="145"/>
      <c r="F4" s="59"/>
      <c r="I4" s="146" t="s">
        <v>237</v>
      </c>
      <c r="J4" s="147"/>
      <c r="K4" s="147"/>
      <c r="L4" s="147"/>
      <c r="M4" s="147"/>
      <c r="N4" s="148"/>
      <c r="O4" s="59"/>
    </row>
    <row r="5" spans="2:16" x14ac:dyDescent="0.25">
      <c r="B5" s="75" t="s">
        <v>159</v>
      </c>
      <c r="C5" s="76" t="s">
        <v>151</v>
      </c>
      <c r="D5" s="141" t="s">
        <v>10</v>
      </c>
      <c r="E5" s="142"/>
      <c r="F5" s="59"/>
      <c r="I5" s="62"/>
      <c r="J5" s="63" t="s">
        <v>157</v>
      </c>
      <c r="K5" s="63" t="s">
        <v>156</v>
      </c>
      <c r="L5" s="64" t="s">
        <v>165</v>
      </c>
      <c r="M5" s="64" t="s">
        <v>166</v>
      </c>
      <c r="N5" s="64" t="s">
        <v>158</v>
      </c>
      <c r="O5" s="60"/>
      <c r="P5" s="52"/>
    </row>
    <row r="6" spans="2:16" x14ac:dyDescent="0.25">
      <c r="B6" s="77" t="s">
        <v>1</v>
      </c>
      <c r="C6" s="78" t="s">
        <v>175</v>
      </c>
      <c r="D6" s="72" t="s">
        <v>4</v>
      </c>
      <c r="E6" s="79" t="s">
        <v>175</v>
      </c>
      <c r="F6" s="84"/>
      <c r="I6" s="53" t="s">
        <v>168</v>
      </c>
      <c r="J6" s="54">
        <v>12</v>
      </c>
      <c r="K6" s="54" t="s">
        <v>236</v>
      </c>
      <c r="L6" s="65">
        <v>3</v>
      </c>
      <c r="M6" s="65">
        <v>4</v>
      </c>
      <c r="N6" s="55" t="s">
        <v>203</v>
      </c>
      <c r="O6" s="61"/>
      <c r="P6" s="52"/>
    </row>
    <row r="7" spans="2:16" x14ac:dyDescent="0.25">
      <c r="B7" s="77" t="s">
        <v>2</v>
      </c>
      <c r="C7" s="74" t="s">
        <v>175</v>
      </c>
      <c r="D7" s="72" t="s">
        <v>0</v>
      </c>
      <c r="E7" s="73" t="s">
        <v>175</v>
      </c>
      <c r="F7" s="85"/>
      <c r="I7" s="53" t="s">
        <v>169</v>
      </c>
      <c r="J7" s="54">
        <v>5</v>
      </c>
      <c r="K7" s="54">
        <v>5</v>
      </c>
      <c r="L7" s="65">
        <v>3</v>
      </c>
      <c r="M7" s="65">
        <v>2</v>
      </c>
      <c r="N7" s="55" t="s">
        <v>203</v>
      </c>
      <c r="O7" s="61"/>
      <c r="P7" s="52"/>
    </row>
    <row r="8" spans="2:16" ht="16.5" thickBot="1" x14ac:dyDescent="0.3">
      <c r="B8" s="77" t="s">
        <v>3</v>
      </c>
      <c r="C8" s="78" t="s">
        <v>175</v>
      </c>
      <c r="D8" s="72" t="s">
        <v>5</v>
      </c>
      <c r="E8" s="79" t="s">
        <v>175</v>
      </c>
      <c r="F8" s="84"/>
      <c r="I8" s="56" t="s">
        <v>170</v>
      </c>
      <c r="J8" s="57">
        <v>7</v>
      </c>
      <c r="K8" s="57">
        <v>7</v>
      </c>
      <c r="L8" s="65">
        <v>7</v>
      </c>
      <c r="M8" s="65">
        <v>0</v>
      </c>
      <c r="N8" s="58" t="s">
        <v>204</v>
      </c>
      <c r="O8" s="61"/>
    </row>
    <row r="9" spans="2:16" ht="15.75" customHeight="1" thickBot="1" x14ac:dyDescent="0.3">
      <c r="B9" s="80" t="s">
        <v>9</v>
      </c>
      <c r="C9" s="81" t="s">
        <v>175</v>
      </c>
      <c r="D9" s="82" t="s">
        <v>8</v>
      </c>
      <c r="E9" s="83" t="s">
        <v>175</v>
      </c>
      <c r="F9" s="84"/>
      <c r="I9" s="56" t="s">
        <v>171</v>
      </c>
      <c r="J9" s="57">
        <v>28</v>
      </c>
      <c r="K9" s="57" t="s">
        <v>164</v>
      </c>
      <c r="L9" s="66" t="s">
        <v>164</v>
      </c>
      <c r="M9" s="66" t="s">
        <v>164</v>
      </c>
      <c r="N9" s="67" t="s">
        <v>167</v>
      </c>
      <c r="O9" s="61"/>
    </row>
    <row r="10" spans="2:16" x14ac:dyDescent="0.25">
      <c r="I10" s="68" t="s">
        <v>163</v>
      </c>
    </row>
    <row r="16" spans="2:16" x14ac:dyDescent="0.25">
      <c r="E16" s="115"/>
    </row>
  </sheetData>
  <mergeCells count="3">
    <mergeCell ref="D5:E5"/>
    <mergeCell ref="B4:E4"/>
    <mergeCell ref="I4:N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05CDCE7F-5088-45A4-A732-AAF14FAAA6DC}"/>
</file>

<file path=customXml/itemProps2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EDC712-570D-48F8-9C39-BB3BBAE77DD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2021-04-28T00:03:36Z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