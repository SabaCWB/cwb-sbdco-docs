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wb.local\shared\UsersMyDocs\lunac\Documents\DIGITAL\Test Summary Reporting\Small Biz DCO\"/>
    </mc:Choice>
  </mc:AlternateContent>
  <bookViews>
    <workbookView xWindow="0" yWindow="0" windowWidth="28800" windowHeight="12300"/>
  </bookViews>
  <sheets>
    <sheet name="Small Biz DCO - Test Summary" sheetId="1" r:id="rId1"/>
    <sheet name="Defects Status" sheetId="6" r:id="rId2"/>
    <sheet name="Defect Summary" sheetId="7" r:id="rId3"/>
  </sheets>
  <definedNames>
    <definedName name="_xlnm._FilterDatabase" localSheetId="2" hidden="1">'Defect Summary'!$A$3:$I$36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A21" i="6" l="1"/>
  <c r="C8" i="1" l="1"/>
  <c r="AA7" i="6" l="1"/>
  <c r="E9" i="1" l="1"/>
  <c r="E11" i="1"/>
  <c r="E10" i="1"/>
  <c r="E12" i="1"/>
</calcChain>
</file>

<file path=xl/sharedStrings.xml><?xml version="1.0" encoding="utf-8"?>
<sst xmlns="http://schemas.openxmlformats.org/spreadsheetml/2006/main" count="267" uniqueCount="134">
  <si>
    <t>% Failed</t>
  </si>
  <si>
    <t>Passed Tests</t>
  </si>
  <si>
    <t>Failed Tests</t>
  </si>
  <si>
    <t>Blocked Tests</t>
  </si>
  <si>
    <t>% Passed</t>
  </si>
  <si>
    <t>% Blocked</t>
  </si>
  <si>
    <r>
      <rPr>
        <b/>
        <sz val="11"/>
        <color theme="1"/>
        <rFont val="Calibri"/>
        <family val="2"/>
        <scheme val="minor"/>
      </rPr>
      <t>created/opened</t>
    </r>
    <r>
      <rPr>
        <sz val="11"/>
        <color theme="1"/>
        <rFont val="Calibri"/>
        <family val="2"/>
        <scheme val="minor"/>
      </rPr>
      <t xml:space="preserve"> defects</t>
    </r>
  </si>
  <si>
    <r>
      <rPr>
        <b/>
        <sz val="11"/>
        <color theme="1"/>
        <rFont val="Calibri"/>
        <family val="2"/>
        <scheme val="minor"/>
      </rPr>
      <t>closed</t>
    </r>
    <r>
      <rPr>
        <sz val="11"/>
        <color theme="1"/>
        <rFont val="Calibri"/>
        <family val="2"/>
        <scheme val="minor"/>
      </rPr>
      <t xml:space="preserve"> defects</t>
    </r>
  </si>
  <si>
    <r>
      <rPr>
        <b/>
        <sz val="11"/>
        <color theme="1"/>
        <rFont val="Calibri"/>
        <family val="2"/>
        <scheme val="minor"/>
      </rPr>
      <t>outstanding</t>
    </r>
    <r>
      <rPr>
        <sz val="11"/>
        <color theme="1"/>
        <rFont val="Calibri"/>
        <family val="2"/>
        <scheme val="minor"/>
      </rPr>
      <t xml:space="preserve"> defects</t>
    </r>
  </si>
  <si>
    <t>For Temenos to address</t>
  </si>
  <si>
    <t>Intermittent (intermittent issues, cannot reproduce, etc.)</t>
  </si>
  <si>
    <t>Count by Defect Category</t>
  </si>
  <si>
    <t xml:space="preserve">Total should match count for outstanding defects </t>
  </si>
  <si>
    <t>% Unexecuted</t>
  </si>
  <si>
    <t>-</t>
  </si>
  <si>
    <t>Project Name:  Digital Program - Small Biz DCO - SIT Phase - Sprint 6</t>
  </si>
  <si>
    <t>Total Tests Cases Developed</t>
  </si>
  <si>
    <t>Active/Unexecuted</t>
  </si>
  <si>
    <t>Total # of defects logged</t>
  </si>
  <si>
    <t>Total # of defects deferred</t>
  </si>
  <si>
    <t>Test Execution for Sprint 6</t>
  </si>
  <si>
    <t>%</t>
  </si>
  <si>
    <t>from last report</t>
  </si>
  <si>
    <t>Requirement-Defect (issue with functional specs that need to be corrected)</t>
  </si>
  <si>
    <t>Bug-Text (issue with text: misspelling, different from what is in the functional specs)</t>
  </si>
  <si>
    <t>Bug (functional issue - not working as specified)</t>
  </si>
  <si>
    <t>CWB-BA-Review (to review and confirm with CWB BA)</t>
  </si>
  <si>
    <t>For the latest list of outstanding defects, please login JIRA and use the following query for "Search" function (under "Issues"menu):</t>
  </si>
  <si>
    <t>project = "CWB Small Business DCO" AND issuetype in (bug, change) AND reporter in ("Adrian Crisp", "Chix dela Luna", "Susan Bako", "Alka Patnaik", "Harpreet Dhillon", "Candyse Watkinson", "Lorraine Mcleod", "Priya Chodha", "Mary Pele", "Venkata Cherukuri", "Cheryl.Kirchmaier@cwbank.com") AND status != done AND labels not in (Accessibility) ORDER BY key DESC, component ASC, description ASC, resolved DESC</t>
  </si>
  <si>
    <t xml:space="preserve">For CWB to review/address (ready for UAT, field spec issues, questions, investigate further, etc). </t>
  </si>
  <si>
    <t>Defects by Status</t>
  </si>
  <si>
    <t>Backlog</t>
  </si>
  <si>
    <t>Ready for UAT</t>
  </si>
  <si>
    <t>Blocked</t>
  </si>
  <si>
    <t xml:space="preserve">In Test </t>
  </si>
  <si>
    <t>- with Temenos for their testing</t>
  </si>
  <si>
    <t>- defects have been fixed, CWB QA Team needs to validate</t>
  </si>
  <si>
    <t>- defects logged, need to be reviewed by CWB or by Temenos, work is in flight</t>
  </si>
  <si>
    <t>Open/Closed Defect Rate</t>
  </si>
  <si>
    <t>Bug-UI (formatting or layout issues)</t>
  </si>
  <si>
    <t xml:space="preserve">Change type </t>
  </si>
  <si>
    <t xml:space="preserve">CWB QA Team - Test Status Report </t>
  </si>
  <si>
    <t>- waiting for questions/for confirmation, clarification of requirements, 
   other issues impacting work to progress</t>
  </si>
  <si>
    <t>Status of Defects logged by CWB QA Team - as of Feb 10, 2021</t>
  </si>
  <si>
    <t>+3</t>
  </si>
  <si>
    <t>Assignee</t>
  </si>
  <si>
    <t>Issue key</t>
  </si>
  <si>
    <t>Summary</t>
  </si>
  <si>
    <t>Priority</t>
  </si>
  <si>
    <t>Created</t>
  </si>
  <si>
    <t>Reporter</t>
  </si>
  <si>
    <t>Status</t>
  </si>
  <si>
    <t>CWB</t>
  </si>
  <si>
    <t>Temenos</t>
  </si>
  <si>
    <t>Fix Version/s</t>
  </si>
  <si>
    <t>CWBSB-509</t>
  </si>
  <si>
    <t>SBDCO - Authorized Signer - Invitation Email - Content in the email received is quite different than in Field Spec.</t>
  </si>
  <si>
    <t>Medium</t>
  </si>
  <si>
    <t>priya.chodha@cwbank.com</t>
  </si>
  <si>
    <t>CWBSB-508</t>
  </si>
  <si>
    <t>SBDCO â€“ More About Your Business page -  Saved &amp; Resume the Application via Saved email  â€“ Industry Sub Sector an Industry dropdowns are not populated</t>
  </si>
  <si>
    <t>cheryl.kirchmaier@cwbank.com</t>
  </si>
  <si>
    <t>lucyliuxin</t>
  </si>
  <si>
    <t>CWBSB-503</t>
  </si>
  <si>
    <t>SBDCO - No Validation Message given in Field Spec but App displays the validation message</t>
  </si>
  <si>
    <t>CWBSB-497</t>
  </si>
  <si>
    <t>SBDCO - Authorized Signer - Decline Page - Page layout is not correct in mobile device</t>
  </si>
  <si>
    <t>manish.varia@accutive.com</t>
  </si>
  <si>
    <t>Small Biz DCO F&amp;F May 3</t>
  </si>
  <si>
    <t>CWBSB-496</t>
  </si>
  <si>
    <t>SBDCO - Authorized Signer - Birthday &amp; Sin Page - Next and back button button is navigating to different Pages.</t>
  </si>
  <si>
    <t>Chix.DelaLuna@cwbank.com</t>
  </si>
  <si>
    <t>CWBSB-495</t>
  </si>
  <si>
    <t>SBDCO -Authorized Signer - Entry Page -Validation message with lots of space</t>
  </si>
  <si>
    <t>CWBSB-494</t>
  </si>
  <si>
    <t>SBDCO - Alternate IDV page - Radio button selection and Color issue.</t>
  </si>
  <si>
    <t>CWBSB-489</t>
  </si>
  <si>
    <t>SBDCO â€“ More About Your Business â€“ Validation message for additional province displayed for Sole Prop and Gen Partnership</t>
  </si>
  <si>
    <t>CWBSB-487</t>
  </si>
  <si>
    <t>SBDCO - Applicant - More About Your Business page - Applicant can select same province</t>
  </si>
  <si>
    <t>mary.pele@cwbank.com</t>
  </si>
  <si>
    <t>kendyl.bachelor</t>
  </si>
  <si>
    <t>CWBSB-483</t>
  </si>
  <si>
    <t>SBDCO- Auth Signer Name &amp; Address Page - Unit field accepting non-alphanumeric characters</t>
  </si>
  <si>
    <t>CWBSB-482</t>
  </si>
  <si>
    <t>SBDCO- Auth Signer Name &amp; Address Page - Missing section(sub-heading) on page</t>
  </si>
  <si>
    <t>CWBSB-475</t>
  </si>
  <si>
    <t>SBDCO - Authorized Signer â€“ ID Scan interaction with Name and Address page â€“ Uploaded driversâ€™ license is removed</t>
  </si>
  <si>
    <t>CWBSB-474</t>
  </si>
  <si>
    <t>SBDCO - Authorized Signer - IDScan Page - Issue with ID Upload</t>
  </si>
  <si>
    <t>CWBSB-473</t>
  </si>
  <si>
    <t>SBDCO -Authorized Signer - IDScan Page - When back button is clicked Contact Info page is displayed inplace of Qualifying questions</t>
  </si>
  <si>
    <t>CWBSB-472</t>
  </si>
  <si>
    <t>SBDCO - Auth Signer - Name &amp; Address Page -Radio buttons are default to yes when ID is uploaded in IDScan page</t>
  </si>
  <si>
    <t>angela.ahn@accutive.com</t>
  </si>
  <si>
    <t>CWBSB-470</t>
  </si>
  <si>
    <t>SBDCO- Disclosures - Tax Residency page- Validation Message Needs Verbiage change</t>
  </si>
  <si>
    <t>CWBSB-469</t>
  </si>
  <si>
    <t>SBDCO - Authorized Signer - Entry Page - Validation message is not displayed when invalid token is entered.</t>
  </si>
  <si>
    <t>CWBSB-468</t>
  </si>
  <si>
    <t>SBDCO- Authorized Signer - Entry Page - Progress bar is not displayed in the app but is specified in field Spec.</t>
  </si>
  <si>
    <t>CWBSB-467</t>
  </si>
  <si>
    <t>SBDCO â€“ More About Your Business Page â€“ Annual Revenue â€“ Eleven digits cannot be entered efficiently  (See Comments: Make to Currency Field per Spec)</t>
  </si>
  <si>
    <t>CWBSB-466</t>
  </si>
  <si>
    <t>SBDCO- Your Role Page- Percentage Ownership field not showing mandatory message</t>
  </si>
  <si>
    <t>CWBSB-465</t>
  </si>
  <si>
    <t>SBDCO â€“ Your Business Page â€“ Registered Street/RR Name field displays error message when not expected</t>
  </si>
  <si>
    <t>CWBSB-463</t>
  </si>
  <si>
    <t>SBDCO - Your Business Page - Issue with Special character in Bus legal Name and Trade or Operating name field</t>
  </si>
  <si>
    <t>CWBSB-462</t>
  </si>
  <si>
    <t>SBDCO - More About Your Business Page - Number of employees Field is accepting invalid data</t>
  </si>
  <si>
    <t>CWBSB-461</t>
  </si>
  <si>
    <t>SBDCO - Not Qualified Info Page - Invalid Name accepted in the Name field</t>
  </si>
  <si>
    <t>CWBSB-460</t>
  </si>
  <si>
    <t>SBDCO - Existing Customer page - Updates required for the form Values</t>
  </si>
  <si>
    <t>CWBSB-459</t>
  </si>
  <si>
    <t>SBDCO - Not Qualified Page - Name Field - The \ special character should not be accepted</t>
  </si>
  <si>
    <t>CWBSB-425</t>
  </si>
  <si>
    <t>SBDCO - IDScan Page - Able to move to next screen after uploading a fuzzy picture of my ID and getting an error message</t>
  </si>
  <si>
    <t>CWBSB-424</t>
  </si>
  <si>
    <t>SBDCO- Applicant &amp; Auth Signer - Issue with Radio button selection when the ID is deleted in IDScan Page</t>
  </si>
  <si>
    <t>CWBSB-412</t>
  </si>
  <si>
    <t>SBDCO -Name and Address Page -Issue with Special Characters allowed in the fields</t>
  </si>
  <si>
    <t>CWBSB-400</t>
  </si>
  <si>
    <t>About Your Business-CODAT page- Validation message not displayed on page</t>
  </si>
  <si>
    <t>CWBSB-399</t>
  </si>
  <si>
    <t>SBDCO - Mobile Verification Page - Change of phone number did not force token - intermittent</t>
  </si>
  <si>
    <t>CWBSB-395</t>
  </si>
  <si>
    <t>SBDCO- Contact Info Page - Auto Fill and Recaptcha Issue</t>
  </si>
  <si>
    <t>CWBSB-394</t>
  </si>
  <si>
    <t>SBDCO - Qualifying questions page- Next and back button appearing twice when clicked</t>
  </si>
  <si>
    <t>balaji.vasudevan@accutive.com</t>
  </si>
  <si>
    <t>As of Feb 10, 2021</t>
  </si>
  <si>
    <r>
      <rPr>
        <b/>
        <u/>
        <sz val="16"/>
        <color theme="1"/>
        <rFont val="Calibri"/>
        <family val="2"/>
        <scheme val="minor"/>
      </rPr>
      <t xml:space="preserve">Notes:
</t>
    </r>
    <r>
      <rPr>
        <sz val="11"/>
        <color theme="1"/>
        <rFont val="Calibri"/>
        <family val="2"/>
        <scheme val="minor"/>
      </rPr>
      <t xml:space="preserve">1. Tests executed - </t>
    </r>
    <r>
      <rPr>
        <b/>
        <sz val="11"/>
        <color theme="1"/>
        <rFont val="Calibri"/>
        <family val="2"/>
        <scheme val="minor"/>
      </rPr>
      <t xml:space="preserve">100% completed
</t>
    </r>
    <r>
      <rPr>
        <sz val="11"/>
        <color theme="1"/>
        <rFont val="Calibri"/>
        <family val="2"/>
        <scheme val="minor"/>
      </rPr>
      <t xml:space="preserve">2. Refer to Defect Summary Report tab for information on defects
- increase of 3 defects from last report 
</t>
    </r>
    <r>
      <rPr>
        <b/>
        <u/>
        <sz val="16"/>
        <color theme="1"/>
        <rFont val="Calibri"/>
        <family val="2"/>
        <scheme val="minor"/>
      </rPr>
      <t xml:space="preserve">Issues:
</t>
    </r>
    <r>
      <rPr>
        <sz val="11"/>
        <color rgb="FFFF0000"/>
        <rFont val="Calibri"/>
        <family val="2"/>
        <scheme val="minor"/>
      </rPr>
      <t>1. Testing coverage for different devices and browser</t>
    </r>
    <r>
      <rPr>
        <sz val="11"/>
        <rFont val="Calibri"/>
        <family val="2"/>
        <scheme val="minor"/>
      </rPr>
      <t xml:space="preserve">
- Chix to inform Business Team of IE (desktop) and Safari (desktop/Macbook/iPad) browser testing
- Currently not in scope for our testing </t>
    </r>
    <r>
      <rPr>
        <sz val="11"/>
        <color theme="1"/>
        <rFont val="Calibri"/>
        <family val="2"/>
        <scheme val="minor"/>
      </rPr>
      <t xml:space="preserve">
</t>
    </r>
    <r>
      <rPr>
        <sz val="11"/>
        <color rgb="FFFF0000"/>
        <rFont val="Calibri"/>
        <family val="2"/>
        <scheme val="minor"/>
      </rP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</si>
</sst>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b/>
      <sz val="14"/>
      <color theme="1"/>
      <name val="Arial"/>
      <family val="2"/>
    </font>
    <font>
      <b/>
      <sz val="16"/>
      <color theme="1"/>
      <name val="Arial"/>
      <family val="2"/>
    </font>
    <font>
      <b/>
      <sz val="12"/>
      <color rgb="FFFF0000"/>
      <name val="Calibri"/>
      <family val="2"/>
      <scheme val="minor"/>
    </font>
    <font>
      <sz val="14"/>
      <color theme="1"/>
      <name val="Calibri"/>
      <family val="2"/>
      <scheme val="minor"/>
    </font>
    <font>
      <b/>
      <sz val="16"/>
      <color theme="1"/>
      <name val="Calibri"/>
      <family val="2"/>
      <scheme val="minor"/>
    </font>
    <font>
      <b/>
      <sz val="14"/>
      <color theme="1"/>
      <name val="Calibri"/>
      <family val="2"/>
      <scheme val="minor"/>
    </font>
    <font>
      <sz val="11"/>
      <color rgb="FFFF0000"/>
      <name val="Calibri"/>
      <family val="2"/>
      <scheme val="minor"/>
    </font>
    <font>
      <b/>
      <u/>
      <sz val="16"/>
      <color theme="1"/>
      <name val="Calibri"/>
      <family val="2"/>
      <scheme val="minor"/>
    </font>
    <font>
      <sz val="11"/>
      <name val="Calibri"/>
      <family val="2"/>
      <scheme val="minor"/>
    </font>
    <font>
      <b/>
      <sz val="14"/>
      <color rgb="FFFF0000"/>
      <name val="Calibri"/>
      <family val="2"/>
      <scheme val="minor"/>
    </font>
    <font>
      <b/>
      <sz val="11"/>
      <color theme="1"/>
      <name val="Calibri"/>
      <family val="2"/>
      <scheme val="minor"/>
    </font>
    <font>
      <i/>
      <sz val="12"/>
      <color theme="1"/>
      <name val="Calibri"/>
      <family val="2"/>
      <scheme val="minor"/>
    </font>
    <font>
      <i/>
      <sz val="11"/>
      <color theme="1"/>
      <name val="Calibri"/>
      <family val="2"/>
      <scheme val="minor"/>
    </font>
    <font>
      <b/>
      <i/>
      <sz val="12"/>
      <color theme="1"/>
      <name val="Calibri"/>
      <family val="2"/>
      <scheme val="minor"/>
    </font>
    <font>
      <sz val="12"/>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s>
  <cellStyleXfs count="3">
    <xf numFmtId="0" fontId="0" fillId="0" borderId="0"/>
    <xf numFmtId="0" fontId="4" fillId="0" borderId="0"/>
    <xf numFmtId="0" fontId="2" fillId="0" borderId="0"/>
  </cellStyleXfs>
  <cellXfs count="75">
    <xf numFmtId="0" fontId="0" fillId="0" borderId="0" xfId="0"/>
    <xf numFmtId="0" fontId="9" fillId="0" borderId="2" xfId="0" applyFont="1" applyBorder="1"/>
    <xf numFmtId="0" fontId="9" fillId="0" borderId="1" xfId="0" applyFont="1" applyBorder="1"/>
    <xf numFmtId="0" fontId="9" fillId="0" borderId="6" xfId="0" applyFont="1" applyBorder="1" applyAlignment="1"/>
    <xf numFmtId="0" fontId="0" fillId="0" borderId="0" xfId="0" applyAlignment="1">
      <alignment vertical="top"/>
    </xf>
    <xf numFmtId="0" fontId="9" fillId="0" borderId="1" xfId="0" applyFont="1" applyBorder="1" applyAlignment="1">
      <alignment vertical="top"/>
    </xf>
    <xf numFmtId="0" fontId="20" fillId="0" borderId="0" xfId="0" applyFont="1"/>
    <xf numFmtId="0" fontId="0" fillId="0" borderId="0" xfId="0" applyAlignment="1">
      <alignment vertical="center"/>
    </xf>
    <xf numFmtId="0" fontId="9" fillId="0" borderId="1" xfId="0" applyFont="1" applyFill="1" applyBorder="1" applyAlignment="1">
      <alignment horizontal="center" vertical="center"/>
    </xf>
    <xf numFmtId="0" fontId="15" fillId="0" borderId="1" xfId="0" applyFont="1" applyBorder="1" applyAlignment="1">
      <alignment horizontal="center" vertical="center"/>
    </xf>
    <xf numFmtId="0" fontId="9" fillId="0" borderId="1" xfId="0" quotePrefix="1" applyFont="1" applyBorder="1" applyAlignment="1">
      <alignment horizontal="center" vertical="top"/>
    </xf>
    <xf numFmtId="0" fontId="9" fillId="0" borderId="1" xfId="0" applyFont="1" applyFill="1" applyBorder="1" applyAlignment="1"/>
    <xf numFmtId="1" fontId="9" fillId="0" borderId="6" xfId="0" applyNumberFormat="1" applyFont="1" applyBorder="1" applyAlignment="1">
      <alignment horizontal="center" vertical="center"/>
    </xf>
    <xf numFmtId="1" fontId="9" fillId="0" borderId="2" xfId="0" applyNumberFormat="1" applyFont="1" applyBorder="1" applyAlignment="1">
      <alignment horizontal="center" vertical="center"/>
    </xf>
    <xf numFmtId="164" fontId="9" fillId="0" borderId="1" xfId="0" applyNumberFormat="1" applyFont="1" applyBorder="1" applyAlignment="1">
      <alignment horizontal="center" vertical="center"/>
    </xf>
    <xf numFmtId="0" fontId="11" fillId="5" borderId="0" xfId="0" applyFont="1" applyFill="1"/>
    <xf numFmtId="0" fontId="0" fillId="5" borderId="0" xfId="0" applyFill="1"/>
    <xf numFmtId="0" fontId="9" fillId="5" borderId="0" xfId="0" quotePrefix="1" applyFont="1" applyFill="1"/>
    <xf numFmtId="0" fontId="5" fillId="5" borderId="0" xfId="0" applyFont="1" applyFill="1" applyAlignment="1">
      <alignment horizontal="center" vertical="center"/>
    </xf>
    <xf numFmtId="0" fontId="3" fillId="5" borderId="0" xfId="0" applyFont="1" applyFill="1" applyAlignment="1">
      <alignment horizontal="left" vertical="top"/>
    </xf>
    <xf numFmtId="0" fontId="17" fillId="5" borderId="0" xfId="0" applyFont="1" applyFill="1" applyAlignment="1">
      <alignment horizontal="center" vertical="center"/>
    </xf>
    <xf numFmtId="0" fontId="18" fillId="5" borderId="0" xfId="0" applyFont="1" applyFill="1" applyAlignment="1">
      <alignment horizontal="left" vertical="top"/>
    </xf>
    <xf numFmtId="0" fontId="18" fillId="5" borderId="0" xfId="0" applyFont="1" applyFill="1" applyAlignment="1">
      <alignment horizontal="left" vertical="top" wrapText="1"/>
    </xf>
    <xf numFmtId="0" fontId="17" fillId="5" borderId="0" xfId="0" applyFont="1" applyFill="1" applyAlignment="1">
      <alignment horizontal="center" vertical="center" wrapText="1"/>
    </xf>
    <xf numFmtId="0" fontId="0" fillId="5" borderId="0" xfId="0" quotePrefix="1" applyFill="1"/>
    <xf numFmtId="0" fontId="19" fillId="5" borderId="0" xfId="0" applyFont="1" applyFill="1"/>
    <xf numFmtId="0" fontId="17" fillId="5" borderId="0" xfId="0" applyFont="1" applyFill="1"/>
    <xf numFmtId="0" fontId="9" fillId="4" borderId="1" xfId="0" applyFont="1" applyFill="1" applyBorder="1"/>
    <xf numFmtId="1" fontId="9" fillId="4" borderId="1" xfId="0" applyNumberFormat="1" applyFont="1" applyFill="1" applyBorder="1" applyAlignment="1">
      <alignment horizontal="center" vertical="center"/>
    </xf>
    <xf numFmtId="164" fontId="9" fillId="4" borderId="1" xfId="0" applyNumberFormat="1" applyFont="1" applyFill="1" applyBorder="1" applyAlignment="1">
      <alignment horizontal="center" vertical="center"/>
    </xf>
    <xf numFmtId="0" fontId="2" fillId="0" borderId="0" xfId="2" applyAlignment="1">
      <alignment horizontal="left" vertical="top"/>
    </xf>
    <xf numFmtId="0" fontId="2" fillId="0" borderId="0" xfId="2" applyAlignment="1">
      <alignment horizontal="left" vertical="top" wrapText="1"/>
    </xf>
    <xf numFmtId="0" fontId="16" fillId="6" borderId="1" xfId="2" applyFont="1" applyFill="1" applyBorder="1" applyAlignment="1">
      <alignment horizontal="center" vertical="center"/>
    </xf>
    <xf numFmtId="0" fontId="16" fillId="6" borderId="1" xfId="2" applyFont="1" applyFill="1" applyBorder="1" applyAlignment="1">
      <alignment horizontal="center" vertical="center" wrapText="1"/>
    </xf>
    <xf numFmtId="0" fontId="16" fillId="0" borderId="0" xfId="2" applyFont="1" applyAlignment="1">
      <alignment horizontal="center" vertical="center"/>
    </xf>
    <xf numFmtId="0" fontId="2" fillId="0" borderId="1" xfId="2" applyBorder="1" applyAlignment="1">
      <alignment horizontal="left" vertical="top"/>
    </xf>
    <xf numFmtId="0" fontId="2" fillId="0" borderId="1" xfId="2" applyBorder="1" applyAlignment="1">
      <alignment horizontal="left" vertical="top" wrapText="1"/>
    </xf>
    <xf numFmtId="22" fontId="2" fillId="0" borderId="1" xfId="2" applyNumberFormat="1" applyBorder="1" applyAlignment="1">
      <alignment horizontal="left" vertical="top"/>
    </xf>
    <xf numFmtId="0" fontId="0" fillId="5" borderId="0" xfId="0" applyFill="1" applyAlignment="1">
      <alignment vertical="center"/>
    </xf>
    <xf numFmtId="0" fontId="0" fillId="5" borderId="0" xfId="0" applyFill="1" applyAlignment="1">
      <alignment vertical="top"/>
    </xf>
    <xf numFmtId="15" fontId="11" fillId="5" borderId="0" xfId="0" applyNumberFormat="1" applyFont="1" applyFill="1" applyBorder="1" applyAlignment="1">
      <alignment horizontal="left"/>
    </xf>
    <xf numFmtId="0" fontId="5" fillId="5" borderId="0" xfId="0" applyFont="1" applyFill="1" applyBorder="1" applyAlignment="1">
      <alignment horizontal="center"/>
    </xf>
    <xf numFmtId="0" fontId="20" fillId="5" borderId="0" xfId="0" applyFont="1" applyFill="1" applyBorder="1" applyAlignment="1">
      <alignment horizontal="center"/>
    </xf>
    <xf numFmtId="0" fontId="0" fillId="5" borderId="0" xfId="0" applyFill="1" applyBorder="1"/>
    <xf numFmtId="0" fontId="20" fillId="5" borderId="0" xfId="0" applyFont="1" applyFill="1" applyBorder="1"/>
    <xf numFmtId="0" fontId="7" fillId="5" borderId="0" xfId="0" applyFont="1" applyFill="1" applyBorder="1" applyAlignment="1">
      <alignment horizontal="center" vertical="center"/>
    </xf>
    <xf numFmtId="0" fontId="11" fillId="5" borderId="0" xfId="0" applyFont="1" applyFill="1" applyBorder="1" applyAlignment="1">
      <alignment horizontal="left" vertical="top"/>
    </xf>
    <xf numFmtId="0" fontId="10" fillId="5" borderId="0" xfId="0" applyFont="1" applyFill="1" applyBorder="1" applyAlignment="1">
      <alignment vertical="top" wrapText="1"/>
    </xf>
    <xf numFmtId="0" fontId="20" fillId="5" borderId="0" xfId="0" applyFont="1" applyFill="1"/>
    <xf numFmtId="0" fontId="10" fillId="3" borderId="12" xfId="0" applyFont="1" applyFill="1" applyBorder="1" applyAlignment="1">
      <alignment horizontal="left" vertical="top" wrapText="1"/>
    </xf>
    <xf numFmtId="0" fontId="10" fillId="3" borderId="7" xfId="0" applyFont="1" applyFill="1" applyBorder="1" applyAlignment="1">
      <alignment horizontal="left" vertical="top" wrapText="1"/>
    </xf>
    <xf numFmtId="0" fontId="10" fillId="3" borderId="13" xfId="0" applyFont="1" applyFill="1" applyBorder="1" applyAlignment="1">
      <alignment horizontal="left" vertical="top" wrapText="1"/>
    </xf>
    <xf numFmtId="0" fontId="10" fillId="3" borderId="4" xfId="0" applyFont="1" applyFill="1" applyBorder="1" applyAlignment="1">
      <alignment horizontal="left" vertical="top" wrapText="1"/>
    </xf>
    <xf numFmtId="0" fontId="10" fillId="3" borderId="0" xfId="0" applyFont="1" applyFill="1" applyBorder="1" applyAlignment="1">
      <alignment horizontal="left" vertical="top" wrapText="1"/>
    </xf>
    <xf numFmtId="0" fontId="10" fillId="3" borderId="3" xfId="0" applyFont="1" applyFill="1" applyBorder="1" applyAlignment="1">
      <alignment horizontal="left" vertical="top" wrapText="1"/>
    </xf>
    <xf numFmtId="0" fontId="10" fillId="3" borderId="8" xfId="0" applyFont="1" applyFill="1" applyBorder="1" applyAlignment="1">
      <alignment horizontal="left" vertical="top" wrapText="1"/>
    </xf>
    <xf numFmtId="0" fontId="10" fillId="3" borderId="14" xfId="0" applyFont="1" applyFill="1" applyBorder="1" applyAlignment="1">
      <alignment horizontal="left" vertical="top" wrapText="1"/>
    </xf>
    <xf numFmtId="0" fontId="10" fillId="3" borderId="5" xfId="0" applyFont="1" applyFill="1" applyBorder="1" applyAlignment="1">
      <alignment horizontal="left" vertical="top" wrapText="1"/>
    </xf>
    <xf numFmtId="0" fontId="7" fillId="2" borderId="1" xfId="0" applyFont="1" applyFill="1" applyBorder="1" applyAlignment="1">
      <alignment horizontal="center" vertical="center"/>
    </xf>
    <xf numFmtId="0" fontId="6" fillId="0" borderId="1" xfId="0" applyFont="1" applyFill="1" applyBorder="1" applyAlignment="1">
      <alignment horizontal="left" vertical="center"/>
    </xf>
    <xf numFmtId="0" fontId="6" fillId="0" borderId="1" xfId="0" applyFont="1" applyFill="1" applyBorder="1" applyAlignment="1">
      <alignment horizontal="center" vertical="center"/>
    </xf>
    <xf numFmtId="0" fontId="8" fillId="5" borderId="0" xfId="0" applyFont="1" applyFill="1" applyBorder="1" applyAlignment="1">
      <alignment horizontal="center"/>
    </xf>
    <xf numFmtId="0" fontId="0" fillId="0" borderId="0" xfId="0" applyBorder="1" applyAlignment="1">
      <alignment horizontal="center"/>
    </xf>
    <xf numFmtId="0" fontId="9" fillId="0" borderId="8" xfId="0" applyFont="1" applyFill="1" applyBorder="1" applyAlignment="1">
      <alignment horizontal="center"/>
    </xf>
    <xf numFmtId="0" fontId="9" fillId="0" borderId="5" xfId="0" applyFont="1" applyFill="1" applyBorder="1" applyAlignment="1">
      <alignment horizontal="center"/>
    </xf>
    <xf numFmtId="0" fontId="19" fillId="5" borderId="0" xfId="0" applyFont="1" applyFill="1" applyAlignment="1">
      <alignment horizontal="left" vertical="top" wrapText="1"/>
    </xf>
    <xf numFmtId="0" fontId="5" fillId="5" borderId="9" xfId="0" applyFont="1" applyFill="1" applyBorder="1" applyAlignment="1">
      <alignment horizontal="left" vertical="top"/>
    </xf>
    <xf numFmtId="0" fontId="5" fillId="5" borderId="11" xfId="0" applyFont="1" applyFill="1" applyBorder="1" applyAlignment="1">
      <alignment horizontal="left" vertical="top"/>
    </xf>
    <xf numFmtId="0" fontId="0" fillId="5" borderId="9" xfId="0" quotePrefix="1" applyFill="1" applyBorder="1" applyAlignment="1">
      <alignment horizontal="left" vertical="top"/>
    </xf>
    <xf numFmtId="0" fontId="0" fillId="5" borderId="10" xfId="0" quotePrefix="1" applyFill="1" applyBorder="1" applyAlignment="1">
      <alignment horizontal="left" vertical="top"/>
    </xf>
    <xf numFmtId="0" fontId="0" fillId="5" borderId="11" xfId="0" quotePrefix="1" applyFill="1" applyBorder="1" applyAlignment="1">
      <alignment horizontal="left" vertical="top"/>
    </xf>
    <xf numFmtId="0" fontId="0" fillId="5" borderId="0" xfId="0" applyFill="1" applyAlignment="1">
      <alignment horizontal="left" vertical="top" wrapText="1"/>
    </xf>
    <xf numFmtId="0" fontId="0" fillId="5" borderId="1" xfId="0" quotePrefix="1" applyFill="1" applyBorder="1" applyAlignment="1">
      <alignment horizontal="left" vertical="top"/>
    </xf>
    <xf numFmtId="0" fontId="0" fillId="5" borderId="1" xfId="0" quotePrefix="1" applyFill="1" applyBorder="1" applyAlignment="1">
      <alignment horizontal="left" vertical="top" wrapText="1"/>
    </xf>
    <xf numFmtId="0" fontId="16" fillId="6" borderId="1" xfId="2" applyFont="1" applyFill="1" applyBorder="1" applyAlignment="1">
      <alignment horizontal="center" vertical="top"/>
    </xf>
  </cellXfs>
  <cellStyles count="3">
    <cellStyle name="Normal" xfId="0" builtinId="0"/>
    <cellStyle name="Normal 2" xfId="1"/>
    <cellStyle name="Normal 3" xfId="2"/>
  </cellStyles>
  <dxfs count="0"/>
  <tableStyles count="0" defaultTableStyle="TableStyleMedium2" defaultPivotStyle="PivotStyleLight16"/>
  <colors>
    <mruColors>
      <color rgb="FF00FFFF"/>
      <color rgb="FF73F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419100</xdr:colOff>
      <xdr:row>5</xdr:row>
      <xdr:rowOff>114300</xdr:rowOff>
    </xdr:from>
    <xdr:to>
      <xdr:col>8</xdr:col>
      <xdr:colOff>456881</xdr:colOff>
      <xdr:row>13</xdr:row>
      <xdr:rowOff>266412</xdr:rowOff>
    </xdr:to>
    <xdr:pic>
      <xdr:nvPicPr>
        <xdr:cNvPr id="2" name="Picture 1"/>
        <xdr:cNvPicPr>
          <a:picLocks noChangeAspect="1"/>
        </xdr:cNvPicPr>
      </xdr:nvPicPr>
      <xdr:blipFill>
        <a:blip xmlns:r="http://schemas.openxmlformats.org/officeDocument/2006/relationships" r:embed="rId1"/>
        <a:stretch>
          <a:fillRect/>
        </a:stretch>
      </xdr:blipFill>
      <xdr:spPr>
        <a:xfrm>
          <a:off x="5324475" y="1133475"/>
          <a:ext cx="2552381" cy="2304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24</xdr:col>
      <xdr:colOff>314325</xdr:colOff>
      <xdr:row>3</xdr:row>
      <xdr:rowOff>180975</xdr:rowOff>
    </xdr:from>
    <xdr:to>
      <xdr:col>26</xdr:col>
      <xdr:colOff>28575</xdr:colOff>
      <xdr:row>5</xdr:row>
      <xdr:rowOff>19050</xdr:rowOff>
    </xdr:to>
    <xdr:sp macro="" textlink="">
      <xdr:nvSpPr>
        <xdr:cNvPr id="2" name="Minus 1"/>
        <xdr:cNvSpPr/>
      </xdr:nvSpPr>
      <xdr:spPr>
        <a:xfrm>
          <a:off x="6391275" y="838200"/>
          <a:ext cx="266700" cy="238125"/>
        </a:xfrm>
        <a:prstGeom prst="mathMinus">
          <a:avLst/>
        </a:prstGeom>
        <a:solidFill>
          <a:srgbClr val="FF3300"/>
        </a:solidFill>
        <a:ln>
          <a:solidFill>
            <a:srgbClr val="FF33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24</xdr:col>
      <xdr:colOff>314325</xdr:colOff>
      <xdr:row>4</xdr:row>
      <xdr:rowOff>190500</xdr:rowOff>
    </xdr:from>
    <xdr:to>
      <xdr:col>26</xdr:col>
      <xdr:colOff>28575</xdr:colOff>
      <xdr:row>6</xdr:row>
      <xdr:rowOff>28575</xdr:rowOff>
    </xdr:to>
    <xdr:sp macro="" textlink="">
      <xdr:nvSpPr>
        <xdr:cNvPr id="3" name="Minus 2"/>
        <xdr:cNvSpPr/>
      </xdr:nvSpPr>
      <xdr:spPr>
        <a:xfrm>
          <a:off x="6391275" y="1047750"/>
          <a:ext cx="266700" cy="238125"/>
        </a:xfrm>
        <a:prstGeom prst="mathMinus">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24</xdr:col>
      <xdr:colOff>314325</xdr:colOff>
      <xdr:row>6</xdr:row>
      <xdr:rowOff>0</xdr:rowOff>
    </xdr:from>
    <xdr:to>
      <xdr:col>26</xdr:col>
      <xdr:colOff>28575</xdr:colOff>
      <xdr:row>7</xdr:row>
      <xdr:rowOff>38100</xdr:rowOff>
    </xdr:to>
    <xdr:sp macro="" textlink="">
      <xdr:nvSpPr>
        <xdr:cNvPr id="4" name="Minus 3"/>
        <xdr:cNvSpPr/>
      </xdr:nvSpPr>
      <xdr:spPr>
        <a:xfrm>
          <a:off x="6391275" y="1257300"/>
          <a:ext cx="266700" cy="238125"/>
        </a:xfrm>
        <a:prstGeom prst="mathMinus">
          <a:avLst/>
        </a:prstGeom>
        <a:solidFill>
          <a:schemeClr val="accent1">
            <a:lumMod val="50000"/>
          </a:schemeClr>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25</xdr:col>
      <xdr:colOff>-1</xdr:colOff>
      <xdr:row>20</xdr:row>
      <xdr:rowOff>1</xdr:rowOff>
    </xdr:from>
    <xdr:to>
      <xdr:col>26</xdr:col>
      <xdr:colOff>26193</xdr:colOff>
      <xdr:row>21</xdr:row>
      <xdr:rowOff>38101</xdr:rowOff>
    </xdr:to>
    <xdr:sp macro="" textlink="">
      <xdr:nvSpPr>
        <xdr:cNvPr id="9" name="Minus 8"/>
        <xdr:cNvSpPr/>
      </xdr:nvSpPr>
      <xdr:spPr>
        <a:xfrm>
          <a:off x="14787562" y="4143376"/>
          <a:ext cx="264319" cy="240506"/>
        </a:xfrm>
        <a:prstGeom prst="mathMinus">
          <a:avLst/>
        </a:prstGeom>
        <a:solidFill>
          <a:schemeClr val="accent1">
            <a:lumMod val="50000"/>
          </a:schemeClr>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oneCell">
    <xdr:from>
      <xdr:col>0</xdr:col>
      <xdr:colOff>107156</xdr:colOff>
      <xdr:row>3</xdr:row>
      <xdr:rowOff>119061</xdr:rowOff>
    </xdr:from>
    <xdr:to>
      <xdr:col>12</xdr:col>
      <xdr:colOff>65523</xdr:colOff>
      <xdr:row>23</xdr:row>
      <xdr:rowOff>116108</xdr:rowOff>
    </xdr:to>
    <xdr:pic>
      <xdr:nvPicPr>
        <xdr:cNvPr id="8" name="Picture 7"/>
        <xdr:cNvPicPr>
          <a:picLocks noChangeAspect="1"/>
        </xdr:cNvPicPr>
      </xdr:nvPicPr>
      <xdr:blipFill>
        <a:blip xmlns:r="http://schemas.openxmlformats.org/officeDocument/2006/relationships" r:embed="rId1"/>
        <a:stretch>
          <a:fillRect/>
        </a:stretch>
      </xdr:blipFill>
      <xdr:spPr>
        <a:xfrm>
          <a:off x="107156" y="833436"/>
          <a:ext cx="7125930" cy="4295203"/>
        </a:xfrm>
        <a:prstGeom prst="rect">
          <a:avLst/>
        </a:prstGeom>
      </xdr:spPr>
    </xdr:pic>
    <xdr:clientData/>
  </xdr:twoCellAnchor>
  <xdr:twoCellAnchor editAs="oneCell">
    <xdr:from>
      <xdr:col>13</xdr:col>
      <xdr:colOff>1</xdr:colOff>
      <xdr:row>3</xdr:row>
      <xdr:rowOff>107155</xdr:rowOff>
    </xdr:from>
    <xdr:to>
      <xdr:col>24</xdr:col>
      <xdr:colOff>25035</xdr:colOff>
      <xdr:row>29</xdr:row>
      <xdr:rowOff>189679</xdr:rowOff>
    </xdr:to>
    <xdr:pic>
      <xdr:nvPicPr>
        <xdr:cNvPr id="10" name="Picture 9"/>
        <xdr:cNvPicPr>
          <a:picLocks noChangeAspect="1"/>
        </xdr:cNvPicPr>
      </xdr:nvPicPr>
      <xdr:blipFill>
        <a:blip xmlns:r="http://schemas.openxmlformats.org/officeDocument/2006/relationships" r:embed="rId2"/>
        <a:stretch>
          <a:fillRect/>
        </a:stretch>
      </xdr:blipFill>
      <xdr:spPr>
        <a:xfrm>
          <a:off x="7346157" y="821530"/>
          <a:ext cx="6716347" cy="578561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tabSelected="1" zoomScaleNormal="100" workbookViewId="0">
      <selection activeCell="B1" sqref="B1:I1"/>
    </sheetView>
  </sheetViews>
  <sheetFormatPr defaultColWidth="11" defaultRowHeight="15.75" x14ac:dyDescent="0.25"/>
  <cols>
    <col min="1" max="1" width="1.625" customWidth="1"/>
    <col min="2" max="2" width="29" customWidth="1"/>
    <col min="3" max="3" width="12.125" customWidth="1"/>
    <col min="4" max="4" width="14.75" customWidth="1"/>
    <col min="5" max="5" width="6.875" style="6" customWidth="1"/>
    <col min="9" max="9" width="10.875" customWidth="1"/>
    <col min="10" max="10" width="2.625" style="16" customWidth="1"/>
    <col min="17" max="17" width="33.125" customWidth="1"/>
  </cols>
  <sheetData>
    <row r="1" spans="1:17" ht="20.25" x14ac:dyDescent="0.25">
      <c r="A1" s="16"/>
      <c r="B1" s="58" t="s">
        <v>41</v>
      </c>
      <c r="C1" s="58"/>
      <c r="D1" s="58"/>
      <c r="E1" s="58"/>
      <c r="F1" s="58"/>
      <c r="G1" s="58"/>
      <c r="H1" s="58"/>
      <c r="I1" s="58"/>
      <c r="K1" s="16"/>
      <c r="L1" s="16"/>
      <c r="M1" s="16"/>
      <c r="N1" s="16"/>
      <c r="O1" s="16"/>
      <c r="P1" s="16"/>
      <c r="Q1" s="16"/>
    </row>
    <row r="2" spans="1:17" s="16" customFormat="1" ht="11.25" customHeight="1" x14ac:dyDescent="0.25">
      <c r="B2" s="45"/>
      <c r="C2" s="45"/>
      <c r="D2" s="45"/>
      <c r="E2" s="45"/>
      <c r="F2" s="45"/>
      <c r="G2" s="45"/>
      <c r="H2" s="45"/>
      <c r="I2" s="45"/>
    </row>
    <row r="3" spans="1:17" ht="21.75" customHeight="1" x14ac:dyDescent="0.3">
      <c r="A3" s="16"/>
      <c r="B3" s="46" t="s">
        <v>132</v>
      </c>
      <c r="C3" s="40"/>
      <c r="D3" s="41"/>
      <c r="E3" s="42"/>
      <c r="F3" s="41"/>
      <c r="G3" s="41"/>
      <c r="H3" s="41"/>
      <c r="I3" s="41"/>
      <c r="K3" s="16"/>
      <c r="L3" s="16"/>
      <c r="M3" s="16"/>
      <c r="N3" s="16"/>
      <c r="O3" s="16"/>
      <c r="P3" s="16"/>
      <c r="Q3" s="16"/>
    </row>
    <row r="4" spans="1:17" ht="4.5" customHeight="1" x14ac:dyDescent="0.25">
      <c r="A4" s="16"/>
      <c r="B4" s="43"/>
      <c r="C4" s="43"/>
      <c r="D4" s="43"/>
      <c r="E4" s="44"/>
      <c r="F4" s="43"/>
      <c r="G4" s="43"/>
      <c r="H4" s="43"/>
      <c r="I4" s="43"/>
      <c r="K4" s="16"/>
      <c r="L4" s="16"/>
      <c r="M4" s="16"/>
      <c r="N4" s="16"/>
      <c r="O4" s="16"/>
      <c r="P4" s="16"/>
      <c r="Q4" s="16"/>
    </row>
    <row r="5" spans="1:17" s="7" customFormat="1" ht="22.5" customHeight="1" x14ac:dyDescent="0.25">
      <c r="A5" s="38"/>
      <c r="B5" s="59" t="s">
        <v>15</v>
      </c>
      <c r="C5" s="59"/>
      <c r="D5" s="59"/>
      <c r="E5" s="59"/>
      <c r="F5" s="59"/>
      <c r="G5" s="59"/>
      <c r="H5" s="59"/>
      <c r="I5" s="59"/>
      <c r="J5" s="38"/>
      <c r="K5" s="49" t="s">
        <v>133</v>
      </c>
      <c r="L5" s="50"/>
      <c r="M5" s="50"/>
      <c r="N5" s="50"/>
      <c r="O5" s="50"/>
      <c r="P5" s="50"/>
      <c r="Q5" s="51"/>
    </row>
    <row r="6" spans="1:17" ht="15.75" customHeight="1" x14ac:dyDescent="0.25">
      <c r="A6" s="16"/>
      <c r="B6" s="61"/>
      <c r="C6" s="61"/>
      <c r="D6" s="61"/>
      <c r="E6" s="61"/>
      <c r="F6" s="62"/>
      <c r="G6" s="62"/>
      <c r="H6" s="62"/>
      <c r="I6" s="62"/>
      <c r="K6" s="52"/>
      <c r="L6" s="53"/>
      <c r="M6" s="53"/>
      <c r="N6" s="53"/>
      <c r="O6" s="53"/>
      <c r="P6" s="53"/>
      <c r="Q6" s="54"/>
    </row>
    <row r="7" spans="1:17" s="4" customFormat="1" ht="26.25" customHeight="1" x14ac:dyDescent="0.25">
      <c r="A7" s="39"/>
      <c r="B7" s="60" t="s">
        <v>20</v>
      </c>
      <c r="C7" s="60"/>
      <c r="D7" s="60"/>
      <c r="E7" s="60"/>
      <c r="F7" s="62"/>
      <c r="G7" s="62"/>
      <c r="H7" s="62"/>
      <c r="I7" s="62"/>
      <c r="J7" s="39"/>
      <c r="K7" s="52"/>
      <c r="L7" s="53"/>
      <c r="M7" s="53"/>
      <c r="N7" s="53"/>
      <c r="O7" s="53"/>
      <c r="P7" s="53"/>
      <c r="Q7" s="54"/>
    </row>
    <row r="8" spans="1:17" s="4" customFormat="1" ht="19.5" customHeight="1" x14ac:dyDescent="0.3">
      <c r="A8" s="39"/>
      <c r="B8" s="3" t="s">
        <v>16</v>
      </c>
      <c r="C8" s="12">
        <f>SUM(C9:C12)</f>
        <v>687</v>
      </c>
      <c r="D8" s="63" t="s">
        <v>21</v>
      </c>
      <c r="E8" s="64"/>
      <c r="F8" s="62"/>
      <c r="G8" s="62"/>
      <c r="H8" s="62"/>
      <c r="I8" s="62"/>
      <c r="J8" s="39"/>
      <c r="K8" s="52"/>
      <c r="L8" s="53"/>
      <c r="M8" s="53"/>
      <c r="N8" s="53"/>
      <c r="O8" s="53"/>
      <c r="P8" s="53"/>
      <c r="Q8" s="54"/>
    </row>
    <row r="9" spans="1:17" s="4" customFormat="1" ht="21.75" customHeight="1" x14ac:dyDescent="0.3">
      <c r="A9" s="39"/>
      <c r="B9" s="1" t="s">
        <v>1</v>
      </c>
      <c r="C9" s="13">
        <v>568</v>
      </c>
      <c r="D9" s="2" t="s">
        <v>4</v>
      </c>
      <c r="E9" s="14">
        <f>C9/C8*100</f>
        <v>82.678311499272198</v>
      </c>
      <c r="F9" s="62"/>
      <c r="G9" s="62"/>
      <c r="H9" s="62"/>
      <c r="I9" s="62"/>
      <c r="J9" s="39"/>
      <c r="K9" s="52"/>
      <c r="L9" s="53"/>
      <c r="M9" s="53"/>
      <c r="N9" s="53"/>
      <c r="O9" s="53"/>
      <c r="P9" s="53"/>
      <c r="Q9" s="54"/>
    </row>
    <row r="10" spans="1:17" ht="21.75" customHeight="1" x14ac:dyDescent="0.3">
      <c r="A10" s="16"/>
      <c r="B10" s="1" t="s">
        <v>2</v>
      </c>
      <c r="C10" s="13">
        <v>66</v>
      </c>
      <c r="D10" s="2" t="s">
        <v>0</v>
      </c>
      <c r="E10" s="14">
        <f>C10/C8*100</f>
        <v>9.606986899563319</v>
      </c>
      <c r="F10" s="62"/>
      <c r="G10" s="62"/>
      <c r="H10" s="62"/>
      <c r="I10" s="62"/>
      <c r="K10" s="52"/>
      <c r="L10" s="53"/>
      <c r="M10" s="53"/>
      <c r="N10" s="53"/>
      <c r="O10" s="53"/>
      <c r="P10" s="53"/>
      <c r="Q10" s="54"/>
    </row>
    <row r="11" spans="1:17" ht="21" customHeight="1" x14ac:dyDescent="0.3">
      <c r="A11" s="16"/>
      <c r="B11" s="1" t="s">
        <v>3</v>
      </c>
      <c r="C11" s="13">
        <v>53</v>
      </c>
      <c r="D11" s="2" t="s">
        <v>5</v>
      </c>
      <c r="E11" s="14">
        <f>C11/C8*100</f>
        <v>7.7147016011644833</v>
      </c>
      <c r="F11" s="62"/>
      <c r="G11" s="62"/>
      <c r="H11" s="62"/>
      <c r="I11" s="62"/>
      <c r="K11" s="52"/>
      <c r="L11" s="53"/>
      <c r="M11" s="53"/>
      <c r="N11" s="53"/>
      <c r="O11" s="53"/>
      <c r="P11" s="53"/>
      <c r="Q11" s="54"/>
    </row>
    <row r="12" spans="1:17" ht="21" customHeight="1" x14ac:dyDescent="0.3">
      <c r="A12" s="16"/>
      <c r="B12" s="27" t="s">
        <v>17</v>
      </c>
      <c r="C12" s="28">
        <v>0</v>
      </c>
      <c r="D12" s="27" t="s">
        <v>13</v>
      </c>
      <c r="E12" s="29">
        <f>C12/C8*100</f>
        <v>0</v>
      </c>
      <c r="F12" s="62"/>
      <c r="G12" s="62"/>
      <c r="H12" s="62"/>
      <c r="I12" s="62"/>
      <c r="K12" s="52"/>
      <c r="L12" s="53"/>
      <c r="M12" s="53"/>
      <c r="N12" s="53"/>
      <c r="O12" s="53"/>
      <c r="P12" s="53"/>
      <c r="Q12" s="54"/>
    </row>
    <row r="13" spans="1:17" ht="22.5" customHeight="1" x14ac:dyDescent="0.3">
      <c r="A13" s="16"/>
      <c r="B13" s="2" t="s">
        <v>18</v>
      </c>
      <c r="C13" s="9">
        <v>33</v>
      </c>
      <c r="D13" s="2"/>
      <c r="E13" s="8"/>
      <c r="F13" s="62"/>
      <c r="G13" s="62"/>
      <c r="H13" s="62"/>
      <c r="I13" s="62"/>
      <c r="K13" s="52"/>
      <c r="L13" s="53"/>
      <c r="M13" s="53"/>
      <c r="N13" s="53"/>
      <c r="O13" s="53"/>
      <c r="P13" s="53"/>
      <c r="Q13" s="54"/>
    </row>
    <row r="14" spans="1:17" ht="21.75" customHeight="1" x14ac:dyDescent="0.3">
      <c r="A14" s="16"/>
      <c r="B14" s="5" t="s">
        <v>19</v>
      </c>
      <c r="C14" s="10" t="s">
        <v>14</v>
      </c>
      <c r="D14" s="11"/>
      <c r="E14" s="11"/>
      <c r="F14" s="62"/>
      <c r="G14" s="62"/>
      <c r="H14" s="62"/>
      <c r="I14" s="62"/>
      <c r="K14" s="55"/>
      <c r="L14" s="56"/>
      <c r="M14" s="56"/>
      <c r="N14" s="56"/>
      <c r="O14" s="56"/>
      <c r="P14" s="56"/>
      <c r="Q14" s="57"/>
    </row>
    <row r="15" spans="1:17" s="16" customFormat="1" ht="15.75" customHeight="1" x14ac:dyDescent="0.25">
      <c r="B15" s="43"/>
      <c r="C15" s="43"/>
      <c r="D15" s="43"/>
      <c r="E15" s="44"/>
      <c r="F15" s="43"/>
      <c r="G15" s="43"/>
      <c r="H15" s="43"/>
      <c r="I15" s="43"/>
      <c r="K15" s="47"/>
      <c r="L15" s="47"/>
      <c r="M15" s="47"/>
      <c r="N15" s="47"/>
      <c r="O15" s="47"/>
      <c r="P15" s="47"/>
      <c r="Q15" s="47"/>
    </row>
    <row r="16" spans="1:17" s="16" customFormat="1" ht="15.75" customHeight="1" x14ac:dyDescent="0.25">
      <c r="B16" s="43"/>
      <c r="C16" s="43"/>
      <c r="D16" s="43"/>
      <c r="E16" s="44"/>
      <c r="F16" s="43"/>
      <c r="G16" s="43"/>
      <c r="H16" s="43"/>
      <c r="I16" s="43"/>
    </row>
    <row r="17" spans="2:9" s="16" customFormat="1" ht="15.75" customHeight="1" x14ac:dyDescent="0.25">
      <c r="B17" s="43"/>
      <c r="C17" s="43"/>
      <c r="D17" s="43"/>
      <c r="E17" s="44"/>
      <c r="F17" s="43"/>
      <c r="G17" s="43"/>
      <c r="H17" s="43"/>
      <c r="I17" s="43"/>
    </row>
    <row r="18" spans="2:9" s="16" customFormat="1" ht="15.75" customHeight="1" x14ac:dyDescent="0.25">
      <c r="B18" s="43"/>
      <c r="C18" s="43"/>
      <c r="D18" s="43"/>
      <c r="E18" s="44"/>
      <c r="F18" s="43"/>
      <c r="G18" s="43"/>
      <c r="H18" s="43"/>
      <c r="I18" s="43"/>
    </row>
    <row r="19" spans="2:9" s="16" customFormat="1" ht="16.5" customHeight="1" x14ac:dyDescent="0.25">
      <c r="E19" s="48"/>
    </row>
    <row r="20" spans="2:9" s="16" customFormat="1" x14ac:dyDescent="0.25">
      <c r="E20" s="48"/>
    </row>
    <row r="21" spans="2:9" s="16" customFormat="1" x14ac:dyDescent="0.25">
      <c r="E21" s="48"/>
    </row>
    <row r="22" spans="2:9" s="16" customFormat="1" x14ac:dyDescent="0.25">
      <c r="E22" s="48"/>
    </row>
    <row r="23" spans="2:9" s="16" customFormat="1" x14ac:dyDescent="0.25">
      <c r="E23" s="48"/>
    </row>
    <row r="24" spans="2:9" s="16" customFormat="1" x14ac:dyDescent="0.25">
      <c r="E24" s="48"/>
    </row>
    <row r="25" spans="2:9" s="16" customFormat="1" x14ac:dyDescent="0.25">
      <c r="E25" s="48"/>
    </row>
    <row r="26" spans="2:9" s="16" customFormat="1" x14ac:dyDescent="0.25">
      <c r="E26" s="48"/>
    </row>
    <row r="27" spans="2:9" s="16" customFormat="1" x14ac:dyDescent="0.25">
      <c r="E27" s="48"/>
    </row>
    <row r="28" spans="2:9" s="16" customFormat="1" x14ac:dyDescent="0.25">
      <c r="E28" s="48"/>
    </row>
    <row r="29" spans="2:9" s="16" customFormat="1" x14ac:dyDescent="0.25">
      <c r="E29" s="48"/>
    </row>
    <row r="30" spans="2:9" s="16" customFormat="1" x14ac:dyDescent="0.25">
      <c r="E30" s="48"/>
    </row>
    <row r="31" spans="2:9" s="16" customFormat="1" x14ac:dyDescent="0.25">
      <c r="E31" s="48"/>
    </row>
    <row r="32" spans="2:9" s="16" customFormat="1" x14ac:dyDescent="0.25">
      <c r="E32" s="48"/>
    </row>
    <row r="33" spans="5:5" s="16" customFormat="1" x14ac:dyDescent="0.25">
      <c r="E33" s="48"/>
    </row>
    <row r="34" spans="5:5" s="16" customFormat="1" x14ac:dyDescent="0.25">
      <c r="E34" s="48"/>
    </row>
    <row r="35" spans="5:5" s="16" customFormat="1" x14ac:dyDescent="0.25">
      <c r="E35" s="48"/>
    </row>
    <row r="36" spans="5:5" s="16" customFormat="1" x14ac:dyDescent="0.25">
      <c r="E36" s="48"/>
    </row>
    <row r="37" spans="5:5" s="16" customFormat="1" x14ac:dyDescent="0.25">
      <c r="E37" s="48"/>
    </row>
    <row r="38" spans="5:5" s="16" customFormat="1" x14ac:dyDescent="0.25">
      <c r="E38" s="48"/>
    </row>
    <row r="39" spans="5:5" s="16" customFormat="1" x14ac:dyDescent="0.25">
      <c r="E39" s="48"/>
    </row>
    <row r="40" spans="5:5" s="16" customFormat="1" x14ac:dyDescent="0.25">
      <c r="E40" s="48"/>
    </row>
    <row r="41" spans="5:5" s="16" customFormat="1" x14ac:dyDescent="0.25">
      <c r="E41" s="48"/>
    </row>
    <row r="42" spans="5:5" s="16" customFormat="1" x14ac:dyDescent="0.25">
      <c r="E42" s="48"/>
    </row>
    <row r="43" spans="5:5" s="16" customFormat="1" x14ac:dyDescent="0.25">
      <c r="E43" s="48"/>
    </row>
    <row r="44" spans="5:5" s="16" customFormat="1" x14ac:dyDescent="0.25">
      <c r="E44" s="48"/>
    </row>
    <row r="45" spans="5:5" s="16" customFormat="1" x14ac:dyDescent="0.25">
      <c r="E45" s="48"/>
    </row>
    <row r="46" spans="5:5" s="16" customFormat="1" x14ac:dyDescent="0.25">
      <c r="E46" s="48"/>
    </row>
    <row r="47" spans="5:5" s="16" customFormat="1" x14ac:dyDescent="0.25">
      <c r="E47" s="48"/>
    </row>
    <row r="48" spans="5:5" s="16" customFormat="1" x14ac:dyDescent="0.25">
      <c r="E48" s="48"/>
    </row>
  </sheetData>
  <mergeCells count="7">
    <mergeCell ref="K5:Q14"/>
    <mergeCell ref="B1:I1"/>
    <mergeCell ref="B5:I5"/>
    <mergeCell ref="B7:E7"/>
    <mergeCell ref="B6:E6"/>
    <mergeCell ref="F6:I14"/>
    <mergeCell ref="D8:E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9"/>
  <sheetViews>
    <sheetView zoomScaleNormal="100" workbookViewId="0"/>
  </sheetViews>
  <sheetFormatPr defaultRowHeight="15.75" x14ac:dyDescent="0.25"/>
  <cols>
    <col min="1" max="1" width="2" style="16" customWidth="1"/>
    <col min="2" max="2" width="9" style="16"/>
    <col min="3" max="3" width="5" style="16" customWidth="1"/>
    <col min="4" max="11" width="9" style="16"/>
    <col min="12" max="12" width="5.5" style="16" customWidth="1"/>
    <col min="13" max="13" width="2.375" style="16" customWidth="1"/>
    <col min="14" max="14" width="9" style="16" customWidth="1"/>
    <col min="15" max="22" width="9" style="16"/>
    <col min="23" max="23" width="4.125" style="16" customWidth="1"/>
    <col min="24" max="24" width="2.25" style="16" customWidth="1"/>
    <col min="25" max="25" width="1.75" style="16" customWidth="1"/>
    <col min="26" max="26" width="3.125" style="16" customWidth="1"/>
    <col min="27" max="27" width="3.625" style="16" bestFit="1" customWidth="1"/>
    <col min="28" max="28" width="92.125" style="16" customWidth="1"/>
    <col min="29" max="29" width="3" style="16" customWidth="1"/>
    <col min="30" max="16384" width="9" style="16"/>
  </cols>
  <sheetData>
    <row r="1" spans="1:28" ht="18.75" x14ac:dyDescent="0.3">
      <c r="A1" s="15" t="s">
        <v>43</v>
      </c>
    </row>
    <row r="2" spans="1:28" ht="18.75" x14ac:dyDescent="0.3">
      <c r="N2" s="17"/>
    </row>
    <row r="3" spans="1:28" ht="18.75" x14ac:dyDescent="0.3">
      <c r="B3" s="15" t="s">
        <v>30</v>
      </c>
      <c r="N3" s="15" t="s">
        <v>38</v>
      </c>
    </row>
    <row r="5" spans="1:28" x14ac:dyDescent="0.25">
      <c r="AA5" s="18">
        <v>37</v>
      </c>
      <c r="AB5" s="19" t="s">
        <v>6</v>
      </c>
    </row>
    <row r="6" spans="1:28" x14ac:dyDescent="0.25">
      <c r="AA6" s="18">
        <v>4</v>
      </c>
      <c r="AB6" s="19" t="s">
        <v>7</v>
      </c>
    </row>
    <row r="7" spans="1:28" x14ac:dyDescent="0.25">
      <c r="AA7" s="18">
        <f>AA5-AA6</f>
        <v>33</v>
      </c>
      <c r="AB7" s="19" t="s">
        <v>8</v>
      </c>
    </row>
    <row r="8" spans="1:28" x14ac:dyDescent="0.25">
      <c r="AA8" s="20">
        <v>13</v>
      </c>
      <c r="AB8" s="21" t="s">
        <v>9</v>
      </c>
    </row>
    <row r="9" spans="1:28" x14ac:dyDescent="0.25">
      <c r="AA9" s="20">
        <v>18</v>
      </c>
      <c r="AB9" s="22" t="s">
        <v>29</v>
      </c>
    </row>
    <row r="10" spans="1:28" ht="15" customHeight="1" x14ac:dyDescent="0.25">
      <c r="AA10" s="23"/>
      <c r="AB10" s="22"/>
    </row>
    <row r="11" spans="1:28" x14ac:dyDescent="0.25">
      <c r="AA11" s="24" t="s">
        <v>44</v>
      </c>
      <c r="AB11" s="16" t="s">
        <v>22</v>
      </c>
    </row>
    <row r="13" spans="1:28" x14ac:dyDescent="0.25">
      <c r="AA13" s="25" t="s">
        <v>11</v>
      </c>
    </row>
    <row r="14" spans="1:28" x14ac:dyDescent="0.25">
      <c r="AA14" s="26">
        <v>18</v>
      </c>
      <c r="AB14" s="26" t="s">
        <v>25</v>
      </c>
    </row>
    <row r="15" spans="1:28" x14ac:dyDescent="0.25">
      <c r="AA15" s="26">
        <v>5</v>
      </c>
      <c r="AB15" s="26" t="s">
        <v>26</v>
      </c>
    </row>
    <row r="16" spans="1:28" x14ac:dyDescent="0.25">
      <c r="AA16" s="26">
        <v>2</v>
      </c>
      <c r="AB16" s="26" t="s">
        <v>10</v>
      </c>
    </row>
    <row r="17" spans="2:30" x14ac:dyDescent="0.25">
      <c r="AA17" s="26">
        <v>3</v>
      </c>
      <c r="AB17" s="26" t="s">
        <v>24</v>
      </c>
    </row>
    <row r="18" spans="2:30" x14ac:dyDescent="0.25">
      <c r="AA18" s="26">
        <v>2</v>
      </c>
      <c r="AB18" s="26" t="s">
        <v>39</v>
      </c>
    </row>
    <row r="19" spans="2:30" x14ac:dyDescent="0.25">
      <c r="AA19" s="26">
        <v>2</v>
      </c>
      <c r="AB19" s="26" t="s">
        <v>23</v>
      </c>
    </row>
    <row r="20" spans="2:30" x14ac:dyDescent="0.25">
      <c r="AA20" s="26">
        <v>1</v>
      </c>
      <c r="AB20" s="26" t="s">
        <v>40</v>
      </c>
    </row>
    <row r="21" spans="2:30" x14ac:dyDescent="0.25">
      <c r="AA21" s="25">
        <f>SUM(AA14:AA20)</f>
        <v>33</v>
      </c>
      <c r="AB21" s="25" t="s">
        <v>12</v>
      </c>
    </row>
    <row r="23" spans="2:30" ht="36.75" customHeight="1" x14ac:dyDescent="0.25">
      <c r="Z23" s="65" t="s">
        <v>27</v>
      </c>
      <c r="AA23" s="65"/>
      <c r="AB23" s="65"/>
      <c r="AC23" s="65"/>
      <c r="AD23" s="65"/>
    </row>
    <row r="24" spans="2:30" x14ac:dyDescent="0.25">
      <c r="Z24" s="71" t="s">
        <v>28</v>
      </c>
      <c r="AA24" s="71"/>
      <c r="AB24" s="71"/>
      <c r="AC24" s="71"/>
    </row>
    <row r="25" spans="2:30" x14ac:dyDescent="0.25">
      <c r="Z25" s="71"/>
      <c r="AA25" s="71"/>
      <c r="AB25" s="71"/>
      <c r="AC25" s="71"/>
    </row>
    <row r="26" spans="2:30" x14ac:dyDescent="0.25">
      <c r="B26" s="66" t="s">
        <v>31</v>
      </c>
      <c r="C26" s="67"/>
      <c r="D26" s="72" t="s">
        <v>37</v>
      </c>
      <c r="E26" s="72"/>
      <c r="F26" s="72"/>
      <c r="G26" s="72"/>
      <c r="H26" s="72"/>
      <c r="I26" s="72"/>
      <c r="J26" s="72"/>
      <c r="K26" s="72"/>
      <c r="Z26" s="71"/>
      <c r="AA26" s="71"/>
      <c r="AB26" s="71"/>
      <c r="AC26" s="71"/>
    </row>
    <row r="27" spans="2:30" x14ac:dyDescent="0.25">
      <c r="B27" s="66" t="s">
        <v>32</v>
      </c>
      <c r="C27" s="67"/>
      <c r="D27" s="68" t="s">
        <v>36</v>
      </c>
      <c r="E27" s="69"/>
      <c r="F27" s="69"/>
      <c r="G27" s="69"/>
      <c r="H27" s="69"/>
      <c r="I27" s="69"/>
      <c r="J27" s="69"/>
      <c r="K27" s="70"/>
      <c r="Z27" s="71"/>
      <c r="AA27" s="71"/>
      <c r="AB27" s="71"/>
      <c r="AC27" s="71"/>
    </row>
    <row r="28" spans="2:30" ht="30.75" customHeight="1" x14ac:dyDescent="0.25">
      <c r="B28" s="66" t="s">
        <v>33</v>
      </c>
      <c r="C28" s="67"/>
      <c r="D28" s="73" t="s">
        <v>42</v>
      </c>
      <c r="E28" s="73"/>
      <c r="F28" s="73"/>
      <c r="G28" s="73"/>
      <c r="H28" s="73"/>
      <c r="I28" s="73"/>
      <c r="J28" s="73"/>
      <c r="K28" s="73"/>
      <c r="Z28" s="71"/>
      <c r="AA28" s="71"/>
      <c r="AB28" s="71"/>
      <c r="AC28" s="71"/>
    </row>
    <row r="29" spans="2:30" x14ac:dyDescent="0.25">
      <c r="B29" s="66" t="s">
        <v>34</v>
      </c>
      <c r="C29" s="67"/>
      <c r="D29" s="68" t="s">
        <v>35</v>
      </c>
      <c r="E29" s="69"/>
      <c r="F29" s="69"/>
      <c r="G29" s="69"/>
      <c r="H29" s="69"/>
      <c r="I29" s="69"/>
      <c r="J29" s="69"/>
      <c r="K29" s="70"/>
    </row>
  </sheetData>
  <mergeCells count="10">
    <mergeCell ref="Z23:AD23"/>
    <mergeCell ref="B29:C29"/>
    <mergeCell ref="D27:K27"/>
    <mergeCell ref="D29:K29"/>
    <mergeCell ref="Z24:AC28"/>
    <mergeCell ref="D26:K26"/>
    <mergeCell ref="D28:K28"/>
    <mergeCell ref="B26:C26"/>
    <mergeCell ref="B27:C27"/>
    <mergeCell ref="B28:C2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workbookViewId="0"/>
  </sheetViews>
  <sheetFormatPr defaultRowHeight="15" x14ac:dyDescent="0.25"/>
  <cols>
    <col min="1" max="1" width="12" style="30" bestFit="1" customWidth="1"/>
    <col min="2" max="2" width="65.625" style="31" customWidth="1"/>
    <col min="3" max="3" width="9" style="30"/>
    <col min="4" max="4" width="13.875" style="30" bestFit="1" customWidth="1"/>
    <col min="5" max="5" width="26.125" style="30" bestFit="1" customWidth="1"/>
    <col min="6" max="6" width="11.875" style="30" bestFit="1" customWidth="1"/>
    <col min="7" max="8" width="26.25" style="30" bestFit="1" customWidth="1"/>
    <col min="9" max="9" width="22.875" style="30" customWidth="1"/>
    <col min="10" max="16384" width="9" style="30"/>
  </cols>
  <sheetData>
    <row r="1" spans="1:9" ht="18.75" x14ac:dyDescent="0.3">
      <c r="A1" s="15" t="s">
        <v>43</v>
      </c>
    </row>
    <row r="2" spans="1:9" x14ac:dyDescent="0.25">
      <c r="G2" s="74" t="s">
        <v>45</v>
      </c>
      <c r="H2" s="74"/>
    </row>
    <row r="3" spans="1:9" s="34" customFormat="1" x14ac:dyDescent="0.25">
      <c r="A3" s="32" t="s">
        <v>46</v>
      </c>
      <c r="B3" s="33" t="s">
        <v>47</v>
      </c>
      <c r="C3" s="32" t="s">
        <v>48</v>
      </c>
      <c r="D3" s="32" t="s">
        <v>49</v>
      </c>
      <c r="E3" s="32" t="s">
        <v>50</v>
      </c>
      <c r="F3" s="32" t="s">
        <v>51</v>
      </c>
      <c r="G3" s="32" t="s">
        <v>52</v>
      </c>
      <c r="H3" s="32" t="s">
        <v>53</v>
      </c>
      <c r="I3" s="32" t="s">
        <v>54</v>
      </c>
    </row>
    <row r="4" spans="1:9" ht="30" x14ac:dyDescent="0.25">
      <c r="A4" s="35" t="s">
        <v>55</v>
      </c>
      <c r="B4" s="36" t="s">
        <v>56</v>
      </c>
      <c r="C4" s="35" t="s">
        <v>57</v>
      </c>
      <c r="D4" s="37">
        <v>44238.337500000001</v>
      </c>
      <c r="E4" s="35" t="s">
        <v>58</v>
      </c>
      <c r="F4" s="35" t="s">
        <v>31</v>
      </c>
      <c r="G4" s="35" t="s">
        <v>58</v>
      </c>
      <c r="H4" s="35"/>
      <c r="I4" s="35"/>
    </row>
    <row r="5" spans="1:9" ht="30" x14ac:dyDescent="0.25">
      <c r="A5" s="35" t="s">
        <v>59</v>
      </c>
      <c r="B5" s="36" t="s">
        <v>60</v>
      </c>
      <c r="C5" s="35" t="s">
        <v>57</v>
      </c>
      <c r="D5" s="37">
        <v>44238.328472222223</v>
      </c>
      <c r="E5" s="35" t="s">
        <v>61</v>
      </c>
      <c r="F5" s="35" t="s">
        <v>31</v>
      </c>
      <c r="G5" s="35"/>
      <c r="H5" s="35" t="s">
        <v>62</v>
      </c>
      <c r="I5" s="35"/>
    </row>
    <row r="6" spans="1:9" ht="30" x14ac:dyDescent="0.25">
      <c r="A6" s="35" t="s">
        <v>63</v>
      </c>
      <c r="B6" s="36" t="s">
        <v>64</v>
      </c>
      <c r="C6" s="35" t="s">
        <v>57</v>
      </c>
      <c r="D6" s="37">
        <v>44238.286111111112</v>
      </c>
      <c r="E6" s="35" t="s">
        <v>58</v>
      </c>
      <c r="F6" s="35" t="s">
        <v>31</v>
      </c>
      <c r="G6" s="35" t="s">
        <v>58</v>
      </c>
      <c r="H6" s="35"/>
      <c r="I6" s="35"/>
    </row>
    <row r="7" spans="1:9" ht="30" x14ac:dyDescent="0.25">
      <c r="A7" s="35" t="s">
        <v>65</v>
      </c>
      <c r="B7" s="36" t="s">
        <v>66</v>
      </c>
      <c r="C7" s="35" t="s">
        <v>57</v>
      </c>
      <c r="D7" s="37">
        <v>44237.496527777781</v>
      </c>
      <c r="E7" s="35" t="s">
        <v>58</v>
      </c>
      <c r="F7" s="35" t="s">
        <v>31</v>
      </c>
      <c r="G7" s="35"/>
      <c r="H7" s="35" t="s">
        <v>67</v>
      </c>
      <c r="I7" s="35" t="s">
        <v>68</v>
      </c>
    </row>
    <row r="8" spans="1:9" ht="30" x14ac:dyDescent="0.25">
      <c r="A8" s="35" t="s">
        <v>69</v>
      </c>
      <c r="B8" s="36" t="s">
        <v>70</v>
      </c>
      <c r="C8" s="35" t="s">
        <v>57</v>
      </c>
      <c r="D8" s="37">
        <v>44237.490277777775</v>
      </c>
      <c r="E8" s="35" t="s">
        <v>58</v>
      </c>
      <c r="F8" s="35" t="s">
        <v>31</v>
      </c>
      <c r="G8" s="35" t="s">
        <v>71</v>
      </c>
      <c r="H8" s="35"/>
      <c r="I8" s="35"/>
    </row>
    <row r="9" spans="1:9" x14ac:dyDescent="0.25">
      <c r="A9" s="35" t="s">
        <v>72</v>
      </c>
      <c r="B9" s="36" t="s">
        <v>73</v>
      </c>
      <c r="C9" s="35" t="s">
        <v>57</v>
      </c>
      <c r="D9" s="37">
        <v>44237.474999999999</v>
      </c>
      <c r="E9" s="35" t="s">
        <v>58</v>
      </c>
      <c r="F9" s="35" t="s">
        <v>31</v>
      </c>
      <c r="G9" s="35" t="s">
        <v>71</v>
      </c>
      <c r="H9" s="35"/>
      <c r="I9" s="35"/>
    </row>
    <row r="10" spans="1:9" x14ac:dyDescent="0.25">
      <c r="A10" s="35" t="s">
        <v>74</v>
      </c>
      <c r="B10" s="36" t="s">
        <v>75</v>
      </c>
      <c r="C10" s="35" t="s">
        <v>57</v>
      </c>
      <c r="D10" s="37">
        <v>44237.463888888888</v>
      </c>
      <c r="E10" s="35" t="s">
        <v>58</v>
      </c>
      <c r="F10" s="35" t="s">
        <v>31</v>
      </c>
      <c r="G10" s="35"/>
      <c r="H10" s="35" t="s">
        <v>67</v>
      </c>
      <c r="I10" s="35" t="s">
        <v>68</v>
      </c>
    </row>
    <row r="11" spans="1:9" ht="30" x14ac:dyDescent="0.25">
      <c r="A11" s="35" t="s">
        <v>76</v>
      </c>
      <c r="B11" s="36" t="s">
        <v>77</v>
      </c>
      <c r="C11" s="35" t="s">
        <v>57</v>
      </c>
      <c r="D11" s="37">
        <v>44237.285416666666</v>
      </c>
      <c r="E11" s="35" t="s">
        <v>61</v>
      </c>
      <c r="F11" s="35" t="s">
        <v>31</v>
      </c>
      <c r="G11" s="35"/>
      <c r="H11" s="35" t="s">
        <v>62</v>
      </c>
      <c r="I11" s="35"/>
    </row>
    <row r="12" spans="1:9" ht="30" x14ac:dyDescent="0.25">
      <c r="A12" s="35" t="s">
        <v>78</v>
      </c>
      <c r="B12" s="36" t="s">
        <v>79</v>
      </c>
      <c r="C12" s="35" t="s">
        <v>57</v>
      </c>
      <c r="D12" s="37">
        <v>44236.469444444447</v>
      </c>
      <c r="E12" s="35" t="s">
        <v>80</v>
      </c>
      <c r="F12" s="35" t="s">
        <v>31</v>
      </c>
      <c r="G12" s="35" t="s">
        <v>81</v>
      </c>
      <c r="H12" s="35"/>
      <c r="I12" s="35"/>
    </row>
    <row r="13" spans="1:9" ht="30" x14ac:dyDescent="0.25">
      <c r="A13" s="35" t="s">
        <v>82</v>
      </c>
      <c r="B13" s="36" t="s">
        <v>83</v>
      </c>
      <c r="C13" s="35" t="s">
        <v>57</v>
      </c>
      <c r="D13" s="37">
        <v>44236.28125</v>
      </c>
      <c r="E13" s="35" t="s">
        <v>80</v>
      </c>
      <c r="F13" s="35" t="s">
        <v>31</v>
      </c>
      <c r="G13" s="35" t="s">
        <v>80</v>
      </c>
      <c r="H13" s="35"/>
      <c r="I13" s="35"/>
    </row>
    <row r="14" spans="1:9" ht="30" x14ac:dyDescent="0.25">
      <c r="A14" s="35" t="s">
        <v>84</v>
      </c>
      <c r="B14" s="36" t="s">
        <v>85</v>
      </c>
      <c r="C14" s="35" t="s">
        <v>57</v>
      </c>
      <c r="D14" s="37">
        <v>44236.245138888888</v>
      </c>
      <c r="E14" s="35" t="s">
        <v>80</v>
      </c>
      <c r="F14" s="35" t="s">
        <v>31</v>
      </c>
      <c r="G14" s="35" t="s">
        <v>71</v>
      </c>
      <c r="H14" s="35"/>
      <c r="I14" s="35"/>
    </row>
    <row r="15" spans="1:9" ht="30" x14ac:dyDescent="0.25">
      <c r="A15" s="35" t="s">
        <v>86</v>
      </c>
      <c r="B15" s="36" t="s">
        <v>87</v>
      </c>
      <c r="C15" s="35" t="s">
        <v>57</v>
      </c>
      <c r="D15" s="37">
        <v>44233.472222222219</v>
      </c>
      <c r="E15" s="35" t="s">
        <v>61</v>
      </c>
      <c r="F15" s="35" t="s">
        <v>32</v>
      </c>
      <c r="G15" s="35" t="s">
        <v>71</v>
      </c>
      <c r="H15" s="35"/>
      <c r="I15" s="35" t="s">
        <v>68</v>
      </c>
    </row>
    <row r="16" spans="1:9" x14ac:dyDescent="0.25">
      <c r="A16" s="35" t="s">
        <v>88</v>
      </c>
      <c r="B16" s="36" t="s">
        <v>89</v>
      </c>
      <c r="C16" s="35" t="s">
        <v>57</v>
      </c>
      <c r="D16" s="37">
        <v>44233.45416666667</v>
      </c>
      <c r="E16" s="35" t="s">
        <v>58</v>
      </c>
      <c r="F16" s="35" t="s">
        <v>31</v>
      </c>
      <c r="G16" s="35" t="s">
        <v>58</v>
      </c>
      <c r="H16" s="35"/>
      <c r="I16" s="35"/>
    </row>
    <row r="17" spans="1:9" ht="30" x14ac:dyDescent="0.25">
      <c r="A17" s="35" t="s">
        <v>90</v>
      </c>
      <c r="B17" s="36" t="s">
        <v>91</v>
      </c>
      <c r="C17" s="35" t="s">
        <v>57</v>
      </c>
      <c r="D17" s="37">
        <v>44233.423611111109</v>
      </c>
      <c r="E17" s="35" t="s">
        <v>58</v>
      </c>
      <c r="F17" s="35" t="s">
        <v>32</v>
      </c>
      <c r="G17" s="35" t="s">
        <v>71</v>
      </c>
      <c r="H17" s="35"/>
      <c r="I17" s="35" t="s">
        <v>68</v>
      </c>
    </row>
    <row r="18" spans="1:9" ht="30" x14ac:dyDescent="0.25">
      <c r="A18" s="35" t="s">
        <v>92</v>
      </c>
      <c r="B18" s="36" t="s">
        <v>93</v>
      </c>
      <c r="C18" s="35" t="s">
        <v>57</v>
      </c>
      <c r="D18" s="37">
        <v>44233.393750000003</v>
      </c>
      <c r="E18" s="35" t="s">
        <v>58</v>
      </c>
      <c r="F18" s="35" t="s">
        <v>31</v>
      </c>
      <c r="G18" s="35" t="s">
        <v>94</v>
      </c>
      <c r="H18" s="35"/>
      <c r="I18" s="35" t="s">
        <v>68</v>
      </c>
    </row>
    <row r="19" spans="1:9" ht="30" x14ac:dyDescent="0.25">
      <c r="A19" s="35" t="s">
        <v>95</v>
      </c>
      <c r="B19" s="36" t="s">
        <v>96</v>
      </c>
      <c r="C19" s="35" t="s">
        <v>57</v>
      </c>
      <c r="D19" s="37">
        <v>44233.282638888886</v>
      </c>
      <c r="E19" s="35" t="s">
        <v>80</v>
      </c>
      <c r="F19" s="35" t="s">
        <v>31</v>
      </c>
      <c r="G19" s="35" t="s">
        <v>71</v>
      </c>
      <c r="H19" s="35"/>
      <c r="I19" s="35" t="s">
        <v>68</v>
      </c>
    </row>
    <row r="20" spans="1:9" ht="30" x14ac:dyDescent="0.25">
      <c r="A20" s="35" t="s">
        <v>97</v>
      </c>
      <c r="B20" s="36" t="s">
        <v>98</v>
      </c>
      <c r="C20" s="35" t="s">
        <v>57</v>
      </c>
      <c r="D20" s="37">
        <v>44233.270833333336</v>
      </c>
      <c r="E20" s="35" t="s">
        <v>58</v>
      </c>
      <c r="F20" s="35" t="s">
        <v>31</v>
      </c>
      <c r="G20" s="35" t="s">
        <v>58</v>
      </c>
      <c r="H20" s="35"/>
      <c r="I20" s="35"/>
    </row>
    <row r="21" spans="1:9" ht="30" x14ac:dyDescent="0.25">
      <c r="A21" s="35" t="s">
        <v>99</v>
      </c>
      <c r="B21" s="36" t="s">
        <v>100</v>
      </c>
      <c r="C21" s="35" t="s">
        <v>57</v>
      </c>
      <c r="D21" s="37">
        <v>44233.215277777781</v>
      </c>
      <c r="E21" s="35" t="s">
        <v>58</v>
      </c>
      <c r="F21" s="35" t="s">
        <v>31</v>
      </c>
      <c r="G21" s="35" t="s">
        <v>58</v>
      </c>
      <c r="H21" s="35"/>
      <c r="I21" s="35"/>
    </row>
    <row r="22" spans="1:9" ht="30" x14ac:dyDescent="0.25">
      <c r="A22" s="35" t="s">
        <v>101</v>
      </c>
      <c r="B22" s="36" t="s">
        <v>102</v>
      </c>
      <c r="C22" s="35" t="s">
        <v>57</v>
      </c>
      <c r="D22" s="37">
        <v>44233.204861111109</v>
      </c>
      <c r="E22" s="35" t="s">
        <v>61</v>
      </c>
      <c r="F22" s="35" t="s">
        <v>32</v>
      </c>
      <c r="G22" s="35" t="s">
        <v>71</v>
      </c>
      <c r="H22" s="35"/>
      <c r="I22" s="35" t="s">
        <v>68</v>
      </c>
    </row>
    <row r="23" spans="1:9" ht="30" x14ac:dyDescent="0.25">
      <c r="A23" s="35" t="s">
        <v>103</v>
      </c>
      <c r="B23" s="36" t="s">
        <v>104</v>
      </c>
      <c r="C23" s="35" t="s">
        <v>57</v>
      </c>
      <c r="D23" s="37">
        <v>44233.080555555556</v>
      </c>
      <c r="E23" s="35" t="s">
        <v>80</v>
      </c>
      <c r="F23" s="35" t="s">
        <v>31</v>
      </c>
      <c r="G23" s="35"/>
      <c r="H23" s="35" t="s">
        <v>80</v>
      </c>
      <c r="I23" s="35"/>
    </row>
    <row r="24" spans="1:9" ht="30" x14ac:dyDescent="0.25">
      <c r="A24" s="35" t="s">
        <v>105</v>
      </c>
      <c r="B24" s="36" t="s">
        <v>106</v>
      </c>
      <c r="C24" s="35" t="s">
        <v>57</v>
      </c>
      <c r="D24" s="37">
        <v>44232.493055555555</v>
      </c>
      <c r="E24" s="35" t="s">
        <v>61</v>
      </c>
      <c r="F24" s="35" t="s">
        <v>31</v>
      </c>
      <c r="G24" s="35" t="s">
        <v>58</v>
      </c>
      <c r="H24" s="35"/>
      <c r="I24" s="35"/>
    </row>
    <row r="25" spans="1:9" ht="30" x14ac:dyDescent="0.25">
      <c r="A25" s="35" t="s">
        <v>107</v>
      </c>
      <c r="B25" s="36" t="s">
        <v>108</v>
      </c>
      <c r="C25" s="35" t="s">
        <v>57</v>
      </c>
      <c r="D25" s="37">
        <v>44232.375694444447</v>
      </c>
      <c r="E25" s="35" t="s">
        <v>58</v>
      </c>
      <c r="F25" s="35" t="s">
        <v>31</v>
      </c>
      <c r="G25" s="35" t="s">
        <v>58</v>
      </c>
      <c r="H25" s="35"/>
      <c r="I25" s="35"/>
    </row>
    <row r="26" spans="1:9" ht="30" x14ac:dyDescent="0.25">
      <c r="A26" s="35" t="s">
        <v>109</v>
      </c>
      <c r="B26" s="36" t="s">
        <v>110</v>
      </c>
      <c r="C26" s="35" t="s">
        <v>57</v>
      </c>
      <c r="D26" s="37">
        <v>44232.270138888889</v>
      </c>
      <c r="E26" s="35" t="s">
        <v>58</v>
      </c>
      <c r="F26" s="35" t="s">
        <v>31</v>
      </c>
      <c r="G26" s="35"/>
      <c r="H26" s="35" t="s">
        <v>62</v>
      </c>
      <c r="I26" s="35"/>
    </row>
    <row r="27" spans="1:9" x14ac:dyDescent="0.25">
      <c r="A27" s="35" t="s">
        <v>111</v>
      </c>
      <c r="B27" s="36" t="s">
        <v>112</v>
      </c>
      <c r="C27" s="35" t="s">
        <v>57</v>
      </c>
      <c r="D27" s="37">
        <v>44232.145833333336</v>
      </c>
      <c r="E27" s="35" t="s">
        <v>58</v>
      </c>
      <c r="F27" s="35" t="s">
        <v>32</v>
      </c>
      <c r="G27" s="35" t="s">
        <v>71</v>
      </c>
      <c r="H27" s="35"/>
      <c r="I27" s="35" t="s">
        <v>68</v>
      </c>
    </row>
    <row r="28" spans="1:9" x14ac:dyDescent="0.25">
      <c r="A28" s="35" t="s">
        <v>113</v>
      </c>
      <c r="B28" s="36" t="s">
        <v>114</v>
      </c>
      <c r="C28" s="35" t="s">
        <v>57</v>
      </c>
      <c r="D28" s="37">
        <v>44232.114583333336</v>
      </c>
      <c r="E28" s="35" t="s">
        <v>58</v>
      </c>
      <c r="F28" s="35" t="s">
        <v>31</v>
      </c>
      <c r="G28" s="35"/>
      <c r="H28" s="35" t="s">
        <v>94</v>
      </c>
      <c r="I28" s="35" t="s">
        <v>68</v>
      </c>
    </row>
    <row r="29" spans="1:9" ht="30" x14ac:dyDescent="0.25">
      <c r="A29" s="35" t="s">
        <v>115</v>
      </c>
      <c r="B29" s="36" t="s">
        <v>116</v>
      </c>
      <c r="C29" s="35" t="s">
        <v>57</v>
      </c>
      <c r="D29" s="37">
        <v>44231.447222222225</v>
      </c>
      <c r="E29" s="35" t="s">
        <v>61</v>
      </c>
      <c r="F29" s="35" t="s">
        <v>33</v>
      </c>
      <c r="G29" s="35" t="s">
        <v>58</v>
      </c>
      <c r="H29" s="35"/>
      <c r="I29" s="35" t="s">
        <v>68</v>
      </c>
    </row>
    <row r="30" spans="1:9" ht="30" x14ac:dyDescent="0.25">
      <c r="A30" s="35" t="s">
        <v>117</v>
      </c>
      <c r="B30" s="36" t="s">
        <v>118</v>
      </c>
      <c r="C30" s="35" t="s">
        <v>57</v>
      </c>
      <c r="D30" s="37">
        <v>44225.517361111109</v>
      </c>
      <c r="E30" s="35" t="s">
        <v>58</v>
      </c>
      <c r="F30" s="35" t="s">
        <v>31</v>
      </c>
      <c r="G30" s="35" t="s">
        <v>58</v>
      </c>
      <c r="H30" s="35"/>
      <c r="I30" s="35"/>
    </row>
    <row r="31" spans="1:9" ht="30" x14ac:dyDescent="0.25">
      <c r="A31" s="35" t="s">
        <v>119</v>
      </c>
      <c r="B31" s="36" t="s">
        <v>120</v>
      </c>
      <c r="C31" s="35" t="s">
        <v>57</v>
      </c>
      <c r="D31" s="37">
        <v>44225.497916666667</v>
      </c>
      <c r="E31" s="35" t="s">
        <v>58</v>
      </c>
      <c r="F31" s="35" t="s">
        <v>32</v>
      </c>
      <c r="G31" s="35" t="s">
        <v>94</v>
      </c>
      <c r="H31" s="35"/>
      <c r="I31" s="35" t="s">
        <v>68</v>
      </c>
    </row>
    <row r="32" spans="1:9" ht="30" x14ac:dyDescent="0.25">
      <c r="A32" s="35" t="s">
        <v>121</v>
      </c>
      <c r="B32" s="36" t="s">
        <v>122</v>
      </c>
      <c r="C32" s="35" t="s">
        <v>57</v>
      </c>
      <c r="D32" s="37">
        <v>44223.324999999997</v>
      </c>
      <c r="E32" s="35" t="s">
        <v>58</v>
      </c>
      <c r="F32" s="35" t="s">
        <v>31</v>
      </c>
      <c r="G32" s="35" t="s">
        <v>61</v>
      </c>
      <c r="H32" s="35"/>
      <c r="I32" s="35"/>
    </row>
    <row r="33" spans="1:9" x14ac:dyDescent="0.25">
      <c r="A33" s="35" t="s">
        <v>123</v>
      </c>
      <c r="B33" s="36" t="s">
        <v>124</v>
      </c>
      <c r="C33" s="35" t="s">
        <v>57</v>
      </c>
      <c r="D33" s="37">
        <v>44219.205555555556</v>
      </c>
      <c r="E33" s="35" t="s">
        <v>80</v>
      </c>
      <c r="F33" s="35" t="s">
        <v>31</v>
      </c>
      <c r="G33" s="35" t="s">
        <v>80</v>
      </c>
      <c r="H33" s="35"/>
      <c r="I33" s="35"/>
    </row>
    <row r="34" spans="1:9" ht="30" x14ac:dyDescent="0.25">
      <c r="A34" s="35" t="s">
        <v>125</v>
      </c>
      <c r="B34" s="36" t="s">
        <v>126</v>
      </c>
      <c r="C34" s="35" t="s">
        <v>57</v>
      </c>
      <c r="D34" s="37">
        <v>44219.20416666667</v>
      </c>
      <c r="E34" s="35" t="s">
        <v>61</v>
      </c>
      <c r="F34" s="35" t="s">
        <v>31</v>
      </c>
      <c r="G34" s="35" t="s">
        <v>61</v>
      </c>
      <c r="H34" s="35"/>
      <c r="I34" s="35"/>
    </row>
    <row r="35" spans="1:9" x14ac:dyDescent="0.25">
      <c r="A35" s="35" t="s">
        <v>127</v>
      </c>
      <c r="B35" s="36" t="s">
        <v>128</v>
      </c>
      <c r="C35" s="35" t="s">
        <v>57</v>
      </c>
      <c r="D35" s="37">
        <v>44218.313194444447</v>
      </c>
      <c r="E35" s="35" t="s">
        <v>58</v>
      </c>
      <c r="F35" s="35" t="s">
        <v>31</v>
      </c>
      <c r="G35" s="35" t="s">
        <v>58</v>
      </c>
      <c r="H35" s="35"/>
      <c r="I35" s="35"/>
    </row>
    <row r="36" spans="1:9" ht="30" x14ac:dyDescent="0.25">
      <c r="A36" s="35" t="s">
        <v>129</v>
      </c>
      <c r="B36" s="36" t="s">
        <v>130</v>
      </c>
      <c r="C36" s="35" t="s">
        <v>57</v>
      </c>
      <c r="D36" s="37">
        <v>44218.227083333331</v>
      </c>
      <c r="E36" s="35" t="s">
        <v>80</v>
      </c>
      <c r="F36" s="35" t="s">
        <v>31</v>
      </c>
      <c r="G36" s="35"/>
      <c r="H36" s="35" t="s">
        <v>131</v>
      </c>
      <c r="I36" s="35"/>
    </row>
  </sheetData>
  <autoFilter ref="A3:I36"/>
  <mergeCells count="1">
    <mergeCell ref="G2:H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lcf76f155ced4ddcb4097134ff3c332f xmlns="6d778449-ff75-428e-914f-0c7c3a330bda">
      <Terms xmlns="http://schemas.microsoft.com/office/infopath/2007/PartnerControls"/>
    </lcf76f155ced4ddcb4097134ff3c332f>
    <TaxCatchAll xmlns="9685b3f0-18b8-4ac0-8917-75cacc3928c8" xsi:nil="true"/>
  </documentManagement>
</p:properties>
</file>

<file path=customXml/itemProps1.xml><?xml version="1.0" encoding="utf-8"?>
<ds:datastoreItem xmlns:ds="http://schemas.openxmlformats.org/officeDocument/2006/customXml" ds:itemID="{EFD41676-B6B2-42D3-9973-FD083D19B119}"/>
</file>

<file path=customXml/itemProps2.xml><?xml version="1.0" encoding="utf-8"?>
<ds:datastoreItem xmlns:ds="http://schemas.openxmlformats.org/officeDocument/2006/customXml" ds:itemID="{EA48D0AF-1F8B-4F80-896F-5A2393262684}">
  <ds:schemaRefs>
    <ds:schemaRef ds:uri="http://schemas.microsoft.com/sharepoint/v3/contenttype/forms"/>
  </ds:schemaRefs>
</ds:datastoreItem>
</file>

<file path=customXml/itemProps3.xml><?xml version="1.0" encoding="utf-8"?>
<ds:datastoreItem xmlns:ds="http://schemas.openxmlformats.org/officeDocument/2006/customXml" ds:itemID="{4EEDC712-570D-48F8-9C39-BB3BBAE77DD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Small Biz DCO - Test Summary</vt:lpstr>
      <vt:lpstr>Defects Status</vt:lpstr>
      <vt:lpstr>Defect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Joanne Klausner</dc:creator>
  <cp:lastModifiedBy>Chix Dela Luna</cp:lastModifiedBy>
  <dcterms:created xsi:type="dcterms:W3CDTF">2019-08-28T17:18:17Z</dcterms:created>
  <dcterms:modified xsi:type="dcterms:W3CDTF">2021-02-11T01:23:44Z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ies>
</file>