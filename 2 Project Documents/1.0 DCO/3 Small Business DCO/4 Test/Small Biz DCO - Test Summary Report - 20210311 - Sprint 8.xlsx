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Small Biz DCO\"/>
    </mc:Choice>
  </mc:AlternateContent>
  <bookViews>
    <workbookView xWindow="0" yWindow="0" windowWidth="28800" windowHeight="12300"/>
  </bookViews>
  <sheets>
    <sheet name="Small Biz DCO - Test Summary" sheetId="1" r:id="rId1"/>
    <sheet name="Defects Status" sheetId="6" r:id="rId2"/>
    <sheet name="Defect Summary Report" sheetId="21" r:id="rId3"/>
  </sheets>
  <definedNames>
    <definedName name="_xlnm._FilterDatabase" localSheetId="2" hidden="1">'Defect Summary Report'!$B$3:$K$45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X19" i="6" l="1"/>
  <c r="C9" i="1" l="1"/>
  <c r="E10" i="1" l="1"/>
  <c r="E12" i="1"/>
  <c r="E11" i="1"/>
  <c r="E13" i="1"/>
</calcChain>
</file>

<file path=xl/comments1.xml><?xml version="1.0" encoding="utf-8"?>
<comments xmlns="http://schemas.openxmlformats.org/spreadsheetml/2006/main">
  <authors>
    <author>Chix Dela Luna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From Feb 19 (JIRA date)</t>
        </r>
      </text>
    </comment>
  </commentList>
</comments>
</file>

<file path=xl/sharedStrings.xml><?xml version="1.0" encoding="utf-8"?>
<sst xmlns="http://schemas.openxmlformats.org/spreadsheetml/2006/main" count="375" uniqueCount="174">
  <si>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</si>
  <si>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</si>
  <si>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</si>
  <si>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</si>
  <si>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</si>
  <si>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</si>
  <si>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</si>
  <si>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</si>
  <si>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</si>
  <si>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Total Tests Cases Developed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</si>
  <si>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</si>
  <si>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</si>
  <si>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</si>
  <si>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</si>
  <si>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</si>
  <si>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</si>
  <si>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</si>
  <si>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</si>
  <si>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</si>
  <si>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</si>
  <si>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</si>
  <si>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</si>
  <si>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</si>
  <si>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</si>
  <si>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</si>
  <si>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</si>
  <si>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</si>
  <si>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</si>
  <si>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</si>
  <si>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</si>
  <si>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</si>
  <si>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</si>
  <si>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</si>
  <si>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</si>
  <si>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</si>
  <si>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</si>
  <si>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</si>
  <si>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</si>
  <si>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</si>
  <si>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</si>
  <si>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</si>
  <si>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</si>
  <si>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</si>
  <si>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CWBSB-497</t>
  </si>
  <si>
    <t>SBDCO - Authorized Signer - Decline Page - Page layout is not correct in mobile device</t>
  </si>
  <si>
    <t>CWBSB-496</t>
  </si>
  <si>
    <t>CWBSB-495</t>
  </si>
  <si>
    <t>SBDCO -Authorized Signer - Entry Page -Validation message with lots of space</t>
  </si>
  <si>
    <t>CWBSB-494</t>
  </si>
  <si>
    <t>SBDCO - Alternate IDV page - Radio button selection and Color issue.</t>
  </si>
  <si>
    <t>CWBSB-487</t>
  </si>
  <si>
    <t>SBDCO - Applicant - More About Your Business page - Applicant can select same province</t>
  </si>
  <si>
    <t>mary.pele@cwbank.com</t>
  </si>
  <si>
    <t>kendyl.bachelor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</si>
  <si>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</si>
  <si>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</si>
  <si>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</si>
  <si>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</si>
  <si>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</si>
  <si>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</si>
  <si>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</si>
  <si>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CWBSB-469</t>
  </si>
  <si>
    <t>SBDCO - Authorized Signer - Entry Page - Validation message is not displayed when invalid token is entered.</t>
  </si>
  <si>
    <t>CWBSB-468</t>
  </si>
  <si>
    <t>SBDCO- Authorized Signer - Entry Page - Progress bar is not displayed in the app but is specified in field Spec.</t>
  </si>
  <si>
    <t>CWBSB-463</t>
  </si>
  <si>
    <t>SBDCO - Your Business Page - Issue with Special character in Bus legal Name and Trade or Operating name field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</si>
  <si>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</si>
  <si>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</si>
  <si>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</si>
  <si>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</si>
  <si>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</si>
  <si>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</si>
  <si>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</si>
  <si>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</si>
  <si>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</si>
  <si>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</si>
  <si>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</si>
  <si>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</si>
  <si>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</si>
  <si>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</si>
  <si>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</si>
  <si>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</si>
  <si>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Change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</si>
  <si>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</si>
  <si>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</si>
  <si>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</si>
  <si>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</si>
  <si>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CWBSB-548</t>
  </si>
  <si>
    <t>CWBSB-550</t>
  </si>
  <si>
    <t>SBDCO - Security questions Page - Special character â€˜ is not accepted in security answer field.</t>
  </si>
  <si>
    <t>CWBSB-552</t>
  </si>
  <si>
    <t>SBDCO - Security Questions page - Next and Back buttons are navigating to different pages, not aligned with info given in FS.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</si>
  <si>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</si>
  <si>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</si>
  <si>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</si>
  <si>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</si>
  <si>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Assigned to Temenos to address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</si>
  <si>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</si>
  <si>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</si>
  <si>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</si>
  <si>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</si>
  <si>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CWBSB-563</t>
  </si>
  <si>
    <t>SBDCO - Authorized Signer -Landing Page - Landing Page format is not correct when re-sized.</t>
  </si>
  <si>
    <t>CWBSB-562</t>
  </si>
  <si>
    <t>SBDCO - Email Notifications Source is not correct.</t>
  </si>
  <si>
    <t>Done</t>
  </si>
  <si>
    <t>- fix for defect has been validated working, issue is resolved, defect is closed</t>
  </si>
  <si>
    <t>Defects - by Status</t>
  </si>
  <si>
    <t>outstanding defects* (defects not in "done" status)</t>
  </si>
  <si>
    <t>Created vs. Resolved chart (Open/Closed rate)</t>
  </si>
  <si>
    <t>CWBSB-569</t>
  </si>
  <si>
    <t>SBDCO â€“ Authorized Signer â€“ Name &amp; Address page â€“ Error message is displayed regarding dropdown</t>
  </si>
  <si>
    <t>CWBSB-568</t>
  </si>
  <si>
    <t>SBDCO - Authorized Signer - Landing Page -Authorized Signer First and Last name is missing in landing page</t>
  </si>
  <si>
    <t>CWBSB-567</t>
  </si>
  <si>
    <t>SBDCO - Applicant and Authorized Signer - Security Question Page - Progressive Reveal and Fields behavior on navigation</t>
  </si>
  <si>
    <t>CWBSB-566</t>
  </si>
  <si>
    <t>SBDCO - Authorized Signer - Manual IDV Page -Discrepency with the content given in Fs and the app, email address hyperlink Issue.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</si>
  <si>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</si>
  <si>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</si>
  <si>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</si>
  <si>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</si>
  <si>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Project Name:  Digital Program - Small Biz DCO - SIT Phase - Sprint 8</t>
  </si>
  <si>
    <t>Defects logged from Sprint 8</t>
  </si>
  <si>
    <t>Test Execution for Sprint 8</t>
  </si>
  <si>
    <t>CWBSB-623</t>
  </si>
  <si>
    <t>SBDCO - More About your Business Page - Validation message not correct for fields</t>
  </si>
  <si>
    <t>CWBSB-622</t>
  </si>
  <si>
    <t>SBDCO - More About your Business Page - Inline help for Province/Territory field is not correct as given in the field Spec.</t>
  </si>
  <si>
    <t>CWBSB-621</t>
  </si>
  <si>
    <t>SBDCO - Account Selection Page â€“ Quantity is not saved when toggling Chequing and Savings</t>
  </si>
  <si>
    <t>CWBSB-620</t>
  </si>
  <si>
    <t>SBDCO - Applicant - Not Qualified Info Page - Email address field is accepting invalid formats.</t>
  </si>
  <si>
    <t>CWBSB-619</t>
  </si>
  <si>
    <t>SBDCO- Not Qualified Information Page â€“ Page does not move focus to error message</t>
  </si>
  <si>
    <t>Small Biz DCO R1 (F&amp;F)</t>
  </si>
  <si>
    <t>CWBSB-625</t>
  </si>
  <si>
    <t>SBDCO - Owners, Directors, Signers - First and Last name fields accept \ special character</t>
  </si>
  <si>
    <t>In Test</t>
  </si>
  <si>
    <t>CWBSB-624</t>
  </si>
  <si>
    <t>SBDCO - Owners, Directors, Signers Page - Mobile - Name of applicant not displayed as expected</t>
  </si>
  <si>
    <t>CWBSB-632</t>
  </si>
  <si>
    <t>SBDCO - More about your Business page - Validation message is not displayed for additional province/terriotory of registration field when value is same as other field.</t>
  </si>
  <si>
    <t>SBDCO - Desktop: Submission Completed Page -Center (Please See Latest Comment)</t>
  </si>
  <si>
    <t>CWBSB-637</t>
  </si>
  <si>
    <t>SBDCO - Security Question - Mobile - Display of two line question</t>
  </si>
  <si>
    <t>CWBSB-634</t>
  </si>
  <si>
    <t>SBDCO - Authorized Signer - E-Consent Page - Inline help for do you need business debit card question is misplaced.</t>
  </si>
  <si>
    <t>smatharu</t>
  </si>
  <si>
    <t>CWBSB-633</t>
  </si>
  <si>
    <t xml:space="preserve">SBDCO - Disclosures - Tax Residency - Mobile - Text overlaps for long business name </t>
  </si>
  <si>
    <t>CWB-BA-QA-Review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</si>
  <si>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(31)</t>
    </r>
  </si>
  <si>
    <t>CWB-BA-QA-Review (to review and confirm with CWB BA or QA)</t>
  </si>
  <si>
    <t>Count by Defect Assignee</t>
  </si>
  <si>
    <t>- for retesting, field specs or requirement issue, to review, questions, investigate further, etc</t>
  </si>
  <si>
    <t xml:space="preserve">Assigned to CWB to address 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</si>
  <si>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</si>
  <si>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 xml:space="preserve">1. Test execution - </t>
    </r>
    <r>
      <rPr>
        <b/>
        <sz val="11"/>
        <rFont val="Calibri"/>
        <family val="2"/>
        <scheme val="minor"/>
      </rPr>
      <t>100%  complete</t>
    </r>
    <r>
      <rPr>
        <sz val="11"/>
        <rFont val="Calibri"/>
        <family val="2"/>
        <scheme val="minor"/>
      </rPr>
      <t xml:space="preserve">
2. Sprint 8 package includes:
     a. 20 user stories (12 stories have known issues)
     b. 5 change requests
     c. 14 defect fixes – for defects logged by CWB QA Team
     d. 15 defects fixes – for defects logged by Temenos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sz val="11"/>
        <rFont val="Calibri"/>
        <family val="2"/>
        <scheme val="minor"/>
      </rPr>
      <t xml:space="preserve">1. Testing coverage for different devices and browser
- Chix to inform Business Team of IE (desktop) and Safari (desktop/Macbook/iPad) browser testing
- Currently not in scope for our testing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/>
    </r>
  </si>
  <si>
    <t>Ian.Hicks@cwbank.com</t>
  </si>
  <si>
    <t>In Development</t>
  </si>
  <si>
    <t>- defect is ready for Temenos review</t>
  </si>
  <si>
    <t>- solution for defect is in development</t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</si>
  <si>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>defects (67)</t>
    </r>
  </si>
  <si>
    <t>CWBSB-640</t>
  </si>
  <si>
    <t>SBDCO â€“ Mobile â€“ Authorized Signer â€“ Submission Complete and Cancel - Footer</t>
  </si>
  <si>
    <t>amohammed</t>
  </si>
  <si>
    <t>lucyliuxin</t>
  </si>
  <si>
    <t>Summary of Outstanding Defects - logged by CWB QA Team - as of Mar 11</t>
  </si>
  <si>
    <t>Status of Defects logged by CWB QA Team - as of Mar 11, 2021</t>
  </si>
  <si>
    <t>JIRA counts "Done" (25) and "In UAT" (6)  as resolved</t>
  </si>
  <si>
    <t>= 67 created defects - 25 defects in "done" status</t>
  </si>
  <si>
    <t>As of Mar 11,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</si>
</sst>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16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04">
    <xf numFmtId="0" fontId="0" fillId="0" borderId="0" xfId="0"/>
    <xf numFmtId="0" fontId="21" fillId="0" borderId="2" xfId="0" applyFont="1" applyBorder="1"/>
    <xf numFmtId="0" fontId="21" fillId="0" borderId="1" xfId="0" applyFont="1" applyBorder="1"/>
    <xf numFmtId="0" fontId="21" fillId="0" borderId="4" xfId="0" applyFont="1" applyBorder="1" applyAlignment="1"/>
    <xf numFmtId="0" fontId="0" fillId="0" borderId="0" xfId="0" applyAlignment="1">
      <alignment vertical="top"/>
    </xf>
    <xf numFmtId="0" fontId="32" fillId="0" borderId="0" xfId="0" applyFont="1"/>
    <xf numFmtId="0" fontId="0" fillId="0" borderId="0" xfId="0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/>
    <xf numFmtId="1" fontId="21" fillId="0" borderId="4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23" fillId="4" borderId="0" xfId="0" applyFont="1" applyFill="1"/>
    <xf numFmtId="0" fontId="0" fillId="4" borderId="0" xfId="0" applyFill="1"/>
    <xf numFmtId="0" fontId="21" fillId="4" borderId="0" xfId="0" quotePrefix="1" applyFont="1" applyFill="1"/>
    <xf numFmtId="0" fontId="15" fillId="4" borderId="0" xfId="0" applyFont="1" applyFill="1" applyAlignment="1">
      <alignment horizontal="left" vertical="top"/>
    </xf>
    <xf numFmtId="0" fontId="31" fillId="4" borderId="0" xfId="0" applyFont="1" applyFill="1"/>
    <xf numFmtId="0" fontId="29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23" fillId="4" borderId="0" xfId="0" applyNumberFormat="1" applyFont="1" applyFill="1" applyBorder="1" applyAlignment="1">
      <alignment horizontal="left"/>
    </xf>
    <xf numFmtId="0" fontId="17" fillId="4" borderId="0" xfId="0" applyFont="1" applyFill="1" applyBorder="1" applyAlignment="1">
      <alignment horizontal="center"/>
    </xf>
    <xf numFmtId="0" fontId="32" fillId="4" borderId="0" xfId="0" applyFont="1" applyFill="1" applyBorder="1" applyAlignment="1">
      <alignment horizontal="center"/>
    </xf>
    <xf numFmtId="0" fontId="0" fillId="4" borderId="0" xfId="0" applyFill="1" applyBorder="1"/>
    <xf numFmtId="0" fontId="32" fillId="4" borderId="0" xfId="0" applyFont="1" applyFill="1" applyBorder="1"/>
    <xf numFmtId="0" fontId="19" fillId="4" borderId="0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left" vertical="top"/>
    </xf>
    <xf numFmtId="0" fontId="32" fillId="4" borderId="0" xfId="0" applyFont="1" applyFill="1"/>
    <xf numFmtId="0" fontId="21" fillId="0" borderId="1" xfId="0" applyFont="1" applyFill="1" applyBorder="1"/>
    <xf numFmtId="1" fontId="21" fillId="0" borderId="1" xfId="0" applyNumberFormat="1" applyFont="1" applyFill="1" applyBorder="1" applyAlignment="1">
      <alignment horizontal="center" vertical="center"/>
    </xf>
    <xf numFmtId="164" fontId="21" fillId="0" borderId="1" xfId="0" applyNumberFormat="1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left" vertical="top"/>
    </xf>
    <xf numFmtId="0" fontId="17" fillId="4" borderId="8" xfId="0" applyFont="1" applyFill="1" applyBorder="1" applyAlignment="1">
      <alignment horizontal="left" vertical="top"/>
    </xf>
    <xf numFmtId="0" fontId="32" fillId="4" borderId="1" xfId="0" applyFont="1" applyFill="1" applyBorder="1"/>
    <xf numFmtId="0" fontId="0" fillId="0" borderId="1" xfId="0" applyFont="1" applyBorder="1" applyAlignment="1">
      <alignment horizontal="right" vertical="center"/>
    </xf>
    <xf numFmtId="0" fontId="35" fillId="0" borderId="1" xfId="0" quotePrefix="1" applyFont="1" applyBorder="1" applyAlignment="1">
      <alignment horizontal="center" vertical="top"/>
    </xf>
    <xf numFmtId="0" fontId="21" fillId="0" borderId="1" xfId="0" applyFont="1" applyBorder="1" applyAlignment="1">
      <alignment horizontal="left" vertical="center"/>
    </xf>
    <xf numFmtId="0" fontId="35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0" fontId="31" fillId="4" borderId="0" xfId="0" applyFont="1" applyFill="1" applyAlignment="1">
      <alignment vertical="top" wrapText="1"/>
    </xf>
    <xf numFmtId="0" fontId="29" fillId="4" borderId="0" xfId="0" applyFont="1" applyFill="1" applyAlignment="1">
      <alignment horizontal="right"/>
    </xf>
    <xf numFmtId="0" fontId="30" fillId="4" borderId="0" xfId="0" applyFont="1" applyFill="1" applyAlignment="1">
      <alignment horizontal="left"/>
    </xf>
    <xf numFmtId="0" fontId="29" fillId="4" borderId="0" xfId="0" applyFont="1" applyFill="1" applyAlignment="1">
      <alignment horizontal="right" vertical="top"/>
    </xf>
    <xf numFmtId="1" fontId="27" fillId="0" borderId="2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0" fontId="11" fillId="0" borderId="0" xfId="8" applyAlignment="1">
      <alignment horizontal="left" vertical="top"/>
    </xf>
    <xf numFmtId="0" fontId="11" fillId="0" borderId="0" xfId="8" applyAlignment="1">
      <alignment horizontal="left" vertical="top" wrapText="1"/>
    </xf>
    <xf numFmtId="0" fontId="11" fillId="0" borderId="0" xfId="8" applyFill="1" applyAlignment="1">
      <alignment horizontal="left" vertical="top"/>
    </xf>
    <xf numFmtId="0" fontId="28" fillId="0" borderId="1" xfId="8" applyFont="1" applyBorder="1" applyAlignment="1">
      <alignment horizontal="center" vertical="center"/>
    </xf>
    <xf numFmtId="0" fontId="28" fillId="5" borderId="1" xfId="8" applyFont="1" applyFill="1" applyBorder="1" applyAlignment="1">
      <alignment horizontal="center" vertical="center"/>
    </xf>
    <xf numFmtId="0" fontId="28" fillId="5" borderId="1" xfId="8" applyFont="1" applyFill="1" applyBorder="1" applyAlignment="1">
      <alignment horizontal="center" vertical="center" wrapText="1"/>
    </xf>
    <xf numFmtId="0" fontId="28" fillId="0" borderId="0" xfId="8" applyFont="1" applyAlignment="1">
      <alignment horizontal="center" vertical="center"/>
    </xf>
    <xf numFmtId="0" fontId="0" fillId="4" borderId="0" xfId="0" quotePrefix="1" applyFill="1"/>
    <xf numFmtId="0" fontId="17" fillId="4" borderId="0" xfId="0" applyFont="1" applyFill="1" applyAlignment="1">
      <alignment horizontal="left" vertical="top" wrapText="1"/>
    </xf>
    <xf numFmtId="0" fontId="17" fillId="4" borderId="0" xfId="0" applyFont="1" applyFill="1"/>
    <xf numFmtId="0" fontId="30" fillId="4" borderId="0" xfId="0" applyFont="1" applyFill="1" applyAlignment="1">
      <alignment horizontal="left" vertical="top" wrapText="1"/>
    </xf>
    <xf numFmtId="0" fontId="11" fillId="0" borderId="0" xfId="8" applyAlignment="1">
      <alignment horizontal="center" vertical="center"/>
    </xf>
    <xf numFmtId="0" fontId="23" fillId="0" borderId="0" xfId="7" applyFont="1" applyFill="1" applyBorder="1" applyAlignment="1">
      <alignment horizontal="left" vertical="top"/>
    </xf>
    <xf numFmtId="0" fontId="0" fillId="4" borderId="1" xfId="0" applyFont="1" applyFill="1" applyBorder="1"/>
    <xf numFmtId="0" fontId="22" fillId="4" borderId="0" xfId="0" applyFont="1" applyFill="1" applyBorder="1" applyAlignment="1">
      <alignment vertical="top" wrapText="1"/>
    </xf>
    <xf numFmtId="0" fontId="18" fillId="4" borderId="0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top"/>
    </xf>
    <xf numFmtId="0" fontId="29" fillId="4" borderId="0" xfId="0" quotePrefix="1" applyFont="1" applyFill="1" applyAlignment="1">
      <alignment vertical="top" wrapText="1"/>
    </xf>
    <xf numFmtId="0" fontId="17" fillId="4" borderId="6" xfId="0" applyFont="1" applyFill="1" applyBorder="1" applyAlignment="1">
      <alignment horizontal="left" vertical="top"/>
    </xf>
    <xf numFmtId="0" fontId="17" fillId="4" borderId="8" xfId="0" applyFont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8" xfId="0" quotePrefix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31" fillId="0" borderId="0" xfId="0" applyFont="1" applyFill="1"/>
    <xf numFmtId="0" fontId="0" fillId="0" borderId="0" xfId="0" applyFill="1"/>
    <xf numFmtId="0" fontId="17" fillId="0" borderId="0" xfId="0" applyFont="1" applyFill="1" applyAlignment="1"/>
    <xf numFmtId="0" fontId="22" fillId="3" borderId="9" xfId="0" applyFont="1" applyFill="1" applyBorder="1" applyAlignment="1">
      <alignment horizontal="left" vertical="top" wrapText="1"/>
    </xf>
    <xf numFmtId="0" fontId="22" fillId="3" borderId="10" xfId="0" applyFont="1" applyFill="1" applyBorder="1" applyAlignment="1">
      <alignment horizontal="left" vertical="top" wrapText="1"/>
    </xf>
    <xf numFmtId="0" fontId="22" fillId="3" borderId="11" xfId="0" applyFont="1" applyFill="1" applyBorder="1" applyAlignment="1">
      <alignment horizontal="left" vertical="top" wrapText="1"/>
    </xf>
    <xf numFmtId="0" fontId="22" fillId="3" borderId="12" xfId="0" applyFont="1" applyFill="1" applyBorder="1" applyAlignment="1">
      <alignment horizontal="left" vertical="top" wrapText="1"/>
    </xf>
    <xf numFmtId="0" fontId="22" fillId="3" borderId="0" xfId="0" applyFont="1" applyFill="1" applyBorder="1" applyAlignment="1">
      <alignment horizontal="left" vertical="top" wrapText="1"/>
    </xf>
    <xf numFmtId="0" fontId="22" fillId="3" borderId="13" xfId="0" applyFont="1" applyFill="1" applyBorder="1" applyAlignment="1">
      <alignment horizontal="left" vertical="top" wrapText="1"/>
    </xf>
    <xf numFmtId="0" fontId="22" fillId="3" borderId="5" xfId="0" applyFont="1" applyFill="1" applyBorder="1" applyAlignment="1">
      <alignment horizontal="left" vertical="top" wrapText="1"/>
    </xf>
    <xf numFmtId="0" fontId="22" fillId="3" borderId="14" xfId="0" applyFont="1" applyFill="1" applyBorder="1" applyAlignment="1">
      <alignment horizontal="left" vertical="top" wrapText="1"/>
    </xf>
    <xf numFmtId="0" fontId="22" fillId="3" borderId="3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1" fillId="0" borderId="5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left" vertical="top"/>
    </xf>
    <xf numFmtId="0" fontId="17" fillId="4" borderId="8" xfId="0" applyFont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8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28" fillId="5" borderId="2" xfId="8" applyFont="1" applyFill="1" applyBorder="1" applyAlignment="1">
      <alignment horizontal="center" vertical="top"/>
    </xf>
    <xf numFmtId="0" fontId="1" fillId="0" borderId="0" xfId="18" applyAlignment="1">
      <alignment horizontal="left" vertical="top"/>
    </xf>
    <xf numFmtId="0" fontId="1" fillId="0" borderId="0" xfId="18" applyAlignment="1">
      <alignment horizontal="left" vertical="top" wrapText="1"/>
    </xf>
    <xf numFmtId="0" fontId="1" fillId="0" borderId="1" xfId="18" applyBorder="1" applyAlignment="1">
      <alignment horizontal="center" vertical="center"/>
    </xf>
    <xf numFmtId="0" fontId="1" fillId="0" borderId="1" xfId="18" applyBorder="1" applyAlignment="1">
      <alignment horizontal="left" vertical="top"/>
    </xf>
    <xf numFmtId="0" fontId="1" fillId="0" borderId="1" xfId="18" applyBorder="1" applyAlignment="1">
      <alignment horizontal="left" vertical="top" wrapText="1"/>
    </xf>
    <xf numFmtId="22" fontId="1" fillId="0" borderId="1" xfId="18" applyNumberFormat="1" applyBorder="1" applyAlignment="1">
      <alignment horizontal="left" vertical="top"/>
    </xf>
  </cellXfs>
  <cellStyles count="19">
    <cellStyle name="Normal" xfId="0" builtinId="0"/>
    <cellStyle name="Normal 10" xfId="14"/>
    <cellStyle name="Normal 11" xfId="15"/>
    <cellStyle name="Normal 12" xfId="16"/>
    <cellStyle name="Normal 13" xfId="17"/>
    <cellStyle name="Normal 14" xfId="18"/>
    <cellStyle name="Normal 2" xfId="1"/>
    <cellStyle name="Normal 3" xfId="2"/>
    <cellStyle name="Normal 3 2" xfId="4"/>
    <cellStyle name="Normal 3 2 2" xfId="6"/>
    <cellStyle name="Normal 3 2 2 2" xfId="8"/>
    <cellStyle name="Normal 4" xfId="3"/>
    <cellStyle name="Normal 4 2" xfId="5"/>
    <cellStyle name="Normal 4 2 2" xfId="7"/>
    <cellStyle name="Normal 5" xfId="9"/>
    <cellStyle name="Normal 6" xfId="10"/>
    <cellStyle name="Normal 7" xfId="11"/>
    <cellStyle name="Normal 8" xfId="12"/>
    <cellStyle name="Normal 9" xfId="13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6</xdr:row>
      <xdr:rowOff>180975</xdr:rowOff>
    </xdr:from>
    <xdr:to>
      <xdr:col>8</xdr:col>
      <xdr:colOff>533400</xdr:colOff>
      <xdr:row>16</xdr:row>
      <xdr:rowOff>23459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438275"/>
          <a:ext cx="2457450" cy="2528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3</xdr:row>
      <xdr:rowOff>180975</xdr:rowOff>
    </xdr:from>
    <xdr:to>
      <xdr:col>23</xdr:col>
      <xdr:colOff>333375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0</xdr:colOff>
      <xdr:row>4</xdr:row>
      <xdr:rowOff>171450</xdr:rowOff>
    </xdr:from>
    <xdr:to>
      <xdr:col>23</xdr:col>
      <xdr:colOff>333375</xdr:colOff>
      <xdr:row>6</xdr:row>
      <xdr:rowOff>9525</xdr:rowOff>
    </xdr:to>
    <xdr:sp macro="" textlink="">
      <xdr:nvSpPr>
        <xdr:cNvPr id="3" name="Minus 2"/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57150</xdr:colOff>
      <xdr:row>3</xdr:row>
      <xdr:rowOff>47625</xdr:rowOff>
    </xdr:from>
    <xdr:to>
      <xdr:col>11</xdr:col>
      <xdr:colOff>113289</xdr:colOff>
      <xdr:row>33</xdr:row>
      <xdr:rowOff>189606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62000"/>
          <a:ext cx="6837939" cy="6371331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266701</xdr:colOff>
      <xdr:row>3</xdr:row>
      <xdr:rowOff>57149</xdr:rowOff>
    </xdr:from>
    <xdr:to>
      <xdr:col>22</xdr:col>
      <xdr:colOff>94746</xdr:colOff>
      <xdr:row>28</xdr:row>
      <xdr:rowOff>189673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1" y="771524"/>
          <a:ext cx="6219320" cy="5361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9"/>
  <sheetViews>
    <sheetView tabSelected="1" zoomScaleNormal="100" workbookViewId="0">
      <selection activeCell="B5" sqref="B5:I5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6.875" style="5" customWidth="1"/>
    <col min="9" max="9" width="10.875" customWidth="1"/>
    <col min="10" max="10" width="2.625" style="14" customWidth="1"/>
    <col min="17" max="17" width="33.125" customWidth="1"/>
    <col min="18" max="21" width="11" style="14"/>
  </cols>
  <sheetData>
    <row r="1" spans="1:21" ht="20.25" x14ac:dyDescent="0.25">
      <c r="A1" s="14"/>
      <c r="B1" s="83" t="s">
        <v>24</v>
      </c>
      <c r="C1" s="83"/>
      <c r="D1" s="83"/>
      <c r="E1" s="83"/>
      <c r="F1" s="83"/>
      <c r="G1" s="83"/>
      <c r="H1" s="83"/>
      <c r="I1" s="83"/>
      <c r="K1" s="14"/>
      <c r="L1" s="14"/>
      <c r="M1" s="14"/>
      <c r="N1" s="14"/>
      <c r="O1" s="14"/>
      <c r="P1" s="14"/>
      <c r="Q1" s="14"/>
    </row>
    <row r="2" spans="1:21" s="14" customFormat="1" ht="11.25" customHeight="1" x14ac:dyDescent="0.25">
      <c r="B2" s="26"/>
      <c r="C2" s="26"/>
      <c r="D2" s="26"/>
      <c r="E2" s="26"/>
      <c r="F2" s="26"/>
      <c r="G2" s="26"/>
      <c r="H2" s="26"/>
      <c r="I2" s="26"/>
    </row>
    <row r="3" spans="1:21" ht="21.75" customHeight="1" x14ac:dyDescent="0.3">
      <c r="A3" s="14"/>
      <c r="B3" s="27" t="s">
        <v>173</v>
      </c>
      <c r="C3" s="21"/>
      <c r="D3" s="22"/>
      <c r="E3" s="23"/>
      <c r="F3" s="22"/>
      <c r="G3" s="22"/>
      <c r="H3" s="22"/>
      <c r="I3" s="22"/>
      <c r="K3" s="14"/>
      <c r="L3" s="14"/>
      <c r="M3" s="14"/>
      <c r="N3" s="14"/>
      <c r="O3" s="14"/>
      <c r="P3" s="14"/>
      <c r="Q3" s="14"/>
    </row>
    <row r="4" spans="1:21" ht="8.25" customHeight="1" x14ac:dyDescent="0.3">
      <c r="A4" s="14"/>
      <c r="B4" s="27"/>
      <c r="C4" s="21"/>
      <c r="D4" s="22"/>
      <c r="E4" s="23"/>
      <c r="F4" s="22"/>
      <c r="G4" s="22"/>
      <c r="H4" s="22"/>
      <c r="I4" s="22"/>
      <c r="K4" s="14"/>
      <c r="L4" s="14"/>
      <c r="M4" s="14"/>
      <c r="N4" s="14"/>
      <c r="O4" s="14"/>
      <c r="P4" s="14"/>
      <c r="Q4" s="14"/>
    </row>
    <row r="5" spans="1:21" s="6" customFormat="1" ht="22.5" customHeight="1" x14ac:dyDescent="0.25">
      <c r="A5" s="19"/>
      <c r="B5" s="84" t="s">
        <v>123</v>
      </c>
      <c r="C5" s="84"/>
      <c r="D5" s="84"/>
      <c r="E5" s="84"/>
      <c r="F5" s="84"/>
      <c r="G5" s="84"/>
      <c r="H5" s="84"/>
      <c r="I5" s="84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19" customFormat="1" ht="15" customHeight="1" x14ac:dyDescent="0.25">
      <c r="B6" s="61"/>
      <c r="C6" s="61"/>
      <c r="D6" s="61"/>
      <c r="E6" s="61"/>
      <c r="F6" s="61"/>
      <c r="G6" s="61"/>
      <c r="H6" s="61"/>
      <c r="I6" s="61"/>
    </row>
    <row r="7" spans="1:21" ht="15.75" customHeight="1" x14ac:dyDescent="0.25">
      <c r="A7" s="14"/>
      <c r="B7" s="86"/>
      <c r="C7" s="86"/>
      <c r="D7" s="86"/>
      <c r="E7" s="86"/>
      <c r="F7" s="87"/>
      <c r="G7" s="87"/>
      <c r="H7" s="87"/>
      <c r="I7" s="87"/>
      <c r="K7" s="14"/>
      <c r="L7" s="14"/>
      <c r="M7" s="14"/>
      <c r="N7" s="14"/>
      <c r="O7" s="14"/>
      <c r="P7" s="14"/>
      <c r="Q7" s="14"/>
    </row>
    <row r="8" spans="1:21" s="4" customFormat="1" ht="26.25" customHeight="1" x14ac:dyDescent="0.25">
      <c r="A8" s="20"/>
      <c r="B8" s="85" t="s">
        <v>125</v>
      </c>
      <c r="C8" s="85"/>
      <c r="D8" s="85"/>
      <c r="E8" s="85"/>
      <c r="F8" s="87"/>
      <c r="G8" s="87"/>
      <c r="H8" s="87"/>
      <c r="I8" s="87"/>
      <c r="J8" s="20"/>
      <c r="K8" s="74" t="s">
        <v>159</v>
      </c>
      <c r="L8" s="75"/>
      <c r="M8" s="75"/>
      <c r="N8" s="75"/>
      <c r="O8" s="75"/>
      <c r="P8" s="75"/>
      <c r="Q8" s="76"/>
      <c r="R8" s="20"/>
      <c r="S8" s="20"/>
      <c r="T8" s="20"/>
      <c r="U8" s="20"/>
    </row>
    <row r="9" spans="1:21" s="4" customFormat="1" ht="19.5" customHeight="1" x14ac:dyDescent="0.3">
      <c r="A9" s="20"/>
      <c r="B9" s="3" t="s">
        <v>9</v>
      </c>
      <c r="C9" s="10">
        <f>SUM(C10:C13)</f>
        <v>678</v>
      </c>
      <c r="D9" s="88" t="s">
        <v>11</v>
      </c>
      <c r="E9" s="89"/>
      <c r="F9" s="87"/>
      <c r="G9" s="87"/>
      <c r="H9" s="87"/>
      <c r="I9" s="87"/>
      <c r="J9" s="20"/>
      <c r="K9" s="77"/>
      <c r="L9" s="78"/>
      <c r="M9" s="78"/>
      <c r="N9" s="78"/>
      <c r="O9" s="78"/>
      <c r="P9" s="78"/>
      <c r="Q9" s="79"/>
      <c r="R9" s="20"/>
      <c r="S9" s="20"/>
      <c r="T9" s="20"/>
      <c r="U9" s="20"/>
    </row>
    <row r="10" spans="1:21" s="4" customFormat="1" ht="21.75" customHeight="1" x14ac:dyDescent="0.3">
      <c r="A10" s="20"/>
      <c r="B10" s="1" t="s">
        <v>1</v>
      </c>
      <c r="C10" s="11">
        <v>509</v>
      </c>
      <c r="D10" s="2" t="s">
        <v>4</v>
      </c>
      <c r="E10" s="12">
        <f>C10/C9*100</f>
        <v>75.073746312684364</v>
      </c>
      <c r="F10" s="87"/>
      <c r="G10" s="87"/>
      <c r="H10" s="87"/>
      <c r="I10" s="87"/>
      <c r="J10" s="20"/>
      <c r="K10" s="77"/>
      <c r="L10" s="78"/>
      <c r="M10" s="78"/>
      <c r="N10" s="78"/>
      <c r="O10" s="78"/>
      <c r="P10" s="78"/>
      <c r="Q10" s="79"/>
      <c r="R10" s="20"/>
      <c r="S10" s="20"/>
      <c r="T10" s="20"/>
      <c r="U10" s="20"/>
    </row>
    <row r="11" spans="1:21" ht="21.75" customHeight="1" x14ac:dyDescent="0.3">
      <c r="A11" s="14"/>
      <c r="B11" s="1" t="s">
        <v>2</v>
      </c>
      <c r="C11" s="44">
        <v>51</v>
      </c>
      <c r="D11" s="2" t="s">
        <v>0</v>
      </c>
      <c r="E11" s="45">
        <f>C11/C9*100</f>
        <v>7.5221238938053103</v>
      </c>
      <c r="F11" s="87"/>
      <c r="G11" s="87"/>
      <c r="H11" s="87"/>
      <c r="I11" s="87"/>
      <c r="K11" s="77"/>
      <c r="L11" s="78"/>
      <c r="M11" s="78"/>
      <c r="N11" s="78"/>
      <c r="O11" s="78"/>
      <c r="P11" s="78"/>
      <c r="Q11" s="79"/>
    </row>
    <row r="12" spans="1:21" ht="21" customHeight="1" x14ac:dyDescent="0.3">
      <c r="A12" s="14"/>
      <c r="B12" s="1" t="s">
        <v>3</v>
      </c>
      <c r="C12" s="44">
        <v>118</v>
      </c>
      <c r="D12" s="2" t="s">
        <v>5</v>
      </c>
      <c r="E12" s="45">
        <f>C12/C9*100</f>
        <v>17.404129793510325</v>
      </c>
      <c r="F12" s="87"/>
      <c r="G12" s="87"/>
      <c r="H12" s="87"/>
      <c r="I12" s="87"/>
      <c r="K12" s="77"/>
      <c r="L12" s="78"/>
      <c r="M12" s="78"/>
      <c r="N12" s="78"/>
      <c r="O12" s="78"/>
      <c r="P12" s="78"/>
      <c r="Q12" s="79"/>
    </row>
    <row r="13" spans="1:21" ht="21" customHeight="1" x14ac:dyDescent="0.3">
      <c r="A13" s="14"/>
      <c r="B13" s="29" t="s">
        <v>10</v>
      </c>
      <c r="C13" s="30">
        <v>0</v>
      </c>
      <c r="D13" s="29" t="s">
        <v>8</v>
      </c>
      <c r="E13" s="31">
        <f>C13/C9*100</f>
        <v>0</v>
      </c>
      <c r="F13" s="87"/>
      <c r="G13" s="87"/>
      <c r="H13" s="87"/>
      <c r="I13" s="87"/>
      <c r="K13" s="77"/>
      <c r="L13" s="78"/>
      <c r="M13" s="78"/>
      <c r="N13" s="78"/>
      <c r="O13" s="78"/>
      <c r="P13" s="78"/>
      <c r="Q13" s="79"/>
    </row>
    <row r="14" spans="1:21" ht="22.5" customHeight="1" x14ac:dyDescent="0.3">
      <c r="A14" s="14"/>
      <c r="B14" s="37" t="s">
        <v>94</v>
      </c>
      <c r="C14" s="8">
        <v>42</v>
      </c>
      <c r="D14" s="2"/>
      <c r="E14" s="7"/>
      <c r="F14" s="87"/>
      <c r="G14" s="87"/>
      <c r="H14" s="87"/>
      <c r="I14" s="87"/>
      <c r="K14" s="77"/>
      <c r="L14" s="78"/>
      <c r="M14" s="78"/>
      <c r="N14" s="78"/>
      <c r="O14" s="78"/>
      <c r="P14" s="78"/>
      <c r="Q14" s="79"/>
    </row>
    <row r="15" spans="1:21" ht="21.75" customHeight="1" x14ac:dyDescent="0.3">
      <c r="A15" s="14"/>
      <c r="B15" s="35" t="s">
        <v>124</v>
      </c>
      <c r="C15" s="36">
        <v>12</v>
      </c>
      <c r="D15" s="62"/>
      <c r="E15" s="9"/>
      <c r="F15" s="87"/>
      <c r="G15" s="87"/>
      <c r="H15" s="87"/>
      <c r="I15" s="87"/>
      <c r="K15" s="77"/>
      <c r="L15" s="78"/>
      <c r="M15" s="78"/>
      <c r="N15" s="78"/>
      <c r="O15" s="78"/>
      <c r="P15" s="78"/>
      <c r="Q15" s="79"/>
    </row>
    <row r="16" spans="1:21" s="14" customFormat="1" ht="20.25" customHeight="1" x14ac:dyDescent="0.25">
      <c r="B16" s="35" t="s">
        <v>93</v>
      </c>
      <c r="C16" s="38">
        <v>30</v>
      </c>
      <c r="D16" s="59"/>
      <c r="E16" s="34"/>
      <c r="F16" s="24"/>
      <c r="G16" s="24"/>
      <c r="H16" s="24"/>
      <c r="I16" s="24"/>
      <c r="K16" s="77"/>
      <c r="L16" s="78"/>
      <c r="M16" s="78"/>
      <c r="N16" s="78"/>
      <c r="O16" s="78"/>
      <c r="P16" s="78"/>
      <c r="Q16" s="79"/>
    </row>
    <row r="17" spans="2:17" s="14" customFormat="1" ht="15.75" customHeight="1" x14ac:dyDescent="0.25">
      <c r="B17" s="24"/>
      <c r="C17" s="24"/>
      <c r="D17" s="24"/>
      <c r="E17" s="25"/>
      <c r="F17" s="24"/>
      <c r="G17" s="24"/>
      <c r="H17" s="24"/>
      <c r="I17" s="24"/>
      <c r="K17" s="77"/>
      <c r="L17" s="78"/>
      <c r="M17" s="78"/>
      <c r="N17" s="78"/>
      <c r="O17" s="78"/>
      <c r="P17" s="78"/>
      <c r="Q17" s="79"/>
    </row>
    <row r="18" spans="2:17" s="14" customFormat="1" ht="15.75" customHeight="1" x14ac:dyDescent="0.25">
      <c r="B18" s="24"/>
      <c r="C18" s="24"/>
      <c r="D18" s="24"/>
      <c r="E18" s="25"/>
      <c r="F18" s="24"/>
      <c r="G18" s="24"/>
      <c r="H18" s="24"/>
      <c r="I18" s="24"/>
      <c r="K18" s="77"/>
      <c r="L18" s="78"/>
      <c r="M18" s="78"/>
      <c r="N18" s="78"/>
      <c r="O18" s="78"/>
      <c r="P18" s="78"/>
      <c r="Q18" s="79"/>
    </row>
    <row r="19" spans="2:17" s="14" customFormat="1" ht="15.75" customHeight="1" x14ac:dyDescent="0.25">
      <c r="B19" s="24"/>
      <c r="C19" s="24"/>
      <c r="D19" s="24"/>
      <c r="E19" s="25"/>
      <c r="F19" s="24"/>
      <c r="G19" s="24"/>
      <c r="H19" s="24"/>
      <c r="I19" s="24"/>
      <c r="K19" s="80"/>
      <c r="L19" s="81"/>
      <c r="M19" s="81"/>
      <c r="N19" s="81"/>
      <c r="O19" s="81"/>
      <c r="P19" s="81"/>
      <c r="Q19" s="82"/>
    </row>
    <row r="20" spans="2:17" s="14" customFormat="1" ht="16.5" customHeight="1" x14ac:dyDescent="0.25">
      <c r="E20" s="28"/>
      <c r="K20" s="60"/>
      <c r="L20" s="60"/>
      <c r="M20" s="60"/>
      <c r="N20" s="60"/>
      <c r="O20" s="60"/>
      <c r="P20" s="60"/>
      <c r="Q20" s="60"/>
    </row>
    <row r="21" spans="2:17" s="14" customFormat="1" ht="15.75" customHeight="1" x14ac:dyDescent="0.25">
      <c r="E21" s="28"/>
      <c r="K21" s="60"/>
      <c r="L21" s="60"/>
      <c r="M21" s="60"/>
      <c r="N21" s="60"/>
      <c r="O21" s="60"/>
      <c r="P21" s="60"/>
      <c r="Q21" s="60"/>
    </row>
    <row r="22" spans="2:17" s="14" customFormat="1" ht="15.75" customHeight="1" x14ac:dyDescent="0.25">
      <c r="E22" s="28"/>
      <c r="K22" s="60"/>
      <c r="L22" s="60"/>
      <c r="M22" s="60"/>
      <c r="N22" s="60"/>
      <c r="O22" s="60"/>
      <c r="P22" s="60"/>
      <c r="Q22" s="60"/>
    </row>
    <row r="23" spans="2:17" s="14" customFormat="1" ht="15.75" customHeight="1" x14ac:dyDescent="0.25">
      <c r="E23" s="28"/>
      <c r="K23" s="60"/>
      <c r="L23" s="60"/>
      <c r="M23" s="60"/>
      <c r="N23" s="60"/>
      <c r="O23" s="60"/>
      <c r="P23" s="60"/>
      <c r="Q23" s="60"/>
    </row>
    <row r="24" spans="2:17" s="14" customFormat="1" x14ac:dyDescent="0.25">
      <c r="E24" s="28"/>
    </row>
    <row r="25" spans="2:17" s="14" customFormat="1" x14ac:dyDescent="0.25">
      <c r="E25" s="28"/>
    </row>
    <row r="26" spans="2:17" s="14" customFormat="1" x14ac:dyDescent="0.25">
      <c r="E26" s="28"/>
    </row>
    <row r="27" spans="2:17" s="14" customFormat="1" x14ac:dyDescent="0.25">
      <c r="E27" s="28"/>
    </row>
    <row r="28" spans="2:17" s="14" customFormat="1" x14ac:dyDescent="0.25">
      <c r="E28" s="28"/>
    </row>
    <row r="29" spans="2:17" s="14" customFormat="1" x14ac:dyDescent="0.25">
      <c r="E29" s="28"/>
    </row>
    <row r="30" spans="2:17" s="14" customFormat="1" x14ac:dyDescent="0.25">
      <c r="E30" s="28"/>
    </row>
    <row r="31" spans="2:17" s="14" customFormat="1" x14ac:dyDescent="0.25">
      <c r="E31" s="28"/>
    </row>
    <row r="32" spans="2:17" s="14" customFormat="1" x14ac:dyDescent="0.25">
      <c r="E32" s="28"/>
    </row>
    <row r="33" spans="5:5" s="14" customFormat="1" x14ac:dyDescent="0.25">
      <c r="E33" s="28"/>
    </row>
    <row r="34" spans="5:5" s="14" customFormat="1" x14ac:dyDescent="0.25">
      <c r="E34" s="28"/>
    </row>
    <row r="35" spans="5:5" s="14" customFormat="1" x14ac:dyDescent="0.25">
      <c r="E35" s="28"/>
    </row>
    <row r="36" spans="5:5" s="14" customFormat="1" x14ac:dyDescent="0.25">
      <c r="E36" s="28"/>
    </row>
    <row r="37" spans="5:5" s="14" customFormat="1" x14ac:dyDescent="0.25">
      <c r="E37" s="28"/>
    </row>
    <row r="38" spans="5:5" s="14" customFormat="1" x14ac:dyDescent="0.25">
      <c r="E38" s="28"/>
    </row>
    <row r="39" spans="5:5" s="14" customFormat="1" x14ac:dyDescent="0.25">
      <c r="E39" s="28"/>
    </row>
    <row r="40" spans="5:5" s="14" customFormat="1" x14ac:dyDescent="0.25">
      <c r="E40" s="28"/>
    </row>
    <row r="41" spans="5:5" s="14" customFormat="1" x14ac:dyDescent="0.25">
      <c r="E41" s="28"/>
    </row>
    <row r="42" spans="5:5" s="14" customFormat="1" x14ac:dyDescent="0.25">
      <c r="E42" s="28"/>
    </row>
    <row r="43" spans="5:5" s="14" customFormat="1" x14ac:dyDescent="0.25">
      <c r="E43" s="28"/>
    </row>
    <row r="44" spans="5:5" s="14" customFormat="1" x14ac:dyDescent="0.25">
      <c r="E44" s="28"/>
    </row>
    <row r="45" spans="5:5" s="14" customFormat="1" x14ac:dyDescent="0.25">
      <c r="E45" s="28"/>
    </row>
    <row r="46" spans="5:5" s="14" customFormat="1" x14ac:dyDescent="0.25">
      <c r="E46" s="28"/>
    </row>
    <row r="47" spans="5:5" s="14" customFormat="1" x14ac:dyDescent="0.25">
      <c r="E47" s="28"/>
    </row>
    <row r="48" spans="5:5" s="14" customFormat="1" x14ac:dyDescent="0.25">
      <c r="E48" s="28"/>
    </row>
    <row r="49" spans="5:5" s="14" customFormat="1" x14ac:dyDescent="0.25">
      <c r="E49" s="28"/>
    </row>
  </sheetData>
  <mergeCells count="7">
    <mergeCell ref="K8:Q19"/>
    <mergeCell ref="B1:I1"/>
    <mergeCell ref="B5:I5"/>
    <mergeCell ref="B8:E8"/>
    <mergeCell ref="B7:E7"/>
    <mergeCell ref="F7:I15"/>
    <mergeCell ref="D9:E9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zoomScaleNormal="100" workbookViewId="0"/>
  </sheetViews>
  <sheetFormatPr defaultRowHeight="15.75" x14ac:dyDescent="0.25"/>
  <cols>
    <col min="1" max="1" width="2" style="14" customWidth="1"/>
    <col min="2" max="2" width="9" style="14"/>
    <col min="3" max="3" width="7.125" style="14" customWidth="1"/>
    <col min="4" max="10" width="9" style="14"/>
    <col min="11" max="11" width="7.875" style="14" customWidth="1"/>
    <col min="12" max="12" width="3.875" style="14" customWidth="1"/>
    <col min="13" max="13" width="2.375" style="14" customWidth="1"/>
    <col min="14" max="14" width="9" style="14" customWidth="1"/>
    <col min="15" max="21" width="9" style="14"/>
    <col min="22" max="22" width="5.625" style="14" customWidth="1"/>
    <col min="23" max="23" width="3.125" style="14" customWidth="1"/>
    <col min="24" max="24" width="5.375" style="14" customWidth="1"/>
    <col min="25" max="25" width="80.75" style="14" customWidth="1"/>
    <col min="26" max="26" width="92.125" style="14" customWidth="1"/>
    <col min="27" max="27" width="3" style="14" customWidth="1"/>
    <col min="28" max="16384" width="9" style="14"/>
  </cols>
  <sheetData>
    <row r="1" spans="1:28" ht="18.75" x14ac:dyDescent="0.3">
      <c r="A1" s="13" t="s">
        <v>170</v>
      </c>
    </row>
    <row r="2" spans="1:28" ht="18.75" x14ac:dyDescent="0.3">
      <c r="N2" s="15"/>
    </row>
    <row r="3" spans="1:28" ht="18.75" x14ac:dyDescent="0.3">
      <c r="B3" s="13" t="s">
        <v>108</v>
      </c>
      <c r="M3" s="13" t="s">
        <v>110</v>
      </c>
    </row>
    <row r="5" spans="1:28" x14ac:dyDescent="0.25">
      <c r="Y5" s="70" t="s">
        <v>164</v>
      </c>
    </row>
    <row r="6" spans="1:28" x14ac:dyDescent="0.25">
      <c r="Y6" s="63" t="s">
        <v>153</v>
      </c>
    </row>
    <row r="7" spans="1:28" x14ac:dyDescent="0.25">
      <c r="Y7" s="54" t="s">
        <v>171</v>
      </c>
      <c r="Z7" s="16"/>
    </row>
    <row r="8" spans="1:28" x14ac:dyDescent="0.25">
      <c r="X8" s="55">
        <v>42</v>
      </c>
      <c r="Y8" s="14" t="s">
        <v>109</v>
      </c>
    </row>
    <row r="9" spans="1:28" x14ac:dyDescent="0.25">
      <c r="Y9" s="53" t="s">
        <v>172</v>
      </c>
    </row>
    <row r="11" spans="1:28" s="72" customForma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71" t="s">
        <v>7</v>
      </c>
    </row>
    <row r="12" spans="1:28" x14ac:dyDescent="0.25">
      <c r="X12" s="18">
        <v>20</v>
      </c>
      <c r="Y12" s="18" t="s">
        <v>14</v>
      </c>
    </row>
    <row r="13" spans="1:28" x14ac:dyDescent="0.25">
      <c r="X13" s="18">
        <v>8</v>
      </c>
      <c r="Y13" s="18" t="s">
        <v>154</v>
      </c>
    </row>
    <row r="14" spans="1:28" x14ac:dyDescent="0.25">
      <c r="X14" s="18">
        <v>9</v>
      </c>
      <c r="Y14" s="18" t="s">
        <v>22</v>
      </c>
    </row>
    <row r="15" spans="1:28" x14ac:dyDescent="0.25">
      <c r="X15" s="18">
        <v>2</v>
      </c>
      <c r="Y15" s="18" t="s">
        <v>12</v>
      </c>
      <c r="Z15" s="40"/>
      <c r="AA15" s="40"/>
      <c r="AB15" s="40"/>
    </row>
    <row r="16" spans="1:28" x14ac:dyDescent="0.25">
      <c r="X16" s="18">
        <v>1</v>
      </c>
      <c r="Y16" s="18" t="s">
        <v>6</v>
      </c>
    </row>
    <row r="17" spans="24:27" x14ac:dyDescent="0.25">
      <c r="X17" s="18">
        <v>1</v>
      </c>
      <c r="Y17" s="18" t="s">
        <v>13</v>
      </c>
    </row>
    <row r="18" spans="24:27" x14ac:dyDescent="0.25">
      <c r="X18" s="18">
        <v>1</v>
      </c>
      <c r="Y18" s="18" t="s">
        <v>23</v>
      </c>
      <c r="Z18" s="39"/>
      <c r="AA18" s="39"/>
    </row>
    <row r="19" spans="24:27" x14ac:dyDescent="0.25">
      <c r="X19" s="17">
        <f>SUM(X12:X18)</f>
        <v>42</v>
      </c>
      <c r="Y19" s="17" t="s">
        <v>96</v>
      </c>
      <c r="Z19" s="39"/>
      <c r="AA19" s="39"/>
    </row>
    <row r="20" spans="24:27" x14ac:dyDescent="0.25">
      <c r="Z20" s="39"/>
      <c r="AA20" s="39"/>
    </row>
    <row r="21" spans="24:27" x14ac:dyDescent="0.25">
      <c r="X21" s="71" t="s">
        <v>155</v>
      </c>
      <c r="Y21" s="72"/>
      <c r="Z21" s="39"/>
      <c r="AA21" s="39"/>
    </row>
    <row r="22" spans="24:27" x14ac:dyDescent="0.25">
      <c r="X22" s="41">
        <v>18</v>
      </c>
      <c r="Y22" s="42" t="s">
        <v>97</v>
      </c>
      <c r="Z22" s="39"/>
      <c r="AA22" s="39"/>
    </row>
    <row r="23" spans="24:27" ht="18.75" customHeight="1" x14ac:dyDescent="0.25">
      <c r="X23" s="43">
        <v>24</v>
      </c>
      <c r="Y23" s="56" t="s">
        <v>157</v>
      </c>
      <c r="Z23" s="39"/>
      <c r="AA23" s="39"/>
    </row>
    <row r="24" spans="24:27" x14ac:dyDescent="0.25">
      <c r="X24" s="39"/>
      <c r="Y24" s="64" t="s">
        <v>156</v>
      </c>
      <c r="Z24" s="39"/>
      <c r="AA24" s="39"/>
    </row>
    <row r="25" spans="24:27" x14ac:dyDescent="0.25">
      <c r="X25" s="39"/>
      <c r="Y25" s="39"/>
      <c r="Z25" s="39"/>
      <c r="AA25" s="39"/>
    </row>
    <row r="26" spans="24:27" x14ac:dyDescent="0.25">
      <c r="X26" s="73" t="s">
        <v>158</v>
      </c>
      <c r="Y26" s="72"/>
    </row>
    <row r="27" spans="24:27" ht="30.75" customHeight="1" x14ac:dyDescent="0.25">
      <c r="X27" s="39"/>
      <c r="Y27" s="39"/>
      <c r="Z27" s="39"/>
      <c r="AA27" s="39"/>
    </row>
    <row r="36" spans="2:11" x14ac:dyDescent="0.25">
      <c r="B36" s="90" t="s">
        <v>15</v>
      </c>
      <c r="C36" s="91"/>
      <c r="D36" s="95" t="s">
        <v>21</v>
      </c>
      <c r="E36" s="95"/>
      <c r="F36" s="95"/>
      <c r="G36" s="95"/>
      <c r="H36" s="95"/>
      <c r="I36" s="95"/>
      <c r="J36" s="95"/>
      <c r="K36" s="95"/>
    </row>
    <row r="37" spans="2:11" x14ac:dyDescent="0.25">
      <c r="B37" s="90" t="s">
        <v>16</v>
      </c>
      <c r="C37" s="91"/>
      <c r="D37" s="92" t="s">
        <v>20</v>
      </c>
      <c r="E37" s="93"/>
      <c r="F37" s="93"/>
      <c r="G37" s="93"/>
      <c r="H37" s="93"/>
      <c r="I37" s="93"/>
      <c r="J37" s="93"/>
      <c r="K37" s="94"/>
    </row>
    <row r="38" spans="2:11" x14ac:dyDescent="0.25">
      <c r="B38" s="32" t="s">
        <v>95</v>
      </c>
      <c r="C38" s="33"/>
      <c r="D38" s="92" t="s">
        <v>162</v>
      </c>
      <c r="E38" s="93"/>
      <c r="F38" s="93"/>
      <c r="G38" s="93"/>
      <c r="H38" s="93"/>
      <c r="I38" s="93"/>
      <c r="J38" s="93"/>
      <c r="K38" s="94"/>
    </row>
    <row r="39" spans="2:11" x14ac:dyDescent="0.25">
      <c r="B39" s="65" t="s">
        <v>161</v>
      </c>
      <c r="C39" s="66"/>
      <c r="D39" s="67" t="s">
        <v>163</v>
      </c>
      <c r="E39" s="68"/>
      <c r="F39" s="68"/>
      <c r="G39" s="68"/>
      <c r="H39" s="68"/>
      <c r="I39" s="68"/>
      <c r="J39" s="68"/>
      <c r="K39" s="69"/>
    </row>
    <row r="40" spans="2:11" x14ac:dyDescent="0.25">
      <c r="B40" s="90" t="s">
        <v>17</v>
      </c>
      <c r="C40" s="91"/>
      <c r="D40" s="96" t="s">
        <v>25</v>
      </c>
      <c r="E40" s="96"/>
      <c r="F40" s="96"/>
      <c r="G40" s="96"/>
      <c r="H40" s="96"/>
      <c r="I40" s="96"/>
      <c r="J40" s="96"/>
      <c r="K40" s="96"/>
    </row>
    <row r="41" spans="2:11" x14ac:dyDescent="0.25">
      <c r="B41" s="90" t="s">
        <v>18</v>
      </c>
      <c r="C41" s="91"/>
      <c r="D41" s="92" t="s">
        <v>19</v>
      </c>
      <c r="E41" s="93"/>
      <c r="F41" s="93"/>
      <c r="G41" s="93"/>
      <c r="H41" s="93"/>
      <c r="I41" s="93"/>
      <c r="J41" s="93"/>
      <c r="K41" s="94"/>
    </row>
    <row r="42" spans="2:11" x14ac:dyDescent="0.25">
      <c r="B42" s="90" t="s">
        <v>75</v>
      </c>
      <c r="C42" s="91"/>
      <c r="D42" s="92" t="s">
        <v>76</v>
      </c>
      <c r="E42" s="93"/>
      <c r="F42" s="93"/>
      <c r="G42" s="93"/>
      <c r="H42" s="93"/>
      <c r="I42" s="93"/>
      <c r="J42" s="93"/>
      <c r="K42" s="94"/>
    </row>
    <row r="43" spans="2:11" x14ac:dyDescent="0.25">
      <c r="B43" s="90" t="s">
        <v>106</v>
      </c>
      <c r="C43" s="91"/>
      <c r="D43" s="92" t="s">
        <v>107</v>
      </c>
      <c r="E43" s="93"/>
      <c r="F43" s="93"/>
      <c r="G43" s="93"/>
      <c r="H43" s="93"/>
      <c r="I43" s="93"/>
      <c r="J43" s="93"/>
      <c r="K43" s="94"/>
    </row>
  </sheetData>
  <mergeCells count="13">
    <mergeCell ref="D37:K37"/>
    <mergeCell ref="D41:K41"/>
    <mergeCell ref="D36:K36"/>
    <mergeCell ref="D40:K40"/>
    <mergeCell ref="B36:C36"/>
    <mergeCell ref="B37:C37"/>
    <mergeCell ref="B40:C40"/>
    <mergeCell ref="D38:K38"/>
    <mergeCell ref="B43:C43"/>
    <mergeCell ref="D43:K43"/>
    <mergeCell ref="B42:C42"/>
    <mergeCell ref="D42:K42"/>
    <mergeCell ref="B41:C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 x14ac:dyDescent="0.25"/>
  <cols>
    <col min="1" max="1" width="4.25" style="98" customWidth="1"/>
    <col min="2" max="2" width="9.625" style="98" bestFit="1" customWidth="1"/>
    <col min="3" max="3" width="46" style="99" customWidth="1"/>
    <col min="4" max="4" width="9" style="98"/>
    <col min="5" max="5" width="13.875" style="98" bestFit="1" customWidth="1"/>
    <col min="6" max="6" width="26.125" style="98" bestFit="1" customWidth="1"/>
    <col min="7" max="7" width="13.5" style="98" bestFit="1" customWidth="1"/>
    <col min="8" max="8" width="26.25" style="98" bestFit="1" customWidth="1"/>
    <col min="9" max="9" width="26.25" style="98" customWidth="1"/>
    <col min="10" max="10" width="18.75" style="98" bestFit="1" customWidth="1"/>
    <col min="11" max="11" width="17.125" style="98" bestFit="1" customWidth="1"/>
    <col min="12" max="16384" width="9" style="98"/>
  </cols>
  <sheetData>
    <row r="1" spans="1:11" s="46" customFormat="1" ht="18.75" x14ac:dyDescent="0.25">
      <c r="A1" s="58" t="s">
        <v>169</v>
      </c>
      <c r="C1" s="47"/>
    </row>
    <row r="2" spans="1:11" s="46" customFormat="1" x14ac:dyDescent="0.25">
      <c r="A2" s="57"/>
      <c r="B2" s="48"/>
      <c r="C2" s="47"/>
      <c r="H2" s="97" t="s">
        <v>26</v>
      </c>
      <c r="I2" s="97"/>
    </row>
    <row r="3" spans="1:11" s="52" customFormat="1" x14ac:dyDescent="0.25">
      <c r="A3" s="49"/>
      <c r="B3" s="50" t="s">
        <v>27</v>
      </c>
      <c r="C3" s="51" t="s">
        <v>28</v>
      </c>
      <c r="D3" s="50" t="s">
        <v>29</v>
      </c>
      <c r="E3" s="50" t="s">
        <v>30</v>
      </c>
      <c r="F3" s="50" t="s">
        <v>31</v>
      </c>
      <c r="G3" s="50" t="s">
        <v>32</v>
      </c>
      <c r="H3" s="50" t="s">
        <v>33</v>
      </c>
      <c r="I3" s="50" t="s">
        <v>34</v>
      </c>
      <c r="J3" s="50" t="s">
        <v>35</v>
      </c>
      <c r="K3" s="50" t="s">
        <v>77</v>
      </c>
    </row>
    <row r="4" spans="1:11" ht="30" x14ac:dyDescent="0.25">
      <c r="A4" s="100">
        <v>1</v>
      </c>
      <c r="B4" s="101" t="s">
        <v>165</v>
      </c>
      <c r="C4" s="102" t="s">
        <v>166</v>
      </c>
      <c r="D4" s="101" t="s">
        <v>38</v>
      </c>
      <c r="E4" s="103">
        <v>44267.116666666669</v>
      </c>
      <c r="F4" s="101" t="s">
        <v>40</v>
      </c>
      <c r="G4" s="101" t="s">
        <v>15</v>
      </c>
      <c r="H4" s="101"/>
      <c r="I4" s="101" t="s">
        <v>58</v>
      </c>
      <c r="J4" s="101"/>
      <c r="K4" s="101" t="s">
        <v>84</v>
      </c>
    </row>
    <row r="5" spans="1:11" ht="30" x14ac:dyDescent="0.25">
      <c r="A5" s="100">
        <v>2</v>
      </c>
      <c r="B5" s="101" t="s">
        <v>145</v>
      </c>
      <c r="C5" s="102" t="s">
        <v>146</v>
      </c>
      <c r="D5" s="101" t="s">
        <v>38</v>
      </c>
      <c r="E5" s="103">
        <v>44265.433333333334</v>
      </c>
      <c r="F5" s="101" t="s">
        <v>40</v>
      </c>
      <c r="G5" s="101" t="s">
        <v>15</v>
      </c>
      <c r="H5" s="101"/>
      <c r="I5" s="101" t="s">
        <v>53</v>
      </c>
      <c r="J5" s="101"/>
      <c r="K5" s="101" t="s">
        <v>84</v>
      </c>
    </row>
    <row r="6" spans="1:11" ht="45" x14ac:dyDescent="0.25">
      <c r="A6" s="100">
        <v>3</v>
      </c>
      <c r="B6" s="101" t="s">
        <v>147</v>
      </c>
      <c r="C6" s="102" t="s">
        <v>148</v>
      </c>
      <c r="D6" s="101" t="s">
        <v>38</v>
      </c>
      <c r="E6" s="103">
        <v>44265.386111111111</v>
      </c>
      <c r="F6" s="101" t="s">
        <v>39</v>
      </c>
      <c r="G6" s="101" t="s">
        <v>15</v>
      </c>
      <c r="H6" s="101"/>
      <c r="I6" s="101" t="s">
        <v>167</v>
      </c>
      <c r="J6" s="101"/>
      <c r="K6" s="101" t="s">
        <v>84</v>
      </c>
    </row>
    <row r="7" spans="1:11" ht="30" x14ac:dyDescent="0.25">
      <c r="A7" s="100">
        <v>4</v>
      </c>
      <c r="B7" s="101" t="s">
        <v>150</v>
      </c>
      <c r="C7" s="102" t="s">
        <v>151</v>
      </c>
      <c r="D7" s="101" t="s">
        <v>38</v>
      </c>
      <c r="E7" s="103">
        <v>44265.282638888886</v>
      </c>
      <c r="F7" s="101" t="s">
        <v>40</v>
      </c>
      <c r="G7" s="101" t="s">
        <v>15</v>
      </c>
      <c r="H7" s="101" t="s">
        <v>160</v>
      </c>
      <c r="I7" s="101"/>
      <c r="J7" s="101"/>
      <c r="K7" s="101" t="s">
        <v>84</v>
      </c>
    </row>
    <row r="8" spans="1:11" ht="60" x14ac:dyDescent="0.25">
      <c r="A8" s="100">
        <v>5</v>
      </c>
      <c r="B8" s="101" t="s">
        <v>142</v>
      </c>
      <c r="C8" s="102" t="s">
        <v>143</v>
      </c>
      <c r="D8" s="101" t="s">
        <v>38</v>
      </c>
      <c r="E8" s="103">
        <v>44264.251388888886</v>
      </c>
      <c r="F8" s="101" t="s">
        <v>39</v>
      </c>
      <c r="G8" s="101" t="s">
        <v>15</v>
      </c>
      <c r="H8" s="101" t="s">
        <v>39</v>
      </c>
      <c r="I8" s="101"/>
      <c r="J8" s="101"/>
      <c r="K8" s="101" t="s">
        <v>78</v>
      </c>
    </row>
    <row r="9" spans="1:11" ht="30" x14ac:dyDescent="0.25">
      <c r="A9" s="100">
        <v>6</v>
      </c>
      <c r="B9" s="101" t="s">
        <v>137</v>
      </c>
      <c r="C9" s="102" t="s">
        <v>138</v>
      </c>
      <c r="D9" s="101" t="s">
        <v>38</v>
      </c>
      <c r="E9" s="103">
        <v>44260.664583333331</v>
      </c>
      <c r="F9" s="101" t="s">
        <v>40</v>
      </c>
      <c r="G9" s="101" t="s">
        <v>139</v>
      </c>
      <c r="H9" s="101" t="s">
        <v>40</v>
      </c>
      <c r="I9" s="101"/>
      <c r="J9" s="101"/>
      <c r="K9" s="101" t="s">
        <v>78</v>
      </c>
    </row>
    <row r="10" spans="1:11" ht="30" x14ac:dyDescent="0.25">
      <c r="A10" s="100">
        <v>7</v>
      </c>
      <c r="B10" s="101" t="s">
        <v>140</v>
      </c>
      <c r="C10" s="102" t="s">
        <v>141</v>
      </c>
      <c r="D10" s="101" t="s">
        <v>38</v>
      </c>
      <c r="E10" s="103">
        <v>44260.62777777778</v>
      </c>
      <c r="F10" s="101" t="s">
        <v>40</v>
      </c>
      <c r="G10" s="101" t="s">
        <v>139</v>
      </c>
      <c r="H10" s="101"/>
      <c r="I10" s="101" t="s">
        <v>58</v>
      </c>
      <c r="J10" s="101"/>
      <c r="K10" s="101" t="s">
        <v>78</v>
      </c>
    </row>
    <row r="11" spans="1:11" ht="30" x14ac:dyDescent="0.25">
      <c r="A11" s="100">
        <v>8</v>
      </c>
      <c r="B11" s="101" t="s">
        <v>126</v>
      </c>
      <c r="C11" s="102" t="s">
        <v>127</v>
      </c>
      <c r="D11" s="101" t="s">
        <v>38</v>
      </c>
      <c r="E11" s="103">
        <v>44260.474305555559</v>
      </c>
      <c r="F11" s="101" t="s">
        <v>39</v>
      </c>
      <c r="G11" s="101" t="s">
        <v>15</v>
      </c>
      <c r="H11" s="101" t="s">
        <v>39</v>
      </c>
      <c r="I11" s="101"/>
      <c r="J11" s="101"/>
      <c r="K11" s="101" t="s">
        <v>78</v>
      </c>
    </row>
    <row r="12" spans="1:11" ht="45" x14ac:dyDescent="0.25">
      <c r="A12" s="100">
        <v>9</v>
      </c>
      <c r="B12" s="101" t="s">
        <v>128</v>
      </c>
      <c r="C12" s="102" t="s">
        <v>129</v>
      </c>
      <c r="D12" s="101" t="s">
        <v>38</v>
      </c>
      <c r="E12" s="103">
        <v>44260.433333333334</v>
      </c>
      <c r="F12" s="101" t="s">
        <v>39</v>
      </c>
      <c r="G12" s="101" t="s">
        <v>15</v>
      </c>
      <c r="H12" s="101" t="s">
        <v>39</v>
      </c>
      <c r="I12" s="101"/>
      <c r="J12" s="101"/>
      <c r="K12" s="101" t="s">
        <v>78</v>
      </c>
    </row>
    <row r="13" spans="1:11" ht="30" x14ac:dyDescent="0.25">
      <c r="A13" s="100">
        <v>10</v>
      </c>
      <c r="B13" s="101" t="s">
        <v>130</v>
      </c>
      <c r="C13" s="102" t="s">
        <v>131</v>
      </c>
      <c r="D13" s="101" t="s">
        <v>38</v>
      </c>
      <c r="E13" s="103">
        <v>44260.302777777775</v>
      </c>
      <c r="F13" s="101" t="s">
        <v>40</v>
      </c>
      <c r="G13" s="101" t="s">
        <v>17</v>
      </c>
      <c r="H13" s="101" t="s">
        <v>40</v>
      </c>
      <c r="I13" s="101"/>
      <c r="J13" s="101"/>
      <c r="K13" s="101" t="s">
        <v>78</v>
      </c>
    </row>
    <row r="14" spans="1:11" ht="30" x14ac:dyDescent="0.25">
      <c r="A14" s="100">
        <v>11</v>
      </c>
      <c r="B14" s="101" t="s">
        <v>132</v>
      </c>
      <c r="C14" s="102" t="s">
        <v>133</v>
      </c>
      <c r="D14" s="101" t="s">
        <v>38</v>
      </c>
      <c r="E14" s="103">
        <v>44260.179166666669</v>
      </c>
      <c r="F14" s="101" t="s">
        <v>39</v>
      </c>
      <c r="G14" s="101" t="s">
        <v>15</v>
      </c>
      <c r="H14" s="101" t="s">
        <v>39</v>
      </c>
      <c r="I14" s="101"/>
      <c r="J14" s="101"/>
      <c r="K14" s="101" t="s">
        <v>78</v>
      </c>
    </row>
    <row r="15" spans="1:11" ht="30" x14ac:dyDescent="0.25">
      <c r="A15" s="100">
        <v>12</v>
      </c>
      <c r="B15" s="101" t="s">
        <v>134</v>
      </c>
      <c r="C15" s="102" t="s">
        <v>135</v>
      </c>
      <c r="D15" s="101" t="s">
        <v>38</v>
      </c>
      <c r="E15" s="103">
        <v>44260.148611111108</v>
      </c>
      <c r="F15" s="101" t="s">
        <v>40</v>
      </c>
      <c r="G15" s="101" t="s">
        <v>15</v>
      </c>
      <c r="H15" s="101"/>
      <c r="I15" s="101" t="s">
        <v>98</v>
      </c>
      <c r="J15" s="101"/>
      <c r="K15" s="101" t="s">
        <v>84</v>
      </c>
    </row>
    <row r="16" spans="1:11" ht="30" x14ac:dyDescent="0.25">
      <c r="A16" s="100">
        <v>13</v>
      </c>
      <c r="B16" s="101" t="s">
        <v>119</v>
      </c>
      <c r="C16" s="102" t="s">
        <v>120</v>
      </c>
      <c r="D16" s="101" t="s">
        <v>38</v>
      </c>
      <c r="E16" s="103">
        <v>44252.148611111108</v>
      </c>
      <c r="F16" s="101" t="s">
        <v>39</v>
      </c>
      <c r="G16" s="101" t="s">
        <v>15</v>
      </c>
      <c r="H16" s="101" t="s">
        <v>40</v>
      </c>
      <c r="I16" s="101"/>
      <c r="J16" s="101"/>
      <c r="K16" s="101" t="s">
        <v>78</v>
      </c>
    </row>
    <row r="17" spans="1:11" ht="30" x14ac:dyDescent="0.25">
      <c r="A17" s="100">
        <v>14</v>
      </c>
      <c r="B17" s="101" t="s">
        <v>111</v>
      </c>
      <c r="C17" s="102" t="s">
        <v>112</v>
      </c>
      <c r="D17" s="101" t="s">
        <v>38</v>
      </c>
      <c r="E17" s="103">
        <v>44251.509027777778</v>
      </c>
      <c r="F17" s="101" t="s">
        <v>40</v>
      </c>
      <c r="G17" s="101" t="s">
        <v>15</v>
      </c>
      <c r="H17" s="101"/>
      <c r="I17" s="101" t="s">
        <v>58</v>
      </c>
      <c r="J17" s="101" t="s">
        <v>136</v>
      </c>
      <c r="K17" s="101" t="s">
        <v>78</v>
      </c>
    </row>
    <row r="18" spans="1:11" ht="30" x14ac:dyDescent="0.25">
      <c r="A18" s="100">
        <v>15</v>
      </c>
      <c r="B18" s="101" t="s">
        <v>113</v>
      </c>
      <c r="C18" s="102" t="s">
        <v>114</v>
      </c>
      <c r="D18" s="101" t="s">
        <v>38</v>
      </c>
      <c r="E18" s="103">
        <v>44251.310416666667</v>
      </c>
      <c r="F18" s="101" t="s">
        <v>39</v>
      </c>
      <c r="G18" s="101" t="s">
        <v>15</v>
      </c>
      <c r="H18" s="101" t="s">
        <v>39</v>
      </c>
      <c r="I18" s="101"/>
      <c r="J18" s="101"/>
      <c r="K18" s="101" t="s">
        <v>152</v>
      </c>
    </row>
    <row r="19" spans="1:11" ht="45" x14ac:dyDescent="0.25">
      <c r="A19" s="100">
        <v>16</v>
      </c>
      <c r="B19" s="101" t="s">
        <v>115</v>
      </c>
      <c r="C19" s="102" t="s">
        <v>116</v>
      </c>
      <c r="D19" s="101" t="s">
        <v>38</v>
      </c>
      <c r="E19" s="103">
        <v>44251.28125</v>
      </c>
      <c r="F19" s="101" t="s">
        <v>39</v>
      </c>
      <c r="G19" s="101" t="s">
        <v>15</v>
      </c>
      <c r="H19" s="101" t="s">
        <v>39</v>
      </c>
      <c r="I19" s="101"/>
      <c r="J19" s="101"/>
      <c r="K19" s="101" t="s">
        <v>152</v>
      </c>
    </row>
    <row r="20" spans="1:11" ht="45" x14ac:dyDescent="0.25">
      <c r="A20" s="100">
        <v>17</v>
      </c>
      <c r="B20" s="101" t="s">
        <v>117</v>
      </c>
      <c r="C20" s="102" t="s">
        <v>118</v>
      </c>
      <c r="D20" s="101" t="s">
        <v>38</v>
      </c>
      <c r="E20" s="103">
        <v>44251.146527777775</v>
      </c>
      <c r="F20" s="101" t="s">
        <v>39</v>
      </c>
      <c r="G20" s="101" t="s">
        <v>81</v>
      </c>
      <c r="H20" s="101" t="s">
        <v>39</v>
      </c>
      <c r="I20" s="101"/>
      <c r="J20" s="101"/>
      <c r="K20" s="101" t="s">
        <v>78</v>
      </c>
    </row>
    <row r="21" spans="1:11" ht="30" x14ac:dyDescent="0.25">
      <c r="A21" s="100">
        <v>18</v>
      </c>
      <c r="B21" s="101" t="s">
        <v>99</v>
      </c>
      <c r="C21" s="102" t="s">
        <v>100</v>
      </c>
      <c r="D21" s="101" t="s">
        <v>38</v>
      </c>
      <c r="E21" s="103">
        <v>44250.474305555559</v>
      </c>
      <c r="F21" s="101" t="s">
        <v>39</v>
      </c>
      <c r="G21" s="101" t="s">
        <v>15</v>
      </c>
      <c r="H21" s="101" t="s">
        <v>101</v>
      </c>
      <c r="I21" s="101"/>
      <c r="J21" s="101"/>
      <c r="K21" s="101" t="s">
        <v>152</v>
      </c>
    </row>
    <row r="22" spans="1:11" ht="30" x14ac:dyDescent="0.25">
      <c r="A22" s="100">
        <v>19</v>
      </c>
      <c r="B22" s="101" t="s">
        <v>102</v>
      </c>
      <c r="C22" s="102" t="s">
        <v>103</v>
      </c>
      <c r="D22" s="101" t="s">
        <v>38</v>
      </c>
      <c r="E22" s="103">
        <v>44250.431944444441</v>
      </c>
      <c r="F22" s="101" t="s">
        <v>39</v>
      </c>
      <c r="G22" s="101" t="s">
        <v>16</v>
      </c>
      <c r="H22" s="101" t="s">
        <v>39</v>
      </c>
      <c r="I22" s="101"/>
      <c r="J22" s="101" t="s">
        <v>136</v>
      </c>
      <c r="K22" s="101" t="s">
        <v>84</v>
      </c>
    </row>
    <row r="23" spans="1:11" x14ac:dyDescent="0.25">
      <c r="A23" s="100">
        <v>20</v>
      </c>
      <c r="B23" s="101" t="s">
        <v>104</v>
      </c>
      <c r="C23" s="102" t="s">
        <v>105</v>
      </c>
      <c r="D23" s="101" t="s">
        <v>38</v>
      </c>
      <c r="E23" s="103">
        <v>44250.422222222223</v>
      </c>
      <c r="F23" s="101" t="s">
        <v>39</v>
      </c>
      <c r="G23" s="101" t="s">
        <v>16</v>
      </c>
      <c r="H23" s="101" t="s">
        <v>39</v>
      </c>
      <c r="I23" s="101"/>
      <c r="J23" s="101" t="s">
        <v>136</v>
      </c>
      <c r="K23" s="101" t="s">
        <v>78</v>
      </c>
    </row>
    <row r="24" spans="1:11" ht="45" x14ac:dyDescent="0.25">
      <c r="A24" s="100">
        <v>21</v>
      </c>
      <c r="B24" s="101" t="s">
        <v>91</v>
      </c>
      <c r="C24" s="102" t="s">
        <v>92</v>
      </c>
      <c r="D24" s="101" t="s">
        <v>38</v>
      </c>
      <c r="E24" s="103">
        <v>44246.529166666667</v>
      </c>
      <c r="F24" s="101" t="s">
        <v>39</v>
      </c>
      <c r="G24" s="101" t="s">
        <v>15</v>
      </c>
      <c r="H24" s="101" t="s">
        <v>39</v>
      </c>
      <c r="I24" s="101"/>
      <c r="J24" s="101"/>
      <c r="K24" s="101" t="s">
        <v>78</v>
      </c>
    </row>
    <row r="25" spans="1:11" ht="30" x14ac:dyDescent="0.25">
      <c r="A25" s="100">
        <v>22</v>
      </c>
      <c r="B25" s="101" t="s">
        <v>89</v>
      </c>
      <c r="C25" s="102" t="s">
        <v>90</v>
      </c>
      <c r="D25" s="101" t="s">
        <v>38</v>
      </c>
      <c r="E25" s="103">
        <v>44246.507638888892</v>
      </c>
      <c r="F25" s="101" t="s">
        <v>39</v>
      </c>
      <c r="G25" s="101" t="s">
        <v>81</v>
      </c>
      <c r="H25" s="101"/>
      <c r="I25" s="101" t="s">
        <v>58</v>
      </c>
      <c r="J25" s="101"/>
      <c r="K25" s="101" t="s">
        <v>78</v>
      </c>
    </row>
    <row r="26" spans="1:11" ht="30" x14ac:dyDescent="0.25">
      <c r="A26" s="100">
        <v>23</v>
      </c>
      <c r="B26" s="101" t="s">
        <v>88</v>
      </c>
      <c r="C26" s="102" t="s">
        <v>144</v>
      </c>
      <c r="D26" s="101" t="s">
        <v>38</v>
      </c>
      <c r="E26" s="103">
        <v>44246.321527777778</v>
      </c>
      <c r="F26" s="101" t="s">
        <v>40</v>
      </c>
      <c r="G26" s="101" t="s">
        <v>17</v>
      </c>
      <c r="H26" s="101"/>
      <c r="I26" s="101" t="s">
        <v>53</v>
      </c>
      <c r="J26" s="101" t="s">
        <v>136</v>
      </c>
      <c r="K26" s="101" t="s">
        <v>78</v>
      </c>
    </row>
    <row r="27" spans="1:11" ht="30" x14ac:dyDescent="0.25">
      <c r="A27" s="100">
        <v>24</v>
      </c>
      <c r="B27" s="101" t="s">
        <v>86</v>
      </c>
      <c r="C27" s="102" t="s">
        <v>87</v>
      </c>
      <c r="D27" s="101" t="s">
        <v>38</v>
      </c>
      <c r="E27" s="103">
        <v>44246.238194444442</v>
      </c>
      <c r="F27" s="101" t="s">
        <v>39</v>
      </c>
      <c r="G27" s="101" t="s">
        <v>81</v>
      </c>
      <c r="H27" s="101"/>
      <c r="I27" s="101" t="s">
        <v>58</v>
      </c>
      <c r="J27" s="101" t="s">
        <v>136</v>
      </c>
      <c r="K27" s="101" t="s">
        <v>84</v>
      </c>
    </row>
    <row r="28" spans="1:11" ht="30" x14ac:dyDescent="0.25">
      <c r="A28" s="100">
        <v>25</v>
      </c>
      <c r="B28" s="101" t="s">
        <v>36</v>
      </c>
      <c r="C28" s="102" t="s">
        <v>37</v>
      </c>
      <c r="D28" s="101" t="s">
        <v>38</v>
      </c>
      <c r="E28" s="103">
        <v>44238.337500000001</v>
      </c>
      <c r="F28" s="101" t="s">
        <v>39</v>
      </c>
      <c r="G28" s="101" t="s">
        <v>17</v>
      </c>
      <c r="H28" s="101" t="s">
        <v>39</v>
      </c>
      <c r="I28" s="101"/>
      <c r="J28" s="101"/>
      <c r="K28" s="101" t="s">
        <v>152</v>
      </c>
    </row>
    <row r="29" spans="1:11" ht="30" x14ac:dyDescent="0.25">
      <c r="A29" s="100">
        <v>26</v>
      </c>
      <c r="B29" s="101" t="s">
        <v>41</v>
      </c>
      <c r="C29" s="102" t="s">
        <v>42</v>
      </c>
      <c r="D29" s="101" t="s">
        <v>38</v>
      </c>
      <c r="E29" s="103">
        <v>44238.286111111112</v>
      </c>
      <c r="F29" s="101" t="s">
        <v>39</v>
      </c>
      <c r="G29" s="101" t="s">
        <v>15</v>
      </c>
      <c r="H29" s="101" t="s">
        <v>39</v>
      </c>
      <c r="I29" s="101"/>
      <c r="J29" s="101"/>
      <c r="K29" s="101" t="s">
        <v>152</v>
      </c>
    </row>
    <row r="30" spans="1:11" ht="30" x14ac:dyDescent="0.25">
      <c r="A30" s="100">
        <v>27</v>
      </c>
      <c r="B30" s="101" t="s">
        <v>43</v>
      </c>
      <c r="C30" s="102" t="s">
        <v>44</v>
      </c>
      <c r="D30" s="101" t="s">
        <v>38</v>
      </c>
      <c r="E30" s="103">
        <v>44237.496527777781</v>
      </c>
      <c r="F30" s="101" t="s">
        <v>39</v>
      </c>
      <c r="G30" s="101" t="s">
        <v>139</v>
      </c>
      <c r="H30" s="101"/>
      <c r="I30" s="101" t="s">
        <v>58</v>
      </c>
      <c r="J30" s="101" t="s">
        <v>136</v>
      </c>
      <c r="K30" s="101" t="s">
        <v>84</v>
      </c>
    </row>
    <row r="31" spans="1:11" ht="30" x14ac:dyDescent="0.25">
      <c r="A31" s="100">
        <v>28</v>
      </c>
      <c r="B31" s="101" t="s">
        <v>45</v>
      </c>
      <c r="C31" s="102" t="s">
        <v>85</v>
      </c>
      <c r="D31" s="101" t="s">
        <v>38</v>
      </c>
      <c r="E31" s="103">
        <v>44237.490277777775</v>
      </c>
      <c r="F31" s="101" t="s">
        <v>39</v>
      </c>
      <c r="G31" s="101" t="s">
        <v>81</v>
      </c>
      <c r="H31" s="101" t="s">
        <v>39</v>
      </c>
      <c r="I31" s="101"/>
      <c r="J31" s="101"/>
      <c r="K31" s="101" t="s">
        <v>152</v>
      </c>
    </row>
    <row r="32" spans="1:11" ht="30" x14ac:dyDescent="0.25">
      <c r="A32" s="100">
        <v>29</v>
      </c>
      <c r="B32" s="101" t="s">
        <v>46</v>
      </c>
      <c r="C32" s="102" t="s">
        <v>47</v>
      </c>
      <c r="D32" s="101" t="s">
        <v>38</v>
      </c>
      <c r="E32" s="103">
        <v>44237.474999999999</v>
      </c>
      <c r="F32" s="101" t="s">
        <v>39</v>
      </c>
      <c r="G32" s="101" t="s">
        <v>15</v>
      </c>
      <c r="H32" s="101" t="s">
        <v>39</v>
      </c>
      <c r="I32" s="101"/>
      <c r="J32" s="101"/>
      <c r="K32" s="101" t="s">
        <v>82</v>
      </c>
    </row>
    <row r="33" spans="1:11" ht="30" x14ac:dyDescent="0.25">
      <c r="A33" s="100">
        <v>30</v>
      </c>
      <c r="B33" s="101" t="s">
        <v>48</v>
      </c>
      <c r="C33" s="102" t="s">
        <v>49</v>
      </c>
      <c r="D33" s="101" t="s">
        <v>38</v>
      </c>
      <c r="E33" s="103">
        <v>44237.463888888888</v>
      </c>
      <c r="F33" s="101" t="s">
        <v>39</v>
      </c>
      <c r="G33" s="101" t="s">
        <v>161</v>
      </c>
      <c r="H33" s="101"/>
      <c r="I33" s="101" t="s">
        <v>149</v>
      </c>
      <c r="J33" s="101" t="s">
        <v>136</v>
      </c>
      <c r="K33" s="101" t="s">
        <v>84</v>
      </c>
    </row>
    <row r="34" spans="1:11" ht="30" x14ac:dyDescent="0.25">
      <c r="A34" s="100">
        <v>31</v>
      </c>
      <c r="B34" s="101" t="s">
        <v>50</v>
      </c>
      <c r="C34" s="102" t="s">
        <v>51</v>
      </c>
      <c r="D34" s="101" t="s">
        <v>38</v>
      </c>
      <c r="E34" s="103">
        <v>44236.469444444447</v>
      </c>
      <c r="F34" s="101" t="s">
        <v>52</v>
      </c>
      <c r="G34" s="101" t="s">
        <v>15</v>
      </c>
      <c r="H34" s="101"/>
      <c r="I34" s="101" t="s">
        <v>168</v>
      </c>
      <c r="J34" s="101" t="s">
        <v>136</v>
      </c>
      <c r="K34" s="101" t="s">
        <v>83</v>
      </c>
    </row>
    <row r="35" spans="1:11" ht="30" x14ac:dyDescent="0.25">
      <c r="A35" s="100">
        <v>32</v>
      </c>
      <c r="B35" s="101" t="s">
        <v>54</v>
      </c>
      <c r="C35" s="102" t="s">
        <v>55</v>
      </c>
      <c r="D35" s="101" t="s">
        <v>38</v>
      </c>
      <c r="E35" s="103">
        <v>44233.45416666667</v>
      </c>
      <c r="F35" s="101" t="s">
        <v>39</v>
      </c>
      <c r="G35" s="101" t="s">
        <v>15</v>
      </c>
      <c r="H35" s="101" t="s">
        <v>39</v>
      </c>
      <c r="I35" s="101"/>
      <c r="J35" s="101"/>
      <c r="K35" s="101" t="s">
        <v>79</v>
      </c>
    </row>
    <row r="36" spans="1:11" ht="45" x14ac:dyDescent="0.25">
      <c r="A36" s="100">
        <v>33</v>
      </c>
      <c r="B36" s="101" t="s">
        <v>56</v>
      </c>
      <c r="C36" s="102" t="s">
        <v>57</v>
      </c>
      <c r="D36" s="101" t="s">
        <v>38</v>
      </c>
      <c r="E36" s="103">
        <v>44233.393750000003</v>
      </c>
      <c r="F36" s="101" t="s">
        <v>39</v>
      </c>
      <c r="G36" s="101" t="s">
        <v>15</v>
      </c>
      <c r="H36" s="101" t="s">
        <v>39</v>
      </c>
      <c r="I36" s="101"/>
      <c r="J36" s="101" t="s">
        <v>136</v>
      </c>
      <c r="K36" s="101" t="s">
        <v>78</v>
      </c>
    </row>
    <row r="37" spans="1:11" ht="30" x14ac:dyDescent="0.25">
      <c r="A37" s="100">
        <v>34</v>
      </c>
      <c r="B37" s="101" t="s">
        <v>59</v>
      </c>
      <c r="C37" s="102" t="s">
        <v>60</v>
      </c>
      <c r="D37" s="101" t="s">
        <v>38</v>
      </c>
      <c r="E37" s="103">
        <v>44233.282638888886</v>
      </c>
      <c r="F37" s="101" t="s">
        <v>52</v>
      </c>
      <c r="G37" s="101" t="s">
        <v>15</v>
      </c>
      <c r="H37" s="101" t="s">
        <v>101</v>
      </c>
      <c r="I37" s="101"/>
      <c r="J37" s="101" t="s">
        <v>136</v>
      </c>
      <c r="K37" s="101" t="s">
        <v>80</v>
      </c>
    </row>
    <row r="38" spans="1:11" ht="30" x14ac:dyDescent="0.25">
      <c r="A38" s="100">
        <v>35</v>
      </c>
      <c r="B38" s="101" t="s">
        <v>61</v>
      </c>
      <c r="C38" s="102" t="s">
        <v>62</v>
      </c>
      <c r="D38" s="101" t="s">
        <v>38</v>
      </c>
      <c r="E38" s="103">
        <v>44233.270833333336</v>
      </c>
      <c r="F38" s="101" t="s">
        <v>39</v>
      </c>
      <c r="G38" s="101" t="s">
        <v>15</v>
      </c>
      <c r="H38" s="101" t="s">
        <v>39</v>
      </c>
      <c r="I38" s="101"/>
      <c r="J38" s="101"/>
      <c r="K38" s="101" t="s">
        <v>78</v>
      </c>
    </row>
    <row r="39" spans="1:11" ht="30" x14ac:dyDescent="0.25">
      <c r="A39" s="100">
        <v>36</v>
      </c>
      <c r="B39" s="101" t="s">
        <v>63</v>
      </c>
      <c r="C39" s="102" t="s">
        <v>64</v>
      </c>
      <c r="D39" s="101" t="s">
        <v>38</v>
      </c>
      <c r="E39" s="103">
        <v>44233.215277777781</v>
      </c>
      <c r="F39" s="101" t="s">
        <v>39</v>
      </c>
      <c r="G39" s="101" t="s">
        <v>15</v>
      </c>
      <c r="H39" s="101" t="s">
        <v>39</v>
      </c>
      <c r="I39" s="101"/>
      <c r="J39" s="101"/>
      <c r="K39" s="101" t="s">
        <v>80</v>
      </c>
    </row>
    <row r="40" spans="1:11" ht="30" x14ac:dyDescent="0.25">
      <c r="A40" s="100">
        <v>37</v>
      </c>
      <c r="B40" s="101" t="s">
        <v>65</v>
      </c>
      <c r="C40" s="102" t="s">
        <v>66</v>
      </c>
      <c r="D40" s="101" t="s">
        <v>38</v>
      </c>
      <c r="E40" s="103">
        <v>44232.375694444447</v>
      </c>
      <c r="F40" s="101" t="s">
        <v>39</v>
      </c>
      <c r="G40" s="101" t="s">
        <v>139</v>
      </c>
      <c r="H40" s="101"/>
      <c r="I40" s="101" t="s">
        <v>58</v>
      </c>
      <c r="J40" s="101"/>
      <c r="K40" s="101" t="s">
        <v>152</v>
      </c>
    </row>
    <row r="41" spans="1:11" ht="30" x14ac:dyDescent="0.25">
      <c r="A41" s="100">
        <v>38</v>
      </c>
      <c r="B41" s="101" t="s">
        <v>67</v>
      </c>
      <c r="C41" s="102" t="s">
        <v>68</v>
      </c>
      <c r="D41" s="101" t="s">
        <v>38</v>
      </c>
      <c r="E41" s="103">
        <v>44232.114583333336</v>
      </c>
      <c r="F41" s="101" t="s">
        <v>39</v>
      </c>
      <c r="G41" s="101" t="s">
        <v>15</v>
      </c>
      <c r="H41" s="101"/>
      <c r="I41" s="101" t="s">
        <v>58</v>
      </c>
      <c r="J41" s="101" t="s">
        <v>136</v>
      </c>
      <c r="K41" s="101" t="s">
        <v>78</v>
      </c>
    </row>
    <row r="42" spans="1:11" ht="30" x14ac:dyDescent="0.25">
      <c r="A42" s="100">
        <v>39</v>
      </c>
      <c r="B42" s="101" t="s">
        <v>69</v>
      </c>
      <c r="C42" s="102" t="s">
        <v>121</v>
      </c>
      <c r="D42" s="101" t="s">
        <v>38</v>
      </c>
      <c r="E42" s="103">
        <v>44225.497916666667</v>
      </c>
      <c r="F42" s="101" t="s">
        <v>39</v>
      </c>
      <c r="G42" s="101" t="s">
        <v>81</v>
      </c>
      <c r="H42" s="101"/>
      <c r="I42" s="101" t="s">
        <v>58</v>
      </c>
      <c r="J42" s="101" t="s">
        <v>136</v>
      </c>
      <c r="K42" s="101" t="s">
        <v>78</v>
      </c>
    </row>
    <row r="43" spans="1:11" ht="30" x14ac:dyDescent="0.25">
      <c r="A43" s="100">
        <v>40</v>
      </c>
      <c r="B43" s="101" t="s">
        <v>70</v>
      </c>
      <c r="C43" s="102" t="s">
        <v>71</v>
      </c>
      <c r="D43" s="101" t="s">
        <v>38</v>
      </c>
      <c r="E43" s="103">
        <v>44223.324999999997</v>
      </c>
      <c r="F43" s="101" t="s">
        <v>39</v>
      </c>
      <c r="G43" s="101" t="s">
        <v>81</v>
      </c>
      <c r="H43" s="101"/>
      <c r="I43" s="101" t="s">
        <v>58</v>
      </c>
      <c r="J43" s="101"/>
      <c r="K43" s="101" t="s">
        <v>152</v>
      </c>
    </row>
    <row r="44" spans="1:11" ht="30" x14ac:dyDescent="0.25">
      <c r="A44" s="100">
        <v>41</v>
      </c>
      <c r="B44" s="101" t="s">
        <v>72</v>
      </c>
      <c r="C44" s="102" t="s">
        <v>122</v>
      </c>
      <c r="D44" s="101" t="s">
        <v>38</v>
      </c>
      <c r="E44" s="103">
        <v>44218.313194444447</v>
      </c>
      <c r="F44" s="101" t="s">
        <v>39</v>
      </c>
      <c r="G44" s="101" t="s">
        <v>15</v>
      </c>
      <c r="H44" s="101"/>
      <c r="I44" s="101" t="s">
        <v>98</v>
      </c>
      <c r="J44" s="101" t="s">
        <v>136</v>
      </c>
      <c r="K44" s="101" t="s">
        <v>78</v>
      </c>
    </row>
    <row r="45" spans="1:11" ht="30" x14ac:dyDescent="0.25">
      <c r="A45" s="100">
        <v>42</v>
      </c>
      <c r="B45" s="101" t="s">
        <v>73</v>
      </c>
      <c r="C45" s="102" t="s">
        <v>74</v>
      </c>
      <c r="D45" s="101" t="s">
        <v>38</v>
      </c>
      <c r="E45" s="103">
        <v>44218.227083333331</v>
      </c>
      <c r="F45" s="101" t="s">
        <v>52</v>
      </c>
      <c r="G45" s="101" t="s">
        <v>15</v>
      </c>
      <c r="H45" s="101"/>
      <c r="I45" s="101" t="s">
        <v>53</v>
      </c>
      <c r="J45" s="101"/>
      <c r="K45" s="101" t="s">
        <v>78</v>
      </c>
    </row>
  </sheetData>
  <autoFilter ref="B3:K45"/>
  <mergeCells count="1"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636E05F-37A6-4D98-8A2C-A10D56C872BF}"/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 Biz DCO - Test Summary</vt:lpstr>
      <vt:lpstr>Defects Status</vt:lpstr>
      <vt:lpstr>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2021-03-12T01:12:05Z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