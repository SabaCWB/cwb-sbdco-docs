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GITAL\Test Summary Reporting\Small Biz DCO\"/>
    </mc:Choice>
  </mc:AlternateContent>
  <xr:revisionPtr revIDLastSave="0" documentId="13_ncr:1_{67F75C49-A9D7-464A-919F-FDE5E42642FC}" xr6:coauthVersionLast="46" xr6:coauthVersionMax="46" xr10:uidLastSave="{00000000-0000-0000-0000-000000000000}"/>
  <bookViews>
    <workbookView xWindow="-120" yWindow="-120" windowWidth="29040" windowHeight="15840" tabRatio="516" xr2:uid="{00000000-000D-0000-FFFF-FFFF00000000}"/>
  </bookViews>
  <sheets>
    <sheet name="Small Biz DCO - Test Summary" sheetId="1" r:id="rId1"/>
    <sheet name="Defects Status" sheetId="6" r:id="rId2"/>
    <sheet name="Defect Summary Report" sheetId="59" r:id="rId3"/>
    <sheet name="Sprint Report" sheetId="29" r:id="rId4"/>
  </sheets>
  <definedNames>
    <definedName name="_xlnm._FilterDatabase" localSheetId="2" hidden="1">'Defect Summary Report'!$B$3:$K$74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6" l="1"/>
  <c r="C9" i="1"/>
  <c r="E12" i="1" l="1"/>
  <c r="E11" i="1"/>
  <c r="E13" i="1"/>
  <c r="E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Chix Dela Luna</author>
  </authors>
  <commentList>
    <comment ref="B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  <comment ref="B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<sst xmlns="http://schemas.openxmlformats.org/spreadsheetml/2006/main" count="633" uniqueCount="259">
  <si>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</si>
  <si>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</si>
  <si>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</si>
  <si>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</si>
  <si>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</si>
  <si>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</si>
  <si>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</si>
  <si>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</si>
  <si>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</si>
  <si>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</si>
  <si>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</si>
  <si>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</si>
  <si>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</si>
  <si>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</si>
  <si>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</si>
  <si>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</si>
  <si>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</si>
  <si>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</si>
  <si>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</si>
  <si>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</si>
  <si>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</si>
  <si>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</si>
  <si>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</si>
  <si>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</si>
  <si>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</si>
  <si>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</si>
  <si>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</si>
  <si>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</si>
  <si>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</si>
  <si>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</si>
  <si>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</si>
  <si>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</si>
  <si>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</si>
  <si>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</si>
  <si>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</si>
  <si>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</si>
  <si>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</si>
  <si>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</si>
  <si>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</si>
  <si>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</si>
  <si>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</si>
  <si>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</si>
  <si>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</si>
  <si>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</si>
  <si>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</si>
  <si>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</si>
  <si>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</si>
  <si>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</si>
  <si>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</si>
  <si>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</si>
  <si>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</si>
  <si>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</si>
  <si>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</si>
  <si>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</si>
  <si>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</si>
  <si>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</si>
  <si>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</si>
  <si>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</si>
  <si>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</si>
  <si>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</si>
  <si>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</si>
  <si>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</si>
  <si>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</si>
  <si>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</si>
  <si>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</si>
  <si>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</si>
  <si>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</si>
  <si>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</si>
  <si>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</si>
  <si>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</si>
  <si>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</si>
  <si>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</si>
  <si>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</si>
  <si>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</si>
  <si>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</si>
  <si>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</si>
  <si>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</si>
  <si>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</si>
  <si>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</si>
  <si>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</si>
  <si>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</si>
  <si>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</si>
  <si>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</si>
  <si>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</si>
  <si>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</si>
  <si>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</si>
  <si>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</si>
  <si>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outstanding defects* (defects not in "done" status)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</si>
  <si>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</si>
  <si>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</si>
  <si>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</si>
  <si>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</si>
  <si>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</si>
  <si>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</si>
  <si>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</si>
  <si>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</si>
  <si>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CWBSB-620</t>
  </si>
  <si>
    <t>SBDCO - Applicant - Not Qualified Info Page - Email address field is accepting invalid formats.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</si>
  <si>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</si>
  <si>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</si>
  <si>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</si>
  <si>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</si>
  <si>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</si>
  <si>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</si>
  <si>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t>- for retesting, field specs or requirement issue, to review, questions, investigate further, etc</t>
  </si>
  <si>
    <t xml:space="preserve">Assigned to CWB to address 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</si>
  <si>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</si>
  <si>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</si>
  <si>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</si>
  <si>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</si>
  <si>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</si>
  <si>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CWBSB-640</t>
  </si>
  <si>
    <t>karthik.padumati@cwbank.com</t>
  </si>
  <si>
    <t>CWBSB-705</t>
  </si>
  <si>
    <t>UX/UI: Email-spacing issue on top and bottom edge, top bar length</t>
  </si>
  <si>
    <t>CWBSB-702</t>
  </si>
  <si>
    <t>UX/UI: Card Alignment display</t>
  </si>
  <si>
    <t>gem.adelaja@cwbank.com</t>
  </si>
  <si>
    <t>CWBSB-701</t>
  </si>
  <si>
    <t>UX/UI: Funding Page - Funding UI spacing</t>
  </si>
  <si>
    <t>CWBSB-700</t>
  </si>
  <si>
    <t>UX/UI: Business Type Selection - Radio Button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</si>
  <si>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</si>
  <si>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</si>
  <si>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</si>
  <si>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</si>
  <si>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</si>
  <si>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</si>
  <si>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</si>
  <si>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</si>
  <si>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</si>
  <si>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</si>
  <si>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</si>
  <si>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â€“U/X  Mobile â€“ Authorized Signer â€“ Submission Complete and Cancel - Footer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</si>
  <si>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</si>
  <si>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</si>
  <si>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</si>
  <si>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</si>
  <si>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</si>
  <si>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</si>
  <si>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CWBSB-722</t>
  </si>
  <si>
    <t>SBDCO â€“ Mobile â€“ Non-signing owners - The inline help and icon are displayed off screen</t>
  </si>
  <si>
    <t>CWBSB-727</t>
  </si>
  <si>
    <t>SBDCO â€“ Mobile â€“ Authorised Signer eConsent â€“ No error message header displayed</t>
  </si>
  <si>
    <t>CWBSB-726</t>
  </si>
  <si>
    <t>SBDCO - The Back button on a mobile browser causes the application to be lost</t>
  </si>
  <si>
    <t>CWBSB-724</t>
  </si>
  <si>
    <t>SBDCO - Applicant - Your Business Page - Use this as my business mailing address radio button group should be mandatory</t>
  </si>
  <si>
    <t>smatharu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</si>
  <si>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</si>
  <si>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</si>
  <si>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</si>
  <si>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</si>
  <si>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</si>
  <si>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</si>
  <si>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</si>
  <si>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</si>
  <si>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</si>
  <si>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</si>
  <si>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</si>
  <si>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</si>
  <si>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Failed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</si>
  <si>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</si>
  <si>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</si>
  <si>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</si>
  <si>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</si>
  <si>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</si>
  <si>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</si>
  <si>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</si>
  <si>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</si>
  <si>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</si>
  <si>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</si>
  <si>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</si>
  <si>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</si>
  <si>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CWBSB-814</t>
  </si>
  <si>
    <t>SBDCO -  Business Account Options - Desktop and Mobile - -Display of inline help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</si>
  <si>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</si>
  <si>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</si>
  <si>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</si>
  <si>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</si>
  <si>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</si>
  <si>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</si>
  <si>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CWBSB-828</t>
  </si>
  <si>
    <t>SBDCO - Owners and Directors Page - Issue on resizing the page</t>
  </si>
  <si>
    <t>CWBSB-839</t>
  </si>
  <si>
    <t>SBDCO - Business Account Options - UX/UI - Section (accordion with Open all/Close all) is missing</t>
  </si>
  <si>
    <t>kendyl.bachelor</t>
  </si>
  <si>
    <t>CWBSB-852</t>
  </si>
  <si>
    <t>SBDCO â€“ Performance â€“ More About Your Business â€“ selecting from the Industry dropdowns is slow</t>
  </si>
  <si>
    <t>CWBSB-851</t>
  </si>
  <si>
    <t>SBDCO-Choose your account(s) page-2 scroll bars are displayed in the page</t>
  </si>
  <si>
    <t>Venkata.Cherukuri@cwbank.com</t>
  </si>
  <si>
    <t>CWBSB-849</t>
  </si>
  <si>
    <t>SBDCO - Account Selection â€“ Displays Monthly Free Transactions when value = 0, should not</t>
  </si>
  <si>
    <t>CWBSB-848</t>
  </si>
  <si>
    <t xml:space="preserve">SBDCO - Submission Complete Model - Alignment is not appropriate 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</si>
  <si>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</si>
  <si>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</si>
  <si>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</si>
  <si>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</si>
  <si>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</si>
  <si>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</si>
  <si>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CWBSB-867</t>
  </si>
  <si>
    <t>SBDCO â€“ Owners,Directors,Signers â€“ Email address validation not as per FS when characters entered</t>
  </si>
  <si>
    <t>Low</t>
  </si>
  <si>
    <t>CWBSB-872</t>
  </si>
  <si>
    <t>SBDCO â€“ Owners, Directors, Signers â€“ 100% Ownership â€“ Non-signing Owners page is displayed, should not be</t>
  </si>
  <si>
    <t>CWBSB-871</t>
  </si>
  <si>
    <t>SBDCO â€“ Owners, Directors, Signers â€“ Validation message for % Ownership field not as per FS 2.8</t>
  </si>
  <si>
    <t>CWBSB-878</t>
  </si>
  <si>
    <t>SBDCO -  Samsung Tab S6 Lite - Portrait - Multiple issues on multiple pages</t>
  </si>
  <si>
    <t>llaurent</t>
  </si>
  <si>
    <t>Project Name:  Digital Program - Small Biz DCO - SIT Phase - Sprint 12</t>
  </si>
  <si>
    <t>Test Execution for Sprint 12</t>
  </si>
  <si>
    <t>Sprint Report - Sprint 12</t>
  </si>
  <si>
    <t>Sprint 12 - Started Apr 28 - to complete May 11</t>
  </si>
  <si>
    <t>rcurran</t>
  </si>
  <si>
    <t>Defects logged from Sprint 12</t>
  </si>
  <si>
    <t>CWBSB-923</t>
  </si>
  <si>
    <t>SBDCO - What you've Selected Page: Quantity number is missing inside the product card</t>
  </si>
  <si>
    <t>Sanju.Bhandoria@cwbank.com</t>
  </si>
  <si>
    <t>CWBSB-922</t>
  </si>
  <si>
    <t>SBDCO - Account Options - Extra text on page but not in FS</t>
  </si>
  <si>
    <t>CWBSB-918</t>
  </si>
  <si>
    <t>SBDCO - Account Selection -  Back button is not displayed</t>
  </si>
  <si>
    <t>Defects</t>
  </si>
  <si>
    <t>CWBSB-928</t>
  </si>
  <si>
    <t>SBDCO - Application Approval - No PAN is displayed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</si>
  <si>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</si>
  <si>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</si>
  <si>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</si>
  <si>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</si>
  <si>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</si>
  <si>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</si>
  <si>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(65)</t>
    </r>
  </si>
  <si>
    <t>JIRA counts "Done" (56) and "In UAT" (9)  as resolved</t>
  </si>
  <si>
    <t>CWBSB-930</t>
  </si>
  <si>
    <t>About your Application- Product descriptions are missing when user clicked continue in the timeout modal popup</t>
  </si>
  <si>
    <t>CWBSB-929</t>
  </si>
  <si>
    <t>SBDCO - Applicant - Page freezes once a GP is on Business Disclosures and Signature Page</t>
  </si>
  <si>
    <t>dpoole</t>
  </si>
  <si>
    <t>Total Tests Cases Developed</t>
  </si>
  <si>
    <t>none closed today</t>
  </si>
  <si>
    <t>CWBSB-935</t>
  </si>
  <si>
    <t>SBDCO - Email - Cancel - Authorized Signer initiates - The link for here is not the same color as applicant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</si>
  <si>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</si>
  <si>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</si>
  <si>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</si>
  <si>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</si>
  <si>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10 of test execution -</t>
    </r>
    <r>
      <rPr>
        <b/>
        <sz val="11"/>
        <rFont val="Calibri"/>
        <family val="2"/>
        <scheme val="minor"/>
      </rPr>
      <t xml:space="preserve"> 99.8%  complete</t>
    </r>
    <r>
      <rPr>
        <sz val="11"/>
        <rFont val="Calibri"/>
        <family val="2"/>
        <scheme val="minor"/>
      </rPr>
      <t xml:space="preserve">
2. Sprint 12 package includes:
     a. 18 stories: 9 will be validated, 3 delivered with known issues, 6 will be validated during E2E
     b. 3 change requests
     c.  2 defect fixes – for defects logged by CWB QA Team
     d. 8 defects fixes – for defects logged by Temenos (excluded from CWB testing)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</si>
  <si>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As of May 11, 2021</t>
  </si>
  <si>
    <t>Status of Defects logged by CWB QA Team - as of May 11, 2021</t>
  </si>
  <si>
    <t>Summary of Outstanding Defects - logged by CWB QA Team - as of May 11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</si>
  <si>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(127)</t>
    </r>
  </si>
  <si>
    <t>= 127 created defects - 56 defects in "done" status</t>
  </si>
  <si>
    <t>CWBSB-944</t>
  </si>
  <si>
    <t>SBDCO - Method Selection page - MAC Safari - Overlapping between Motive Financial Image and Text</t>
  </si>
  <si>
    <t>In Test</t>
  </si>
  <si>
    <t>1 logged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</si>
</sst>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51" fillId="0" borderId="0"/>
    <xf numFmtId="0" fontId="49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45">
    <xf numFmtId="0" fontId="0" fillId="0" borderId="0" xfId="0"/>
    <xf numFmtId="0" fontId="0" fillId="0" borderId="0" xfId="0" applyAlignment="1">
      <alignment vertical="top"/>
    </xf>
    <xf numFmtId="0" fontId="64" fillId="0" borderId="0" xfId="0" applyFont="1"/>
    <xf numFmtId="0" fontId="0" fillId="0" borderId="0" xfId="0" applyAlignment="1">
      <alignment vertical="center"/>
    </xf>
    <xf numFmtId="0" fontId="57" fillId="4" borderId="0" xfId="0" applyFont="1" applyFill="1"/>
    <xf numFmtId="0" fontId="0" fillId="4" borderId="0" xfId="0" applyFill="1"/>
    <xf numFmtId="0" fontId="55" fillId="4" borderId="0" xfId="0" quotePrefix="1" applyFont="1" applyFill="1"/>
    <xf numFmtId="0" fontId="50" fillId="4" borderId="0" xfId="0" applyFont="1" applyFill="1" applyAlignment="1">
      <alignment horizontal="left" vertical="top"/>
    </xf>
    <xf numFmtId="0" fontId="63" fillId="4" borderId="0" xfId="0" applyFont="1" applyFill="1"/>
    <xf numFmtId="0" fontId="61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57" fillId="4" borderId="0" xfId="0" applyNumberFormat="1" applyFont="1" applyFill="1" applyBorder="1" applyAlignment="1">
      <alignment horizontal="left"/>
    </xf>
    <xf numFmtId="0" fontId="52" fillId="4" borderId="0" xfId="0" applyFont="1" applyFill="1" applyBorder="1" applyAlignment="1">
      <alignment horizontal="center"/>
    </xf>
    <xf numFmtId="0" fontId="64" fillId="4" borderId="0" xfId="0" applyFont="1" applyFill="1" applyBorder="1" applyAlignment="1">
      <alignment horizontal="center"/>
    </xf>
    <xf numFmtId="0" fontId="0" fillId="4" borderId="0" xfId="0" applyFill="1" applyBorder="1"/>
    <xf numFmtId="0" fontId="64" fillId="4" borderId="0" xfId="0" applyFont="1" applyFill="1" applyBorder="1"/>
    <xf numFmtId="0" fontId="54" fillId="4" borderId="0" xfId="0" applyFont="1" applyFill="1" applyBorder="1" applyAlignment="1">
      <alignment horizontal="center" vertical="center"/>
    </xf>
    <xf numFmtId="0" fontId="57" fillId="4" borderId="0" xfId="0" applyFont="1" applyFill="1" applyBorder="1" applyAlignment="1">
      <alignment horizontal="left" vertical="top"/>
    </xf>
    <xf numFmtId="0" fontId="64" fillId="4" borderId="0" xfId="0" applyFont="1" applyFill="1"/>
    <xf numFmtId="0" fontId="52" fillId="4" borderId="5" xfId="0" applyFont="1" applyFill="1" applyBorder="1" applyAlignment="1">
      <alignment horizontal="left" vertical="top"/>
    </xf>
    <xf numFmtId="0" fontId="52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63" fillId="4" borderId="0" xfId="0" applyFont="1" applyFill="1" applyAlignment="1">
      <alignment vertical="top" wrapText="1"/>
    </xf>
    <xf numFmtId="0" fontId="61" fillId="4" borderId="0" xfId="0" applyFont="1" applyFill="1" applyAlignment="1">
      <alignment horizontal="right"/>
    </xf>
    <xf numFmtId="0" fontId="62" fillId="4" borderId="0" xfId="0" applyFont="1" applyFill="1" applyAlignment="1">
      <alignment horizontal="left"/>
    </xf>
    <xf numFmtId="0" fontId="61" fillId="4" borderId="0" xfId="0" applyFont="1" applyFill="1" applyAlignment="1">
      <alignment horizontal="right" vertical="top"/>
    </xf>
    <xf numFmtId="0" fontId="46" fillId="0" borderId="0" xfId="8" applyAlignment="1">
      <alignment horizontal="left" vertical="top"/>
    </xf>
    <xf numFmtId="0" fontId="46" fillId="0" borderId="0" xfId="8" applyAlignment="1">
      <alignment horizontal="left" vertical="top" wrapText="1"/>
    </xf>
    <xf numFmtId="0" fontId="46" fillId="0" borderId="0" xfId="8" applyFill="1" applyAlignment="1">
      <alignment horizontal="left" vertical="top"/>
    </xf>
    <xf numFmtId="0" fontId="60" fillId="0" borderId="1" xfId="8" applyFont="1" applyBorder="1" applyAlignment="1">
      <alignment horizontal="center" vertical="center"/>
    </xf>
    <xf numFmtId="0" fontId="60" fillId="5" borderId="1" xfId="8" applyFont="1" applyFill="1" applyBorder="1" applyAlignment="1">
      <alignment horizontal="center" vertical="center"/>
    </xf>
    <xf numFmtId="0" fontId="60" fillId="5" borderId="1" xfId="8" applyFont="1" applyFill="1" applyBorder="1" applyAlignment="1">
      <alignment horizontal="center" vertical="center" wrapText="1"/>
    </xf>
    <xf numFmtId="0" fontId="60" fillId="0" borderId="0" xfId="8" applyFont="1" applyAlignment="1">
      <alignment horizontal="center" vertical="center"/>
    </xf>
    <xf numFmtId="0" fontId="0" fillId="4" borderId="0" xfId="0" quotePrefix="1" applyFill="1"/>
    <xf numFmtId="0" fontId="52" fillId="4" borderId="0" xfId="0" applyFont="1" applyFill="1" applyAlignment="1">
      <alignment horizontal="left" vertical="top" wrapText="1"/>
    </xf>
    <xf numFmtId="0" fontId="52" fillId="4" borderId="0" xfId="0" applyFont="1" applyFill="1"/>
    <xf numFmtId="0" fontId="62" fillId="4" borderId="0" xfId="0" applyFont="1" applyFill="1" applyAlignment="1">
      <alignment horizontal="left" vertical="top" wrapText="1"/>
    </xf>
    <xf numFmtId="0" fontId="46" fillId="0" borderId="0" xfId="8" applyAlignment="1">
      <alignment horizontal="center" vertical="center"/>
    </xf>
    <xf numFmtId="0" fontId="57" fillId="0" borderId="0" xfId="7" applyFont="1" applyFill="1" applyBorder="1" applyAlignment="1">
      <alignment horizontal="left" vertical="top"/>
    </xf>
    <xf numFmtId="0" fontId="56" fillId="4" borderId="0" xfId="0" applyFont="1" applyFill="1" applyBorder="1" applyAlignment="1">
      <alignment vertical="top" wrapText="1"/>
    </xf>
    <xf numFmtId="0" fontId="53" fillId="4" borderId="0" xfId="0" applyFont="1" applyFill="1" applyBorder="1" applyAlignment="1">
      <alignment horizontal="left" vertical="center"/>
    </xf>
    <xf numFmtId="0" fontId="61" fillId="4" borderId="0" xfId="0" quotePrefix="1" applyFont="1" applyFill="1" applyAlignment="1">
      <alignment vertical="top" wrapText="1"/>
    </xf>
    <xf numFmtId="0" fontId="52" fillId="4" borderId="5" xfId="0" applyFont="1" applyFill="1" applyBorder="1" applyAlignment="1">
      <alignment horizontal="left" vertical="top"/>
    </xf>
    <xf numFmtId="0" fontId="52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63" fillId="0" borderId="0" xfId="0" applyFont="1" applyFill="1"/>
    <xf numFmtId="0" fontId="0" fillId="0" borderId="0" xfId="0" applyFill="1"/>
    <xf numFmtId="0" fontId="52" fillId="0" borderId="0" xfId="0" applyFont="1" applyFill="1" applyAlignment="1"/>
    <xf numFmtId="164" fontId="70" fillId="0" borderId="18" xfId="0" applyNumberFormat="1" applyFont="1" applyBorder="1" applyAlignment="1">
      <alignment horizontal="center" vertical="center"/>
    </xf>
    <xf numFmtId="0" fontId="69" fillId="4" borderId="0" xfId="0" applyFont="1" applyFill="1" applyAlignment="1">
      <alignment horizontal="left" vertical="center" indent="8"/>
    </xf>
    <xf numFmtId="0" fontId="72" fillId="4" borderId="17" xfId="0" applyFont="1" applyFill="1" applyBorder="1" applyAlignment="1">
      <alignment horizontal="left" vertical="top"/>
    </xf>
    <xf numFmtId="0" fontId="73" fillId="4" borderId="1" xfId="0" applyFont="1" applyFill="1" applyBorder="1" applyAlignment="1">
      <alignment horizontal="center" vertical="center"/>
    </xf>
    <xf numFmtId="0" fontId="73" fillId="4" borderId="18" xfId="0" applyFont="1" applyFill="1" applyBorder="1"/>
    <xf numFmtId="0" fontId="72" fillId="4" borderId="20" xfId="0" applyFont="1" applyFill="1" applyBorder="1" applyAlignment="1">
      <alignment horizontal="left" vertical="top"/>
    </xf>
    <xf numFmtId="0" fontId="73" fillId="4" borderId="22" xfId="0" applyFont="1" applyFill="1" applyBorder="1"/>
    <xf numFmtId="0" fontId="72" fillId="4" borderId="0" xfId="0" applyFont="1" applyFill="1" applyBorder="1" applyAlignment="1">
      <alignment horizontal="center"/>
    </xf>
    <xf numFmtId="0" fontId="72" fillId="4" borderId="0" xfId="0" applyFont="1" applyFill="1" applyBorder="1" applyAlignment="1">
      <alignment horizontal="center" vertical="center"/>
    </xf>
    <xf numFmtId="0" fontId="73" fillId="4" borderId="0" xfId="0" applyFont="1" applyFill="1" applyBorder="1"/>
    <xf numFmtId="0" fontId="72" fillId="4" borderId="23" xfId="0" applyFont="1" applyFill="1" applyBorder="1" applyAlignment="1">
      <alignment horizontal="left" vertical="top"/>
    </xf>
    <xf numFmtId="0" fontId="72" fillId="4" borderId="24" xfId="0" applyFont="1" applyFill="1" applyBorder="1" applyAlignment="1">
      <alignment horizontal="center" vertical="center" wrapText="1"/>
    </xf>
    <xf numFmtId="0" fontId="72" fillId="4" borderId="2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wrapText="1"/>
    </xf>
    <xf numFmtId="0" fontId="72" fillId="4" borderId="0" xfId="0" applyFont="1" applyFill="1" applyBorder="1" applyAlignment="1">
      <alignment horizontal="left" vertical="top"/>
    </xf>
    <xf numFmtId="0" fontId="73" fillId="4" borderId="0" xfId="0" applyFont="1" applyFill="1" applyAlignment="1">
      <alignment vertical="center"/>
    </xf>
    <xf numFmtId="0" fontId="73" fillId="4" borderId="0" xfId="0" applyFont="1" applyFill="1" applyAlignment="1">
      <alignment vertical="top"/>
    </xf>
    <xf numFmtId="0" fontId="73" fillId="4" borderId="0" xfId="0" applyFont="1" applyFill="1"/>
    <xf numFmtId="0" fontId="73" fillId="4" borderId="1" xfId="0" applyFont="1" applyFill="1" applyBorder="1"/>
    <xf numFmtId="164" fontId="74" fillId="4" borderId="18" xfId="0" applyNumberFormat="1" applyFont="1" applyFill="1" applyBorder="1" applyAlignment="1">
      <alignment horizontal="center" vertical="center"/>
    </xf>
    <xf numFmtId="1" fontId="74" fillId="4" borderId="2" xfId="0" quotePrefix="1" applyNumberFormat="1" applyFont="1" applyFill="1" applyBorder="1" applyAlignment="1">
      <alignment horizontal="center" vertical="center"/>
    </xf>
    <xf numFmtId="0" fontId="72" fillId="4" borderId="17" xfId="0" applyFont="1" applyFill="1" applyBorder="1" applyAlignment="1"/>
    <xf numFmtId="1" fontId="72" fillId="4" borderId="1" xfId="0" applyNumberFormat="1" applyFont="1" applyFill="1" applyBorder="1" applyAlignment="1">
      <alignment horizontal="center" vertical="center"/>
    </xf>
    <xf numFmtId="0" fontId="73" fillId="4" borderId="19" xfId="0" applyFont="1" applyFill="1" applyBorder="1"/>
    <xf numFmtId="1" fontId="73" fillId="4" borderId="2" xfId="0" applyNumberFormat="1" applyFont="1" applyFill="1" applyBorder="1" applyAlignment="1">
      <alignment horizontal="center" vertical="center"/>
    </xf>
    <xf numFmtId="164" fontId="73" fillId="4" borderId="18" xfId="0" applyNumberFormat="1" applyFont="1" applyFill="1" applyBorder="1" applyAlignment="1">
      <alignment horizontal="center" vertical="center"/>
    </xf>
    <xf numFmtId="0" fontId="73" fillId="4" borderId="20" xfId="0" applyFont="1" applyFill="1" applyBorder="1"/>
    <xf numFmtId="1" fontId="73" fillId="4" borderId="21" xfId="0" applyNumberFormat="1" applyFont="1" applyFill="1" applyBorder="1" applyAlignment="1">
      <alignment horizontal="center" vertical="center"/>
    </xf>
    <xf numFmtId="0" fontId="73" fillId="4" borderId="21" xfId="0" applyFont="1" applyFill="1" applyBorder="1"/>
    <xf numFmtId="164" fontId="73" fillId="4" borderId="22" xfId="0" applyNumberFormat="1" applyFont="1" applyFill="1" applyBorder="1" applyAlignment="1">
      <alignment horizontal="center" vertical="center"/>
    </xf>
    <xf numFmtId="164" fontId="73" fillId="4" borderId="0" xfId="0" applyNumberFormat="1" applyFont="1" applyFill="1" applyBorder="1" applyAlignment="1">
      <alignment horizontal="center" vertical="center"/>
    </xf>
    <xf numFmtId="164" fontId="74" fillId="4" borderId="0" xfId="0" applyNumberFormat="1" applyFont="1" applyFill="1" applyBorder="1" applyAlignment="1">
      <alignment horizontal="center" vertical="center"/>
    </xf>
    <xf numFmtId="0" fontId="75" fillId="4" borderId="0" xfId="0" applyFont="1" applyFill="1" applyBorder="1" applyAlignment="1">
      <alignment horizontal="left" vertical="center"/>
    </xf>
    <xf numFmtId="0" fontId="73" fillId="0" borderId="1" xfId="0" applyFont="1" applyBorder="1"/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1" fillId="0" borderId="1" xfId="0" quotePrefix="1" applyFont="1" applyBorder="1" applyAlignment="1">
      <alignment horizontal="center" vertical="top"/>
    </xf>
    <xf numFmtId="1" fontId="73" fillId="0" borderId="1" xfId="0" applyNumberFormat="1" applyFont="1" applyBorder="1" applyAlignment="1">
      <alignment horizontal="center" vertical="center"/>
    </xf>
    <xf numFmtId="1" fontId="70" fillId="0" borderId="1" xfId="0" quotePrefix="1" applyNumberFormat="1" applyFont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 vertical="center"/>
    </xf>
    <xf numFmtId="0" fontId="73" fillId="0" borderId="17" xfId="0" applyFont="1" applyBorder="1" applyAlignment="1"/>
    <xf numFmtId="0" fontId="73" fillId="0" borderId="17" xfId="0" applyFont="1" applyBorder="1"/>
    <xf numFmtId="164" fontId="73" fillId="0" borderId="18" xfId="0" applyNumberFormat="1" applyFont="1" applyBorder="1" applyAlignment="1">
      <alignment horizontal="center" vertical="center"/>
    </xf>
    <xf numFmtId="0" fontId="73" fillId="0" borderId="17" xfId="0" applyFont="1" applyFill="1" applyBorder="1"/>
    <xf numFmtId="0" fontId="73" fillId="0" borderId="17" xfId="0" applyFont="1" applyBorder="1" applyAlignment="1">
      <alignment horizontal="left" vertical="center"/>
    </xf>
    <xf numFmtId="0" fontId="73" fillId="0" borderId="18" xfId="0" applyFont="1" applyFill="1" applyBorder="1" applyAlignment="1">
      <alignment horizontal="center" vertical="center"/>
    </xf>
    <xf numFmtId="0" fontId="73" fillId="0" borderId="17" xfId="0" applyFont="1" applyBorder="1" applyAlignment="1">
      <alignment horizontal="right" vertical="center"/>
    </xf>
    <xf numFmtId="0" fontId="73" fillId="0" borderId="18" xfId="0" applyFont="1" applyFill="1" applyBorder="1" applyAlignment="1"/>
    <xf numFmtId="0" fontId="73" fillId="0" borderId="20" xfId="0" applyFont="1" applyBorder="1" applyAlignment="1">
      <alignment horizontal="right" vertical="center"/>
    </xf>
    <xf numFmtId="0" fontId="71" fillId="4" borderId="21" xfId="0" applyFont="1" applyFill="1" applyBorder="1" applyAlignment="1">
      <alignment horizontal="center" vertical="center"/>
    </xf>
    <xf numFmtId="16" fontId="57" fillId="4" borderId="0" xfId="0" applyNumberFormat="1" applyFont="1" applyFill="1" applyBorder="1" applyAlignment="1">
      <alignment horizontal="left" vertical="top"/>
    </xf>
    <xf numFmtId="0" fontId="76" fillId="4" borderId="2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0" borderId="0" xfId="52" applyAlignment="1">
      <alignment horizontal="left" vertical="top"/>
    </xf>
    <xf numFmtId="0" fontId="2" fillId="0" borderId="0" xfId="52" applyAlignment="1">
      <alignment horizontal="left" vertical="top" wrapText="1"/>
    </xf>
    <xf numFmtId="0" fontId="2" fillId="0" borderId="1" xfId="52" applyBorder="1" applyAlignment="1">
      <alignment horizontal="center" vertical="center"/>
    </xf>
    <xf numFmtId="0" fontId="2" fillId="0" borderId="1" xfId="52" applyBorder="1" applyAlignment="1">
      <alignment horizontal="left" vertical="top"/>
    </xf>
    <xf numFmtId="0" fontId="2" fillId="0" borderId="1" xfId="52" applyBorder="1" applyAlignment="1">
      <alignment horizontal="left" vertical="top" wrapText="1"/>
    </xf>
    <xf numFmtId="22" fontId="2" fillId="0" borderId="1" xfId="52" applyNumberFormat="1" applyBorder="1" applyAlignment="1">
      <alignment horizontal="left" vertical="top"/>
    </xf>
    <xf numFmtId="0" fontId="56" fillId="3" borderId="8" xfId="0" applyFont="1" applyFill="1" applyBorder="1" applyAlignment="1">
      <alignment horizontal="left" vertical="top" wrapText="1"/>
    </xf>
    <xf numFmtId="0" fontId="56" fillId="3" borderId="9" xfId="0" applyFont="1" applyFill="1" applyBorder="1" applyAlignment="1">
      <alignment horizontal="left" vertical="top" wrapText="1"/>
    </xf>
    <xf numFmtId="0" fontId="56" fillId="3" borderId="10" xfId="0" applyFont="1" applyFill="1" applyBorder="1" applyAlignment="1">
      <alignment horizontal="left" vertical="top" wrapText="1"/>
    </xf>
    <xf numFmtId="0" fontId="56" fillId="3" borderId="11" xfId="0" applyFont="1" applyFill="1" applyBorder="1" applyAlignment="1">
      <alignment horizontal="left" vertical="top" wrapText="1"/>
    </xf>
    <xf numFmtId="0" fontId="56" fillId="3" borderId="0" xfId="0" applyFont="1" applyFill="1" applyBorder="1" applyAlignment="1">
      <alignment horizontal="left" vertical="top" wrapText="1"/>
    </xf>
    <xf numFmtId="0" fontId="56" fillId="3" borderId="12" xfId="0" applyFont="1" applyFill="1" applyBorder="1" applyAlignment="1">
      <alignment horizontal="left" vertical="top" wrapText="1"/>
    </xf>
    <xf numFmtId="0" fontId="56" fillId="3" borderId="4" xfId="0" applyFont="1" applyFill="1" applyBorder="1" applyAlignment="1">
      <alignment horizontal="left" vertical="top" wrapText="1"/>
    </xf>
    <xf numFmtId="0" fontId="56" fillId="3" borderId="13" xfId="0" applyFont="1" applyFill="1" applyBorder="1" applyAlignment="1">
      <alignment horizontal="left" vertical="top" wrapText="1"/>
    </xf>
    <xf numFmtId="0" fontId="56" fillId="3" borderId="3" xfId="0" applyFont="1" applyFill="1" applyBorder="1" applyAlignment="1">
      <alignment horizontal="left" vertical="top" wrapText="1"/>
    </xf>
    <xf numFmtId="0" fontId="54" fillId="2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/>
    </xf>
    <xf numFmtId="0" fontId="75" fillId="0" borderId="14" xfId="0" applyFont="1" applyFill="1" applyBorder="1" applyAlignment="1">
      <alignment horizontal="center" vertical="center"/>
    </xf>
    <xf numFmtId="0" fontId="75" fillId="0" borderId="15" xfId="0" applyFont="1" applyFill="1" applyBorder="1" applyAlignment="1">
      <alignment horizontal="center" vertical="center"/>
    </xf>
    <xf numFmtId="0" fontId="75" fillId="0" borderId="16" xfId="0" applyFont="1" applyFill="1" applyBorder="1" applyAlignment="1">
      <alignment horizontal="center" vertical="center"/>
    </xf>
    <xf numFmtId="0" fontId="73" fillId="0" borderId="0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0" fontId="73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52" fillId="4" borderId="5" xfId="0" applyFont="1" applyFill="1" applyBorder="1" applyAlignment="1">
      <alignment horizontal="left" vertical="top"/>
    </xf>
    <xf numFmtId="0" fontId="52" fillId="4" borderId="7" xfId="0" applyFont="1" applyFill="1" applyBorder="1" applyAlignment="1">
      <alignment horizontal="left" vertical="top"/>
    </xf>
    <xf numFmtId="0" fontId="60" fillId="5" borderId="2" xfId="8" applyFont="1" applyFill="1" applyBorder="1" applyAlignment="1">
      <alignment horizontal="center" vertical="top"/>
    </xf>
    <xf numFmtId="0" fontId="72" fillId="4" borderId="1" xfId="0" applyFont="1" applyFill="1" applyBorder="1" applyAlignment="1">
      <alignment horizontal="center"/>
    </xf>
    <xf numFmtId="0" fontId="72" fillId="4" borderId="18" xfId="0" applyFont="1" applyFill="1" applyBorder="1" applyAlignment="1">
      <alignment horizontal="center"/>
    </xf>
    <xf numFmtId="0" fontId="72" fillId="4" borderId="14" xfId="0" applyFont="1" applyFill="1" applyBorder="1" applyAlignment="1">
      <alignment horizontal="center"/>
    </xf>
    <xf numFmtId="0" fontId="72" fillId="4" borderId="15" xfId="0" applyFont="1" applyFill="1" applyBorder="1" applyAlignment="1">
      <alignment horizontal="center"/>
    </xf>
    <xf numFmtId="0" fontId="72" fillId="4" borderId="16" xfId="0" applyFont="1" applyFill="1" applyBorder="1" applyAlignment="1">
      <alignment horizontal="center"/>
    </xf>
    <xf numFmtId="0" fontId="72" fillId="4" borderId="26" xfId="0" applyFont="1" applyFill="1" applyBorder="1" applyAlignment="1">
      <alignment horizontal="center"/>
    </xf>
    <xf numFmtId="0" fontId="72" fillId="4" borderId="27" xfId="0" applyFont="1" applyFill="1" applyBorder="1" applyAlignment="1">
      <alignment horizontal="center"/>
    </xf>
    <xf numFmtId="0" fontId="72" fillId="4" borderId="28" xfId="0" applyFont="1" applyFill="1" applyBorder="1" applyAlignment="1">
      <alignment horizontal="center"/>
    </xf>
  </cellXfs>
  <cellStyles count="53">
    <cellStyle name="Normal" xfId="0" builtinId="0"/>
    <cellStyle name="Normal 10" xfId="14" xr:uid="{00000000-0005-0000-0000-000001000000}"/>
    <cellStyle name="Normal 11" xfId="15" xr:uid="{00000000-0005-0000-0000-000002000000}"/>
    <cellStyle name="Normal 12" xfId="16" xr:uid="{00000000-0005-0000-0000-000003000000}"/>
    <cellStyle name="Normal 13" xfId="17" xr:uid="{00000000-0005-0000-0000-000004000000}"/>
    <cellStyle name="Normal 14" xfId="18" xr:uid="{00000000-0005-0000-0000-000005000000}"/>
    <cellStyle name="Normal 15" xfId="19" xr:uid="{00000000-0005-0000-0000-000006000000}"/>
    <cellStyle name="Normal 16" xfId="20" xr:uid="{00000000-0005-0000-0000-000007000000}"/>
    <cellStyle name="Normal 17" xfId="21" xr:uid="{00000000-0005-0000-0000-000008000000}"/>
    <cellStyle name="Normal 18" xfId="22" xr:uid="{00000000-0005-0000-0000-000009000000}"/>
    <cellStyle name="Normal 19" xfId="23" xr:uid="{00000000-0005-0000-0000-00000A000000}"/>
    <cellStyle name="Normal 2" xfId="1" xr:uid="{00000000-0005-0000-0000-00000B000000}"/>
    <cellStyle name="Normal 20" xfId="24" xr:uid="{00000000-0005-0000-0000-00000C000000}"/>
    <cellStyle name="Normal 21" xfId="25" xr:uid="{00000000-0005-0000-0000-00000D000000}"/>
    <cellStyle name="Normal 22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0" xfId="34" xr:uid="{00000000-0005-0000-0000-00001A000000}"/>
    <cellStyle name="Normal 31" xfId="35" xr:uid="{00000000-0005-0000-0000-00001B000000}"/>
    <cellStyle name="Normal 32" xfId="36" xr:uid="{00000000-0005-0000-0000-00001C000000}"/>
    <cellStyle name="Normal 33" xfId="37" xr:uid="{00000000-0005-0000-0000-00001D000000}"/>
    <cellStyle name="Normal 34" xfId="38" xr:uid="{00000000-0005-0000-0000-00001E000000}"/>
    <cellStyle name="Normal 35" xfId="39" xr:uid="{00000000-0005-0000-0000-00001F000000}"/>
    <cellStyle name="Normal 36" xfId="40" xr:uid="{00000000-0005-0000-0000-000020000000}"/>
    <cellStyle name="Normal 37" xfId="41" xr:uid="{00000000-0005-0000-0000-000021000000}"/>
    <cellStyle name="Normal 38" xfId="42" xr:uid="{00000000-0005-0000-0000-000022000000}"/>
    <cellStyle name="Normal 39" xfId="43" xr:uid="{00000000-0005-0000-0000-000023000000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0" xfId="44" xr:uid="{00000000-0005-0000-0000-000027000000}"/>
    <cellStyle name="Normal 41" xfId="45" xr:uid="{00000000-0005-0000-0000-000028000000}"/>
    <cellStyle name="Normal 42" xfId="46" xr:uid="{2103B674-6EF2-4382-8935-517A04496B30}"/>
    <cellStyle name="Normal 43" xfId="47" xr:uid="{EB1F1ECA-7016-406C-9C9A-6F4D74812E56}"/>
    <cellStyle name="Normal 44" xfId="48" xr:uid="{327B0BFF-8D10-40AE-B6E8-84A8E5194761}"/>
    <cellStyle name="Normal 45" xfId="49" xr:uid="{719062FF-8835-4835-A7A6-4D0FBCBD12A8}"/>
    <cellStyle name="Normal 46" xfId="50" xr:uid="{D6AC1990-E346-4935-BC10-DD41D5463DF8}"/>
    <cellStyle name="Normal 47" xfId="51" xr:uid="{0F802213-C082-4D2F-87CA-7EE776A1E30D}"/>
    <cellStyle name="Normal 48" xfId="52" xr:uid="{28108449-A60B-4928-AF4F-CD47B5BF8A0F}"/>
    <cellStyle name="Normal 5" xfId="9" xr:uid="{00000000-0005-0000-0000-000029000000}"/>
    <cellStyle name="Normal 6" xfId="10" xr:uid="{00000000-0005-0000-0000-00002A000000}"/>
    <cellStyle name="Normal 7" xfId="11" xr:uid="{00000000-0005-0000-0000-00002B000000}"/>
    <cellStyle name="Normal 8" xfId="12" xr:uid="{00000000-0005-0000-0000-00002C000000}"/>
    <cellStyle name="Normal 9" xfId="13" xr:uid="{00000000-0005-0000-0000-00002D000000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561975</xdr:colOff>
      <xdr:row>7</xdr:row>
      <xdr:rowOff>9525</xdr:rowOff>
    </xdr:from>
    <xdr:to>
      <xdr:col>8</xdr:col>
      <xdr:colOff>228327</xdr:colOff>
      <xdr:row>16</xdr:row>
      <xdr:rowOff>104452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FF31F-D003-4B65-B2D7-1C723728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1362075"/>
          <a:ext cx="2180952" cy="2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3</xdr:row>
      <xdr:rowOff>180975</xdr:rowOff>
    </xdr:from>
    <xdr:to>
      <xdr:col>29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29</xdr:col>
      <xdr:colOff>0</xdr:colOff>
      <xdr:row>4</xdr:row>
      <xdr:rowOff>171450</xdr:rowOff>
    </xdr:from>
    <xdr:to>
      <xdr:col>29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76200</xdr:colOff>
      <xdr:row>3</xdr:row>
      <xdr:rowOff>85725</xdr:rowOff>
    </xdr:from>
    <xdr:to>
      <xdr:col>11</xdr:col>
      <xdr:colOff>578053</xdr:colOff>
      <xdr:row>33</xdr:row>
      <xdr:rowOff>94359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7CD94F-71A6-40E5-A51F-7D9B38A00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00100"/>
          <a:ext cx="6721678" cy="6237984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3</xdr:row>
      <xdr:rowOff>123825</xdr:rowOff>
    </xdr:from>
    <xdr:to>
      <xdr:col>28</xdr:col>
      <xdr:colOff>18094</xdr:colOff>
      <xdr:row>35</xdr:row>
      <xdr:rowOff>94425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8F49C1-A695-46C6-AC53-669930E1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838200"/>
          <a:ext cx="7647619" cy="6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190167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zoomScaleNormal="100" workbookViewId="0">
      <selection activeCell="B1" sqref="B1:I1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21" t="s">
        <v>23</v>
      </c>
      <c r="C1" s="121"/>
      <c r="D1" s="121"/>
      <c r="E1" s="121"/>
      <c r="F1" s="121"/>
      <c r="G1" s="121"/>
      <c r="H1" s="121"/>
      <c r="I1" s="121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7"/>
      <c r="C2" s="17"/>
      <c r="D2" s="17"/>
      <c r="E2" s="17"/>
      <c r="F2" s="17"/>
      <c r="G2" s="17"/>
      <c r="H2" s="17"/>
      <c r="I2" s="17"/>
    </row>
    <row r="3" spans="1:21" ht="21.75" customHeight="1" x14ac:dyDescent="0.3">
      <c r="A3" s="5"/>
      <c r="B3" s="102" t="s">
        <v>250</v>
      </c>
      <c r="C3" s="12"/>
      <c r="D3" s="13"/>
      <c r="E3" s="14"/>
      <c r="F3" s="13"/>
      <c r="G3" s="13"/>
      <c r="H3" s="13"/>
      <c r="I3" s="13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8"/>
      <c r="C4" s="12"/>
      <c r="D4" s="13"/>
      <c r="E4" s="14"/>
      <c r="F4" s="13"/>
      <c r="G4" s="13"/>
      <c r="H4" s="13"/>
      <c r="I4" s="13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10"/>
      <c r="B5" s="122" t="s">
        <v>212</v>
      </c>
      <c r="C5" s="122"/>
      <c r="D5" s="122"/>
      <c r="E5" s="122"/>
      <c r="F5" s="122"/>
      <c r="G5" s="122"/>
      <c r="H5" s="122"/>
      <c r="I5" s="12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10" customFormat="1" ht="15" customHeight="1" x14ac:dyDescent="0.25">
      <c r="B6" s="41"/>
      <c r="C6" s="41"/>
      <c r="D6" s="41"/>
      <c r="E6" s="41"/>
      <c r="F6" s="41"/>
      <c r="G6" s="41"/>
      <c r="H6" s="41"/>
      <c r="I6" s="41"/>
    </row>
    <row r="7" spans="1:21" s="10" customFormat="1" ht="7.5" customHeight="1" thickBot="1" x14ac:dyDescent="0.3">
      <c r="A7" s="66"/>
      <c r="B7" s="83"/>
      <c r="C7" s="83"/>
      <c r="D7" s="83"/>
      <c r="E7" s="83"/>
      <c r="F7" s="83"/>
      <c r="G7" s="83"/>
      <c r="H7" s="83"/>
      <c r="I7" s="83"/>
    </row>
    <row r="8" spans="1:21" s="1" customFormat="1" ht="26.25" customHeight="1" x14ac:dyDescent="0.25">
      <c r="A8" s="67"/>
      <c r="B8" s="123" t="s">
        <v>213</v>
      </c>
      <c r="C8" s="124"/>
      <c r="D8" s="124"/>
      <c r="E8" s="125"/>
      <c r="F8" s="126"/>
      <c r="G8" s="126"/>
      <c r="H8" s="126"/>
      <c r="I8" s="126"/>
      <c r="J8" s="11"/>
      <c r="K8" s="112" t="s">
        <v>249</v>
      </c>
      <c r="L8" s="113"/>
      <c r="M8" s="113"/>
      <c r="N8" s="113"/>
      <c r="O8" s="113"/>
      <c r="P8" s="113"/>
      <c r="Q8" s="114"/>
      <c r="R8" s="11"/>
      <c r="S8" s="11"/>
      <c r="T8" s="11"/>
      <c r="U8" s="11"/>
    </row>
    <row r="9" spans="1:21" s="1" customFormat="1" ht="19.5" customHeight="1" x14ac:dyDescent="0.25">
      <c r="A9" s="67"/>
      <c r="B9" s="92" t="s">
        <v>241</v>
      </c>
      <c r="C9" s="89">
        <f>SUM(C10:C13)</f>
        <v>414</v>
      </c>
      <c r="D9" s="127" t="s">
        <v>10</v>
      </c>
      <c r="E9" s="128"/>
      <c r="F9" s="126"/>
      <c r="G9" s="126"/>
      <c r="H9" s="126"/>
      <c r="I9" s="126"/>
      <c r="J9" s="11"/>
      <c r="K9" s="115"/>
      <c r="L9" s="116"/>
      <c r="M9" s="116"/>
      <c r="N9" s="116"/>
      <c r="O9" s="116"/>
      <c r="P9" s="116"/>
      <c r="Q9" s="117"/>
      <c r="R9" s="11"/>
      <c r="S9" s="11"/>
      <c r="T9" s="11"/>
      <c r="U9" s="11"/>
    </row>
    <row r="10" spans="1:21" s="1" customFormat="1" ht="21.75" customHeight="1" x14ac:dyDescent="0.25">
      <c r="A10" s="67"/>
      <c r="B10" s="93" t="s">
        <v>1</v>
      </c>
      <c r="C10" s="89">
        <v>317</v>
      </c>
      <c r="D10" s="84" t="s">
        <v>4</v>
      </c>
      <c r="E10" s="94">
        <f>C10/C9*100</f>
        <v>76.570048309178745</v>
      </c>
      <c r="F10" s="126"/>
      <c r="G10" s="126"/>
      <c r="H10" s="126"/>
      <c r="I10" s="126"/>
      <c r="J10" s="11"/>
      <c r="K10" s="115"/>
      <c r="L10" s="116"/>
      <c r="M10" s="116"/>
      <c r="N10" s="116"/>
      <c r="O10" s="116"/>
      <c r="P10" s="116"/>
      <c r="Q10" s="117"/>
      <c r="R10" s="11"/>
      <c r="S10" s="11"/>
      <c r="T10" s="11"/>
      <c r="U10" s="11"/>
    </row>
    <row r="11" spans="1:21" ht="21.75" customHeight="1" x14ac:dyDescent="0.25">
      <c r="A11" s="68"/>
      <c r="B11" s="93" t="s">
        <v>2</v>
      </c>
      <c r="C11" s="90">
        <v>96</v>
      </c>
      <c r="D11" s="84" t="s">
        <v>0</v>
      </c>
      <c r="E11" s="51">
        <f>C11/C9*100</f>
        <v>23.188405797101449</v>
      </c>
      <c r="F11" s="126"/>
      <c r="G11" s="126"/>
      <c r="H11" s="126"/>
      <c r="I11" s="126"/>
      <c r="K11" s="115"/>
      <c r="L11" s="116"/>
      <c r="M11" s="116"/>
      <c r="N11" s="116"/>
      <c r="O11" s="116"/>
      <c r="P11" s="116"/>
      <c r="Q11" s="117"/>
    </row>
    <row r="12" spans="1:21" ht="21" customHeight="1" x14ac:dyDescent="0.25">
      <c r="A12" s="68"/>
      <c r="B12" s="93" t="s">
        <v>3</v>
      </c>
      <c r="C12" s="91">
        <v>0</v>
      </c>
      <c r="D12" s="84" t="s">
        <v>5</v>
      </c>
      <c r="E12" s="51">
        <f>C12/C9*100</f>
        <v>0</v>
      </c>
      <c r="F12" s="126"/>
      <c r="G12" s="126"/>
      <c r="H12" s="126"/>
      <c r="I12" s="126"/>
      <c r="K12" s="115"/>
      <c r="L12" s="116"/>
      <c r="M12" s="116"/>
      <c r="N12" s="116"/>
      <c r="O12" s="116"/>
      <c r="P12" s="116"/>
      <c r="Q12" s="117"/>
    </row>
    <row r="13" spans="1:21" ht="21" customHeight="1" x14ac:dyDescent="0.25">
      <c r="A13" s="68"/>
      <c r="B13" s="95" t="s">
        <v>9</v>
      </c>
      <c r="C13" s="86">
        <v>1</v>
      </c>
      <c r="D13" s="85" t="s">
        <v>8</v>
      </c>
      <c r="E13" s="94">
        <f>C13/C9*100</f>
        <v>0.24154589371980675</v>
      </c>
      <c r="F13" s="126"/>
      <c r="G13" s="126"/>
      <c r="H13" s="126"/>
      <c r="I13" s="126"/>
      <c r="K13" s="115"/>
      <c r="L13" s="116"/>
      <c r="M13" s="116"/>
      <c r="N13" s="116"/>
      <c r="O13" s="116"/>
      <c r="P13" s="116"/>
      <c r="Q13" s="117"/>
    </row>
    <row r="14" spans="1:21" ht="22.5" customHeight="1" x14ac:dyDescent="0.25">
      <c r="A14" s="68"/>
      <c r="B14" s="96" t="s">
        <v>78</v>
      </c>
      <c r="C14" s="87">
        <v>71</v>
      </c>
      <c r="D14" s="84"/>
      <c r="E14" s="97"/>
      <c r="F14" s="126"/>
      <c r="G14" s="126"/>
      <c r="H14" s="126"/>
      <c r="I14" s="126"/>
      <c r="K14" s="115"/>
      <c r="L14" s="116"/>
      <c r="M14" s="116"/>
      <c r="N14" s="116"/>
      <c r="O14" s="116"/>
      <c r="P14" s="116"/>
      <c r="Q14" s="117"/>
    </row>
    <row r="15" spans="1:21" ht="21.75" customHeight="1" thickBot="1" x14ac:dyDescent="0.3">
      <c r="A15" s="68"/>
      <c r="B15" s="98" t="s">
        <v>217</v>
      </c>
      <c r="C15" s="88">
        <v>13</v>
      </c>
      <c r="D15" s="103" t="s">
        <v>258</v>
      </c>
      <c r="E15" s="99"/>
      <c r="F15" s="126"/>
      <c r="G15" s="126"/>
      <c r="H15" s="126"/>
      <c r="I15" s="126"/>
      <c r="K15" s="115"/>
      <c r="L15" s="116"/>
      <c r="M15" s="116"/>
      <c r="N15" s="116"/>
      <c r="O15" s="116"/>
      <c r="P15" s="116"/>
      <c r="Q15" s="117"/>
    </row>
    <row r="16" spans="1:21" s="5" customFormat="1" ht="20.25" customHeight="1" thickBot="1" x14ac:dyDescent="0.3">
      <c r="A16" s="68"/>
      <c r="B16" s="100" t="s">
        <v>77</v>
      </c>
      <c r="C16" s="101">
        <v>58</v>
      </c>
      <c r="D16" s="103" t="s">
        <v>242</v>
      </c>
      <c r="E16" s="57"/>
      <c r="F16" s="60"/>
      <c r="G16" s="60"/>
      <c r="H16" s="60"/>
      <c r="I16" s="60"/>
      <c r="K16" s="115"/>
      <c r="L16" s="116"/>
      <c r="M16" s="116"/>
      <c r="N16" s="116"/>
      <c r="O16" s="116"/>
      <c r="P16" s="116"/>
      <c r="Q16" s="117"/>
    </row>
    <row r="17" spans="1:17" s="5" customFormat="1" ht="15.75" customHeight="1" x14ac:dyDescent="0.25">
      <c r="A17" s="68"/>
      <c r="B17" s="60"/>
      <c r="C17" s="60"/>
      <c r="D17" s="60"/>
      <c r="E17" s="60"/>
      <c r="F17" s="60"/>
      <c r="G17" s="60"/>
      <c r="H17" s="60"/>
      <c r="I17" s="60"/>
      <c r="K17" s="115"/>
      <c r="L17" s="116"/>
      <c r="M17" s="116"/>
      <c r="N17" s="116"/>
      <c r="O17" s="116"/>
      <c r="P17" s="116"/>
      <c r="Q17" s="117"/>
    </row>
    <row r="18" spans="1:17" s="5" customFormat="1" ht="15.75" customHeight="1" x14ac:dyDescent="0.25">
      <c r="A18" s="68"/>
      <c r="B18" s="60"/>
      <c r="C18" s="60"/>
      <c r="D18" s="60"/>
      <c r="E18" s="60"/>
      <c r="F18" s="60"/>
      <c r="G18" s="60"/>
      <c r="H18" s="60"/>
      <c r="I18" s="60"/>
      <c r="K18" s="115"/>
      <c r="L18" s="116"/>
      <c r="M18" s="116"/>
      <c r="N18" s="116"/>
      <c r="O18" s="116"/>
      <c r="P18" s="116"/>
      <c r="Q18" s="117"/>
    </row>
    <row r="19" spans="1:17" s="5" customFormat="1" ht="15.75" customHeight="1" x14ac:dyDescent="0.25">
      <c r="B19" s="15"/>
      <c r="C19" s="15"/>
      <c r="D19" s="15"/>
      <c r="E19" s="16"/>
      <c r="F19" s="15"/>
      <c r="G19" s="15"/>
      <c r="H19" s="15"/>
      <c r="I19" s="15"/>
      <c r="K19" s="118"/>
      <c r="L19" s="119"/>
      <c r="M19" s="119"/>
      <c r="N19" s="119"/>
      <c r="O19" s="119"/>
      <c r="P19" s="119"/>
      <c r="Q19" s="120"/>
    </row>
    <row r="20" spans="1:17" s="5" customFormat="1" ht="16.5" customHeight="1" x14ac:dyDescent="0.25">
      <c r="E20" s="19"/>
      <c r="K20" s="40"/>
      <c r="L20" s="40"/>
      <c r="M20" s="40"/>
      <c r="N20" s="40"/>
      <c r="O20" s="40"/>
      <c r="P20" s="40"/>
      <c r="Q20" s="40"/>
    </row>
    <row r="21" spans="1:17" s="5" customFormat="1" ht="15.75" customHeight="1" x14ac:dyDescent="0.25">
      <c r="E21" s="19"/>
      <c r="K21" s="40"/>
      <c r="L21" s="40"/>
      <c r="M21" s="40"/>
      <c r="N21" s="40"/>
      <c r="O21" s="40"/>
      <c r="P21" s="40"/>
      <c r="Q21" s="40"/>
    </row>
    <row r="22" spans="1:17" s="5" customFormat="1" ht="15.75" customHeight="1" x14ac:dyDescent="0.25">
      <c r="E22" s="19"/>
      <c r="H22"/>
      <c r="K22" s="40"/>
      <c r="L22" s="40"/>
      <c r="M22" s="40"/>
      <c r="N22" s="40"/>
      <c r="O22" s="40"/>
      <c r="P22" s="40"/>
      <c r="Q22" s="40"/>
    </row>
    <row r="23" spans="1:17" s="5" customFormat="1" ht="15.75" customHeight="1" x14ac:dyDescent="0.25">
      <c r="E23" s="19"/>
      <c r="F23" s="15"/>
      <c r="G23" s="15"/>
      <c r="H23" s="15"/>
      <c r="K23" s="40"/>
      <c r="L23" s="40"/>
      <c r="M23" s="40"/>
      <c r="N23" s="40"/>
      <c r="O23" s="40"/>
      <c r="P23" s="40"/>
      <c r="Q23" s="40"/>
    </row>
    <row r="24" spans="1:17" s="5" customFormat="1" x14ac:dyDescent="0.25">
      <c r="E24" s="19"/>
      <c r="F24" s="15"/>
      <c r="G24"/>
      <c r="H24" s="15"/>
    </row>
    <row r="25" spans="1:17" s="5" customFormat="1" x14ac:dyDescent="0.25">
      <c r="E25" s="19"/>
      <c r="F25" s="15"/>
      <c r="G25" s="15"/>
      <c r="H25" s="15"/>
      <c r="I25"/>
    </row>
    <row r="26" spans="1:17" s="5" customFormat="1" x14ac:dyDescent="0.25">
      <c r="E26" s="19"/>
    </row>
    <row r="27" spans="1:17" s="5" customFormat="1" x14ac:dyDescent="0.25">
      <c r="E27" s="19"/>
      <c r="I27"/>
    </row>
    <row r="28" spans="1:17" s="5" customFormat="1" x14ac:dyDescent="0.25">
      <c r="E28" s="19"/>
    </row>
    <row r="29" spans="1:17" s="5" customFormat="1" x14ac:dyDescent="0.25">
      <c r="E29" s="19"/>
    </row>
    <row r="30" spans="1:17" s="5" customFormat="1" x14ac:dyDescent="0.25">
      <c r="E30" s="19"/>
    </row>
    <row r="31" spans="1:17" s="5" customFormat="1" x14ac:dyDescent="0.25">
      <c r="E31" s="19"/>
    </row>
    <row r="32" spans="1:17" s="5" customFormat="1" x14ac:dyDescent="0.25">
      <c r="E32" s="19"/>
    </row>
    <row r="33" spans="5:5" s="5" customFormat="1" x14ac:dyDescent="0.25">
      <c r="E33" s="19"/>
    </row>
    <row r="34" spans="5:5" s="5" customFormat="1" x14ac:dyDescent="0.25">
      <c r="E34" s="19"/>
    </row>
    <row r="35" spans="5:5" s="5" customFormat="1" x14ac:dyDescent="0.25">
      <c r="E35" s="19"/>
    </row>
    <row r="36" spans="5:5" s="5" customFormat="1" x14ac:dyDescent="0.25">
      <c r="E36" s="19"/>
    </row>
    <row r="37" spans="5:5" s="5" customFormat="1" x14ac:dyDescent="0.25">
      <c r="E37" s="19"/>
    </row>
    <row r="38" spans="5:5" s="5" customFormat="1" x14ac:dyDescent="0.25">
      <c r="E38" s="19"/>
    </row>
    <row r="39" spans="5:5" s="5" customFormat="1" x14ac:dyDescent="0.25">
      <c r="E39" s="19"/>
    </row>
    <row r="40" spans="5:5" s="5" customFormat="1" x14ac:dyDescent="0.25">
      <c r="E40" s="19"/>
    </row>
    <row r="41" spans="5:5" s="5" customFormat="1" x14ac:dyDescent="0.25">
      <c r="E41" s="19"/>
    </row>
    <row r="42" spans="5:5" s="5" customFormat="1" x14ac:dyDescent="0.25">
      <c r="E42" s="19"/>
    </row>
    <row r="43" spans="5:5" s="5" customFormat="1" x14ac:dyDescent="0.25">
      <c r="E43" s="19"/>
    </row>
    <row r="44" spans="5:5" s="5" customFormat="1" x14ac:dyDescent="0.25">
      <c r="E44" s="19"/>
    </row>
    <row r="45" spans="5:5" s="5" customFormat="1" x14ac:dyDescent="0.25">
      <c r="E45" s="19"/>
    </row>
    <row r="46" spans="5:5" s="5" customFormat="1" x14ac:dyDescent="0.25">
      <c r="E46" s="19"/>
    </row>
    <row r="47" spans="5:5" s="5" customFormat="1" x14ac:dyDescent="0.25">
      <c r="E47" s="19"/>
    </row>
    <row r="48" spans="5:5" s="5" customFormat="1" x14ac:dyDescent="0.25">
      <c r="E48" s="19"/>
    </row>
    <row r="49" spans="5:5" s="5" customFormat="1" x14ac:dyDescent="0.25">
      <c r="E49" s="19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43"/>
  <sheetViews>
    <sheetView zoomScaleNormal="100" workbookViewId="0"/>
  </sheetViews>
  <sheetFormatPr defaultRowHeight="15.75" x14ac:dyDescent="0.25"/>
  <cols>
    <col min="1" max="2" width="2.5" style="5" customWidth="1"/>
    <col min="3" max="3" width="9" style="5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17" width="2.375" style="5" customWidth="1"/>
    <col min="18" max="19" width="9" style="5" customWidth="1"/>
    <col min="20" max="26" width="9" style="5"/>
    <col min="27" max="28" width="5.625" style="5" customWidth="1"/>
    <col min="29" max="29" width="3.125" style="5" customWidth="1"/>
    <col min="30" max="30" width="5.375" style="5" customWidth="1"/>
    <col min="31" max="31" width="80.75" style="5" customWidth="1"/>
    <col min="32" max="32" width="92.125" style="5" customWidth="1"/>
    <col min="33" max="33" width="3" style="5" customWidth="1"/>
    <col min="34" max="16384" width="9" style="5"/>
  </cols>
  <sheetData>
    <row r="1" spans="1:34" ht="18.75" x14ac:dyDescent="0.3">
      <c r="A1" s="4" t="s">
        <v>251</v>
      </c>
      <c r="B1" s="4"/>
    </row>
    <row r="2" spans="1:34" ht="18.75" x14ac:dyDescent="0.3">
      <c r="R2" s="6"/>
      <c r="S2" s="6"/>
    </row>
    <row r="3" spans="1:34" ht="18.75" x14ac:dyDescent="0.3">
      <c r="B3" s="4" t="s">
        <v>225</v>
      </c>
      <c r="O3" s="4" t="s">
        <v>88</v>
      </c>
      <c r="P3" s="4"/>
      <c r="Q3" s="4"/>
    </row>
    <row r="5" spans="1:34" x14ac:dyDescent="0.25">
      <c r="AE5" s="105" t="s">
        <v>253</v>
      </c>
    </row>
    <row r="6" spans="1:34" x14ac:dyDescent="0.25">
      <c r="AE6" s="104" t="s">
        <v>234</v>
      </c>
    </row>
    <row r="7" spans="1:34" x14ac:dyDescent="0.25">
      <c r="AE7" s="35" t="s">
        <v>235</v>
      </c>
      <c r="AF7" s="7"/>
    </row>
    <row r="8" spans="1:34" x14ac:dyDescent="0.25">
      <c r="AD8" s="36">
        <v>71</v>
      </c>
      <c r="AE8" s="5" t="s">
        <v>87</v>
      </c>
    </row>
    <row r="9" spans="1:34" x14ac:dyDescent="0.25">
      <c r="AE9" s="34" t="s">
        <v>254</v>
      </c>
    </row>
    <row r="11" spans="1:34" s="49" customFormat="1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48" t="s">
        <v>7</v>
      </c>
    </row>
    <row r="12" spans="1:34" x14ac:dyDescent="0.25">
      <c r="AD12" s="9">
        <v>32</v>
      </c>
      <c r="AE12" s="9" t="s">
        <v>13</v>
      </c>
    </row>
    <row r="13" spans="1:34" x14ac:dyDescent="0.25">
      <c r="AD13" s="9">
        <v>7</v>
      </c>
      <c r="AE13" s="9" t="s">
        <v>102</v>
      </c>
    </row>
    <row r="14" spans="1:34" x14ac:dyDescent="0.25">
      <c r="AD14" s="9">
        <v>26</v>
      </c>
      <c r="AE14" s="9" t="s">
        <v>21</v>
      </c>
    </row>
    <row r="15" spans="1:34" x14ac:dyDescent="0.25">
      <c r="AD15" s="9">
        <v>3</v>
      </c>
      <c r="AE15" s="9" t="s">
        <v>11</v>
      </c>
      <c r="AF15" s="23"/>
      <c r="AG15" s="23"/>
      <c r="AH15" s="23"/>
    </row>
    <row r="16" spans="1:34" x14ac:dyDescent="0.25">
      <c r="AD16" s="9">
        <v>2</v>
      </c>
      <c r="AE16" s="9" t="s">
        <v>6</v>
      </c>
    </row>
    <row r="17" spans="30:33" x14ac:dyDescent="0.25">
      <c r="AD17" s="9">
        <v>1</v>
      </c>
      <c r="AE17" s="9" t="s">
        <v>12</v>
      </c>
    </row>
    <row r="18" spans="30:33" x14ac:dyDescent="0.25">
      <c r="AD18" s="9">
        <v>0</v>
      </c>
      <c r="AE18" s="9" t="s">
        <v>22</v>
      </c>
      <c r="AF18" s="22"/>
      <c r="AG18" s="22"/>
    </row>
    <row r="19" spans="30:33" x14ac:dyDescent="0.25">
      <c r="AD19" s="8">
        <f>SUM(AD12:AD18)</f>
        <v>71</v>
      </c>
      <c r="AE19" s="8" t="s">
        <v>80</v>
      </c>
      <c r="AF19" s="22"/>
      <c r="AG19" s="22"/>
    </row>
    <row r="20" spans="30:33" x14ac:dyDescent="0.25">
      <c r="AF20" s="22"/>
      <c r="AG20" s="22"/>
    </row>
    <row r="21" spans="30:33" x14ac:dyDescent="0.25">
      <c r="AD21" s="48" t="s">
        <v>103</v>
      </c>
      <c r="AE21" s="49"/>
      <c r="AF21" s="22"/>
      <c r="AG21" s="22"/>
    </row>
    <row r="22" spans="30:33" x14ac:dyDescent="0.25">
      <c r="AD22" s="24">
        <v>32</v>
      </c>
      <c r="AE22" s="25" t="s">
        <v>168</v>
      </c>
      <c r="AF22" s="22"/>
      <c r="AG22" s="22"/>
    </row>
    <row r="23" spans="30:33" ht="18.75" customHeight="1" x14ac:dyDescent="0.25">
      <c r="AD23" s="26">
        <v>39</v>
      </c>
      <c r="AE23" s="37" t="s">
        <v>105</v>
      </c>
      <c r="AF23" s="22"/>
      <c r="AG23" s="22"/>
    </row>
    <row r="24" spans="30:33" x14ac:dyDescent="0.25">
      <c r="AD24" s="22"/>
      <c r="AE24" s="42" t="s">
        <v>104</v>
      </c>
      <c r="AF24" s="22"/>
      <c r="AG24" s="22"/>
    </row>
    <row r="25" spans="30:33" x14ac:dyDescent="0.25">
      <c r="AD25" s="22"/>
      <c r="AE25" s="22"/>
      <c r="AF25" s="22"/>
      <c r="AG25" s="22"/>
    </row>
    <row r="26" spans="30:33" x14ac:dyDescent="0.25">
      <c r="AD26" s="50" t="s">
        <v>106</v>
      </c>
      <c r="AE26" s="49"/>
    </row>
    <row r="27" spans="30:33" ht="30.75" customHeight="1" x14ac:dyDescent="0.25">
      <c r="AD27" s="22"/>
      <c r="AE27" s="22"/>
      <c r="AF27" s="22"/>
      <c r="AG27" s="22"/>
    </row>
    <row r="36" spans="3:12" x14ac:dyDescent="0.25">
      <c r="C36" s="134" t="s">
        <v>14</v>
      </c>
      <c r="D36" s="135"/>
      <c r="E36" s="132" t="s">
        <v>20</v>
      </c>
      <c r="F36" s="132"/>
      <c r="G36" s="132"/>
      <c r="H36" s="132"/>
      <c r="I36" s="132"/>
      <c r="J36" s="132"/>
      <c r="K36" s="132"/>
      <c r="L36" s="132"/>
    </row>
    <row r="37" spans="3:12" x14ac:dyDescent="0.25">
      <c r="C37" s="134" t="s">
        <v>15</v>
      </c>
      <c r="D37" s="135"/>
      <c r="E37" s="129" t="s">
        <v>19</v>
      </c>
      <c r="F37" s="130"/>
      <c r="G37" s="130"/>
      <c r="H37" s="130"/>
      <c r="I37" s="130"/>
      <c r="J37" s="130"/>
      <c r="K37" s="130"/>
      <c r="L37" s="131"/>
    </row>
    <row r="38" spans="3:12" x14ac:dyDescent="0.25">
      <c r="C38" s="20" t="s">
        <v>79</v>
      </c>
      <c r="D38" s="21"/>
      <c r="E38" s="129" t="s">
        <v>109</v>
      </c>
      <c r="F38" s="130"/>
      <c r="G38" s="130"/>
      <c r="H38" s="130"/>
      <c r="I38" s="130"/>
      <c r="J38" s="130"/>
      <c r="K38" s="130"/>
      <c r="L38" s="131"/>
    </row>
    <row r="39" spans="3:12" x14ac:dyDescent="0.25">
      <c r="C39" s="43" t="s">
        <v>108</v>
      </c>
      <c r="D39" s="44"/>
      <c r="E39" s="45" t="s">
        <v>110</v>
      </c>
      <c r="F39" s="46"/>
      <c r="G39" s="46"/>
      <c r="H39" s="46"/>
      <c r="I39" s="46"/>
      <c r="J39" s="46"/>
      <c r="K39" s="46"/>
      <c r="L39" s="47"/>
    </row>
    <row r="40" spans="3:12" x14ac:dyDescent="0.25">
      <c r="C40" s="134" t="s">
        <v>16</v>
      </c>
      <c r="D40" s="135"/>
      <c r="E40" s="133" t="s">
        <v>24</v>
      </c>
      <c r="F40" s="133"/>
      <c r="G40" s="133"/>
      <c r="H40" s="133"/>
      <c r="I40" s="133"/>
      <c r="J40" s="133"/>
      <c r="K40" s="133"/>
      <c r="L40" s="133"/>
    </row>
    <row r="41" spans="3:12" x14ac:dyDescent="0.25">
      <c r="C41" s="134" t="s">
        <v>17</v>
      </c>
      <c r="D41" s="135"/>
      <c r="E41" s="129" t="s">
        <v>18</v>
      </c>
      <c r="F41" s="130"/>
      <c r="G41" s="130"/>
      <c r="H41" s="130"/>
      <c r="I41" s="130"/>
      <c r="J41" s="130"/>
      <c r="K41" s="130"/>
      <c r="L41" s="131"/>
    </row>
    <row r="42" spans="3:12" x14ac:dyDescent="0.25">
      <c r="C42" s="134" t="s">
        <v>63</v>
      </c>
      <c r="D42" s="135"/>
      <c r="E42" s="129" t="s">
        <v>64</v>
      </c>
      <c r="F42" s="130"/>
      <c r="G42" s="130"/>
      <c r="H42" s="130"/>
      <c r="I42" s="130"/>
      <c r="J42" s="130"/>
      <c r="K42" s="130"/>
      <c r="L42" s="131"/>
    </row>
    <row r="43" spans="3:12" x14ac:dyDescent="0.25">
      <c r="C43" s="134" t="s">
        <v>85</v>
      </c>
      <c r="D43" s="135"/>
      <c r="E43" s="129" t="s">
        <v>86</v>
      </c>
      <c r="F43" s="130"/>
      <c r="G43" s="130"/>
      <c r="H43" s="130"/>
      <c r="I43" s="130"/>
      <c r="J43" s="130"/>
      <c r="K43" s="130"/>
      <c r="L43" s="131"/>
    </row>
  </sheetData>
  <mergeCells count="13">
    <mergeCell ref="C43:D43"/>
    <mergeCell ref="E43:L43"/>
    <mergeCell ref="C42:D42"/>
    <mergeCell ref="E42:L42"/>
    <mergeCell ref="C41:D41"/>
    <mergeCell ref="E37:L37"/>
    <mergeCell ref="E41:L41"/>
    <mergeCell ref="E36:L36"/>
    <mergeCell ref="E40:L40"/>
    <mergeCell ref="C36:D36"/>
    <mergeCell ref="C37:D37"/>
    <mergeCell ref="C40:D40"/>
    <mergeCell ref="E38:L3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5517-9BB6-4617-BDA9-B5A7FA29C438}">
  <dimension ref="A1:K74"/>
  <sheetViews>
    <sheetView workbookViewId="0"/>
  </sheetViews>
  <sheetFormatPr defaultRowHeight="15" x14ac:dyDescent="0.25"/>
  <cols>
    <col min="1" max="1" width="3.625" style="106" customWidth="1"/>
    <col min="2" max="2" width="9.625" style="106" bestFit="1" customWidth="1"/>
    <col min="3" max="3" width="37.5" style="107" customWidth="1"/>
    <col min="4" max="4" width="9" style="106"/>
    <col min="5" max="5" width="13.875" style="106" bestFit="1" customWidth="1"/>
    <col min="6" max="6" width="31.875" style="106" bestFit="1" customWidth="1"/>
    <col min="7" max="7" width="17.625" style="106" bestFit="1" customWidth="1"/>
    <col min="8" max="8" width="31.875" style="106" bestFit="1" customWidth="1"/>
    <col min="9" max="9" width="32" style="106" customWidth="1"/>
    <col min="10" max="10" width="18.75" style="106" bestFit="1" customWidth="1"/>
    <col min="11" max="11" width="17.125" style="106" bestFit="1" customWidth="1"/>
    <col min="12" max="16384" width="9" style="106"/>
  </cols>
  <sheetData>
    <row r="1" spans="1:11" s="27" customFormat="1" ht="18.75" x14ac:dyDescent="0.25">
      <c r="A1" s="39" t="s">
        <v>252</v>
      </c>
      <c r="C1" s="28"/>
    </row>
    <row r="2" spans="1:11" s="27" customFormat="1" x14ac:dyDescent="0.25">
      <c r="A2" s="38"/>
      <c r="B2" s="29"/>
      <c r="C2" s="28"/>
      <c r="H2" s="136" t="s">
        <v>25</v>
      </c>
      <c r="I2" s="136"/>
    </row>
    <row r="3" spans="1:11" s="33" customFormat="1" x14ac:dyDescent="0.25">
      <c r="A3" s="30"/>
      <c r="B3" s="31" t="s">
        <v>26</v>
      </c>
      <c r="C3" s="32" t="s">
        <v>27</v>
      </c>
      <c r="D3" s="31" t="s">
        <v>28</v>
      </c>
      <c r="E3" s="31" t="s">
        <v>29</v>
      </c>
      <c r="F3" s="31" t="s">
        <v>30</v>
      </c>
      <c r="G3" s="31" t="s">
        <v>31</v>
      </c>
      <c r="H3" s="31" t="s">
        <v>32</v>
      </c>
      <c r="I3" s="31" t="s">
        <v>33</v>
      </c>
      <c r="J3" s="31" t="s">
        <v>34</v>
      </c>
      <c r="K3" s="31" t="s">
        <v>65</v>
      </c>
    </row>
    <row r="4" spans="1:11" ht="45" x14ac:dyDescent="0.25">
      <c r="A4" s="108">
        <v>1</v>
      </c>
      <c r="B4" s="109" t="s">
        <v>255</v>
      </c>
      <c r="C4" s="110" t="s">
        <v>256</v>
      </c>
      <c r="D4" s="109" t="s">
        <v>37</v>
      </c>
      <c r="E4" s="111">
        <v>44328.176388888889</v>
      </c>
      <c r="F4" s="109" t="s">
        <v>139</v>
      </c>
      <c r="G4" s="109" t="s">
        <v>14</v>
      </c>
      <c r="H4" s="109"/>
      <c r="I4" s="109" t="s">
        <v>50</v>
      </c>
      <c r="J4" s="109"/>
      <c r="K4" s="109" t="s">
        <v>71</v>
      </c>
    </row>
    <row r="5" spans="1:11" ht="30" x14ac:dyDescent="0.25">
      <c r="A5" s="108">
        <v>2</v>
      </c>
      <c r="B5" s="109" t="s">
        <v>245</v>
      </c>
      <c r="C5" s="110" t="s">
        <v>246</v>
      </c>
      <c r="D5" s="109" t="s">
        <v>37</v>
      </c>
      <c r="E5" s="111">
        <v>44327.345138888886</v>
      </c>
      <c r="F5" s="109" t="s">
        <v>139</v>
      </c>
      <c r="G5" s="109" t="s">
        <v>14</v>
      </c>
      <c r="H5" s="109" t="s">
        <v>139</v>
      </c>
      <c r="I5" s="109"/>
      <c r="J5" s="109"/>
      <c r="K5" s="109" t="s">
        <v>66</v>
      </c>
    </row>
    <row r="6" spans="1:11" ht="30" x14ac:dyDescent="0.25">
      <c r="A6" s="108">
        <v>3</v>
      </c>
      <c r="B6" s="109" t="s">
        <v>247</v>
      </c>
      <c r="C6" s="110" t="s">
        <v>248</v>
      </c>
      <c r="D6" s="109" t="s">
        <v>37</v>
      </c>
      <c r="E6" s="111">
        <v>44327.304861111108</v>
      </c>
      <c r="F6" s="109" t="s">
        <v>39</v>
      </c>
      <c r="G6" s="109" t="s">
        <v>14</v>
      </c>
      <c r="H6" s="109"/>
      <c r="I6" s="109" t="s">
        <v>50</v>
      </c>
      <c r="J6" s="109"/>
      <c r="K6" s="109" t="s">
        <v>66</v>
      </c>
    </row>
    <row r="7" spans="1:11" ht="45" x14ac:dyDescent="0.25">
      <c r="A7" s="108">
        <v>4</v>
      </c>
      <c r="B7" s="109" t="s">
        <v>243</v>
      </c>
      <c r="C7" s="110" t="s">
        <v>244</v>
      </c>
      <c r="D7" s="109" t="s">
        <v>37</v>
      </c>
      <c r="E7" s="111">
        <v>44324.188888888886</v>
      </c>
      <c r="F7" s="109" t="s">
        <v>39</v>
      </c>
      <c r="G7" s="109" t="s">
        <v>14</v>
      </c>
      <c r="H7" s="109"/>
      <c r="I7" s="109" t="s">
        <v>166</v>
      </c>
      <c r="J7" s="109"/>
      <c r="K7" s="109" t="s">
        <v>71</v>
      </c>
    </row>
    <row r="8" spans="1:11" ht="45" x14ac:dyDescent="0.25">
      <c r="A8" s="108">
        <v>5</v>
      </c>
      <c r="B8" s="109" t="s">
        <v>236</v>
      </c>
      <c r="C8" s="110" t="s">
        <v>237</v>
      </c>
      <c r="D8" s="109" t="s">
        <v>37</v>
      </c>
      <c r="E8" s="111">
        <v>44321.211805555555</v>
      </c>
      <c r="F8" s="109" t="s">
        <v>191</v>
      </c>
      <c r="G8" s="109" t="s">
        <v>14</v>
      </c>
      <c r="H8" s="109"/>
      <c r="I8" s="109" t="s">
        <v>81</v>
      </c>
      <c r="J8" s="109"/>
      <c r="K8" s="109" t="s">
        <v>66</v>
      </c>
    </row>
    <row r="9" spans="1:11" ht="30" x14ac:dyDescent="0.25">
      <c r="A9" s="108">
        <v>6</v>
      </c>
      <c r="B9" s="109" t="s">
        <v>238</v>
      </c>
      <c r="C9" s="110" t="s">
        <v>239</v>
      </c>
      <c r="D9" s="109" t="s">
        <v>37</v>
      </c>
      <c r="E9" s="111">
        <v>44321.15347222222</v>
      </c>
      <c r="F9" s="109" t="s">
        <v>139</v>
      </c>
      <c r="G9" s="109" t="s">
        <v>14</v>
      </c>
      <c r="H9" s="109"/>
      <c r="I9" s="109" t="s">
        <v>166</v>
      </c>
      <c r="J9" s="109"/>
      <c r="K9" s="109" t="s">
        <v>71</v>
      </c>
    </row>
    <row r="10" spans="1:11" ht="30" x14ac:dyDescent="0.25">
      <c r="A10" s="108">
        <v>7</v>
      </c>
      <c r="B10" s="109" t="s">
        <v>226</v>
      </c>
      <c r="C10" s="110" t="s">
        <v>227</v>
      </c>
      <c r="D10" s="109" t="s">
        <v>37</v>
      </c>
      <c r="E10" s="111">
        <v>44320.329861111109</v>
      </c>
      <c r="F10" s="109" t="s">
        <v>39</v>
      </c>
      <c r="G10" s="109" t="s">
        <v>173</v>
      </c>
      <c r="H10" s="109" t="s">
        <v>107</v>
      </c>
      <c r="I10" s="109"/>
      <c r="J10" s="109"/>
      <c r="K10" s="109" t="s">
        <v>66</v>
      </c>
    </row>
    <row r="11" spans="1:11" ht="30" x14ac:dyDescent="0.25">
      <c r="A11" s="108">
        <v>8</v>
      </c>
      <c r="B11" s="109" t="s">
        <v>228</v>
      </c>
      <c r="C11" s="110" t="s">
        <v>229</v>
      </c>
      <c r="D11" s="109" t="s">
        <v>37</v>
      </c>
      <c r="E11" s="111">
        <v>44320.20416666667</v>
      </c>
      <c r="F11" s="109" t="s">
        <v>139</v>
      </c>
      <c r="G11" s="109" t="s">
        <v>257</v>
      </c>
      <c r="H11" s="109"/>
      <c r="I11" s="109" t="s">
        <v>50</v>
      </c>
      <c r="J11" s="109"/>
      <c r="K11" s="109" t="s">
        <v>71</v>
      </c>
    </row>
    <row r="12" spans="1:11" ht="30" x14ac:dyDescent="0.25">
      <c r="A12" s="108">
        <v>9</v>
      </c>
      <c r="B12" s="109" t="s">
        <v>230</v>
      </c>
      <c r="C12" s="110" t="s">
        <v>231</v>
      </c>
      <c r="D12" s="109" t="s">
        <v>37</v>
      </c>
      <c r="E12" s="111">
        <v>44320.134722222225</v>
      </c>
      <c r="F12" s="109" t="s">
        <v>139</v>
      </c>
      <c r="G12" s="109" t="s">
        <v>14</v>
      </c>
      <c r="H12" s="109"/>
      <c r="I12" s="109" t="s">
        <v>50</v>
      </c>
      <c r="J12" s="109"/>
      <c r="K12" s="109" t="s">
        <v>66</v>
      </c>
    </row>
    <row r="13" spans="1:11" ht="45" x14ac:dyDescent="0.25">
      <c r="A13" s="108">
        <v>10</v>
      </c>
      <c r="B13" s="109" t="s">
        <v>232</v>
      </c>
      <c r="C13" s="110" t="s">
        <v>233</v>
      </c>
      <c r="D13" s="109" t="s">
        <v>37</v>
      </c>
      <c r="E13" s="111">
        <v>44320.094444444447</v>
      </c>
      <c r="F13" s="109" t="s">
        <v>39</v>
      </c>
      <c r="G13" s="109" t="s">
        <v>14</v>
      </c>
      <c r="H13" s="109"/>
      <c r="I13" s="109" t="s">
        <v>50</v>
      </c>
      <c r="J13" s="109"/>
      <c r="K13" s="109" t="s">
        <v>66</v>
      </c>
    </row>
    <row r="14" spans="1:11" ht="30" x14ac:dyDescent="0.25">
      <c r="A14" s="108">
        <v>11</v>
      </c>
      <c r="B14" s="109" t="s">
        <v>218</v>
      </c>
      <c r="C14" s="110" t="s">
        <v>219</v>
      </c>
      <c r="D14" s="109" t="s">
        <v>37</v>
      </c>
      <c r="E14" s="111">
        <v>44317.350694444445</v>
      </c>
      <c r="F14" s="109" t="s">
        <v>220</v>
      </c>
      <c r="G14" s="109" t="s">
        <v>14</v>
      </c>
      <c r="H14" s="109" t="s">
        <v>220</v>
      </c>
      <c r="I14" s="109"/>
      <c r="J14" s="109"/>
      <c r="K14" s="109" t="s">
        <v>66</v>
      </c>
    </row>
    <row r="15" spans="1:11" ht="30" x14ac:dyDescent="0.25">
      <c r="A15" s="108">
        <v>12</v>
      </c>
      <c r="B15" s="109" t="s">
        <v>221</v>
      </c>
      <c r="C15" s="110" t="s">
        <v>222</v>
      </c>
      <c r="D15" s="109" t="s">
        <v>37</v>
      </c>
      <c r="E15" s="111">
        <v>44317.311111111114</v>
      </c>
      <c r="F15" s="109" t="s">
        <v>39</v>
      </c>
      <c r="G15" s="109" t="s">
        <v>15</v>
      </c>
      <c r="H15" s="109" t="s">
        <v>39</v>
      </c>
      <c r="I15" s="109"/>
      <c r="J15" s="109"/>
      <c r="K15" s="109" t="s">
        <v>66</v>
      </c>
    </row>
    <row r="16" spans="1:11" ht="30" x14ac:dyDescent="0.25">
      <c r="A16" s="108">
        <v>13</v>
      </c>
      <c r="B16" s="109" t="s">
        <v>223</v>
      </c>
      <c r="C16" s="110" t="s">
        <v>224</v>
      </c>
      <c r="D16" s="109" t="s">
        <v>37</v>
      </c>
      <c r="E16" s="111">
        <v>44317.041666666664</v>
      </c>
      <c r="F16" s="109" t="s">
        <v>39</v>
      </c>
      <c r="G16" s="109" t="s">
        <v>14</v>
      </c>
      <c r="H16" s="109"/>
      <c r="I16" s="109" t="s">
        <v>240</v>
      </c>
      <c r="J16" s="109"/>
      <c r="K16" s="109" t="s">
        <v>66</v>
      </c>
    </row>
    <row r="17" spans="1:11" ht="30" x14ac:dyDescent="0.25">
      <c r="A17" s="108">
        <v>14</v>
      </c>
      <c r="B17" s="109" t="s">
        <v>209</v>
      </c>
      <c r="C17" s="110" t="s">
        <v>210</v>
      </c>
      <c r="D17" s="109" t="s">
        <v>37</v>
      </c>
      <c r="E17" s="111">
        <v>44308.051388888889</v>
      </c>
      <c r="F17" s="109" t="s">
        <v>39</v>
      </c>
      <c r="G17" s="109" t="s">
        <v>14</v>
      </c>
      <c r="H17" s="109"/>
      <c r="I17" s="109" t="s">
        <v>211</v>
      </c>
      <c r="J17" s="109"/>
      <c r="K17" s="109" t="s">
        <v>66</v>
      </c>
    </row>
    <row r="18" spans="1:11" ht="45" x14ac:dyDescent="0.25">
      <c r="A18" s="108">
        <v>15</v>
      </c>
      <c r="B18" s="109" t="s">
        <v>205</v>
      </c>
      <c r="C18" s="110" t="s">
        <v>206</v>
      </c>
      <c r="D18" s="109" t="s">
        <v>37</v>
      </c>
      <c r="E18" s="111">
        <v>44307.208333333336</v>
      </c>
      <c r="F18" s="109" t="s">
        <v>39</v>
      </c>
      <c r="G18" s="109" t="s">
        <v>15</v>
      </c>
      <c r="H18" s="109" t="s">
        <v>39</v>
      </c>
      <c r="I18" s="109"/>
      <c r="J18" s="109"/>
      <c r="K18" s="109" t="s">
        <v>66</v>
      </c>
    </row>
    <row r="19" spans="1:11" ht="45" x14ac:dyDescent="0.25">
      <c r="A19" s="108">
        <v>16</v>
      </c>
      <c r="B19" s="109" t="s">
        <v>207</v>
      </c>
      <c r="C19" s="110" t="s">
        <v>208</v>
      </c>
      <c r="D19" s="109" t="s">
        <v>37</v>
      </c>
      <c r="E19" s="111">
        <v>44307.195138888892</v>
      </c>
      <c r="F19" s="109" t="s">
        <v>39</v>
      </c>
      <c r="G19" s="109" t="s">
        <v>15</v>
      </c>
      <c r="H19" s="109" t="s">
        <v>39</v>
      </c>
      <c r="I19" s="109"/>
      <c r="J19" s="109"/>
      <c r="K19" s="109" t="s">
        <v>66</v>
      </c>
    </row>
    <row r="20" spans="1:11" ht="45" x14ac:dyDescent="0.25">
      <c r="A20" s="108">
        <v>17</v>
      </c>
      <c r="B20" s="109" t="s">
        <v>202</v>
      </c>
      <c r="C20" s="110" t="s">
        <v>203</v>
      </c>
      <c r="D20" s="109" t="s">
        <v>37</v>
      </c>
      <c r="E20" s="111">
        <v>44306.381944444445</v>
      </c>
      <c r="F20" s="109" t="s">
        <v>39</v>
      </c>
      <c r="G20" s="109" t="s">
        <v>15</v>
      </c>
      <c r="H20" s="109" t="s">
        <v>39</v>
      </c>
      <c r="I20" s="109"/>
      <c r="J20" s="109"/>
      <c r="K20" s="109" t="s">
        <v>66</v>
      </c>
    </row>
    <row r="21" spans="1:11" ht="45" x14ac:dyDescent="0.25">
      <c r="A21" s="108">
        <v>18</v>
      </c>
      <c r="B21" s="109" t="s">
        <v>196</v>
      </c>
      <c r="C21" s="110" t="s">
        <v>197</v>
      </c>
      <c r="D21" s="109" t="s">
        <v>37</v>
      </c>
      <c r="E21" s="111">
        <v>44303.318749999999</v>
      </c>
      <c r="F21" s="109" t="s">
        <v>39</v>
      </c>
      <c r="G21" s="109" t="s">
        <v>69</v>
      </c>
      <c r="H21" s="109" t="s">
        <v>39</v>
      </c>
      <c r="I21" s="109"/>
      <c r="J21" s="109"/>
      <c r="K21" s="109" t="s">
        <v>66</v>
      </c>
    </row>
    <row r="22" spans="1:11" ht="45" x14ac:dyDescent="0.25">
      <c r="A22" s="108">
        <v>19</v>
      </c>
      <c r="B22" s="109" t="s">
        <v>198</v>
      </c>
      <c r="C22" s="110" t="s">
        <v>199</v>
      </c>
      <c r="D22" s="109" t="s">
        <v>37</v>
      </c>
      <c r="E22" s="111">
        <v>44303.256249999999</v>
      </c>
      <c r="F22" s="109" t="s">
        <v>139</v>
      </c>
      <c r="G22" s="109" t="s">
        <v>14</v>
      </c>
      <c r="H22" s="109"/>
      <c r="I22" s="109" t="s">
        <v>50</v>
      </c>
      <c r="J22" s="109"/>
      <c r="K22" s="109" t="s">
        <v>66</v>
      </c>
    </row>
    <row r="23" spans="1:11" ht="30" x14ac:dyDescent="0.25">
      <c r="A23" s="108">
        <v>20</v>
      </c>
      <c r="B23" s="109" t="s">
        <v>200</v>
      </c>
      <c r="C23" s="110" t="s">
        <v>201</v>
      </c>
      <c r="D23" s="109" t="s">
        <v>37</v>
      </c>
      <c r="E23" s="111">
        <v>44303.203472222223</v>
      </c>
      <c r="F23" s="109" t="s">
        <v>191</v>
      </c>
      <c r="G23" s="109" t="s">
        <v>14</v>
      </c>
      <c r="H23" s="109" t="s">
        <v>139</v>
      </c>
      <c r="I23" s="109"/>
      <c r="J23" s="109"/>
      <c r="K23" s="109" t="s">
        <v>66</v>
      </c>
    </row>
    <row r="24" spans="1:11" ht="45" x14ac:dyDescent="0.25">
      <c r="A24" s="108">
        <v>21</v>
      </c>
      <c r="B24" s="109" t="s">
        <v>187</v>
      </c>
      <c r="C24" s="110" t="s">
        <v>188</v>
      </c>
      <c r="D24" s="109" t="s">
        <v>37</v>
      </c>
      <c r="E24" s="111">
        <v>44302.359722222223</v>
      </c>
      <c r="F24" s="109" t="s">
        <v>39</v>
      </c>
      <c r="G24" s="109" t="s">
        <v>14</v>
      </c>
      <c r="H24" s="109" t="s">
        <v>39</v>
      </c>
      <c r="I24" s="109"/>
      <c r="J24" s="109"/>
      <c r="K24" s="109" t="s">
        <v>66</v>
      </c>
    </row>
    <row r="25" spans="1:11" ht="30" x14ac:dyDescent="0.25">
      <c r="A25" s="108">
        <v>22</v>
      </c>
      <c r="B25" s="109" t="s">
        <v>189</v>
      </c>
      <c r="C25" s="110" t="s">
        <v>190</v>
      </c>
      <c r="D25" s="109" t="s">
        <v>37</v>
      </c>
      <c r="E25" s="111">
        <v>44302.249305555553</v>
      </c>
      <c r="F25" s="109" t="s">
        <v>191</v>
      </c>
      <c r="G25" s="109" t="s">
        <v>14</v>
      </c>
      <c r="H25" s="109" t="s">
        <v>191</v>
      </c>
      <c r="I25" s="109"/>
      <c r="J25" s="109"/>
      <c r="K25" s="109" t="s">
        <v>71</v>
      </c>
    </row>
    <row r="26" spans="1:11" ht="45" x14ac:dyDescent="0.25">
      <c r="A26" s="108">
        <v>23</v>
      </c>
      <c r="B26" s="109" t="s">
        <v>192</v>
      </c>
      <c r="C26" s="110" t="s">
        <v>193</v>
      </c>
      <c r="D26" s="109" t="s">
        <v>37</v>
      </c>
      <c r="E26" s="111">
        <v>44302.09652777778</v>
      </c>
      <c r="F26" s="109" t="s">
        <v>39</v>
      </c>
      <c r="G26" s="109" t="s">
        <v>14</v>
      </c>
      <c r="H26" s="109"/>
      <c r="I26" s="109" t="s">
        <v>166</v>
      </c>
      <c r="J26" s="109"/>
      <c r="K26" s="109" t="s">
        <v>66</v>
      </c>
    </row>
    <row r="27" spans="1:11" ht="30" x14ac:dyDescent="0.25">
      <c r="A27" s="108">
        <v>24</v>
      </c>
      <c r="B27" s="109" t="s">
        <v>194</v>
      </c>
      <c r="C27" s="110" t="s">
        <v>195</v>
      </c>
      <c r="D27" s="109" t="s">
        <v>37</v>
      </c>
      <c r="E27" s="111">
        <v>44302.064583333333</v>
      </c>
      <c r="F27" s="109" t="s">
        <v>191</v>
      </c>
      <c r="G27" s="109" t="s">
        <v>69</v>
      </c>
      <c r="H27" s="109" t="s">
        <v>191</v>
      </c>
      <c r="I27" s="109"/>
      <c r="J27" s="109"/>
      <c r="K27" s="109" t="s">
        <v>71</v>
      </c>
    </row>
    <row r="28" spans="1:11" ht="45" x14ac:dyDescent="0.25">
      <c r="A28" s="108">
        <v>25</v>
      </c>
      <c r="B28" s="109" t="s">
        <v>184</v>
      </c>
      <c r="C28" s="110" t="s">
        <v>185</v>
      </c>
      <c r="D28" s="109" t="s">
        <v>37</v>
      </c>
      <c r="E28" s="111">
        <v>44301.052777777775</v>
      </c>
      <c r="F28" s="109" t="s">
        <v>39</v>
      </c>
      <c r="G28" s="109" t="s">
        <v>14</v>
      </c>
      <c r="H28" s="109"/>
      <c r="I28" s="109" t="s">
        <v>81</v>
      </c>
      <c r="J28" s="109"/>
      <c r="K28" s="109" t="s">
        <v>71</v>
      </c>
    </row>
    <row r="29" spans="1:11" ht="30" x14ac:dyDescent="0.25">
      <c r="A29" s="108">
        <v>26</v>
      </c>
      <c r="B29" s="109" t="s">
        <v>182</v>
      </c>
      <c r="C29" s="110" t="s">
        <v>183</v>
      </c>
      <c r="D29" s="109" t="s">
        <v>37</v>
      </c>
      <c r="E29" s="111">
        <v>44299.318055555559</v>
      </c>
      <c r="F29" s="109" t="s">
        <v>38</v>
      </c>
      <c r="G29" s="109" t="s">
        <v>15</v>
      </c>
      <c r="H29" s="109" t="s">
        <v>38</v>
      </c>
      <c r="I29" s="109"/>
      <c r="J29" s="109"/>
      <c r="K29" s="109" t="s">
        <v>71</v>
      </c>
    </row>
    <row r="30" spans="1:11" ht="30" x14ac:dyDescent="0.25">
      <c r="A30" s="108">
        <v>27</v>
      </c>
      <c r="B30" s="109" t="s">
        <v>174</v>
      </c>
      <c r="C30" s="110" t="s">
        <v>175</v>
      </c>
      <c r="D30" s="109" t="s">
        <v>37</v>
      </c>
      <c r="E30" s="111">
        <v>44296.228472222225</v>
      </c>
      <c r="F30" s="109" t="s">
        <v>39</v>
      </c>
      <c r="G30" s="109" t="s">
        <v>15</v>
      </c>
      <c r="H30" s="109" t="s">
        <v>39</v>
      </c>
      <c r="I30" s="109"/>
      <c r="J30" s="109"/>
      <c r="K30" s="109" t="s">
        <v>66</v>
      </c>
    </row>
    <row r="31" spans="1:11" ht="30" x14ac:dyDescent="0.25">
      <c r="A31" s="108">
        <v>28</v>
      </c>
      <c r="B31" s="109" t="s">
        <v>176</v>
      </c>
      <c r="C31" s="110" t="s">
        <v>177</v>
      </c>
      <c r="D31" s="109" t="s">
        <v>37</v>
      </c>
      <c r="E31" s="111">
        <v>44296.186805555553</v>
      </c>
      <c r="F31" s="109" t="s">
        <v>139</v>
      </c>
      <c r="G31" s="109" t="s">
        <v>14</v>
      </c>
      <c r="H31" s="109" t="s">
        <v>139</v>
      </c>
      <c r="I31" s="109"/>
      <c r="J31" s="109"/>
      <c r="K31" s="109" t="s">
        <v>71</v>
      </c>
    </row>
    <row r="32" spans="1:11" ht="45" x14ac:dyDescent="0.25">
      <c r="A32" s="108">
        <v>29</v>
      </c>
      <c r="B32" s="109" t="s">
        <v>178</v>
      </c>
      <c r="C32" s="110" t="s">
        <v>179</v>
      </c>
      <c r="D32" s="109" t="s">
        <v>37</v>
      </c>
      <c r="E32" s="111">
        <v>44296.116666666669</v>
      </c>
      <c r="F32" s="109" t="s">
        <v>139</v>
      </c>
      <c r="G32" s="109" t="s">
        <v>14</v>
      </c>
      <c r="H32" s="109"/>
      <c r="I32" s="109" t="s">
        <v>50</v>
      </c>
      <c r="J32" s="109"/>
      <c r="K32" s="109" t="s">
        <v>66</v>
      </c>
    </row>
    <row r="33" spans="1:11" ht="30" x14ac:dyDescent="0.25">
      <c r="A33" s="108">
        <v>30</v>
      </c>
      <c r="B33" s="109" t="s">
        <v>180</v>
      </c>
      <c r="C33" s="110" t="s">
        <v>181</v>
      </c>
      <c r="D33" s="109" t="s">
        <v>37</v>
      </c>
      <c r="E33" s="111">
        <v>44296.105555555558</v>
      </c>
      <c r="F33" s="109" t="s">
        <v>39</v>
      </c>
      <c r="G33" s="109" t="s">
        <v>14</v>
      </c>
      <c r="H33" s="109"/>
      <c r="I33" s="109" t="s">
        <v>50</v>
      </c>
      <c r="J33" s="109"/>
      <c r="K33" s="109" t="s">
        <v>66</v>
      </c>
    </row>
    <row r="34" spans="1:11" ht="30" x14ac:dyDescent="0.25">
      <c r="A34" s="108">
        <v>31</v>
      </c>
      <c r="B34" s="109" t="s">
        <v>171</v>
      </c>
      <c r="C34" s="110" t="s">
        <v>172</v>
      </c>
      <c r="D34" s="109" t="s">
        <v>37</v>
      </c>
      <c r="E34" s="111">
        <v>44295.149305555555</v>
      </c>
      <c r="F34" s="109" t="s">
        <v>38</v>
      </c>
      <c r="G34" s="109" t="s">
        <v>14</v>
      </c>
      <c r="H34" s="109" t="s">
        <v>38</v>
      </c>
      <c r="I34" s="109"/>
      <c r="J34" s="109"/>
      <c r="K34" s="109" t="s">
        <v>66</v>
      </c>
    </row>
    <row r="35" spans="1:11" ht="45" x14ac:dyDescent="0.25">
      <c r="A35" s="108">
        <v>32</v>
      </c>
      <c r="B35" s="109" t="s">
        <v>169</v>
      </c>
      <c r="C35" s="110" t="s">
        <v>170</v>
      </c>
      <c r="D35" s="109" t="s">
        <v>37</v>
      </c>
      <c r="E35" s="111">
        <v>44294.120833333334</v>
      </c>
      <c r="F35" s="109" t="s">
        <v>39</v>
      </c>
      <c r="G35" s="109" t="s">
        <v>69</v>
      </c>
      <c r="H35" s="109"/>
      <c r="I35" s="109" t="s">
        <v>50</v>
      </c>
      <c r="J35" s="109"/>
      <c r="K35" s="109" t="s">
        <v>70</v>
      </c>
    </row>
    <row r="36" spans="1:11" ht="60" x14ac:dyDescent="0.25">
      <c r="A36" s="108">
        <v>33</v>
      </c>
      <c r="B36" s="109" t="s">
        <v>150</v>
      </c>
      <c r="C36" s="110" t="s">
        <v>151</v>
      </c>
      <c r="D36" s="109" t="s">
        <v>37</v>
      </c>
      <c r="E36" s="111">
        <v>44282.46875</v>
      </c>
      <c r="F36" s="109" t="s">
        <v>38</v>
      </c>
      <c r="G36" s="109" t="s">
        <v>14</v>
      </c>
      <c r="H36" s="109"/>
      <c r="I36" s="109" t="s">
        <v>166</v>
      </c>
      <c r="J36" s="109"/>
      <c r="K36" s="109" t="s">
        <v>66</v>
      </c>
    </row>
    <row r="37" spans="1:11" ht="30" x14ac:dyDescent="0.25">
      <c r="A37" s="108">
        <v>34</v>
      </c>
      <c r="B37" s="109" t="s">
        <v>152</v>
      </c>
      <c r="C37" s="110" t="s">
        <v>153</v>
      </c>
      <c r="D37" s="109" t="s">
        <v>37</v>
      </c>
      <c r="E37" s="111">
        <v>44282.205555555556</v>
      </c>
      <c r="F37" s="109" t="s">
        <v>38</v>
      </c>
      <c r="G37" s="109" t="s">
        <v>14</v>
      </c>
      <c r="H37" s="109" t="s">
        <v>38</v>
      </c>
      <c r="I37" s="109"/>
      <c r="J37" s="109"/>
      <c r="K37" s="109" t="s">
        <v>66</v>
      </c>
    </row>
    <row r="38" spans="1:11" ht="45" x14ac:dyDescent="0.25">
      <c r="A38" s="108">
        <v>35</v>
      </c>
      <c r="B38" s="109" t="s">
        <v>142</v>
      </c>
      <c r="C38" s="110" t="s">
        <v>143</v>
      </c>
      <c r="D38" s="109" t="s">
        <v>37</v>
      </c>
      <c r="E38" s="111">
        <v>44280.244444444441</v>
      </c>
      <c r="F38" s="109" t="s">
        <v>39</v>
      </c>
      <c r="G38" s="109" t="s">
        <v>14</v>
      </c>
      <c r="H38" s="109"/>
      <c r="I38" s="109" t="s">
        <v>166</v>
      </c>
      <c r="J38" s="109" t="s">
        <v>98</v>
      </c>
      <c r="K38" s="109" t="s">
        <v>71</v>
      </c>
    </row>
    <row r="39" spans="1:11" ht="30" x14ac:dyDescent="0.25">
      <c r="A39" s="108">
        <v>36</v>
      </c>
      <c r="B39" s="109" t="s">
        <v>144</v>
      </c>
      <c r="C39" s="110" t="s">
        <v>145</v>
      </c>
      <c r="D39" s="109" t="s">
        <v>37</v>
      </c>
      <c r="E39" s="111">
        <v>44280.162499999999</v>
      </c>
      <c r="F39" s="109" t="s">
        <v>139</v>
      </c>
      <c r="G39" s="109" t="s">
        <v>173</v>
      </c>
      <c r="H39" s="109"/>
      <c r="I39" s="109" t="s">
        <v>216</v>
      </c>
      <c r="J39" s="109"/>
      <c r="K39" s="109" t="s">
        <v>101</v>
      </c>
    </row>
    <row r="40" spans="1:11" ht="45" x14ac:dyDescent="0.25">
      <c r="A40" s="108">
        <v>37</v>
      </c>
      <c r="B40" s="109" t="s">
        <v>146</v>
      </c>
      <c r="C40" s="110" t="s">
        <v>147</v>
      </c>
      <c r="D40" s="109" t="s">
        <v>37</v>
      </c>
      <c r="E40" s="111">
        <v>44280.134722222225</v>
      </c>
      <c r="F40" s="109" t="s">
        <v>38</v>
      </c>
      <c r="G40" s="109" t="s">
        <v>14</v>
      </c>
      <c r="H40" s="109" t="s">
        <v>38</v>
      </c>
      <c r="I40" s="109"/>
      <c r="J40" s="109"/>
      <c r="K40" s="109" t="s">
        <v>68</v>
      </c>
    </row>
    <row r="41" spans="1:11" ht="45" x14ac:dyDescent="0.25">
      <c r="A41" s="108">
        <v>38</v>
      </c>
      <c r="B41" s="109" t="s">
        <v>140</v>
      </c>
      <c r="C41" s="110" t="s">
        <v>141</v>
      </c>
      <c r="D41" s="109" t="s">
        <v>37</v>
      </c>
      <c r="E41" s="111">
        <v>44278.418749999997</v>
      </c>
      <c r="F41" s="109" t="s">
        <v>39</v>
      </c>
      <c r="G41" s="109" t="s">
        <v>14</v>
      </c>
      <c r="H41" s="109"/>
      <c r="I41" s="109" t="s">
        <v>148</v>
      </c>
      <c r="J41" s="109" t="s">
        <v>98</v>
      </c>
      <c r="K41" s="109" t="s">
        <v>71</v>
      </c>
    </row>
    <row r="42" spans="1:11" ht="45" x14ac:dyDescent="0.25">
      <c r="A42" s="108">
        <v>39</v>
      </c>
      <c r="B42" s="109" t="s">
        <v>137</v>
      </c>
      <c r="C42" s="110" t="s">
        <v>138</v>
      </c>
      <c r="D42" s="109" t="s">
        <v>37</v>
      </c>
      <c r="E42" s="111">
        <v>44278.368750000001</v>
      </c>
      <c r="F42" s="109" t="s">
        <v>139</v>
      </c>
      <c r="G42" s="109" t="s">
        <v>14</v>
      </c>
      <c r="H42" s="109"/>
      <c r="I42" s="109" t="s">
        <v>148</v>
      </c>
      <c r="J42" s="109" t="s">
        <v>98</v>
      </c>
      <c r="K42" s="109" t="s">
        <v>71</v>
      </c>
    </row>
    <row r="43" spans="1:11" ht="45" x14ac:dyDescent="0.25">
      <c r="A43" s="108">
        <v>40</v>
      </c>
      <c r="B43" s="109" t="s">
        <v>135</v>
      </c>
      <c r="C43" s="110" t="s">
        <v>136</v>
      </c>
      <c r="D43" s="109" t="s">
        <v>37</v>
      </c>
      <c r="E43" s="111">
        <v>44275.30972222222</v>
      </c>
      <c r="F43" s="109" t="s">
        <v>39</v>
      </c>
      <c r="G43" s="109" t="s">
        <v>14</v>
      </c>
      <c r="H43" s="109"/>
      <c r="I43" s="109" t="s">
        <v>186</v>
      </c>
      <c r="J43" s="109" t="s">
        <v>98</v>
      </c>
      <c r="K43" s="109" t="s">
        <v>71</v>
      </c>
    </row>
    <row r="44" spans="1:11" ht="30" x14ac:dyDescent="0.25">
      <c r="A44" s="108">
        <v>41</v>
      </c>
      <c r="B44" s="109" t="s">
        <v>113</v>
      </c>
      <c r="C44" s="110" t="s">
        <v>114</v>
      </c>
      <c r="D44" s="109" t="s">
        <v>37</v>
      </c>
      <c r="E44" s="111">
        <v>44274.355555555558</v>
      </c>
      <c r="F44" s="109" t="s">
        <v>112</v>
      </c>
      <c r="G44" s="109" t="s">
        <v>14</v>
      </c>
      <c r="H44" s="109" t="s">
        <v>112</v>
      </c>
      <c r="I44" s="109"/>
      <c r="J44" s="109" t="s">
        <v>98</v>
      </c>
      <c r="K44" s="109" t="s">
        <v>71</v>
      </c>
    </row>
    <row r="45" spans="1:11" x14ac:dyDescent="0.25">
      <c r="A45" s="108">
        <v>42</v>
      </c>
      <c r="B45" s="109" t="s">
        <v>115</v>
      </c>
      <c r="C45" s="110" t="s">
        <v>116</v>
      </c>
      <c r="D45" s="109" t="s">
        <v>37</v>
      </c>
      <c r="E45" s="111">
        <v>44274.253472222219</v>
      </c>
      <c r="F45" s="109" t="s">
        <v>117</v>
      </c>
      <c r="G45" s="109" t="s">
        <v>14</v>
      </c>
      <c r="H45" s="109" t="s">
        <v>117</v>
      </c>
      <c r="I45" s="109"/>
      <c r="J45" s="109"/>
      <c r="K45" s="109" t="s">
        <v>71</v>
      </c>
    </row>
    <row r="46" spans="1:11" x14ac:dyDescent="0.25">
      <c r="A46" s="108">
        <v>43</v>
      </c>
      <c r="B46" s="109" t="s">
        <v>118</v>
      </c>
      <c r="C46" s="110" t="s">
        <v>119</v>
      </c>
      <c r="D46" s="109" t="s">
        <v>37</v>
      </c>
      <c r="E46" s="111">
        <v>44274.228472222225</v>
      </c>
      <c r="F46" s="109" t="s">
        <v>117</v>
      </c>
      <c r="G46" s="109" t="s">
        <v>14</v>
      </c>
      <c r="H46" s="109" t="s">
        <v>117</v>
      </c>
      <c r="I46" s="109"/>
      <c r="J46" s="109"/>
      <c r="K46" s="109" t="s">
        <v>71</v>
      </c>
    </row>
    <row r="47" spans="1:11" ht="30" x14ac:dyDescent="0.25">
      <c r="A47" s="108">
        <v>44</v>
      </c>
      <c r="B47" s="109" t="s">
        <v>120</v>
      </c>
      <c r="C47" s="110" t="s">
        <v>121</v>
      </c>
      <c r="D47" s="109" t="s">
        <v>204</v>
      </c>
      <c r="E47" s="111">
        <v>44274.214583333334</v>
      </c>
      <c r="F47" s="109" t="s">
        <v>122</v>
      </c>
      <c r="G47" s="109" t="s">
        <v>15</v>
      </c>
      <c r="H47" s="109" t="s">
        <v>139</v>
      </c>
      <c r="I47" s="109"/>
      <c r="J47" s="109" t="s">
        <v>98</v>
      </c>
      <c r="K47" s="109" t="s">
        <v>71</v>
      </c>
    </row>
    <row r="48" spans="1:11" ht="30" x14ac:dyDescent="0.25">
      <c r="A48" s="108">
        <v>45</v>
      </c>
      <c r="B48" s="109" t="s">
        <v>123</v>
      </c>
      <c r="C48" s="110" t="s">
        <v>124</v>
      </c>
      <c r="D48" s="109" t="s">
        <v>37</v>
      </c>
      <c r="E48" s="111">
        <v>44274.213194444441</v>
      </c>
      <c r="F48" s="109" t="s">
        <v>122</v>
      </c>
      <c r="G48" s="109" t="s">
        <v>14</v>
      </c>
      <c r="H48" s="109" t="s">
        <v>122</v>
      </c>
      <c r="I48" s="109"/>
      <c r="J48" s="109"/>
      <c r="K48" s="109" t="s">
        <v>71</v>
      </c>
    </row>
    <row r="49" spans="1:11" x14ac:dyDescent="0.25">
      <c r="A49" s="108">
        <v>46</v>
      </c>
      <c r="B49" s="109" t="s">
        <v>125</v>
      </c>
      <c r="C49" s="110" t="s">
        <v>126</v>
      </c>
      <c r="D49" s="109" t="s">
        <v>37</v>
      </c>
      <c r="E49" s="111">
        <v>44274.211111111108</v>
      </c>
      <c r="F49" s="109" t="s">
        <v>122</v>
      </c>
      <c r="G49" s="109" t="s">
        <v>14</v>
      </c>
      <c r="H49" s="109" t="s">
        <v>122</v>
      </c>
      <c r="I49" s="109"/>
      <c r="J49" s="109"/>
      <c r="K49" s="109" t="s">
        <v>71</v>
      </c>
    </row>
    <row r="50" spans="1:11" ht="30" x14ac:dyDescent="0.25">
      <c r="A50" s="108">
        <v>47</v>
      </c>
      <c r="B50" s="109" t="s">
        <v>127</v>
      </c>
      <c r="C50" s="110" t="s">
        <v>128</v>
      </c>
      <c r="D50" s="109" t="s">
        <v>37</v>
      </c>
      <c r="E50" s="111">
        <v>44274.190972222219</v>
      </c>
      <c r="F50" s="109" t="s">
        <v>117</v>
      </c>
      <c r="G50" s="109" t="s">
        <v>14</v>
      </c>
      <c r="H50" s="109" t="s">
        <v>117</v>
      </c>
      <c r="I50" s="109"/>
      <c r="J50" s="109"/>
      <c r="K50" s="109" t="s">
        <v>71</v>
      </c>
    </row>
    <row r="51" spans="1:11" ht="30" x14ac:dyDescent="0.25">
      <c r="A51" s="108">
        <v>48</v>
      </c>
      <c r="B51" s="109" t="s">
        <v>129</v>
      </c>
      <c r="C51" s="110" t="s">
        <v>130</v>
      </c>
      <c r="D51" s="109" t="s">
        <v>37</v>
      </c>
      <c r="E51" s="111">
        <v>44274.177083333336</v>
      </c>
      <c r="F51" s="109" t="s">
        <v>117</v>
      </c>
      <c r="G51" s="109" t="s">
        <v>14</v>
      </c>
      <c r="H51" s="109" t="s">
        <v>117</v>
      </c>
      <c r="I51" s="109"/>
      <c r="J51" s="109"/>
      <c r="K51" s="109" t="s">
        <v>71</v>
      </c>
    </row>
    <row r="52" spans="1:11" ht="30" x14ac:dyDescent="0.25">
      <c r="A52" s="108">
        <v>49</v>
      </c>
      <c r="B52" s="109" t="s">
        <v>131</v>
      </c>
      <c r="C52" s="110" t="s">
        <v>132</v>
      </c>
      <c r="D52" s="109" t="s">
        <v>37</v>
      </c>
      <c r="E52" s="111">
        <v>44274.125</v>
      </c>
      <c r="F52" s="109" t="s">
        <v>84</v>
      </c>
      <c r="G52" s="109" t="s">
        <v>14</v>
      </c>
      <c r="H52" s="109" t="s">
        <v>139</v>
      </c>
      <c r="I52" s="109"/>
      <c r="J52" s="109"/>
      <c r="K52" s="109" t="s">
        <v>71</v>
      </c>
    </row>
    <row r="53" spans="1:11" ht="30" x14ac:dyDescent="0.25">
      <c r="A53" s="108">
        <v>50</v>
      </c>
      <c r="B53" s="109" t="s">
        <v>111</v>
      </c>
      <c r="C53" s="110" t="s">
        <v>133</v>
      </c>
      <c r="D53" s="109" t="s">
        <v>37</v>
      </c>
      <c r="E53" s="111">
        <v>44267.116666666669</v>
      </c>
      <c r="F53" s="109" t="s">
        <v>39</v>
      </c>
      <c r="G53" s="109" t="s">
        <v>14</v>
      </c>
      <c r="H53" s="109"/>
      <c r="I53" s="109" t="s">
        <v>166</v>
      </c>
      <c r="J53" s="109" t="s">
        <v>98</v>
      </c>
      <c r="K53" s="109" t="s">
        <v>71</v>
      </c>
    </row>
    <row r="54" spans="1:11" ht="30" x14ac:dyDescent="0.25">
      <c r="A54" s="108">
        <v>51</v>
      </c>
      <c r="B54" s="109" t="s">
        <v>99</v>
      </c>
      <c r="C54" s="110" t="s">
        <v>100</v>
      </c>
      <c r="D54" s="109" t="s">
        <v>37</v>
      </c>
      <c r="E54" s="111">
        <v>44265.433333333334</v>
      </c>
      <c r="F54" s="109" t="s">
        <v>39</v>
      </c>
      <c r="G54" s="109" t="s">
        <v>14</v>
      </c>
      <c r="H54" s="109"/>
      <c r="I54" s="109" t="s">
        <v>148</v>
      </c>
      <c r="J54" s="109" t="s">
        <v>98</v>
      </c>
      <c r="K54" s="109" t="s">
        <v>71</v>
      </c>
    </row>
    <row r="55" spans="1:11" ht="45" x14ac:dyDescent="0.25">
      <c r="A55" s="108">
        <v>52</v>
      </c>
      <c r="B55" s="109" t="s">
        <v>96</v>
      </c>
      <c r="C55" s="110" t="s">
        <v>97</v>
      </c>
      <c r="D55" s="109" t="s">
        <v>37</v>
      </c>
      <c r="E55" s="111">
        <v>44260.179166666669</v>
      </c>
      <c r="F55" s="109" t="s">
        <v>38</v>
      </c>
      <c r="G55" s="109" t="s">
        <v>14</v>
      </c>
      <c r="H55" s="109" t="s">
        <v>38</v>
      </c>
      <c r="I55" s="109"/>
      <c r="J55" s="109"/>
      <c r="K55" s="109" t="s">
        <v>66</v>
      </c>
    </row>
    <row r="56" spans="1:11" ht="30" x14ac:dyDescent="0.25">
      <c r="A56" s="108">
        <v>53</v>
      </c>
      <c r="B56" s="109" t="s">
        <v>92</v>
      </c>
      <c r="C56" s="110" t="s">
        <v>93</v>
      </c>
      <c r="D56" s="109" t="s">
        <v>37</v>
      </c>
      <c r="E56" s="111">
        <v>44252.148611111108</v>
      </c>
      <c r="F56" s="109" t="s">
        <v>38</v>
      </c>
      <c r="G56" s="109" t="s">
        <v>14</v>
      </c>
      <c r="H56" s="109" t="s">
        <v>39</v>
      </c>
      <c r="I56" s="109"/>
      <c r="J56" s="109" t="s">
        <v>98</v>
      </c>
      <c r="K56" s="109" t="s">
        <v>66</v>
      </c>
    </row>
    <row r="57" spans="1:11" ht="45" x14ac:dyDescent="0.25">
      <c r="A57" s="108">
        <v>54</v>
      </c>
      <c r="B57" s="109" t="s">
        <v>89</v>
      </c>
      <c r="C57" s="110" t="s">
        <v>134</v>
      </c>
      <c r="D57" s="109" t="s">
        <v>37</v>
      </c>
      <c r="E57" s="111">
        <v>44251.509027777778</v>
      </c>
      <c r="F57" s="109" t="s">
        <v>39</v>
      </c>
      <c r="G57" s="109" t="s">
        <v>14</v>
      </c>
      <c r="H57" s="109" t="s">
        <v>39</v>
      </c>
      <c r="I57" s="109"/>
      <c r="J57" s="109" t="s">
        <v>98</v>
      </c>
      <c r="K57" s="109" t="s">
        <v>66</v>
      </c>
    </row>
    <row r="58" spans="1:11" ht="45" x14ac:dyDescent="0.25">
      <c r="A58" s="108">
        <v>55</v>
      </c>
      <c r="B58" s="109" t="s">
        <v>90</v>
      </c>
      <c r="C58" s="110" t="s">
        <v>91</v>
      </c>
      <c r="D58" s="109" t="s">
        <v>37</v>
      </c>
      <c r="E58" s="111">
        <v>44251.28125</v>
      </c>
      <c r="F58" s="109" t="s">
        <v>38</v>
      </c>
      <c r="G58" s="109" t="s">
        <v>69</v>
      </c>
      <c r="H58" s="109" t="s">
        <v>107</v>
      </c>
      <c r="I58" s="109"/>
      <c r="J58" s="109"/>
      <c r="K58" s="109" t="s">
        <v>101</v>
      </c>
    </row>
    <row r="59" spans="1:11" ht="45" x14ac:dyDescent="0.25">
      <c r="A59" s="108">
        <v>56</v>
      </c>
      <c r="B59" s="109" t="s">
        <v>82</v>
      </c>
      <c r="C59" s="110" t="s">
        <v>83</v>
      </c>
      <c r="D59" s="109" t="s">
        <v>37</v>
      </c>
      <c r="E59" s="111">
        <v>44250.474305555559</v>
      </c>
      <c r="F59" s="109" t="s">
        <v>38</v>
      </c>
      <c r="G59" s="109" t="s">
        <v>14</v>
      </c>
      <c r="H59" s="109"/>
      <c r="I59" s="109" t="s">
        <v>81</v>
      </c>
      <c r="J59" s="109"/>
      <c r="K59" s="109" t="s">
        <v>101</v>
      </c>
    </row>
    <row r="60" spans="1:11" ht="45" x14ac:dyDescent="0.25">
      <c r="A60" s="108">
        <v>57</v>
      </c>
      <c r="B60" s="109" t="s">
        <v>75</v>
      </c>
      <c r="C60" s="110" t="s">
        <v>76</v>
      </c>
      <c r="D60" s="109" t="s">
        <v>37</v>
      </c>
      <c r="E60" s="111">
        <v>44246.507638888892</v>
      </c>
      <c r="F60" s="109" t="s">
        <v>38</v>
      </c>
      <c r="G60" s="109" t="s">
        <v>69</v>
      </c>
      <c r="H60" s="109"/>
      <c r="I60" s="109" t="s">
        <v>50</v>
      </c>
      <c r="J60" s="109"/>
      <c r="K60" s="109" t="s">
        <v>66</v>
      </c>
    </row>
    <row r="61" spans="1:11" ht="45" x14ac:dyDescent="0.25">
      <c r="A61" s="108">
        <v>58</v>
      </c>
      <c r="B61" s="109" t="s">
        <v>73</v>
      </c>
      <c r="C61" s="110" t="s">
        <v>74</v>
      </c>
      <c r="D61" s="109" t="s">
        <v>37</v>
      </c>
      <c r="E61" s="111">
        <v>44246.238194444442</v>
      </c>
      <c r="F61" s="109" t="s">
        <v>38</v>
      </c>
      <c r="G61" s="109" t="s">
        <v>69</v>
      </c>
      <c r="H61" s="109"/>
      <c r="I61" s="109" t="s">
        <v>50</v>
      </c>
      <c r="J61" s="109" t="s">
        <v>98</v>
      </c>
      <c r="K61" s="109" t="s">
        <v>71</v>
      </c>
    </row>
    <row r="62" spans="1:11" ht="45" x14ac:dyDescent="0.25">
      <c r="A62" s="108">
        <v>59</v>
      </c>
      <c r="B62" s="109" t="s">
        <v>35</v>
      </c>
      <c r="C62" s="110" t="s">
        <v>36</v>
      </c>
      <c r="D62" s="109" t="s">
        <v>37</v>
      </c>
      <c r="E62" s="111">
        <v>44238.337500000001</v>
      </c>
      <c r="F62" s="109" t="s">
        <v>38</v>
      </c>
      <c r="G62" s="109" t="s">
        <v>16</v>
      </c>
      <c r="H62" s="109" t="s">
        <v>38</v>
      </c>
      <c r="I62" s="109"/>
      <c r="J62" s="109"/>
      <c r="K62" s="109" t="s">
        <v>101</v>
      </c>
    </row>
    <row r="63" spans="1:11" ht="30" x14ac:dyDescent="0.25">
      <c r="A63" s="108">
        <v>60</v>
      </c>
      <c r="B63" s="109" t="s">
        <v>40</v>
      </c>
      <c r="C63" s="110" t="s">
        <v>41</v>
      </c>
      <c r="D63" s="109" t="s">
        <v>37</v>
      </c>
      <c r="E63" s="111">
        <v>44238.286111111112</v>
      </c>
      <c r="F63" s="109" t="s">
        <v>38</v>
      </c>
      <c r="G63" s="109" t="s">
        <v>14</v>
      </c>
      <c r="H63" s="109" t="s">
        <v>38</v>
      </c>
      <c r="I63" s="109"/>
      <c r="J63" s="109"/>
      <c r="K63" s="109" t="s">
        <v>101</v>
      </c>
    </row>
    <row r="64" spans="1:11" ht="45" x14ac:dyDescent="0.25">
      <c r="A64" s="108">
        <v>61</v>
      </c>
      <c r="B64" s="109" t="s">
        <v>42</v>
      </c>
      <c r="C64" s="110" t="s">
        <v>72</v>
      </c>
      <c r="D64" s="109" t="s">
        <v>37</v>
      </c>
      <c r="E64" s="111">
        <v>44237.490277777775</v>
      </c>
      <c r="F64" s="109" t="s">
        <v>38</v>
      </c>
      <c r="G64" s="109" t="s">
        <v>69</v>
      </c>
      <c r="H64" s="109" t="s">
        <v>38</v>
      </c>
      <c r="I64" s="109"/>
      <c r="J64" s="109"/>
      <c r="K64" s="109" t="s">
        <v>101</v>
      </c>
    </row>
    <row r="65" spans="1:11" ht="30" x14ac:dyDescent="0.25">
      <c r="A65" s="108">
        <v>62</v>
      </c>
      <c r="B65" s="109" t="s">
        <v>43</v>
      </c>
      <c r="C65" s="110" t="s">
        <v>44</v>
      </c>
      <c r="D65" s="109" t="s">
        <v>37</v>
      </c>
      <c r="E65" s="111">
        <v>44237.463888888888</v>
      </c>
      <c r="F65" s="109" t="s">
        <v>38</v>
      </c>
      <c r="G65" s="109" t="s">
        <v>14</v>
      </c>
      <c r="H65" s="109" t="s">
        <v>38</v>
      </c>
      <c r="I65" s="109"/>
      <c r="J65" s="109" t="s">
        <v>98</v>
      </c>
      <c r="K65" s="109" t="s">
        <v>71</v>
      </c>
    </row>
    <row r="66" spans="1:11" ht="30" x14ac:dyDescent="0.25">
      <c r="A66" s="108">
        <v>63</v>
      </c>
      <c r="B66" s="109" t="s">
        <v>46</v>
      </c>
      <c r="C66" s="110" t="s">
        <v>47</v>
      </c>
      <c r="D66" s="109" t="s">
        <v>37</v>
      </c>
      <c r="E66" s="111">
        <v>44233.45416666667</v>
      </c>
      <c r="F66" s="109" t="s">
        <v>38</v>
      </c>
      <c r="G66" s="109" t="s">
        <v>14</v>
      </c>
      <c r="H66" s="109" t="s">
        <v>38</v>
      </c>
      <c r="I66" s="109"/>
      <c r="J66" s="109"/>
      <c r="K66" s="109" t="s">
        <v>67</v>
      </c>
    </row>
    <row r="67" spans="1:11" ht="45" x14ac:dyDescent="0.25">
      <c r="A67" s="108">
        <v>64</v>
      </c>
      <c r="B67" s="109" t="s">
        <v>48</v>
      </c>
      <c r="C67" s="110" t="s">
        <v>49</v>
      </c>
      <c r="D67" s="109" t="s">
        <v>37</v>
      </c>
      <c r="E67" s="111">
        <v>44233.393750000003</v>
      </c>
      <c r="F67" s="109" t="s">
        <v>38</v>
      </c>
      <c r="G67" s="109" t="s">
        <v>14</v>
      </c>
      <c r="H67" s="109" t="s">
        <v>38</v>
      </c>
      <c r="I67" s="109"/>
      <c r="J67" s="109" t="s">
        <v>98</v>
      </c>
      <c r="K67" s="109" t="s">
        <v>66</v>
      </c>
    </row>
    <row r="68" spans="1:11" ht="30" x14ac:dyDescent="0.25">
      <c r="A68" s="108">
        <v>65</v>
      </c>
      <c r="B68" s="109" t="s">
        <v>51</v>
      </c>
      <c r="C68" s="110" t="s">
        <v>52</v>
      </c>
      <c r="D68" s="109" t="s">
        <v>37</v>
      </c>
      <c r="E68" s="111">
        <v>44233.282638888886</v>
      </c>
      <c r="F68" s="109" t="s">
        <v>45</v>
      </c>
      <c r="G68" s="109" t="s">
        <v>14</v>
      </c>
      <c r="H68" s="109" t="s">
        <v>139</v>
      </c>
      <c r="I68" s="109"/>
      <c r="J68" s="109" t="s">
        <v>98</v>
      </c>
      <c r="K68" s="109" t="s">
        <v>68</v>
      </c>
    </row>
    <row r="69" spans="1:11" ht="45" x14ac:dyDescent="0.25">
      <c r="A69" s="108">
        <v>66</v>
      </c>
      <c r="B69" s="109" t="s">
        <v>53</v>
      </c>
      <c r="C69" s="110" t="s">
        <v>54</v>
      </c>
      <c r="D69" s="109" t="s">
        <v>37</v>
      </c>
      <c r="E69" s="111">
        <v>44233.215277777781</v>
      </c>
      <c r="F69" s="109" t="s">
        <v>38</v>
      </c>
      <c r="G69" s="109" t="s">
        <v>14</v>
      </c>
      <c r="H69" s="109" t="s">
        <v>38</v>
      </c>
      <c r="I69" s="109"/>
      <c r="J69" s="109"/>
      <c r="K69" s="109" t="s">
        <v>68</v>
      </c>
    </row>
    <row r="70" spans="1:11" ht="30" x14ac:dyDescent="0.25">
      <c r="A70" s="108">
        <v>67</v>
      </c>
      <c r="B70" s="109" t="s">
        <v>55</v>
      </c>
      <c r="C70" s="110" t="s">
        <v>56</v>
      </c>
      <c r="D70" s="109" t="s">
        <v>37</v>
      </c>
      <c r="E70" s="111">
        <v>44232.114583333336</v>
      </c>
      <c r="F70" s="109" t="s">
        <v>38</v>
      </c>
      <c r="G70" s="109" t="s">
        <v>14</v>
      </c>
      <c r="H70" s="109"/>
      <c r="I70" s="109" t="s">
        <v>50</v>
      </c>
      <c r="J70" s="109" t="s">
        <v>98</v>
      </c>
      <c r="K70" s="109" t="s">
        <v>66</v>
      </c>
    </row>
    <row r="71" spans="1:11" ht="45" x14ac:dyDescent="0.25">
      <c r="A71" s="108">
        <v>68</v>
      </c>
      <c r="B71" s="109" t="s">
        <v>57</v>
      </c>
      <c r="C71" s="110" t="s">
        <v>94</v>
      </c>
      <c r="D71" s="109" t="s">
        <v>37</v>
      </c>
      <c r="E71" s="111">
        <v>44225.497916666667</v>
      </c>
      <c r="F71" s="109" t="s">
        <v>38</v>
      </c>
      <c r="G71" s="109" t="s">
        <v>69</v>
      </c>
      <c r="H71" s="109"/>
      <c r="I71" s="109" t="s">
        <v>50</v>
      </c>
      <c r="J71" s="109" t="s">
        <v>98</v>
      </c>
      <c r="K71" s="109" t="s">
        <v>66</v>
      </c>
    </row>
    <row r="72" spans="1:11" ht="30" x14ac:dyDescent="0.25">
      <c r="A72" s="108">
        <v>69</v>
      </c>
      <c r="B72" s="109" t="s">
        <v>58</v>
      </c>
      <c r="C72" s="110" t="s">
        <v>59</v>
      </c>
      <c r="D72" s="109" t="s">
        <v>37</v>
      </c>
      <c r="E72" s="111">
        <v>44223.324999999997</v>
      </c>
      <c r="F72" s="109" t="s">
        <v>38</v>
      </c>
      <c r="G72" s="109" t="s">
        <v>69</v>
      </c>
      <c r="H72" s="109"/>
      <c r="I72" s="109" t="s">
        <v>50</v>
      </c>
      <c r="J72" s="109"/>
      <c r="K72" s="109" t="s">
        <v>101</v>
      </c>
    </row>
    <row r="73" spans="1:11" ht="30" x14ac:dyDescent="0.25">
      <c r="A73" s="108">
        <v>70</v>
      </c>
      <c r="B73" s="109" t="s">
        <v>60</v>
      </c>
      <c r="C73" s="110" t="s">
        <v>95</v>
      </c>
      <c r="D73" s="109" t="s">
        <v>37</v>
      </c>
      <c r="E73" s="111">
        <v>44218.313194444447</v>
      </c>
      <c r="F73" s="109" t="s">
        <v>38</v>
      </c>
      <c r="G73" s="109" t="s">
        <v>14</v>
      </c>
      <c r="H73" s="109"/>
      <c r="I73" s="109" t="s">
        <v>81</v>
      </c>
      <c r="J73" s="109" t="s">
        <v>98</v>
      </c>
      <c r="K73" s="109" t="s">
        <v>66</v>
      </c>
    </row>
    <row r="74" spans="1:11" ht="30" x14ac:dyDescent="0.25">
      <c r="A74" s="108">
        <v>71</v>
      </c>
      <c r="B74" s="109" t="s">
        <v>61</v>
      </c>
      <c r="C74" s="110" t="s">
        <v>62</v>
      </c>
      <c r="D74" s="109" t="s">
        <v>37</v>
      </c>
      <c r="E74" s="111">
        <v>44218.227083333331</v>
      </c>
      <c r="F74" s="109" t="s">
        <v>45</v>
      </c>
      <c r="G74" s="109" t="s">
        <v>14</v>
      </c>
      <c r="H74" s="109"/>
      <c r="I74" s="109" t="s">
        <v>186</v>
      </c>
      <c r="J74" s="109" t="s">
        <v>98</v>
      </c>
      <c r="K74" s="109" t="s">
        <v>67</v>
      </c>
    </row>
  </sheetData>
  <autoFilter ref="B3:K74" xr:uid="{5E86A41B-764F-466D-AED3-4CB22D81D725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16"/>
  <sheetViews>
    <sheetView topLeftCell="A2" workbookViewId="0">
      <selection activeCell="B2" sqref="B2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48.375" style="5" bestFit="1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6" t="s">
        <v>215</v>
      </c>
    </row>
    <row r="3" spans="2:16" ht="16.5" thickBot="1" x14ac:dyDescent="0.3"/>
    <row r="4" spans="2:16" ht="16.5" thickBot="1" x14ac:dyDescent="0.3">
      <c r="B4" s="139" t="s">
        <v>158</v>
      </c>
      <c r="C4" s="140"/>
      <c r="D4" s="140"/>
      <c r="E4" s="141"/>
      <c r="F4" s="58"/>
      <c r="I4" s="142" t="s">
        <v>214</v>
      </c>
      <c r="J4" s="143"/>
      <c r="K4" s="143"/>
      <c r="L4" s="143"/>
      <c r="M4" s="143"/>
      <c r="N4" s="144"/>
      <c r="O4" s="58"/>
    </row>
    <row r="5" spans="2:16" x14ac:dyDescent="0.25">
      <c r="B5" s="72" t="s">
        <v>157</v>
      </c>
      <c r="C5" s="73" t="s">
        <v>149</v>
      </c>
      <c r="D5" s="137" t="s">
        <v>10</v>
      </c>
      <c r="E5" s="138"/>
      <c r="F5" s="58"/>
      <c r="I5" s="61"/>
      <c r="J5" s="62" t="s">
        <v>155</v>
      </c>
      <c r="K5" s="62" t="s">
        <v>154</v>
      </c>
      <c r="L5" s="63" t="s">
        <v>160</v>
      </c>
      <c r="M5" s="63" t="s">
        <v>161</v>
      </c>
      <c r="N5" s="63" t="s">
        <v>156</v>
      </c>
      <c r="O5" s="59"/>
      <c r="P5" s="52"/>
    </row>
    <row r="6" spans="2:16" x14ac:dyDescent="0.25">
      <c r="B6" s="74" t="s">
        <v>1</v>
      </c>
      <c r="C6" s="75" t="s">
        <v>167</v>
      </c>
      <c r="D6" s="69" t="s">
        <v>4</v>
      </c>
      <c r="E6" s="76" t="s">
        <v>167</v>
      </c>
      <c r="F6" s="81"/>
      <c r="I6" s="53" t="s">
        <v>162</v>
      </c>
      <c r="J6" s="54" t="s">
        <v>149</v>
      </c>
      <c r="K6" s="54" t="s">
        <v>149</v>
      </c>
      <c r="L6" s="54" t="s">
        <v>149</v>
      </c>
      <c r="M6" s="54" t="s">
        <v>149</v>
      </c>
      <c r="N6" s="55"/>
      <c r="O6" s="60"/>
      <c r="P6" s="52"/>
    </row>
    <row r="7" spans="2:16" x14ac:dyDescent="0.25">
      <c r="B7" s="74" t="s">
        <v>2</v>
      </c>
      <c r="C7" s="71" t="s">
        <v>167</v>
      </c>
      <c r="D7" s="69" t="s">
        <v>0</v>
      </c>
      <c r="E7" s="70" t="s">
        <v>167</v>
      </c>
      <c r="F7" s="82"/>
      <c r="I7" s="53" t="s">
        <v>163</v>
      </c>
      <c r="J7" s="54" t="s">
        <v>149</v>
      </c>
      <c r="K7" s="54" t="s">
        <v>149</v>
      </c>
      <c r="L7" s="54" t="s">
        <v>149</v>
      </c>
      <c r="M7" s="54" t="s">
        <v>149</v>
      </c>
      <c r="N7" s="55"/>
      <c r="O7" s="60"/>
      <c r="P7" s="52"/>
    </row>
    <row r="8" spans="2:16" ht="16.5" thickBot="1" x14ac:dyDescent="0.3">
      <c r="B8" s="74" t="s">
        <v>3</v>
      </c>
      <c r="C8" s="75" t="s">
        <v>167</v>
      </c>
      <c r="D8" s="69" t="s">
        <v>5</v>
      </c>
      <c r="E8" s="76" t="s">
        <v>167</v>
      </c>
      <c r="F8" s="81"/>
      <c r="I8" s="56" t="s">
        <v>164</v>
      </c>
      <c r="J8" s="54" t="s">
        <v>149</v>
      </c>
      <c r="K8" s="54" t="s">
        <v>149</v>
      </c>
      <c r="L8" s="54" t="s">
        <v>149</v>
      </c>
      <c r="M8" s="54" t="s">
        <v>149</v>
      </c>
      <c r="N8" s="57"/>
      <c r="O8" s="60"/>
    </row>
    <row r="9" spans="2:16" ht="15.75" customHeight="1" thickBot="1" x14ac:dyDescent="0.3">
      <c r="B9" s="77" t="s">
        <v>9</v>
      </c>
      <c r="C9" s="78" t="s">
        <v>167</v>
      </c>
      <c r="D9" s="79" t="s">
        <v>8</v>
      </c>
      <c r="E9" s="80" t="s">
        <v>167</v>
      </c>
      <c r="F9" s="81"/>
      <c r="I9" s="56" t="s">
        <v>165</v>
      </c>
      <c r="J9" s="54" t="s">
        <v>149</v>
      </c>
      <c r="K9" s="54" t="s">
        <v>149</v>
      </c>
      <c r="L9" s="54" t="s">
        <v>149</v>
      </c>
      <c r="M9" s="54" t="s">
        <v>149</v>
      </c>
      <c r="N9" s="64"/>
      <c r="O9" s="60"/>
    </row>
    <row r="10" spans="2:16" x14ac:dyDescent="0.25">
      <c r="I10" s="65" t="s">
        <v>159</v>
      </c>
    </row>
    <row r="15" spans="2:16" x14ac:dyDescent="0.25">
      <c r="D15" s="15"/>
      <c r="E15" s="15"/>
    </row>
    <row r="16" spans="2:16" x14ac:dyDescent="0.25">
      <c r="D16" s="15"/>
      <c r="E16" s="15"/>
    </row>
  </sheetData>
  <mergeCells count="3">
    <mergeCell ref="D5:E5"/>
    <mergeCell ref="B4:E4"/>
    <mergeCell ref="I4:N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FED4D5-2C4C-4832-A658-F25DA5126908}"/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2021-05-12T00:14:59Z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