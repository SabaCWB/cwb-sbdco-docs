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19200" windowHeight="11520" tabRatio="901" firstSheet="8"/>
  </bookViews>
  <sheets>
    <sheet name="Revision Control" sheetId="1" r:id="rId1"/>
    <sheet name="List Values" sheetId="3" r:id="rId2"/>
    <sheet name="1. Entry Page" sheetId="41" r:id="rId3"/>
    <sheet name="2. Landing Page" sheetId="2" r:id="rId4"/>
    <sheet name="3. Existing Cust. Check" sheetId="42" r:id="rId5"/>
    <sheet name="4. Contact Info" sheetId="5" r:id="rId6"/>
    <sheet name="4a. Mobile Verify" sheetId="35" r:id="rId7"/>
    <sheet name="5. Qualifying Questions" sheetId="9" r:id="rId8"/>
    <sheet name="6. IDScan" sheetId="11" r:id="rId9"/>
    <sheet name="7. Name &amp; Address" sheetId="12" r:id="rId10"/>
    <sheet name="DEPRECATED Address" sheetId="13" r:id="rId11"/>
    <sheet name="8. Birthday &amp; SIN" sheetId="14" r:id="rId12"/>
    <sheet name="9. Account Options" sheetId="18" r:id="rId13"/>
    <sheet name="10. eConsent" sheetId="16" r:id="rId14"/>
    <sheet name="11. Alternate IDV" sheetId="29" r:id="rId15"/>
    <sheet name="12. Flinks" sheetId="31" r:id="rId16"/>
    <sheet name="13. Manual IDV" sheetId="36" r:id="rId17"/>
    <sheet name="14. Dynamic Disclosures" sheetId="17" r:id="rId18"/>
    <sheet name="A. Generic Error" sheetId="22" r:id="rId19"/>
    <sheet name="B. Manual Review" sheetId="23" r:id="rId20"/>
    <sheet name="C. Decline" sheetId="24" r:id="rId21"/>
    <sheet name="D. Cancel" sheetId="26" r:id="rId22"/>
    <sheet name="E. Save" sheetId="27" r:id="rId23"/>
    <sheet name="F. Resume" sheetId="28" r:id="rId24"/>
    <sheet name="G. Time Out" sheetId="33" r:id="rId25"/>
    <sheet name="H. Progress" sheetId="34" r:id="rId26"/>
    <sheet name="I. Previously Submitted" sheetId="37" r:id="rId27"/>
  </sheets>
  <externalReferences>
    <externalReference r:id="rId28"/>
  </externalReferences>
  <definedNames>
    <definedName name="_xlnm._FilterDatabase" localSheetId="2" hidden="1">'1. Entry Page'!$A$6:$P$6</definedName>
    <definedName name="_xlnm._FilterDatabase" localSheetId="13" hidden="1">'10. eConsent'!$A$6:$P$15</definedName>
    <definedName name="_xlnm._FilterDatabase" localSheetId="17" hidden="1">'14. Dynamic Disclosures'!$A$6:$P$6</definedName>
    <definedName name="_xlnm._FilterDatabase" localSheetId="6" hidden="1">'4a. Mobile Verify'!$A$6:$P$6</definedName>
    <definedName name="_xlnm._FilterDatabase" localSheetId="11" hidden="1">'8. Birthday &amp; SIN'!$A$6:$P$13</definedName>
    <definedName name="_xlnm._FilterDatabase" localSheetId="12" hidden="1">'9. Account Options'!$A$6:$P$13</definedName>
    <definedName name="_xlnm._FilterDatabase" localSheetId="18" hidden="1">'A. Generic Error'!$A$6:$P$9</definedName>
    <definedName name="_xlnm._FilterDatabase" localSheetId="19" hidden="1">'B. Manual Review'!$A$6:$P$9</definedName>
    <definedName name="_xlnm._FilterDatabase" localSheetId="20" hidden="1">'C. Decline'!$A$6:$P$9</definedName>
    <definedName name="_xlnm._FilterDatabase" localSheetId="21" hidden="1">'D. Cancel'!$A$6:$P$9</definedName>
    <definedName name="_xlnm._FilterDatabase" localSheetId="22" hidden="1">'E. Save'!$A$6:$P$9</definedName>
    <definedName name="_xlnm._FilterDatabase" localSheetId="23" hidden="1">'F. Resume'!$A$6:$P$6</definedName>
    <definedName name="_xlnm._FilterDatabase" localSheetId="24" hidden="1">'G. Time Out'!$A$6:$P$6</definedName>
    <definedName name="_xlnm._FilterDatabase" localSheetId="25" hidden="1">'H. Progress'!$A$6:$P$6</definedName>
    <definedName name="_xlnm._FilterDatabase" localSheetId="26" hidden="1">'I. Previously Submitted'!$A$6:$P$6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5" i="9" l="1"/>
  <c r="B16" i="9"/>
  <c r="B17" i="9"/>
  <c r="B14" i="9"/>
  <c r="B11" i="12" l="1"/>
  <c r="B41" i="12"/>
  <c r="B40" i="12"/>
  <c r="B38" i="12"/>
  <c r="B37" i="12"/>
  <c r="B36" i="12"/>
  <c r="B35" i="12"/>
  <c r="B34" i="12"/>
  <c r="B33" i="12"/>
  <c r="B32" i="12"/>
  <c r="B31" i="12"/>
  <c r="B29" i="12"/>
  <c r="B28" i="12"/>
  <c r="B27" i="12"/>
  <c r="B26" i="12"/>
  <c r="B25" i="12"/>
  <c r="B24" i="12"/>
  <c r="B23" i="12"/>
  <c r="B22" i="12"/>
  <c r="B20" i="12"/>
  <c r="B19" i="12"/>
  <c r="B18" i="12"/>
  <c r="B17" i="12"/>
  <c r="B16" i="12"/>
  <c r="B15" i="12"/>
  <c r="B14" i="12"/>
  <c r="B13" i="12"/>
  <c r="B12" i="5" l="1"/>
  <c r="B13" i="5"/>
  <c r="B14" i="42" l="1"/>
  <c r="B13" i="42"/>
  <c r="B12" i="42"/>
  <c r="B11" i="42"/>
  <c r="B10" i="42"/>
  <c r="B9" i="42"/>
  <c r="B8" i="42"/>
  <c r="B7" i="42"/>
  <c r="B10" i="13" l="1"/>
  <c r="B12" i="2"/>
  <c r="B11" i="2"/>
  <c r="B10" i="2"/>
  <c r="B8" i="41"/>
  <c r="B11" i="41"/>
  <c r="B12" i="41"/>
  <c r="B10" i="41"/>
  <c r="B9" i="41"/>
  <c r="B7" i="41"/>
  <c r="B15" i="17" l="1"/>
  <c r="B10" i="31"/>
  <c r="B11" i="31"/>
  <c r="B10" i="37" l="1"/>
  <c r="B9" i="37"/>
  <c r="B8" i="37"/>
  <c r="B7" i="37"/>
  <c r="B7" i="36" l="1"/>
  <c r="B8" i="36"/>
  <c r="B10" i="18"/>
  <c r="B9" i="18"/>
  <c r="B11" i="14"/>
  <c r="B12" i="29" l="1"/>
  <c r="B9" i="36"/>
  <c r="B9" i="29"/>
  <c r="B13" i="29"/>
  <c r="B11" i="29"/>
  <c r="B10" i="29"/>
  <c r="B8" i="29"/>
  <c r="B7" i="29"/>
  <c r="B13" i="11" l="1"/>
  <c r="B12" i="11"/>
  <c r="B12" i="35" l="1"/>
  <c r="B10" i="35"/>
  <c r="B11" i="35"/>
  <c r="B9" i="35"/>
  <c r="B8" i="35"/>
  <c r="B7" i="35"/>
  <c r="B7" i="34" l="1"/>
  <c r="B10" i="33" l="1"/>
  <c r="B8" i="33"/>
  <c r="B9" i="33"/>
  <c r="B7" i="33"/>
  <c r="B9" i="31" l="1"/>
  <c r="B11" i="28"/>
  <c r="B10" i="28"/>
  <c r="B9" i="28"/>
  <c r="B8" i="28"/>
  <c r="B7" i="28"/>
  <c r="B16" i="17"/>
  <c r="B14" i="17"/>
  <c r="B13" i="17"/>
  <c r="B12" i="17"/>
  <c r="B11" i="17"/>
  <c r="B10" i="17"/>
  <c r="B9" i="17"/>
  <c r="B8" i="17"/>
  <c r="B7" i="17"/>
  <c r="B10" i="5"/>
  <c r="B8" i="31" l="1"/>
  <c r="B7" i="31"/>
  <c r="B15" i="11"/>
  <c r="B14" i="11"/>
  <c r="B11" i="11"/>
  <c r="B10" i="11"/>
  <c r="B9" i="11"/>
  <c r="B8" i="11"/>
  <c r="B7" i="11"/>
  <c r="B10" i="16" l="1"/>
  <c r="B11" i="16"/>
  <c r="B12" i="16"/>
  <c r="B26" i="13" l="1"/>
  <c r="B25" i="13"/>
  <c r="B10" i="27" l="1"/>
  <c r="B7" i="27"/>
  <c r="B9" i="27"/>
  <c r="B8" i="27"/>
  <c r="B7" i="26"/>
  <c r="B9" i="26"/>
  <c r="B8" i="26"/>
  <c r="B10" i="24"/>
  <c r="B7" i="24"/>
  <c r="B9" i="24"/>
  <c r="B8" i="24"/>
  <c r="B7" i="23"/>
  <c r="B9" i="23"/>
  <c r="B8" i="23"/>
  <c r="B10" i="22"/>
  <c r="B7" i="22"/>
  <c r="B9" i="22"/>
  <c r="B8" i="22"/>
  <c r="B12" i="9" l="1"/>
  <c r="B11" i="9"/>
  <c r="B10" i="9"/>
  <c r="B9" i="9" l="1"/>
  <c r="B11" i="18" l="1"/>
  <c r="B13" i="18"/>
  <c r="B12" i="18"/>
  <c r="B8" i="18"/>
  <c r="B7" i="18"/>
  <c r="B9" i="16" l="1"/>
  <c r="B13" i="16"/>
  <c r="B14" i="16" l="1"/>
  <c r="B15" i="16"/>
  <c r="B8" i="16"/>
  <c r="B7" i="16"/>
  <c r="B12" i="14" l="1"/>
  <c r="B13" i="14"/>
  <c r="B10" i="14"/>
  <c r="B9" i="14"/>
  <c r="B8" i="14"/>
  <c r="B7" i="14"/>
  <c r="B35" i="13"/>
  <c r="B34" i="13"/>
  <c r="B33" i="13"/>
  <c r="B32" i="13"/>
  <c r="B31" i="13"/>
  <c r="B30" i="13"/>
  <c r="B29" i="13"/>
  <c r="B28" i="13"/>
  <c r="B24" i="13" l="1"/>
  <c r="B23" i="13"/>
  <c r="B22" i="13"/>
  <c r="B21" i="13"/>
  <c r="B20" i="13"/>
  <c r="B19" i="13"/>
  <c r="B17" i="13" l="1"/>
  <c r="B16" i="13"/>
  <c r="B15" i="13"/>
  <c r="B14" i="13"/>
  <c r="B13" i="13"/>
  <c r="B12" i="13"/>
  <c r="B37" i="13"/>
  <c r="B38" i="13"/>
  <c r="B11" i="13"/>
  <c r="B8" i="13"/>
  <c r="B7" i="13"/>
  <c r="B10" i="12"/>
  <c r="B9" i="12"/>
  <c r="B8" i="12"/>
  <c r="B7" i="12"/>
  <c r="B7" i="9" l="1"/>
  <c r="B8" i="9" l="1"/>
  <c r="B11" i="5"/>
  <c r="B9" i="5"/>
  <c r="B8" i="5"/>
  <c r="B7" i="5"/>
  <c r="B16" i="2"/>
  <c r="B8" i="2" l="1"/>
  <c r="B14" i="2"/>
  <c r="B15" i="2"/>
  <c r="B7" i="2"/>
</calcChain>
</file>

<file path=xl/sharedStrings.xml><?xml version="1.0" encoding="utf-8"?>
<sst xmlns="http://schemas.openxmlformats.org/spreadsheetml/2006/main" count="2835" uniqueCount="436">
  <si>
    <t>Field Specification - Revision Control Form</t>
  </si>
  <si>
    <t>Document Version</t>
  </si>
  <si>
    <t>Revision Date</t>
  </si>
  <si>
    <t>Change Summary</t>
  </si>
  <si>
    <t>Updated by</t>
  </si>
  <si>
    <t>Approved by</t>
  </si>
  <si>
    <t>Page Name</t>
  </si>
  <si>
    <t>Page ID</t>
  </si>
  <si>
    <t>Visibility</t>
  </si>
  <si>
    <t>Landing Page</t>
  </si>
  <si>
    <t>Always</t>
  </si>
  <si>
    <t>ID</t>
  </si>
  <si>
    <t>Field ID</t>
  </si>
  <si>
    <t>Type</t>
  </si>
  <si>
    <t>Permitted Data</t>
  </si>
  <si>
    <t>Inline Help</t>
  </si>
  <si>
    <t>Length</t>
  </si>
  <si>
    <t>Display</t>
  </si>
  <si>
    <t>Default Value</t>
  </si>
  <si>
    <t>Mandatory</t>
  </si>
  <si>
    <t>Mandatory Message</t>
  </si>
  <si>
    <t>Validation Rule/Regex</t>
  </si>
  <si>
    <t>Validation Message</t>
  </si>
  <si>
    <t>Business Rules</t>
  </si>
  <si>
    <t>Comments/Questions</t>
  </si>
  <si>
    <t>Caption</t>
  </si>
  <si>
    <t>Status</t>
  </si>
  <si>
    <t>Field Specification - List Values</t>
  </si>
  <si>
    <t>Field Type</t>
  </si>
  <si>
    <t>Section (sub-heading)</t>
  </si>
  <si>
    <t>Checkbox</t>
  </si>
  <si>
    <t>Section (footer)</t>
  </si>
  <si>
    <t>Radio button group</t>
  </si>
  <si>
    <t>Text field</t>
  </si>
  <si>
    <t>Static text</t>
  </si>
  <si>
    <t>Drop-down list</t>
  </si>
  <si>
    <t>Static text with parameter(s)</t>
  </si>
  <si>
    <t>n/a</t>
  </si>
  <si>
    <t>Updated</t>
  </si>
  <si>
    <t>Field Status</t>
  </si>
  <si>
    <t>No Change</t>
  </si>
  <si>
    <t>Removed</t>
  </si>
  <si>
    <t>New</t>
  </si>
  <si>
    <t>Button</t>
  </si>
  <si>
    <t>Story ID</t>
  </si>
  <si>
    <t>WIP (see comments)</t>
  </si>
  <si>
    <t>Contact Info</t>
  </si>
  <si>
    <t>Always Show</t>
  </si>
  <si>
    <t>Progress bar</t>
  </si>
  <si>
    <t>Progress Bar</t>
  </si>
  <si>
    <t>Email address:</t>
  </si>
  <si>
    <t>Numbers, spaces, dashes, parentheses</t>
  </si>
  <si>
    <t>Alphanumeric</t>
  </si>
  <si>
    <t>54 characters</t>
  </si>
  <si>
    <t>Yes</t>
  </si>
  <si>
    <t>A) 10 digits
B) 14 incl. spaces, dashes, parentheses</t>
  </si>
  <si>
    <t>North American Numbering Plan (NANP) format:
"NXX-NXX-XXXX" 
or "(NXX) NXX-XXXX", 
where N is 2 to 9, and X is 0 to 9.</t>
  </si>
  <si>
    <t>Please provide a valid email address</t>
  </si>
  <si>
    <t>Please provide a valid mobile phone number</t>
  </si>
  <si>
    <t>Back</t>
  </si>
  <si>
    <t>Next</t>
  </si>
  <si>
    <t>Existing Customer Check</t>
  </si>
  <si>
    <t>A) Yes
B) No</t>
  </si>
  <si>
    <t>Checkbox Group</t>
  </si>
  <si>
    <t>A) Checked
B) Unchecked</t>
  </si>
  <si>
    <t>Qualifying Questions</t>
  </si>
  <si>
    <t>No Selection</t>
  </si>
  <si>
    <t>ID Scan Form</t>
  </si>
  <si>
    <t>If IDScan returned results, use the scanned first name. Otherwise leave blank.</t>
  </si>
  <si>
    <t>If IDScan returned results, use the scanned last name. Otherwise leave blank.</t>
  </si>
  <si>
    <t>Please tell us your first name.</t>
  </si>
  <si>
    <t>Please tell us your last name.</t>
  </si>
  <si>
    <t>Pre-populate this field with IDScan data if it's available.</t>
  </si>
  <si>
    <t>Address</t>
  </si>
  <si>
    <t xml:space="preserve"> </t>
  </si>
  <si>
    <t>If IDScan returned results, use the scanned address. Otherwise leave blank.</t>
  </si>
  <si>
    <t>Unit</t>
  </si>
  <si>
    <t>City</t>
  </si>
  <si>
    <t>Province</t>
  </si>
  <si>
    <t>Postal code</t>
  </si>
  <si>
    <t>Text field (with suggestions)</t>
  </si>
  <si>
    <t>Please tell us your physical address</t>
  </si>
  <si>
    <t>Street number</t>
  </si>
  <si>
    <t>Yes, if using manual address mode</t>
  </si>
  <si>
    <t>Yes, if not in manual address mode</t>
  </si>
  <si>
    <t>no</t>
  </si>
  <si>
    <t>Value must come from a drop down list of valid Canadian provinces. Must not be Quebec.</t>
  </si>
  <si>
    <t>Have you lived at this address for more than 2 years?</t>
  </si>
  <si>
    <t>Please tell us whether you've lived at your current address for more than 2 years.</t>
  </si>
  <si>
    <t>Please tell us your previous physical address</t>
  </si>
  <si>
    <t>What is your mailing address?</t>
  </si>
  <si>
    <t>No</t>
  </si>
  <si>
    <t>Please tell us your mailing address</t>
  </si>
  <si>
    <t>Birthday &amp; SIN</t>
  </si>
  <si>
    <t>What is your Social Insurance Number (SIN)?</t>
  </si>
  <si>
    <t>Date Picker</t>
  </si>
  <si>
    <t>Date</t>
  </si>
  <si>
    <t>Numeric</t>
  </si>
  <si>
    <t>none</t>
  </si>
  <si>
    <t>Applicant must be over 18 years of age.</t>
  </si>
  <si>
    <t>Sorry, we are unable to provide banking services to individuals under the age of 18.</t>
  </si>
  <si>
    <t>Applicants must be over the age of 18 to proceed with the DCO process.</t>
  </si>
  <si>
    <t>Please choose a security question.</t>
  </si>
  <si>
    <t>None</t>
  </si>
  <si>
    <t>Use this field after the creation of the T24 CIF, to create a new record in CR.CONTACT.LOG with the following values:
A) CONTACT.CLIENT = [CIF for new client]
B) CONTACT.TYPE = "NOTES"
C) CONTACT.STATUS = "NEW"
D) CONTACT.DESC = "Security Question"
E) CONTACT.NOTES = [Field value]
F) CONTACT.CHANNEL = "EMAIL"
G) CONTACT. DATE = [Date of the application]</t>
  </si>
  <si>
    <t>What is your current occupation?</t>
  </si>
  <si>
    <t>Please tell us your current occupation</t>
  </si>
  <si>
    <t>Text must be a valid entry in the Canadian National Occupancy Classification (NOC) list.</t>
  </si>
  <si>
    <t>eConsent</t>
  </si>
  <si>
    <t>Hyperlink to the following URL:
https://www.cwb.com/about-us/privacy</t>
  </si>
  <si>
    <t>Unchecked</t>
  </si>
  <si>
    <t>Please check the box to agree to the terms and conditions provided.</t>
  </si>
  <si>
    <t>Users must check this box to proceed with their application.</t>
  </si>
  <si>
    <t>Dynamic Disclosures</t>
  </si>
  <si>
    <t>Account Options</t>
  </si>
  <si>
    <t>Only if the user's product selection includes a chequing and/or savings account.</t>
  </si>
  <si>
    <t>"Yes", if the user is applying for a chequing account.
"No", otherwise.</t>
  </si>
  <si>
    <t>Ready to get started? Here's what you'll need:</t>
  </si>
  <si>
    <t>1. Your personal details
2. Optionally, your Social Insurance Number and drivers license
3. About 5 minutes of your time</t>
  </si>
  <si>
    <t>Let's go!</t>
  </si>
  <si>
    <t>Step 1: Let's get started</t>
  </si>
  <si>
    <t>To be displayed only for existing Motive Financial clients. 
On click, navigate to the URL:
https://www.motivefinancial.com/OnlineBanking/</t>
  </si>
  <si>
    <t>Static text with hyperlink</t>
  </si>
  <si>
    <t>Step 2: How may we reach you?</t>
  </si>
  <si>
    <t>Email address format:
"local-part@DomainName"</t>
  </si>
  <si>
    <t>Mobile phone number:</t>
  </si>
  <si>
    <t>If you take a break from this application, we'll send a one-time password to your mobile phone, so that you may resume later.</t>
  </si>
  <si>
    <t>First name:</t>
  </si>
  <si>
    <t>Last name:</t>
  </si>
  <si>
    <t>What is your home address?</t>
  </si>
  <si>
    <t>What was your previous home address?</t>
  </si>
  <si>
    <t>Please tell us whether your mailing address matches your home address.</t>
  </si>
  <si>
    <t>Empty</t>
  </si>
  <si>
    <t>Please provide a city name</t>
  </si>
  <si>
    <t xml:space="preserve">Please provide a street name or P.O. box number </t>
  </si>
  <si>
    <t>Please provide a province/state name</t>
  </si>
  <si>
    <t>Please provide a street number</t>
  </si>
  <si>
    <t>Please provide a street name</t>
  </si>
  <si>
    <t>Please select a province</t>
  </si>
  <si>
    <t>Please provide a postal code</t>
  </si>
  <si>
    <t>Street name</t>
  </si>
  <si>
    <t>If value = "Quebec" then
"Sorry, but we are unable to offer banking services to residents of Quebec at this time."</t>
  </si>
  <si>
    <t>Street name or P.O. box</t>
  </si>
  <si>
    <t>We are unable to open accounts for residents of Quebec.</t>
  </si>
  <si>
    <t>This may include being a citizen of another country or having dual citizenship.</t>
  </si>
  <si>
    <t>As Required (in response to unexpected errors, or Fraud check failures)</t>
  </si>
  <si>
    <t>Oops! Something went wrong.</t>
  </si>
  <si>
    <t>Image</t>
  </si>
  <si>
    <t>Section (heading)</t>
  </si>
  <si>
    <t>Generic Error Message</t>
  </si>
  <si>
    <t>Manual Review Message</t>
  </si>
  <si>
    <t>Decline Message</t>
  </si>
  <si>
    <t>Thank you for applying.</t>
  </si>
  <si>
    <t>Cancel Message</t>
  </si>
  <si>
    <t>As Required (in response to a user-initiated cancellation)</t>
  </si>
  <si>
    <t>We're sorry to see you go.</t>
  </si>
  <si>
    <t>Save Message</t>
  </si>
  <si>
    <t>As Required (in response to a user-initiated save)</t>
  </si>
  <si>
    <t>Your application is safe with us!</t>
  </si>
  <si>
    <t>Resume Page</t>
  </si>
  <si>
    <t>As Required (in response to a user-initiated application resume)</t>
  </si>
  <si>
    <t>A little help from our friends</t>
  </si>
  <si>
    <t>We weren't able to process your application.</t>
  </si>
  <si>
    <t>We're reviewing your application.</t>
  </si>
  <si>
    <t>Unfortunately, at this time we can't approve your application.</t>
  </si>
  <si>
    <t>We've cancelled your application, but if you change your mind, please call us at 1 (877) 441-2249, or email us at Help@MotiveFinancial.com.</t>
  </si>
  <si>
    <t>We saved your information, so you can pick up where you left off when you come back.</t>
  </si>
  <si>
    <t>Check your email for details about how you may resume your application when you're ready.
Hope to see you soon!</t>
  </si>
  <si>
    <t>Please tell us your birthday</t>
  </si>
  <si>
    <t>Choose your security question:</t>
  </si>
  <si>
    <t>Answer your security question:</t>
  </si>
  <si>
    <t>Please provide an answer to your security question.</t>
  </si>
  <si>
    <t>Do you need a debit card?</t>
  </si>
  <si>
    <t>You won't need a debit card for online banking, but you will need one to use an ATM or make Interac purchases.
If you choose "yes", we'll mail your card via Canada Post.</t>
  </si>
  <si>
    <t>We use this information to verify your identity.</t>
  </si>
  <si>
    <t>We use this information to verify your identity, and that you are at least 18 years of age.</t>
  </si>
  <si>
    <t>Must match the format: 
###-###-###
Number provided must pass Luhn (Mod 10) Algorithm validation.</t>
  </si>
  <si>
    <t>A</t>
  </si>
  <si>
    <t>B</t>
  </si>
  <si>
    <t>C</t>
  </si>
  <si>
    <t>D</t>
  </si>
  <si>
    <t>E</t>
  </si>
  <si>
    <t>F</t>
  </si>
  <si>
    <t>The email address should by hyperlinked.</t>
  </si>
  <si>
    <r>
      <t xml:space="preserve">For assistance, please call Motive Financial at 1 (877) 441-2249 or email </t>
    </r>
    <r>
      <rPr>
        <u/>
        <sz val="11"/>
        <color theme="1"/>
        <rFont val="Calibri"/>
        <family val="2"/>
        <scheme val="minor"/>
      </rPr>
      <t>Help@MotiveFinancial.com</t>
    </r>
    <r>
      <rPr>
        <sz val="11"/>
        <color theme="1"/>
        <rFont val="Calibri"/>
        <family val="2"/>
        <scheme val="minor"/>
      </rPr>
      <t>, and we will be happy to help you complete your application.</t>
    </r>
  </si>
  <si>
    <r>
      <t xml:space="preserve">Please check your email for some next steps, contact a Motive Financial team member at 1 (877) 441-2249, or email us at </t>
    </r>
    <r>
      <rPr>
        <u/>
        <sz val="11"/>
        <color theme="1"/>
        <rFont val="Calibri"/>
        <family val="2"/>
        <scheme val="minor"/>
      </rPr>
      <t>Help@MotiveFinancial.com</t>
    </r>
    <r>
      <rPr>
        <sz val="11"/>
        <color theme="1"/>
        <rFont val="Calibri"/>
        <family val="2"/>
        <scheme val="minor"/>
      </rPr>
      <t>.</t>
    </r>
  </si>
  <si>
    <t>Value must come from a drop down list of valid Canadian provinces. Note: "Quebec" is a valid selection for previous address.</t>
  </si>
  <si>
    <t>Value must come from a drop down list of valid Canadian provinces. Note: "Quebec" is a valid selection for mailing address.</t>
  </si>
  <si>
    <t>- Collect and maintain the information submitted in this application</t>
  </si>
  <si>
    <t>- Use my information to confirm my identity</t>
  </si>
  <si>
    <t>- Use my information to confirm my credit score</t>
  </si>
  <si>
    <t>We require this information to open your new account</t>
  </si>
  <si>
    <t>We will use 3rd party sources to validate and confirm the information you submitted</t>
  </si>
  <si>
    <t>We will utilize a deposit inquiry credit score for opening your account</t>
  </si>
  <si>
    <t>On click, start Fraud Check procedures.</t>
  </si>
  <si>
    <t>When is your birthday? (MM/DD/YYYY)</t>
  </si>
  <si>
    <t xml:space="preserve">Only if a value has been selected in the question selection drop-down (field 11.5). </t>
  </si>
  <si>
    <t>Text typed into this field should be used to search the NOC list in real time.  As the user types, relevant NOC list suggestions should appear in a drop-down list.
The data stored as part of this selection should be the numeric NOC (code), not the text-based occupation description.</t>
  </si>
  <si>
    <t>Your occupation helps us to identify you and secure your account.</t>
  </si>
  <si>
    <t>ID Scan Control</t>
  </si>
  <si>
    <t>Skip this step</t>
  </si>
  <si>
    <t>B) Unchecked</t>
  </si>
  <si>
    <t>Yes
(see business logic)</t>
  </si>
  <si>
    <t>Please scan/upload an image of your driver's license, or click "skip this step" to proceed.</t>
  </si>
  <si>
    <t>This is the on-page IDScan control that manages image uploading, scanning, and preview.
Mandatory field: before leaving the page, users must either complete an ID scan using this control, or opt out using the skip checkbox.</t>
  </si>
  <si>
    <t>Mandatory field: before leaving the page, users must either check this box or complete an ID scan/upload using the IDScan control.</t>
  </si>
  <si>
    <t>Alternate IDV Selection</t>
  </si>
  <si>
    <t>As Required (in response to events that trigger the manual review workflow)</t>
  </si>
  <si>
    <t>Only visible when primary IDV fails</t>
  </si>
  <si>
    <t>Flinks IDV</t>
  </si>
  <si>
    <t>I, &lt;&lt;First Name&gt;&gt; &lt;&lt;Last Name&gt;&gt;, agree to the following:</t>
  </si>
  <si>
    <t>Hyperlink the word "here" to the following URL:
https://www.motivefinancial.com/Legal/Agreements/InternetBankingAccountAgreement/</t>
  </si>
  <si>
    <t>- I am a tax resident of Canada</t>
  </si>
  <si>
    <t xml:space="preserve">We are required under Canadian tax law to collect 
this information to determine the tax residency of 
all our account holders.  If you need help with your
 tax residency information for these questions, see 
Income Tax Folio, S5-F1-C1, Determining an Individual’s 
Residence Status, which you can find on the CRA website. </t>
  </si>
  <si>
    <t>- I am not a tax resident or citizen of the United States</t>
  </si>
  <si>
    <t>- I am not a tax resident of a jurisdiction other than Canada or the United States</t>
  </si>
  <si>
    <t>- I am not opening this account(s) for use by or benefit of a third party</t>
  </si>
  <si>
    <t>Display "Oops.svg" image</t>
  </si>
  <si>
    <t>Display "reviewing.svg" image</t>
  </si>
  <si>
    <t>Display "thankyou.svg" image</t>
  </si>
  <si>
    <t>Display "sorry.svg" image</t>
  </si>
  <si>
    <t>Display "safe-app.svg" image</t>
  </si>
  <si>
    <t>Welcome Back!</t>
  </si>
  <si>
    <t>A PIN code was sent to the mobile number you provided when you started your application. Please enter it below to continue with your application.</t>
  </si>
  <si>
    <t>&lt;&lt;no caption&gt;&gt;</t>
  </si>
  <si>
    <t>Continue</t>
  </si>
  <si>
    <t>On click, validate PIN, and resume application.</t>
  </si>
  <si>
    <t>Resend PIN</t>
  </si>
  <si>
    <t>On click, resend PIN to mobile number.</t>
  </si>
  <si>
    <t>Flinks IDV Widget</t>
  </si>
  <si>
    <t>Is your mailing address the same as your home address?</t>
  </si>
  <si>
    <t>G</t>
  </si>
  <si>
    <t>As Required (in response to a user inactivity)</t>
  </si>
  <si>
    <t>Application Time Out Page</t>
  </si>
  <si>
    <t>Your application is going to expire in</t>
  </si>
  <si>
    <t>Continue with your application to keep things moving</t>
  </si>
  <si>
    <t>On click, close the time out page, and return the user to the page they were working on when the time out event occurred.</t>
  </si>
  <si>
    <t>Timer</t>
  </si>
  <si>
    <t>&lt;&lt;Countdown timer - m:ss &gt;&gt;</t>
  </si>
  <si>
    <t>Display the time remaining until application expiry,  using the format m:ss (example: 1:07).</t>
  </si>
  <si>
    <t>Verification Progress Page</t>
  </si>
  <si>
    <t>As Required (in response to system processing)</t>
  </si>
  <si>
    <t>H</t>
  </si>
  <si>
    <t>Display "Motive_Loading_gif_500x300.gif" image.</t>
  </si>
  <si>
    <t>Mobile Verification Page</t>
  </si>
  <si>
    <t>Please verify your mobile device</t>
  </si>
  <si>
    <t>Google reCAPTCHA</t>
  </si>
  <si>
    <t>[Sample barcode instruction text - decision pending]</t>
  </si>
  <si>
    <t>The SIN you provided is not valid. Please provide a valid SIN.</t>
  </si>
  <si>
    <t>I'd like to sign into my other bank or financial institution to verify my identity.</t>
  </si>
  <si>
    <t>Please select your preferred method of identity verification</t>
  </si>
  <si>
    <t>Mandatory field.
The user must select one of the radio buttons from this group.</t>
  </si>
  <si>
    <t>Manual IDV</t>
  </si>
  <si>
    <t>We'll use your email address to send you status updates and important information about your application.</t>
  </si>
  <si>
    <t>Pre-populate this field with IDScan data if it's available.
Use Canada Post Address Verification API to provide suggestions for typed addresses.
A) Do not include PO boxes in API response
B) Include Quebec addresses in API response</t>
  </si>
  <si>
    <t>Use Canada Post Address Verification API to provide suggestions for typed addresses.
A) Do not include PO boxes in API response
B) Include Quebec addresses in API response</t>
  </si>
  <si>
    <t>Use Canada Post Address Verification API to provide suggestions for typed addresses.
A) Include PO boxes in API response
B) Include Quebec addresses in API response</t>
  </si>
  <si>
    <t>This is the Flinks widget that manages identity verification.
Mandatory field: before leaving the page, users must complete the Flinks IDV process.</t>
  </si>
  <si>
    <r>
      <t xml:space="preserve">For more information about how we use and protect your information, please view our </t>
    </r>
    <r>
      <rPr>
        <u/>
        <sz val="11"/>
        <color theme="1"/>
        <rFont val="Calibri"/>
        <family val="2"/>
        <scheme val="minor"/>
      </rPr>
      <t>privacy statement</t>
    </r>
  </si>
  <si>
    <t xml:space="preserve">A) What was your favorite restaurant in college or university?
B) What is your father's middle name?
C) In what city was your mother born? 
D) What is the first name of your oldest nephew?
E) What was the name of your first pet?
F) What was the color of your first car?
</t>
  </si>
  <si>
    <t xml:space="preserve">If you ever need to contact a Motive Financial representative, we may use this question to help confirm your identity and secure your account. </t>
  </si>
  <si>
    <t>More about you</t>
  </si>
  <si>
    <t>We were unable to verify some of your personal information.  To protect your identity, we need a little help from you. Please choose one of the methods below to continue.</t>
  </si>
  <si>
    <t>Confirmation Message (modal)</t>
  </si>
  <si>
    <t>To complete your application</t>
  </si>
  <si>
    <t>Display "Email Envelope.svg"</t>
  </si>
  <si>
    <t>If specified address is a Quebec address then
"Sorry, but we are unable to offer banking services to residents of Quebec at this time."</t>
  </si>
  <si>
    <t>No change</t>
  </si>
  <si>
    <t>I</t>
  </si>
  <si>
    <t>Previously Submitted Page</t>
  </si>
  <si>
    <t>&lt;&lt;Application Number&gt;&gt;</t>
  </si>
  <si>
    <t>Please include this number in any inquiries about your application.</t>
  </si>
  <si>
    <r>
      <t xml:space="preserve">This application has already been submitted.
For assistance, please e-mail Motive Financial at </t>
    </r>
    <r>
      <rPr>
        <u/>
        <sz val="11"/>
        <color theme="1"/>
        <rFont val="Calibri"/>
        <family val="2"/>
        <scheme val="minor"/>
      </rPr>
      <t>Help@MotiveFinancial.com</t>
    </r>
    <r>
      <rPr>
        <sz val="11"/>
        <color theme="1"/>
        <rFont val="Calibri"/>
        <family val="2"/>
        <scheme val="minor"/>
      </rPr>
      <t>, or call 1 (877) 441-2249.
Your reference number is:</t>
    </r>
  </si>
  <si>
    <t>Submission Complete</t>
  </si>
  <si>
    <t>As Required (in response to a user trying to access a previously submitted application)</t>
  </si>
  <si>
    <t>Resend Token</t>
  </si>
  <si>
    <t>[Sample barcode image]</t>
  </si>
  <si>
    <t>We can scan the back of your driver's licence to quickly fill in your personal information for you.  Upload an image or skip this step to fill in your information yourself.</t>
  </si>
  <si>
    <t>On click, navigate to the "eConsent" page.</t>
  </si>
  <si>
    <t>On click, navigate back to the "Birthday &amp; SIN" page</t>
  </si>
  <si>
    <t>On click, navigate back to "Account Options" page</t>
  </si>
  <si>
    <t>On click, start account provisioning</t>
  </si>
  <si>
    <t>Only when a response has not been received from the Flinks service.
Hide button when response arrives.</t>
  </si>
  <si>
    <t>Entry Page</t>
  </si>
  <si>
    <t>We just sent a 4-7 digit token to your mobile number. Please enter it below to continue with your application.</t>
  </si>
  <si>
    <t>Text field (masked input)</t>
  </si>
  <si>
    <t>Please provide the token we sent to your mobile number</t>
  </si>
  <si>
    <t>On click, resend token to mobile number.</t>
  </si>
  <si>
    <t>Always show</t>
  </si>
  <si>
    <t>On click, navigate to "Existing Customer Check" page</t>
  </si>
  <si>
    <t>About your application</t>
  </si>
  <si>
    <t>&lt;&lt;Product Name&gt;&gt;</t>
  </si>
  <si>
    <t>&lt;&lt;Product Description&gt;&gt;</t>
  </si>
  <si>
    <t>For &lt;&lt;Intended Use&gt;&gt;</t>
  </si>
  <si>
    <t>4a</t>
  </si>
  <si>
    <t>Step 3: First things first</t>
  </si>
  <si>
    <t>Step 4: Help us help you</t>
  </si>
  <si>
    <t>Step 5: All about you</t>
  </si>
  <si>
    <t>Step 6: What's your address?</t>
  </si>
  <si>
    <t>Step 7: Your fine print</t>
  </si>
  <si>
    <t>Step 8:  Almost there</t>
  </si>
  <si>
    <t>Step 9:  With your permission…</t>
  </si>
  <si>
    <t>Step 10:  Our not-so-fine print</t>
  </si>
  <si>
    <t>Please tell us whether you live with your co-applicant</t>
  </si>
  <si>
    <t>Yes, if radio button 8.11 is "No", and not in manual address mode.</t>
  </si>
  <si>
    <t>Yes, if radio button 8.19 is "No", and not in manual address mode.</t>
  </si>
  <si>
    <t>Do you live at the same address as &lt;&lt;Primary applicant F.Name&gt;&gt; &lt;&lt;Primary applicant L.Name&gt;&gt;?
(&lt;&lt;Primary applicant address&gt;&gt;)</t>
  </si>
  <si>
    <t>Progressive reveal (after previous questions answered)</t>
  </si>
  <si>
    <t>- At least 18 years of age</t>
  </si>
  <si>
    <t>- Not a resident of Quebec</t>
  </si>
  <si>
    <t>- Not required to file taxes in any country other than Canada</t>
  </si>
  <si>
    <t xml:space="preserve">- Not opening the account(s) for use by, or benefit of a third party </t>
  </si>
  <si>
    <t>0.1</t>
  </si>
  <si>
    <t>Cloned for use with Small Business DCO</t>
  </si>
  <si>
    <t>Ian Hicks</t>
  </si>
  <si>
    <t>Welcome to CWB!</t>
  </si>
  <si>
    <t>Review language</t>
  </si>
  <si>
    <t>Display a separate instance of the following fields, for each account and complementary product on the primary application form</t>
  </si>
  <si>
    <t>Summary will need to be expanded to include complementary products, plus other auth signers and any delegated persons</t>
  </si>
  <si>
    <t>Review language and content.
Needs to include Applicant, other Auth Signers and any delegated individuals, if applicable.</t>
  </si>
  <si>
    <t>Review language and content.
Needs to include all accounts and complementary products selected</t>
  </si>
  <si>
    <t>May need to have a decline path, if the auth signer chooses not to accept</t>
  </si>
  <si>
    <t>This would essentially lead to the "authenticated path" if they are existing - i.e. skip all of the IDV and related activity then continue in the SB flow.</t>
  </si>
  <si>
    <t>CWB-xxx</t>
  </si>
  <si>
    <t>Review for language</t>
  </si>
  <si>
    <t>Are you already a CWB or Motive Financial personal customer?</t>
  </si>
  <si>
    <t>A) Yes - CWB
B) Yes - Motive
C) No</t>
  </si>
  <si>
    <t>Review for language
Confirm there will be 2 choices</t>
  </si>
  <si>
    <t>Please log in to online banking to continue</t>
  </si>
  <si>
    <t>Only if radio button 2.3 is "Yes" (A) or (B)</t>
  </si>
  <si>
    <t>To be displayed only for existing CWB or Motive Financial personal clients.</t>
  </si>
  <si>
    <t>Confirm there will be 2 choices</t>
  </si>
  <si>
    <t>Only if radio button 2.3 is "No"</t>
  </si>
  <si>
    <t>On click, navigate to the "Contact Info" page (CWB-xxx)</t>
  </si>
  <si>
    <t>Review for language and navigation</t>
  </si>
  <si>
    <t>On click, navigate to the ??</t>
  </si>
  <si>
    <t>Log into CWB</t>
  </si>
  <si>
    <t>Only if radio button 2.3 is "(A) Yes - CWB"</t>
  </si>
  <si>
    <t xml:space="preserve">To be displayed only for existing CWB clients. 
On click, navigate to the URL:
</t>
  </si>
  <si>
    <t>Authenticated path TBC - likely skip IDV pages</t>
  </si>
  <si>
    <t>Log into Motive</t>
  </si>
  <si>
    <t>Only if radio button 2.3 is "(B) Yes - Motive"</t>
  </si>
  <si>
    <t>We just sent a 4-7 digit token to your mobile number.  Please enter it below to continue with your application.
If you take a break from this application, we'll send a one-time password to your mobile phone, so that you may resume later.</t>
  </si>
  <si>
    <t>Review navigation</t>
  </si>
  <si>
    <t>Before we continue, we need to confirm that you meet the following required conditions to open a CWB business account:
You are:</t>
  </si>
  <si>
    <t>CWB is unable to open an account that will be used by, or on behalf of, anyone other than the named account holder.</t>
  </si>
  <si>
    <t>Based on equivalent Co-App page</t>
  </si>
  <si>
    <t>I'd like to provide CWB with additional proof of my identity.</t>
  </si>
  <si>
    <t>By choosing this option, you will have to provide additional documents to CWB to complete your online application. This will require you to send copies of documents to be verified by CWB.
Are you sure you want to do this?
Yes, I'm sure                            No, go back</t>
  </si>
  <si>
    <t>Only for users that select Manual IDV on the Alternate IDV page</t>
  </si>
  <si>
    <t>Review language and content</t>
  </si>
  <si>
    <t>Review language and content
URL to be confirmed</t>
  </si>
  <si>
    <t>- I have read and agree to the CWB Internet Banking Account Agreement, which can be found here</t>
  </si>
  <si>
    <t>By submission of this application, I certify that the tax jurisdiction information provided is correct and complete. I will notify CWB within 30 days of any change in circumstances that causes this tax jurisdiction information to become incomplete or inaccurate.</t>
  </si>
  <si>
    <t>If you'd like to apply to CWB again, you may do so in six months.</t>
  </si>
  <si>
    <t>As Required</t>
  </si>
  <si>
    <t>Small Business Digital Client Onboarding (DCO) - Authorized Signer Form</t>
  </si>
  <si>
    <t>Small Business Digital Client Onboarding (DCO)</t>
  </si>
  <si>
    <t>I, &lt;&lt;Applicant Name&gt;&gt;, agree to allow CWB to:</t>
  </si>
  <si>
    <t>CWBSB-60</t>
  </si>
  <si>
    <t>Text/verbiage updates for SB CWBSB-96</t>
  </si>
  <si>
    <t xml:space="preserve">You’re applying with &lt;&lt;Primary applicant F.Name&gt;&gt; &lt;&lt;Primary applicant L.Name&gt;&gt;, to open the following business account(s): </t>
  </si>
  <si>
    <t>CWBSB-61</t>
  </si>
  <si>
    <t>Text/verbiage updates for SB CWBSB-xx</t>
  </si>
  <si>
    <t>CWBSB-62</t>
  </si>
  <si>
    <t>On click, navigate to "Qualifying Questions" page (CWBSB-63)</t>
  </si>
  <si>
    <t>Text/verbiage updates for SB CWBSB-97</t>
  </si>
  <si>
    <t>CWBSB-63</t>
  </si>
  <si>
    <t>We are only able to open accounts for residents of Canada.</t>
  </si>
  <si>
    <t>- A resident of Canada</t>
  </si>
  <si>
    <t>Removed for Small Business use: tax residency is not required for authorized signers on a business account.</t>
  </si>
  <si>
    <t>Contact info to be confirmed</t>
  </si>
  <si>
    <t>Navigation TBC</t>
  </si>
  <si>
    <t>Changed to "resident of Canada" instead of "tax resident" (tax residency not required for auth signers).</t>
  </si>
  <si>
    <t>On click, navigate to "xxx" page</t>
  </si>
  <si>
    <t>On click, navigate to "Auth Signer Address" page (CWBSB-65)</t>
  </si>
  <si>
    <t>CWBSB-71</t>
  </si>
  <si>
    <t>Text/verbiage updates for SB CWBSB-98</t>
  </si>
  <si>
    <t>1.0 WIP</t>
  </si>
  <si>
    <t>CWBSB-166</t>
  </si>
  <si>
    <t>CWBSB-167</t>
  </si>
  <si>
    <t>On click, navigate to "Auth Signer Qualifying Questions" page (CWBSB-63)</t>
  </si>
  <si>
    <t>On click, navigate to "Auth Signer Contact Info" page (CWBSB-166)</t>
  </si>
  <si>
    <t>On click, navigate back to "Contact Info" page (CWBSB-166)</t>
  </si>
  <si>
    <t>CWBSB-64</t>
  </si>
  <si>
    <t>What's your address?</t>
  </si>
  <si>
    <t>Name &amp; Address</t>
  </si>
  <si>
    <t>Deprecated for Auth Signer</t>
  </si>
  <si>
    <t>Only if manual address mode is enabled on field 7.7 (current address).</t>
  </si>
  <si>
    <t>Only if radio button 7.14 is "No".</t>
  </si>
  <si>
    <t>Only if radio button 7.14 is "No", and manual address mode is enabled on field 7.15 (previous address).</t>
  </si>
  <si>
    <t>Only if radio button 7.22 is "No".</t>
  </si>
  <si>
    <t>Only if radio button 7.22 is "No", and manual address mode is enabled on field 7.23 (mailing address).</t>
  </si>
  <si>
    <t>On click, navigate to "Name &amp; Address" page (CWBSB-64)</t>
  </si>
  <si>
    <t>DEPRECATED</t>
  </si>
  <si>
    <t>N/A</t>
  </si>
  <si>
    <t>On click, navigate to "Existing Customer Check" page CWBSB-xx</t>
  </si>
  <si>
    <t>Show auth signer e-mail address as provided by primary applicant.</t>
  </si>
  <si>
    <t>Show auth signer mobile number as provided by primary applicant.</t>
  </si>
  <si>
    <t>On click, apply the following conditional logic:
A) If the mobile number has not been verified (user changed their number), navigate to Auth Signer "Mobile Verification" page CWBSB-167
B) If the mobile number has been verified or is the same one originally provided by the primary applicant, navigate to "Qualifying Questions" page CWBSB-63</t>
  </si>
  <si>
    <t>Text/verbiage updates CWBSB-172</t>
  </si>
  <si>
    <t>Subject to business rules in Auth Signer Contact Info CWBSB-166</t>
  </si>
  <si>
    <t>On click, navigate to "Auth Signer ID Scan" page (CWBSB-62)</t>
  </si>
  <si>
    <t>On click, navigate to "Auth Signer Birthday &amp; SIN" page (CWBSB-71)</t>
  </si>
  <si>
    <r>
      <t xml:space="preserve">If you would like to update your contact information, you may do so now.
We'll use this information to communicate with you about this application on an ongoing basis, in accordance with our </t>
    </r>
    <r>
      <rPr>
        <u/>
        <sz val="11"/>
        <color theme="1"/>
        <rFont val="Calibri"/>
        <family val="2"/>
        <scheme val="minor"/>
      </rPr>
      <t>privacy statement</t>
    </r>
    <r>
      <rPr>
        <sz val="11"/>
        <color theme="1"/>
        <rFont val="Calibri"/>
        <family val="2"/>
        <scheme val="minor"/>
      </rPr>
      <t>.</t>
    </r>
  </si>
  <si>
    <t>Text/verbiage updates CWBSB-173</t>
  </si>
  <si>
    <t>Combined page, based on personal/Motive Name and Address pages</t>
  </si>
  <si>
    <t>Combined with Name for Small Business - see CWBSB-64 previous tab</t>
  </si>
  <si>
    <t>1.1 WIP</t>
  </si>
  <si>
    <t>Initial review of reusable pages from personal (co-app):
1. Entry page
6. ID Scan
9. Birthday &amp; SIN</t>
  </si>
  <si>
    <t>Additional reusable pages identified from personal (co-app):
4. Contact Info
4a. Mobile Verify
7. Name &amp; Address (combined page, based on separate personal name and address pages)
Renumbered Birthday &amp; SIN page to (8) due to deprecated address page.</t>
  </si>
  <si>
    <t>Christina Mullin</t>
  </si>
  <si>
    <t>CWBSB-72</t>
  </si>
  <si>
    <t>We are unable to open accounts online for individuals under 18 years of age.</t>
  </si>
  <si>
    <r>
      <t xml:space="preserve">Please review the list above and confirm that you meet all of the conditions by checking this box. For more information, please contact CWB at </t>
    </r>
    <r>
      <rPr>
        <sz val="11"/>
        <rFont val="Calibri"/>
        <family val="2"/>
        <scheme val="minor"/>
      </rPr>
      <t>1 (866) 843-3917.</t>
    </r>
  </si>
  <si>
    <t>If box remains unchecked, if user clicks Next, display mandatory message and do not navigate to the next page.
If box is checked, allow navigation to next page as detailed below.</t>
  </si>
  <si>
    <t>On click, and check box 5.8 is unchecked, display mandatory message (described above) and remain on page.
On click, and check box 5.8 is checked, navigate to "ID Scan" page (CWBSB-62)</t>
  </si>
  <si>
    <t>Yes, I meet all of the above criteria</t>
  </si>
  <si>
    <t>Text/verbiage updates for SB CWBSB-222</t>
  </si>
  <si>
    <t>1.2 WIP</t>
  </si>
  <si>
    <t>Final language to be confirmed</t>
  </si>
  <si>
    <t>Final URL to be confirmed.</t>
  </si>
  <si>
    <t>Text/verbiage updates - CWBSB-223</t>
  </si>
  <si>
    <t>CWBSB-228</t>
  </si>
  <si>
    <t>CWBSB-229</t>
  </si>
  <si>
    <t>On click, navigate to one of the following pages, based on the user's radio button selection:
A) "Flinks" page (CWBSB-229)
B) "Manual IDV" (CWBSB-230)</t>
  </si>
  <si>
    <t>If the user selects radio button 11.6 and clicks "Next" (11.8), this text should be displayed in a modal confirmation box (pop-up or overlay, for example).  
The confirmation should include the two buttons underlined in the caption column.  
Clicking "Yes, I'm sure" should navigate the user to the next page in the journey flow (Manual IDV page).
 Clicking "No, go back" should cancel the navigation action, and return the user to the Alternate IDV page (this page).</t>
  </si>
  <si>
    <t>After the user clicks "Next", if radio button 11.6 has been selected.</t>
  </si>
  <si>
    <t>On Click...
Navigate back to the Alternate IDV page (CWBSB-228)</t>
  </si>
  <si>
    <t>On click, navigate to "Dynamic Disclosures" page (CWBSB-73)</t>
  </si>
  <si>
    <t>CWBSB-230</t>
  </si>
  <si>
    <t>Text/verbiage updates CWBSB-</t>
  </si>
  <si>
    <r>
      <t xml:space="preserve">Please send one of the following documents to </t>
    </r>
    <r>
      <rPr>
        <u/>
        <sz val="11"/>
        <color theme="1"/>
        <rFont val="Calibri"/>
        <family val="2"/>
        <scheme val="minor"/>
      </rPr>
      <t>Help@CWBank.com</t>
    </r>
    <r>
      <rPr>
        <sz val="11"/>
        <color theme="1"/>
        <rFont val="Calibri"/>
        <family val="2"/>
        <scheme val="minor"/>
      </rPr>
      <t xml:space="preserve"> (only original electronic copies will be accepted):
- Credit Card Statement
- Bank Account Statement
- Loan Account Statement
- Utility Bill (for example, electricity, water, telecommunications)
The above information and additional instructions will be sent to the e-mail address you provided with your application.  If you have any questions, please contact us at 1 (866) 843-3917.</t>
    </r>
  </si>
  <si>
    <t>Image asset for this page is to be confirmed.</t>
  </si>
  <si>
    <t>Pending finalization of page template/navigation</t>
  </si>
  <si>
    <t>Additional reusable pages identified from personal (co-app):
5. Qualifying Questions
10. eConsent
11. Alternate IDV
12. Flinks
13. Manual IDV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</si>
</sst>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10" x14ac:knownFonts="1">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sz val="14"/>
      <color theme="1"/>
      <name val="Calibri"/>
      <family val="2"/>
      <scheme val="minor"/>
    </font>
    <font>
      <sz val="14"/>
      <name val="Calibri"/>
      <family val="2"/>
      <scheme val="minor"/>
    </font>
    <font>
      <sz val="14"/>
      <color rgb="FFFF0000"/>
      <name val="Calibri"/>
      <family val="2"/>
      <scheme val="minor"/>
    </font>
    <font>
      <u/>
      <sz val="11"/>
      <color theme="1"/>
      <name val="Calibri"/>
      <family val="2"/>
      <scheme val="minor"/>
    </font>
    <font>
      <sz val="11"/>
      <name val="Calibri"/>
      <family val="2"/>
      <scheme val="minor"/>
    </font>
    <font>
      <b/>
      <sz val="11"/>
      <color theme="0" tint="-4.9989318521683403E-2"/>
      <name val="Calibri"/>
      <family val="2"/>
      <scheme val="minor"/>
    </font>
  </fonts>
  <fills count="7">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1" tint="0.34998626667073579"/>
        <bgColor indexed="64"/>
      </patternFill>
    </fill>
    <fill>
      <patternFill patternType="solid">
        <fgColor theme="7" tint="0.39997558519241921"/>
        <bgColor indexed="64"/>
      </patternFill>
    </fill>
  </fills>
  <borders count="17">
    <border>
      <left/>
      <right/>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s>
  <cellStyleXfs count="1">
    <xf numFmtId="0" fontId="0" fillId="0" borderId="0"/>
  </cellStyleXfs>
  <cellXfs count="86">
    <xf numFmtId="0" fontId="0" fillId="0" borderId="0" xfId="0"/>
    <xf numFmtId="0" fontId="2" fillId="2" borderId="0" xfId="0" applyFont="1" applyFill="1" applyAlignment="1">
      <alignment vertical="center"/>
    </xf>
    <xf numFmtId="0" fontId="1" fillId="2" borderId="0" xfId="0" applyFont="1" applyFill="1" applyAlignment="1">
      <alignment vertical="center" wrapText="1"/>
    </xf>
    <xf numFmtId="0" fontId="1" fillId="2" borderId="0" xfId="0" applyFont="1" applyFill="1" applyAlignment="1">
      <alignment vertical="center"/>
    </xf>
    <xf numFmtId="0" fontId="0" fillId="0" borderId="0" xfId="0" applyAlignment="1">
      <alignment vertical="center"/>
    </xf>
    <xf numFmtId="0" fontId="0" fillId="0" borderId="0" xfId="0" applyFont="1" applyAlignment="1">
      <alignment vertical="center" wrapText="1"/>
    </xf>
    <xf numFmtId="0" fontId="0" fillId="0" borderId="0" xfId="0" applyAlignment="1">
      <alignment vertical="center" wrapText="1"/>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3" xfId="0" applyFont="1" applyFill="1" applyBorder="1" applyAlignment="1">
      <alignment vertical="center" wrapText="1"/>
    </xf>
    <xf numFmtId="0" fontId="1" fillId="3" borderId="2" xfId="0" applyFont="1" applyFill="1" applyBorder="1" applyAlignment="1">
      <alignment horizontal="center" vertical="center"/>
    </xf>
    <xf numFmtId="0" fontId="1" fillId="0" borderId="0" xfId="0" applyFont="1" applyAlignment="1">
      <alignment vertical="center"/>
    </xf>
    <xf numFmtId="49" fontId="0" fillId="0" borderId="4" xfId="0" applyNumberFormat="1" applyBorder="1" applyAlignment="1">
      <alignment horizontal="center" vertical="center"/>
    </xf>
    <xf numFmtId="164" fontId="0" fillId="0" borderId="5" xfId="0" applyNumberFormat="1" applyBorder="1" applyAlignment="1">
      <alignment horizontal="center" vertical="center"/>
    </xf>
    <xf numFmtId="0" fontId="3" fillId="0" borderId="5" xfId="0" applyFont="1" applyBorder="1" applyAlignment="1">
      <alignment vertical="center" wrapText="1"/>
    </xf>
    <xf numFmtId="49" fontId="0" fillId="0" borderId="7" xfId="0" applyNumberFormat="1" applyBorder="1" applyAlignment="1">
      <alignment horizontal="center" vertical="center"/>
    </xf>
    <xf numFmtId="164" fontId="0" fillId="0" borderId="8" xfId="0" applyNumberFormat="1" applyBorder="1" applyAlignment="1">
      <alignment horizontal="center" vertical="center"/>
    </xf>
    <xf numFmtId="0" fontId="3" fillId="0" borderId="8" xfId="0" quotePrefix="1" applyFont="1" applyBorder="1" applyAlignment="1">
      <alignment vertical="center" wrapText="1"/>
    </xf>
    <xf numFmtId="0" fontId="0" fillId="0" borderId="9" xfId="0" applyBorder="1" applyAlignment="1">
      <alignment horizontal="center" vertical="center"/>
    </xf>
    <xf numFmtId="49" fontId="0" fillId="0" borderId="10" xfId="0" applyNumberFormat="1" applyBorder="1" applyAlignment="1">
      <alignment horizontal="center" vertical="center"/>
    </xf>
    <xf numFmtId="164" fontId="0" fillId="0" borderId="11" xfId="0" applyNumberFormat="1" applyBorder="1" applyAlignment="1">
      <alignment horizontal="center" vertical="center"/>
    </xf>
    <xf numFmtId="0" fontId="3" fillId="0" borderId="11" xfId="0" applyFont="1" applyBorder="1" applyAlignment="1">
      <alignment vertical="center" wrapText="1"/>
    </xf>
    <xf numFmtId="0" fontId="0" fillId="0" borderId="12" xfId="0" applyBorder="1" applyAlignment="1">
      <alignment horizontal="center" vertical="center"/>
    </xf>
    <xf numFmtId="0" fontId="0" fillId="0" borderId="5" xfId="0" applyBorder="1" applyAlignment="1">
      <alignment horizontal="center" vertical="center"/>
    </xf>
    <xf numFmtId="0" fontId="0" fillId="0" borderId="11" xfId="0" applyBorder="1" applyAlignment="1">
      <alignment horizontal="center" vertical="center"/>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1" fillId="0" borderId="0" xfId="0" applyFont="1"/>
    <xf numFmtId="0" fontId="2" fillId="0" borderId="0" xfId="0" applyFont="1" applyAlignment="1">
      <alignment vertical="center"/>
    </xf>
    <xf numFmtId="0" fontId="6" fillId="0" borderId="0" xfId="0" applyFont="1" applyAlignment="1">
      <alignment vertical="center"/>
    </xf>
    <xf numFmtId="0" fontId="4" fillId="0" borderId="0" xfId="0" applyFont="1" applyAlignment="1">
      <alignment vertical="center"/>
    </xf>
    <xf numFmtId="0" fontId="1" fillId="4" borderId="13" xfId="0" applyFont="1" applyFill="1" applyBorder="1" applyAlignment="1">
      <alignment vertical="center" wrapText="1"/>
    </xf>
    <xf numFmtId="0" fontId="6" fillId="0" borderId="0" xfId="0" applyFont="1" applyAlignment="1">
      <alignment horizontal="center" vertical="center"/>
    </xf>
    <xf numFmtId="0" fontId="1" fillId="4" borderId="13" xfId="0" applyFont="1" applyFill="1" applyBorder="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0" fontId="0" fillId="0" borderId="0" xfId="0" applyAlignment="1">
      <alignment horizontal="center" vertical="center"/>
    </xf>
    <xf numFmtId="0" fontId="5" fillId="0" borderId="0" xfId="0" applyFont="1" applyAlignment="1">
      <alignment vertical="center"/>
    </xf>
    <xf numFmtId="0" fontId="0" fillId="0" borderId="0" xfId="0" applyFill="1" applyAlignment="1">
      <alignment vertical="center" wrapText="1"/>
    </xf>
    <xf numFmtId="0" fontId="0" fillId="0" borderId="0" xfId="0" applyFont="1" applyFill="1" applyAlignment="1">
      <alignment vertical="center" wrapText="1"/>
    </xf>
    <xf numFmtId="0" fontId="0" fillId="0" borderId="0" xfId="0" applyFill="1" applyAlignment="1">
      <alignment horizontal="left" vertical="center" wrapText="1"/>
    </xf>
    <xf numFmtId="0" fontId="0" fillId="0" borderId="0" xfId="0" applyFont="1" applyAlignment="1">
      <alignment horizontal="center" vertical="center" wrapText="1"/>
    </xf>
    <xf numFmtId="0" fontId="0" fillId="0" borderId="0" xfId="0" applyFont="1" applyAlignment="1">
      <alignment vertical="center"/>
    </xf>
    <xf numFmtId="0" fontId="0" fillId="0" borderId="0" xfId="0" applyFont="1" applyAlignment="1">
      <alignment horizontal="center" vertical="center"/>
    </xf>
    <xf numFmtId="0" fontId="0" fillId="0" borderId="0" xfId="0" applyFont="1" applyAlignment="1">
      <alignment vertical="top" wrapText="1"/>
    </xf>
    <xf numFmtId="0" fontId="0" fillId="0" borderId="0" xfId="0" quotePrefix="1" applyFill="1" applyAlignment="1">
      <alignment vertical="center" wrapText="1"/>
    </xf>
    <xf numFmtId="0" fontId="0" fillId="0" borderId="0" xfId="0" applyFill="1" applyAlignment="1">
      <alignment horizontal="center" vertical="center" wrapText="1"/>
    </xf>
    <xf numFmtId="0" fontId="8" fillId="0" borderId="0" xfId="0" applyFont="1" applyAlignment="1">
      <alignment vertical="center" wrapText="1"/>
    </xf>
    <xf numFmtId="0" fontId="8" fillId="0" borderId="0" xfId="0" applyFont="1" applyAlignment="1">
      <alignment horizontal="center" vertical="center" wrapText="1"/>
    </xf>
    <xf numFmtId="0" fontId="8" fillId="0" borderId="0" xfId="0" applyFont="1" applyFill="1" applyAlignment="1">
      <alignment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quotePrefix="1" applyAlignment="1">
      <alignment vertical="center" wrapText="1"/>
    </xf>
    <xf numFmtId="0" fontId="0" fillId="0" borderId="0" xfId="0" applyFont="1" applyAlignment="1">
      <alignment horizontal="center" vertical="center" wrapText="1"/>
    </xf>
    <xf numFmtId="49" fontId="0" fillId="0" borderId="14" xfId="0" applyNumberFormat="1" applyBorder="1" applyAlignment="1">
      <alignment horizontal="center" vertical="center"/>
    </xf>
    <xf numFmtId="164" fontId="0" fillId="0" borderId="15" xfId="0" applyNumberFormat="1" applyBorder="1" applyAlignment="1">
      <alignment horizontal="center" vertical="center"/>
    </xf>
    <xf numFmtId="0" fontId="3" fillId="0" borderId="15" xfId="0" applyFont="1" applyBorder="1" applyAlignment="1">
      <alignment vertical="center" wrapText="1"/>
    </xf>
    <xf numFmtId="0" fontId="0" fillId="0" borderId="15" xfId="0" applyBorder="1" applyAlignment="1">
      <alignment horizontal="center" vertical="center"/>
    </xf>
    <xf numFmtId="0" fontId="0" fillId="0" borderId="16" xfId="0" applyBorder="1" applyAlignment="1">
      <alignment horizontal="center" vertical="center"/>
    </xf>
    <xf numFmtId="0" fontId="2" fillId="0" borderId="0" xfId="0" applyFont="1" applyFill="1" applyAlignment="1">
      <alignment vertical="center"/>
    </xf>
    <xf numFmtId="0" fontId="5" fillId="0" borderId="0" xfId="0" applyFont="1" applyFill="1" applyAlignment="1">
      <alignment vertical="center"/>
    </xf>
    <xf numFmtId="0" fontId="6" fillId="0" borderId="0" xfId="0" applyFont="1" applyFill="1" applyAlignment="1">
      <alignment horizontal="center" vertical="center"/>
    </xf>
    <xf numFmtId="0" fontId="4" fillId="0" borderId="0" xfId="0" applyFont="1" applyFill="1" applyAlignment="1">
      <alignment vertical="center"/>
    </xf>
    <xf numFmtId="0" fontId="4" fillId="0" borderId="0" xfId="0" applyFont="1" applyFill="1" applyAlignment="1">
      <alignment horizontal="left" vertical="center"/>
    </xf>
    <xf numFmtId="0" fontId="4" fillId="0" borderId="0" xfId="0" applyFont="1" applyFill="1" applyAlignment="1">
      <alignment horizontal="center" vertical="center"/>
    </xf>
    <xf numFmtId="0" fontId="0" fillId="0" borderId="0" xfId="0" applyFill="1" applyAlignment="1">
      <alignment vertical="center"/>
    </xf>
    <xf numFmtId="0" fontId="0" fillId="0" borderId="0" xfId="0" applyFill="1" applyAlignment="1">
      <alignment horizontal="center" vertical="center"/>
    </xf>
    <xf numFmtId="0" fontId="1" fillId="2" borderId="13" xfId="0" applyFont="1" applyFill="1" applyBorder="1" applyAlignment="1">
      <alignment vertical="center" wrapText="1"/>
    </xf>
    <xf numFmtId="0" fontId="1" fillId="2" borderId="13" xfId="0" applyFont="1" applyFill="1" applyBorder="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9" fillId="5" borderId="0" xfId="0" applyFont="1" applyFill="1" applyAlignment="1">
      <alignment vertical="center" wrapText="1"/>
    </xf>
    <xf numFmtId="0" fontId="0" fillId="0" borderId="0" xfId="0" applyFont="1" applyAlignment="1">
      <alignment horizontal="center" vertical="center" wrapText="1"/>
    </xf>
    <xf numFmtId="0" fontId="0" fillId="6" borderId="0" xfId="0" applyFill="1" applyAlignment="1">
      <alignment vertical="center" wrapText="1"/>
    </xf>
    <xf numFmtId="0" fontId="0" fillId="0" borderId="0" xfId="0" applyFont="1" applyAlignment="1">
      <alignment horizontal="center" vertical="center" wrapText="1"/>
    </xf>
    <xf numFmtId="0" fontId="9" fillId="5" borderId="0" xfId="0" applyFont="1" applyFill="1" applyAlignment="1">
      <alignment horizontal="left"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8" fillId="0" borderId="0" xfId="0" applyFont="1" applyFill="1" applyAlignment="1">
      <alignment horizontal="center" vertical="center" wrapText="1"/>
    </xf>
    <xf numFmtId="0" fontId="0" fillId="0" borderId="0" xfId="0" applyAlignment="1">
      <alignment horizontal="left" vertical="center" wrapText="1"/>
    </xf>
    <xf numFmtId="0" fontId="0" fillId="0" borderId="0" xfId="0" applyFont="1" applyFill="1" applyAlignment="1">
      <alignment horizontal="left" vertical="center" wrapText="1"/>
    </xf>
  </cellXfs>
  <cellStyles count="1">
    <cellStyle name="Normal" xfId="0" builtinId="0"/>
  </cellStyles>
  <dxfs count="384">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hicksi\Documents\Small%20Business%20DCO\Field%20Specs\Small%20Business%20DCO%20Small%20Business%20Form%20Field%20Spec%20v0.1%20WI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Values"/>
      <sheetName val="Revision Control"/>
      <sheetName val="1. Landing Page"/>
      <sheetName val="2. Existing Cust. Check"/>
      <sheetName val="3. Contact Info"/>
      <sheetName val="3a. Mobile Verify"/>
      <sheetName val="4. Product Selector"/>
      <sheetName val="5. Qualifying Questions"/>
      <sheetName val="6. IDScan"/>
      <sheetName val="7. Name"/>
      <sheetName val="8. Address"/>
      <sheetName val="9. Birthday &amp; SIN"/>
      <sheetName val="10. Co-app Name"/>
      <sheetName val="11. Co-app Contact"/>
      <sheetName val="11a. Co-app Confirmation"/>
      <sheetName val="12. Account Options"/>
      <sheetName val="13. eConsent"/>
      <sheetName val="14. Alternate IDV"/>
      <sheetName val="15. Flinks"/>
      <sheetName val="16. Manual IDV"/>
      <sheetName val="17. Dynamic Disclosures"/>
      <sheetName val="A. Generic Error"/>
      <sheetName val="B. Manual Review"/>
      <sheetName val="C. Decline"/>
      <sheetName val="D. Cancel"/>
      <sheetName val="E. Save"/>
      <sheetName val="F. Resume"/>
      <sheetName val="G. Time Out"/>
      <sheetName val="H. Progress"/>
      <sheetName val="I. Previously Submitt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5"/>
  <sheetViews>
    <sheetView tabSelected="1" zoomScaleNormal="100" workbookViewId="0">
      <selection activeCell="A9" sqref="A9"/>
    </sheetView>
  </sheetViews>
  <sheetFormatPr defaultRowHeight="14.5" x14ac:dyDescent="0.35"/>
  <cols>
    <col min="1" max="1" width="19.81640625" customWidth="1"/>
    <col min="2" max="2" width="18.7265625" bestFit="1" customWidth="1"/>
    <col min="3" max="3" width="52.26953125" customWidth="1"/>
    <col min="4" max="5" width="21.54296875" customWidth="1"/>
    <col min="6" max="6" width="20.1796875" customWidth="1"/>
  </cols>
  <sheetData>
    <row r="1" spans="1:15" s="1" customFormat="1" ht="18.5" x14ac:dyDescent="0.35">
      <c r="A1" s="1" t="s">
        <v>356</v>
      </c>
      <c r="B1" s="2"/>
      <c r="C1" s="2"/>
      <c r="D1" s="2"/>
      <c r="E1" s="2"/>
      <c r="F1" s="3"/>
      <c r="G1" s="2"/>
      <c r="H1" s="3"/>
      <c r="I1" s="3"/>
      <c r="J1" s="3"/>
      <c r="K1" s="2"/>
      <c r="L1" s="2"/>
      <c r="M1" s="2"/>
      <c r="N1" s="2"/>
      <c r="O1" s="2"/>
    </row>
    <row r="2" spans="1:15" s="1" customFormat="1" ht="18.5" x14ac:dyDescent="0.35">
      <c r="A2" s="1" t="s">
        <v>0</v>
      </c>
      <c r="B2" s="2"/>
      <c r="C2" s="2"/>
      <c r="D2" s="2"/>
      <c r="E2" s="2"/>
      <c r="F2" s="3"/>
      <c r="G2" s="2"/>
      <c r="H2" s="3"/>
      <c r="I2" s="3"/>
      <c r="J2" s="3"/>
      <c r="K2" s="2"/>
      <c r="L2" s="2"/>
      <c r="M2" s="2"/>
      <c r="N2" s="2"/>
      <c r="O2" s="2"/>
    </row>
    <row r="3" spans="1:15" s="4" customFormat="1" x14ac:dyDescent="0.35">
      <c r="C3" s="6"/>
    </row>
    <row r="4" spans="1:15" ht="15" thickBot="1" x14ac:dyDescent="0.4"/>
    <row r="5" spans="1:15" s="11" customFormat="1" ht="15" thickBot="1" x14ac:dyDescent="0.4">
      <c r="A5" s="7" t="s">
        <v>1</v>
      </c>
      <c r="B5" s="8" t="s">
        <v>2</v>
      </c>
      <c r="C5" s="9" t="s">
        <v>3</v>
      </c>
      <c r="D5" s="8" t="s">
        <v>4</v>
      </c>
      <c r="E5" s="10" t="s">
        <v>5</v>
      </c>
    </row>
    <row r="6" spans="1:15" s="4" customFormat="1" ht="15" customHeight="1" x14ac:dyDescent="0.35">
      <c r="A6" s="12" t="s">
        <v>312</v>
      </c>
      <c r="B6" s="13">
        <v>44026</v>
      </c>
      <c r="C6" s="14" t="s">
        <v>313</v>
      </c>
      <c r="D6" s="23" t="s">
        <v>314</v>
      </c>
      <c r="E6" s="25"/>
    </row>
    <row r="7" spans="1:15" s="4" customFormat="1" ht="52" x14ac:dyDescent="0.35">
      <c r="A7" s="15" t="s">
        <v>378</v>
      </c>
      <c r="B7" s="16">
        <v>44036</v>
      </c>
      <c r="C7" s="17" t="s">
        <v>409</v>
      </c>
      <c r="D7" s="26" t="s">
        <v>314</v>
      </c>
      <c r="E7" s="18" t="s">
        <v>411</v>
      </c>
    </row>
    <row r="8" spans="1:15" s="4" customFormat="1" ht="91" x14ac:dyDescent="0.35">
      <c r="A8" s="15" t="s">
        <v>408</v>
      </c>
      <c r="B8" s="16">
        <v>44056</v>
      </c>
      <c r="C8" s="17" t="s">
        <v>410</v>
      </c>
      <c r="D8" s="26" t="s">
        <v>314</v>
      </c>
      <c r="E8" s="18" t="s">
        <v>411</v>
      </c>
    </row>
    <row r="9" spans="1:15" s="4" customFormat="1" ht="78" x14ac:dyDescent="0.35">
      <c r="A9" s="15" t="s">
        <v>419</v>
      </c>
      <c r="B9" s="16">
        <v>44085</v>
      </c>
      <c r="C9" s="17" t="s">
        <v>435</v>
      </c>
      <c r="D9" s="26" t="s">
        <v>314</v>
      </c>
      <c r="E9" s="18"/>
    </row>
    <row r="10" spans="1:15" s="4" customFormat="1" x14ac:dyDescent="0.35">
      <c r="A10" s="15"/>
      <c r="B10" s="16"/>
      <c r="C10" s="17"/>
      <c r="D10" s="26"/>
      <c r="E10" s="18"/>
    </row>
    <row r="11" spans="1:15" s="4" customFormat="1" x14ac:dyDescent="0.35">
      <c r="A11" s="15"/>
      <c r="B11" s="16"/>
      <c r="C11" s="17"/>
      <c r="D11" s="26"/>
      <c r="E11" s="18"/>
    </row>
    <row r="12" spans="1:15" s="4" customFormat="1" x14ac:dyDescent="0.35">
      <c r="A12" s="15"/>
      <c r="B12" s="16"/>
      <c r="C12" s="17"/>
      <c r="D12" s="26"/>
      <c r="E12" s="18"/>
    </row>
    <row r="13" spans="1:15" s="4" customFormat="1" x14ac:dyDescent="0.35">
      <c r="A13" s="15"/>
      <c r="B13" s="16"/>
      <c r="C13" s="17"/>
      <c r="D13" s="26"/>
      <c r="E13" s="18"/>
    </row>
    <row r="14" spans="1:15" s="4" customFormat="1" x14ac:dyDescent="0.35">
      <c r="A14" s="55"/>
      <c r="B14" s="56"/>
      <c r="C14" s="57"/>
      <c r="D14" s="58"/>
      <c r="E14" s="59"/>
    </row>
    <row r="15" spans="1:15" s="4" customFormat="1" ht="15" thickBot="1" x14ac:dyDescent="0.4">
      <c r="A15" s="19"/>
      <c r="B15" s="20"/>
      <c r="C15" s="21"/>
      <c r="D15" s="24"/>
      <c r="E15" s="22"/>
    </row>
  </sheetData>
  <conditionalFormatting sqref="H1:I2">
    <cfRule type="cellIs" dxfId="383" priority="10" operator="equal">
      <formula>"Not Applicable"</formula>
    </cfRule>
    <cfRule type="cellIs" dxfId="382" priority="11" operator="equal">
      <formula>"4 - Future Initiative (out of scope)"</formula>
    </cfRule>
    <cfRule type="cellIs" dxfId="381" priority="12" operator="equal">
      <formula>"3 - Desirable (Nice To Have)"</formula>
    </cfRule>
    <cfRule type="cellIs" dxfId="380" priority="13" operator="equal">
      <formula>"2 - Recommended (Best Practice)"</formula>
    </cfRule>
    <cfRule type="cellIs" dxfId="379" priority="14" operator="equal">
      <formula>"1 - Mandatory (Must Have)"</formula>
    </cfRule>
  </conditionalFormatting>
  <conditionalFormatting sqref="F1:F2">
    <cfRule type="cellIs" dxfId="378" priority="8" operator="equal">
      <formula>"Non-functional"</formula>
    </cfRule>
    <cfRule type="cellIs" dxfId="377" priority="9" operator="equal">
      <formula>"Functional"</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6"/>
  <sheetViews>
    <sheetView workbookViewId="0">
      <selection activeCell="A2" sqref="A2"/>
    </sheetView>
  </sheetViews>
  <sheetFormatPr defaultRowHeight="14.5" x14ac:dyDescent="0.35"/>
  <cols>
    <col min="1" max="1" width="47.26953125" bestFit="1" customWidth="1"/>
    <col min="2" max="2" width="25.54296875" customWidth="1"/>
  </cols>
  <sheetData>
    <row r="1" spans="1:15" s="1" customFormat="1" ht="18.5" x14ac:dyDescent="0.35">
      <c r="A1" s="1" t="s">
        <v>357</v>
      </c>
      <c r="B1" s="2"/>
      <c r="C1" s="2"/>
      <c r="D1" s="2"/>
      <c r="E1" s="2"/>
      <c r="F1" s="3"/>
      <c r="G1" s="2"/>
      <c r="H1" s="3"/>
      <c r="I1" s="3"/>
      <c r="J1" s="3"/>
      <c r="K1" s="2"/>
      <c r="L1" s="2"/>
      <c r="M1" s="2"/>
      <c r="N1" s="2"/>
      <c r="O1" s="2"/>
    </row>
    <row r="2" spans="1:15" s="1" customFormat="1" ht="18.5" x14ac:dyDescent="0.35">
      <c r="A2" s="1" t="s">
        <v>27</v>
      </c>
      <c r="B2" s="2"/>
      <c r="C2" s="2"/>
      <c r="D2" s="2"/>
      <c r="E2" s="2"/>
      <c r="F2" s="3"/>
      <c r="G2" s="2"/>
      <c r="H2" s="3"/>
      <c r="I2" s="3"/>
      <c r="J2" s="3"/>
      <c r="K2" s="2"/>
      <c r="L2" s="2"/>
      <c r="M2" s="2"/>
      <c r="N2" s="2"/>
      <c r="O2" s="2"/>
    </row>
    <row r="4" spans="1:15" s="27" customFormat="1" x14ac:dyDescent="0.35">
      <c r="A4" s="27" t="s">
        <v>28</v>
      </c>
      <c r="B4" s="27" t="s">
        <v>39</v>
      </c>
    </row>
    <row r="5" spans="1:15" x14ac:dyDescent="0.35">
      <c r="A5" t="s">
        <v>43</v>
      </c>
      <c r="B5" t="s">
        <v>42</v>
      </c>
    </row>
    <row r="6" spans="1:15" x14ac:dyDescent="0.35">
      <c r="A6" t="s">
        <v>30</v>
      </c>
      <c r="B6" t="s">
        <v>40</v>
      </c>
    </row>
    <row r="7" spans="1:15" x14ac:dyDescent="0.35">
      <c r="A7" t="s">
        <v>63</v>
      </c>
      <c r="B7" t="s">
        <v>41</v>
      </c>
    </row>
    <row r="8" spans="1:15" x14ac:dyDescent="0.35">
      <c r="A8" t="s">
        <v>263</v>
      </c>
      <c r="B8" t="s">
        <v>38</v>
      </c>
    </row>
    <row r="9" spans="1:15" x14ac:dyDescent="0.35">
      <c r="A9" t="s">
        <v>95</v>
      </c>
      <c r="B9" t="s">
        <v>45</v>
      </c>
    </row>
    <row r="10" spans="1:15" x14ac:dyDescent="0.35">
      <c r="A10" t="s">
        <v>35</v>
      </c>
    </row>
    <row r="11" spans="1:15" x14ac:dyDescent="0.35">
      <c r="A11" t="s">
        <v>229</v>
      </c>
    </row>
    <row r="12" spans="1:15" x14ac:dyDescent="0.35">
      <c r="A12" t="s">
        <v>246</v>
      </c>
    </row>
    <row r="13" spans="1:15" x14ac:dyDescent="0.35">
      <c r="A13" t="s">
        <v>199</v>
      </c>
    </row>
    <row r="14" spans="1:15" x14ac:dyDescent="0.35">
      <c r="A14" t="s">
        <v>147</v>
      </c>
    </row>
    <row r="15" spans="1:15" x14ac:dyDescent="0.35">
      <c r="A15" t="s">
        <v>48</v>
      </c>
    </row>
    <row r="16" spans="1:15" x14ac:dyDescent="0.35">
      <c r="A16" t="s">
        <v>32</v>
      </c>
    </row>
    <row r="17" spans="1:1" x14ac:dyDescent="0.35">
      <c r="A17" t="s">
        <v>31</v>
      </c>
    </row>
    <row r="18" spans="1:1" x14ac:dyDescent="0.35">
      <c r="A18" t="s">
        <v>148</v>
      </c>
    </row>
    <row r="19" spans="1:1" x14ac:dyDescent="0.35">
      <c r="A19" t="s">
        <v>29</v>
      </c>
    </row>
    <row r="20" spans="1:1" x14ac:dyDescent="0.35">
      <c r="A20" t="s">
        <v>122</v>
      </c>
    </row>
    <row r="21" spans="1:1" x14ac:dyDescent="0.35">
      <c r="A21" t="s">
        <v>34</v>
      </c>
    </row>
    <row r="22" spans="1:1" x14ac:dyDescent="0.35">
      <c r="A22" t="s">
        <v>36</v>
      </c>
    </row>
    <row r="23" spans="1:1" x14ac:dyDescent="0.35">
      <c r="A23" t="s">
        <v>33</v>
      </c>
    </row>
    <row r="24" spans="1:1" x14ac:dyDescent="0.35">
      <c r="A24" t="s">
        <v>285</v>
      </c>
    </row>
    <row r="25" spans="1:1" x14ac:dyDescent="0.35">
      <c r="A25" t="s">
        <v>80</v>
      </c>
    </row>
    <row r="26" spans="1:1" x14ac:dyDescent="0.35">
      <c r="A26" t="s">
        <v>237</v>
      </c>
    </row>
  </sheetData>
  <sortState ref="A5:A15">
    <sortCondition ref="A16"/>
  </sortState>
  <conditionalFormatting sqref="H1:I2">
    <cfRule type="cellIs" dxfId="376" priority="3" operator="equal">
      <formula>"Not Applicable"</formula>
    </cfRule>
    <cfRule type="cellIs" dxfId="375" priority="4" operator="equal">
      <formula>"4 - Future Initiative (out of scope)"</formula>
    </cfRule>
    <cfRule type="cellIs" dxfId="374" priority="5" operator="equal">
      <formula>"3 - Desirable (Nice To Have)"</formula>
    </cfRule>
    <cfRule type="cellIs" dxfId="373" priority="6" operator="equal">
      <formula>"2 - Recommended (Best Practice)"</formula>
    </cfRule>
    <cfRule type="cellIs" dxfId="372" priority="7" operator="equal">
      <formula>"1 - Mandatory (Must Have)"</formula>
    </cfRule>
  </conditionalFormatting>
  <conditionalFormatting sqref="F1:F2">
    <cfRule type="cellIs" dxfId="371" priority="1" operator="equal">
      <formula>"Non-functional"</formula>
    </cfRule>
    <cfRule type="cellIs" dxfId="370" priority="2" operator="equal">
      <formula>"Functional"</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2"/>
  <sheetViews>
    <sheetView workbookViewId="0">
      <pane xSplit="4" ySplit="6" topLeftCell="E7" activePane="bottomRight" state="frozen"/>
      <selection pane="topRight" activeCell="E1" sqref="E1"/>
      <selection pane="bottomLeft" activeCell="A7" sqref="A7"/>
      <selection pane="bottomRight" activeCell="D7" sqref="D7"/>
    </sheetView>
  </sheetViews>
  <sheetFormatPr defaultColWidth="9.1796875" defaultRowHeight="14.5" x14ac:dyDescent="0.35"/>
  <cols>
    <col min="1" max="1" width="14.7265625" style="5" customWidth="1"/>
    <col min="2" max="2" width="12.54296875" style="5" customWidth="1"/>
    <col min="3" max="3" width="13" style="77" customWidth="1"/>
    <col min="4" max="4" width="45.1796875" style="5" customWidth="1"/>
    <col min="5" max="5" width="28.7265625" style="5" customWidth="1"/>
    <col min="6" max="6" width="37" style="5" customWidth="1"/>
    <col min="7" max="7" width="29.26953125" style="5" customWidth="1"/>
    <col min="8" max="8" width="11.54296875" style="77"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283</v>
      </c>
      <c r="C1" s="32"/>
      <c r="D1" s="29"/>
      <c r="H1" s="35"/>
    </row>
    <row r="2" spans="1:16" s="30" customFormat="1" ht="18.5" x14ac:dyDescent="0.35">
      <c r="A2" s="28" t="s">
        <v>7</v>
      </c>
      <c r="B2" s="36">
        <v>1</v>
      </c>
      <c r="C2" s="35"/>
      <c r="D2" s="36"/>
      <c r="H2" s="35"/>
    </row>
    <row r="3" spans="1:16" s="30" customFormat="1" ht="18.5" x14ac:dyDescent="0.35">
      <c r="A3" s="28" t="s">
        <v>44</v>
      </c>
      <c r="B3" s="36" t="s">
        <v>359</v>
      </c>
      <c r="C3" s="35"/>
      <c r="D3" s="64" t="s">
        <v>360</v>
      </c>
      <c r="H3" s="35"/>
    </row>
    <row r="4" spans="1:16" s="30" customFormat="1" ht="18.5" x14ac:dyDescent="0.35">
      <c r="A4" s="28" t="s">
        <v>8</v>
      </c>
      <c r="B4" s="30" t="s">
        <v>10</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 t="shared" ref="B7:B12" si="0">CONCATENATE($B$2, ".", A7)</f>
        <v>1.1</v>
      </c>
      <c r="C7" s="77" t="s">
        <v>38</v>
      </c>
      <c r="D7" s="40" t="s">
        <v>315</v>
      </c>
      <c r="E7" s="40" t="s">
        <v>148</v>
      </c>
      <c r="F7" s="5" t="s">
        <v>37</v>
      </c>
      <c r="G7" s="5" t="s">
        <v>37</v>
      </c>
      <c r="H7" s="77" t="s">
        <v>37</v>
      </c>
      <c r="I7" s="40" t="s">
        <v>10</v>
      </c>
      <c r="J7" s="5" t="s">
        <v>37</v>
      </c>
      <c r="K7" s="5" t="s">
        <v>37</v>
      </c>
      <c r="L7" s="5" t="s">
        <v>37</v>
      </c>
      <c r="M7" s="5" t="s">
        <v>37</v>
      </c>
      <c r="N7" s="5" t="s">
        <v>37</v>
      </c>
    </row>
    <row r="8" spans="1:16" s="6" customFormat="1" x14ac:dyDescent="0.35">
      <c r="A8" s="6">
        <v>2</v>
      </c>
      <c r="B8" s="6" t="str">
        <f t="shared" si="0"/>
        <v>1.2</v>
      </c>
      <c r="C8" s="77" t="s">
        <v>40</v>
      </c>
      <c r="D8" s="39" t="s">
        <v>37</v>
      </c>
      <c r="E8" s="39" t="s">
        <v>49</v>
      </c>
      <c r="F8" s="6" t="s">
        <v>37</v>
      </c>
      <c r="G8" s="6" t="s">
        <v>37</v>
      </c>
      <c r="H8" s="6" t="s">
        <v>37</v>
      </c>
      <c r="I8" s="39" t="s">
        <v>10</v>
      </c>
      <c r="J8" s="5" t="s">
        <v>37</v>
      </c>
      <c r="K8" s="5" t="s">
        <v>37</v>
      </c>
      <c r="L8" s="5" t="s">
        <v>37</v>
      </c>
      <c r="M8" s="5" t="s">
        <v>37</v>
      </c>
      <c r="N8" s="5" t="s">
        <v>37</v>
      </c>
      <c r="O8" s="5"/>
    </row>
    <row r="9" spans="1:16" ht="43.5" x14ac:dyDescent="0.35">
      <c r="A9" s="5">
        <v>3</v>
      </c>
      <c r="B9" s="5" t="str">
        <f t="shared" si="0"/>
        <v>1.3</v>
      </c>
      <c r="C9" s="79" t="s">
        <v>40</v>
      </c>
      <c r="D9" s="45" t="s">
        <v>284</v>
      </c>
      <c r="E9" s="40" t="s">
        <v>34</v>
      </c>
      <c r="F9" s="5" t="s">
        <v>37</v>
      </c>
      <c r="G9" s="5" t="s">
        <v>37</v>
      </c>
      <c r="H9" s="77" t="s">
        <v>37</v>
      </c>
      <c r="I9" s="40" t="s">
        <v>10</v>
      </c>
      <c r="J9" s="5" t="s">
        <v>37</v>
      </c>
      <c r="K9" s="5" t="s">
        <v>37</v>
      </c>
      <c r="L9" s="5" t="s">
        <v>37</v>
      </c>
      <c r="M9" s="5" t="s">
        <v>37</v>
      </c>
      <c r="N9" s="5" t="s">
        <v>37</v>
      </c>
    </row>
    <row r="10" spans="1:16" ht="43.5" x14ac:dyDescent="0.35">
      <c r="A10" s="5">
        <v>4</v>
      </c>
      <c r="B10" s="5" t="str">
        <f t="shared" si="0"/>
        <v>1.4</v>
      </c>
      <c r="C10" s="79" t="s">
        <v>40</v>
      </c>
      <c r="D10" s="45"/>
      <c r="E10" s="40" t="s">
        <v>285</v>
      </c>
      <c r="F10" s="5" t="s">
        <v>52</v>
      </c>
      <c r="G10" s="5" t="s">
        <v>37</v>
      </c>
      <c r="H10" s="77" t="s">
        <v>37</v>
      </c>
      <c r="I10" s="40" t="s">
        <v>10</v>
      </c>
      <c r="J10" s="5" t="s">
        <v>37</v>
      </c>
      <c r="K10" s="5" t="s">
        <v>54</v>
      </c>
      <c r="L10" s="5" t="s">
        <v>286</v>
      </c>
      <c r="M10" s="5" t="s">
        <v>37</v>
      </c>
      <c r="N10" s="5" t="s">
        <v>37</v>
      </c>
    </row>
    <row r="11" spans="1:16" x14ac:dyDescent="0.35">
      <c r="A11" s="5">
        <v>5</v>
      </c>
      <c r="B11" s="5" t="str">
        <f>CONCATENATE($B$2, ".", A11)</f>
        <v>1.5</v>
      </c>
      <c r="C11" s="79" t="s">
        <v>40</v>
      </c>
      <c r="D11" s="5" t="s">
        <v>275</v>
      </c>
      <c r="E11" s="5" t="s">
        <v>43</v>
      </c>
      <c r="F11" s="5" t="s">
        <v>37</v>
      </c>
      <c r="G11" s="5" t="s">
        <v>37</v>
      </c>
      <c r="H11" s="77" t="s">
        <v>37</v>
      </c>
      <c r="I11" s="40" t="s">
        <v>10</v>
      </c>
      <c r="J11" s="5" t="s">
        <v>37</v>
      </c>
      <c r="K11" s="5" t="s">
        <v>37</v>
      </c>
      <c r="L11" s="5" t="s">
        <v>37</v>
      </c>
      <c r="M11" s="5" t="s">
        <v>37</v>
      </c>
      <c r="N11" s="5" t="s">
        <v>37</v>
      </c>
      <c r="O11" s="40" t="s">
        <v>287</v>
      </c>
    </row>
    <row r="12" spans="1:16" x14ac:dyDescent="0.35">
      <c r="A12" s="5">
        <v>6</v>
      </c>
      <c r="B12" s="5" t="str">
        <f t="shared" si="0"/>
        <v>1.6</v>
      </c>
      <c r="C12" s="79" t="s">
        <v>40</v>
      </c>
      <c r="D12" s="5" t="s">
        <v>225</v>
      </c>
      <c r="E12" s="5" t="s">
        <v>43</v>
      </c>
      <c r="F12" s="5" t="s">
        <v>37</v>
      </c>
      <c r="G12" s="5" t="s">
        <v>37</v>
      </c>
      <c r="H12" s="77" t="s">
        <v>37</v>
      </c>
      <c r="I12" s="40" t="s">
        <v>10</v>
      </c>
      <c r="J12" s="5" t="s">
        <v>37</v>
      </c>
      <c r="K12" s="5" t="s">
        <v>37</v>
      </c>
      <c r="L12" s="5" t="s">
        <v>37</v>
      </c>
      <c r="M12" s="5" t="s">
        <v>37</v>
      </c>
      <c r="N12" s="5" t="s">
        <v>37</v>
      </c>
      <c r="O12" s="40" t="s">
        <v>226</v>
      </c>
    </row>
  </sheetData>
  <autoFilter ref="A6:P6"/>
  <conditionalFormatting sqref="C13:C1048576">
    <cfRule type="cellIs" dxfId="369" priority="17" operator="equal">
      <formula>"WIP (see comments)"</formula>
    </cfRule>
    <cfRule type="cellIs" dxfId="368" priority="18" operator="equal">
      <formula>"Removed"</formula>
    </cfRule>
    <cfRule type="cellIs" dxfId="367" priority="19" operator="equal">
      <formula>"Updated"</formula>
    </cfRule>
    <cfRule type="cellIs" dxfId="366" priority="20" operator="equal">
      <formula>"New"</formula>
    </cfRule>
  </conditionalFormatting>
  <conditionalFormatting sqref="A1:XFD2 A13:XFD1048576 A4:XFD6 A3:C3 E3:XFD3">
    <cfRule type="cellIs" dxfId="365" priority="16" operator="equal">
      <formula>"n/a"</formula>
    </cfRule>
  </conditionalFormatting>
  <conditionalFormatting sqref="D9:D10">
    <cfRule type="cellIs" dxfId="364" priority="15" operator="equal">
      <formula>"-"</formula>
    </cfRule>
  </conditionalFormatting>
  <conditionalFormatting sqref="A9:B10 D9:XFD10">
    <cfRule type="cellIs" dxfId="363" priority="14" operator="equal">
      <formula>"n/a"</formula>
    </cfRule>
  </conditionalFormatting>
  <conditionalFormatting sqref="C7:C12">
    <cfRule type="cellIs" dxfId="362" priority="10" operator="equal">
      <formula>"WIP (see comments)"</formula>
    </cfRule>
    <cfRule type="cellIs" dxfId="361" priority="11" operator="equal">
      <formula>"Removed"</formula>
    </cfRule>
    <cfRule type="cellIs" dxfId="360" priority="12" operator="equal">
      <formula>"Updated"</formula>
    </cfRule>
    <cfRule type="cellIs" dxfId="359" priority="13" operator="equal">
      <formula>"New"</formula>
    </cfRule>
  </conditionalFormatting>
  <conditionalFormatting sqref="A7:XFD7 C8:C12">
    <cfRule type="cellIs" dxfId="358" priority="9" operator="equal">
      <formula>"n/a"</formula>
    </cfRule>
  </conditionalFormatting>
  <conditionalFormatting sqref="A12:B12 D12:XFD12">
    <cfRule type="cellIs" dxfId="357" priority="8" operator="equal">
      <formula>"n/a"</formula>
    </cfRule>
  </conditionalFormatting>
  <conditionalFormatting sqref="A11:B11 D11:XFD11">
    <cfRule type="cellIs" dxfId="356" priority="7" operator="equal">
      <formula>"n/a"</formula>
    </cfRule>
  </conditionalFormatting>
  <conditionalFormatting sqref="A8:B8 D8:XFD8">
    <cfRule type="cellIs" dxfId="355" priority="2" operator="equal">
      <formula>"n/a"</formula>
    </cfRule>
  </conditionalFormatting>
  <conditionalFormatting sqref="D3">
    <cfRule type="cellIs" dxfId="354"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Values'!$B$5:$B$12</xm:f>
          </x14:formula1>
          <xm:sqref>C7:C1048576</xm:sqref>
        </x14:dataValidation>
        <x14:dataValidation type="list" allowBlank="1" showInputMessage="1" showErrorMessage="1">
          <x14:formula1>
            <xm:f>'List Values'!$A$5:$A$28</xm:f>
          </x14:formula1>
          <xm:sqref>E7 E9:E1048576</xm:sqref>
        </x14:dataValidation>
        <x14:dataValidation type="list" allowBlank="1" showInputMessage="1" showErrorMessage="1">
          <x14:formula1>
            <xm:f>'List Values'!$A$5:$A$27</xm:f>
          </x14:formula1>
          <xm:sqref>E8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6"/>
  <sheetViews>
    <sheetView zoomScaleNormal="100" workbookViewId="0">
      <pane xSplit="4" ySplit="6" topLeftCell="E7" activePane="bottomRight" state="frozen"/>
      <selection pane="topRight" activeCell="E1" sqref="E1"/>
      <selection pane="bottomLeft" activeCell="A7" sqref="A7"/>
      <selection pane="bottomRight" activeCell="P3" sqref="P3"/>
    </sheetView>
  </sheetViews>
  <sheetFormatPr defaultColWidth="9.1796875" defaultRowHeight="14.5" x14ac:dyDescent="0.35"/>
  <cols>
    <col min="1" max="1" width="14.7265625" style="6" customWidth="1"/>
    <col min="2" max="2" width="12.54296875" style="6" customWidth="1"/>
    <col min="3" max="3" width="13" style="34" customWidth="1"/>
    <col min="4" max="4" width="45.1796875" style="6" customWidth="1"/>
    <col min="5" max="5" width="28.7265625" style="6" customWidth="1"/>
    <col min="6" max="6" width="14.54296875" style="6" bestFit="1" customWidth="1"/>
    <col min="7" max="7" width="17.7265625" style="6" customWidth="1"/>
    <col min="8" max="8" width="9.1796875" style="6"/>
    <col min="9" max="9" width="34.81640625" style="6" customWidth="1"/>
    <col min="10" max="10" width="13.26953125" style="6" bestFit="1" customWidth="1"/>
    <col min="11" max="11" width="10.7265625" style="6" bestFit="1" customWidth="1"/>
    <col min="12" max="12" width="19.26953125" style="6" bestFit="1" customWidth="1"/>
    <col min="13" max="13" width="21.1796875" style="6" bestFit="1"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9</v>
      </c>
      <c r="C1" s="32"/>
      <c r="D1" s="29"/>
    </row>
    <row r="2" spans="1:16" s="30" customFormat="1" ht="18.5" x14ac:dyDescent="0.35">
      <c r="A2" s="28" t="s">
        <v>7</v>
      </c>
      <c r="B2" s="36">
        <v>2</v>
      </c>
      <c r="C2" s="35"/>
      <c r="D2" s="36" t="s">
        <v>318</v>
      </c>
    </row>
    <row r="3" spans="1:16" s="30" customFormat="1" ht="18.5" x14ac:dyDescent="0.35">
      <c r="A3" s="28" t="s">
        <v>44</v>
      </c>
      <c r="B3" s="36" t="s">
        <v>362</v>
      </c>
      <c r="C3" s="35"/>
      <c r="D3" s="64" t="s">
        <v>363</v>
      </c>
    </row>
    <row r="4" spans="1:16" s="30" customFormat="1" ht="18.5" x14ac:dyDescent="0.35">
      <c r="A4" s="28" t="s">
        <v>8</v>
      </c>
      <c r="B4" s="30" t="s">
        <v>288</v>
      </c>
      <c r="C4" s="35"/>
      <c r="D4" s="36" t="s">
        <v>321</v>
      </c>
    </row>
    <row r="5" spans="1:16" s="4" customFormat="1" x14ac:dyDescent="0.35">
      <c r="C5" s="37"/>
    </row>
    <row r="6" spans="1:16" s="31" customFormat="1" ht="15" thickBot="1" x14ac:dyDescent="0.4">
      <c r="A6" s="31" t="s">
        <v>11</v>
      </c>
      <c r="B6" s="31" t="s">
        <v>12</v>
      </c>
      <c r="C6" s="33" t="s">
        <v>26</v>
      </c>
      <c r="D6" s="31" t="s">
        <v>25</v>
      </c>
      <c r="E6" s="31" t="s">
        <v>13</v>
      </c>
      <c r="F6" s="31" t="s">
        <v>14</v>
      </c>
      <c r="G6" s="31" t="s">
        <v>15</v>
      </c>
      <c r="H6" s="31" t="s">
        <v>16</v>
      </c>
      <c r="I6" s="31" t="s">
        <v>17</v>
      </c>
      <c r="J6" s="31" t="s">
        <v>18</v>
      </c>
      <c r="K6" s="31" t="s">
        <v>19</v>
      </c>
      <c r="L6" s="31" t="s">
        <v>20</v>
      </c>
      <c r="M6" s="31" t="s">
        <v>21</v>
      </c>
      <c r="N6" s="31" t="s">
        <v>22</v>
      </c>
      <c r="O6" s="31" t="s">
        <v>23</v>
      </c>
      <c r="P6" s="31" t="s">
        <v>24</v>
      </c>
    </row>
    <row r="7" spans="1:16" x14ac:dyDescent="0.35">
      <c r="A7" s="6">
        <v>1</v>
      </c>
      <c r="B7" s="6" t="str">
        <f>CONCATENATE($B$2, ".", A7)</f>
        <v>2.1</v>
      </c>
      <c r="C7" s="34" t="s">
        <v>40</v>
      </c>
      <c r="D7" s="39" t="s">
        <v>290</v>
      </c>
      <c r="E7" s="6" t="s">
        <v>36</v>
      </c>
      <c r="F7" s="6" t="s">
        <v>37</v>
      </c>
      <c r="G7" s="6" t="s">
        <v>37</v>
      </c>
      <c r="H7" s="6" t="s">
        <v>37</v>
      </c>
      <c r="I7" s="39" t="s">
        <v>10</v>
      </c>
      <c r="J7" s="5" t="s">
        <v>37</v>
      </c>
      <c r="K7" s="5" t="s">
        <v>37</v>
      </c>
      <c r="L7" s="5" t="s">
        <v>37</v>
      </c>
      <c r="M7" s="5" t="s">
        <v>37</v>
      </c>
      <c r="N7" s="5" t="s">
        <v>37</v>
      </c>
      <c r="O7" s="5"/>
    </row>
    <row r="8" spans="1:16" ht="128.25" customHeight="1" x14ac:dyDescent="0.35">
      <c r="A8" s="6">
        <v>2</v>
      </c>
      <c r="B8" s="6" t="str">
        <f>CONCATENATE($B$2, ".", A8)</f>
        <v>2.2</v>
      </c>
      <c r="C8" s="34" t="s">
        <v>45</v>
      </c>
      <c r="D8" s="39" t="s">
        <v>361</v>
      </c>
      <c r="E8" s="6" t="s">
        <v>36</v>
      </c>
      <c r="F8" s="6" t="s">
        <v>37</v>
      </c>
      <c r="G8" s="6" t="s">
        <v>37</v>
      </c>
      <c r="H8" s="6" t="s">
        <v>37</v>
      </c>
      <c r="I8" s="39" t="s">
        <v>10</v>
      </c>
      <c r="J8" s="5" t="s">
        <v>37</v>
      </c>
      <c r="K8" s="5" t="s">
        <v>37</v>
      </c>
      <c r="L8" s="5" t="s">
        <v>37</v>
      </c>
      <c r="M8" s="5" t="s">
        <v>37</v>
      </c>
      <c r="N8" s="5" t="s">
        <v>37</v>
      </c>
      <c r="O8" s="5"/>
      <c r="P8" s="6" t="s">
        <v>319</v>
      </c>
    </row>
    <row r="9" spans="1:16" s="76" customFormat="1" x14ac:dyDescent="0.35">
      <c r="A9" s="80" t="s">
        <v>317</v>
      </c>
      <c r="B9" s="80"/>
      <c r="C9" s="80"/>
      <c r="D9" s="80"/>
      <c r="E9" s="80"/>
    </row>
    <row r="10" spans="1:16" ht="43.5" x14ac:dyDescent="0.35">
      <c r="A10" s="6">
        <v>3</v>
      </c>
      <c r="B10" s="6" t="str">
        <f>CONCATENATE($B$2, ".", A10)</f>
        <v>2.3</v>
      </c>
      <c r="C10" s="34" t="s">
        <v>45</v>
      </c>
      <c r="D10" s="39" t="s">
        <v>291</v>
      </c>
      <c r="E10" s="6" t="s">
        <v>36</v>
      </c>
      <c r="F10" s="6" t="s">
        <v>37</v>
      </c>
      <c r="G10" s="6" t="s">
        <v>37</v>
      </c>
      <c r="H10" s="6" t="s">
        <v>37</v>
      </c>
      <c r="I10" s="39" t="s">
        <v>10</v>
      </c>
      <c r="J10" s="6" t="s">
        <v>37</v>
      </c>
      <c r="K10" s="6" t="s">
        <v>37</v>
      </c>
      <c r="L10" s="6" t="s">
        <v>37</v>
      </c>
      <c r="M10" s="6" t="s">
        <v>37</v>
      </c>
      <c r="N10" s="6" t="s">
        <v>37</v>
      </c>
      <c r="O10" s="5"/>
      <c r="P10" s="6" t="s">
        <v>320</v>
      </c>
    </row>
    <row r="11" spans="1:16" ht="29" x14ac:dyDescent="0.35">
      <c r="A11" s="6">
        <v>4</v>
      </c>
      <c r="B11" s="6" t="str">
        <f>CONCATENATE($B$2, ".", A11)</f>
        <v>2.4</v>
      </c>
      <c r="C11" s="34" t="s">
        <v>45</v>
      </c>
      <c r="D11" s="39" t="s">
        <v>292</v>
      </c>
      <c r="E11" s="6" t="s">
        <v>36</v>
      </c>
      <c r="F11" s="6" t="s">
        <v>37</v>
      </c>
      <c r="G11" s="6" t="s">
        <v>37</v>
      </c>
      <c r="H11" s="6" t="s">
        <v>37</v>
      </c>
      <c r="I11" s="39" t="s">
        <v>10</v>
      </c>
      <c r="J11" s="6" t="s">
        <v>37</v>
      </c>
      <c r="K11" s="6" t="s">
        <v>37</v>
      </c>
      <c r="L11" s="6" t="s">
        <v>37</v>
      </c>
      <c r="M11" s="6" t="s">
        <v>37</v>
      </c>
      <c r="N11" s="6" t="s">
        <v>37</v>
      </c>
      <c r="O11" s="5"/>
    </row>
    <row r="12" spans="1:16" ht="29" x14ac:dyDescent="0.35">
      <c r="A12" s="6">
        <v>5</v>
      </c>
      <c r="B12" s="6" t="str">
        <f>CONCATENATE($B$2, ".", A12)</f>
        <v>2.5</v>
      </c>
      <c r="C12" s="34" t="s">
        <v>45</v>
      </c>
      <c r="D12" s="39" t="s">
        <v>293</v>
      </c>
      <c r="E12" s="6" t="s">
        <v>36</v>
      </c>
      <c r="F12" s="6" t="s">
        <v>37</v>
      </c>
      <c r="G12" s="6" t="s">
        <v>37</v>
      </c>
      <c r="H12" s="6" t="s">
        <v>37</v>
      </c>
      <c r="I12" s="39" t="s">
        <v>10</v>
      </c>
      <c r="J12" s="6" t="s">
        <v>37</v>
      </c>
      <c r="K12" s="6" t="s">
        <v>37</v>
      </c>
      <c r="L12" s="6" t="s">
        <v>37</v>
      </c>
      <c r="M12" s="6" t="s">
        <v>37</v>
      </c>
      <c r="N12" s="6" t="s">
        <v>37</v>
      </c>
      <c r="O12" s="5"/>
    </row>
    <row r="13" spans="1:16" s="76" customFormat="1" x14ac:dyDescent="0.35">
      <c r="A13" s="80"/>
      <c r="B13" s="80"/>
      <c r="C13" s="80"/>
      <c r="D13" s="80"/>
      <c r="E13" s="80"/>
    </row>
    <row r="14" spans="1:16" ht="20.25" customHeight="1" x14ac:dyDescent="0.35">
      <c r="A14" s="6">
        <v>6</v>
      </c>
      <c r="B14" s="6" t="str">
        <f>CONCATENATE($B$2, ".", A14)</f>
        <v>2.6</v>
      </c>
      <c r="C14" s="34" t="s">
        <v>40</v>
      </c>
      <c r="D14" s="39" t="s">
        <v>117</v>
      </c>
      <c r="E14" s="6" t="s">
        <v>29</v>
      </c>
      <c r="F14" s="6" t="s">
        <v>37</v>
      </c>
      <c r="G14" s="6" t="s">
        <v>37</v>
      </c>
      <c r="H14" s="6" t="s">
        <v>37</v>
      </c>
      <c r="I14" s="6" t="s">
        <v>10</v>
      </c>
      <c r="J14" s="5" t="s">
        <v>37</v>
      </c>
      <c r="K14" s="5" t="s">
        <v>37</v>
      </c>
      <c r="L14" s="5" t="s">
        <v>37</v>
      </c>
      <c r="M14" s="5" t="s">
        <v>37</v>
      </c>
      <c r="N14" s="5" t="s">
        <v>37</v>
      </c>
      <c r="O14" s="6" t="s">
        <v>37</v>
      </c>
    </row>
    <row r="15" spans="1:16" ht="66.75" customHeight="1" x14ac:dyDescent="0.35">
      <c r="A15" s="6">
        <v>7</v>
      </c>
      <c r="B15" s="6" t="str">
        <f>CONCATENATE($B$2, ".", A15)</f>
        <v>2.7</v>
      </c>
      <c r="C15" s="34" t="s">
        <v>45</v>
      </c>
      <c r="D15" s="39" t="s">
        <v>118</v>
      </c>
      <c r="E15" s="39" t="s">
        <v>34</v>
      </c>
      <c r="F15" s="6" t="s">
        <v>37</v>
      </c>
      <c r="G15" s="6" t="s">
        <v>37</v>
      </c>
      <c r="H15" s="6" t="s">
        <v>37</v>
      </c>
      <c r="I15" s="6" t="s">
        <v>10</v>
      </c>
      <c r="J15" s="5" t="s">
        <v>37</v>
      </c>
      <c r="K15" s="5" t="s">
        <v>37</v>
      </c>
      <c r="L15" s="5" t="s">
        <v>37</v>
      </c>
      <c r="M15" s="5" t="s">
        <v>37</v>
      </c>
      <c r="N15" s="5" t="s">
        <v>37</v>
      </c>
      <c r="O15" s="6" t="s">
        <v>37</v>
      </c>
      <c r="P15" s="6" t="s">
        <v>316</v>
      </c>
    </row>
    <row r="16" spans="1:16" ht="29" x14ac:dyDescent="0.35">
      <c r="A16" s="6">
        <v>8</v>
      </c>
      <c r="B16" s="6" t="str">
        <f>CONCATENATE($B$2, ".", A16)</f>
        <v>2.8</v>
      </c>
      <c r="C16" s="34" t="s">
        <v>45</v>
      </c>
      <c r="D16" s="6" t="s">
        <v>119</v>
      </c>
      <c r="E16" s="6" t="s">
        <v>43</v>
      </c>
      <c r="F16" s="6" t="s">
        <v>37</v>
      </c>
      <c r="G16" s="6" t="s">
        <v>37</v>
      </c>
      <c r="H16" s="6" t="s">
        <v>37</v>
      </c>
      <c r="I16" s="6" t="s">
        <v>10</v>
      </c>
      <c r="J16" s="5" t="s">
        <v>37</v>
      </c>
      <c r="K16" s="5" t="s">
        <v>37</v>
      </c>
      <c r="L16" s="5" t="s">
        <v>37</v>
      </c>
      <c r="M16" s="5" t="s">
        <v>37</v>
      </c>
      <c r="N16" s="5" t="s">
        <v>37</v>
      </c>
      <c r="O16" s="6" t="s">
        <v>289</v>
      </c>
      <c r="P16" s="6" t="s">
        <v>343</v>
      </c>
    </row>
  </sheetData>
  <mergeCells count="2">
    <mergeCell ref="A9:E9"/>
    <mergeCell ref="A13:E13"/>
  </mergeCells>
  <conditionalFormatting sqref="C14:C1048576 C7:C8 C10:C12">
    <cfRule type="cellIs" dxfId="353" priority="7" operator="equal">
      <formula>"WIP (see comments)"</formula>
    </cfRule>
    <cfRule type="cellIs" dxfId="352" priority="8" operator="equal">
      <formula>"Removed"</formula>
    </cfRule>
    <cfRule type="cellIs" dxfId="351" priority="9" operator="equal">
      <formula>"Updated"</formula>
    </cfRule>
    <cfRule type="cellIs" dxfId="350" priority="10" operator="equal">
      <formula>"New"</formula>
    </cfRule>
  </conditionalFormatting>
  <conditionalFormatting sqref="A14:XFD1048576 A1:C1 E1:XFD1 A10:XFD12 A2:XFD2 A3:C3 E3:XFD3 A4:XFD8">
    <cfRule type="cellIs" dxfId="349" priority="6" operator="equal">
      <formula>"n/a"</formula>
    </cfRule>
  </conditionalFormatting>
  <conditionalFormatting sqref="F9:XFD9 A9">
    <cfRule type="cellIs" dxfId="348" priority="5" operator="equal">
      <formula>"n/a"</formula>
    </cfRule>
  </conditionalFormatting>
  <conditionalFormatting sqref="F13:XFD13 A13">
    <cfRule type="cellIs" dxfId="347" priority="4" operator="equal">
      <formula>"n/a"</formula>
    </cfRule>
  </conditionalFormatting>
  <conditionalFormatting sqref="D1">
    <cfRule type="cellIs" dxfId="346" priority="2" operator="equal">
      <formula>"n/a"</formula>
    </cfRule>
  </conditionalFormatting>
  <conditionalFormatting sqref="D3">
    <cfRule type="cellIs" dxfId="345"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C7:C8 C14:C1048576 C10:C12</xm:sqref>
        </x14:dataValidation>
        <x14:dataValidation type="list" allowBlank="1" showInputMessage="1" showErrorMessage="1">
          <x14:formula1>
            <xm:f>'List Values'!$A$5:$A$27</xm:f>
          </x14:formula1>
          <xm:sqref>E7:E8 E14:E1048576 E10:E12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4"/>
  <sheetViews>
    <sheetView zoomScaleNormal="100" workbookViewId="0">
      <pane xSplit="4" ySplit="6" topLeftCell="E7" activePane="bottomRight" state="frozen"/>
      <selection pane="topRight" activeCell="E1" sqref="E1"/>
      <selection pane="bottomLeft" activeCell="A7" sqref="A7"/>
      <selection pane="bottomRight" activeCell="D1" sqref="D1"/>
    </sheetView>
  </sheetViews>
  <sheetFormatPr defaultColWidth="9.1796875" defaultRowHeight="14.5" x14ac:dyDescent="0.35"/>
  <cols>
    <col min="1" max="1" width="14.7265625" style="6" customWidth="1"/>
    <col min="2" max="2" width="12.54296875" style="6" customWidth="1"/>
    <col min="3" max="3" width="16.1796875" style="34" customWidth="1"/>
    <col min="4" max="4" width="45.1796875" style="6" customWidth="1"/>
    <col min="5" max="5" width="28.7265625" style="6" customWidth="1"/>
    <col min="6" max="6" width="17" style="6" customWidth="1"/>
    <col min="7" max="7" width="17.7265625" style="6" customWidth="1"/>
    <col min="8" max="8" width="27.81640625" style="6" customWidth="1"/>
    <col min="9" max="9" width="34.81640625" style="6" customWidth="1"/>
    <col min="10" max="10" width="13.26953125" style="6" bestFit="1" customWidth="1"/>
    <col min="11" max="11" width="10.7265625" style="6" bestFit="1" customWidth="1"/>
    <col min="12" max="12" width="19.26953125" style="6" bestFit="1"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61</v>
      </c>
      <c r="C1" s="32"/>
      <c r="D1" s="29" t="s">
        <v>346</v>
      </c>
    </row>
    <row r="2" spans="1:16" s="30" customFormat="1" ht="18.5" x14ac:dyDescent="0.35">
      <c r="A2" s="28" t="s">
        <v>7</v>
      </c>
      <c r="B2" s="36">
        <v>2</v>
      </c>
      <c r="C2" s="35"/>
      <c r="D2" s="36" t="s">
        <v>322</v>
      </c>
    </row>
    <row r="3" spans="1:16" s="30" customFormat="1" ht="18.5" x14ac:dyDescent="0.35">
      <c r="A3" s="28" t="s">
        <v>44</v>
      </c>
      <c r="B3" s="36" t="s">
        <v>323</v>
      </c>
      <c r="C3" s="35"/>
      <c r="D3" s="36"/>
    </row>
    <row r="4" spans="1:16" s="30" customFormat="1" ht="18.5" x14ac:dyDescent="0.35">
      <c r="A4" s="28" t="s">
        <v>8</v>
      </c>
      <c r="B4" s="30" t="s">
        <v>47</v>
      </c>
      <c r="C4" s="35"/>
    </row>
    <row r="5" spans="1:16" s="4" customFormat="1" x14ac:dyDescent="0.35">
      <c r="C5" s="37"/>
    </row>
    <row r="6" spans="1:16" s="31" customFormat="1" ht="15" thickBot="1" x14ac:dyDescent="0.4">
      <c r="A6" s="31" t="s">
        <v>11</v>
      </c>
      <c r="B6" s="31" t="s">
        <v>12</v>
      </c>
      <c r="C6" s="33" t="s">
        <v>26</v>
      </c>
      <c r="D6" s="31" t="s">
        <v>25</v>
      </c>
      <c r="E6" s="31" t="s">
        <v>13</v>
      </c>
      <c r="F6" s="31" t="s">
        <v>14</v>
      </c>
      <c r="G6" s="31" t="s">
        <v>15</v>
      </c>
      <c r="H6" s="31" t="s">
        <v>16</v>
      </c>
      <c r="I6" s="31" t="s">
        <v>17</v>
      </c>
      <c r="J6" s="31" t="s">
        <v>18</v>
      </c>
      <c r="K6" s="31" t="s">
        <v>19</v>
      </c>
      <c r="L6" s="31" t="s">
        <v>20</v>
      </c>
      <c r="M6" s="31" t="s">
        <v>21</v>
      </c>
      <c r="N6" s="31" t="s">
        <v>22</v>
      </c>
      <c r="O6" s="31" t="s">
        <v>23</v>
      </c>
      <c r="P6" s="31" t="s">
        <v>24</v>
      </c>
    </row>
    <row r="7" spans="1:16" ht="29" x14ac:dyDescent="0.35">
      <c r="A7" s="6">
        <v>1</v>
      </c>
      <c r="B7" s="6" t="str">
        <f t="shared" ref="B7:B14" si="0">CONCATENATE($B$2, ".", A7)</f>
        <v>2.1</v>
      </c>
      <c r="C7" s="34" t="s">
        <v>45</v>
      </c>
      <c r="D7" s="39" t="s">
        <v>120</v>
      </c>
      <c r="E7" s="6" t="s">
        <v>29</v>
      </c>
      <c r="F7" s="6" t="s">
        <v>37</v>
      </c>
      <c r="G7" s="6" t="s">
        <v>37</v>
      </c>
      <c r="H7" s="6" t="s">
        <v>37</v>
      </c>
      <c r="I7" s="39" t="s">
        <v>10</v>
      </c>
      <c r="J7" s="5" t="s">
        <v>37</v>
      </c>
      <c r="K7" s="5" t="s">
        <v>37</v>
      </c>
      <c r="L7" s="5" t="s">
        <v>37</v>
      </c>
      <c r="M7" s="5" t="s">
        <v>37</v>
      </c>
      <c r="N7" s="5" t="s">
        <v>37</v>
      </c>
      <c r="O7" s="5" t="s">
        <v>37</v>
      </c>
      <c r="P7" s="6" t="s">
        <v>324</v>
      </c>
    </row>
    <row r="8" spans="1:16" x14ac:dyDescent="0.35">
      <c r="A8" s="6">
        <v>2</v>
      </c>
      <c r="B8" s="6" t="str">
        <f t="shared" si="0"/>
        <v>2.2</v>
      </c>
      <c r="C8" s="34" t="s">
        <v>40</v>
      </c>
      <c r="D8" s="39" t="s">
        <v>37</v>
      </c>
      <c r="E8" s="39" t="s">
        <v>49</v>
      </c>
      <c r="F8" s="6" t="s">
        <v>37</v>
      </c>
      <c r="G8" s="6" t="s">
        <v>37</v>
      </c>
      <c r="H8" s="6" t="s">
        <v>37</v>
      </c>
      <c r="I8" s="39" t="s">
        <v>10</v>
      </c>
      <c r="J8" s="5" t="s">
        <v>37</v>
      </c>
      <c r="K8" s="5" t="s">
        <v>37</v>
      </c>
      <c r="L8" s="5" t="s">
        <v>37</v>
      </c>
      <c r="M8" s="5" t="s">
        <v>37</v>
      </c>
      <c r="N8" s="5" t="s">
        <v>37</v>
      </c>
      <c r="O8" s="5" t="s">
        <v>37</v>
      </c>
    </row>
    <row r="9" spans="1:16" ht="43.5" x14ac:dyDescent="0.35">
      <c r="A9" s="6">
        <v>3</v>
      </c>
      <c r="B9" s="6" t="str">
        <f t="shared" si="0"/>
        <v>2.3</v>
      </c>
      <c r="C9" s="34" t="s">
        <v>45</v>
      </c>
      <c r="D9" s="39" t="s">
        <v>325</v>
      </c>
      <c r="E9" s="39" t="s">
        <v>32</v>
      </c>
      <c r="F9" s="6" t="s">
        <v>326</v>
      </c>
      <c r="G9" s="6" t="s">
        <v>37</v>
      </c>
      <c r="H9" s="6" t="s">
        <v>37</v>
      </c>
      <c r="I9" s="39" t="s">
        <v>10</v>
      </c>
      <c r="J9" s="5" t="s">
        <v>66</v>
      </c>
      <c r="K9" s="5" t="s">
        <v>54</v>
      </c>
      <c r="L9" s="5" t="s">
        <v>37</v>
      </c>
      <c r="M9" s="5" t="s">
        <v>37</v>
      </c>
      <c r="N9" s="5" t="s">
        <v>37</v>
      </c>
      <c r="O9" s="5" t="s">
        <v>37</v>
      </c>
      <c r="P9" s="6" t="s">
        <v>327</v>
      </c>
    </row>
    <row r="10" spans="1:16" ht="83.25" customHeight="1" x14ac:dyDescent="0.35">
      <c r="A10" s="6">
        <v>4</v>
      </c>
      <c r="B10" s="6" t="str">
        <f t="shared" si="0"/>
        <v>2.4</v>
      </c>
      <c r="C10" s="34" t="s">
        <v>45</v>
      </c>
      <c r="D10" s="39" t="s">
        <v>328</v>
      </c>
      <c r="E10" s="39" t="s">
        <v>34</v>
      </c>
      <c r="F10" s="6" t="s">
        <v>37</v>
      </c>
      <c r="G10" s="6" t="s">
        <v>37</v>
      </c>
      <c r="H10" s="6" t="s">
        <v>37</v>
      </c>
      <c r="I10" s="6" t="s">
        <v>329</v>
      </c>
      <c r="J10" s="5" t="s">
        <v>37</v>
      </c>
      <c r="K10" s="5" t="s">
        <v>37</v>
      </c>
      <c r="L10" s="5" t="s">
        <v>37</v>
      </c>
      <c r="M10" s="5" t="s">
        <v>37</v>
      </c>
      <c r="N10" s="5" t="s">
        <v>37</v>
      </c>
      <c r="O10" s="5" t="s">
        <v>330</v>
      </c>
      <c r="P10" s="6" t="s">
        <v>331</v>
      </c>
    </row>
    <row r="11" spans="1:16" ht="29" x14ac:dyDescent="0.35">
      <c r="A11" s="6">
        <v>5</v>
      </c>
      <c r="B11" s="6" t="str">
        <f>CONCATENATE($B$2, ".", A11)</f>
        <v>2.5</v>
      </c>
      <c r="C11" s="34" t="s">
        <v>45</v>
      </c>
      <c r="D11" s="39" t="s">
        <v>60</v>
      </c>
      <c r="E11" s="6" t="s">
        <v>43</v>
      </c>
      <c r="F11" s="6" t="s">
        <v>37</v>
      </c>
      <c r="G11" s="6" t="s">
        <v>37</v>
      </c>
      <c r="H11" s="6" t="s">
        <v>37</v>
      </c>
      <c r="I11" s="6" t="s">
        <v>332</v>
      </c>
      <c r="J11" s="6" t="s">
        <v>37</v>
      </c>
      <c r="K11" s="6" t="s">
        <v>37</v>
      </c>
      <c r="L11" s="6" t="s">
        <v>37</v>
      </c>
      <c r="M11" s="6" t="s">
        <v>37</v>
      </c>
      <c r="N11" s="6" t="s">
        <v>37</v>
      </c>
      <c r="O11" s="6" t="s">
        <v>333</v>
      </c>
      <c r="P11" s="6" t="s">
        <v>334</v>
      </c>
    </row>
    <row r="12" spans="1:16" ht="29" x14ac:dyDescent="0.35">
      <c r="A12" s="6">
        <v>6</v>
      </c>
      <c r="B12" s="6" t="str">
        <f t="shared" si="0"/>
        <v>2.6</v>
      </c>
      <c r="C12" s="34" t="s">
        <v>45</v>
      </c>
      <c r="D12" s="39" t="s">
        <v>59</v>
      </c>
      <c r="E12" s="6" t="s">
        <v>43</v>
      </c>
      <c r="F12" s="6" t="s">
        <v>37</v>
      </c>
      <c r="G12" s="6" t="s">
        <v>37</v>
      </c>
      <c r="H12" s="6" t="s">
        <v>37</v>
      </c>
      <c r="I12" s="6" t="s">
        <v>10</v>
      </c>
      <c r="J12" s="6" t="s">
        <v>37</v>
      </c>
      <c r="K12" s="6" t="s">
        <v>37</v>
      </c>
      <c r="L12" s="6" t="s">
        <v>37</v>
      </c>
      <c r="M12" s="6" t="s">
        <v>37</v>
      </c>
      <c r="N12" s="6" t="s">
        <v>37</v>
      </c>
      <c r="O12" s="6" t="s">
        <v>335</v>
      </c>
      <c r="P12" s="6" t="s">
        <v>334</v>
      </c>
    </row>
    <row r="13" spans="1:16" ht="91.5" customHeight="1" x14ac:dyDescent="0.35">
      <c r="A13" s="6">
        <v>7</v>
      </c>
      <c r="B13" s="6" t="str">
        <f t="shared" si="0"/>
        <v>2.7</v>
      </c>
      <c r="C13" s="34" t="s">
        <v>45</v>
      </c>
      <c r="D13" s="39" t="s">
        <v>336</v>
      </c>
      <c r="E13" s="6" t="s">
        <v>43</v>
      </c>
      <c r="F13" s="6" t="s">
        <v>37</v>
      </c>
      <c r="G13" s="6" t="s">
        <v>37</v>
      </c>
      <c r="H13" s="6" t="s">
        <v>37</v>
      </c>
      <c r="I13" s="6" t="s">
        <v>337</v>
      </c>
      <c r="J13" s="6" t="s">
        <v>37</v>
      </c>
      <c r="K13" s="6" t="s">
        <v>37</v>
      </c>
      <c r="L13" s="6" t="s">
        <v>37</v>
      </c>
      <c r="M13" s="6" t="s">
        <v>37</v>
      </c>
      <c r="N13" s="6" t="s">
        <v>37</v>
      </c>
      <c r="O13" s="6" t="s">
        <v>338</v>
      </c>
      <c r="P13" s="6" t="s">
        <v>339</v>
      </c>
    </row>
    <row r="14" spans="1:16" ht="91.5" customHeight="1" x14ac:dyDescent="0.35">
      <c r="A14" s="6">
        <v>8</v>
      </c>
      <c r="B14" s="6" t="str">
        <f t="shared" si="0"/>
        <v>2.8</v>
      </c>
      <c r="C14" s="34" t="s">
        <v>45</v>
      </c>
      <c r="D14" s="39" t="s">
        <v>340</v>
      </c>
      <c r="E14" s="6" t="s">
        <v>43</v>
      </c>
      <c r="F14" s="6" t="s">
        <v>37</v>
      </c>
      <c r="G14" s="6" t="s">
        <v>37</v>
      </c>
      <c r="H14" s="6" t="s">
        <v>37</v>
      </c>
      <c r="I14" s="6" t="s">
        <v>341</v>
      </c>
      <c r="J14" s="6" t="s">
        <v>37</v>
      </c>
      <c r="K14" s="6" t="s">
        <v>37</v>
      </c>
      <c r="L14" s="6" t="s">
        <v>37</v>
      </c>
      <c r="M14" s="6" t="s">
        <v>37</v>
      </c>
      <c r="N14" s="6" t="s">
        <v>37</v>
      </c>
      <c r="O14" s="6" t="s">
        <v>121</v>
      </c>
      <c r="P14" s="6" t="s">
        <v>339</v>
      </c>
    </row>
  </sheetData>
  <conditionalFormatting sqref="C7:C1048576">
    <cfRule type="cellIs" dxfId="344" priority="4" operator="equal">
      <formula>"WIP (see comments)"</formula>
    </cfRule>
    <cfRule type="cellIs" dxfId="343" priority="5" operator="equal">
      <formula>"Removed"</formula>
    </cfRule>
    <cfRule type="cellIs" dxfId="342" priority="6" operator="equal">
      <formula>"Updated"</formula>
    </cfRule>
    <cfRule type="cellIs" dxfId="341" priority="7" operator="equal">
      <formula>"New"</formula>
    </cfRule>
  </conditionalFormatting>
  <conditionalFormatting sqref="A2:XFD1048576 A1:C1 E1:XFD1">
    <cfRule type="cellIs" dxfId="340" priority="3" operator="equal">
      <formula>"n/a"</formula>
    </cfRule>
  </conditionalFormatting>
  <conditionalFormatting sqref="D1">
    <cfRule type="cellIs" dxfId="339" priority="1" operator="equal">
      <formula>"n/a"</formula>
    </cfRule>
  </conditionalFormatting>
  <dataValidations count="1">
    <dataValidation type="list" allowBlank="1" showInputMessage="1" showErrorMessage="1" sqref="C15:C1048576">
      <formula1>$B$5:$B$11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'C:\Users\hicksi\Documents\Small Business DCO\Field Specs\[Small Business DCO Small Business Form Field Spec v0.1 WIP.xlsx]List Values'!#REF!</xm:f>
          </x14:formula1>
          <xm:sqref>C7:C14 E7:E1048576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3"/>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39" customWidth="1"/>
    <col min="2" max="2" width="12.54296875" style="39" customWidth="1"/>
    <col min="3" max="3" width="13" style="47" customWidth="1"/>
    <col min="4" max="4" width="45.1796875" style="39" customWidth="1"/>
    <col min="5" max="5" width="28.7265625" style="39" customWidth="1"/>
    <col min="6" max="6" width="17" style="39" customWidth="1"/>
    <col min="7" max="7" width="17.7265625" style="39" customWidth="1"/>
    <col min="8" max="8" width="27.81640625" style="39" customWidth="1"/>
    <col min="9" max="9" width="34.81640625" style="39" customWidth="1"/>
    <col min="10" max="10" width="23.453125" style="39" customWidth="1"/>
    <col min="11" max="11" width="10.7265625" style="39" bestFit="1" customWidth="1"/>
    <col min="12" max="12" width="19.26953125" style="39" bestFit="1" customWidth="1"/>
    <col min="13" max="13" width="29" style="39" customWidth="1"/>
    <col min="14" max="14" width="18.7265625" style="39" bestFit="1" customWidth="1"/>
    <col min="15" max="15" width="48.453125" style="39" customWidth="1"/>
    <col min="16" max="16" width="41.81640625" style="39" customWidth="1"/>
    <col min="17" max="16384" width="9.1796875" style="39"/>
  </cols>
  <sheetData>
    <row r="1" spans="1:16" s="63" customFormat="1" ht="18.5" x14ac:dyDescent="0.35">
      <c r="A1" s="60" t="s">
        <v>6</v>
      </c>
      <c r="B1" s="61" t="s">
        <v>46</v>
      </c>
      <c r="C1" s="62"/>
      <c r="D1" s="29"/>
    </row>
    <row r="2" spans="1:16" s="63" customFormat="1" ht="18.5" x14ac:dyDescent="0.35">
      <c r="A2" s="60" t="s">
        <v>7</v>
      </c>
      <c r="B2" s="64">
        <v>4</v>
      </c>
      <c r="C2" s="65"/>
      <c r="D2" s="64"/>
    </row>
    <row r="3" spans="1:16" s="63" customFormat="1" ht="18.5" x14ac:dyDescent="0.35">
      <c r="A3" s="60" t="s">
        <v>44</v>
      </c>
      <c r="B3" s="64" t="s">
        <v>379</v>
      </c>
      <c r="C3" s="65"/>
      <c r="D3" s="64" t="s">
        <v>400</v>
      </c>
    </row>
    <row r="4" spans="1:16" s="63" customFormat="1" ht="18.5" x14ac:dyDescent="0.35">
      <c r="A4" s="60" t="s">
        <v>8</v>
      </c>
      <c r="B4" s="63" t="s">
        <v>47</v>
      </c>
      <c r="C4" s="65"/>
    </row>
    <row r="5" spans="1:16" s="66" customFormat="1" x14ac:dyDescent="0.35">
      <c r="C5" s="67"/>
    </row>
    <row r="6" spans="1:16" s="68" customFormat="1" ht="15" thickBot="1" x14ac:dyDescent="0.4">
      <c r="A6" s="68" t="s">
        <v>11</v>
      </c>
      <c r="B6" s="68" t="s">
        <v>12</v>
      </c>
      <c r="C6" s="69" t="s">
        <v>26</v>
      </c>
      <c r="D6" s="68" t="s">
        <v>25</v>
      </c>
      <c r="E6" s="68" t="s">
        <v>13</v>
      </c>
      <c r="F6" s="68" t="s">
        <v>14</v>
      </c>
      <c r="G6" s="68" t="s">
        <v>15</v>
      </c>
      <c r="H6" s="68" t="s">
        <v>16</v>
      </c>
      <c r="I6" s="68" t="s">
        <v>17</v>
      </c>
      <c r="J6" s="68" t="s">
        <v>18</v>
      </c>
      <c r="K6" s="68" t="s">
        <v>19</v>
      </c>
      <c r="L6" s="68" t="s">
        <v>20</v>
      </c>
      <c r="M6" s="68" t="s">
        <v>21</v>
      </c>
      <c r="N6" s="68" t="s">
        <v>22</v>
      </c>
      <c r="O6" s="68" t="s">
        <v>23</v>
      </c>
      <c r="P6" s="68" t="s">
        <v>24</v>
      </c>
    </row>
    <row r="7" spans="1:16" x14ac:dyDescent="0.35">
      <c r="A7" s="39">
        <v>1</v>
      </c>
      <c r="B7" s="39" t="str">
        <f t="shared" ref="B7:B11" si="0">CONCATENATE($B$2, ".", A7)</f>
        <v>4.1</v>
      </c>
      <c r="C7" s="47" t="s">
        <v>40</v>
      </c>
      <c r="D7" s="39" t="s">
        <v>123</v>
      </c>
      <c r="E7" s="39" t="s">
        <v>29</v>
      </c>
      <c r="F7" s="39" t="s">
        <v>37</v>
      </c>
      <c r="G7" s="39" t="s">
        <v>37</v>
      </c>
      <c r="H7" s="39" t="s">
        <v>37</v>
      </c>
      <c r="I7" s="39" t="s">
        <v>10</v>
      </c>
      <c r="J7" s="40" t="s">
        <v>37</v>
      </c>
      <c r="K7" s="40" t="s">
        <v>37</v>
      </c>
      <c r="L7" s="40" t="s">
        <v>37</v>
      </c>
      <c r="M7" s="40" t="s">
        <v>37</v>
      </c>
      <c r="N7" s="40" t="s">
        <v>37</v>
      </c>
      <c r="O7" s="40" t="s">
        <v>37</v>
      </c>
      <c r="P7" s="39" t="s">
        <v>324</v>
      </c>
    </row>
    <row r="8" spans="1:16" x14ac:dyDescent="0.35">
      <c r="A8" s="39">
        <v>2</v>
      </c>
      <c r="B8" s="39" t="str">
        <f t="shared" si="0"/>
        <v>4.2</v>
      </c>
      <c r="C8" s="47" t="s">
        <v>40</v>
      </c>
      <c r="D8" s="39" t="s">
        <v>37</v>
      </c>
      <c r="E8" s="39" t="s">
        <v>49</v>
      </c>
      <c r="F8" s="39" t="s">
        <v>37</v>
      </c>
      <c r="G8" s="39" t="s">
        <v>37</v>
      </c>
      <c r="H8" s="39" t="s">
        <v>37</v>
      </c>
      <c r="I8" s="39" t="s">
        <v>10</v>
      </c>
      <c r="J8" s="40" t="s">
        <v>37</v>
      </c>
      <c r="K8" s="40" t="s">
        <v>37</v>
      </c>
      <c r="L8" s="40" t="s">
        <v>37</v>
      </c>
      <c r="M8" s="40" t="s">
        <v>37</v>
      </c>
      <c r="N8" s="40" t="s">
        <v>37</v>
      </c>
      <c r="O8" s="40" t="s">
        <v>37</v>
      </c>
    </row>
    <row r="9" spans="1:16" ht="100.5" customHeight="1" x14ac:dyDescent="0.35">
      <c r="A9" s="39">
        <v>3</v>
      </c>
      <c r="B9" s="39" t="str">
        <f t="shared" si="0"/>
        <v>4.3</v>
      </c>
      <c r="C9" s="47" t="s">
        <v>40</v>
      </c>
      <c r="D9" s="39" t="s">
        <v>404</v>
      </c>
      <c r="E9" s="39" t="s">
        <v>122</v>
      </c>
      <c r="F9" s="39" t="s">
        <v>37</v>
      </c>
      <c r="G9" s="39" t="s">
        <v>37</v>
      </c>
      <c r="H9" s="39" t="s">
        <v>37</v>
      </c>
      <c r="I9" s="39" t="s">
        <v>10</v>
      </c>
      <c r="J9" s="40" t="s">
        <v>37</v>
      </c>
      <c r="K9" s="40" t="s">
        <v>37</v>
      </c>
      <c r="L9" s="40" t="s">
        <v>37</v>
      </c>
      <c r="M9" s="40" t="s">
        <v>37</v>
      </c>
      <c r="N9" s="40" t="s">
        <v>37</v>
      </c>
      <c r="O9" s="40" t="s">
        <v>109</v>
      </c>
      <c r="P9" s="39" t="s">
        <v>324</v>
      </c>
    </row>
    <row r="10" spans="1:16" ht="120.75" customHeight="1" x14ac:dyDescent="0.35">
      <c r="A10" s="39">
        <v>4</v>
      </c>
      <c r="B10" s="39" t="str">
        <f t="shared" si="0"/>
        <v>4.4</v>
      </c>
      <c r="C10" s="47" t="s">
        <v>40</v>
      </c>
      <c r="D10" s="39" t="s">
        <v>50</v>
      </c>
      <c r="E10" s="39" t="s">
        <v>33</v>
      </c>
      <c r="F10" s="39" t="s">
        <v>52</v>
      </c>
      <c r="G10" s="39" t="s">
        <v>253</v>
      </c>
      <c r="H10" s="39" t="s">
        <v>53</v>
      </c>
      <c r="I10" s="39" t="s">
        <v>10</v>
      </c>
      <c r="J10" s="40" t="s">
        <v>397</v>
      </c>
      <c r="K10" s="40" t="s">
        <v>54</v>
      </c>
      <c r="L10" s="40" t="s">
        <v>57</v>
      </c>
      <c r="M10" s="40" t="s">
        <v>124</v>
      </c>
      <c r="N10" s="40" t="s">
        <v>57</v>
      </c>
      <c r="O10" s="40" t="s">
        <v>37</v>
      </c>
    </row>
    <row r="11" spans="1:16" ht="149.25" customHeight="1" x14ac:dyDescent="0.35">
      <c r="A11" s="39">
        <v>5</v>
      </c>
      <c r="B11" s="39" t="str">
        <f t="shared" si="0"/>
        <v>4.5</v>
      </c>
      <c r="C11" s="47" t="s">
        <v>40</v>
      </c>
      <c r="D11" s="39" t="s">
        <v>125</v>
      </c>
      <c r="E11" s="39" t="s">
        <v>33</v>
      </c>
      <c r="F11" s="39" t="s">
        <v>51</v>
      </c>
      <c r="G11" s="39" t="s">
        <v>126</v>
      </c>
      <c r="H11" s="39" t="s">
        <v>55</v>
      </c>
      <c r="I11" s="39" t="s">
        <v>10</v>
      </c>
      <c r="J11" s="40" t="s">
        <v>398</v>
      </c>
      <c r="K11" s="39" t="s">
        <v>54</v>
      </c>
      <c r="L11" s="39" t="s">
        <v>58</v>
      </c>
      <c r="M11" s="39" t="s">
        <v>56</v>
      </c>
      <c r="N11" s="39" t="s">
        <v>58</v>
      </c>
      <c r="O11" s="40" t="s">
        <v>37</v>
      </c>
    </row>
    <row r="12" spans="1:16" ht="156.75" customHeight="1" x14ac:dyDescent="0.35">
      <c r="A12" s="39">
        <v>6</v>
      </c>
      <c r="B12" s="39" t="str">
        <f t="shared" ref="B12:B13" si="1">CONCATENATE($B$2, ".", A12)</f>
        <v>4.6</v>
      </c>
      <c r="C12" s="47" t="s">
        <v>38</v>
      </c>
      <c r="D12" s="39" t="s">
        <v>60</v>
      </c>
      <c r="E12" s="39" t="s">
        <v>43</v>
      </c>
      <c r="F12" s="39" t="s">
        <v>37</v>
      </c>
      <c r="G12" s="39" t="s">
        <v>37</v>
      </c>
      <c r="H12" s="39" t="s">
        <v>37</v>
      </c>
      <c r="I12" s="39" t="s">
        <v>10</v>
      </c>
      <c r="J12" s="39" t="s">
        <v>37</v>
      </c>
      <c r="K12" s="39" t="s">
        <v>37</v>
      </c>
      <c r="L12" s="39" t="s">
        <v>37</v>
      </c>
      <c r="M12" s="39" t="s">
        <v>37</v>
      </c>
      <c r="N12" s="39" t="s">
        <v>37</v>
      </c>
      <c r="O12" s="39" t="s">
        <v>399</v>
      </c>
    </row>
    <row r="13" spans="1:16" ht="30.5" customHeight="1" x14ac:dyDescent="0.35">
      <c r="A13" s="39">
        <v>7</v>
      </c>
      <c r="B13" s="39" t="str">
        <f t="shared" si="1"/>
        <v>4.7</v>
      </c>
      <c r="C13" s="47" t="s">
        <v>45</v>
      </c>
      <c r="D13" s="39" t="s">
        <v>59</v>
      </c>
      <c r="E13" s="39" t="s">
        <v>43</v>
      </c>
      <c r="F13" s="39" t="s">
        <v>37</v>
      </c>
      <c r="G13" s="39" t="s">
        <v>37</v>
      </c>
      <c r="H13" s="39" t="s">
        <v>37</v>
      </c>
      <c r="I13" s="39" t="s">
        <v>10</v>
      </c>
      <c r="J13" s="39" t="s">
        <v>37</v>
      </c>
      <c r="K13" s="39" t="s">
        <v>37</v>
      </c>
      <c r="L13" s="39" t="s">
        <v>37</v>
      </c>
      <c r="M13" s="39" t="s">
        <v>37</v>
      </c>
      <c r="N13" s="39" t="s">
        <v>37</v>
      </c>
      <c r="O13" s="39" t="s">
        <v>396</v>
      </c>
    </row>
  </sheetData>
  <conditionalFormatting sqref="C7:C1048576">
    <cfRule type="cellIs" dxfId="338" priority="18" operator="equal">
      <formula>"WIP (see comments)"</formula>
    </cfRule>
    <cfRule type="cellIs" dxfId="337" priority="19" operator="equal">
      <formula>"Removed"</formula>
    </cfRule>
    <cfRule type="cellIs" dxfId="336" priority="20" operator="equal">
      <formula>"Updated"</formula>
    </cfRule>
    <cfRule type="cellIs" dxfId="335" priority="21" operator="equal">
      <formula>"New"</formula>
    </cfRule>
  </conditionalFormatting>
  <conditionalFormatting sqref="A2:XFD9 Q10:XFD10 A11:N11 P11:XFD11 A1:C1 E1:XFD1 C9:C12 A12:XFD1048576">
    <cfRule type="cellIs" dxfId="334" priority="9" operator="equal">
      <formula>"n/a"</formula>
    </cfRule>
  </conditionalFormatting>
  <conditionalFormatting sqref="A10:B10 D10:P10">
    <cfRule type="cellIs" dxfId="333" priority="4" operator="equal">
      <formula>"n/a"</formula>
    </cfRule>
  </conditionalFormatting>
  <conditionalFormatting sqref="O11">
    <cfRule type="cellIs" dxfId="332" priority="3" operator="equal">
      <formula>"n/a"</formula>
    </cfRule>
  </conditionalFormatting>
  <conditionalFormatting sqref="D1">
    <cfRule type="cellIs" dxfId="331"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Values'!$A$5:$A$27</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2"/>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5" customWidth="1"/>
    <col min="2" max="2" width="12.54296875" style="5" customWidth="1"/>
    <col min="3" max="3" width="18.54296875" style="71" customWidth="1"/>
    <col min="4" max="4" width="45.1796875" style="5" customWidth="1"/>
    <col min="5" max="5" width="28.7265625" style="5" customWidth="1"/>
    <col min="6" max="6" width="37" style="5" customWidth="1"/>
    <col min="7" max="7" width="29.26953125" style="5" customWidth="1"/>
    <col min="8" max="8" width="11.54296875" style="71"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244</v>
      </c>
      <c r="C1" s="32"/>
      <c r="D1" s="29"/>
      <c r="H1" s="35"/>
    </row>
    <row r="2" spans="1:16" s="30" customFormat="1" ht="18.5" x14ac:dyDescent="0.35">
      <c r="A2" s="28" t="s">
        <v>7</v>
      </c>
      <c r="B2" s="36" t="s">
        <v>294</v>
      </c>
      <c r="C2" s="35"/>
      <c r="D2" s="36"/>
      <c r="H2" s="35"/>
    </row>
    <row r="3" spans="1:16" s="30" customFormat="1" ht="18.5" x14ac:dyDescent="0.35">
      <c r="A3" s="28" t="s">
        <v>44</v>
      </c>
      <c r="B3" s="36" t="s">
        <v>380</v>
      </c>
      <c r="C3" s="35"/>
      <c r="D3" s="36" t="s">
        <v>74</v>
      </c>
      <c r="H3" s="35"/>
    </row>
    <row r="4" spans="1:16" s="30" customFormat="1" ht="18.5" x14ac:dyDescent="0.35">
      <c r="A4" s="28" t="s">
        <v>8</v>
      </c>
      <c r="B4" s="30" t="s">
        <v>401</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 t="shared" ref="B7:B12" si="0">CONCATENATE($B$2, ".", A7)</f>
        <v>4a.1</v>
      </c>
      <c r="C7" s="71" t="s">
        <v>40</v>
      </c>
      <c r="D7" s="40" t="s">
        <v>245</v>
      </c>
      <c r="E7" s="40" t="s">
        <v>148</v>
      </c>
      <c r="F7" s="5" t="s">
        <v>37</v>
      </c>
      <c r="G7" s="5" t="s">
        <v>37</v>
      </c>
      <c r="H7" s="71" t="s">
        <v>37</v>
      </c>
      <c r="I7" s="40" t="s">
        <v>10</v>
      </c>
      <c r="J7" s="5" t="s">
        <v>37</v>
      </c>
      <c r="K7" s="5" t="s">
        <v>37</v>
      </c>
      <c r="L7" s="5" t="s">
        <v>37</v>
      </c>
      <c r="M7" s="5" t="s">
        <v>37</v>
      </c>
      <c r="N7" s="5" t="s">
        <v>37</v>
      </c>
    </row>
    <row r="8" spans="1:16" ht="105.75" customHeight="1" x14ac:dyDescent="0.35">
      <c r="A8" s="5">
        <v>2</v>
      </c>
      <c r="B8" s="5" t="str">
        <f t="shared" si="0"/>
        <v>4a.2</v>
      </c>
      <c r="C8" s="71" t="s">
        <v>40</v>
      </c>
      <c r="D8" s="45" t="s">
        <v>342</v>
      </c>
      <c r="E8" s="40" t="s">
        <v>34</v>
      </c>
      <c r="F8" s="5" t="s">
        <v>37</v>
      </c>
      <c r="G8" s="5" t="s">
        <v>37</v>
      </c>
      <c r="H8" s="71" t="s">
        <v>37</v>
      </c>
      <c r="I8" s="40" t="s">
        <v>10</v>
      </c>
      <c r="J8" s="5" t="s">
        <v>37</v>
      </c>
      <c r="K8" s="5" t="s">
        <v>37</v>
      </c>
      <c r="L8" s="5" t="s">
        <v>37</v>
      </c>
      <c r="M8" s="5" t="s">
        <v>37</v>
      </c>
      <c r="N8" s="5" t="s">
        <v>37</v>
      </c>
    </row>
    <row r="9" spans="1:16" x14ac:dyDescent="0.35">
      <c r="A9" s="5">
        <v>3</v>
      </c>
      <c r="B9" s="5" t="str">
        <f t="shared" si="0"/>
        <v>4a.3</v>
      </c>
      <c r="C9" s="74" t="s">
        <v>40</v>
      </c>
      <c r="D9" s="45" t="s">
        <v>224</v>
      </c>
      <c r="E9" s="40" t="s">
        <v>33</v>
      </c>
      <c r="F9" s="5" t="s">
        <v>37</v>
      </c>
      <c r="G9" s="5" t="s">
        <v>37</v>
      </c>
      <c r="H9" s="71" t="s">
        <v>37</v>
      </c>
      <c r="I9" s="40" t="s">
        <v>10</v>
      </c>
      <c r="J9" s="5" t="s">
        <v>37</v>
      </c>
      <c r="K9" s="5" t="s">
        <v>37</v>
      </c>
      <c r="L9" s="5" t="s">
        <v>37</v>
      </c>
      <c r="M9" s="5" t="s">
        <v>37</v>
      </c>
      <c r="N9" s="5" t="s">
        <v>37</v>
      </c>
    </row>
    <row r="10" spans="1:16" x14ac:dyDescent="0.35">
      <c r="A10" s="5">
        <v>4</v>
      </c>
      <c r="B10" s="5" t="str">
        <f>CONCATENATE($B$2, ".", A10)</f>
        <v>4a.4</v>
      </c>
      <c r="C10" s="74" t="s">
        <v>40</v>
      </c>
      <c r="D10" s="5" t="s">
        <v>275</v>
      </c>
      <c r="E10" s="5" t="s">
        <v>43</v>
      </c>
      <c r="F10" s="5" t="s">
        <v>37</v>
      </c>
      <c r="G10" s="5" t="s">
        <v>37</v>
      </c>
      <c r="H10" s="71" t="s">
        <v>37</v>
      </c>
      <c r="I10" s="40" t="s">
        <v>10</v>
      </c>
      <c r="J10" s="5" t="s">
        <v>37</v>
      </c>
      <c r="K10" s="5" t="s">
        <v>37</v>
      </c>
      <c r="L10" s="5" t="s">
        <v>37</v>
      </c>
      <c r="M10" s="5" t="s">
        <v>37</v>
      </c>
      <c r="N10" s="5" t="s">
        <v>37</v>
      </c>
      <c r="O10" s="40" t="s">
        <v>228</v>
      </c>
    </row>
    <row r="11" spans="1:16" ht="29" x14ac:dyDescent="0.35">
      <c r="A11" s="5">
        <v>5</v>
      </c>
      <c r="B11" s="5" t="str">
        <f t="shared" si="0"/>
        <v>4a.5</v>
      </c>
      <c r="C11" s="74" t="s">
        <v>38</v>
      </c>
      <c r="D11" s="5" t="s">
        <v>225</v>
      </c>
      <c r="E11" s="5" t="s">
        <v>43</v>
      </c>
      <c r="F11" s="5" t="s">
        <v>37</v>
      </c>
      <c r="G11" s="5" t="s">
        <v>37</v>
      </c>
      <c r="H11" s="71" t="s">
        <v>37</v>
      </c>
      <c r="I11" s="40" t="s">
        <v>10</v>
      </c>
      <c r="J11" s="5" t="s">
        <v>37</v>
      </c>
      <c r="K11" s="5" t="s">
        <v>37</v>
      </c>
      <c r="L11" s="5" t="s">
        <v>37</v>
      </c>
      <c r="M11" s="5" t="s">
        <v>37</v>
      </c>
      <c r="N11" s="5" t="s">
        <v>37</v>
      </c>
      <c r="O11" s="39" t="s">
        <v>381</v>
      </c>
    </row>
    <row r="12" spans="1:16" s="39" customFormat="1" ht="29" x14ac:dyDescent="0.35">
      <c r="A12" s="39">
        <v>6</v>
      </c>
      <c r="B12" s="39" t="str">
        <f t="shared" si="0"/>
        <v>4a.6</v>
      </c>
      <c r="C12" s="74" t="s">
        <v>38</v>
      </c>
      <c r="D12" s="39" t="s">
        <v>59</v>
      </c>
      <c r="E12" s="39" t="s">
        <v>43</v>
      </c>
      <c r="F12" s="39" t="s">
        <v>37</v>
      </c>
      <c r="G12" s="39" t="s">
        <v>37</v>
      </c>
      <c r="H12" s="47" t="s">
        <v>37</v>
      </c>
      <c r="I12" s="39" t="s">
        <v>10</v>
      </c>
      <c r="J12" s="39" t="s">
        <v>37</v>
      </c>
      <c r="K12" s="39" t="s">
        <v>37</v>
      </c>
      <c r="L12" s="39" t="s">
        <v>37</v>
      </c>
      <c r="M12" s="39" t="s">
        <v>37</v>
      </c>
      <c r="N12" s="39" t="s">
        <v>37</v>
      </c>
      <c r="O12" s="39" t="s">
        <v>382</v>
      </c>
    </row>
  </sheetData>
  <autoFilter ref="A6:P6"/>
  <conditionalFormatting sqref="C7:C1048576">
    <cfRule type="cellIs" dxfId="330" priority="21" operator="equal">
      <formula>"WIP (see comments)"</formula>
    </cfRule>
    <cfRule type="cellIs" dxfId="329" priority="22" operator="equal">
      <formula>"Removed"</formula>
    </cfRule>
    <cfRule type="cellIs" dxfId="328" priority="23" operator="equal">
      <formula>"Updated"</formula>
    </cfRule>
    <cfRule type="cellIs" dxfId="327" priority="24" operator="equal">
      <formula>"New"</formula>
    </cfRule>
  </conditionalFormatting>
  <conditionalFormatting sqref="A1:XFD6 A13:XFD1048576 C8:C12">
    <cfRule type="cellIs" dxfId="326" priority="20" operator="equal">
      <formula>"n/a"</formula>
    </cfRule>
  </conditionalFormatting>
  <conditionalFormatting sqref="D8:D9">
    <cfRule type="cellIs" dxfId="325" priority="19" operator="equal">
      <formula>"-"</formula>
    </cfRule>
  </conditionalFormatting>
  <conditionalFormatting sqref="A8:B9 D8:XFD9">
    <cfRule type="cellIs" dxfId="324" priority="18" operator="equal">
      <formula>"n/a"</formula>
    </cfRule>
  </conditionalFormatting>
  <conditionalFormatting sqref="A7:XFD7">
    <cfRule type="cellIs" dxfId="323" priority="13" operator="equal">
      <formula>"n/a"</formula>
    </cfRule>
  </conditionalFormatting>
  <conditionalFormatting sqref="A11:B11 D11:N11 P11:XFD11">
    <cfRule type="cellIs" dxfId="322" priority="12" operator="equal">
      <formula>"n/a"</formula>
    </cfRule>
  </conditionalFormatting>
  <conditionalFormatting sqref="A10:B10 D10:XFD10">
    <cfRule type="cellIs" dxfId="321" priority="11" operator="equal">
      <formula>"n/a"</formula>
    </cfRule>
  </conditionalFormatting>
  <conditionalFormatting sqref="A12:B12 D12:XFD12">
    <cfRule type="cellIs" dxfId="320" priority="2" operator="equal">
      <formula>"n/a"</formula>
    </cfRule>
  </conditionalFormatting>
  <conditionalFormatting sqref="O11">
    <cfRule type="cellIs" dxfId="319" priority="1" operator="equal">
      <formula>"n/a"</formula>
    </cfRule>
  </conditionalFormatting>
  <dataValidations count="3">
    <dataValidation type="list" allowBlank="1" showInputMessage="1" showErrorMessage="1" sqref="C13:C1048576">
      <formula1>$B$5:$B$12</formula1>
    </dataValidation>
    <dataValidation type="list" allowBlank="1" showInputMessage="1" showErrorMessage="1" sqref="E10 E12:E1048576">
      <formula1>$A$5:$A$26</formula1>
    </dataValidation>
    <dataValidation type="list" allowBlank="1" showInputMessage="1" showErrorMessage="1" sqref="E11">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C7:C12</xm:sqref>
        </x14:dataValidation>
        <x14:dataValidation type="list" allowBlank="1" showInputMessage="1" showErrorMessage="1">
          <x14:formula1>
            <xm:f>'List Values'!$A$5:$A$27</xm:f>
          </x14:formula1>
          <xm:sqref>E7:E9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7"/>
  <sheetViews>
    <sheetView workbookViewId="0">
      <pane xSplit="4" ySplit="6" topLeftCell="E7" activePane="bottomRight" state="frozen"/>
      <selection pane="topRight" activeCell="E1" sqref="E1"/>
      <selection pane="bottomLeft" activeCell="A7" sqref="A7"/>
      <selection pane="bottomRight" activeCell="B3" sqref="B3"/>
    </sheetView>
  </sheetViews>
  <sheetFormatPr defaultColWidth="9.1796875" defaultRowHeight="14.5" x14ac:dyDescent="0.35"/>
  <cols>
    <col min="1" max="1" width="14.7265625" style="39" customWidth="1"/>
    <col min="2" max="2" width="12.54296875" style="39" customWidth="1"/>
    <col min="3" max="3" width="13" style="47" customWidth="1"/>
    <col min="4" max="4" width="45.1796875" style="39" customWidth="1"/>
    <col min="5" max="5" width="28.7265625" style="39" customWidth="1"/>
    <col min="6" max="6" width="17" style="39" customWidth="1"/>
    <col min="7" max="7" width="29.26953125" style="39" customWidth="1"/>
    <col min="8" max="8" width="27.81640625" style="39" customWidth="1"/>
    <col min="9" max="9" width="34.81640625" style="39" customWidth="1"/>
    <col min="10" max="10" width="28.1796875" style="39" customWidth="1"/>
    <col min="11" max="11" width="10.7265625" style="39" bestFit="1" customWidth="1"/>
    <col min="12" max="12" width="23" style="39" customWidth="1"/>
    <col min="13" max="13" width="29" style="39" customWidth="1"/>
    <col min="14" max="14" width="18.7265625" style="39" bestFit="1" customWidth="1"/>
    <col min="15" max="15" width="48.453125" style="39" customWidth="1"/>
    <col min="16" max="16" width="41.81640625" style="39" customWidth="1"/>
    <col min="17" max="16384" width="9.1796875" style="39"/>
  </cols>
  <sheetData>
    <row r="1" spans="1:16" s="63" customFormat="1" ht="18.5" x14ac:dyDescent="0.35">
      <c r="A1" s="60" t="s">
        <v>6</v>
      </c>
      <c r="B1" s="61" t="s">
        <v>65</v>
      </c>
      <c r="C1" s="62"/>
      <c r="D1" s="29"/>
    </row>
    <row r="2" spans="1:16" s="63" customFormat="1" ht="18.5" x14ac:dyDescent="0.35">
      <c r="A2" s="60" t="s">
        <v>7</v>
      </c>
      <c r="B2" s="64">
        <v>5</v>
      </c>
      <c r="C2" s="65"/>
      <c r="D2" s="64"/>
    </row>
    <row r="3" spans="1:16" s="63" customFormat="1" ht="18.5" x14ac:dyDescent="0.35">
      <c r="A3" s="60" t="s">
        <v>44</v>
      </c>
      <c r="B3" s="64" t="s">
        <v>367</v>
      </c>
      <c r="C3" s="65"/>
      <c r="D3" s="64" t="s">
        <v>418</v>
      </c>
    </row>
    <row r="4" spans="1:16" s="63" customFormat="1" ht="18.5" x14ac:dyDescent="0.35">
      <c r="A4" s="60" t="s">
        <v>8</v>
      </c>
      <c r="B4" s="63" t="s">
        <v>47</v>
      </c>
      <c r="C4" s="65"/>
    </row>
    <row r="5" spans="1:16" s="66" customFormat="1" x14ac:dyDescent="0.35">
      <c r="C5" s="67"/>
    </row>
    <row r="6" spans="1:16" s="68" customFormat="1" ht="15" thickBot="1" x14ac:dyDescent="0.4">
      <c r="A6" s="68" t="s">
        <v>11</v>
      </c>
      <c r="B6" s="68" t="s">
        <v>12</v>
      </c>
      <c r="C6" s="69" t="s">
        <v>26</v>
      </c>
      <c r="D6" s="68" t="s">
        <v>25</v>
      </c>
      <c r="E6" s="68" t="s">
        <v>13</v>
      </c>
      <c r="F6" s="68" t="s">
        <v>14</v>
      </c>
      <c r="G6" s="68" t="s">
        <v>15</v>
      </c>
      <c r="H6" s="68" t="s">
        <v>16</v>
      </c>
      <c r="I6" s="68" t="s">
        <v>17</v>
      </c>
      <c r="J6" s="68" t="s">
        <v>18</v>
      </c>
      <c r="K6" s="68" t="s">
        <v>19</v>
      </c>
      <c r="L6" s="68" t="s">
        <v>20</v>
      </c>
      <c r="M6" s="68" t="s">
        <v>21</v>
      </c>
      <c r="N6" s="68" t="s">
        <v>22</v>
      </c>
      <c r="O6" s="68" t="s">
        <v>23</v>
      </c>
      <c r="P6" s="68" t="s">
        <v>24</v>
      </c>
    </row>
    <row r="7" spans="1:16" ht="29" x14ac:dyDescent="0.35">
      <c r="A7" s="39">
        <v>1</v>
      </c>
      <c r="B7" s="39" t="str">
        <f>CONCATENATE($B$2, ".", A7)</f>
        <v>5.1</v>
      </c>
      <c r="C7" s="47" t="s">
        <v>45</v>
      </c>
      <c r="D7" s="39" t="s">
        <v>295</v>
      </c>
      <c r="E7" s="39" t="s">
        <v>29</v>
      </c>
      <c r="F7" s="39" t="s">
        <v>37</v>
      </c>
      <c r="G7" s="39" t="s">
        <v>37</v>
      </c>
      <c r="H7" s="39" t="s">
        <v>37</v>
      </c>
      <c r="I7" s="39" t="s">
        <v>10</v>
      </c>
      <c r="J7" s="40" t="s">
        <v>37</v>
      </c>
      <c r="K7" s="40" t="s">
        <v>37</v>
      </c>
      <c r="L7" s="40" t="s">
        <v>37</v>
      </c>
      <c r="M7" s="40" t="s">
        <v>37</v>
      </c>
      <c r="N7" s="40" t="s">
        <v>37</v>
      </c>
      <c r="O7" s="40" t="s">
        <v>37</v>
      </c>
      <c r="P7" s="39" t="s">
        <v>316</v>
      </c>
    </row>
    <row r="8" spans="1:16" x14ac:dyDescent="0.35">
      <c r="A8" s="39">
        <v>2</v>
      </c>
      <c r="B8" s="39" t="str">
        <f t="shared" ref="B8:B12" si="0">CONCATENATE($B$2, ".", A8)</f>
        <v>5.2</v>
      </c>
      <c r="C8" s="47" t="s">
        <v>40</v>
      </c>
      <c r="D8" s="39" t="s">
        <v>37</v>
      </c>
      <c r="E8" s="39" t="s">
        <v>49</v>
      </c>
      <c r="F8" s="39" t="s">
        <v>37</v>
      </c>
      <c r="G8" s="39" t="s">
        <v>37</v>
      </c>
      <c r="H8" s="39" t="s">
        <v>37</v>
      </c>
      <c r="I8" s="39" t="s">
        <v>10</v>
      </c>
      <c r="J8" s="40" t="s">
        <v>37</v>
      </c>
      <c r="K8" s="40" t="s">
        <v>37</v>
      </c>
      <c r="L8" s="40" t="s">
        <v>37</v>
      </c>
      <c r="M8" s="40" t="s">
        <v>37</v>
      </c>
      <c r="N8" s="40" t="s">
        <v>37</v>
      </c>
      <c r="O8" s="40" t="s">
        <v>37</v>
      </c>
    </row>
    <row r="9" spans="1:16" ht="84.75" customHeight="1" x14ac:dyDescent="0.35">
      <c r="A9" s="39">
        <v>3</v>
      </c>
      <c r="B9" s="39" t="str">
        <f t="shared" si="0"/>
        <v>5.3</v>
      </c>
      <c r="C9" s="47" t="s">
        <v>45</v>
      </c>
      <c r="D9" s="39" t="s">
        <v>344</v>
      </c>
      <c r="E9" s="39" t="s">
        <v>34</v>
      </c>
      <c r="F9" s="39" t="s">
        <v>37</v>
      </c>
      <c r="G9" s="39" t="s">
        <v>37</v>
      </c>
      <c r="H9" s="39" t="s">
        <v>37</v>
      </c>
      <c r="I9" s="39" t="s">
        <v>10</v>
      </c>
      <c r="J9" s="40" t="s">
        <v>37</v>
      </c>
      <c r="K9" s="40" t="s">
        <v>37</v>
      </c>
      <c r="L9" s="40" t="s">
        <v>37</v>
      </c>
      <c r="M9" s="40" t="s">
        <v>37</v>
      </c>
      <c r="N9" s="40" t="s">
        <v>37</v>
      </c>
      <c r="O9" s="40" t="s">
        <v>37</v>
      </c>
      <c r="P9" s="39" t="s">
        <v>316</v>
      </c>
    </row>
    <row r="10" spans="1:16" ht="53.25" customHeight="1" x14ac:dyDescent="0.35">
      <c r="A10" s="39">
        <v>4</v>
      </c>
      <c r="B10" s="39" t="str">
        <f t="shared" si="0"/>
        <v>5.4</v>
      </c>
      <c r="C10" s="47" t="s">
        <v>40</v>
      </c>
      <c r="D10" s="46" t="s">
        <v>308</v>
      </c>
      <c r="E10" s="39" t="s">
        <v>34</v>
      </c>
      <c r="F10" s="39" t="s">
        <v>37</v>
      </c>
      <c r="G10" s="39" t="s">
        <v>413</v>
      </c>
      <c r="H10" s="39" t="s">
        <v>37</v>
      </c>
      <c r="I10" s="39" t="s">
        <v>10</v>
      </c>
      <c r="J10" s="40" t="s">
        <v>37</v>
      </c>
      <c r="K10" s="40" t="s">
        <v>37</v>
      </c>
      <c r="L10" s="40" t="s">
        <v>37</v>
      </c>
      <c r="M10" s="40" t="s">
        <v>37</v>
      </c>
      <c r="N10" s="40" t="s">
        <v>37</v>
      </c>
      <c r="O10" s="40" t="s">
        <v>37</v>
      </c>
    </row>
    <row r="11" spans="1:16" ht="43.5" x14ac:dyDescent="0.35">
      <c r="A11" s="39">
        <v>5</v>
      </c>
      <c r="B11" s="39" t="str">
        <f t="shared" si="0"/>
        <v>5.5</v>
      </c>
      <c r="C11" s="47" t="s">
        <v>38</v>
      </c>
      <c r="D11" s="46" t="s">
        <v>369</v>
      </c>
      <c r="E11" s="39" t="s">
        <v>34</v>
      </c>
      <c r="F11" s="39" t="s">
        <v>37</v>
      </c>
      <c r="G11" s="39" t="s">
        <v>368</v>
      </c>
      <c r="H11" s="39" t="s">
        <v>37</v>
      </c>
      <c r="I11" s="39" t="s">
        <v>10</v>
      </c>
      <c r="J11" s="40" t="s">
        <v>37</v>
      </c>
      <c r="K11" s="40" t="s">
        <v>37</v>
      </c>
      <c r="L11" s="40" t="s">
        <v>37</v>
      </c>
      <c r="M11" s="40" t="s">
        <v>37</v>
      </c>
      <c r="N11" s="40" t="s">
        <v>37</v>
      </c>
      <c r="O11" s="40" t="s">
        <v>37</v>
      </c>
      <c r="P11" s="39" t="s">
        <v>373</v>
      </c>
    </row>
    <row r="12" spans="1:16" ht="29" x14ac:dyDescent="0.35">
      <c r="A12" s="39">
        <v>6</v>
      </c>
      <c r="B12" s="39" t="str">
        <f t="shared" si="0"/>
        <v>5.6</v>
      </c>
      <c r="C12" s="47" t="s">
        <v>40</v>
      </c>
      <c r="D12" s="46" t="s">
        <v>309</v>
      </c>
      <c r="E12" s="39" t="s">
        <v>34</v>
      </c>
      <c r="F12" s="39" t="s">
        <v>37</v>
      </c>
      <c r="G12" s="39" t="s">
        <v>143</v>
      </c>
      <c r="H12" s="39" t="s">
        <v>37</v>
      </c>
      <c r="I12" s="39" t="s">
        <v>10</v>
      </c>
      <c r="J12" s="40" t="s">
        <v>37</v>
      </c>
      <c r="K12" s="40" t="s">
        <v>37</v>
      </c>
      <c r="L12" s="40" t="s">
        <v>37</v>
      </c>
      <c r="M12" s="40" t="s">
        <v>37</v>
      </c>
      <c r="N12" s="40" t="s">
        <v>37</v>
      </c>
      <c r="O12" s="40" t="s">
        <v>37</v>
      </c>
    </row>
    <row r="13" spans="1:16" ht="95.25" customHeight="1" x14ac:dyDescent="0.35">
      <c r="C13" s="47" t="s">
        <v>41</v>
      </c>
      <c r="D13" s="46" t="s">
        <v>310</v>
      </c>
      <c r="E13" s="39" t="s">
        <v>34</v>
      </c>
      <c r="F13" s="39" t="s">
        <v>37</v>
      </c>
      <c r="G13" s="39" t="s">
        <v>144</v>
      </c>
      <c r="H13" s="39" t="s">
        <v>37</v>
      </c>
      <c r="I13" s="39" t="s">
        <v>10</v>
      </c>
      <c r="J13" s="40" t="s">
        <v>37</v>
      </c>
      <c r="K13" s="40" t="s">
        <v>37</v>
      </c>
      <c r="L13" s="40" t="s">
        <v>37</v>
      </c>
      <c r="M13" s="40" t="s">
        <v>37</v>
      </c>
      <c r="N13" s="40" t="s">
        <v>37</v>
      </c>
      <c r="O13" s="40" t="s">
        <v>37</v>
      </c>
      <c r="P13" s="39" t="s">
        <v>370</v>
      </c>
    </row>
    <row r="14" spans="1:16" ht="95.25" customHeight="1" x14ac:dyDescent="0.35">
      <c r="A14" s="39">
        <v>7</v>
      </c>
      <c r="B14" s="39" t="str">
        <f t="shared" ref="B14" si="1">CONCATENATE($B$2, ".", A14)</f>
        <v>5.7</v>
      </c>
      <c r="C14" s="47" t="s">
        <v>40</v>
      </c>
      <c r="D14" s="46" t="s">
        <v>311</v>
      </c>
      <c r="E14" s="39" t="s">
        <v>34</v>
      </c>
      <c r="F14" s="39" t="s">
        <v>37</v>
      </c>
      <c r="G14" s="39" t="s">
        <v>345</v>
      </c>
      <c r="H14" s="41" t="s">
        <v>37</v>
      </c>
      <c r="I14" s="39" t="s">
        <v>10</v>
      </c>
      <c r="J14" s="39" t="s">
        <v>37</v>
      </c>
      <c r="K14" s="39" t="s">
        <v>37</v>
      </c>
      <c r="L14" s="39" t="s">
        <v>37</v>
      </c>
      <c r="M14" s="39" t="s">
        <v>37</v>
      </c>
      <c r="N14" s="39" t="s">
        <v>37</v>
      </c>
      <c r="O14" s="40" t="s">
        <v>37</v>
      </c>
    </row>
    <row r="15" spans="1:16" ht="142.5" customHeight="1" x14ac:dyDescent="0.35">
      <c r="A15" s="39">
        <v>8</v>
      </c>
      <c r="B15" s="39" t="str">
        <f t="shared" ref="B15:B17" si="2">CONCATENATE($B$2, ".", A15)</f>
        <v>5.8</v>
      </c>
      <c r="C15" s="47" t="s">
        <v>45</v>
      </c>
      <c r="D15" s="39" t="s">
        <v>417</v>
      </c>
      <c r="E15" s="39" t="s">
        <v>30</v>
      </c>
      <c r="F15" s="39" t="s">
        <v>64</v>
      </c>
      <c r="G15" s="39" t="s">
        <v>37</v>
      </c>
      <c r="H15" s="39" t="s">
        <v>37</v>
      </c>
      <c r="I15" s="39" t="s">
        <v>10</v>
      </c>
      <c r="J15" s="40" t="s">
        <v>110</v>
      </c>
      <c r="K15" s="40" t="s">
        <v>54</v>
      </c>
      <c r="L15" s="40" t="s">
        <v>414</v>
      </c>
      <c r="M15" s="40" t="s">
        <v>37</v>
      </c>
      <c r="N15" s="40" t="s">
        <v>37</v>
      </c>
      <c r="O15" s="40" t="s">
        <v>415</v>
      </c>
      <c r="P15" s="39" t="s">
        <v>371</v>
      </c>
    </row>
    <row r="16" spans="1:16" ht="72.5" x14ac:dyDescent="0.35">
      <c r="A16" s="39">
        <v>9</v>
      </c>
      <c r="B16" s="39" t="str">
        <f t="shared" si="2"/>
        <v>5.9</v>
      </c>
      <c r="C16" s="47" t="s">
        <v>38</v>
      </c>
      <c r="D16" s="39" t="s">
        <v>60</v>
      </c>
      <c r="E16" s="39" t="s">
        <v>43</v>
      </c>
      <c r="F16" s="39" t="s">
        <v>37</v>
      </c>
      <c r="G16" s="39" t="s">
        <v>37</v>
      </c>
      <c r="H16" s="39" t="s">
        <v>37</v>
      </c>
      <c r="I16" s="39" t="s">
        <v>10</v>
      </c>
      <c r="J16" s="39" t="s">
        <v>37</v>
      </c>
      <c r="K16" s="39" t="s">
        <v>37</v>
      </c>
      <c r="L16" s="39" t="s">
        <v>37</v>
      </c>
      <c r="M16" s="39" t="s">
        <v>37</v>
      </c>
      <c r="N16" s="39" t="s">
        <v>37</v>
      </c>
      <c r="O16" s="39" t="s">
        <v>416</v>
      </c>
    </row>
    <row r="17" spans="1:15" ht="29" x14ac:dyDescent="0.35">
      <c r="A17" s="39">
        <v>10</v>
      </c>
      <c r="B17" s="39" t="str">
        <f t="shared" si="2"/>
        <v>5.10</v>
      </c>
      <c r="C17" s="47" t="s">
        <v>38</v>
      </c>
      <c r="D17" s="39" t="s">
        <v>59</v>
      </c>
      <c r="E17" s="39" t="s">
        <v>43</v>
      </c>
      <c r="F17" s="39" t="s">
        <v>37</v>
      </c>
      <c r="G17" s="39" t="s">
        <v>37</v>
      </c>
      <c r="H17" s="39" t="s">
        <v>37</v>
      </c>
      <c r="I17" s="39" t="s">
        <v>10</v>
      </c>
      <c r="J17" s="39" t="s">
        <v>37</v>
      </c>
      <c r="K17" s="39" t="s">
        <v>37</v>
      </c>
      <c r="L17" s="39" t="s">
        <v>37</v>
      </c>
      <c r="M17" s="39" t="s">
        <v>37</v>
      </c>
      <c r="N17" s="39" t="s">
        <v>37</v>
      </c>
      <c r="O17" s="39" t="s">
        <v>383</v>
      </c>
    </row>
  </sheetData>
  <conditionalFormatting sqref="C18:C1048576 C7:C14">
    <cfRule type="cellIs" dxfId="318" priority="51" operator="equal">
      <formula>"WIP (see comments)"</formula>
    </cfRule>
    <cfRule type="cellIs" dxfId="317" priority="52" operator="equal">
      <formula>"Removed"</formula>
    </cfRule>
    <cfRule type="cellIs" dxfId="316" priority="53" operator="equal">
      <formula>"Updated"</formula>
    </cfRule>
    <cfRule type="cellIs" dxfId="315" priority="54" operator="equal">
      <formula>"New"</formula>
    </cfRule>
  </conditionalFormatting>
  <conditionalFormatting sqref="C7:C14">
    <cfRule type="cellIs" dxfId="314" priority="43" operator="equal">
      <formula>"WIP (see comments)"</formula>
    </cfRule>
    <cfRule type="cellIs" dxfId="313" priority="44" operator="equal">
      <formula>"Removed"</formula>
    </cfRule>
    <cfRule type="cellIs" dxfId="312" priority="45" operator="equal">
      <formula>"Updated"</formula>
    </cfRule>
    <cfRule type="cellIs" dxfId="311" priority="46" operator="equal">
      <formula>"New"</formula>
    </cfRule>
  </conditionalFormatting>
  <conditionalFormatting sqref="A18:XFD1048576 P14:XFD14 D15:XFD17 C14 A1:C1 E1:XFD1 A2:XFD2 A4:XFD13 A3:C3 E3:XFD3">
    <cfRule type="cellIs" dxfId="310" priority="38" operator="equal">
      <formula>"n/a"</formula>
    </cfRule>
  </conditionalFormatting>
  <conditionalFormatting sqref="C15:C17">
    <cfRule type="cellIs" dxfId="309" priority="15" operator="equal">
      <formula>"WIP (see comments)"</formula>
    </cfRule>
    <cfRule type="cellIs" dxfId="308" priority="16" operator="equal">
      <formula>"Removed"</formula>
    </cfRule>
    <cfRule type="cellIs" dxfId="307" priority="17" operator="equal">
      <formula>"Updated"</formula>
    </cfRule>
    <cfRule type="cellIs" dxfId="306" priority="18" operator="equal">
      <formula>"New"</formula>
    </cfRule>
  </conditionalFormatting>
  <conditionalFormatting sqref="D14:O14">
    <cfRule type="cellIs" dxfId="305" priority="32" operator="equal">
      <formula>"n/a"</formula>
    </cfRule>
  </conditionalFormatting>
  <conditionalFormatting sqref="C15:C17">
    <cfRule type="cellIs" dxfId="304" priority="19" operator="equal">
      <formula>"WIP (see comments)"</formula>
    </cfRule>
    <cfRule type="cellIs" dxfId="303" priority="20" operator="equal">
      <formula>"Removed"</formula>
    </cfRule>
    <cfRule type="cellIs" dxfId="302" priority="21" operator="equal">
      <formula>"Updated"</formula>
    </cfRule>
    <cfRule type="cellIs" dxfId="301" priority="22" operator="equal">
      <formula>"New"</formula>
    </cfRule>
  </conditionalFormatting>
  <conditionalFormatting sqref="C15:C17">
    <cfRule type="cellIs" dxfId="300" priority="14" operator="equal">
      <formula>"n/a"</formula>
    </cfRule>
  </conditionalFormatting>
  <conditionalFormatting sqref="D1">
    <cfRule type="cellIs" dxfId="299" priority="3" operator="equal">
      <formula>"n/a"</formula>
    </cfRule>
  </conditionalFormatting>
  <conditionalFormatting sqref="D3">
    <cfRule type="cellIs" dxfId="298" priority="2" operator="equal">
      <formula>"n/a"</formula>
    </cfRule>
  </conditionalFormatting>
  <conditionalFormatting sqref="A14:B17">
    <cfRule type="cellIs" dxfId="29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Values'!$A$5:$A$27</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24"/>
  <sheetViews>
    <sheetView workbookViewId="0">
      <pane xSplit="4" ySplit="6" topLeftCell="L7" activePane="bottomRight" state="frozen"/>
      <selection pane="topRight" activeCell="E1" sqref="E1"/>
      <selection pane="bottomLeft" activeCell="A7" sqref="A7"/>
      <selection pane="bottomRight" activeCell="O15" sqref="O15"/>
    </sheetView>
  </sheetViews>
  <sheetFormatPr defaultColWidth="9.1796875" defaultRowHeight="14.5" x14ac:dyDescent="0.35"/>
  <cols>
    <col min="1" max="1" width="14.7265625" style="6" customWidth="1"/>
    <col min="2" max="2" width="12.54296875" style="6" customWidth="1"/>
    <col min="3" max="3" width="13" style="34"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2695312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67</v>
      </c>
      <c r="C1" s="32"/>
      <c r="D1" s="29"/>
    </row>
    <row r="2" spans="1:16" s="30" customFormat="1" ht="18.5" x14ac:dyDescent="0.35">
      <c r="A2" s="28" t="s">
        <v>7</v>
      </c>
      <c r="B2" s="36">
        <v>6</v>
      </c>
      <c r="C2" s="35"/>
      <c r="D2" s="36"/>
    </row>
    <row r="3" spans="1:16" s="30" customFormat="1" ht="18.5" x14ac:dyDescent="0.35">
      <c r="A3" s="28" t="s">
        <v>44</v>
      </c>
      <c r="B3" s="36" t="s">
        <v>364</v>
      </c>
      <c r="C3" s="35"/>
      <c r="D3" s="64" t="s">
        <v>366</v>
      </c>
    </row>
    <row r="4" spans="1:16" s="30" customFormat="1" ht="18.5" x14ac:dyDescent="0.35">
      <c r="A4" s="28" t="s">
        <v>8</v>
      </c>
      <c r="B4" s="30" t="s">
        <v>47</v>
      </c>
      <c r="C4" s="35"/>
    </row>
    <row r="5" spans="1:16" s="4" customFormat="1" x14ac:dyDescent="0.35">
      <c r="C5" s="37"/>
    </row>
    <row r="6" spans="1:16" s="31" customFormat="1" ht="15" thickBot="1" x14ac:dyDescent="0.4">
      <c r="A6" s="31" t="s">
        <v>11</v>
      </c>
      <c r="B6" s="31" t="s">
        <v>12</v>
      </c>
      <c r="C6" s="33" t="s">
        <v>26</v>
      </c>
      <c r="D6" s="31" t="s">
        <v>25</v>
      </c>
      <c r="E6" s="31" t="s">
        <v>13</v>
      </c>
      <c r="F6" s="31" t="s">
        <v>14</v>
      </c>
      <c r="G6" s="31" t="s">
        <v>15</v>
      </c>
      <c r="H6" s="31" t="s">
        <v>16</v>
      </c>
      <c r="I6" s="31" t="s">
        <v>17</v>
      </c>
      <c r="J6" s="31" t="s">
        <v>18</v>
      </c>
      <c r="K6" s="31" t="s">
        <v>19</v>
      </c>
      <c r="L6" s="31" t="s">
        <v>20</v>
      </c>
      <c r="M6" s="31" t="s">
        <v>21</v>
      </c>
      <c r="N6" s="31" t="s">
        <v>22</v>
      </c>
      <c r="O6" s="31" t="s">
        <v>23</v>
      </c>
      <c r="P6" s="31" t="s">
        <v>24</v>
      </c>
    </row>
    <row r="7" spans="1:16" s="48" customFormat="1" x14ac:dyDescent="0.35">
      <c r="A7" s="48">
        <v>1</v>
      </c>
      <c r="B7" s="48" t="str">
        <f>CONCATENATE($B$2, ".", A7)</f>
        <v>6.1</v>
      </c>
      <c r="C7" s="49" t="s">
        <v>40</v>
      </c>
      <c r="D7" s="50" t="s">
        <v>296</v>
      </c>
      <c r="E7" s="48" t="s">
        <v>29</v>
      </c>
      <c r="F7" s="48" t="s">
        <v>37</v>
      </c>
      <c r="G7" s="48" t="s">
        <v>37</v>
      </c>
      <c r="H7" s="48" t="s">
        <v>37</v>
      </c>
      <c r="I7" s="50" t="s">
        <v>10</v>
      </c>
      <c r="J7" s="48" t="s">
        <v>37</v>
      </c>
      <c r="K7" s="48" t="s">
        <v>37</v>
      </c>
      <c r="L7" s="48" t="s">
        <v>37</v>
      </c>
      <c r="M7" s="48" t="s">
        <v>37</v>
      </c>
      <c r="N7" s="48" t="s">
        <v>37</v>
      </c>
      <c r="O7" s="48" t="s">
        <v>37</v>
      </c>
    </row>
    <row r="8" spans="1:16" s="48" customFormat="1" x14ac:dyDescent="0.35">
      <c r="A8" s="48">
        <v>2</v>
      </c>
      <c r="B8" s="48" t="str">
        <f t="shared" ref="B8:B13" si="0">CONCATENATE($B$2, ".", A8)</f>
        <v>6.2</v>
      </c>
      <c r="C8" s="52" t="s">
        <v>40</v>
      </c>
      <c r="D8" s="50" t="s">
        <v>37</v>
      </c>
      <c r="E8" s="50" t="s">
        <v>49</v>
      </c>
      <c r="F8" s="48" t="s">
        <v>37</v>
      </c>
      <c r="G8" s="48" t="s">
        <v>37</v>
      </c>
      <c r="H8" s="48" t="s">
        <v>37</v>
      </c>
      <c r="I8" s="50" t="s">
        <v>10</v>
      </c>
      <c r="J8" s="48" t="s">
        <v>37</v>
      </c>
      <c r="K8" s="48" t="s">
        <v>37</v>
      </c>
      <c r="L8" s="48" t="s">
        <v>37</v>
      </c>
      <c r="M8" s="48" t="s">
        <v>37</v>
      </c>
      <c r="N8" s="48" t="s">
        <v>37</v>
      </c>
      <c r="O8" s="48" t="s">
        <v>37</v>
      </c>
    </row>
    <row r="9" spans="1:16" s="48" customFormat="1" ht="84.75" customHeight="1" x14ac:dyDescent="0.35">
      <c r="A9" s="48">
        <v>3</v>
      </c>
      <c r="B9" s="48" t="str">
        <f t="shared" si="0"/>
        <v>6.3</v>
      </c>
      <c r="C9" s="52" t="s">
        <v>40</v>
      </c>
      <c r="D9" s="50" t="s">
        <v>277</v>
      </c>
      <c r="E9" s="50" t="s">
        <v>34</v>
      </c>
      <c r="F9" s="48" t="s">
        <v>37</v>
      </c>
      <c r="G9" s="48" t="s">
        <v>37</v>
      </c>
      <c r="H9" s="48" t="s">
        <v>37</v>
      </c>
      <c r="I9" s="50" t="s">
        <v>10</v>
      </c>
      <c r="J9" s="48" t="s">
        <v>37</v>
      </c>
      <c r="K9" s="48" t="s">
        <v>37</v>
      </c>
      <c r="L9" s="48" t="s">
        <v>37</v>
      </c>
      <c r="M9" s="48" t="s">
        <v>37</v>
      </c>
      <c r="N9" s="48" t="s">
        <v>37</v>
      </c>
      <c r="O9" s="48" t="s">
        <v>37</v>
      </c>
    </row>
    <row r="10" spans="1:16" ht="99" customHeight="1" x14ac:dyDescent="0.35">
      <c r="A10" s="6">
        <v>4</v>
      </c>
      <c r="B10" s="48" t="str">
        <f t="shared" si="0"/>
        <v>6.4</v>
      </c>
      <c r="C10" s="52" t="s">
        <v>40</v>
      </c>
      <c r="D10" s="6" t="s">
        <v>37</v>
      </c>
      <c r="E10" s="6" t="s">
        <v>199</v>
      </c>
      <c r="F10" s="48" t="s">
        <v>37</v>
      </c>
      <c r="G10" s="48" t="s">
        <v>37</v>
      </c>
      <c r="H10" s="48" t="s">
        <v>37</v>
      </c>
      <c r="I10" s="50" t="s">
        <v>10</v>
      </c>
      <c r="J10" s="48" t="s">
        <v>37</v>
      </c>
      <c r="K10" s="81" t="s">
        <v>202</v>
      </c>
      <c r="L10" s="82" t="s">
        <v>203</v>
      </c>
      <c r="M10" s="48" t="s">
        <v>37</v>
      </c>
      <c r="N10" s="48" t="s">
        <v>37</v>
      </c>
      <c r="O10" s="40" t="s">
        <v>204</v>
      </c>
    </row>
    <row r="11" spans="1:16" ht="57.75" customHeight="1" x14ac:dyDescent="0.35">
      <c r="A11" s="6">
        <v>5</v>
      </c>
      <c r="B11" s="6" t="str">
        <f t="shared" si="0"/>
        <v>6.5</v>
      </c>
      <c r="C11" s="52" t="s">
        <v>40</v>
      </c>
      <c r="D11" s="6" t="s">
        <v>200</v>
      </c>
      <c r="E11" s="6" t="s">
        <v>30</v>
      </c>
      <c r="F11" s="6" t="s">
        <v>64</v>
      </c>
      <c r="G11" s="48" t="s">
        <v>37</v>
      </c>
      <c r="H11" s="48" t="s">
        <v>37</v>
      </c>
      <c r="I11" s="50" t="s">
        <v>10</v>
      </c>
      <c r="J11" s="5" t="s">
        <v>201</v>
      </c>
      <c r="K11" s="81"/>
      <c r="L11" s="82"/>
      <c r="M11" s="48" t="s">
        <v>37</v>
      </c>
      <c r="N11" s="48" t="s">
        <v>37</v>
      </c>
      <c r="O11" s="40" t="s">
        <v>205</v>
      </c>
    </row>
    <row r="12" spans="1:16" ht="57.75" customHeight="1" x14ac:dyDescent="0.35">
      <c r="A12" s="6">
        <v>6</v>
      </c>
      <c r="B12" s="6" t="str">
        <f t="shared" si="0"/>
        <v>6.6</v>
      </c>
      <c r="C12" s="73" t="s">
        <v>40</v>
      </c>
      <c r="D12" s="6" t="s">
        <v>247</v>
      </c>
      <c r="E12" s="6" t="s">
        <v>34</v>
      </c>
      <c r="F12" s="6" t="s">
        <v>37</v>
      </c>
      <c r="G12" s="48" t="s">
        <v>37</v>
      </c>
      <c r="H12" s="48" t="s">
        <v>37</v>
      </c>
      <c r="I12" s="50" t="s">
        <v>10</v>
      </c>
      <c r="J12" s="5" t="s">
        <v>37</v>
      </c>
      <c r="K12" s="5" t="s">
        <v>37</v>
      </c>
      <c r="L12" s="5" t="s">
        <v>37</v>
      </c>
      <c r="M12" s="5" t="s">
        <v>37</v>
      </c>
      <c r="N12" s="5" t="s">
        <v>37</v>
      </c>
      <c r="O12" s="5" t="s">
        <v>37</v>
      </c>
    </row>
    <row r="13" spans="1:16" ht="57.75" customHeight="1" x14ac:dyDescent="0.35">
      <c r="A13" s="6">
        <v>7</v>
      </c>
      <c r="B13" s="6" t="str">
        <f t="shared" si="0"/>
        <v>6.7</v>
      </c>
      <c r="C13" s="73" t="s">
        <v>40</v>
      </c>
      <c r="D13" s="6" t="s">
        <v>276</v>
      </c>
      <c r="E13" s="6" t="s">
        <v>147</v>
      </c>
      <c r="F13" s="6" t="s">
        <v>37</v>
      </c>
      <c r="G13" s="48" t="s">
        <v>37</v>
      </c>
      <c r="H13" s="48" t="s">
        <v>37</v>
      </c>
      <c r="I13" s="50" t="s">
        <v>10</v>
      </c>
      <c r="J13" s="5" t="s">
        <v>37</v>
      </c>
      <c r="K13" s="5" t="s">
        <v>37</v>
      </c>
      <c r="L13" s="5" t="s">
        <v>37</v>
      </c>
      <c r="M13" s="5" t="s">
        <v>37</v>
      </c>
      <c r="N13" s="5" t="s">
        <v>37</v>
      </c>
      <c r="O13" s="5" t="s">
        <v>37</v>
      </c>
    </row>
    <row r="14" spans="1:16" ht="29" x14ac:dyDescent="0.35">
      <c r="A14" s="6">
        <v>8</v>
      </c>
      <c r="B14" s="6" t="str">
        <f>CONCATENATE($B$2, ".", A14)</f>
        <v>6.8</v>
      </c>
      <c r="C14" s="52" t="s">
        <v>38</v>
      </c>
      <c r="D14" s="6" t="s">
        <v>60</v>
      </c>
      <c r="E14" s="6" t="s">
        <v>43</v>
      </c>
      <c r="F14" s="6" t="s">
        <v>37</v>
      </c>
      <c r="G14" s="6" t="s">
        <v>37</v>
      </c>
      <c r="H14" s="6" t="s">
        <v>37</v>
      </c>
      <c r="I14" s="6" t="s">
        <v>10</v>
      </c>
      <c r="J14" s="6" t="s">
        <v>37</v>
      </c>
      <c r="K14" s="6" t="s">
        <v>37</v>
      </c>
      <c r="L14" s="6" t="s">
        <v>37</v>
      </c>
      <c r="M14" s="6" t="s">
        <v>37</v>
      </c>
      <c r="N14" s="6" t="s">
        <v>37</v>
      </c>
      <c r="O14" s="6" t="s">
        <v>393</v>
      </c>
    </row>
    <row r="15" spans="1:16" ht="29" x14ac:dyDescent="0.35">
      <c r="A15" s="6">
        <v>9</v>
      </c>
      <c r="B15" s="6" t="str">
        <f t="shared" ref="B15" si="1">CONCATENATE($B$2, ".", A15)</f>
        <v>6.9</v>
      </c>
      <c r="C15" s="52" t="s">
        <v>38</v>
      </c>
      <c r="D15" s="6" t="s">
        <v>59</v>
      </c>
      <c r="E15" s="6" t="s">
        <v>43</v>
      </c>
      <c r="F15" s="6" t="s">
        <v>37</v>
      </c>
      <c r="G15" s="6" t="s">
        <v>37</v>
      </c>
      <c r="H15" s="6" t="s">
        <v>37</v>
      </c>
      <c r="I15" s="6" t="s">
        <v>10</v>
      </c>
      <c r="J15" s="6" t="s">
        <v>37</v>
      </c>
      <c r="K15" s="6" t="s">
        <v>37</v>
      </c>
      <c r="L15" s="6" t="s">
        <v>37</v>
      </c>
      <c r="M15" s="6" t="s">
        <v>37</v>
      </c>
      <c r="N15" s="6" t="s">
        <v>37</v>
      </c>
      <c r="O15" s="6" t="s">
        <v>365</v>
      </c>
    </row>
    <row r="16" spans="1:16" x14ac:dyDescent="0.35">
      <c r="I16" s="39"/>
      <c r="J16" s="5"/>
      <c r="K16" s="5"/>
      <c r="L16" s="40"/>
      <c r="M16" s="40"/>
      <c r="N16" s="40"/>
      <c r="O16" s="40"/>
    </row>
    <row r="17" spans="9:15" x14ac:dyDescent="0.35">
      <c r="I17" s="39"/>
      <c r="J17" s="5"/>
      <c r="K17" s="5"/>
      <c r="L17" s="40"/>
      <c r="M17" s="40"/>
      <c r="N17" s="40"/>
      <c r="O17" s="40"/>
    </row>
    <row r="18" spans="9:15" x14ac:dyDescent="0.35">
      <c r="I18" s="39"/>
      <c r="J18" s="5"/>
      <c r="K18" s="5"/>
      <c r="L18" s="40"/>
      <c r="M18" s="40"/>
      <c r="N18" s="40"/>
      <c r="O18" s="40"/>
    </row>
    <row r="19" spans="9:15" x14ac:dyDescent="0.35">
      <c r="I19" s="39"/>
      <c r="J19" s="5"/>
      <c r="K19" s="5"/>
      <c r="L19" s="40"/>
      <c r="M19" s="40"/>
      <c r="N19" s="40"/>
      <c r="O19" s="40"/>
    </row>
    <row r="20" spans="9:15" x14ac:dyDescent="0.35">
      <c r="I20" s="39"/>
      <c r="J20" s="5"/>
      <c r="K20" s="5"/>
      <c r="L20" s="40"/>
      <c r="M20" s="40"/>
      <c r="N20" s="40"/>
      <c r="O20" s="40"/>
    </row>
    <row r="21" spans="9:15" x14ac:dyDescent="0.35">
      <c r="I21" s="39"/>
      <c r="J21" s="5"/>
      <c r="K21" s="5"/>
      <c r="L21" s="40"/>
      <c r="M21" s="40"/>
      <c r="N21" s="40"/>
      <c r="O21" s="40"/>
    </row>
    <row r="22" spans="9:15" x14ac:dyDescent="0.35">
      <c r="I22" s="39"/>
      <c r="J22" s="5"/>
      <c r="K22" s="5"/>
      <c r="L22" s="40"/>
      <c r="M22" s="40"/>
      <c r="N22" s="40"/>
      <c r="O22" s="40"/>
    </row>
    <row r="23" spans="9:15" x14ac:dyDescent="0.35">
      <c r="I23" s="39"/>
      <c r="J23" s="5"/>
      <c r="K23" s="5"/>
      <c r="L23" s="40"/>
      <c r="M23" s="40"/>
      <c r="N23" s="40"/>
      <c r="O23" s="40"/>
    </row>
    <row r="24" spans="9:15" x14ac:dyDescent="0.35">
      <c r="I24" s="39"/>
      <c r="J24" s="5"/>
      <c r="K24" s="5"/>
      <c r="L24" s="40"/>
      <c r="M24" s="40"/>
      <c r="N24" s="40"/>
      <c r="O24" s="40"/>
    </row>
  </sheetData>
  <mergeCells count="2">
    <mergeCell ref="K10:K11"/>
    <mergeCell ref="L10:L11"/>
  </mergeCells>
  <conditionalFormatting sqref="C16:C1048576">
    <cfRule type="cellIs" dxfId="296" priority="50" operator="equal">
      <formula>"WIP (see comments)"</formula>
    </cfRule>
    <cfRule type="cellIs" dxfId="295" priority="51" operator="equal">
      <formula>"Removed"</formula>
    </cfRule>
    <cfRule type="cellIs" dxfId="294" priority="52" operator="equal">
      <formula>"Updated"</formula>
    </cfRule>
    <cfRule type="cellIs" dxfId="293" priority="53" operator="equal">
      <formula>"New"</formula>
    </cfRule>
  </conditionalFormatting>
  <conditionalFormatting sqref="C7:C15">
    <cfRule type="cellIs" dxfId="292" priority="34" operator="equal">
      <formula>"WIP (see comments)"</formula>
    </cfRule>
    <cfRule type="cellIs" dxfId="291" priority="35" operator="equal">
      <formula>"Removed"</formula>
    </cfRule>
    <cfRule type="cellIs" dxfId="290" priority="36" operator="equal">
      <formula>"Updated"</formula>
    </cfRule>
    <cfRule type="cellIs" dxfId="289" priority="37" operator="equal">
      <formula>"New"</formula>
    </cfRule>
  </conditionalFormatting>
  <conditionalFormatting sqref="A2:XFD2 A16:XFD1048576 M11:XFD11 D11:J11 A8:B13 D8:XFD10 P12:XFD13 C8:C15 A1:C1 E1:XFD1 A4:XFD7 A3:C3 E3:XFD3">
    <cfRule type="cellIs" dxfId="288" priority="32" operator="equal">
      <formula>"n/a"</formula>
    </cfRule>
  </conditionalFormatting>
  <conditionalFormatting sqref="A14:B15 D14:XFD15">
    <cfRule type="cellIs" dxfId="287" priority="18" operator="equal">
      <formula>"n/a"</formula>
    </cfRule>
  </conditionalFormatting>
  <conditionalFormatting sqref="J13:K13 J12 D12:I13">
    <cfRule type="cellIs" dxfId="286" priority="13" operator="equal">
      <formula>"n/a"</formula>
    </cfRule>
  </conditionalFormatting>
  <conditionalFormatting sqref="K12">
    <cfRule type="cellIs" dxfId="285" priority="12" operator="equal">
      <formula>"n/a"</formula>
    </cfRule>
  </conditionalFormatting>
  <conditionalFormatting sqref="L13">
    <cfRule type="cellIs" dxfId="284" priority="11" operator="equal">
      <formula>"n/a"</formula>
    </cfRule>
  </conditionalFormatting>
  <conditionalFormatting sqref="L12">
    <cfRule type="cellIs" dxfId="283" priority="10" operator="equal">
      <formula>"n/a"</formula>
    </cfRule>
  </conditionalFormatting>
  <conditionalFormatting sqref="M13">
    <cfRule type="cellIs" dxfId="282" priority="9" operator="equal">
      <formula>"n/a"</formula>
    </cfRule>
  </conditionalFormatting>
  <conditionalFormatting sqref="M12">
    <cfRule type="cellIs" dxfId="281" priority="8" operator="equal">
      <formula>"n/a"</formula>
    </cfRule>
  </conditionalFormatting>
  <conditionalFormatting sqref="N13">
    <cfRule type="cellIs" dxfId="280" priority="7" operator="equal">
      <formula>"n/a"</formula>
    </cfRule>
  </conditionalFormatting>
  <conditionalFormatting sqref="N12">
    <cfRule type="cellIs" dxfId="279" priority="6" operator="equal">
      <formula>"n/a"</formula>
    </cfRule>
  </conditionalFormatting>
  <conditionalFormatting sqref="O13">
    <cfRule type="cellIs" dxfId="278" priority="5" operator="equal">
      <formula>"n/a"</formula>
    </cfRule>
  </conditionalFormatting>
  <conditionalFormatting sqref="O12">
    <cfRule type="cellIs" dxfId="277" priority="4" operator="equal">
      <formula>"n/a"</formula>
    </cfRule>
  </conditionalFormatting>
  <conditionalFormatting sqref="D1">
    <cfRule type="cellIs" dxfId="276" priority="2" operator="equal">
      <formula>"n/a"</formula>
    </cfRule>
  </conditionalFormatting>
  <conditionalFormatting sqref="D3">
    <cfRule type="cellIs" dxfId="275"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Values'!$B$5:$B$11</xm:f>
          </x14:formula1>
          <xm:sqref>C7:C1048576</xm:sqref>
        </x14:dataValidation>
        <x14:dataValidation type="list" allowBlank="1" showInputMessage="1" showErrorMessage="1">
          <x14:formula1>
            <xm:f>'List Values'!$A$5:$A$28</xm:f>
          </x14:formula1>
          <xm:sqref>E7:E1048576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41"/>
  <sheetViews>
    <sheetView workbookViewId="0">
      <pane xSplit="4" ySplit="6" topLeftCell="E7" activePane="bottomRight" state="frozen"/>
      <selection pane="topRight" activeCell="E1" sqref="E1"/>
      <selection pane="bottomLeft" activeCell="A7" sqref="A7"/>
      <selection pane="bottomRight" activeCell="D1" sqref="D1"/>
    </sheetView>
  </sheetViews>
  <sheetFormatPr defaultColWidth="9.1796875" defaultRowHeight="14.5" x14ac:dyDescent="0.35"/>
  <cols>
    <col min="1" max="1" width="14.7265625" style="6" customWidth="1"/>
    <col min="2" max="2" width="12.54296875" style="6" customWidth="1"/>
    <col min="3" max="3" width="13" style="34"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386</v>
      </c>
      <c r="C1" s="32"/>
      <c r="D1" s="29" t="s">
        <v>406</v>
      </c>
    </row>
    <row r="2" spans="1:16" s="30" customFormat="1" ht="18.5" x14ac:dyDescent="0.35">
      <c r="A2" s="28" t="s">
        <v>7</v>
      </c>
      <c r="B2" s="36">
        <v>7</v>
      </c>
      <c r="C2" s="35"/>
      <c r="D2" s="36"/>
    </row>
    <row r="3" spans="1:16" s="30" customFormat="1" ht="18.5" x14ac:dyDescent="0.35">
      <c r="A3" s="28" t="s">
        <v>44</v>
      </c>
      <c r="B3" s="36" t="s">
        <v>384</v>
      </c>
      <c r="C3" s="35"/>
      <c r="D3" s="64" t="s">
        <v>405</v>
      </c>
    </row>
    <row r="4" spans="1:16" s="30" customFormat="1" ht="18.5" x14ac:dyDescent="0.35">
      <c r="A4" s="28" t="s">
        <v>8</v>
      </c>
      <c r="B4" s="30" t="s">
        <v>47</v>
      </c>
      <c r="C4" s="35"/>
    </row>
    <row r="5" spans="1:16" s="4" customFormat="1" x14ac:dyDescent="0.35">
      <c r="C5" s="37"/>
    </row>
    <row r="6" spans="1:16" s="31" customFormat="1" ht="15" thickBot="1" x14ac:dyDescent="0.4">
      <c r="A6" s="31" t="s">
        <v>11</v>
      </c>
      <c r="B6" s="31" t="s">
        <v>12</v>
      </c>
      <c r="C6" s="33" t="s">
        <v>26</v>
      </c>
      <c r="D6" s="31" t="s">
        <v>25</v>
      </c>
      <c r="E6" s="31" t="s">
        <v>13</v>
      </c>
      <c r="F6" s="31" t="s">
        <v>14</v>
      </c>
      <c r="G6" s="31" t="s">
        <v>15</v>
      </c>
      <c r="H6" s="31" t="s">
        <v>16</v>
      </c>
      <c r="I6" s="31" t="s">
        <v>17</v>
      </c>
      <c r="J6" s="31" t="s">
        <v>18</v>
      </c>
      <c r="K6" s="31" t="s">
        <v>19</v>
      </c>
      <c r="L6" s="31" t="s">
        <v>20</v>
      </c>
      <c r="M6" s="31" t="s">
        <v>21</v>
      </c>
      <c r="N6" s="31" t="s">
        <v>22</v>
      </c>
      <c r="O6" s="31" t="s">
        <v>23</v>
      </c>
      <c r="P6" s="31" t="s">
        <v>24</v>
      </c>
    </row>
    <row r="7" spans="1:16" s="39" customFormat="1" x14ac:dyDescent="0.35">
      <c r="A7" s="39">
        <v>1</v>
      </c>
      <c r="B7" s="39" t="str">
        <f t="shared" ref="B7:B10" si="0">CONCATENATE($B$2, ".", A7)</f>
        <v>7.1</v>
      </c>
      <c r="C7" s="47" t="s">
        <v>40</v>
      </c>
      <c r="D7" s="39" t="s">
        <v>297</v>
      </c>
      <c r="E7" s="39" t="s">
        <v>29</v>
      </c>
      <c r="F7" s="39" t="s">
        <v>37</v>
      </c>
      <c r="G7" s="39" t="s">
        <v>37</v>
      </c>
      <c r="H7" s="39" t="s">
        <v>37</v>
      </c>
      <c r="I7" s="39" t="s">
        <v>10</v>
      </c>
      <c r="J7" s="40" t="s">
        <v>37</v>
      </c>
      <c r="K7" s="40" t="s">
        <v>37</v>
      </c>
      <c r="L7" s="40" t="s">
        <v>37</v>
      </c>
      <c r="M7" s="40" t="s">
        <v>37</v>
      </c>
      <c r="N7" s="40" t="s">
        <v>37</v>
      </c>
      <c r="O7" s="40" t="s">
        <v>37</v>
      </c>
    </row>
    <row r="8" spans="1:16" s="39" customFormat="1" x14ac:dyDescent="0.35">
      <c r="A8" s="39">
        <v>2</v>
      </c>
      <c r="B8" s="39" t="str">
        <f t="shared" si="0"/>
        <v>7.2</v>
      </c>
      <c r="C8" s="47" t="s">
        <v>40</v>
      </c>
      <c r="D8" s="39" t="s">
        <v>37</v>
      </c>
      <c r="E8" s="39" t="s">
        <v>49</v>
      </c>
      <c r="F8" s="39" t="s">
        <v>37</v>
      </c>
      <c r="G8" s="39" t="s">
        <v>37</v>
      </c>
      <c r="H8" s="39" t="s">
        <v>37</v>
      </c>
      <c r="I8" s="39" t="s">
        <v>10</v>
      </c>
      <c r="J8" s="40" t="s">
        <v>37</v>
      </c>
      <c r="K8" s="40" t="s">
        <v>37</v>
      </c>
      <c r="L8" s="40" t="s">
        <v>37</v>
      </c>
      <c r="M8" s="40" t="s">
        <v>37</v>
      </c>
      <c r="N8" s="40" t="s">
        <v>37</v>
      </c>
      <c r="O8" s="40" t="s">
        <v>37</v>
      </c>
    </row>
    <row r="9" spans="1:16" s="39" customFormat="1" ht="43.5" x14ac:dyDescent="0.35">
      <c r="A9" s="39">
        <v>3</v>
      </c>
      <c r="B9" s="39" t="str">
        <f t="shared" si="0"/>
        <v>7.3</v>
      </c>
      <c r="C9" s="47" t="s">
        <v>40</v>
      </c>
      <c r="D9" s="39" t="s">
        <v>127</v>
      </c>
      <c r="E9" s="39" t="s">
        <v>33</v>
      </c>
      <c r="F9" s="39" t="s">
        <v>52</v>
      </c>
      <c r="G9" s="39" t="s">
        <v>37</v>
      </c>
      <c r="H9" s="41">
        <v>50</v>
      </c>
      <c r="I9" s="39" t="s">
        <v>10</v>
      </c>
      <c r="J9" s="40" t="s">
        <v>68</v>
      </c>
      <c r="K9" s="40" t="s">
        <v>54</v>
      </c>
      <c r="L9" s="40" t="s">
        <v>70</v>
      </c>
      <c r="M9" s="40" t="s">
        <v>37</v>
      </c>
      <c r="N9" s="40" t="s">
        <v>37</v>
      </c>
      <c r="O9" s="40" t="s">
        <v>72</v>
      </c>
    </row>
    <row r="10" spans="1:16" s="39" customFormat="1" ht="43.5" x14ac:dyDescent="0.35">
      <c r="A10" s="39">
        <v>4</v>
      </c>
      <c r="B10" s="39" t="str">
        <f t="shared" si="0"/>
        <v>7.4</v>
      </c>
      <c r="C10" s="47" t="s">
        <v>40</v>
      </c>
      <c r="D10" s="39" t="s">
        <v>128</v>
      </c>
      <c r="E10" s="39" t="s">
        <v>33</v>
      </c>
      <c r="F10" s="39" t="s">
        <v>52</v>
      </c>
      <c r="G10" s="39" t="s">
        <v>37</v>
      </c>
      <c r="H10" s="41">
        <v>50</v>
      </c>
      <c r="I10" s="39" t="s">
        <v>10</v>
      </c>
      <c r="J10" s="40" t="s">
        <v>69</v>
      </c>
      <c r="K10" s="40" t="s">
        <v>54</v>
      </c>
      <c r="L10" s="40" t="s">
        <v>71</v>
      </c>
      <c r="M10" s="40" t="s">
        <v>37</v>
      </c>
      <c r="N10" s="40" t="s">
        <v>37</v>
      </c>
      <c r="O10" s="40" t="s">
        <v>72</v>
      </c>
    </row>
    <row r="11" spans="1:16" x14ac:dyDescent="0.35">
      <c r="A11" s="39">
        <v>5</v>
      </c>
      <c r="B11" s="39" t="str">
        <f t="shared" ref="B11" si="1">CONCATENATE($B$2, ".", A11)</f>
        <v>7.5</v>
      </c>
      <c r="C11" s="34" t="s">
        <v>40</v>
      </c>
      <c r="D11" s="39" t="s">
        <v>385</v>
      </c>
      <c r="E11" s="6" t="s">
        <v>29</v>
      </c>
      <c r="F11" s="6" t="s">
        <v>37</v>
      </c>
      <c r="G11" s="6" t="s">
        <v>37</v>
      </c>
      <c r="H11" s="6" t="s">
        <v>37</v>
      </c>
      <c r="I11" s="39" t="s">
        <v>10</v>
      </c>
      <c r="J11" s="5" t="s">
        <v>37</v>
      </c>
      <c r="K11" s="5" t="s">
        <v>37</v>
      </c>
      <c r="L11" s="5" t="s">
        <v>37</v>
      </c>
      <c r="M11" s="5" t="s">
        <v>37</v>
      </c>
      <c r="N11" s="5" t="s">
        <v>37</v>
      </c>
      <c r="O11" s="5" t="s">
        <v>37</v>
      </c>
    </row>
    <row r="12" spans="1:16" x14ac:dyDescent="0.35">
      <c r="A12" s="80"/>
      <c r="B12" s="80"/>
      <c r="C12" s="80"/>
      <c r="D12" s="80"/>
      <c r="E12" s="80"/>
      <c r="F12" s="76"/>
      <c r="G12" s="76"/>
      <c r="H12" s="76"/>
      <c r="I12" s="76"/>
      <c r="J12" s="76"/>
      <c r="K12" s="76"/>
      <c r="L12" s="76"/>
      <c r="M12" s="76"/>
      <c r="N12" s="76"/>
      <c r="O12" s="76"/>
      <c r="P12" s="76"/>
    </row>
    <row r="13" spans="1:16" ht="43.5" x14ac:dyDescent="0.35">
      <c r="A13" s="39">
        <v>6</v>
      </c>
      <c r="B13" s="39" t="str">
        <f t="shared" ref="B13:B19" si="2">CONCATENATE($B$2, ".", A13)</f>
        <v>7.6</v>
      </c>
      <c r="C13" s="47" t="s">
        <v>41</v>
      </c>
      <c r="D13" s="39" t="s">
        <v>306</v>
      </c>
      <c r="E13" s="39" t="s">
        <v>32</v>
      </c>
      <c r="F13" s="39" t="s">
        <v>62</v>
      </c>
      <c r="G13" s="39" t="s">
        <v>37</v>
      </c>
      <c r="H13" s="39" t="s">
        <v>37</v>
      </c>
      <c r="I13" s="39" t="s">
        <v>10</v>
      </c>
      <c r="J13" s="40" t="s">
        <v>66</v>
      </c>
      <c r="K13" s="40" t="s">
        <v>54</v>
      </c>
      <c r="L13" s="40" t="s">
        <v>303</v>
      </c>
      <c r="M13" s="40" t="s">
        <v>37</v>
      </c>
      <c r="N13" s="40" t="s">
        <v>37</v>
      </c>
      <c r="O13" s="40" t="s">
        <v>37</v>
      </c>
      <c r="P13" s="39" t="s">
        <v>387</v>
      </c>
    </row>
    <row r="14" spans="1:16" ht="130.5" x14ac:dyDescent="0.35">
      <c r="A14" s="39">
        <v>7</v>
      </c>
      <c r="B14" s="39" t="str">
        <f t="shared" si="2"/>
        <v>7.7</v>
      </c>
      <c r="C14" s="47" t="s">
        <v>40</v>
      </c>
      <c r="D14" s="39" t="s">
        <v>129</v>
      </c>
      <c r="E14" s="39" t="s">
        <v>80</v>
      </c>
      <c r="F14" s="39" t="s">
        <v>52</v>
      </c>
      <c r="G14" s="39" t="s">
        <v>37</v>
      </c>
      <c r="H14" s="41">
        <v>35</v>
      </c>
      <c r="I14" s="39" t="s">
        <v>10</v>
      </c>
      <c r="J14" s="40" t="s">
        <v>75</v>
      </c>
      <c r="K14" s="40" t="s">
        <v>84</v>
      </c>
      <c r="L14" s="40" t="s">
        <v>81</v>
      </c>
      <c r="M14" s="40" t="s">
        <v>37</v>
      </c>
      <c r="N14" s="40" t="s">
        <v>266</v>
      </c>
      <c r="O14" s="40" t="s">
        <v>254</v>
      </c>
      <c r="P14" s="39"/>
    </row>
    <row r="15" spans="1:16" ht="58" x14ac:dyDescent="0.35">
      <c r="A15" s="39">
        <v>8</v>
      </c>
      <c r="B15" s="39" t="str">
        <f t="shared" si="2"/>
        <v>7.8</v>
      </c>
      <c r="C15" s="47" t="s">
        <v>40</v>
      </c>
      <c r="D15" s="39" t="s">
        <v>82</v>
      </c>
      <c r="E15" s="39" t="s">
        <v>33</v>
      </c>
      <c r="F15" s="39" t="s">
        <v>52</v>
      </c>
      <c r="G15" s="39" t="s">
        <v>37</v>
      </c>
      <c r="H15" s="41">
        <v>10</v>
      </c>
      <c r="I15" s="39" t="s">
        <v>388</v>
      </c>
      <c r="J15" s="40" t="s">
        <v>132</v>
      </c>
      <c r="K15" s="40" t="s">
        <v>83</v>
      </c>
      <c r="L15" s="40" t="s">
        <v>136</v>
      </c>
      <c r="M15" s="40" t="s">
        <v>37</v>
      </c>
      <c r="N15" s="40" t="s">
        <v>37</v>
      </c>
      <c r="O15" s="40"/>
      <c r="P15" s="39"/>
    </row>
    <row r="16" spans="1:16" ht="58" x14ac:dyDescent="0.35">
      <c r="A16" s="39">
        <v>9</v>
      </c>
      <c r="B16" s="39" t="str">
        <f t="shared" si="2"/>
        <v>7.9</v>
      </c>
      <c r="C16" s="47" t="s">
        <v>40</v>
      </c>
      <c r="D16" s="39" t="s">
        <v>140</v>
      </c>
      <c r="E16" s="39" t="s">
        <v>33</v>
      </c>
      <c r="F16" s="39" t="s">
        <v>52</v>
      </c>
      <c r="G16" s="39" t="s">
        <v>37</v>
      </c>
      <c r="H16" s="41">
        <v>35</v>
      </c>
      <c r="I16" s="39" t="s">
        <v>388</v>
      </c>
      <c r="J16" s="40" t="s">
        <v>132</v>
      </c>
      <c r="K16" s="40" t="s">
        <v>83</v>
      </c>
      <c r="L16" s="40" t="s">
        <v>137</v>
      </c>
      <c r="M16" s="40" t="s">
        <v>37</v>
      </c>
      <c r="N16" s="40" t="s">
        <v>37</v>
      </c>
      <c r="O16" s="40"/>
      <c r="P16" s="39"/>
    </row>
    <row r="17" spans="1:16" ht="29" x14ac:dyDescent="0.35">
      <c r="A17" s="39">
        <v>10</v>
      </c>
      <c r="B17" s="39" t="str">
        <f t="shared" si="2"/>
        <v>7.10</v>
      </c>
      <c r="C17" s="47" t="s">
        <v>40</v>
      </c>
      <c r="D17" s="39" t="s">
        <v>76</v>
      </c>
      <c r="E17" s="39" t="s">
        <v>33</v>
      </c>
      <c r="F17" s="39" t="s">
        <v>52</v>
      </c>
      <c r="G17" s="39" t="s">
        <v>37</v>
      </c>
      <c r="H17" s="41">
        <v>10</v>
      </c>
      <c r="I17" s="39" t="s">
        <v>388</v>
      </c>
      <c r="J17" s="40" t="s">
        <v>132</v>
      </c>
      <c r="K17" s="40" t="s">
        <v>85</v>
      </c>
      <c r="L17" s="40" t="s">
        <v>37</v>
      </c>
      <c r="M17" s="40" t="s">
        <v>37</v>
      </c>
      <c r="N17" s="40" t="s">
        <v>37</v>
      </c>
      <c r="O17" s="40"/>
      <c r="P17" s="39"/>
    </row>
    <row r="18" spans="1:16" ht="58" x14ac:dyDescent="0.35">
      <c r="A18" s="39">
        <v>11</v>
      </c>
      <c r="B18" s="39" t="str">
        <f t="shared" si="2"/>
        <v>7.11</v>
      </c>
      <c r="C18" s="47" t="s">
        <v>40</v>
      </c>
      <c r="D18" s="39" t="s">
        <v>77</v>
      </c>
      <c r="E18" s="39" t="s">
        <v>33</v>
      </c>
      <c r="F18" s="39" t="s">
        <v>52</v>
      </c>
      <c r="G18" s="39" t="s">
        <v>37</v>
      </c>
      <c r="H18" s="41">
        <v>20</v>
      </c>
      <c r="I18" s="39" t="s">
        <v>388</v>
      </c>
      <c r="J18" s="40" t="s">
        <v>132</v>
      </c>
      <c r="K18" s="40" t="s">
        <v>83</v>
      </c>
      <c r="L18" s="40" t="s">
        <v>133</v>
      </c>
      <c r="M18" s="40" t="s">
        <v>37</v>
      </c>
      <c r="N18" s="40" t="s">
        <v>37</v>
      </c>
      <c r="O18" s="40"/>
      <c r="P18" s="39"/>
    </row>
    <row r="19" spans="1:16" ht="116" x14ac:dyDescent="0.35">
      <c r="A19" s="39">
        <v>12</v>
      </c>
      <c r="B19" s="39" t="str">
        <f t="shared" si="2"/>
        <v>7.12</v>
      </c>
      <c r="C19" s="47" t="s">
        <v>40</v>
      </c>
      <c r="D19" s="39" t="s">
        <v>78</v>
      </c>
      <c r="E19" s="39" t="s">
        <v>35</v>
      </c>
      <c r="F19" s="39" t="s">
        <v>52</v>
      </c>
      <c r="G19" s="39" t="s">
        <v>37</v>
      </c>
      <c r="H19" s="41">
        <v>15</v>
      </c>
      <c r="I19" s="39" t="s">
        <v>388</v>
      </c>
      <c r="J19" s="40" t="s">
        <v>132</v>
      </c>
      <c r="K19" s="40" t="s">
        <v>83</v>
      </c>
      <c r="L19" s="40" t="s">
        <v>138</v>
      </c>
      <c r="M19" s="40" t="s">
        <v>86</v>
      </c>
      <c r="N19" s="40" t="s">
        <v>141</v>
      </c>
      <c r="O19" s="40"/>
      <c r="P19" s="39"/>
    </row>
    <row r="20" spans="1:16" ht="58" x14ac:dyDescent="0.35">
      <c r="A20" s="39">
        <v>13</v>
      </c>
      <c r="B20" s="39" t="str">
        <f>CONCATENATE($B$2, ".", A20)</f>
        <v>7.13</v>
      </c>
      <c r="C20" s="47" t="s">
        <v>40</v>
      </c>
      <c r="D20" s="39" t="s">
        <v>79</v>
      </c>
      <c r="E20" s="39" t="s">
        <v>33</v>
      </c>
      <c r="F20" s="39" t="s">
        <v>52</v>
      </c>
      <c r="G20" s="39" t="s">
        <v>37</v>
      </c>
      <c r="H20" s="41">
        <v>7</v>
      </c>
      <c r="I20" s="39" t="s">
        <v>388</v>
      </c>
      <c r="J20" s="40" t="s">
        <v>132</v>
      </c>
      <c r="K20" s="40" t="s">
        <v>83</v>
      </c>
      <c r="L20" s="40" t="s">
        <v>139</v>
      </c>
      <c r="M20" s="40" t="s">
        <v>37</v>
      </c>
      <c r="N20" s="40" t="s">
        <v>37</v>
      </c>
      <c r="O20" s="40"/>
      <c r="P20" s="39"/>
    </row>
    <row r="21" spans="1:16" x14ac:dyDescent="0.35">
      <c r="A21" s="80"/>
      <c r="B21" s="80"/>
      <c r="C21" s="80"/>
      <c r="D21" s="80"/>
      <c r="E21" s="80"/>
      <c r="F21" s="76"/>
      <c r="G21" s="76"/>
      <c r="H21" s="76"/>
      <c r="I21" s="76"/>
      <c r="J21" s="76"/>
      <c r="K21" s="76"/>
      <c r="L21" s="76"/>
      <c r="M21" s="76"/>
      <c r="N21" s="76"/>
      <c r="O21" s="76"/>
      <c r="P21" s="76"/>
    </row>
    <row r="22" spans="1:16" ht="58" x14ac:dyDescent="0.35">
      <c r="A22" s="39">
        <v>14</v>
      </c>
      <c r="B22" s="39" t="str">
        <f t="shared" ref="B22:B28" si="3">CONCATENATE($B$2, ".", A22)</f>
        <v>7.14</v>
      </c>
      <c r="C22" s="47" t="s">
        <v>40</v>
      </c>
      <c r="D22" s="39" t="s">
        <v>87</v>
      </c>
      <c r="E22" s="39" t="s">
        <v>32</v>
      </c>
      <c r="F22" s="39" t="s">
        <v>62</v>
      </c>
      <c r="G22" s="39" t="s">
        <v>37</v>
      </c>
      <c r="H22" s="39" t="s">
        <v>37</v>
      </c>
      <c r="I22" s="39" t="s">
        <v>307</v>
      </c>
      <c r="J22" s="40" t="s">
        <v>66</v>
      </c>
      <c r="K22" s="40" t="s">
        <v>54</v>
      </c>
      <c r="L22" s="40" t="s">
        <v>88</v>
      </c>
      <c r="M22" s="40" t="s">
        <v>37</v>
      </c>
      <c r="N22" s="40" t="s">
        <v>37</v>
      </c>
      <c r="O22" s="40" t="s">
        <v>37</v>
      </c>
      <c r="P22" s="39"/>
    </row>
    <row r="23" spans="1:16" ht="101.5" x14ac:dyDescent="0.35">
      <c r="A23" s="39">
        <v>15</v>
      </c>
      <c r="B23" s="39" t="str">
        <f t="shared" si="3"/>
        <v>7.15</v>
      </c>
      <c r="C23" s="47" t="s">
        <v>40</v>
      </c>
      <c r="D23" s="39" t="s">
        <v>130</v>
      </c>
      <c r="E23" s="39" t="s">
        <v>80</v>
      </c>
      <c r="F23" s="39" t="s">
        <v>52</v>
      </c>
      <c r="G23" s="39" t="s">
        <v>37</v>
      </c>
      <c r="H23" s="41">
        <v>35</v>
      </c>
      <c r="I23" s="39" t="s">
        <v>389</v>
      </c>
      <c r="J23" s="40" t="s">
        <v>132</v>
      </c>
      <c r="K23" s="40" t="s">
        <v>304</v>
      </c>
      <c r="L23" s="40" t="s">
        <v>89</v>
      </c>
      <c r="M23" s="40" t="s">
        <v>37</v>
      </c>
      <c r="N23" s="40" t="s">
        <v>37</v>
      </c>
      <c r="O23" s="40" t="s">
        <v>255</v>
      </c>
      <c r="P23" s="39"/>
    </row>
    <row r="24" spans="1:16" ht="43.5" x14ac:dyDescent="0.35">
      <c r="A24" s="39">
        <v>16</v>
      </c>
      <c r="B24" s="39" t="str">
        <f t="shared" si="3"/>
        <v>7.16</v>
      </c>
      <c r="C24" s="47" t="s">
        <v>40</v>
      </c>
      <c r="D24" s="39" t="s">
        <v>82</v>
      </c>
      <c r="E24" s="39" t="s">
        <v>33</v>
      </c>
      <c r="F24" s="39" t="s">
        <v>52</v>
      </c>
      <c r="G24" s="39" t="s">
        <v>37</v>
      </c>
      <c r="H24" s="41">
        <v>10</v>
      </c>
      <c r="I24" s="39" t="s">
        <v>390</v>
      </c>
      <c r="J24" s="40" t="s">
        <v>132</v>
      </c>
      <c r="K24" s="40" t="s">
        <v>85</v>
      </c>
      <c r="L24" s="40" t="s">
        <v>37</v>
      </c>
      <c r="M24" s="40" t="s">
        <v>37</v>
      </c>
      <c r="N24" s="40" t="s">
        <v>37</v>
      </c>
      <c r="O24" s="40"/>
      <c r="P24" s="39"/>
    </row>
    <row r="25" spans="1:16" ht="58" x14ac:dyDescent="0.35">
      <c r="A25" s="39">
        <v>17</v>
      </c>
      <c r="B25" s="39" t="str">
        <f t="shared" si="3"/>
        <v>7.17</v>
      </c>
      <c r="C25" s="47" t="s">
        <v>40</v>
      </c>
      <c r="D25" s="39" t="s">
        <v>140</v>
      </c>
      <c r="E25" s="39" t="s">
        <v>33</v>
      </c>
      <c r="F25" s="39" t="s">
        <v>52</v>
      </c>
      <c r="G25" s="39" t="s">
        <v>37</v>
      </c>
      <c r="H25" s="41">
        <v>35</v>
      </c>
      <c r="I25" s="39" t="s">
        <v>390</v>
      </c>
      <c r="J25" s="40" t="s">
        <v>132</v>
      </c>
      <c r="K25" s="40" t="s">
        <v>83</v>
      </c>
      <c r="L25" s="40" t="s">
        <v>137</v>
      </c>
      <c r="M25" s="40" t="s">
        <v>37</v>
      </c>
      <c r="N25" s="40" t="s">
        <v>37</v>
      </c>
      <c r="O25" s="40"/>
      <c r="P25" s="39"/>
    </row>
    <row r="26" spans="1:16" ht="43.5" x14ac:dyDescent="0.35">
      <c r="A26" s="39">
        <v>18</v>
      </c>
      <c r="B26" s="39" t="str">
        <f t="shared" si="3"/>
        <v>7.18</v>
      </c>
      <c r="C26" s="47" t="s">
        <v>40</v>
      </c>
      <c r="D26" s="39" t="s">
        <v>76</v>
      </c>
      <c r="E26" s="39" t="s">
        <v>33</v>
      </c>
      <c r="F26" s="39" t="s">
        <v>52</v>
      </c>
      <c r="G26" s="39" t="s">
        <v>37</v>
      </c>
      <c r="H26" s="41">
        <v>10</v>
      </c>
      <c r="I26" s="39" t="s">
        <v>390</v>
      </c>
      <c r="J26" s="40" t="s">
        <v>132</v>
      </c>
      <c r="K26" s="40" t="s">
        <v>85</v>
      </c>
      <c r="L26" s="40" t="s">
        <v>37</v>
      </c>
      <c r="M26" s="40" t="s">
        <v>37</v>
      </c>
      <c r="N26" s="40" t="s">
        <v>37</v>
      </c>
      <c r="O26" s="40"/>
      <c r="P26" s="39"/>
    </row>
    <row r="27" spans="1:16" ht="58" x14ac:dyDescent="0.35">
      <c r="A27" s="39">
        <v>19</v>
      </c>
      <c r="B27" s="39" t="str">
        <f t="shared" si="3"/>
        <v>7.19</v>
      </c>
      <c r="C27" s="47" t="s">
        <v>40</v>
      </c>
      <c r="D27" s="39" t="s">
        <v>77</v>
      </c>
      <c r="E27" s="39" t="s">
        <v>33</v>
      </c>
      <c r="F27" s="39" t="s">
        <v>52</v>
      </c>
      <c r="G27" s="39" t="s">
        <v>37</v>
      </c>
      <c r="H27" s="41">
        <v>20</v>
      </c>
      <c r="I27" s="39" t="s">
        <v>390</v>
      </c>
      <c r="J27" s="40" t="s">
        <v>132</v>
      </c>
      <c r="K27" s="40" t="s">
        <v>83</v>
      </c>
      <c r="L27" s="40" t="s">
        <v>133</v>
      </c>
      <c r="M27" s="40" t="s">
        <v>37</v>
      </c>
      <c r="N27" s="40" t="s">
        <v>37</v>
      </c>
      <c r="O27" s="40"/>
      <c r="P27" s="39"/>
    </row>
    <row r="28" spans="1:16" ht="72.5" x14ac:dyDescent="0.35">
      <c r="A28" s="39">
        <v>20</v>
      </c>
      <c r="B28" s="39" t="str">
        <f t="shared" si="3"/>
        <v>7.20</v>
      </c>
      <c r="C28" s="47" t="s">
        <v>40</v>
      </c>
      <c r="D28" s="39" t="s">
        <v>78</v>
      </c>
      <c r="E28" s="39" t="s">
        <v>35</v>
      </c>
      <c r="F28" s="39" t="s">
        <v>52</v>
      </c>
      <c r="G28" s="39" t="s">
        <v>37</v>
      </c>
      <c r="H28" s="41">
        <v>15</v>
      </c>
      <c r="I28" s="39" t="s">
        <v>390</v>
      </c>
      <c r="J28" s="40" t="s">
        <v>132</v>
      </c>
      <c r="K28" s="40" t="s">
        <v>83</v>
      </c>
      <c r="L28" s="40" t="s">
        <v>138</v>
      </c>
      <c r="M28" s="40" t="s">
        <v>186</v>
      </c>
      <c r="N28" s="40"/>
      <c r="O28" s="40"/>
      <c r="P28" s="39"/>
    </row>
    <row r="29" spans="1:16" ht="58" x14ac:dyDescent="0.35">
      <c r="A29" s="39">
        <v>21</v>
      </c>
      <c r="B29" s="39" t="str">
        <f>CONCATENATE($B$2, ".", A29)</f>
        <v>7.21</v>
      </c>
      <c r="C29" s="47" t="s">
        <v>40</v>
      </c>
      <c r="D29" s="39" t="s">
        <v>79</v>
      </c>
      <c r="E29" s="39" t="s">
        <v>33</v>
      </c>
      <c r="F29" s="39" t="s">
        <v>52</v>
      </c>
      <c r="G29" s="39" t="s">
        <v>37</v>
      </c>
      <c r="H29" s="41">
        <v>7</v>
      </c>
      <c r="I29" s="39" t="s">
        <v>390</v>
      </c>
      <c r="J29" s="40" t="s">
        <v>132</v>
      </c>
      <c r="K29" s="40" t="s">
        <v>83</v>
      </c>
      <c r="L29" s="40" t="s">
        <v>139</v>
      </c>
      <c r="M29" s="40" t="s">
        <v>37</v>
      </c>
      <c r="N29" s="40" t="s">
        <v>37</v>
      </c>
      <c r="O29" s="40"/>
      <c r="P29" s="39"/>
    </row>
    <row r="30" spans="1:16" x14ac:dyDescent="0.35">
      <c r="A30" s="80"/>
      <c r="B30" s="80"/>
      <c r="C30" s="80"/>
      <c r="D30" s="80"/>
      <c r="E30" s="80"/>
      <c r="F30" s="76"/>
      <c r="G30" s="76"/>
      <c r="H30" s="76"/>
      <c r="I30" s="76"/>
      <c r="J30" s="76"/>
      <c r="K30" s="76"/>
      <c r="L30" s="76"/>
      <c r="M30" s="76"/>
      <c r="N30" s="76"/>
      <c r="O30" s="76"/>
      <c r="P30" s="76"/>
    </row>
    <row r="31" spans="1:16" ht="58" x14ac:dyDescent="0.35">
      <c r="A31" s="39">
        <v>22</v>
      </c>
      <c r="B31" s="39" t="str">
        <f t="shared" ref="B31:B37" si="4">CONCATENATE($B$2, ".", A31)</f>
        <v>7.22</v>
      </c>
      <c r="C31" s="47" t="s">
        <v>40</v>
      </c>
      <c r="D31" s="39" t="s">
        <v>230</v>
      </c>
      <c r="E31" s="39" t="s">
        <v>32</v>
      </c>
      <c r="F31" s="39" t="s">
        <v>62</v>
      </c>
      <c r="G31" s="39" t="s">
        <v>37</v>
      </c>
      <c r="H31" s="39" t="s">
        <v>37</v>
      </c>
      <c r="I31" s="39" t="s">
        <v>307</v>
      </c>
      <c r="J31" s="40" t="s">
        <v>66</v>
      </c>
      <c r="K31" s="40" t="s">
        <v>54</v>
      </c>
      <c r="L31" s="40" t="s">
        <v>131</v>
      </c>
      <c r="M31" s="40" t="s">
        <v>37</v>
      </c>
      <c r="N31" s="40" t="s">
        <v>37</v>
      </c>
      <c r="O31" s="40" t="s">
        <v>37</v>
      </c>
      <c r="P31" s="39"/>
    </row>
    <row r="32" spans="1:16" ht="101.5" x14ac:dyDescent="0.35">
      <c r="A32" s="39">
        <v>23</v>
      </c>
      <c r="B32" s="39" t="str">
        <f t="shared" si="4"/>
        <v>7.23</v>
      </c>
      <c r="C32" s="47" t="s">
        <v>40</v>
      </c>
      <c r="D32" s="39" t="s">
        <v>90</v>
      </c>
      <c r="E32" s="39" t="s">
        <v>80</v>
      </c>
      <c r="F32" s="39" t="s">
        <v>52</v>
      </c>
      <c r="G32" s="39" t="s">
        <v>37</v>
      </c>
      <c r="H32" s="41">
        <v>35</v>
      </c>
      <c r="I32" s="39" t="s">
        <v>391</v>
      </c>
      <c r="J32" s="40" t="s">
        <v>132</v>
      </c>
      <c r="K32" s="40" t="s">
        <v>305</v>
      </c>
      <c r="L32" s="40" t="s">
        <v>92</v>
      </c>
      <c r="M32" s="40" t="s">
        <v>37</v>
      </c>
      <c r="N32" s="40" t="s">
        <v>37</v>
      </c>
      <c r="O32" s="40" t="s">
        <v>256</v>
      </c>
      <c r="P32" s="39"/>
    </row>
    <row r="33" spans="1:16" ht="43.5" x14ac:dyDescent="0.35">
      <c r="A33" s="39">
        <v>24</v>
      </c>
      <c r="B33" s="39" t="str">
        <f t="shared" si="4"/>
        <v>7.24</v>
      </c>
      <c r="C33" s="47" t="s">
        <v>40</v>
      </c>
      <c r="D33" s="39" t="s">
        <v>82</v>
      </c>
      <c r="E33" s="39" t="s">
        <v>33</v>
      </c>
      <c r="F33" s="39" t="s">
        <v>52</v>
      </c>
      <c r="G33" s="39" t="s">
        <v>37</v>
      </c>
      <c r="H33" s="41">
        <v>10</v>
      </c>
      <c r="I33" s="39" t="s">
        <v>392</v>
      </c>
      <c r="J33" s="40" t="s">
        <v>132</v>
      </c>
      <c r="K33" s="41" t="s">
        <v>91</v>
      </c>
      <c r="L33" s="41" t="s">
        <v>37</v>
      </c>
      <c r="M33" s="40" t="s">
        <v>37</v>
      </c>
      <c r="N33" s="40" t="s">
        <v>37</v>
      </c>
      <c r="O33" s="40"/>
      <c r="P33" s="39"/>
    </row>
    <row r="34" spans="1:16" ht="58" x14ac:dyDescent="0.35">
      <c r="A34" s="39">
        <v>25</v>
      </c>
      <c r="B34" s="39" t="str">
        <f t="shared" si="4"/>
        <v>7.25</v>
      </c>
      <c r="C34" s="47" t="s">
        <v>40</v>
      </c>
      <c r="D34" s="39" t="s">
        <v>142</v>
      </c>
      <c r="E34" s="39" t="s">
        <v>33</v>
      </c>
      <c r="F34" s="39" t="s">
        <v>52</v>
      </c>
      <c r="G34" s="39" t="s">
        <v>37</v>
      </c>
      <c r="H34" s="41">
        <v>35</v>
      </c>
      <c r="I34" s="39" t="s">
        <v>392</v>
      </c>
      <c r="J34" s="40" t="s">
        <v>132</v>
      </c>
      <c r="K34" s="40" t="s">
        <v>83</v>
      </c>
      <c r="L34" s="40" t="s">
        <v>134</v>
      </c>
      <c r="M34" s="40" t="s">
        <v>37</v>
      </c>
      <c r="N34" s="40" t="s">
        <v>37</v>
      </c>
      <c r="O34" s="40"/>
      <c r="P34" s="39"/>
    </row>
    <row r="35" spans="1:16" ht="43.5" x14ac:dyDescent="0.35">
      <c r="A35" s="39">
        <v>26</v>
      </c>
      <c r="B35" s="39" t="str">
        <f t="shared" si="4"/>
        <v>7.26</v>
      </c>
      <c r="C35" s="47" t="s">
        <v>40</v>
      </c>
      <c r="D35" s="39" t="s">
        <v>76</v>
      </c>
      <c r="E35" s="39" t="s">
        <v>33</v>
      </c>
      <c r="F35" s="39" t="s">
        <v>52</v>
      </c>
      <c r="G35" s="39" t="s">
        <v>37</v>
      </c>
      <c r="H35" s="41">
        <v>10</v>
      </c>
      <c r="I35" s="39" t="s">
        <v>392</v>
      </c>
      <c r="J35" s="40" t="s">
        <v>132</v>
      </c>
      <c r="K35" s="40" t="s">
        <v>85</v>
      </c>
      <c r="L35" s="40" t="s">
        <v>37</v>
      </c>
      <c r="M35" s="40" t="s">
        <v>37</v>
      </c>
      <c r="N35" s="40" t="s">
        <v>37</v>
      </c>
      <c r="O35" s="40"/>
      <c r="P35" s="39"/>
    </row>
    <row r="36" spans="1:16" ht="58" x14ac:dyDescent="0.35">
      <c r="A36" s="39">
        <v>27</v>
      </c>
      <c r="B36" s="39" t="str">
        <f t="shared" si="4"/>
        <v>7.27</v>
      </c>
      <c r="C36" s="47" t="s">
        <v>40</v>
      </c>
      <c r="D36" s="39" t="s">
        <v>77</v>
      </c>
      <c r="E36" s="39" t="s">
        <v>33</v>
      </c>
      <c r="F36" s="39" t="s">
        <v>52</v>
      </c>
      <c r="G36" s="39" t="s">
        <v>37</v>
      </c>
      <c r="H36" s="41">
        <v>20</v>
      </c>
      <c r="I36" s="39" t="s">
        <v>392</v>
      </c>
      <c r="J36" s="40" t="s">
        <v>132</v>
      </c>
      <c r="K36" s="40" t="s">
        <v>83</v>
      </c>
      <c r="L36" s="40" t="s">
        <v>133</v>
      </c>
      <c r="M36" s="40" t="s">
        <v>37</v>
      </c>
      <c r="N36" s="40" t="s">
        <v>37</v>
      </c>
      <c r="O36" s="40"/>
      <c r="P36" s="39"/>
    </row>
    <row r="37" spans="1:16" ht="72.5" x14ac:dyDescent="0.35">
      <c r="A37" s="39">
        <v>28</v>
      </c>
      <c r="B37" s="39" t="str">
        <f t="shared" si="4"/>
        <v>7.28</v>
      </c>
      <c r="C37" s="47" t="s">
        <v>40</v>
      </c>
      <c r="D37" s="39" t="s">
        <v>78</v>
      </c>
      <c r="E37" s="39" t="s">
        <v>35</v>
      </c>
      <c r="F37" s="39" t="s">
        <v>52</v>
      </c>
      <c r="G37" s="39" t="s">
        <v>37</v>
      </c>
      <c r="H37" s="41">
        <v>15</v>
      </c>
      <c r="I37" s="39" t="s">
        <v>392</v>
      </c>
      <c r="J37" s="40" t="s">
        <v>132</v>
      </c>
      <c r="K37" s="40" t="s">
        <v>83</v>
      </c>
      <c r="L37" s="40" t="s">
        <v>135</v>
      </c>
      <c r="M37" s="40" t="s">
        <v>187</v>
      </c>
      <c r="N37" s="40" t="s">
        <v>37</v>
      </c>
      <c r="O37" s="40"/>
      <c r="P37" s="39"/>
    </row>
    <row r="38" spans="1:16" ht="58" x14ac:dyDescent="0.35">
      <c r="A38" s="39">
        <v>29</v>
      </c>
      <c r="B38" s="39" t="str">
        <f>CONCATENATE($B$2, ".", A38)</f>
        <v>7.29</v>
      </c>
      <c r="C38" s="47" t="s">
        <v>40</v>
      </c>
      <c r="D38" s="39" t="s">
        <v>79</v>
      </c>
      <c r="E38" s="39" t="s">
        <v>33</v>
      </c>
      <c r="F38" s="39" t="s">
        <v>52</v>
      </c>
      <c r="G38" s="39" t="s">
        <v>37</v>
      </c>
      <c r="H38" s="41">
        <v>7</v>
      </c>
      <c r="I38" s="39" t="s">
        <v>392</v>
      </c>
      <c r="J38" s="40" t="s">
        <v>132</v>
      </c>
      <c r="K38" s="40" t="s">
        <v>83</v>
      </c>
      <c r="L38" s="40" t="s">
        <v>139</v>
      </c>
      <c r="M38" s="40"/>
      <c r="N38" s="40"/>
      <c r="O38" s="40"/>
      <c r="P38" s="39"/>
    </row>
    <row r="39" spans="1:16" x14ac:dyDescent="0.35">
      <c r="A39" s="80"/>
      <c r="B39" s="80"/>
      <c r="C39" s="80"/>
      <c r="D39" s="80"/>
      <c r="E39" s="80"/>
      <c r="F39" s="76"/>
      <c r="G39" s="76"/>
      <c r="H39" s="76"/>
      <c r="I39" s="76"/>
      <c r="J39" s="76"/>
      <c r="K39" s="76"/>
      <c r="L39" s="76"/>
      <c r="M39" s="76"/>
      <c r="N39" s="76"/>
      <c r="O39" s="76"/>
      <c r="P39" s="76"/>
    </row>
    <row r="40" spans="1:16" ht="29" x14ac:dyDescent="0.35">
      <c r="A40" s="6">
        <v>30</v>
      </c>
      <c r="B40" s="6" t="str">
        <f>CONCATENATE($B$2, ".", A40)</f>
        <v>7.30</v>
      </c>
      <c r="C40" s="34" t="s">
        <v>38</v>
      </c>
      <c r="D40" s="6" t="s">
        <v>60</v>
      </c>
      <c r="E40" s="6" t="s">
        <v>43</v>
      </c>
      <c r="F40" s="6" t="s">
        <v>37</v>
      </c>
      <c r="G40" s="6" t="s">
        <v>37</v>
      </c>
      <c r="H40" s="6" t="s">
        <v>37</v>
      </c>
      <c r="I40" s="6" t="s">
        <v>10</v>
      </c>
      <c r="J40" s="6" t="s">
        <v>37</v>
      </c>
      <c r="K40" s="6" t="s">
        <v>37</v>
      </c>
      <c r="L40" s="6" t="s">
        <v>37</v>
      </c>
      <c r="M40" s="6" t="s">
        <v>37</v>
      </c>
      <c r="N40" s="6" t="s">
        <v>37</v>
      </c>
      <c r="O40" s="6" t="s">
        <v>403</v>
      </c>
    </row>
    <row r="41" spans="1:16" ht="29" x14ac:dyDescent="0.35">
      <c r="A41" s="6">
        <v>31</v>
      </c>
      <c r="B41" s="6" t="str">
        <f>CONCATENATE($B$2, ".", A41)</f>
        <v>7.31</v>
      </c>
      <c r="C41" s="34" t="s">
        <v>38</v>
      </c>
      <c r="D41" s="6" t="s">
        <v>59</v>
      </c>
      <c r="E41" s="6" t="s">
        <v>43</v>
      </c>
      <c r="F41" s="6" t="s">
        <v>37</v>
      </c>
      <c r="G41" s="6" t="s">
        <v>37</v>
      </c>
      <c r="H41" s="6" t="s">
        <v>37</v>
      </c>
      <c r="I41" s="6" t="s">
        <v>10</v>
      </c>
      <c r="J41" s="6" t="s">
        <v>37</v>
      </c>
      <c r="K41" s="6" t="s">
        <v>37</v>
      </c>
      <c r="L41" s="6" t="s">
        <v>37</v>
      </c>
      <c r="M41" s="6" t="s">
        <v>37</v>
      </c>
      <c r="N41" s="6" t="s">
        <v>37</v>
      </c>
      <c r="O41" s="6" t="s">
        <v>402</v>
      </c>
    </row>
  </sheetData>
  <mergeCells count="4">
    <mergeCell ref="A12:E12"/>
    <mergeCell ref="A21:E21"/>
    <mergeCell ref="A30:E30"/>
    <mergeCell ref="A39:E39"/>
  </mergeCells>
  <conditionalFormatting sqref="C42:C1048576">
    <cfRule type="cellIs" dxfId="274" priority="49" operator="equal">
      <formula>"WIP (see comments)"</formula>
    </cfRule>
    <cfRule type="cellIs" dxfId="273" priority="50" operator="equal">
      <formula>"Removed"</formula>
    </cfRule>
    <cfRule type="cellIs" dxfId="272" priority="51" operator="equal">
      <formula>"Updated"</formula>
    </cfRule>
    <cfRule type="cellIs" dxfId="271" priority="52" operator="equal">
      <formula>"New"</formula>
    </cfRule>
  </conditionalFormatting>
  <conditionalFormatting sqref="C7:C10">
    <cfRule type="cellIs" dxfId="270" priority="41" operator="equal">
      <formula>"WIP (see comments)"</formula>
    </cfRule>
    <cfRule type="cellIs" dxfId="269" priority="42" operator="equal">
      <formula>"Removed"</formula>
    </cfRule>
    <cfRule type="cellIs" dxfId="268" priority="43" operator="equal">
      <formula>"Updated"</formula>
    </cfRule>
    <cfRule type="cellIs" dxfId="267" priority="44" operator="equal">
      <formula>"New"</formula>
    </cfRule>
  </conditionalFormatting>
  <conditionalFormatting sqref="D1">
    <cfRule type="cellIs" dxfId="266" priority="36" operator="equal">
      <formula>"n/a"</formula>
    </cfRule>
  </conditionalFormatting>
  <conditionalFormatting sqref="D3">
    <cfRule type="cellIs" dxfId="265" priority="35" operator="equal">
      <formula>"n/a"</formula>
    </cfRule>
  </conditionalFormatting>
  <conditionalFormatting sqref="A13:P13 A14:A20">
    <cfRule type="cellIs" dxfId="264" priority="1" operator="equal">
      <formula>"n/a"</formula>
    </cfRule>
  </conditionalFormatting>
  <conditionalFormatting sqref="C40:C41 C32:C38 C23:C29 C14:C20">
    <cfRule type="cellIs" dxfId="263" priority="31" operator="equal">
      <formula>"WIP (see comments)"</formula>
    </cfRule>
    <cfRule type="cellIs" dxfId="262" priority="32" operator="equal">
      <formula>"Removed"</formula>
    </cfRule>
    <cfRule type="cellIs" dxfId="261" priority="33" operator="equal">
      <formula>"Updated"</formula>
    </cfRule>
    <cfRule type="cellIs" dxfId="260" priority="34" operator="equal">
      <formula>"New"</formula>
    </cfRule>
  </conditionalFormatting>
  <conditionalFormatting sqref="C11">
    <cfRule type="cellIs" dxfId="259" priority="27" operator="equal">
      <formula>"WIP (see comments)"</formula>
    </cfRule>
    <cfRule type="cellIs" dxfId="258" priority="28" operator="equal">
      <formula>"Removed"</formula>
    </cfRule>
    <cfRule type="cellIs" dxfId="257" priority="29" operator="equal">
      <formula>"Updated"</formula>
    </cfRule>
    <cfRule type="cellIs" dxfId="256" priority="30" operator="equal">
      <formula>"New"</formula>
    </cfRule>
  </conditionalFormatting>
  <conditionalFormatting sqref="C22:C28">
    <cfRule type="cellIs" dxfId="255" priority="23" operator="equal">
      <formula>"WIP (see comments)"</formula>
    </cfRule>
    <cfRule type="cellIs" dxfId="254" priority="24" operator="equal">
      <formula>"Removed"</formula>
    </cfRule>
    <cfRule type="cellIs" dxfId="253" priority="25" operator="equal">
      <formula>"Updated"</formula>
    </cfRule>
    <cfRule type="cellIs" dxfId="252" priority="26" operator="equal">
      <formula>"New"</formula>
    </cfRule>
  </conditionalFormatting>
  <conditionalFormatting sqref="C31:C37">
    <cfRule type="cellIs" dxfId="251" priority="19" operator="equal">
      <formula>"WIP (see comments)"</formula>
    </cfRule>
    <cfRule type="cellIs" dxfId="250" priority="20" operator="equal">
      <formula>"Removed"</formula>
    </cfRule>
    <cfRule type="cellIs" dxfId="249" priority="21" operator="equal">
      <formula>"Updated"</formula>
    </cfRule>
    <cfRule type="cellIs" dxfId="248" priority="22" operator="equal">
      <formula>"New"</formula>
    </cfRule>
  </conditionalFormatting>
  <conditionalFormatting sqref="C11:P11 A40:P41 B14:P20 A22:P29 A31:P38">
    <cfRule type="cellIs" dxfId="247" priority="18" operator="equal">
      <formula>"n/a"</formula>
    </cfRule>
  </conditionalFormatting>
  <conditionalFormatting sqref="C28">
    <cfRule type="cellIs" dxfId="246" priority="14" operator="equal">
      <formula>"WIP (see comments)"</formula>
    </cfRule>
    <cfRule type="cellIs" dxfId="245" priority="15" operator="equal">
      <formula>"Removed"</formula>
    </cfRule>
    <cfRule type="cellIs" dxfId="244" priority="16" operator="equal">
      <formula>"Updated"</formula>
    </cfRule>
    <cfRule type="cellIs" dxfId="243" priority="17" operator="equal">
      <formula>"New"</formula>
    </cfRule>
  </conditionalFormatting>
  <conditionalFormatting sqref="C29">
    <cfRule type="cellIs" dxfId="242" priority="10" operator="equal">
      <formula>"WIP (see comments)"</formula>
    </cfRule>
    <cfRule type="cellIs" dxfId="241" priority="11" operator="equal">
      <formula>"Removed"</formula>
    </cfRule>
    <cfRule type="cellIs" dxfId="240" priority="12" operator="equal">
      <formula>"Updated"</formula>
    </cfRule>
    <cfRule type="cellIs" dxfId="239" priority="13" operator="equal">
      <formula>"New"</formula>
    </cfRule>
  </conditionalFormatting>
  <conditionalFormatting sqref="F12:P12 A12">
    <cfRule type="cellIs" dxfId="238" priority="9" operator="equal">
      <formula>"n/a"</formula>
    </cfRule>
  </conditionalFormatting>
  <conditionalFormatting sqref="F21:P21 A21">
    <cfRule type="cellIs" dxfId="237" priority="8" operator="equal">
      <formula>"n/a"</formula>
    </cfRule>
  </conditionalFormatting>
  <conditionalFormatting sqref="F30:P30 A30">
    <cfRule type="cellIs" dxfId="236" priority="7" operator="equal">
      <formula>"n/a"</formula>
    </cfRule>
  </conditionalFormatting>
  <conditionalFormatting sqref="F39:P39 A39">
    <cfRule type="cellIs" dxfId="235" priority="6" operator="equal">
      <formula>"n/a"</formula>
    </cfRule>
  </conditionalFormatting>
  <conditionalFormatting sqref="C13">
    <cfRule type="cellIs" dxfId="234" priority="2" operator="equal">
      <formula>"WIP (see comments)"</formula>
    </cfRule>
    <cfRule type="cellIs" dxfId="233" priority="3" operator="equal">
      <formula>"Removed"</formula>
    </cfRule>
    <cfRule type="cellIs" dxfId="232" priority="4" operator="equal">
      <formula>"Updated"</formula>
    </cfRule>
    <cfRule type="cellIs" dxfId="231" priority="5" operator="equal">
      <formula>"New"</formula>
    </cfRule>
  </conditionalFormatting>
  <dataValidations count="2">
    <dataValidation type="list" allowBlank="1" showInputMessage="1" showErrorMessage="1" sqref="C42:C1048576">
      <formula1>$B$5:$B$10</formula1>
    </dataValidation>
    <dataValidation type="list" allowBlank="1" showInputMessage="1" showErrorMessage="1" sqref="E13:E20 E40:E41 E31:E38 E22:E29">
      <formula1>$A$5:$A$25</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Values'!$B$5:$B$13</xm:f>
          </x14:formula1>
          <xm:sqref>C7:C10</xm:sqref>
        </x14:dataValidation>
        <x14:dataValidation type="list" allowBlank="1" showInputMessage="1" showErrorMessage="1">
          <x14:formula1>
            <xm:f>'List Values'!$A$5:$A$27</xm:f>
          </x14:formula1>
          <xm:sqref>E42:E1048576 E7:E11</xm:sqref>
        </x14:dataValidation>
        <x14:dataValidation type="list" allowBlank="1" showInputMessage="1" showErrorMessage="1">
          <x14:formula1>
            <xm:f>'List Values'!$B$5:$B$11</xm:f>
          </x14:formula1>
          <xm:sqref>C11 C13:C20 C22:C29 C31:C38 C40:C41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P46"/>
  <sheetViews>
    <sheetView zoomScaleNormal="100" workbookViewId="0">
      <pane xSplit="4" ySplit="6" topLeftCell="E7" activePane="bottomRight" state="frozen"/>
      <selection pane="topRight" activeCell="E1" sqref="E1"/>
      <selection pane="bottomLeft" activeCell="A7" sqref="A7"/>
      <selection pane="bottomRight" activeCell="A5" sqref="A5"/>
    </sheetView>
  </sheetViews>
  <sheetFormatPr defaultColWidth="9.1796875" defaultRowHeight="14.5" x14ac:dyDescent="0.35"/>
  <cols>
    <col min="1" max="1" width="14.7265625" style="6" customWidth="1"/>
    <col min="2" max="2" width="12.54296875" style="6" customWidth="1"/>
    <col min="3" max="3" width="13" style="34" customWidth="1"/>
    <col min="4" max="4" width="45.1796875" style="6" customWidth="1"/>
    <col min="5" max="5" width="28.7265625" style="6" customWidth="1"/>
    <col min="6" max="6" width="21.81640625" style="6" customWidth="1"/>
    <col min="7" max="7" width="29.26953125" style="6" customWidth="1"/>
    <col min="8" max="8" width="27.81640625" style="6" customWidth="1"/>
    <col min="9" max="9" width="34.81640625" style="6" customWidth="1"/>
    <col min="10" max="10" width="28.1796875" style="6" customWidth="1"/>
    <col min="11" max="11" width="16.453125" style="6" customWidth="1"/>
    <col min="12" max="12" width="23" style="6" customWidth="1"/>
    <col min="13" max="13" width="29" style="6" customWidth="1"/>
    <col min="14" max="14" width="25.54296875" style="6" customWidth="1"/>
    <col min="15" max="15" width="48.453125" style="6" customWidth="1"/>
    <col min="16" max="16" width="41.81640625" style="6" customWidth="1"/>
    <col min="17" max="16384" width="9.1796875" style="6"/>
  </cols>
  <sheetData>
    <row r="1" spans="1:16" s="30" customFormat="1" ht="18.5" x14ac:dyDescent="0.35">
      <c r="A1" s="28" t="s">
        <v>6</v>
      </c>
      <c r="B1" s="38" t="s">
        <v>73</v>
      </c>
      <c r="C1" s="32"/>
      <c r="D1" s="29" t="s">
        <v>407</v>
      </c>
    </row>
    <row r="2" spans="1:16" s="30" customFormat="1" ht="18.5" x14ac:dyDescent="0.35">
      <c r="A2" s="28" t="s">
        <v>7</v>
      </c>
      <c r="B2" s="36">
        <v>8</v>
      </c>
      <c r="C2" s="35"/>
      <c r="D2" s="36"/>
    </row>
    <row r="3" spans="1:16" s="30" customFormat="1" ht="18.5" x14ac:dyDescent="0.35">
      <c r="A3" s="28" t="s">
        <v>44</v>
      </c>
      <c r="B3" s="36" t="s">
        <v>395</v>
      </c>
      <c r="C3" s="35"/>
      <c r="D3" s="36"/>
    </row>
    <row r="4" spans="1:16" s="30" customFormat="1" ht="18.5" x14ac:dyDescent="0.35">
      <c r="A4" s="28" t="s">
        <v>8</v>
      </c>
      <c r="B4" s="30" t="s">
        <v>394</v>
      </c>
      <c r="C4" s="35"/>
    </row>
    <row r="5" spans="1:16" s="4" customFormat="1" x14ac:dyDescent="0.35">
      <c r="A5" s="66"/>
      <c r="C5" s="37"/>
    </row>
    <row r="6" spans="1:16" s="31" customFormat="1" ht="15" thickBot="1" x14ac:dyDescent="0.4">
      <c r="A6" s="31" t="s">
        <v>11</v>
      </c>
      <c r="B6" s="31" t="s">
        <v>12</v>
      </c>
      <c r="C6" s="33" t="s">
        <v>26</v>
      </c>
      <c r="D6" s="31" t="s">
        <v>25</v>
      </c>
      <c r="E6" s="31" t="s">
        <v>13</v>
      </c>
      <c r="F6" s="31" t="s">
        <v>14</v>
      </c>
      <c r="G6" s="31" t="s">
        <v>15</v>
      </c>
      <c r="H6" s="31" t="s">
        <v>16</v>
      </c>
      <c r="I6" s="31" t="s">
        <v>17</v>
      </c>
      <c r="J6" s="31" t="s">
        <v>18</v>
      </c>
      <c r="K6" s="31" t="s">
        <v>19</v>
      </c>
      <c r="L6" s="31" t="s">
        <v>20</v>
      </c>
      <c r="M6" s="31" t="s">
        <v>21</v>
      </c>
      <c r="N6" s="31" t="s">
        <v>22</v>
      </c>
      <c r="O6" s="31" t="s">
        <v>23</v>
      </c>
      <c r="P6" s="31" t="s">
        <v>24</v>
      </c>
    </row>
    <row r="7" spans="1:16" x14ac:dyDescent="0.35">
      <c r="A7" s="6">
        <v>1</v>
      </c>
      <c r="B7" s="6" t="str">
        <f>CONCATENATE($B$2, ".", A7)</f>
        <v>8.1</v>
      </c>
      <c r="C7" s="34" t="s">
        <v>41</v>
      </c>
      <c r="D7" s="39" t="s">
        <v>298</v>
      </c>
      <c r="I7" s="39"/>
      <c r="J7" s="5" t="s">
        <v>37</v>
      </c>
      <c r="K7" s="5"/>
      <c r="L7" s="5"/>
      <c r="M7" s="5"/>
      <c r="N7" s="5"/>
      <c r="O7" s="5"/>
    </row>
    <row r="8" spans="1:16" x14ac:dyDescent="0.35">
      <c r="A8" s="6">
        <v>2</v>
      </c>
      <c r="B8" s="6" t="str">
        <f>CONCATENATE($B$2, ".", A8)</f>
        <v>8.2</v>
      </c>
      <c r="C8" s="34" t="s">
        <v>41</v>
      </c>
      <c r="D8" s="39" t="s">
        <v>74</v>
      </c>
      <c r="E8" s="39"/>
      <c r="I8" s="39"/>
      <c r="J8" s="5" t="s">
        <v>37</v>
      </c>
      <c r="K8" s="5"/>
      <c r="L8" s="5"/>
      <c r="M8" s="5"/>
      <c r="N8" s="5"/>
      <c r="O8" s="5"/>
    </row>
    <row r="9" spans="1:16" s="76" customFormat="1" x14ac:dyDescent="0.35">
      <c r="A9" s="80"/>
      <c r="B9" s="80"/>
      <c r="C9" s="80"/>
      <c r="D9" s="80"/>
      <c r="E9" s="80"/>
    </row>
    <row r="10" spans="1:16" s="39" customFormat="1" ht="66" customHeight="1" x14ac:dyDescent="0.35">
      <c r="A10" s="39">
        <v>3</v>
      </c>
      <c r="B10" s="39" t="str">
        <f t="shared" ref="B10" si="0">CONCATENATE($B$2, ".", A10)</f>
        <v>8.3</v>
      </c>
      <c r="C10" s="47" t="s">
        <v>41</v>
      </c>
      <c r="D10" s="39" t="s">
        <v>306</v>
      </c>
      <c r="J10" s="40"/>
      <c r="K10" s="40"/>
      <c r="L10" s="40"/>
      <c r="M10" s="40"/>
      <c r="N10" s="40"/>
      <c r="O10" s="40"/>
    </row>
    <row r="11" spans="1:16" s="39" customFormat="1" ht="128.25" customHeight="1" x14ac:dyDescent="0.35">
      <c r="A11" s="39">
        <v>4</v>
      </c>
      <c r="B11" s="39" t="str">
        <f t="shared" ref="B11:B16" si="1">CONCATENATE($B$2, ".", A11)</f>
        <v>8.4</v>
      </c>
      <c r="C11" s="47" t="s">
        <v>41</v>
      </c>
      <c r="D11" s="39" t="s">
        <v>129</v>
      </c>
      <c r="H11" s="41"/>
      <c r="J11" s="40"/>
      <c r="K11" s="40"/>
      <c r="L11" s="40"/>
      <c r="M11" s="40"/>
      <c r="N11" s="40"/>
      <c r="O11" s="40"/>
    </row>
    <row r="12" spans="1:16" s="39" customFormat="1" x14ac:dyDescent="0.35">
      <c r="A12" s="39">
        <v>5</v>
      </c>
      <c r="B12" s="39" t="str">
        <f t="shared" si="1"/>
        <v>8.5</v>
      </c>
      <c r="C12" s="47" t="s">
        <v>41</v>
      </c>
      <c r="D12" s="39" t="s">
        <v>82</v>
      </c>
      <c r="H12" s="41"/>
      <c r="J12" s="40"/>
      <c r="K12" s="40"/>
      <c r="L12" s="40"/>
      <c r="M12" s="40"/>
      <c r="N12" s="40"/>
      <c r="O12" s="40"/>
    </row>
    <row r="13" spans="1:16" s="39" customFormat="1" x14ac:dyDescent="0.35">
      <c r="A13" s="39">
        <v>6</v>
      </c>
      <c r="B13" s="39" t="str">
        <f t="shared" si="1"/>
        <v>8.6</v>
      </c>
      <c r="C13" s="47" t="s">
        <v>41</v>
      </c>
      <c r="D13" s="39" t="s">
        <v>140</v>
      </c>
      <c r="H13" s="41"/>
      <c r="J13" s="40"/>
      <c r="K13" s="40"/>
      <c r="L13" s="40"/>
      <c r="M13" s="40"/>
      <c r="N13" s="40"/>
      <c r="O13" s="40"/>
    </row>
    <row r="14" spans="1:16" s="39" customFormat="1" x14ac:dyDescent="0.35">
      <c r="A14" s="39">
        <v>7</v>
      </c>
      <c r="B14" s="39" t="str">
        <f t="shared" si="1"/>
        <v>8.7</v>
      </c>
      <c r="C14" s="47" t="s">
        <v>41</v>
      </c>
      <c r="D14" s="39" t="s">
        <v>76</v>
      </c>
      <c r="H14" s="41"/>
      <c r="J14" s="40"/>
      <c r="K14" s="40"/>
      <c r="L14" s="40"/>
      <c r="M14" s="40"/>
      <c r="N14" s="40"/>
      <c r="O14" s="40"/>
    </row>
    <row r="15" spans="1:16" s="39" customFormat="1" x14ac:dyDescent="0.35">
      <c r="A15" s="39">
        <v>8</v>
      </c>
      <c r="B15" s="39" t="str">
        <f t="shared" si="1"/>
        <v>8.8</v>
      </c>
      <c r="C15" s="47" t="s">
        <v>41</v>
      </c>
      <c r="D15" s="39" t="s">
        <v>77</v>
      </c>
      <c r="H15" s="41"/>
      <c r="J15" s="40"/>
      <c r="K15" s="40"/>
      <c r="L15" s="40"/>
      <c r="M15" s="40"/>
      <c r="N15" s="40"/>
      <c r="O15" s="40"/>
    </row>
    <row r="16" spans="1:16" s="39" customFormat="1" ht="96.75" customHeight="1" x14ac:dyDescent="0.35">
      <c r="A16" s="39">
        <v>9</v>
      </c>
      <c r="B16" s="39" t="str">
        <f t="shared" si="1"/>
        <v>8.9</v>
      </c>
      <c r="C16" s="47" t="s">
        <v>41</v>
      </c>
      <c r="D16" s="39" t="s">
        <v>78</v>
      </c>
      <c r="H16" s="41"/>
      <c r="J16" s="40"/>
      <c r="K16" s="40"/>
      <c r="L16" s="40"/>
      <c r="M16" s="40"/>
      <c r="N16" s="40"/>
      <c r="O16" s="40"/>
    </row>
    <row r="17" spans="1:15" s="39" customFormat="1" x14ac:dyDescent="0.35">
      <c r="A17" s="39">
        <v>10</v>
      </c>
      <c r="B17" s="39" t="str">
        <f>CONCATENATE($B$2, ".", A17)</f>
        <v>8.10</v>
      </c>
      <c r="C17" s="47" t="s">
        <v>41</v>
      </c>
      <c r="D17" s="39" t="s">
        <v>79</v>
      </c>
      <c r="H17" s="41"/>
      <c r="J17" s="40"/>
      <c r="K17" s="40"/>
      <c r="L17" s="40"/>
      <c r="M17" s="40"/>
      <c r="N17" s="40"/>
      <c r="O17" s="40"/>
    </row>
    <row r="18" spans="1:15" s="76" customFormat="1" x14ac:dyDescent="0.35">
      <c r="A18" s="80"/>
      <c r="B18" s="80"/>
      <c r="C18" s="80"/>
      <c r="D18" s="80"/>
      <c r="E18" s="80"/>
    </row>
    <row r="19" spans="1:15" s="39" customFormat="1" ht="66" customHeight="1" x14ac:dyDescent="0.35">
      <c r="A19" s="39">
        <v>11</v>
      </c>
      <c r="B19" s="39" t="str">
        <f t="shared" ref="B19:B25" si="2">CONCATENATE($B$2, ".", A19)</f>
        <v>8.11</v>
      </c>
      <c r="C19" s="47" t="s">
        <v>41</v>
      </c>
      <c r="D19" s="39" t="s">
        <v>87</v>
      </c>
      <c r="J19" s="40"/>
      <c r="K19" s="40"/>
      <c r="L19" s="40"/>
      <c r="M19" s="40"/>
      <c r="N19" s="40"/>
      <c r="O19" s="40"/>
    </row>
    <row r="20" spans="1:15" s="39" customFormat="1" ht="81.75" customHeight="1" x14ac:dyDescent="0.35">
      <c r="A20" s="39">
        <v>12</v>
      </c>
      <c r="B20" s="39" t="str">
        <f t="shared" si="2"/>
        <v>8.12</v>
      </c>
      <c r="C20" s="47" t="s">
        <v>41</v>
      </c>
      <c r="D20" s="39" t="s">
        <v>130</v>
      </c>
      <c r="H20" s="41"/>
      <c r="J20" s="40"/>
      <c r="K20" s="40"/>
      <c r="L20" s="40"/>
      <c r="M20" s="40"/>
      <c r="N20" s="40"/>
      <c r="O20" s="40"/>
    </row>
    <row r="21" spans="1:15" s="39" customFormat="1" ht="49.5" customHeight="1" x14ac:dyDescent="0.35">
      <c r="A21" s="39">
        <v>13</v>
      </c>
      <c r="B21" s="39" t="str">
        <f t="shared" si="2"/>
        <v>8.13</v>
      </c>
      <c r="C21" s="47" t="s">
        <v>41</v>
      </c>
      <c r="D21" s="39" t="s">
        <v>82</v>
      </c>
      <c r="H21" s="41"/>
      <c r="J21" s="40"/>
      <c r="K21" s="40"/>
      <c r="L21" s="40"/>
      <c r="M21" s="40"/>
      <c r="N21" s="40"/>
      <c r="O21" s="40"/>
    </row>
    <row r="22" spans="1:15" s="39" customFormat="1" ht="54" customHeight="1" x14ac:dyDescent="0.35">
      <c r="A22" s="39">
        <v>14</v>
      </c>
      <c r="B22" s="39" t="str">
        <f t="shared" si="2"/>
        <v>8.14</v>
      </c>
      <c r="C22" s="47" t="s">
        <v>41</v>
      </c>
      <c r="D22" s="39" t="s">
        <v>140</v>
      </c>
      <c r="H22" s="41"/>
      <c r="J22" s="40"/>
      <c r="K22" s="40"/>
      <c r="L22" s="40"/>
      <c r="M22" s="40"/>
      <c r="N22" s="40"/>
      <c r="O22" s="40"/>
    </row>
    <row r="23" spans="1:15" s="39" customFormat="1" ht="54" customHeight="1" x14ac:dyDescent="0.35">
      <c r="A23" s="39">
        <v>15</v>
      </c>
      <c r="B23" s="39" t="str">
        <f t="shared" si="2"/>
        <v>8.15</v>
      </c>
      <c r="C23" s="47" t="s">
        <v>41</v>
      </c>
      <c r="D23" s="39" t="s">
        <v>76</v>
      </c>
      <c r="H23" s="41"/>
      <c r="J23" s="40"/>
      <c r="K23" s="40"/>
      <c r="L23" s="40"/>
      <c r="M23" s="40"/>
      <c r="N23" s="40"/>
      <c r="O23" s="40"/>
    </row>
    <row r="24" spans="1:15" s="39" customFormat="1" ht="50.25" customHeight="1" x14ac:dyDescent="0.35">
      <c r="A24" s="39">
        <v>16</v>
      </c>
      <c r="B24" s="39" t="str">
        <f t="shared" si="2"/>
        <v>8.16</v>
      </c>
      <c r="C24" s="47" t="s">
        <v>41</v>
      </c>
      <c r="D24" s="39" t="s">
        <v>77</v>
      </c>
      <c r="H24" s="41"/>
      <c r="J24" s="40"/>
      <c r="K24" s="40"/>
      <c r="L24" s="40"/>
      <c r="M24" s="40"/>
      <c r="N24" s="40"/>
      <c r="O24" s="40"/>
    </row>
    <row r="25" spans="1:15" s="39" customFormat="1" x14ac:dyDescent="0.35">
      <c r="A25" s="39">
        <v>17</v>
      </c>
      <c r="B25" s="39" t="str">
        <f t="shared" si="2"/>
        <v>8.17</v>
      </c>
      <c r="C25" s="47" t="s">
        <v>41</v>
      </c>
      <c r="D25" s="39" t="s">
        <v>78</v>
      </c>
      <c r="H25" s="41"/>
      <c r="J25" s="40"/>
      <c r="K25" s="40"/>
      <c r="L25" s="40"/>
      <c r="M25" s="40"/>
      <c r="N25" s="40"/>
      <c r="O25" s="40"/>
    </row>
    <row r="26" spans="1:15" s="39" customFormat="1" x14ac:dyDescent="0.35">
      <c r="A26" s="39">
        <v>18</v>
      </c>
      <c r="B26" s="39" t="str">
        <f>CONCATENATE($B$2, ".", A26)</f>
        <v>8.18</v>
      </c>
      <c r="C26" s="47" t="s">
        <v>41</v>
      </c>
      <c r="D26" s="39" t="s">
        <v>79</v>
      </c>
      <c r="H26" s="41"/>
      <c r="J26" s="40"/>
      <c r="K26" s="40"/>
      <c r="L26" s="40"/>
      <c r="M26" s="40"/>
      <c r="N26" s="40"/>
      <c r="O26" s="40"/>
    </row>
    <row r="27" spans="1:15" s="76" customFormat="1" x14ac:dyDescent="0.35">
      <c r="A27" s="80"/>
      <c r="B27" s="80"/>
      <c r="C27" s="80"/>
      <c r="D27" s="80"/>
      <c r="E27" s="80"/>
    </row>
    <row r="28" spans="1:15" s="39" customFormat="1" ht="29" x14ac:dyDescent="0.35">
      <c r="A28" s="39">
        <v>19</v>
      </c>
      <c r="B28" s="39" t="str">
        <f t="shared" ref="B28:B34" si="3">CONCATENATE($B$2, ".", A28)</f>
        <v>8.19</v>
      </c>
      <c r="C28" s="47" t="s">
        <v>41</v>
      </c>
      <c r="D28" s="39" t="s">
        <v>230</v>
      </c>
      <c r="J28" s="40"/>
      <c r="K28" s="40"/>
      <c r="L28" s="40"/>
      <c r="M28" s="40"/>
      <c r="N28" s="40"/>
      <c r="O28" s="40"/>
    </row>
    <row r="29" spans="1:15" s="39" customFormat="1" ht="81.75" customHeight="1" x14ac:dyDescent="0.35">
      <c r="A29" s="39">
        <v>20</v>
      </c>
      <c r="B29" s="39" t="str">
        <f t="shared" si="3"/>
        <v>8.20</v>
      </c>
      <c r="C29" s="47" t="s">
        <v>41</v>
      </c>
      <c r="D29" s="39" t="s">
        <v>90</v>
      </c>
      <c r="H29" s="41"/>
      <c r="J29" s="40"/>
      <c r="K29" s="40"/>
      <c r="L29" s="40"/>
      <c r="M29" s="40"/>
      <c r="N29" s="40"/>
      <c r="O29" s="40"/>
    </row>
    <row r="30" spans="1:15" s="39" customFormat="1" ht="49.5" customHeight="1" x14ac:dyDescent="0.35">
      <c r="A30" s="39">
        <v>21</v>
      </c>
      <c r="B30" s="39" t="str">
        <f t="shared" si="3"/>
        <v>8.21</v>
      </c>
      <c r="C30" s="47" t="s">
        <v>41</v>
      </c>
      <c r="D30" s="39" t="s">
        <v>82</v>
      </c>
      <c r="H30" s="41"/>
      <c r="J30" s="40"/>
      <c r="K30" s="41"/>
      <c r="L30" s="41"/>
      <c r="M30" s="40"/>
      <c r="N30" s="40"/>
      <c r="O30" s="40"/>
    </row>
    <row r="31" spans="1:15" s="39" customFormat="1" x14ac:dyDescent="0.35">
      <c r="A31" s="39">
        <v>22</v>
      </c>
      <c r="B31" s="39" t="str">
        <f t="shared" si="3"/>
        <v>8.22</v>
      </c>
      <c r="C31" s="47" t="s">
        <v>41</v>
      </c>
      <c r="D31" s="39" t="s">
        <v>142</v>
      </c>
      <c r="H31" s="41"/>
      <c r="J31" s="40"/>
      <c r="K31" s="40"/>
      <c r="L31" s="40"/>
      <c r="M31" s="40"/>
      <c r="N31" s="40"/>
      <c r="O31" s="40"/>
    </row>
    <row r="32" spans="1:15" s="39" customFormat="1" ht="54" customHeight="1" x14ac:dyDescent="0.35">
      <c r="A32" s="39">
        <v>23</v>
      </c>
      <c r="B32" s="39" t="str">
        <f t="shared" si="3"/>
        <v>8.23</v>
      </c>
      <c r="C32" s="47" t="s">
        <v>41</v>
      </c>
      <c r="D32" s="39" t="s">
        <v>76</v>
      </c>
      <c r="H32" s="41"/>
      <c r="J32" s="40"/>
      <c r="K32" s="40"/>
      <c r="L32" s="40"/>
      <c r="M32" s="40"/>
      <c r="N32" s="40"/>
      <c r="O32" s="40"/>
    </row>
    <row r="33" spans="1:15" s="39" customFormat="1" ht="50.25" customHeight="1" x14ac:dyDescent="0.35">
      <c r="A33" s="39">
        <v>24</v>
      </c>
      <c r="B33" s="39" t="str">
        <f t="shared" si="3"/>
        <v>8.24</v>
      </c>
      <c r="C33" s="47" t="s">
        <v>41</v>
      </c>
      <c r="D33" s="39" t="s">
        <v>77</v>
      </c>
      <c r="H33" s="41"/>
      <c r="J33" s="40"/>
      <c r="K33" s="40"/>
      <c r="L33" s="40"/>
      <c r="M33" s="40"/>
      <c r="N33" s="40"/>
      <c r="O33" s="40"/>
    </row>
    <row r="34" spans="1:15" s="39" customFormat="1" x14ac:dyDescent="0.35">
      <c r="A34" s="39">
        <v>25</v>
      </c>
      <c r="B34" s="39" t="str">
        <f t="shared" si="3"/>
        <v>8.25</v>
      </c>
      <c r="C34" s="47" t="s">
        <v>41</v>
      </c>
      <c r="D34" s="39" t="s">
        <v>78</v>
      </c>
      <c r="H34" s="41"/>
      <c r="J34" s="40"/>
      <c r="K34" s="40"/>
      <c r="L34" s="40"/>
      <c r="M34" s="40"/>
      <c r="N34" s="40"/>
      <c r="O34" s="40"/>
    </row>
    <row r="35" spans="1:15" s="39" customFormat="1" x14ac:dyDescent="0.35">
      <c r="A35" s="39">
        <v>26</v>
      </c>
      <c r="B35" s="39" t="str">
        <f>CONCATENATE($B$2, ".", A35)</f>
        <v>8.26</v>
      </c>
      <c r="C35" s="47" t="s">
        <v>41</v>
      </c>
      <c r="D35" s="39" t="s">
        <v>79</v>
      </c>
      <c r="H35" s="41"/>
      <c r="J35" s="40"/>
      <c r="K35" s="40"/>
      <c r="L35" s="40"/>
      <c r="M35" s="40"/>
      <c r="N35" s="40"/>
      <c r="O35" s="40"/>
    </row>
    <row r="36" spans="1:15" s="76" customFormat="1" x14ac:dyDescent="0.35">
      <c r="A36" s="80"/>
      <c r="B36" s="80"/>
      <c r="C36" s="80"/>
      <c r="D36" s="80"/>
      <c r="E36" s="80"/>
    </row>
    <row r="37" spans="1:15" x14ac:dyDescent="0.35">
      <c r="A37" s="6">
        <v>27</v>
      </c>
      <c r="B37" s="6" t="str">
        <f>CONCATENATE($B$2, ".", A37)</f>
        <v>8.27</v>
      </c>
      <c r="C37" s="34" t="s">
        <v>41</v>
      </c>
      <c r="D37" s="6" t="s">
        <v>60</v>
      </c>
    </row>
    <row r="38" spans="1:15" x14ac:dyDescent="0.35">
      <c r="A38" s="6">
        <v>28</v>
      </c>
      <c r="B38" s="6" t="str">
        <f>CONCATENATE($B$2, ".", A38)</f>
        <v>8.28</v>
      </c>
      <c r="C38" s="34" t="s">
        <v>41</v>
      </c>
      <c r="D38" s="6" t="s">
        <v>59</v>
      </c>
    </row>
    <row r="39" spans="1:15" x14ac:dyDescent="0.35">
      <c r="I39" s="39"/>
      <c r="J39" s="5"/>
      <c r="K39" s="5"/>
      <c r="L39" s="40"/>
      <c r="M39" s="40"/>
      <c r="N39" s="40"/>
      <c r="O39" s="40"/>
    </row>
    <row r="40" spans="1:15" x14ac:dyDescent="0.35">
      <c r="I40" s="39"/>
      <c r="J40" s="5"/>
      <c r="K40" s="5"/>
      <c r="L40" s="40"/>
      <c r="M40" s="40"/>
      <c r="N40" s="40"/>
      <c r="O40" s="40"/>
    </row>
    <row r="41" spans="1:15" x14ac:dyDescent="0.35">
      <c r="I41" s="39"/>
      <c r="J41" s="5"/>
      <c r="K41" s="5"/>
      <c r="L41" s="40"/>
      <c r="M41" s="40"/>
      <c r="N41" s="40"/>
      <c r="O41" s="40"/>
    </row>
    <row r="42" spans="1:15" x14ac:dyDescent="0.35">
      <c r="I42" s="39"/>
      <c r="J42" s="5"/>
      <c r="K42" s="5"/>
      <c r="L42" s="40"/>
      <c r="M42" s="40"/>
      <c r="N42" s="40"/>
      <c r="O42" s="40"/>
    </row>
    <row r="43" spans="1:15" x14ac:dyDescent="0.35">
      <c r="I43" s="39"/>
      <c r="J43" s="5"/>
      <c r="K43" s="5"/>
      <c r="L43" s="40"/>
      <c r="M43" s="40"/>
      <c r="N43" s="40"/>
      <c r="O43" s="40"/>
    </row>
    <row r="44" spans="1:15" x14ac:dyDescent="0.35">
      <c r="I44" s="39"/>
      <c r="J44" s="5"/>
      <c r="K44" s="5"/>
      <c r="L44" s="40"/>
      <c r="M44" s="40"/>
      <c r="N44" s="40"/>
      <c r="O44" s="40"/>
    </row>
    <row r="45" spans="1:15" x14ac:dyDescent="0.35">
      <c r="I45" s="39"/>
      <c r="J45" s="5"/>
      <c r="K45" s="5"/>
      <c r="L45" s="40"/>
      <c r="M45" s="40"/>
      <c r="N45" s="40"/>
      <c r="O45" s="40"/>
    </row>
    <row r="46" spans="1:15" x14ac:dyDescent="0.35">
      <c r="I46" s="39"/>
      <c r="J46" s="5"/>
      <c r="K46" s="5"/>
      <c r="L46" s="40"/>
      <c r="M46" s="40"/>
      <c r="N46" s="40"/>
      <c r="O46" s="40"/>
    </row>
  </sheetData>
  <mergeCells count="4">
    <mergeCell ref="A9:E9"/>
    <mergeCell ref="A18:E18"/>
    <mergeCell ref="A27:E27"/>
    <mergeCell ref="A36:E36"/>
  </mergeCells>
  <conditionalFormatting sqref="C37:C1048576 C29:C35 C20:C26 C8">
    <cfRule type="cellIs" dxfId="230" priority="52" operator="equal">
      <formula>"WIP (see comments)"</formula>
    </cfRule>
    <cfRule type="cellIs" dxfId="229" priority="53" operator="equal">
      <formula>"Removed"</formula>
    </cfRule>
    <cfRule type="cellIs" dxfId="228" priority="54" operator="equal">
      <formula>"Updated"</formula>
    </cfRule>
    <cfRule type="cellIs" dxfId="227" priority="55" operator="equal">
      <formula>"New"</formula>
    </cfRule>
  </conditionalFormatting>
  <conditionalFormatting sqref="C7:C8">
    <cfRule type="cellIs" dxfId="226" priority="44" operator="equal">
      <formula>"WIP (see comments)"</formula>
    </cfRule>
    <cfRule type="cellIs" dxfId="225" priority="45" operator="equal">
      <formula>"Removed"</formula>
    </cfRule>
    <cfRule type="cellIs" dxfId="224" priority="46" operator="equal">
      <formula>"Updated"</formula>
    </cfRule>
    <cfRule type="cellIs" dxfId="223" priority="47" operator="equal">
      <formula>"New"</formula>
    </cfRule>
  </conditionalFormatting>
  <conditionalFormatting sqref="C19:C26">
    <cfRule type="cellIs" dxfId="222" priority="36" operator="equal">
      <formula>"WIP (see comments)"</formula>
    </cfRule>
    <cfRule type="cellIs" dxfId="221" priority="37" operator="equal">
      <formula>"Removed"</formula>
    </cfRule>
    <cfRule type="cellIs" dxfId="220" priority="38" operator="equal">
      <formula>"Updated"</formula>
    </cfRule>
    <cfRule type="cellIs" dxfId="219" priority="39" operator="equal">
      <formula>"New"</formula>
    </cfRule>
  </conditionalFormatting>
  <conditionalFormatting sqref="C28:C35">
    <cfRule type="cellIs" dxfId="218" priority="28" operator="equal">
      <formula>"WIP (see comments)"</formula>
    </cfRule>
    <cfRule type="cellIs" dxfId="217" priority="29" operator="equal">
      <formula>"Removed"</formula>
    </cfRule>
    <cfRule type="cellIs" dxfId="216" priority="30" operator="equal">
      <formula>"Updated"</formula>
    </cfRule>
    <cfRule type="cellIs" dxfId="215" priority="31" operator="equal">
      <formula>"New"</formula>
    </cfRule>
  </conditionalFormatting>
  <conditionalFormatting sqref="A2:XFD8 A37:XFD1048576 A1:C1 E1:XFD1 A11:B17 D11:XFD17 A19:XFD26 A28:XFD35">
    <cfRule type="cellIs" dxfId="214" priority="19" operator="equal">
      <formula>"n/a"</formula>
    </cfRule>
  </conditionalFormatting>
  <conditionalFormatting sqref="C25">
    <cfRule type="cellIs" dxfId="213" priority="15" operator="equal">
      <formula>"WIP (see comments)"</formula>
    </cfRule>
    <cfRule type="cellIs" dxfId="212" priority="16" operator="equal">
      <formula>"Removed"</formula>
    </cfRule>
    <cfRule type="cellIs" dxfId="211" priority="17" operator="equal">
      <formula>"Updated"</formula>
    </cfRule>
    <cfRule type="cellIs" dxfId="210" priority="18" operator="equal">
      <formula>"New"</formula>
    </cfRule>
  </conditionalFormatting>
  <conditionalFormatting sqref="C26">
    <cfRule type="cellIs" dxfId="209" priority="11" operator="equal">
      <formula>"WIP (see comments)"</formula>
    </cfRule>
    <cfRule type="cellIs" dxfId="208" priority="12" operator="equal">
      <formula>"Removed"</formula>
    </cfRule>
    <cfRule type="cellIs" dxfId="207" priority="13" operator="equal">
      <formula>"Updated"</formula>
    </cfRule>
    <cfRule type="cellIs" dxfId="206" priority="14" operator="equal">
      <formula>"New"</formula>
    </cfRule>
  </conditionalFormatting>
  <conditionalFormatting sqref="F9:XFD9 A9">
    <cfRule type="cellIs" dxfId="205" priority="10" operator="equal">
      <formula>"n/a"</formula>
    </cfRule>
  </conditionalFormatting>
  <conditionalFormatting sqref="F18:XFD18 A18">
    <cfRule type="cellIs" dxfId="204" priority="9" operator="equal">
      <formula>"n/a"</formula>
    </cfRule>
  </conditionalFormatting>
  <conditionalFormatting sqref="F27:XFD27 A27">
    <cfRule type="cellIs" dxfId="203" priority="8" operator="equal">
      <formula>"n/a"</formula>
    </cfRule>
  </conditionalFormatting>
  <conditionalFormatting sqref="F36:XFD36 A36">
    <cfRule type="cellIs" dxfId="202" priority="7" operator="equal">
      <formula>"n/a"</formula>
    </cfRule>
  </conditionalFormatting>
  <conditionalFormatting sqref="C10:C17">
    <cfRule type="cellIs" dxfId="201" priority="3" operator="equal">
      <formula>"WIP (see comments)"</formula>
    </cfRule>
    <cfRule type="cellIs" dxfId="200" priority="4" operator="equal">
      <formula>"Removed"</formula>
    </cfRule>
    <cfRule type="cellIs" dxfId="199" priority="5" operator="equal">
      <formula>"Updated"</formula>
    </cfRule>
    <cfRule type="cellIs" dxfId="198" priority="6" operator="equal">
      <formula>"New"</formula>
    </cfRule>
  </conditionalFormatting>
  <conditionalFormatting sqref="A10:XFD10 C11:C17">
    <cfRule type="cellIs" dxfId="197" priority="2" operator="equal">
      <formula>"n/a"</formula>
    </cfRule>
  </conditionalFormatting>
  <conditionalFormatting sqref="D1">
    <cfRule type="cellIs" dxfId="196" priority="1" operator="equal">
      <formula>"n/a"</formula>
    </cfRule>
  </conditionalFormatting>
  <dataValidations count="1">
    <dataValidation type="list" allowBlank="1" showInputMessage="1" showErrorMessage="1" sqref="E10:E17 E37:E1048576 E28:E35 E19:E26">
      <formula1>$A$5:$A$28</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Values'!$A$5:$A$27</xm:f>
          </x14:formula1>
          <xm:sqref>E7:E8</xm:sqref>
        </x14:dataValidation>
        <x14:dataValidation type="list" allowBlank="1" showInputMessage="1" showErrorMessage="1">
          <x14:formula1>
            <xm:f>'List Values'!$B$5:$B$11</xm:f>
          </x14:formula1>
          <xm:sqref>C7:C8 C37:C1048576 C10:C17 C19:C26 C28:C35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21"/>
  <sheetViews>
    <sheetView workbookViewId="0">
      <pane xSplit="4" ySplit="6" topLeftCell="E7" activePane="bottomRight" state="frozen"/>
      <selection pane="topRight" activeCell="E1" sqref="E1"/>
      <selection pane="bottomLeft" activeCell="A7" sqref="A7"/>
      <selection pane="bottomRight" activeCell="C2" sqref="C2"/>
    </sheetView>
  </sheetViews>
  <sheetFormatPr defaultColWidth="9.1796875" defaultRowHeight="14.5" x14ac:dyDescent="0.35"/>
  <cols>
    <col min="1" max="1" width="14.7265625" style="6" customWidth="1"/>
    <col min="2" max="2" width="12.54296875" style="6" customWidth="1"/>
    <col min="3" max="3" width="13" style="34"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93</v>
      </c>
      <c r="C1" s="32"/>
      <c r="D1" s="29"/>
    </row>
    <row r="2" spans="1:16" s="30" customFormat="1" ht="18.5" x14ac:dyDescent="0.35">
      <c r="A2" s="28" t="s">
        <v>7</v>
      </c>
      <c r="B2" s="36">
        <v>8</v>
      </c>
      <c r="C2" s="35"/>
      <c r="D2" s="36"/>
    </row>
    <row r="3" spans="1:16" s="30" customFormat="1" ht="18.5" x14ac:dyDescent="0.35">
      <c r="A3" s="28" t="s">
        <v>44</v>
      </c>
      <c r="B3" s="36" t="s">
        <v>376</v>
      </c>
      <c r="C3" s="35"/>
      <c r="D3" s="64" t="s">
        <v>377</v>
      </c>
      <c r="E3" s="30" t="s">
        <v>74</v>
      </c>
    </row>
    <row r="4" spans="1:16" s="30" customFormat="1" ht="18.5" x14ac:dyDescent="0.35">
      <c r="A4" s="28" t="s">
        <v>8</v>
      </c>
      <c r="B4" s="30" t="s">
        <v>47</v>
      </c>
      <c r="C4" s="35"/>
    </row>
    <row r="5" spans="1:16" s="4" customFormat="1" x14ac:dyDescent="0.35">
      <c r="C5" s="37"/>
    </row>
    <row r="6" spans="1:16" s="31" customFormat="1" ht="15" thickBot="1" x14ac:dyDescent="0.4">
      <c r="A6" s="31" t="s">
        <v>11</v>
      </c>
      <c r="B6" s="31" t="s">
        <v>12</v>
      </c>
      <c r="C6" s="33" t="s">
        <v>26</v>
      </c>
      <c r="D6" s="31" t="s">
        <v>25</v>
      </c>
      <c r="E6" s="31" t="s">
        <v>13</v>
      </c>
      <c r="F6" s="31" t="s">
        <v>14</v>
      </c>
      <c r="G6" s="31" t="s">
        <v>15</v>
      </c>
      <c r="H6" s="31" t="s">
        <v>16</v>
      </c>
      <c r="I6" s="31" t="s">
        <v>17</v>
      </c>
      <c r="J6" s="31" t="s">
        <v>18</v>
      </c>
      <c r="K6" s="31" t="s">
        <v>19</v>
      </c>
      <c r="L6" s="31" t="s">
        <v>20</v>
      </c>
      <c r="M6" s="31" t="s">
        <v>21</v>
      </c>
      <c r="N6" s="31" t="s">
        <v>22</v>
      </c>
      <c r="O6" s="31" t="s">
        <v>23</v>
      </c>
      <c r="P6" s="31" t="s">
        <v>24</v>
      </c>
    </row>
    <row r="7" spans="1:16" s="39" customFormat="1" x14ac:dyDescent="0.35">
      <c r="A7" s="39">
        <v>1</v>
      </c>
      <c r="B7" s="39" t="str">
        <f t="shared" ref="B7:B13" si="0">CONCATENATE($B$2, ".", A7)</f>
        <v>8.1</v>
      </c>
      <c r="C7" s="47" t="s">
        <v>40</v>
      </c>
      <c r="D7" s="39" t="s">
        <v>299</v>
      </c>
      <c r="E7" s="39" t="s">
        <v>29</v>
      </c>
      <c r="F7" s="39" t="s">
        <v>37</v>
      </c>
      <c r="G7" s="39" t="s">
        <v>37</v>
      </c>
      <c r="H7" s="39" t="s">
        <v>37</v>
      </c>
      <c r="I7" s="39" t="s">
        <v>10</v>
      </c>
      <c r="J7" s="40" t="s">
        <v>37</v>
      </c>
      <c r="K7" s="40" t="s">
        <v>37</v>
      </c>
      <c r="L7" s="40" t="s">
        <v>37</v>
      </c>
      <c r="M7" s="40" t="s">
        <v>37</v>
      </c>
      <c r="N7" s="40" t="s">
        <v>37</v>
      </c>
      <c r="O7" s="40" t="s">
        <v>37</v>
      </c>
    </row>
    <row r="8" spans="1:16" s="39" customFormat="1" x14ac:dyDescent="0.35">
      <c r="A8" s="39">
        <v>2</v>
      </c>
      <c r="B8" s="39" t="str">
        <f t="shared" si="0"/>
        <v>8.2</v>
      </c>
      <c r="C8" s="47" t="s">
        <v>40</v>
      </c>
      <c r="D8" s="39" t="s">
        <v>37</v>
      </c>
      <c r="E8" s="39" t="s">
        <v>49</v>
      </c>
      <c r="F8" s="39" t="s">
        <v>37</v>
      </c>
      <c r="G8" s="39" t="s">
        <v>37</v>
      </c>
      <c r="H8" s="39" t="s">
        <v>37</v>
      </c>
      <c r="I8" s="39" t="s">
        <v>10</v>
      </c>
      <c r="J8" s="40" t="s">
        <v>37</v>
      </c>
      <c r="K8" s="40" t="s">
        <v>37</v>
      </c>
      <c r="L8" s="40" t="s">
        <v>37</v>
      </c>
      <c r="M8" s="40" t="s">
        <v>37</v>
      </c>
      <c r="N8" s="40" t="s">
        <v>37</v>
      </c>
      <c r="O8" s="40" t="s">
        <v>37</v>
      </c>
    </row>
    <row r="9" spans="1:16" s="39" customFormat="1" ht="80.25" customHeight="1" x14ac:dyDescent="0.35">
      <c r="A9" s="39">
        <v>3</v>
      </c>
      <c r="B9" s="39" t="str">
        <f t="shared" si="0"/>
        <v>8.3</v>
      </c>
      <c r="C9" s="47" t="s">
        <v>40</v>
      </c>
      <c r="D9" s="39" t="s">
        <v>195</v>
      </c>
      <c r="E9" s="39" t="s">
        <v>95</v>
      </c>
      <c r="F9" s="39" t="s">
        <v>96</v>
      </c>
      <c r="G9" s="39" t="s">
        <v>175</v>
      </c>
      <c r="H9" s="39" t="s">
        <v>37</v>
      </c>
      <c r="I9" s="39" t="s">
        <v>10</v>
      </c>
      <c r="J9" s="40" t="s">
        <v>98</v>
      </c>
      <c r="K9" s="40" t="s">
        <v>54</v>
      </c>
      <c r="L9" s="40" t="s">
        <v>168</v>
      </c>
      <c r="M9" s="40" t="s">
        <v>99</v>
      </c>
      <c r="N9" s="40" t="s">
        <v>100</v>
      </c>
      <c r="O9" s="40" t="s">
        <v>101</v>
      </c>
    </row>
    <row r="10" spans="1:16" s="39" customFormat="1" ht="102.75" customHeight="1" x14ac:dyDescent="0.35">
      <c r="A10" s="39">
        <v>4</v>
      </c>
      <c r="B10" s="39" t="str">
        <f t="shared" si="0"/>
        <v>8.4</v>
      </c>
      <c r="C10" s="47" t="s">
        <v>40</v>
      </c>
      <c r="D10" s="39" t="s">
        <v>94</v>
      </c>
      <c r="E10" s="39" t="s">
        <v>33</v>
      </c>
      <c r="F10" s="39" t="s">
        <v>97</v>
      </c>
      <c r="G10" s="39" t="s">
        <v>174</v>
      </c>
      <c r="H10" s="41">
        <v>9</v>
      </c>
      <c r="I10" s="39" t="s">
        <v>10</v>
      </c>
      <c r="J10" s="40" t="s">
        <v>37</v>
      </c>
      <c r="K10" s="40" t="s">
        <v>91</v>
      </c>
      <c r="L10" s="39" t="s">
        <v>37</v>
      </c>
      <c r="M10" s="40" t="s">
        <v>176</v>
      </c>
      <c r="N10" s="40" t="s">
        <v>248</v>
      </c>
      <c r="O10" s="40" t="s">
        <v>37</v>
      </c>
    </row>
    <row r="11" spans="1:16" s="39" customFormat="1" ht="114" customHeight="1" x14ac:dyDescent="0.35">
      <c r="A11" s="39">
        <v>5</v>
      </c>
      <c r="B11" s="39" t="str">
        <f t="shared" si="0"/>
        <v>8.5</v>
      </c>
      <c r="C11" s="47" t="s">
        <v>40</v>
      </c>
      <c r="D11" s="39" t="s">
        <v>105</v>
      </c>
      <c r="E11" s="39" t="s">
        <v>80</v>
      </c>
      <c r="F11" s="39" t="s">
        <v>52</v>
      </c>
      <c r="G11" s="39" t="s">
        <v>198</v>
      </c>
      <c r="H11" s="47">
        <v>200</v>
      </c>
      <c r="I11" s="39" t="s">
        <v>10</v>
      </c>
      <c r="J11" s="40" t="s">
        <v>103</v>
      </c>
      <c r="K11" s="40" t="s">
        <v>54</v>
      </c>
      <c r="L11" s="40" t="s">
        <v>106</v>
      </c>
      <c r="M11" s="40" t="s">
        <v>107</v>
      </c>
      <c r="N11" s="40" t="s">
        <v>37</v>
      </c>
      <c r="O11" s="40" t="s">
        <v>197</v>
      </c>
    </row>
    <row r="12" spans="1:16" s="39" customFormat="1" ht="29" x14ac:dyDescent="0.35">
      <c r="A12" s="39">
        <v>6</v>
      </c>
      <c r="B12" s="39" t="str">
        <f>CONCATENATE($B$2, ".", A12)</f>
        <v>8.6</v>
      </c>
      <c r="C12" s="47" t="s">
        <v>45</v>
      </c>
      <c r="D12" s="39" t="s">
        <v>60</v>
      </c>
      <c r="E12" s="39" t="s">
        <v>43</v>
      </c>
      <c r="F12" s="39" t="s">
        <v>37</v>
      </c>
      <c r="G12" s="39" t="s">
        <v>37</v>
      </c>
      <c r="H12" s="39" t="s">
        <v>37</v>
      </c>
      <c r="I12" s="39" t="s">
        <v>10</v>
      </c>
      <c r="J12" s="39" t="s">
        <v>37</v>
      </c>
      <c r="K12" s="39" t="s">
        <v>37</v>
      </c>
      <c r="L12" s="39" t="s">
        <v>37</v>
      </c>
      <c r="M12" s="39" t="s">
        <v>37</v>
      </c>
      <c r="N12" s="39" t="s">
        <v>37</v>
      </c>
      <c r="O12" s="39" t="s">
        <v>374</v>
      </c>
      <c r="P12" s="39" t="s">
        <v>372</v>
      </c>
    </row>
    <row r="13" spans="1:16" s="39" customFormat="1" ht="29" x14ac:dyDescent="0.35">
      <c r="A13" s="39">
        <v>7</v>
      </c>
      <c r="B13" s="39" t="str">
        <f t="shared" si="0"/>
        <v>8.7</v>
      </c>
      <c r="C13" s="47" t="s">
        <v>38</v>
      </c>
      <c r="D13" s="39" t="s">
        <v>59</v>
      </c>
      <c r="E13" s="39" t="s">
        <v>43</v>
      </c>
      <c r="F13" s="39" t="s">
        <v>37</v>
      </c>
      <c r="G13" s="39" t="s">
        <v>37</v>
      </c>
      <c r="H13" s="39" t="s">
        <v>37</v>
      </c>
      <c r="I13" s="39" t="s">
        <v>10</v>
      </c>
      <c r="J13" s="39" t="s">
        <v>37</v>
      </c>
      <c r="K13" s="39" t="s">
        <v>37</v>
      </c>
      <c r="L13" s="39" t="s">
        <v>37</v>
      </c>
      <c r="M13" s="39" t="s">
        <v>37</v>
      </c>
      <c r="N13" s="39" t="s">
        <v>37</v>
      </c>
      <c r="O13" s="39" t="s">
        <v>375</v>
      </c>
    </row>
    <row r="14" spans="1:16" x14ac:dyDescent="0.35">
      <c r="I14" s="39"/>
      <c r="J14" s="5"/>
      <c r="K14" s="5"/>
      <c r="L14" s="40"/>
      <c r="M14" s="40"/>
      <c r="N14" s="40"/>
      <c r="O14" s="40"/>
    </row>
    <row r="15" spans="1:16" x14ac:dyDescent="0.35">
      <c r="D15" s="6" t="s">
        <v>74</v>
      </c>
      <c r="I15" s="39"/>
      <c r="J15" s="5"/>
      <c r="K15" s="5"/>
      <c r="L15" s="40"/>
      <c r="M15" s="40"/>
      <c r="N15" s="40"/>
      <c r="O15" s="40"/>
    </row>
    <row r="16" spans="1:16" x14ac:dyDescent="0.35">
      <c r="I16" s="39"/>
      <c r="J16" s="5"/>
      <c r="K16" s="5"/>
      <c r="L16" s="40"/>
      <c r="M16" s="40"/>
      <c r="N16" s="40"/>
      <c r="O16" s="40"/>
    </row>
    <row r="17" spans="9:15" x14ac:dyDescent="0.35">
      <c r="I17" s="39"/>
      <c r="J17" s="5"/>
      <c r="K17" s="5"/>
      <c r="L17" s="40"/>
      <c r="M17" s="40"/>
      <c r="N17" s="40"/>
      <c r="O17" s="40"/>
    </row>
    <row r="18" spans="9:15" x14ac:dyDescent="0.35">
      <c r="I18" s="39"/>
      <c r="J18" s="5"/>
      <c r="K18" s="5"/>
      <c r="L18" s="40"/>
      <c r="M18" s="40"/>
      <c r="N18" s="40"/>
      <c r="O18" s="40"/>
    </row>
    <row r="19" spans="9:15" x14ac:dyDescent="0.35">
      <c r="I19" s="39"/>
      <c r="J19" s="5"/>
      <c r="K19" s="5"/>
      <c r="L19" s="40"/>
      <c r="M19" s="40"/>
      <c r="N19" s="40"/>
      <c r="O19" s="40"/>
    </row>
    <row r="20" spans="9:15" x14ac:dyDescent="0.35">
      <c r="I20" s="39"/>
      <c r="J20" s="5"/>
      <c r="K20" s="5"/>
      <c r="L20" s="40"/>
      <c r="M20" s="40"/>
      <c r="N20" s="40"/>
      <c r="O20" s="40"/>
    </row>
    <row r="21" spans="9:15" x14ac:dyDescent="0.35">
      <c r="I21" s="39"/>
      <c r="J21" s="5"/>
      <c r="K21" s="5"/>
      <c r="L21" s="40"/>
      <c r="M21" s="40"/>
      <c r="N21" s="40"/>
      <c r="O21" s="40"/>
    </row>
  </sheetData>
  <autoFilter ref="A6:P13"/>
  <conditionalFormatting sqref="C14:C1048576">
    <cfRule type="cellIs" dxfId="195" priority="17" operator="equal">
      <formula>"WIP (see comments)"</formula>
    </cfRule>
    <cfRule type="cellIs" dxfId="194" priority="18" operator="equal">
      <formula>"Removed"</formula>
    </cfRule>
    <cfRule type="cellIs" dxfId="193" priority="19" operator="equal">
      <formula>"Updated"</formula>
    </cfRule>
    <cfRule type="cellIs" dxfId="192" priority="20" operator="equal">
      <formula>"New"</formula>
    </cfRule>
  </conditionalFormatting>
  <conditionalFormatting sqref="C7:C13">
    <cfRule type="cellIs" dxfId="191" priority="9" operator="equal">
      <formula>"WIP (see comments)"</formula>
    </cfRule>
    <cfRule type="cellIs" dxfId="190" priority="10" operator="equal">
      <formula>"Removed"</formula>
    </cfRule>
    <cfRule type="cellIs" dxfId="189" priority="11" operator="equal">
      <formula>"Updated"</formula>
    </cfRule>
    <cfRule type="cellIs" dxfId="188" priority="12" operator="equal">
      <formula>"New"</formula>
    </cfRule>
  </conditionalFormatting>
  <conditionalFormatting sqref="B4">
    <cfRule type="cellIs" dxfId="187" priority="4" operator="equal">
      <formula>"n/a"</formula>
    </cfRule>
  </conditionalFormatting>
  <conditionalFormatting sqref="D11:O11">
    <cfRule type="cellIs" dxfId="186" priority="3" operator="equal">
      <formula>"n/a"</formula>
    </cfRule>
  </conditionalFormatting>
  <conditionalFormatting sqref="D1">
    <cfRule type="cellIs" dxfId="185" priority="2" operator="equal">
      <formula>"n/a"</formula>
    </cfRule>
  </conditionalFormatting>
  <conditionalFormatting sqref="D3">
    <cfRule type="cellIs" dxfId="184" priority="1" operator="equal">
      <formula>"n/a"</formula>
    </cfRule>
  </conditionalFormatting>
  <dataValidations count="1">
    <dataValidation type="list" allowBlank="1" showInputMessage="1" showErrorMessage="1" sqref="C14:C1048576">
      <formula1>$B$5:$B$12</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C7:C13</xm:sqref>
        </x14:dataValidation>
        <x14:dataValidation type="list" allowBlank="1" showInputMessage="1" showErrorMessage="1">
          <x14:formula1>
            <xm:f>'List Values'!$A$5:$A$27</xm:f>
          </x14:formula1>
          <xm:sqref>E7:E1048576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1"/>
  <sheetViews>
    <sheetView workbookViewId="0">
      <pane xSplit="4" ySplit="6" topLeftCell="E7" activePane="bottomRight" state="frozen"/>
      <selection pane="topRight" activeCell="E1" sqref="E1"/>
      <selection pane="bottomLeft" activeCell="A7" sqref="A7"/>
      <selection pane="bottomRight" activeCell="C2" sqref="C2"/>
    </sheetView>
  </sheetViews>
  <sheetFormatPr defaultColWidth="9.1796875" defaultRowHeight="14.5" x14ac:dyDescent="0.35"/>
  <cols>
    <col min="1" max="1" width="14.7265625" style="6" customWidth="1"/>
    <col min="2" max="2" width="12.54296875" style="6" customWidth="1"/>
    <col min="3" max="3" width="13" style="34" customWidth="1"/>
    <col min="4" max="4" width="45.1796875" style="6" customWidth="1"/>
    <col min="5" max="5" width="28.7265625" style="6" customWidth="1"/>
    <col min="6" max="6" width="37" style="6" customWidth="1"/>
    <col min="7" max="7" width="29.26953125" style="6" customWidth="1"/>
    <col min="8" max="8" width="11.54296875" style="34"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114</v>
      </c>
      <c r="C1" s="32"/>
      <c r="D1" s="29" t="s">
        <v>346</v>
      </c>
      <c r="H1" s="35"/>
    </row>
    <row r="2" spans="1:16" s="30" customFormat="1" ht="18.5" x14ac:dyDescent="0.35">
      <c r="A2" s="28" t="s">
        <v>7</v>
      </c>
      <c r="B2" s="36">
        <v>9</v>
      </c>
      <c r="C2" s="35"/>
      <c r="D2" s="36"/>
      <c r="H2" s="35"/>
    </row>
    <row r="3" spans="1:16" s="30" customFormat="1" ht="18.5" x14ac:dyDescent="0.35">
      <c r="A3" s="28" t="s">
        <v>44</v>
      </c>
      <c r="B3" s="36"/>
      <c r="C3" s="35"/>
      <c r="D3" s="36"/>
      <c r="H3" s="35"/>
    </row>
    <row r="4" spans="1:16" s="30" customFormat="1" ht="18.5" x14ac:dyDescent="0.35">
      <c r="A4" s="28" t="s">
        <v>8</v>
      </c>
      <c r="B4" s="30" t="s">
        <v>47</v>
      </c>
      <c r="C4" s="35"/>
      <c r="H4" s="35"/>
    </row>
    <row r="5" spans="1:16" s="4" customFormat="1" x14ac:dyDescent="0.35">
      <c r="C5" s="37"/>
      <c r="H5" s="37"/>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6">
        <v>1</v>
      </c>
      <c r="B7" s="6" t="str">
        <f t="shared" ref="B7:B11" si="0">CONCATENATE($B$2, ".", A7)</f>
        <v>9.1</v>
      </c>
      <c r="C7" s="34" t="s">
        <v>40</v>
      </c>
      <c r="D7" s="39" t="s">
        <v>300</v>
      </c>
      <c r="E7" s="39" t="s">
        <v>29</v>
      </c>
      <c r="F7" s="39" t="s">
        <v>37</v>
      </c>
      <c r="G7" s="39" t="s">
        <v>37</v>
      </c>
      <c r="H7" s="34" t="s">
        <v>37</v>
      </c>
      <c r="I7" s="39" t="s">
        <v>10</v>
      </c>
      <c r="J7" s="5" t="s">
        <v>37</v>
      </c>
      <c r="K7" s="5" t="s">
        <v>37</v>
      </c>
      <c r="L7" s="5" t="s">
        <v>37</v>
      </c>
      <c r="M7" s="5" t="s">
        <v>37</v>
      </c>
      <c r="N7" s="5" t="s">
        <v>37</v>
      </c>
      <c r="O7" s="5" t="s">
        <v>37</v>
      </c>
      <c r="P7" s="6" t="s">
        <v>316</v>
      </c>
    </row>
    <row r="8" spans="1:16" x14ac:dyDescent="0.35">
      <c r="A8" s="6">
        <v>2</v>
      </c>
      <c r="B8" s="6" t="str">
        <f t="shared" si="0"/>
        <v>9.2</v>
      </c>
      <c r="C8" s="34" t="s">
        <v>40</v>
      </c>
      <c r="D8" s="39" t="s">
        <v>37</v>
      </c>
      <c r="E8" s="39" t="s">
        <v>49</v>
      </c>
      <c r="F8" s="39" t="s">
        <v>37</v>
      </c>
      <c r="G8" s="39" t="s">
        <v>37</v>
      </c>
      <c r="H8" s="34" t="s">
        <v>37</v>
      </c>
      <c r="I8" s="39" t="s">
        <v>10</v>
      </c>
      <c r="J8" s="5" t="s">
        <v>37</v>
      </c>
      <c r="K8" s="5" t="s">
        <v>37</v>
      </c>
      <c r="L8" s="5" t="s">
        <v>37</v>
      </c>
      <c r="M8" s="5" t="s">
        <v>37</v>
      </c>
      <c r="N8" s="5" t="s">
        <v>37</v>
      </c>
      <c r="O8" s="5" t="s">
        <v>37</v>
      </c>
    </row>
    <row r="9" spans="1:16" s="39" customFormat="1" ht="144.75" customHeight="1" x14ac:dyDescent="0.35">
      <c r="A9" s="39">
        <v>3</v>
      </c>
      <c r="B9" s="39" t="str">
        <f t="shared" si="0"/>
        <v>9.3</v>
      </c>
      <c r="C9" s="34" t="s">
        <v>40</v>
      </c>
      <c r="D9" s="39" t="s">
        <v>169</v>
      </c>
      <c r="E9" s="39" t="s">
        <v>35</v>
      </c>
      <c r="F9" s="39" t="s">
        <v>259</v>
      </c>
      <c r="G9" s="39" t="s">
        <v>260</v>
      </c>
      <c r="H9" s="47" t="s">
        <v>37</v>
      </c>
      <c r="I9" s="39" t="s">
        <v>10</v>
      </c>
      <c r="J9" s="40" t="s">
        <v>103</v>
      </c>
      <c r="K9" s="40" t="s">
        <v>54</v>
      </c>
      <c r="L9" s="40" t="s">
        <v>102</v>
      </c>
      <c r="M9" s="40" t="s">
        <v>37</v>
      </c>
      <c r="N9" s="40" t="s">
        <v>37</v>
      </c>
      <c r="O9" s="40" t="s">
        <v>37</v>
      </c>
    </row>
    <row r="10" spans="1:16" s="39" customFormat="1" ht="185.25" customHeight="1" x14ac:dyDescent="0.35">
      <c r="A10" s="39">
        <v>4</v>
      </c>
      <c r="B10" s="39" t="str">
        <f t="shared" si="0"/>
        <v>9.4</v>
      </c>
      <c r="C10" s="34" t="s">
        <v>40</v>
      </c>
      <c r="D10" s="39" t="s">
        <v>170</v>
      </c>
      <c r="E10" s="39" t="s">
        <v>33</v>
      </c>
      <c r="F10" s="39" t="s">
        <v>52</v>
      </c>
      <c r="G10" s="39" t="s">
        <v>37</v>
      </c>
      <c r="H10" s="47">
        <v>30</v>
      </c>
      <c r="I10" s="39" t="s">
        <v>196</v>
      </c>
      <c r="J10" s="40" t="s">
        <v>103</v>
      </c>
      <c r="K10" s="40" t="s">
        <v>54</v>
      </c>
      <c r="L10" s="40" t="s">
        <v>171</v>
      </c>
      <c r="M10" s="40" t="s">
        <v>37</v>
      </c>
      <c r="N10" s="40" t="s">
        <v>37</v>
      </c>
      <c r="O10" s="39" t="s">
        <v>104</v>
      </c>
    </row>
    <row r="11" spans="1:16" ht="119.25" customHeight="1" x14ac:dyDescent="0.35">
      <c r="A11" s="6">
        <v>5</v>
      </c>
      <c r="B11" s="6" t="str">
        <f t="shared" si="0"/>
        <v>9.5</v>
      </c>
      <c r="C11" s="34" t="s">
        <v>40</v>
      </c>
      <c r="D11" s="39" t="s">
        <v>172</v>
      </c>
      <c r="E11" s="39" t="s">
        <v>32</v>
      </c>
      <c r="F11" s="6" t="s">
        <v>62</v>
      </c>
      <c r="G11" s="6" t="s">
        <v>173</v>
      </c>
      <c r="H11" s="34" t="s">
        <v>37</v>
      </c>
      <c r="I11" s="39" t="s">
        <v>115</v>
      </c>
      <c r="J11" s="5" t="s">
        <v>116</v>
      </c>
      <c r="K11" s="5" t="s">
        <v>54</v>
      </c>
      <c r="L11" s="5" t="s">
        <v>37</v>
      </c>
      <c r="M11" s="5" t="s">
        <v>37</v>
      </c>
      <c r="N11" s="5" t="s">
        <v>37</v>
      </c>
      <c r="O11" s="5"/>
    </row>
    <row r="12" spans="1:16" x14ac:dyDescent="0.35">
      <c r="A12" s="6">
        <v>6</v>
      </c>
      <c r="B12" s="6" t="str">
        <f>CONCATENATE($B$2, ".", A12)</f>
        <v>9.6</v>
      </c>
      <c r="C12" s="34" t="s">
        <v>40</v>
      </c>
      <c r="D12" s="6" t="s">
        <v>60</v>
      </c>
      <c r="E12" s="6" t="s">
        <v>43</v>
      </c>
      <c r="F12" s="6" t="s">
        <v>37</v>
      </c>
      <c r="G12" s="6" t="s">
        <v>37</v>
      </c>
      <c r="H12" s="34" t="s">
        <v>37</v>
      </c>
      <c r="I12" s="6" t="s">
        <v>10</v>
      </c>
      <c r="J12" s="6" t="s">
        <v>37</v>
      </c>
      <c r="K12" s="6" t="s">
        <v>37</v>
      </c>
      <c r="L12" s="6" t="s">
        <v>37</v>
      </c>
      <c r="M12" s="6" t="s">
        <v>37</v>
      </c>
      <c r="N12" s="6" t="s">
        <v>37</v>
      </c>
      <c r="O12" s="6" t="s">
        <v>278</v>
      </c>
    </row>
    <row r="13" spans="1:16" x14ac:dyDescent="0.35">
      <c r="A13" s="6">
        <v>7</v>
      </c>
      <c r="B13" s="6" t="str">
        <f t="shared" ref="B13" si="1">CONCATENATE($B$2, ".", A13)</f>
        <v>9.7</v>
      </c>
      <c r="C13" s="34" t="s">
        <v>40</v>
      </c>
      <c r="D13" s="6" t="s">
        <v>59</v>
      </c>
      <c r="E13" s="6" t="s">
        <v>43</v>
      </c>
      <c r="F13" s="6" t="s">
        <v>37</v>
      </c>
      <c r="G13" s="6" t="s">
        <v>37</v>
      </c>
      <c r="H13" s="34" t="s">
        <v>37</v>
      </c>
      <c r="I13" s="6" t="s">
        <v>10</v>
      </c>
      <c r="J13" s="6" t="s">
        <v>37</v>
      </c>
      <c r="K13" s="6" t="s">
        <v>37</v>
      </c>
      <c r="L13" s="6" t="s">
        <v>37</v>
      </c>
      <c r="M13" s="6" t="s">
        <v>37</v>
      </c>
      <c r="N13" s="6" t="s">
        <v>37</v>
      </c>
      <c r="O13" s="78" t="s">
        <v>279</v>
      </c>
    </row>
    <row r="14" spans="1:16" x14ac:dyDescent="0.35">
      <c r="I14" s="39"/>
      <c r="J14" s="5"/>
      <c r="K14" s="5"/>
      <c r="L14" s="40"/>
      <c r="M14" s="40"/>
      <c r="N14" s="40"/>
      <c r="O14" s="40"/>
    </row>
    <row r="15" spans="1:16" x14ac:dyDescent="0.35">
      <c r="D15" s="6" t="s">
        <v>74</v>
      </c>
      <c r="I15" s="39"/>
      <c r="J15" s="5"/>
      <c r="K15" s="5"/>
      <c r="L15" s="40"/>
      <c r="M15" s="40"/>
      <c r="N15" s="40"/>
      <c r="O15" s="40"/>
    </row>
    <row r="16" spans="1:16" x14ac:dyDescent="0.35">
      <c r="I16" s="39"/>
      <c r="J16" s="5"/>
      <c r="K16" s="5"/>
      <c r="L16" s="40"/>
      <c r="M16" s="40"/>
      <c r="N16" s="40"/>
      <c r="O16" s="40"/>
    </row>
    <row r="17" spans="9:15" x14ac:dyDescent="0.35">
      <c r="I17" s="39"/>
      <c r="J17" s="5"/>
      <c r="K17" s="5"/>
      <c r="L17" s="40"/>
      <c r="M17" s="40"/>
      <c r="N17" s="40"/>
      <c r="O17" s="40"/>
    </row>
    <row r="18" spans="9:15" x14ac:dyDescent="0.35">
      <c r="I18" s="39"/>
      <c r="J18" s="5"/>
      <c r="K18" s="5"/>
      <c r="L18" s="40"/>
      <c r="M18" s="40"/>
      <c r="N18" s="40"/>
      <c r="O18" s="40"/>
    </row>
    <row r="19" spans="9:15" x14ac:dyDescent="0.35">
      <c r="I19" s="39"/>
      <c r="J19" s="5"/>
      <c r="K19" s="5"/>
      <c r="L19" s="40"/>
      <c r="M19" s="40"/>
      <c r="N19" s="40"/>
      <c r="O19" s="40"/>
    </row>
    <row r="20" spans="9:15" x14ac:dyDescent="0.35">
      <c r="I20" s="39"/>
      <c r="J20" s="5"/>
      <c r="K20" s="5"/>
      <c r="L20" s="40"/>
      <c r="M20" s="40"/>
      <c r="N20" s="40"/>
      <c r="O20" s="40"/>
    </row>
    <row r="21" spans="9:15" x14ac:dyDescent="0.35">
      <c r="I21" s="39"/>
      <c r="J21" s="5"/>
      <c r="K21" s="5"/>
      <c r="L21" s="40"/>
      <c r="M21" s="40"/>
      <c r="N21" s="40"/>
      <c r="O21" s="40"/>
    </row>
  </sheetData>
  <autoFilter ref="A6:P13"/>
  <conditionalFormatting sqref="C7:C1048576">
    <cfRule type="cellIs" dxfId="183" priority="19" operator="equal">
      <formula>"WIP (see comments)"</formula>
    </cfRule>
    <cfRule type="cellIs" dxfId="182" priority="20" operator="equal">
      <formula>"Removed"</formula>
    </cfRule>
    <cfRule type="cellIs" dxfId="181" priority="21" operator="equal">
      <formula>"Updated"</formula>
    </cfRule>
    <cfRule type="cellIs" dxfId="180" priority="22" operator="equal">
      <formula>"New"</formula>
    </cfRule>
  </conditionalFormatting>
  <conditionalFormatting sqref="A9:B10 D9:XFD10">
    <cfRule type="cellIs" dxfId="179" priority="2" operator="equal">
      <formula>"n/a"</formula>
    </cfRule>
  </conditionalFormatting>
  <conditionalFormatting sqref="D1">
    <cfRule type="cellIs" dxfId="17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Values'!$A$5:$A$27</xm:f>
          </x14:formula1>
          <xm:sqref>E7:E1048576</xm:sqref>
        </x14:dataValidation>
        <x14:dataValidation type="list" allowBlank="1" showInputMessage="1" showErrorMessage="1">
          <x14:formula1>
            <xm:f>'List Values'!$B$5:$B$11</xm:f>
          </x14:formula1>
          <xm:sqref>C7:C1048576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23"/>
  <sheetViews>
    <sheetView workbookViewId="0">
      <pane xSplit="4" ySplit="6" topLeftCell="L7" activePane="bottomRight" state="frozen"/>
      <selection pane="topRight" activeCell="E1" sqref="E1"/>
      <selection pane="bottomLeft" activeCell="A7" sqref="A7"/>
      <selection pane="bottomRight" activeCell="B3" sqref="B3"/>
    </sheetView>
  </sheetViews>
  <sheetFormatPr defaultColWidth="9.1796875" defaultRowHeight="14.5" x14ac:dyDescent="0.35"/>
  <cols>
    <col min="1" max="1" width="14.7265625" style="6" customWidth="1"/>
    <col min="2" max="2" width="12.54296875" style="6" customWidth="1"/>
    <col min="3" max="3" width="13" style="34" customWidth="1"/>
    <col min="4" max="4" width="45.1796875" style="6" customWidth="1"/>
    <col min="5" max="5" width="28.7265625" style="6" customWidth="1"/>
    <col min="6" max="6" width="37" style="6" customWidth="1"/>
    <col min="7" max="7" width="29.26953125" style="6" customWidth="1"/>
    <col min="8" max="8" width="11.54296875" style="34" bestFit="1"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108</v>
      </c>
      <c r="C1" s="32"/>
      <c r="D1" s="29"/>
      <c r="H1" s="35"/>
    </row>
    <row r="2" spans="1:16" s="30" customFormat="1" ht="18.5" x14ac:dyDescent="0.35">
      <c r="A2" s="28" t="s">
        <v>7</v>
      </c>
      <c r="B2" s="36">
        <v>10</v>
      </c>
      <c r="C2" s="35"/>
      <c r="D2" s="36"/>
      <c r="H2" s="35"/>
    </row>
    <row r="3" spans="1:16" s="30" customFormat="1" ht="18.5" x14ac:dyDescent="0.35">
      <c r="A3" s="28" t="s">
        <v>44</v>
      </c>
      <c r="B3" s="36" t="s">
        <v>412</v>
      </c>
      <c r="C3" s="35"/>
      <c r="D3" s="36" t="s">
        <v>422</v>
      </c>
      <c r="H3" s="35"/>
    </row>
    <row r="4" spans="1:16" s="30" customFormat="1" ht="18.5" x14ac:dyDescent="0.35">
      <c r="A4" s="28" t="s">
        <v>8</v>
      </c>
      <c r="B4" s="30" t="s">
        <v>47</v>
      </c>
      <c r="C4" s="35"/>
      <c r="H4" s="35"/>
    </row>
    <row r="5" spans="1:16" s="4" customFormat="1" x14ac:dyDescent="0.35">
      <c r="C5" s="37"/>
      <c r="H5" s="37"/>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s="39" customFormat="1" x14ac:dyDescent="0.35">
      <c r="A7" s="39">
        <v>1</v>
      </c>
      <c r="B7" s="39" t="str">
        <f t="shared" ref="B7:B15" si="0">CONCATENATE($B$2, ".", A7)</f>
        <v>10.1</v>
      </c>
      <c r="C7" s="47" t="s">
        <v>40</v>
      </c>
      <c r="D7" s="39" t="s">
        <v>301</v>
      </c>
      <c r="E7" s="39" t="s">
        <v>29</v>
      </c>
      <c r="F7" s="39" t="s">
        <v>37</v>
      </c>
      <c r="G7" s="39" t="s">
        <v>37</v>
      </c>
      <c r="H7" s="47" t="s">
        <v>37</v>
      </c>
      <c r="I7" s="39" t="s">
        <v>10</v>
      </c>
      <c r="J7" s="40" t="s">
        <v>37</v>
      </c>
      <c r="K7" s="40" t="s">
        <v>37</v>
      </c>
      <c r="L7" s="40" t="s">
        <v>37</v>
      </c>
      <c r="M7" s="40" t="s">
        <v>37</v>
      </c>
      <c r="N7" s="40" t="s">
        <v>37</v>
      </c>
      <c r="O7" s="40" t="s">
        <v>37</v>
      </c>
    </row>
    <row r="8" spans="1:16" s="39" customFormat="1" x14ac:dyDescent="0.35">
      <c r="A8" s="39">
        <v>2</v>
      </c>
      <c r="B8" s="39" t="str">
        <f t="shared" si="0"/>
        <v>10.2</v>
      </c>
      <c r="C8" s="47" t="s">
        <v>40</v>
      </c>
      <c r="D8" s="39" t="s">
        <v>37</v>
      </c>
      <c r="E8" s="39" t="s">
        <v>49</v>
      </c>
      <c r="F8" s="39" t="s">
        <v>37</v>
      </c>
      <c r="G8" s="39" t="s">
        <v>37</v>
      </c>
      <c r="H8" s="47" t="s">
        <v>37</v>
      </c>
      <c r="I8" s="39" t="s">
        <v>10</v>
      </c>
      <c r="J8" s="40" t="s">
        <v>37</v>
      </c>
      <c r="K8" s="40" t="s">
        <v>37</v>
      </c>
      <c r="L8" s="40" t="s">
        <v>37</v>
      </c>
      <c r="M8" s="40" t="s">
        <v>37</v>
      </c>
      <c r="N8" s="40" t="s">
        <v>37</v>
      </c>
      <c r="O8" s="40" t="s">
        <v>37</v>
      </c>
    </row>
    <row r="9" spans="1:16" s="39" customFormat="1" ht="43.5" x14ac:dyDescent="0.35">
      <c r="A9" s="39">
        <v>3</v>
      </c>
      <c r="B9" s="39" t="str">
        <f>CONCATENATE($B$2, ".", A9)</f>
        <v>10.3</v>
      </c>
      <c r="C9" s="47" t="s">
        <v>45</v>
      </c>
      <c r="D9" s="39" t="s">
        <v>358</v>
      </c>
      <c r="E9" s="39" t="s">
        <v>30</v>
      </c>
      <c r="F9" s="39" t="s">
        <v>64</v>
      </c>
      <c r="G9" s="39" t="s">
        <v>37</v>
      </c>
      <c r="H9" s="47" t="s">
        <v>37</v>
      </c>
      <c r="I9" s="39" t="s">
        <v>10</v>
      </c>
      <c r="J9" s="40" t="s">
        <v>110</v>
      </c>
      <c r="K9" s="40" t="s">
        <v>54</v>
      </c>
      <c r="L9" s="40" t="s">
        <v>111</v>
      </c>
      <c r="M9" s="40" t="s">
        <v>37</v>
      </c>
      <c r="N9" s="40" t="s">
        <v>37</v>
      </c>
      <c r="O9" s="40" t="s">
        <v>112</v>
      </c>
      <c r="P9" s="39" t="s">
        <v>420</v>
      </c>
    </row>
    <row r="10" spans="1:16" s="39" customFormat="1" ht="29" x14ac:dyDescent="0.35">
      <c r="A10" s="39">
        <v>4</v>
      </c>
      <c r="B10" s="39" t="str">
        <f t="shared" ref="B10:B12" si="1">CONCATENATE($B$2, ".", A10)</f>
        <v>10.4</v>
      </c>
      <c r="C10" s="47" t="s">
        <v>40</v>
      </c>
      <c r="D10" s="46" t="s">
        <v>188</v>
      </c>
      <c r="E10" s="39" t="s">
        <v>34</v>
      </c>
      <c r="F10" s="39" t="s">
        <v>37</v>
      </c>
      <c r="G10" s="39" t="s">
        <v>191</v>
      </c>
      <c r="H10" s="47" t="s">
        <v>37</v>
      </c>
      <c r="I10" s="39" t="s">
        <v>10</v>
      </c>
      <c r="J10" s="40" t="s">
        <v>37</v>
      </c>
      <c r="K10" s="40" t="s">
        <v>37</v>
      </c>
      <c r="L10" s="40" t="s">
        <v>37</v>
      </c>
      <c r="M10" s="40" t="s">
        <v>37</v>
      </c>
      <c r="N10" s="40" t="s">
        <v>37</v>
      </c>
      <c r="O10" s="40"/>
    </row>
    <row r="11" spans="1:16" s="39" customFormat="1" ht="43.5" x14ac:dyDescent="0.35">
      <c r="A11" s="39">
        <v>5</v>
      </c>
      <c r="B11" s="39" t="str">
        <f t="shared" si="1"/>
        <v>10.5</v>
      </c>
      <c r="C11" s="47" t="s">
        <v>40</v>
      </c>
      <c r="D11" s="46" t="s">
        <v>189</v>
      </c>
      <c r="E11" s="39" t="s">
        <v>34</v>
      </c>
      <c r="F11" s="39" t="s">
        <v>37</v>
      </c>
      <c r="G11" s="39" t="s">
        <v>192</v>
      </c>
      <c r="H11" s="47" t="s">
        <v>37</v>
      </c>
      <c r="I11" s="39" t="s">
        <v>10</v>
      </c>
      <c r="J11" s="40" t="s">
        <v>37</v>
      </c>
      <c r="K11" s="40" t="s">
        <v>37</v>
      </c>
      <c r="L11" s="40" t="s">
        <v>37</v>
      </c>
      <c r="M11" s="40" t="s">
        <v>37</v>
      </c>
      <c r="N11" s="40" t="s">
        <v>37</v>
      </c>
      <c r="O11" s="40"/>
    </row>
    <row r="12" spans="1:16" s="39" customFormat="1" ht="43.5" x14ac:dyDescent="0.35">
      <c r="A12" s="39">
        <v>6</v>
      </c>
      <c r="B12" s="39" t="str">
        <f t="shared" si="1"/>
        <v>10.6</v>
      </c>
      <c r="C12" s="47" t="s">
        <v>40</v>
      </c>
      <c r="D12" s="46" t="s">
        <v>190</v>
      </c>
      <c r="E12" s="39" t="s">
        <v>34</v>
      </c>
      <c r="F12" s="39" t="s">
        <v>37</v>
      </c>
      <c r="G12" s="39" t="s">
        <v>193</v>
      </c>
      <c r="H12" s="47" t="s">
        <v>37</v>
      </c>
      <c r="I12" s="39" t="s">
        <v>10</v>
      </c>
      <c r="J12" s="40" t="s">
        <v>37</v>
      </c>
      <c r="K12" s="40" t="s">
        <v>37</v>
      </c>
      <c r="L12" s="40" t="s">
        <v>37</v>
      </c>
      <c r="M12" s="40" t="s">
        <v>37</v>
      </c>
      <c r="N12" s="40" t="s">
        <v>37</v>
      </c>
      <c r="O12" s="40"/>
    </row>
    <row r="13" spans="1:16" s="39" customFormat="1" ht="54" customHeight="1" x14ac:dyDescent="0.35">
      <c r="A13" s="39">
        <v>7</v>
      </c>
      <c r="B13" s="39" t="str">
        <f t="shared" si="0"/>
        <v>10.7</v>
      </c>
      <c r="C13" s="47" t="s">
        <v>40</v>
      </c>
      <c r="D13" s="39" t="s">
        <v>258</v>
      </c>
      <c r="E13" s="39" t="s">
        <v>122</v>
      </c>
      <c r="F13" s="39" t="s">
        <v>37</v>
      </c>
      <c r="G13" s="39" t="s">
        <v>37</v>
      </c>
      <c r="H13" s="47" t="s">
        <v>37</v>
      </c>
      <c r="I13" s="39" t="s">
        <v>10</v>
      </c>
      <c r="J13" s="40" t="s">
        <v>37</v>
      </c>
      <c r="K13" s="40" t="s">
        <v>37</v>
      </c>
      <c r="L13" s="40" t="s">
        <v>37</v>
      </c>
      <c r="M13" s="40" t="s">
        <v>37</v>
      </c>
      <c r="N13" s="40" t="s">
        <v>37</v>
      </c>
      <c r="O13" s="40" t="s">
        <v>109</v>
      </c>
      <c r="P13" s="39" t="s">
        <v>421</v>
      </c>
    </row>
    <row r="14" spans="1:16" s="39" customFormat="1" x14ac:dyDescent="0.35">
      <c r="A14" s="39">
        <v>8</v>
      </c>
      <c r="B14" s="39" t="str">
        <f>CONCATENATE($B$2, ".", A14)</f>
        <v>10.8</v>
      </c>
      <c r="C14" s="47" t="s">
        <v>40</v>
      </c>
      <c r="D14" s="39" t="s">
        <v>60</v>
      </c>
      <c r="E14" s="39" t="s">
        <v>43</v>
      </c>
      <c r="F14" s="39" t="s">
        <v>37</v>
      </c>
      <c r="G14" s="39" t="s">
        <v>37</v>
      </c>
      <c r="H14" s="47" t="s">
        <v>37</v>
      </c>
      <c r="I14" s="39" t="s">
        <v>10</v>
      </c>
      <c r="J14" s="39" t="s">
        <v>37</v>
      </c>
      <c r="K14" s="39" t="s">
        <v>37</v>
      </c>
      <c r="L14" s="39" t="s">
        <v>37</v>
      </c>
      <c r="M14" s="39" t="s">
        <v>37</v>
      </c>
      <c r="N14" s="39" t="s">
        <v>37</v>
      </c>
      <c r="O14" s="39" t="s">
        <v>194</v>
      </c>
    </row>
    <row r="15" spans="1:16" s="39" customFormat="1" x14ac:dyDescent="0.35">
      <c r="A15" s="39">
        <v>9</v>
      </c>
      <c r="B15" s="39" t="str">
        <f t="shared" si="0"/>
        <v>10.9</v>
      </c>
      <c r="C15" s="47" t="s">
        <v>40</v>
      </c>
      <c r="D15" s="39" t="s">
        <v>59</v>
      </c>
      <c r="E15" s="39" t="s">
        <v>43</v>
      </c>
      <c r="F15" s="39" t="s">
        <v>37</v>
      </c>
      <c r="G15" s="39" t="s">
        <v>37</v>
      </c>
      <c r="H15" s="47" t="s">
        <v>37</v>
      </c>
      <c r="I15" s="39" t="s">
        <v>10</v>
      </c>
      <c r="J15" s="39" t="s">
        <v>37</v>
      </c>
      <c r="K15" s="39" t="s">
        <v>37</v>
      </c>
      <c r="L15" s="39" t="s">
        <v>37</v>
      </c>
      <c r="M15" s="39" t="s">
        <v>37</v>
      </c>
      <c r="N15" s="39" t="s">
        <v>37</v>
      </c>
      <c r="O15" s="39" t="s">
        <v>280</v>
      </c>
    </row>
    <row r="16" spans="1:16" x14ac:dyDescent="0.35">
      <c r="I16" s="39"/>
      <c r="J16" s="5"/>
      <c r="K16" s="5"/>
      <c r="L16" s="40"/>
      <c r="M16" s="40"/>
      <c r="N16" s="40"/>
      <c r="O16" s="40"/>
    </row>
    <row r="17" spans="4:15" x14ac:dyDescent="0.35">
      <c r="D17" s="6" t="s">
        <v>74</v>
      </c>
      <c r="I17" s="39"/>
      <c r="J17" s="5"/>
      <c r="K17" s="5"/>
      <c r="L17" s="40"/>
      <c r="M17" s="40"/>
      <c r="N17" s="40"/>
      <c r="O17" s="40"/>
    </row>
    <row r="18" spans="4:15" x14ac:dyDescent="0.35">
      <c r="I18" s="39"/>
      <c r="J18" s="5"/>
      <c r="K18" s="5"/>
      <c r="L18" s="40"/>
      <c r="M18" s="40"/>
      <c r="N18" s="40"/>
      <c r="O18" s="40"/>
    </row>
    <row r="19" spans="4:15" x14ac:dyDescent="0.35">
      <c r="I19" s="39"/>
      <c r="J19" s="5"/>
      <c r="K19" s="5"/>
      <c r="L19" s="40"/>
      <c r="M19" s="40"/>
      <c r="N19" s="40"/>
      <c r="O19" s="40"/>
    </row>
    <row r="20" spans="4:15" x14ac:dyDescent="0.35">
      <c r="I20" s="39"/>
      <c r="J20" s="5"/>
      <c r="K20" s="5"/>
      <c r="L20" s="40"/>
      <c r="M20" s="40"/>
      <c r="N20" s="40"/>
      <c r="O20" s="40"/>
    </row>
    <row r="21" spans="4:15" x14ac:dyDescent="0.35">
      <c r="I21" s="39"/>
      <c r="J21" s="5"/>
      <c r="K21" s="5"/>
      <c r="L21" s="40"/>
      <c r="M21" s="40"/>
      <c r="N21" s="40"/>
      <c r="O21" s="40"/>
    </row>
    <row r="22" spans="4:15" x14ac:dyDescent="0.35">
      <c r="I22" s="39"/>
      <c r="J22" s="5"/>
      <c r="K22" s="5"/>
      <c r="L22" s="40"/>
      <c r="M22" s="40"/>
      <c r="N22" s="40"/>
      <c r="O22" s="40"/>
    </row>
    <row r="23" spans="4:15" x14ac:dyDescent="0.35">
      <c r="I23" s="39"/>
      <c r="J23" s="5"/>
      <c r="K23" s="5"/>
      <c r="L23" s="40"/>
      <c r="M23" s="40"/>
      <c r="N23" s="40"/>
      <c r="O23" s="40"/>
    </row>
  </sheetData>
  <autoFilter ref="A6:P15"/>
  <conditionalFormatting sqref="C8:C1048576">
    <cfRule type="cellIs" dxfId="177" priority="24" operator="equal">
      <formula>"WIP (see comments)"</formula>
    </cfRule>
    <cfRule type="cellIs" dxfId="176" priority="25" operator="equal">
      <formula>"Removed"</formula>
    </cfRule>
    <cfRule type="cellIs" dxfId="175" priority="26" operator="equal">
      <formula>"Updated"</formula>
    </cfRule>
    <cfRule type="cellIs" dxfId="174" priority="27" operator="equal">
      <formula>"New"</formula>
    </cfRule>
  </conditionalFormatting>
  <conditionalFormatting sqref="C7:C15">
    <cfRule type="cellIs" dxfId="173" priority="16" operator="equal">
      <formula>"WIP (see comments)"</formula>
    </cfRule>
    <cfRule type="cellIs" dxfId="172" priority="17" operator="equal">
      <formula>"Removed"</formula>
    </cfRule>
    <cfRule type="cellIs" dxfId="171" priority="18" operator="equal">
      <formula>"Updated"</formula>
    </cfRule>
    <cfRule type="cellIs" dxfId="170" priority="19" operator="equal">
      <formula>"New"</formula>
    </cfRule>
  </conditionalFormatting>
  <conditionalFormatting sqref="A2:XFD3 A4 C4:XFD4 A5:XFD1048576 A1:C1 E1:XFD1">
    <cfRule type="cellIs" dxfId="169" priority="7" operator="equal">
      <formula>"n/a"</formula>
    </cfRule>
  </conditionalFormatting>
  <conditionalFormatting sqref="B4">
    <cfRule type="cellIs" dxfId="168" priority="6" operator="equal">
      <formula>"n/a"</formula>
    </cfRule>
  </conditionalFormatting>
  <conditionalFormatting sqref="C7">
    <cfRule type="cellIs" dxfId="167" priority="2" operator="equal">
      <formula>"WIP (see comments)"</formula>
    </cfRule>
    <cfRule type="cellIs" dxfId="166" priority="3" operator="equal">
      <formula>"Removed"</formula>
    </cfRule>
    <cfRule type="cellIs" dxfId="165" priority="4" operator="equal">
      <formula>"Updated"</formula>
    </cfRule>
    <cfRule type="cellIs" dxfId="164" priority="5" operator="equal">
      <formula>"New"</formula>
    </cfRule>
  </conditionalFormatting>
  <conditionalFormatting sqref="D1">
    <cfRule type="cellIs" dxfId="163" priority="1" operator="equal">
      <formula>"n/a"</formula>
    </cfRule>
  </conditionalFormatting>
  <dataValidations count="1">
    <dataValidation type="list" allowBlank="1" showInputMessage="1" showErrorMessage="1" sqref="C16:C1048576">
      <formula1>$B$5:$B$13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C7:C15</xm:sqref>
        </x14:dataValidation>
        <x14:dataValidation type="list" allowBlank="1" showInputMessage="1" showErrorMessage="1">
          <x14:formula1>
            <xm:f>'List Values'!$A$5:$A$27</xm:f>
          </x14:formula1>
          <xm:sqref>E7:E1048576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20"/>
  <sheetViews>
    <sheetView workbookViewId="0">
      <pane xSplit="4" ySplit="6" topLeftCell="E7" activePane="bottomRight" state="frozen"/>
      <selection pane="topRight" activeCell="E1" sqref="E1"/>
      <selection pane="bottomLeft" activeCell="A7" sqref="A7"/>
      <selection pane="bottomRight" activeCell="A8" sqref="A8"/>
    </sheetView>
  </sheetViews>
  <sheetFormatPr defaultColWidth="9.1796875" defaultRowHeight="14.5" x14ac:dyDescent="0.35"/>
  <cols>
    <col min="1" max="1" width="14.7265625" style="6" customWidth="1"/>
    <col min="2" max="2" width="12.54296875" style="6" customWidth="1"/>
    <col min="3" max="3" width="15.1796875" style="34"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206</v>
      </c>
      <c r="C1" s="32"/>
      <c r="D1" s="29"/>
    </row>
    <row r="2" spans="1:16" s="30" customFormat="1" ht="18.5" x14ac:dyDescent="0.35">
      <c r="A2" s="28" t="s">
        <v>7</v>
      </c>
      <c r="B2" s="36">
        <v>11</v>
      </c>
      <c r="C2" s="35"/>
      <c r="D2" s="36"/>
    </row>
    <row r="3" spans="1:16" s="30" customFormat="1" ht="18.5" x14ac:dyDescent="0.35">
      <c r="A3" s="28" t="s">
        <v>44</v>
      </c>
      <c r="B3" s="36" t="s">
        <v>423</v>
      </c>
      <c r="C3" s="35"/>
      <c r="D3" s="36"/>
    </row>
    <row r="4" spans="1:16" s="30" customFormat="1" ht="18.5" x14ac:dyDescent="0.35">
      <c r="A4" s="28" t="s">
        <v>8</v>
      </c>
      <c r="B4" s="30" t="s">
        <v>208</v>
      </c>
      <c r="C4" s="35"/>
    </row>
    <row r="5" spans="1:16" s="4" customFormat="1" x14ac:dyDescent="0.35">
      <c r="C5" s="37"/>
    </row>
    <row r="6" spans="1:16" s="31" customFormat="1" ht="15" thickBot="1" x14ac:dyDescent="0.4">
      <c r="A6" s="31" t="s">
        <v>11</v>
      </c>
      <c r="B6" s="31" t="s">
        <v>12</v>
      </c>
      <c r="C6" s="33" t="s">
        <v>26</v>
      </c>
      <c r="D6" s="31" t="s">
        <v>25</v>
      </c>
      <c r="E6" s="31" t="s">
        <v>13</v>
      </c>
      <c r="F6" s="31" t="s">
        <v>14</v>
      </c>
      <c r="G6" s="31" t="s">
        <v>15</v>
      </c>
      <c r="H6" s="31" t="s">
        <v>16</v>
      </c>
      <c r="I6" s="31" t="s">
        <v>17</v>
      </c>
      <c r="J6" s="31" t="s">
        <v>18</v>
      </c>
      <c r="K6" s="31" t="s">
        <v>19</v>
      </c>
      <c r="L6" s="31" t="s">
        <v>20</v>
      </c>
      <c r="M6" s="31" t="s">
        <v>21</v>
      </c>
      <c r="N6" s="31" t="s">
        <v>22</v>
      </c>
      <c r="O6" s="31" t="s">
        <v>23</v>
      </c>
      <c r="P6" s="31" t="s">
        <v>24</v>
      </c>
    </row>
    <row r="7" spans="1:16" x14ac:dyDescent="0.35">
      <c r="A7" s="6">
        <v>1</v>
      </c>
      <c r="B7" s="6" t="str">
        <f t="shared" ref="B7:B13" si="0">CONCATENATE($B$2, ".", A7)</f>
        <v>11.1</v>
      </c>
      <c r="C7" s="34" t="s">
        <v>40</v>
      </c>
      <c r="D7" s="39" t="s">
        <v>261</v>
      </c>
      <c r="E7" s="6" t="s">
        <v>29</v>
      </c>
      <c r="F7" s="6" t="s">
        <v>37</v>
      </c>
      <c r="G7" s="6" t="s">
        <v>37</v>
      </c>
      <c r="H7" s="34" t="s">
        <v>37</v>
      </c>
      <c r="I7" s="39" t="s">
        <v>10</v>
      </c>
      <c r="J7" s="5" t="s">
        <v>37</v>
      </c>
      <c r="K7" s="5" t="s">
        <v>37</v>
      </c>
      <c r="L7" s="5" t="s">
        <v>37</v>
      </c>
      <c r="M7" s="5" t="s">
        <v>37</v>
      </c>
      <c r="N7" s="5" t="s">
        <v>37</v>
      </c>
      <c r="O7" s="5" t="s">
        <v>37</v>
      </c>
    </row>
    <row r="8" spans="1:16" ht="29" x14ac:dyDescent="0.35">
      <c r="A8" s="6">
        <v>2</v>
      </c>
      <c r="B8" s="6" t="str">
        <f t="shared" si="0"/>
        <v>11.2</v>
      </c>
      <c r="C8" s="34" t="s">
        <v>45</v>
      </c>
      <c r="D8" s="39" t="s">
        <v>37</v>
      </c>
      <c r="E8" s="39" t="s">
        <v>49</v>
      </c>
      <c r="F8" s="6" t="s">
        <v>37</v>
      </c>
      <c r="G8" s="6" t="s">
        <v>37</v>
      </c>
      <c r="H8" s="34" t="s">
        <v>37</v>
      </c>
      <c r="I8" s="39" t="s">
        <v>10</v>
      </c>
      <c r="J8" s="5" t="s">
        <v>37</v>
      </c>
      <c r="K8" s="5" t="s">
        <v>37</v>
      </c>
      <c r="L8" s="5" t="s">
        <v>37</v>
      </c>
      <c r="M8" s="5" t="s">
        <v>37</v>
      </c>
      <c r="N8" s="5" t="s">
        <v>37</v>
      </c>
      <c r="O8" s="5" t="s">
        <v>37</v>
      </c>
      <c r="P8" s="6" t="s">
        <v>434</v>
      </c>
    </row>
    <row r="9" spans="1:16" ht="58" x14ac:dyDescent="0.35">
      <c r="A9" s="6">
        <v>3</v>
      </c>
      <c r="B9" s="6" t="str">
        <f t="shared" si="0"/>
        <v>11.3</v>
      </c>
      <c r="C9" s="34" t="s">
        <v>40</v>
      </c>
      <c r="D9" s="39" t="s">
        <v>262</v>
      </c>
      <c r="E9" s="39" t="s">
        <v>34</v>
      </c>
      <c r="F9" s="6" t="s">
        <v>37</v>
      </c>
      <c r="G9" s="6" t="s">
        <v>37</v>
      </c>
      <c r="H9" s="34" t="s">
        <v>37</v>
      </c>
      <c r="I9" s="39" t="s">
        <v>10</v>
      </c>
      <c r="J9" s="5" t="s">
        <v>37</v>
      </c>
      <c r="K9" s="5" t="s">
        <v>37</v>
      </c>
      <c r="L9" s="5" t="s">
        <v>37</v>
      </c>
      <c r="M9" s="5" t="s">
        <v>37</v>
      </c>
      <c r="N9" s="5" t="s">
        <v>37</v>
      </c>
      <c r="O9" s="5" t="s">
        <v>37</v>
      </c>
    </row>
    <row r="10" spans="1:16" ht="29" x14ac:dyDescent="0.35">
      <c r="A10" s="6">
        <v>4</v>
      </c>
      <c r="B10" s="6" t="str">
        <f t="shared" si="0"/>
        <v>11.4</v>
      </c>
      <c r="C10" s="34" t="s">
        <v>40</v>
      </c>
      <c r="D10" s="6" t="s">
        <v>249</v>
      </c>
      <c r="E10" s="84" t="s">
        <v>32</v>
      </c>
      <c r="F10" s="6" t="s">
        <v>64</v>
      </c>
      <c r="G10" s="6" t="s">
        <v>37</v>
      </c>
      <c r="H10" s="34" t="s">
        <v>37</v>
      </c>
      <c r="I10" s="39" t="s">
        <v>10</v>
      </c>
      <c r="J10" s="5" t="s">
        <v>201</v>
      </c>
      <c r="K10" s="81" t="s">
        <v>202</v>
      </c>
      <c r="L10" s="83" t="s">
        <v>250</v>
      </c>
      <c r="M10" s="5" t="s">
        <v>37</v>
      </c>
      <c r="N10" s="5" t="s">
        <v>37</v>
      </c>
      <c r="O10" s="85" t="s">
        <v>251</v>
      </c>
    </row>
    <row r="11" spans="1:16" ht="40.5" customHeight="1" x14ac:dyDescent="0.35">
      <c r="A11" s="6">
        <v>6</v>
      </c>
      <c r="B11" s="6" t="str">
        <f t="shared" si="0"/>
        <v>11.6</v>
      </c>
      <c r="C11" s="34" t="s">
        <v>40</v>
      </c>
      <c r="D11" s="6" t="s">
        <v>347</v>
      </c>
      <c r="E11" s="84"/>
      <c r="F11" s="6" t="s">
        <v>64</v>
      </c>
      <c r="G11" s="48" t="s">
        <v>37</v>
      </c>
      <c r="H11" s="73" t="s">
        <v>37</v>
      </c>
      <c r="I11" s="50" t="s">
        <v>10</v>
      </c>
      <c r="J11" s="5" t="s">
        <v>201</v>
      </c>
      <c r="K11" s="81"/>
      <c r="L11" s="83"/>
      <c r="M11" s="5" t="s">
        <v>37</v>
      </c>
      <c r="N11" s="5" t="s">
        <v>37</v>
      </c>
      <c r="O11" s="85"/>
    </row>
    <row r="12" spans="1:16" ht="231.75" customHeight="1" x14ac:dyDescent="0.35">
      <c r="A12" s="6">
        <v>7</v>
      </c>
      <c r="B12" s="6" t="str">
        <f t="shared" si="0"/>
        <v>11.7</v>
      </c>
      <c r="C12" s="34" t="s">
        <v>40</v>
      </c>
      <c r="D12" s="34" t="s">
        <v>348</v>
      </c>
      <c r="E12" s="39" t="s">
        <v>263</v>
      </c>
      <c r="F12" s="6" t="s">
        <v>37</v>
      </c>
      <c r="G12" s="6" t="s">
        <v>37</v>
      </c>
      <c r="H12" s="73" t="s">
        <v>37</v>
      </c>
      <c r="I12" s="50" t="s">
        <v>427</v>
      </c>
      <c r="J12" s="5" t="s">
        <v>37</v>
      </c>
      <c r="K12" s="5" t="s">
        <v>37</v>
      </c>
      <c r="L12" s="5" t="s">
        <v>37</v>
      </c>
      <c r="M12" s="5" t="s">
        <v>37</v>
      </c>
      <c r="N12" s="5" t="s">
        <v>37</v>
      </c>
      <c r="O12" s="5" t="s">
        <v>426</v>
      </c>
    </row>
    <row r="13" spans="1:16" ht="81.75" customHeight="1" x14ac:dyDescent="0.35">
      <c r="A13" s="6">
        <v>8</v>
      </c>
      <c r="B13" s="6" t="str">
        <f t="shared" si="0"/>
        <v>11.8</v>
      </c>
      <c r="C13" s="34" t="s">
        <v>40</v>
      </c>
      <c r="D13" s="39" t="s">
        <v>60</v>
      </c>
      <c r="E13" s="39" t="s">
        <v>43</v>
      </c>
      <c r="F13" s="39" t="s">
        <v>37</v>
      </c>
      <c r="G13" s="39" t="s">
        <v>37</v>
      </c>
      <c r="H13" s="47" t="s">
        <v>37</v>
      </c>
      <c r="I13" s="39" t="s">
        <v>10</v>
      </c>
      <c r="J13" s="39" t="s">
        <v>37</v>
      </c>
      <c r="K13" s="39" t="s">
        <v>37</v>
      </c>
      <c r="L13" s="39" t="s">
        <v>37</v>
      </c>
      <c r="M13" s="39" t="s">
        <v>37</v>
      </c>
      <c r="N13" s="39" t="s">
        <v>37</v>
      </c>
      <c r="O13" s="39" t="s">
        <v>425</v>
      </c>
    </row>
    <row r="14" spans="1:16" x14ac:dyDescent="0.35">
      <c r="I14" s="39"/>
      <c r="J14" s="5"/>
      <c r="K14" s="5"/>
      <c r="L14" s="40"/>
      <c r="M14" s="40"/>
      <c r="N14" s="40"/>
      <c r="O14" s="40"/>
    </row>
    <row r="15" spans="1:16" x14ac:dyDescent="0.35">
      <c r="I15" s="39"/>
      <c r="J15" s="5"/>
      <c r="K15" s="5"/>
      <c r="L15" s="40"/>
      <c r="M15" s="40"/>
      <c r="N15" s="40"/>
      <c r="O15" s="40"/>
    </row>
    <row r="16" spans="1:16" x14ac:dyDescent="0.35">
      <c r="I16" s="39"/>
      <c r="J16" s="5"/>
      <c r="K16" s="5"/>
      <c r="L16" s="40"/>
      <c r="M16" s="40"/>
      <c r="N16" s="40"/>
      <c r="O16" s="40"/>
    </row>
    <row r="17" spans="9:15" x14ac:dyDescent="0.35">
      <c r="I17" s="39"/>
      <c r="J17" s="5"/>
      <c r="K17" s="5"/>
      <c r="L17" s="40"/>
      <c r="M17" s="40"/>
      <c r="N17" s="40"/>
      <c r="O17" s="40"/>
    </row>
    <row r="18" spans="9:15" x14ac:dyDescent="0.35">
      <c r="I18" s="39"/>
      <c r="J18" s="5"/>
      <c r="K18" s="5"/>
      <c r="L18" s="40"/>
      <c r="M18" s="40"/>
      <c r="N18" s="40"/>
      <c r="O18" s="40"/>
    </row>
    <row r="19" spans="9:15" x14ac:dyDescent="0.35">
      <c r="I19" s="39"/>
      <c r="J19" s="5"/>
      <c r="K19" s="5"/>
      <c r="L19" s="40"/>
      <c r="M19" s="40"/>
      <c r="N19" s="40"/>
      <c r="O19" s="40"/>
    </row>
    <row r="20" spans="9:15" x14ac:dyDescent="0.35">
      <c r="I20" s="39"/>
      <c r="J20" s="5"/>
      <c r="K20" s="5"/>
      <c r="L20" s="40"/>
      <c r="M20" s="40"/>
      <c r="N20" s="40"/>
      <c r="O20" s="40"/>
    </row>
  </sheetData>
  <mergeCells count="4">
    <mergeCell ref="K10:K11"/>
    <mergeCell ref="L10:L11"/>
    <mergeCell ref="E10:E11"/>
    <mergeCell ref="O10:O11"/>
  </mergeCells>
  <conditionalFormatting sqref="C7:C1048576">
    <cfRule type="cellIs" dxfId="162" priority="31" operator="equal">
      <formula>"WIP (see comments)"</formula>
    </cfRule>
    <cfRule type="cellIs" dxfId="161" priority="32" operator="equal">
      <formula>"Removed"</formula>
    </cfRule>
    <cfRule type="cellIs" dxfId="160" priority="33" operator="equal">
      <formula>"Updated"</formula>
    </cfRule>
    <cfRule type="cellIs" dxfId="159" priority="34" operator="equal">
      <formula>"New"</formula>
    </cfRule>
  </conditionalFormatting>
  <conditionalFormatting sqref="D10:E10 G10:I10 M10:O10 A10:C12 M11:N11 C11:C13 A7:O9">
    <cfRule type="cellIs" dxfId="158" priority="22" operator="equal">
      <formula>"n/a"</formula>
    </cfRule>
  </conditionalFormatting>
  <conditionalFormatting sqref="D11:D12 F11:J12">
    <cfRule type="cellIs" dxfId="157" priority="21" operator="equal">
      <formula>"n/a"</formula>
    </cfRule>
  </conditionalFormatting>
  <conditionalFormatting sqref="K10:L10">
    <cfRule type="cellIs" dxfId="156" priority="20" operator="equal">
      <formula>"n/a"</formula>
    </cfRule>
  </conditionalFormatting>
  <conditionalFormatting sqref="A13:B13">
    <cfRule type="cellIs" dxfId="155" priority="14" operator="equal">
      <formula>"n/a"</formula>
    </cfRule>
  </conditionalFormatting>
  <conditionalFormatting sqref="D13:N13">
    <cfRule type="cellIs" dxfId="154" priority="13" operator="equal">
      <formula>"n/a"</formula>
    </cfRule>
  </conditionalFormatting>
  <conditionalFormatting sqref="F10">
    <cfRule type="cellIs" dxfId="153" priority="11" operator="equal">
      <formula>"n/a"</formula>
    </cfRule>
  </conditionalFormatting>
  <conditionalFormatting sqref="J10">
    <cfRule type="cellIs" dxfId="152" priority="10" operator="equal">
      <formula>"n/a"</formula>
    </cfRule>
  </conditionalFormatting>
  <conditionalFormatting sqref="E12">
    <cfRule type="cellIs" dxfId="151" priority="9" operator="equal">
      <formula>"n/a"</formula>
    </cfRule>
  </conditionalFormatting>
  <conditionalFormatting sqref="K12">
    <cfRule type="cellIs" dxfId="150" priority="8" operator="equal">
      <formula>"n/a"</formula>
    </cfRule>
  </conditionalFormatting>
  <conditionalFormatting sqref="L12">
    <cfRule type="cellIs" dxfId="149" priority="7" operator="equal">
      <formula>"n/a"</formula>
    </cfRule>
  </conditionalFormatting>
  <conditionalFormatting sqref="M12">
    <cfRule type="cellIs" dxfId="148" priority="6" operator="equal">
      <formula>"n/a"</formula>
    </cfRule>
  </conditionalFormatting>
  <conditionalFormatting sqref="N12">
    <cfRule type="cellIs" dxfId="147" priority="5" operator="equal">
      <formula>"n/a"</formula>
    </cfRule>
  </conditionalFormatting>
  <conditionalFormatting sqref="O12">
    <cfRule type="cellIs" dxfId="146" priority="4" operator="equal">
      <formula>"n/a"</formula>
    </cfRule>
  </conditionalFormatting>
  <conditionalFormatting sqref="D1">
    <cfRule type="cellIs" dxfId="145" priority="3" operator="equal">
      <formula>"n/a"</formula>
    </cfRule>
  </conditionalFormatting>
  <conditionalFormatting sqref="B4">
    <cfRule type="cellIs" dxfId="2" priority="2" operator="equal">
      <formula>"n/a"</formula>
    </cfRule>
  </conditionalFormatting>
  <conditionalFormatting sqref="P8">
    <cfRule type="cellIs" dxfId="0" priority="1" operator="equal">
      <formula>"n/a"</formula>
    </cfRule>
  </conditionalFormatting>
  <dataValidations count="1">
    <dataValidation type="list" allowBlank="1" showInputMessage="1" showErrorMessage="1" sqref="E12:E1048576">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Values'!$A$5:$A$27</xm:f>
          </x14:formula1>
          <xm:sqref>E7:E10</xm:sqref>
        </x14:dataValidation>
        <x14:dataValidation type="list" allowBlank="1" showInputMessage="1" showErrorMessage="1">
          <x14:formula1>
            <xm:f>'List Values'!$B$5:$B$13</xm:f>
          </x14:formula1>
          <xm:sqref>C14:C1048576</xm:sqref>
        </x14:dataValidation>
        <x14:dataValidation type="list" allowBlank="1" showInputMessage="1" showErrorMessage="1">
          <x14:formula1>
            <xm:f>'List Values'!$B$5:$B$12</xm:f>
          </x14:formula1>
          <xm:sqref>C7:C13</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8"/>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6" customWidth="1"/>
    <col min="2" max="2" width="12.54296875" style="6" customWidth="1"/>
    <col min="3" max="3" width="15.1796875" style="34"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179687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209</v>
      </c>
      <c r="C1" s="32"/>
      <c r="D1" s="29"/>
    </row>
    <row r="2" spans="1:16" s="30" customFormat="1" ht="18.5" x14ac:dyDescent="0.35">
      <c r="A2" s="28" t="s">
        <v>7</v>
      </c>
      <c r="B2" s="36">
        <v>12</v>
      </c>
      <c r="C2" s="35"/>
      <c r="D2" s="36"/>
    </row>
    <row r="3" spans="1:16" s="30" customFormat="1" ht="18.5" x14ac:dyDescent="0.35">
      <c r="A3" s="28" t="s">
        <v>44</v>
      </c>
      <c r="B3" s="36" t="s">
        <v>424</v>
      </c>
      <c r="C3" s="35"/>
      <c r="D3" s="36"/>
    </row>
    <row r="4" spans="1:16" s="30" customFormat="1" ht="18.5" x14ac:dyDescent="0.35">
      <c r="A4" s="28" t="s">
        <v>8</v>
      </c>
      <c r="B4" s="30" t="s">
        <v>208</v>
      </c>
      <c r="C4" s="35"/>
    </row>
    <row r="5" spans="1:16" s="4" customFormat="1" x14ac:dyDescent="0.35">
      <c r="C5" s="37"/>
    </row>
    <row r="6" spans="1:16" s="31" customFormat="1" ht="15" thickBot="1" x14ac:dyDescent="0.4">
      <c r="A6" s="31" t="s">
        <v>11</v>
      </c>
      <c r="B6" s="31" t="s">
        <v>12</v>
      </c>
      <c r="C6" s="33" t="s">
        <v>26</v>
      </c>
      <c r="D6" s="31" t="s">
        <v>25</v>
      </c>
      <c r="E6" s="31" t="s">
        <v>13</v>
      </c>
      <c r="F6" s="31" t="s">
        <v>14</v>
      </c>
      <c r="G6" s="31" t="s">
        <v>15</v>
      </c>
      <c r="H6" s="31" t="s">
        <v>16</v>
      </c>
      <c r="I6" s="31" t="s">
        <v>17</v>
      </c>
      <c r="J6" s="31" t="s">
        <v>18</v>
      </c>
      <c r="K6" s="31" t="s">
        <v>19</v>
      </c>
      <c r="L6" s="31" t="s">
        <v>20</v>
      </c>
      <c r="M6" s="31" t="s">
        <v>21</v>
      </c>
      <c r="N6" s="31" t="s">
        <v>22</v>
      </c>
      <c r="O6" s="31" t="s">
        <v>23</v>
      </c>
      <c r="P6" s="31" t="s">
        <v>24</v>
      </c>
    </row>
    <row r="7" spans="1:16" x14ac:dyDescent="0.35">
      <c r="A7" s="6">
        <v>1</v>
      </c>
      <c r="B7" s="6" t="str">
        <f t="shared" ref="B7:B11" si="0">CONCATENATE($B$2, ".", A7)</f>
        <v>12.1</v>
      </c>
      <c r="C7" s="34" t="s">
        <v>40</v>
      </c>
      <c r="D7" s="39" t="s">
        <v>161</v>
      </c>
      <c r="E7" s="6" t="s">
        <v>29</v>
      </c>
      <c r="F7" s="6" t="s">
        <v>37</v>
      </c>
      <c r="G7" s="6" t="s">
        <v>37</v>
      </c>
      <c r="H7" s="34" t="s">
        <v>37</v>
      </c>
      <c r="I7" s="39" t="s">
        <v>10</v>
      </c>
      <c r="J7" s="5" t="s">
        <v>37</v>
      </c>
      <c r="K7" s="5" t="s">
        <v>37</v>
      </c>
      <c r="L7" s="5" t="s">
        <v>37</v>
      </c>
      <c r="M7" s="5" t="s">
        <v>37</v>
      </c>
      <c r="N7" s="5" t="s">
        <v>37</v>
      </c>
      <c r="O7" s="5" t="s">
        <v>37</v>
      </c>
    </row>
    <row r="8" spans="1:16" ht="29" x14ac:dyDescent="0.35">
      <c r="A8" s="6">
        <v>2</v>
      </c>
      <c r="B8" s="6" t="str">
        <f t="shared" si="0"/>
        <v>12.2</v>
      </c>
      <c r="C8" s="34" t="s">
        <v>45</v>
      </c>
      <c r="D8" s="39" t="s">
        <v>37</v>
      </c>
      <c r="E8" s="39" t="s">
        <v>49</v>
      </c>
      <c r="F8" s="6" t="s">
        <v>37</v>
      </c>
      <c r="G8" s="6" t="s">
        <v>37</v>
      </c>
      <c r="H8" s="34" t="s">
        <v>37</v>
      </c>
      <c r="I8" s="39" t="s">
        <v>10</v>
      </c>
      <c r="J8" s="5" t="s">
        <v>37</v>
      </c>
      <c r="K8" s="5" t="s">
        <v>37</v>
      </c>
      <c r="L8" s="5" t="s">
        <v>37</v>
      </c>
      <c r="M8" s="5" t="s">
        <v>37</v>
      </c>
      <c r="N8" s="5" t="s">
        <v>37</v>
      </c>
      <c r="O8" s="5" t="s">
        <v>37</v>
      </c>
      <c r="P8" s="6" t="s">
        <v>434</v>
      </c>
    </row>
    <row r="9" spans="1:16" ht="81" customHeight="1" x14ac:dyDescent="0.35">
      <c r="A9" s="6">
        <v>3</v>
      </c>
      <c r="B9" s="6" t="str">
        <f t="shared" si="0"/>
        <v>12.3</v>
      </c>
      <c r="C9" s="34" t="s">
        <v>40</v>
      </c>
      <c r="D9" s="6" t="s">
        <v>37</v>
      </c>
      <c r="E9" s="6" t="s">
        <v>229</v>
      </c>
      <c r="F9" s="6" t="s">
        <v>37</v>
      </c>
      <c r="G9" s="6" t="s">
        <v>37</v>
      </c>
      <c r="H9" s="34" t="s">
        <v>37</v>
      </c>
      <c r="I9" s="39" t="s">
        <v>10</v>
      </c>
      <c r="J9" s="5" t="s">
        <v>37</v>
      </c>
      <c r="K9" s="5" t="s">
        <v>202</v>
      </c>
      <c r="L9" s="50" t="s">
        <v>37</v>
      </c>
      <c r="M9" s="5" t="s">
        <v>37</v>
      </c>
      <c r="N9" s="5" t="s">
        <v>37</v>
      </c>
      <c r="O9" s="40" t="s">
        <v>257</v>
      </c>
    </row>
    <row r="10" spans="1:16" ht="77" customHeight="1" x14ac:dyDescent="0.35">
      <c r="A10" s="6">
        <v>4</v>
      </c>
      <c r="B10" s="6" t="str">
        <f t="shared" si="0"/>
        <v>12.4</v>
      </c>
      <c r="C10" s="34" t="s">
        <v>40</v>
      </c>
      <c r="D10" s="6" t="s">
        <v>59</v>
      </c>
      <c r="E10" s="6" t="s">
        <v>43</v>
      </c>
      <c r="F10" s="6" t="s">
        <v>37</v>
      </c>
      <c r="G10" s="6" t="s">
        <v>37</v>
      </c>
      <c r="H10" s="34" t="s">
        <v>37</v>
      </c>
      <c r="I10" s="39" t="s">
        <v>282</v>
      </c>
      <c r="J10" s="5" t="s">
        <v>37</v>
      </c>
      <c r="K10" s="5" t="s">
        <v>37</v>
      </c>
      <c r="L10" s="50" t="s">
        <v>37</v>
      </c>
      <c r="M10" s="5" t="s">
        <v>37</v>
      </c>
      <c r="N10" s="5" t="s">
        <v>37</v>
      </c>
      <c r="O10" s="40" t="s">
        <v>428</v>
      </c>
    </row>
    <row r="11" spans="1:16" ht="29" x14ac:dyDescent="0.35">
      <c r="A11" s="6">
        <v>5</v>
      </c>
      <c r="B11" s="6" t="str">
        <f t="shared" si="0"/>
        <v>12.5</v>
      </c>
      <c r="C11" s="34" t="s">
        <v>40</v>
      </c>
      <c r="D11" s="39" t="s">
        <v>60</v>
      </c>
      <c r="E11" s="39" t="s">
        <v>43</v>
      </c>
      <c r="F11" s="39" t="s">
        <v>37</v>
      </c>
      <c r="G11" s="39" t="s">
        <v>37</v>
      </c>
      <c r="H11" s="47" t="s">
        <v>37</v>
      </c>
      <c r="I11" s="39" t="s">
        <v>10</v>
      </c>
      <c r="J11" s="39" t="s">
        <v>37</v>
      </c>
      <c r="K11" s="39" t="s">
        <v>37</v>
      </c>
      <c r="L11" s="39" t="s">
        <v>37</v>
      </c>
      <c r="M11" s="39" t="s">
        <v>37</v>
      </c>
      <c r="N11" s="39" t="s">
        <v>37</v>
      </c>
      <c r="O11" s="39" t="s">
        <v>429</v>
      </c>
    </row>
    <row r="12" spans="1:16" x14ac:dyDescent="0.35">
      <c r="I12" s="39"/>
      <c r="J12" s="5"/>
      <c r="K12" s="5"/>
      <c r="L12" s="40"/>
      <c r="M12" s="40"/>
      <c r="N12" s="40"/>
      <c r="O12" s="40"/>
    </row>
    <row r="13" spans="1:16" x14ac:dyDescent="0.35">
      <c r="I13" s="39"/>
      <c r="J13" s="5"/>
      <c r="K13" s="5"/>
      <c r="L13" s="40"/>
      <c r="M13" s="40"/>
      <c r="N13" s="40"/>
      <c r="O13" s="40"/>
    </row>
    <row r="14" spans="1:16" x14ac:dyDescent="0.35">
      <c r="I14" s="39"/>
      <c r="J14" s="5"/>
      <c r="K14" s="5"/>
      <c r="L14" s="40"/>
      <c r="M14" s="40"/>
      <c r="N14" s="40"/>
      <c r="O14" s="40"/>
    </row>
    <row r="15" spans="1:16" x14ac:dyDescent="0.35">
      <c r="I15" s="39"/>
      <c r="J15" s="5"/>
      <c r="K15" s="5"/>
      <c r="L15" s="40"/>
      <c r="M15" s="40"/>
      <c r="N15" s="40"/>
      <c r="O15" s="40"/>
    </row>
    <row r="16" spans="1:16" x14ac:dyDescent="0.35">
      <c r="I16" s="39"/>
      <c r="J16" s="5"/>
      <c r="K16" s="5"/>
      <c r="L16" s="40"/>
      <c r="M16" s="40"/>
      <c r="N16" s="40"/>
      <c r="O16" s="40"/>
    </row>
    <row r="17" spans="9:15" x14ac:dyDescent="0.35">
      <c r="I17" s="39"/>
      <c r="J17" s="5"/>
      <c r="K17" s="5"/>
      <c r="L17" s="40"/>
      <c r="M17" s="40"/>
      <c r="N17" s="40"/>
      <c r="O17" s="40"/>
    </row>
    <row r="18" spans="9:15" x14ac:dyDescent="0.35">
      <c r="I18" s="39"/>
      <c r="J18" s="5"/>
      <c r="K18" s="5"/>
      <c r="L18" s="40"/>
      <c r="M18" s="40"/>
      <c r="N18" s="40"/>
      <c r="O18" s="40"/>
    </row>
  </sheetData>
  <conditionalFormatting sqref="C12:C1048576">
    <cfRule type="cellIs" dxfId="144" priority="16" operator="equal">
      <formula>"WIP (see comments)"</formula>
    </cfRule>
    <cfRule type="cellIs" dxfId="143" priority="17" operator="equal">
      <formula>"Removed"</formula>
    </cfRule>
    <cfRule type="cellIs" dxfId="142" priority="18" operator="equal">
      <formula>"Updated"</formula>
    </cfRule>
    <cfRule type="cellIs" dxfId="141" priority="19" operator="equal">
      <formula>"New"</formula>
    </cfRule>
  </conditionalFormatting>
  <conditionalFormatting sqref="C7:C10">
    <cfRule type="cellIs" dxfId="140" priority="12" operator="equal">
      <formula>"WIP (see comments)"</formula>
    </cfRule>
    <cfRule type="cellIs" dxfId="139" priority="13" operator="equal">
      <formula>"Removed"</formula>
    </cfRule>
    <cfRule type="cellIs" dxfId="138" priority="14" operator="equal">
      <formula>"Updated"</formula>
    </cfRule>
    <cfRule type="cellIs" dxfId="137" priority="15" operator="equal">
      <formula>"New"</formula>
    </cfRule>
  </conditionalFormatting>
  <conditionalFormatting sqref="A2:XFD8 A12:XFD1048576 P9:XFD10 M9:N10 A9:J9 C10:J10 A10:B11 A1:C1 E1:XFD1">
    <cfRule type="cellIs" dxfId="136" priority="11" operator="equal">
      <formula>"n/a"</formula>
    </cfRule>
  </conditionalFormatting>
  <conditionalFormatting sqref="K9:L10">
    <cfRule type="cellIs" dxfId="135" priority="9" operator="equal">
      <formula>"n/a"</formula>
    </cfRule>
  </conditionalFormatting>
  <conditionalFormatting sqref="O9:O10">
    <cfRule type="cellIs" dxfId="134" priority="8" operator="equal">
      <formula>"n/a"</formula>
    </cfRule>
  </conditionalFormatting>
  <conditionalFormatting sqref="C11">
    <cfRule type="cellIs" dxfId="133" priority="4" operator="equal">
      <formula>"WIP (see comments)"</formula>
    </cfRule>
    <cfRule type="cellIs" dxfId="132" priority="5" operator="equal">
      <formula>"Removed"</formula>
    </cfRule>
    <cfRule type="cellIs" dxfId="131" priority="6" operator="equal">
      <formula>"Updated"</formula>
    </cfRule>
    <cfRule type="cellIs" dxfId="130" priority="7" operator="equal">
      <formula>"New"</formula>
    </cfRule>
  </conditionalFormatting>
  <conditionalFormatting sqref="P11:XFD11 C11">
    <cfRule type="cellIs" dxfId="129" priority="3" operator="equal">
      <formula>"n/a"</formula>
    </cfRule>
  </conditionalFormatting>
  <conditionalFormatting sqref="D11:N11">
    <cfRule type="cellIs" dxfId="128" priority="2" operator="equal">
      <formula>"n/a"</formula>
    </cfRule>
  </conditionalFormatting>
  <conditionalFormatting sqref="D1">
    <cfRule type="cellIs" dxfId="127"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Values'!$A$5:$A$27</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5"/>
  <sheetViews>
    <sheetView workbookViewId="0">
      <pane xSplit="4" ySplit="6" topLeftCell="E7" activePane="bottomRight" state="frozen"/>
      <selection pane="topRight" activeCell="E1" sqref="E1"/>
      <selection pane="bottomLeft" activeCell="A7" sqref="A7"/>
      <selection pane="bottomRight" activeCell="A9" sqref="A9"/>
    </sheetView>
  </sheetViews>
  <sheetFormatPr defaultColWidth="9.1796875" defaultRowHeight="14.5" x14ac:dyDescent="0.35"/>
  <cols>
    <col min="1" max="1" width="14.7265625" style="6" customWidth="1"/>
    <col min="2" max="2" width="12.54296875" style="6" customWidth="1"/>
    <col min="3" max="3" width="15.1796875" style="34"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252</v>
      </c>
      <c r="C1" s="32"/>
      <c r="D1" s="29"/>
    </row>
    <row r="2" spans="1:16" s="30" customFormat="1" ht="18.5" x14ac:dyDescent="0.35">
      <c r="A2" s="28" t="s">
        <v>7</v>
      </c>
      <c r="B2" s="36">
        <v>13</v>
      </c>
      <c r="C2" s="35"/>
      <c r="D2" s="36"/>
    </row>
    <row r="3" spans="1:16" s="30" customFormat="1" ht="18.5" x14ac:dyDescent="0.35">
      <c r="A3" s="28" t="s">
        <v>44</v>
      </c>
      <c r="B3" s="36" t="s">
        <v>430</v>
      </c>
      <c r="C3" s="35"/>
      <c r="D3" s="36" t="s">
        <v>431</v>
      </c>
    </row>
    <row r="4" spans="1:16" s="30" customFormat="1" ht="18.5" x14ac:dyDescent="0.35">
      <c r="A4" s="28" t="s">
        <v>8</v>
      </c>
      <c r="B4" s="30" t="s">
        <v>349</v>
      </c>
      <c r="C4" s="35"/>
    </row>
    <row r="5" spans="1:16" s="4" customFormat="1" x14ac:dyDescent="0.35">
      <c r="C5" s="37"/>
    </row>
    <row r="6" spans="1:16" s="31" customFormat="1" ht="15" thickBot="1" x14ac:dyDescent="0.4">
      <c r="A6" s="31" t="s">
        <v>11</v>
      </c>
      <c r="B6" s="31" t="s">
        <v>12</v>
      </c>
      <c r="C6" s="33" t="s">
        <v>26</v>
      </c>
      <c r="D6" s="31" t="s">
        <v>25</v>
      </c>
      <c r="E6" s="31" t="s">
        <v>13</v>
      </c>
      <c r="F6" s="31" t="s">
        <v>14</v>
      </c>
      <c r="G6" s="31" t="s">
        <v>15</v>
      </c>
      <c r="H6" s="31" t="s">
        <v>16</v>
      </c>
      <c r="I6" s="31" t="s">
        <v>17</v>
      </c>
      <c r="J6" s="31" t="s">
        <v>18</v>
      </c>
      <c r="K6" s="31" t="s">
        <v>19</v>
      </c>
      <c r="L6" s="31" t="s">
        <v>20</v>
      </c>
      <c r="M6" s="31" t="s">
        <v>21</v>
      </c>
      <c r="N6" s="31" t="s">
        <v>22</v>
      </c>
      <c r="O6" s="31" t="s">
        <v>23</v>
      </c>
      <c r="P6" s="31" t="s">
        <v>24</v>
      </c>
    </row>
    <row r="7" spans="1:16" ht="29" x14ac:dyDescent="0.35">
      <c r="A7" s="5">
        <v>1</v>
      </c>
      <c r="B7" s="5" t="str">
        <f>CONCATENATE($B$2, ".", A7)</f>
        <v>13.1</v>
      </c>
      <c r="C7" s="72" t="s">
        <v>45</v>
      </c>
      <c r="D7" s="5" t="s">
        <v>37</v>
      </c>
      <c r="E7" s="40" t="s">
        <v>147</v>
      </c>
      <c r="F7" s="5" t="s">
        <v>37</v>
      </c>
      <c r="G7" s="5" t="s">
        <v>37</v>
      </c>
      <c r="H7" s="72" t="s">
        <v>37</v>
      </c>
      <c r="I7" s="40" t="s">
        <v>10</v>
      </c>
      <c r="J7" s="5" t="s">
        <v>37</v>
      </c>
      <c r="K7" s="5" t="s">
        <v>37</v>
      </c>
      <c r="L7" s="5" t="s">
        <v>37</v>
      </c>
      <c r="M7" s="5" t="s">
        <v>37</v>
      </c>
      <c r="N7" s="5" t="s">
        <v>37</v>
      </c>
      <c r="O7" s="40" t="s">
        <v>265</v>
      </c>
      <c r="P7" s="5" t="s">
        <v>433</v>
      </c>
    </row>
    <row r="8" spans="1:16" x14ac:dyDescent="0.35">
      <c r="A8" s="5">
        <v>2</v>
      </c>
      <c r="B8" s="5" t="str">
        <f t="shared" ref="B8" si="0">CONCATENATE($B$2, ".", A8)</f>
        <v>13.2</v>
      </c>
      <c r="C8" s="74" t="s">
        <v>267</v>
      </c>
      <c r="D8" s="40" t="s">
        <v>264</v>
      </c>
      <c r="E8" s="40" t="s">
        <v>148</v>
      </c>
      <c r="F8" s="5" t="s">
        <v>37</v>
      </c>
      <c r="G8" s="5" t="s">
        <v>37</v>
      </c>
      <c r="H8" s="72" t="s">
        <v>37</v>
      </c>
      <c r="I8" s="40" t="s">
        <v>10</v>
      </c>
      <c r="J8" s="5" t="s">
        <v>37</v>
      </c>
      <c r="K8" s="5" t="s">
        <v>37</v>
      </c>
      <c r="L8" s="5" t="s">
        <v>37</v>
      </c>
      <c r="M8" s="5" t="s">
        <v>37</v>
      </c>
      <c r="N8" s="5" t="s">
        <v>37</v>
      </c>
      <c r="O8" s="5"/>
      <c r="P8" s="5"/>
    </row>
    <row r="9" spans="1:16" ht="231" customHeight="1" x14ac:dyDescent="0.35">
      <c r="A9" s="6">
        <v>3</v>
      </c>
      <c r="B9" s="6" t="str">
        <f t="shared" ref="B9" si="1">CONCATENATE($B$2, ".", A9)</f>
        <v>13.3</v>
      </c>
      <c r="C9" s="74" t="s">
        <v>45</v>
      </c>
      <c r="D9" s="39" t="s">
        <v>432</v>
      </c>
      <c r="E9" s="39" t="s">
        <v>122</v>
      </c>
      <c r="F9" s="6" t="s">
        <v>37</v>
      </c>
      <c r="G9" s="6" t="s">
        <v>37</v>
      </c>
      <c r="H9" s="34" t="s">
        <v>37</v>
      </c>
      <c r="I9" s="39" t="s">
        <v>10</v>
      </c>
      <c r="J9" s="5" t="s">
        <v>37</v>
      </c>
      <c r="K9" s="5" t="s">
        <v>37</v>
      </c>
      <c r="L9" s="5" t="s">
        <v>37</v>
      </c>
      <c r="M9" s="5" t="s">
        <v>37</v>
      </c>
      <c r="N9" s="5" t="s">
        <v>37</v>
      </c>
      <c r="O9" s="5" t="s">
        <v>183</v>
      </c>
      <c r="P9" s="6" t="s">
        <v>350</v>
      </c>
    </row>
    <row r="10" spans="1:16" x14ac:dyDescent="0.35">
      <c r="I10" s="39"/>
      <c r="J10" s="5"/>
      <c r="K10" s="5"/>
      <c r="L10" s="40"/>
      <c r="M10" s="40"/>
      <c r="N10" s="40"/>
      <c r="O10" s="40"/>
    </row>
    <row r="11" spans="1:16" x14ac:dyDescent="0.35">
      <c r="I11" s="39"/>
      <c r="J11" s="5"/>
      <c r="K11" s="5"/>
      <c r="L11" s="40"/>
      <c r="M11" s="40"/>
      <c r="N11" s="40"/>
      <c r="O11" s="40"/>
    </row>
    <row r="12" spans="1:16" x14ac:dyDescent="0.35">
      <c r="I12" s="39"/>
      <c r="J12" s="5"/>
      <c r="K12" s="5"/>
      <c r="L12" s="40"/>
      <c r="M12" s="40"/>
      <c r="N12" s="40"/>
      <c r="O12" s="40"/>
    </row>
    <row r="13" spans="1:16" x14ac:dyDescent="0.35">
      <c r="I13" s="39"/>
      <c r="J13" s="5"/>
      <c r="K13" s="5"/>
      <c r="L13" s="40"/>
      <c r="M13" s="40"/>
      <c r="N13" s="40"/>
      <c r="O13" s="40"/>
    </row>
    <row r="14" spans="1:16" x14ac:dyDescent="0.35">
      <c r="I14" s="39"/>
      <c r="J14" s="5"/>
      <c r="K14" s="5"/>
      <c r="L14" s="40"/>
      <c r="M14" s="40"/>
      <c r="N14" s="40"/>
      <c r="O14" s="40"/>
    </row>
    <row r="15" spans="1:16" x14ac:dyDescent="0.35">
      <c r="I15" s="39"/>
      <c r="J15" s="5"/>
      <c r="K15" s="5"/>
      <c r="L15" s="40"/>
      <c r="M15" s="40"/>
      <c r="N15" s="40"/>
      <c r="O15" s="40"/>
    </row>
  </sheetData>
  <conditionalFormatting sqref="C7:C1048576">
    <cfRule type="cellIs" dxfId="126" priority="23" operator="equal">
      <formula>"WIP (see comments)"</formula>
    </cfRule>
    <cfRule type="cellIs" dxfId="125" priority="24" operator="equal">
      <formula>"Removed"</formula>
    </cfRule>
    <cfRule type="cellIs" dxfId="124" priority="25" operator="equal">
      <formula>"Updated"</formula>
    </cfRule>
    <cfRule type="cellIs" dxfId="123" priority="26" operator="equal">
      <formula>"New"</formula>
    </cfRule>
  </conditionalFormatting>
  <conditionalFormatting sqref="A9:C9 E9:O9">
    <cfRule type="cellIs" dxfId="122" priority="22" operator="equal">
      <formula>"n/a"</formula>
    </cfRule>
  </conditionalFormatting>
  <conditionalFormatting sqref="A8:P8 E7:O7 A7:C7 C8:C9">
    <cfRule type="cellIs" dxfId="121" priority="6" operator="equal">
      <formula>"n/a"</formula>
    </cfRule>
  </conditionalFormatting>
  <conditionalFormatting sqref="P7">
    <cfRule type="cellIs" dxfId="120" priority="5" operator="equal">
      <formula>"n/a"</formula>
    </cfRule>
  </conditionalFormatting>
  <conditionalFormatting sqref="D7">
    <cfRule type="cellIs" dxfId="119" priority="4" operator="equal">
      <formula>"-"</formula>
    </cfRule>
  </conditionalFormatting>
  <conditionalFormatting sqref="D7">
    <cfRule type="cellIs" dxfId="118" priority="3" operator="equal">
      <formula>"n/a"</formula>
    </cfRule>
  </conditionalFormatting>
  <conditionalFormatting sqref="D1">
    <cfRule type="cellIs" dxfId="117" priority="2" operator="equal">
      <formula>"n/a"</formula>
    </cfRule>
  </conditionalFormatting>
  <conditionalFormatting sqref="D9">
    <cfRule type="cellIs" dxfId="1"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Values'!$A$5:$A$27</xm:f>
          </x14:formula1>
          <xm:sqref>E7:E1048576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6"/>
  <sheetViews>
    <sheetView workbookViewId="0">
      <pane xSplit="4" ySplit="6" topLeftCell="E7" activePane="bottomRight" state="frozen"/>
      <selection pane="topRight" activeCell="E1" sqref="E1"/>
      <selection pane="bottomLeft" activeCell="A7" sqref="A7"/>
      <selection pane="bottomRight" activeCell="B3" sqref="B3"/>
    </sheetView>
  </sheetViews>
  <sheetFormatPr defaultColWidth="9.1796875" defaultRowHeight="14.5" x14ac:dyDescent="0.35"/>
  <cols>
    <col min="1" max="1" width="14.7265625" style="6" customWidth="1"/>
    <col min="2" max="2" width="12.54296875" style="6" customWidth="1"/>
    <col min="3" max="3" width="13" style="34" customWidth="1"/>
    <col min="4" max="4" width="45.1796875" style="6" customWidth="1"/>
    <col min="5" max="5" width="28.7265625" style="6" customWidth="1"/>
    <col min="6" max="6" width="37" style="6" customWidth="1"/>
    <col min="7" max="7" width="29.26953125" style="6" customWidth="1"/>
    <col min="8" max="8" width="11.54296875" style="34"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113</v>
      </c>
      <c r="C1" s="32"/>
      <c r="D1" s="29" t="s">
        <v>346</v>
      </c>
      <c r="H1" s="35"/>
    </row>
    <row r="2" spans="1:16" s="30" customFormat="1" ht="18.5" x14ac:dyDescent="0.35">
      <c r="A2" s="28" t="s">
        <v>7</v>
      </c>
      <c r="B2" s="36">
        <v>14</v>
      </c>
      <c r="C2" s="35"/>
      <c r="D2" s="36"/>
      <c r="H2" s="35"/>
    </row>
    <row r="3" spans="1:16" s="30" customFormat="1" ht="18.5" x14ac:dyDescent="0.35">
      <c r="A3" s="28" t="s">
        <v>44</v>
      </c>
      <c r="B3" s="36"/>
      <c r="C3" s="35"/>
      <c r="D3" s="36"/>
      <c r="H3" s="35"/>
    </row>
    <row r="4" spans="1:16" s="30" customFormat="1" ht="18.5" x14ac:dyDescent="0.35">
      <c r="A4" s="28" t="s">
        <v>8</v>
      </c>
      <c r="B4" s="30" t="s">
        <v>47</v>
      </c>
      <c r="C4" s="35"/>
      <c r="H4" s="35"/>
    </row>
    <row r="5" spans="1:16" s="4" customFormat="1" x14ac:dyDescent="0.35">
      <c r="C5" s="37"/>
      <c r="H5" s="37"/>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ht="29" x14ac:dyDescent="0.35">
      <c r="A7" s="6">
        <v>1</v>
      </c>
      <c r="B7" s="6" t="str">
        <f t="shared" ref="B7:B16" si="0">CONCATENATE($B$2, ".", A7)</f>
        <v>14.1</v>
      </c>
      <c r="C7" s="34" t="s">
        <v>45</v>
      </c>
      <c r="D7" s="39" t="s">
        <v>302</v>
      </c>
      <c r="E7" s="6" t="s">
        <v>29</v>
      </c>
      <c r="F7" s="6" t="s">
        <v>37</v>
      </c>
      <c r="G7" s="6" t="s">
        <v>37</v>
      </c>
      <c r="H7" s="34" t="s">
        <v>37</v>
      </c>
      <c r="I7" s="39" t="s">
        <v>10</v>
      </c>
      <c r="J7" s="5" t="s">
        <v>37</v>
      </c>
      <c r="K7" s="5" t="s">
        <v>37</v>
      </c>
      <c r="L7" s="5" t="s">
        <v>37</v>
      </c>
      <c r="M7" s="5" t="s">
        <v>37</v>
      </c>
      <c r="N7" s="5" t="s">
        <v>37</v>
      </c>
      <c r="O7" s="5" t="s">
        <v>37</v>
      </c>
      <c r="P7" s="6" t="s">
        <v>316</v>
      </c>
    </row>
    <row r="8" spans="1:16" x14ac:dyDescent="0.35">
      <c r="A8" s="6">
        <v>2</v>
      </c>
      <c r="B8" s="6" t="str">
        <f t="shared" si="0"/>
        <v>14.2</v>
      </c>
      <c r="C8" s="34" t="s">
        <v>40</v>
      </c>
      <c r="D8" s="39" t="s">
        <v>37</v>
      </c>
      <c r="E8" s="39" t="s">
        <v>49</v>
      </c>
      <c r="F8" s="6" t="s">
        <v>37</v>
      </c>
      <c r="G8" s="6" t="s">
        <v>37</v>
      </c>
      <c r="H8" s="34" t="s">
        <v>37</v>
      </c>
      <c r="I8" s="39" t="s">
        <v>10</v>
      </c>
      <c r="J8" s="5" t="s">
        <v>37</v>
      </c>
      <c r="K8" s="5" t="s">
        <v>37</v>
      </c>
      <c r="L8" s="5" t="s">
        <v>37</v>
      </c>
      <c r="M8" s="5" t="s">
        <v>37</v>
      </c>
      <c r="N8" s="5" t="s">
        <v>37</v>
      </c>
      <c r="O8" s="5" t="s">
        <v>37</v>
      </c>
    </row>
    <row r="9" spans="1:16" ht="43.5" x14ac:dyDescent="0.35">
      <c r="A9" s="6">
        <v>3</v>
      </c>
      <c r="B9" s="6" t="str">
        <f t="shared" si="0"/>
        <v>14.3</v>
      </c>
      <c r="C9" s="34" t="s">
        <v>40</v>
      </c>
      <c r="D9" s="39" t="s">
        <v>210</v>
      </c>
      <c r="E9" s="39" t="s">
        <v>30</v>
      </c>
      <c r="F9" s="6" t="s">
        <v>64</v>
      </c>
      <c r="G9" s="6" t="s">
        <v>37</v>
      </c>
      <c r="H9" s="34" t="s">
        <v>37</v>
      </c>
      <c r="I9" s="39" t="s">
        <v>10</v>
      </c>
      <c r="J9" s="5" t="s">
        <v>110</v>
      </c>
      <c r="K9" s="5" t="s">
        <v>54</v>
      </c>
      <c r="L9" s="40" t="s">
        <v>111</v>
      </c>
      <c r="M9" s="5" t="s">
        <v>37</v>
      </c>
      <c r="N9" s="5" t="s">
        <v>37</v>
      </c>
      <c r="O9" s="5" t="s">
        <v>37</v>
      </c>
    </row>
    <row r="10" spans="1:16" ht="43.5" x14ac:dyDescent="0.35">
      <c r="A10" s="6">
        <v>4</v>
      </c>
      <c r="B10" s="6" t="str">
        <f t="shared" si="0"/>
        <v>14.4</v>
      </c>
      <c r="C10" s="34" t="s">
        <v>45</v>
      </c>
      <c r="D10" s="53" t="s">
        <v>352</v>
      </c>
      <c r="E10" s="6" t="s">
        <v>122</v>
      </c>
      <c r="F10" s="6" t="s">
        <v>37</v>
      </c>
      <c r="G10" s="6" t="s">
        <v>37</v>
      </c>
      <c r="H10" s="34" t="s">
        <v>37</v>
      </c>
      <c r="I10" s="6" t="s">
        <v>10</v>
      </c>
      <c r="J10" s="6" t="s">
        <v>37</v>
      </c>
      <c r="K10" s="6" t="s">
        <v>37</v>
      </c>
      <c r="L10" s="6" t="s">
        <v>37</v>
      </c>
      <c r="M10" s="6" t="s">
        <v>37</v>
      </c>
      <c r="N10" s="6" t="s">
        <v>37</v>
      </c>
      <c r="O10" s="40" t="s">
        <v>211</v>
      </c>
      <c r="P10" s="6" t="s">
        <v>351</v>
      </c>
    </row>
    <row r="11" spans="1:16" ht="191.25" customHeight="1" x14ac:dyDescent="0.35">
      <c r="A11" s="6">
        <v>5</v>
      </c>
      <c r="B11" s="6" t="str">
        <f t="shared" si="0"/>
        <v>14.5</v>
      </c>
      <c r="C11" s="34" t="s">
        <v>40</v>
      </c>
      <c r="D11" s="53" t="s">
        <v>212</v>
      </c>
      <c r="E11" s="6" t="s">
        <v>34</v>
      </c>
      <c r="F11" s="6" t="s">
        <v>37</v>
      </c>
      <c r="G11" s="39" t="s">
        <v>213</v>
      </c>
      <c r="H11" s="34" t="s">
        <v>37</v>
      </c>
      <c r="I11" s="6" t="s">
        <v>10</v>
      </c>
      <c r="J11" s="6" t="s">
        <v>37</v>
      </c>
      <c r="K11" s="6" t="s">
        <v>37</v>
      </c>
      <c r="L11" s="6" t="s">
        <v>37</v>
      </c>
      <c r="M11" s="6" t="s">
        <v>37</v>
      </c>
      <c r="N11" s="6" t="s">
        <v>37</v>
      </c>
      <c r="O11" s="40" t="s">
        <v>37</v>
      </c>
    </row>
    <row r="12" spans="1:16" ht="214.5" customHeight="1" x14ac:dyDescent="0.35">
      <c r="A12" s="6">
        <v>6</v>
      </c>
      <c r="B12" s="6" t="str">
        <f t="shared" si="0"/>
        <v>14.6</v>
      </c>
      <c r="C12" s="34" t="s">
        <v>40</v>
      </c>
      <c r="D12" s="53" t="s">
        <v>214</v>
      </c>
      <c r="E12" s="6" t="s">
        <v>34</v>
      </c>
      <c r="F12" s="6" t="s">
        <v>37</v>
      </c>
      <c r="G12" s="39" t="s">
        <v>213</v>
      </c>
      <c r="H12" s="34" t="s">
        <v>37</v>
      </c>
      <c r="I12" s="6" t="s">
        <v>10</v>
      </c>
      <c r="J12" s="6" t="s">
        <v>37</v>
      </c>
      <c r="K12" s="6" t="s">
        <v>37</v>
      </c>
      <c r="L12" s="6" t="s">
        <v>37</v>
      </c>
      <c r="M12" s="6" t="s">
        <v>37</v>
      </c>
      <c r="N12" s="6" t="s">
        <v>37</v>
      </c>
      <c r="O12" s="40" t="s">
        <v>37</v>
      </c>
    </row>
    <row r="13" spans="1:16" ht="195.75" customHeight="1" x14ac:dyDescent="0.35">
      <c r="A13" s="6">
        <v>7</v>
      </c>
      <c r="B13" s="6" t="str">
        <f t="shared" si="0"/>
        <v>14.7</v>
      </c>
      <c r="C13" s="34" t="s">
        <v>40</v>
      </c>
      <c r="D13" s="53" t="s">
        <v>215</v>
      </c>
      <c r="E13" s="6" t="s">
        <v>34</v>
      </c>
      <c r="F13" s="6" t="s">
        <v>37</v>
      </c>
      <c r="G13" s="39" t="s">
        <v>213</v>
      </c>
      <c r="H13" s="34" t="s">
        <v>37</v>
      </c>
      <c r="I13" s="6" t="s">
        <v>10</v>
      </c>
      <c r="J13" s="6" t="s">
        <v>37</v>
      </c>
      <c r="K13" s="6" t="s">
        <v>37</v>
      </c>
      <c r="L13" s="6" t="s">
        <v>37</v>
      </c>
      <c r="M13" s="6" t="s">
        <v>37</v>
      </c>
      <c r="N13" s="6" t="s">
        <v>37</v>
      </c>
      <c r="O13" s="40" t="s">
        <v>37</v>
      </c>
    </row>
    <row r="14" spans="1:16" ht="87" customHeight="1" x14ac:dyDescent="0.35">
      <c r="A14" s="6">
        <v>8</v>
      </c>
      <c r="B14" s="6" t="str">
        <f t="shared" si="0"/>
        <v>14.8</v>
      </c>
      <c r="C14" s="34" t="s">
        <v>40</v>
      </c>
      <c r="D14" s="46" t="s">
        <v>216</v>
      </c>
      <c r="E14" s="6" t="s">
        <v>34</v>
      </c>
      <c r="F14" s="6" t="s">
        <v>37</v>
      </c>
      <c r="G14" s="6" t="s">
        <v>345</v>
      </c>
      <c r="H14" s="34" t="s">
        <v>37</v>
      </c>
      <c r="I14" s="6" t="s">
        <v>10</v>
      </c>
      <c r="J14" s="6" t="s">
        <v>37</v>
      </c>
      <c r="K14" s="6" t="s">
        <v>37</v>
      </c>
      <c r="L14" s="6" t="s">
        <v>37</v>
      </c>
      <c r="M14" s="6" t="s">
        <v>37</v>
      </c>
      <c r="N14" s="6" t="s">
        <v>37</v>
      </c>
      <c r="O14" s="40" t="s">
        <v>37</v>
      </c>
    </row>
    <row r="15" spans="1:16" ht="87" x14ac:dyDescent="0.35">
      <c r="A15" s="6">
        <v>9</v>
      </c>
      <c r="B15" s="6" t="str">
        <f t="shared" si="0"/>
        <v>14.9</v>
      </c>
      <c r="C15" s="34" t="s">
        <v>40</v>
      </c>
      <c r="D15" s="6" t="s">
        <v>353</v>
      </c>
      <c r="E15" s="6" t="s">
        <v>34</v>
      </c>
      <c r="F15" s="6" t="s">
        <v>37</v>
      </c>
      <c r="G15" s="6" t="s">
        <v>37</v>
      </c>
      <c r="H15" s="34" t="s">
        <v>37</v>
      </c>
      <c r="I15" s="6" t="s">
        <v>10</v>
      </c>
      <c r="J15" s="6" t="s">
        <v>37</v>
      </c>
      <c r="K15" s="6" t="s">
        <v>37</v>
      </c>
      <c r="L15" s="6" t="s">
        <v>37</v>
      </c>
      <c r="M15" s="6" t="s">
        <v>37</v>
      </c>
      <c r="N15" s="6" t="s">
        <v>37</v>
      </c>
      <c r="O15" s="40" t="s">
        <v>37</v>
      </c>
    </row>
    <row r="16" spans="1:16" x14ac:dyDescent="0.35">
      <c r="A16" s="6">
        <v>10</v>
      </c>
      <c r="B16" s="6" t="str">
        <f t="shared" si="0"/>
        <v>14.10</v>
      </c>
      <c r="C16" s="34" t="s">
        <v>40</v>
      </c>
      <c r="D16" s="39" t="s">
        <v>60</v>
      </c>
      <c r="E16" s="39" t="s">
        <v>43</v>
      </c>
      <c r="F16" s="39" t="s">
        <v>37</v>
      </c>
      <c r="G16" s="39" t="s">
        <v>37</v>
      </c>
      <c r="H16" s="47" t="s">
        <v>37</v>
      </c>
      <c r="I16" s="39" t="s">
        <v>10</v>
      </c>
      <c r="J16" s="39" t="s">
        <v>37</v>
      </c>
      <c r="K16" s="39" t="s">
        <v>37</v>
      </c>
      <c r="L16" s="39" t="s">
        <v>37</v>
      </c>
      <c r="M16" s="39" t="s">
        <v>37</v>
      </c>
      <c r="N16" s="39" t="s">
        <v>37</v>
      </c>
      <c r="O16" s="39" t="s">
        <v>281</v>
      </c>
    </row>
  </sheetData>
  <autoFilter ref="A6:P6"/>
  <conditionalFormatting sqref="C17:C1048576">
    <cfRule type="cellIs" dxfId="116" priority="25" operator="equal">
      <formula>"WIP (see comments)"</formula>
    </cfRule>
    <cfRule type="cellIs" dxfId="115" priority="26" operator="equal">
      <formula>"Removed"</formula>
    </cfRule>
    <cfRule type="cellIs" dxfId="114" priority="27" operator="equal">
      <formula>"Updated"</formula>
    </cfRule>
    <cfRule type="cellIs" dxfId="113" priority="28" operator="equal">
      <formula>"New"</formula>
    </cfRule>
  </conditionalFormatting>
  <conditionalFormatting sqref="C8:C16">
    <cfRule type="cellIs" dxfId="112" priority="9" operator="equal">
      <formula>"WIP (see comments)"</formula>
    </cfRule>
    <cfRule type="cellIs" dxfId="111" priority="10" operator="equal">
      <formula>"Removed"</formula>
    </cfRule>
    <cfRule type="cellIs" dxfId="110" priority="11" operator="equal">
      <formula>"Updated"</formula>
    </cfRule>
    <cfRule type="cellIs" dxfId="109" priority="12" operator="equal">
      <formula>"New"</formula>
    </cfRule>
  </conditionalFormatting>
  <conditionalFormatting sqref="C7">
    <cfRule type="cellIs" dxfId="108" priority="5" operator="equal">
      <formula>"WIP (see comments)"</formula>
    </cfRule>
    <cfRule type="cellIs" dxfId="107" priority="6" operator="equal">
      <formula>"Removed"</formula>
    </cfRule>
    <cfRule type="cellIs" dxfId="106" priority="7" operator="equal">
      <formula>"Updated"</formula>
    </cfRule>
    <cfRule type="cellIs" dxfId="105" priority="8" operator="equal">
      <formula>"New"</formula>
    </cfRule>
  </conditionalFormatting>
  <conditionalFormatting sqref="A16:C16 P16:XFD16 C9:C16 A7:XFD9 A11:XFD15 A10:O10 Q10:XFD10">
    <cfRule type="cellIs" dxfId="104" priority="4" operator="equal">
      <formula>"n/a"</formula>
    </cfRule>
  </conditionalFormatting>
  <conditionalFormatting sqref="D16:N16">
    <cfRule type="cellIs" dxfId="103" priority="3" operator="equal">
      <formula>"n/a"</formula>
    </cfRule>
  </conditionalFormatting>
  <conditionalFormatting sqref="D1">
    <cfRule type="cellIs" dxfId="102" priority="2" operator="equal">
      <formula>"n/a"</formula>
    </cfRule>
  </conditionalFormatting>
  <conditionalFormatting sqref="P10">
    <cfRule type="cellIs" dxfId="101"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Values'!$A$5:$A$27</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workbookViewId="0">
      <pane xSplit="4" ySplit="6" topLeftCell="E7" activePane="bottomRight" state="frozen"/>
      <selection pane="topRight" activeCell="E1" sqref="E1"/>
      <selection pane="bottomLeft" activeCell="A7" sqref="A7"/>
      <selection pane="bottomRight" activeCell="A10" sqref="A10"/>
    </sheetView>
  </sheetViews>
  <sheetFormatPr defaultColWidth="9.1796875" defaultRowHeight="14.5" x14ac:dyDescent="0.35"/>
  <cols>
    <col min="1" max="1" width="14.7265625" style="5" customWidth="1"/>
    <col min="2" max="2" width="12.54296875" style="5" customWidth="1"/>
    <col min="3" max="3" width="14.26953125" style="42" customWidth="1"/>
    <col min="4" max="4" width="45.1796875" style="5" customWidth="1"/>
    <col min="5" max="5" width="28.7265625" style="5" customWidth="1"/>
    <col min="6" max="6" width="37" style="5" customWidth="1"/>
    <col min="7" max="7" width="29.26953125" style="5" customWidth="1"/>
    <col min="8" max="8" width="11.54296875" style="42"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149</v>
      </c>
      <c r="C1" s="32"/>
      <c r="D1" s="29" t="s">
        <v>346</v>
      </c>
      <c r="H1" s="35"/>
    </row>
    <row r="2" spans="1:16" s="30" customFormat="1" ht="18.5" x14ac:dyDescent="0.35">
      <c r="A2" s="28" t="s">
        <v>7</v>
      </c>
      <c r="B2" s="36" t="s">
        <v>177</v>
      </c>
      <c r="C2" s="35"/>
      <c r="D2" s="36"/>
      <c r="H2" s="35"/>
    </row>
    <row r="3" spans="1:16" s="30" customFormat="1" ht="18.5" x14ac:dyDescent="0.35">
      <c r="A3" s="28" t="s">
        <v>44</v>
      </c>
      <c r="B3" s="36" t="s">
        <v>323</v>
      </c>
      <c r="C3" s="35"/>
      <c r="D3" s="36" t="s">
        <v>74</v>
      </c>
      <c r="H3" s="35"/>
    </row>
    <row r="4" spans="1:16" s="30" customFormat="1" ht="18.5" x14ac:dyDescent="0.35">
      <c r="A4" s="28" t="s">
        <v>8</v>
      </c>
      <c r="B4" s="30" t="s">
        <v>145</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CONCATENATE($B$2, ".", A7)</f>
        <v>A.1</v>
      </c>
      <c r="C7" s="51" t="s">
        <v>40</v>
      </c>
      <c r="D7" s="5" t="s">
        <v>37</v>
      </c>
      <c r="E7" s="40" t="s">
        <v>147</v>
      </c>
      <c r="F7" s="5" t="s">
        <v>37</v>
      </c>
      <c r="G7" s="5" t="s">
        <v>37</v>
      </c>
      <c r="H7" s="42" t="s">
        <v>37</v>
      </c>
      <c r="I7" s="40" t="s">
        <v>10</v>
      </c>
      <c r="J7" s="5" t="s">
        <v>37</v>
      </c>
      <c r="K7" s="5" t="s">
        <v>37</v>
      </c>
      <c r="L7" s="5" t="s">
        <v>37</v>
      </c>
      <c r="M7" s="5" t="s">
        <v>37</v>
      </c>
      <c r="N7" s="5" t="s">
        <v>37</v>
      </c>
      <c r="O7" s="5" t="s">
        <v>217</v>
      </c>
    </row>
    <row r="8" spans="1:16" x14ac:dyDescent="0.35">
      <c r="A8" s="5">
        <v>2</v>
      </c>
      <c r="B8" s="5" t="str">
        <f t="shared" ref="B8:B10" si="0">CONCATENATE($B$2, ".", A8)</f>
        <v>A.2</v>
      </c>
      <c r="C8" s="42" t="s">
        <v>40</v>
      </c>
      <c r="D8" s="40" t="s">
        <v>146</v>
      </c>
      <c r="E8" s="40" t="s">
        <v>148</v>
      </c>
      <c r="F8" s="5" t="s">
        <v>37</v>
      </c>
      <c r="G8" s="5" t="s">
        <v>37</v>
      </c>
      <c r="H8" s="42" t="s">
        <v>37</v>
      </c>
      <c r="I8" s="40" t="s">
        <v>10</v>
      </c>
      <c r="J8" s="5" t="s">
        <v>37</v>
      </c>
      <c r="K8" s="5" t="s">
        <v>37</v>
      </c>
      <c r="L8" s="5" t="s">
        <v>37</v>
      </c>
      <c r="M8" s="5" t="s">
        <v>37</v>
      </c>
      <c r="N8" s="5" t="s">
        <v>37</v>
      </c>
    </row>
    <row r="9" spans="1:16" x14ac:dyDescent="0.35">
      <c r="A9" s="5">
        <v>3</v>
      </c>
      <c r="B9" s="5" t="str">
        <f t="shared" si="0"/>
        <v>A.3</v>
      </c>
      <c r="C9" s="51" t="s">
        <v>40</v>
      </c>
      <c r="D9" s="45" t="s">
        <v>162</v>
      </c>
      <c r="E9" s="40" t="s">
        <v>34</v>
      </c>
      <c r="F9" s="5" t="s">
        <v>37</v>
      </c>
      <c r="G9" s="5" t="s">
        <v>37</v>
      </c>
      <c r="H9" s="42" t="s">
        <v>37</v>
      </c>
      <c r="I9" s="40" t="s">
        <v>10</v>
      </c>
      <c r="J9" s="5" t="s">
        <v>37</v>
      </c>
      <c r="K9" s="5" t="s">
        <v>37</v>
      </c>
      <c r="L9" s="5" t="s">
        <v>37</v>
      </c>
      <c r="M9" s="5" t="s">
        <v>37</v>
      </c>
      <c r="N9" s="5" t="s">
        <v>37</v>
      </c>
    </row>
    <row r="10" spans="1:16" ht="81" customHeight="1" x14ac:dyDescent="0.35">
      <c r="A10" s="5">
        <v>4</v>
      </c>
      <c r="B10" s="5" t="str">
        <f t="shared" si="0"/>
        <v>A.4</v>
      </c>
      <c r="C10" s="51" t="s">
        <v>45</v>
      </c>
      <c r="D10" s="5" t="s">
        <v>184</v>
      </c>
      <c r="E10" s="40" t="s">
        <v>34</v>
      </c>
      <c r="F10" s="5" t="s">
        <v>37</v>
      </c>
      <c r="G10" s="5" t="s">
        <v>37</v>
      </c>
      <c r="H10" s="42" t="s">
        <v>37</v>
      </c>
      <c r="I10" s="40" t="s">
        <v>10</v>
      </c>
      <c r="J10" s="5" t="s">
        <v>37</v>
      </c>
      <c r="K10" s="5" t="s">
        <v>37</v>
      </c>
      <c r="L10" s="5" t="s">
        <v>37</v>
      </c>
      <c r="M10" s="5" t="s">
        <v>37</v>
      </c>
      <c r="N10" s="5" t="s">
        <v>37</v>
      </c>
      <c r="O10" s="5" t="s">
        <v>183</v>
      </c>
      <c r="P10" s="5" t="s">
        <v>350</v>
      </c>
    </row>
    <row r="11" spans="1:16" x14ac:dyDescent="0.35">
      <c r="I11" s="40"/>
      <c r="L11" s="40"/>
      <c r="M11" s="40"/>
      <c r="N11" s="40"/>
      <c r="O11" s="40"/>
    </row>
    <row r="12" spans="1:16" x14ac:dyDescent="0.35">
      <c r="I12" s="40"/>
      <c r="L12" s="40"/>
      <c r="M12" s="40"/>
      <c r="N12" s="40"/>
      <c r="O12" s="40"/>
    </row>
  </sheetData>
  <autoFilter ref="A6:P9"/>
  <conditionalFormatting sqref="C7:C1048576">
    <cfRule type="cellIs" dxfId="100" priority="6" operator="equal">
      <formula>"WIP (see comments)"</formula>
    </cfRule>
    <cfRule type="cellIs" dxfId="99" priority="7" operator="equal">
      <formula>"Removed"</formula>
    </cfRule>
    <cfRule type="cellIs" dxfId="98" priority="8" operator="equal">
      <formula>"Updated"</formula>
    </cfRule>
    <cfRule type="cellIs" dxfId="97" priority="9" operator="equal">
      <formula>"New"</formula>
    </cfRule>
  </conditionalFormatting>
  <conditionalFormatting sqref="D9">
    <cfRule type="cellIs" dxfId="96" priority="5" operator="equal">
      <formula>"-"</formula>
    </cfRule>
  </conditionalFormatting>
  <conditionalFormatting sqref="A2:XFD6 E7:XFD7 A8:XFD1048576 A7:C7 A1:C1 E1:XFD1">
    <cfRule type="cellIs" dxfId="95" priority="4" operator="equal">
      <formula>"n/a"</formula>
    </cfRule>
  </conditionalFormatting>
  <conditionalFormatting sqref="D7">
    <cfRule type="cellIs" dxfId="94" priority="3" operator="equal">
      <formula>"-"</formula>
    </cfRule>
  </conditionalFormatting>
  <conditionalFormatting sqref="D7">
    <cfRule type="cellIs" dxfId="93" priority="2" operator="equal">
      <formula>"n/a"</formula>
    </cfRule>
  </conditionalFormatting>
  <conditionalFormatting sqref="D1">
    <cfRule type="cellIs" dxfId="92" priority="1" operator="equal">
      <formula>"n/a"</formula>
    </cfRule>
  </conditionalFormatting>
  <dataValidations count="1">
    <dataValidation type="list" allowBlank="1" showInputMessage="1" showErrorMessage="1" sqref="E7:E9">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Values'!$A$5:$A$27</xm:f>
          </x14:formula1>
          <xm:sqref>E10:E1048576</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
  <sheetViews>
    <sheetView workbookViewId="0">
      <pane xSplit="4" ySplit="6" topLeftCell="L7" activePane="bottomRight" state="frozen"/>
      <selection pane="topRight" activeCell="E1" sqref="E1"/>
      <selection pane="bottomLeft" activeCell="A7" sqref="A7"/>
      <selection pane="bottomRight" activeCell="D1" sqref="D1"/>
    </sheetView>
  </sheetViews>
  <sheetFormatPr defaultColWidth="9.1796875" defaultRowHeight="14.5" x14ac:dyDescent="0.35"/>
  <cols>
    <col min="1" max="1" width="14.7265625" style="5" customWidth="1"/>
    <col min="2" max="2" width="12.54296875" style="5" customWidth="1"/>
    <col min="3" max="3" width="15.81640625" style="42" customWidth="1"/>
    <col min="4" max="4" width="45.1796875" style="5" customWidth="1"/>
    <col min="5" max="5" width="28.7265625" style="5" customWidth="1"/>
    <col min="6" max="6" width="37" style="5" customWidth="1"/>
    <col min="7" max="7" width="29.26953125" style="5" customWidth="1"/>
    <col min="8" max="8" width="11.54296875" style="42"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150</v>
      </c>
      <c r="C1" s="32"/>
      <c r="D1" s="29" t="s">
        <v>346</v>
      </c>
      <c r="H1" s="35"/>
    </row>
    <row r="2" spans="1:16" s="30" customFormat="1" ht="18.5" x14ac:dyDescent="0.35">
      <c r="A2" s="28" t="s">
        <v>7</v>
      </c>
      <c r="B2" s="36" t="s">
        <v>178</v>
      </c>
      <c r="C2" s="35"/>
      <c r="D2" s="36"/>
      <c r="H2" s="35"/>
    </row>
    <row r="3" spans="1:16" s="30" customFormat="1" ht="18.5" x14ac:dyDescent="0.35">
      <c r="A3" s="28" t="s">
        <v>44</v>
      </c>
      <c r="B3" s="36" t="s">
        <v>323</v>
      </c>
      <c r="C3" s="35"/>
      <c r="D3" s="36" t="s">
        <v>74</v>
      </c>
      <c r="H3" s="35"/>
    </row>
    <row r="4" spans="1:16" s="30" customFormat="1" ht="18.5" x14ac:dyDescent="0.35">
      <c r="A4" s="28" t="s">
        <v>8</v>
      </c>
      <c r="B4" s="30" t="s">
        <v>207</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CONCATENATE($B$2, ".", A7)</f>
        <v>B.1</v>
      </c>
      <c r="C7" s="51" t="s">
        <v>40</v>
      </c>
      <c r="D7" s="5" t="s">
        <v>37</v>
      </c>
      <c r="E7" s="40" t="s">
        <v>147</v>
      </c>
      <c r="F7" s="5" t="s">
        <v>37</v>
      </c>
      <c r="G7" s="5" t="s">
        <v>37</v>
      </c>
      <c r="H7" s="42" t="s">
        <v>37</v>
      </c>
      <c r="I7" s="40" t="s">
        <v>10</v>
      </c>
      <c r="J7" s="5" t="s">
        <v>37</v>
      </c>
      <c r="K7" s="5" t="s">
        <v>37</v>
      </c>
      <c r="L7" s="5" t="s">
        <v>37</v>
      </c>
      <c r="M7" s="5" t="s">
        <v>37</v>
      </c>
      <c r="N7" s="5" t="s">
        <v>37</v>
      </c>
      <c r="O7" s="5" t="s">
        <v>218</v>
      </c>
    </row>
    <row r="8" spans="1:16" x14ac:dyDescent="0.35">
      <c r="A8" s="5">
        <v>2</v>
      </c>
      <c r="B8" s="5" t="str">
        <f t="shared" ref="B8:B9" si="0">CONCATENATE($B$2, ".", A8)</f>
        <v>B.2</v>
      </c>
      <c r="C8" s="42" t="s">
        <v>40</v>
      </c>
      <c r="D8" s="40" t="s">
        <v>163</v>
      </c>
      <c r="E8" s="40" t="s">
        <v>148</v>
      </c>
      <c r="F8" s="5" t="s">
        <v>37</v>
      </c>
      <c r="G8" s="5" t="s">
        <v>37</v>
      </c>
      <c r="H8" s="42" t="s">
        <v>37</v>
      </c>
      <c r="I8" s="40" t="s">
        <v>10</v>
      </c>
      <c r="J8" s="5" t="s">
        <v>37</v>
      </c>
      <c r="K8" s="5" t="s">
        <v>37</v>
      </c>
      <c r="L8" s="5" t="s">
        <v>37</v>
      </c>
      <c r="M8" s="5" t="s">
        <v>37</v>
      </c>
      <c r="N8" s="5" t="s">
        <v>37</v>
      </c>
    </row>
    <row r="9" spans="1:16" ht="71.25" customHeight="1" x14ac:dyDescent="0.35">
      <c r="A9" s="5">
        <v>3</v>
      </c>
      <c r="B9" s="5" t="str">
        <f t="shared" si="0"/>
        <v>B.3</v>
      </c>
      <c r="C9" s="51" t="s">
        <v>45</v>
      </c>
      <c r="D9" s="5" t="s">
        <v>185</v>
      </c>
      <c r="E9" s="40" t="s">
        <v>34</v>
      </c>
      <c r="F9" s="5" t="s">
        <v>37</v>
      </c>
      <c r="G9" s="5" t="s">
        <v>37</v>
      </c>
      <c r="H9" s="42" t="s">
        <v>37</v>
      </c>
      <c r="I9" s="40" t="s">
        <v>10</v>
      </c>
      <c r="J9" s="5" t="s">
        <v>37</v>
      </c>
      <c r="K9" s="5" t="s">
        <v>37</v>
      </c>
      <c r="L9" s="5" t="s">
        <v>37</v>
      </c>
      <c r="M9" s="5" t="s">
        <v>37</v>
      </c>
      <c r="N9" s="5" t="s">
        <v>37</v>
      </c>
      <c r="O9" s="5" t="s">
        <v>183</v>
      </c>
      <c r="P9" s="5" t="s">
        <v>350</v>
      </c>
    </row>
    <row r="10" spans="1:16" x14ac:dyDescent="0.35">
      <c r="I10" s="40"/>
      <c r="L10" s="40"/>
      <c r="M10" s="40"/>
      <c r="N10" s="40"/>
      <c r="O10" s="40"/>
    </row>
    <row r="11" spans="1:16" x14ac:dyDescent="0.35">
      <c r="I11" s="40"/>
      <c r="L11" s="40"/>
      <c r="M11" s="40"/>
      <c r="N11" s="40"/>
      <c r="O11" s="40"/>
    </row>
  </sheetData>
  <autoFilter ref="A6:P9"/>
  <conditionalFormatting sqref="C7:C1048576">
    <cfRule type="cellIs" dxfId="91" priority="8" operator="equal">
      <formula>"WIP (see comments)"</formula>
    </cfRule>
    <cfRule type="cellIs" dxfId="90" priority="9" operator="equal">
      <formula>"Removed"</formula>
    </cfRule>
    <cfRule type="cellIs" dxfId="89" priority="10" operator="equal">
      <formula>"Updated"</formula>
    </cfRule>
    <cfRule type="cellIs" dxfId="88" priority="11" operator="equal">
      <formula>"New"</formula>
    </cfRule>
  </conditionalFormatting>
  <conditionalFormatting sqref="A12:XFD1048576 A11:C11 E11:XFD11 P9:XFD9 A10:XFD10 A2:XFD6 Q7:XFD7 E7:O7 A8:XFD8 A9:N9 A7:C7 A1:C1 E1:XFD1">
    <cfRule type="cellIs" dxfId="87" priority="6" operator="equal">
      <formula>"n/a"</formula>
    </cfRule>
  </conditionalFormatting>
  <conditionalFormatting sqref="O9">
    <cfRule type="cellIs" dxfId="86" priority="5" operator="equal">
      <formula>"n/a"</formula>
    </cfRule>
  </conditionalFormatting>
  <conditionalFormatting sqref="P7">
    <cfRule type="cellIs" dxfId="85" priority="4" operator="equal">
      <formula>"n/a"</formula>
    </cfRule>
  </conditionalFormatting>
  <conditionalFormatting sqref="D7">
    <cfRule type="cellIs" dxfId="84" priority="3" operator="equal">
      <formula>"-"</formula>
    </cfRule>
  </conditionalFormatting>
  <conditionalFormatting sqref="D7">
    <cfRule type="cellIs" dxfId="83" priority="2" operator="equal">
      <formula>"n/a"</formula>
    </cfRule>
  </conditionalFormatting>
  <conditionalFormatting sqref="D1">
    <cfRule type="cellIs" dxfId="82" priority="1" operator="equal">
      <formula>"n/a"</formula>
    </cfRule>
  </conditionalFormatting>
  <dataValidations count="1">
    <dataValidation type="list" allowBlank="1" showInputMessage="1" showErrorMessage="1" sqref="E7:E8">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Values'!$A$5:$A$27</xm:f>
          </x14:formula1>
          <xm:sqref>E9:E1048576</xm:sqref>
        </x14:dataValidation>
        <x14:dataValidation type="list" allowBlank="1" showInputMessage="1" showErrorMessage="1">
          <x14:formula1>
            <xm:f>'List Values'!$B$5:$B$13</xm:f>
          </x14:formula1>
          <xm:sqref>C7:C1048576</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workbookViewId="0">
      <pane ySplit="6" topLeftCell="A7" activePane="bottomLeft" state="frozen"/>
      <selection pane="bottomLeft" activeCell="D1" sqref="D1"/>
    </sheetView>
  </sheetViews>
  <sheetFormatPr defaultColWidth="9.1796875" defaultRowHeight="14.5" x14ac:dyDescent="0.35"/>
  <cols>
    <col min="1" max="1" width="14.7265625" style="5" customWidth="1"/>
    <col min="2" max="2" width="12.54296875" style="5" customWidth="1"/>
    <col min="3" max="3" width="13" style="42" customWidth="1"/>
    <col min="4" max="4" width="45.1796875" style="5" customWidth="1"/>
    <col min="5" max="5" width="28.7265625" style="5" customWidth="1"/>
    <col min="6" max="6" width="37" style="5" customWidth="1"/>
    <col min="7" max="7" width="29.26953125" style="5" customWidth="1"/>
    <col min="8" max="8" width="11.54296875" style="42"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151</v>
      </c>
      <c r="C1" s="32"/>
      <c r="D1" s="29" t="s">
        <v>346</v>
      </c>
      <c r="H1" s="35"/>
    </row>
    <row r="2" spans="1:16" s="30" customFormat="1" ht="18.5" x14ac:dyDescent="0.35">
      <c r="A2" s="28" t="s">
        <v>7</v>
      </c>
      <c r="B2" s="36" t="s">
        <v>179</v>
      </c>
      <c r="C2" s="35"/>
      <c r="D2" s="36"/>
      <c r="H2" s="35"/>
    </row>
    <row r="3" spans="1:16" s="30" customFormat="1" ht="18.5" x14ac:dyDescent="0.35">
      <c r="A3" s="28" t="s">
        <v>44</v>
      </c>
      <c r="B3" s="36" t="s">
        <v>323</v>
      </c>
      <c r="C3" s="35"/>
      <c r="D3" s="36" t="s">
        <v>74</v>
      </c>
      <c r="H3" s="35"/>
    </row>
    <row r="4" spans="1:16" s="30" customFormat="1" ht="18.5" x14ac:dyDescent="0.35">
      <c r="A4" s="28" t="s">
        <v>8</v>
      </c>
      <c r="B4" s="30" t="s">
        <v>355</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CONCATENATE($B$2, ".", A7)</f>
        <v>C.1</v>
      </c>
      <c r="C7" s="51" t="s">
        <v>40</v>
      </c>
      <c r="D7" s="5" t="s">
        <v>37</v>
      </c>
      <c r="E7" s="40" t="s">
        <v>147</v>
      </c>
      <c r="F7" s="5" t="s">
        <v>37</v>
      </c>
      <c r="G7" s="5" t="s">
        <v>37</v>
      </c>
      <c r="H7" s="42" t="s">
        <v>37</v>
      </c>
      <c r="I7" s="40" t="s">
        <v>10</v>
      </c>
      <c r="J7" s="5" t="s">
        <v>37</v>
      </c>
      <c r="K7" s="5" t="s">
        <v>37</v>
      </c>
      <c r="L7" s="5" t="s">
        <v>37</v>
      </c>
      <c r="M7" s="5" t="s">
        <v>37</v>
      </c>
      <c r="N7" s="5" t="s">
        <v>37</v>
      </c>
      <c r="O7" s="5" t="s">
        <v>219</v>
      </c>
    </row>
    <row r="8" spans="1:16" x14ac:dyDescent="0.35">
      <c r="A8" s="5">
        <v>2</v>
      </c>
      <c r="B8" s="5" t="str">
        <f t="shared" ref="B8:B10" si="0">CONCATENATE($B$2, ".", A8)</f>
        <v>C.2</v>
      </c>
      <c r="C8" s="42" t="s">
        <v>40</v>
      </c>
      <c r="D8" s="40" t="s">
        <v>152</v>
      </c>
      <c r="E8" s="40" t="s">
        <v>148</v>
      </c>
      <c r="F8" s="5" t="s">
        <v>37</v>
      </c>
      <c r="G8" s="5" t="s">
        <v>37</v>
      </c>
      <c r="H8" s="42" t="s">
        <v>37</v>
      </c>
      <c r="I8" s="40" t="s">
        <v>10</v>
      </c>
      <c r="J8" s="5" t="s">
        <v>37</v>
      </c>
      <c r="K8" s="5" t="s">
        <v>37</v>
      </c>
      <c r="L8" s="5" t="s">
        <v>37</v>
      </c>
      <c r="M8" s="5" t="s">
        <v>37</v>
      </c>
      <c r="N8" s="5" t="s">
        <v>37</v>
      </c>
    </row>
    <row r="9" spans="1:16" ht="29" x14ac:dyDescent="0.35">
      <c r="A9" s="5">
        <v>3</v>
      </c>
      <c r="B9" s="5" t="str">
        <f t="shared" si="0"/>
        <v>C.3</v>
      </c>
      <c r="C9" s="51" t="s">
        <v>40</v>
      </c>
      <c r="D9" s="5" t="s">
        <v>164</v>
      </c>
      <c r="E9" s="40" t="s">
        <v>34</v>
      </c>
      <c r="F9" s="5" t="s">
        <v>37</v>
      </c>
      <c r="G9" s="5" t="s">
        <v>37</v>
      </c>
      <c r="H9" s="42" t="s">
        <v>37</v>
      </c>
      <c r="I9" s="40" t="s">
        <v>10</v>
      </c>
      <c r="J9" s="5" t="s">
        <v>37</v>
      </c>
      <c r="K9" s="5" t="s">
        <v>37</v>
      </c>
      <c r="L9" s="5" t="s">
        <v>37</v>
      </c>
      <c r="M9" s="5" t="s">
        <v>37</v>
      </c>
      <c r="N9" s="5" t="s">
        <v>37</v>
      </c>
    </row>
    <row r="10" spans="1:16" ht="54" customHeight="1" x14ac:dyDescent="0.35">
      <c r="A10" s="5">
        <v>4</v>
      </c>
      <c r="B10" s="5" t="str">
        <f t="shared" si="0"/>
        <v>C.4</v>
      </c>
      <c r="C10" s="51" t="s">
        <v>45</v>
      </c>
      <c r="D10" s="5" t="s">
        <v>354</v>
      </c>
      <c r="E10" s="40" t="s">
        <v>34</v>
      </c>
      <c r="F10" s="5" t="s">
        <v>37</v>
      </c>
      <c r="G10" s="5" t="s">
        <v>37</v>
      </c>
      <c r="H10" s="42" t="s">
        <v>37</v>
      </c>
      <c r="I10" s="40" t="s">
        <v>10</v>
      </c>
      <c r="J10" s="5" t="s">
        <v>37</v>
      </c>
      <c r="K10" s="5" t="s">
        <v>37</v>
      </c>
      <c r="L10" s="5" t="s">
        <v>37</v>
      </c>
      <c r="M10" s="5" t="s">
        <v>37</v>
      </c>
      <c r="N10" s="5" t="s">
        <v>37</v>
      </c>
      <c r="P10" s="5" t="s">
        <v>350</v>
      </c>
    </row>
    <row r="11" spans="1:16" x14ac:dyDescent="0.35">
      <c r="I11" s="40"/>
      <c r="L11" s="40"/>
      <c r="M11" s="40"/>
      <c r="N11" s="40"/>
      <c r="O11" s="40"/>
    </row>
    <row r="12" spans="1:16" x14ac:dyDescent="0.35">
      <c r="I12" s="40"/>
      <c r="L12" s="40"/>
      <c r="M12" s="40"/>
      <c r="N12" s="40"/>
      <c r="O12" s="40"/>
    </row>
  </sheetData>
  <autoFilter ref="A6:P9"/>
  <conditionalFormatting sqref="C7:C1048576">
    <cfRule type="cellIs" dxfId="81" priority="5" operator="equal">
      <formula>"WIP (see comments)"</formula>
    </cfRule>
    <cfRule type="cellIs" dxfId="80" priority="6" operator="equal">
      <formula>"Removed"</formula>
    </cfRule>
    <cfRule type="cellIs" dxfId="79" priority="7" operator="equal">
      <formula>"Updated"</formula>
    </cfRule>
    <cfRule type="cellIs" dxfId="78" priority="8" operator="equal">
      <formula>"New"</formula>
    </cfRule>
  </conditionalFormatting>
  <conditionalFormatting sqref="D9 D7">
    <cfRule type="cellIs" dxfId="77" priority="4" operator="equal">
      <formula>"-"</formula>
    </cfRule>
  </conditionalFormatting>
  <conditionalFormatting sqref="A2:XFD6 Q7:XFD7 A8:XFD1048576 A7:O7 A1:C1 E1:XFD1">
    <cfRule type="cellIs" dxfId="76" priority="3" operator="equal">
      <formula>"n/a"</formula>
    </cfRule>
  </conditionalFormatting>
  <conditionalFormatting sqref="P7">
    <cfRule type="cellIs" dxfId="75" priority="2" operator="equal">
      <formula>"n/a"</formula>
    </cfRule>
  </conditionalFormatting>
  <conditionalFormatting sqref="D1">
    <cfRule type="cellIs" dxfId="74" priority="1" operator="equal">
      <formula>"n/a"</formula>
    </cfRule>
  </conditionalFormatting>
  <dataValidations count="1">
    <dataValidation type="list" allowBlank="1" showInputMessage="1" showErrorMessage="1" sqref="E7:E9">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Values'!$A$5:$A$27</xm:f>
          </x14:formula1>
          <xm:sqref>E10:E1048576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
  <sheetViews>
    <sheetView zoomScaleNormal="100" workbookViewId="0">
      <pane xSplit="4" ySplit="6" topLeftCell="E7" activePane="bottomRight" state="frozen"/>
      <selection pane="topRight" activeCell="E1" sqref="E1"/>
      <selection pane="bottomLeft" activeCell="A7" sqref="A7"/>
      <selection pane="bottomRight" activeCell="D1" sqref="D1"/>
    </sheetView>
  </sheetViews>
  <sheetFormatPr defaultColWidth="9.1796875" defaultRowHeight="14.5" x14ac:dyDescent="0.35"/>
  <cols>
    <col min="1" max="1" width="14.7265625" style="5" customWidth="1"/>
    <col min="2" max="2" width="12.54296875" style="5" customWidth="1"/>
    <col min="3" max="3" width="13" style="42" customWidth="1"/>
    <col min="4" max="4" width="45.1796875" style="5" customWidth="1"/>
    <col min="5" max="5" width="28.7265625" style="5" customWidth="1"/>
    <col min="6" max="6" width="37" style="5" customWidth="1"/>
    <col min="7" max="7" width="29.26953125" style="5" customWidth="1"/>
    <col min="8" max="8" width="11.54296875" style="42"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153</v>
      </c>
      <c r="C1" s="32"/>
      <c r="D1" s="29" t="s">
        <v>346</v>
      </c>
      <c r="H1" s="35"/>
    </row>
    <row r="2" spans="1:16" s="30" customFormat="1" ht="18.5" x14ac:dyDescent="0.35">
      <c r="A2" s="28" t="s">
        <v>7</v>
      </c>
      <c r="B2" s="36" t="s">
        <v>180</v>
      </c>
      <c r="C2" s="35"/>
      <c r="D2" s="36"/>
      <c r="H2" s="35"/>
    </row>
    <row r="3" spans="1:16" s="30" customFormat="1" ht="18.5" x14ac:dyDescent="0.35">
      <c r="A3" s="28" t="s">
        <v>44</v>
      </c>
      <c r="B3" s="36" t="s">
        <v>323</v>
      </c>
      <c r="C3" s="35"/>
      <c r="D3" s="36" t="s">
        <v>74</v>
      </c>
      <c r="H3" s="35"/>
    </row>
    <row r="4" spans="1:16" s="30" customFormat="1" ht="18.5" x14ac:dyDescent="0.35">
      <c r="A4" s="28" t="s">
        <v>8</v>
      </c>
      <c r="B4" s="30" t="s">
        <v>154</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CONCATENATE($B$2, ".", A7)</f>
        <v>D.1</v>
      </c>
      <c r="C7" s="51" t="s">
        <v>40</v>
      </c>
      <c r="D7" s="5" t="s">
        <v>37</v>
      </c>
      <c r="E7" s="40" t="s">
        <v>147</v>
      </c>
      <c r="F7" s="5" t="s">
        <v>37</v>
      </c>
      <c r="G7" s="5" t="s">
        <v>37</v>
      </c>
      <c r="H7" s="42" t="s">
        <v>37</v>
      </c>
      <c r="I7" s="40" t="s">
        <v>10</v>
      </c>
      <c r="J7" s="5" t="s">
        <v>37</v>
      </c>
      <c r="K7" s="5" t="s">
        <v>37</v>
      </c>
      <c r="L7" s="5" t="s">
        <v>37</v>
      </c>
      <c r="M7" s="5" t="s">
        <v>37</v>
      </c>
      <c r="N7" s="5" t="s">
        <v>37</v>
      </c>
      <c r="O7" s="5" t="s">
        <v>220</v>
      </c>
    </row>
    <row r="8" spans="1:16" x14ac:dyDescent="0.35">
      <c r="A8" s="5">
        <v>2</v>
      </c>
      <c r="B8" s="5" t="str">
        <f t="shared" ref="B8:B9" si="0">CONCATENATE($B$2, ".", A8)</f>
        <v>D.2</v>
      </c>
      <c r="C8" s="42" t="s">
        <v>40</v>
      </c>
      <c r="D8" s="40" t="s">
        <v>155</v>
      </c>
      <c r="E8" s="40" t="s">
        <v>148</v>
      </c>
      <c r="F8" s="5" t="s">
        <v>37</v>
      </c>
      <c r="G8" s="5" t="s">
        <v>37</v>
      </c>
      <c r="H8" s="42" t="s">
        <v>37</v>
      </c>
      <c r="I8" s="40" t="s">
        <v>10</v>
      </c>
      <c r="J8" s="5" t="s">
        <v>37</v>
      </c>
      <c r="K8" s="5" t="s">
        <v>37</v>
      </c>
      <c r="L8" s="5" t="s">
        <v>37</v>
      </c>
      <c r="M8" s="5" t="s">
        <v>37</v>
      </c>
      <c r="N8" s="5" t="s">
        <v>37</v>
      </c>
    </row>
    <row r="9" spans="1:16" ht="43.5" x14ac:dyDescent="0.35">
      <c r="A9" s="5">
        <v>3</v>
      </c>
      <c r="B9" s="5" t="str">
        <f t="shared" si="0"/>
        <v>D.3</v>
      </c>
      <c r="C9" s="51" t="s">
        <v>45</v>
      </c>
      <c r="D9" s="45" t="s">
        <v>165</v>
      </c>
      <c r="E9" s="40" t="s">
        <v>34</v>
      </c>
      <c r="F9" s="5" t="s">
        <v>37</v>
      </c>
      <c r="G9" s="5" t="s">
        <v>37</v>
      </c>
      <c r="H9" s="42" t="s">
        <v>37</v>
      </c>
      <c r="I9" s="40" t="s">
        <v>10</v>
      </c>
      <c r="J9" s="5" t="s">
        <v>37</v>
      </c>
      <c r="K9" s="5" t="s">
        <v>37</v>
      </c>
      <c r="L9" s="5" t="s">
        <v>37</v>
      </c>
      <c r="M9" s="5" t="s">
        <v>37</v>
      </c>
      <c r="N9" s="5" t="s">
        <v>37</v>
      </c>
      <c r="P9" s="5" t="s">
        <v>350</v>
      </c>
    </row>
    <row r="10" spans="1:16" x14ac:dyDescent="0.35">
      <c r="I10" s="40"/>
      <c r="L10" s="40"/>
      <c r="M10" s="40"/>
      <c r="N10" s="40"/>
      <c r="O10" s="40"/>
    </row>
    <row r="11" spans="1:16" x14ac:dyDescent="0.35">
      <c r="I11" s="40"/>
      <c r="L11" s="40"/>
      <c r="M11" s="40"/>
      <c r="N11" s="40"/>
      <c r="O11" s="40"/>
    </row>
  </sheetData>
  <autoFilter ref="A6:P9"/>
  <conditionalFormatting sqref="C7:C1048576">
    <cfRule type="cellIs" dxfId="73" priority="5" operator="equal">
      <formula>"WIP (see comments)"</formula>
    </cfRule>
    <cfRule type="cellIs" dxfId="72" priority="6" operator="equal">
      <formula>"Removed"</formula>
    </cfRule>
    <cfRule type="cellIs" dxfId="71" priority="7" operator="equal">
      <formula>"Updated"</formula>
    </cfRule>
    <cfRule type="cellIs" dxfId="70" priority="8" operator="equal">
      <formula>"New"</formula>
    </cfRule>
  </conditionalFormatting>
  <conditionalFormatting sqref="D9 D7">
    <cfRule type="cellIs" dxfId="69" priority="4" operator="equal">
      <formula>"-"</formula>
    </cfRule>
  </conditionalFormatting>
  <conditionalFormatting sqref="A2:XFD6 Q7:XFD7 A8:XFD1048576 A7:O7 A1:C1 E1:XFD1">
    <cfRule type="cellIs" dxfId="68" priority="3" operator="equal">
      <formula>"n/a"</formula>
    </cfRule>
  </conditionalFormatting>
  <conditionalFormatting sqref="P7">
    <cfRule type="cellIs" dxfId="67" priority="2" operator="equal">
      <formula>"n/a"</formula>
    </cfRule>
  </conditionalFormatting>
  <conditionalFormatting sqref="D1">
    <cfRule type="cellIs" dxfId="66" priority="1" operator="equal">
      <formula>"n/a"</formula>
    </cfRule>
  </conditionalFormatting>
  <dataValidations count="1">
    <dataValidation type="list" allowBlank="1" showInputMessage="1" showErrorMessage="1" sqref="E7:E9">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Values'!$A$5:$A$27</xm:f>
          </x14:formula1>
          <xm:sqref>E10:E1048576</xm:sqref>
        </x14:dataValidation>
        <x14:dataValidation type="list" allowBlank="1" showInputMessage="1" showErrorMessage="1">
          <x14:formula1>
            <xm:f>'List Values'!$B$5:$B$13</xm:f>
          </x14:formula1>
          <xm:sqref>C7:C1048576</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zoomScaleNormal="100" workbookViewId="0">
      <pane xSplit="4" ySplit="6" topLeftCell="E7" activePane="bottomRight" state="frozen"/>
      <selection pane="topRight" activeCell="E1" sqref="E1"/>
      <selection pane="bottomLeft" activeCell="A7" sqref="A7"/>
      <selection pane="bottomRight" activeCell="D1" sqref="D1"/>
    </sheetView>
  </sheetViews>
  <sheetFormatPr defaultColWidth="9.1796875" defaultRowHeight="14.5" x14ac:dyDescent="0.35"/>
  <cols>
    <col min="1" max="1" width="14.7265625" style="5" customWidth="1"/>
    <col min="2" max="2" width="12.54296875" style="5" customWidth="1"/>
    <col min="3" max="3" width="13" style="42" customWidth="1"/>
    <col min="4" max="4" width="45.1796875" style="5" customWidth="1"/>
    <col min="5" max="5" width="28.7265625" style="5" customWidth="1"/>
    <col min="6" max="6" width="37" style="5" customWidth="1"/>
    <col min="7" max="7" width="29.26953125" style="5" customWidth="1"/>
    <col min="8" max="8" width="11.54296875" style="42"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156</v>
      </c>
      <c r="C1" s="32"/>
      <c r="D1" s="29" t="s">
        <v>346</v>
      </c>
      <c r="H1" s="35"/>
    </row>
    <row r="2" spans="1:16" s="30" customFormat="1" ht="18.5" x14ac:dyDescent="0.35">
      <c r="A2" s="28" t="s">
        <v>7</v>
      </c>
      <c r="B2" s="36" t="s">
        <v>181</v>
      </c>
      <c r="C2" s="35"/>
      <c r="D2" s="36"/>
      <c r="H2" s="35"/>
    </row>
    <row r="3" spans="1:16" s="30" customFormat="1" ht="18.5" x14ac:dyDescent="0.35">
      <c r="A3" s="28" t="s">
        <v>44</v>
      </c>
      <c r="B3" s="36" t="s">
        <v>323</v>
      </c>
      <c r="C3" s="35"/>
      <c r="D3" s="36" t="s">
        <v>74</v>
      </c>
      <c r="H3" s="35"/>
    </row>
    <row r="4" spans="1:16" s="30" customFormat="1" ht="18.5" x14ac:dyDescent="0.35">
      <c r="A4" s="28" t="s">
        <v>8</v>
      </c>
      <c r="B4" s="30" t="s">
        <v>157</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CONCATENATE($B$2, ".", A7)</f>
        <v>E.1</v>
      </c>
      <c r="C7" s="51" t="s">
        <v>40</v>
      </c>
      <c r="D7" s="5" t="s">
        <v>37</v>
      </c>
      <c r="E7" s="40" t="s">
        <v>147</v>
      </c>
      <c r="F7" s="5" t="s">
        <v>37</v>
      </c>
      <c r="G7" s="5" t="s">
        <v>37</v>
      </c>
      <c r="H7" s="42" t="s">
        <v>37</v>
      </c>
      <c r="I7" s="40" t="s">
        <v>10</v>
      </c>
      <c r="J7" s="5" t="s">
        <v>37</v>
      </c>
      <c r="K7" s="5" t="s">
        <v>37</v>
      </c>
      <c r="L7" s="5" t="s">
        <v>37</v>
      </c>
      <c r="M7" s="5" t="s">
        <v>37</v>
      </c>
      <c r="N7" s="5" t="s">
        <v>37</v>
      </c>
      <c r="O7" s="5" t="s">
        <v>221</v>
      </c>
    </row>
    <row r="8" spans="1:16" x14ac:dyDescent="0.35">
      <c r="A8" s="5">
        <v>2</v>
      </c>
      <c r="B8" s="5" t="str">
        <f t="shared" ref="B8:B10" si="0">CONCATENATE($B$2, ".", A8)</f>
        <v>E.2</v>
      </c>
      <c r="C8" s="42" t="s">
        <v>40</v>
      </c>
      <c r="D8" s="40" t="s">
        <v>158</v>
      </c>
      <c r="E8" s="40" t="s">
        <v>148</v>
      </c>
      <c r="F8" s="5" t="s">
        <v>37</v>
      </c>
      <c r="G8" s="5" t="s">
        <v>37</v>
      </c>
      <c r="H8" s="42" t="s">
        <v>37</v>
      </c>
      <c r="I8" s="40" t="s">
        <v>10</v>
      </c>
      <c r="J8" s="5" t="s">
        <v>37</v>
      </c>
      <c r="K8" s="5" t="s">
        <v>37</v>
      </c>
      <c r="L8" s="5" t="s">
        <v>37</v>
      </c>
      <c r="M8" s="5" t="s">
        <v>37</v>
      </c>
      <c r="N8" s="5" t="s">
        <v>37</v>
      </c>
    </row>
    <row r="9" spans="1:16" ht="29" x14ac:dyDescent="0.35">
      <c r="A9" s="5">
        <v>3</v>
      </c>
      <c r="B9" s="5" t="str">
        <f t="shared" si="0"/>
        <v>E.3</v>
      </c>
      <c r="C9" s="51" t="s">
        <v>40</v>
      </c>
      <c r="D9" s="45" t="s">
        <v>166</v>
      </c>
      <c r="E9" s="40" t="s">
        <v>34</v>
      </c>
      <c r="F9" s="5" t="s">
        <v>37</v>
      </c>
      <c r="G9" s="5" t="s">
        <v>37</v>
      </c>
      <c r="H9" s="42" t="s">
        <v>37</v>
      </c>
      <c r="I9" s="40" t="s">
        <v>10</v>
      </c>
      <c r="J9" s="5" t="s">
        <v>37</v>
      </c>
      <c r="K9" s="5" t="s">
        <v>37</v>
      </c>
      <c r="L9" s="5" t="s">
        <v>37</v>
      </c>
      <c r="M9" s="5" t="s">
        <v>37</v>
      </c>
      <c r="N9" s="5" t="s">
        <v>37</v>
      </c>
    </row>
    <row r="10" spans="1:16" ht="79.5" customHeight="1" x14ac:dyDescent="0.35">
      <c r="A10" s="5">
        <v>4</v>
      </c>
      <c r="B10" s="5" t="str">
        <f t="shared" si="0"/>
        <v>E.4</v>
      </c>
      <c r="C10" s="51" t="s">
        <v>40</v>
      </c>
      <c r="D10" s="5" t="s">
        <v>167</v>
      </c>
      <c r="E10" s="40" t="s">
        <v>34</v>
      </c>
      <c r="F10" s="5" t="s">
        <v>37</v>
      </c>
      <c r="G10" s="5" t="s">
        <v>37</v>
      </c>
      <c r="H10" s="42" t="s">
        <v>37</v>
      </c>
      <c r="I10" s="40" t="s">
        <v>10</v>
      </c>
      <c r="J10" s="5" t="s">
        <v>37</v>
      </c>
      <c r="K10" s="5" t="s">
        <v>37</v>
      </c>
      <c r="L10" s="5" t="s">
        <v>37</v>
      </c>
      <c r="M10" s="5" t="s">
        <v>37</v>
      </c>
      <c r="N10" s="5" t="s">
        <v>37</v>
      </c>
    </row>
    <row r="11" spans="1:16" x14ac:dyDescent="0.35">
      <c r="I11" s="40"/>
      <c r="L11" s="40"/>
      <c r="M11" s="40"/>
      <c r="N11" s="40"/>
      <c r="O11" s="40"/>
    </row>
    <row r="12" spans="1:16" x14ac:dyDescent="0.35">
      <c r="I12" s="40"/>
      <c r="L12" s="40"/>
      <c r="M12" s="40"/>
      <c r="N12" s="40"/>
      <c r="O12" s="40"/>
    </row>
  </sheetData>
  <autoFilter ref="A6:P9"/>
  <conditionalFormatting sqref="C7:C1048576">
    <cfRule type="cellIs" dxfId="65" priority="5" operator="equal">
      <formula>"WIP (see comments)"</formula>
    </cfRule>
    <cfRule type="cellIs" dxfId="64" priority="6" operator="equal">
      <formula>"Removed"</formula>
    </cfRule>
    <cfRule type="cellIs" dxfId="63" priority="7" operator="equal">
      <formula>"Updated"</formula>
    </cfRule>
    <cfRule type="cellIs" dxfId="62" priority="8" operator="equal">
      <formula>"New"</formula>
    </cfRule>
  </conditionalFormatting>
  <conditionalFormatting sqref="D9 D7">
    <cfRule type="cellIs" dxfId="61" priority="4" operator="equal">
      <formula>"-"</formula>
    </cfRule>
  </conditionalFormatting>
  <conditionalFormatting sqref="A2:XFD6 Q7:XFD7 A8:XFD1048576 A7:O7 A1:C1 E1:XFD1">
    <cfRule type="cellIs" dxfId="60" priority="3" operator="equal">
      <formula>"n/a"</formula>
    </cfRule>
  </conditionalFormatting>
  <conditionalFormatting sqref="P7">
    <cfRule type="cellIs" dxfId="59" priority="2" operator="equal">
      <formula>"n/a"</formula>
    </cfRule>
  </conditionalFormatting>
  <conditionalFormatting sqref="D1">
    <cfRule type="cellIs" dxfId="58" priority="1" operator="equal">
      <formula>"n/a"</formula>
    </cfRule>
  </conditionalFormatting>
  <dataValidations count="1">
    <dataValidation type="list" allowBlank="1" showInputMessage="1" showErrorMessage="1" sqref="E7:E9">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Values'!$A$5:$A$27</xm:f>
          </x14:formula1>
          <xm:sqref>E10:E1048576</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
  <sheetViews>
    <sheetView workbookViewId="0">
      <pane ySplit="6" topLeftCell="A7" activePane="bottomLeft" state="frozen"/>
      <selection pane="bottomLeft" activeCell="D1" sqref="D1"/>
    </sheetView>
  </sheetViews>
  <sheetFormatPr defaultColWidth="9.1796875" defaultRowHeight="14.5" x14ac:dyDescent="0.35"/>
  <cols>
    <col min="1" max="1" width="14.7265625" style="5" customWidth="1"/>
    <col min="2" max="2" width="12.54296875" style="5" customWidth="1"/>
    <col min="3" max="3" width="13" style="42" customWidth="1"/>
    <col min="4" max="4" width="45.1796875" style="5" customWidth="1"/>
    <col min="5" max="5" width="28.7265625" style="5" customWidth="1"/>
    <col min="6" max="6" width="37" style="5" customWidth="1"/>
    <col min="7" max="7" width="29.26953125" style="5" customWidth="1"/>
    <col min="8" max="8" width="11.54296875" style="42"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159</v>
      </c>
      <c r="C1" s="32"/>
      <c r="D1" s="29" t="s">
        <v>346</v>
      </c>
      <c r="H1" s="35"/>
    </row>
    <row r="2" spans="1:16" s="30" customFormat="1" ht="18.5" x14ac:dyDescent="0.35">
      <c r="A2" s="28" t="s">
        <v>7</v>
      </c>
      <c r="B2" s="36" t="s">
        <v>182</v>
      </c>
      <c r="C2" s="35"/>
      <c r="D2" s="36"/>
      <c r="H2" s="35"/>
    </row>
    <row r="3" spans="1:16" s="30" customFormat="1" ht="18.5" x14ac:dyDescent="0.35">
      <c r="A3" s="28" t="s">
        <v>44</v>
      </c>
      <c r="B3" s="36" t="s">
        <v>323</v>
      </c>
      <c r="C3" s="35"/>
      <c r="D3" s="36" t="s">
        <v>74</v>
      </c>
      <c r="H3" s="35"/>
    </row>
    <row r="4" spans="1:16" s="30" customFormat="1" ht="18.5" x14ac:dyDescent="0.35">
      <c r="A4" s="28" t="s">
        <v>8</v>
      </c>
      <c r="B4" s="30" t="s">
        <v>160</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 t="shared" ref="B7:B11" si="0">CONCATENATE($B$2, ".", A7)</f>
        <v>F.1</v>
      </c>
      <c r="C7" s="51" t="s">
        <v>40</v>
      </c>
      <c r="D7" s="40" t="s">
        <v>222</v>
      </c>
      <c r="E7" s="40" t="s">
        <v>148</v>
      </c>
      <c r="F7" s="5" t="s">
        <v>37</v>
      </c>
      <c r="G7" s="5" t="s">
        <v>37</v>
      </c>
      <c r="H7" s="51" t="s">
        <v>37</v>
      </c>
      <c r="I7" s="40" t="s">
        <v>10</v>
      </c>
      <c r="J7" s="5" t="s">
        <v>37</v>
      </c>
      <c r="K7" s="5" t="s">
        <v>37</v>
      </c>
      <c r="L7" s="5" t="s">
        <v>37</v>
      </c>
      <c r="M7" s="5" t="s">
        <v>37</v>
      </c>
      <c r="N7" s="5" t="s">
        <v>37</v>
      </c>
    </row>
    <row r="8" spans="1:16" ht="43.5" x14ac:dyDescent="0.35">
      <c r="A8" s="5">
        <v>2</v>
      </c>
      <c r="B8" s="5" t="str">
        <f t="shared" si="0"/>
        <v>F.2</v>
      </c>
      <c r="C8" s="51" t="s">
        <v>40</v>
      </c>
      <c r="D8" s="45" t="s">
        <v>223</v>
      </c>
      <c r="E8" s="40" t="s">
        <v>34</v>
      </c>
      <c r="F8" s="5" t="s">
        <v>37</v>
      </c>
      <c r="G8" s="5" t="s">
        <v>37</v>
      </c>
      <c r="H8" s="51" t="s">
        <v>37</v>
      </c>
      <c r="I8" s="40" t="s">
        <v>10</v>
      </c>
      <c r="J8" s="5" t="s">
        <v>37</v>
      </c>
      <c r="K8" s="5" t="s">
        <v>37</v>
      </c>
      <c r="L8" s="5" t="s">
        <v>37</v>
      </c>
      <c r="M8" s="5" t="s">
        <v>37</v>
      </c>
      <c r="N8" s="5" t="s">
        <v>37</v>
      </c>
    </row>
    <row r="9" spans="1:16" x14ac:dyDescent="0.35">
      <c r="A9" s="5">
        <v>3</v>
      </c>
      <c r="B9" s="5" t="str">
        <f t="shared" si="0"/>
        <v>F.3</v>
      </c>
      <c r="C9" s="54" t="s">
        <v>40</v>
      </c>
      <c r="D9" s="45" t="s">
        <v>224</v>
      </c>
      <c r="E9" s="40" t="s">
        <v>33</v>
      </c>
      <c r="F9" s="5" t="s">
        <v>37</v>
      </c>
      <c r="G9" s="5" t="s">
        <v>37</v>
      </c>
      <c r="H9" s="51" t="s">
        <v>37</v>
      </c>
      <c r="I9" s="40" t="s">
        <v>10</v>
      </c>
      <c r="J9" s="5" t="s">
        <v>37</v>
      </c>
      <c r="K9" s="5" t="s">
        <v>37</v>
      </c>
      <c r="L9" s="5" t="s">
        <v>37</v>
      </c>
      <c r="M9" s="5" t="s">
        <v>37</v>
      </c>
      <c r="N9" s="5" t="s">
        <v>37</v>
      </c>
    </row>
    <row r="10" spans="1:16" x14ac:dyDescent="0.35">
      <c r="A10" s="5">
        <v>4</v>
      </c>
      <c r="B10" s="5" t="str">
        <f t="shared" si="0"/>
        <v>F.4</v>
      </c>
      <c r="C10" s="54" t="s">
        <v>40</v>
      </c>
      <c r="D10" s="5" t="s">
        <v>225</v>
      </c>
      <c r="E10" s="5" t="s">
        <v>43</v>
      </c>
      <c r="F10" s="5" t="s">
        <v>37</v>
      </c>
      <c r="G10" s="5" t="s">
        <v>37</v>
      </c>
      <c r="H10" s="51" t="s">
        <v>37</v>
      </c>
      <c r="I10" s="40" t="s">
        <v>10</v>
      </c>
      <c r="J10" s="5" t="s">
        <v>37</v>
      </c>
      <c r="K10" s="5" t="s">
        <v>37</v>
      </c>
      <c r="L10" s="5" t="s">
        <v>37</v>
      </c>
      <c r="M10" s="5" t="s">
        <v>37</v>
      </c>
      <c r="N10" s="5" t="s">
        <v>37</v>
      </c>
      <c r="O10" s="40" t="s">
        <v>226</v>
      </c>
    </row>
    <row r="11" spans="1:16" x14ac:dyDescent="0.35">
      <c r="A11" s="5">
        <v>5</v>
      </c>
      <c r="B11" s="5" t="str">
        <f t="shared" si="0"/>
        <v>F.5</v>
      </c>
      <c r="C11" s="54" t="s">
        <v>40</v>
      </c>
      <c r="D11" s="5" t="s">
        <v>227</v>
      </c>
      <c r="E11" s="5" t="s">
        <v>43</v>
      </c>
      <c r="F11" s="5" t="s">
        <v>37</v>
      </c>
      <c r="G11" s="5" t="s">
        <v>37</v>
      </c>
      <c r="H11" s="51" t="s">
        <v>37</v>
      </c>
      <c r="I11" s="40" t="s">
        <v>10</v>
      </c>
      <c r="J11" s="5" t="s">
        <v>37</v>
      </c>
      <c r="K11" s="5" t="s">
        <v>37</v>
      </c>
      <c r="L11" s="5" t="s">
        <v>37</v>
      </c>
      <c r="M11" s="5" t="s">
        <v>37</v>
      </c>
      <c r="N11" s="5" t="s">
        <v>37</v>
      </c>
      <c r="O11" s="40" t="s">
        <v>228</v>
      </c>
    </row>
  </sheetData>
  <autoFilter ref="A6:P6"/>
  <conditionalFormatting sqref="C12:C1048576">
    <cfRule type="cellIs" dxfId="57" priority="21" operator="equal">
      <formula>"WIP (see comments)"</formula>
    </cfRule>
    <cfRule type="cellIs" dxfId="56" priority="22" operator="equal">
      <formula>"Removed"</formula>
    </cfRule>
    <cfRule type="cellIs" dxfId="55" priority="23" operator="equal">
      <formula>"Updated"</formula>
    </cfRule>
    <cfRule type="cellIs" dxfId="54" priority="24" operator="equal">
      <formula>"New"</formula>
    </cfRule>
  </conditionalFormatting>
  <conditionalFormatting sqref="A2:XFD6 A12:XFD1048576 A1:C1 E1:XFD1">
    <cfRule type="cellIs" dxfId="53" priority="19" operator="equal">
      <formula>"n/a"</formula>
    </cfRule>
  </conditionalFormatting>
  <conditionalFormatting sqref="D8:D9">
    <cfRule type="cellIs" dxfId="52" priority="18" operator="equal">
      <formula>"-"</formula>
    </cfRule>
  </conditionalFormatting>
  <conditionalFormatting sqref="A8:B9 D8:XFD9">
    <cfRule type="cellIs" dxfId="51" priority="17" operator="equal">
      <formula>"n/a"</formula>
    </cfRule>
  </conditionalFormatting>
  <conditionalFormatting sqref="C7:C11">
    <cfRule type="cellIs" dxfId="50" priority="13" operator="equal">
      <formula>"WIP (see comments)"</formula>
    </cfRule>
    <cfRule type="cellIs" dxfId="49" priority="14" operator="equal">
      <formula>"Removed"</formula>
    </cfRule>
    <cfRule type="cellIs" dxfId="48" priority="15" operator="equal">
      <formula>"Updated"</formula>
    </cfRule>
    <cfRule type="cellIs" dxfId="47" priority="16" operator="equal">
      <formula>"New"</formula>
    </cfRule>
  </conditionalFormatting>
  <conditionalFormatting sqref="A7:XFD7 C8:C11">
    <cfRule type="cellIs" dxfId="46" priority="12" operator="equal">
      <formula>"n/a"</formula>
    </cfRule>
  </conditionalFormatting>
  <conditionalFormatting sqref="A10:B10 D10:XFD10">
    <cfRule type="cellIs" dxfId="45" priority="7" operator="equal">
      <formula>"n/a"</formula>
    </cfRule>
  </conditionalFormatting>
  <conditionalFormatting sqref="A11:B11 D11:XFD11">
    <cfRule type="cellIs" dxfId="44" priority="2" operator="equal">
      <formula>"n/a"</formula>
    </cfRule>
  </conditionalFormatting>
  <conditionalFormatting sqref="D1">
    <cfRule type="cellIs" dxfId="43"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Values'!$A$5:$A$27</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
  <sheetViews>
    <sheetView workbookViewId="0">
      <pane ySplit="6" topLeftCell="A7" activePane="bottomLeft" state="frozen"/>
      <selection pane="bottomLeft" activeCell="D1" sqref="D1"/>
    </sheetView>
  </sheetViews>
  <sheetFormatPr defaultColWidth="9.1796875" defaultRowHeight="14.5" x14ac:dyDescent="0.35"/>
  <cols>
    <col min="1" max="1" width="14.7265625" style="5" customWidth="1"/>
    <col min="2" max="2" width="12.54296875" style="5" customWidth="1"/>
    <col min="3" max="3" width="13" style="54" customWidth="1"/>
    <col min="4" max="4" width="45.1796875" style="5" customWidth="1"/>
    <col min="5" max="5" width="28.7265625" style="5" customWidth="1"/>
    <col min="6" max="6" width="37" style="5" customWidth="1"/>
    <col min="7" max="7" width="29.26953125" style="5" customWidth="1"/>
    <col min="8" max="8" width="11.54296875" style="5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233</v>
      </c>
      <c r="C1" s="32"/>
      <c r="D1" s="29" t="s">
        <v>346</v>
      </c>
      <c r="H1" s="35"/>
    </row>
    <row r="2" spans="1:16" s="30" customFormat="1" ht="18.5" x14ac:dyDescent="0.35">
      <c r="A2" s="28" t="s">
        <v>7</v>
      </c>
      <c r="B2" s="36" t="s">
        <v>231</v>
      </c>
      <c r="C2" s="35"/>
      <c r="D2" s="36"/>
      <c r="H2" s="35"/>
    </row>
    <row r="3" spans="1:16" s="30" customFormat="1" ht="18.5" x14ac:dyDescent="0.35">
      <c r="A3" s="28" t="s">
        <v>44</v>
      </c>
      <c r="B3" s="36" t="s">
        <v>323</v>
      </c>
      <c r="C3" s="35"/>
      <c r="D3" s="36" t="s">
        <v>74</v>
      </c>
      <c r="H3" s="35"/>
    </row>
    <row r="4" spans="1:16" s="30" customFormat="1" ht="18.5" x14ac:dyDescent="0.35">
      <c r="A4" s="28" t="s">
        <v>8</v>
      </c>
      <c r="B4" s="30" t="s">
        <v>232</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 t="shared" ref="B7:B10" si="0">CONCATENATE($B$2, ".", A7)</f>
        <v>G.1</v>
      </c>
      <c r="C7" s="54" t="s">
        <v>267</v>
      </c>
      <c r="D7" s="40" t="s">
        <v>234</v>
      </c>
      <c r="E7" s="40" t="s">
        <v>148</v>
      </c>
      <c r="F7" s="5" t="s">
        <v>37</v>
      </c>
      <c r="G7" s="5" t="s">
        <v>37</v>
      </c>
      <c r="H7" s="54" t="s">
        <v>37</v>
      </c>
      <c r="I7" s="40" t="s">
        <v>10</v>
      </c>
      <c r="J7" s="5" t="s">
        <v>37</v>
      </c>
      <c r="K7" s="5" t="s">
        <v>37</v>
      </c>
      <c r="L7" s="5" t="s">
        <v>37</v>
      </c>
      <c r="M7" s="5" t="s">
        <v>37</v>
      </c>
      <c r="N7" s="5" t="s">
        <v>37</v>
      </c>
    </row>
    <row r="8" spans="1:16" ht="29" x14ac:dyDescent="0.35">
      <c r="A8" s="5">
        <v>3</v>
      </c>
      <c r="B8" s="5" t="str">
        <f>CONCATENATE($B$2, ".", A8)</f>
        <v>G.3</v>
      </c>
      <c r="C8" s="74" t="s">
        <v>267</v>
      </c>
      <c r="D8" s="45" t="s">
        <v>238</v>
      </c>
      <c r="E8" s="40" t="s">
        <v>237</v>
      </c>
      <c r="F8" s="5" t="s">
        <v>37</v>
      </c>
      <c r="G8" s="5" t="s">
        <v>37</v>
      </c>
      <c r="H8" s="54" t="s">
        <v>37</v>
      </c>
      <c r="I8" s="40" t="s">
        <v>10</v>
      </c>
      <c r="J8" s="5" t="s">
        <v>37</v>
      </c>
      <c r="K8" s="5" t="s">
        <v>37</v>
      </c>
      <c r="L8" s="5" t="s">
        <v>37</v>
      </c>
      <c r="M8" s="5" t="s">
        <v>37</v>
      </c>
      <c r="N8" s="5" t="s">
        <v>37</v>
      </c>
      <c r="O8" s="5" t="s">
        <v>239</v>
      </c>
    </row>
    <row r="9" spans="1:16" ht="29" x14ac:dyDescent="0.35">
      <c r="A9" s="5">
        <v>2</v>
      </c>
      <c r="B9" s="5" t="str">
        <f t="shared" si="0"/>
        <v>G.2</v>
      </c>
      <c r="C9" s="74" t="s">
        <v>267</v>
      </c>
      <c r="D9" s="45" t="s">
        <v>235</v>
      </c>
      <c r="E9" s="40" t="s">
        <v>34</v>
      </c>
      <c r="F9" s="5" t="s">
        <v>37</v>
      </c>
      <c r="G9" s="5" t="s">
        <v>37</v>
      </c>
      <c r="H9" s="54" t="s">
        <v>37</v>
      </c>
      <c r="I9" s="40" t="s">
        <v>10</v>
      </c>
      <c r="J9" s="5" t="s">
        <v>37</v>
      </c>
      <c r="K9" s="5" t="s">
        <v>37</v>
      </c>
      <c r="L9" s="5" t="s">
        <v>37</v>
      </c>
      <c r="M9" s="5" t="s">
        <v>37</v>
      </c>
      <c r="N9" s="5" t="s">
        <v>37</v>
      </c>
    </row>
    <row r="10" spans="1:16" ht="43.5" x14ac:dyDescent="0.35">
      <c r="A10" s="5">
        <v>4</v>
      </c>
      <c r="B10" s="5" t="str">
        <f t="shared" si="0"/>
        <v>G.4</v>
      </c>
      <c r="C10" s="74" t="s">
        <v>267</v>
      </c>
      <c r="D10" s="5" t="s">
        <v>225</v>
      </c>
      <c r="E10" s="5" t="s">
        <v>43</v>
      </c>
      <c r="F10" s="5" t="s">
        <v>37</v>
      </c>
      <c r="G10" s="5" t="s">
        <v>37</v>
      </c>
      <c r="H10" s="54" t="s">
        <v>37</v>
      </c>
      <c r="I10" s="40" t="s">
        <v>10</v>
      </c>
      <c r="J10" s="5" t="s">
        <v>37</v>
      </c>
      <c r="K10" s="5" t="s">
        <v>37</v>
      </c>
      <c r="L10" s="5" t="s">
        <v>37</v>
      </c>
      <c r="M10" s="5" t="s">
        <v>37</v>
      </c>
      <c r="N10" s="5" t="s">
        <v>37</v>
      </c>
      <c r="O10" s="40" t="s">
        <v>236</v>
      </c>
    </row>
  </sheetData>
  <autoFilter ref="A6:P6"/>
  <conditionalFormatting sqref="C11:C1048576">
    <cfRule type="cellIs" dxfId="42" priority="12" operator="equal">
      <formula>"WIP (see comments)"</formula>
    </cfRule>
    <cfRule type="cellIs" dxfId="41" priority="13" operator="equal">
      <formula>"Removed"</formula>
    </cfRule>
    <cfRule type="cellIs" dxfId="40" priority="14" operator="equal">
      <formula>"Updated"</formula>
    </cfRule>
    <cfRule type="cellIs" dxfId="39" priority="15" operator="equal">
      <formula>"New"</formula>
    </cfRule>
  </conditionalFormatting>
  <conditionalFormatting sqref="A2:XFD6 A11:XFD1048576 A8:B9 D8:XFD9 A1:C1 E1:XFD1">
    <cfRule type="cellIs" dxfId="38" priority="11" operator="equal">
      <formula>"n/a"</formula>
    </cfRule>
  </conditionalFormatting>
  <conditionalFormatting sqref="D8:D9">
    <cfRule type="cellIs" dxfId="37" priority="10" operator="equal">
      <formula>"-"</formula>
    </cfRule>
  </conditionalFormatting>
  <conditionalFormatting sqref="C7:C10">
    <cfRule type="cellIs" dxfId="36" priority="5" operator="equal">
      <formula>"WIP (see comments)"</formula>
    </cfRule>
    <cfRule type="cellIs" dxfId="35" priority="6" operator="equal">
      <formula>"Removed"</formula>
    </cfRule>
    <cfRule type="cellIs" dxfId="34" priority="7" operator="equal">
      <formula>"Updated"</formula>
    </cfRule>
    <cfRule type="cellIs" dxfId="33" priority="8" operator="equal">
      <formula>"New"</formula>
    </cfRule>
  </conditionalFormatting>
  <conditionalFormatting sqref="A7:XFD7 C8:C10">
    <cfRule type="cellIs" dxfId="32" priority="4" operator="equal">
      <formula>"n/a"</formula>
    </cfRule>
  </conditionalFormatting>
  <conditionalFormatting sqref="A10:B10 D10:XFD10">
    <cfRule type="cellIs" dxfId="31" priority="3" operator="equal">
      <formula>"n/a"</formula>
    </cfRule>
  </conditionalFormatting>
  <conditionalFormatting sqref="D1">
    <cfRule type="cellIs" dxfId="3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Values'!$A$5:$A$27</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
  <sheetViews>
    <sheetView workbookViewId="0">
      <pane ySplit="6" topLeftCell="A7" activePane="bottomLeft" state="frozen"/>
      <selection pane="bottomLeft" activeCell="D1" sqref="D1"/>
    </sheetView>
  </sheetViews>
  <sheetFormatPr defaultColWidth="9.1796875" defaultRowHeight="14.5" x14ac:dyDescent="0.35"/>
  <cols>
    <col min="1" max="1" width="14.7265625" style="5" customWidth="1"/>
    <col min="2" max="2" width="12.54296875" style="5" customWidth="1"/>
    <col min="3" max="3" width="13" style="70" customWidth="1"/>
    <col min="4" max="4" width="45.1796875" style="5" customWidth="1"/>
    <col min="5" max="5" width="28.7265625" style="5" customWidth="1"/>
    <col min="6" max="6" width="37" style="5" customWidth="1"/>
    <col min="7" max="7" width="29.26953125" style="5" customWidth="1"/>
    <col min="8" max="8" width="11.54296875" style="70"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240</v>
      </c>
      <c r="C1" s="32"/>
      <c r="D1" s="29" t="s">
        <v>346</v>
      </c>
      <c r="H1" s="35"/>
    </row>
    <row r="2" spans="1:16" s="30" customFormat="1" ht="18.5" x14ac:dyDescent="0.35">
      <c r="A2" s="28" t="s">
        <v>7</v>
      </c>
      <c r="B2" s="36" t="s">
        <v>242</v>
      </c>
      <c r="C2" s="35"/>
      <c r="D2" s="36"/>
      <c r="H2" s="35"/>
    </row>
    <row r="3" spans="1:16" s="30" customFormat="1" ht="18.5" x14ac:dyDescent="0.35">
      <c r="A3" s="28" t="s">
        <v>44</v>
      </c>
      <c r="B3" s="36" t="s">
        <v>323</v>
      </c>
      <c r="C3" s="35"/>
      <c r="D3" s="36" t="s">
        <v>74</v>
      </c>
      <c r="H3" s="35"/>
    </row>
    <row r="4" spans="1:16" s="30" customFormat="1" ht="18.5" x14ac:dyDescent="0.35">
      <c r="A4" s="28" t="s">
        <v>8</v>
      </c>
      <c r="B4" s="30" t="s">
        <v>241</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 t="shared" ref="B7" si="0">CONCATENATE($B$2, ".", A7)</f>
        <v>H.1</v>
      </c>
      <c r="C7" s="70" t="s">
        <v>267</v>
      </c>
      <c r="D7" s="40" t="s">
        <v>37</v>
      </c>
      <c r="E7" s="40" t="s">
        <v>147</v>
      </c>
      <c r="F7" s="5" t="s">
        <v>37</v>
      </c>
      <c r="G7" s="5" t="s">
        <v>37</v>
      </c>
      <c r="H7" s="70" t="s">
        <v>37</v>
      </c>
      <c r="I7" s="40" t="s">
        <v>10</v>
      </c>
      <c r="J7" s="5" t="s">
        <v>37</v>
      </c>
      <c r="K7" s="5" t="s">
        <v>37</v>
      </c>
      <c r="L7" s="5" t="s">
        <v>37</v>
      </c>
      <c r="M7" s="5" t="s">
        <v>37</v>
      </c>
      <c r="N7" s="5" t="s">
        <v>37</v>
      </c>
      <c r="O7" s="5" t="s">
        <v>243</v>
      </c>
    </row>
  </sheetData>
  <autoFilter ref="A6:P6"/>
  <conditionalFormatting sqref="C8:C1048576">
    <cfRule type="cellIs" dxfId="29" priority="11" operator="equal">
      <formula>"WIP (see comments)"</formula>
    </cfRule>
    <cfRule type="cellIs" dxfId="28" priority="12" operator="equal">
      <formula>"Removed"</formula>
    </cfRule>
    <cfRule type="cellIs" dxfId="27" priority="13" operator="equal">
      <formula>"Updated"</formula>
    </cfRule>
    <cfRule type="cellIs" dxfId="26" priority="14" operator="equal">
      <formula>"New"</formula>
    </cfRule>
  </conditionalFormatting>
  <conditionalFormatting sqref="A2:XFD6 A8:XFD1048576 A1:C1 E1:XFD1">
    <cfRule type="cellIs" dxfId="25" priority="10" operator="equal">
      <formula>"n/a"</formula>
    </cfRule>
  </conditionalFormatting>
  <conditionalFormatting sqref="C7">
    <cfRule type="cellIs" dxfId="24" priority="5" operator="equal">
      <formula>"WIP (see comments)"</formula>
    </cfRule>
    <cfRule type="cellIs" dxfId="23" priority="6" operator="equal">
      <formula>"Removed"</formula>
    </cfRule>
    <cfRule type="cellIs" dxfId="22" priority="7" operator="equal">
      <formula>"Updated"</formula>
    </cfRule>
    <cfRule type="cellIs" dxfId="21" priority="8" operator="equal">
      <formula>"New"</formula>
    </cfRule>
  </conditionalFormatting>
  <conditionalFormatting sqref="A7:XFD7">
    <cfRule type="cellIs" dxfId="20" priority="4" operator="equal">
      <formula>"n/a"</formula>
    </cfRule>
  </conditionalFormatting>
  <conditionalFormatting sqref="D1">
    <cfRule type="cellIs" dxfId="1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Values'!$A$5:$A$27</xm:f>
          </x14:formula1>
          <xm:sqref>E7:E1048576</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
  <sheetViews>
    <sheetView workbookViewId="0">
      <pane xSplit="4" ySplit="6" topLeftCell="E7" activePane="bottomRight" state="frozen"/>
      <selection pane="topRight" activeCell="E1" sqref="E1"/>
      <selection pane="bottomLeft" activeCell="A7" sqref="A7"/>
      <selection pane="bottomRight" activeCell="A5" sqref="A5"/>
    </sheetView>
  </sheetViews>
  <sheetFormatPr defaultColWidth="9.1796875" defaultRowHeight="14.5" x14ac:dyDescent="0.35"/>
  <cols>
    <col min="1" max="1" width="14.7265625" style="5" customWidth="1"/>
    <col min="2" max="2" width="12.54296875" style="5" customWidth="1"/>
    <col min="3" max="3" width="19.26953125" style="74" customWidth="1"/>
    <col min="4" max="4" width="45.1796875" style="5" customWidth="1"/>
    <col min="5" max="5" width="28.7265625" style="5" customWidth="1"/>
    <col min="6" max="6" width="37" style="5" customWidth="1"/>
    <col min="7" max="7" width="29.26953125" style="5" customWidth="1"/>
    <col min="8" max="8" width="11.54296875" style="7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269</v>
      </c>
      <c r="C1" s="32"/>
      <c r="D1" s="29" t="s">
        <v>346</v>
      </c>
      <c r="H1" s="35"/>
    </row>
    <row r="2" spans="1:16" s="30" customFormat="1" ht="18.5" x14ac:dyDescent="0.35">
      <c r="A2" s="28" t="s">
        <v>7</v>
      </c>
      <c r="B2" s="36" t="s">
        <v>268</v>
      </c>
      <c r="C2" s="35"/>
      <c r="D2" s="36"/>
      <c r="H2" s="35"/>
    </row>
    <row r="3" spans="1:16" s="30" customFormat="1" ht="18.5" x14ac:dyDescent="0.35">
      <c r="A3" s="28" t="s">
        <v>44</v>
      </c>
      <c r="B3" s="36"/>
      <c r="C3" s="35"/>
      <c r="D3" s="36" t="s">
        <v>74</v>
      </c>
      <c r="H3" s="35"/>
    </row>
    <row r="4" spans="1:16" s="30" customFormat="1" ht="18.5" x14ac:dyDescent="0.35">
      <c r="A4" s="28" t="s">
        <v>8</v>
      </c>
      <c r="B4" s="30" t="s">
        <v>274</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 t="shared" ref="B7:B10" si="0">CONCATENATE($B$2, ".", A7)</f>
        <v>I.1</v>
      </c>
      <c r="C7" s="74" t="s">
        <v>267</v>
      </c>
      <c r="D7" s="40" t="s">
        <v>273</v>
      </c>
      <c r="E7" s="40" t="s">
        <v>148</v>
      </c>
      <c r="F7" s="5" t="s">
        <v>37</v>
      </c>
      <c r="G7" s="5" t="s">
        <v>37</v>
      </c>
      <c r="H7" s="74" t="s">
        <v>37</v>
      </c>
      <c r="I7" s="40" t="s">
        <v>10</v>
      </c>
      <c r="J7" s="5" t="s">
        <v>37</v>
      </c>
      <c r="K7" s="5" t="s">
        <v>37</v>
      </c>
      <c r="L7" s="5" t="s">
        <v>37</v>
      </c>
      <c r="M7" s="5" t="s">
        <v>37</v>
      </c>
      <c r="N7" s="5" t="s">
        <v>37</v>
      </c>
    </row>
    <row r="8" spans="1:16" ht="114" customHeight="1" x14ac:dyDescent="0.35">
      <c r="A8" s="5">
        <v>2</v>
      </c>
      <c r="B8" s="5" t="str">
        <f t="shared" si="0"/>
        <v>I.2</v>
      </c>
      <c r="C8" s="75" t="s">
        <v>45</v>
      </c>
      <c r="D8" s="45" t="s">
        <v>272</v>
      </c>
      <c r="E8" s="40" t="s">
        <v>34</v>
      </c>
      <c r="F8" s="5" t="s">
        <v>37</v>
      </c>
      <c r="G8" s="5" t="s">
        <v>37</v>
      </c>
      <c r="H8" s="74" t="s">
        <v>37</v>
      </c>
      <c r="I8" s="40" t="s">
        <v>10</v>
      </c>
      <c r="J8" s="5" t="s">
        <v>37</v>
      </c>
      <c r="K8" s="5" t="s">
        <v>37</v>
      </c>
      <c r="L8" s="5" t="s">
        <v>37</v>
      </c>
      <c r="M8" s="5" t="s">
        <v>37</v>
      </c>
      <c r="N8" s="5" t="s">
        <v>37</v>
      </c>
      <c r="O8" s="5" t="s">
        <v>183</v>
      </c>
      <c r="P8" s="5" t="s">
        <v>350</v>
      </c>
    </row>
    <row r="9" spans="1:16" x14ac:dyDescent="0.35">
      <c r="A9" s="5">
        <v>3</v>
      </c>
      <c r="B9" s="5" t="str">
        <f t="shared" si="0"/>
        <v>I.3</v>
      </c>
      <c r="C9" s="75" t="s">
        <v>267</v>
      </c>
      <c r="D9" s="45" t="s">
        <v>270</v>
      </c>
      <c r="E9" s="40" t="s">
        <v>36</v>
      </c>
      <c r="F9" s="5" t="s">
        <v>37</v>
      </c>
      <c r="G9" s="5" t="s">
        <v>37</v>
      </c>
      <c r="H9" s="74" t="s">
        <v>37</v>
      </c>
      <c r="I9" s="40" t="s">
        <v>10</v>
      </c>
      <c r="J9" s="5" t="s">
        <v>37</v>
      </c>
      <c r="K9" s="5" t="s">
        <v>37</v>
      </c>
      <c r="L9" s="5" t="s">
        <v>37</v>
      </c>
      <c r="M9" s="5" t="s">
        <v>37</v>
      </c>
      <c r="N9" s="5" t="s">
        <v>37</v>
      </c>
    </row>
    <row r="10" spans="1:16" ht="29" x14ac:dyDescent="0.35">
      <c r="A10" s="5">
        <v>4</v>
      </c>
      <c r="B10" s="5" t="str">
        <f t="shared" si="0"/>
        <v>I.4</v>
      </c>
      <c r="C10" s="75" t="s">
        <v>267</v>
      </c>
      <c r="D10" s="5" t="s">
        <v>271</v>
      </c>
      <c r="E10" s="40" t="s">
        <v>34</v>
      </c>
      <c r="F10" s="5" t="s">
        <v>37</v>
      </c>
      <c r="G10" s="5" t="s">
        <v>37</v>
      </c>
      <c r="H10" s="74" t="s">
        <v>37</v>
      </c>
      <c r="I10" s="40" t="s">
        <v>10</v>
      </c>
      <c r="J10" s="5" t="s">
        <v>37</v>
      </c>
      <c r="K10" s="5" t="s">
        <v>37</v>
      </c>
      <c r="L10" s="5" t="s">
        <v>37</v>
      </c>
      <c r="M10" s="5" t="s">
        <v>37</v>
      </c>
      <c r="N10" s="5" t="s">
        <v>37</v>
      </c>
      <c r="O10" s="40"/>
    </row>
  </sheetData>
  <autoFilter ref="A6:P6"/>
  <conditionalFormatting sqref="C11:C1048576">
    <cfRule type="cellIs" dxfId="18" priority="14" operator="equal">
      <formula>"WIP (see comments)"</formula>
    </cfRule>
    <cfRule type="cellIs" dxfId="17" priority="15" operator="equal">
      <formula>"Removed"</formula>
    </cfRule>
    <cfRule type="cellIs" dxfId="16" priority="16" operator="equal">
      <formula>"Updated"</formula>
    </cfRule>
    <cfRule type="cellIs" dxfId="15" priority="17" operator="equal">
      <formula>"New"</formula>
    </cfRule>
  </conditionalFormatting>
  <conditionalFormatting sqref="A2:XFD6 A11:XFD1048576 A1:C1 E1:XFD1">
    <cfRule type="cellIs" dxfId="14" priority="13" operator="equal">
      <formula>"n/a"</formula>
    </cfRule>
  </conditionalFormatting>
  <conditionalFormatting sqref="D8:D9">
    <cfRule type="cellIs" dxfId="13" priority="12" operator="equal">
      <formula>"-"</formula>
    </cfRule>
  </conditionalFormatting>
  <conditionalFormatting sqref="A8:B9 D9:XFD9 D8:N8 P8:XFD8">
    <cfRule type="cellIs" dxfId="12" priority="11" operator="equal">
      <formula>"n/a"</formula>
    </cfRule>
  </conditionalFormatting>
  <conditionalFormatting sqref="C7:C10">
    <cfRule type="cellIs" dxfId="11" priority="7" operator="equal">
      <formula>"WIP (see comments)"</formula>
    </cfRule>
    <cfRule type="cellIs" dxfId="10" priority="8" operator="equal">
      <formula>"Removed"</formula>
    </cfRule>
    <cfRule type="cellIs" dxfId="9" priority="9" operator="equal">
      <formula>"Updated"</formula>
    </cfRule>
    <cfRule type="cellIs" dxfId="8" priority="10" operator="equal">
      <formula>"New"</formula>
    </cfRule>
  </conditionalFormatting>
  <conditionalFormatting sqref="A7:XFD7 C8:C10">
    <cfRule type="cellIs" dxfId="7" priority="6" operator="equal">
      <formula>"n/a"</formula>
    </cfRule>
  </conditionalFormatting>
  <conditionalFormatting sqref="A10:B10 D10 F10:XFD10">
    <cfRule type="cellIs" dxfId="6" priority="5" operator="equal">
      <formula>"n/a"</formula>
    </cfRule>
  </conditionalFormatting>
  <conditionalFormatting sqref="E10">
    <cfRule type="cellIs" dxfId="5" priority="3" operator="equal">
      <formula>"n/a"</formula>
    </cfRule>
  </conditionalFormatting>
  <conditionalFormatting sqref="O8">
    <cfRule type="cellIs" dxfId="4" priority="2" operator="equal">
      <formula>"n/a"</formula>
    </cfRule>
  </conditionalFormatting>
  <conditionalFormatting sqref="D1">
    <cfRule type="cellIs" dxfId="3"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Values'!$A$5:$A$27</xm:f>
          </x14:formula1>
          <xm:sqref>E7:E1048576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9873DF4-A2F2-46E7-AEB7-94876694B737}">
  <ds:schemaRefs>
    <ds:schemaRef ds:uri="http://schemas.microsoft.com/sharepoint/v4"/>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67826ED8-A72F-4076-A42D-E6BC5370FFEC}"/>
</file>

<file path=customXml/itemProps3.xml><?xml version="1.0" encoding="utf-8"?>
<ds:datastoreItem xmlns:ds="http://schemas.openxmlformats.org/officeDocument/2006/customXml" ds:itemID="{6FBFEE26-D9EA-4C5A-92F5-F1DF9C7FFD9B}">
  <ds:schemaRefs>
    <ds:schemaRef ds:uri="http://schemas.microsoft.com/sharepoint/v3/contenttype/forms"/>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Revision Control</vt:lpstr>
      <vt:lpstr>List Values</vt:lpstr>
      <vt:lpstr>1. Entry Page</vt:lpstr>
      <vt:lpstr>2. Landing Page</vt:lpstr>
      <vt:lpstr>3. Existing Cust. Check</vt:lpstr>
      <vt:lpstr>4. Contact Info</vt:lpstr>
      <vt:lpstr>4a. Mobile Verify</vt:lpstr>
      <vt:lpstr>5. Qualifying Questions</vt:lpstr>
      <vt:lpstr>6. IDScan</vt:lpstr>
      <vt:lpstr>7. Name &amp; Address</vt:lpstr>
      <vt:lpstr>DEPRECATED Address</vt:lpstr>
      <vt:lpstr>8. Birthday &amp; SIN</vt:lpstr>
      <vt:lpstr>9. Account Options</vt:lpstr>
      <vt:lpstr>10. eConsent</vt:lpstr>
      <vt:lpstr>11. Alternate IDV</vt:lpstr>
      <vt:lpstr>12. Flinks</vt:lpstr>
      <vt:lpstr>13. Manual IDV</vt:lpstr>
      <vt:lpstr>14. Dynamic Disclosures</vt:lpstr>
      <vt:lpstr>A. Generic Error</vt:lpstr>
      <vt:lpstr>B. Manual Review</vt:lpstr>
      <vt:lpstr>C. Decline</vt:lpstr>
      <vt:lpstr>D. Cancel</vt:lpstr>
      <vt:lpstr>E. Save</vt:lpstr>
      <vt:lpstr>F. Resume</vt:lpstr>
      <vt:lpstr>G. Time Out</vt:lpstr>
      <vt:lpstr>H. Progress</vt:lpstr>
      <vt:lpstr>I. Previously Submitted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2015-06-05T18:17:20Z</dcterms:created>
  <dcterms:modified xsi:type="dcterms:W3CDTF">2020-09-15T16:39:53Z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URL">
    <vt:lpwstr/>
  </property>
</Properties>
</file>